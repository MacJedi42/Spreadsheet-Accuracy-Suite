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updateLinks="never" codeName="ThisWorkbook" defaultThemeVersion="124226"/>
  <bookViews>
    <workbookView xWindow="-15" yWindow="285" windowWidth="9720" windowHeight="8430" tabRatio="818" activeTab="2"/>
  </bookViews>
  <sheets>
    <sheet name="Cover Sheet" sheetId="1" r:id="rId1"/>
    <sheet name="PR_Programmatic Progress_1A" sheetId="2" r:id="rId2"/>
    <sheet name="PR_Programmatic Progress_1B" sheetId="3" r:id="rId3"/>
    <sheet name="PR_Grant Management_2" sheetId="4" r:id="rId4"/>
    <sheet name="PR_Total PR Cash Outflow_3A" sheetId="33" r:id="rId5"/>
    <sheet name="EFR HIV AIDS Financial Data_3B" sheetId="57" r:id="rId6"/>
    <sheet name="PR_Procurement Info_4" sheetId="38" r:id="rId7"/>
    <sheet name="PR Cash Rec Answer" sheetId="63" r:id="rId8"/>
    <sheet name="PR_Cash Reconciliation_Answer" sheetId="64" r:id="rId9"/>
    <sheet name="PR_Cash Reconciliation_5A" sheetId="34" r:id="rId10"/>
    <sheet name="Cash Forecast Detail Top Down" sheetId="65" r:id="rId11"/>
    <sheet name="PR_Disbursement Request_5B" sheetId="36" r:id="rId12"/>
    <sheet name="PR_Overall Performance_6" sheetId="30" state="hidden" r:id="rId13"/>
    <sheet name="PR_Cash Request_7A&amp;B" sheetId="7" r:id="rId14"/>
    <sheet name="PR_Bank Details_7C" sheetId="45" r:id="rId15"/>
    <sheet name="PR_Annex_SR-Financials" sheetId="42" state="hidden" r:id="rId16"/>
    <sheet name="Checklist" sheetId="44" r:id="rId17"/>
    <sheet name="LFA_Programmatic Progress_1A" sheetId="9" r:id="rId18"/>
    <sheet name="LFA_Programmatic Progress_1B" sheetId="10" r:id="rId19"/>
    <sheet name="LFA_Grant Management_2" sheetId="11" r:id="rId20"/>
    <sheet name="LFA_Total PR Cash Outflow_3A" sheetId="12" r:id="rId21"/>
    <sheet name="LFA_EFR Review_3B" sheetId="50" r:id="rId22"/>
    <sheet name="LFA_Procurement Info_4" sheetId="39" r:id="rId23"/>
    <sheet name="LFA_Findings&amp;Recommendations" sheetId="41" r:id="rId24"/>
    <sheet name="LFA_Cash Reconciliation_5A" sheetId="25" r:id="rId25"/>
    <sheet name="LFA_Disbursement Recommend_5B" sheetId="37" r:id="rId26"/>
    <sheet name="Sheet1" sheetId="22" state="hidden" r:id="rId27"/>
    <sheet name="LFA_Overall Performance_6" sheetId="13" r:id="rId28"/>
    <sheet name="LFA_DisbursementRecommendation7" sheetId="16" r:id="rId29"/>
    <sheet name="LFA_Bank Details_7C" sheetId="51" r:id="rId30"/>
    <sheet name="LFA_Annex-SR Financials" sheetId="43" r:id="rId31"/>
    <sheet name="Annex for additional info" sheetId="49" r:id="rId32"/>
    <sheet name="Memo HIV" sheetId="19" state="hidden" r:id="rId33"/>
    <sheet name="Memo TB" sheetId="20" state="hidden" r:id="rId34"/>
    <sheet name="Memo Malaria" sheetId="21" state="hidden" r:id="rId35"/>
    <sheet name="Definitions-lists-EFR" sheetId="62" state="hidden" r:id="rId36"/>
  </sheets>
  <externalReferences>
    <externalReference r:id="rId37"/>
    <externalReference r:id="rId38"/>
    <externalReference r:id="rId39"/>
    <externalReference r:id="rId40"/>
    <externalReference r:id="rId41"/>
    <externalReference r:id="rId42"/>
    <externalReference r:id="rId43"/>
  </externalReferences>
  <definedNames>
    <definedName name="E">'Memo HIV'!$F$3</definedName>
    <definedName name="ES">'Memo HIV'!$F$4</definedName>
    <definedName name="HIVII">'Memo HIV'!$B$2:$B$8</definedName>
    <definedName name="HIVOI">'Memo HIV'!$D$2:$D$15</definedName>
    <definedName name="HIVSDA">'Memo HIV'!$A$2:$A$30</definedName>
    <definedName name="HIVSource">'Memo HIV'!$E$2:$E$22</definedName>
    <definedName name="IndicatorTypesList">[1]SDAs_impact_datasources!$D$2:$D$3</definedName>
    <definedName name="LFA_SDA" localSheetId="21">#REF!</definedName>
    <definedName name="LFA_SDA" localSheetId="14">'[2]LFA_Programmatic Progress_1B'!#REF!</definedName>
    <definedName name="LFA_SDA" localSheetId="4">#REF!</definedName>
    <definedName name="LFA_SDA">'LFA_Programmatic Progress_1B'!#REF!</definedName>
    <definedName name="LFASig" localSheetId="21">#REF!</definedName>
    <definedName name="LFASig" localSheetId="14">'[2]LFA_Signature (image)'!$B$2</definedName>
    <definedName name="LFASig" localSheetId="4">#REF!</definedName>
    <definedName name="LFASig">#REF!</definedName>
    <definedName name="list">#REF!</definedName>
    <definedName name="List_IE">'Definitions-lists-EFR'!$A$58:$A$65</definedName>
    <definedName name="list1">#REF!</definedName>
    <definedName name="list2">#REF!</definedName>
    <definedName name="listH" localSheetId="31">#REF!</definedName>
    <definedName name="listH">#REF!</definedName>
    <definedName name="ListHIV">'Definitions-lists-EFR'!$A$1:$A$7</definedName>
    <definedName name="ListHIV_SDA">'Definitions-lists-EFR'!$A$11:$A$18</definedName>
    <definedName name="listie">#REF!</definedName>
    <definedName name="listmac">#REF!</definedName>
    <definedName name="ListMal">'Definitions-lists-EFR'!$A$21:$A$25</definedName>
    <definedName name="ListMal_SDA">'Definitions-lists-EFR'!$A$28:$A$35</definedName>
    <definedName name="listnew">#REF!</definedName>
    <definedName name="listS">#REF!</definedName>
    <definedName name="listsda">#REF!</definedName>
    <definedName name="listsdah">#REF!</definedName>
    <definedName name="listsdahiv">#REF!</definedName>
    <definedName name="listsdahiv1">#REF!</definedName>
    <definedName name="listsdam">[3]Definitions!$C$28:$C$50</definedName>
    <definedName name="listsdat">#REF!</definedName>
    <definedName name="listsdat1">[4]Definitions!$C$39:$C$54</definedName>
    <definedName name="listserv">#REF!</definedName>
    <definedName name="ListTB">'Definitions-lists-EFR'!$A$39:$A$44</definedName>
    <definedName name="ListTB_SDA">'Definitions-lists-EFR'!$A$48:$A$55</definedName>
    <definedName name="MalariaII">'Memo Malaria'!$B$2:$B$10</definedName>
    <definedName name="MalariaOI">'Memo Malaria'!$D$2:$D$10</definedName>
    <definedName name="MalariaSDA">'Memo Malaria'!$A$2:$A$23</definedName>
    <definedName name="MalariaSource">'Memo Malaria'!$E$2:$E$25</definedName>
    <definedName name="Please_Select">'Memo Malaria'!$A$3:$A$14</definedName>
    <definedName name="PR_SDA" localSheetId="21">#REF!</definedName>
    <definedName name="PR_SDA" localSheetId="14">'[2]LFA_Programmatic Progress_1A'!#REF!</definedName>
    <definedName name="PR_SDA" localSheetId="2">'PR_Programmatic Progress_1B'!$C$12:$C$31</definedName>
    <definedName name="PR_SDA" localSheetId="4">#REF!</definedName>
    <definedName name="PR_SDA">'LFA_Programmatic Progress_1A'!#REF!</definedName>
    <definedName name="_xlnm.Print_Area" localSheetId="31">'Annex for additional info'!$A$2:$E$17</definedName>
    <definedName name="_xlnm.Print_Area" localSheetId="16">Checklist!$A$1:$E$33</definedName>
    <definedName name="_xlnm.Print_Area" localSheetId="0">'Cover Sheet'!$A$1:$D$19</definedName>
    <definedName name="_xlnm.Print_Area" localSheetId="5">'EFR HIV AIDS Financial Data_3B'!$A$1:$M$75</definedName>
    <definedName name="_xlnm.Print_Area" localSheetId="30">'LFA_Annex-SR Financials'!$A$1:$R$40</definedName>
    <definedName name="_xlnm.Print_Area" localSheetId="29">'LFA_Bank Details_7C'!$A$1:$F$81</definedName>
    <definedName name="_xlnm.Print_Area" localSheetId="24">'LFA_Cash Reconciliation_5A'!$A$1:$K$25</definedName>
    <definedName name="_xlnm.Print_Area" localSheetId="25">'LFA_Disbursement Recommend_5B'!$A$1:$S$56</definedName>
    <definedName name="_xlnm.Print_Area" localSheetId="28">LFA_DisbursementRecommendation7!$A$1:$P$65</definedName>
    <definedName name="_xlnm.Print_Area" localSheetId="21">'LFA_EFR Review_3B'!$A$1:$K$52</definedName>
    <definedName name="_xlnm.Print_Area" localSheetId="23">'LFA_Findings&amp;Recommendations'!$A$1:$K$41</definedName>
    <definedName name="_xlnm.Print_Area" localSheetId="19">'LFA_Grant Management_2'!$A$1:$L$59</definedName>
    <definedName name="_xlnm.Print_Area" localSheetId="27">'LFA_Overall Performance_6'!$A$1:$K$26</definedName>
    <definedName name="_xlnm.Print_Area" localSheetId="22">'LFA_Procurement Info_4'!$A$1:$K$33</definedName>
    <definedName name="_xlnm.Print_Area" localSheetId="17">'LFA_Programmatic Progress_1A'!$A$1:$S$37</definedName>
    <definedName name="_xlnm.Print_Area" localSheetId="18">'LFA_Programmatic Progress_1B'!$A$1:$U$47</definedName>
    <definedName name="_xlnm.Print_Area" localSheetId="20">'LFA_Total PR Cash Outflow_3A'!$A$1:$K$25</definedName>
    <definedName name="_xlnm.Print_Area" localSheetId="32">'Memo HIV'!$A$1:$J$32</definedName>
    <definedName name="_xlnm.Print_Area" localSheetId="34">'Memo Malaria'!$A$1:$F$25</definedName>
    <definedName name="_xlnm.Print_Area" localSheetId="33">'Memo TB'!$A$1:$F$15</definedName>
    <definedName name="_xlnm.Print_Area" localSheetId="15">'PR_Annex_SR-Financials'!$A$1:$Q$40</definedName>
    <definedName name="_xlnm.Print_Area" localSheetId="14">'PR_Bank Details_7C'!$A$1:$G$82</definedName>
    <definedName name="_xlnm.Print_Area" localSheetId="9">'PR_Cash Reconciliation_5A'!$A$1:$M$33</definedName>
    <definedName name="_xlnm.Print_Area" localSheetId="13">'PR_Cash Request_7A&amp;B'!$A$1:$M$40</definedName>
    <definedName name="_xlnm.Print_Area" localSheetId="11">'PR_Disbursement Request_5B'!$A$1:$T$46</definedName>
    <definedName name="_xlnm.Print_Area" localSheetId="3">'PR_Grant Management_2'!$A$1:$L$40</definedName>
    <definedName name="_xlnm.Print_Area" localSheetId="12">'PR_Overall Performance_6'!$A$1:$P$31</definedName>
    <definedName name="_xlnm.Print_Area" localSheetId="6">'PR_Procurement Info_4'!$A$1:$L$16</definedName>
    <definedName name="_xlnm.Print_Area" localSheetId="1">'PR_Programmatic Progress_1A'!$A$1:$P$36</definedName>
    <definedName name="_xlnm.Print_Area" localSheetId="2">'PR_Programmatic Progress_1B'!$A$1:$P$36</definedName>
    <definedName name="_xlnm.Print_Area" localSheetId="4">'PR_Total PR Cash Outflow_3A'!$A$1:$K$19</definedName>
    <definedName name="_xlnm.Print_Titles" localSheetId="30">'LFA_Annex-SR Financials'!$14:$14</definedName>
    <definedName name="_xlnm.Print_Titles" localSheetId="24">'LFA_Cash Reconciliation_5A'!$8:$13</definedName>
    <definedName name="_xlnm.Print_Titles" localSheetId="25">'LFA_Disbursement Recommend_5B'!$9:$9</definedName>
    <definedName name="_xlnm.Print_Titles" localSheetId="28">LFA_DisbursementRecommendation7!$16:$16</definedName>
    <definedName name="_xlnm.Print_Titles" localSheetId="23">'LFA_Findings&amp;Recommendations'!$9:$13</definedName>
    <definedName name="_xlnm.Print_Titles" localSheetId="19">'LFA_Grant Management_2'!$8:$8</definedName>
    <definedName name="_xlnm.Print_Titles" localSheetId="27">'LFA_Overall Performance_6'!$8:$8</definedName>
    <definedName name="_xlnm.Print_Titles" localSheetId="22">'LFA_Procurement Info_4'!$8:$8</definedName>
    <definedName name="_xlnm.Print_Titles" localSheetId="17">'LFA_Programmatic Progress_1A'!$22:$26</definedName>
    <definedName name="_xlnm.Print_Titles" localSheetId="15">'PR_Annex_SR-Financials'!$14:$14</definedName>
    <definedName name="_xlnm.Print_Titles" localSheetId="3">'PR_Grant Management_2'!$8:$8</definedName>
    <definedName name="_xlnm.Print_Titles" localSheetId="1">'PR_Programmatic Progress_1A'!$22:$26</definedName>
    <definedName name="_xlnm.Print_Titles" localSheetId="4">'PR_Total PR Cash Outflow_3A'!$9:$10</definedName>
    <definedName name="PS">'Memo HIV'!$F$5</definedName>
    <definedName name="SD" localSheetId="31">#REF!</definedName>
    <definedName name="SD">#REF!</definedName>
    <definedName name="SDA" localSheetId="31">#REF!</definedName>
    <definedName name="SDA">#REF!</definedName>
    <definedName name="SDAList">'Memo Malaria'!$A$3:$A$20</definedName>
    <definedName name="Select">'Memo HIV'!$J$2:$J$3</definedName>
    <definedName name="Sources" localSheetId="14">#REF!</definedName>
    <definedName name="Sources">#REF!</definedName>
    <definedName name="TBII">'Memo TB'!$B$2:$B$5</definedName>
    <definedName name="TBOI">'Memo TB'!$D$2:$D$5</definedName>
    <definedName name="TBSDA">'Memo TB'!$A$2:$A$15</definedName>
    <definedName name="TBSource">'Memo TB'!$E$2:$E$25</definedName>
    <definedName name="TEST" localSheetId="21">#REF!</definedName>
    <definedName name="TEST" localSheetId="14">'[2]LFA_Programmatic Progress_1A'!#REF!</definedName>
    <definedName name="TEST" localSheetId="2">'PR_Programmatic Progress_1B'!$C$12:$C$31</definedName>
    <definedName name="TEST" localSheetId="4">#REF!</definedName>
    <definedName name="TEST">'LFA_Programmatic Progress_1A'!#REF!</definedName>
    <definedName name="Timeframe" localSheetId="14">#REF!</definedName>
    <definedName name="Timeframe">#REF!</definedName>
    <definedName name="Z_E26F941C_F347_432D_B4B3_73B25F002075_.wvu.Cols" localSheetId="28" hidden="1">LFA_DisbursementRecommendation7!#REF!</definedName>
    <definedName name="Z_E26F941C_F347_432D_B4B3_73B25F002075_.wvu.Cols" localSheetId="19" hidden="1">'LFA_Grant Management_2'!$G:$H,'LFA_Grant Management_2'!#REF!</definedName>
    <definedName name="Z_E26F941C_F347_432D_B4B3_73B25F002075_.wvu.Cols" localSheetId="17" hidden="1">'LFA_Programmatic Progress_1A'!#REF!</definedName>
    <definedName name="Z_E26F941C_F347_432D_B4B3_73B25F002075_.wvu.Cols" localSheetId="18" hidden="1">'LFA_Programmatic Progress_1B'!#REF!</definedName>
    <definedName name="Z_E26F941C_F347_432D_B4B3_73B25F002075_.wvu.Cols" localSheetId="20" hidden="1">'LFA_Total PR Cash Outflow_3A'!#REF!</definedName>
    <definedName name="Z_E26F941C_F347_432D_B4B3_73B25F002075_.wvu.Cols" localSheetId="32" hidden="1">'Memo HIV'!$C:$C,'Memo HIV'!$F:$F</definedName>
    <definedName name="Z_E26F941C_F347_432D_B4B3_73B25F002075_.wvu.Cols" localSheetId="34" hidden="1">'Memo Malaria'!$C:$C</definedName>
    <definedName name="Z_E26F941C_F347_432D_B4B3_73B25F002075_.wvu.Cols" localSheetId="33" hidden="1">'Memo TB'!$C:$C</definedName>
    <definedName name="Z_E26F941C_F347_432D_B4B3_73B25F002075_.wvu.PrintArea" localSheetId="0" hidden="1">'Cover Sheet'!$A$1:$A$17</definedName>
    <definedName name="Z_E26F941C_F347_432D_B4B3_73B25F002075_.wvu.PrintArea" localSheetId="28" hidden="1">LFA_DisbursementRecommendation7!$A$1:$J$61</definedName>
    <definedName name="Z_E26F941C_F347_432D_B4B3_73B25F002075_.wvu.PrintArea" localSheetId="19" hidden="1">'LFA_Grant Management_2'!$A$1:$L$50</definedName>
    <definedName name="Z_E26F941C_F347_432D_B4B3_73B25F002075_.wvu.PrintArea" localSheetId="27" hidden="1">'LFA_Overall Performance_6'!$A$1:$K$22</definedName>
    <definedName name="Z_E26F941C_F347_432D_B4B3_73B25F002075_.wvu.PrintArea" localSheetId="17" hidden="1">'LFA_Programmatic Progress_1A'!$A$1:$R$36</definedName>
    <definedName name="Z_E26F941C_F347_432D_B4B3_73B25F002075_.wvu.PrintArea" localSheetId="18" hidden="1">'LFA_Programmatic Progress_1B'!$A$1:$O$37</definedName>
    <definedName name="Z_E26F941C_F347_432D_B4B3_73B25F002075_.wvu.PrintArea" localSheetId="20" hidden="1">'LFA_Total PR Cash Outflow_3A'!$A$1:$L$23</definedName>
    <definedName name="Z_E26F941C_F347_432D_B4B3_73B25F002075_.wvu.PrintArea" localSheetId="32" hidden="1">'Memo HIV'!$A$1:$J$32</definedName>
    <definedName name="Z_E26F941C_F347_432D_B4B3_73B25F002075_.wvu.PrintArea" localSheetId="34" hidden="1">'Memo Malaria'!$A$1:$F$25</definedName>
    <definedName name="Z_E26F941C_F347_432D_B4B3_73B25F002075_.wvu.PrintArea" localSheetId="33" hidden="1">'Memo TB'!$A$1:$F$15</definedName>
    <definedName name="Z_E26F941C_F347_432D_B4B3_73B25F002075_.wvu.PrintArea" localSheetId="13" hidden="1">'PR_Cash Request_7A&amp;B'!$A$1:$M$36</definedName>
    <definedName name="Z_E26F941C_F347_432D_B4B3_73B25F002075_.wvu.PrintArea" localSheetId="1" hidden="1">'PR_Programmatic Progress_1A'!$A$1:$P$36</definedName>
    <definedName name="Z_E26F941C_F347_432D_B4B3_73B25F002075_.wvu.PrintArea" localSheetId="2" hidden="1">'PR_Programmatic Progress_1B'!$A$1:$Q$30</definedName>
    <definedName name="Z_E26F941C_F347_432D_B4B3_73B25F002075_.wvu.PrintArea" localSheetId="4" hidden="1">'PR_Total PR Cash Outflow_3A'!$A$1:$J$20</definedName>
    <definedName name="Z_E26F941C_F347_432D_B4B3_73B25F002075_.wvu.Rows" localSheetId="34" hidden="1">'Memo Malaria'!$2:$2</definedName>
    <definedName name="Z_E26F941C_F347_432D_B4B3_73B25F002075_.wvu.Rows" localSheetId="33" hidden="1">'Memo TB'!$2:$2</definedName>
    <definedName name="Z_E26F941C_F347_432D_B4B3_73B25F002075_.wvu.Rows" localSheetId="1" hidden="1">'PR_Programmatic Progress_1A'!$2:$3</definedName>
  </definedNames>
  <calcPr calcId="144525"/>
  <customWorkbookViews>
    <customWorkbookView name="jinfanti - Personal View" guid="{E26F941C-F347-432D-B4B3-73B25F002075}" autoUpdate="1" mergeInterval="5" personalView="1" maximized="1" xWindow="1" yWindow="1" windowWidth="1280" windowHeight="803" tabRatio="792" activeSheetId="2" showComments="commIndAndComment"/>
  </customWorkbookViews>
</workbook>
</file>

<file path=xl/calcChain.xml><?xml version="1.0" encoding="utf-8"?>
<calcChain xmlns="http://schemas.openxmlformats.org/spreadsheetml/2006/main">
  <c r="N18" i="36" l="1"/>
  <c r="N16" i="36"/>
  <c r="G18" i="65"/>
  <c r="G14" i="65"/>
  <c r="G4" i="65"/>
  <c r="G16" i="65" s="1"/>
  <c r="K22" i="64"/>
  <c r="M24" i="64"/>
  <c r="M19" i="64"/>
  <c r="D7" i="64"/>
  <c r="D6" i="64"/>
  <c r="G5" i="64"/>
  <c r="E5" i="64"/>
  <c r="G4" i="64"/>
  <c r="E4" i="64"/>
  <c r="D3" i="64"/>
  <c r="G20" i="65" l="1"/>
  <c r="M26" i="64"/>
  <c r="K22" i="63" l="1"/>
  <c r="M24" i="63" s="1"/>
  <c r="M19" i="63"/>
  <c r="D7" i="63"/>
  <c r="D6" i="63"/>
  <c r="G5" i="63"/>
  <c r="E5" i="63"/>
  <c r="G4" i="63"/>
  <c r="E4" i="63"/>
  <c r="D3" i="63"/>
  <c r="M26" i="63" l="1"/>
  <c r="D19" i="33" l="1"/>
  <c r="D18" i="33" l="1"/>
  <c r="N15" i="3"/>
  <c r="N14" i="3"/>
  <c r="N13" i="3"/>
  <c r="N12" i="3"/>
  <c r="D57" i="11" l="1"/>
  <c r="D34" i="16" l="1"/>
  <c r="I16" i="37" l="1"/>
  <c r="F20" i="37" s="1"/>
  <c r="I20" i="37" s="1"/>
  <c r="F26" i="37" s="1"/>
  <c r="F16" i="37"/>
  <c r="A30" i="39"/>
  <c r="E16" i="36"/>
  <c r="H16" i="36"/>
  <c r="E18" i="36" s="1"/>
  <c r="H18" i="36" s="1"/>
  <c r="E22" i="36" s="1"/>
  <c r="D75" i="57"/>
  <c r="E11" i="42"/>
  <c r="F7" i="37"/>
  <c r="D10" i="50"/>
  <c r="C7" i="12"/>
  <c r="D7" i="36"/>
  <c r="D7" i="34"/>
  <c r="D7" i="33"/>
  <c r="D6" i="33"/>
  <c r="C19" i="16"/>
  <c r="H33" i="37"/>
  <c r="D25" i="11"/>
  <c r="A25" i="11"/>
  <c r="M16" i="37"/>
  <c r="R24" i="37"/>
  <c r="S20" i="36"/>
  <c r="P26" i="37"/>
  <c r="M26" i="37"/>
  <c r="F50" i="37"/>
  <c r="F52" i="37"/>
  <c r="F54" i="37"/>
  <c r="A41" i="11"/>
  <c r="A42" i="11"/>
  <c r="A43" i="11"/>
  <c r="A44" i="11"/>
  <c r="A45" i="11"/>
  <c r="A46" i="11"/>
  <c r="A48" i="11"/>
  <c r="A49" i="11"/>
  <c r="A50" i="11"/>
  <c r="D23" i="11"/>
  <c r="D24" i="11"/>
  <c r="D26" i="11"/>
  <c r="D28" i="11"/>
  <c r="D29" i="11"/>
  <c r="D30" i="11"/>
  <c r="A23" i="11"/>
  <c r="A24" i="11"/>
  <c r="A26" i="11"/>
  <c r="A27" i="11"/>
  <c r="A28" i="11"/>
  <c r="A29" i="11"/>
  <c r="A30" i="11"/>
  <c r="AD28" i="9"/>
  <c r="J28" i="9" s="1"/>
  <c r="AD29" i="9"/>
  <c r="AD30" i="9"/>
  <c r="J30" i="9" s="1"/>
  <c r="AD31" i="9"/>
  <c r="J31" i="9" s="1"/>
  <c r="AD32" i="9"/>
  <c r="J32" i="9" s="1"/>
  <c r="AD33" i="9"/>
  <c r="AD34" i="9"/>
  <c r="J34" i="9" s="1"/>
  <c r="AD35" i="9"/>
  <c r="J35" i="9" s="1"/>
  <c r="AD36" i="9"/>
  <c r="J36" i="9" s="1"/>
  <c r="AD27" i="9"/>
  <c r="J27" i="9" s="1"/>
  <c r="N16" i="42"/>
  <c r="N23" i="42"/>
  <c r="AI16" i="43"/>
  <c r="P16" i="43" s="1"/>
  <c r="AI17" i="43"/>
  <c r="P17" i="43" s="1"/>
  <c r="AI18" i="43"/>
  <c r="P18" i="43" s="1"/>
  <c r="AI19" i="43"/>
  <c r="P19" i="43" s="1"/>
  <c r="AI20" i="43"/>
  <c r="P20" i="43" s="1"/>
  <c r="AI21" i="43"/>
  <c r="P21" i="43" s="1"/>
  <c r="AI22" i="43"/>
  <c r="P22" i="43" s="1"/>
  <c r="AI23" i="43"/>
  <c r="P23" i="43" s="1"/>
  <c r="AI24" i="43"/>
  <c r="P24" i="43" s="1"/>
  <c r="AI25" i="43"/>
  <c r="P25" i="43" s="1"/>
  <c r="AI26" i="43"/>
  <c r="P26" i="43" s="1"/>
  <c r="AI27" i="43"/>
  <c r="P27" i="43" s="1"/>
  <c r="AI28" i="43"/>
  <c r="P28" i="43" s="1"/>
  <c r="AI29" i="43"/>
  <c r="P29" i="43" s="1"/>
  <c r="AI30" i="43"/>
  <c r="P30" i="43" s="1"/>
  <c r="AI31" i="43"/>
  <c r="P31" i="43" s="1"/>
  <c r="AI32" i="43"/>
  <c r="P32" i="43" s="1"/>
  <c r="AI33" i="43"/>
  <c r="P33" i="43" s="1"/>
  <c r="AI34" i="43"/>
  <c r="P34" i="43" s="1"/>
  <c r="AI15" i="43"/>
  <c r="P15" i="43" s="1"/>
  <c r="AF16" i="43"/>
  <c r="AF17" i="43"/>
  <c r="M17" i="43" s="1"/>
  <c r="AF18" i="43"/>
  <c r="M18" i="43" s="1"/>
  <c r="AF19" i="43"/>
  <c r="M19" i="43" s="1"/>
  <c r="AF20" i="43"/>
  <c r="M20" i="43" s="1"/>
  <c r="AF21" i="43"/>
  <c r="M21" i="43" s="1"/>
  <c r="AF22" i="43"/>
  <c r="M22" i="43" s="1"/>
  <c r="AF23" i="43"/>
  <c r="M23" i="43" s="1"/>
  <c r="AF24" i="43"/>
  <c r="M24" i="43" s="1"/>
  <c r="AF25" i="43"/>
  <c r="M25" i="43" s="1"/>
  <c r="AF26" i="43"/>
  <c r="M26" i="43" s="1"/>
  <c r="AF27" i="43"/>
  <c r="M27" i="43" s="1"/>
  <c r="AF28" i="43"/>
  <c r="M28" i="43" s="1"/>
  <c r="AF29" i="43"/>
  <c r="M29" i="43" s="1"/>
  <c r="AF30" i="43"/>
  <c r="M30" i="43" s="1"/>
  <c r="AF31" i="43"/>
  <c r="M31" i="43" s="1"/>
  <c r="AF32" i="43"/>
  <c r="M32" i="43" s="1"/>
  <c r="AF33" i="43"/>
  <c r="M33" i="43" s="1"/>
  <c r="AF34" i="43"/>
  <c r="M34" i="43" s="1"/>
  <c r="AF15" i="43"/>
  <c r="AE16" i="43"/>
  <c r="L16" i="43" s="1"/>
  <c r="AE17" i="43"/>
  <c r="L17" i="43" s="1"/>
  <c r="AE18" i="43"/>
  <c r="L18" i="43" s="1"/>
  <c r="AE19" i="43"/>
  <c r="L19" i="43" s="1"/>
  <c r="AE20" i="43"/>
  <c r="L20" i="43" s="1"/>
  <c r="AE21" i="43"/>
  <c r="L21" i="43" s="1"/>
  <c r="AE22" i="43"/>
  <c r="L22" i="43" s="1"/>
  <c r="AE23" i="43"/>
  <c r="L23" i="43" s="1"/>
  <c r="AE24" i="43"/>
  <c r="L24" i="43" s="1"/>
  <c r="AE25" i="43"/>
  <c r="L25" i="43" s="1"/>
  <c r="AE26" i="43"/>
  <c r="L26" i="43" s="1"/>
  <c r="AE27" i="43"/>
  <c r="L27" i="43" s="1"/>
  <c r="AE28" i="43"/>
  <c r="L28" i="43" s="1"/>
  <c r="AE29" i="43"/>
  <c r="L29" i="43" s="1"/>
  <c r="AE30" i="43"/>
  <c r="L30" i="43" s="1"/>
  <c r="AE31" i="43"/>
  <c r="L31" i="43" s="1"/>
  <c r="AE32" i="43"/>
  <c r="L32" i="43" s="1"/>
  <c r="AE33" i="43"/>
  <c r="L33" i="43" s="1"/>
  <c r="AE34" i="43"/>
  <c r="AE15" i="43"/>
  <c r="L15" i="43" s="1"/>
  <c r="AC16" i="43"/>
  <c r="J16" i="43" s="1"/>
  <c r="AC17" i="43"/>
  <c r="J17" i="43" s="1"/>
  <c r="AC18" i="43"/>
  <c r="J18" i="43" s="1"/>
  <c r="AC19" i="43"/>
  <c r="J19" i="43" s="1"/>
  <c r="AC20" i="43"/>
  <c r="J20" i="43" s="1"/>
  <c r="AC21" i="43"/>
  <c r="J21" i="43" s="1"/>
  <c r="AC22" i="43"/>
  <c r="J22" i="43" s="1"/>
  <c r="AC23" i="43"/>
  <c r="J23" i="43" s="1"/>
  <c r="AC24" i="43"/>
  <c r="J24" i="43" s="1"/>
  <c r="AC25" i="43"/>
  <c r="J25" i="43" s="1"/>
  <c r="AC26" i="43"/>
  <c r="J26" i="43" s="1"/>
  <c r="AC27" i="43"/>
  <c r="J27" i="43" s="1"/>
  <c r="AC28" i="43"/>
  <c r="J28" i="43" s="1"/>
  <c r="AC29" i="43"/>
  <c r="J29" i="43" s="1"/>
  <c r="AC30" i="43"/>
  <c r="J30" i="43" s="1"/>
  <c r="AC31" i="43"/>
  <c r="J31" i="43" s="1"/>
  <c r="AC32" i="43"/>
  <c r="J32" i="43" s="1"/>
  <c r="AC33" i="43"/>
  <c r="J33" i="43" s="1"/>
  <c r="AC34" i="43"/>
  <c r="J34" i="43" s="1"/>
  <c r="AC15" i="43"/>
  <c r="J15" i="43" s="1"/>
  <c r="AB16" i="43"/>
  <c r="I16" i="43" s="1"/>
  <c r="AB17" i="43"/>
  <c r="I17" i="43" s="1"/>
  <c r="N17" i="43" s="1"/>
  <c r="AB18" i="43"/>
  <c r="I18" i="43" s="1"/>
  <c r="AB19" i="43"/>
  <c r="I19" i="43" s="1"/>
  <c r="N19" i="43" s="1"/>
  <c r="AB20" i="43"/>
  <c r="I20" i="43" s="1"/>
  <c r="AB21" i="43"/>
  <c r="I21" i="43" s="1"/>
  <c r="AB22" i="43"/>
  <c r="I22" i="43" s="1"/>
  <c r="AB23" i="43"/>
  <c r="I23" i="43" s="1"/>
  <c r="AB24" i="43"/>
  <c r="I24" i="43" s="1"/>
  <c r="AB25" i="43"/>
  <c r="I25" i="43" s="1"/>
  <c r="AB26" i="43"/>
  <c r="I26" i="43" s="1"/>
  <c r="AB27" i="43"/>
  <c r="I27" i="43" s="1"/>
  <c r="AB28" i="43"/>
  <c r="I28" i="43" s="1"/>
  <c r="AB29" i="43"/>
  <c r="I29" i="43" s="1"/>
  <c r="AB30" i="43"/>
  <c r="I30" i="43" s="1"/>
  <c r="AB31" i="43"/>
  <c r="I31" i="43" s="1"/>
  <c r="AB32" i="43"/>
  <c r="I32" i="43" s="1"/>
  <c r="AB33" i="43"/>
  <c r="I33" i="43" s="1"/>
  <c r="AB34" i="43"/>
  <c r="I34" i="43" s="1"/>
  <c r="N34" i="43" s="1"/>
  <c r="AB15" i="43"/>
  <c r="I15" i="43" s="1"/>
  <c r="Z16" i="43"/>
  <c r="G16" i="43" s="1"/>
  <c r="Z17" i="43"/>
  <c r="G17" i="43" s="1"/>
  <c r="Z18" i="43"/>
  <c r="G18" i="43" s="1"/>
  <c r="Z19" i="43"/>
  <c r="G19" i="43" s="1"/>
  <c r="Z20" i="43"/>
  <c r="G20" i="43" s="1"/>
  <c r="Z21" i="43"/>
  <c r="G21" i="43" s="1"/>
  <c r="Z22" i="43"/>
  <c r="G22" i="43" s="1"/>
  <c r="Z23" i="43"/>
  <c r="G23" i="43" s="1"/>
  <c r="Z24" i="43"/>
  <c r="G24" i="43" s="1"/>
  <c r="Z25" i="43"/>
  <c r="G25" i="43" s="1"/>
  <c r="Z26" i="43"/>
  <c r="G26" i="43" s="1"/>
  <c r="Z27" i="43"/>
  <c r="G27" i="43" s="1"/>
  <c r="Z28" i="43"/>
  <c r="G28" i="43" s="1"/>
  <c r="Z29" i="43"/>
  <c r="G29" i="43" s="1"/>
  <c r="Z30" i="43"/>
  <c r="G30" i="43" s="1"/>
  <c r="Z31" i="43"/>
  <c r="G31" i="43" s="1"/>
  <c r="Z32" i="43"/>
  <c r="G32" i="43" s="1"/>
  <c r="Z33" i="43"/>
  <c r="G33" i="43" s="1"/>
  <c r="Z34" i="43"/>
  <c r="G34" i="43" s="1"/>
  <c r="Z15" i="43"/>
  <c r="G15" i="43" s="1"/>
  <c r="Y16" i="43"/>
  <c r="F16" i="43" s="1"/>
  <c r="Y17" i="43"/>
  <c r="F17" i="43" s="1"/>
  <c r="Y18" i="43"/>
  <c r="F18" i="43" s="1"/>
  <c r="Y19" i="43"/>
  <c r="F19" i="43" s="1"/>
  <c r="Y20" i="43"/>
  <c r="F20" i="43" s="1"/>
  <c r="Y21" i="43"/>
  <c r="F21" i="43" s="1"/>
  <c r="Y22" i="43"/>
  <c r="F22" i="43" s="1"/>
  <c r="Y23" i="43"/>
  <c r="F23" i="43" s="1"/>
  <c r="Y24" i="43"/>
  <c r="F24" i="43" s="1"/>
  <c r="Y25" i="43"/>
  <c r="F25" i="43" s="1"/>
  <c r="Y26" i="43"/>
  <c r="F26" i="43" s="1"/>
  <c r="Y27" i="43"/>
  <c r="F27" i="43" s="1"/>
  <c r="Y28" i="43"/>
  <c r="F28" i="43" s="1"/>
  <c r="Y29" i="43"/>
  <c r="F29" i="43" s="1"/>
  <c r="Y30" i="43"/>
  <c r="F30" i="43" s="1"/>
  <c r="Y31" i="43"/>
  <c r="F31" i="43" s="1"/>
  <c r="Y32" i="43"/>
  <c r="F32" i="43" s="1"/>
  <c r="Y33" i="43"/>
  <c r="F33" i="43" s="1"/>
  <c r="Y34" i="43"/>
  <c r="F34" i="43" s="1"/>
  <c r="Y15" i="43"/>
  <c r="F15" i="43" s="1"/>
  <c r="U16" i="43"/>
  <c r="B16" i="43" s="1"/>
  <c r="V16" i="43"/>
  <c r="W16" i="43"/>
  <c r="D16" i="43" s="1"/>
  <c r="U17" i="43"/>
  <c r="B17" i="43" s="1"/>
  <c r="V17" i="43"/>
  <c r="W17" i="43"/>
  <c r="D17" i="43" s="1"/>
  <c r="U18" i="43"/>
  <c r="B18" i="43" s="1"/>
  <c r="V18" i="43"/>
  <c r="W18" i="43"/>
  <c r="D18" i="43" s="1"/>
  <c r="U19" i="43"/>
  <c r="B19" i="43" s="1"/>
  <c r="V19" i="43"/>
  <c r="W19" i="43"/>
  <c r="D19" i="43" s="1"/>
  <c r="U20" i="43"/>
  <c r="B20" i="43" s="1"/>
  <c r="V20" i="43"/>
  <c r="W20" i="43"/>
  <c r="D20" i="43" s="1"/>
  <c r="U21" i="43"/>
  <c r="B21" i="43" s="1"/>
  <c r="V21" i="43"/>
  <c r="W21" i="43"/>
  <c r="D21" i="43" s="1"/>
  <c r="U22" i="43"/>
  <c r="B22" i="43" s="1"/>
  <c r="V22" i="43"/>
  <c r="W22" i="43"/>
  <c r="D22" i="43" s="1"/>
  <c r="U23" i="43"/>
  <c r="B23" i="43" s="1"/>
  <c r="V23" i="43"/>
  <c r="W23" i="43"/>
  <c r="D23" i="43" s="1"/>
  <c r="U24" i="43"/>
  <c r="B24" i="43" s="1"/>
  <c r="V24" i="43"/>
  <c r="W24" i="43"/>
  <c r="D24" i="43" s="1"/>
  <c r="U25" i="43"/>
  <c r="B25" i="43" s="1"/>
  <c r="V25" i="43"/>
  <c r="W25" i="43"/>
  <c r="D25" i="43" s="1"/>
  <c r="U26" i="43"/>
  <c r="B26" i="43" s="1"/>
  <c r="V26" i="43"/>
  <c r="W26" i="43"/>
  <c r="D26" i="43" s="1"/>
  <c r="U27" i="43"/>
  <c r="B27" i="43" s="1"/>
  <c r="V27" i="43"/>
  <c r="W27" i="43"/>
  <c r="D27" i="43" s="1"/>
  <c r="U28" i="43"/>
  <c r="B28" i="43" s="1"/>
  <c r="V28" i="43"/>
  <c r="W28" i="43"/>
  <c r="D28" i="43" s="1"/>
  <c r="U29" i="43"/>
  <c r="B29" i="43" s="1"/>
  <c r="V29" i="43"/>
  <c r="W29" i="43"/>
  <c r="D29" i="43" s="1"/>
  <c r="U30" i="43"/>
  <c r="B30" i="43" s="1"/>
  <c r="V30" i="43"/>
  <c r="W30" i="43"/>
  <c r="D30" i="43" s="1"/>
  <c r="U31" i="43"/>
  <c r="B31" i="43" s="1"/>
  <c r="V31" i="43"/>
  <c r="W31" i="43"/>
  <c r="D31" i="43" s="1"/>
  <c r="U32" i="43"/>
  <c r="B32" i="43" s="1"/>
  <c r="V32" i="43"/>
  <c r="W32" i="43"/>
  <c r="D32" i="43" s="1"/>
  <c r="U33" i="43"/>
  <c r="B33" i="43" s="1"/>
  <c r="V33" i="43"/>
  <c r="W33" i="43"/>
  <c r="D33" i="43" s="1"/>
  <c r="U34" i="43"/>
  <c r="B34" i="43" s="1"/>
  <c r="V34" i="43"/>
  <c r="W34" i="43"/>
  <c r="D34" i="43" s="1"/>
  <c r="V15" i="43"/>
  <c r="C15" i="43" s="1"/>
  <c r="W15" i="43"/>
  <c r="D15" i="43" s="1"/>
  <c r="U15" i="43"/>
  <c r="B15" i="43" s="1"/>
  <c r="AG34" i="43"/>
  <c r="AG33" i="43"/>
  <c r="AG32" i="43"/>
  <c r="AG31" i="43"/>
  <c r="AG28" i="43"/>
  <c r="AG24" i="43"/>
  <c r="AG21" i="43"/>
  <c r="AG18" i="43"/>
  <c r="I36" i="42"/>
  <c r="O81" i="51"/>
  <c r="F81" i="51" s="1"/>
  <c r="O79" i="51"/>
  <c r="O77" i="51"/>
  <c r="F77" i="51" s="1"/>
  <c r="O75" i="51"/>
  <c r="F75" i="51" s="1"/>
  <c r="O73" i="51"/>
  <c r="O71" i="51"/>
  <c r="F71" i="51" s="1"/>
  <c r="O69" i="51"/>
  <c r="F69" i="51" s="1"/>
  <c r="O65" i="51"/>
  <c r="O63" i="51"/>
  <c r="F63" i="51" s="1"/>
  <c r="O61" i="51"/>
  <c r="F61" i="51" s="1"/>
  <c r="O59" i="51"/>
  <c r="F59" i="51" s="1"/>
  <c r="O57" i="51"/>
  <c r="O55" i="51"/>
  <c r="F55" i="51" s="1"/>
  <c r="O53" i="51"/>
  <c r="F53" i="51" s="1"/>
  <c r="O48" i="51"/>
  <c r="F48" i="51" s="1"/>
  <c r="O46" i="51"/>
  <c r="O44" i="51"/>
  <c r="F44" i="51" s="1"/>
  <c r="O42" i="51"/>
  <c r="F42" i="51" s="1"/>
  <c r="O40" i="51"/>
  <c r="F40" i="51" s="1"/>
  <c r="O38" i="51"/>
  <c r="O36" i="51"/>
  <c r="F36" i="51" s="1"/>
  <c r="L79" i="51"/>
  <c r="C79" i="51" s="1"/>
  <c r="L77" i="51"/>
  <c r="C77" i="51" s="1"/>
  <c r="L75" i="51"/>
  <c r="C75" i="51" s="1"/>
  <c r="L73" i="51"/>
  <c r="L71" i="51"/>
  <c r="C71" i="51" s="1"/>
  <c r="L69" i="51"/>
  <c r="L15" i="51" s="1"/>
  <c r="L63" i="51"/>
  <c r="C63" i="51" s="1"/>
  <c r="L61" i="51"/>
  <c r="C61" i="51" s="1"/>
  <c r="L59" i="51"/>
  <c r="C59" i="51" s="1"/>
  <c r="L57" i="51"/>
  <c r="L55" i="51"/>
  <c r="C55" i="51" s="1"/>
  <c r="L53" i="51"/>
  <c r="C53" i="51" s="1"/>
  <c r="C14" i="51" s="1"/>
  <c r="L46" i="51"/>
  <c r="C46" i="51" s="1"/>
  <c r="L44" i="51"/>
  <c r="C44" i="51" s="1"/>
  <c r="L42" i="51"/>
  <c r="L40" i="51"/>
  <c r="L38" i="51"/>
  <c r="L36" i="51"/>
  <c r="O32" i="51"/>
  <c r="F32" i="51" s="1"/>
  <c r="O30" i="51"/>
  <c r="F30" i="51" s="1"/>
  <c r="O28" i="51"/>
  <c r="F28" i="51" s="1"/>
  <c r="O26" i="51"/>
  <c r="O24" i="51"/>
  <c r="O22" i="51"/>
  <c r="O20" i="51"/>
  <c r="L30" i="51"/>
  <c r="C30" i="51" s="1"/>
  <c r="L28" i="51"/>
  <c r="C28" i="51" s="1"/>
  <c r="L26" i="51"/>
  <c r="L24" i="51"/>
  <c r="L22" i="51"/>
  <c r="L20" i="51"/>
  <c r="L12" i="51" s="1"/>
  <c r="AG15" i="43"/>
  <c r="F73" i="51"/>
  <c r="F79" i="51"/>
  <c r="F65" i="51"/>
  <c r="F57" i="51"/>
  <c r="F46" i="51"/>
  <c r="F38" i="51"/>
  <c r="C57" i="51"/>
  <c r="C13" i="51"/>
  <c r="L13" i="51"/>
  <c r="D12" i="45"/>
  <c r="W23" i="57"/>
  <c r="S23" i="57"/>
  <c r="R23" i="57"/>
  <c r="X22" i="57"/>
  <c r="W22" i="57"/>
  <c r="S22" i="57"/>
  <c r="R22" i="57"/>
  <c r="X18" i="57"/>
  <c r="W18" i="57"/>
  <c r="S18" i="57"/>
  <c r="R18" i="57"/>
  <c r="X17" i="57"/>
  <c r="W17" i="57"/>
  <c r="S17" i="57"/>
  <c r="S16" i="57" s="1"/>
  <c r="R17" i="57"/>
  <c r="X16" i="57"/>
  <c r="P15" i="57"/>
  <c r="V19" i="12"/>
  <c r="I19" i="12" s="1"/>
  <c r="U20" i="12"/>
  <c r="H20" i="12" s="1"/>
  <c r="U19" i="12"/>
  <c r="H19" i="12" s="1"/>
  <c r="Q19" i="12"/>
  <c r="D19" i="12" s="1"/>
  <c r="Q20" i="12"/>
  <c r="D20" i="12" s="1"/>
  <c r="P20" i="12"/>
  <c r="C20" i="12" s="1"/>
  <c r="P19" i="12"/>
  <c r="C19" i="12" s="1"/>
  <c r="V14" i="12"/>
  <c r="I14" i="12" s="1"/>
  <c r="V15" i="12"/>
  <c r="I15" i="12" s="1"/>
  <c r="U15" i="12"/>
  <c r="H15" i="12" s="1"/>
  <c r="U14" i="12"/>
  <c r="H14" i="12" s="1"/>
  <c r="Q14" i="12"/>
  <c r="D14" i="12" s="1"/>
  <c r="Q15" i="12"/>
  <c r="D15" i="12" s="1"/>
  <c r="P15" i="12"/>
  <c r="C15" i="12" s="1"/>
  <c r="P14" i="12"/>
  <c r="N12" i="12"/>
  <c r="AH13" i="10"/>
  <c r="L13" i="10" s="1"/>
  <c r="AH14" i="10"/>
  <c r="L14" i="10" s="1"/>
  <c r="AH15" i="10"/>
  <c r="L15" i="10" s="1"/>
  <c r="AH16" i="10"/>
  <c r="L16" i="10" s="1"/>
  <c r="AH17" i="10"/>
  <c r="L17" i="10" s="1"/>
  <c r="AH18" i="10"/>
  <c r="L18" i="10" s="1"/>
  <c r="AH19" i="10"/>
  <c r="L19" i="10" s="1"/>
  <c r="AH20" i="10"/>
  <c r="L20" i="10" s="1"/>
  <c r="AH21" i="10"/>
  <c r="L21" i="10" s="1"/>
  <c r="AH22" i="10"/>
  <c r="L22" i="10" s="1"/>
  <c r="AH23" i="10"/>
  <c r="L23" i="10" s="1"/>
  <c r="AH24" i="10"/>
  <c r="L24" i="10" s="1"/>
  <c r="AH25" i="10"/>
  <c r="L25" i="10" s="1"/>
  <c r="AH26" i="10"/>
  <c r="L26" i="10" s="1"/>
  <c r="AH27" i="10"/>
  <c r="L27" i="10" s="1"/>
  <c r="AH28" i="10"/>
  <c r="L28" i="10" s="1"/>
  <c r="AH29" i="10"/>
  <c r="L29" i="10" s="1"/>
  <c r="AH30" i="10"/>
  <c r="L30" i="10" s="1"/>
  <c r="AH31" i="10"/>
  <c r="L31" i="10" s="1"/>
  <c r="AH33" i="10"/>
  <c r="L33" i="10" s="1"/>
  <c r="AH34" i="10"/>
  <c r="L34" i="10" s="1"/>
  <c r="AH35" i="10"/>
  <c r="L35" i="10" s="1"/>
  <c r="AH36" i="10"/>
  <c r="L36" i="10" s="1"/>
  <c r="AH37" i="10"/>
  <c r="L37" i="10" s="1"/>
  <c r="AH12" i="10"/>
  <c r="L12" i="10" s="1"/>
  <c r="AG13" i="10"/>
  <c r="K13" i="10" s="1"/>
  <c r="AG14" i="10"/>
  <c r="K14" i="10" s="1"/>
  <c r="AG15" i="10"/>
  <c r="K15" i="10" s="1"/>
  <c r="AG16" i="10"/>
  <c r="K16" i="10" s="1"/>
  <c r="AG17" i="10"/>
  <c r="K17" i="10" s="1"/>
  <c r="AG18" i="10"/>
  <c r="K18" i="10" s="1"/>
  <c r="AG19" i="10"/>
  <c r="K19" i="10" s="1"/>
  <c r="AG20" i="10"/>
  <c r="K20" i="10" s="1"/>
  <c r="AG21" i="10"/>
  <c r="K21" i="10" s="1"/>
  <c r="AG22" i="10"/>
  <c r="K22" i="10" s="1"/>
  <c r="AG23" i="10"/>
  <c r="K23" i="10" s="1"/>
  <c r="AG24" i="10"/>
  <c r="K24" i="10" s="1"/>
  <c r="AG25" i="10"/>
  <c r="K25" i="10" s="1"/>
  <c r="AG26" i="10"/>
  <c r="K26" i="10" s="1"/>
  <c r="AG27" i="10"/>
  <c r="K27" i="10" s="1"/>
  <c r="AG28" i="10"/>
  <c r="K28" i="10" s="1"/>
  <c r="AG29" i="10"/>
  <c r="K29" i="10" s="1"/>
  <c r="AG30" i="10"/>
  <c r="K30" i="10" s="1"/>
  <c r="AG31" i="10"/>
  <c r="K31" i="10" s="1"/>
  <c r="AG33" i="10"/>
  <c r="K33" i="10" s="1"/>
  <c r="AG34" i="10"/>
  <c r="K34" i="10" s="1"/>
  <c r="AG35" i="10"/>
  <c r="K35" i="10" s="1"/>
  <c r="AG36" i="10"/>
  <c r="K36" i="10" s="1"/>
  <c r="AG37" i="10"/>
  <c r="K37" i="10" s="1"/>
  <c r="AG12" i="10"/>
  <c r="K12" i="10" s="1"/>
  <c r="AF13" i="10"/>
  <c r="J13" i="10" s="1"/>
  <c r="AF14" i="10"/>
  <c r="J14" i="10" s="1"/>
  <c r="AF15" i="10"/>
  <c r="J15" i="10" s="1"/>
  <c r="AF16" i="10"/>
  <c r="J16" i="10" s="1"/>
  <c r="AF17" i="10"/>
  <c r="J17" i="10" s="1"/>
  <c r="AF18" i="10"/>
  <c r="J18" i="10" s="1"/>
  <c r="AF19" i="10"/>
  <c r="J19" i="10" s="1"/>
  <c r="AF20" i="10"/>
  <c r="J20" i="10" s="1"/>
  <c r="AF21" i="10"/>
  <c r="J21" i="10" s="1"/>
  <c r="AF22" i="10"/>
  <c r="J22" i="10" s="1"/>
  <c r="AF23" i="10"/>
  <c r="J23" i="10" s="1"/>
  <c r="AF24" i="10"/>
  <c r="J24" i="10" s="1"/>
  <c r="AF25" i="10"/>
  <c r="J25" i="10" s="1"/>
  <c r="AF26" i="10"/>
  <c r="J26" i="10" s="1"/>
  <c r="AF27" i="10"/>
  <c r="J27" i="10" s="1"/>
  <c r="AF28" i="10"/>
  <c r="J28" i="10" s="1"/>
  <c r="AF29" i="10"/>
  <c r="J29" i="10" s="1"/>
  <c r="AF30" i="10"/>
  <c r="J30" i="10" s="1"/>
  <c r="AF31" i="10"/>
  <c r="J31" i="10" s="1"/>
  <c r="AF33" i="10"/>
  <c r="J33" i="10" s="1"/>
  <c r="AF34" i="10"/>
  <c r="J34" i="10" s="1"/>
  <c r="AF35" i="10"/>
  <c r="J35" i="10" s="1"/>
  <c r="AF36" i="10"/>
  <c r="J36" i="10" s="1"/>
  <c r="AF37" i="10"/>
  <c r="J37" i="10" s="1"/>
  <c r="AF12" i="10"/>
  <c r="J12" i="10" s="1"/>
  <c r="AE13" i="10"/>
  <c r="I13" i="10" s="1"/>
  <c r="AE14" i="10"/>
  <c r="I14" i="10" s="1"/>
  <c r="AE15" i="10"/>
  <c r="I15" i="10" s="1"/>
  <c r="AE16" i="10"/>
  <c r="I16" i="10" s="1"/>
  <c r="AE17" i="10"/>
  <c r="I17" i="10" s="1"/>
  <c r="AE18" i="10"/>
  <c r="I18" i="10" s="1"/>
  <c r="AE19" i="10"/>
  <c r="I19" i="10" s="1"/>
  <c r="AE20" i="10"/>
  <c r="I20" i="10" s="1"/>
  <c r="AE21" i="10"/>
  <c r="I21" i="10" s="1"/>
  <c r="AE22" i="10"/>
  <c r="I22" i="10" s="1"/>
  <c r="AE23" i="10"/>
  <c r="I23" i="10" s="1"/>
  <c r="AE24" i="10"/>
  <c r="I24" i="10" s="1"/>
  <c r="AE25" i="10"/>
  <c r="I25" i="10" s="1"/>
  <c r="AE26" i="10"/>
  <c r="I26" i="10" s="1"/>
  <c r="AE27" i="10"/>
  <c r="I27" i="10" s="1"/>
  <c r="AE28" i="10"/>
  <c r="I28" i="10" s="1"/>
  <c r="AE29" i="10"/>
  <c r="I29" i="10" s="1"/>
  <c r="AE30" i="10"/>
  <c r="I30" i="10" s="1"/>
  <c r="AE31" i="10"/>
  <c r="I31" i="10" s="1"/>
  <c r="AE33" i="10"/>
  <c r="I33" i="10" s="1"/>
  <c r="AE34" i="10"/>
  <c r="I34" i="10" s="1"/>
  <c r="AE35" i="10"/>
  <c r="I35" i="10" s="1"/>
  <c r="AE36" i="10"/>
  <c r="I36" i="10" s="1"/>
  <c r="AE37" i="10"/>
  <c r="I37" i="10" s="1"/>
  <c r="AE12" i="10"/>
  <c r="I12" i="10" s="1"/>
  <c r="AD13" i="10"/>
  <c r="H13" i="10" s="1"/>
  <c r="AD14" i="10"/>
  <c r="H14" i="10" s="1"/>
  <c r="AD15" i="10"/>
  <c r="H15" i="10" s="1"/>
  <c r="AD16" i="10"/>
  <c r="H16" i="10" s="1"/>
  <c r="AD17" i="10"/>
  <c r="H17" i="10" s="1"/>
  <c r="AD18" i="10"/>
  <c r="H18" i="10" s="1"/>
  <c r="AD19" i="10"/>
  <c r="H19" i="10" s="1"/>
  <c r="AD20" i="10"/>
  <c r="H20" i="10" s="1"/>
  <c r="AD21" i="10"/>
  <c r="H21" i="10" s="1"/>
  <c r="AD22" i="10"/>
  <c r="H22" i="10" s="1"/>
  <c r="AD23" i="10"/>
  <c r="H23" i="10" s="1"/>
  <c r="AD24" i="10"/>
  <c r="H24" i="10" s="1"/>
  <c r="AD25" i="10"/>
  <c r="H25" i="10" s="1"/>
  <c r="AD26" i="10"/>
  <c r="H26" i="10" s="1"/>
  <c r="AD27" i="10"/>
  <c r="H27" i="10" s="1"/>
  <c r="AD28" i="10"/>
  <c r="H28" i="10" s="1"/>
  <c r="AD29" i="10"/>
  <c r="H29" i="10" s="1"/>
  <c r="AD30" i="10"/>
  <c r="H30" i="10" s="1"/>
  <c r="AD31" i="10"/>
  <c r="H31" i="10" s="1"/>
  <c r="AD33" i="10"/>
  <c r="H33" i="10" s="1"/>
  <c r="AD34" i="10"/>
  <c r="H34" i="10" s="1"/>
  <c r="AD35" i="10"/>
  <c r="H35" i="10" s="1"/>
  <c r="AD36" i="10"/>
  <c r="H36" i="10" s="1"/>
  <c r="AD37" i="10"/>
  <c r="H37" i="10" s="1"/>
  <c r="AD12" i="10"/>
  <c r="H12" i="10" s="1"/>
  <c r="Y13" i="10"/>
  <c r="C13" i="10" s="1"/>
  <c r="Y14" i="10"/>
  <c r="C14" i="10" s="1"/>
  <c r="Y15" i="10"/>
  <c r="C15" i="10" s="1"/>
  <c r="Y16" i="10"/>
  <c r="C16" i="10" s="1"/>
  <c r="Y17" i="10"/>
  <c r="C17" i="10" s="1"/>
  <c r="Y18" i="10"/>
  <c r="C18" i="10" s="1"/>
  <c r="Y19" i="10"/>
  <c r="C19" i="10" s="1"/>
  <c r="Y20" i="10"/>
  <c r="C20" i="10" s="1"/>
  <c r="Y21" i="10"/>
  <c r="C21" i="10" s="1"/>
  <c r="Y22" i="10"/>
  <c r="C22" i="10" s="1"/>
  <c r="Y23" i="10"/>
  <c r="C23" i="10" s="1"/>
  <c r="Y24" i="10"/>
  <c r="C24" i="10" s="1"/>
  <c r="Y25" i="10"/>
  <c r="C25" i="10" s="1"/>
  <c r="Y26" i="10"/>
  <c r="C26" i="10" s="1"/>
  <c r="Y27" i="10"/>
  <c r="C27" i="10" s="1"/>
  <c r="Y28" i="10"/>
  <c r="C28" i="10" s="1"/>
  <c r="Y29" i="10"/>
  <c r="C29" i="10" s="1"/>
  <c r="Y30" i="10"/>
  <c r="C30" i="10" s="1"/>
  <c r="Y31" i="10"/>
  <c r="C31" i="10" s="1"/>
  <c r="Y33" i="10"/>
  <c r="C33" i="10" s="1"/>
  <c r="Y34" i="10"/>
  <c r="C34" i="10" s="1"/>
  <c r="Y35" i="10"/>
  <c r="C35" i="10" s="1"/>
  <c r="Y36" i="10"/>
  <c r="C36" i="10" s="1"/>
  <c r="Y37" i="10"/>
  <c r="C37" i="10" s="1"/>
  <c r="Y12" i="10"/>
  <c r="C12" i="10" s="1"/>
  <c r="X13" i="10"/>
  <c r="B13" i="10" s="1"/>
  <c r="X14" i="10"/>
  <c r="B14" i="10" s="1"/>
  <c r="X15" i="10"/>
  <c r="B15" i="10" s="1"/>
  <c r="X16" i="10"/>
  <c r="B16" i="10" s="1"/>
  <c r="X17" i="10"/>
  <c r="B17" i="10" s="1"/>
  <c r="X18" i="10"/>
  <c r="B18" i="10" s="1"/>
  <c r="X19" i="10"/>
  <c r="B19" i="10" s="1"/>
  <c r="X20" i="10"/>
  <c r="B20" i="10" s="1"/>
  <c r="X21" i="10"/>
  <c r="B21" i="10" s="1"/>
  <c r="X22" i="10"/>
  <c r="B22" i="10" s="1"/>
  <c r="X23" i="10"/>
  <c r="B23" i="10" s="1"/>
  <c r="X24" i="10"/>
  <c r="B24" i="10" s="1"/>
  <c r="X25" i="10"/>
  <c r="B25" i="10" s="1"/>
  <c r="X26" i="10"/>
  <c r="B26" i="10" s="1"/>
  <c r="X27" i="10"/>
  <c r="B27" i="10" s="1"/>
  <c r="X28" i="10"/>
  <c r="B28" i="10" s="1"/>
  <c r="X29" i="10"/>
  <c r="B29" i="10" s="1"/>
  <c r="X30" i="10"/>
  <c r="B30" i="10" s="1"/>
  <c r="X31" i="10"/>
  <c r="B31" i="10" s="1"/>
  <c r="X33" i="10"/>
  <c r="B33" i="10" s="1"/>
  <c r="X34" i="10"/>
  <c r="B34" i="10" s="1"/>
  <c r="X35" i="10"/>
  <c r="B35" i="10" s="1"/>
  <c r="X36" i="10"/>
  <c r="B36" i="10" s="1"/>
  <c r="X37" i="10"/>
  <c r="B37" i="10" s="1"/>
  <c r="X12" i="10"/>
  <c r="B12" i="10" s="1"/>
  <c r="W13" i="10"/>
  <c r="A13" i="10" s="1"/>
  <c r="W14" i="10"/>
  <c r="A14" i="10" s="1"/>
  <c r="W15" i="10"/>
  <c r="A15" i="10" s="1"/>
  <c r="W16" i="10"/>
  <c r="A16" i="10" s="1"/>
  <c r="W17" i="10"/>
  <c r="A17" i="10" s="1"/>
  <c r="W18" i="10"/>
  <c r="A18" i="10" s="1"/>
  <c r="W19" i="10"/>
  <c r="A19" i="10" s="1"/>
  <c r="W20" i="10"/>
  <c r="A20" i="10" s="1"/>
  <c r="W21" i="10"/>
  <c r="A21" i="10" s="1"/>
  <c r="W22" i="10"/>
  <c r="A22" i="10" s="1"/>
  <c r="W23" i="10"/>
  <c r="A23" i="10" s="1"/>
  <c r="W24" i="10"/>
  <c r="A24" i="10" s="1"/>
  <c r="W25" i="10"/>
  <c r="A25" i="10" s="1"/>
  <c r="W26" i="10"/>
  <c r="A26" i="10" s="1"/>
  <c r="W27" i="10"/>
  <c r="A27" i="10" s="1"/>
  <c r="W28" i="10"/>
  <c r="A28" i="10" s="1"/>
  <c r="W29" i="10"/>
  <c r="A29" i="10" s="1"/>
  <c r="W30" i="10"/>
  <c r="A30" i="10" s="1"/>
  <c r="W31" i="10"/>
  <c r="A31" i="10" s="1"/>
  <c r="W33" i="10"/>
  <c r="A33" i="10" s="1"/>
  <c r="W34" i="10"/>
  <c r="A34" i="10" s="1"/>
  <c r="W35" i="10"/>
  <c r="A35" i="10" s="1"/>
  <c r="W36" i="10"/>
  <c r="A36" i="10" s="1"/>
  <c r="W37" i="10"/>
  <c r="A37" i="10" s="1"/>
  <c r="W12" i="10"/>
  <c r="A12" i="10" s="1"/>
  <c r="J29" i="9"/>
  <c r="J33" i="9"/>
  <c r="AC28" i="9"/>
  <c r="I28" i="9" s="1"/>
  <c r="AC29" i="9"/>
  <c r="I29" i="9" s="1"/>
  <c r="AC30" i="9"/>
  <c r="I30" i="9" s="1"/>
  <c r="AC31" i="9"/>
  <c r="I31" i="9" s="1"/>
  <c r="AC32" i="9"/>
  <c r="I32" i="9" s="1"/>
  <c r="AC33" i="9"/>
  <c r="I33" i="9" s="1"/>
  <c r="AC34" i="9"/>
  <c r="I34" i="9" s="1"/>
  <c r="AC35" i="9"/>
  <c r="I35" i="9" s="1"/>
  <c r="AC36" i="9"/>
  <c r="I36" i="9" s="1"/>
  <c r="AC27" i="9"/>
  <c r="I27" i="9" s="1"/>
  <c r="AB28" i="9"/>
  <c r="H28" i="9" s="1"/>
  <c r="AB29" i="9"/>
  <c r="H29" i="9" s="1"/>
  <c r="AB30" i="9"/>
  <c r="H30" i="9" s="1"/>
  <c r="AB31" i="9"/>
  <c r="H31" i="9" s="1"/>
  <c r="AB32" i="9"/>
  <c r="H32" i="9" s="1"/>
  <c r="AB33" i="9"/>
  <c r="H33" i="9" s="1"/>
  <c r="AB34" i="9"/>
  <c r="H34" i="9" s="1"/>
  <c r="AB35" i="9"/>
  <c r="H35" i="9" s="1"/>
  <c r="AB36" i="9"/>
  <c r="H36" i="9" s="1"/>
  <c r="AB27" i="9"/>
  <c r="H27" i="9" s="1"/>
  <c r="AA28" i="9"/>
  <c r="G28" i="9" s="1"/>
  <c r="AA29" i="9"/>
  <c r="G29" i="9" s="1"/>
  <c r="AA30" i="9"/>
  <c r="G30" i="9" s="1"/>
  <c r="AA31" i="9"/>
  <c r="G31" i="9" s="1"/>
  <c r="AA32" i="9"/>
  <c r="G32" i="9" s="1"/>
  <c r="AA33" i="9"/>
  <c r="G33" i="9" s="1"/>
  <c r="AA34" i="9"/>
  <c r="G34" i="9" s="1"/>
  <c r="AA35" i="9"/>
  <c r="G35" i="9" s="1"/>
  <c r="AA36" i="9"/>
  <c r="G36" i="9" s="1"/>
  <c r="AA27" i="9"/>
  <c r="G27" i="9" s="1"/>
  <c r="Z28" i="9"/>
  <c r="F28" i="9" s="1"/>
  <c r="Z29" i="9"/>
  <c r="F29" i="9" s="1"/>
  <c r="Z30" i="9"/>
  <c r="F30" i="9" s="1"/>
  <c r="Z31" i="9"/>
  <c r="F31" i="9" s="1"/>
  <c r="Z32" i="9"/>
  <c r="F32" i="9" s="1"/>
  <c r="Z33" i="9"/>
  <c r="F33" i="9" s="1"/>
  <c r="Z34" i="9"/>
  <c r="F34" i="9" s="1"/>
  <c r="Z35" i="9"/>
  <c r="F35" i="9" s="1"/>
  <c r="Z36" i="9"/>
  <c r="F36" i="9" s="1"/>
  <c r="Z27" i="9"/>
  <c r="F27" i="9" s="1"/>
  <c r="U28" i="9"/>
  <c r="A28" i="9" s="1"/>
  <c r="U29" i="9"/>
  <c r="A29" i="9" s="1"/>
  <c r="U30" i="9"/>
  <c r="A30" i="9" s="1"/>
  <c r="U31" i="9"/>
  <c r="A31" i="9" s="1"/>
  <c r="U32" i="9"/>
  <c r="A32" i="9" s="1"/>
  <c r="U33" i="9"/>
  <c r="A33" i="9" s="1"/>
  <c r="U34" i="9"/>
  <c r="A34" i="9" s="1"/>
  <c r="U35" i="9"/>
  <c r="A35" i="9" s="1"/>
  <c r="U36" i="9"/>
  <c r="A36" i="9" s="1"/>
  <c r="U27" i="9"/>
  <c r="A27" i="9" s="1"/>
  <c r="V28" i="9"/>
  <c r="B28" i="9" s="1"/>
  <c r="V29" i="9"/>
  <c r="B29" i="9" s="1"/>
  <c r="V30" i="9"/>
  <c r="B30" i="9" s="1"/>
  <c r="V31" i="9"/>
  <c r="B31" i="9" s="1"/>
  <c r="V32" i="9"/>
  <c r="B32" i="9" s="1"/>
  <c r="V33" i="9"/>
  <c r="B33" i="9" s="1"/>
  <c r="V34" i="9"/>
  <c r="B34" i="9" s="1"/>
  <c r="V35" i="9"/>
  <c r="B35" i="9" s="1"/>
  <c r="V36" i="9"/>
  <c r="B36" i="9" s="1"/>
  <c r="V27" i="9"/>
  <c r="B27" i="9" s="1"/>
  <c r="C12" i="51"/>
  <c r="Q13" i="12"/>
  <c r="C15" i="45"/>
  <c r="C14" i="45"/>
  <c r="C13" i="45"/>
  <c r="C12" i="45"/>
  <c r="J18" i="33"/>
  <c r="E19" i="33"/>
  <c r="I19" i="33" s="1"/>
  <c r="X23" i="57" s="1"/>
  <c r="E18" i="33"/>
  <c r="J13" i="33"/>
  <c r="J14" i="33"/>
  <c r="E14" i="33"/>
  <c r="E13" i="33"/>
  <c r="H22" i="36"/>
  <c r="I26" i="37" s="1"/>
  <c r="C7" i="51"/>
  <c r="C5" i="57"/>
  <c r="C4" i="57"/>
  <c r="C3" i="57"/>
  <c r="D3" i="50"/>
  <c r="D5" i="50"/>
  <c r="D8" i="50"/>
  <c r="D9" i="50"/>
  <c r="D6" i="50"/>
  <c r="D7" i="50"/>
  <c r="D3" i="3"/>
  <c r="J52" i="57"/>
  <c r="I52" i="57"/>
  <c r="F52" i="57"/>
  <c r="E52" i="57"/>
  <c r="K51" i="57"/>
  <c r="G51" i="57"/>
  <c r="K50" i="57"/>
  <c r="G50" i="57"/>
  <c r="K49" i="57"/>
  <c r="G49" i="57"/>
  <c r="K48" i="57"/>
  <c r="G48" i="57"/>
  <c r="K47" i="57"/>
  <c r="K52" i="57" s="1"/>
  <c r="G47" i="57"/>
  <c r="G52" i="57" s="1"/>
  <c r="J40" i="57"/>
  <c r="I40" i="57"/>
  <c r="F40" i="57"/>
  <c r="E40" i="57"/>
  <c r="K39" i="57"/>
  <c r="G39" i="57"/>
  <c r="K38" i="57"/>
  <c r="G38" i="57"/>
  <c r="K37" i="57"/>
  <c r="G37" i="57"/>
  <c r="K36" i="57"/>
  <c r="G36" i="57"/>
  <c r="K35" i="57"/>
  <c r="G35" i="57"/>
  <c r="G40" i="57" s="1"/>
  <c r="J30" i="57"/>
  <c r="I30" i="57"/>
  <c r="F30" i="57"/>
  <c r="E30" i="57"/>
  <c r="K29" i="57"/>
  <c r="G29" i="57"/>
  <c r="K28" i="57"/>
  <c r="G28" i="57"/>
  <c r="K27" i="57"/>
  <c r="G27" i="57"/>
  <c r="K26" i="57"/>
  <c r="G26" i="57"/>
  <c r="K25" i="57"/>
  <c r="G25" i="57"/>
  <c r="K24" i="57"/>
  <c r="G24" i="57"/>
  <c r="K23" i="57"/>
  <c r="G23" i="57"/>
  <c r="K22" i="57"/>
  <c r="G22" i="57"/>
  <c r="K21" i="57"/>
  <c r="G21" i="57"/>
  <c r="K20" i="57"/>
  <c r="G20" i="57"/>
  <c r="K19" i="57"/>
  <c r="G19" i="57"/>
  <c r="K18" i="57"/>
  <c r="G18" i="57"/>
  <c r="K17" i="57"/>
  <c r="K30" i="57" s="1"/>
  <c r="G17" i="57"/>
  <c r="G30" i="57" s="1"/>
  <c r="K40" i="57"/>
  <c r="C34" i="43"/>
  <c r="C33" i="43"/>
  <c r="C32" i="43"/>
  <c r="C31" i="43"/>
  <c r="C30" i="43"/>
  <c r="C29" i="43"/>
  <c r="C28" i="43"/>
  <c r="C27" i="43"/>
  <c r="C26" i="43"/>
  <c r="C25" i="43"/>
  <c r="C24" i="43"/>
  <c r="C23" i="43"/>
  <c r="C22" i="43"/>
  <c r="C21" i="43"/>
  <c r="C20" i="43"/>
  <c r="C19" i="43"/>
  <c r="C18" i="43"/>
  <c r="C17" i="43"/>
  <c r="C16" i="43"/>
  <c r="L7" i="43"/>
  <c r="H7" i="43"/>
  <c r="L6" i="43"/>
  <c r="H6" i="43"/>
  <c r="J29" i="16"/>
  <c r="D3" i="16"/>
  <c r="J42" i="37"/>
  <c r="J41" i="37"/>
  <c r="P20" i="37"/>
  <c r="M20" i="37"/>
  <c r="P16" i="37"/>
  <c r="R22" i="37" s="1"/>
  <c r="G24" i="25"/>
  <c r="K40" i="37" s="1"/>
  <c r="K44" i="37" s="1"/>
  <c r="H31" i="16" s="1"/>
  <c r="F23" i="25"/>
  <c r="F22" i="25"/>
  <c r="F20" i="25"/>
  <c r="F19" i="25"/>
  <c r="F18" i="25"/>
  <c r="F17" i="25"/>
  <c r="F15" i="25"/>
  <c r="F14" i="25"/>
  <c r="C27" i="39"/>
  <c r="I24" i="39"/>
  <c r="H24" i="39"/>
  <c r="D24" i="39"/>
  <c r="C24" i="39"/>
  <c r="J23" i="39"/>
  <c r="E23" i="39"/>
  <c r="J22" i="39"/>
  <c r="E22" i="39"/>
  <c r="J21" i="39"/>
  <c r="E21" i="39"/>
  <c r="J20" i="39"/>
  <c r="E20" i="39"/>
  <c r="J19" i="39"/>
  <c r="E19" i="39"/>
  <c r="J18" i="39"/>
  <c r="E18" i="39"/>
  <c r="C12" i="39"/>
  <c r="D58" i="11"/>
  <c r="C58" i="11"/>
  <c r="C57" i="11"/>
  <c r="A40" i="11"/>
  <c r="A39" i="11"/>
  <c r="A38" i="11"/>
  <c r="A37" i="11"/>
  <c r="A36" i="11"/>
  <c r="D22" i="11"/>
  <c r="A22" i="11"/>
  <c r="D21" i="11"/>
  <c r="A21" i="11"/>
  <c r="D20" i="11"/>
  <c r="A20" i="11"/>
  <c r="D19" i="11"/>
  <c r="A19" i="11"/>
  <c r="D18" i="11"/>
  <c r="A18" i="11"/>
  <c r="D17" i="11"/>
  <c r="A17" i="11"/>
  <c r="D16" i="11"/>
  <c r="A16" i="11"/>
  <c r="C18" i="9"/>
  <c r="L14" i="16" s="1"/>
  <c r="F17" i="9"/>
  <c r="G5" i="25" s="1"/>
  <c r="F16" i="9"/>
  <c r="O12" i="16" s="1"/>
  <c r="D16" i="9"/>
  <c r="M12" i="16" s="1"/>
  <c r="C14" i="9"/>
  <c r="D14" i="16" s="1"/>
  <c r="F13" i="9"/>
  <c r="I5" i="39" s="1"/>
  <c r="D13" i="9"/>
  <c r="E13" i="16" s="1"/>
  <c r="F12" i="9"/>
  <c r="I4" i="39" s="1"/>
  <c r="D12" i="9"/>
  <c r="E12" i="16" s="1"/>
  <c r="C10" i="9"/>
  <c r="G9" i="43" s="1"/>
  <c r="C9" i="9"/>
  <c r="D9" i="16" s="1"/>
  <c r="C8" i="9"/>
  <c r="D8" i="16" s="1"/>
  <c r="C7" i="9"/>
  <c r="F3" i="37" s="1"/>
  <c r="C6" i="9"/>
  <c r="D6" i="16" s="1"/>
  <c r="C5" i="9"/>
  <c r="D5" i="16" s="1"/>
  <c r="L36" i="42"/>
  <c r="J36" i="42"/>
  <c r="G36" i="42"/>
  <c r="F36" i="42"/>
  <c r="N34" i="42"/>
  <c r="N33" i="42"/>
  <c r="N32" i="42"/>
  <c r="N31" i="42"/>
  <c r="N30" i="42"/>
  <c r="N29" i="42"/>
  <c r="N28" i="42"/>
  <c r="N27" i="42"/>
  <c r="N26" i="42"/>
  <c r="N25" i="42"/>
  <c r="N24" i="42"/>
  <c r="N22" i="42"/>
  <c r="N21" i="42"/>
  <c r="N20" i="42"/>
  <c r="N19" i="42"/>
  <c r="N18" i="42"/>
  <c r="N17" i="42"/>
  <c r="N15" i="42"/>
  <c r="G10" i="42"/>
  <c r="L9" i="42"/>
  <c r="H9" i="42"/>
  <c r="L8" i="42"/>
  <c r="H8" i="42"/>
  <c r="G7" i="42"/>
  <c r="D15" i="45"/>
  <c r="D13" i="45"/>
  <c r="A25" i="7"/>
  <c r="C16" i="7"/>
  <c r="F15" i="7"/>
  <c r="F14" i="7"/>
  <c r="D14" i="7"/>
  <c r="C12" i="7"/>
  <c r="F11" i="7"/>
  <c r="D11" i="7"/>
  <c r="F10" i="7"/>
  <c r="D10" i="7"/>
  <c r="C8" i="7"/>
  <c r="C7" i="7"/>
  <c r="C6" i="7"/>
  <c r="C5" i="7"/>
  <c r="C4" i="7"/>
  <c r="C3" i="7"/>
  <c r="F6" i="36"/>
  <c r="I5" i="36"/>
  <c r="G5" i="36"/>
  <c r="I4" i="36"/>
  <c r="G4" i="36"/>
  <c r="F3" i="36"/>
  <c r="M19" i="34"/>
  <c r="D6" i="34"/>
  <c r="G5" i="34"/>
  <c r="E5" i="34"/>
  <c r="G4" i="34"/>
  <c r="E4" i="34"/>
  <c r="D3" i="34"/>
  <c r="D6" i="38"/>
  <c r="G5" i="38"/>
  <c r="E5" i="38"/>
  <c r="G4" i="38"/>
  <c r="E4" i="38"/>
  <c r="D3" i="38"/>
  <c r="I17" i="33"/>
  <c r="H17" i="33"/>
  <c r="D17" i="33"/>
  <c r="C17" i="33"/>
  <c r="I12" i="33"/>
  <c r="H12" i="33"/>
  <c r="D12" i="33"/>
  <c r="K22" i="34" s="1"/>
  <c r="F21" i="25" s="1"/>
  <c r="C12" i="33"/>
  <c r="G5" i="33"/>
  <c r="E5" i="33"/>
  <c r="G4" i="33"/>
  <c r="E4" i="33"/>
  <c r="D3" i="33"/>
  <c r="G5" i="4"/>
  <c r="E5" i="4"/>
  <c r="G4" i="4"/>
  <c r="E4" i="4"/>
  <c r="D3" i="4"/>
  <c r="G5" i="3"/>
  <c r="E5" i="3"/>
  <c r="E4" i="3"/>
  <c r="C3" i="30"/>
  <c r="J24" i="39"/>
  <c r="N36" i="42"/>
  <c r="F5" i="30"/>
  <c r="D14" i="45"/>
  <c r="D14" i="51"/>
  <c r="D15" i="7"/>
  <c r="D17" i="9"/>
  <c r="M13" i="16" s="1"/>
  <c r="G4" i="10"/>
  <c r="D4" i="11"/>
  <c r="C6" i="39"/>
  <c r="G4" i="25"/>
  <c r="G13" i="16"/>
  <c r="E5" i="10"/>
  <c r="C3" i="11"/>
  <c r="F5" i="11"/>
  <c r="D5" i="12"/>
  <c r="C3" i="39"/>
  <c r="C6" i="41"/>
  <c r="C6" i="13"/>
  <c r="G12" i="16"/>
  <c r="F5" i="41"/>
  <c r="D5" i="39"/>
  <c r="D5" i="11"/>
  <c r="G5" i="10"/>
  <c r="D3" i="10"/>
  <c r="F4" i="30"/>
  <c r="C6" i="30"/>
  <c r="J4" i="37"/>
  <c r="H4" i="37"/>
  <c r="D5" i="30"/>
  <c r="R19" i="12"/>
  <c r="W14" i="12"/>
  <c r="U18" i="12"/>
  <c r="W19" i="12"/>
  <c r="P18" i="12"/>
  <c r="R20" i="12"/>
  <c r="T23" i="57"/>
  <c r="E4" i="10"/>
  <c r="D4" i="41"/>
  <c r="D4" i="39"/>
  <c r="D10" i="16"/>
  <c r="A29" i="16" s="1"/>
  <c r="Q18" i="12" l="1"/>
  <c r="J19" i="33"/>
  <c r="V20" i="12"/>
  <c r="X21" i="57"/>
  <c r="J17" i="33"/>
  <c r="J5" i="37"/>
  <c r="W20" i="12"/>
  <c r="W15" i="12"/>
  <c r="U13" i="12"/>
  <c r="V13" i="12"/>
  <c r="E12" i="33"/>
  <c r="D16" i="45"/>
  <c r="T17" i="57"/>
  <c r="Y36" i="43"/>
  <c r="M15" i="51"/>
  <c r="AG16" i="43"/>
  <c r="AG26" i="43"/>
  <c r="F24" i="25"/>
  <c r="J40" i="37" s="1"/>
  <c r="J44" i="37" s="1"/>
  <c r="F34" i="16"/>
  <c r="F36" i="43"/>
  <c r="G36" i="43"/>
  <c r="J15" i="12"/>
  <c r="E20" i="12"/>
  <c r="J12" i="33"/>
  <c r="F6" i="37"/>
  <c r="R15" i="12"/>
  <c r="E15" i="12"/>
  <c r="E24" i="39"/>
  <c r="J14" i="12"/>
  <c r="C18" i="12"/>
  <c r="H18" i="12"/>
  <c r="P13" i="12"/>
  <c r="R13" i="12" s="1"/>
  <c r="M13" i="51"/>
  <c r="C73" i="51"/>
  <c r="D15" i="51" s="1"/>
  <c r="D13" i="12"/>
  <c r="I13" i="12"/>
  <c r="D4" i="12"/>
  <c r="D4" i="13"/>
  <c r="H13" i="12"/>
  <c r="R14" i="12"/>
  <c r="G5" i="43"/>
  <c r="D6" i="25"/>
  <c r="D4" i="30"/>
  <c r="C3" i="12"/>
  <c r="C3" i="41"/>
  <c r="D7" i="16"/>
  <c r="D5" i="13"/>
  <c r="D5" i="41"/>
  <c r="C6" i="12"/>
  <c r="D6" i="10"/>
  <c r="G8" i="43"/>
  <c r="C3" i="13"/>
  <c r="D3" i="25"/>
  <c r="C6" i="11"/>
  <c r="C69" i="51"/>
  <c r="C15" i="51" s="1"/>
  <c r="Y22" i="57"/>
  <c r="L14" i="51"/>
  <c r="AC36" i="43"/>
  <c r="D12" i="51"/>
  <c r="AG17" i="43"/>
  <c r="AG19" i="43"/>
  <c r="AG23" i="43"/>
  <c r="AG25" i="43"/>
  <c r="AG27" i="43"/>
  <c r="AG29" i="43"/>
  <c r="N24" i="43"/>
  <c r="N23" i="43"/>
  <c r="D13" i="51"/>
  <c r="N30" i="43"/>
  <c r="T22" i="57"/>
  <c r="N33" i="43"/>
  <c r="N31" i="43"/>
  <c r="N29" i="43"/>
  <c r="N27" i="43"/>
  <c r="N25" i="43"/>
  <c r="J36" i="43"/>
  <c r="N20" i="43"/>
  <c r="M24" i="34"/>
  <c r="M26" i="34" s="1"/>
  <c r="N31" i="36" s="1"/>
  <c r="S34" i="36" s="1"/>
  <c r="S36" i="36" s="1"/>
  <c r="D23" i="7" s="1"/>
  <c r="D18" i="12"/>
  <c r="E18" i="12" s="1"/>
  <c r="E17" i="33"/>
  <c r="S21" i="57"/>
  <c r="E19" i="12"/>
  <c r="C14" i="12"/>
  <c r="J19" i="12"/>
  <c r="E4" i="25"/>
  <c r="O13" i="16"/>
  <c r="H5" i="37"/>
  <c r="G5" i="12"/>
  <c r="F4" i="13"/>
  <c r="F4" i="11"/>
  <c r="F5" i="13"/>
  <c r="F4" i="41"/>
  <c r="G4" i="12"/>
  <c r="E5" i="25"/>
  <c r="M12" i="51"/>
  <c r="T18" i="57"/>
  <c r="Y18" i="57"/>
  <c r="R21" i="57"/>
  <c r="M14" i="51"/>
  <c r="AB36" i="43"/>
  <c r="AE36" i="43"/>
  <c r="Z36" i="43"/>
  <c r="AG20" i="43"/>
  <c r="AG22" i="43"/>
  <c r="AG30" i="43"/>
  <c r="N32" i="43"/>
  <c r="N28" i="43"/>
  <c r="N26" i="43"/>
  <c r="N18" i="43"/>
  <c r="I36" i="43"/>
  <c r="N15" i="43"/>
  <c r="L36" i="43"/>
  <c r="R18" i="12"/>
  <c r="N21" i="43"/>
  <c r="R16" i="57"/>
  <c r="T16" i="57" s="1"/>
  <c r="Y17" i="57"/>
  <c r="Y23" i="57"/>
  <c r="N16" i="43"/>
  <c r="A31" i="16"/>
  <c r="N22" i="43"/>
  <c r="W16" i="57"/>
  <c r="Y16" i="57" s="1"/>
  <c r="W21" i="57"/>
  <c r="Y21" i="57" s="1"/>
  <c r="I20" i="12" l="1"/>
  <c r="V18" i="12"/>
  <c r="W18" i="12" s="1"/>
  <c r="W13" i="12"/>
  <c r="T21" i="57"/>
  <c r="E16" i="45"/>
  <c r="H29" i="16"/>
  <c r="N36" i="43"/>
  <c r="D16" i="51"/>
  <c r="E16" i="51" s="1"/>
  <c r="B34" i="16"/>
  <c r="H34" i="16" s="1"/>
  <c r="J13" i="12"/>
  <c r="C13" i="12"/>
  <c r="E13" i="12" s="1"/>
  <c r="E14" i="12"/>
  <c r="M16" i="51"/>
  <c r="N16" i="51" s="1"/>
  <c r="AG36" i="43"/>
  <c r="I18" i="12" l="1"/>
  <c r="J18" i="12" s="1"/>
  <c r="J20" i="12"/>
</calcChain>
</file>

<file path=xl/comments1.xml><?xml version="1.0" encoding="utf-8"?>
<comments xmlns="http://schemas.openxmlformats.org/spreadsheetml/2006/main">
  <authors>
    <author>ppower</author>
    <author>Noemi Cambray</author>
  </authors>
  <commentList>
    <comment ref="G8" authorId="0">
      <text>
        <r>
          <rPr>
            <b/>
            <sz val="8"/>
            <color indexed="81"/>
            <rFont val="Tahoma"/>
            <family val="2"/>
          </rPr>
          <t>Start date for current period cannot be earlier than cumulative period</t>
        </r>
        <r>
          <rPr>
            <sz val="8"/>
            <color indexed="81"/>
            <rFont val="Tahoma"/>
            <family val="2"/>
          </rPr>
          <t xml:space="preserve">
</t>
        </r>
      </text>
    </comment>
    <comment ref="K8" authorId="0">
      <text>
        <r>
          <rPr>
            <b/>
            <sz val="8"/>
            <color indexed="81"/>
            <rFont val="Tahoma"/>
            <family val="2"/>
          </rPr>
          <t>Start date for current period cannot be earlier than cumulative period</t>
        </r>
        <r>
          <rPr>
            <sz val="8"/>
            <color indexed="81"/>
            <rFont val="Tahoma"/>
            <family val="2"/>
          </rPr>
          <t xml:space="preserve">
</t>
        </r>
      </text>
    </comment>
    <comment ref="I15" authorId="0">
      <text>
        <r>
          <rPr>
            <b/>
            <sz val="8"/>
            <color indexed="81"/>
            <rFont val="Tahoma"/>
            <family val="2"/>
          </rPr>
          <t>The Cumulative Period should be from the beginning of the grant up to the end of the current reporting period.</t>
        </r>
        <r>
          <rPr>
            <sz val="8"/>
            <color indexed="81"/>
            <rFont val="Tahoma"/>
            <family val="2"/>
          </rPr>
          <t xml:space="preserve">
</t>
        </r>
      </text>
    </comment>
    <comment ref="H16" authorId="0">
      <text>
        <r>
          <rPr>
            <b/>
            <sz val="8"/>
            <color indexed="81"/>
            <rFont val="Tahoma"/>
            <family val="2"/>
          </rPr>
          <t>Please be as specific as possible when describing the Reason for the Variances. Refer to the Guidance Document for additional information.</t>
        </r>
        <r>
          <rPr>
            <sz val="8"/>
            <color indexed="81"/>
            <rFont val="Tahoma"/>
            <family val="2"/>
          </rPr>
          <t xml:space="preserve">
</t>
        </r>
      </text>
    </comment>
    <comment ref="L16" authorId="0">
      <text>
        <r>
          <rPr>
            <b/>
            <sz val="8"/>
            <color indexed="81"/>
            <rFont val="Tahoma"/>
            <family val="2"/>
          </rPr>
          <t>Please be as specific as possible when describing the Reason for the Variances. Refer to the Guidance Document for additional information.</t>
        </r>
        <r>
          <rPr>
            <sz val="8"/>
            <color indexed="81"/>
            <rFont val="Tahoma"/>
            <family val="2"/>
          </rPr>
          <t xml:space="preserve">
</t>
        </r>
      </text>
    </comment>
    <comment ref="I20" authorId="1">
      <text>
        <r>
          <rPr>
            <b/>
            <sz val="9"/>
            <color indexed="81"/>
            <rFont val="Tahoma"/>
            <family val="2"/>
          </rPr>
          <t>Please ensure that the figure here agrees with the cumulative budget figure in the corresponding cell (H18) in section "PR_Total PR Cash Outflow_3A). If they do not the background color will be ORANGE.</t>
        </r>
        <r>
          <rPr>
            <sz val="9"/>
            <color indexed="81"/>
            <rFont val="Tahoma"/>
            <family val="2"/>
          </rPr>
          <t xml:space="preserve">
</t>
        </r>
      </text>
    </comment>
    <comment ref="J20" authorId="1">
      <text>
        <r>
          <rPr>
            <b/>
            <sz val="9"/>
            <color indexed="81"/>
            <rFont val="Tahoma"/>
            <family val="2"/>
          </rPr>
          <t>Please ensure that the figure here agrees with the cumulative cash outflow figure in the corresponding cell (I18) in section "PR_Total PR Cash Outflow_3A). If they do not the background color will be ORANGE.</t>
        </r>
        <r>
          <rPr>
            <sz val="9"/>
            <color indexed="81"/>
            <rFont val="Tahoma"/>
            <family val="2"/>
          </rPr>
          <t xml:space="preserve">
</t>
        </r>
      </text>
    </comment>
    <comment ref="I21" authorId="1">
      <text>
        <r>
          <rPr>
            <b/>
            <sz val="9"/>
            <color indexed="81"/>
            <rFont val="Tahoma"/>
            <family val="2"/>
          </rPr>
          <t>Please ensure that the figure here agrees with the cumulative budget figure in the corresponding cell (H17) in section "PR_Total PR Cash Outflow_3A). If they do not the background color will be ORANGE.</t>
        </r>
        <r>
          <rPr>
            <sz val="9"/>
            <color indexed="81"/>
            <rFont val="Tahoma"/>
            <family val="2"/>
          </rPr>
          <t xml:space="preserve">
</t>
        </r>
      </text>
    </comment>
    <comment ref="J21" authorId="1">
      <text>
        <r>
          <rPr>
            <b/>
            <sz val="9"/>
            <color indexed="81"/>
            <rFont val="Tahoma"/>
            <family val="2"/>
          </rPr>
          <t>Please ensure that the figure here agrees with the cumulative cash outflow figure in the corresponding cell (I17) in section "PR_Total PR Cash Outflow_3A). If they do not the background color will be ORANGE.</t>
        </r>
        <r>
          <rPr>
            <sz val="9"/>
            <color indexed="81"/>
            <rFont val="Tahoma"/>
            <family val="2"/>
          </rPr>
          <t xml:space="preserve">
</t>
        </r>
      </text>
    </comment>
    <comment ref="B29" authorId="0">
      <text>
        <r>
          <rPr>
            <b/>
            <sz val="8"/>
            <color indexed="81"/>
            <rFont val="Tahoma"/>
            <family val="2"/>
          </rPr>
          <t>This category should only be used as a last resort if there is a type of cost that absolutely cannot be allocated to another cost category</t>
        </r>
        <r>
          <rPr>
            <sz val="8"/>
            <color indexed="81"/>
            <rFont val="Tahoma"/>
            <family val="2"/>
          </rPr>
          <t xml:space="preserve">
</t>
        </r>
      </text>
    </comment>
    <comment ref="E30" authorId="0">
      <text>
        <r>
          <rPr>
            <b/>
            <sz val="8"/>
            <color indexed="81"/>
            <rFont val="Tahoma"/>
            <family val="2"/>
          </rPr>
          <t>Please ensure that the figure here agrees with the figure in the corresponding cells in Tables B and C. If they do not the background color will be RED</t>
        </r>
        <r>
          <rPr>
            <sz val="8"/>
            <color indexed="81"/>
            <rFont val="Tahoma"/>
            <family val="2"/>
          </rPr>
          <t xml:space="preserve">
</t>
        </r>
      </text>
    </comment>
    <comment ref="F30" authorId="0">
      <text>
        <r>
          <rPr>
            <b/>
            <sz val="8"/>
            <color indexed="81"/>
            <rFont val="Tahoma"/>
            <family val="2"/>
          </rPr>
          <t>Please ensure that the figure here agrees with the figure in the corresponding cells in Tables B and C. If they do not the background color will be RED</t>
        </r>
        <r>
          <rPr>
            <sz val="8"/>
            <color indexed="81"/>
            <rFont val="Tahoma"/>
            <family val="2"/>
          </rPr>
          <t xml:space="preserve">
</t>
        </r>
      </text>
    </comment>
    <comment ref="G30" authorId="0">
      <text>
        <r>
          <rPr>
            <b/>
            <sz val="8"/>
            <color indexed="81"/>
            <rFont val="Tahoma"/>
            <family val="2"/>
          </rPr>
          <t>Please ensure that the figure here agrees with the figure in the corresponding cells in Tables B and C. If they do not the background color will be RED</t>
        </r>
        <r>
          <rPr>
            <sz val="8"/>
            <color indexed="81"/>
            <rFont val="Tahoma"/>
            <family val="2"/>
          </rPr>
          <t xml:space="preserve">
</t>
        </r>
      </text>
    </comment>
    <comment ref="I30" authorId="0">
      <text>
        <r>
          <rPr>
            <b/>
            <sz val="8"/>
            <color indexed="81"/>
            <rFont val="Tahoma"/>
            <family val="2"/>
          </rPr>
          <t xml:space="preserve">Please ensure that:
-the figure here agrees with the figure in the corresponding cells in Tables B and C (in this tab). If they do not the background color will be RED; and
-the figure also agrees with the cumulative budget figure in the corresponding cell (H11) in section "PR_Total PR Cash Outflow_3A). If they do not the background color will be ORANGE. </t>
        </r>
        <r>
          <rPr>
            <sz val="8"/>
            <color indexed="81"/>
            <rFont val="Tahoma"/>
            <family val="2"/>
          </rPr>
          <t xml:space="preserve">
</t>
        </r>
      </text>
    </comment>
    <comment ref="J30" authorId="0">
      <text>
        <r>
          <rPr>
            <b/>
            <sz val="8"/>
            <color indexed="81"/>
            <rFont val="Tahoma"/>
            <family val="2"/>
          </rPr>
          <t>Please ensure that the figure here agrees with the figure in the corresponding cells in Tables B and C. If they do not the background color will be RED</t>
        </r>
        <r>
          <rPr>
            <sz val="8"/>
            <color indexed="81"/>
            <rFont val="Tahoma"/>
            <family val="2"/>
          </rPr>
          <t xml:space="preserve">
</t>
        </r>
      </text>
    </comment>
    <comment ref="K30" authorId="0">
      <text>
        <r>
          <rPr>
            <b/>
            <sz val="8"/>
            <color indexed="81"/>
            <rFont val="Tahoma"/>
            <family val="2"/>
          </rPr>
          <t>Please ensure that the figure here agrees with the figure in the corresponding cells in Tables B and C. If they do not the background color will be RED</t>
        </r>
        <r>
          <rPr>
            <sz val="8"/>
            <color indexed="81"/>
            <rFont val="Tahoma"/>
            <family val="2"/>
          </rPr>
          <t xml:space="preserve">
</t>
        </r>
      </text>
    </comment>
    <comment ref="I33" authorId="0">
      <text>
        <r>
          <rPr>
            <b/>
            <sz val="8"/>
            <color indexed="81"/>
            <rFont val="Tahoma"/>
            <family val="2"/>
          </rPr>
          <t xml:space="preserve">The Cumulative Period should be from the beginning of the grant up to the end of the current reporting period.
</t>
        </r>
        <r>
          <rPr>
            <sz val="8"/>
            <color indexed="81"/>
            <rFont val="Tahoma"/>
            <family val="2"/>
          </rPr>
          <t xml:space="preserve">
</t>
        </r>
      </text>
    </comment>
    <comment ref="A34" authorId="0">
      <text>
        <r>
          <rPr>
            <b/>
            <sz val="8"/>
            <color indexed="81"/>
            <rFont val="Tahoma"/>
            <family val="2"/>
          </rPr>
          <t>Insert Number</t>
        </r>
        <r>
          <rPr>
            <sz val="8"/>
            <color indexed="81"/>
            <rFont val="Tahoma"/>
            <family val="2"/>
          </rPr>
          <t xml:space="preserve">
</t>
        </r>
      </text>
    </comment>
    <comment ref="C34" authorId="0">
      <text>
        <r>
          <rPr>
            <sz val="8"/>
            <color indexed="81"/>
            <rFont val="Tahoma"/>
            <family val="2"/>
          </rPr>
          <t>Please remember to include the full name of the objective. If an objective has more than 1 SDA, repeat the objective name on each row for the relevant SDA</t>
        </r>
      </text>
    </comment>
    <comment ref="H34" authorId="0">
      <text>
        <r>
          <rPr>
            <b/>
            <sz val="8"/>
            <color indexed="81"/>
            <rFont val="Tahoma"/>
            <family val="2"/>
          </rPr>
          <t xml:space="preserve">Please be as specific as possible when describing the Reason for the Variances. Refer to the Guidance Document for additional information.
</t>
        </r>
        <r>
          <rPr>
            <sz val="8"/>
            <color indexed="81"/>
            <rFont val="Tahoma"/>
            <family val="2"/>
          </rPr>
          <t xml:space="preserve">
</t>
        </r>
      </text>
    </comment>
    <comment ref="L34" authorId="0">
      <text>
        <r>
          <rPr>
            <b/>
            <sz val="8"/>
            <color indexed="81"/>
            <rFont val="Tahoma"/>
            <family val="2"/>
          </rPr>
          <t xml:space="preserve">Please be as specific as possible when describing the Reason for the Variances. Refer to the Guidance Document for additional information.
</t>
        </r>
        <r>
          <rPr>
            <sz val="8"/>
            <color indexed="81"/>
            <rFont val="Tahoma"/>
            <family val="2"/>
          </rPr>
          <t xml:space="preserve">
</t>
        </r>
      </text>
    </comment>
    <comment ref="E40" authorId="0">
      <text>
        <r>
          <rPr>
            <b/>
            <sz val="8"/>
            <color indexed="81"/>
            <rFont val="Tahoma"/>
            <family val="2"/>
          </rPr>
          <t>Please ensure that the figure here agrees with the figure in the corresponding cells in Tables A and C. If they do not the background color will be RED</t>
        </r>
        <r>
          <rPr>
            <sz val="8"/>
            <color indexed="81"/>
            <rFont val="Tahoma"/>
            <family val="2"/>
          </rPr>
          <t xml:space="preserve">
</t>
        </r>
      </text>
    </comment>
    <comment ref="F40" authorId="0">
      <text>
        <r>
          <rPr>
            <b/>
            <sz val="8"/>
            <color indexed="81"/>
            <rFont val="Tahoma"/>
            <family val="2"/>
          </rPr>
          <t>Please ensure that the figure here agrees with the figure in the corresponding cells in Tables A and C. If they do not the background color will be RED</t>
        </r>
        <r>
          <rPr>
            <sz val="8"/>
            <color indexed="81"/>
            <rFont val="Tahoma"/>
            <family val="2"/>
          </rPr>
          <t xml:space="preserve">
</t>
        </r>
      </text>
    </comment>
    <comment ref="G40" authorId="0">
      <text>
        <r>
          <rPr>
            <b/>
            <sz val="8"/>
            <color indexed="81"/>
            <rFont val="Tahoma"/>
            <family val="2"/>
          </rPr>
          <t>Please ensure that the figure here agrees with the figure in the corresponding cells in Tables A and C. If they do not the background color will be RED</t>
        </r>
        <r>
          <rPr>
            <sz val="8"/>
            <color indexed="81"/>
            <rFont val="Tahoma"/>
            <family val="2"/>
          </rPr>
          <t xml:space="preserve">
</t>
        </r>
      </text>
    </comment>
    <comment ref="I40" authorId="0">
      <text>
        <r>
          <rPr>
            <b/>
            <sz val="8"/>
            <color indexed="81"/>
            <rFont val="Tahoma"/>
            <family val="2"/>
          </rPr>
          <t>Please ensure that the figure here agrees with the figure in the corresponding cells in Tables A and C. If they do not the background color will be RED</t>
        </r>
        <r>
          <rPr>
            <sz val="8"/>
            <color indexed="81"/>
            <rFont val="Tahoma"/>
            <family val="2"/>
          </rPr>
          <t xml:space="preserve">
</t>
        </r>
      </text>
    </comment>
    <comment ref="J40" authorId="0">
      <text>
        <r>
          <rPr>
            <b/>
            <sz val="8"/>
            <color indexed="81"/>
            <rFont val="Tahoma"/>
            <family val="2"/>
          </rPr>
          <t>Please ensure that the figure here agrees with the figure in the corresponding cells in Tables A and C. If they do not the background color will be RED</t>
        </r>
        <r>
          <rPr>
            <sz val="8"/>
            <color indexed="81"/>
            <rFont val="Tahoma"/>
            <family val="2"/>
          </rPr>
          <t xml:space="preserve">
</t>
        </r>
      </text>
    </comment>
    <comment ref="K40" authorId="0">
      <text>
        <r>
          <rPr>
            <b/>
            <sz val="8"/>
            <color indexed="81"/>
            <rFont val="Tahoma"/>
            <family val="2"/>
          </rPr>
          <t>Please ensure that the figure here agrees with the figure in the corresponding cells in Tables A and C. If they do not the background color will be RED</t>
        </r>
        <r>
          <rPr>
            <sz val="8"/>
            <color indexed="81"/>
            <rFont val="Tahoma"/>
            <family val="2"/>
          </rPr>
          <t xml:space="preserve">
</t>
        </r>
      </text>
    </comment>
    <comment ref="I45" authorId="0">
      <text>
        <r>
          <rPr>
            <b/>
            <sz val="8"/>
            <color indexed="81"/>
            <rFont val="Tahoma"/>
            <family val="2"/>
          </rPr>
          <t xml:space="preserve">The Cumulative Period should be from the beginning of the grant up to the end of the current reporting period.
</t>
        </r>
        <r>
          <rPr>
            <sz val="8"/>
            <color indexed="81"/>
            <rFont val="Tahoma"/>
            <family val="2"/>
          </rPr>
          <t xml:space="preserve">
</t>
        </r>
      </text>
    </comment>
    <comment ref="A46" authorId="0">
      <text>
        <r>
          <rPr>
            <b/>
            <sz val="8"/>
            <color indexed="81"/>
            <rFont val="Tahoma"/>
            <family val="2"/>
          </rPr>
          <t>Insert Number</t>
        </r>
        <r>
          <rPr>
            <sz val="8"/>
            <color indexed="81"/>
            <rFont val="Tahoma"/>
            <family val="2"/>
          </rPr>
          <t xml:space="preserve">
</t>
        </r>
      </text>
    </comment>
    <comment ref="D46" authorId="0">
      <text>
        <r>
          <rPr>
            <sz val="10"/>
            <color indexed="10"/>
            <rFont val="Tahoma"/>
            <family val="2"/>
          </rPr>
          <t>If a Faith Based Organization is also a NGO or CBO. It should be selected as an FBO!</t>
        </r>
        <r>
          <rPr>
            <sz val="8"/>
            <color indexed="81"/>
            <rFont val="Tahoma"/>
            <family val="2"/>
          </rPr>
          <t xml:space="preserve">
</t>
        </r>
      </text>
    </comment>
    <comment ref="H46" authorId="0">
      <text>
        <r>
          <rPr>
            <b/>
            <sz val="8"/>
            <color indexed="81"/>
            <rFont val="Tahoma"/>
            <family val="2"/>
          </rPr>
          <t xml:space="preserve">Please be as specific as possible when describing the Reason for the Variances. Refer to the Guidance Document for additional information.
</t>
        </r>
        <r>
          <rPr>
            <sz val="8"/>
            <color indexed="81"/>
            <rFont val="Tahoma"/>
            <family val="2"/>
          </rPr>
          <t xml:space="preserve">
</t>
        </r>
      </text>
    </comment>
    <comment ref="L46" authorId="0">
      <text>
        <r>
          <rPr>
            <b/>
            <sz val="8"/>
            <color indexed="81"/>
            <rFont val="Tahoma"/>
            <family val="2"/>
          </rPr>
          <t xml:space="preserve">Please be as specific as possible when describing the Reason for the Variances. Refer to the Guidance Document for additional information.
</t>
        </r>
        <r>
          <rPr>
            <sz val="8"/>
            <color indexed="81"/>
            <rFont val="Tahoma"/>
            <family val="2"/>
          </rPr>
          <t xml:space="preserve">
</t>
        </r>
      </text>
    </comment>
    <comment ref="E52" authorId="0">
      <text>
        <r>
          <rPr>
            <b/>
            <sz val="8"/>
            <color indexed="81"/>
            <rFont val="Tahoma"/>
            <family val="2"/>
          </rPr>
          <t>Please ensure that the figure here agrees with the figure in the corresponding cells in Tables A and B. If they do not the background color will be RED</t>
        </r>
        <r>
          <rPr>
            <sz val="8"/>
            <color indexed="81"/>
            <rFont val="Tahoma"/>
            <family val="2"/>
          </rPr>
          <t xml:space="preserve">
</t>
        </r>
      </text>
    </comment>
    <comment ref="F52" authorId="0">
      <text>
        <r>
          <rPr>
            <b/>
            <sz val="8"/>
            <color indexed="81"/>
            <rFont val="Tahoma"/>
            <family val="2"/>
          </rPr>
          <t>Please ensure that the figure here agrees with the figure in the corresponding cells in Tables A and B. If they do not the background color will be RED</t>
        </r>
        <r>
          <rPr>
            <sz val="8"/>
            <color indexed="81"/>
            <rFont val="Tahoma"/>
            <family val="2"/>
          </rPr>
          <t xml:space="preserve">
</t>
        </r>
      </text>
    </comment>
    <comment ref="G52" authorId="0">
      <text>
        <r>
          <rPr>
            <b/>
            <sz val="8"/>
            <color indexed="81"/>
            <rFont val="Tahoma"/>
            <family val="2"/>
          </rPr>
          <t>Please ensure that the figure here agrees with the figure in the corresponding cells in Tables A and B. If they do not the background color will be RED</t>
        </r>
        <r>
          <rPr>
            <sz val="8"/>
            <color indexed="81"/>
            <rFont val="Tahoma"/>
            <family val="2"/>
          </rPr>
          <t xml:space="preserve">
</t>
        </r>
      </text>
    </comment>
    <comment ref="I52" authorId="0">
      <text>
        <r>
          <rPr>
            <b/>
            <sz val="8"/>
            <color indexed="81"/>
            <rFont val="Tahoma"/>
            <family val="2"/>
          </rPr>
          <t>Please ensure that the figure here agrees with the figure in the corresponding cells in Tables A and B. If they do not the background color will be RED</t>
        </r>
        <r>
          <rPr>
            <sz val="8"/>
            <color indexed="81"/>
            <rFont val="Tahoma"/>
            <family val="2"/>
          </rPr>
          <t xml:space="preserve">
</t>
        </r>
      </text>
    </comment>
    <comment ref="J52" authorId="0">
      <text>
        <r>
          <rPr>
            <b/>
            <sz val="8"/>
            <color indexed="81"/>
            <rFont val="Tahoma"/>
            <family val="2"/>
          </rPr>
          <t>Please ensure that the figure here agrees with the figure in the corresponding cells in Tables A and B. If they do not the background color will be RED</t>
        </r>
        <r>
          <rPr>
            <sz val="8"/>
            <color indexed="81"/>
            <rFont val="Tahoma"/>
            <family val="2"/>
          </rPr>
          <t xml:space="preserve">
</t>
        </r>
      </text>
    </comment>
    <comment ref="K52" authorId="0">
      <text>
        <r>
          <rPr>
            <b/>
            <sz val="8"/>
            <color indexed="81"/>
            <rFont val="Tahoma"/>
            <family val="2"/>
          </rPr>
          <t>Please ensure that the figure here agrees with the figure in the corresponding cells in Tables A and B. If they do not the background color will be RED</t>
        </r>
        <r>
          <rPr>
            <sz val="8"/>
            <color indexed="81"/>
            <rFont val="Tahoma"/>
            <family val="2"/>
          </rPr>
          <t xml:space="preserve">
</t>
        </r>
      </text>
    </comment>
    <comment ref="E68" authorId="0">
      <text>
        <r>
          <rPr>
            <b/>
            <sz val="8"/>
            <color indexed="81"/>
            <rFont val="Tahoma"/>
            <family val="2"/>
          </rPr>
          <t xml:space="preserve">The Cumulative Period should be from the beginning of the grant up to the end of the current reporting period.
</t>
        </r>
        <r>
          <rPr>
            <sz val="8"/>
            <color indexed="81"/>
            <rFont val="Tahoma"/>
            <family val="2"/>
          </rPr>
          <t xml:space="preserve">
</t>
        </r>
      </text>
    </comment>
    <comment ref="A69" authorId="0">
      <text>
        <r>
          <rPr>
            <b/>
            <sz val="8"/>
            <color indexed="81"/>
            <rFont val="Tahoma"/>
            <family val="2"/>
          </rPr>
          <t>Insert Number</t>
        </r>
        <r>
          <rPr>
            <sz val="8"/>
            <color indexed="81"/>
            <rFont val="Tahoma"/>
            <family val="2"/>
          </rPr>
          <t xml:space="preserve">
</t>
        </r>
      </text>
    </comment>
    <comment ref="C69" authorId="0">
      <text>
        <r>
          <rPr>
            <sz val="10"/>
            <color indexed="10"/>
            <rFont val="Tahoma"/>
            <family val="2"/>
          </rPr>
          <t>If a Faith Based Organization is also a NGO or CBO. It should be selected as an FBO!</t>
        </r>
        <r>
          <rPr>
            <sz val="8"/>
            <color indexed="81"/>
            <rFont val="Tahoma"/>
            <family val="2"/>
          </rPr>
          <t xml:space="preserve">
</t>
        </r>
      </text>
    </comment>
    <comment ref="E69" authorId="0">
      <text>
        <r>
          <rPr>
            <b/>
            <sz val="8"/>
            <color indexed="81"/>
            <rFont val="Tahoma"/>
            <family val="2"/>
          </rPr>
          <t xml:space="preserve">Please be as specific as possible when describing the Reason for the Variances. Refer to the Guidance Document for additional information.
</t>
        </r>
        <r>
          <rPr>
            <sz val="8"/>
            <color indexed="81"/>
            <rFont val="Tahoma"/>
            <family val="2"/>
          </rPr>
          <t xml:space="preserve">
</t>
        </r>
      </text>
    </comment>
    <comment ref="D75" authorId="0">
      <text>
        <r>
          <rPr>
            <b/>
            <sz val="8"/>
            <color indexed="81"/>
            <rFont val="Tahoma"/>
            <family val="2"/>
          </rPr>
          <t>Please ensure that the figure here agrees with the figure in the corresponding cells in Tables A and B. If they do not the background color will be RED</t>
        </r>
        <r>
          <rPr>
            <sz val="8"/>
            <color indexed="81"/>
            <rFont val="Tahoma"/>
            <family val="2"/>
          </rPr>
          <t xml:space="preserve">
</t>
        </r>
      </text>
    </comment>
  </commentList>
</comments>
</file>

<file path=xl/comments2.xml><?xml version="1.0" encoding="utf-8"?>
<comments xmlns="http://schemas.openxmlformats.org/spreadsheetml/2006/main">
  <authors>
    <author>ppower</author>
  </authors>
  <commentList>
    <comment ref="A16" authorId="0">
      <text>
        <r>
          <rPr>
            <b/>
            <sz val="8"/>
            <color indexed="81"/>
            <rFont val="Tahoma"/>
            <family val="2"/>
          </rPr>
          <t>This category should only be used as a last resort if there is a type of cost that absolutely cannot be allocated to another cost category</t>
        </r>
        <r>
          <rPr>
            <sz val="8"/>
            <color indexed="81"/>
            <rFont val="Tahoma"/>
            <family val="2"/>
          </rPr>
          <t xml:space="preserve">
</t>
        </r>
      </text>
    </comment>
  </commentList>
</comments>
</file>

<file path=xl/sharedStrings.xml><?xml version="1.0" encoding="utf-8"?>
<sst xmlns="http://schemas.openxmlformats.org/spreadsheetml/2006/main" count="1924" uniqueCount="856">
  <si>
    <t xml:space="preserve">Variance between Latest Cumulative Expenditure Reported and Cumulative Budget </t>
  </si>
  <si>
    <t>Currency</t>
  </si>
  <si>
    <t>Top 10 indicator?</t>
  </si>
  <si>
    <t>LFA has debriefed the Principal Recipient on the key findings (comment on the format of this debriefing)</t>
  </si>
  <si>
    <t>Description of Identified Issues 
(in order of importance)</t>
  </si>
  <si>
    <t>LFA Recommendations 
(in order of importance)</t>
  </si>
  <si>
    <t>Status</t>
  </si>
  <si>
    <t>1. Total cash outflow vs. budget</t>
  </si>
  <si>
    <r>
      <t xml:space="preserve">2.  Cash received by the PR from the Global Fund during the period covered by this progress update: </t>
    </r>
    <r>
      <rPr>
        <vertAlign val="superscript"/>
        <sz val="11"/>
        <rFont val="Arial"/>
        <family val="2"/>
      </rPr>
      <t>(1)</t>
    </r>
  </si>
  <si>
    <r>
      <t xml:space="preserve"> by the Progress Update</t>
    </r>
    <r>
      <rPr>
        <sz val="11"/>
        <rFont val="Arial"/>
        <family val="2"/>
      </rPr>
      <t>:</t>
    </r>
  </si>
  <si>
    <t>Section 3A:  Total PR Cash Outflow</t>
  </si>
  <si>
    <t xml:space="preserve">LFA Comments/Analysis </t>
  </si>
  <si>
    <t>1. Anti-malaria medicines</t>
  </si>
  <si>
    <t>3. Rapid Diagnostic Tests</t>
  </si>
  <si>
    <t>4. Condoms</t>
  </si>
  <si>
    <t>5. Anti-retrovirals</t>
  </si>
  <si>
    <t>6. Anti-TB Medicines</t>
  </si>
  <si>
    <t>Yes</t>
  </si>
  <si>
    <t>No</t>
  </si>
  <si>
    <t>Program management (including SR management)</t>
  </si>
  <si>
    <t>Financial management and systems</t>
  </si>
  <si>
    <t>Monitoring and evaluation</t>
  </si>
  <si>
    <t>Pharmaceutical &amp; health product management</t>
  </si>
  <si>
    <t>Other management issues, including: PR capacity to develop quality programmatic and financial reports</t>
  </si>
  <si>
    <t>2. Bed nets</t>
  </si>
  <si>
    <t>Reasons for programmatic deviation from intended target and deviations from the related workplan activities</t>
  </si>
  <si>
    <t>Verified Result</t>
  </si>
  <si>
    <t>A.  Impact / Outcome Indicators</t>
  </si>
  <si>
    <t>A. Impact / Outcome Indicators</t>
  </si>
  <si>
    <t>Name of Entity</t>
  </si>
  <si>
    <t>Type of Implementing Entity</t>
  </si>
  <si>
    <t>Date of Most Recent Disbursement to SR</t>
  </si>
  <si>
    <t>Disbursed during Reporting Period*</t>
  </si>
  <si>
    <t>Cumulative Disbursed through period of Progress Update*</t>
  </si>
  <si>
    <t>Latest Cumulative Actual Expenditure (as per most recent SR reports available at PR level)</t>
  </si>
  <si>
    <t>End date of period covered in most recent SR report</t>
  </si>
  <si>
    <t>Expenditure Verified by PR (YES/NO)</t>
  </si>
  <si>
    <t>TOTAL</t>
  </si>
  <si>
    <t>Approved budget amount (reported by PR):</t>
  </si>
  <si>
    <r>
      <t xml:space="preserve">Due date 
</t>
    </r>
    <r>
      <rPr>
        <b/>
        <sz val="9"/>
        <rFont val="Arial"/>
        <family val="2"/>
      </rPr>
      <t>(dd-mmm-yy)</t>
    </r>
  </si>
  <si>
    <t xml:space="preserve">    2a.  Medicines and pharmaceutical products</t>
  </si>
  <si>
    <t xml:space="preserve">    2b.  Health products and health equipment</t>
  </si>
  <si>
    <t>approved budget amount:</t>
  </si>
  <si>
    <t>LFA-verified approved budget amount:</t>
  </si>
  <si>
    <r>
      <t xml:space="preserve">3.  Cash disbursed to third parties by the Global Fund on behalf of the PR during the period covered by this progress update: </t>
    </r>
    <r>
      <rPr>
        <vertAlign val="superscript"/>
        <sz val="11"/>
        <rFont val="Arial"/>
        <family val="2"/>
      </rPr>
      <t>(1)</t>
    </r>
  </si>
  <si>
    <t>- used to convert Total PR Cash Outflow for the Progress Update Period</t>
  </si>
  <si>
    <t>6.  Other income, if applicable (e.g. income from disposal of fixed assets, tax refunds)</t>
  </si>
  <si>
    <r>
      <t xml:space="preserve">8.  Net exchange rate gains/losses </t>
    </r>
    <r>
      <rPr>
        <i/>
        <sz val="11"/>
        <rFont val="Arial"/>
        <family val="2"/>
      </rPr>
      <t>(gains should be shown with a minus sign; losses should be shown with a plus sign)</t>
    </r>
  </si>
  <si>
    <t>8.  Net exchange rate gains/losses (gains should be shown with a minus sign; losses should be shown with a plus sign)</t>
  </si>
  <si>
    <t>Rates used by the PR</t>
  </si>
  <si>
    <t>LFA-verified rates</t>
  </si>
  <si>
    <t>Due date</t>
  </si>
  <si>
    <t>Cumulative Budget through period of Progress Update</t>
  </si>
  <si>
    <t>2. Total pharmaceutical &amp; health product expenditures vs. budget</t>
  </si>
  <si>
    <t>2.  Cash received by the PR from the Global Fund during the period covered by this progress update:</t>
  </si>
  <si>
    <t>- used to convert Total Cash Outflow for the Progress Update Period</t>
  </si>
  <si>
    <t>7.  Total cash outflow during period covered by Progress Update (value entered in Section 3A "Total cash outflow"):</t>
  </si>
  <si>
    <t>LFA-VERIFIED TABLES ON TOTAL PR CASH OUTFLOW</t>
  </si>
  <si>
    <t>Tied to</t>
  </si>
  <si>
    <t>State the amount in words</t>
  </si>
  <si>
    <t xml:space="preserve">* If LFA-entered data differs from PR's figures, the respective cells will change colour automatically </t>
  </si>
  <si>
    <t>On-going Progress Update and Disbursement Request</t>
  </si>
  <si>
    <t>Note: The table below should contain those Impact/Outcome indicators that are (1) due for reporting during the current year of a grant and (2) those reporting on which is overdue from the previous periods.</t>
  </si>
  <si>
    <r>
      <t xml:space="preserve">Intended Target
to date
 </t>
    </r>
    <r>
      <rPr>
        <sz val="11"/>
        <rFont val="Arial"/>
        <family val="2"/>
      </rPr>
      <t>(from PF)</t>
    </r>
  </si>
  <si>
    <t>Actual Cash Outflow for Reporting Period</t>
  </si>
  <si>
    <t>Cumulative Actual Cash Outflow through period of Progress Update</t>
  </si>
  <si>
    <t>PR's explanation of variance (mandatory for amounts above $50,000 and with more than 10% variance)</t>
  </si>
  <si>
    <t>B.  LFA-RECOMMENDED DISBURSEMENT AMOUNT AND EXPLANATIONS</t>
  </si>
  <si>
    <t>Country:</t>
  </si>
  <si>
    <t>Disease:</t>
  </si>
  <si>
    <t>Grant number:</t>
  </si>
  <si>
    <t xml:space="preserve">LFA comments on (a) verified result, (b) source of information used by the PR to report results, including the status of completion of surveys and other methods to measure Impact/Outcome, as applicable,  </t>
  </si>
  <si>
    <r>
      <t xml:space="preserve">% achievement
</t>
    </r>
    <r>
      <rPr>
        <u/>
        <sz val="11"/>
        <rFont val="Arial"/>
        <family val="2"/>
      </rPr>
      <t>(Please calculate as appropriate</t>
    </r>
    <r>
      <rPr>
        <sz val="11"/>
        <rFont val="Arial"/>
        <family val="2"/>
      </rPr>
      <t>)</t>
    </r>
  </si>
  <si>
    <r>
      <t xml:space="preserve">C LFA comments on data quality and reporting issues
</t>
    </r>
    <r>
      <rPr>
        <b/>
        <sz val="11"/>
        <color indexed="12"/>
        <rFont val="Arial"/>
        <family val="2"/>
      </rPr>
      <t>(!)</t>
    </r>
    <r>
      <rPr>
        <b/>
        <sz val="11"/>
        <rFont val="Arial"/>
        <family val="2"/>
      </rPr>
      <t xml:space="preserve"> </t>
    </r>
    <r>
      <rPr>
        <sz val="11"/>
        <rFont val="Arial"/>
        <family val="2"/>
      </rPr>
      <t xml:space="preserve">This section should contain any common issues and/or additional information related to data quality and reporting on the programmatic indicators which are not covered in 'LFA analysis on progress to date and any variance between targets and results' </t>
    </r>
  </si>
  <si>
    <t>Country</t>
  </si>
  <si>
    <t>PLEASE REFER TO THE "GUIDANCE FOR COMPLETION OF THE ENHANCED FINANCIAL REPORTING TEMPLATE" DOCUMENT TO ASSIST YOU IN COMPLETING THE TEMPLATE</t>
  </si>
  <si>
    <t>Grant No.</t>
  </si>
  <si>
    <t>PR</t>
  </si>
  <si>
    <t>Please Select …</t>
  </si>
  <si>
    <t>dd-mm-yyyy</t>
  </si>
  <si>
    <t>Current Reporting Period</t>
  </si>
  <si>
    <t>Start Date:</t>
  </si>
  <si>
    <t>Cumulative Reporting Period</t>
  </si>
  <si>
    <t>The end date for the current reporting period and cumulative reporting period must be the same</t>
  </si>
  <si>
    <t xml:space="preserve">The "TOTAL" rows in Table A, B and C will have a RED background if the amounts in each table do not agree. If the Totals for each Table agrees, these rows will have a YELLOW background. </t>
  </si>
  <si>
    <t>A- BREAKDOWN* BY  EXPENDITURE CATEGORY</t>
  </si>
  <si>
    <t>#</t>
  </si>
  <si>
    <t>Category</t>
  </si>
  <si>
    <t xml:space="preserve"> 
Budget</t>
  </si>
  <si>
    <t xml:space="preserve">
Expenditures</t>
  </si>
  <si>
    <t>Cumulative Budget</t>
  </si>
  <si>
    <t>Cumulative Expenditure</t>
  </si>
  <si>
    <t>Human Resources</t>
  </si>
  <si>
    <t>Technical Assistance</t>
  </si>
  <si>
    <t>Training</t>
  </si>
  <si>
    <t>Health Products and Health Equipment</t>
  </si>
  <si>
    <t>Medicines and Pharmaceutical Products</t>
  </si>
  <si>
    <t>Procurement and Supply Management Costs</t>
  </si>
  <si>
    <t>Infrastructure and Other Equipment</t>
  </si>
  <si>
    <t>Communication Materials</t>
  </si>
  <si>
    <t>Planning and Administration</t>
  </si>
  <si>
    <t>Overheads</t>
  </si>
  <si>
    <t>Other</t>
  </si>
  <si>
    <t>B- BREAKDOWN* BY PROGRAM ACTIVITY</t>
  </si>
  <si>
    <t>Macro-category</t>
  </si>
  <si>
    <t>Objectives</t>
  </si>
  <si>
    <t>Service Delivery Area</t>
  </si>
  <si>
    <t>Please Select…</t>
  </si>
  <si>
    <t>C- BREAKDOWN* BY IMPLEMENTING ENTITY</t>
  </si>
  <si>
    <t>PR/SR</t>
  </si>
  <si>
    <t>Name</t>
  </si>
  <si>
    <t>Type of
Implementing Entity</t>
  </si>
  <si>
    <t>** For the purposes of this report, the SDA Program management and administration should be included in the Supportive Environment Macro Category.</t>
  </si>
  <si>
    <t>D- ADDITIONAL INFORMATION</t>
  </si>
  <si>
    <r>
      <t>Please disclose any relevant information concerning the information in the above tables.</t>
    </r>
    <r>
      <rPr>
        <b/>
        <i/>
        <sz val="11"/>
        <rFont val="Arial"/>
        <family val="2"/>
      </rPr>
      <t xml:space="preserve"> Refer to the Guidelines for Completing the Template if required.</t>
    </r>
  </si>
  <si>
    <t>3.  Indicate any expenditures (incurred or forecasted) that should not be financed by the Global Fund</t>
  </si>
  <si>
    <t>Annex to PU/DR - Sub-recipient financial information - FOR DISCRETIONARY COMPLETION, UPON THE SECRETARIAT'S REQUEST</t>
  </si>
  <si>
    <t>Has the Secretariat requested the PR to complete this Annex for this reporting period?</t>
  </si>
  <si>
    <t>Prevention</t>
  </si>
  <si>
    <t>Treatment</t>
  </si>
  <si>
    <t>Care and Support</t>
  </si>
  <si>
    <t>TB/HIV Collaborative Activities</t>
  </si>
  <si>
    <t>Supportive Environment</t>
  </si>
  <si>
    <t>-</t>
  </si>
  <si>
    <t>FBO</t>
  </si>
  <si>
    <t>NGO/CBO/Academic</t>
  </si>
  <si>
    <t>Private Sector</t>
  </si>
  <si>
    <t>Other Government</t>
  </si>
  <si>
    <t>UNDP</t>
  </si>
  <si>
    <t>Annex 1</t>
  </si>
  <si>
    <t>Use these worksheets to provide more detailed information on EFR variances if necessary</t>
  </si>
  <si>
    <r>
      <t>!</t>
    </r>
    <r>
      <rPr>
        <sz val="14"/>
        <rFont val="Arial"/>
        <family val="2"/>
      </rPr>
      <t xml:space="preserve"> For RCC grants the cumulative section of the table below should contain cumulative amount from the start of the RCC and not from the start of Phase 1 of the program.</t>
    </r>
  </si>
  <si>
    <t>9. Reconciliation adjustments (gains should be shown with a minus sign; losses should be shown with a plus sign)</t>
  </si>
  <si>
    <r>
      <t xml:space="preserve">9. Reconciliation adjustments </t>
    </r>
    <r>
      <rPr>
        <i/>
        <sz val="11"/>
        <rFont val="Arial"/>
        <family val="2"/>
      </rPr>
      <t>(gains should be shown with a minus sign; losses should be shown with a plus sign</t>
    </r>
    <r>
      <rPr>
        <sz val="11"/>
        <rFont val="Arial"/>
        <family val="2"/>
      </rPr>
      <t>)</t>
    </r>
  </si>
  <si>
    <t>10.  Cash Balance: End of period covered by Progress Update:</t>
  </si>
  <si>
    <t>Explanation of reconciliation adjustments (line 9)</t>
  </si>
  <si>
    <t>LFA Comments on verified amounts (if they are different from those reported by the PR) and PR's explanation of reconciliation adjustments (line 9)</t>
  </si>
  <si>
    <t>Objective No.</t>
  </si>
  <si>
    <t>TERMS AND ACRONYMS USED IN THIS PROGRESS REVIEW AND DISBURSEMENT RECOMMENDATION HAVE THE MEANING GIVEN TO THEM IN THE GRANT AGREEMENT RELATING TO THE ABOVE GRANT</t>
  </si>
  <si>
    <t>Verification Method</t>
  </si>
  <si>
    <t>LFA Organization / Responsible office:</t>
  </si>
  <si>
    <t>Signature on behalf of Principal Recipient is authentic and the person to whom it belongs is authorized to sign the disbursement request</t>
  </si>
  <si>
    <t>Conditions Precedent for disbursement and/or Special Conditions, if any, have been met (see Section 2, if applicable).</t>
  </si>
  <si>
    <t>Programmatic information provided by Principal Recipient in its On-going Progress Review and Disbursement Recommendation has been verified and corresponds with actual program progress.</t>
  </si>
  <si>
    <t>Exchange rate stated by Principal Recipient has been verified and is correct.</t>
  </si>
  <si>
    <t xml:space="preserve">Signed on behalf of the LFA: </t>
  </si>
  <si>
    <t xml:space="preserve">Name: </t>
  </si>
  <si>
    <t xml:space="preserve">Title: </t>
  </si>
  <si>
    <t xml:space="preserve">Date and Place: </t>
  </si>
  <si>
    <t>On behalf of the PR, the undersigned hereby requests the Global Fund to disburse funds under the above-referenced Grant Agreement as follows:</t>
  </si>
  <si>
    <t>List of supporting documents for PU/DR review</t>
  </si>
  <si>
    <t>PR's explanation of any significant variance between forecasted amounts and amounts as originally budgeted.</t>
  </si>
  <si>
    <r>
      <t xml:space="preserve">The following information provided by the Principal Recipient in its </t>
    </r>
    <r>
      <rPr>
        <i/>
        <sz val="11"/>
        <rFont val="Arial"/>
        <family val="2"/>
      </rPr>
      <t>On-going Progress Review and Disbursement Request</t>
    </r>
    <r>
      <rPr>
        <sz val="11"/>
        <rFont val="Arial"/>
        <family val="2"/>
      </rPr>
      <t xml:space="preserve"> has been verified:</t>
    </r>
  </si>
  <si>
    <t>Program Expenditures and cash reconciliation have been verified and correspond with the PR's Statement of Sources and Uses of Funds (Cash Flow Statement).</t>
  </si>
  <si>
    <t>Comments regarding verifications, if any:</t>
  </si>
  <si>
    <t>GENERAL GRANT INFORMATION</t>
  </si>
  <si>
    <t>PROGRESS UPDATE PERIOD</t>
  </si>
  <si>
    <t>DISBURSEMENT REQUEST PERIOD</t>
  </si>
  <si>
    <t>Upon completion, this form should be submitted (with supporting documentation) to the Local Fund Agent and copied to the Global Fund.</t>
  </si>
  <si>
    <t>Service Delivery Areas</t>
  </si>
  <si>
    <t>Impact Indicators</t>
  </si>
  <si>
    <t>IndicatorTypes</t>
  </si>
  <si>
    <t>Outcome Indicators</t>
  </si>
  <si>
    <t>DataSources</t>
  </si>
  <si>
    <t>Please select…</t>
  </si>
  <si>
    <t>Prevention: BCC - Mass media</t>
  </si>
  <si>
    <t xml:space="preserve">% of young women and men aged 15-24 who are HIV infected </t>
  </si>
  <si>
    <t>impact</t>
  </si>
  <si>
    <t xml:space="preserve">% of young people aged 15-24 who had sex with more than one partner in the last year </t>
  </si>
  <si>
    <t>National Health Accounts</t>
  </si>
  <si>
    <t>Please enter a corresponding indicator here…</t>
  </si>
  <si>
    <t>Prevention: BCC - community outreach</t>
  </si>
  <si>
    <t xml:space="preserve">% of adults aged 15-49 who are HIV infected </t>
  </si>
  <si>
    <t>outcome</t>
  </si>
  <si>
    <t xml:space="preserve">% of young people aged 15-19 who have never had sex </t>
  </si>
  <si>
    <t>DHS/DHS+ (Demographic and Health Survey)</t>
  </si>
  <si>
    <t>Please enter a data source here…</t>
  </si>
  <si>
    <t>Prevention: Condom distribution</t>
  </si>
  <si>
    <t xml:space="preserve">% of adults and children with HIV still alive 12 months after initiation of antiretroviral therapy (extend to 2, 3, 5 years as program matures) </t>
  </si>
  <si>
    <t>% of young people aged 15-24 who never had sex in the last year of those who ever had sex</t>
  </si>
  <si>
    <t>MICS (Multiple Indicator Cluster Survey)</t>
  </si>
  <si>
    <t>Please enter a SDA here…</t>
  </si>
  <si>
    <t>Prevention: Testing and Counseling</t>
  </si>
  <si>
    <t xml:space="preserve">% of infants born to HIV infected mothers who are infected </t>
  </si>
  <si>
    <t xml:space="preserve">% of young people aged 15-24 reporting the consistent use of a condom with non-regular sexual partners in the last year </t>
  </si>
  <si>
    <t>AIS (AIDS Indicator Survey)</t>
  </si>
  <si>
    <t>Prevention: PMTCT</t>
  </si>
  <si>
    <t xml:space="preserve">% of most-at-risk population(s) (sex workers, clients of sex workers, men who have sex with men, injecting drug users) who are HIV infected </t>
  </si>
  <si>
    <t xml:space="preserve">% of young women and men who had sex before the age of 15 </t>
  </si>
  <si>
    <t>SAMS (Service Availibility Mapping Survey)</t>
  </si>
  <si>
    <t xml:space="preserve">Conditions Precedent and/or other special conditions
</t>
  </si>
  <si>
    <r>
      <t xml:space="preserve">! </t>
    </r>
    <r>
      <rPr>
        <sz val="13"/>
        <rFont val="Arial"/>
        <family val="2"/>
      </rPr>
      <t>Please indicate a date for the report due for submission.  If a report is overdue, indicate the original due date and explain the reason for delay.</t>
    </r>
  </si>
  <si>
    <t>This table should contain the due date for the report due for submission.  If a report is overdue, indicate the original due date and explain the reason for delay.</t>
  </si>
  <si>
    <t>FPM Comments
(to be completed upon receipt of the LFA-verified form)</t>
  </si>
  <si>
    <t>% of children U5 sleeping under an ITN the previous night</t>
  </si>
  <si>
    <t>MIS (Malaria Indicator Survey)</t>
  </si>
  <si>
    <t>Prevention: Vector control (other than ITNs)</t>
  </si>
  <si>
    <t>Laboratory-confirmed malaria cases seen in heath facilities</t>
  </si>
  <si>
    <t>% of households with at least one ITN</t>
  </si>
  <si>
    <t>Prevention: other - specify</t>
  </si>
  <si>
    <t>Laboratory-confirmed malaria deaths seen in health facilities</t>
  </si>
  <si>
    <t>% of pregnant women (and other target groups) sleeping under an ITN the previous night</t>
  </si>
  <si>
    <t>Treatment: Prompt, effective anti-malarial treatment</t>
  </si>
  <si>
    <t>Malaria-attributed deaths in sentinel demographic surveillance sites</t>
  </si>
  <si>
    <t>% of pregnant women on Intermittent preventive treatment (IPT) according to national policy (specific to Sub-Saharian Africa)</t>
  </si>
  <si>
    <t>PR Total Forecast</t>
  </si>
  <si>
    <t>LFA Total Forecast</t>
  </si>
  <si>
    <t>Treatment: Home based management of malaria</t>
  </si>
  <si>
    <t>API (Annual Parasite Index) (specific to Latin America and Asia)</t>
  </si>
  <si>
    <t>% of households in malaria areas protected by IRS</t>
  </si>
  <si>
    <t>MOH (routine HIS or HMIS)</t>
  </si>
  <si>
    <t>Treatment: Diagnosis</t>
  </si>
  <si>
    <t>RBM (Roll Back Malaria)</t>
  </si>
  <si>
    <t>Treatment: other - specify</t>
  </si>
  <si>
    <t>Supportive environment: Monitoring drug resistance</t>
  </si>
  <si>
    <t>Supportive environment: Monitoring insecticide resistance</t>
  </si>
  <si>
    <t>Supportive environment: Coordination and partnership development (national, community, public-private)</t>
  </si>
  <si>
    <t>Supportive environment: other - specify</t>
  </si>
  <si>
    <t>HSS (Health Systems Strengthening): Service delivery</t>
  </si>
  <si>
    <t>HSS: other - specify</t>
  </si>
  <si>
    <t>Questionnaire</t>
  </si>
  <si>
    <t>Please select disease and Impact/Outcome first</t>
  </si>
  <si>
    <t>Indicator No.</t>
  </si>
  <si>
    <t>Enhanced Financial Reporting (EFR)</t>
  </si>
  <si>
    <t>Required Documentation</t>
  </si>
  <si>
    <t>Comments</t>
  </si>
  <si>
    <t>- used to convert Opening Cash Balance</t>
  </si>
  <si>
    <t>- used to convert Closing Cash Balance</t>
  </si>
  <si>
    <t>LFA Comments</t>
  </si>
  <si>
    <t>Section 2:  Grant Management</t>
  </si>
  <si>
    <t>LFA Analysis of Variance</t>
  </si>
  <si>
    <t>Report Due Date</t>
  </si>
  <si>
    <t>Comments on results on Impact/Outcome indicators and data sources, and any other comments</t>
  </si>
  <si>
    <r>
      <t xml:space="preserve">C. Analysis of data quality and reporting issues
</t>
    </r>
    <r>
      <rPr>
        <b/>
        <sz val="11"/>
        <color indexed="12"/>
        <rFont val="Arial"/>
        <family val="2"/>
      </rPr>
      <t>(!)</t>
    </r>
    <r>
      <rPr>
        <sz val="11"/>
        <color indexed="12"/>
        <rFont val="Arial"/>
        <family val="2"/>
      </rPr>
      <t xml:space="preserve"> </t>
    </r>
    <r>
      <rPr>
        <sz val="11"/>
        <rFont val="Arial"/>
        <family val="2"/>
      </rPr>
      <t>This section should contain (1) a summary of issues related to data quality and reporting on programmatic indicators, and any relevant issues which are not covered in 'Reasons for programmatic deviation', and (2) remedial actions that are underway or planned to address these issues.</t>
    </r>
  </si>
  <si>
    <t>Section 5:  LFA-verified Cash Reconciliation &amp; Disbursement Recommendation</t>
  </si>
  <si>
    <t>Disbursement Request - Disbursement Period:</t>
  </si>
  <si>
    <t>3.  Comment on additional issues related to the procurement and supply management of pharmaceuticals and health products</t>
  </si>
  <si>
    <t>PR's response</t>
  </si>
  <si>
    <t>LFA's response</t>
  </si>
  <si>
    <t>Reporting Currency</t>
  </si>
  <si>
    <t>PQR Product Categories</t>
  </si>
  <si>
    <t xml:space="preserve">DISBURSEMENT REQUEST </t>
  </si>
  <si>
    <t xml:space="preserve">PROGRESS UPDATE </t>
  </si>
  <si>
    <t>Care and support: Care and support for the chronically ill</t>
  </si>
  <si>
    <t>Principal Recipient:</t>
  </si>
  <si>
    <t>Currency:</t>
  </si>
  <si>
    <t>Beginning Date:</t>
  </si>
  <si>
    <t>Value</t>
  </si>
  <si>
    <t>Year</t>
  </si>
  <si>
    <t>Indicator Description</t>
  </si>
  <si>
    <t>Conditions Precedent and/or other special conditions</t>
  </si>
  <si>
    <t>Budget for Reporting Period</t>
  </si>
  <si>
    <t>Variance</t>
  </si>
  <si>
    <t>Reason for Variance</t>
  </si>
  <si>
    <t xml:space="preserve">    1a. PR's total expenditures</t>
  </si>
  <si>
    <t xml:space="preserve">    1b. Disbursements to sub-recipients</t>
  </si>
  <si>
    <t>A: CASH RECONCILIATION FOR PERIOD COVERED BY PROGRESS UPDATE</t>
  </si>
  <si>
    <t>Add:</t>
  </si>
  <si>
    <t>Less:</t>
  </si>
  <si>
    <t>B: DISBURSEMENT REQUEST</t>
  </si>
  <si>
    <t>end date:</t>
  </si>
  <si>
    <t>A: CASH REQUEST</t>
  </si>
  <si>
    <t>Signed on behalf of the Principal Recipient:
(signature of Authorized Designated Representative)</t>
  </si>
  <si>
    <t>Select</t>
  </si>
  <si>
    <t>End Date:</t>
  </si>
  <si>
    <t>Total forecasted net cash expenditures by the Principal Recipient for the period immediately following the period covered</t>
  </si>
  <si>
    <t>Name:</t>
  </si>
  <si>
    <t>Title:</t>
  </si>
  <si>
    <t>Date and Place:</t>
  </si>
  <si>
    <t>Program Start Date:</t>
  </si>
  <si>
    <t>B: AUTHORIZATION</t>
  </si>
  <si>
    <t>Grant Number:</t>
  </si>
  <si>
    <r>
      <t xml:space="preserve">Baseline 
</t>
    </r>
    <r>
      <rPr>
        <sz val="11"/>
        <rFont val="Arial"/>
        <family val="2"/>
      </rPr>
      <t>(if applicable)</t>
    </r>
  </si>
  <si>
    <t>The undersigned acknowledges that: (i) all the information (programmatic, financial, or otherwise) provided in this Progress Update and Disbursement Request is complete and accurate; (ii) funds disbursed in accordance with this request shall be deposited in the bank account specified in block 9 of the face sheet of the Grant Agreement unless otherwise specified herein; and (iii) funds disbursed under the Grant Agreement shall be used in accordance with the Grant Agreement.</t>
  </si>
  <si>
    <t>Owner of Bank Account:</t>
  </si>
  <si>
    <t>Bank SWIFT Code:</t>
  </si>
  <si>
    <t>forecasted amount:</t>
  </si>
  <si>
    <t>Progress Update - Reporting Period:</t>
  </si>
  <si>
    <t>Progress Update - Period Covered:</t>
  </si>
  <si>
    <t>Progress Update - Number:</t>
  </si>
  <si>
    <t>Disbursement Request  - Period Covered:</t>
  </si>
  <si>
    <t>Disbursement Request  - Number:</t>
  </si>
  <si>
    <t>Disbursement Request  - Disbursement Period:</t>
  </si>
  <si>
    <t>Cycle:</t>
  </si>
  <si>
    <t>Number:</t>
  </si>
  <si>
    <t>LFA On-going Progress Review and Disbursement Recommendation</t>
  </si>
  <si>
    <t xml:space="preserve">Impact / Outcome </t>
  </si>
  <si>
    <t>In this section the LFA should indicate, as applicable, what percentage of expenditures was verified at PR level, if any expenditures were verified at SR level, how many site visits were made, what tender documentation was verified, and any other material parts of verification procedures in line with the verification approach agreed upfront between the LFA and GF Secretariat based on country/grant risks.  As a good practice, the verification approach needs to be reviewed jointly by the LFA and the Secretariat annually.</t>
  </si>
  <si>
    <t>B.  Planned Changes in the Program, if any</t>
  </si>
  <si>
    <t>C.  External factors beyond the control of the Principal Recipient that have impacted or may impact the Program</t>
  </si>
  <si>
    <r>
      <t>B.  LFA comments on PR planned changes in the program, if any</t>
    </r>
    <r>
      <rPr>
        <sz val="11"/>
        <color indexed="9"/>
        <rFont val="Arial"/>
        <family val="2"/>
      </rPr>
      <t/>
    </r>
  </si>
  <si>
    <t>C.  LFA Comments on External Factors Beyond Control of the Principal Recipients that have impacted or may impact program</t>
  </si>
  <si>
    <t>A.  PR's Overall Self-Evaluation of Grant Performance (including a summary of how financial performance is linked to programmatic achievements)</t>
  </si>
  <si>
    <t>Prevention: Post-exposure prophylaxis (PEP)</t>
  </si>
  <si>
    <t>% of HIV seroprevalence among all newly registered TB patients</t>
  </si>
  <si>
    <t xml:space="preserve">% of adults and children who are still on treatment after 6 months, 1, 2, 3, 5 years from the initiation of treatment </t>
  </si>
  <si>
    <t>BSS (Behavioral and Surveillance Survey)</t>
  </si>
  <si>
    <t>Prevention: STI diagnosis and treatment</t>
  </si>
  <si>
    <t xml:space="preserve">% of injecting drug users who have adopted behaviors that reduce transmission of HIV. </t>
  </si>
  <si>
    <t>Sentinel surveillance</t>
  </si>
  <si>
    <t>Prevention: Blood safety and universal precaution</t>
  </si>
  <si>
    <t xml:space="preserve">% of orphaned children compared to non-orphaned children aged 10-14 who are currently attending school </t>
  </si>
  <si>
    <t>Serological surveys</t>
  </si>
  <si>
    <t>Treatment: Antiretroviral treatment (ARV) and monitoring</t>
  </si>
  <si>
    <t xml:space="preserve">% of young people aged 15-24 reporting the use of a condom the last time they had sex with a non-regular sexual partner </t>
  </si>
  <si>
    <t>Prevalence surveys</t>
  </si>
  <si>
    <t>Treatment: Prophylaxis and treatment for opportunistic infections</t>
  </si>
  <si>
    <t xml:space="preserve">% of people expressing accepting attitudes towards PLWHA, of all people surveyed aged 15-49 </t>
  </si>
  <si>
    <t xml:space="preserve">Facility-based survey </t>
  </si>
  <si>
    <t>Section 3A: Total PR Cash Outflow</t>
  </si>
  <si>
    <t>Disbursement Request - Period Covered:</t>
  </si>
  <si>
    <t>Disbursement Request - Number:</t>
  </si>
  <si>
    <t xml:space="preserve">% of female sex workers reporting the use of a condom with every client in the last month </t>
  </si>
  <si>
    <t>Key informant survey</t>
  </si>
  <si>
    <t>Care and support: Support for orphans and vulnerable children</t>
  </si>
  <si>
    <t xml:space="preserve">% of men who have had sex with a female sex worker in the last year </t>
  </si>
  <si>
    <t>Specific surveys (to be defined)</t>
  </si>
  <si>
    <t>TB/HIV collaborative activities: Intensified case-finding among PLWHA</t>
  </si>
  <si>
    <t xml:space="preserve">% of men reporting the use of condom the last time they had anal sex with a male partner in the last 6 months </t>
  </si>
  <si>
    <t xml:space="preserve">Civil registration systems (vital/disease specific registration) </t>
  </si>
  <si>
    <t>TB/HIV collaborative activities: Prevention of TB disease in PLWHA</t>
  </si>
  <si>
    <t>Census</t>
  </si>
  <si>
    <t>TB/HIV collaborative activities: Prevention of HIV in TB patients</t>
  </si>
  <si>
    <t>Health service statistics</t>
  </si>
  <si>
    <t>TB/HIV collaborative activities: Prevention of opportunistic infections in PLWHA with TB</t>
  </si>
  <si>
    <t>Patient register</t>
  </si>
  <si>
    <t xml:space="preserve">TB/HIV collaborative activities: HIV care and support for HIV-positive TB patients </t>
  </si>
  <si>
    <t xml:space="preserve">Clinical cohort follow-up studies </t>
  </si>
  <si>
    <t>TB/HIV collaborative activities: Provision of antiretroviral treatment for TB patients during TB treatment</t>
  </si>
  <si>
    <t>Community services assessment</t>
  </si>
  <si>
    <t>Supportive environment: Policy development including workplace policy</t>
  </si>
  <si>
    <t>Records: laboratory, patient (e.g. treatment cards), training, certification, other (to be specified)</t>
  </si>
  <si>
    <t xml:space="preserve">Supportive environment: Strengthening of civil society and institutional capacity building </t>
  </si>
  <si>
    <t>Operational research</t>
  </si>
  <si>
    <t>Supportive environment: Stigma reduction in all settings</t>
  </si>
  <si>
    <t>HSS: Service delivery</t>
  </si>
  <si>
    <t>HSS: PAL (Practical Approach to Lung Health)</t>
  </si>
  <si>
    <t>HSS: Human resources</t>
  </si>
  <si>
    <t>HSS: Community Systems Strengthening</t>
  </si>
  <si>
    <t>HSS: Information system &amp; Operational research</t>
  </si>
  <si>
    <t>HSS: Infrastructure</t>
  </si>
  <si>
    <t>HSS: Procurement and Supply management</t>
  </si>
  <si>
    <t>please select…</t>
  </si>
  <si>
    <t>Improving diagnosis</t>
  </si>
  <si>
    <t>TB prevalence rate</t>
  </si>
  <si>
    <t>Case detection</t>
  </si>
  <si>
    <t>Standardized treatment, patient support and patient charter</t>
  </si>
  <si>
    <t>TB incidence rate</t>
  </si>
  <si>
    <t>Treatment success rate</t>
  </si>
  <si>
    <r>
      <t xml:space="preserve">List of </t>
    </r>
    <r>
      <rPr>
        <b/>
        <u/>
        <sz val="10"/>
        <color indexed="8"/>
        <rFont val="Calibri"/>
        <family val="2"/>
      </rPr>
      <t>Latest Approved</t>
    </r>
    <r>
      <rPr>
        <b/>
        <sz val="10"/>
        <color indexed="8"/>
        <rFont val="Calibri"/>
        <family val="2"/>
      </rPr>
      <t xml:space="preserve"> Documents by functional area</t>
    </r>
  </si>
  <si>
    <t xml:space="preserve">To be made available to the LFA by the PR  </t>
  </si>
  <si>
    <t>To be submitted by the LFA to the Secretariat</t>
  </si>
  <si>
    <t>Performance Framework</t>
  </si>
  <si>
    <t>x</t>
  </si>
  <si>
    <t>M&amp;E Plan</t>
  </si>
  <si>
    <t>Survey results</t>
  </si>
  <si>
    <t>For Impact/Outcome indicators</t>
  </si>
  <si>
    <t>If newly available during the reporting period.</t>
  </si>
  <si>
    <t>Other M&amp;E assessments done by partners to assess data quality and M&amp;E system issues.</t>
  </si>
  <si>
    <t>Procurement</t>
  </si>
  <si>
    <t>Consumption reports for pharmaceuticals and health products</t>
  </si>
  <si>
    <t>Supplier invoices</t>
  </si>
  <si>
    <t>PSM Plan</t>
  </si>
  <si>
    <t>Stock level reports</t>
  </si>
  <si>
    <t>Finance</t>
  </si>
  <si>
    <t>Approved budgets</t>
  </si>
  <si>
    <t>For the periods covered by Progress Update and Disbursement Request, including the buffer period.</t>
  </si>
  <si>
    <t>Statement of sources and uses of funds (Cash flow statement)</t>
  </si>
  <si>
    <t>Cash books</t>
  </si>
  <si>
    <t xml:space="preserve">General Ledger </t>
  </si>
  <si>
    <t xml:space="preserve">Cash forecasts </t>
  </si>
  <si>
    <t>Bank statements</t>
  </si>
  <si>
    <t>Bank Reconciliations</t>
  </si>
  <si>
    <t>Annual PR Audit Report, Financial Statements, Management Letters and Responses (if Due)</t>
  </si>
  <si>
    <t>Annual SR Audit Report, Financial Statements, Management Letters and Responses (if Due)</t>
  </si>
  <si>
    <t>General Management</t>
  </si>
  <si>
    <t>Grant Agreement (including Annex A and subsequent implementation letters)</t>
  </si>
  <si>
    <t>Workplan</t>
  </si>
  <si>
    <t>This checklist is included for information and not for completion.</t>
  </si>
  <si>
    <t>Procurement and supply management</t>
  </si>
  <si>
    <t>TB mortality rate</t>
  </si>
  <si>
    <t>Smear conversion rate</t>
  </si>
  <si>
    <t>M&amp;E</t>
  </si>
  <si>
    <t>TB/HIV</t>
  </si>
  <si>
    <t>MDR-TB</t>
  </si>
  <si>
    <t xml:space="preserve">High-risk groups </t>
  </si>
  <si>
    <t>HSS (beyond TB)</t>
  </si>
  <si>
    <t>PAL (Practical Approach to Lung Health)</t>
  </si>
  <si>
    <t>PR-reported amounts</t>
  </si>
  <si>
    <t>LFA-verified amounts</t>
  </si>
  <si>
    <t>3.  Cash disbursed to third parties by the Global Fund on behalf of the PR during the period covered by this progress update:</t>
  </si>
  <si>
    <t>Forecasted amount  (reported by PR):</t>
  </si>
  <si>
    <t>LFA-adjusted forecasted amount:</t>
  </si>
  <si>
    <t>PR-requested amount</t>
  </si>
  <si>
    <t>LFA-recommended amount</t>
  </si>
  <si>
    <t>PPM / ISTC (Public-Public, Public-Private Mix (PPM) approaches and International standards for TB care)</t>
  </si>
  <si>
    <t xml:space="preserve">ACSM (Advocacy, communication and social mobilization) </t>
  </si>
  <si>
    <t>Community TB care</t>
  </si>
  <si>
    <t>Programme-based operational research</t>
  </si>
  <si>
    <t>R&amp;R TB system, quarterly report</t>
  </si>
  <si>
    <t xml:space="preserve">R&amp;R TB system, yearly management report </t>
  </si>
  <si>
    <t>Other Surveillance reports, specify</t>
  </si>
  <si>
    <t xml:space="preserve">Death rates associated with Malaria: all-cause under-5 mortality rate in highly endemic areas </t>
  </si>
  <si>
    <t>% of U5 children (and other target groups) with malaria/fever receiving appropriate treatment within 24 hours (community/health facility)</t>
  </si>
  <si>
    <t xml:space="preserve">Incidence of clinical malaria cases (estimated and/or reported) </t>
  </si>
  <si>
    <t>% of U5 children (and other target group) with uncomplicated malaria correctly managed at health facilities</t>
  </si>
  <si>
    <t>Prevention: Insecticide-treated nets (ITNs)</t>
  </si>
  <si>
    <t>Anaemia prevalence in children under 5 years of age</t>
  </si>
  <si>
    <t>% of U5 children (and other target groups) admitted with severe malaria and correctly managed at health facilities</t>
  </si>
  <si>
    <t>Prevention: Malaria prevention during pregnancy</t>
  </si>
  <si>
    <t xml:space="preserve">Prevalence of malaria parasite infection </t>
  </si>
  <si>
    <t>LFA-Verified Budget for Reporting Period</t>
  </si>
  <si>
    <t>LFA-Verified Actual for Reporting Period</t>
  </si>
  <si>
    <t>LFA-Verified Actual through period of Progress Update</t>
  </si>
  <si>
    <t>PR Audit Report</t>
  </si>
  <si>
    <t>Global Fund Management Actions</t>
  </si>
  <si>
    <t>PR Comments on Progress of Implementation</t>
  </si>
  <si>
    <t>2. Pharmaceuticals &amp; health product expenditures vs. budget</t>
  </si>
  <si>
    <t>Budget for Reporting Period*</t>
  </si>
  <si>
    <t>LFA-Verified Cumulative Budget through period of Progress Update</t>
  </si>
  <si>
    <t>Analysis
(this should not be a "Copy and Paste" of the comments provided by the PR)</t>
  </si>
  <si>
    <t>Baseline 
(if applicable)</t>
  </si>
  <si>
    <t>Data Source of Results</t>
  </si>
  <si>
    <t>Disbursement Request Period</t>
  </si>
  <si>
    <t>Summary</t>
  </si>
  <si>
    <t>Beneficiary Name</t>
  </si>
  <si>
    <t>Payee 1:</t>
  </si>
  <si>
    <t>Payee 2:</t>
  </si>
  <si>
    <t>Payee 3:</t>
  </si>
  <si>
    <t>Payee 4:</t>
  </si>
  <si>
    <t>Beneficiary Name:</t>
  </si>
  <si>
    <t>Amount in Words:</t>
  </si>
  <si>
    <t>Bank Account Number:</t>
  </si>
  <si>
    <t>Bank Code (Other):</t>
  </si>
  <si>
    <t>Routing Instructions:</t>
  </si>
  <si>
    <t>PR SECTION</t>
  </si>
  <si>
    <t>LFA SECTION</t>
  </si>
  <si>
    <t>LFA Review of PR Progress on Global Fund Management Actions</t>
  </si>
  <si>
    <t>Functional Areas</t>
  </si>
  <si>
    <t>Section 6:  LFA EVALUATION AND COMMENTS ON OVERALL PERFORMANCE</t>
  </si>
  <si>
    <t>Section 7:  Disbursement Recommendation</t>
  </si>
  <si>
    <t>Objective
No.</t>
  </si>
  <si>
    <t>Year of Target</t>
  </si>
  <si>
    <t>Intended Target</t>
  </si>
  <si>
    <t>Actual Result</t>
  </si>
  <si>
    <t>Intended Target
to date</t>
  </si>
  <si>
    <t>Actual Result
to date</t>
  </si>
  <si>
    <r>
      <t xml:space="preserve">Actual Result
to date
</t>
    </r>
    <r>
      <rPr>
        <sz val="11"/>
        <rFont val="Arial"/>
        <family val="2"/>
      </rPr>
      <t>(as reported by PR)</t>
    </r>
  </si>
  <si>
    <t>Section 1:  Programmatic Progress</t>
  </si>
  <si>
    <t>Section 1:   LFA Review and Verification of the Principal Recipient's Programmatic Progress</t>
  </si>
  <si>
    <t>Tied To</t>
  </si>
  <si>
    <t>LFA analysis on issues related to the procurement and supply management of pharmaceuticals and health products</t>
  </si>
  <si>
    <t>4.  Interest received on bank account</t>
  </si>
  <si>
    <t>5.  Revenue from income-generating activities (if applicable)</t>
  </si>
  <si>
    <t>1. Total PR cash outflow vs. budget</t>
  </si>
  <si>
    <t>A.  LFA-VERIFIED CASH RECONCILIATION FOR PERIOD COVERED BY PROGRESS UPDATE</t>
  </si>
  <si>
    <t>1.  Cash amount requested from the Global Fund (from line 14 – “PR's Disbursement Request” in the tab “PR_Disbursement Request_4B”), in grant currency</t>
  </si>
  <si>
    <t>Cumulative Budget through period of Progress Update*</t>
  </si>
  <si>
    <t>*TOTAL amount for these columns should reconcile with relevant amounts under "1b Disbursed to Sub Recipients" in Section 3A"</t>
  </si>
  <si>
    <t>** Where the number of SRs is significant (over 10), SRs with small budgets (less than $50,000 cumulative each) do not need to be reported separately and the figures can be aggregated in a group called "Other Minor SRs"</t>
  </si>
  <si>
    <t>Comments on the explanations for variances provided by the PR (LFA can also provide comment directly on the EFR template completed by the PR)</t>
  </si>
  <si>
    <r>
      <t xml:space="preserve">Comments on the process, assumptions and supporting documentation used by the PR to complete the template. </t>
    </r>
    <r>
      <rPr>
        <i/>
        <sz val="11"/>
        <rFont val="Arial"/>
        <family val="2"/>
      </rPr>
      <t>(If space is insufficient, please provide comments in an addendum)</t>
    </r>
  </si>
  <si>
    <t>The total budget figure is accurate based on existing approved budgets.</t>
  </si>
  <si>
    <t>The reporting dates are correct for both current period and cumulative period.</t>
  </si>
  <si>
    <t>The total figures in Tables A, B and C are equal.</t>
  </si>
  <si>
    <t>The template has been fully completed.</t>
  </si>
  <si>
    <t>Comments if any:</t>
  </si>
  <si>
    <t>The following information provided by the Principal Recipient in its EFR has been checked.</t>
  </si>
  <si>
    <t>LFA review of Enhanced Financial Reporting template</t>
  </si>
  <si>
    <t xml:space="preserve"> </t>
  </si>
  <si>
    <t>Clinical cohort follow-up studies</t>
  </si>
  <si>
    <t>Total</t>
  </si>
  <si>
    <t>NB: This page should be completed if (1) this is a split disbursement (i.e. disbursement going to more than one recipient) or (2) if there have been changes to the bank details since the previous disbursement.</t>
  </si>
  <si>
    <t>Amount in grant currency</t>
  </si>
  <si>
    <t>Payee 1 - Principal Recipient:</t>
  </si>
  <si>
    <t>Amount in currency in which beneficiary
should receive the funds:</t>
  </si>
  <si>
    <r>
      <t xml:space="preserve">Exchange rate, date and source
</t>
    </r>
    <r>
      <rPr>
        <sz val="10"/>
        <rFont val="Arial"/>
        <family val="2"/>
      </rPr>
      <t>(Complete only if currency in which beneficiary should receive the funds is different from the grant currency)</t>
    </r>
  </si>
  <si>
    <r>
      <t xml:space="preserve">Equivalent in grant currency 
</t>
    </r>
    <r>
      <rPr>
        <sz val="10"/>
        <rFont val="Arial"/>
        <family val="2"/>
      </rPr>
      <t>(Calculated based on the indicated exchange rate)</t>
    </r>
  </si>
  <si>
    <r>
      <t xml:space="preserve">Currency
</t>
    </r>
    <r>
      <rPr>
        <sz val="10"/>
        <rFont val="Arial"/>
        <family val="2"/>
      </rPr>
      <t>in which beneficiary should receive the funds</t>
    </r>
  </si>
  <si>
    <t>Bank Address</t>
  </si>
  <si>
    <t>Monitoring &amp; Evaluation</t>
  </si>
  <si>
    <t>Living Support to Clients/Target Populations</t>
  </si>
  <si>
    <r>
      <t xml:space="preserve">To add additional rows, right click the row number (Row 39 in a blank template) to the left of the row above the row for TOTAL and select copy, then over the same number, right click again and select Insert Copied Cells. </t>
    </r>
    <r>
      <rPr>
        <b/>
        <sz val="10"/>
        <rFont val="Arial"/>
        <family val="2"/>
      </rPr>
      <t>WARNING</t>
    </r>
    <r>
      <rPr>
        <sz val="10"/>
        <rFont val="Arial"/>
        <family val="2"/>
      </rPr>
      <t xml:space="preserve">: Inserting Rows without copying a row as described above will cause the formula in the variance column to become invalid and will mean the overall information will be inaccurate.
</t>
    </r>
  </si>
  <si>
    <r>
      <t xml:space="preserve">To add additional rows, right click the row number (Row 51 in a blank template) to the left of the row above the row for TOTAL and select copy, then over the same number, right click again and select Insert Copied Cells. </t>
    </r>
    <r>
      <rPr>
        <b/>
        <sz val="10"/>
        <rFont val="Arial"/>
        <family val="2"/>
      </rPr>
      <t>WARNING</t>
    </r>
    <r>
      <rPr>
        <sz val="10"/>
        <rFont val="Arial"/>
        <family val="2"/>
      </rPr>
      <t>: Inserting Rows without copying a row as described above will cause the formula in the variance column to become invalid and will mean the overall information will be inaccurate.</t>
    </r>
  </si>
  <si>
    <r>
      <t>* The sum of all three breakdowns should be equal (</t>
    </r>
    <r>
      <rPr>
        <i/>
        <sz val="10"/>
        <rFont val="Arial"/>
        <family val="2"/>
      </rPr>
      <t>A-</t>
    </r>
    <r>
      <rPr>
        <sz val="10"/>
        <rFont val="Arial"/>
        <family val="2"/>
      </rPr>
      <t xml:space="preserve"> Budget Line-item, </t>
    </r>
    <r>
      <rPr>
        <i/>
        <sz val="10"/>
        <rFont val="Arial"/>
        <family val="2"/>
      </rPr>
      <t>B-</t>
    </r>
    <r>
      <rPr>
        <sz val="10"/>
        <rFont val="Arial"/>
        <family val="2"/>
      </rPr>
      <t xml:space="preserve"> Program Activity, </t>
    </r>
    <r>
      <rPr>
        <i/>
        <sz val="10"/>
        <rFont val="Arial"/>
        <family val="2"/>
      </rPr>
      <t>C-</t>
    </r>
    <r>
      <rPr>
        <sz val="10"/>
        <rFont val="Arial"/>
        <family val="2"/>
      </rPr>
      <t xml:space="preserve"> Implementing Entity).</t>
    </r>
  </si>
  <si>
    <t>WHO Global report/estimates</t>
  </si>
  <si>
    <t>Other (type as appropriate)</t>
  </si>
  <si>
    <t>E- DISBURSEMENTS BREAKDOWN BY IMPLEMENTING ENTITY</t>
  </si>
  <si>
    <t>Cumulative Disbursements</t>
  </si>
  <si>
    <t>Note for LFAs: This page should be completed by the PR if (1) this is a split disbursement (i.e. disbursement going to more than one recipient) or (2) if there have been changes to the bank details since the previous disbursement.  The amounts and bank details below are displayed as entered by the PR.  If any of this information is incorrect, please correct them by overwriting with correct information.</t>
  </si>
  <si>
    <t>Cumulative Period</t>
  </si>
  <si>
    <t>A.  PR COMMENTS ON THE FULFILLMENT OF CONDITIONS PRECEDENT AND/OR SPECIAL CONDITIONS UNDER THE GRANT AGREEMENT</t>
  </si>
  <si>
    <t>B.  PR REVIEW OF PROGRESS ON IMPLEMENTATION OF OUTSTANDING MANAGEMENT ACTIONS FROM PREVIOUS DISBURSEMENTS</t>
  </si>
  <si>
    <t>C.  PR COMMENTS ON ANNUAL GRANT REPORTING REQUIREMENTS</t>
  </si>
  <si>
    <t>SECTION 3B: HIV/AIDS FINANCIAL REPORTING FORM</t>
  </si>
  <si>
    <t>Section 4:  Procurement and Supply Management</t>
  </si>
  <si>
    <t>Section 5: Cash Reconciliation and Disbursement Request</t>
  </si>
  <si>
    <t>1.  Period beginning date:</t>
  </si>
  <si>
    <t>4.  Cash "in transit" disbursed to the PR:</t>
  </si>
  <si>
    <t>5. Cash "in transit" disbursed to third parties by the Global Fund on behalf of the PR</t>
  </si>
  <si>
    <t>6.  PR's Disbursement Request to the Global Fund for the period immediately following the period covered by the Progress Update, plus additional period (cash buffer):</t>
  </si>
  <si>
    <t>7.  Does the PR's Disbursement Request include funds for health product procurement?</t>
  </si>
  <si>
    <t>8. Exchange Rate (used to translate local currency into grant currency)</t>
  </si>
  <si>
    <t>Section 6:  Overall Performance</t>
  </si>
  <si>
    <t>Section 7: Cash Request and Authorization</t>
  </si>
  <si>
    <t>7C:  Bank Account Details</t>
  </si>
  <si>
    <t>A.  PR &amp; LFA COMMENTS ON THE FULFILLMENT OF OUTSTANDING CONDITIONS PRECEDENT AND/OR SPECIAL CONDITIONS UNDER THE GRANT AGREEMENT</t>
  </si>
  <si>
    <t>B.  PR &amp; LFA REVIEW OF PROGRESS ON IMPLEMENTATION OF OUTSTANDING MANAGEMENT ACTIONS FROM PREVIOUS DISBURSEMENTS</t>
  </si>
  <si>
    <t>C.  PR &amp; LFA COMMENTS ON ANNUAL GRANT REPORTING REQUIREMENTS</t>
  </si>
  <si>
    <t>Section 3B: ENHANCED FINANCIAL REPORTING PERIOD</t>
  </si>
  <si>
    <t>1.  CHECKLIST</t>
  </si>
  <si>
    <t>2.  COMPLETION OF THE TEMPLATE</t>
  </si>
  <si>
    <t>3. VARIANCE ANALYSIS</t>
  </si>
  <si>
    <t>1b.  Value of Pharmaceuticals and Health Products in the PQR (6 categories only)</t>
  </si>
  <si>
    <r>
      <t xml:space="preserve">2. Based on best information available to the LFA, are there any risks of drug stockout </t>
    </r>
    <r>
      <rPr>
        <b/>
        <u/>
        <sz val="11"/>
        <rFont val="Arial"/>
        <family val="2"/>
      </rPr>
      <t>at the central level</t>
    </r>
    <r>
      <rPr>
        <b/>
        <sz val="11"/>
        <rFont val="Arial"/>
        <family val="2"/>
      </rPr>
      <t xml:space="preserve"> in the next period of implementation?  (If yes, please explain in comments box)
! </t>
    </r>
    <r>
      <rPr>
        <sz val="11"/>
        <rFont val="Arial"/>
        <family val="2"/>
      </rPr>
      <t>This section should be completed by the LFA based on best information on stock levels at the central level available to the LFA and should not require dedicated visits for on-site checks of stocks.</t>
    </r>
    <r>
      <rPr>
        <b/>
        <sz val="11"/>
        <rFont val="Arial"/>
        <family val="2"/>
      </rPr>
      <t xml:space="preserve">
</t>
    </r>
  </si>
  <si>
    <t>3.  PR comments on issues related to the procurement and supply management of pharmaceuticals and health products</t>
  </si>
  <si>
    <t>Section 4: LFA-verified Procurement and Supply Management Information</t>
  </si>
  <si>
    <t xml:space="preserve">LFA-specific section:  LFA Findings &amp; Recommendations  </t>
  </si>
  <si>
    <t>4. Cash "in transit" disbursed to the PR:</t>
  </si>
  <si>
    <t>5. Cash "in transit" disbursed to third parties by the Global Fund on behalf of the PR :</t>
  </si>
  <si>
    <t>6. Disbursement Request to the Global Fund for the period immediately following the period covered by the Progress Update, plus additional period (cash buffer):</t>
  </si>
  <si>
    <t xml:space="preserve">7C:  LFA-verified Bank Account Details </t>
  </si>
  <si>
    <r>
      <t xml:space="preserve">NB: Please ensure that section 7C Bank Details on the following page is completed, if (1) this is a split disbursement (i.e. disbursement going to more than one recipient) or (2) if there have been </t>
    </r>
    <r>
      <rPr>
        <b/>
        <u/>
        <sz val="12"/>
        <color indexed="12"/>
        <rFont val="Arial"/>
        <family val="2"/>
      </rPr>
      <t>changes</t>
    </r>
    <r>
      <rPr>
        <b/>
        <sz val="12"/>
        <color indexed="12"/>
        <rFont val="Arial"/>
        <family val="2"/>
      </rPr>
      <t xml:space="preserve"> to the bank details since the previous disbursement.</t>
    </r>
  </si>
  <si>
    <t>NB: Please ensure that section 7C Bank Details on the following page is completed  if (1) this is a split disbursement (i.e. disbursement going to more than one recipient) or (2) if there have been changes to the bank details since the previous disbursement.</t>
  </si>
  <si>
    <t>1.  Cash Balance: Beginning of period covered by Progress Update (line 10 from Cash Reconciliation section of the period covered  by the previous Progress Update):</t>
  </si>
  <si>
    <t>1.  Cash Balance: Beginning of period covered by Progress Update (line 10 from Cash Reconciliation section of the period covered by the previous Progress Update):</t>
  </si>
  <si>
    <t>7.  Total PR cash outflow during period covered by Progress Update (value entered in Section 3A "Total cash outflow"):</t>
  </si>
  <si>
    <t>B.  Programmatic Indicators</t>
  </si>
  <si>
    <t xml:space="preserve">Targets cumulative?
</t>
  </si>
  <si>
    <t>B. Programmatic Indicators</t>
  </si>
  <si>
    <t xml:space="preserve">1a.  Has the PR updated the Price Quality Reporting (PQR) with the required information on the pharmaceuticals and health products received during the period covered by this PU/DR’ (if applicable)?  (If health products procurement information has not been entered into the PQR, please explain why in comments box)    </t>
  </si>
  <si>
    <t>Value of  products received during reporting period</t>
  </si>
  <si>
    <t>Cumulative value of  products received since Jan 2011</t>
  </si>
  <si>
    <t>Cumulative value of products verified as correct by the LFA in the PQR since Jan 2011</t>
  </si>
  <si>
    <t>Note for LFAs: The information below is displayed as entered by the PR.  If any of this information is incorrect, please correct them by overwriting with correct information.</t>
  </si>
  <si>
    <t xml:space="preserve">Note: All programmatic indicators contained in the current Performance Framework should be listed, regardless of whether there are targets/results for the period covered by the Progress Update or whether the targets have been met in previous periods.  </t>
  </si>
  <si>
    <t>3. Cash Balance: End of period covered by Progress Update (number 10 from PR Cash Reconciliation sheet):</t>
  </si>
  <si>
    <t>3. Cash Balance: End of period covered by Progress Update (number 10 from LFA or PR Cash Reconciliation sheet):</t>
  </si>
  <si>
    <t>A1</t>
  </si>
  <si>
    <t>A2</t>
  </si>
  <si>
    <t>B1</t>
  </si>
  <si>
    <t xml:space="preserve">B2 </t>
  </si>
  <si>
    <t>C</t>
  </si>
  <si>
    <t>Exceeding expectations</t>
  </si>
  <si>
    <t>Meeting expectations</t>
  </si>
  <si>
    <t>Performance rating</t>
  </si>
  <si>
    <t>Range for cumulative disbursement amount (after the currently recommended disbursement)</t>
  </si>
  <si>
    <t>Above 95% of cumulative budget through the next reporting period</t>
  </si>
  <si>
    <t>Between 85-105% of cumulative budget through the next reporting period</t>
  </si>
  <si>
    <t>Between 55-95% of cumulative budget through the next reporting period</t>
  </si>
  <si>
    <t>Between 25-65% of cumulative budget through the next reporting period</t>
  </si>
  <si>
    <t>Below 35% of cumulative budget through the next reporting period</t>
  </si>
  <si>
    <t>Is the recommended disbursement within the range?</t>
  </si>
  <si>
    <t>Inadequate but potential demonstrated</t>
  </si>
  <si>
    <t>Adequate</t>
  </si>
  <si>
    <t>Unacceptable</t>
  </si>
  <si>
    <t xml:space="preserve">Select </t>
  </si>
  <si>
    <r>
      <t xml:space="preserve">  (cash "buffer") beginning date</t>
    </r>
    <r>
      <rPr>
        <sz val="11"/>
        <rFont val="Arial"/>
        <family val="2"/>
      </rPr>
      <t>:</t>
    </r>
  </si>
  <si>
    <t>(cash "buffer") beginning date</t>
  </si>
  <si>
    <t>(2) When the additional (cash "buffer" ) period is 1 or 2months, the approved budget and forecasted amounts should be calculated as prorated values for the period following the regular buffer period.</t>
  </si>
  <si>
    <r>
      <t>cash "buffer" agreed with FPM</t>
    </r>
    <r>
      <rPr>
        <b/>
        <sz val="11"/>
        <rFont val="Arial"/>
        <family val="2"/>
      </rPr>
      <t xml:space="preserve"> (2)</t>
    </r>
  </si>
  <si>
    <r>
      <t>Cumulative disbursed amount to date</t>
    </r>
    <r>
      <rPr>
        <b/>
        <sz val="11"/>
        <color indexed="8"/>
        <rFont val="Arial"/>
        <family val="2"/>
      </rPr>
      <t xml:space="preserve"> (*)</t>
    </r>
  </si>
  <si>
    <r>
      <t xml:space="preserve"> </t>
    </r>
    <r>
      <rPr>
        <b/>
        <sz val="11"/>
        <rFont val="Arial"/>
        <family val="2"/>
      </rPr>
      <t>(*)</t>
    </r>
    <r>
      <rPr>
        <sz val="11"/>
        <rFont val="Arial"/>
        <family val="2"/>
      </rPr>
      <t xml:space="preserve">This data can be obtained from the "Disbursements in detail report (PDF)" (http://www.theglobalfund.org/documents/disbursementdetails.pdf) </t>
    </r>
  </si>
  <si>
    <t>A. DISBURSEMENT RECOMMENDATION</t>
  </si>
  <si>
    <t>B.  VERIFICATIONS</t>
  </si>
  <si>
    <t>Current budget forecasts of the Principal Recipient for the next disbursement period plus buffer period have been reviewed for reasonableness</t>
  </si>
  <si>
    <t>2a. Cash buffer period (by default)</t>
  </si>
  <si>
    <t>Cumulative budget through the next period of implementation (including the buffer)</t>
  </si>
  <si>
    <t>Cumulative disbursed after recommended disbursement (including the buffer)</t>
  </si>
  <si>
    <t>Indicative disbursement ranges by performance rating (included as a reference)</t>
  </si>
  <si>
    <t>3.  Rationale for the LFA's disbursement recommendation (if resulting in cumulative disbursement outside the indicative ranges):</t>
  </si>
  <si>
    <t>(2) When the additional (cash "buffer" ) period is 1 or 2 months, the approved budget and forecasted amounts should be calculated as prorated values for the period following the regular buffer period.</t>
  </si>
  <si>
    <t>LFA_Findings &amp; Recommendations</t>
  </si>
  <si>
    <t>M&amp;E Systems Strengthening Assessment</t>
  </si>
  <si>
    <r>
      <t xml:space="preserve">2b.  Additional "buffer" (discretionary, select only if there is a prior agreement with the FPM) </t>
    </r>
    <r>
      <rPr>
        <b/>
        <sz val="11"/>
        <rFont val="Arial"/>
        <family val="2"/>
      </rPr>
      <t>(1)</t>
    </r>
  </si>
  <si>
    <t>(1) Upon agreement with the FPM, additional Cash buffer can be requested if the PU/DR report contains a completed EFR report or a completed Annex on SR financials, requested by the Secretariat, or if there are any additional GF-specific requirements that cannot be delivered within 45 days.  However such requests may or may not be satisfied based on the review of the current PUDR</t>
  </si>
  <si>
    <t>Indicator rating</t>
  </si>
  <si>
    <t>Any major management issues resulting in downgrade?</t>
  </si>
  <si>
    <t>Overall Grant Rating</t>
  </si>
  <si>
    <t>A.  Overall Evaluation and Rating of Grant Performance (including a summary of how financial performance is linked to programmatic achievements)</t>
  </si>
  <si>
    <r>
      <t xml:space="preserve">! </t>
    </r>
    <r>
      <rPr>
        <sz val="11"/>
        <rFont val="Arial"/>
        <family val="2"/>
      </rPr>
      <t xml:space="preserve"> The evaluation should be undertaken by taking into account programmatic achievements, financial performance and program issues in various functional areas (M&amp;E, Finance, Procurement, and Program Management, including management of sub-recipients).  See Guidelines for more detailed guidance on the completion of this section.</t>
    </r>
    <r>
      <rPr>
        <sz val="11"/>
        <color indexed="53"/>
        <rFont val="Arial"/>
        <family val="2"/>
      </rPr>
      <t xml:space="preserve">
</t>
    </r>
    <r>
      <rPr>
        <b/>
        <sz val="11"/>
        <color indexed="12"/>
        <rFont val="Arial"/>
        <family val="2"/>
      </rPr>
      <t>!</t>
    </r>
    <r>
      <rPr>
        <sz val="11"/>
        <color indexed="53"/>
        <rFont val="Arial"/>
        <family val="2"/>
      </rPr>
      <t xml:space="preserve"> </t>
    </r>
    <r>
      <rPr>
        <sz val="11"/>
        <rFont val="Arial"/>
        <family val="2"/>
      </rPr>
      <t xml:space="preserve"> For RCC grants, this section should cover the period from the RCC start date through the end date of the current Progress Update period.                                                                                                                                          </t>
    </r>
    <r>
      <rPr>
        <b/>
        <sz val="11"/>
        <color indexed="12"/>
        <rFont val="Arial"/>
        <family val="2"/>
      </rPr>
      <t>!</t>
    </r>
    <r>
      <rPr>
        <b/>
        <sz val="11"/>
        <rFont val="Arial"/>
        <family val="2"/>
      </rPr>
      <t xml:space="preserve"> </t>
    </r>
    <r>
      <rPr>
        <sz val="11"/>
        <rFont val="Arial"/>
        <family val="2"/>
      </rPr>
      <t>For guidance on the methodology for rating overall performance, refer to Annex 2 of Guidelines.</t>
    </r>
  </si>
  <si>
    <t>Overall Rating</t>
  </si>
  <si>
    <t>D.  Summary of the LFA's approach used for verification of financial, programmatic and procurement data and Quality Assurance undertaken by the LFA</t>
  </si>
  <si>
    <r>
      <t xml:space="preserve">PR Bank details verified/corrected by LFA
</t>
    </r>
    <r>
      <rPr>
        <b/>
        <sz val="11"/>
        <color indexed="12"/>
        <rFont val="Arial"/>
        <family val="2"/>
      </rPr>
      <t/>
    </r>
  </si>
  <si>
    <t>% range</t>
  </si>
  <si>
    <t>TB Detection</t>
  </si>
  <si>
    <t>TB Treatment</t>
  </si>
  <si>
    <t>Prevention: Behavioral Change Communication - Mass Media</t>
  </si>
  <si>
    <t>Prevention: Behavioral Change Communication - Community Outreach</t>
  </si>
  <si>
    <t>Prevention: Condom Distribution</t>
  </si>
  <si>
    <t>Ministry Health (MoH)</t>
  </si>
  <si>
    <t>Prevention: Counseling and testing</t>
  </si>
  <si>
    <t>Other Multilateral Organization</t>
  </si>
  <si>
    <t>Health System Strengthening (HSS)</t>
  </si>
  <si>
    <t>Prevention: Insecticite-treated nets (ITNs)</t>
  </si>
  <si>
    <t>Prevention: Malaria in pregnancy</t>
  </si>
  <si>
    <t>Prevention: Other - specify</t>
  </si>
  <si>
    <t>Treatment: Prompt, effective antimalatial treatment</t>
  </si>
  <si>
    <t>Health System Strengthening</t>
  </si>
  <si>
    <t>Standardized treatment, pation support and patient charter</t>
  </si>
  <si>
    <t>Procurement and Supply management</t>
  </si>
  <si>
    <t>High-risk groups</t>
  </si>
  <si>
    <t>8.  Exchange Rate (used to translate local currency into grant currency)</t>
  </si>
  <si>
    <t xml:space="preserve">Name of local currency, date and source of the exchange rate, and other comments (if appropriate) </t>
  </si>
  <si>
    <t>Name of local currency and LFA comments on the exchange rates used by the PR</t>
  </si>
  <si>
    <t>Current Period</t>
  </si>
  <si>
    <t>The PR expenditure in Table C is consistent with PR expenditure for the same period as provided in the Progress Updates/Disbursements Request (PU/DR).</t>
  </si>
  <si>
    <t xml:space="preserve">The total expenditure is supported by appropriate documentation ( PR expenditure reports, bank reconciliations, SR expenditure reports to PR etc.) or reasonable assumptions. </t>
  </si>
  <si>
    <t>LFA Comments on the PR's overall verification efforts of SR expenditure and the explanations of variance provided</t>
  </si>
  <si>
    <r>
      <rPr>
        <b/>
        <sz val="12"/>
        <rFont val="Arial"/>
        <family val="2"/>
      </rPr>
      <t>*</t>
    </r>
    <r>
      <rPr>
        <b/>
        <sz val="11"/>
        <rFont val="Arial"/>
        <family val="2"/>
      </rPr>
      <t xml:space="preserve"> Indicator No.</t>
    </r>
  </si>
  <si>
    <r>
      <t>TO BE COMPLETED ONLY</t>
    </r>
    <r>
      <rPr>
        <b/>
        <i/>
        <u/>
        <sz val="10"/>
        <rFont val="Arial"/>
        <family val="2"/>
      </rPr>
      <t xml:space="preserve"> ONCE</t>
    </r>
    <r>
      <rPr>
        <b/>
        <i/>
        <sz val="10"/>
        <rFont val="Arial"/>
        <family val="2"/>
      </rPr>
      <t xml:space="preserve"> A YEAR EXCEPT AT MONTH 18 FOR PURPOSES OF PHASE 2 REVIEW</t>
    </r>
  </si>
  <si>
    <r>
      <t xml:space="preserve">Please explain any significant variance (based on your judgment) between the forecasted amounts and the amounts as per approved budgets.  Please specify the main factors and related amounts that are the major drivers of the variance. 
NB. Consider the following items when providing the analysis. 
  - Expected timing of payments for any significant budgetary items,
  - Impact of existing cash balance at SR levels
  - Current confirmed commitments to be paid during disbursement request period 
  - Current/expected unit prices compared to those in the budget 
  - Change in quantities compared to budget
  - Exchange rates and inflation
  - Linkage between budget absorption and programmatic performance to-date.
</t>
    </r>
    <r>
      <rPr>
        <b/>
        <sz val="11"/>
        <rFont val="Arial"/>
        <family val="2"/>
      </rPr>
      <t xml:space="preserve">! </t>
    </r>
    <r>
      <rPr>
        <sz val="11"/>
        <rFont val="Arial"/>
        <family val="2"/>
      </rPr>
      <t>The forecast should include any existing commitments (eligible under this grant) as of the end of the reporting period and which are likely to be paid during the disbursement period</t>
    </r>
  </si>
  <si>
    <r>
      <t xml:space="preserve">PR's explanation of variance (1) between cumulative budget and cumulative expenditure and (2) between cumulative disbursement and cumulative expenditure </t>
    </r>
    <r>
      <rPr>
        <sz val="11"/>
        <rFont val="Arial"/>
        <family val="2"/>
      </rPr>
      <t>(mandatory for amounts above $50,000 or equivalent and with more than 10% variance)</t>
    </r>
  </si>
  <si>
    <t>Value of products entered by the PR and verified as correct by the LFA in the PQR during reporting period</t>
  </si>
  <si>
    <r>
      <t>LFA's explanation of any significant variance between forecasted amounts and amounts as originally budgeted.</t>
    </r>
    <r>
      <rPr>
        <sz val="11"/>
        <rFont val="Arial"/>
        <family val="2"/>
      </rPr>
      <t xml:space="preserve">
Please explain any significant variance (based on your judgment) between the forecasted amounts and the amounts as per approved budgets.  Please specify the main factors and related amounts that are the major drivers of the variance. 
NB. Consider the following items when providing the analysis. 
  - Expected timing of payments for any significant budgetary items,
  - Impact of existing cash balance at SR levels
  - Current confirmed commitments to be paid during disbursement request period 
  - Current/expected unit prices compared to those in the budget 
  - Change in quantities compared to budget
  - Exchange rates and inflation
  - Linkage between budget absorption and programmatic performance to-date.
</t>
    </r>
    <r>
      <rPr>
        <i/>
        <sz val="11"/>
        <rFont val="Arial"/>
        <family val="2"/>
      </rPr>
      <t xml:space="preserve">
</t>
    </r>
    <r>
      <rPr>
        <b/>
        <sz val="11"/>
        <rFont val="Arial"/>
        <family val="2"/>
      </rPr>
      <t>!</t>
    </r>
    <r>
      <rPr>
        <sz val="11"/>
        <rFont val="Arial"/>
        <family val="2"/>
      </rPr>
      <t xml:space="preserve"> The forecast should include any existing commitments (eligible under this grant) as of the end of the reporting period and which are likely to be paid during the disbursement period</t>
    </r>
  </si>
  <si>
    <r>
      <t xml:space="preserve">PR's explanation of variance 
(1) between cumulative budget and cumulative expenditure and 
(2) between cumulative disbursement and cumulative expenditure </t>
    </r>
    <r>
      <rPr>
        <sz val="11"/>
        <rFont val="Arial"/>
        <family val="2"/>
      </rPr>
      <t>(mandatory for amounts above $50,000 or equivalent and with more than 10% variance)</t>
    </r>
  </si>
  <si>
    <t>** Where the number of SRs is significant (over 10), SRs with small budgets (less than $50,000 or EUR equivalent cumulative each) do not need to be reported separately and the figures can be aggregated in a group called "Other Minor SRs"</t>
  </si>
  <si>
    <r>
      <rPr>
        <b/>
        <sz val="14"/>
        <color indexed="12"/>
        <rFont val="Arial"/>
        <family val="2"/>
      </rPr>
      <t>!</t>
    </r>
    <r>
      <rPr>
        <sz val="14"/>
        <rFont val="Arial"/>
        <family val="2"/>
      </rPr>
      <t xml:space="preserve"> Based on the information provided in the previous sections and your understanding of the grant, please summarise any </t>
    </r>
    <r>
      <rPr>
        <u/>
        <sz val="14"/>
        <rFont val="Arial"/>
        <family val="2"/>
      </rPr>
      <t>important</t>
    </r>
    <r>
      <rPr>
        <sz val="14"/>
        <rFont val="Arial"/>
        <family val="2"/>
      </rPr>
      <t xml:space="preserve"> management issues, proposing a recommendation for each.
</t>
    </r>
    <r>
      <rPr>
        <b/>
        <sz val="14"/>
        <color indexed="12"/>
        <rFont val="Arial"/>
        <family val="2"/>
      </rPr>
      <t xml:space="preserve">NB: an issue is considered as 'important' if it impacts or is likely to impact program implementation and results.  </t>
    </r>
    <r>
      <rPr>
        <b/>
        <sz val="14"/>
        <rFont val="Arial"/>
        <family val="2"/>
      </rPr>
      <t xml:space="preserve">  </t>
    </r>
    <r>
      <rPr>
        <sz val="14"/>
        <rFont val="Arial"/>
        <family val="2"/>
      </rPr>
      <t xml:space="preserve">                                                                                                                                                                                                      </t>
    </r>
    <r>
      <rPr>
        <sz val="14"/>
        <color indexed="12"/>
        <rFont val="Arial"/>
        <family val="2"/>
      </rPr>
      <t xml:space="preserve">! </t>
    </r>
    <r>
      <rPr>
        <sz val="14"/>
        <rFont val="Arial"/>
        <family val="2"/>
      </rPr>
      <t>Instead of repeating detailed descriptions of issues covered in other sections, it is acceptable to state the issue and reference the section containing the details.</t>
    </r>
  </si>
  <si>
    <t>On-going Progress Update and Disbursement Request and LFA On-going Progress Review and Disbursement Recommendation</t>
  </si>
  <si>
    <t xml:space="preserve">In completing this report, please refer  to the detailed "Guidelines for completing the
PR “ongoing progress update and disbursement request”, and LFA “ongoing progress review and disbursement recommendation”
</t>
  </si>
  <si>
    <r>
      <t>*</t>
    </r>
    <r>
      <rPr>
        <b/>
        <sz val="11"/>
        <rFont val="Arial"/>
        <family val="2"/>
      </rPr>
      <t xml:space="preserve"> Indicator No. should correspond to the indicator number listed in the approved Performance Framework of the grant (1.1, 1.2, etc.)</t>
    </r>
  </si>
  <si>
    <r>
      <rPr>
        <b/>
        <sz val="12"/>
        <color indexed="12"/>
        <rFont val="Arial"/>
        <family val="2"/>
      </rPr>
      <t>!</t>
    </r>
    <r>
      <rPr>
        <sz val="12"/>
        <rFont val="Arial"/>
        <family val="2"/>
      </rPr>
      <t xml:space="preserve"> Please include in this table the CP number as per Grant Agreement and full text of CPs and/or other special conditions due for fulfilment during this period </t>
    </r>
    <r>
      <rPr>
        <u/>
        <sz val="12"/>
        <rFont val="Arial"/>
        <family val="2"/>
      </rPr>
      <t>or</t>
    </r>
    <r>
      <rPr>
        <sz val="12"/>
        <rFont val="Arial"/>
        <family val="2"/>
      </rPr>
      <t xml:space="preserve"> outstanding from previous periods. 
</t>
    </r>
    <r>
      <rPr>
        <b/>
        <sz val="12"/>
        <color indexed="12"/>
        <rFont val="Arial"/>
        <family val="2"/>
      </rPr>
      <t>!</t>
    </r>
    <r>
      <rPr>
        <sz val="12"/>
        <color indexed="12"/>
        <rFont val="Arial"/>
        <family val="2"/>
      </rPr>
      <t xml:space="preserve"> </t>
    </r>
    <r>
      <rPr>
        <sz val="12"/>
        <rFont val="Arial"/>
        <family val="2"/>
      </rPr>
      <t>Some Special Conditions may apply to more than one period of grant implementation.  Their fulfilment during one period does not automatically imply fulfilment in subsequent periods.  The LFA should verify that the status of such conditions is reported by the PR during each period concerned.</t>
    </r>
  </si>
  <si>
    <r>
      <t>!</t>
    </r>
    <r>
      <rPr>
        <sz val="12"/>
        <rFont val="Arial"/>
        <family val="2"/>
      </rPr>
      <t xml:space="preserve"> Please list all issues raised in the last Management Letter from the Global Fund or outstanding from previous Management Letters, and comment on the progress. Please include the date of the management letter and the item number.</t>
    </r>
  </si>
  <si>
    <r>
      <t xml:space="preserve">1a.  Have you updated the Price Quality Reporting (PQR) with the required information on the pharmaceuticals and health products received during the period covered by this PU/DR’ (if applicable)?  If health products procurement information has not been entered into the PQR, please explain why.
     </t>
    </r>
    <r>
      <rPr>
        <b/>
        <sz val="11"/>
        <color indexed="12"/>
        <rFont val="Arial"/>
        <family val="2"/>
      </rPr>
      <t>!</t>
    </r>
    <r>
      <rPr>
        <sz val="11"/>
        <rFont val="Arial"/>
        <family val="2"/>
      </rPr>
      <t xml:space="preserve">  For further guidance on PQR data entry, please refer to the guidelines.</t>
    </r>
  </si>
  <si>
    <r>
      <t xml:space="preserve">2.  Based on the most up-to-date stock situation, are there any risks of stockouts of key pharmaceuticals &amp; health products </t>
    </r>
    <r>
      <rPr>
        <b/>
        <u/>
        <sz val="11"/>
        <rFont val="Arial"/>
        <family val="2"/>
      </rPr>
      <t>at the central level</t>
    </r>
    <r>
      <rPr>
        <b/>
        <sz val="11"/>
        <rFont val="Arial"/>
        <family val="2"/>
      </rPr>
      <t xml:space="preserve"> in the next period of implementation?  If yes, please comment.</t>
    </r>
  </si>
  <si>
    <r>
      <t>!</t>
    </r>
    <r>
      <rPr>
        <sz val="11"/>
        <rFont val="Arial"/>
        <family val="2"/>
      </rPr>
      <t xml:space="preserve"> An explanation must be provided if there have been any adjustments.</t>
    </r>
  </si>
  <si>
    <t>(1) Additional Cash buffer can be requested if the next PU/DR report will contain a completed EFR report or a completed Annex on SR financials, requested by the Secretariat, or if there are any additional GF-specific requirements that cannot be delivered within 45 days. An agreement in principal from the FPM should be obtained prior to requesting an additional cash buffer.</t>
  </si>
  <si>
    <r>
      <t xml:space="preserve">! </t>
    </r>
    <r>
      <rPr>
        <sz val="11"/>
        <color indexed="53"/>
        <rFont val="Arial"/>
        <family val="2"/>
      </rPr>
      <t xml:space="preserve"> </t>
    </r>
    <r>
      <rPr>
        <sz val="11"/>
        <rFont val="Arial"/>
        <family val="2"/>
      </rPr>
      <t>The self-evaluation should be undertaken by taking into account programmatic achievements, financial performance and program issues in various functional areas (M&amp;E, Finance, Procurement, and Program Management, including management of sub-recipients).  See Guidelines for more detailed guidance.</t>
    </r>
    <r>
      <rPr>
        <b/>
        <sz val="11"/>
        <color indexed="12"/>
        <rFont val="Arial"/>
        <family val="2"/>
      </rPr>
      <t/>
    </r>
  </si>
  <si>
    <t>Cumulative Budget through period of this Progress Update*</t>
  </si>
  <si>
    <t>Cumulative Disbursed through period of this Progress Update*</t>
  </si>
  <si>
    <t>Cash balance at the end of the period covered by this Progress Update</t>
  </si>
  <si>
    <t>See guidance on SSUF content and format in the guidelines.</t>
  </si>
  <si>
    <r>
      <t>(!)</t>
    </r>
    <r>
      <rPr>
        <sz val="11"/>
        <rFont val="Arial"/>
        <family val="2"/>
      </rPr>
      <t xml:space="preserve"> This table is included in the PU/DR form with the aim to improve completeness of information in the PQR system and not for comparing PQR amounts vis-à-vis expenditure per se. NB: PQR and expenditure amounts on health products may not be equal due to a timelag between payments and delivery of pharmaceuticals/health products.
</t>
    </r>
    <r>
      <rPr>
        <b/>
        <sz val="11"/>
        <color indexed="12"/>
        <rFont val="Arial"/>
        <family val="2"/>
      </rPr>
      <t>(!)</t>
    </r>
    <r>
      <rPr>
        <sz val="11"/>
        <rFont val="Arial"/>
        <family val="2"/>
      </rPr>
      <t xml:space="preserve">  For further guidance on PQR data entry, please refer to the guidelines.</t>
    </r>
  </si>
  <si>
    <t xml:space="preserve">During the lifetime of a grant, the Global Fund periodically disburses funds to the Principal Recipient (PR) based on demonstrated program performance and financial needs for the following period of implementation. 
The PR’s ongoing progress update and disbursement request (PU/DR) is both a progress report on the latest completed period of program implementation and a request for funds for the following period of implementation. Its purpose is to provide an update of the programmatic and financial progress of a Global Fund-financed grant, as well as an update on fulfillment of conditions precedent, management actions and other requirements. The PU/DR, alongside the Local Fund Agent (LFA) ongoing progress review and disbursement recommendation (short-form: LFA-verified PU/DR), forms the basis for the Global Fund’s disbursement decision by linking historical and expected program performance with the level of financing to be provided to the PR.
One Excel file contains both the PR’s PU/DR and the LFA-verified PU/DR. The PR should only complete the worksheets of the file pertaining to the PU/DR (the worksheet tabs color-coded in green), whereas the LFA should complete the worksheets of the file pertaining to the LFA-verified PU/DR (the worksheet tabs color-coded in blue). The Excel file also includes a reference checklist of supporting documents for the PU/DR review (the worksheet tab color-coded in yellow). This checklist is included for information and not for completion. The PU/DR should be completed by the PR of a Global Fund grant for every period in which a progress update is required, usually either on a quarterly, semiannual or annual basis, regardless of whether or not a disbursement is being requested. Once a year, the PR is expected to submit the Enhanced Financial Report (EFR) as part of the PU/DR (there is a dedicated tab for EFR in the Excel file). 
The PR is required to submit the PU/DR to the LFA within 45 calendar days from the closing date of the relevant progress update period when the report does not contain the EFR (as indicated in the performance framework of Annex A of the grant agreement) and within 60 calendar days when the report contains the EFR (once a year). 
The LFA should complete and submit a signed copy of the LFA-verified PU/DR to the Global Fund within ten working days after receiving the final signed version of the PU/DR from the PR and within 13 working days when the PU/DR report contains the EFR (once a year), unless agreed otherwise with the FPM (The LFA does not need to submit original/hard copies of each PU/DR reports. However, these documents should be available at the LFA’s offices for any audit/reviews. Also, the LFA should be ready at all times to submit these originals to the Secretariat upon request).  In this report the LFA should provide an analysis and comments based on verification of the PR-reported information, document grant risks and recommendations for improving program implementation, and finally, provide a performance rating to the grant and disbursement recommendation for the Global Fund’s consideration.  In defining the performance rating and recommending a disbursement amount, the LFA should use the Grant Rating Methodology of the Global Fund (as described in Annex 2 and communicated at various regional meetings and LFA training events) along with the Excel version of the Grant Rating Tool (to be provided to LFAs) to support the calculation of Indicator Rating.  
</t>
  </si>
  <si>
    <t>! A Statement of Sources and Uses of Funds (SSUF) is to be provided by PR along with the PUDR form</t>
  </si>
  <si>
    <r>
      <rPr>
        <b/>
        <sz val="16"/>
        <color indexed="12"/>
        <rFont val="Arial"/>
        <family val="2"/>
      </rPr>
      <t xml:space="preserve">Annex to PU/DR - LFA-reviewed Sub-recipient financial information </t>
    </r>
    <r>
      <rPr>
        <b/>
        <sz val="14"/>
        <color indexed="12"/>
        <rFont val="Arial"/>
        <family val="2"/>
      </rPr>
      <t xml:space="preserve">
! Completion of this table by the PR and verification by the LFA are </t>
    </r>
    <r>
      <rPr>
        <b/>
        <u/>
        <sz val="14"/>
        <color indexed="12"/>
        <rFont val="Arial"/>
        <family val="2"/>
      </rPr>
      <t>discretionary</t>
    </r>
    <r>
      <rPr>
        <b/>
        <sz val="14"/>
        <color indexed="12"/>
        <rFont val="Arial"/>
        <family val="2"/>
      </rPr>
      <t>, and should be done upon the Secretariat's request.</t>
    </r>
  </si>
  <si>
    <t>Cumulative Actual Expenditure through period covered by this Progress Update</t>
  </si>
  <si>
    <t>NB: The LFA should sign a printed version of the verified PU/DR and send it to the Secretariat as a pdf file by email, or include an electronic signature in the Excel file to be submitted to the Global Fund.</t>
  </si>
  <si>
    <t>HIV/AIDS</t>
  </si>
  <si>
    <t>ActionAid The Gambia</t>
  </si>
  <si>
    <t>EUR</t>
  </si>
  <si>
    <t>Quarter</t>
  </si>
  <si>
    <t>Outcome</t>
  </si>
  <si>
    <t>Impact</t>
  </si>
  <si>
    <t>% of young women and men aged 15 - 24  who have had sexual intercourse before the age of 15</t>
  </si>
  <si>
    <t>% of young women and men aged 15 - 24 who are HIV infected</t>
  </si>
  <si>
    <t>% of most-at-risk populatoion(s) (sex workers, clients of sex workers, men who have sex with men,  injecting drug users) who are HIV infected</t>
  </si>
  <si>
    <t xml:space="preserve">% of people aged 15 - 49 years  with more than one sexual partners in the past 12 months  reporting the use of condoms during their last sexual intercourse </t>
  </si>
  <si>
    <t>% of young people aged 10 -24 years  reached by life skill-based HIV/AIDS education in and out of school</t>
  </si>
  <si>
    <t>2.7 (males) 17.1% (females)</t>
  </si>
  <si>
    <t>TBD</t>
  </si>
  <si>
    <t>2.4% NSS</t>
  </si>
  <si>
    <t>TBA</t>
  </si>
  <si>
    <t>Preparatory work for 2010 NSS has been completed and sample collection is expected to commence soon</t>
  </si>
  <si>
    <t>Two-yearly mapping updates and surveys</t>
  </si>
  <si>
    <t>2010</t>
  </si>
  <si>
    <t>Other (NSS)</t>
  </si>
  <si>
    <t>Draft report of the BSS has been validated. Final report expecetd on 21/02/11</t>
  </si>
  <si>
    <t>Other (Life skills based HIV/AIDS education survey)</t>
  </si>
  <si>
    <t>2011</t>
  </si>
  <si>
    <t>GF</t>
  </si>
  <si>
    <t>Y-over program term</t>
  </si>
  <si>
    <t>Yes - Top 10</t>
  </si>
  <si>
    <t>N-not cumulative</t>
  </si>
  <si>
    <t>Met</t>
  </si>
  <si>
    <t>Unmet - In Progress</t>
  </si>
  <si>
    <t>Reduce Stigma and Discrimination - Meaningful involvement of PLHIVs (Mission meeting in Nov. 2010)</t>
  </si>
  <si>
    <t>The two PRS (AAITG/NAS) had a joint meeting with all SRs on the R8 grant including social workers from ART sites which agreed that PLHIVs should be involved in all grant activities where possible in order to help reduce stigma and discrimination</t>
  </si>
  <si>
    <t>1.5% (males)         7.4% (females)</t>
  </si>
  <si>
    <t>18.8% (males) 11.1% (females)</t>
  </si>
  <si>
    <t>2.1% (males)           13% (females)</t>
  </si>
  <si>
    <t>Baseline information information on out-of school youths reached through life skills training updated in the report and new baseline established.</t>
  </si>
  <si>
    <t>Other (2 yearly mapping)</t>
  </si>
  <si>
    <t>N/A</t>
  </si>
  <si>
    <t>Desk Review</t>
  </si>
  <si>
    <t>1.5% males, 7.4% females</t>
  </si>
  <si>
    <t>18.8% males, 11.1% females</t>
  </si>
  <si>
    <t>PR On-site Visit</t>
  </si>
  <si>
    <t>A review of the SR and PR reports showed a marked improvement in data collection and reporting.
16,292 males and females were reached during the period under review.Various participatory methods such as Stepping Stones, Kabilo and STAR were used to reach people within the communities.
These are proven and effective participatory methods.
PR should continue to collaborate with SRs/SGs to implement and monitor these activities within the communities.</t>
  </si>
  <si>
    <t>164%
(120%)</t>
  </si>
  <si>
    <t>130%
(120%)</t>
  </si>
  <si>
    <t xml:space="preserve">450 students and teachers were trained in LSE during the period of review.
NSGA commenced implementation as a SG under CRS (SR) during this period. NSGA is one of the pioneer implementers of LSBHE in the Gambia.
There has been an improvement in the quality of data collected and reported. </t>
  </si>
  <si>
    <t>The signature on the PR signed page is that of Dr. Kujejatou Manneh, the Country Director of ActionAid The Gambia.</t>
  </si>
  <si>
    <t>With the exception of the Biological Surveillance Study (BSS) which is on-going, the PR has fulfilled all the other CPs as at the end of December 2010</t>
  </si>
  <si>
    <t>The programmatic results were verified</t>
  </si>
  <si>
    <t>Exchange rate provided has been verified with the Central Bank of Gambia rates for the same period and found to be reasonable.</t>
  </si>
  <si>
    <t>The bank account information of the PR remains the same.</t>
  </si>
  <si>
    <t>ACTION AID , THE GAMBIA</t>
  </si>
  <si>
    <t>EURO</t>
  </si>
  <si>
    <t xml:space="preserve">This represents exchange loss on translation of cash balance denominated in the Gambian Dalasi as at 31 December 2010.
Cash balances 
Euro account    - Eur 493,628
Dalasi account - Eur   39, 194 
</t>
  </si>
  <si>
    <t>Not applicable. No planned changes in the program</t>
  </si>
  <si>
    <t xml:space="preserve">None </t>
  </si>
  <si>
    <t>The cumulative budget in the grant agreement for the period under review is Eur 1,838,031. The PR has however used Eur 1,902,135 which is based on a revised budget that has not been approved by the GF yet.</t>
  </si>
  <si>
    <t>The MESST report was submitted to GF and approved by the FPM on 18th August 2010.</t>
  </si>
  <si>
    <t>The revised budget following the MESST was submitted to the FPM on 12th July 2010. However the revised budget has not been approved by the Global Fund.</t>
  </si>
  <si>
    <r>
      <t>!</t>
    </r>
    <r>
      <rPr>
        <sz val="12"/>
        <rFont val="Arial"/>
        <family val="2"/>
      </rPr>
      <t xml:space="preserve"> This table should contain a full text of the CP and/or other special conditions due for fulfilment during this period or outstanding from previous periods.</t>
    </r>
  </si>
  <si>
    <r>
      <t xml:space="preserve">! </t>
    </r>
    <r>
      <rPr>
        <sz val="12"/>
        <rFont val="Arial"/>
        <family val="2"/>
      </rPr>
      <t>Some Special Conditions may apply to more than one period of grant implementation.  Their fulfilment during one period does not automatically imply fulfilment in subsequent periods.  The LFA should verify that the status of such conditions is reported by the PR during each period concerned.</t>
    </r>
  </si>
  <si>
    <r>
      <rPr>
        <b/>
        <sz val="12"/>
        <color indexed="12"/>
        <rFont val="Arial"/>
        <family val="2"/>
      </rPr>
      <t>!</t>
    </r>
    <r>
      <rPr>
        <sz val="12"/>
        <rFont val="Arial"/>
        <family val="2"/>
      </rPr>
      <t xml:space="preserve"> If a Condition Precedent that was previously fulfilled is re-opened due to new circumstances, and the issue addressed by this condition is considered critical, the issue should be disclosed by the LFA in the Section 4 LFA Findings and Recommendations.  At the discretion of the Fund Portfolio Manager, the issue may be followed up through the management actions assigned by the Global Fund to the PR.</t>
    </r>
  </si>
  <si>
    <r>
      <t>!</t>
    </r>
    <r>
      <rPr>
        <sz val="12"/>
        <rFont val="Arial"/>
        <family val="2"/>
      </rPr>
      <t xml:space="preserve"> This table should contain all issues raised in the last Management Letter from the Global Fund or outstanding from previous Management Letters, and comment on the progress.</t>
    </r>
  </si>
  <si>
    <r>
      <t xml:space="preserve">Intended Target
 </t>
    </r>
    <r>
      <rPr>
        <sz val="12"/>
        <rFont val="Arial"/>
        <family val="2"/>
      </rPr>
      <t>(from Attachment)</t>
    </r>
  </si>
  <si>
    <r>
      <t xml:space="preserve">Actual Result
</t>
    </r>
    <r>
      <rPr>
        <sz val="12"/>
        <rFont val="Arial"/>
        <family val="2"/>
      </rPr>
      <t>(as reported by PR)</t>
    </r>
  </si>
  <si>
    <r>
      <t xml:space="preserve">Intended Target
to date
 </t>
    </r>
    <r>
      <rPr>
        <sz val="12"/>
        <rFont val="Arial"/>
        <family val="2"/>
      </rPr>
      <t>(from PF)</t>
    </r>
  </si>
  <si>
    <r>
      <t xml:space="preserve">Actual Result
to date
</t>
    </r>
    <r>
      <rPr>
        <sz val="12"/>
        <rFont val="Arial"/>
        <family val="2"/>
      </rPr>
      <t>(as reported by PR)</t>
    </r>
  </si>
  <si>
    <r>
      <t xml:space="preserve">% achievement
</t>
    </r>
    <r>
      <rPr>
        <u/>
        <sz val="12"/>
        <rFont val="Arial"/>
        <family val="2"/>
      </rPr>
      <t>(Please calculate as appropriate</t>
    </r>
    <r>
      <rPr>
        <sz val="12"/>
        <rFont val="Arial"/>
        <family val="2"/>
      </rPr>
      <t>)</t>
    </r>
  </si>
  <si>
    <r>
      <t xml:space="preserve">LFA analysis on progress to date and any variance between targets and results, and any other comments
</t>
    </r>
    <r>
      <rPr>
        <sz val="12"/>
        <rFont val="Arial"/>
        <family val="2"/>
      </rPr>
      <t>(</t>
    </r>
    <r>
      <rPr>
        <u/>
        <sz val="12"/>
        <rFont val="Arial"/>
        <family val="2"/>
      </rPr>
      <t>this should not be a “Copy and Paste” of the reasons provided by the PR</t>
    </r>
    <r>
      <rPr>
        <sz val="12"/>
        <rFont val="Arial"/>
        <family val="2"/>
      </rPr>
      <t>)</t>
    </r>
  </si>
  <si>
    <t>We reviewed 95% of the PR's program expenditure. Program expenditure and cash reconciliations have been verified and reconciled by the LFA. Refer to LFA cash reconciliation 5A for details</t>
  </si>
  <si>
    <t xml:space="preserve">PricewaterhouseCoopers (Ghana) Limited </t>
  </si>
  <si>
    <t>Mark Appleby</t>
  </si>
  <si>
    <t>Eight hundred and Sixty Six thousand, Four hundred and Sixty three Euros.</t>
  </si>
  <si>
    <t>The 2010 NSS was ongoing at the time of the VoI and the report was expected by end of March 2011.
The results of the 2008 NSS were shared with LFA and this showed that HIV prevalence among people aged 15-24 is estimated at 1.94%.</t>
  </si>
  <si>
    <t>The first results for this indicator are expected at the end of year 2.</t>
  </si>
  <si>
    <t>During the period of reporting 38 additional CSWs were trained as Peer Health Educators.
It must be noted that there has been a marked improvement in the quality of training reports. In spite of this, the SR/SG should be strengthened to continue to improve the quality of the training reports.
PR/SR should also ensure that Peer Health Education (PHE) tools are regularly reviewed to assess the need for revision of the tools. In addition, follow-up monitoring and supportive supervision should be undertaken on a regular basis.</t>
  </si>
  <si>
    <t>5,870 young people aged 10-24 were reached in and out of school for the period of review. 
Nova Scotia Gambia Association (NSGA) commenced implementation as a SG under CRS (SR) during this period. NSGA is one of the pioneer implementers of LSBHE in the Gambia.
There has been a marked improvement in the quality of data collected and reported for the period, although some arithmetic errors were noted in the result for this indicator.
Finally, the overachievement of the target is due to the "roll-over" effect from previous quarters.</t>
  </si>
  <si>
    <t>The Audit TOR was approved on 10 March 2011.</t>
  </si>
  <si>
    <t>Preparation on track</t>
  </si>
  <si>
    <t>The cumulative expenditure relates to male and female condoms procured in Q2 and other health products (mainly HBC kits) procured in quarter 4. 
The excess expenditure was due to increases in prices of health products procured mainly in period 4.</t>
  </si>
  <si>
    <t>During the VoI, we visited the SR in question, that is CRS, and interactions with them revealed that there has been a significant improvement in their relationship with the PR.</t>
  </si>
  <si>
    <t>Interaction with PR and NAS showed that a meeting was held and this was supported by the minutes of the meeting with the support groups on 20 July 2010.</t>
  </si>
  <si>
    <t>The cash balance in the LFA section represents adjusted cash balance as at 31 December 2010. See details of adjustments in LFA cash reconciliaiton 5A.</t>
  </si>
  <si>
    <t>Director</t>
  </si>
  <si>
    <t>The draft 2010 BSS report was shared with the LFA during the verification exercise. 
The draft 2010 BSS report was validated on 14 February 2011 and it was expected to be finalised by the end of February 2011, however at the time of the completion of this report in March 2011, the final report had not been submitted by the PR.</t>
  </si>
  <si>
    <t>During the period under review, no female condoms were available for distribution; however 169,617 male condoms were distributed.
Socio-cultural and religious factors also affected the uptake and use of condoms during the period under review. 
In spite of these challenges, there is need for 
PR to restrategise to ensure that the Most At Risk Population (MARPs) are regularly reached with condoms in order to ensure that new cases of HIV are minimised. Interactions with some incountry partners (including NAS) revealed that there have been complaints by some of the MARPs that they do not get regular supply of condoms.
Finally, it was observed that PR experienced delays in the procurement of condoms.</t>
  </si>
  <si>
    <t>During this period of review, 790 OVCs received educational support and 2,431 received nutritional support.
Improved collaboration between the PR and SRs on one hand and also between the ART centres and Ministry of Education facilitated increased identification of OVCs within the communities and in the schools.
A review of some of the receipts provided by some schools revealed that some of the schools are still using unorthodox documents as receipts. In view of this, PR should encourage appropriate supporting documentation to be provided by private schools for the funds they receive from the program for OVCs .</t>
  </si>
  <si>
    <t>The under-achievement of this target was discussed  during the November 2010 VoI, which coincided with the visit of the FPM.
A recommendation was made to the PR to conduct a desk review to detemine a realistic baseline for "PLHIV provided with HBC at the home and community level" and revise the relevant information.
PR subsequently developed a proposal and shared with LFA/GF in February 2011. The findings of the desk review are expected at the end of March 2011.</t>
  </si>
  <si>
    <t>There has been a marked improvement in data quality and reporting in this period compared to the previous periods.</t>
  </si>
  <si>
    <t>All positions have been filled and approved by the GF FPM. These are:
i. Program Coordinator - Dawda Joof - 15 March 2010 , 
ii. M&amp;E - Kebba M Sima - December 2009,       
iii. Procurement Officer - Suleman Kinteh - October 2010,  
iv. Finance Officer's Coordinator - Allassan K Jitteh - February 2010.</t>
  </si>
  <si>
    <t>The updated M&amp;E plan was submitted as part of the MESST report which was subsequently approved by the FPM on 18th August 2010.</t>
  </si>
  <si>
    <t>We reviewed an email dated 10th November 2009 from the Fund Portfolio Manager indicating the approval of the PSM plan by The Global Fund.</t>
  </si>
  <si>
    <t>On January 14th, 2010, an email was sent from the FPM approving the assessment of the SRs and indicating that disbursement could commence. The FPM however noted that a "joint action plan" should be developed to address the weaknesses of the SRs. The plan was to be submitted to GF by the end of January 2010. At the time of the verification, the PR had not developed the "joint action plan".
The Principal Recipient has not established a computerized accounting system for Sub-recipients. Two of the Sub-recipients (GFPA and HOC) of AATG have however computerised accounting systems because NAS has provided them, while CRS has its own computerized accounting system.</t>
  </si>
  <si>
    <t>As noted in the Programmatic Progress_1B, there has been an improvement in the quality of training reports submitted by the PR compared to those we reviewed during the previous VoI.</t>
  </si>
  <si>
    <t>As at the time of the VoI, PR had not undertaken any financial monitoring of the SRs, but they informed us that they will undertake this immediately after the VoI and share the report with us during the next VoI.</t>
  </si>
  <si>
    <t>PR shared the reports for the various studies with us during the VoI. The BSS report was, however, a draft one and the PR promised to send the final one at the end of February 2011, but this was not done.</t>
  </si>
  <si>
    <t>The EFR was submitted as part of the PUDR and this has been reviewed by the LFA. The LFA reviewed report will be submitted as part of this PUDR report.</t>
  </si>
  <si>
    <t>The positive variance was due to some expenditure originally designated to SRs and support groups but incurred by the PR to accelerate program implementation.</t>
  </si>
  <si>
    <t xml:space="preserve">The expenditure relates to the procurement of HBC kits which was carried out through the VPP during the period. The budget for procurement was Eur 72,092 and scheduled for period 2. The only products procured then were male and female condoms. The remaining health products were procured in the current period after completing all procurement procedures. </t>
  </si>
  <si>
    <t xml:space="preserve">The total variance is made up both positive and negative variances. 
The negative variance was mainly due to over expenditure on 
- Educational and nutrional support for OVCs of Eur 58,515
- Administration cost for PL support groups of Eur 10,352 and printing of guideline materials under life skills training.
- Procurement of HBC kits - Eur 13,482
- Administration cost for PLHIV support groups - 10,318
- Update of CSWs register under BCC community outreach - Eur 14,265
The PR also incurred some expenditure on behalf of the SRs. 
The positive variance is due mainly to the following outstanding activities in: 
- BCC mass media and community outreach, STAR sessions and training 
- Translation of life skills manual for special needs - Eur 14,140 
- HIV advocacy sensitization - Eur 12,375
- Policy development on multi indicator survey - Eur 16,369
</t>
  </si>
  <si>
    <t>The positive variance is accounted for by procurements made directly by the PR on behalf of the SRs to accelerate program implementation.
These include procurement of condoms by VPP, vehicles, office equipment and payment of other administrative costs for support groups orginally designated to CRS.</t>
  </si>
  <si>
    <t>None</t>
  </si>
  <si>
    <t xml:space="preserve">There is a variance of Eur 157,976 between the cumulative expenditure reported in the PUDR  of Eur 1,526,224 and the cumulative expenditure reported in the EFR of Eur 1,368,698
</t>
  </si>
  <si>
    <t xml:space="preserve">Process of capturing expenditure in the EFR
The PR uses the Sun system to process financial transactions. It then extracts financial information into Microsoft (MS) excel which is used to prepare financial reports in the form requested by The Global Fund. To ensure that the financial information is complete and accurate, reconciliation is performed between Sun and MS excel.  The reporting currency in the PR's accounting system is Gambia Dalasi (GMD).  
</t>
  </si>
  <si>
    <t xml:space="preserve">
We reviewed the expenditure reported in the EFR and compared it to the cumulative expenditure in the PUDR. We noted a variance of Eur 157,976.  
We further traced the budget amounts reported in the EFR to the approved budget and noted a variance of Eur 64,104 (PR budget Eur 1,902,135 less approved budget of Eur 1,838,031). The PR's budget is based on the revised budget which has not been approved by the GF.
We recommend that the PR review the EFR and resolve these variances for our final review.</t>
  </si>
  <si>
    <r>
      <t xml:space="preserve">Our initial review of the PUDR resulted in a net adjustment </t>
    </r>
    <r>
      <rPr>
        <b/>
        <sz val="11"/>
        <rFont val="Arial"/>
        <family val="2"/>
      </rPr>
      <t>of Eur64,235</t>
    </r>
    <r>
      <rPr>
        <sz val="11"/>
        <rFont val="Arial"/>
        <family val="2"/>
      </rPr>
      <t xml:space="preserve"> which has been taken up by the PR and adjusted in the current PUDR:
The total reconciliation is made up of: 
The total expenditure reported by the PR in the initial PUDR  - </t>
    </r>
    <r>
      <rPr>
        <b/>
        <sz val="11"/>
        <rFont val="Arial"/>
        <family val="2"/>
      </rPr>
      <t>Eur 471,569</t>
    </r>
    <r>
      <rPr>
        <sz val="11"/>
        <rFont val="Arial"/>
        <family val="2"/>
      </rPr>
      <t xml:space="preserve">
</t>
    </r>
    <r>
      <rPr>
        <b/>
        <sz val="11"/>
        <rFont val="Arial"/>
        <family val="2"/>
      </rPr>
      <t xml:space="preserve">Add </t>
    </r>
    <r>
      <rPr>
        <sz val="11"/>
        <rFont val="Arial"/>
        <family val="2"/>
      </rPr>
      <t xml:space="preserve">: Exchange losses computed by LFA using Central Bank of Gambia average monthly rates to translate total Q4 expenditure in Gambian Dalasi </t>
    </r>
    <r>
      <rPr>
        <b/>
        <sz val="11"/>
        <rFont val="Arial"/>
        <family val="2"/>
      </rPr>
      <t>- Eur 280</t>
    </r>
    <r>
      <rPr>
        <sz val="11"/>
        <rFont val="Arial"/>
        <family val="2"/>
      </rPr>
      <t xml:space="preserve">
</t>
    </r>
    <r>
      <rPr>
        <b/>
        <sz val="11"/>
        <rFont val="Arial"/>
        <family val="2"/>
      </rPr>
      <t xml:space="preserve">Add : </t>
    </r>
    <r>
      <rPr>
        <sz val="11"/>
        <rFont val="Arial"/>
        <family val="2"/>
      </rPr>
      <t xml:space="preserve">Direct payments by the GF to VPP, but not included in PUDR expenditure </t>
    </r>
    <r>
      <rPr>
        <b/>
        <sz val="11"/>
        <rFont val="Arial"/>
        <family val="2"/>
      </rPr>
      <t xml:space="preserve"> - Eur 64,081  </t>
    </r>
    <r>
      <rPr>
        <sz val="11"/>
        <rFont val="Arial"/>
        <family val="2"/>
      </rPr>
      <t xml:space="preserve">
</t>
    </r>
    <r>
      <rPr>
        <b/>
        <sz val="11"/>
        <rFont val="Arial"/>
        <family val="2"/>
      </rPr>
      <t>Add:</t>
    </r>
    <r>
      <rPr>
        <sz val="11"/>
        <rFont val="Arial"/>
        <family val="2"/>
      </rPr>
      <t xml:space="preserve">  Bank charges not included in PUDR expenditure -</t>
    </r>
    <r>
      <rPr>
        <b/>
        <sz val="11"/>
        <rFont val="Arial"/>
        <family val="2"/>
      </rPr>
      <t xml:space="preserve"> Eur 125 </t>
    </r>
    <r>
      <rPr>
        <sz val="11"/>
        <rFont val="Arial"/>
        <family val="2"/>
      </rPr>
      <t xml:space="preserve">
</t>
    </r>
    <r>
      <rPr>
        <b/>
        <sz val="11"/>
        <rFont val="Arial"/>
        <family val="2"/>
      </rPr>
      <t xml:space="preserve">Less : </t>
    </r>
    <r>
      <rPr>
        <sz val="11"/>
        <rFont val="Arial"/>
        <family val="2"/>
      </rPr>
      <t xml:space="preserve">Long outstanding reconciling items in Dalasi account bank reconciliation </t>
    </r>
    <r>
      <rPr>
        <b/>
        <sz val="11"/>
        <rFont val="Arial"/>
        <family val="2"/>
      </rPr>
      <t>- Eur 251</t>
    </r>
    <r>
      <rPr>
        <sz val="11"/>
        <rFont val="Arial"/>
        <family val="2"/>
      </rPr>
      <t xml:space="preserve">
</t>
    </r>
  </si>
  <si>
    <t xml:space="preserve">The cash balance was  Eur 7,588.11 as at the end of September 2010. 
This should have been adjusted by Eur 12,509 to arrive at Eur 20,097.08.  The adjustment was due to an exchange gain of  Eur 5,196, which the PR omitted and an amount of Eur 7,313 which was an error in the expenditure for period 2.
</t>
  </si>
  <si>
    <t xml:space="preserve">We noted that the PR used a revised year 2 budget which has not been approved by the GF. This accounts for the difference between the budget reported by the PR and LFA. 
The variance between the forecasted amount and the original budgeted amount is due to the inclusion of outstanding activities from the previous period into the forecast.  
The outstanding activities mainly relate to the following: 
BCC community outreach and schools - Eur 43,949 ,
Policy development on HIV advocacy - Eur 6,825,  
Educational and nutritional support for OVCs - Eur 43,772, and
PR and SR administrative costs - Eur 40,099. 
Savings of Eur 169,304 were identified during the review of the forecast. The PR did not provide a plan for utilisation of the savings. These savings have therefore been excluded from the total forecast amount by the LFA. </t>
  </si>
  <si>
    <t xml:space="preserve">Overall, the PR has demonstrated improved performance (4 out of 7 indicators achieved &gt;100% to maximum limit of 120%  and 2 out 7 indicators achieved &gt;80% with the remaining indicator achieving 18% in the implementation of the grant during the period of review.
A quantitative average for all the 7 indicators resulted in an average of 71.51%, which falls under the "B1" rating. In terms of financial absorption, PR had absorbed 83% of the budgeted funds as at the end of December 2010. The high rate of financial absorption as compared to the programmatic rate was mainly due to:
- Payments during the period for HBC kits which were not received from the VPP for distribution.This had a negative impact on program implementation and the related performance indicator.
- Secondly, the PR achieved 18% under number of PLHIV provided with HBC and psychosocial support during the period. The under achievement was due to the fact that the setting of the target was based on a higher baseline as a result of wrong definition of the indicator at the time of the proposal development.
In spite of the good performance, going forward, the PR must intensify efforts to:
Improve the quality of services, training/sensitization programmes being provided 
Continously Improve the content and quality of training and sensitization reports
Improve M&amp;E training to facilitate standardization of data collection and reporting tools
Continue to strengthen partnerships with SRs/SGs (feedback has been positive during this period of review)
</t>
  </si>
  <si>
    <t>Delays in procurement of HBC kits had an impact on program implementation, but this was beyond the control of the PR, as the procurement was done through VPP.</t>
  </si>
  <si>
    <t>Partially</t>
  </si>
  <si>
    <t>An exit meeting was held with the PR, key members of the CCM and the LFA on 2 March 2011.</t>
  </si>
  <si>
    <t xml:space="preserve">The PR used Euro 1:37 Dalasi to translate bank and cash balances at the beginning of the period (quarter 4) and a monthly rate generated from the accounting system in translating expenditure incurred in the local currency. At the end of the period, Euro 1:37 Dalasi was used in translating the closing cash and bank balances. The rates used compare to the Central Bank of The Gambia indicative exchange rate which was Eur 1 : 37.46 Dalasi at the end of the period.
The outflow for the period were translated at average rates on a monthly basis. October - Eur 1 : 39.41 Dalasi, November Eur 1 : 37.84 Dalasi and December Eur 1 : 37.58 Dalasi </t>
  </si>
  <si>
    <t>Health products totaling Eur 64,081 were procured through VPP during the period.  The health products procured were mainly HBC kits and do not relate to the 6 PQR categories in the table below.</t>
  </si>
  <si>
    <r>
      <rPr>
        <b/>
        <sz val="12"/>
        <rFont val="Arial"/>
        <family val="2"/>
      </rPr>
      <t xml:space="preserve">Programmatic review: </t>
    </r>
    <r>
      <rPr>
        <sz val="12"/>
        <rFont val="Arial"/>
        <family val="2"/>
      </rPr>
      <t xml:space="preserve">
Various approaches were used for the verification of the programmatic components during the current period's VOI. These included:
- PR on site visits, interactions with PR staff, desk review of supporting documents (monthly/quarterly/survey reports, email, other correspondence)
</t>
    </r>
    <r>
      <rPr>
        <b/>
        <sz val="12"/>
        <rFont val="Arial"/>
        <family val="2"/>
      </rPr>
      <t>Financial, procurement and quality assurance:</t>
    </r>
    <r>
      <rPr>
        <sz val="12"/>
        <rFont val="Arial"/>
        <family val="2"/>
      </rPr>
      <t xml:space="preserve">
- Reviewed PR expenditure by validating supporting documents such as PVs, receipts, invoices, delivery notes etc
- Reviewed cashbooks, bank reconciliation statements and bank statements.
- Verified fixed assets procured and delivered to the PR.
- Obtained explanations for variance between the budget and actual expenditure.
</t>
    </r>
  </si>
  <si>
    <t xml:space="preserve">The stock of male condoms as at 28 February 2011 is not considered adequate to cater for the whole of 2011. 
Delays in the delivery of HBC kits affects program implementation.
Religious and cultural opposition to the use of condoms in some sects of the community poses challenges to the distribution and use of condoms in these communities.
</t>
  </si>
  <si>
    <t>We recommend that PR in collaboration with the National AIDS Secretariat should explore other avenues for funding to procure the additional condom requirements for the year.</t>
  </si>
  <si>
    <r>
      <t xml:space="preserve">Potential shortage of during last quarter of Year 2
</t>
    </r>
    <r>
      <rPr>
        <sz val="12"/>
        <rFont val="Arial"/>
        <family val="2"/>
      </rPr>
      <t xml:space="preserve">We noted during the assessment of the stock levels of condoms that the available stock as at 28 February 2011 will not be adequate to cater for the expected consumption for the whole of year.  This is based on the analysis below:
The stock of male condoms as at February 2011 was 488,160 and the monthly consumption in 2010 was 70,898. On the assumption that the 2010 monthly consumption pattern will continue in 2011, the existing stock of male condoms will only last for a maximum of 7 months, implying that by the end of September, the stock would have been exhausted.
A review of the PR's Year 2 budget shows that there is no budget for the procurement of condoms in Year 2.
</t>
    </r>
  </si>
  <si>
    <r>
      <rPr>
        <b/>
        <sz val="12"/>
        <rFont val="Arial"/>
        <family val="2"/>
      </rPr>
      <t xml:space="preserve">Recommendation 
</t>
    </r>
    <r>
      <rPr>
        <sz val="12"/>
        <rFont val="Arial"/>
        <family val="2"/>
      </rPr>
      <t>We recommend that the PR review the EFR and resolve these variances for our final review.</t>
    </r>
  </si>
  <si>
    <r>
      <rPr>
        <b/>
        <sz val="12"/>
        <rFont val="Arial"/>
        <family val="2"/>
      </rPr>
      <t>Budgeted exchange rate used to translate cumulative expenditure</t>
    </r>
    <r>
      <rPr>
        <sz val="12"/>
        <rFont val="Arial"/>
        <family val="2"/>
      </rPr>
      <t xml:space="preserve">
According to International Accounting Standards (IAS 21), an exchange rate that approximates the actual rate at the date of the transaction is often used for translation of transactions. An average rate for a week or a month might also be used for all transactions in each foreign currency occurring during that period. For the current quarter, transactions were appropriately translated at average rates on a monthly basis.
The cumulative expenditure for the year, on the other hand, was translated at the budget rate of D38.25 - € 1. </t>
    </r>
  </si>
  <si>
    <r>
      <rPr>
        <b/>
        <sz val="12"/>
        <rFont val="Arial"/>
        <family val="2"/>
      </rPr>
      <t xml:space="preserve">Recommendation 
</t>
    </r>
    <r>
      <rPr>
        <sz val="12"/>
        <rFont val="Arial"/>
        <family val="2"/>
      </rPr>
      <t>The PR should ensure that transactions are translated to the reporting/presentation currency using the rate that approximates the actual rate at the date of the transaction, and cash balances at the end of the period should be translated using the closing rate at the date of the end of the reporting period.</t>
    </r>
  </si>
  <si>
    <r>
      <rPr>
        <b/>
        <sz val="12"/>
        <rFont val="Arial"/>
        <family val="2"/>
      </rPr>
      <t xml:space="preserve">Long outstanding reconciling items noted in bank reconciliation statements </t>
    </r>
    <r>
      <rPr>
        <sz val="12"/>
        <rFont val="Arial"/>
        <family val="2"/>
      </rPr>
      <t xml:space="preserve">
We identified long outstanding reconciling items amounting to €251 from review of the bank reconciliation statement for Round 8 Dalasi account as at 31 December 2010. Reconciling items are usually considered long outstanding and stale after a 6 month period. The items identified were mainly unpresented cheques which had been outstanding since March 2010. 
</t>
    </r>
  </si>
  <si>
    <r>
      <t xml:space="preserve">Recommendation
</t>
    </r>
    <r>
      <rPr>
        <sz val="12"/>
        <rFont val="Arial"/>
        <family val="2"/>
      </rPr>
      <t xml:space="preserve">We recommend that these unpresented cheques are reversed in the cash book as they may be stale and not accepted by the bank if presented.
</t>
    </r>
    <r>
      <rPr>
        <b/>
        <sz val="12"/>
        <rFont val="Arial"/>
        <family val="2"/>
      </rPr>
      <t xml:space="preserve">
</t>
    </r>
  </si>
  <si>
    <t>21st March 2011/Accra</t>
  </si>
  <si>
    <t xml:space="preserve">• The stock of male condoms as at 28 February 2011 were 488,160 pieces.
• Monthly consumption in 2010 was approximately 70,898 pieces.
• Taking the monthly consumption rate into consideration, there is a risk of stock out as the quantities on hand will only be adequate to cater for the next 6-7 months in 2011. The additional requirement for the remaining months in 2011 is approximately 212,694 pieces. However there is no budget in year for the procurement of condoms. In view of this, PR in collaboration with NAS should ensure that they explore other avenues to raise funds for the procurement of the additional condom requirements for Year 2 of program implementation.
</t>
  </si>
  <si>
    <r>
      <t xml:space="preserve">Variances noted in budget and actual expenditure reported in EFR
</t>
    </r>
    <r>
      <rPr>
        <sz val="12"/>
        <rFont val="Arial"/>
        <family val="2"/>
      </rPr>
      <t xml:space="preserve">We noted a variance of Eur 157,976  between the expenditure reported in the EFR of Eur 1,368,698 and the cumulative expenditure reported in the PUDR of Eur 1,526,224 for the period from 1 December 2009 to 31 December 2010.  
We also noted a variance of Eur 64,104 between the budget amounts reported in the EFR of Eur 1,902,135 and approved budget in the grant agreement of Eur 1,838,031.  
Subsequent enquiry revealed that the budget that the PR used was based on a revised budget which has not been approved by the GF.
</t>
    </r>
  </si>
  <si>
    <t>The balance per the LFA represents the cash balance as at 31 December 2010 as follows;
Cash balance on Euro account -  493,628
Cash balance on Dalasi account -  39,194 (Dalasi 1,468,200 translated at D 37.46 : Eur 1)</t>
  </si>
  <si>
    <t>Average monthly rate</t>
  </si>
  <si>
    <t xml:space="preserve">
PR had an LFA adjusted cash balance of EUR 532,822 as at 31 December 2010 and had an LFA adjusted forecast expenditure of Eur 1,399,285. Considering the PR's forecasted expenditure of EUR 1,399,285, the cash balance will not be adequate to finance the forecasted activities. 
In terms of financial performance, the PR had an absorption rate of 83% of the budgeted funds as at the end of December 2010. The PR's programmatic performance during the period under review was good, achieving an overall rating of 71.51% and being rated "B1" on an overall basis. 
Conclusion: Considering PR's improved programmatic performance and the financial absorption, we recommend that EUR 866,463 be disbursed. This will be split as follows: EUR 826,062 for program activities paid into the Global Fund Round 8 A/C # 0011084900890301 and EUR 40,401 to the VPP for procurement of health products.  
</t>
  </si>
  <si>
    <t>Eight hundred and twenty six thousand, sixty two Euros.</t>
  </si>
  <si>
    <t>VPP</t>
  </si>
  <si>
    <t>EUROS</t>
  </si>
  <si>
    <t>Fourty thousand four hundred and one Euros.</t>
  </si>
  <si>
    <t xml:space="preserve">Ecobank
42 Kairaba Avenue
P.O. Box 3466
The Gambia
</t>
  </si>
  <si>
    <t>11084900890301</t>
  </si>
  <si>
    <t>The forecast submitted by PR has been reviewed and corrected. The PR in computing the forecast used the revised budget which has not yet been approved by GF.</t>
  </si>
  <si>
    <r>
      <t>As per recommendations from VOI for period 3, the baseline data was updated to reflect both in and out of school youth reached with life-skills based health education.
The revised baseline figure is 57%.</t>
    </r>
    <r>
      <rPr>
        <sz val="12"/>
        <color indexed="10"/>
        <rFont val="Arial"/>
        <family val="2"/>
      </rPr>
      <t xml:space="preserve">
</t>
    </r>
  </si>
  <si>
    <t>During the November 2010 VOI for Q3 , the LFA noted and reported that two out of the three baseline studies had been conducted:
1) Commercial Sex Workers, and 
2) Life Skills Based HIV Education in and out of Schools. Hard copies of these studies were shared with LFA and GF.
During this VOI (February 2011), the 2010 BSS report was shared with the LFA. The revised data on the number of out-of-school baseline was also shared with LFA during the February 2011 VOI.</t>
  </si>
  <si>
    <t>PR shared a joint action plan to address SR weaknesses with us. A review of the document showed that there were follow-up actions which PR and NAS were supposed to have done on 2010. Although some of these have subsequently been done, no update was provided on the current status of the follow-up actions in the document submitted by PR.</t>
  </si>
  <si>
    <t>Ministry of Health</t>
  </si>
  <si>
    <t>The second disbursement of Grant funds by the Global Fund to the Principal Recipient is subject to the delivery by the Principal Recipient to the Global Fund of evidence, in form and substance satisfactory to the Global Fund, that the Principal Recipient has upgraded its Accounting System as well as its Accounting Manual, particularly cash basis of accounting, to facilitate compliance with Global Fund reporting requirements.</t>
  </si>
  <si>
    <t>Amizian Kilasi</t>
  </si>
  <si>
    <t>Executive Director PIU</t>
  </si>
  <si>
    <t>2. The PR needs to open a separate bank account for this grant and transfer the correct cash balance from the current joint bank account.</t>
  </si>
  <si>
    <t>Number of medical (doctors and nurses) and non-medical staff (psychologists, social assistants, peer consultants) trained in HIV/AIDS</t>
  </si>
  <si>
    <t>n/a</t>
  </si>
  <si>
    <t>Monrovia</t>
  </si>
  <si>
    <t>Mr. James</t>
  </si>
  <si>
    <t>The negative variance for the period was mainly due to:
- Higher than planned expenditure on health products by Eur 13,069 due to increases in prices at the global level.
- Higher than planned costs incurred on OVC educational support of Eur 53,808. The 2010-2011 academic year began in the fourth quarter hence most OVC fees for the 2010-2011 academic year were paid in period 4. There was no budget for this activitiy in period 4.  The payments made were mainly drawn on the Eur 10,000 surplus from the budget for period 1 in year 1 and the year 2 period 1 budget of Eur 70,000.
- Higher than planned cost incurred on OVC nutritional support by Eur 8,145. This was mainly due to general increases in prices of goods and increase in the number of OVCs supported. The number of OVCs increased from the initial target of 1,700 to 2,000 after the MESST workshop in June 2010.
- Some expenditure from the previous quarter was rolled over to the current quarter. The roll over was due to the PR's decision to prioritise and spend on activities in period 3 in line with funds available at the time. These include activities under BCC Mass media and community outreach - Eur 60,279, procurement of bicycles under home based care and support for PLHIV- Eur 13,713, administrative costs, monthly meetings for PL support groups - Eur 25,706.
The negative variance was partly offset by unutilised funds/savings from the following budget lines;
-  Technical assistance from Action Aid International - Eur 4,465
-  Life skills training sessions under BCC community outreach - Eur 10,575
-  M &amp; E survey on the youth  -  Eur 6,624
-  PR Human resource and general administrative cost - Eur  4,956
- Training on Income generating activities  and phsycosocial care and support - Eur 10,148</t>
  </si>
  <si>
    <t>3. Although the PR has upgraded its accounting system to allow generating expenses reports on cash basis, the expenditures in the PU are still presented using the accrual basis of accounting. This prevents the verification of the cash balance, which is being calculated as a balance based on the cumulative expenditures of the program. Cumulative expenditures need to be updated based on actual cash disbursements from the PR grant account.</t>
  </si>
  <si>
    <t>Current grant</t>
  </si>
  <si>
    <t>2008</t>
  </si>
  <si>
    <t>MNR-809-G04-H</t>
  </si>
  <si>
    <t>Number of commercial sex workers reached with prevention interventions</t>
  </si>
  <si>
    <t>Number of IDUs on opioid substitution therapy</t>
  </si>
  <si>
    <t>Y-cumulative annually</t>
  </si>
  <si>
    <t>Number of people provided with  ARV treatment</t>
  </si>
  <si>
    <t xml:space="preserve">1. The sub-recipients audit plan is still outstanding. It was due by 30 October 2010. </t>
  </si>
  <si>
    <t>13/06/2011 ,  Monrovia</t>
  </si>
  <si>
    <t xml:space="preserve">The first disbursement of Grant funds by the Global Fund to the Principal Recipient is subject to the satisfaction of each of the following conditions:
a. the delivery by the Principal Recipient to the Global Fund of a statement confirming the bank account into which the Grant funds will be disbursed as indicated in block 10 of the face sheet of this Agreement; </t>
  </si>
  <si>
    <t xml:space="preserve">Advance payment: (100,000) for procurement of test systems brought forward from Q7 due to bulk order   </t>
  </si>
  <si>
    <t xml:space="preserve">An adjustment of EUR 100,000 in the beginning cash balance was made - VAT refund account was not considered in the financial reporting to date. </t>
  </si>
  <si>
    <t>The delays are due to the following reasons: The PR has canceled a contract with one SR due to performance and accountability issues. There is ongoing prevention work with CSWs in the capital city  but given the underperformance with regards to the set targets for prevention activities for commercial sex workers, the PR has decided to support  service delivery sites in additional cities and towns where the need for the work with this target group has been identified (initial findings of ongoing BSS activities).  The PR has signed contracts with new SRs after the end of the reporting period and plans to accelerate the work to achieve the targets.  The PR has developed with the new SRs an accelerated implementation plan, to be supported with the unused budgeted resources as of the end of Q5 (EUR 400,000) (see attached docs).</t>
  </si>
  <si>
    <t xml:space="preserve">The PR, in coordination with the sub-recipients, managed to deliver trainings to more people than initially planned. The target was exceeded by 194 people. This was possible due to the involvement of a newly opened training center with the Medical Academy in the capital city and the engagement of the Regional Centers of the social services.  The PR coordinated with the regional centers to add a module on HIV/AIDS to a training program, which was already organized by the social services.  . All sub-recipients and contractors are required to maintain detailed training records.  The PR is also conducting spot checks of training activities. The PR is also conducting spot checks of training activities. Finally, the PR is reviewing all SR reports and training log sheets, cross-checking the data and maintaining a central database of participants in trainings. As a result of the PR’s quality checks, 53 people from the SR reports were excluded from the cumulative results reported by the PR (e.g. due to incomplete records, double-counting by SRs). </t>
  </si>
  <si>
    <t xml:space="preserve">While no people started methadone therapy during the reporting period, a number of important preparatory activities were completed. The first site in the capital city was fully renovated and it passed successfully the mandatory review procedures by the local authorities, who granted the necessary authorizations for its full-fledge operation. In the meantime, the contractors for the renovation of the service delivery facilities in one additional spot in the capital city and two other regional centers were selected and they started the renovation works in these spots.
Importantly, the necessary authorizations for the methadone import were obtained and the partial pre-payment (15% of the invoice amount) was made during the reporting period. The methadone was actually delivered to the country after the end of the reporting period, and at the time of this PU/DR submission the first patients are already receiving therapy in the capital city. The already functioning center has the capacity to service 60 people per day and we expect to accelerate performance in this area.  With the ongoing work on the opening of similar centers in other locations, we will be able to achieve the set targets.
</t>
  </si>
  <si>
    <t xml:space="preserve">We are fully on track with the set targets for this indicator thanks to close coordination with the Central and Regional Infectious Disease Hospitals and the close cooperation with the NGOs providing care and support to the patients. It is important to note that the PR has supported the development of a comprehensive treatment monitoring electronic system, including treatment regimens and ARV drugs consumption. The system has been rolled out at the central hospital for now and following the field testing, the necessary revisions will be made and the e-system will be rolled out to the regional centers. </t>
  </si>
  <si>
    <t xml:space="preserve">Please see above for details. </t>
  </si>
  <si>
    <t xml:space="preserve">This condition was initially met at the time of grant signing. 
During the last reporting period, the GF communicated a management action to the PR requiring the opening of a separate bank account. The PR opened the required separate bank account.  Please find attached the PR Bank Details form duly completed and the respective supporting documents for the new bank account. </t>
  </si>
  <si>
    <t xml:space="preserve">The condition was fulfilled. The PR has upgraded its accounting system to generate expense reports on cash basis.  The Accounting Manual was also updated to reflect the requirement for cash basis reporting to the GF and the necessary changes in the internal accounting procedures. </t>
  </si>
  <si>
    <t xml:space="preserve">The PR was indeed late with the submission of the plan for the audit of SRs for Year 1 (1 October 2009 - 30 September 2010) of the program. The SR audit plan, however, was submitted in December  following the newly issued GF Guidelines on Annual Audits. The GF has already commented on the plan and required further amendments. They were made and the revised SR Audit Plan was submitted in January.   Hence, the management action was completed. </t>
  </si>
  <si>
    <t xml:space="preserve">The bank account is opened and new bank instructions are provided for this disbursement. The Finance team has calculate the necessary balance on GF funds to be transferred to the account and submitted the necessary calculations and supporting information and documentation to the LFA for their review. </t>
  </si>
  <si>
    <t xml:space="preserve">The PR has worked on this point and the expenses for the reporting period covered by this PU/DR (both current reporting period expenditures and cumulative expenditures) are presented on a cash basis. </t>
  </si>
  <si>
    <t>Submitted to GF</t>
  </si>
  <si>
    <t xml:space="preserve">The audit company was selected and contracted, the field audit work was completed, the final report is due for submission by the end of March. </t>
  </si>
  <si>
    <t xml:space="preserve">The EFR was submitted in accordance with the set timelines. </t>
  </si>
  <si>
    <t xml:space="preserve">Contracts signed for procuring CD4 count equipment but not yet paid  - 300,000. Final installment per signed contract to be paid for transportation and storage of drugs in regional warehouses - 35,000.
Savings: 100,000 from late recruitment of staff
Delayed activities (in progress now): 265,000 (media campaign - 50,000, refurbishment of facilities for delivery of opioid substitution therapy - 150,000, trainings related to substitution therapy - $15,000)
Advance payment: (100,000) for procurement of test systems brought forward from Q7 due to bulk order   </t>
  </si>
  <si>
    <r>
      <t xml:space="preserve">Not implemented: 50,000 Technical Assistance for lab assessment 
Staff travel not realized in the amount of 15,000.
</t>
    </r>
    <r>
      <rPr>
        <u/>
        <sz val="11"/>
        <rFont val="Arial"/>
        <family val="2"/>
      </rPr>
      <t/>
    </r>
  </si>
  <si>
    <t>The PR has canceled a contract with one SR due to performance and accountability issues. Given the underperformance with regards to the set targets for prevention activities for commercial sex workers, the PR has decided to support  service delivery sites in additional cities and towns where the need for the work with this target group has been identified (initial findings of ongoing BSS activities).  The PR has signed contracts with new SRs after the end of the reporting period and plans to accelerate the work to achieve the targets.  The PR has developed with the new SRs an accelerated implementation plan, to be supported with the unused budgeted resources as of the end of Q5 (200,000) (see attached docs).</t>
  </si>
  <si>
    <t xml:space="preserve">The PR has canceled a contract with one SR due to performance and accountability issues. Given the underperformance with regards to the set targets for prevention activities for commercial sex workers, the PR has decided to support  service delivery sites in additional cities and towns where the need for the work with this target group has been identified (initial findings of ongoing BSS activities).  The PR has signed contracts with new SRs after the end of the reporting period and plans to accelerate the work to achieve the targets.  The PR has developed with the new SRs an accelerated implementation plan, to be supported with the unused budgeted resources as of the end of Q5 (200,000) (see attached docs).
Payments in the amount of 300,000 were not made to SRs by the end of the reporting period due to delays in submission of the SR reports or inconsistent reports. Payment in the amount of 280,000 was made to SR right after the end of the reporting period (for all SRs where the outstanding issues were successfully resolved). </t>
  </si>
  <si>
    <t xml:space="preserve">OI drugs cost less than initially budgeted (savings in the amount of 50,000). These savings are used to fund higher prices for some second-line ARVs. 
There is a last installement for the annual order of ARV drugs in the amount 100,000 to be paid in the next quarter. </t>
  </si>
  <si>
    <t>OI drugs cost less than initially budgeted (savings in the amount of 50,000).</t>
  </si>
  <si>
    <t xml:space="preserve">Advance payment: (100,000) for procurement of test systems brought forward from Q7 due to bulk order. 
The order for lab equipment was placed (total amount: 500,000) - payment will be made in installements in the next two quarters. </t>
  </si>
  <si>
    <t>The required information was updated for ARVs, rapid tests and condoms in the PQR (for cases when we did not have the final invoices, we updated the PQR based on pro-forma invoices).</t>
  </si>
  <si>
    <t xml:space="preserve">Based on available information, there are sufficient stocks of drugs at central level. There were issues with drugs stocks in two regional centers but the PR worked closely with the central warehouse, the chief medical facility and the distribution company and ensured that the stocks at the regional level were replenished as soon as possible. </t>
  </si>
  <si>
    <t>End balance from previous report</t>
  </si>
  <si>
    <t>GF pmt to third party on behalf of PR</t>
  </si>
  <si>
    <t>Interest income in correct line</t>
  </si>
  <si>
    <t>One-off reconciliation for under-reporting in previous reporting period</t>
  </si>
  <si>
    <r>
      <rPr>
        <b/>
        <i/>
        <u/>
        <sz val="11"/>
        <color rgb="FF0070C0"/>
        <rFont val="Arial"/>
        <family val="2"/>
      </rPr>
      <t>Note re: Adjustment in Line 6</t>
    </r>
    <r>
      <rPr>
        <b/>
        <sz val="11"/>
        <color rgb="FF0070C0"/>
        <rFont val="Arial"/>
        <family val="2"/>
      </rPr>
      <t>: In Year 1 the PR opened a bank account dedicated to VAT re-funds per the requirement of the Ministry of Finance.  At the very end of Year 1 i.e. prior to the reporting period of Q5,  the first tranche of tax re-funds in the amount of $100,000 was made by the Ministry of Finance to the dedicated tax refund account.  This amount is reflected in line 9 above. This is a one-time reconciliation adjustment and in the future tax refunds will be reflected on a periodic basis as part of reporting on other income under Line 6.</t>
    </r>
  </si>
  <si>
    <r>
      <rPr>
        <i/>
        <u/>
        <sz val="11"/>
        <rFont val="Arial"/>
        <family val="2"/>
      </rPr>
      <t>Note re: Adjustment in Line 6</t>
    </r>
    <r>
      <rPr>
        <sz val="11"/>
        <rFont val="Arial"/>
        <family val="2"/>
      </rPr>
      <t>: In Year 1 the PR opened a bank account dedicated to VAT re-funds per the requirement of the Ministry of Finance.  At the very end of Year 1 i.e. prior to the reporting period of Q5,  the first tranche of tax re-funds in the amount of $100,000 was made by the Ministry of Finance to the dedicated tax refund account.  This amount is reflected in line 9 above. This is a one-time reconciliation adjustment and in the future tax refunds will be reflected on a periodic basis as part of reporting on other income under Line 6.</t>
    </r>
  </si>
  <si>
    <t xml:space="preserve">Disbursement Forecast </t>
  </si>
  <si>
    <t>Amount as originally budgeted:</t>
  </si>
  <si>
    <t>Q6</t>
  </si>
  <si>
    <t>Q7</t>
  </si>
  <si>
    <t>Forecasted expenditures/cash needs in the PU/DR</t>
  </si>
  <si>
    <t>FORECAST REVIEW</t>
  </si>
  <si>
    <t>LESS</t>
  </si>
  <si>
    <t xml:space="preserve">as of last reporting period </t>
  </si>
  <si>
    <t xml:space="preserve">Savings from late staff recruitment </t>
  </si>
  <si>
    <t xml:space="preserve">See Section 3A </t>
  </si>
  <si>
    <t xml:space="preserve">Technical assistance for labs - to be funded by another donor </t>
  </si>
  <si>
    <t>See Section 3A</t>
  </si>
  <si>
    <t>Q5</t>
  </si>
  <si>
    <t xml:space="preserve">Unused SR cash balance not offset by commitments/due payments </t>
  </si>
  <si>
    <t>Less</t>
  </si>
  <si>
    <t xml:space="preserve">See Section 4C from Background information </t>
  </si>
  <si>
    <t>Advance pmt for test systems</t>
  </si>
  <si>
    <t xml:space="preserve">TOTAL </t>
  </si>
  <si>
    <t xml:space="preserve">(a) </t>
  </si>
  <si>
    <t>Subtotal of cash declared as "needed" but unjustified</t>
  </si>
  <si>
    <t xml:space="preserve">Adjusted Forecasted Cash Needs </t>
  </si>
  <si>
    <t xml:space="preserve">(b) </t>
  </si>
  <si>
    <t xml:space="preserve">Adjusted Forecast </t>
  </si>
  <si>
    <t>Cash Balance: End of period covered by Progress Update:</t>
  </si>
  <si>
    <t>(c )</t>
  </si>
  <si>
    <t>Available Funds</t>
  </si>
  <si>
    <t>(b-c)</t>
  </si>
  <si>
    <t>Disbursement Amount</t>
  </si>
  <si>
    <t xml:space="preserve">Please see the attached spreadsheet named "Cash Forecast Detail Top Down" .  
The forecast for the next reporting period is based on the Q6 budget adjusted down for the following: 
Less $100,000 for savings from late staff recruitment (see Section 3A) 
Less $50,000 – TA for labs to be funded by another donor (see Section 3A)
Less $80,000 – Unused SR cash balance not offset by commitments
The budget for the buffer quarter is adjusted down for the following: 
Less $100,00 – advance payment for test systems
</t>
  </si>
  <si>
    <t>One million thirty-five thousand US dollars</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</si>
</sst>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41" formatCode="_-* #,##0_-;\-* #,##0_-;_-* &quot;-&quot;_-;_-@_-"/>
    <numFmt numFmtId="164" formatCode="_(* #,##0.00_);_(* \(#,##0.00\);_(* &quot;-&quot;??_);_(@_)"/>
    <numFmt numFmtId="165" formatCode="_ * #,##0.00_ ;_ * \-#,##0.00_ ;_ * &quot;-&quot;??_ ;_ @_ "/>
    <numFmt numFmtId="166" formatCode="_ * #,##0_ ;_ * \-#,##0_ ;_ * &quot;-&quot;??_ ;_ @_ "/>
    <numFmt numFmtId="167" formatCode="[$-409]d\-mmm\-yyyy;@"/>
    <numFmt numFmtId="168" formatCode="#,##0.00;[Red]\(#,##0.00\)"/>
    <numFmt numFmtId="169" formatCode="#,##0.0000_);[Red]\(#,##0.0000\)"/>
    <numFmt numFmtId="170" formatCode="dd/mm/yyyy;@"/>
    <numFmt numFmtId="171" formatCode="[$-409]d\-mmm\-yy;@"/>
    <numFmt numFmtId="172" formatCode="#,##0.0000;[Red]\-#,##0.0000"/>
    <numFmt numFmtId="173" formatCode="mm/dd/yy;@"/>
    <numFmt numFmtId="174" formatCode="#,##0.0000_ ;\-#,##0.0000\ "/>
    <numFmt numFmtId="175" formatCode="#,##0.00_ ;\-#,##0.00\ "/>
    <numFmt numFmtId="176" formatCode="#,##0.0000"/>
    <numFmt numFmtId="177" formatCode="0.0000"/>
    <numFmt numFmtId="178" formatCode="_(* #,##0.00_);_(* \(#,##0.00%\);_(* &quot;-&quot;??_);_(@_)"/>
    <numFmt numFmtId="179" formatCode="00000"/>
  </numFmts>
  <fonts count="109" x14ac:knownFonts="1">
    <font>
      <sz val="10"/>
      <name val="Arial"/>
    </font>
    <font>
      <sz val="11"/>
      <color indexed="8"/>
      <name val="Calibri"/>
      <family val="2"/>
    </font>
    <font>
      <sz val="10"/>
      <name val="Arial"/>
      <family val="2"/>
    </font>
    <font>
      <sz val="12"/>
      <name val="Times New Roman"/>
      <family val="1"/>
    </font>
    <font>
      <sz val="12"/>
      <name val="Arial"/>
      <family val="2"/>
    </font>
    <font>
      <sz val="10"/>
      <name val="Times New Roman"/>
      <family val="1"/>
    </font>
    <font>
      <b/>
      <sz val="16"/>
      <name val="Arial"/>
      <family val="2"/>
    </font>
    <font>
      <b/>
      <sz val="12"/>
      <color indexed="9"/>
      <name val="Arial"/>
      <family val="2"/>
    </font>
    <font>
      <sz val="10"/>
      <name val="Arial"/>
      <family val="2"/>
    </font>
    <font>
      <b/>
      <sz val="12"/>
      <name val="Arial"/>
      <family val="2"/>
    </font>
    <font>
      <b/>
      <sz val="11"/>
      <color indexed="8"/>
      <name val="Arial"/>
      <family val="2"/>
    </font>
    <font>
      <b/>
      <sz val="11"/>
      <color indexed="9"/>
      <name val="Arial"/>
      <family val="2"/>
    </font>
    <font>
      <sz val="11"/>
      <name val="Arial"/>
      <family val="2"/>
    </font>
    <font>
      <b/>
      <sz val="11"/>
      <name val="Arial"/>
      <family val="2"/>
    </font>
    <font>
      <b/>
      <sz val="12"/>
      <color indexed="8"/>
      <name val="Arial"/>
      <family val="2"/>
    </font>
    <font>
      <sz val="11"/>
      <name val="Arial"/>
      <family val="2"/>
    </font>
    <font>
      <b/>
      <sz val="20"/>
      <name val="Arial"/>
      <family val="2"/>
    </font>
    <font>
      <b/>
      <sz val="14"/>
      <color indexed="9"/>
      <name val="Arial"/>
      <family val="2"/>
    </font>
    <font>
      <sz val="11"/>
      <color indexed="8"/>
      <name val="Arial"/>
      <family val="2"/>
    </font>
    <font>
      <b/>
      <i/>
      <sz val="14"/>
      <name val="Arial"/>
      <family val="2"/>
    </font>
    <font>
      <vertAlign val="superscript"/>
      <sz val="11"/>
      <name val="Arial"/>
      <family val="2"/>
    </font>
    <font>
      <b/>
      <sz val="18"/>
      <name val="Arial"/>
      <family val="2"/>
    </font>
    <font>
      <sz val="18"/>
      <name val="Arial"/>
      <family val="2"/>
    </font>
    <font>
      <b/>
      <sz val="10"/>
      <name val="Arial"/>
      <family val="2"/>
    </font>
    <font>
      <u/>
      <sz val="14"/>
      <name val="Arial"/>
      <family val="2"/>
    </font>
    <font>
      <i/>
      <sz val="11"/>
      <name val="Arial"/>
      <family val="2"/>
    </font>
    <font>
      <b/>
      <sz val="14"/>
      <name val="Arial"/>
      <family val="2"/>
    </font>
    <font>
      <u/>
      <sz val="12"/>
      <name val="Arial"/>
      <family val="2"/>
    </font>
    <font>
      <sz val="14"/>
      <name val="Arial"/>
      <family val="2"/>
    </font>
    <font>
      <sz val="8"/>
      <name val="Arial"/>
      <family val="2"/>
    </font>
    <font>
      <u/>
      <sz val="11"/>
      <name val="Arial"/>
      <family val="2"/>
    </font>
    <font>
      <sz val="10"/>
      <color indexed="8"/>
      <name val="Arial"/>
      <family val="2"/>
    </font>
    <font>
      <sz val="7"/>
      <name val="Times New Roman"/>
      <family val="1"/>
    </font>
    <font>
      <b/>
      <i/>
      <sz val="11"/>
      <name val="Arial"/>
      <family val="2"/>
    </font>
    <font>
      <sz val="8"/>
      <name val="Arial"/>
      <family val="2"/>
    </font>
    <font>
      <sz val="10"/>
      <name val="Arial"/>
      <family val="2"/>
    </font>
    <font>
      <sz val="8"/>
      <name val="Arial"/>
      <family val="2"/>
    </font>
    <font>
      <i/>
      <sz val="10"/>
      <name val="Arial"/>
      <family val="2"/>
    </font>
    <font>
      <sz val="11"/>
      <color indexed="9"/>
      <name val="Arial"/>
      <family val="2"/>
    </font>
    <font>
      <b/>
      <sz val="11"/>
      <color indexed="9"/>
      <name val="Arial"/>
      <family val="2"/>
    </font>
    <font>
      <b/>
      <sz val="11"/>
      <color indexed="10"/>
      <name val="Arial"/>
      <family val="2"/>
    </font>
    <font>
      <b/>
      <sz val="11"/>
      <color indexed="52"/>
      <name val="Arial"/>
      <family val="2"/>
    </font>
    <font>
      <sz val="10"/>
      <color indexed="10"/>
      <name val="Arial"/>
      <family val="2"/>
    </font>
    <font>
      <b/>
      <sz val="11"/>
      <color indexed="12"/>
      <name val="Arial"/>
      <family val="2"/>
    </font>
    <font>
      <sz val="11"/>
      <color indexed="12"/>
      <name val="Arial"/>
      <family val="2"/>
    </font>
    <font>
      <sz val="10"/>
      <color indexed="9"/>
      <name val="Arial"/>
      <family val="2"/>
    </font>
    <font>
      <b/>
      <sz val="9"/>
      <name val="Arial"/>
      <family val="2"/>
    </font>
    <font>
      <sz val="10"/>
      <color indexed="12"/>
      <name val="Arial"/>
      <family val="2"/>
    </font>
    <font>
      <b/>
      <sz val="11"/>
      <color indexed="53"/>
      <name val="Arial"/>
      <family val="2"/>
    </font>
    <font>
      <b/>
      <u/>
      <sz val="12"/>
      <color indexed="12"/>
      <name val="Arial"/>
      <family val="2"/>
    </font>
    <font>
      <b/>
      <sz val="12"/>
      <color indexed="12"/>
      <name val="Arial"/>
      <family val="2"/>
    </font>
    <font>
      <sz val="12"/>
      <color indexed="12"/>
      <name val="Arial"/>
      <family val="2"/>
    </font>
    <font>
      <sz val="11"/>
      <color indexed="53"/>
      <name val="Arial"/>
      <family val="2"/>
    </font>
    <font>
      <b/>
      <sz val="12"/>
      <color indexed="8"/>
      <name val="Calibri"/>
      <family val="2"/>
    </font>
    <font>
      <b/>
      <sz val="10"/>
      <color indexed="8"/>
      <name val="Calibri"/>
      <family val="2"/>
    </font>
    <font>
      <b/>
      <u/>
      <sz val="10"/>
      <color indexed="8"/>
      <name val="Calibri"/>
      <family val="2"/>
    </font>
    <font>
      <b/>
      <sz val="10"/>
      <name val="Calibri"/>
      <family val="2"/>
    </font>
    <font>
      <sz val="10"/>
      <color indexed="8"/>
      <name val="Calibri"/>
      <family val="2"/>
    </font>
    <font>
      <b/>
      <sz val="11"/>
      <color indexed="12"/>
      <name val="Calibri"/>
      <family val="2"/>
    </font>
    <font>
      <sz val="8"/>
      <name val="Arial"/>
      <family val="2"/>
    </font>
    <font>
      <b/>
      <u/>
      <sz val="11"/>
      <name val="Arial"/>
      <family val="2"/>
    </font>
    <font>
      <sz val="10"/>
      <name val="Arial"/>
      <family val="2"/>
    </font>
    <font>
      <sz val="8"/>
      <name val="Arial"/>
      <family val="2"/>
    </font>
    <font>
      <b/>
      <i/>
      <sz val="10"/>
      <name val="Arial"/>
      <family val="2"/>
    </font>
    <font>
      <b/>
      <i/>
      <sz val="12"/>
      <name val="Arial"/>
      <family val="2"/>
    </font>
    <font>
      <b/>
      <i/>
      <sz val="8"/>
      <name val="Arial"/>
      <family val="2"/>
    </font>
    <font>
      <sz val="12"/>
      <color indexed="8"/>
      <name val="Times"/>
      <family val="1"/>
    </font>
    <font>
      <b/>
      <sz val="8"/>
      <color indexed="81"/>
      <name val="Tahoma"/>
      <family val="2"/>
    </font>
    <font>
      <sz val="8"/>
      <color indexed="81"/>
      <name val="Tahoma"/>
      <family val="2"/>
    </font>
    <font>
      <sz val="10"/>
      <color indexed="10"/>
      <name val="Tahoma"/>
      <family val="2"/>
    </font>
    <font>
      <b/>
      <sz val="14"/>
      <color indexed="12"/>
      <name val="Arial"/>
      <family val="2"/>
    </font>
    <font>
      <sz val="11"/>
      <name val="Arial"/>
      <family val="2"/>
    </font>
    <font>
      <sz val="13"/>
      <name val="Arial"/>
      <family val="2"/>
    </font>
    <font>
      <b/>
      <sz val="13"/>
      <color indexed="12"/>
      <name val="Arial"/>
      <family val="2"/>
    </font>
    <font>
      <b/>
      <sz val="10"/>
      <name val="Arial"/>
      <family val="2"/>
    </font>
    <font>
      <sz val="11"/>
      <name val="Calibri"/>
      <family val="2"/>
    </font>
    <font>
      <sz val="9"/>
      <color indexed="81"/>
      <name val="Tahoma"/>
      <family val="2"/>
    </font>
    <font>
      <b/>
      <sz val="9"/>
      <color indexed="81"/>
      <name val="Tahoma"/>
      <family val="2"/>
    </font>
    <font>
      <sz val="14"/>
      <color indexed="9"/>
      <name val="Arial"/>
      <family val="2"/>
    </font>
    <font>
      <b/>
      <i/>
      <u/>
      <sz val="10"/>
      <name val="Arial"/>
      <family val="2"/>
    </font>
    <font>
      <sz val="14"/>
      <color indexed="12"/>
      <name val="Arial"/>
      <family val="2"/>
    </font>
    <font>
      <b/>
      <sz val="16"/>
      <color indexed="12"/>
      <name val="Arial"/>
      <family val="2"/>
    </font>
    <font>
      <b/>
      <u/>
      <sz val="14"/>
      <color indexed="12"/>
      <name val="Arial"/>
      <family val="2"/>
    </font>
    <font>
      <b/>
      <sz val="11"/>
      <color rgb="FFFF0000"/>
      <name val="Arial"/>
      <family val="2"/>
    </font>
    <font>
      <sz val="10"/>
      <color rgb="FFFF0000"/>
      <name val="Arial"/>
      <family val="2"/>
    </font>
    <font>
      <b/>
      <sz val="11"/>
      <color theme="1"/>
      <name val="Arial"/>
      <family val="2"/>
    </font>
    <font>
      <b/>
      <sz val="12"/>
      <color rgb="FFFF0000"/>
      <name val="Arial"/>
      <family val="2"/>
    </font>
    <font>
      <b/>
      <u/>
      <sz val="14"/>
      <color rgb="FFFF0000"/>
      <name val="Arial"/>
      <family val="2"/>
    </font>
    <font>
      <b/>
      <sz val="12"/>
      <color rgb="FFFF0000"/>
      <name val="Times New Roman"/>
      <family val="1"/>
    </font>
    <font>
      <b/>
      <sz val="11"/>
      <color rgb="FF0000FF"/>
      <name val="Arial"/>
      <family val="2"/>
    </font>
    <font>
      <b/>
      <sz val="12"/>
      <color rgb="FF2038EC"/>
      <name val="Arial"/>
      <family val="2"/>
    </font>
    <font>
      <b/>
      <sz val="14"/>
      <color rgb="FF0000FF"/>
      <name val="Arial"/>
      <family val="2"/>
    </font>
    <font>
      <b/>
      <sz val="12"/>
      <color rgb="FF0000FF"/>
      <name val="Arial"/>
      <family val="2"/>
    </font>
    <font>
      <b/>
      <sz val="16"/>
      <color rgb="FF0000FF"/>
      <name val="Arial"/>
      <family val="2"/>
    </font>
    <font>
      <b/>
      <sz val="14"/>
      <color rgb="FF0066FF"/>
      <name val="Arial"/>
      <family val="2"/>
    </font>
    <font>
      <sz val="12"/>
      <color indexed="22"/>
      <name val="Arial"/>
      <family val="2"/>
    </font>
    <font>
      <sz val="12"/>
      <color rgb="FFFF0000"/>
      <name val="Arial"/>
      <family val="2"/>
    </font>
    <font>
      <sz val="12"/>
      <color indexed="10"/>
      <name val="Arial"/>
      <family val="2"/>
    </font>
    <font>
      <b/>
      <sz val="11"/>
      <color rgb="FF0070C0"/>
      <name val="Arial"/>
      <family val="2"/>
    </font>
    <font>
      <sz val="11"/>
      <color rgb="FF0070C0"/>
      <name val="Arial"/>
      <family val="2"/>
    </font>
    <font>
      <b/>
      <sz val="12"/>
      <color rgb="FF0070C0"/>
      <name val="Arial"/>
      <family val="2"/>
    </font>
    <font>
      <b/>
      <sz val="10"/>
      <color rgb="FF0070C0"/>
      <name val="Arial"/>
      <family val="2"/>
    </font>
    <font>
      <b/>
      <sz val="10"/>
      <color theme="0"/>
      <name val="Arial"/>
      <family val="2"/>
    </font>
    <font>
      <b/>
      <i/>
      <u/>
      <sz val="11"/>
      <color rgb="FF0070C0"/>
      <name val="Arial"/>
      <family val="2"/>
    </font>
    <font>
      <i/>
      <u/>
      <sz val="11"/>
      <name val="Arial"/>
      <family val="2"/>
    </font>
    <font>
      <b/>
      <sz val="8"/>
      <name val="Arial"/>
      <family val="2"/>
    </font>
    <font>
      <b/>
      <u/>
      <sz val="8"/>
      <name val="Arial"/>
      <family val="2"/>
    </font>
    <font>
      <sz val="11"/>
      <name val="Calibri"/>
      <family val="2"/>
      <scheme val="minor"/>
    </font>
    <font>
      <b/>
      <sz val="8"/>
      <color rgb="FFFF0000"/>
      <name val="Arial"/>
      <family val="2"/>
    </font>
  </fonts>
  <fills count="28">
    <fill>
      <patternFill patternType="none"/>
    </fill>
    <fill>
      <patternFill patternType="gray125"/>
    </fill>
    <fill>
      <patternFill patternType="solid">
        <fgColor indexed="18"/>
        <bgColor indexed="64"/>
      </patternFill>
    </fill>
    <fill>
      <patternFill patternType="solid">
        <fgColor indexed="9"/>
        <bgColor indexed="64"/>
      </patternFill>
    </fill>
    <fill>
      <patternFill patternType="solid">
        <fgColor indexed="22"/>
        <bgColor indexed="64"/>
      </patternFill>
    </fill>
    <fill>
      <patternFill patternType="solid">
        <fgColor indexed="42"/>
        <bgColor indexed="64"/>
      </patternFill>
    </fill>
    <fill>
      <patternFill patternType="solid">
        <fgColor indexed="8"/>
        <bgColor indexed="64"/>
      </patternFill>
    </fill>
    <fill>
      <patternFill patternType="solid">
        <fgColor indexed="13"/>
        <bgColor indexed="64"/>
      </patternFill>
    </fill>
    <fill>
      <patternFill patternType="lightTrellis">
        <bgColor indexed="42"/>
      </patternFill>
    </fill>
    <fill>
      <patternFill patternType="lightTrellis">
        <bgColor indexed="9"/>
      </patternFill>
    </fill>
    <fill>
      <patternFill patternType="solid">
        <fgColor indexed="41"/>
        <bgColor indexed="64"/>
      </patternFill>
    </fill>
    <fill>
      <patternFill patternType="solid">
        <fgColor indexed="43"/>
        <bgColor indexed="64"/>
      </patternFill>
    </fill>
    <fill>
      <patternFill patternType="lightGray">
        <bgColor indexed="9"/>
      </patternFill>
    </fill>
    <fill>
      <patternFill patternType="solid">
        <fgColor indexed="55"/>
        <bgColor indexed="64"/>
      </patternFill>
    </fill>
    <fill>
      <patternFill patternType="solid">
        <fgColor indexed="56"/>
        <bgColor indexed="64"/>
      </patternFill>
    </fill>
    <fill>
      <patternFill patternType="solid">
        <fgColor indexed="26"/>
        <bgColor indexed="64"/>
      </patternFill>
    </fill>
    <fill>
      <patternFill patternType="solid">
        <fgColor theme="0"/>
        <bgColor indexed="64"/>
      </patternFill>
    </fill>
    <fill>
      <patternFill patternType="solid">
        <fgColor theme="0"/>
        <bgColor theme="0"/>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249977111117893"/>
        <bgColor theme="0"/>
      </patternFill>
    </fill>
    <fill>
      <patternFill patternType="solid">
        <fgColor theme="0" tint="-0.14999847407452621"/>
        <bgColor indexed="64"/>
      </patternFill>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CCFFCC"/>
        <bgColor indexed="64"/>
      </patternFill>
    </fill>
  </fills>
  <borders count="19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style="medium">
        <color indexed="64"/>
      </top>
      <bottom style="thin">
        <color indexed="64"/>
      </bottom>
      <diagonal/>
    </border>
    <border>
      <left/>
      <right style="thin">
        <color indexed="64"/>
      </right>
      <top/>
      <bottom/>
      <diagonal/>
    </border>
    <border>
      <left/>
      <right/>
      <top/>
      <bottom style="medium">
        <color indexed="64"/>
      </bottom>
      <diagonal/>
    </border>
    <border>
      <left style="medium">
        <color indexed="64"/>
      </left>
      <right/>
      <top/>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thin">
        <color indexed="64"/>
      </top>
      <bottom/>
      <diagonal/>
    </border>
    <border>
      <left style="thin">
        <color indexed="64"/>
      </left>
      <right/>
      <top style="hair">
        <color indexed="64"/>
      </top>
      <bottom style="thin">
        <color indexed="64"/>
      </bottom>
      <diagonal/>
    </border>
    <border>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9"/>
      </right>
      <top/>
      <bottom/>
      <diagonal/>
    </border>
    <border>
      <left style="medium">
        <color indexed="64"/>
      </left>
      <right style="thin">
        <color indexed="9"/>
      </right>
      <top style="thin">
        <color indexed="9"/>
      </top>
      <bottom/>
      <diagonal/>
    </border>
    <border>
      <left style="medium">
        <color indexed="64"/>
      </left>
      <right style="thin">
        <color indexed="9"/>
      </right>
      <top style="thin">
        <color indexed="9"/>
      </top>
      <bottom style="thin">
        <color indexed="9"/>
      </bottom>
      <diagonal/>
    </border>
    <border>
      <left style="thin">
        <color indexed="9"/>
      </left>
      <right/>
      <top style="thin">
        <color indexed="9"/>
      </top>
      <bottom style="thin">
        <color indexed="9"/>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color indexed="9"/>
      </bottom>
      <diagonal/>
    </border>
    <border>
      <left/>
      <right/>
      <top style="thin">
        <color indexed="9"/>
      </top>
      <bottom/>
      <diagonal/>
    </border>
    <border>
      <left/>
      <right style="thin">
        <color indexed="9"/>
      </right>
      <top style="medium">
        <color indexed="64"/>
      </top>
      <bottom style="thin">
        <color indexed="9"/>
      </bottom>
      <diagonal/>
    </border>
    <border>
      <left style="thin">
        <color indexed="9"/>
      </left>
      <right style="thin">
        <color indexed="9"/>
      </right>
      <top style="medium">
        <color indexed="64"/>
      </top>
      <bottom/>
      <diagonal/>
    </border>
    <border>
      <left/>
      <right/>
      <top style="thin">
        <color indexed="9"/>
      </top>
      <bottom style="thin">
        <color indexed="9"/>
      </bottom>
      <diagonal/>
    </border>
    <border>
      <left style="thin">
        <color indexed="9"/>
      </left>
      <right/>
      <top style="medium">
        <color indexed="64"/>
      </top>
      <bottom style="thin">
        <color indexed="9"/>
      </bottom>
      <diagonal/>
    </border>
    <border>
      <left style="thin">
        <color indexed="9"/>
      </left>
      <right style="thin">
        <color indexed="9"/>
      </right>
      <top style="medium">
        <color indexed="64"/>
      </top>
      <bottom style="thin">
        <color indexed="9"/>
      </bottom>
      <diagonal/>
    </border>
    <border>
      <left style="thin">
        <color indexed="9"/>
      </left>
      <right/>
      <top/>
      <bottom style="thin">
        <color indexed="9"/>
      </bottom>
      <diagonal/>
    </border>
    <border>
      <left/>
      <right/>
      <top style="thin">
        <color indexed="9"/>
      </top>
      <bottom style="medium">
        <color indexed="64"/>
      </bottom>
      <diagonal/>
    </border>
    <border>
      <left style="thin">
        <color indexed="9"/>
      </left>
      <right/>
      <top style="thin">
        <color indexed="9"/>
      </top>
      <bottom style="medium">
        <color indexed="64"/>
      </bottom>
      <diagonal/>
    </border>
    <border>
      <left style="thin">
        <color indexed="9"/>
      </left>
      <right style="medium">
        <color indexed="64"/>
      </right>
      <top style="thin">
        <color indexed="9"/>
      </top>
      <bottom style="medium">
        <color indexed="64"/>
      </bottom>
      <diagonal/>
    </border>
    <border>
      <left style="thin">
        <color indexed="9"/>
      </left>
      <right style="thin">
        <color indexed="9"/>
      </right>
      <top/>
      <bottom style="thin">
        <color indexed="9"/>
      </bottom>
      <diagonal/>
    </border>
    <border>
      <left style="thin">
        <color indexed="9"/>
      </left>
      <right style="thin">
        <color indexed="9"/>
      </right>
      <top/>
      <bottom/>
      <diagonal/>
    </border>
    <border>
      <left style="thin">
        <color indexed="9"/>
      </left>
      <right/>
      <top style="thin">
        <color indexed="9"/>
      </top>
      <bottom/>
      <diagonal/>
    </border>
    <border>
      <left/>
      <right style="thin">
        <color indexed="9"/>
      </right>
      <top style="thin">
        <color indexed="9"/>
      </top>
      <bottom style="thin">
        <color indexed="9"/>
      </bottom>
      <diagonal/>
    </border>
    <border>
      <left/>
      <right/>
      <top style="medium">
        <color indexed="64"/>
      </top>
      <bottom/>
      <diagonal/>
    </border>
    <border>
      <left/>
      <right/>
      <top style="medium">
        <color indexed="64"/>
      </top>
      <bottom style="thin">
        <color indexed="9"/>
      </bottom>
      <diagonal/>
    </border>
    <border>
      <left/>
      <right style="thin">
        <color indexed="9"/>
      </right>
      <top style="thin">
        <color indexed="9"/>
      </top>
      <bottom/>
      <diagonal/>
    </border>
    <border>
      <left style="thin">
        <color indexed="9"/>
      </left>
      <right style="thin">
        <color indexed="9"/>
      </right>
      <top style="thin">
        <color indexed="64"/>
      </top>
      <bottom style="thin">
        <color indexed="9"/>
      </bottom>
      <diagonal/>
    </border>
    <border>
      <left/>
      <right/>
      <top/>
      <bottom style="thin">
        <color indexed="9"/>
      </bottom>
      <diagonal/>
    </border>
    <border>
      <left/>
      <right/>
      <top/>
      <bottom style="thin">
        <color indexed="64"/>
      </bottom>
      <diagonal/>
    </border>
    <border>
      <left style="thin">
        <color indexed="9"/>
      </left>
      <right/>
      <top/>
      <bottom style="thin">
        <color indexed="64"/>
      </bottom>
      <diagonal/>
    </border>
    <border>
      <left style="thin">
        <color indexed="9"/>
      </left>
      <right style="thin">
        <color indexed="9"/>
      </right>
      <top style="thin">
        <color indexed="9"/>
      </top>
      <bottom style="medium">
        <color indexed="64"/>
      </bottom>
      <diagonal/>
    </border>
    <border>
      <left style="thin">
        <color indexed="9"/>
      </left>
      <right/>
      <top style="thin">
        <color indexed="64"/>
      </top>
      <bottom style="thin">
        <color indexed="9"/>
      </bottom>
      <diagonal/>
    </border>
    <border>
      <left style="thin">
        <color indexed="9"/>
      </left>
      <right/>
      <top style="double">
        <color indexed="64"/>
      </top>
      <bottom/>
      <diagonal/>
    </border>
    <border>
      <left/>
      <right/>
      <top style="thin">
        <color indexed="64"/>
      </top>
      <bottom style="thin">
        <color indexed="9"/>
      </bottom>
      <diagonal/>
    </border>
    <border>
      <left/>
      <right style="thin">
        <color indexed="9"/>
      </right>
      <top style="thin">
        <color indexed="64"/>
      </top>
      <bottom/>
      <diagonal/>
    </border>
    <border>
      <left/>
      <right style="thin">
        <color indexed="9"/>
      </right>
      <top style="thin">
        <color indexed="64"/>
      </top>
      <bottom style="thin">
        <color indexed="9"/>
      </bottom>
      <diagonal/>
    </border>
    <border>
      <left style="thin">
        <color indexed="9"/>
      </left>
      <right style="thin">
        <color indexed="9"/>
      </right>
      <top style="thin">
        <color indexed="9"/>
      </top>
      <bottom style="thin">
        <color indexed="64"/>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right style="thin">
        <color indexed="9"/>
      </right>
      <top/>
      <bottom style="thin">
        <color indexed="9"/>
      </bottom>
      <diagonal/>
    </border>
    <border>
      <left style="medium">
        <color indexed="64"/>
      </left>
      <right/>
      <top style="thin">
        <color indexed="9"/>
      </top>
      <bottom style="thin">
        <color indexed="9"/>
      </bottom>
      <diagonal/>
    </border>
    <border>
      <left style="medium">
        <color indexed="64"/>
      </left>
      <right/>
      <top style="thin">
        <color indexed="9"/>
      </top>
      <bottom/>
      <diagonal/>
    </border>
    <border>
      <left/>
      <right style="thin">
        <color indexed="9"/>
      </right>
      <top/>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9"/>
      </left>
      <right/>
      <top style="thin">
        <color indexed="64"/>
      </top>
      <bottom/>
      <diagonal/>
    </border>
    <border>
      <left style="thin">
        <color indexed="9"/>
      </left>
      <right style="thin">
        <color indexed="9"/>
      </right>
      <top style="thin">
        <color indexed="64"/>
      </top>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right/>
      <top/>
      <bottom style="double">
        <color indexed="64"/>
      </bottom>
      <diagonal/>
    </border>
    <border>
      <left style="thin">
        <color indexed="9"/>
      </left>
      <right/>
      <top style="thin">
        <color indexed="9"/>
      </top>
      <bottom style="thin">
        <color indexed="64"/>
      </bottom>
      <diagonal/>
    </border>
    <border>
      <left/>
      <right/>
      <top style="thin">
        <color indexed="9"/>
      </top>
      <bottom style="thin">
        <color indexed="64"/>
      </bottom>
      <diagonal/>
    </border>
    <border>
      <left style="thin">
        <color indexed="9"/>
      </left>
      <right/>
      <top style="medium">
        <color indexed="64"/>
      </top>
      <bottom style="thin">
        <color indexed="64"/>
      </bottom>
      <diagonal/>
    </border>
    <border>
      <left style="thin">
        <color indexed="9"/>
      </left>
      <right style="thin">
        <color indexed="9"/>
      </right>
      <top style="medium">
        <color indexed="64"/>
      </top>
      <bottom style="thin">
        <color indexed="64"/>
      </bottom>
      <diagonal/>
    </border>
    <border>
      <left/>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style="thin">
        <color indexed="9"/>
      </left>
      <right/>
      <top/>
      <bottom/>
      <diagonal/>
    </border>
    <border>
      <left style="medium">
        <color indexed="64"/>
      </left>
      <right/>
      <top style="thin">
        <color indexed="64"/>
      </top>
      <bottom/>
      <diagonal/>
    </border>
    <border>
      <left/>
      <right style="thin">
        <color indexed="9"/>
      </right>
      <top/>
      <bottom style="thin">
        <color indexed="64"/>
      </bottom>
      <diagonal/>
    </border>
    <border>
      <left style="thin">
        <color indexed="9"/>
      </left>
      <right style="thin">
        <color indexed="9"/>
      </right>
      <top/>
      <bottom style="thin">
        <color indexed="64"/>
      </bottom>
      <diagonal/>
    </border>
    <border>
      <left/>
      <right style="thin">
        <color indexed="9"/>
      </right>
      <top style="thin">
        <color indexed="9"/>
      </top>
      <bottom style="thin">
        <color indexed="64"/>
      </bottom>
      <diagonal/>
    </border>
    <border>
      <left/>
      <right/>
      <top style="medium">
        <color indexed="64"/>
      </top>
      <bottom style="medium">
        <color indexed="64"/>
      </bottom>
      <diagonal/>
    </border>
    <border>
      <left style="thick">
        <color indexed="64"/>
      </left>
      <right/>
      <top/>
      <bottom style="medium">
        <color indexed="64"/>
      </bottom>
      <diagonal/>
    </border>
    <border>
      <left style="thick">
        <color indexed="64"/>
      </left>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top style="hair">
        <color indexed="64"/>
      </top>
      <bottom/>
      <diagonal/>
    </border>
    <border>
      <left style="hair">
        <color indexed="64"/>
      </left>
      <right style="hair">
        <color indexed="64"/>
      </right>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
      <left style="thin">
        <color indexed="9"/>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right style="medium">
        <color indexed="64"/>
      </right>
      <top/>
      <bottom/>
      <diagonal/>
    </border>
    <border>
      <left style="thin">
        <color indexed="9"/>
      </left>
      <right style="medium">
        <color indexed="64"/>
      </right>
      <top style="thin">
        <color indexed="9"/>
      </top>
      <bottom style="thin">
        <color indexed="9"/>
      </bottom>
      <diagonal/>
    </border>
    <border>
      <left style="thin">
        <color indexed="9"/>
      </left>
      <right style="thin">
        <color indexed="9"/>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bottom style="hair">
        <color indexed="64"/>
      </bottom>
      <diagonal/>
    </border>
    <border>
      <left style="hair">
        <color indexed="64"/>
      </left>
      <right style="medium">
        <color indexed="64"/>
      </right>
      <top style="hair">
        <color indexed="64"/>
      </top>
      <bottom style="hair">
        <color indexed="64"/>
      </bottom>
      <diagonal/>
    </border>
    <border>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right/>
      <top style="hair">
        <color indexed="64"/>
      </top>
      <bottom/>
      <diagonal/>
    </border>
    <border>
      <left style="medium">
        <color indexed="64"/>
      </left>
      <right style="medium">
        <color indexed="64"/>
      </right>
      <top style="hair">
        <color indexed="64"/>
      </top>
      <bottom/>
      <diagonal/>
    </border>
    <border>
      <left/>
      <right style="medium">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bottom style="medium">
        <color indexed="64"/>
      </bottom>
      <diagonal/>
    </border>
    <border>
      <left style="medium">
        <color indexed="64"/>
      </left>
      <right/>
      <top style="medium">
        <color indexed="64"/>
      </top>
      <bottom style="hair">
        <color indexed="64"/>
      </bottom>
      <diagonal/>
    </border>
    <border>
      <left/>
      <right style="hair">
        <color indexed="64"/>
      </right>
      <top style="medium">
        <color indexed="64"/>
      </top>
      <bottom style="hair">
        <color indexed="64"/>
      </bottom>
      <diagonal/>
    </border>
    <border>
      <left style="thick">
        <color indexed="64"/>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style="thick">
        <color indexed="64"/>
      </left>
      <right style="hair">
        <color indexed="64"/>
      </right>
      <top style="hair">
        <color indexed="64"/>
      </top>
      <bottom style="hair">
        <color indexed="64"/>
      </bottom>
      <diagonal/>
    </border>
    <border>
      <left/>
      <right style="hair">
        <color indexed="64"/>
      </right>
      <top style="hair">
        <color indexed="64"/>
      </top>
      <bottom/>
      <diagonal/>
    </border>
    <border>
      <left/>
      <right/>
      <top style="hair">
        <color indexed="64"/>
      </top>
      <bottom style="medium">
        <color indexed="64"/>
      </bottom>
      <diagonal/>
    </border>
    <border>
      <left style="thick">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right style="medium">
        <color indexed="64"/>
      </right>
      <top/>
      <bottom style="medium">
        <color indexed="64"/>
      </bottom>
      <diagonal/>
    </border>
    <border>
      <left style="hair">
        <color indexed="64"/>
      </left>
      <right style="medium">
        <color indexed="64"/>
      </right>
      <top style="medium">
        <color indexed="64"/>
      </top>
      <bottom style="hair">
        <color indexed="64"/>
      </bottom>
      <diagonal/>
    </border>
    <border>
      <left style="hair">
        <color indexed="64"/>
      </left>
      <right style="medium">
        <color indexed="64"/>
      </right>
      <top style="hair">
        <color indexed="64"/>
      </top>
      <bottom style="medium">
        <color indexed="64"/>
      </bottom>
      <diagonal/>
    </border>
    <border>
      <left/>
      <right style="medium">
        <color indexed="64"/>
      </right>
      <top style="hair">
        <color indexed="64"/>
      </top>
      <bottom/>
      <diagonal/>
    </border>
    <border>
      <left style="medium">
        <color indexed="64"/>
      </left>
      <right style="hair">
        <color indexed="64"/>
      </right>
      <top style="hair">
        <color indexed="64"/>
      </top>
      <bottom/>
      <diagonal/>
    </border>
    <border>
      <left style="thick">
        <color indexed="64"/>
      </left>
      <right/>
      <top style="hair">
        <color indexed="64"/>
      </top>
      <bottom style="hair">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style="thin">
        <color indexed="9"/>
      </left>
      <right style="medium">
        <color indexed="64"/>
      </right>
      <top style="thin">
        <color indexed="9"/>
      </top>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top style="thin">
        <color indexed="64"/>
      </top>
      <bottom style="medium">
        <color indexed="64"/>
      </bottom>
      <diagonal/>
    </border>
    <border>
      <left/>
      <right style="thin">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top style="medium">
        <color indexed="64"/>
      </top>
      <bottom style="hair">
        <color indexed="64"/>
      </bottom>
      <diagonal/>
    </border>
    <border>
      <left style="hair">
        <color indexed="64"/>
      </left>
      <right/>
      <top style="hair">
        <color indexed="64"/>
      </top>
      <bottom style="medium">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style="medium">
        <color indexed="64"/>
      </left>
      <right/>
      <top/>
      <bottom style="thin">
        <color indexed="9"/>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bottom style="medium">
        <color indexed="64"/>
      </bottom>
      <diagonal/>
    </border>
    <border>
      <left/>
      <right style="thin">
        <color indexed="9"/>
      </right>
      <top/>
      <bottom style="medium">
        <color indexed="64"/>
      </bottom>
      <diagonal/>
    </border>
    <border>
      <left style="medium">
        <color indexed="64"/>
      </left>
      <right style="thin">
        <color indexed="9"/>
      </right>
      <top style="medium">
        <color indexed="64"/>
      </top>
      <bottom style="medium">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top style="thin">
        <color indexed="64"/>
      </top>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medium">
        <color indexed="64"/>
      </left>
      <right/>
      <top style="medium">
        <color indexed="64"/>
      </top>
      <bottom style="thin">
        <color indexed="9"/>
      </bottom>
      <diagonal/>
    </border>
    <border>
      <left/>
      <right style="medium">
        <color indexed="64"/>
      </right>
      <top style="medium">
        <color indexed="64"/>
      </top>
      <bottom style="thin">
        <color indexed="9"/>
      </bottom>
      <diagonal/>
    </border>
    <border>
      <left style="medium">
        <color indexed="64"/>
      </left>
      <right style="thin">
        <color indexed="9"/>
      </right>
      <top style="medium">
        <color indexed="64"/>
      </top>
      <bottom style="thin">
        <color indexed="9"/>
      </bottom>
      <diagonal/>
    </border>
    <border>
      <left style="thin">
        <color indexed="9"/>
      </left>
      <right style="medium">
        <color indexed="64"/>
      </right>
      <top style="medium">
        <color indexed="64"/>
      </top>
      <bottom style="thin">
        <color indexed="9"/>
      </bottom>
      <diagonal/>
    </border>
    <border>
      <left/>
      <right style="medium">
        <color indexed="64"/>
      </right>
      <top style="thin">
        <color indexed="9"/>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s>
  <cellStyleXfs count="8">
    <xf numFmtId="0" fontId="0" fillId="0" borderId="0"/>
    <xf numFmtId="165" fontId="2" fillId="0" borderId="0" applyFont="0" applyFill="0" applyBorder="0" applyAlignment="0" applyProtection="0"/>
    <xf numFmtId="165" fontId="2" fillId="0" borderId="0" applyFont="0" applyFill="0" applyBorder="0" applyAlignment="0" applyProtection="0"/>
    <xf numFmtId="165" fontId="6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9" fontId="35" fillId="0" borderId="0" applyFont="0" applyFill="0" applyBorder="0" applyAlignment="0" applyProtection="0"/>
  </cellStyleXfs>
  <cellXfs count="2761">
    <xf numFmtId="0" fontId="0" fillId="0" borderId="0" xfId="0"/>
    <xf numFmtId="0" fontId="22" fillId="0" borderId="0" xfId="0" applyFont="1" applyBorder="1" applyProtection="1"/>
    <xf numFmtId="0" fontId="0" fillId="0" borderId="0" xfId="0" applyBorder="1" applyProtection="1"/>
    <xf numFmtId="0" fontId="0" fillId="0" borderId="0" xfId="0" applyProtection="1"/>
    <xf numFmtId="0" fontId="15" fillId="0" borderId="0" xfId="0" applyFont="1" applyAlignment="1" applyProtection="1">
      <alignment vertical="center"/>
    </xf>
    <xf numFmtId="0" fontId="11" fillId="2" borderId="1" xfId="0" applyFont="1" applyFill="1" applyBorder="1" applyAlignment="1" applyProtection="1">
      <alignment horizontal="left" vertical="center"/>
    </xf>
    <xf numFmtId="0" fontId="4" fillId="0" borderId="0" xfId="0" applyFont="1" applyBorder="1" applyProtection="1"/>
    <xf numFmtId="0" fontId="4" fillId="0" borderId="0" xfId="0" applyFont="1" applyFill="1" applyBorder="1" applyProtection="1"/>
    <xf numFmtId="166" fontId="4" fillId="0" borderId="0" xfId="1" applyNumberFormat="1" applyFont="1" applyBorder="1" applyProtection="1"/>
    <xf numFmtId="0" fontId="6" fillId="0" borderId="0" xfId="0" applyFont="1" applyBorder="1" applyAlignment="1" applyProtection="1">
      <alignment vertical="center"/>
    </xf>
    <xf numFmtId="0" fontId="4" fillId="0" borderId="0" xfId="0" applyFont="1" applyBorder="1" applyAlignment="1" applyProtection="1">
      <alignment vertical="center"/>
    </xf>
    <xf numFmtId="166" fontId="4" fillId="0" borderId="0" xfId="1" applyNumberFormat="1" applyFont="1" applyBorder="1" applyAlignment="1" applyProtection="1">
      <alignment vertical="center"/>
    </xf>
    <xf numFmtId="0" fontId="0" fillId="0" borderId="0" xfId="0" applyBorder="1" applyAlignment="1" applyProtection="1">
      <alignment vertical="center"/>
    </xf>
    <xf numFmtId="0" fontId="0" fillId="0" borderId="0" xfId="0" applyAlignment="1" applyProtection="1">
      <alignment vertical="center"/>
    </xf>
    <xf numFmtId="0" fontId="0" fillId="3" borderId="0" xfId="0" applyFill="1" applyBorder="1" applyAlignment="1" applyProtection="1">
      <alignment vertical="center"/>
    </xf>
    <xf numFmtId="0" fontId="15" fillId="0" borderId="0" xfId="0" applyFont="1" applyProtection="1"/>
    <xf numFmtId="166" fontId="2" fillId="0" borderId="0" xfId="1" applyNumberFormat="1" applyProtection="1"/>
    <xf numFmtId="0" fontId="8" fillId="0" borderId="0" xfId="0" applyFont="1" applyFill="1" applyProtection="1"/>
    <xf numFmtId="0" fontId="11" fillId="0" borderId="0" xfId="0" applyFont="1" applyFill="1" applyBorder="1" applyAlignment="1" applyProtection="1">
      <alignment horizontal="center"/>
    </xf>
    <xf numFmtId="0" fontId="10" fillId="0" borderId="0" xfId="0" applyFont="1" applyFill="1" applyBorder="1" applyAlignment="1" applyProtection="1"/>
    <xf numFmtId="0" fontId="8" fillId="0" borderId="0" xfId="0" applyFont="1" applyProtection="1"/>
    <xf numFmtId="0" fontId="15" fillId="0" borderId="0" xfId="0" applyFont="1" applyFill="1" applyBorder="1" applyAlignment="1" applyProtection="1">
      <alignment vertical="center"/>
    </xf>
    <xf numFmtId="0" fontId="15" fillId="0" borderId="0" xfId="0" applyFont="1" applyFill="1" applyBorder="1" applyAlignment="1" applyProtection="1">
      <alignment horizontal="left"/>
    </xf>
    <xf numFmtId="0" fontId="8" fillId="0" borderId="0" xfId="0" applyFont="1" applyAlignment="1" applyProtection="1"/>
    <xf numFmtId="0" fontId="15" fillId="0" borderId="0" xfId="0" applyFont="1" applyFill="1" applyBorder="1" applyAlignment="1" applyProtection="1">
      <alignment horizontal="left" indent="1"/>
    </xf>
    <xf numFmtId="0" fontId="15" fillId="0" borderId="0" xfId="0" applyFont="1" applyAlignment="1" applyProtection="1"/>
    <xf numFmtId="0" fontId="7" fillId="0" borderId="0" xfId="0" applyFont="1" applyFill="1" applyBorder="1" applyAlignment="1" applyProtection="1">
      <alignment horizontal="center"/>
    </xf>
    <xf numFmtId="0" fontId="8" fillId="0" borderId="0" xfId="0" applyFont="1" applyFill="1" applyBorder="1" applyProtection="1"/>
    <xf numFmtId="166" fontId="8" fillId="0" borderId="0" xfId="1" applyNumberFormat="1" applyFont="1" applyFill="1" applyBorder="1" applyProtection="1"/>
    <xf numFmtId="0" fontId="8" fillId="0" borderId="0" xfId="0" applyFont="1" applyFill="1" applyAlignment="1" applyProtection="1"/>
    <xf numFmtId="166" fontId="8" fillId="0" borderId="0" xfId="1" applyNumberFormat="1" applyFont="1" applyAlignment="1" applyProtection="1"/>
    <xf numFmtId="0" fontId="0" fillId="0" borderId="0" xfId="0" applyFill="1" applyProtection="1"/>
    <xf numFmtId="0" fontId="12" fillId="0" borderId="0" xfId="0" applyFont="1" applyAlignment="1" applyProtection="1">
      <alignment horizontal="left"/>
    </xf>
    <xf numFmtId="0" fontId="15" fillId="0" borderId="0" xfId="0" applyFont="1" applyFill="1" applyBorder="1" applyAlignment="1" applyProtection="1">
      <alignment horizontal="left" vertical="center"/>
    </xf>
    <xf numFmtId="0" fontId="21" fillId="0" borderId="0" xfId="0" applyFont="1" applyAlignment="1" applyProtection="1">
      <alignment wrapText="1"/>
    </xf>
    <xf numFmtId="0" fontId="21" fillId="0" borderId="0" xfId="0" applyFont="1" applyAlignment="1" applyProtection="1">
      <alignment vertical="center" wrapText="1"/>
    </xf>
    <xf numFmtId="0" fontId="4" fillId="0" borderId="0" xfId="0" applyFont="1" applyFill="1" applyBorder="1" applyAlignment="1" applyProtection="1">
      <alignment vertical="center"/>
    </xf>
    <xf numFmtId="0" fontId="0" fillId="0" borderId="0" xfId="0" applyFill="1" applyAlignment="1" applyProtection="1">
      <alignment vertical="center"/>
    </xf>
    <xf numFmtId="166" fontId="2" fillId="0" borderId="0" xfId="1" applyNumberFormat="1" applyAlignment="1" applyProtection="1">
      <alignment vertical="center"/>
    </xf>
    <xf numFmtId="167" fontId="15" fillId="0" borderId="0" xfId="0" applyNumberFormat="1" applyFont="1" applyBorder="1" applyAlignment="1" applyProtection="1">
      <alignment horizontal="left" vertical="center" indent="1"/>
    </xf>
    <xf numFmtId="0" fontId="11" fillId="2" borderId="0" xfId="0" applyFont="1" applyFill="1" applyBorder="1" applyAlignment="1" applyProtection="1">
      <alignment vertical="center"/>
    </xf>
    <xf numFmtId="0" fontId="11" fillId="2" borderId="2" xfId="0" applyFont="1" applyFill="1" applyBorder="1" applyAlignment="1" applyProtection="1">
      <alignment vertical="center"/>
    </xf>
    <xf numFmtId="0" fontId="11" fillId="0" borderId="0" xfId="0" applyFont="1" applyFill="1" applyBorder="1" applyAlignment="1" applyProtection="1">
      <alignment horizontal="left"/>
    </xf>
    <xf numFmtId="0" fontId="11" fillId="2" borderId="3" xfId="0" applyFont="1" applyFill="1" applyBorder="1" applyAlignment="1" applyProtection="1">
      <alignment horizontal="left" vertical="center"/>
    </xf>
    <xf numFmtId="0" fontId="0" fillId="0" borderId="0" xfId="0" applyAlignment="1" applyProtection="1">
      <alignment horizontal="left" vertical="center"/>
    </xf>
    <xf numFmtId="0" fontId="8" fillId="0" borderId="0" xfId="0" applyFont="1" applyFill="1" applyBorder="1" applyAlignment="1" applyProtection="1">
      <alignment horizontal="center" vertical="center" wrapText="1"/>
    </xf>
    <xf numFmtId="0" fontId="0" fillId="0" borderId="0" xfId="0" applyBorder="1" applyAlignment="1" applyProtection="1">
      <alignment horizontal="center" vertical="center"/>
    </xf>
    <xf numFmtId="0" fontId="15" fillId="4" borderId="4" xfId="0" applyFont="1" applyFill="1" applyBorder="1" applyAlignment="1" applyProtection="1">
      <alignment horizontal="left" vertical="center" indent="1"/>
    </xf>
    <xf numFmtId="0" fontId="13" fillId="0" borderId="0" xfId="0" applyFont="1" applyBorder="1" applyAlignment="1" applyProtection="1">
      <alignment horizontal="center" vertical="center"/>
    </xf>
    <xf numFmtId="0" fontId="15" fillId="0" borderId="0" xfId="0" applyFont="1" applyBorder="1" applyAlignment="1" applyProtection="1">
      <alignment horizontal="left" vertical="center" indent="1"/>
    </xf>
    <xf numFmtId="0" fontId="13" fillId="0" borderId="0" xfId="0" applyFont="1" applyBorder="1" applyAlignment="1" applyProtection="1">
      <alignment horizontal="left" vertical="center" indent="1"/>
    </xf>
    <xf numFmtId="167" fontId="15" fillId="0" borderId="0" xfId="0" applyNumberFormat="1" applyFont="1" applyFill="1" applyBorder="1" applyAlignment="1" applyProtection="1">
      <alignment horizontal="left" vertical="center" indent="1"/>
    </xf>
    <xf numFmtId="0" fontId="15" fillId="0" borderId="0" xfId="0" applyFont="1" applyFill="1" applyBorder="1" applyAlignment="1" applyProtection="1">
      <alignment horizontal="left" vertical="center" indent="1"/>
    </xf>
    <xf numFmtId="0" fontId="11" fillId="2" borderId="5" xfId="0" applyFont="1" applyFill="1" applyBorder="1" applyAlignment="1" applyProtection="1">
      <alignment vertical="center"/>
    </xf>
    <xf numFmtId="0" fontId="11" fillId="2" borderId="6" xfId="0" applyFont="1" applyFill="1" applyBorder="1" applyAlignment="1" applyProtection="1">
      <alignment vertical="center"/>
    </xf>
    <xf numFmtId="0" fontId="11" fillId="2" borderId="7" xfId="0" applyFont="1" applyFill="1" applyBorder="1" applyAlignment="1" applyProtection="1">
      <alignment vertical="center"/>
    </xf>
    <xf numFmtId="0" fontId="10" fillId="4" borderId="8" xfId="0" applyFont="1" applyFill="1" applyBorder="1" applyAlignment="1" applyProtection="1">
      <alignment vertical="center"/>
    </xf>
    <xf numFmtId="0" fontId="13" fillId="5" borderId="1" xfId="0" applyFont="1" applyFill="1" applyBorder="1" applyAlignment="1" applyProtection="1">
      <alignment horizontal="center" vertical="center"/>
    </xf>
    <xf numFmtId="0" fontId="0" fillId="2" borderId="0" xfId="0" applyFill="1" applyAlignment="1" applyProtection="1"/>
    <xf numFmtId="0" fontId="0" fillId="2" borderId="9" xfId="0" applyFill="1" applyBorder="1" applyAlignment="1" applyProtection="1"/>
    <xf numFmtId="0" fontId="0" fillId="2" borderId="10" xfId="0" applyFill="1" applyBorder="1" applyAlignment="1" applyProtection="1"/>
    <xf numFmtId="0" fontId="0" fillId="2" borderId="2" xfId="0" applyFill="1" applyBorder="1" applyAlignment="1" applyProtection="1"/>
    <xf numFmtId="167" fontId="15" fillId="3" borderId="0" xfId="0" applyNumberFormat="1" applyFont="1" applyFill="1" applyBorder="1" applyAlignment="1" applyProtection="1">
      <alignment horizontal="left" vertical="center" indent="1"/>
    </xf>
    <xf numFmtId="0" fontId="0" fillId="3" borderId="0" xfId="0" applyFill="1" applyAlignment="1" applyProtection="1">
      <alignment vertical="center"/>
    </xf>
    <xf numFmtId="0" fontId="4" fillId="3" borderId="0" xfId="0" applyFont="1" applyFill="1" applyBorder="1" applyAlignment="1" applyProtection="1">
      <alignment vertical="center"/>
    </xf>
    <xf numFmtId="166" fontId="4" fillId="3" borderId="0" xfId="1" applyNumberFormat="1" applyFont="1" applyFill="1" applyBorder="1" applyAlignment="1" applyProtection="1">
      <alignment vertical="center"/>
    </xf>
    <xf numFmtId="0" fontId="6" fillId="3" borderId="0" xfId="0" applyFont="1" applyFill="1" applyBorder="1" applyAlignment="1" applyProtection="1">
      <alignment vertical="center"/>
    </xf>
    <xf numFmtId="0" fontId="8" fillId="3" borderId="0" xfId="0" applyFont="1" applyFill="1" applyAlignment="1" applyProtection="1">
      <alignment vertical="center"/>
    </xf>
    <xf numFmtId="0" fontId="8" fillId="3" borderId="0" xfId="0" applyFont="1" applyFill="1" applyBorder="1" applyAlignment="1" applyProtection="1">
      <alignment vertical="center"/>
    </xf>
    <xf numFmtId="0" fontId="0" fillId="3" borderId="0" xfId="0" applyFill="1" applyBorder="1" applyProtection="1"/>
    <xf numFmtId="0" fontId="4" fillId="3" borderId="0" xfId="0" applyFont="1" applyFill="1" applyBorder="1" applyProtection="1"/>
    <xf numFmtId="166" fontId="4" fillId="3" borderId="0" xfId="1" applyNumberFormat="1" applyFont="1" applyFill="1" applyBorder="1" applyProtection="1"/>
    <xf numFmtId="0" fontId="0" fillId="3" borderId="0" xfId="0" applyFill="1" applyProtection="1"/>
    <xf numFmtId="0" fontId="15" fillId="3" borderId="0" xfId="0" applyFont="1" applyFill="1" applyAlignment="1" applyProtection="1">
      <alignment vertical="center"/>
    </xf>
    <xf numFmtId="0" fontId="8" fillId="3" borderId="0" xfId="0" applyFont="1" applyFill="1" applyProtection="1"/>
    <xf numFmtId="0" fontId="12" fillId="3" borderId="0" xfId="0" applyFont="1" applyFill="1" applyProtection="1"/>
    <xf numFmtId="166" fontId="12" fillId="3" borderId="0" xfId="1" applyNumberFormat="1" applyFont="1" applyFill="1" applyProtection="1"/>
    <xf numFmtId="0" fontId="17" fillId="3" borderId="0" xfId="0" applyFont="1" applyFill="1" applyBorder="1" applyAlignment="1" applyProtection="1">
      <alignment horizontal="left"/>
    </xf>
    <xf numFmtId="0" fontId="6" fillId="3" borderId="0" xfId="0" applyFont="1" applyFill="1" applyBorder="1" applyProtection="1"/>
    <xf numFmtId="0" fontId="17" fillId="3" borderId="11" xfId="0" applyFont="1" applyFill="1" applyBorder="1" applyAlignment="1" applyProtection="1">
      <alignment horizontal="left"/>
    </xf>
    <xf numFmtId="0" fontId="15" fillId="3" borderId="0" xfId="0" applyFont="1" applyFill="1" applyProtection="1"/>
    <xf numFmtId="0" fontId="15" fillId="4" borderId="12" xfId="0" applyFont="1" applyFill="1" applyBorder="1" applyAlignment="1" applyProtection="1">
      <alignment horizontal="left" vertical="center" indent="1"/>
    </xf>
    <xf numFmtId="0" fontId="15" fillId="3" borderId="0" xfId="0" applyFont="1" applyFill="1" applyBorder="1" applyAlignment="1" applyProtection="1">
      <alignment horizontal="left" vertical="center" indent="1"/>
    </xf>
    <xf numFmtId="166" fontId="2" fillId="3" borderId="0" xfId="1" applyNumberFormat="1" applyFill="1" applyBorder="1" applyProtection="1"/>
    <xf numFmtId="0" fontId="0" fillId="3" borderId="0" xfId="0" applyFill="1" applyAlignment="1" applyProtection="1">
      <alignment horizontal="left" vertical="center"/>
    </xf>
    <xf numFmtId="0" fontId="13" fillId="3" borderId="0" xfId="0" applyFont="1" applyFill="1" applyBorder="1" applyAlignment="1" applyProtection="1">
      <alignment horizontal="left" vertical="center" indent="1"/>
    </xf>
    <xf numFmtId="0" fontId="18" fillId="3" borderId="0" xfId="0" applyFont="1" applyFill="1" applyBorder="1" applyAlignment="1" applyProtection="1">
      <alignment horizontal="left"/>
    </xf>
    <xf numFmtId="0" fontId="12" fillId="3" borderId="0" xfId="0" applyFont="1" applyFill="1" applyAlignment="1" applyProtection="1">
      <alignment horizontal="left" indent="1"/>
    </xf>
    <xf numFmtId="0" fontId="12" fillId="3" borderId="0" xfId="0" applyFont="1" applyFill="1" applyBorder="1" applyProtection="1"/>
    <xf numFmtId="0" fontId="15" fillId="4" borderId="13" xfId="0" applyFont="1" applyFill="1" applyBorder="1" applyAlignment="1" applyProtection="1">
      <alignment horizontal="left" indent="1"/>
    </xf>
    <xf numFmtId="0" fontId="4" fillId="3" borderId="0" xfId="0" applyFont="1" applyFill="1" applyProtection="1"/>
    <xf numFmtId="0" fontId="0" fillId="3" borderId="0" xfId="0" applyFill="1" applyAlignment="1" applyProtection="1"/>
    <xf numFmtId="0" fontId="12" fillId="3" borderId="0" xfId="0" applyFont="1" applyFill="1" applyBorder="1" applyAlignment="1" applyProtection="1"/>
    <xf numFmtId="167" fontId="15" fillId="4" borderId="13" xfId="0" applyNumberFormat="1" applyFont="1" applyFill="1" applyBorder="1" applyAlignment="1" applyProtection="1">
      <alignment horizontal="left" indent="1"/>
    </xf>
    <xf numFmtId="0" fontId="15" fillId="4" borderId="14" xfId="0" applyFont="1" applyFill="1" applyBorder="1" applyAlignment="1" applyProtection="1">
      <alignment horizontal="left" vertical="center" indent="1"/>
    </xf>
    <xf numFmtId="167" fontId="15" fillId="4" borderId="1" xfId="0" applyNumberFormat="1" applyFont="1" applyFill="1" applyBorder="1" applyAlignment="1" applyProtection="1">
      <alignment horizontal="left" vertical="center" indent="1"/>
    </xf>
    <xf numFmtId="0" fontId="15" fillId="4" borderId="15" xfId="0" applyFont="1" applyFill="1" applyBorder="1" applyAlignment="1" applyProtection="1">
      <alignment horizontal="left" vertical="center" indent="1"/>
    </xf>
    <xf numFmtId="167" fontId="15" fillId="4" borderId="4" xfId="0" applyNumberFormat="1" applyFont="1" applyFill="1" applyBorder="1" applyAlignment="1" applyProtection="1">
      <alignment horizontal="left" vertical="center" indent="1"/>
    </xf>
    <xf numFmtId="0" fontId="9" fillId="0" borderId="0" xfId="0" applyFont="1" applyBorder="1" applyAlignment="1" applyProtection="1"/>
    <xf numFmtId="0" fontId="9" fillId="0" borderId="0" xfId="0" applyFont="1" applyAlignment="1" applyProtection="1"/>
    <xf numFmtId="0" fontId="13" fillId="4" borderId="1" xfId="0" applyFont="1" applyFill="1" applyBorder="1" applyAlignment="1" applyProtection="1">
      <alignment vertical="top" wrapText="1"/>
    </xf>
    <xf numFmtId="0" fontId="13" fillId="4" borderId="16" xfId="0" applyFont="1" applyFill="1" applyBorder="1" applyAlignment="1" applyProtection="1">
      <alignment vertical="top"/>
    </xf>
    <xf numFmtId="0" fontId="13" fillId="4" borderId="1" xfId="0" applyFont="1" applyFill="1" applyBorder="1" applyProtection="1"/>
    <xf numFmtId="0" fontId="13" fillId="4" borderId="1" xfId="0" applyFont="1" applyFill="1" applyBorder="1" applyAlignment="1" applyProtection="1">
      <alignment vertical="top"/>
    </xf>
    <xf numFmtId="0" fontId="0" fillId="0" borderId="17" xfId="0" applyBorder="1"/>
    <xf numFmtId="0" fontId="0" fillId="0" borderId="0" xfId="0" applyBorder="1"/>
    <xf numFmtId="0" fontId="23" fillId="0" borderId="0" xfId="0" applyFont="1" applyBorder="1" applyAlignment="1">
      <alignment vertical="top" wrapText="1"/>
    </xf>
    <xf numFmtId="0" fontId="23" fillId="0" borderId="0" xfId="0" applyFont="1"/>
    <xf numFmtId="0" fontId="15" fillId="0" borderId="18" xfId="0" applyFont="1" applyBorder="1" applyAlignment="1" applyProtection="1">
      <alignment vertical="top" wrapText="1"/>
    </xf>
    <xf numFmtId="0" fontId="18" fillId="0" borderId="18" xfId="0" applyFont="1" applyBorder="1" applyAlignment="1" applyProtection="1">
      <alignment vertical="top" wrapText="1"/>
    </xf>
    <xf numFmtId="0" fontId="15" fillId="0" borderId="0" xfId="0" applyFont="1" applyAlignment="1" applyProtection="1">
      <alignment horizontal="right" vertical="top"/>
    </xf>
    <xf numFmtId="0" fontId="18" fillId="0" borderId="19" xfId="0" applyFont="1" applyBorder="1" applyAlignment="1" applyProtection="1">
      <alignment vertical="top" wrapText="1"/>
    </xf>
    <xf numFmtId="0" fontId="15" fillId="0" borderId="18" xfId="0" applyFont="1" applyBorder="1" applyAlignment="1">
      <alignment vertical="top" wrapText="1"/>
    </xf>
    <xf numFmtId="0" fontId="15" fillId="0" borderId="0" xfId="0" applyFont="1" applyAlignment="1" applyProtection="1">
      <alignment vertical="top" wrapText="1"/>
    </xf>
    <xf numFmtId="0" fontId="15" fillId="0" borderId="20" xfId="0" applyFont="1" applyBorder="1" applyAlignment="1" applyProtection="1">
      <alignment vertical="top" wrapText="1"/>
    </xf>
    <xf numFmtId="0" fontId="18" fillId="0" borderId="20" xfId="0" applyFont="1" applyBorder="1" applyAlignment="1" applyProtection="1">
      <alignment vertical="top" wrapText="1"/>
    </xf>
    <xf numFmtId="0" fontId="18" fillId="0" borderId="21" xfId="0" applyFont="1" applyBorder="1" applyAlignment="1" applyProtection="1">
      <alignment vertical="top" wrapText="1"/>
    </xf>
    <xf numFmtId="0" fontId="15" fillId="0" borderId="20" xfId="0" applyFont="1" applyBorder="1" applyAlignment="1">
      <alignment vertical="top" wrapText="1"/>
    </xf>
    <xf numFmtId="0" fontId="0" fillId="0" borderId="0" xfId="0" applyAlignment="1">
      <alignment horizontal="right"/>
    </xf>
    <xf numFmtId="0" fontId="31" fillId="0" borderId="0" xfId="0" applyFont="1" applyAlignment="1">
      <alignment vertical="top" wrapText="1"/>
    </xf>
    <xf numFmtId="0" fontId="3" fillId="0" borderId="0" xfId="0" applyFont="1"/>
    <xf numFmtId="0" fontId="18" fillId="0" borderId="22" xfId="0" applyFont="1" applyBorder="1" applyAlignment="1" applyProtection="1">
      <alignment vertical="top" wrapText="1"/>
    </xf>
    <xf numFmtId="0" fontId="15" fillId="0" borderId="23" xfId="0" applyFont="1" applyBorder="1" applyAlignment="1" applyProtection="1">
      <alignment vertical="top" wrapText="1"/>
    </xf>
    <xf numFmtId="0" fontId="18" fillId="0" borderId="24" xfId="0" applyFont="1" applyBorder="1" applyAlignment="1" applyProtection="1">
      <alignment vertical="top" wrapText="1"/>
    </xf>
    <xf numFmtId="0" fontId="15" fillId="0" borderId="25" xfId="0" applyFont="1" applyBorder="1" applyProtection="1"/>
    <xf numFmtId="0" fontId="32" fillId="0" borderId="0" xfId="0" applyFont="1"/>
    <xf numFmtId="0" fontId="15" fillId="0" borderId="9" xfId="0" applyFont="1" applyBorder="1" applyProtection="1"/>
    <xf numFmtId="0" fontId="15" fillId="0" borderId="0" xfId="0" applyFont="1" applyBorder="1" applyProtection="1"/>
    <xf numFmtId="0" fontId="15" fillId="0" borderId="26" xfId="0" applyFont="1" applyBorder="1" applyAlignment="1">
      <alignment vertical="top" wrapText="1"/>
    </xf>
    <xf numFmtId="0" fontId="15" fillId="0" borderId="0" xfId="0" applyFont="1" applyAlignment="1">
      <alignment vertical="top"/>
    </xf>
    <xf numFmtId="0" fontId="8" fillId="0" borderId="0" xfId="0" applyFont="1" applyBorder="1" applyAlignment="1">
      <alignment vertical="top" wrapText="1"/>
    </xf>
    <xf numFmtId="0" fontId="8" fillId="0" borderId="0" xfId="0" applyFont="1" applyAlignment="1">
      <alignment vertical="top" wrapText="1"/>
    </xf>
    <xf numFmtId="0" fontId="8" fillId="0" borderId="0" xfId="0" applyFont="1" applyAlignment="1">
      <alignment horizontal="left"/>
    </xf>
    <xf numFmtId="0" fontId="15" fillId="0" borderId="22" xfId="0" applyFont="1" applyBorder="1" applyAlignment="1" applyProtection="1">
      <alignment vertical="top" wrapText="1"/>
    </xf>
    <xf numFmtId="0" fontId="15" fillId="0" borderId="27" xfId="0" applyFont="1" applyBorder="1" applyAlignment="1" applyProtection="1">
      <alignment horizontal="left" vertical="top" wrapText="1"/>
    </xf>
    <xf numFmtId="0" fontId="15" fillId="0" borderId="0" xfId="0" applyFont="1" applyAlignment="1" applyProtection="1">
      <alignment horizontal="left" vertical="top" wrapText="1"/>
    </xf>
    <xf numFmtId="0" fontId="33" fillId="0" borderId="0" xfId="0" applyFont="1"/>
    <xf numFmtId="0" fontId="15" fillId="0" borderId="0" xfId="0" applyFont="1"/>
    <xf numFmtId="0" fontId="15" fillId="0" borderId="0" xfId="0" applyFont="1" applyAlignment="1" applyProtection="1">
      <alignment vertical="top"/>
    </xf>
    <xf numFmtId="0" fontId="13" fillId="4" borderId="28" xfId="0" applyFont="1" applyFill="1" applyBorder="1" applyAlignment="1" applyProtection="1">
      <alignment vertical="top" wrapText="1"/>
    </xf>
    <xf numFmtId="0" fontId="18" fillId="0" borderId="18" xfId="0" applyFont="1" applyBorder="1" applyAlignment="1">
      <alignment vertical="top" wrapText="1"/>
    </xf>
    <xf numFmtId="0" fontId="18" fillId="0" borderId="19" xfId="0" applyFont="1" applyBorder="1" applyAlignment="1">
      <alignment vertical="top" wrapText="1"/>
    </xf>
    <xf numFmtId="0" fontId="18" fillId="0" borderId="20" xfId="0" applyFont="1" applyBorder="1" applyAlignment="1">
      <alignment vertical="top" wrapText="1"/>
    </xf>
    <xf numFmtId="0" fontId="18" fillId="0" borderId="21" xfId="0" applyFont="1" applyBorder="1" applyAlignment="1">
      <alignment vertical="top" wrapText="1"/>
    </xf>
    <xf numFmtId="0" fontId="18" fillId="0" borderId="26" xfId="0" applyFont="1" applyBorder="1" applyAlignment="1">
      <alignment vertical="top" wrapText="1"/>
    </xf>
    <xf numFmtId="0" fontId="18" fillId="0" borderId="24" xfId="0" applyFont="1" applyBorder="1" applyAlignment="1">
      <alignment vertical="top" wrapText="1"/>
    </xf>
    <xf numFmtId="0" fontId="18" fillId="0" borderId="0" xfId="0" applyFont="1" applyAlignment="1">
      <alignment vertical="top" wrapText="1"/>
    </xf>
    <xf numFmtId="0" fontId="18" fillId="0" borderId="0" xfId="0" applyFont="1" applyAlignment="1" applyProtection="1">
      <alignment vertical="top" wrapText="1"/>
    </xf>
    <xf numFmtId="0" fontId="15" fillId="0" borderId="26" xfId="0" applyFont="1" applyBorder="1" applyAlignment="1" applyProtection="1">
      <alignment vertical="top" wrapText="1"/>
    </xf>
    <xf numFmtId="0" fontId="15" fillId="0" borderId="0" xfId="0" applyFont="1" applyBorder="1" applyAlignment="1">
      <alignment vertical="top" wrapText="1"/>
    </xf>
    <xf numFmtId="0" fontId="15" fillId="0" borderId="0" xfId="0" applyFont="1" applyBorder="1" applyAlignment="1" applyProtection="1">
      <alignment vertical="top" wrapText="1"/>
    </xf>
    <xf numFmtId="0" fontId="15" fillId="0" borderId="0" xfId="0" applyFont="1" applyAlignment="1">
      <alignment vertical="top" wrapText="1"/>
    </xf>
    <xf numFmtId="0" fontId="23" fillId="4" borderId="1" xfId="0" applyFont="1" applyFill="1" applyBorder="1" applyAlignment="1" applyProtection="1">
      <alignment vertical="top" wrapText="1"/>
    </xf>
    <xf numFmtId="0" fontId="23" fillId="4" borderId="1" xfId="0" applyFont="1" applyFill="1" applyBorder="1" applyAlignment="1" applyProtection="1">
      <alignment vertical="top"/>
    </xf>
    <xf numFmtId="0" fontId="23" fillId="4" borderId="1" xfId="0" applyFont="1" applyFill="1" applyBorder="1" applyProtection="1"/>
    <xf numFmtId="0" fontId="15" fillId="0" borderId="18" xfId="0" applyFont="1" applyBorder="1" applyAlignment="1">
      <alignment horizontal="left" vertical="top" wrapText="1"/>
    </xf>
    <xf numFmtId="0" fontId="0" fillId="0" borderId="0" xfId="0" applyAlignment="1" applyProtection="1">
      <alignment horizontal="right" vertical="top"/>
    </xf>
    <xf numFmtId="0" fontId="15" fillId="0" borderId="20" xfId="0" applyFont="1" applyBorder="1" applyAlignment="1">
      <alignment horizontal="left" vertical="top" wrapText="1"/>
    </xf>
    <xf numFmtId="0" fontId="8" fillId="0" borderId="0" xfId="0" applyFont="1"/>
    <xf numFmtId="0" fontId="18" fillId="0" borderId="20" xfId="0" applyFont="1" applyBorder="1" applyAlignment="1">
      <alignment horizontal="left" vertical="top" wrapText="1"/>
    </xf>
    <xf numFmtId="0" fontId="31" fillId="0" borderId="0" xfId="0" applyFont="1" applyAlignment="1" applyProtection="1">
      <alignment vertical="top" wrapText="1"/>
    </xf>
    <xf numFmtId="0" fontId="15" fillId="0" borderId="26" xfId="0" applyFont="1" applyBorder="1" applyAlignment="1">
      <alignment horizontal="left" vertical="top" wrapText="1"/>
    </xf>
    <xf numFmtId="0" fontId="8" fillId="0" borderId="0" xfId="0" applyFont="1" applyAlignment="1" applyProtection="1">
      <alignment vertical="top" wrapText="1"/>
    </xf>
    <xf numFmtId="0" fontId="8" fillId="0" borderId="0" xfId="0" applyFont="1" applyAlignment="1" applyProtection="1">
      <alignment horizontal="left" vertical="top" wrapText="1"/>
    </xf>
    <xf numFmtId="0" fontId="0" fillId="0" borderId="0" xfId="0" applyAlignment="1">
      <alignment horizontal="left" vertical="top" wrapText="1"/>
    </xf>
    <xf numFmtId="0" fontId="0" fillId="0" borderId="0" xfId="0" applyAlignment="1">
      <alignment vertical="top" wrapText="1"/>
    </xf>
    <xf numFmtId="0" fontId="6" fillId="0" borderId="0" xfId="0" applyFont="1" applyFill="1" applyBorder="1" applyAlignment="1" applyProtection="1">
      <alignment vertical="center"/>
    </xf>
    <xf numFmtId="0" fontId="6" fillId="0" borderId="0" xfId="0" applyFont="1" applyFill="1" applyBorder="1" applyProtection="1"/>
    <xf numFmtId="0" fontId="11" fillId="2" borderId="10" xfId="0" applyFont="1" applyFill="1" applyBorder="1" applyAlignment="1" applyProtection="1">
      <alignment vertical="center"/>
    </xf>
    <xf numFmtId="0" fontId="13" fillId="0" borderId="0" xfId="0" applyFont="1" applyFill="1" applyBorder="1" applyAlignment="1" applyProtection="1">
      <alignment horizontal="left" vertical="center" wrapText="1"/>
    </xf>
    <xf numFmtId="0" fontId="12" fillId="0" borderId="0" xfId="0" applyFont="1" applyFill="1" applyBorder="1" applyAlignment="1" applyProtection="1"/>
    <xf numFmtId="0" fontId="15" fillId="0" borderId="0" xfId="0" applyFont="1" applyFill="1" applyAlignment="1" applyProtection="1">
      <alignment vertical="center"/>
    </xf>
    <xf numFmtId="0" fontId="21" fillId="0" borderId="0" xfId="0" applyFont="1" applyFill="1" applyBorder="1" applyAlignment="1" applyProtection="1">
      <alignment horizontal="left" vertical="center"/>
    </xf>
    <xf numFmtId="0" fontId="6" fillId="0" borderId="0" xfId="0" applyFont="1" applyFill="1" applyBorder="1" applyAlignment="1" applyProtection="1">
      <alignment horizontal="left"/>
    </xf>
    <xf numFmtId="0" fontId="12" fillId="0" borderId="0" xfId="0" applyFont="1" applyFill="1" applyBorder="1" applyAlignment="1" applyProtection="1">
      <alignment horizontal="left" vertical="center"/>
    </xf>
    <xf numFmtId="0" fontId="2" fillId="0" borderId="0" xfId="0" applyFont="1" applyAlignment="1" applyProtection="1">
      <alignment vertical="center"/>
    </xf>
    <xf numFmtId="0" fontId="12" fillId="0" borderId="0" xfId="0" applyFont="1" applyFill="1" applyBorder="1" applyProtection="1"/>
    <xf numFmtId="0" fontId="12" fillId="0" borderId="0" xfId="0" applyFont="1" applyFill="1" applyBorder="1" applyAlignment="1" applyProtection="1">
      <alignment horizontal="left" indent="1"/>
    </xf>
    <xf numFmtId="0" fontId="12" fillId="0" borderId="0" xfId="0" applyFont="1" applyFill="1" applyProtection="1"/>
    <xf numFmtId="0" fontId="12" fillId="0" borderId="0" xfId="0" applyFont="1" applyFill="1" applyBorder="1" applyAlignment="1" applyProtection="1">
      <alignment horizontal="left" vertical="center" wrapText="1"/>
    </xf>
    <xf numFmtId="168" fontId="13" fillId="0" borderId="0" xfId="0" applyNumberFormat="1" applyFont="1" applyFill="1" applyBorder="1" applyAlignment="1" applyProtection="1">
      <alignment horizontal="right" vertical="center"/>
    </xf>
    <xf numFmtId="0" fontId="2" fillId="0" borderId="0" xfId="0" applyFont="1" applyFill="1" applyBorder="1" applyAlignment="1" applyProtection="1"/>
    <xf numFmtId="0" fontId="13" fillId="5" borderId="3" xfId="0" applyFont="1" applyFill="1" applyBorder="1" applyAlignment="1" applyProtection="1">
      <alignment horizontal="center" vertical="center"/>
    </xf>
    <xf numFmtId="0" fontId="13" fillId="5" borderId="12" xfId="0" applyFont="1" applyFill="1" applyBorder="1" applyAlignment="1" applyProtection="1">
      <alignment horizontal="center" vertical="center"/>
    </xf>
    <xf numFmtId="0" fontId="13" fillId="5" borderId="12" xfId="0" applyFont="1" applyFill="1" applyBorder="1" applyAlignment="1" applyProtection="1">
      <alignment horizontal="center" vertical="center" wrapText="1"/>
    </xf>
    <xf numFmtId="0" fontId="8" fillId="0" borderId="0" xfId="0" applyFont="1" applyFill="1" applyAlignment="1" applyProtection="1">
      <alignment wrapText="1"/>
    </xf>
    <xf numFmtId="0" fontId="12" fillId="0" borderId="0" xfId="0" applyFont="1" applyAlignment="1" applyProtection="1">
      <alignment vertical="center"/>
    </xf>
    <xf numFmtId="166" fontId="12" fillId="0" borderId="0" xfId="1" applyNumberFormat="1" applyFont="1" applyBorder="1" applyAlignment="1" applyProtection="1">
      <alignment vertical="center"/>
    </xf>
    <xf numFmtId="168" fontId="12" fillId="0" borderId="0" xfId="0" applyNumberFormat="1" applyFont="1" applyFill="1" applyBorder="1" applyAlignment="1" applyProtection="1">
      <alignment horizontal="right" vertical="center"/>
    </xf>
    <xf numFmtId="168" fontId="12" fillId="4" borderId="1" xfId="0" applyNumberFormat="1" applyFont="1" applyFill="1" applyBorder="1" applyAlignment="1" applyProtection="1">
      <alignment horizontal="right" vertical="center"/>
    </xf>
    <xf numFmtId="0" fontId="2" fillId="0" borderId="0" xfId="0" applyFont="1" applyFill="1" applyProtection="1"/>
    <xf numFmtId="0" fontId="2" fillId="0" borderId="0" xfId="0" applyFont="1" applyFill="1" applyBorder="1" applyProtection="1"/>
    <xf numFmtId="0" fontId="12" fillId="0" borderId="0" xfId="0" applyFont="1" applyAlignment="1" applyProtection="1"/>
    <xf numFmtId="167" fontId="12" fillId="0" borderId="0" xfId="0" applyNumberFormat="1" applyFont="1" applyFill="1" applyBorder="1" applyAlignment="1" applyProtection="1">
      <alignment vertical="center"/>
    </xf>
    <xf numFmtId="0" fontId="12" fillId="0" borderId="0" xfId="0" applyFont="1" applyFill="1" applyBorder="1" applyAlignment="1" applyProtection="1">
      <alignment horizontal="center"/>
    </xf>
    <xf numFmtId="0" fontId="15" fillId="0" borderId="29" xfId="0" applyFont="1" applyBorder="1" applyAlignment="1" applyProtection="1">
      <alignment vertical="center"/>
    </xf>
    <xf numFmtId="0" fontId="15" fillId="0" borderId="30" xfId="0" applyFont="1" applyBorder="1" applyAlignment="1" applyProtection="1">
      <alignment vertical="center"/>
    </xf>
    <xf numFmtId="0" fontId="15" fillId="0" borderId="31" xfId="0" applyFont="1" applyBorder="1" applyAlignment="1" applyProtection="1">
      <alignment vertical="center"/>
    </xf>
    <xf numFmtId="0" fontId="15" fillId="0" borderId="32" xfId="0" applyFont="1" applyBorder="1" applyAlignment="1" applyProtection="1">
      <alignment vertical="center"/>
    </xf>
    <xf numFmtId="0" fontId="15" fillId="0" borderId="33" xfId="0" applyFont="1" applyBorder="1" applyAlignment="1" applyProtection="1">
      <alignment vertical="center"/>
    </xf>
    <xf numFmtId="0" fontId="15" fillId="0" borderId="34" xfId="0" applyFont="1" applyBorder="1" applyAlignment="1" applyProtection="1">
      <alignment vertical="center"/>
    </xf>
    <xf numFmtId="0" fontId="15" fillId="0" borderId="38" xfId="0" applyFont="1" applyFill="1" applyBorder="1" applyAlignment="1" applyProtection="1">
      <alignment vertical="center"/>
    </xf>
    <xf numFmtId="0" fontId="9" fillId="0" borderId="42" xfId="0" applyFont="1" applyFill="1" applyBorder="1" applyAlignment="1" applyProtection="1">
      <alignment horizontal="center" wrapText="1"/>
    </xf>
    <xf numFmtId="0" fontId="9" fillId="0" borderId="43" xfId="0" applyFont="1" applyFill="1" applyBorder="1" applyAlignment="1" applyProtection="1">
      <alignment horizontal="center" wrapText="1"/>
    </xf>
    <xf numFmtId="0" fontId="9" fillId="0" borderId="44" xfId="0" applyFont="1" applyFill="1" applyBorder="1" applyAlignment="1" applyProtection="1">
      <alignment horizontal="center" wrapText="1"/>
    </xf>
    <xf numFmtId="0" fontId="6" fillId="0" borderId="34" xfId="0" applyFont="1" applyFill="1" applyBorder="1" applyAlignment="1" applyProtection="1">
      <alignment horizontal="left"/>
    </xf>
    <xf numFmtId="0" fontId="17" fillId="0" borderId="34" xfId="0" applyFont="1" applyFill="1" applyBorder="1" applyAlignment="1" applyProtection="1">
      <alignment horizontal="left"/>
    </xf>
    <xf numFmtId="0" fontId="6" fillId="0" borderId="33" xfId="0" applyFont="1" applyFill="1" applyBorder="1" applyAlignment="1" applyProtection="1">
      <alignment horizontal="left"/>
    </xf>
    <xf numFmtId="0" fontId="15" fillId="3" borderId="0" xfId="0" applyFont="1" applyFill="1" applyBorder="1" applyAlignment="1" applyProtection="1">
      <alignment vertical="center"/>
    </xf>
    <xf numFmtId="0" fontId="15" fillId="3" borderId="35" xfId="0" applyFont="1" applyFill="1" applyBorder="1" applyAlignment="1" applyProtection="1">
      <alignment vertical="center"/>
    </xf>
    <xf numFmtId="168" fontId="15" fillId="0" borderId="45" xfId="0" applyNumberFormat="1" applyFont="1" applyFill="1" applyBorder="1" applyAlignment="1" applyProtection="1">
      <alignment horizontal="right" vertical="center"/>
    </xf>
    <xf numFmtId="168" fontId="15" fillId="0" borderId="46" xfId="0" applyNumberFormat="1" applyFont="1" applyFill="1" applyBorder="1" applyAlignment="1" applyProtection="1">
      <alignment horizontal="right" vertical="center"/>
    </xf>
    <xf numFmtId="0" fontId="12" fillId="0" borderId="46" xfId="0" applyFont="1" applyFill="1" applyBorder="1" applyAlignment="1" applyProtection="1">
      <alignment horizontal="left" vertical="center" wrapText="1"/>
    </xf>
    <xf numFmtId="0" fontId="15" fillId="0" borderId="46" xfId="0" applyFont="1" applyFill="1" applyBorder="1" applyAlignment="1" applyProtection="1">
      <alignment horizontal="left" vertical="center" wrapText="1"/>
    </xf>
    <xf numFmtId="0" fontId="15" fillId="0" borderId="33" xfId="0" applyFont="1" applyFill="1" applyBorder="1" applyAlignment="1" applyProtection="1">
      <alignment horizontal="left" vertical="center"/>
    </xf>
    <xf numFmtId="0" fontId="15" fillId="0" borderId="47" xfId="0" applyFont="1" applyFill="1" applyBorder="1" applyAlignment="1" applyProtection="1">
      <alignment horizontal="left" vertical="center"/>
    </xf>
    <xf numFmtId="0" fontId="0" fillId="0" borderId="33" xfId="0" applyFill="1" applyBorder="1" applyAlignment="1" applyProtection="1">
      <alignment vertical="center"/>
    </xf>
    <xf numFmtId="0" fontId="13" fillId="0" borderId="46" xfId="0" applyFont="1" applyFill="1" applyBorder="1" applyAlignment="1" applyProtection="1">
      <alignment horizontal="left" vertical="center" wrapText="1"/>
    </xf>
    <xf numFmtId="0" fontId="13" fillId="0" borderId="46" xfId="0" applyFont="1" applyFill="1" applyBorder="1" applyAlignment="1" applyProtection="1">
      <alignment horizontal="center" vertical="center" wrapText="1"/>
    </xf>
    <xf numFmtId="0" fontId="2" fillId="0" borderId="46" xfId="0" applyFont="1" applyFill="1" applyBorder="1" applyAlignment="1" applyProtection="1">
      <alignment vertical="center"/>
    </xf>
    <xf numFmtId="0" fontId="4" fillId="3" borderId="34" xfId="0" applyFont="1" applyFill="1" applyBorder="1" applyProtection="1"/>
    <xf numFmtId="0" fontId="6" fillId="0" borderId="46" xfId="0" applyFont="1" applyFill="1" applyBorder="1" applyAlignment="1" applyProtection="1">
      <alignment horizontal="left"/>
    </xf>
    <xf numFmtId="0" fontId="6" fillId="0" borderId="48" xfId="0" applyFont="1" applyFill="1" applyBorder="1" applyAlignment="1" applyProtection="1">
      <alignment horizontal="left"/>
    </xf>
    <xf numFmtId="0" fontId="12" fillId="0" borderId="49" xfId="0" applyFont="1" applyFill="1" applyBorder="1" applyAlignment="1" applyProtection="1">
      <alignment horizontal="left" indent="1"/>
    </xf>
    <xf numFmtId="0" fontId="13" fillId="0" borderId="50" xfId="0" applyFont="1" applyFill="1" applyBorder="1" applyAlignment="1" applyProtection="1">
      <alignment vertical="center"/>
    </xf>
    <xf numFmtId="0" fontId="2" fillId="0" borderId="39" xfId="0" applyFont="1" applyFill="1" applyBorder="1" applyAlignment="1" applyProtection="1"/>
    <xf numFmtId="0" fontId="2" fillId="0" borderId="38" xfId="0" applyFont="1" applyFill="1" applyBorder="1" applyAlignment="1" applyProtection="1"/>
    <xf numFmtId="0" fontId="13" fillId="0" borderId="51" xfId="0" applyFont="1" applyFill="1" applyBorder="1" applyAlignment="1" applyProtection="1">
      <alignment vertical="center"/>
    </xf>
    <xf numFmtId="0" fontId="2" fillId="0" borderId="34" xfId="0" applyFont="1" applyFill="1" applyBorder="1" applyAlignment="1" applyProtection="1"/>
    <xf numFmtId="0" fontId="12" fillId="0" borderId="38" xfId="0" applyFont="1" applyFill="1" applyBorder="1" applyAlignment="1" applyProtection="1">
      <alignment horizontal="left" indent="1"/>
    </xf>
    <xf numFmtId="0" fontId="2" fillId="0" borderId="40" xfId="0" applyFont="1" applyFill="1" applyBorder="1" applyAlignment="1" applyProtection="1"/>
    <xf numFmtId="0" fontId="12" fillId="0" borderId="41" xfId="0" applyFont="1" applyFill="1" applyBorder="1" applyAlignment="1" applyProtection="1">
      <alignment horizontal="left" indent="1"/>
    </xf>
    <xf numFmtId="0" fontId="12" fillId="0" borderId="32" xfId="0" applyFont="1" applyFill="1" applyBorder="1" applyAlignment="1" applyProtection="1">
      <alignment horizontal="left" indent="1"/>
    </xf>
    <xf numFmtId="0" fontId="12" fillId="0" borderId="40" xfId="0" applyFont="1" applyFill="1" applyBorder="1" applyAlignment="1" applyProtection="1">
      <alignment horizontal="left" indent="1"/>
    </xf>
    <xf numFmtId="0" fontId="12" fillId="0" borderId="39" xfId="0" applyFont="1" applyFill="1" applyBorder="1" applyAlignment="1" applyProtection="1">
      <alignment horizontal="left" indent="1"/>
    </xf>
    <xf numFmtId="0" fontId="12" fillId="0" borderId="35" xfId="0" applyFont="1" applyFill="1" applyBorder="1" applyProtection="1"/>
    <xf numFmtId="0" fontId="12" fillId="0" borderId="47" xfId="0" applyFont="1" applyFill="1" applyBorder="1" applyProtection="1"/>
    <xf numFmtId="0" fontId="12" fillId="0" borderId="34" xfId="0" applyFont="1" applyFill="1" applyBorder="1" applyAlignment="1" applyProtection="1">
      <alignment horizontal="left" indent="1"/>
    </xf>
    <xf numFmtId="0" fontId="12" fillId="0" borderId="41" xfId="0" applyFont="1" applyFill="1" applyBorder="1" applyProtection="1"/>
    <xf numFmtId="0" fontId="12" fillId="0" borderId="33" xfId="0" applyFont="1" applyFill="1" applyBorder="1" applyProtection="1"/>
    <xf numFmtId="0" fontId="12" fillId="0" borderId="34" xfId="0" applyFont="1" applyFill="1" applyBorder="1" applyProtection="1"/>
    <xf numFmtId="0" fontId="12" fillId="0" borderId="32" xfId="0" applyFont="1" applyFill="1" applyBorder="1" applyProtection="1"/>
    <xf numFmtId="0" fontId="8" fillId="0" borderId="34" xfId="0" applyFont="1" applyBorder="1" applyAlignment="1" applyProtection="1"/>
    <xf numFmtId="0" fontId="15" fillId="0" borderId="34" xfId="0" applyFont="1" applyBorder="1" applyAlignment="1" applyProtection="1"/>
    <xf numFmtId="0" fontId="13" fillId="0" borderId="34" xfId="0" applyFont="1" applyFill="1" applyBorder="1" applyAlignment="1" applyProtection="1">
      <alignment vertical="top"/>
    </xf>
    <xf numFmtId="0" fontId="12" fillId="0" borderId="34" xfId="0" applyFont="1" applyFill="1" applyBorder="1" applyAlignment="1" applyProtection="1">
      <alignment vertical="center"/>
    </xf>
    <xf numFmtId="0" fontId="13" fillId="0" borderId="34" xfId="0" applyFont="1" applyFill="1" applyBorder="1" applyAlignment="1" applyProtection="1">
      <alignment horizontal="center" vertical="top"/>
    </xf>
    <xf numFmtId="0" fontId="13" fillId="0" borderId="27" xfId="0" applyFont="1" applyFill="1" applyBorder="1" applyAlignment="1" applyProtection="1">
      <alignment vertical="top"/>
    </xf>
    <xf numFmtId="0" fontId="13" fillId="0" borderId="52" xfId="0" applyFont="1" applyFill="1" applyBorder="1" applyAlignment="1" applyProtection="1">
      <alignment vertical="center"/>
    </xf>
    <xf numFmtId="0" fontId="10" fillId="0" borderId="34" xfId="0" applyFont="1" applyFill="1" applyBorder="1" applyAlignment="1" applyProtection="1"/>
    <xf numFmtId="0" fontId="8" fillId="0" borderId="48" xfId="0" applyFont="1" applyBorder="1" applyAlignment="1" applyProtection="1"/>
    <xf numFmtId="0" fontId="8" fillId="0" borderId="53" xfId="0" applyFont="1" applyBorder="1" applyAlignment="1" applyProtection="1"/>
    <xf numFmtId="0" fontId="8" fillId="0" borderId="38" xfId="0" applyFont="1" applyBorder="1" applyAlignment="1" applyProtection="1"/>
    <xf numFmtId="0" fontId="18" fillId="0" borderId="34" xfId="0" applyFont="1" applyFill="1" applyBorder="1" applyAlignment="1" applyProtection="1"/>
    <xf numFmtId="0" fontId="12" fillId="0" borderId="34" xfId="0" applyFont="1" applyFill="1" applyBorder="1" applyAlignment="1" applyProtection="1">
      <alignment horizontal="left" vertical="top"/>
    </xf>
    <xf numFmtId="167" fontId="15" fillId="4" borderId="54" xfId="0" applyNumberFormat="1" applyFont="1" applyFill="1" applyBorder="1" applyAlignment="1" applyProtection="1">
      <alignment horizontal="left"/>
    </xf>
    <xf numFmtId="0" fontId="15" fillId="0" borderId="34" xfId="0" applyFont="1" applyFill="1" applyBorder="1" applyAlignment="1" applyProtection="1"/>
    <xf numFmtId="0" fontId="15" fillId="0" borderId="41" xfId="0" applyFont="1" applyBorder="1" applyAlignment="1" applyProtection="1"/>
    <xf numFmtId="0" fontId="15" fillId="0" borderId="45" xfId="0" applyFont="1" applyFill="1" applyBorder="1" applyAlignment="1" applyProtection="1"/>
    <xf numFmtId="0" fontId="15" fillId="0" borderId="53" xfId="0" applyFont="1" applyFill="1" applyBorder="1" applyAlignment="1" applyProtection="1"/>
    <xf numFmtId="0" fontId="15" fillId="0" borderId="38" xfId="0" applyFont="1" applyFill="1" applyBorder="1" applyAlignment="1" applyProtection="1"/>
    <xf numFmtId="0" fontId="15" fillId="0" borderId="48" xfId="0" applyFont="1" applyFill="1" applyBorder="1" applyAlignment="1" applyProtection="1"/>
    <xf numFmtId="167" fontId="15" fillId="0" borderId="33" xfId="0" applyNumberFormat="1" applyFont="1" applyFill="1" applyBorder="1" applyAlignment="1" applyProtection="1">
      <alignment vertical="center"/>
    </xf>
    <xf numFmtId="167" fontId="15" fillId="0" borderId="51" xfId="0" applyNumberFormat="1" applyFont="1" applyFill="1" applyBorder="1" applyAlignment="1" applyProtection="1">
      <alignment vertical="center"/>
    </xf>
    <xf numFmtId="0" fontId="12" fillId="0" borderId="34" xfId="0" applyFont="1" applyFill="1" applyBorder="1" applyAlignment="1" applyProtection="1"/>
    <xf numFmtId="0" fontId="15" fillId="0" borderId="55" xfId="0" applyFont="1" applyBorder="1" applyAlignment="1" applyProtection="1"/>
    <xf numFmtId="0" fontId="15" fillId="0" borderId="46" xfId="0" applyFont="1" applyBorder="1" applyAlignment="1" applyProtection="1"/>
    <xf numFmtId="0" fontId="13" fillId="0" borderId="13" xfId="0" applyFont="1" applyBorder="1" applyAlignment="1" applyProtection="1">
      <alignment horizontal="center" vertical="center"/>
      <protection locked="0"/>
    </xf>
    <xf numFmtId="0" fontId="15" fillId="0" borderId="45" xfId="0" applyFont="1" applyBorder="1" applyAlignment="1" applyProtection="1"/>
    <xf numFmtId="0" fontId="15" fillId="0" borderId="46" xfId="0" applyFont="1" applyFill="1" applyBorder="1" applyAlignment="1" applyProtection="1"/>
    <xf numFmtId="0" fontId="8" fillId="0" borderId="33" xfId="0" applyFont="1" applyBorder="1" applyAlignment="1" applyProtection="1"/>
    <xf numFmtId="0" fontId="4" fillId="0" borderId="56" xfId="0" applyFont="1" applyFill="1" applyBorder="1" applyAlignment="1" applyProtection="1">
      <alignment vertical="center"/>
    </xf>
    <xf numFmtId="0" fontId="4" fillId="0" borderId="56" xfId="0" applyFont="1" applyBorder="1" applyAlignment="1" applyProtection="1">
      <alignment vertical="center"/>
    </xf>
    <xf numFmtId="166" fontId="4" fillId="0" borderId="47" xfId="1" applyNumberFormat="1" applyFont="1" applyBorder="1" applyAlignment="1" applyProtection="1">
      <alignment vertical="center"/>
    </xf>
    <xf numFmtId="0" fontId="21" fillId="0" borderId="34" xfId="0" applyFont="1" applyBorder="1" applyAlignment="1" applyProtection="1">
      <alignment wrapText="1"/>
    </xf>
    <xf numFmtId="166" fontId="4" fillId="0" borderId="34" xfId="1" applyNumberFormat="1" applyFont="1" applyBorder="1" applyProtection="1"/>
    <xf numFmtId="0" fontId="4" fillId="0" borderId="51" xfId="0" applyFont="1" applyBorder="1" applyProtection="1"/>
    <xf numFmtId="0" fontId="4" fillId="0" borderId="34" xfId="0" applyFont="1" applyBorder="1" applyProtection="1"/>
    <xf numFmtId="0" fontId="4" fillId="0" borderId="33" xfId="0" applyFont="1" applyBorder="1" applyProtection="1"/>
    <xf numFmtId="0" fontId="4" fillId="0" borderId="51" xfId="0" applyFont="1" applyFill="1" applyBorder="1" applyProtection="1"/>
    <xf numFmtId="0" fontId="4" fillId="0" borderId="39" xfId="0" applyFont="1" applyBorder="1" applyProtection="1"/>
    <xf numFmtId="0" fontId="4" fillId="0" borderId="35" xfId="0" applyFont="1" applyFill="1" applyBorder="1" applyProtection="1"/>
    <xf numFmtId="0" fontId="4" fillId="0" borderId="36" xfId="0" applyFont="1" applyBorder="1" applyProtection="1"/>
    <xf numFmtId="0" fontId="4" fillId="0" borderId="40" xfId="0" applyFont="1" applyBorder="1" applyProtection="1"/>
    <xf numFmtId="0" fontId="6" fillId="0" borderId="35" xfId="0" applyFont="1" applyFill="1" applyBorder="1" applyProtection="1"/>
    <xf numFmtId="0" fontId="21" fillId="0" borderId="32" xfId="0" applyFont="1" applyBorder="1" applyAlignment="1" applyProtection="1">
      <alignment wrapText="1"/>
    </xf>
    <xf numFmtId="0" fontId="4" fillId="0" borderId="32" xfId="0" applyFont="1" applyBorder="1" applyAlignment="1" applyProtection="1">
      <alignment vertical="center"/>
    </xf>
    <xf numFmtId="166" fontId="4" fillId="0" borderId="32" xfId="1" applyNumberFormat="1" applyFont="1" applyBorder="1" applyProtection="1"/>
    <xf numFmtId="0" fontId="16" fillId="0" borderId="34" xfId="0" applyFont="1" applyBorder="1" applyAlignment="1" applyProtection="1">
      <alignment wrapText="1"/>
    </xf>
    <xf numFmtId="0" fontId="0" fillId="0" borderId="34" xfId="0" applyBorder="1" applyProtection="1"/>
    <xf numFmtId="0" fontId="0" fillId="0" borderId="34" xfId="0" applyBorder="1" applyAlignment="1" applyProtection="1">
      <alignment vertical="center"/>
    </xf>
    <xf numFmtId="0" fontId="11" fillId="0" borderId="38" xfId="0" applyFont="1" applyFill="1" applyBorder="1" applyAlignment="1" applyProtection="1">
      <alignment horizontal="center"/>
    </xf>
    <xf numFmtId="0" fontId="10" fillId="0" borderId="48" xfId="0" applyFont="1" applyFill="1" applyBorder="1" applyAlignment="1" applyProtection="1"/>
    <xf numFmtId="0" fontId="13" fillId="0" borderId="52" xfId="0" applyFont="1" applyFill="1" applyBorder="1" applyAlignment="1" applyProtection="1">
      <alignment vertical="top"/>
    </xf>
    <xf numFmtId="0" fontId="13" fillId="0" borderId="57" xfId="0" applyFont="1" applyFill="1" applyBorder="1" applyAlignment="1" applyProtection="1">
      <alignment vertical="center"/>
    </xf>
    <xf numFmtId="0" fontId="12" fillId="0" borderId="52" xfId="0" applyFont="1" applyFill="1" applyBorder="1" applyProtection="1"/>
    <xf numFmtId="0" fontId="12" fillId="0" borderId="27" xfId="0" applyFont="1" applyFill="1" applyBorder="1" applyProtection="1"/>
    <xf numFmtId="0" fontId="12" fillId="0" borderId="59" xfId="0" applyFont="1" applyFill="1" applyBorder="1" applyProtection="1"/>
    <xf numFmtId="0" fontId="12" fillId="0" borderId="60" xfId="0" applyFont="1" applyFill="1" applyBorder="1" applyProtection="1"/>
    <xf numFmtId="0" fontId="12" fillId="0" borderId="61" xfId="0" applyFont="1" applyFill="1" applyBorder="1" applyProtection="1"/>
    <xf numFmtId="0" fontId="12" fillId="0" borderId="57" xfId="0" applyFont="1" applyFill="1" applyBorder="1" applyProtection="1"/>
    <xf numFmtId="0" fontId="11" fillId="0" borderId="48" xfId="0" applyFont="1" applyFill="1" applyBorder="1" applyAlignment="1" applyProtection="1">
      <alignment horizontal="center"/>
    </xf>
    <xf numFmtId="0" fontId="12" fillId="0" borderId="62" xfId="0" applyFont="1" applyFill="1" applyBorder="1" applyAlignment="1" applyProtection="1"/>
    <xf numFmtId="0" fontId="12" fillId="0" borderId="51" xfId="0" applyFont="1" applyBorder="1" applyAlignment="1" applyProtection="1"/>
    <xf numFmtId="0" fontId="12" fillId="0" borderId="48" xfId="0" applyFont="1" applyBorder="1" applyAlignment="1" applyProtection="1"/>
    <xf numFmtId="0" fontId="12" fillId="0" borderId="35" xfId="0" applyFont="1" applyFill="1" applyBorder="1" applyAlignment="1" applyProtection="1"/>
    <xf numFmtId="0" fontId="12" fillId="0" borderId="32" xfId="0" applyFont="1" applyFill="1" applyBorder="1" applyAlignment="1" applyProtection="1"/>
    <xf numFmtId="0" fontId="10" fillId="0" borderId="32" xfId="0" applyFont="1" applyFill="1" applyBorder="1" applyAlignment="1" applyProtection="1"/>
    <xf numFmtId="4" fontId="12" fillId="0" borderId="34" xfId="0" applyNumberFormat="1" applyFont="1" applyFill="1" applyBorder="1" applyAlignment="1" applyProtection="1">
      <alignment horizontal="right" vertical="center"/>
    </xf>
    <xf numFmtId="0" fontId="12" fillId="0" borderId="34" xfId="0" applyFont="1" applyBorder="1" applyAlignment="1" applyProtection="1"/>
    <xf numFmtId="0" fontId="2" fillId="0" borderId="34" xfId="0" applyFont="1" applyBorder="1" applyAlignment="1" applyProtection="1"/>
    <xf numFmtId="0" fontId="2" fillId="0" borderId="48" xfId="0" applyFont="1" applyBorder="1" applyAlignment="1" applyProtection="1"/>
    <xf numFmtId="0" fontId="12" fillId="0" borderId="33" xfId="0" applyFont="1" applyBorder="1" applyAlignment="1" applyProtection="1"/>
    <xf numFmtId="0" fontId="12" fillId="0" borderId="33" xfId="0" applyFont="1" applyFill="1" applyBorder="1" applyAlignment="1" applyProtection="1"/>
    <xf numFmtId="0" fontId="12" fillId="0" borderId="48" xfId="0" applyFont="1" applyFill="1" applyBorder="1" applyAlignment="1" applyProtection="1"/>
    <xf numFmtId="0" fontId="2" fillId="0" borderId="63" xfId="0" applyFont="1" applyBorder="1" applyAlignment="1" applyProtection="1"/>
    <xf numFmtId="0" fontId="12" fillId="0" borderId="34" xfId="0" applyFont="1" applyBorder="1" applyAlignment="1" applyProtection="1">
      <alignment vertical="center"/>
    </xf>
    <xf numFmtId="0" fontId="20" fillId="0" borderId="34" xfId="0" quotePrefix="1" applyFont="1" applyBorder="1" applyAlignment="1" applyProtection="1"/>
    <xf numFmtId="0" fontId="12" fillId="0" borderId="47" xfId="0" applyFont="1" applyBorder="1" applyAlignment="1" applyProtection="1"/>
    <xf numFmtId="0" fontId="12" fillId="0" borderId="64" xfId="0" applyFont="1" applyBorder="1" applyAlignment="1" applyProtection="1"/>
    <xf numFmtId="0" fontId="12" fillId="0" borderId="62" xfId="0" applyFont="1" applyBorder="1" applyAlignment="1" applyProtection="1"/>
    <xf numFmtId="167" fontId="12" fillId="4" borderId="54" xfId="0" applyNumberFormat="1" applyFont="1" applyFill="1" applyBorder="1" applyAlignment="1" applyProtection="1">
      <alignment horizontal="left"/>
    </xf>
    <xf numFmtId="0" fontId="11" fillId="0" borderId="32" xfId="0" applyFont="1" applyFill="1" applyBorder="1" applyAlignment="1" applyProtection="1">
      <alignment horizontal="center"/>
    </xf>
    <xf numFmtId="0" fontId="12" fillId="0" borderId="45" xfId="0" applyFont="1" applyFill="1" applyBorder="1" applyAlignment="1" applyProtection="1"/>
    <xf numFmtId="0" fontId="0" fillId="0" borderId="0" xfId="0" applyFill="1" applyBorder="1" applyAlignment="1" applyProtection="1">
      <alignment horizontal="center" vertical="center"/>
    </xf>
    <xf numFmtId="0" fontId="10" fillId="0" borderId="0" xfId="0" applyFont="1" applyFill="1" applyBorder="1" applyAlignment="1" applyProtection="1">
      <alignment horizontal="center" vertical="center"/>
    </xf>
    <xf numFmtId="0" fontId="12" fillId="3" borderId="0" xfId="0" applyFont="1" applyFill="1" applyBorder="1" applyAlignment="1" applyProtection="1">
      <alignment vertical="center"/>
    </xf>
    <xf numFmtId="0" fontId="13" fillId="3" borderId="34" xfId="0" applyFont="1" applyFill="1" applyBorder="1" applyAlignment="1" applyProtection="1">
      <alignment vertical="top"/>
    </xf>
    <xf numFmtId="0" fontId="12" fillId="3" borderId="34" xfId="0" applyFont="1" applyFill="1" applyBorder="1" applyAlignment="1" applyProtection="1">
      <alignment horizontal="center" vertical="center"/>
    </xf>
    <xf numFmtId="0" fontId="13" fillId="3" borderId="0" xfId="0" applyFont="1" applyFill="1" applyBorder="1" applyAlignment="1" applyProtection="1">
      <alignment horizontal="center" vertical="top"/>
    </xf>
    <xf numFmtId="0" fontId="13" fillId="3" borderId="65" xfId="0" applyFont="1" applyFill="1" applyBorder="1" applyAlignment="1" applyProtection="1">
      <alignment horizontal="center" vertical="top"/>
    </xf>
    <xf numFmtId="0" fontId="13" fillId="3" borderId="41" xfId="0" applyFont="1" applyFill="1" applyBorder="1" applyAlignment="1" applyProtection="1">
      <alignment vertical="top"/>
    </xf>
    <xf numFmtId="0" fontId="13" fillId="3" borderId="45" xfId="0" applyFont="1" applyFill="1" applyBorder="1" applyAlignment="1" applyProtection="1">
      <alignment vertical="top"/>
    </xf>
    <xf numFmtId="0" fontId="8" fillId="3" borderId="38" xfId="0" applyFont="1" applyFill="1" applyBorder="1" applyAlignment="1" applyProtection="1"/>
    <xf numFmtId="0" fontId="8" fillId="3" borderId="0" xfId="0" applyFont="1" applyFill="1" applyBorder="1" applyAlignment="1" applyProtection="1"/>
    <xf numFmtId="0" fontId="8" fillId="3" borderId="34" xfId="0" applyFont="1" applyFill="1" applyBorder="1" applyAlignment="1" applyProtection="1"/>
    <xf numFmtId="0" fontId="12" fillId="3" borderId="38" xfId="0" applyFont="1" applyFill="1" applyBorder="1" applyAlignment="1" applyProtection="1">
      <alignment horizontal="left" vertical="center"/>
    </xf>
    <xf numFmtId="0" fontId="15" fillId="3" borderId="0" xfId="0" applyFont="1" applyFill="1" applyBorder="1" applyAlignment="1" applyProtection="1"/>
    <xf numFmtId="0" fontId="20" fillId="3" borderId="0" xfId="0" quotePrefix="1" applyFont="1" applyFill="1" applyBorder="1" applyAlignment="1" applyProtection="1"/>
    <xf numFmtId="0" fontId="15" fillId="3" borderId="35" xfId="0" applyFont="1" applyFill="1" applyBorder="1" applyAlignment="1" applyProtection="1"/>
    <xf numFmtId="0" fontId="15" fillId="3" borderId="34" xfId="0" applyFont="1" applyFill="1" applyBorder="1" applyAlignment="1" applyProtection="1"/>
    <xf numFmtId="0" fontId="12" fillId="3" borderId="34" xfId="0" applyFont="1" applyFill="1" applyBorder="1" applyAlignment="1" applyProtection="1"/>
    <xf numFmtId="0" fontId="8" fillId="0" borderId="66" xfId="0" applyFont="1" applyBorder="1" applyAlignment="1" applyProtection="1"/>
    <xf numFmtId="0" fontId="8" fillId="0" borderId="67" xfId="0" applyFont="1" applyBorder="1" applyAlignment="1" applyProtection="1"/>
    <xf numFmtId="0" fontId="8" fillId="3" borderId="48" xfId="0" applyFont="1" applyFill="1" applyBorder="1" applyAlignment="1" applyProtection="1"/>
    <xf numFmtId="0" fontId="15" fillId="3" borderId="33" xfId="0" applyFont="1" applyFill="1" applyBorder="1" applyAlignment="1" applyProtection="1"/>
    <xf numFmtId="0" fontId="12" fillId="3" borderId="0" xfId="0" applyFont="1" applyFill="1" applyBorder="1" applyAlignment="1" applyProtection="1">
      <alignment horizontal="left" vertical="center" wrapText="1"/>
    </xf>
    <xf numFmtId="0" fontId="15" fillId="3" borderId="0" xfId="0" applyFont="1" applyFill="1" applyBorder="1" applyAlignment="1" applyProtection="1">
      <alignment horizontal="left" vertical="center" wrapText="1"/>
    </xf>
    <xf numFmtId="168" fontId="15" fillId="3" borderId="0" xfId="0" applyNumberFormat="1" applyFont="1" applyFill="1" applyBorder="1" applyAlignment="1" applyProtection="1">
      <alignment horizontal="right" vertical="center"/>
    </xf>
    <xf numFmtId="168" fontId="15" fillId="3" borderId="68" xfId="0" applyNumberFormat="1" applyFont="1" applyFill="1" applyBorder="1" applyAlignment="1" applyProtection="1">
      <alignment horizontal="right" vertical="center"/>
    </xf>
    <xf numFmtId="168" fontId="15" fillId="3" borderId="46" xfId="0" applyNumberFormat="1" applyFont="1" applyFill="1" applyBorder="1" applyAlignment="1" applyProtection="1">
      <alignment horizontal="right" vertical="center"/>
    </xf>
    <xf numFmtId="0" fontId="12" fillId="0" borderId="51" xfId="0" applyFont="1" applyFill="1" applyBorder="1" applyAlignment="1" applyProtection="1">
      <alignment horizontal="center" vertical="center"/>
    </xf>
    <xf numFmtId="0" fontId="12" fillId="3" borderId="33" xfId="0" applyFont="1" applyFill="1" applyBorder="1" applyAlignment="1" applyProtection="1"/>
    <xf numFmtId="0" fontId="12" fillId="0" borderId="45" xfId="0" applyFont="1" applyFill="1" applyBorder="1" applyAlignment="1" applyProtection="1">
      <alignment vertical="center"/>
    </xf>
    <xf numFmtId="0" fontId="40" fillId="3" borderId="0" xfId="0" applyFont="1" applyFill="1" applyBorder="1" applyAlignment="1" applyProtection="1">
      <alignment horizontal="center"/>
    </xf>
    <xf numFmtId="0" fontId="11" fillId="2" borderId="54" xfId="0" applyFont="1" applyFill="1" applyBorder="1" applyAlignment="1" applyProtection="1">
      <alignment vertical="center"/>
    </xf>
    <xf numFmtId="0" fontId="11" fillId="2" borderId="16" xfId="0" applyFont="1" applyFill="1" applyBorder="1" applyAlignment="1" applyProtection="1">
      <alignment vertical="center"/>
    </xf>
    <xf numFmtId="0" fontId="11" fillId="3" borderId="34" xfId="0" applyFont="1" applyFill="1" applyBorder="1" applyAlignment="1" applyProtection="1">
      <alignment horizontal="center"/>
    </xf>
    <xf numFmtId="0" fontId="10" fillId="3" borderId="34" xfId="0" applyFont="1" applyFill="1" applyBorder="1" applyAlignment="1" applyProtection="1"/>
    <xf numFmtId="0" fontId="15" fillId="3" borderId="38" xfId="0" applyFont="1" applyFill="1" applyBorder="1" applyAlignment="1" applyProtection="1"/>
    <xf numFmtId="0" fontId="15" fillId="3" borderId="48" xfId="0" applyFont="1" applyFill="1" applyBorder="1" applyAlignment="1" applyProtection="1"/>
    <xf numFmtId="0" fontId="15" fillId="3" borderId="53" xfId="0" applyFont="1" applyFill="1" applyBorder="1" applyAlignment="1" applyProtection="1"/>
    <xf numFmtId="167" fontId="15" fillId="3" borderId="0" xfId="0" applyNumberFormat="1" applyFont="1" applyFill="1" applyBorder="1" applyAlignment="1" applyProtection="1">
      <alignment horizontal="left"/>
    </xf>
    <xf numFmtId="0" fontId="15" fillId="3" borderId="41" xfId="0" applyFont="1" applyFill="1" applyBorder="1" applyAlignment="1" applyProtection="1"/>
    <xf numFmtId="0" fontId="18" fillId="6" borderId="4" xfId="0" applyFont="1" applyFill="1" applyBorder="1" applyAlignment="1" applyProtection="1">
      <alignment horizontal="left" vertical="center"/>
    </xf>
    <xf numFmtId="0" fontId="12" fillId="3" borderId="1" xfId="0" applyFont="1" applyFill="1" applyBorder="1" applyAlignment="1" applyProtection="1">
      <alignment horizontal="center" wrapText="1"/>
      <protection locked="0"/>
    </xf>
    <xf numFmtId="0" fontId="12" fillId="4" borderId="1" xfId="0" applyFont="1" applyFill="1" applyBorder="1" applyAlignment="1" applyProtection="1">
      <alignment horizontal="center" wrapText="1"/>
    </xf>
    <xf numFmtId="166" fontId="12" fillId="0" borderId="46" xfId="1" applyNumberFormat="1" applyFont="1" applyFill="1" applyBorder="1" applyAlignment="1" applyProtection="1">
      <alignment vertical="center"/>
    </xf>
    <xf numFmtId="0" fontId="12" fillId="0" borderId="46" xfId="0" applyFont="1" applyFill="1" applyBorder="1" applyAlignment="1" applyProtection="1">
      <alignment vertical="center"/>
    </xf>
    <xf numFmtId="0" fontId="9" fillId="0" borderId="69" xfId="0" applyFont="1" applyFill="1" applyBorder="1" applyAlignment="1" applyProtection="1">
      <alignment horizontal="center" vertical="center" wrapText="1"/>
    </xf>
    <xf numFmtId="0" fontId="12" fillId="3" borderId="0" xfId="0" applyFont="1" applyFill="1" applyBorder="1" applyAlignment="1" applyProtection="1">
      <alignment horizontal="right" wrapText="1"/>
    </xf>
    <xf numFmtId="0" fontId="8" fillId="0" borderId="38" xfId="0" applyFont="1" applyFill="1" applyBorder="1" applyAlignment="1" applyProtection="1"/>
    <xf numFmtId="0" fontId="12" fillId="4" borderId="4" xfId="0" applyFont="1" applyFill="1" applyBorder="1" applyAlignment="1" applyProtection="1">
      <alignment horizontal="left" vertical="center" indent="1"/>
    </xf>
    <xf numFmtId="167" fontId="12" fillId="4" borderId="70" xfId="0" applyNumberFormat="1" applyFont="1" applyFill="1" applyBorder="1" applyAlignment="1" applyProtection="1">
      <alignment horizontal="left" vertical="center" indent="1"/>
    </xf>
    <xf numFmtId="0" fontId="21" fillId="3" borderId="0" xfId="0" applyFont="1" applyFill="1" applyAlignment="1" applyProtection="1">
      <alignment wrapText="1"/>
    </xf>
    <xf numFmtId="167" fontId="15" fillId="0" borderId="45" xfId="0" applyNumberFormat="1" applyFont="1" applyFill="1" applyBorder="1" applyAlignment="1" applyProtection="1">
      <alignment horizontal="left"/>
    </xf>
    <xf numFmtId="167" fontId="15" fillId="3" borderId="60" xfId="0" applyNumberFormat="1" applyFont="1" applyFill="1" applyBorder="1" applyAlignment="1" applyProtection="1">
      <alignment horizontal="left"/>
    </xf>
    <xf numFmtId="0" fontId="12" fillId="3" borderId="33" xfId="0" applyFont="1" applyFill="1" applyBorder="1" applyAlignment="1" applyProtection="1">
      <alignment vertical="center"/>
    </xf>
    <xf numFmtId="0" fontId="41" fillId="0" borderId="34" xfId="0" applyFont="1" applyBorder="1" applyAlignment="1" applyProtection="1"/>
    <xf numFmtId="168" fontId="12" fillId="4" borderId="28" xfId="0" applyNumberFormat="1" applyFont="1" applyFill="1" applyBorder="1" applyAlignment="1" applyProtection="1">
      <alignment horizontal="right" vertical="center"/>
    </xf>
    <xf numFmtId="0" fontId="12" fillId="0" borderId="60" xfId="0" applyFont="1" applyFill="1" applyBorder="1" applyAlignment="1" applyProtection="1"/>
    <xf numFmtId="0" fontId="12" fillId="0" borderId="27" xfId="0" applyFont="1" applyFill="1" applyBorder="1" applyAlignment="1" applyProtection="1"/>
    <xf numFmtId="0" fontId="12" fillId="0" borderId="72" xfId="0" applyFont="1" applyFill="1" applyBorder="1" applyAlignment="1" applyProtection="1"/>
    <xf numFmtId="0" fontId="12" fillId="0" borderId="73" xfId="0" applyFont="1" applyFill="1" applyBorder="1" applyAlignment="1" applyProtection="1">
      <alignment horizontal="center"/>
    </xf>
    <xf numFmtId="168" fontId="12" fillId="4" borderId="75" xfId="0" applyNumberFormat="1" applyFont="1" applyFill="1" applyBorder="1" applyAlignment="1" applyProtection="1">
      <alignment horizontal="right" vertical="center"/>
    </xf>
    <xf numFmtId="0" fontId="12" fillId="3" borderId="76" xfId="0" applyFont="1" applyFill="1" applyBorder="1" applyAlignment="1" applyProtection="1">
      <alignment horizontal="left" vertical="center"/>
    </xf>
    <xf numFmtId="0" fontId="12" fillId="3" borderId="49" xfId="0" applyFont="1" applyFill="1" applyBorder="1" applyAlignment="1" applyProtection="1">
      <alignment horizontal="left" vertical="center"/>
    </xf>
    <xf numFmtId="168" fontId="12" fillId="3" borderId="49" xfId="0" applyNumberFormat="1" applyFont="1" applyFill="1" applyBorder="1" applyAlignment="1" applyProtection="1">
      <alignment horizontal="right" vertical="center"/>
    </xf>
    <xf numFmtId="3" fontId="11" fillId="0" borderId="34" xfId="0" applyNumberFormat="1" applyFont="1" applyFill="1" applyBorder="1" applyAlignment="1" applyProtection="1">
      <alignment horizontal="center"/>
    </xf>
    <xf numFmtId="3" fontId="13" fillId="0" borderId="34" xfId="0" applyNumberFormat="1" applyFont="1" applyFill="1" applyBorder="1" applyAlignment="1" applyProtection="1">
      <alignment vertical="top"/>
    </xf>
    <xf numFmtId="3" fontId="13" fillId="4" borderId="54" xfId="0" applyNumberFormat="1" applyFont="1" applyFill="1" applyBorder="1" applyAlignment="1" applyProtection="1">
      <alignment horizontal="right"/>
    </xf>
    <xf numFmtId="3" fontId="12" fillId="0" borderId="34" xfId="0" applyNumberFormat="1" applyFont="1" applyFill="1" applyBorder="1" applyProtection="1"/>
    <xf numFmtId="3" fontId="12" fillId="4" borderId="54" xfId="0" applyNumberFormat="1" applyFont="1" applyFill="1" applyBorder="1" applyAlignment="1" applyProtection="1">
      <alignment horizontal="right"/>
    </xf>
    <xf numFmtId="3" fontId="12" fillId="3" borderId="54" xfId="0" applyNumberFormat="1" applyFont="1" applyFill="1" applyBorder="1" applyAlignment="1" applyProtection="1">
      <alignment horizontal="right"/>
      <protection locked="0"/>
    </xf>
    <xf numFmtId="3" fontId="13" fillId="3" borderId="34" xfId="0" applyNumberFormat="1" applyFont="1" applyFill="1" applyBorder="1" applyAlignment="1" applyProtection="1">
      <alignment vertical="top"/>
    </xf>
    <xf numFmtId="3" fontId="13" fillId="4" borderId="78" xfId="0" applyNumberFormat="1" applyFont="1" applyFill="1" applyBorder="1" applyAlignment="1" applyProtection="1">
      <alignment horizontal="right"/>
    </xf>
    <xf numFmtId="3" fontId="12" fillId="0" borderId="48" xfId="0" applyNumberFormat="1" applyFont="1" applyFill="1" applyBorder="1" applyAlignment="1" applyProtection="1">
      <alignment horizontal="right"/>
    </xf>
    <xf numFmtId="3" fontId="12" fillId="0" borderId="34" xfId="0" applyNumberFormat="1" applyFont="1" applyFill="1" applyBorder="1" applyAlignment="1" applyProtection="1">
      <alignment horizontal="left"/>
    </xf>
    <xf numFmtId="3" fontId="12" fillId="0" borderId="32" xfId="0" applyNumberFormat="1" applyFont="1" applyFill="1" applyBorder="1" applyAlignment="1" applyProtection="1"/>
    <xf numFmtId="3" fontId="12" fillId="0" borderId="34" xfId="0" applyNumberFormat="1" applyFont="1" applyFill="1" applyBorder="1" applyAlignment="1" applyProtection="1"/>
    <xf numFmtId="3" fontId="12" fillId="0" borderId="52" xfId="0" applyNumberFormat="1" applyFont="1" applyFill="1" applyBorder="1" applyAlignment="1" applyProtection="1"/>
    <xf numFmtId="3" fontId="12" fillId="0" borderId="34" xfId="0" applyNumberFormat="1" applyFont="1" applyFill="1" applyBorder="1" applyAlignment="1" applyProtection="1">
      <alignment horizontal="left" vertical="center"/>
    </xf>
    <xf numFmtId="3" fontId="12" fillId="0" borderId="59" xfId="0" applyNumberFormat="1" applyFont="1" applyFill="1" applyBorder="1" applyAlignment="1" applyProtection="1">
      <alignment horizontal="center"/>
    </xf>
    <xf numFmtId="3" fontId="12" fillId="0" borderId="62" xfId="0" applyNumberFormat="1" applyFont="1" applyFill="1" applyBorder="1" applyAlignment="1" applyProtection="1">
      <alignment horizontal="right"/>
      <protection locked="0"/>
    </xf>
    <xf numFmtId="3" fontId="12" fillId="0" borderId="32" xfId="0" applyNumberFormat="1" applyFont="1" applyFill="1" applyBorder="1" applyAlignment="1" applyProtection="1">
      <alignment horizontal="left"/>
    </xf>
    <xf numFmtId="3" fontId="12" fillId="0" borderId="35" xfId="0" applyNumberFormat="1" applyFont="1" applyFill="1" applyBorder="1" applyAlignment="1" applyProtection="1"/>
    <xf numFmtId="3" fontId="12" fillId="0" borderId="33" xfId="0" applyNumberFormat="1" applyFont="1" applyFill="1" applyBorder="1" applyAlignment="1" applyProtection="1"/>
    <xf numFmtId="0" fontId="12" fillId="0" borderId="53" xfId="0" applyFont="1" applyFill="1" applyBorder="1" applyAlignment="1" applyProtection="1"/>
    <xf numFmtId="3" fontId="12" fillId="0" borderId="45" xfId="0" applyNumberFormat="1" applyFont="1" applyFill="1" applyBorder="1" applyAlignment="1" applyProtection="1"/>
    <xf numFmtId="3" fontId="12" fillId="0" borderId="46" xfId="0" applyNumberFormat="1" applyFont="1" applyFill="1" applyBorder="1" applyAlignment="1" applyProtection="1">
      <alignment horizontal="left"/>
    </xf>
    <xf numFmtId="3" fontId="12" fillId="0" borderId="48" xfId="0" applyNumberFormat="1" applyFont="1" applyFill="1" applyBorder="1" applyAlignment="1" applyProtection="1"/>
    <xf numFmtId="3" fontId="12" fillId="0" borderId="0" xfId="0" applyNumberFormat="1" applyFont="1" applyFill="1" applyBorder="1" applyAlignment="1" applyProtection="1"/>
    <xf numFmtId="3" fontId="15" fillId="4" borderId="79" xfId="0" applyNumberFormat="1" applyFont="1" applyFill="1" applyBorder="1" applyAlignment="1" applyProtection="1">
      <alignment horizontal="right"/>
    </xf>
    <xf numFmtId="3" fontId="15" fillId="3" borderId="27" xfId="0" applyNumberFormat="1" applyFont="1" applyFill="1" applyBorder="1" applyAlignment="1" applyProtection="1">
      <alignment horizontal="right"/>
    </xf>
    <xf numFmtId="3" fontId="15" fillId="3" borderId="54" xfId="0" applyNumberFormat="1" applyFont="1" applyFill="1" applyBorder="1" applyAlignment="1" applyProtection="1">
      <alignment horizontal="right"/>
      <protection locked="0"/>
    </xf>
    <xf numFmtId="3" fontId="15" fillId="0" borderId="0" xfId="0" applyNumberFormat="1" applyFont="1" applyFill="1" applyBorder="1" applyAlignment="1" applyProtection="1"/>
    <xf numFmtId="3" fontId="15" fillId="4" borderId="80" xfId="0" applyNumberFormat="1" applyFont="1" applyFill="1" applyBorder="1" applyAlignment="1" applyProtection="1">
      <alignment horizontal="right"/>
    </xf>
    <xf numFmtId="3" fontId="15" fillId="4" borderId="62" xfId="0" applyNumberFormat="1" applyFont="1" applyFill="1" applyBorder="1" applyAlignment="1" applyProtection="1">
      <alignment horizontal="right"/>
    </xf>
    <xf numFmtId="3" fontId="15" fillId="0" borderId="34" xfId="0" applyNumberFormat="1" applyFont="1" applyFill="1" applyBorder="1" applyAlignment="1" applyProtection="1"/>
    <xf numFmtId="3" fontId="15" fillId="3" borderId="60" xfId="0" applyNumberFormat="1" applyFont="1" applyFill="1" applyBorder="1" applyAlignment="1" applyProtection="1">
      <alignment horizontal="right"/>
    </xf>
    <xf numFmtId="3" fontId="15" fillId="3" borderId="34" xfId="0" applyNumberFormat="1" applyFont="1" applyFill="1" applyBorder="1" applyAlignment="1" applyProtection="1"/>
    <xf numFmtId="3" fontId="15" fillId="0" borderId="61" xfId="0" applyNumberFormat="1" applyFont="1" applyFill="1" applyBorder="1" applyAlignment="1" applyProtection="1">
      <alignment horizontal="center"/>
    </xf>
    <xf numFmtId="3" fontId="15" fillId="0" borderId="32" xfId="0" applyNumberFormat="1" applyFont="1" applyFill="1" applyBorder="1" applyAlignment="1" applyProtection="1"/>
    <xf numFmtId="3" fontId="15" fillId="0" borderId="47" xfId="0" applyNumberFormat="1" applyFont="1" applyFill="1" applyBorder="1" applyAlignment="1" applyProtection="1"/>
    <xf numFmtId="3" fontId="15" fillId="3" borderId="32" xfId="0" applyNumberFormat="1" applyFont="1" applyFill="1" applyBorder="1" applyAlignment="1" applyProtection="1"/>
    <xf numFmtId="3" fontId="15" fillId="3" borderId="0" xfId="0" applyNumberFormat="1" applyFont="1" applyFill="1" applyBorder="1" applyAlignment="1" applyProtection="1"/>
    <xf numFmtId="3" fontId="52" fillId="0" borderId="47" xfId="0" applyNumberFormat="1" applyFont="1" applyFill="1" applyBorder="1" applyAlignment="1" applyProtection="1">
      <alignment horizontal="center" wrapText="1"/>
    </xf>
    <xf numFmtId="0" fontId="15" fillId="3" borderId="0" xfId="0" applyFont="1" applyFill="1" applyAlignment="1" applyProtection="1">
      <alignment horizontal="center" vertical="center"/>
    </xf>
    <xf numFmtId="0" fontId="0" fillId="3" borderId="0" xfId="0" applyFill="1" applyAlignment="1" applyProtection="1">
      <alignment horizontal="center"/>
    </xf>
    <xf numFmtId="0" fontId="17" fillId="0" borderId="76" xfId="0" applyFont="1" applyFill="1" applyBorder="1" applyAlignment="1" applyProtection="1">
      <alignment horizontal="left"/>
    </xf>
    <xf numFmtId="0" fontId="17" fillId="0" borderId="81" xfId="0" applyFont="1" applyFill="1" applyBorder="1" applyAlignment="1" applyProtection="1">
      <alignment horizontal="left"/>
    </xf>
    <xf numFmtId="0" fontId="17" fillId="0" borderId="82" xfId="0" applyFont="1" applyFill="1" applyBorder="1" applyAlignment="1" applyProtection="1">
      <alignment horizontal="left"/>
    </xf>
    <xf numFmtId="0" fontId="17" fillId="0" borderId="8" xfId="0" applyFont="1" applyFill="1" applyBorder="1" applyAlignment="1" applyProtection="1">
      <alignment horizontal="left"/>
    </xf>
    <xf numFmtId="0" fontId="44" fillId="3" borderId="0" xfId="0" applyFont="1" applyFill="1" applyBorder="1" applyAlignment="1" applyProtection="1">
      <alignment horizontal="left"/>
    </xf>
    <xf numFmtId="0" fontId="23" fillId="5" borderId="13" xfId="0" applyFont="1" applyFill="1" applyBorder="1" applyAlignment="1" applyProtection="1">
      <alignment horizontal="center" vertical="center" wrapText="1"/>
    </xf>
    <xf numFmtId="0" fontId="15" fillId="3" borderId="83" xfId="0" applyFont="1" applyFill="1" applyBorder="1" applyAlignment="1" applyProtection="1">
      <alignment horizontal="center" vertical="center"/>
    </xf>
    <xf numFmtId="0" fontId="13" fillId="4" borderId="13" xfId="6" applyFont="1" applyFill="1" applyBorder="1" applyAlignment="1" applyProtection="1">
      <alignment vertical="center"/>
    </xf>
    <xf numFmtId="0" fontId="13" fillId="4" borderId="13" xfId="6" applyFont="1" applyFill="1" applyBorder="1" applyAlignment="1" applyProtection="1">
      <alignment vertical="center" wrapText="1"/>
    </xf>
    <xf numFmtId="3" fontId="9" fillId="3" borderId="0" xfId="0" applyNumberFormat="1" applyFont="1" applyFill="1" applyBorder="1" applyAlignment="1" applyProtection="1"/>
    <xf numFmtId="0" fontId="43" fillId="0" borderId="0" xfId="0" applyFont="1" applyFill="1" applyBorder="1" applyAlignment="1" applyProtection="1">
      <alignment horizontal="left" vertical="center"/>
    </xf>
    <xf numFmtId="0" fontId="43" fillId="0" borderId="0" xfId="0" applyFont="1" applyFill="1" applyBorder="1" applyAlignment="1" applyProtection="1">
      <alignment horizontal="left" vertical="top"/>
    </xf>
    <xf numFmtId="0" fontId="11" fillId="3" borderId="0" xfId="0" applyFont="1" applyFill="1" applyBorder="1" applyAlignment="1" applyProtection="1">
      <alignment vertical="center"/>
    </xf>
    <xf numFmtId="0" fontId="15" fillId="0" borderId="41" xfId="0" applyFont="1" applyBorder="1" applyAlignment="1" applyProtection="1">
      <alignment horizontal="center" vertical="center"/>
    </xf>
    <xf numFmtId="0" fontId="15" fillId="0" borderId="32" xfId="0" applyFont="1" applyBorder="1" applyAlignment="1" applyProtection="1">
      <alignment horizontal="center" vertical="center"/>
    </xf>
    <xf numFmtId="0" fontId="15" fillId="0" borderId="0" xfId="0" applyFont="1" applyAlignment="1" applyProtection="1">
      <alignment horizontal="center" vertical="center"/>
    </xf>
    <xf numFmtId="3" fontId="12" fillId="0" borderId="1" xfId="0" applyNumberFormat="1" applyFont="1" applyFill="1" applyBorder="1" applyAlignment="1" applyProtection="1">
      <alignment horizontal="center" vertical="center"/>
      <protection locked="0"/>
    </xf>
    <xf numFmtId="3" fontId="12" fillId="0" borderId="84" xfId="0" applyNumberFormat="1" applyFont="1" applyFill="1" applyBorder="1" applyAlignment="1" applyProtection="1">
      <alignment horizontal="center" vertical="center"/>
      <protection locked="0"/>
    </xf>
    <xf numFmtId="0" fontId="12" fillId="3" borderId="0" xfId="0" applyFont="1" applyFill="1" applyBorder="1" applyAlignment="1" applyProtection="1">
      <alignment horizontal="left" vertical="center"/>
    </xf>
    <xf numFmtId="0" fontId="15" fillId="3" borderId="0" xfId="0" applyFont="1" applyFill="1" applyBorder="1" applyAlignment="1" applyProtection="1">
      <alignment horizontal="left" vertical="center"/>
    </xf>
    <xf numFmtId="0" fontId="12" fillId="3" borderId="0" xfId="0" applyFont="1" applyFill="1" applyBorder="1" applyAlignment="1" applyProtection="1">
      <alignment vertical="center" wrapText="1"/>
    </xf>
    <xf numFmtId="0" fontId="12" fillId="3" borderId="68" xfId="0" applyFont="1" applyFill="1" applyBorder="1" applyAlignment="1" applyProtection="1">
      <alignment vertical="center" wrapText="1"/>
    </xf>
    <xf numFmtId="3" fontId="15" fillId="4" borderId="1" xfId="0" applyNumberFormat="1" applyFont="1" applyFill="1" applyBorder="1" applyAlignment="1" applyProtection="1">
      <alignment horizontal="center" vertical="center"/>
    </xf>
    <xf numFmtId="0" fontId="6" fillId="0" borderId="34" xfId="0" applyFont="1" applyFill="1" applyBorder="1" applyAlignment="1" applyProtection="1">
      <alignment horizontal="left" vertical="top"/>
    </xf>
    <xf numFmtId="0" fontId="15" fillId="0" borderId="10" xfId="0" applyFont="1" applyFill="1" applyBorder="1" applyAlignment="1" applyProtection="1">
      <alignment horizontal="left" vertical="center"/>
    </xf>
    <xf numFmtId="4" fontId="15" fillId="0" borderId="10" xfId="0" applyNumberFormat="1" applyFont="1" applyFill="1" applyBorder="1" applyAlignment="1" applyProtection="1">
      <alignment horizontal="right" vertical="center"/>
    </xf>
    <xf numFmtId="168" fontId="15" fillId="0" borderId="10" xfId="0" applyNumberFormat="1" applyFont="1" applyFill="1" applyBorder="1" applyAlignment="1" applyProtection="1">
      <alignment horizontal="right" vertical="center"/>
    </xf>
    <xf numFmtId="3" fontId="13" fillId="4" borderId="1" xfId="0" applyNumberFormat="1" applyFont="1" applyFill="1" applyBorder="1" applyAlignment="1" applyProtection="1">
      <alignment horizontal="center" vertical="center"/>
    </xf>
    <xf numFmtId="3" fontId="15" fillId="4" borderId="13" xfId="0" applyNumberFormat="1" applyFont="1" applyFill="1" applyBorder="1" applyAlignment="1" applyProtection="1">
      <alignment horizontal="center" vertical="center"/>
    </xf>
    <xf numFmtId="3" fontId="12" fillId="4" borderId="84" xfId="0" applyNumberFormat="1" applyFont="1" applyFill="1" applyBorder="1" applyAlignment="1" applyProtection="1">
      <alignment horizontal="center" vertical="center"/>
    </xf>
    <xf numFmtId="3" fontId="12" fillId="4" borderId="1" xfId="0" applyNumberFormat="1" applyFont="1" applyFill="1" applyBorder="1" applyAlignment="1" applyProtection="1">
      <alignment horizontal="center" vertical="center"/>
    </xf>
    <xf numFmtId="0" fontId="13" fillId="4" borderId="49" xfId="0" applyNumberFormat="1" applyFont="1" applyFill="1" applyBorder="1" applyAlignment="1" applyProtection="1">
      <alignment vertical="center"/>
    </xf>
    <xf numFmtId="0" fontId="13" fillId="4" borderId="86" xfId="0" applyNumberFormat="1" applyFont="1" applyFill="1" applyBorder="1" applyAlignment="1" applyProtection="1">
      <alignment vertical="center"/>
    </xf>
    <xf numFmtId="49" fontId="13" fillId="4" borderId="49" xfId="0" applyNumberFormat="1" applyFont="1" applyFill="1" applyBorder="1" applyAlignment="1" applyProtection="1">
      <alignment vertical="center"/>
    </xf>
    <xf numFmtId="0" fontId="0" fillId="7" borderId="0" xfId="0" applyFill="1" applyProtection="1"/>
    <xf numFmtId="0" fontId="21" fillId="0" borderId="0" xfId="0" applyFont="1" applyAlignment="1" applyProtection="1">
      <alignment horizontal="left" vertical="center" wrapText="1"/>
    </xf>
    <xf numFmtId="0" fontId="11" fillId="2" borderId="11" xfId="0" applyFont="1" applyFill="1" applyBorder="1" applyAlignment="1" applyProtection="1">
      <alignment horizontal="left" vertical="center"/>
    </xf>
    <xf numFmtId="0" fontId="11" fillId="2" borderId="76" xfId="0" applyFont="1" applyFill="1" applyBorder="1" applyAlignment="1" applyProtection="1">
      <alignment horizontal="left" vertical="center"/>
    </xf>
    <xf numFmtId="0" fontId="15" fillId="4" borderId="87" xfId="0" applyFont="1" applyFill="1" applyBorder="1" applyAlignment="1" applyProtection="1">
      <alignment horizontal="left" vertical="center" indent="1"/>
    </xf>
    <xf numFmtId="0" fontId="15" fillId="4" borderId="88" xfId="0" applyFont="1" applyFill="1" applyBorder="1" applyAlignment="1" applyProtection="1">
      <alignment horizontal="left" vertical="center" indent="1"/>
    </xf>
    <xf numFmtId="0" fontId="11" fillId="2" borderId="49" xfId="0" applyFont="1" applyFill="1" applyBorder="1" applyAlignment="1" applyProtection="1">
      <alignment horizontal="left" vertical="center"/>
    </xf>
    <xf numFmtId="0" fontId="13" fillId="4" borderId="89" xfId="0" applyFont="1" applyFill="1" applyBorder="1" applyAlignment="1" applyProtection="1">
      <alignment horizontal="left" vertical="center" indent="1"/>
    </xf>
    <xf numFmtId="0" fontId="13" fillId="4" borderId="8" xfId="0" applyFont="1" applyFill="1" applyBorder="1" applyAlignment="1" applyProtection="1">
      <alignment horizontal="left" vertical="center" indent="1"/>
    </xf>
    <xf numFmtId="0" fontId="13" fillId="4" borderId="90" xfId="0" applyFont="1" applyFill="1" applyBorder="1" applyAlignment="1" applyProtection="1">
      <alignment horizontal="left" vertical="center" indent="1"/>
    </xf>
    <xf numFmtId="0" fontId="13" fillId="5" borderId="3" xfId="0" applyFont="1" applyFill="1" applyBorder="1" applyAlignment="1" applyProtection="1">
      <alignment horizontal="center" vertical="center" wrapText="1"/>
    </xf>
    <xf numFmtId="0" fontId="11" fillId="0" borderId="45" xfId="0" applyFont="1" applyFill="1" applyBorder="1" applyAlignment="1" applyProtection="1">
      <alignment horizontal="center"/>
    </xf>
    <xf numFmtId="0" fontId="12" fillId="0" borderId="34" xfId="0" applyFont="1" applyFill="1" applyBorder="1" applyAlignment="1" applyProtection="1">
      <alignment horizontal="center" vertical="center"/>
    </xf>
    <xf numFmtId="0" fontId="17" fillId="2" borderId="0" xfId="0" applyFont="1" applyFill="1" applyBorder="1" applyAlignment="1" applyProtection="1">
      <alignment horizontal="left"/>
    </xf>
    <xf numFmtId="0" fontId="15" fillId="4" borderId="13" xfId="0" applyFont="1" applyFill="1" applyBorder="1" applyAlignment="1" applyProtection="1">
      <alignment horizontal="left" vertical="center" indent="1"/>
    </xf>
    <xf numFmtId="167" fontId="15" fillId="4" borderId="4" xfId="0" applyNumberFormat="1" applyFont="1" applyFill="1" applyBorder="1" applyAlignment="1" applyProtection="1">
      <alignment horizontal="left" indent="1"/>
    </xf>
    <xf numFmtId="0" fontId="15" fillId="4" borderId="4" xfId="0" applyFont="1" applyFill="1" applyBorder="1" applyAlignment="1" applyProtection="1">
      <alignment horizontal="left" indent="1"/>
    </xf>
    <xf numFmtId="0" fontId="11" fillId="2" borderId="13" xfId="0" applyFont="1" applyFill="1" applyBorder="1" applyAlignment="1" applyProtection="1">
      <alignment horizontal="left" vertical="center"/>
    </xf>
    <xf numFmtId="0" fontId="11" fillId="2" borderId="16" xfId="0" applyFont="1" applyFill="1" applyBorder="1" applyAlignment="1" applyProtection="1">
      <alignment horizontal="left" vertical="center"/>
    </xf>
    <xf numFmtId="0" fontId="8" fillId="3" borderId="0" xfId="0" applyFont="1" applyFill="1" applyAlignment="1" applyProtection="1"/>
    <xf numFmtId="0" fontId="11" fillId="2" borderId="0" xfId="0" applyFont="1" applyFill="1" applyBorder="1" applyAlignment="1" applyProtection="1">
      <alignment horizontal="left" vertical="center"/>
    </xf>
    <xf numFmtId="0" fontId="11" fillId="2" borderId="11" xfId="0" applyFont="1" applyFill="1" applyBorder="1" applyAlignment="1" applyProtection="1">
      <alignment vertical="center"/>
    </xf>
    <xf numFmtId="0" fontId="23" fillId="3" borderId="3" xfId="0" applyFont="1" applyFill="1" applyBorder="1" applyAlignment="1" applyProtection="1">
      <alignment horizontal="center" vertical="center" wrapText="1"/>
    </xf>
    <xf numFmtId="0" fontId="11" fillId="0" borderId="34" xfId="0" applyFont="1" applyFill="1" applyBorder="1" applyAlignment="1" applyProtection="1">
      <alignment horizontal="center"/>
    </xf>
    <xf numFmtId="0" fontId="12" fillId="3" borderId="0" xfId="0" applyFont="1" applyFill="1" applyAlignment="1" applyProtection="1">
      <alignment horizontal="left" wrapText="1" indent="1"/>
    </xf>
    <xf numFmtId="0" fontId="18" fillId="3" borderId="0" xfId="0" applyFont="1" applyFill="1" applyBorder="1" applyAlignment="1" applyProtection="1">
      <alignment horizontal="left" wrapText="1"/>
    </xf>
    <xf numFmtId="0" fontId="13" fillId="3" borderId="54" xfId="0" applyFont="1" applyFill="1" applyBorder="1" applyAlignment="1" applyProtection="1">
      <alignment horizontal="center"/>
      <protection locked="0"/>
    </xf>
    <xf numFmtId="167" fontId="15" fillId="4" borderId="16" xfId="0" applyNumberFormat="1" applyFont="1" applyFill="1" applyBorder="1" applyAlignment="1" applyProtection="1">
      <alignment horizontal="left" vertical="center" indent="1"/>
    </xf>
    <xf numFmtId="167" fontId="15" fillId="4" borderId="70" xfId="0" applyNumberFormat="1" applyFont="1" applyFill="1" applyBorder="1" applyAlignment="1" applyProtection="1">
      <alignment horizontal="left" vertical="center" indent="1"/>
    </xf>
    <xf numFmtId="0" fontId="15" fillId="4" borderId="89" xfId="0" applyFont="1" applyFill="1" applyBorder="1" applyAlignment="1" applyProtection="1">
      <alignment horizontal="left" vertical="center" indent="1"/>
    </xf>
    <xf numFmtId="0" fontId="49" fillId="0" borderId="0" xfId="0" applyFont="1" applyFill="1" applyBorder="1" applyAlignment="1" applyProtection="1">
      <alignment horizontal="left" wrapText="1"/>
    </xf>
    <xf numFmtId="0" fontId="23" fillId="3" borderId="0" xfId="0" applyFont="1" applyFill="1" applyProtection="1"/>
    <xf numFmtId="0" fontId="4" fillId="3" borderId="0" xfId="0" applyFont="1" applyFill="1" applyAlignment="1" applyProtection="1">
      <alignment horizontal="left" wrapText="1"/>
    </xf>
    <xf numFmtId="0" fontId="5" fillId="3" borderId="0" xfId="0" applyFont="1" applyFill="1" applyProtection="1"/>
    <xf numFmtId="0" fontId="8" fillId="0" borderId="0" xfId="0" applyFont="1" applyFill="1" applyAlignment="1" applyProtection="1">
      <alignment vertical="center"/>
    </xf>
    <xf numFmtId="0" fontId="0" fillId="0" borderId="0" xfId="0" applyFill="1" applyBorder="1" applyAlignment="1" applyProtection="1">
      <alignment vertical="center"/>
    </xf>
    <xf numFmtId="0" fontId="12" fillId="0" borderId="0" xfId="0" applyFont="1" applyAlignment="1" applyProtection="1">
      <alignment horizontal="center" vertical="center"/>
    </xf>
    <xf numFmtId="0" fontId="12" fillId="0" borderId="0" xfId="0" applyFont="1" applyAlignment="1" applyProtection="1">
      <alignment horizontal="left" vertical="center" indent="1"/>
    </xf>
    <xf numFmtId="0" fontId="12" fillId="0" borderId="0" xfId="0" applyNumberFormat="1" applyFont="1" applyAlignment="1" applyProtection="1">
      <alignment horizontal="center" vertical="center"/>
    </xf>
    <xf numFmtId="3" fontId="12" fillId="0" borderId="0" xfId="0" applyNumberFormat="1" applyFont="1" applyAlignment="1" applyProtection="1">
      <alignment horizontal="center" vertical="center"/>
    </xf>
    <xf numFmtId="0" fontId="12" fillId="0" borderId="0" xfId="0" applyFont="1" applyBorder="1" applyAlignment="1" applyProtection="1">
      <alignment vertical="center"/>
    </xf>
    <xf numFmtId="0" fontId="0" fillId="0" borderId="0" xfId="0" applyAlignment="1" applyProtection="1">
      <alignment horizontal="center" vertical="center"/>
    </xf>
    <xf numFmtId="0" fontId="0" fillId="0" borderId="49" xfId="0" applyBorder="1" applyProtection="1"/>
    <xf numFmtId="0" fontId="0" fillId="0" borderId="0" xfId="0" applyAlignment="1" applyProtection="1"/>
    <xf numFmtId="0" fontId="15" fillId="0" borderId="0" xfId="0" applyFont="1" applyFill="1" applyBorder="1" applyAlignment="1" applyProtection="1">
      <alignment horizontal="left" vertical="center" wrapText="1" indent="1"/>
    </xf>
    <xf numFmtId="0" fontId="0" fillId="0" borderId="0" xfId="0" applyFill="1" applyBorder="1" applyAlignment="1" applyProtection="1">
      <alignment horizontal="left" vertical="center" wrapText="1" indent="1"/>
    </xf>
    <xf numFmtId="166" fontId="2" fillId="3" borderId="0" xfId="1" applyNumberFormat="1" applyFill="1" applyProtection="1"/>
    <xf numFmtId="171" fontId="13" fillId="0" borderId="1" xfId="0" applyNumberFormat="1" applyFont="1" applyFill="1" applyBorder="1" applyAlignment="1" applyProtection="1">
      <alignment horizontal="center" vertical="center" wrapText="1"/>
      <protection locked="0"/>
    </xf>
    <xf numFmtId="171" fontId="13" fillId="0" borderId="84" xfId="0" applyNumberFormat="1" applyFont="1" applyFill="1" applyBorder="1" applyAlignment="1" applyProtection="1">
      <alignment horizontal="center" vertical="center" wrapText="1"/>
      <protection locked="0"/>
    </xf>
    <xf numFmtId="0" fontId="2" fillId="0" borderId="0" xfId="0" applyFont="1" applyFill="1" applyAlignment="1" applyProtection="1">
      <alignment vertical="center"/>
    </xf>
    <xf numFmtId="0" fontId="15" fillId="0" borderId="10" xfId="0" applyFont="1" applyFill="1" applyBorder="1" applyAlignment="1" applyProtection="1">
      <alignment horizontal="left" vertical="center" indent="1"/>
    </xf>
    <xf numFmtId="0" fontId="35" fillId="0" borderId="0" xfId="0" applyFont="1" applyFill="1" applyBorder="1" applyAlignment="1" applyProtection="1">
      <alignment horizontal="right" vertical="center"/>
    </xf>
    <xf numFmtId="0" fontId="35" fillId="0" borderId="0" xfId="0" applyFont="1" applyProtection="1"/>
    <xf numFmtId="166" fontId="35" fillId="0" borderId="0" xfId="1" applyNumberFormat="1" applyFont="1" applyProtection="1"/>
    <xf numFmtId="168" fontId="13" fillId="6" borderId="4" xfId="0" applyNumberFormat="1" applyFont="1" applyFill="1" applyBorder="1" applyAlignment="1" applyProtection="1">
      <alignment horizontal="left" vertical="top" wrapText="1"/>
    </xf>
    <xf numFmtId="4" fontId="12" fillId="3" borderId="49" xfId="0" applyNumberFormat="1" applyFont="1" applyFill="1" applyBorder="1" applyAlignment="1" applyProtection="1">
      <alignment horizontal="right" vertical="center"/>
    </xf>
    <xf numFmtId="0" fontId="13" fillId="0" borderId="69" xfId="0" applyFont="1" applyFill="1" applyBorder="1" applyAlignment="1" applyProtection="1">
      <alignment horizontal="center" vertical="center"/>
    </xf>
    <xf numFmtId="0" fontId="0" fillId="0" borderId="0" xfId="0" applyFill="1" applyAlignment="1" applyProtection="1">
      <alignment vertical="center" wrapText="1"/>
    </xf>
    <xf numFmtId="0" fontId="0" fillId="0" borderId="0" xfId="0" applyFill="1" applyBorder="1" applyAlignment="1" applyProtection="1">
      <alignment vertical="center" wrapText="1"/>
    </xf>
    <xf numFmtId="0" fontId="13" fillId="3" borderId="0" xfId="0" applyFont="1" applyFill="1" applyBorder="1" applyAlignment="1" applyProtection="1">
      <alignment horizontal="center" vertical="center"/>
    </xf>
    <xf numFmtId="0" fontId="12" fillId="0" borderId="0" xfId="0" applyFont="1" applyBorder="1" applyProtection="1"/>
    <xf numFmtId="0" fontId="0" fillId="0" borderId="32" xfId="0" applyBorder="1" applyProtection="1"/>
    <xf numFmtId="0" fontId="2" fillId="3" borderId="34" xfId="0" applyFont="1" applyFill="1" applyBorder="1" applyProtection="1"/>
    <xf numFmtId="0" fontId="0" fillId="0" borderId="33" xfId="0" applyBorder="1" applyProtection="1"/>
    <xf numFmtId="0" fontId="0" fillId="0" borderId="47" xfId="0" applyBorder="1" applyProtection="1"/>
    <xf numFmtId="2" fontId="12" fillId="0" borderId="0" xfId="0" applyNumberFormat="1" applyFont="1" applyBorder="1" applyAlignment="1" applyProtection="1"/>
    <xf numFmtId="0" fontId="0" fillId="0" borderId="51" xfId="0" applyBorder="1" applyProtection="1"/>
    <xf numFmtId="0" fontId="12" fillId="3" borderId="0" xfId="0" applyFont="1" applyFill="1" applyBorder="1" applyAlignment="1" applyProtection="1">
      <alignment horizontal="left" vertical="center" wrapText="1" indent="1"/>
    </xf>
    <xf numFmtId="0" fontId="9" fillId="4" borderId="13" xfId="6" applyFont="1" applyFill="1" applyBorder="1" applyAlignment="1" applyProtection="1">
      <alignment vertical="center"/>
    </xf>
    <xf numFmtId="0" fontId="12" fillId="0" borderId="0" xfId="6" applyFont="1" applyProtection="1"/>
    <xf numFmtId="0" fontId="13" fillId="4" borderId="91" xfId="6" applyFont="1" applyFill="1" applyBorder="1" applyAlignment="1" applyProtection="1"/>
    <xf numFmtId="0" fontId="13" fillId="4" borderId="89" xfId="6" applyFont="1" applyFill="1" applyBorder="1" applyAlignment="1" applyProtection="1"/>
    <xf numFmtId="0" fontId="13" fillId="0" borderId="92" xfId="6" applyFont="1" applyBorder="1" applyAlignment="1" applyProtection="1">
      <alignment vertical="center"/>
    </xf>
    <xf numFmtId="0" fontId="13" fillId="0" borderId="93" xfId="6" applyFont="1" applyBorder="1" applyAlignment="1" applyProtection="1">
      <alignment vertical="center"/>
    </xf>
    <xf numFmtId="0" fontId="47" fillId="3" borderId="0" xfId="0" applyFont="1" applyFill="1" applyAlignment="1" applyProtection="1">
      <alignment horizontal="center"/>
    </xf>
    <xf numFmtId="0" fontId="13" fillId="5" borderId="1" xfId="0" applyFont="1" applyFill="1" applyBorder="1" applyAlignment="1" applyProtection="1">
      <alignment horizontal="center" vertical="top"/>
    </xf>
    <xf numFmtId="0" fontId="13" fillId="8" borderId="6" xfId="0" applyFont="1" applyFill="1" applyBorder="1" applyAlignment="1" applyProtection="1">
      <alignment horizontal="center" vertical="top" wrapText="1"/>
    </xf>
    <xf numFmtId="0" fontId="13" fillId="5" borderId="6" xfId="0" applyFont="1" applyFill="1" applyBorder="1" applyAlignment="1" applyProtection="1">
      <alignment horizontal="center" vertical="top" wrapText="1"/>
    </xf>
    <xf numFmtId="0" fontId="13" fillId="5" borderId="1" xfId="0" applyFont="1" applyFill="1" applyBorder="1" applyAlignment="1" applyProtection="1">
      <alignment horizontal="center" vertical="top" wrapText="1"/>
    </xf>
    <xf numFmtId="0" fontId="13" fillId="8" borderId="1" xfId="0" applyFont="1" applyFill="1" applyBorder="1" applyAlignment="1" applyProtection="1">
      <alignment horizontal="center" vertical="top" wrapText="1"/>
    </xf>
    <xf numFmtId="0" fontId="0" fillId="3" borderId="0" xfId="0" applyFill="1" applyAlignment="1" applyProtection="1">
      <alignment vertical="top"/>
    </xf>
    <xf numFmtId="0" fontId="15" fillId="3" borderId="0" xfId="0" applyFont="1" applyFill="1" applyBorder="1" applyProtection="1"/>
    <xf numFmtId="0" fontId="15" fillId="9" borderId="0" xfId="0" applyFont="1" applyFill="1" applyBorder="1" applyProtection="1"/>
    <xf numFmtId="0" fontId="48" fillId="3" borderId="0" xfId="0" applyFont="1" applyFill="1" applyBorder="1" applyProtection="1"/>
    <xf numFmtId="0" fontId="12" fillId="3" borderId="0" xfId="0" applyFont="1" applyFill="1" applyAlignment="1" applyProtection="1">
      <alignment horizontal="center"/>
    </xf>
    <xf numFmtId="0" fontId="53" fillId="3" borderId="0" xfId="0" applyFont="1" applyFill="1" applyProtection="1"/>
    <xf numFmtId="0" fontId="1" fillId="3" borderId="0" xfId="0" applyFont="1" applyFill="1" applyProtection="1"/>
    <xf numFmtId="0" fontId="1" fillId="0" borderId="0" xfId="0" applyFont="1" applyProtection="1"/>
    <xf numFmtId="0" fontId="58" fillId="3" borderId="0" xfId="0" applyFont="1" applyFill="1" applyProtection="1"/>
    <xf numFmtId="0" fontId="54" fillId="5" borderId="69" xfId="0" applyFont="1" applyFill="1" applyBorder="1" applyAlignment="1" applyProtection="1">
      <alignment horizontal="center" wrapText="1"/>
    </xf>
    <xf numFmtId="0" fontId="56" fillId="5" borderId="69" xfId="0" applyFont="1" applyFill="1" applyBorder="1" applyAlignment="1" applyProtection="1">
      <alignment horizontal="center" wrapText="1"/>
    </xf>
    <xf numFmtId="0" fontId="57" fillId="0" borderId="92" xfId="0" applyFont="1" applyBorder="1" applyAlignment="1" applyProtection="1">
      <alignment wrapText="1"/>
    </xf>
    <xf numFmtId="0" fontId="57" fillId="0" borderId="1" xfId="0" applyFont="1" applyBorder="1" applyAlignment="1" applyProtection="1">
      <alignment horizontal="center" wrapText="1"/>
    </xf>
    <xf numFmtId="0" fontId="57" fillId="0" borderId="1" xfId="0" applyFont="1" applyBorder="1" applyAlignment="1" applyProtection="1">
      <alignment wrapText="1"/>
    </xf>
    <xf numFmtId="0" fontId="57" fillId="0" borderId="4" xfId="0" applyFont="1" applyBorder="1" applyAlignment="1" applyProtection="1">
      <alignment wrapText="1"/>
    </xf>
    <xf numFmtId="0" fontId="57" fillId="3" borderId="0" xfId="0" applyFont="1" applyFill="1" applyBorder="1" applyAlignment="1" applyProtection="1">
      <alignment wrapText="1"/>
    </xf>
    <xf numFmtId="0" fontId="57" fillId="0" borderId="94" xfId="0" applyFont="1" applyBorder="1" applyProtection="1"/>
    <xf numFmtId="0" fontId="57" fillId="0" borderId="4" xfId="0" applyFont="1" applyBorder="1" applyProtection="1"/>
    <xf numFmtId="0" fontId="54" fillId="0" borderId="1" xfId="0" applyFont="1" applyFill="1" applyBorder="1" applyAlignment="1" applyProtection="1">
      <alignment horizontal="center" wrapText="1"/>
    </xf>
    <xf numFmtId="0" fontId="54" fillId="0" borderId="4" xfId="0" applyFont="1" applyFill="1" applyBorder="1" applyAlignment="1" applyProtection="1">
      <alignment horizontal="center" wrapText="1"/>
    </xf>
    <xf numFmtId="0" fontId="57" fillId="0" borderId="93" xfId="0" applyFont="1" applyBorder="1" applyProtection="1"/>
    <xf numFmtId="0" fontId="57" fillId="0" borderId="84" xfId="0" applyFont="1" applyBorder="1" applyAlignment="1" applyProtection="1">
      <alignment wrapText="1"/>
    </xf>
    <xf numFmtId="0" fontId="57" fillId="0" borderId="95" xfId="0" applyFont="1" applyBorder="1" applyAlignment="1" applyProtection="1">
      <alignment wrapText="1"/>
    </xf>
    <xf numFmtId="0" fontId="1" fillId="3" borderId="0" xfId="0" applyFont="1" applyFill="1" applyAlignment="1" applyProtection="1">
      <alignment wrapText="1"/>
    </xf>
    <xf numFmtId="0" fontId="1" fillId="0" borderId="0" xfId="0" applyFont="1" applyAlignment="1" applyProtection="1">
      <alignment wrapText="1"/>
    </xf>
    <xf numFmtId="166" fontId="2" fillId="3" borderId="0" xfId="1" applyNumberFormat="1" applyFill="1" applyAlignment="1" applyProtection="1">
      <alignment vertical="center"/>
    </xf>
    <xf numFmtId="0" fontId="12" fillId="4" borderId="91" xfId="0" applyFont="1" applyFill="1" applyBorder="1" applyAlignment="1" applyProtection="1">
      <alignment horizontal="left" vertical="center" wrapText="1" indent="1"/>
    </xf>
    <xf numFmtId="0" fontId="12" fillId="4" borderId="3" xfId="0" applyFont="1" applyFill="1" applyBorder="1" applyAlignment="1" applyProtection="1">
      <alignment horizontal="left" vertical="center" wrapText="1" indent="1"/>
    </xf>
    <xf numFmtId="0" fontId="12" fillId="4" borderId="92" xfId="0" applyFont="1" applyFill="1" applyBorder="1" applyAlignment="1" applyProtection="1">
      <alignment horizontal="left" vertical="center" wrapText="1" indent="1"/>
    </xf>
    <xf numFmtId="0" fontId="12" fillId="4" borderId="1" xfId="0" applyFont="1" applyFill="1" applyBorder="1" applyAlignment="1" applyProtection="1">
      <alignment horizontal="left" vertical="center" wrapText="1" indent="1"/>
    </xf>
    <xf numFmtId="0" fontId="0" fillId="3" borderId="0" xfId="0" applyFill="1" applyAlignment="1" applyProtection="1">
      <alignment horizontal="center" vertical="center"/>
    </xf>
    <xf numFmtId="0" fontId="0" fillId="0" borderId="0" xfId="0" applyFill="1" applyAlignment="1" applyProtection="1"/>
    <xf numFmtId="0" fontId="12" fillId="3" borderId="34" xfId="0" applyFont="1" applyFill="1" applyBorder="1" applyProtection="1"/>
    <xf numFmtId="0" fontId="13" fillId="5" borderId="76" xfId="0" applyFont="1" applyFill="1" applyBorder="1" applyAlignment="1" applyProtection="1">
      <alignment horizontal="center" vertical="center"/>
    </xf>
    <xf numFmtId="0" fontId="13" fillId="5" borderId="97" xfId="0" applyFont="1" applyFill="1" applyBorder="1" applyAlignment="1" applyProtection="1">
      <alignment horizontal="center" vertical="center"/>
    </xf>
    <xf numFmtId="0" fontId="35" fillId="0" borderId="46" xfId="0" applyFont="1" applyFill="1" applyBorder="1" applyAlignment="1" applyProtection="1">
      <alignment wrapText="1"/>
    </xf>
    <xf numFmtId="0" fontId="13" fillId="0" borderId="46" xfId="0" applyFont="1" applyFill="1" applyBorder="1" applyAlignment="1" applyProtection="1">
      <alignment horizontal="center" vertical="center"/>
    </xf>
    <xf numFmtId="0" fontId="35" fillId="0" borderId="45" xfId="0" applyFont="1" applyFill="1" applyBorder="1" applyAlignment="1" applyProtection="1">
      <alignment vertical="center" wrapText="1"/>
    </xf>
    <xf numFmtId="0" fontId="13" fillId="0" borderId="45" xfId="0" applyFont="1" applyFill="1" applyBorder="1" applyAlignment="1" applyProtection="1">
      <alignment horizontal="center" vertical="center"/>
    </xf>
    <xf numFmtId="0" fontId="13" fillId="0" borderId="45" xfId="0" applyFont="1" applyFill="1" applyBorder="1" applyAlignment="1" applyProtection="1">
      <alignment horizontal="center" vertical="center" wrapText="1"/>
    </xf>
    <xf numFmtId="0" fontId="0" fillId="0" borderId="45" xfId="0" applyFill="1" applyBorder="1" applyAlignment="1" applyProtection="1">
      <alignment horizontal="center" vertical="center" wrapText="1"/>
    </xf>
    <xf numFmtId="0" fontId="2" fillId="0" borderId="51" xfId="0" applyFont="1" applyFill="1" applyBorder="1" applyAlignment="1" applyProtection="1">
      <alignment vertical="center"/>
    </xf>
    <xf numFmtId="0" fontId="2" fillId="0" borderId="33" xfId="0" applyFont="1" applyFill="1" applyBorder="1" applyAlignment="1" applyProtection="1">
      <alignment vertical="center"/>
    </xf>
    <xf numFmtId="0" fontId="13" fillId="0" borderId="33" xfId="0" applyFont="1" applyFill="1" applyBorder="1" applyAlignment="1" applyProtection="1">
      <alignment horizontal="center" vertical="center"/>
    </xf>
    <xf numFmtId="0" fontId="2" fillId="3" borderId="0" xfId="0" applyFont="1" applyFill="1" applyBorder="1" applyAlignment="1" applyProtection="1">
      <alignment vertical="center"/>
    </xf>
    <xf numFmtId="0" fontId="23" fillId="3" borderId="0" xfId="0" applyFont="1" applyFill="1" applyBorder="1" applyAlignment="1" applyProtection="1"/>
    <xf numFmtId="0" fontId="0" fillId="0" borderId="0" xfId="0" applyAlignment="1" applyProtection="1">
      <alignment wrapText="1"/>
    </xf>
    <xf numFmtId="0" fontId="0" fillId="0" borderId="46" xfId="0" applyFill="1" applyBorder="1" applyAlignment="1" applyProtection="1">
      <alignment vertical="center" wrapText="1"/>
    </xf>
    <xf numFmtId="0" fontId="2" fillId="3" borderId="69" xfId="0" applyFont="1" applyFill="1" applyBorder="1" applyAlignment="1" applyProtection="1">
      <alignment vertical="center"/>
      <protection locked="0"/>
    </xf>
    <xf numFmtId="168" fontId="12" fillId="0" borderId="75" xfId="0" applyNumberFormat="1" applyFont="1" applyFill="1" applyBorder="1" applyAlignment="1" applyProtection="1">
      <alignment horizontal="right" vertical="center"/>
      <protection locked="0"/>
    </xf>
    <xf numFmtId="168" fontId="12" fillId="0" borderId="1" xfId="0" applyNumberFormat="1" applyFont="1" applyFill="1" applyBorder="1" applyAlignment="1" applyProtection="1">
      <alignment horizontal="right" vertical="center"/>
      <protection locked="0"/>
    </xf>
    <xf numFmtId="168" fontId="12" fillId="0" borderId="28" xfId="0" applyNumberFormat="1" applyFont="1" applyFill="1" applyBorder="1" applyAlignment="1" applyProtection="1">
      <alignment horizontal="right" vertical="center"/>
      <protection locked="0"/>
    </xf>
    <xf numFmtId="0" fontId="0" fillId="3" borderId="33" xfId="0" applyFill="1" applyBorder="1" applyProtection="1"/>
    <xf numFmtId="0" fontId="2" fillId="0" borderId="32" xfId="0" applyFont="1" applyFill="1" applyBorder="1" applyProtection="1"/>
    <xf numFmtId="0" fontId="0" fillId="0" borderId="35" xfId="0" applyBorder="1" applyProtection="1"/>
    <xf numFmtId="0" fontId="0" fillId="0" borderId="68" xfId="0" applyFill="1" applyBorder="1" applyProtection="1"/>
    <xf numFmtId="0" fontId="0" fillId="0" borderId="98" xfId="0" applyFill="1" applyBorder="1" applyProtection="1"/>
    <xf numFmtId="0" fontId="0" fillId="0" borderId="46" xfId="0" applyFill="1" applyBorder="1" applyProtection="1"/>
    <xf numFmtId="0" fontId="0" fillId="3" borderId="11" xfId="0" applyFill="1" applyBorder="1" applyAlignment="1" applyProtection="1">
      <alignment vertical="center" wrapText="1"/>
    </xf>
    <xf numFmtId="0" fontId="0" fillId="3" borderId="99" xfId="0" applyFill="1" applyBorder="1" applyAlignment="1" applyProtection="1">
      <alignment vertical="center" wrapText="1"/>
    </xf>
    <xf numFmtId="168" fontId="15" fillId="0" borderId="0" xfId="0" applyNumberFormat="1" applyFont="1" applyFill="1" applyBorder="1" applyAlignment="1" applyProtection="1">
      <alignment horizontal="right"/>
    </xf>
    <xf numFmtId="168" fontId="15" fillId="3" borderId="0" xfId="0" applyNumberFormat="1" applyFont="1" applyFill="1" applyBorder="1" applyAlignment="1" applyProtection="1">
      <alignment horizontal="right"/>
    </xf>
    <xf numFmtId="168" fontId="15" fillId="0" borderId="68" xfId="0" applyNumberFormat="1" applyFont="1" applyFill="1" applyBorder="1" applyAlignment="1" applyProtection="1">
      <alignment horizontal="right"/>
    </xf>
    <xf numFmtId="2" fontId="15" fillId="3" borderId="10" xfId="0" applyNumberFormat="1" applyFont="1" applyFill="1" applyBorder="1" applyAlignment="1" applyProtection="1"/>
    <xf numFmtId="0" fontId="12" fillId="3" borderId="46" xfId="0" applyFont="1" applyFill="1" applyBorder="1" applyAlignment="1" applyProtection="1">
      <alignment horizontal="left" vertical="center" wrapText="1" indent="1"/>
    </xf>
    <xf numFmtId="0" fontId="0" fillId="3" borderId="45" xfId="0" applyFill="1" applyBorder="1" applyProtection="1"/>
    <xf numFmtId="0" fontId="11" fillId="3" borderId="0" xfId="0" applyFont="1" applyFill="1" applyBorder="1" applyAlignment="1" applyProtection="1">
      <alignment horizontal="center"/>
    </xf>
    <xf numFmtId="4" fontId="13" fillId="0" borderId="0" xfId="0" applyNumberFormat="1" applyFont="1" applyFill="1" applyBorder="1" applyAlignment="1" applyProtection="1"/>
    <xf numFmtId="0" fontId="13" fillId="3" borderId="0" xfId="0" applyFont="1" applyFill="1" applyBorder="1" applyAlignment="1" applyProtection="1">
      <alignment horizontal="center"/>
    </xf>
    <xf numFmtId="0" fontId="40" fillId="3" borderId="0" xfId="0" applyFont="1" applyFill="1" applyProtection="1"/>
    <xf numFmtId="0" fontId="0" fillId="4" borderId="49" xfId="0" applyFill="1" applyBorder="1" applyProtection="1"/>
    <xf numFmtId="0" fontId="0" fillId="7" borderId="0" xfId="0" applyFill="1" applyAlignment="1" applyProtection="1">
      <alignment horizontal="center"/>
    </xf>
    <xf numFmtId="0" fontId="15" fillId="3" borderId="0" xfId="0" applyNumberFormat="1" applyFont="1" applyFill="1" applyBorder="1" applyAlignment="1" applyProtection="1">
      <alignment horizontal="center"/>
    </xf>
    <xf numFmtId="0" fontId="15" fillId="9" borderId="0" xfId="0" applyNumberFormat="1" applyFont="1" applyFill="1" applyBorder="1" applyAlignment="1" applyProtection="1">
      <alignment horizontal="center"/>
    </xf>
    <xf numFmtId="0" fontId="15" fillId="3" borderId="0" xfId="0" applyNumberFormat="1" applyFont="1" applyFill="1" applyBorder="1" applyProtection="1"/>
    <xf numFmtId="0" fontId="48" fillId="3" borderId="0" xfId="0" applyNumberFormat="1" applyFont="1" applyFill="1" applyBorder="1" applyProtection="1"/>
    <xf numFmtId="0" fontId="35" fillId="0" borderId="34" xfId="0" applyFont="1" applyBorder="1" applyAlignment="1" applyProtection="1"/>
    <xf numFmtId="0" fontId="12" fillId="0" borderId="34" xfId="0" applyFont="1" applyFill="1" applyBorder="1" applyAlignment="1" applyProtection="1">
      <alignment horizontal="left" vertical="center"/>
    </xf>
    <xf numFmtId="0" fontId="35" fillId="0" borderId="0" xfId="0" applyFont="1" applyFill="1" applyBorder="1" applyAlignment="1" applyProtection="1"/>
    <xf numFmtId="0" fontId="12" fillId="0" borderId="98" xfId="0" applyFont="1" applyFill="1" applyBorder="1" applyAlignment="1" applyProtection="1">
      <alignment horizontal="center"/>
    </xf>
    <xf numFmtId="0" fontId="12" fillId="0" borderId="46" xfId="0" applyFont="1" applyFill="1" applyBorder="1" applyAlignment="1" applyProtection="1"/>
    <xf numFmtId="0" fontId="12" fillId="0" borderId="65" xfId="0" applyFont="1" applyBorder="1" applyAlignment="1" applyProtection="1"/>
    <xf numFmtId="0" fontId="12" fillId="0" borderId="45" xfId="0" applyFont="1" applyBorder="1" applyAlignment="1" applyProtection="1"/>
    <xf numFmtId="0" fontId="12" fillId="0" borderId="47" xfId="0" applyFont="1" applyFill="1" applyBorder="1" applyAlignment="1" applyProtection="1">
      <alignment horizontal="right" wrapText="1"/>
    </xf>
    <xf numFmtId="0" fontId="12" fillId="3" borderId="0" xfId="0" applyFont="1" applyFill="1" applyAlignment="1" applyProtection="1">
      <alignment wrapText="1"/>
    </xf>
    <xf numFmtId="0" fontId="12" fillId="0" borderId="41" xfId="0" applyFont="1" applyBorder="1" applyAlignment="1" applyProtection="1"/>
    <xf numFmtId="0" fontId="50" fillId="3" borderId="0" xfId="0" applyFont="1" applyFill="1" applyProtection="1"/>
    <xf numFmtId="0" fontId="4" fillId="3" borderId="0" xfId="0" applyFont="1" applyFill="1" applyAlignment="1" applyProtection="1">
      <alignment horizontal="center"/>
    </xf>
    <xf numFmtId="0" fontId="23" fillId="3" borderId="0" xfId="0" applyFont="1" applyFill="1" applyAlignment="1" applyProtection="1">
      <alignment horizontal="left"/>
    </xf>
    <xf numFmtId="0" fontId="12" fillId="0" borderId="100" xfId="0" applyFont="1" applyFill="1" applyBorder="1" applyAlignment="1" applyProtection="1"/>
    <xf numFmtId="0" fontId="12" fillId="0" borderId="54" xfId="0" applyFont="1" applyFill="1" applyBorder="1" applyAlignment="1" applyProtection="1"/>
    <xf numFmtId="0" fontId="12" fillId="0" borderId="55" xfId="0" applyFont="1" applyFill="1" applyBorder="1" applyAlignment="1" applyProtection="1"/>
    <xf numFmtId="0" fontId="12" fillId="0" borderId="101" xfId="0" applyFont="1" applyFill="1" applyBorder="1" applyAlignment="1" applyProtection="1">
      <alignment horizontal="center"/>
    </xf>
    <xf numFmtId="0" fontId="12" fillId="0" borderId="55" xfId="0" applyFont="1" applyFill="1" applyBorder="1" applyAlignment="1" applyProtection="1">
      <alignment horizontal="center"/>
    </xf>
    <xf numFmtId="0" fontId="12" fillId="0" borderId="101" xfId="0" applyFont="1" applyFill="1" applyBorder="1" applyAlignment="1" applyProtection="1"/>
    <xf numFmtId="0" fontId="12" fillId="0" borderId="54" xfId="0" applyFont="1" applyBorder="1" applyAlignment="1" applyProtection="1"/>
    <xf numFmtId="0" fontId="12" fillId="0" borderId="101" xfId="0" applyFont="1" applyBorder="1" applyAlignment="1" applyProtection="1"/>
    <xf numFmtId="0" fontId="12" fillId="0" borderId="102" xfId="0" applyFont="1" applyFill="1" applyBorder="1" applyAlignment="1" applyProtection="1"/>
    <xf numFmtId="0" fontId="12" fillId="0" borderId="79" xfId="0" applyFont="1" applyFill="1" applyBorder="1" applyAlignment="1" applyProtection="1"/>
    <xf numFmtId="49" fontId="9" fillId="3" borderId="1" xfId="6" applyNumberFormat="1" applyFont="1" applyFill="1" applyBorder="1" applyAlignment="1" applyProtection="1">
      <alignment vertical="center"/>
      <protection locked="0"/>
    </xf>
    <xf numFmtId="164" fontId="13" fillId="5" borderId="84" xfId="6" applyNumberFormat="1" applyFont="1" applyFill="1" applyBorder="1" applyAlignment="1" applyProtection="1">
      <alignment vertical="center" wrapText="1"/>
    </xf>
    <xf numFmtId="0" fontId="0" fillId="0" borderId="0" xfId="0" applyProtection="1">
      <protection locked="0"/>
    </xf>
    <xf numFmtId="0" fontId="18" fillId="0" borderId="62" xfId="0" applyFont="1" applyFill="1" applyBorder="1" applyAlignment="1" applyProtection="1"/>
    <xf numFmtId="0" fontId="13" fillId="0" borderId="54" xfId="0" applyFont="1" applyFill="1" applyBorder="1" applyAlignment="1" applyProtection="1">
      <alignment vertical="center"/>
    </xf>
    <xf numFmtId="0" fontId="13" fillId="0" borderId="62" xfId="0" applyFont="1" applyFill="1" applyBorder="1" applyAlignment="1" applyProtection="1">
      <alignment vertical="center"/>
    </xf>
    <xf numFmtId="0" fontId="13" fillId="0" borderId="62" xfId="0" applyFont="1" applyFill="1" applyBorder="1" applyAlignment="1" applyProtection="1">
      <alignment horizontal="center" vertical="top"/>
    </xf>
    <xf numFmtId="0" fontId="13" fillId="0" borderId="79" xfId="0" applyFont="1" applyFill="1" applyBorder="1" applyAlignment="1" applyProtection="1">
      <alignment horizontal="center" vertical="top"/>
    </xf>
    <xf numFmtId="0" fontId="13" fillId="0" borderId="62" xfId="0" applyFont="1" applyFill="1" applyBorder="1" applyAlignment="1" applyProtection="1">
      <alignment vertical="top"/>
    </xf>
    <xf numFmtId="0" fontId="13" fillId="0" borderId="54" xfId="0" applyFont="1" applyFill="1" applyBorder="1" applyAlignment="1" applyProtection="1">
      <alignment vertical="top"/>
    </xf>
    <xf numFmtId="0" fontId="12" fillId="0" borderId="102" xfId="0" applyFont="1" applyFill="1" applyBorder="1" applyProtection="1"/>
    <xf numFmtId="0" fontId="12" fillId="0" borderId="101" xfId="0" applyFont="1" applyFill="1" applyBorder="1" applyProtection="1"/>
    <xf numFmtId="0" fontId="12" fillId="0" borderId="100" xfId="0" applyFont="1" applyFill="1" applyBorder="1" applyProtection="1"/>
    <xf numFmtId="0" fontId="12" fillId="0" borderId="79" xfId="0" applyFont="1" applyFill="1" applyBorder="1" applyProtection="1"/>
    <xf numFmtId="0" fontId="12" fillId="0" borderId="62" xfId="0" applyFont="1" applyFill="1" applyBorder="1" applyProtection="1"/>
    <xf numFmtId="0" fontId="12" fillId="0" borderId="0" xfId="0" applyFont="1" applyBorder="1" applyAlignment="1" applyProtection="1"/>
    <xf numFmtId="0" fontId="12" fillId="3" borderId="45" xfId="0" applyFont="1" applyFill="1" applyBorder="1" applyAlignment="1" applyProtection="1"/>
    <xf numFmtId="0" fontId="12" fillId="0" borderId="38" xfId="0" applyFont="1" applyBorder="1" applyAlignment="1" applyProtection="1">
      <alignment vertical="center"/>
    </xf>
    <xf numFmtId="0" fontId="12" fillId="0" borderId="53" xfId="0" applyFont="1" applyBorder="1" applyAlignment="1" applyProtection="1"/>
    <xf numFmtId="0" fontId="12" fillId="3" borderId="51" xfId="0" applyFont="1" applyFill="1" applyBorder="1" applyAlignment="1" applyProtection="1"/>
    <xf numFmtId="0" fontId="12" fillId="0" borderId="46" xfId="0" applyFont="1" applyBorder="1" applyAlignment="1" applyProtection="1"/>
    <xf numFmtId="2" fontId="12" fillId="3" borderId="0" xfId="0" applyNumberFormat="1" applyFont="1" applyFill="1" applyBorder="1" applyAlignment="1" applyProtection="1"/>
    <xf numFmtId="0" fontId="12" fillId="0" borderId="35" xfId="0" applyFont="1" applyBorder="1" applyAlignment="1" applyProtection="1"/>
    <xf numFmtId="0" fontId="15" fillId="3" borderId="89" xfId="0" applyFont="1" applyFill="1" applyBorder="1" applyAlignment="1" applyProtection="1">
      <alignment horizontal="left" vertical="center" indent="1"/>
      <protection locked="0"/>
    </xf>
    <xf numFmtId="167" fontId="15" fillId="3" borderId="70" xfId="0" applyNumberFormat="1" applyFont="1" applyFill="1" applyBorder="1" applyAlignment="1" applyProtection="1">
      <alignment horizontal="left" vertical="center" indent="1"/>
      <protection locked="0"/>
    </xf>
    <xf numFmtId="0" fontId="12" fillId="0" borderId="1" xfId="0" applyFont="1" applyFill="1" applyBorder="1" applyAlignment="1" applyProtection="1">
      <alignment horizontal="center" vertical="center" wrapText="1"/>
      <protection locked="0"/>
    </xf>
    <xf numFmtId="3" fontId="15" fillId="4" borderId="1" xfId="0" applyNumberFormat="1" applyFont="1" applyFill="1" applyBorder="1" applyAlignment="1" applyProtection="1">
      <alignment horizontal="center"/>
    </xf>
    <xf numFmtId="3" fontId="15" fillId="3" borderId="0" xfId="0" applyNumberFormat="1" applyFont="1" applyFill="1" applyBorder="1" applyAlignment="1" applyProtection="1">
      <alignment horizontal="center"/>
    </xf>
    <xf numFmtId="0" fontId="0" fillId="4" borderId="103" xfId="0" applyFill="1" applyBorder="1" applyAlignment="1" applyProtection="1">
      <alignment horizontal="center"/>
    </xf>
    <xf numFmtId="0" fontId="13" fillId="10" borderId="7" xfId="0" applyFont="1" applyFill="1" applyBorder="1" applyAlignment="1" applyProtection="1">
      <alignment horizontal="center"/>
    </xf>
    <xf numFmtId="3" fontId="13" fillId="10" borderId="104" xfId="0" applyNumberFormat="1" applyFont="1" applyFill="1" applyBorder="1" applyAlignment="1" applyProtection="1">
      <alignment horizontal="center" wrapText="1"/>
    </xf>
    <xf numFmtId="4" fontId="23" fillId="11" borderId="105" xfId="0" applyNumberFormat="1" applyFont="1" applyFill="1" applyBorder="1" applyAlignment="1" applyProtection="1">
      <alignment horizontal="center" vertical="center" wrapText="1"/>
    </xf>
    <xf numFmtId="0" fontId="0" fillId="3" borderId="0" xfId="0" applyFill="1" applyProtection="1">
      <protection locked="0"/>
    </xf>
    <xf numFmtId="0" fontId="0" fillId="0" borderId="106" xfId="0" applyBorder="1" applyAlignment="1" applyProtection="1">
      <alignment horizontal="center" wrapText="1"/>
      <protection locked="0"/>
    </xf>
    <xf numFmtId="0" fontId="0" fillId="0" borderId="107" xfId="0" quotePrefix="1" applyBorder="1" applyAlignment="1" applyProtection="1">
      <alignment horizontal="center"/>
      <protection locked="0"/>
    </xf>
    <xf numFmtId="0" fontId="13" fillId="10" borderId="108" xfId="0" applyFont="1" applyFill="1" applyBorder="1" applyAlignment="1" applyProtection="1">
      <alignment horizontal="center" wrapText="1"/>
    </xf>
    <xf numFmtId="0" fontId="13" fillId="10" borderId="109" xfId="0" applyFont="1" applyFill="1" applyBorder="1" applyAlignment="1" applyProtection="1">
      <alignment horizontal="center" wrapText="1"/>
    </xf>
    <xf numFmtId="0" fontId="0" fillId="0" borderId="110" xfId="0" applyBorder="1" applyAlignment="1" applyProtection="1">
      <alignment horizontal="center"/>
      <protection locked="0"/>
    </xf>
    <xf numFmtId="0" fontId="0" fillId="0" borderId="106" xfId="0" applyBorder="1" applyAlignment="1" applyProtection="1">
      <alignment horizontal="left" wrapText="1"/>
      <protection locked="0"/>
    </xf>
    <xf numFmtId="0" fontId="0" fillId="0" borderId="111" xfId="0" applyBorder="1" applyAlignment="1" applyProtection="1">
      <alignment horizontal="center" wrapText="1"/>
      <protection locked="0"/>
    </xf>
    <xf numFmtId="0" fontId="0" fillId="0" borderId="112" xfId="0" applyBorder="1" applyAlignment="1" applyProtection="1">
      <alignment horizontal="center" wrapText="1"/>
      <protection locked="0"/>
    </xf>
    <xf numFmtId="0" fontId="0" fillId="0" borderId="112" xfId="0" applyBorder="1" applyAlignment="1" applyProtection="1">
      <alignment horizontal="left" wrapText="1"/>
      <protection locked="0"/>
    </xf>
    <xf numFmtId="0" fontId="0" fillId="11" borderId="97" xfId="0" applyFill="1" applyBorder="1" applyAlignment="1" applyProtection="1">
      <alignment horizontal="center" vertical="center"/>
    </xf>
    <xf numFmtId="0" fontId="0" fillId="11" borderId="103" xfId="0" applyFill="1" applyBorder="1" applyAlignment="1" applyProtection="1">
      <alignment horizontal="center"/>
    </xf>
    <xf numFmtId="0" fontId="6" fillId="0" borderId="10" xfId="0" applyFont="1" applyFill="1" applyBorder="1" applyAlignment="1" applyProtection="1">
      <alignment horizontal="left" vertical="center"/>
    </xf>
    <xf numFmtId="0" fontId="70" fillId="0" borderId="10" xfId="0" applyFont="1" applyFill="1" applyBorder="1" applyAlignment="1" applyProtection="1">
      <alignment horizontal="left" vertical="center"/>
    </xf>
    <xf numFmtId="0" fontId="12" fillId="3" borderId="51" xfId="0" applyFont="1" applyFill="1" applyBorder="1" applyAlignment="1" applyProtection="1">
      <alignment horizontal="center" vertical="center"/>
    </xf>
    <xf numFmtId="0" fontId="43" fillId="0" borderId="33" xfId="0" applyFont="1" applyBorder="1" applyAlignment="1" applyProtection="1">
      <alignment vertical="center"/>
    </xf>
    <xf numFmtId="0" fontId="15" fillId="3" borderId="12" xfId="0" applyFont="1" applyFill="1" applyBorder="1" applyAlignment="1" applyProtection="1">
      <alignment horizontal="left" vertical="center" indent="1"/>
      <protection locked="0"/>
    </xf>
    <xf numFmtId="3" fontId="15" fillId="3" borderId="28" xfId="0" applyNumberFormat="1" applyFont="1" applyFill="1" applyBorder="1" applyAlignment="1" applyProtection="1">
      <alignment horizontal="center" vertical="center"/>
      <protection locked="0"/>
    </xf>
    <xf numFmtId="3" fontId="15" fillId="4" borderId="28" xfId="0" applyNumberFormat="1" applyFont="1" applyFill="1" applyBorder="1" applyAlignment="1" applyProtection="1">
      <alignment horizontal="center" vertical="center"/>
    </xf>
    <xf numFmtId="3" fontId="15" fillId="3" borderId="84" xfId="0" applyNumberFormat="1" applyFont="1" applyFill="1" applyBorder="1" applyAlignment="1" applyProtection="1">
      <alignment horizontal="center" vertical="center"/>
      <protection locked="0"/>
    </xf>
    <xf numFmtId="3" fontId="15" fillId="4" borderId="84" xfId="0" applyNumberFormat="1" applyFont="1" applyFill="1" applyBorder="1" applyAlignment="1" applyProtection="1">
      <alignment horizontal="center" vertical="center"/>
    </xf>
    <xf numFmtId="0" fontId="21" fillId="3" borderId="0" xfId="0" applyFont="1" applyFill="1" applyBorder="1" applyAlignment="1" applyProtection="1">
      <alignment horizontal="left" vertical="center"/>
    </xf>
    <xf numFmtId="0" fontId="35" fillId="3" borderId="0" xfId="0" applyFont="1" applyFill="1" applyAlignment="1" applyProtection="1"/>
    <xf numFmtId="0" fontId="2" fillId="3" borderId="0" xfId="0" applyFont="1" applyFill="1" applyAlignment="1" applyProtection="1">
      <alignment vertical="center"/>
    </xf>
    <xf numFmtId="0" fontId="2" fillId="3" borderId="0" xfId="0" applyFont="1" applyFill="1" applyBorder="1" applyProtection="1"/>
    <xf numFmtId="0" fontId="2" fillId="3" borderId="0" xfId="0" applyFont="1" applyFill="1" applyProtection="1"/>
    <xf numFmtId="0" fontId="0" fillId="3" borderId="32" xfId="0" applyFill="1" applyBorder="1" applyProtection="1"/>
    <xf numFmtId="0" fontId="0" fillId="3" borderId="32" xfId="0" applyFill="1" applyBorder="1" applyAlignment="1" applyProtection="1">
      <alignment vertical="center"/>
    </xf>
    <xf numFmtId="0" fontId="15" fillId="3" borderId="32" xfId="0" applyFont="1" applyFill="1" applyBorder="1" applyAlignment="1" applyProtection="1">
      <alignment vertical="center"/>
    </xf>
    <xf numFmtId="0" fontId="0" fillId="3" borderId="47" xfId="0" applyFill="1" applyBorder="1" applyProtection="1"/>
    <xf numFmtId="0" fontId="0" fillId="3" borderId="51" xfId="0" applyFill="1" applyBorder="1" applyProtection="1"/>
    <xf numFmtId="0" fontId="2" fillId="3" borderId="0" xfId="6" applyFill="1" applyProtection="1"/>
    <xf numFmtId="0" fontId="12" fillId="3" borderId="0" xfId="6" applyFont="1" applyFill="1" applyProtection="1"/>
    <xf numFmtId="0" fontId="12" fillId="3" borderId="0" xfId="6" applyFont="1" applyFill="1" applyBorder="1" applyAlignment="1" applyProtection="1"/>
    <xf numFmtId="0" fontId="12" fillId="3" borderId="0" xfId="6" applyFont="1" applyFill="1" applyBorder="1" applyProtection="1"/>
    <xf numFmtId="0" fontId="6" fillId="3" borderId="33" xfId="0" applyFont="1" applyFill="1" applyBorder="1" applyAlignment="1" applyProtection="1">
      <alignment horizontal="left"/>
    </xf>
    <xf numFmtId="0" fontId="17" fillId="3" borderId="33" xfId="0" applyFont="1" applyFill="1" applyBorder="1" applyAlignment="1" applyProtection="1">
      <alignment horizontal="left"/>
    </xf>
    <xf numFmtId="0" fontId="12" fillId="3" borderId="45" xfId="0" applyFont="1" applyFill="1" applyBorder="1" applyAlignment="1" applyProtection="1">
      <alignment horizontal="left" vertical="center" wrapText="1"/>
    </xf>
    <xf numFmtId="0" fontId="15" fillId="3" borderId="45" xfId="0" applyFont="1" applyFill="1" applyBorder="1" applyAlignment="1" applyProtection="1">
      <alignment horizontal="left" vertical="center" wrapText="1"/>
    </xf>
    <xf numFmtId="3" fontId="12" fillId="4" borderId="28" xfId="0" applyNumberFormat="1" applyFont="1" applyFill="1" applyBorder="1" applyAlignment="1" applyProtection="1">
      <alignment horizontal="center" vertical="center"/>
    </xf>
    <xf numFmtId="3" fontId="12" fillId="3" borderId="1" xfId="0" applyNumberFormat="1" applyFont="1" applyFill="1" applyBorder="1" applyAlignment="1" applyProtection="1">
      <alignment horizontal="center" vertical="center"/>
      <protection locked="0"/>
    </xf>
    <xf numFmtId="3" fontId="12" fillId="4" borderId="75" xfId="0" applyNumberFormat="1" applyFont="1" applyFill="1" applyBorder="1" applyAlignment="1" applyProtection="1">
      <alignment horizontal="center" vertical="center"/>
    </xf>
    <xf numFmtId="3" fontId="12" fillId="4" borderId="115" xfId="0" applyNumberFormat="1" applyFont="1" applyFill="1" applyBorder="1" applyAlignment="1" applyProtection="1">
      <alignment horizontal="center" vertical="center"/>
    </xf>
    <xf numFmtId="3" fontId="12" fillId="4" borderId="26" xfId="0" applyNumberFormat="1" applyFont="1" applyFill="1" applyBorder="1" applyAlignment="1" applyProtection="1">
      <alignment horizontal="center" vertical="center"/>
    </xf>
    <xf numFmtId="3" fontId="12" fillId="3" borderId="26" xfId="0" applyNumberFormat="1" applyFont="1" applyFill="1" applyBorder="1" applyAlignment="1" applyProtection="1">
      <alignment horizontal="center" vertical="center"/>
      <protection locked="0"/>
    </xf>
    <xf numFmtId="3" fontId="12" fillId="3" borderId="116" xfId="0" applyNumberFormat="1" applyFont="1" applyFill="1" applyBorder="1" applyAlignment="1" applyProtection="1">
      <alignment horizontal="center" vertical="center"/>
      <protection locked="0"/>
    </xf>
    <xf numFmtId="169" fontId="2" fillId="4" borderId="69" xfId="0" applyNumberFormat="1" applyFont="1" applyFill="1" applyBorder="1" applyAlignment="1" applyProtection="1">
      <alignment horizontal="center" vertical="center"/>
    </xf>
    <xf numFmtId="0" fontId="8" fillId="3" borderId="117" xfId="0" applyFont="1" applyFill="1" applyBorder="1" applyAlignment="1" applyProtection="1">
      <alignment horizontal="center" vertical="center"/>
    </xf>
    <xf numFmtId="0" fontId="8" fillId="3" borderId="0" xfId="0" applyFont="1" applyFill="1" applyBorder="1" applyAlignment="1" applyProtection="1">
      <alignment horizontal="center" vertical="center"/>
    </xf>
    <xf numFmtId="40" fontId="8" fillId="3" borderId="0" xfId="0" applyNumberFormat="1" applyFont="1" applyFill="1" applyBorder="1" applyAlignment="1" applyProtection="1">
      <alignment horizontal="center" vertical="center"/>
    </xf>
    <xf numFmtId="169" fontId="8" fillId="4" borderId="69" xfId="0" applyNumberFormat="1" applyFont="1" applyFill="1" applyBorder="1" applyAlignment="1" applyProtection="1">
      <alignment horizontal="center" vertical="center"/>
    </xf>
    <xf numFmtId="0" fontId="8" fillId="0" borderId="40" xfId="0" applyFont="1" applyFill="1" applyBorder="1" applyAlignment="1" applyProtection="1">
      <alignment horizontal="center" vertical="center"/>
    </xf>
    <xf numFmtId="0" fontId="8" fillId="3" borderId="45" xfId="0" applyFont="1" applyFill="1" applyBorder="1" applyAlignment="1" applyProtection="1">
      <alignment horizontal="center" vertical="center"/>
    </xf>
    <xf numFmtId="0" fontId="2" fillId="3" borderId="117" xfId="0" applyFont="1" applyFill="1" applyBorder="1" applyAlignment="1" applyProtection="1">
      <alignment horizontal="center" vertical="center"/>
    </xf>
    <xf numFmtId="3" fontId="12" fillId="4" borderId="19" xfId="0" applyNumberFormat="1" applyFont="1" applyFill="1" applyBorder="1" applyAlignment="1" applyProtection="1">
      <alignment horizontal="center" vertical="center"/>
    </xf>
    <xf numFmtId="3" fontId="12" fillId="4" borderId="21" xfId="0" applyNumberFormat="1" applyFont="1" applyFill="1" applyBorder="1" applyAlignment="1" applyProtection="1">
      <alignment horizontal="center" vertical="center"/>
    </xf>
    <xf numFmtId="3" fontId="12" fillId="0" borderId="21" xfId="0" applyNumberFormat="1" applyFont="1" applyFill="1" applyBorder="1" applyAlignment="1" applyProtection="1">
      <alignment horizontal="center" vertical="center"/>
      <protection locked="0"/>
    </xf>
    <xf numFmtId="3" fontId="12" fillId="4" borderId="24" xfId="0" applyNumberFormat="1" applyFont="1" applyFill="1" applyBorder="1" applyAlignment="1" applyProtection="1">
      <alignment horizontal="center" vertical="center"/>
    </xf>
    <xf numFmtId="3" fontId="12" fillId="0" borderId="24" xfId="0" applyNumberFormat="1" applyFont="1" applyFill="1" applyBorder="1" applyAlignment="1" applyProtection="1">
      <alignment horizontal="center" vertical="center"/>
      <protection locked="0"/>
    </xf>
    <xf numFmtId="0" fontId="13" fillId="3" borderId="50" xfId="0" applyFont="1" applyFill="1" applyBorder="1" applyAlignment="1" applyProtection="1">
      <alignment vertical="center"/>
    </xf>
    <xf numFmtId="0" fontId="2" fillId="3" borderId="39" xfId="0" applyFont="1" applyFill="1" applyBorder="1" applyAlignment="1" applyProtection="1"/>
    <xf numFmtId="0" fontId="12" fillId="3" borderId="40" xfId="0" applyFont="1" applyFill="1" applyBorder="1" applyAlignment="1" applyProtection="1">
      <alignment horizontal="left" indent="1"/>
    </xf>
    <xf numFmtId="0" fontId="12" fillId="3" borderId="49" xfId="0" applyFont="1" applyFill="1" applyBorder="1" applyAlignment="1" applyProtection="1">
      <alignment horizontal="left" indent="1"/>
    </xf>
    <xf numFmtId="0" fontId="12" fillId="3" borderId="39" xfId="0" applyFont="1" applyFill="1" applyBorder="1" applyAlignment="1" applyProtection="1">
      <alignment horizontal="left" indent="1"/>
    </xf>
    <xf numFmtId="0" fontId="12" fillId="3" borderId="45" xfId="0" applyFont="1" applyFill="1" applyBorder="1" applyProtection="1"/>
    <xf numFmtId="0" fontId="12" fillId="3" borderId="41" xfId="0" applyFont="1" applyFill="1" applyBorder="1" applyProtection="1"/>
    <xf numFmtId="0" fontId="2" fillId="3" borderId="38" xfId="0" applyFont="1" applyFill="1" applyBorder="1" applyAlignment="1" applyProtection="1"/>
    <xf numFmtId="0" fontId="2" fillId="3" borderId="0" xfId="0" applyFont="1" applyFill="1" applyBorder="1" applyAlignment="1" applyProtection="1"/>
    <xf numFmtId="0" fontId="12" fillId="3" borderId="38" xfId="0" applyFont="1" applyFill="1" applyBorder="1" applyAlignment="1" applyProtection="1">
      <alignment horizontal="left" indent="1"/>
    </xf>
    <xf numFmtId="0" fontId="12" fillId="3" borderId="41" xfId="0" applyFont="1" applyFill="1" applyBorder="1" applyAlignment="1" applyProtection="1">
      <alignment horizontal="left" indent="1"/>
    </xf>
    <xf numFmtId="0" fontId="12" fillId="3" borderId="32" xfId="0" applyFont="1" applyFill="1" applyBorder="1" applyAlignment="1" applyProtection="1">
      <alignment horizontal="left" indent="1"/>
    </xf>
    <xf numFmtId="0" fontId="12" fillId="3" borderId="47" xfId="0" applyFont="1" applyFill="1" applyBorder="1" applyProtection="1"/>
    <xf numFmtId="0" fontId="0" fillId="3" borderId="98" xfId="0" applyFill="1" applyBorder="1" applyProtection="1"/>
    <xf numFmtId="0" fontId="13" fillId="3" borderId="0" xfId="0" applyFont="1" applyFill="1" applyBorder="1" applyAlignment="1" applyProtection="1">
      <alignment horizontal="center"/>
      <protection locked="0"/>
    </xf>
    <xf numFmtId="3" fontId="12" fillId="3" borderId="0" xfId="0" applyNumberFormat="1" applyFont="1" applyFill="1" applyProtection="1"/>
    <xf numFmtId="0" fontId="12" fillId="0" borderId="33" xfId="0" applyFont="1" applyBorder="1" applyProtection="1"/>
    <xf numFmtId="3" fontId="13" fillId="0" borderId="54" xfId="0" applyNumberFormat="1" applyFont="1" applyBorder="1" applyAlignment="1" applyProtection="1">
      <alignment horizontal="center"/>
    </xf>
    <xf numFmtId="3" fontId="12" fillId="3" borderId="27" xfId="0" applyNumberFormat="1" applyFont="1" applyFill="1" applyBorder="1" applyAlignment="1" applyProtection="1"/>
    <xf numFmtId="0" fontId="12" fillId="0" borderId="118" xfId="0" applyFont="1" applyFill="1" applyBorder="1" applyAlignment="1" applyProtection="1"/>
    <xf numFmtId="169" fontId="12" fillId="0" borderId="69" xfId="0" applyNumberFormat="1" applyFont="1" applyFill="1" applyBorder="1" applyAlignment="1" applyProtection="1">
      <protection locked="0"/>
    </xf>
    <xf numFmtId="0" fontId="12" fillId="0" borderId="66" xfId="0" applyFont="1" applyBorder="1" applyAlignment="1" applyProtection="1"/>
    <xf numFmtId="0" fontId="12" fillId="0" borderId="119" xfId="0" applyFont="1" applyFill="1" applyBorder="1" applyAlignment="1" applyProtection="1"/>
    <xf numFmtId="0" fontId="12" fillId="0" borderId="34" xfId="0" quotePrefix="1" applyFont="1" applyFill="1" applyBorder="1" applyAlignment="1" applyProtection="1"/>
    <xf numFmtId="0" fontId="12" fillId="0" borderId="0" xfId="0" applyFont="1" applyAlignment="1" applyProtection="1">
      <alignment horizontal="left" indent="1"/>
    </xf>
    <xf numFmtId="3" fontId="13" fillId="4" borderId="54" xfId="0" applyNumberFormat="1" applyFont="1" applyFill="1" applyBorder="1" applyAlignment="1" applyProtection="1"/>
    <xf numFmtId="0" fontId="12" fillId="3" borderId="75" xfId="0" applyFont="1" applyFill="1" applyBorder="1" applyAlignment="1" applyProtection="1"/>
    <xf numFmtId="38" fontId="12" fillId="3" borderId="75" xfId="0" applyNumberFormat="1" applyFont="1" applyFill="1" applyBorder="1" applyProtection="1"/>
    <xf numFmtId="38" fontId="12" fillId="3" borderId="75" xfId="0" applyNumberFormat="1" applyFont="1" applyFill="1" applyBorder="1" applyAlignment="1" applyProtection="1"/>
    <xf numFmtId="0" fontId="12" fillId="3" borderId="1" xfId="0" applyFont="1" applyFill="1" applyBorder="1" applyAlignment="1" applyProtection="1"/>
    <xf numFmtId="38" fontId="12" fillId="3" borderId="1" xfId="0" applyNumberFormat="1" applyFont="1" applyFill="1" applyBorder="1" applyProtection="1"/>
    <xf numFmtId="38" fontId="12" fillId="3" borderId="1" xfId="0" applyNumberFormat="1" applyFont="1" applyFill="1" applyBorder="1" applyAlignment="1" applyProtection="1"/>
    <xf numFmtId="0" fontId="12" fillId="3" borderId="28" xfId="0" applyFont="1" applyFill="1" applyBorder="1" applyAlignment="1" applyProtection="1"/>
    <xf numFmtId="38" fontId="12" fillId="3" borderId="28" xfId="0" applyNumberFormat="1" applyFont="1" applyFill="1" applyBorder="1" applyProtection="1"/>
    <xf numFmtId="38" fontId="12" fillId="3" borderId="28" xfId="0" applyNumberFormat="1" applyFont="1" applyFill="1" applyBorder="1" applyAlignment="1" applyProtection="1"/>
    <xf numFmtId="0" fontId="12" fillId="9" borderId="0" xfId="0" applyFont="1" applyFill="1" applyBorder="1" applyProtection="1"/>
    <xf numFmtId="0" fontId="12" fillId="9" borderId="0" xfId="0" applyFont="1" applyFill="1" applyBorder="1" applyAlignment="1" applyProtection="1">
      <alignment horizontal="center"/>
    </xf>
    <xf numFmtId="3" fontId="12" fillId="4" borderId="1" xfId="0" applyNumberFormat="1" applyFont="1" applyFill="1" applyBorder="1" applyProtection="1"/>
    <xf numFmtId="3" fontId="12" fillId="3" borderId="0" xfId="0" applyNumberFormat="1" applyFont="1" applyFill="1" applyBorder="1" applyAlignment="1" applyProtection="1"/>
    <xf numFmtId="3" fontId="12" fillId="3" borderId="0" xfId="0" applyNumberFormat="1" applyFont="1" applyFill="1" applyBorder="1" applyProtection="1"/>
    <xf numFmtId="2" fontId="12" fillId="3" borderId="1" xfId="0" applyNumberFormat="1" applyFont="1" applyFill="1" applyBorder="1" applyAlignment="1" applyProtection="1">
      <alignment wrapText="1"/>
      <protection locked="0"/>
    </xf>
    <xf numFmtId="2" fontId="12" fillId="0" borderId="1" xfId="0" applyNumberFormat="1" applyFont="1" applyBorder="1" applyAlignment="1" applyProtection="1">
      <alignment wrapText="1"/>
      <protection locked="0"/>
    </xf>
    <xf numFmtId="0" fontId="11" fillId="0" borderId="53" xfId="0" applyFont="1" applyFill="1" applyBorder="1" applyAlignment="1" applyProtection="1">
      <alignment horizontal="center"/>
    </xf>
    <xf numFmtId="0" fontId="2" fillId="3" borderId="35" xfId="0" applyFont="1" applyFill="1" applyBorder="1" applyAlignment="1" applyProtection="1"/>
    <xf numFmtId="0" fontId="12" fillId="3" borderId="0" xfId="0" applyFont="1" applyFill="1" applyBorder="1" applyAlignment="1" applyProtection="1">
      <alignment horizontal="left" indent="1"/>
    </xf>
    <xf numFmtId="0" fontId="12" fillId="3" borderId="35" xfId="0" applyFont="1" applyFill="1" applyBorder="1" applyAlignment="1" applyProtection="1">
      <alignment horizontal="left" indent="1"/>
    </xf>
    <xf numFmtId="0" fontId="12" fillId="3" borderId="35" xfId="0" applyFont="1" applyFill="1" applyBorder="1" applyProtection="1"/>
    <xf numFmtId="0" fontId="0" fillId="3" borderId="46" xfId="0" applyFill="1" applyBorder="1" applyProtection="1"/>
    <xf numFmtId="0" fontId="64" fillId="0" borderId="0" xfId="0" applyFont="1"/>
    <xf numFmtId="167" fontId="12" fillId="3" borderId="16" xfId="0" applyNumberFormat="1" applyFont="1" applyFill="1" applyBorder="1" applyAlignment="1" applyProtection="1">
      <alignment horizontal="left" vertical="center" indent="1"/>
      <protection locked="0"/>
    </xf>
    <xf numFmtId="0" fontId="2" fillId="0" borderId="33" xfId="0" applyFont="1" applyBorder="1" applyProtection="1"/>
    <xf numFmtId="0" fontId="0" fillId="0" borderId="0" xfId="0" applyFill="1" applyProtection="1">
      <protection locked="0"/>
    </xf>
    <xf numFmtId="0" fontId="71" fillId="3" borderId="0" xfId="0" applyFont="1" applyFill="1" applyProtection="1">
      <protection locked="0"/>
    </xf>
    <xf numFmtId="0" fontId="71" fillId="3" borderId="0" xfId="0" applyFont="1" applyFill="1" applyProtection="1"/>
    <xf numFmtId="0" fontId="71" fillId="3" borderId="0" xfId="0" applyFont="1" applyFill="1" applyBorder="1" applyAlignment="1" applyProtection="1"/>
    <xf numFmtId="0" fontId="71" fillId="3" borderId="0" xfId="0" applyFont="1" applyFill="1" applyBorder="1" applyProtection="1"/>
    <xf numFmtId="0" fontId="2" fillId="0" borderId="0" xfId="0" applyFont="1" applyFill="1" applyProtection="1">
      <protection locked="0"/>
    </xf>
    <xf numFmtId="0" fontId="2" fillId="3" borderId="0" xfId="0" applyFont="1" applyFill="1" applyProtection="1">
      <protection locked="0"/>
    </xf>
    <xf numFmtId="0" fontId="71" fillId="3" borderId="0" xfId="0" applyFont="1" applyFill="1" applyAlignment="1" applyProtection="1">
      <alignment horizontal="left" indent="1"/>
    </xf>
    <xf numFmtId="0" fontId="71" fillId="3" borderId="0" xfId="0" applyFont="1" applyFill="1" applyBorder="1" applyAlignment="1" applyProtection="1">
      <alignment horizontal="left" wrapText="1" indent="1"/>
      <protection locked="0"/>
    </xf>
    <xf numFmtId="166" fontId="71" fillId="3" borderId="0" xfId="3" applyNumberFormat="1" applyFont="1" applyFill="1" applyProtection="1"/>
    <xf numFmtId="0" fontId="71" fillId="3" borderId="0" xfId="0" applyFont="1" applyFill="1" applyAlignment="1" applyProtection="1">
      <alignment horizontal="left"/>
    </xf>
    <xf numFmtId="166" fontId="71" fillId="3" borderId="0" xfId="3" applyNumberFormat="1" applyFont="1" applyFill="1" applyAlignment="1" applyProtection="1">
      <alignment vertical="center"/>
    </xf>
    <xf numFmtId="0" fontId="71" fillId="3" borderId="0" xfId="0" applyFont="1" applyFill="1" applyAlignment="1" applyProtection="1">
      <alignment vertical="center"/>
    </xf>
    <xf numFmtId="166" fontId="71" fillId="3" borderId="0" xfId="3" applyNumberFormat="1" applyFont="1" applyFill="1" applyAlignment="1" applyProtection="1">
      <alignment horizontal="left"/>
    </xf>
    <xf numFmtId="0" fontId="0" fillId="0" borderId="0" xfId="0" applyAlignment="1" applyProtection="1">
      <alignment vertical="center"/>
      <protection locked="0"/>
    </xf>
    <xf numFmtId="0" fontId="0" fillId="3" borderId="0" xfId="0" applyFill="1" applyAlignment="1" applyProtection="1">
      <alignment vertical="center"/>
      <protection locked="0"/>
    </xf>
    <xf numFmtId="0" fontId="12" fillId="3" borderId="0" xfId="0" applyFont="1" applyFill="1" applyBorder="1" applyAlignment="1" applyProtection="1">
      <alignment horizontal="left" vertical="center" indent="1"/>
    </xf>
    <xf numFmtId="167" fontId="12" fillId="3" borderId="0" xfId="0" applyNumberFormat="1" applyFont="1" applyFill="1" applyBorder="1" applyAlignment="1" applyProtection="1">
      <alignment horizontal="left" vertical="center" indent="1"/>
    </xf>
    <xf numFmtId="0" fontId="0" fillId="3" borderId="0" xfId="0" applyFill="1"/>
    <xf numFmtId="0" fontId="12" fillId="0" borderId="0" xfId="0" applyFont="1" applyFill="1" applyBorder="1" applyAlignment="1" applyProtection="1">
      <alignment horizontal="left" vertical="center" indent="1"/>
    </xf>
    <xf numFmtId="0" fontId="11" fillId="0" borderId="0" xfId="0" applyFont="1" applyFill="1" applyBorder="1" applyAlignment="1" applyProtection="1">
      <alignment horizontal="left" vertical="center"/>
    </xf>
    <xf numFmtId="0" fontId="0" fillId="3" borderId="0" xfId="0" applyFill="1" applyAlignment="1" applyProtection="1">
      <alignment horizontal="left" vertical="center"/>
      <protection locked="0"/>
    </xf>
    <xf numFmtId="0" fontId="0" fillId="3" borderId="0" xfId="0" applyFill="1" applyBorder="1" applyProtection="1">
      <protection locked="0"/>
    </xf>
    <xf numFmtId="166" fontId="61" fillId="3" borderId="0" xfId="3" applyNumberFormat="1" applyFill="1" applyBorder="1" applyProtection="1"/>
    <xf numFmtId="0" fontId="13" fillId="5" borderId="120" xfId="0" applyFont="1" applyFill="1" applyBorder="1" applyAlignment="1" applyProtection="1">
      <alignment horizontal="center" vertical="center" wrapText="1"/>
    </xf>
    <xf numFmtId="3" fontId="15" fillId="4" borderId="3" xfId="0" applyNumberFormat="1" applyFont="1" applyFill="1" applyBorder="1" applyAlignment="1" applyProtection="1">
      <alignment horizontal="center" vertical="center"/>
    </xf>
    <xf numFmtId="0" fontId="13" fillId="5" borderId="120" xfId="0" applyFont="1" applyFill="1" applyBorder="1" applyAlignment="1" applyProtection="1">
      <alignment horizontal="center" vertical="center"/>
    </xf>
    <xf numFmtId="0" fontId="12" fillId="16" borderId="0" xfId="6" applyFont="1" applyFill="1" applyProtection="1"/>
    <xf numFmtId="164" fontId="12" fillId="3" borderId="1" xfId="6" applyNumberFormat="1" applyFont="1" applyFill="1" applyBorder="1" applyAlignment="1" applyProtection="1">
      <alignment horizontal="left" vertical="center" wrapText="1"/>
      <protection locked="0"/>
    </xf>
    <xf numFmtId="164" fontId="13" fillId="5" borderId="13" xfId="6" applyNumberFormat="1" applyFont="1" applyFill="1" applyBorder="1" applyAlignment="1" applyProtection="1">
      <alignment vertical="center" wrapText="1"/>
    </xf>
    <xf numFmtId="164" fontId="12" fillId="3" borderId="16" xfId="6" applyNumberFormat="1" applyFont="1" applyFill="1" applyBorder="1" applyAlignment="1" applyProtection="1">
      <alignment horizontal="left" vertical="center" wrapText="1"/>
      <protection locked="0"/>
    </xf>
    <xf numFmtId="164" fontId="13" fillId="5" borderId="4" xfId="6" applyNumberFormat="1" applyFont="1" applyFill="1" applyBorder="1" applyAlignment="1" applyProtection="1">
      <alignment vertical="center" wrapText="1"/>
    </xf>
    <xf numFmtId="164" fontId="13" fillId="5" borderId="95" xfId="6" applyNumberFormat="1" applyFont="1" applyFill="1" applyBorder="1" applyAlignment="1" applyProtection="1">
      <alignment vertical="center" wrapText="1"/>
    </xf>
    <xf numFmtId="164" fontId="13" fillId="5" borderId="69" xfId="6" applyNumberFormat="1" applyFont="1" applyFill="1" applyBorder="1" applyAlignment="1" applyProtection="1">
      <alignment vertical="center" wrapText="1"/>
    </xf>
    <xf numFmtId="0" fontId="13" fillId="3" borderId="116" xfId="0" applyFont="1" applyFill="1" applyBorder="1" applyAlignment="1" applyProtection="1">
      <alignment horizontal="center" vertical="top"/>
    </xf>
    <xf numFmtId="0" fontId="12" fillId="3" borderId="116" xfId="0" applyFont="1" applyFill="1" applyBorder="1" applyAlignment="1" applyProtection="1"/>
    <xf numFmtId="164" fontId="12" fillId="3" borderId="75" xfId="0" applyNumberFormat="1" applyFont="1" applyFill="1" applyBorder="1" applyAlignment="1" applyProtection="1">
      <alignment horizontal="left" vertical="center"/>
      <protection locked="0"/>
    </xf>
    <xf numFmtId="164" fontId="12" fillId="17" borderId="1" xfId="0" applyNumberFormat="1" applyFont="1" applyFill="1" applyBorder="1" applyAlignment="1" applyProtection="1">
      <alignment horizontal="left" vertical="center"/>
      <protection locked="0"/>
    </xf>
    <xf numFmtId="170" fontId="12" fillId="3" borderId="75" xfId="0" applyNumberFormat="1" applyFont="1" applyFill="1" applyBorder="1" applyAlignment="1" applyProtection="1">
      <alignment horizontal="left" vertical="center"/>
      <protection locked="0"/>
    </xf>
    <xf numFmtId="164" fontId="12" fillId="9" borderId="75" xfId="0" applyNumberFormat="1" applyFont="1" applyFill="1" applyBorder="1" applyProtection="1"/>
    <xf numFmtId="164" fontId="12" fillId="9" borderId="1" xfId="0" applyNumberFormat="1" applyFont="1" applyFill="1" applyBorder="1" applyProtection="1"/>
    <xf numFmtId="164" fontId="12" fillId="12" borderId="75" xfId="0" applyNumberFormat="1" applyFont="1" applyFill="1" applyBorder="1" applyAlignment="1" applyProtection="1">
      <alignment horizontal="left" vertical="center"/>
      <protection locked="0"/>
    </xf>
    <xf numFmtId="170" fontId="12" fillId="17" borderId="1" xfId="0" applyNumberFormat="1" applyFont="1" applyFill="1" applyBorder="1" applyAlignment="1" applyProtection="1">
      <alignment horizontal="right" vertical="center"/>
      <protection locked="0"/>
    </xf>
    <xf numFmtId="3" fontId="15" fillId="16" borderId="28" xfId="0" applyNumberFormat="1" applyFont="1" applyFill="1" applyBorder="1" applyAlignment="1" applyProtection="1">
      <alignment horizontal="center" vertical="center"/>
      <protection locked="0"/>
    </xf>
    <xf numFmtId="0" fontId="14" fillId="4" borderId="121" xfId="0" applyFont="1" applyFill="1" applyBorder="1" applyAlignment="1" applyProtection="1">
      <alignment vertical="center"/>
    </xf>
    <xf numFmtId="0" fontId="17" fillId="2" borderId="11" xfId="0" applyFont="1" applyFill="1" applyBorder="1" applyAlignment="1" applyProtection="1">
      <alignment horizontal="left" vertical="center"/>
    </xf>
    <xf numFmtId="0" fontId="17" fillId="2" borderId="0" xfId="0" applyFont="1" applyFill="1" applyBorder="1" applyAlignment="1" applyProtection="1">
      <alignment horizontal="left" vertical="center"/>
    </xf>
    <xf numFmtId="0" fontId="12" fillId="0" borderId="4" xfId="0" applyFont="1" applyFill="1" applyBorder="1" applyAlignment="1" applyProtection="1">
      <alignment horizontal="left" vertical="center" wrapText="1"/>
      <protection locked="0"/>
    </xf>
    <xf numFmtId="168" fontId="12" fillId="0" borderId="4" xfId="0" applyNumberFormat="1" applyFont="1" applyFill="1" applyBorder="1" applyAlignment="1" applyProtection="1">
      <alignment horizontal="left" vertical="center" wrapText="1"/>
      <protection locked="0"/>
    </xf>
    <xf numFmtId="168" fontId="12" fillId="0" borderId="95" xfId="0" applyNumberFormat="1" applyFont="1" applyFill="1" applyBorder="1" applyAlignment="1" applyProtection="1">
      <alignment horizontal="left" vertical="center" wrapText="1"/>
      <protection locked="0"/>
    </xf>
    <xf numFmtId="3" fontId="12" fillId="0" borderId="0" xfId="0" applyNumberFormat="1" applyFont="1" applyFill="1" applyBorder="1" applyAlignment="1" applyProtection="1">
      <alignment horizontal="right"/>
      <protection locked="0"/>
    </xf>
    <xf numFmtId="0" fontId="0" fillId="3" borderId="1" xfId="0" applyFill="1" applyBorder="1" applyAlignment="1" applyProtection="1">
      <alignment horizontal="center" vertical="center"/>
      <protection locked="0"/>
    </xf>
    <xf numFmtId="168" fontId="12" fillId="4" borderId="122" xfId="0" applyNumberFormat="1" applyFont="1" applyFill="1" applyBorder="1" applyAlignment="1" applyProtection="1">
      <alignment horizontal="right" vertical="center"/>
    </xf>
    <xf numFmtId="168" fontId="12" fillId="18" borderId="122" xfId="0" applyNumberFormat="1" applyFont="1" applyFill="1" applyBorder="1" applyAlignment="1" applyProtection="1">
      <alignment horizontal="right" vertical="center"/>
    </xf>
    <xf numFmtId="0" fontId="13" fillId="4" borderId="12" xfId="6" applyFont="1" applyFill="1" applyBorder="1" applyAlignment="1" applyProtection="1">
      <alignment wrapText="1"/>
    </xf>
    <xf numFmtId="0" fontId="9" fillId="3" borderId="0" xfId="6" applyFont="1" applyFill="1" applyProtection="1"/>
    <xf numFmtId="0" fontId="12" fillId="0" borderId="0" xfId="6" applyFont="1" applyFill="1" applyProtection="1"/>
    <xf numFmtId="0" fontId="13" fillId="4" borderId="1" xfId="6" applyFont="1" applyFill="1" applyBorder="1" applyAlignment="1" applyProtection="1">
      <alignment vertical="center" wrapText="1"/>
    </xf>
    <xf numFmtId="0" fontId="12" fillId="3" borderId="0" xfId="6" applyFont="1" applyFill="1" applyAlignment="1" applyProtection="1">
      <alignment horizontal="left"/>
    </xf>
    <xf numFmtId="0" fontId="2" fillId="3" borderId="0" xfId="6" applyFill="1" applyAlignment="1" applyProtection="1">
      <alignment horizontal="left"/>
    </xf>
    <xf numFmtId="0" fontId="12" fillId="3" borderId="1" xfId="6" applyFont="1" applyFill="1" applyBorder="1" applyAlignment="1" applyProtection="1">
      <alignment horizontal="left" vertical="center"/>
    </xf>
    <xf numFmtId="0" fontId="12" fillId="3" borderId="0" xfId="6" applyFont="1" applyFill="1" applyBorder="1" applyAlignment="1" applyProtection="1">
      <alignment horizontal="left"/>
    </xf>
    <xf numFmtId="0" fontId="12" fillId="3" borderId="0" xfId="6" applyFont="1" applyFill="1" applyBorder="1" applyAlignment="1" applyProtection="1">
      <alignment vertical="center"/>
    </xf>
    <xf numFmtId="164" fontId="12" fillId="3" borderId="0" xfId="6" applyNumberFormat="1" applyFont="1" applyFill="1" applyBorder="1" applyAlignment="1" applyProtection="1">
      <alignment horizontal="left" vertical="center" wrapText="1"/>
      <protection locked="0"/>
    </xf>
    <xf numFmtId="164" fontId="12" fillId="16" borderId="0" xfId="6" applyNumberFormat="1" applyFont="1" applyFill="1" applyBorder="1" applyAlignment="1" applyProtection="1">
      <alignment horizontal="left" vertical="center" wrapText="1"/>
      <protection locked="0"/>
    </xf>
    <xf numFmtId="0" fontId="12" fillId="16" borderId="0" xfId="6" applyFont="1" applyFill="1" applyBorder="1" applyAlignment="1" applyProtection="1">
      <alignment vertical="center"/>
    </xf>
    <xf numFmtId="0" fontId="8" fillId="19" borderId="0" xfId="0" applyFont="1" applyFill="1" applyProtection="1"/>
    <xf numFmtId="0" fontId="57" fillId="16" borderId="4" xfId="0" applyFont="1" applyFill="1" applyBorder="1" applyAlignment="1" applyProtection="1">
      <alignment wrapText="1"/>
    </xf>
    <xf numFmtId="0" fontId="64" fillId="4" borderId="97" xfId="0" applyFont="1" applyFill="1" applyBorder="1" applyAlignment="1" applyProtection="1">
      <alignment horizontal="left"/>
    </xf>
    <xf numFmtId="0" fontId="23" fillId="11" borderId="123" xfId="0" applyFont="1" applyFill="1" applyBorder="1" applyAlignment="1" applyProtection="1">
      <alignment horizontal="right" vertical="center"/>
    </xf>
    <xf numFmtId="3" fontId="13" fillId="10" borderId="97" xfId="0" applyNumberFormat="1" applyFont="1" applyFill="1" applyBorder="1" applyAlignment="1" applyProtection="1">
      <alignment horizontal="center" wrapText="1"/>
    </xf>
    <xf numFmtId="0" fontId="0" fillId="0" borderId="0" xfId="0" applyAlignment="1" applyProtection="1">
      <alignment horizontal="center"/>
      <protection locked="0"/>
    </xf>
    <xf numFmtId="0" fontId="0" fillId="0" borderId="132" xfId="0" applyBorder="1" applyAlignment="1" applyProtection="1">
      <alignment horizontal="center" wrapText="1"/>
      <protection locked="0"/>
    </xf>
    <xf numFmtId="3" fontId="12" fillId="0" borderId="1" xfId="0" applyNumberFormat="1" applyFont="1" applyFill="1" applyBorder="1" applyAlignment="1" applyProtection="1">
      <alignment horizontal="left" vertical="center" wrapText="1"/>
      <protection locked="0"/>
    </xf>
    <xf numFmtId="0" fontId="23" fillId="3" borderId="0" xfId="0" applyFont="1" applyFill="1" applyBorder="1" applyProtection="1"/>
    <xf numFmtId="3" fontId="23" fillId="3" borderId="0" xfId="0" applyNumberFormat="1" applyFont="1" applyFill="1" applyAlignment="1" applyProtection="1">
      <alignment wrapText="1"/>
    </xf>
    <xf numFmtId="0" fontId="63" fillId="3" borderId="0" xfId="0" applyFont="1" applyFill="1" applyAlignment="1" applyProtection="1">
      <alignment horizontal="left"/>
    </xf>
    <xf numFmtId="3" fontId="0" fillId="3" borderId="0" xfId="0" applyNumberFormat="1" applyFill="1" applyAlignment="1" applyProtection="1">
      <alignment horizontal="center"/>
    </xf>
    <xf numFmtId="0" fontId="23" fillId="0" borderId="1" xfId="0" applyFont="1" applyFill="1" applyBorder="1" applyAlignment="1" applyProtection="1">
      <alignment horizontal="center"/>
    </xf>
    <xf numFmtId="0" fontId="23" fillId="10" borderId="13" xfId="0" applyFont="1" applyFill="1" applyBorder="1" applyAlignment="1" applyProtection="1"/>
    <xf numFmtId="167" fontId="23" fillId="0" borderId="1" xfId="0" applyNumberFormat="1" applyFont="1" applyFill="1" applyBorder="1" applyAlignment="1" applyProtection="1">
      <alignment horizontal="center"/>
      <protection locked="0"/>
    </xf>
    <xf numFmtId="3" fontId="23" fillId="3" borderId="0" xfId="0" applyNumberFormat="1" applyFont="1" applyFill="1" applyBorder="1" applyAlignment="1" applyProtection="1">
      <alignment horizontal="center" wrapText="1"/>
    </xf>
    <xf numFmtId="3" fontId="23" fillId="3" borderId="10" xfId="0" applyNumberFormat="1" applyFont="1" applyFill="1" applyBorder="1" applyAlignment="1" applyProtection="1">
      <alignment horizontal="center" wrapText="1"/>
    </xf>
    <xf numFmtId="0" fontId="63" fillId="4" borderId="103" xfId="0" applyFont="1" applyFill="1" applyBorder="1" applyAlignment="1" applyProtection="1">
      <alignment horizontal="left"/>
    </xf>
    <xf numFmtId="0" fontId="13" fillId="10" borderId="0" xfId="0" applyFont="1" applyFill="1" applyBorder="1" applyAlignment="1" applyProtection="1"/>
    <xf numFmtId="3" fontId="13" fillId="10" borderId="133" xfId="0" applyNumberFormat="1" applyFont="1" applyFill="1" applyBorder="1" applyAlignment="1" applyProtection="1">
      <alignment horizontal="center" wrapText="1"/>
    </xf>
    <xf numFmtId="3" fontId="13" fillId="10" borderId="109" xfId="0" applyNumberFormat="1" applyFont="1" applyFill="1" applyBorder="1" applyAlignment="1" applyProtection="1">
      <alignment horizontal="center" wrapText="1"/>
    </xf>
    <xf numFmtId="3" fontId="13" fillId="10" borderId="10" xfId="0" applyNumberFormat="1" applyFont="1" applyFill="1" applyBorder="1" applyAlignment="1" applyProtection="1">
      <alignment horizontal="center" wrapText="1"/>
    </xf>
    <xf numFmtId="3" fontId="13" fillId="10" borderId="108" xfId="0" applyNumberFormat="1" applyFont="1" applyFill="1" applyBorder="1" applyAlignment="1" applyProtection="1">
      <alignment horizontal="center" wrapText="1"/>
    </xf>
    <xf numFmtId="3" fontId="13" fillId="10" borderId="134" xfId="0" applyNumberFormat="1" applyFont="1" applyFill="1" applyBorder="1" applyAlignment="1" applyProtection="1">
      <alignment horizontal="center" wrapText="1"/>
    </xf>
    <xf numFmtId="3" fontId="13" fillId="10" borderId="69" xfId="0" applyNumberFormat="1" applyFont="1" applyFill="1" applyBorder="1" applyAlignment="1" applyProtection="1">
      <alignment horizontal="center" wrapText="1"/>
    </xf>
    <xf numFmtId="0" fontId="0" fillId="0" borderId="135" xfId="0" applyBorder="1" applyAlignment="1" applyProtection="1">
      <alignment horizontal="center"/>
    </xf>
    <xf numFmtId="4" fontId="2" fillId="0" borderId="136" xfId="0" applyNumberFormat="1" applyFont="1" applyFill="1" applyBorder="1" applyAlignment="1" applyProtection="1">
      <alignment horizontal="center" vertical="center" wrapText="1"/>
      <protection locked="0"/>
    </xf>
    <xf numFmtId="4" fontId="2" fillId="0" borderId="124" xfId="1" applyNumberFormat="1" applyFont="1" applyBorder="1" applyAlignment="1" applyProtection="1">
      <alignment horizontal="center" vertical="center"/>
      <protection locked="0"/>
    </xf>
    <xf numFmtId="4" fontId="2" fillId="0" borderId="125" xfId="1" applyNumberFormat="1" applyFont="1" applyBorder="1" applyAlignment="1" applyProtection="1">
      <alignment horizontal="center" vertical="center"/>
      <protection locked="0"/>
    </xf>
    <xf numFmtId="2" fontId="2" fillId="0" borderId="126" xfId="1" applyNumberFormat="1" applyFont="1" applyBorder="1" applyAlignment="1" applyProtection="1">
      <alignment horizontal="left" wrapText="1"/>
      <protection locked="0"/>
    </xf>
    <xf numFmtId="4" fontId="2" fillId="0" borderId="137" xfId="0" applyNumberFormat="1" applyFont="1" applyFill="1" applyBorder="1" applyAlignment="1" applyProtection="1">
      <alignment horizontal="center" vertical="center" wrapText="1"/>
      <protection locked="0"/>
    </xf>
    <xf numFmtId="4" fontId="2" fillId="0" borderId="132" xfId="0" applyNumberFormat="1" applyFont="1" applyFill="1" applyBorder="1" applyAlignment="1" applyProtection="1">
      <alignment horizontal="center" vertical="center" wrapText="1"/>
      <protection locked="0"/>
    </xf>
    <xf numFmtId="2" fontId="2" fillId="0" borderId="127" xfId="1" applyNumberFormat="1" applyFont="1" applyBorder="1" applyAlignment="1" applyProtection="1">
      <alignment horizontal="left" wrapText="1"/>
      <protection locked="0"/>
    </xf>
    <xf numFmtId="0" fontId="0" fillId="0" borderId="110" xfId="0" applyBorder="1" applyAlignment="1" applyProtection="1">
      <alignment horizontal="center"/>
    </xf>
    <xf numFmtId="4" fontId="2" fillId="0" borderId="138" xfId="0" applyNumberFormat="1" applyFont="1" applyFill="1" applyBorder="1" applyAlignment="1" applyProtection="1">
      <alignment horizontal="center" vertical="center" wrapText="1"/>
      <protection locked="0"/>
    </xf>
    <xf numFmtId="4" fontId="2" fillId="0" borderId="106" xfId="1" applyNumberFormat="1" applyFont="1" applyBorder="1" applyAlignment="1" applyProtection="1">
      <alignment horizontal="center" vertical="center"/>
      <protection locked="0"/>
    </xf>
    <xf numFmtId="2" fontId="2" fillId="0" borderId="83" xfId="1" applyNumberFormat="1" applyFont="1" applyBorder="1" applyAlignment="1" applyProtection="1">
      <alignment horizontal="left" wrapText="1"/>
      <protection locked="0"/>
    </xf>
    <xf numFmtId="4" fontId="2" fillId="0" borderId="139" xfId="0" applyNumberFormat="1" applyFont="1" applyFill="1" applyBorder="1" applyAlignment="1" applyProtection="1">
      <alignment horizontal="center" vertical="center" wrapText="1"/>
      <protection locked="0"/>
    </xf>
    <xf numFmtId="4" fontId="2" fillId="0" borderId="106" xfId="0" applyNumberFormat="1" applyFont="1" applyFill="1" applyBorder="1" applyAlignment="1" applyProtection="1">
      <alignment horizontal="center" vertical="center" wrapText="1"/>
      <protection locked="0"/>
    </xf>
    <xf numFmtId="2" fontId="2" fillId="0" borderId="128" xfId="1" applyNumberFormat="1" applyFont="1" applyBorder="1" applyAlignment="1" applyProtection="1">
      <alignment horizontal="left" wrapText="1"/>
      <protection locked="0"/>
    </xf>
    <xf numFmtId="0" fontId="0" fillId="0" borderId="110" xfId="0" quotePrefix="1" applyBorder="1" applyAlignment="1" applyProtection="1">
      <alignment horizontal="center"/>
    </xf>
    <xf numFmtId="0" fontId="0" fillId="0" borderId="107" xfId="0" quotePrefix="1" applyBorder="1" applyAlignment="1" applyProtection="1">
      <alignment horizontal="center"/>
    </xf>
    <xf numFmtId="4" fontId="2" fillId="0" borderId="140" xfId="0" applyNumberFormat="1" applyFont="1" applyFill="1" applyBorder="1" applyAlignment="1" applyProtection="1">
      <alignment horizontal="center" vertical="center" wrapText="1"/>
      <protection locked="0"/>
    </xf>
    <xf numFmtId="4" fontId="2" fillId="0" borderId="112" xfId="1" applyNumberFormat="1" applyFont="1" applyBorder="1" applyAlignment="1" applyProtection="1">
      <alignment horizontal="center" vertical="center"/>
      <protection locked="0"/>
    </xf>
    <xf numFmtId="2" fontId="2" fillId="0" borderId="129" xfId="1" applyNumberFormat="1" applyFont="1" applyBorder="1" applyAlignment="1" applyProtection="1">
      <alignment horizontal="left" wrapText="1"/>
      <protection locked="0"/>
    </xf>
    <xf numFmtId="2" fontId="2" fillId="0" borderId="130" xfId="1" applyNumberFormat="1" applyFont="1" applyBorder="1" applyAlignment="1" applyProtection="1">
      <alignment horizontal="left" wrapText="1"/>
      <protection locked="0"/>
    </xf>
    <xf numFmtId="0" fontId="0" fillId="0" borderId="107" xfId="0" applyBorder="1" applyAlignment="1" applyProtection="1">
      <alignment horizontal="center"/>
    </xf>
    <xf numFmtId="4" fontId="2" fillId="0" borderId="112" xfId="0" applyNumberFormat="1" applyFont="1" applyBorder="1" applyAlignment="1" applyProtection="1">
      <alignment horizontal="center" vertical="center" wrapText="1"/>
      <protection locked="0"/>
    </xf>
    <xf numFmtId="2" fontId="2" fillId="0" borderId="141" xfId="0" applyNumberFormat="1" applyFont="1" applyBorder="1" applyAlignment="1" applyProtection="1">
      <alignment horizontal="left" wrapText="1"/>
      <protection locked="0"/>
    </xf>
    <xf numFmtId="4" fontId="2" fillId="0" borderId="142" xfId="0" applyNumberFormat="1" applyFont="1" applyFill="1" applyBorder="1" applyAlignment="1" applyProtection="1">
      <alignment horizontal="center" vertical="center" wrapText="1"/>
      <protection locked="0"/>
    </xf>
    <xf numFmtId="4" fontId="2" fillId="0" borderId="143" xfId="0" applyNumberFormat="1" applyFont="1" applyFill="1" applyBorder="1" applyAlignment="1" applyProtection="1">
      <alignment horizontal="center" vertical="center" wrapText="1"/>
      <protection locked="0"/>
    </xf>
    <xf numFmtId="2" fontId="2" fillId="0" borderId="144" xfId="0" applyNumberFormat="1" applyFont="1" applyBorder="1" applyAlignment="1" applyProtection="1">
      <alignment horizontal="left" wrapText="1"/>
      <protection locked="0"/>
    </xf>
    <xf numFmtId="4" fontId="23" fillId="11" borderId="97" xfId="0" applyNumberFormat="1" applyFont="1" applyFill="1" applyBorder="1" applyAlignment="1" applyProtection="1">
      <alignment horizontal="center" vertical="center" wrapText="1"/>
    </xf>
    <xf numFmtId="4" fontId="23" fillId="11" borderId="69" xfId="0" applyNumberFormat="1" applyFont="1" applyFill="1" applyBorder="1" applyAlignment="1" applyProtection="1">
      <alignment horizontal="center" vertical="center" wrapText="1"/>
    </xf>
    <xf numFmtId="0" fontId="2" fillId="11" borderId="10" xfId="0" applyNumberFormat="1" applyFont="1" applyFill="1" applyBorder="1" applyAlignment="1" applyProtection="1">
      <alignment horizontal="left" vertical="center" wrapText="1" indent="1"/>
    </xf>
    <xf numFmtId="0" fontId="2" fillId="11" borderId="77" xfId="0" applyNumberFormat="1" applyFont="1" applyFill="1" applyBorder="1" applyAlignment="1" applyProtection="1">
      <alignment horizontal="left" vertical="center" wrapText="1" indent="1"/>
    </xf>
    <xf numFmtId="0" fontId="0" fillId="3" borderId="0" xfId="0" applyFill="1" applyAlignment="1" applyProtection="1">
      <alignment wrapText="1"/>
    </xf>
    <xf numFmtId="0" fontId="0" fillId="3" borderId="0" xfId="0" applyFill="1" applyBorder="1" applyAlignment="1" applyProtection="1">
      <alignment horizontal="center" wrapText="1"/>
    </xf>
    <xf numFmtId="0" fontId="23" fillId="3" borderId="0" xfId="0" applyFont="1" applyFill="1" applyAlignment="1" applyProtection="1">
      <alignment horizontal="left" wrapText="1"/>
    </xf>
    <xf numFmtId="0" fontId="0" fillId="3" borderId="0" xfId="0" applyFill="1" applyAlignment="1" applyProtection="1">
      <alignment horizontal="center" wrapText="1"/>
    </xf>
    <xf numFmtId="0" fontId="0" fillId="4" borderId="103" xfId="0" applyFill="1" applyBorder="1" applyAlignment="1" applyProtection="1">
      <alignment horizontal="left"/>
    </xf>
    <xf numFmtId="0" fontId="13" fillId="10" borderId="133" xfId="0" applyFont="1" applyFill="1" applyBorder="1" applyAlignment="1" applyProtection="1">
      <alignment horizontal="center"/>
    </xf>
    <xf numFmtId="0" fontId="13" fillId="10" borderId="108" xfId="0" applyFont="1" applyFill="1" applyBorder="1" applyAlignment="1" applyProtection="1">
      <alignment horizontal="center"/>
    </xf>
    <xf numFmtId="0" fontId="13" fillId="10" borderId="117" xfId="0" applyFont="1" applyFill="1" applyBorder="1" applyAlignment="1" applyProtection="1">
      <alignment horizontal="center" wrapText="1"/>
    </xf>
    <xf numFmtId="3" fontId="13" fillId="10" borderId="145" xfId="0" applyNumberFormat="1" applyFont="1" applyFill="1" applyBorder="1" applyAlignment="1" applyProtection="1">
      <alignment horizontal="center" wrapText="1"/>
    </xf>
    <xf numFmtId="0" fontId="0" fillId="0" borderId="135" xfId="0" applyBorder="1" applyAlignment="1" applyProtection="1">
      <alignment horizontal="center"/>
      <protection locked="0"/>
    </xf>
    <xf numFmtId="0" fontId="0" fillId="0" borderId="136" xfId="0" applyBorder="1" applyAlignment="1" applyProtection="1">
      <alignment horizontal="left" wrapText="1"/>
      <protection locked="0"/>
    </xf>
    <xf numFmtId="0" fontId="0" fillId="0" borderId="146" xfId="0" applyBorder="1" applyAlignment="1" applyProtection="1">
      <alignment horizontal="center" wrapText="1" shrinkToFit="1"/>
      <protection locked="0"/>
    </xf>
    <xf numFmtId="2" fontId="2" fillId="0" borderId="131" xfId="1" applyNumberFormat="1" applyFont="1" applyBorder="1" applyAlignment="1" applyProtection="1">
      <alignment horizontal="left" wrapText="1"/>
      <protection locked="0"/>
    </xf>
    <xf numFmtId="0" fontId="0" fillId="0" borderId="110" xfId="0" quotePrefix="1" applyBorder="1" applyAlignment="1" applyProtection="1">
      <alignment horizontal="center"/>
      <protection locked="0"/>
    </xf>
    <xf numFmtId="0" fontId="0" fillId="0" borderId="138" xfId="0" applyBorder="1" applyAlignment="1" applyProtection="1">
      <alignment horizontal="left" wrapText="1"/>
      <protection locked="0"/>
    </xf>
    <xf numFmtId="0" fontId="0" fillId="0" borderId="125" xfId="0" applyBorder="1" applyAlignment="1" applyProtection="1">
      <alignment horizontal="center" wrapText="1"/>
      <protection locked="0"/>
    </xf>
    <xf numFmtId="2" fontId="2" fillId="0" borderId="83" xfId="0" applyNumberFormat="1" applyFont="1" applyBorder="1" applyAlignment="1" applyProtection="1">
      <alignment horizontal="left" wrapText="1"/>
      <protection locked="0"/>
    </xf>
    <xf numFmtId="2" fontId="2" fillId="0" borderId="131" xfId="0" applyNumberFormat="1" applyFont="1" applyBorder="1" applyAlignment="1" applyProtection="1">
      <alignment horizontal="left" wrapText="1"/>
      <protection locked="0"/>
    </xf>
    <xf numFmtId="0" fontId="0" fillId="0" borderId="140" xfId="0" applyBorder="1" applyAlignment="1" applyProtection="1">
      <alignment horizontal="left" wrapText="1"/>
      <protection locked="0"/>
    </xf>
    <xf numFmtId="0" fontId="0" fillId="0" borderId="147" xfId="0" applyBorder="1" applyAlignment="1" applyProtection="1">
      <alignment horizontal="center" wrapText="1"/>
      <protection locked="0"/>
    </xf>
    <xf numFmtId="2" fontId="2" fillId="0" borderId="129" xfId="0" applyNumberFormat="1" applyFont="1" applyBorder="1" applyAlignment="1" applyProtection="1">
      <alignment horizontal="left" wrapText="1"/>
      <protection locked="0"/>
    </xf>
    <xf numFmtId="2" fontId="2" fillId="0" borderId="148" xfId="0" applyNumberFormat="1" applyFont="1" applyBorder="1" applyAlignment="1" applyProtection="1">
      <alignment horizontal="left" wrapText="1"/>
      <protection locked="0"/>
    </xf>
    <xf numFmtId="0" fontId="2" fillId="11" borderId="97" xfId="0" applyNumberFormat="1" applyFont="1" applyFill="1" applyBorder="1" applyAlignment="1" applyProtection="1">
      <alignment horizontal="left" vertical="center" wrapText="1" indent="1"/>
    </xf>
    <xf numFmtId="0" fontId="2" fillId="11" borderId="69" xfId="0" applyNumberFormat="1" applyFont="1" applyFill="1" applyBorder="1" applyAlignment="1" applyProtection="1">
      <alignment horizontal="left" vertical="center" wrapText="1" indent="1"/>
    </xf>
    <xf numFmtId="0" fontId="64" fillId="4" borderId="7" xfId="0" applyFont="1" applyFill="1" applyBorder="1" applyAlignment="1" applyProtection="1">
      <alignment horizontal="left"/>
    </xf>
    <xf numFmtId="0" fontId="0" fillId="4" borderId="10" xfId="0" applyFill="1" applyBorder="1" applyAlignment="1" applyProtection="1">
      <alignment horizontal="center"/>
    </xf>
    <xf numFmtId="0" fontId="0" fillId="4" borderId="10" xfId="0" applyFill="1" applyBorder="1" applyProtection="1"/>
    <xf numFmtId="4" fontId="2" fillId="0" borderId="149" xfId="0" applyNumberFormat="1" applyFont="1" applyFill="1" applyBorder="1" applyAlignment="1" applyProtection="1">
      <alignment horizontal="center" vertical="center" wrapText="1"/>
      <protection locked="0"/>
    </xf>
    <xf numFmtId="0" fontId="0" fillId="16" borderId="0" xfId="0" applyFill="1" applyProtection="1"/>
    <xf numFmtId="0" fontId="0" fillId="16" borderId="0" xfId="0" applyFill="1" applyProtection="1">
      <protection locked="0"/>
    </xf>
    <xf numFmtId="0" fontId="0" fillId="16" borderId="0" xfId="0" applyFill="1"/>
    <xf numFmtId="0" fontId="0" fillId="16" borderId="0" xfId="0" applyFill="1" applyAlignment="1" applyProtection="1">
      <alignment horizontal="center" vertical="center"/>
      <protection locked="0"/>
    </xf>
    <xf numFmtId="0" fontId="12" fillId="16" borderId="0" xfId="0" applyFont="1" applyFill="1" applyProtection="1">
      <protection locked="0"/>
    </xf>
    <xf numFmtId="0" fontId="0" fillId="16" borderId="0" xfId="0" applyFill="1" applyAlignment="1" applyProtection="1">
      <alignment wrapText="1"/>
      <protection locked="0"/>
    </xf>
    <xf numFmtId="0" fontId="0" fillId="16" borderId="0" xfId="0" applyFill="1" applyAlignment="1" applyProtection="1">
      <protection locked="0"/>
    </xf>
    <xf numFmtId="0" fontId="64" fillId="16" borderId="54" xfId="0" applyFont="1" applyFill="1" applyBorder="1" applyAlignment="1" applyProtection="1">
      <alignment horizontal="left"/>
    </xf>
    <xf numFmtId="0" fontId="0" fillId="16" borderId="54" xfId="0" applyFill="1" applyBorder="1" applyAlignment="1" applyProtection="1">
      <alignment horizontal="center"/>
    </xf>
    <xf numFmtId="0" fontId="0" fillId="16" borderId="54" xfId="0" applyFill="1" applyBorder="1" applyProtection="1"/>
    <xf numFmtId="0" fontId="13" fillId="16" borderId="54" xfId="0" applyFont="1" applyFill="1" applyBorder="1" applyAlignment="1" applyProtection="1">
      <alignment horizontal="center"/>
    </xf>
    <xf numFmtId="0" fontId="0" fillId="16" borderId="0" xfId="0" applyFill="1" applyBorder="1" applyAlignment="1" applyProtection="1"/>
    <xf numFmtId="0" fontId="0" fillId="16" borderId="0" xfId="0" applyFill="1" applyBorder="1" applyAlignment="1" applyProtection="1">
      <alignment wrapText="1"/>
    </xf>
    <xf numFmtId="0" fontId="0" fillId="16" borderId="0" xfId="0" applyFill="1" applyBorder="1" applyAlignment="1">
      <alignment wrapText="1"/>
    </xf>
    <xf numFmtId="0" fontId="0" fillId="16" borderId="0" xfId="0" applyFill="1" applyAlignment="1" applyProtection="1">
      <alignment wrapText="1"/>
    </xf>
    <xf numFmtId="0" fontId="0" fillId="16" borderId="0" xfId="0" applyFill="1" applyBorder="1" applyAlignment="1" applyProtection="1">
      <alignment horizontal="center" wrapText="1"/>
    </xf>
    <xf numFmtId="0" fontId="23" fillId="16" borderId="0" xfId="0" applyFont="1" applyFill="1" applyAlignment="1" applyProtection="1">
      <alignment horizontal="left" wrapText="1"/>
    </xf>
    <xf numFmtId="0" fontId="0" fillId="16" borderId="0" xfId="0" applyFill="1" applyAlignment="1" applyProtection="1">
      <alignment horizontal="center"/>
    </xf>
    <xf numFmtId="3" fontId="0" fillId="16" borderId="0" xfId="0" applyNumberFormat="1" applyFill="1" applyAlignment="1" applyProtection="1">
      <alignment horizontal="center"/>
    </xf>
    <xf numFmtId="0" fontId="23" fillId="16" borderId="0" xfId="0" applyFont="1" applyFill="1" applyProtection="1"/>
    <xf numFmtId="0" fontId="74" fillId="16" borderId="0" xfId="0" applyFont="1" applyFill="1" applyProtection="1"/>
    <xf numFmtId="0" fontId="0" fillId="16" borderId="0" xfId="0" applyFill="1" applyAlignment="1" applyProtection="1"/>
    <xf numFmtId="0" fontId="66" fillId="16" borderId="0" xfId="0" applyFont="1" applyFill="1" applyProtection="1">
      <protection locked="0"/>
    </xf>
    <xf numFmtId="0" fontId="0" fillId="16" borderId="0" xfId="0" applyFill="1" applyAlignment="1" applyProtection="1">
      <alignment horizontal="center"/>
      <protection locked="0"/>
    </xf>
    <xf numFmtId="3" fontId="0" fillId="16" borderId="0" xfId="0" applyNumberFormat="1" applyFill="1" applyAlignment="1" applyProtection="1">
      <alignment horizontal="center"/>
      <protection locked="0"/>
    </xf>
    <xf numFmtId="0" fontId="23" fillId="16" borderId="0" xfId="0" applyFont="1" applyFill="1" applyBorder="1" applyAlignment="1" applyProtection="1"/>
    <xf numFmtId="167" fontId="23" fillId="16" borderId="0" xfId="0" applyNumberFormat="1" applyFont="1" applyFill="1" applyBorder="1" applyAlignment="1" applyProtection="1">
      <alignment horizontal="center"/>
    </xf>
    <xf numFmtId="3" fontId="23" fillId="16" borderId="0" xfId="0" applyNumberFormat="1" applyFont="1" applyFill="1" applyBorder="1" applyAlignment="1" applyProtection="1">
      <alignment horizontal="center" wrapText="1"/>
    </xf>
    <xf numFmtId="0" fontId="75" fillId="0" borderId="0" xfId="0" applyFont="1" applyAlignment="1">
      <alignment vertical="center"/>
    </xf>
    <xf numFmtId="4" fontId="2" fillId="0" borderId="150" xfId="0" applyNumberFormat="1" applyFont="1" applyFill="1" applyBorder="1" applyAlignment="1" applyProtection="1">
      <alignment horizontal="center" vertical="center" wrapText="1"/>
      <protection locked="0"/>
    </xf>
    <xf numFmtId="49" fontId="2" fillId="16" borderId="11" xfId="5" applyNumberFormat="1" applyFont="1" applyFill="1" applyBorder="1" applyAlignment="1" applyProtection="1">
      <alignment wrapText="1"/>
      <protection locked="0"/>
    </xf>
    <xf numFmtId="49" fontId="2" fillId="16" borderId="0" xfId="5" applyNumberFormat="1" applyFont="1" applyFill="1" applyBorder="1" applyAlignment="1" applyProtection="1">
      <alignment wrapText="1"/>
      <protection locked="0"/>
    </xf>
    <xf numFmtId="0" fontId="12" fillId="16" borderId="0" xfId="0" applyFont="1" applyFill="1" applyProtection="1"/>
    <xf numFmtId="0" fontId="21" fillId="3" borderId="0" xfId="6" applyFont="1" applyFill="1" applyAlignment="1" applyProtection="1">
      <alignment horizontal="left" wrapText="1"/>
    </xf>
    <xf numFmtId="0" fontId="11" fillId="2" borderId="0" xfId="6" applyFont="1" applyFill="1" applyBorder="1" applyAlignment="1" applyProtection="1">
      <alignment horizontal="left" vertical="center"/>
    </xf>
    <xf numFmtId="0" fontId="11" fillId="2" borderId="0" xfId="6" applyFont="1" applyFill="1" applyBorder="1" applyAlignment="1" applyProtection="1">
      <alignment horizontal="center"/>
    </xf>
    <xf numFmtId="0" fontId="50" fillId="3" borderId="0" xfId="6" applyFont="1" applyFill="1" applyAlignment="1" applyProtection="1">
      <alignment horizontal="left" wrapText="1"/>
    </xf>
    <xf numFmtId="0" fontId="9" fillId="3" borderId="97" xfId="6" applyFont="1" applyFill="1" applyBorder="1" applyProtection="1"/>
    <xf numFmtId="0" fontId="9" fillId="3" borderId="123" xfId="6" applyFont="1" applyFill="1" applyBorder="1" applyProtection="1"/>
    <xf numFmtId="0" fontId="13" fillId="5" borderId="14" xfId="0" applyFont="1" applyFill="1" applyBorder="1" applyAlignment="1" applyProtection="1">
      <alignment horizontal="center" vertical="center" wrapText="1"/>
    </xf>
    <xf numFmtId="0" fontId="50" fillId="3" borderId="0" xfId="6" applyFont="1" applyFill="1" applyAlignment="1" applyProtection="1">
      <alignment wrapText="1"/>
    </xf>
    <xf numFmtId="0" fontId="0" fillId="3" borderId="0" xfId="0" applyNumberFormat="1" applyFill="1"/>
    <xf numFmtId="0" fontId="2" fillId="3" borderId="32" xfId="0" applyFont="1" applyFill="1" applyBorder="1" applyProtection="1"/>
    <xf numFmtId="0" fontId="2" fillId="3" borderId="38" xfId="0" applyFont="1" applyFill="1" applyBorder="1" applyProtection="1"/>
    <xf numFmtId="0" fontId="2" fillId="3" borderId="32" xfId="0" applyFont="1" applyFill="1" applyBorder="1" applyAlignment="1" applyProtection="1"/>
    <xf numFmtId="0" fontId="2" fillId="0" borderId="33" xfId="0" applyFont="1" applyBorder="1" applyAlignment="1" applyProtection="1"/>
    <xf numFmtId="0" fontId="2" fillId="0" borderId="51" xfId="0" applyFont="1" applyBorder="1" applyAlignment="1" applyProtection="1"/>
    <xf numFmtId="0" fontId="2" fillId="3" borderId="47" xfId="0" applyFont="1" applyFill="1" applyBorder="1" applyAlignment="1" applyProtection="1"/>
    <xf numFmtId="0" fontId="35" fillId="0" borderId="0" xfId="0" applyFont="1" applyBorder="1" applyProtection="1"/>
    <xf numFmtId="0" fontId="35" fillId="3" borderId="0" xfId="0" applyFont="1" applyFill="1" applyBorder="1" applyProtection="1"/>
    <xf numFmtId="0" fontId="8" fillId="3" borderId="0" xfId="0" applyFont="1" applyFill="1" applyBorder="1" applyProtection="1"/>
    <xf numFmtId="0" fontId="8" fillId="19" borderId="0" xfId="0" applyFont="1" applyFill="1" applyBorder="1" applyProtection="1"/>
    <xf numFmtId="0" fontId="8" fillId="3" borderId="0" xfId="0" applyFont="1" applyFill="1" applyBorder="1" applyAlignment="1" applyProtection="1">
      <alignment wrapText="1"/>
    </xf>
    <xf numFmtId="3" fontId="15" fillId="6" borderId="89" xfId="0" applyNumberFormat="1" applyFont="1" applyFill="1" applyBorder="1" applyAlignment="1" applyProtection="1">
      <alignment horizontal="left" vertical="center"/>
    </xf>
    <xf numFmtId="168" fontId="15" fillId="0" borderId="41" xfId="0" applyNumberFormat="1" applyFont="1" applyFill="1" applyBorder="1" applyAlignment="1" applyProtection="1">
      <alignment horizontal="right" vertical="center"/>
    </xf>
    <xf numFmtId="168" fontId="15" fillId="3" borderId="98" xfId="0" applyNumberFormat="1" applyFont="1" applyFill="1" applyBorder="1" applyAlignment="1" applyProtection="1">
      <alignment horizontal="right" vertical="center"/>
    </xf>
    <xf numFmtId="168" fontId="15" fillId="3" borderId="98" xfId="0" applyNumberFormat="1" applyFont="1" applyFill="1" applyBorder="1" applyAlignment="1" applyProtection="1">
      <alignment horizontal="center" vertical="center"/>
    </xf>
    <xf numFmtId="0" fontId="21" fillId="3" borderId="0" xfId="0" applyFont="1" applyFill="1" applyBorder="1" applyAlignment="1" applyProtection="1">
      <alignment horizontal="left" wrapText="1"/>
    </xf>
    <xf numFmtId="166" fontId="2" fillId="0" borderId="0" xfId="1" applyNumberFormat="1" applyBorder="1" applyProtection="1"/>
    <xf numFmtId="168" fontId="15" fillId="0" borderId="0" xfId="0" applyNumberFormat="1" applyFont="1" applyFill="1" applyBorder="1" applyAlignment="1" applyProtection="1">
      <alignment horizontal="right" vertical="center"/>
    </xf>
    <xf numFmtId="0" fontId="23" fillId="0" borderId="0" xfId="0" applyFont="1" applyBorder="1" applyAlignment="1" applyProtection="1"/>
    <xf numFmtId="166" fontId="12" fillId="3" borderId="0" xfId="1" applyNumberFormat="1" applyFont="1" applyFill="1" applyBorder="1" applyProtection="1"/>
    <xf numFmtId="168" fontId="15" fillId="16" borderId="0" xfId="0" applyNumberFormat="1" applyFont="1" applyFill="1" applyBorder="1" applyAlignment="1" applyProtection="1">
      <alignment horizontal="right" vertical="center"/>
    </xf>
    <xf numFmtId="0" fontId="8" fillId="16" borderId="0" xfId="0" applyFont="1" applyFill="1" applyBorder="1" applyProtection="1"/>
    <xf numFmtId="166" fontId="12" fillId="16" borderId="0" xfId="1" applyNumberFormat="1" applyFont="1" applyFill="1" applyBorder="1" applyProtection="1"/>
    <xf numFmtId="0" fontId="12" fillId="16" borderId="0" xfId="0" applyFont="1" applyFill="1" applyBorder="1" applyProtection="1"/>
    <xf numFmtId="166" fontId="2" fillId="16" borderId="0" xfId="1" applyNumberFormat="1" applyFill="1" applyBorder="1" applyProtection="1"/>
    <xf numFmtId="0" fontId="0" fillId="16" borderId="0" xfId="0" applyFill="1" applyBorder="1" applyProtection="1"/>
    <xf numFmtId="0" fontId="12" fillId="16" borderId="0" xfId="0" applyFont="1" applyFill="1" applyBorder="1" applyAlignment="1" applyProtection="1">
      <alignment horizontal="left" vertical="center" wrapText="1"/>
    </xf>
    <xf numFmtId="0" fontId="15" fillId="16" borderId="0" xfId="0" applyFont="1" applyFill="1" applyBorder="1" applyAlignment="1" applyProtection="1">
      <alignment horizontal="left" vertical="center" wrapText="1"/>
    </xf>
    <xf numFmtId="0" fontId="0" fillId="0" borderId="41" xfId="0" applyFill="1" applyBorder="1" applyAlignment="1" applyProtection="1">
      <alignment horizontal="center" vertical="center" wrapText="1"/>
    </xf>
    <xf numFmtId="0" fontId="23" fillId="0" borderId="47" xfId="0" applyFont="1" applyFill="1" applyBorder="1" applyAlignment="1" applyProtection="1"/>
    <xf numFmtId="0" fontId="0" fillId="0" borderId="98" xfId="0" applyFill="1" applyBorder="1" applyAlignment="1" applyProtection="1">
      <alignment vertical="center"/>
    </xf>
    <xf numFmtId="166" fontId="2" fillId="3" borderId="47" xfId="1" applyNumberFormat="1" applyFill="1" applyBorder="1" applyAlignment="1" applyProtection="1">
      <alignment horizontal="center"/>
    </xf>
    <xf numFmtId="0" fontId="37" fillId="3" borderId="0" xfId="0" applyFont="1" applyFill="1" applyBorder="1" applyAlignment="1" applyProtection="1">
      <alignment vertical="center" wrapText="1"/>
    </xf>
    <xf numFmtId="166" fontId="2" fillId="3" borderId="0" xfId="1" applyNumberFormat="1" applyFill="1" applyBorder="1" applyAlignment="1" applyProtection="1">
      <alignment horizontal="center"/>
    </xf>
    <xf numFmtId="0" fontId="42" fillId="3" borderId="0" xfId="0" applyFont="1" applyFill="1" applyBorder="1" applyProtection="1"/>
    <xf numFmtId="0" fontId="0" fillId="3" borderId="0" xfId="0" applyFill="1" applyBorder="1" applyAlignment="1" applyProtection="1">
      <alignment horizontal="center"/>
    </xf>
    <xf numFmtId="168" fontId="13" fillId="3" borderId="0" xfId="0" applyNumberFormat="1" applyFont="1" applyFill="1" applyBorder="1" applyAlignment="1" applyProtection="1">
      <alignment horizontal="right"/>
    </xf>
    <xf numFmtId="4" fontId="15" fillId="0" borderId="32" xfId="0" applyNumberFormat="1" applyFont="1" applyFill="1" applyBorder="1" applyAlignment="1" applyProtection="1">
      <alignment horizontal="right" vertical="center"/>
    </xf>
    <xf numFmtId="3" fontId="15" fillId="0" borderId="38" xfId="0" applyNumberFormat="1" applyFont="1" applyFill="1" applyBorder="1" applyAlignment="1" applyProtection="1"/>
    <xf numFmtId="3" fontId="15" fillId="3" borderId="38" xfId="0" applyNumberFormat="1" applyFont="1" applyFill="1" applyBorder="1" applyAlignment="1" applyProtection="1"/>
    <xf numFmtId="0" fontId="15" fillId="0" borderId="32" xfId="0" applyFont="1" applyBorder="1" applyAlignment="1" applyProtection="1"/>
    <xf numFmtId="0" fontId="15" fillId="3" borderId="32" xfId="0" applyFont="1" applyFill="1" applyBorder="1" applyAlignment="1" applyProtection="1"/>
    <xf numFmtId="0" fontId="8" fillId="0" borderId="32" xfId="0" applyFont="1" applyBorder="1" applyAlignment="1" applyProtection="1"/>
    <xf numFmtId="0" fontId="8" fillId="3" borderId="32" xfId="0" applyFont="1" applyFill="1" applyBorder="1" applyAlignment="1" applyProtection="1"/>
    <xf numFmtId="0" fontId="15" fillId="0" borderId="33" xfId="0" applyFont="1" applyFill="1" applyBorder="1" applyAlignment="1" applyProtection="1">
      <alignment vertical="center"/>
    </xf>
    <xf numFmtId="0" fontId="8" fillId="0" borderId="35" xfId="0" applyFont="1" applyFill="1" applyBorder="1" applyAlignment="1" applyProtection="1"/>
    <xf numFmtId="0" fontId="8" fillId="0" borderId="51" xfId="0" applyFont="1" applyBorder="1" applyAlignment="1" applyProtection="1"/>
    <xf numFmtId="0" fontId="8" fillId="0" borderId="47" xfId="0" applyFont="1" applyBorder="1" applyAlignment="1" applyProtection="1"/>
    <xf numFmtId="0" fontId="13" fillId="0" borderId="1" xfId="0" applyFont="1" applyFill="1" applyBorder="1" applyAlignment="1" applyProtection="1">
      <alignment horizontal="center" vertical="center"/>
      <protection locked="0"/>
    </xf>
    <xf numFmtId="0" fontId="12" fillId="16" borderId="1" xfId="0" applyNumberFormat="1" applyFont="1" applyFill="1" applyBorder="1" applyAlignment="1" applyProtection="1">
      <alignment horizontal="center" vertical="center" wrapText="1"/>
      <protection locked="0"/>
    </xf>
    <xf numFmtId="0" fontId="12" fillId="0" borderId="13" xfId="0" applyFont="1" applyFill="1" applyBorder="1" applyAlignment="1" applyProtection="1">
      <alignment horizontal="left" vertical="center" wrapText="1" indent="1"/>
      <protection locked="0"/>
    </xf>
    <xf numFmtId="0" fontId="12" fillId="0" borderId="13" xfId="0" applyFont="1" applyFill="1" applyBorder="1" applyAlignment="1" applyProtection="1">
      <alignment horizontal="center" vertical="center" wrapText="1"/>
      <protection locked="0"/>
    </xf>
    <xf numFmtId="0" fontId="0" fillId="0" borderId="0" xfId="0" applyFill="1" applyAlignment="1" applyProtection="1">
      <alignment horizontal="center"/>
    </xf>
    <xf numFmtId="0" fontId="21" fillId="3" borderId="0" xfId="0" applyFont="1" applyFill="1" applyBorder="1" applyAlignment="1" applyProtection="1">
      <alignment wrapText="1"/>
    </xf>
    <xf numFmtId="0" fontId="0" fillId="3" borderId="0" xfId="0" applyFill="1" applyBorder="1" applyAlignment="1" applyProtection="1">
      <alignment vertical="top"/>
    </xf>
    <xf numFmtId="170" fontId="12" fillId="3" borderId="75" xfId="0" applyNumberFormat="1" applyFont="1" applyFill="1" applyBorder="1" applyAlignment="1" applyProtection="1">
      <alignment horizontal="right" vertical="center"/>
      <protection locked="0"/>
    </xf>
    <xf numFmtId="167" fontId="12" fillId="16" borderId="1" xfId="0" applyNumberFormat="1" applyFont="1" applyFill="1" applyBorder="1" applyAlignment="1" applyProtection="1">
      <alignment horizontal="left" vertical="center" indent="1"/>
      <protection locked="0"/>
    </xf>
    <xf numFmtId="167" fontId="12" fillId="16" borderId="4" xfId="0" applyNumberFormat="1" applyFont="1" applyFill="1" applyBorder="1" applyAlignment="1" applyProtection="1">
      <alignment horizontal="left" vertical="center" indent="1"/>
      <protection locked="0"/>
    </xf>
    <xf numFmtId="172" fontId="8" fillId="3" borderId="69" xfId="0" applyNumberFormat="1" applyFont="1" applyFill="1"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173" fontId="12" fillId="0" borderId="1" xfId="7" applyNumberFormat="1" applyFont="1" applyFill="1" applyBorder="1" applyAlignment="1" applyProtection="1">
      <alignment horizontal="center" vertical="center" wrapText="1"/>
      <protection locked="0"/>
    </xf>
    <xf numFmtId="167" fontId="12" fillId="0" borderId="16" xfId="0" applyNumberFormat="1" applyFont="1" applyFill="1" applyBorder="1" applyAlignment="1" applyProtection="1">
      <alignment horizontal="left" vertical="center" indent="1"/>
      <protection locked="0"/>
    </xf>
    <xf numFmtId="0" fontId="13" fillId="5" borderId="89" xfId="0" applyFont="1" applyFill="1" applyBorder="1" applyAlignment="1" applyProtection="1">
      <alignment horizontal="center" vertical="center" wrapText="1"/>
    </xf>
    <xf numFmtId="0" fontId="12" fillId="0" borderId="23" xfId="0" applyFont="1" applyFill="1" applyBorder="1" applyAlignment="1" applyProtection="1">
      <alignment horizontal="left" vertical="center" wrapText="1" indent="1"/>
      <protection locked="0"/>
    </xf>
    <xf numFmtId="0" fontId="12" fillId="0" borderId="27" xfId="0" applyFont="1" applyFill="1" applyBorder="1" applyAlignment="1" applyProtection="1">
      <alignment horizontal="left" vertical="center" wrapText="1" indent="1"/>
      <protection locked="0"/>
    </xf>
    <xf numFmtId="0" fontId="12" fillId="0" borderId="152" xfId="0" applyFont="1" applyFill="1" applyBorder="1" applyAlignment="1" applyProtection="1">
      <alignment horizontal="center" vertical="center" wrapText="1"/>
      <protection locked="0"/>
    </xf>
    <xf numFmtId="0" fontId="13" fillId="5" borderId="84" xfId="0" applyFont="1" applyFill="1" applyBorder="1" applyAlignment="1" applyProtection="1">
      <alignment horizontal="center" vertical="center"/>
    </xf>
    <xf numFmtId="0" fontId="12" fillId="0" borderId="28" xfId="0" applyFont="1" applyFill="1" applyBorder="1" applyAlignment="1" applyProtection="1">
      <alignment horizontal="center" vertical="center" wrapText="1"/>
      <protection locked="0"/>
    </xf>
    <xf numFmtId="0" fontId="12" fillId="0" borderId="153" xfId="0" applyFont="1" applyFill="1" applyBorder="1" applyAlignment="1" applyProtection="1">
      <alignment horizontal="left" vertical="center" wrapText="1" indent="1"/>
      <protection locked="0"/>
    </xf>
    <xf numFmtId="0" fontId="13" fillId="5" borderId="15" xfId="0" applyFont="1" applyFill="1" applyBorder="1" applyAlignment="1" applyProtection="1">
      <alignment horizontal="center" vertical="center" wrapText="1"/>
    </xf>
    <xf numFmtId="0" fontId="12" fillId="4" borderId="12" xfId="0" applyNumberFormat="1" applyFont="1" applyFill="1" applyBorder="1" applyAlignment="1" applyProtection="1">
      <alignment horizontal="center" vertical="center" wrapText="1"/>
    </xf>
    <xf numFmtId="0" fontId="12" fillId="4" borderId="4" xfId="0" applyNumberFormat="1" applyFont="1" applyFill="1" applyBorder="1" applyAlignment="1" applyProtection="1">
      <alignment horizontal="center" vertical="center" wrapText="1"/>
    </xf>
    <xf numFmtId="0" fontId="12" fillId="4" borderId="154" xfId="0" applyNumberFormat="1" applyFont="1" applyFill="1" applyBorder="1" applyAlignment="1" applyProtection="1">
      <alignment horizontal="center" vertical="center" wrapText="1"/>
    </xf>
    <xf numFmtId="3" fontId="15" fillId="6" borderId="12" xfId="0" applyNumberFormat="1" applyFont="1" applyFill="1" applyBorder="1" applyAlignment="1" applyProtection="1">
      <alignment horizontal="left" vertical="center"/>
    </xf>
    <xf numFmtId="3" fontId="12" fillId="3" borderId="154" xfId="0" applyNumberFormat="1" applyFont="1" applyFill="1" applyBorder="1" applyAlignment="1" applyProtection="1">
      <alignment horizontal="center" vertical="center" wrapText="1"/>
      <protection locked="0"/>
    </xf>
    <xf numFmtId="3" fontId="12" fillId="3" borderId="95" xfId="0" applyNumberFormat="1" applyFont="1" applyFill="1" applyBorder="1" applyAlignment="1" applyProtection="1">
      <alignment horizontal="center" vertical="center" wrapText="1"/>
      <protection locked="0"/>
    </xf>
    <xf numFmtId="0" fontId="12" fillId="3" borderId="11" xfId="0" applyFont="1" applyFill="1" applyBorder="1" applyAlignment="1" applyProtection="1">
      <alignment horizontal="left" vertical="center"/>
    </xf>
    <xf numFmtId="0" fontId="15" fillId="3" borderId="117" xfId="0" applyFont="1" applyFill="1" applyBorder="1" applyAlignment="1" applyProtection="1">
      <alignment horizontal="left" vertical="center" indent="1"/>
    </xf>
    <xf numFmtId="3" fontId="13" fillId="6" borderId="12" xfId="0" applyNumberFormat="1" applyFont="1" applyFill="1" applyBorder="1" applyAlignment="1" applyProtection="1">
      <alignment horizontal="center" vertical="center" wrapText="1"/>
    </xf>
    <xf numFmtId="3" fontId="12" fillId="3" borderId="4" xfId="0" applyNumberFormat="1" applyFont="1" applyFill="1" applyBorder="1" applyAlignment="1" applyProtection="1">
      <alignment horizontal="center" vertical="center" wrapText="1"/>
      <protection locked="0"/>
    </xf>
    <xf numFmtId="3" fontId="15" fillId="3" borderId="1" xfId="0" applyNumberFormat="1" applyFont="1" applyFill="1" applyBorder="1" applyAlignment="1" applyProtection="1">
      <alignment horizontal="center" vertical="center"/>
      <protection locked="0"/>
    </xf>
    <xf numFmtId="3" fontId="15" fillId="4" borderId="91" xfId="0" applyNumberFormat="1" applyFont="1" applyFill="1" applyBorder="1" applyAlignment="1" applyProtection="1">
      <alignment horizontal="center" vertical="center"/>
    </xf>
    <xf numFmtId="3" fontId="15" fillId="3" borderId="92" xfId="0" applyNumberFormat="1" applyFont="1" applyFill="1" applyBorder="1" applyAlignment="1" applyProtection="1">
      <alignment horizontal="center" vertical="center"/>
      <protection locked="0"/>
    </xf>
    <xf numFmtId="3" fontId="15" fillId="3" borderId="93" xfId="0" applyNumberFormat="1" applyFont="1" applyFill="1" applyBorder="1" applyAlignment="1" applyProtection="1">
      <alignment horizontal="center" vertical="center"/>
      <protection locked="0"/>
    </xf>
    <xf numFmtId="3" fontId="15" fillId="4" borderId="151" xfId="0" applyNumberFormat="1" applyFont="1" applyFill="1" applyBorder="1" applyAlignment="1" applyProtection="1">
      <alignment horizontal="center" vertical="center"/>
    </xf>
    <xf numFmtId="0" fontId="12" fillId="0" borderId="95" xfId="0" applyFont="1" applyFill="1" applyBorder="1" applyAlignment="1" applyProtection="1">
      <alignment horizontal="left" vertical="center" wrapText="1"/>
      <protection locked="0"/>
    </xf>
    <xf numFmtId="0" fontId="12" fillId="3" borderId="1" xfId="6" applyNumberFormat="1" applyFont="1" applyFill="1" applyBorder="1" applyAlignment="1" applyProtection="1">
      <alignment horizontal="left" vertical="center" wrapText="1"/>
      <protection locked="0"/>
    </xf>
    <xf numFmtId="0" fontId="12" fillId="3" borderId="16" xfId="6" applyNumberFormat="1" applyFont="1" applyFill="1" applyBorder="1" applyAlignment="1" applyProtection="1">
      <alignment horizontal="left" vertical="center" wrapText="1"/>
      <protection locked="0"/>
    </xf>
    <xf numFmtId="0" fontId="2" fillId="3" borderId="0" xfId="6" applyNumberFormat="1" applyFill="1" applyProtection="1"/>
    <xf numFmtId="0" fontId="12" fillId="3" borderId="0" xfId="6" applyNumberFormat="1" applyFont="1" applyFill="1" applyBorder="1" applyAlignment="1" applyProtection="1">
      <alignment horizontal="left" vertical="center" wrapText="1"/>
      <protection locked="0"/>
    </xf>
    <xf numFmtId="0" fontId="12" fillId="0" borderId="0" xfId="6" applyNumberFormat="1" applyFont="1" applyProtection="1"/>
    <xf numFmtId="0" fontId="11" fillId="2" borderId="0" xfId="6" applyNumberFormat="1" applyFont="1" applyFill="1" applyBorder="1" applyAlignment="1" applyProtection="1">
      <alignment horizontal="center"/>
    </xf>
    <xf numFmtId="0" fontId="12" fillId="3" borderId="0" xfId="6" applyNumberFormat="1" applyFont="1" applyFill="1" applyProtection="1"/>
    <xf numFmtId="0" fontId="12" fillId="3" borderId="0" xfId="6" applyNumberFormat="1" applyFont="1" applyFill="1" applyBorder="1" applyAlignment="1" applyProtection="1">
      <alignment horizontal="left"/>
    </xf>
    <xf numFmtId="0" fontId="12" fillId="3" borderId="0" xfId="6" applyNumberFormat="1" applyFont="1" applyFill="1" applyBorder="1" applyAlignment="1" applyProtection="1"/>
    <xf numFmtId="165" fontId="12" fillId="3" borderId="1" xfId="1" applyFont="1" applyFill="1" applyBorder="1" applyAlignment="1" applyProtection="1">
      <alignment horizontal="right" vertical="center" wrapText="1"/>
      <protection locked="0"/>
    </xf>
    <xf numFmtId="175" fontId="12" fillId="3" borderId="1" xfId="1" applyNumberFormat="1" applyFont="1" applyFill="1" applyBorder="1" applyAlignment="1" applyProtection="1">
      <alignment horizontal="right" vertical="center" wrapText="1"/>
      <protection locked="0"/>
    </xf>
    <xf numFmtId="175" fontId="12" fillId="3" borderId="1" xfId="1" applyNumberFormat="1" applyFont="1" applyFill="1" applyBorder="1" applyAlignment="1" applyProtection="1">
      <alignment vertical="center" wrapText="1"/>
      <protection locked="0"/>
    </xf>
    <xf numFmtId="174" fontId="12" fillId="3" borderId="1" xfId="1" applyNumberFormat="1" applyFont="1" applyFill="1" applyBorder="1" applyAlignment="1" applyProtection="1">
      <alignment vertical="center" wrapText="1"/>
      <protection locked="0"/>
    </xf>
    <xf numFmtId="176" fontId="12" fillId="3" borderId="1" xfId="6" applyNumberFormat="1" applyFont="1" applyFill="1" applyBorder="1" applyAlignment="1" applyProtection="1">
      <alignment horizontal="left" vertical="center" wrapText="1"/>
      <protection locked="0"/>
    </xf>
    <xf numFmtId="177" fontId="12" fillId="3" borderId="1" xfId="6" applyNumberFormat="1" applyFont="1" applyFill="1" applyBorder="1" applyAlignment="1" applyProtection="1">
      <alignment horizontal="left" vertical="center" wrapText="1"/>
      <protection locked="0"/>
    </xf>
    <xf numFmtId="4" fontId="12" fillId="3" borderId="1" xfId="6" applyNumberFormat="1" applyFont="1" applyFill="1" applyBorder="1" applyAlignment="1" applyProtection="1">
      <alignment horizontal="right" vertical="center" wrapText="1"/>
      <protection locked="0"/>
    </xf>
    <xf numFmtId="176" fontId="12" fillId="3" borderId="1" xfId="6" applyNumberFormat="1" applyFont="1" applyFill="1" applyBorder="1" applyAlignment="1" applyProtection="1">
      <alignment horizontal="right" vertical="center" wrapText="1"/>
      <protection locked="0"/>
    </xf>
    <xf numFmtId="0" fontId="2" fillId="3" borderId="48" xfId="0" applyFont="1" applyFill="1" applyBorder="1" applyProtection="1"/>
    <xf numFmtId="4" fontId="15" fillId="4" borderId="1" xfId="0" applyNumberFormat="1" applyFont="1" applyFill="1" applyBorder="1" applyAlignment="1" applyProtection="1">
      <alignment horizontal="center"/>
    </xf>
    <xf numFmtId="4" fontId="15" fillId="3" borderId="0" xfId="0" applyNumberFormat="1" applyFont="1" applyFill="1" applyBorder="1" applyAlignment="1" applyProtection="1"/>
    <xf numFmtId="4" fontId="15" fillId="3" borderId="0" xfId="0" applyNumberFormat="1" applyFont="1" applyFill="1" applyBorder="1" applyAlignment="1" applyProtection="1">
      <alignment horizontal="center"/>
    </xf>
    <xf numFmtId="178" fontId="12" fillId="0" borderId="75" xfId="7" applyNumberFormat="1" applyFont="1" applyFill="1" applyBorder="1" applyAlignment="1" applyProtection="1">
      <alignment horizontal="center" vertical="center" wrapText="1"/>
      <protection locked="0"/>
    </xf>
    <xf numFmtId="164" fontId="12" fillId="16" borderId="1" xfId="0" applyNumberFormat="1" applyFont="1" applyFill="1" applyBorder="1" applyAlignment="1" applyProtection="1">
      <alignment horizontal="center" vertical="center" wrapText="1"/>
      <protection locked="0"/>
    </xf>
    <xf numFmtId="164" fontId="12" fillId="4" borderId="1" xfId="0" applyNumberFormat="1" applyFont="1" applyFill="1" applyBorder="1" applyAlignment="1" applyProtection="1">
      <alignment horizontal="center" vertical="center" wrapText="1"/>
    </xf>
    <xf numFmtId="164" fontId="12" fillId="0" borderId="13" xfId="0" applyNumberFormat="1" applyFont="1" applyFill="1" applyBorder="1" applyAlignment="1" applyProtection="1">
      <alignment horizontal="center" vertical="center" wrapText="1"/>
      <protection locked="0"/>
    </xf>
    <xf numFmtId="164" fontId="12" fillId="0" borderId="1" xfId="0" applyNumberFormat="1" applyFont="1" applyFill="1" applyBorder="1" applyAlignment="1" applyProtection="1">
      <alignment horizontal="center" vertical="center"/>
      <protection locked="0"/>
    </xf>
    <xf numFmtId="9" fontId="12" fillId="0" borderId="13" xfId="7" applyFont="1" applyFill="1" applyBorder="1" applyAlignment="1" applyProtection="1">
      <alignment horizontal="center" vertical="center"/>
      <protection locked="0"/>
    </xf>
    <xf numFmtId="9" fontId="12" fillId="0" borderId="23" xfId="7" applyFont="1" applyFill="1" applyBorder="1" applyAlignment="1" applyProtection="1">
      <alignment horizontal="center" vertical="center"/>
      <protection locked="0"/>
    </xf>
    <xf numFmtId="9" fontId="12" fillId="3" borderId="1" xfId="7" applyFont="1" applyFill="1" applyBorder="1" applyAlignment="1" applyProtection="1">
      <alignment horizontal="center" vertical="center" wrapText="1"/>
      <protection locked="0"/>
    </xf>
    <xf numFmtId="164" fontId="12" fillId="20" borderId="1" xfId="0" applyNumberFormat="1" applyFont="1" applyFill="1" applyBorder="1" applyAlignment="1" applyProtection="1">
      <alignment horizontal="left" vertical="center"/>
    </xf>
    <xf numFmtId="164" fontId="12" fillId="18" borderId="75" xfId="0" applyNumberFormat="1" applyFont="1" applyFill="1" applyBorder="1" applyAlignment="1" applyProtection="1">
      <alignment horizontal="left" vertical="center"/>
    </xf>
    <xf numFmtId="164" fontId="12" fillId="9" borderId="75" xfId="0" applyNumberFormat="1" applyFont="1" applyFill="1" applyBorder="1" applyProtection="1">
      <protection locked="0"/>
    </xf>
    <xf numFmtId="164" fontId="12" fillId="9" borderId="1" xfId="0" applyNumberFormat="1" applyFont="1" applyFill="1" applyBorder="1" applyProtection="1">
      <protection locked="0"/>
    </xf>
    <xf numFmtId="0" fontId="2" fillId="3" borderId="0" xfId="0" applyFont="1" applyFill="1" applyAlignment="1" applyProtection="1">
      <alignment vertical="center"/>
      <protection locked="0"/>
    </xf>
    <xf numFmtId="0" fontId="12" fillId="3" borderId="0" xfId="0" applyFont="1" applyFill="1" applyBorder="1" applyAlignment="1" applyProtection="1">
      <alignment horizontal="left" wrapText="1" indent="1"/>
      <protection locked="0"/>
    </xf>
    <xf numFmtId="164" fontId="12" fillId="0" borderId="1" xfId="7" applyNumberFormat="1" applyFont="1" applyFill="1" applyBorder="1" applyAlignment="1" applyProtection="1">
      <alignment horizontal="center" vertical="center" wrapText="1"/>
      <protection locked="0"/>
    </xf>
    <xf numFmtId="164" fontId="12" fillId="0" borderId="6" xfId="0" applyNumberFormat="1" applyFont="1" applyFill="1" applyBorder="1" applyAlignment="1" applyProtection="1">
      <alignment horizontal="center" vertical="center"/>
      <protection locked="0"/>
    </xf>
    <xf numFmtId="0" fontId="12" fillId="0" borderId="70" xfId="0" applyFont="1" applyFill="1" applyBorder="1" applyAlignment="1" applyProtection="1">
      <alignment horizontal="left" vertical="center" wrapText="1" indent="1"/>
      <protection locked="0"/>
    </xf>
    <xf numFmtId="0" fontId="12" fillId="0" borderId="16" xfId="0" applyFont="1" applyFill="1" applyBorder="1" applyAlignment="1" applyProtection="1">
      <alignment horizontal="left" vertical="center" wrapText="1" indent="1"/>
      <protection locked="0"/>
    </xf>
    <xf numFmtId="0" fontId="12" fillId="4" borderId="13" xfId="0" applyFont="1" applyFill="1" applyBorder="1" applyAlignment="1" applyProtection="1">
      <alignment horizontal="left" vertical="center" wrapText="1"/>
    </xf>
    <xf numFmtId="0" fontId="12" fillId="4" borderId="16" xfId="0" applyFont="1" applyFill="1" applyBorder="1" applyAlignment="1" applyProtection="1">
      <alignment horizontal="left" vertical="center" wrapText="1"/>
    </xf>
    <xf numFmtId="0" fontId="12" fillId="21" borderId="6" xfId="0" applyFont="1" applyFill="1" applyBorder="1" applyAlignment="1" applyProtection="1">
      <alignment horizontal="left" vertical="center" wrapText="1"/>
    </xf>
    <xf numFmtId="0" fontId="13" fillId="21" borderId="99" xfId="0" applyFont="1" applyFill="1" applyBorder="1" applyAlignment="1" applyProtection="1">
      <alignment horizontal="left" vertical="center" wrapText="1"/>
      <protection locked="0"/>
    </xf>
    <xf numFmtId="0" fontId="12" fillId="21" borderId="27" xfId="0" applyFont="1" applyFill="1" applyBorder="1" applyAlignment="1" applyProtection="1">
      <alignment horizontal="left" vertical="center" wrapText="1"/>
      <protection locked="0"/>
    </xf>
    <xf numFmtId="0" fontId="12" fillId="21" borderId="25" xfId="0" applyFont="1" applyFill="1" applyBorder="1" applyAlignment="1" applyProtection="1">
      <alignment horizontal="left" vertical="center" wrapText="1"/>
      <protection locked="0"/>
    </xf>
    <xf numFmtId="0" fontId="13" fillId="21" borderId="23" xfId="0" applyFont="1" applyFill="1" applyBorder="1" applyAlignment="1" applyProtection="1">
      <alignment horizontal="left" vertical="center" wrapText="1"/>
      <protection locked="0"/>
    </xf>
    <xf numFmtId="0" fontId="13" fillId="21" borderId="27" xfId="0" applyFont="1" applyFill="1" applyBorder="1" applyAlignment="1" applyProtection="1">
      <alignment horizontal="left" vertical="center" wrapText="1"/>
      <protection locked="0"/>
    </xf>
    <xf numFmtId="0" fontId="13" fillId="21" borderId="153" xfId="0" applyFont="1" applyFill="1" applyBorder="1" applyAlignment="1" applyProtection="1">
      <alignment horizontal="left" vertical="center" wrapText="1"/>
      <protection locked="0"/>
    </xf>
    <xf numFmtId="0" fontId="0" fillId="21" borderId="0" xfId="0" applyFill="1" applyProtection="1"/>
    <xf numFmtId="49" fontId="12" fillId="0" borderId="1" xfId="7" applyNumberFormat="1" applyFont="1" applyFill="1" applyBorder="1" applyAlignment="1" applyProtection="1">
      <alignment horizontal="center" vertical="center" wrapText="1"/>
      <protection locked="0"/>
    </xf>
    <xf numFmtId="49" fontId="12" fillId="0" borderId="13" xfId="0" applyNumberFormat="1" applyFont="1" applyFill="1" applyBorder="1" applyAlignment="1" applyProtection="1">
      <alignment horizontal="center" vertical="center" wrapText="1"/>
      <protection locked="0"/>
    </xf>
    <xf numFmtId="49" fontId="12" fillId="0" borderId="1" xfId="0" applyNumberFormat="1" applyFont="1" applyFill="1" applyBorder="1" applyAlignment="1" applyProtection="1">
      <alignment horizontal="center" vertical="center"/>
      <protection locked="0"/>
    </xf>
    <xf numFmtId="0" fontId="4" fillId="3" borderId="0" xfId="0" applyFont="1" applyFill="1" applyBorder="1" applyAlignment="1" applyProtection="1">
      <alignment horizontal="left"/>
    </xf>
    <xf numFmtId="0" fontId="12" fillId="0" borderId="0" xfId="0" applyFont="1" applyFill="1" applyBorder="1" applyAlignment="1" applyProtection="1">
      <alignment horizontal="left"/>
    </xf>
    <xf numFmtId="0" fontId="9" fillId="3" borderId="0" xfId="0" applyFont="1" applyFill="1" applyBorder="1" applyAlignment="1" applyProtection="1">
      <alignment horizontal="left"/>
    </xf>
    <xf numFmtId="0" fontId="4" fillId="3" borderId="0" xfId="0" applyFont="1" applyFill="1" applyBorder="1" applyAlignment="1" applyProtection="1">
      <alignment horizontal="left" indent="2"/>
    </xf>
    <xf numFmtId="0" fontId="7" fillId="3" borderId="0" xfId="0" applyFont="1" applyFill="1" applyBorder="1" applyAlignment="1" applyProtection="1">
      <alignment horizontal="left"/>
    </xf>
    <xf numFmtId="0" fontId="12" fillId="22" borderId="1" xfId="0" applyFont="1" applyFill="1" applyBorder="1" applyAlignment="1" applyProtection="1">
      <alignment horizontal="left"/>
    </xf>
    <xf numFmtId="0" fontId="12" fillId="23" borderId="1" xfId="0" applyFont="1" applyFill="1" applyBorder="1" applyAlignment="1" applyProtection="1">
      <alignment horizontal="left"/>
    </xf>
    <xf numFmtId="0" fontId="12" fillId="24" borderId="1" xfId="0" applyFont="1" applyFill="1" applyBorder="1" applyAlignment="1" applyProtection="1">
      <alignment horizontal="left"/>
    </xf>
    <xf numFmtId="0" fontId="12" fillId="25" borderId="1" xfId="0" applyFont="1" applyFill="1" applyBorder="1" applyAlignment="1" applyProtection="1">
      <alignment horizontal="left"/>
    </xf>
    <xf numFmtId="0" fontId="12" fillId="26" borderId="1" xfId="0" applyFont="1" applyFill="1" applyBorder="1" applyAlignment="1" applyProtection="1">
      <alignment horizontal="left"/>
    </xf>
    <xf numFmtId="0" fontId="4" fillId="3" borderId="54" xfId="0" applyFont="1" applyFill="1" applyBorder="1" applyAlignment="1" applyProtection="1">
      <alignment horizontal="left"/>
    </xf>
    <xf numFmtId="0" fontId="18" fillId="3" borderId="0" xfId="0" applyFont="1" applyFill="1" applyBorder="1" applyAlignment="1" applyProtection="1">
      <alignment horizontal="center" wrapText="1"/>
    </xf>
    <xf numFmtId="0" fontId="4" fillId="3" borderId="13" xfId="0" applyFont="1" applyFill="1" applyBorder="1" applyAlignment="1" applyProtection="1">
      <alignment horizontal="left" indent="2"/>
    </xf>
    <xf numFmtId="0" fontId="4" fillId="3" borderId="6" xfId="0" applyFont="1" applyFill="1" applyBorder="1" applyAlignment="1" applyProtection="1">
      <alignment horizontal="left" indent="2"/>
    </xf>
    <xf numFmtId="0" fontId="12" fillId="16" borderId="0" xfId="0" applyFont="1" applyFill="1" applyBorder="1" applyAlignment="1" applyProtection="1">
      <alignment horizontal="left" indent="1"/>
    </xf>
    <xf numFmtId="0" fontId="12" fillId="16" borderId="0" xfId="0" applyFont="1" applyFill="1" applyBorder="1" applyAlignment="1" applyProtection="1"/>
    <xf numFmtId="167" fontId="12" fillId="16" borderId="0" xfId="0" applyNumberFormat="1" applyFont="1" applyFill="1" applyBorder="1" applyAlignment="1" applyProtection="1">
      <alignment horizontal="left"/>
    </xf>
    <xf numFmtId="3" fontId="12" fillId="16" borderId="0" xfId="0" applyNumberFormat="1" applyFont="1" applyFill="1" applyBorder="1" applyAlignment="1" applyProtection="1">
      <alignment horizontal="right"/>
      <protection locked="0"/>
    </xf>
    <xf numFmtId="3" fontId="12" fillId="16" borderId="0" xfId="0" applyNumberFormat="1" applyFont="1" applyFill="1" applyBorder="1" applyAlignment="1" applyProtection="1">
      <alignment horizontal="right"/>
    </xf>
    <xf numFmtId="3" fontId="12" fillId="16" borderId="0" xfId="0" applyNumberFormat="1" applyFont="1" applyFill="1" applyBorder="1" applyAlignment="1" applyProtection="1">
      <alignment horizontal="left"/>
    </xf>
    <xf numFmtId="3" fontId="12" fillId="16" borderId="0" xfId="0" applyNumberFormat="1" applyFont="1" applyFill="1" applyBorder="1" applyAlignment="1" applyProtection="1"/>
    <xf numFmtId="3" fontId="13" fillId="16" borderId="0" xfId="0" applyNumberFormat="1" applyFont="1" applyFill="1" applyBorder="1" applyAlignment="1" applyProtection="1">
      <alignment horizontal="right"/>
    </xf>
    <xf numFmtId="0" fontId="2" fillId="16" borderId="0" xfId="0" applyFont="1" applyFill="1" applyBorder="1" applyAlignment="1" applyProtection="1"/>
    <xf numFmtId="0" fontId="83" fillId="16" borderId="0" xfId="0" applyFont="1" applyFill="1" applyBorder="1" applyAlignment="1" applyProtection="1">
      <alignment horizontal="left" indent="1"/>
    </xf>
    <xf numFmtId="167" fontId="12" fillId="18" borderId="55" xfId="0" applyNumberFormat="1" applyFont="1" applyFill="1" applyBorder="1" applyAlignment="1" applyProtection="1">
      <alignment horizontal="left"/>
    </xf>
    <xf numFmtId="3" fontId="12" fillId="16" borderId="54" xfId="0" applyNumberFormat="1" applyFont="1" applyFill="1" applyBorder="1" applyAlignment="1" applyProtection="1">
      <alignment horizontal="right"/>
      <protection locked="0"/>
    </xf>
    <xf numFmtId="0" fontId="15" fillId="16" borderId="0" xfId="0" applyFont="1" applyFill="1" applyBorder="1" applyAlignment="1" applyProtection="1"/>
    <xf numFmtId="0" fontId="12" fillId="16" borderId="0" xfId="0" applyFont="1" applyFill="1" applyAlignment="1" applyProtection="1">
      <alignment wrapText="1"/>
    </xf>
    <xf numFmtId="168" fontId="15" fillId="16" borderId="0" xfId="0" applyNumberFormat="1" applyFont="1" applyFill="1" applyBorder="1" applyAlignment="1" applyProtection="1">
      <alignment horizontal="right"/>
    </xf>
    <xf numFmtId="3" fontId="15" fillId="16" borderId="0" xfId="0" applyNumberFormat="1" applyFont="1" applyFill="1" applyBorder="1" applyAlignment="1" applyProtection="1">
      <alignment horizontal="right"/>
      <protection locked="0"/>
    </xf>
    <xf numFmtId="0" fontId="12" fillId="16" borderId="0" xfId="0" applyFont="1" applyFill="1" applyBorder="1" applyAlignment="1" applyProtection="1">
      <alignment horizontal="right" wrapText="1"/>
    </xf>
    <xf numFmtId="3" fontId="15" fillId="16" borderId="0" xfId="0" applyNumberFormat="1" applyFont="1" applyFill="1" applyBorder="1" applyAlignment="1" applyProtection="1"/>
    <xf numFmtId="167" fontId="15" fillId="16" borderId="0" xfId="0" applyNumberFormat="1" applyFont="1" applyFill="1" applyBorder="1" applyAlignment="1" applyProtection="1">
      <alignment horizontal="left"/>
    </xf>
    <xf numFmtId="0" fontId="12" fillId="16" borderId="51" xfId="0" applyFont="1" applyFill="1" applyBorder="1" applyAlignment="1" applyProtection="1"/>
    <xf numFmtId="0" fontId="15" fillId="16" borderId="34" xfId="0" applyFont="1" applyFill="1" applyBorder="1" applyAlignment="1" applyProtection="1"/>
    <xf numFmtId="0" fontId="12" fillId="16" borderId="34" xfId="0" applyFont="1" applyFill="1" applyBorder="1" applyAlignment="1" applyProtection="1"/>
    <xf numFmtId="0" fontId="12" fillId="16" borderId="0" xfId="0" applyFont="1" applyFill="1" applyBorder="1" applyAlignment="1" applyProtection="1">
      <alignment horizontal="center"/>
    </xf>
    <xf numFmtId="0" fontId="15" fillId="16" borderId="100" xfId="0" applyFont="1" applyFill="1" applyBorder="1" applyAlignment="1" applyProtection="1"/>
    <xf numFmtId="0" fontId="15" fillId="16" borderId="101" xfId="0" applyFont="1" applyFill="1" applyBorder="1" applyAlignment="1" applyProtection="1">
      <alignment horizontal="center"/>
    </xf>
    <xf numFmtId="0" fontId="15" fillId="16" borderId="55" xfId="0" applyFont="1" applyFill="1" applyBorder="1" applyAlignment="1" applyProtection="1"/>
    <xf numFmtId="0" fontId="84" fillId="3" borderId="32" xfId="0" applyFont="1" applyFill="1" applyBorder="1" applyAlignment="1" applyProtection="1"/>
    <xf numFmtId="0" fontId="84" fillId="3" borderId="0" xfId="0" applyFont="1" applyFill="1" applyBorder="1" applyAlignment="1" applyProtection="1"/>
    <xf numFmtId="3" fontId="13" fillId="4" borderId="1" xfId="0" applyNumberFormat="1" applyFont="1" applyFill="1" applyBorder="1" applyAlignment="1" applyProtection="1">
      <alignment horizontal="right"/>
    </xf>
    <xf numFmtId="3" fontId="12" fillId="18" borderId="54" xfId="0" applyNumberFormat="1" applyFont="1" applyFill="1" applyBorder="1" applyAlignment="1" applyProtection="1"/>
    <xf numFmtId="3" fontId="12" fillId="18" borderId="54" xfId="0" applyNumberFormat="1" applyFont="1" applyFill="1" applyBorder="1" applyAlignment="1" applyProtection="1">
      <alignment horizontal="right"/>
    </xf>
    <xf numFmtId="0" fontId="12" fillId="16" borderId="54" xfId="0" applyFont="1" applyFill="1" applyBorder="1" applyAlignment="1" applyProtection="1">
      <alignment horizontal="center"/>
      <protection locked="0"/>
    </xf>
    <xf numFmtId="3" fontId="23" fillId="0" borderId="1" xfId="0" applyNumberFormat="1" applyFont="1" applyBorder="1" applyAlignment="1" applyProtection="1">
      <alignment horizontal="center" vertical="center"/>
    </xf>
    <xf numFmtId="0" fontId="17" fillId="16" borderId="0" xfId="0" applyFont="1" applyFill="1" applyBorder="1" applyAlignment="1" applyProtection="1">
      <alignment horizontal="left"/>
    </xf>
    <xf numFmtId="0" fontId="8" fillId="16" borderId="0" xfId="0" applyFont="1" applyFill="1" applyProtection="1"/>
    <xf numFmtId="0" fontId="13" fillId="16" borderId="0" xfId="0" applyNumberFormat="1" applyFont="1" applyFill="1" applyBorder="1" applyAlignment="1" applyProtection="1">
      <protection locked="0"/>
    </xf>
    <xf numFmtId="0" fontId="18" fillId="3" borderId="0" xfId="0" applyFont="1" applyFill="1" applyBorder="1" applyAlignment="1" applyProtection="1">
      <alignment horizontal="center"/>
    </xf>
    <xf numFmtId="3" fontId="12" fillId="0" borderId="53" xfId="0" applyNumberFormat="1" applyFont="1" applyFill="1" applyBorder="1" applyAlignment="1" applyProtection="1">
      <alignment horizontal="center"/>
    </xf>
    <xf numFmtId="3" fontId="12" fillId="0" borderId="35" xfId="0" applyNumberFormat="1" applyFont="1" applyFill="1" applyBorder="1" applyAlignment="1" applyProtection="1">
      <alignment horizontal="right"/>
      <protection locked="0"/>
    </xf>
    <xf numFmtId="3" fontId="12" fillId="4" borderId="0" xfId="0" applyNumberFormat="1" applyFont="1" applyFill="1" applyBorder="1" applyAlignment="1" applyProtection="1">
      <alignment horizontal="right"/>
    </xf>
    <xf numFmtId="0" fontId="12" fillId="16" borderId="0" xfId="0" applyFont="1" applyFill="1" applyBorder="1" applyAlignment="1" applyProtection="1">
      <alignment horizontal="center"/>
      <protection locked="0"/>
    </xf>
    <xf numFmtId="0" fontId="12" fillId="16" borderId="0" xfId="0" applyFont="1" applyFill="1" applyBorder="1" applyAlignment="1" applyProtection="1">
      <alignment wrapText="1"/>
    </xf>
    <xf numFmtId="0" fontId="12" fillId="3" borderId="0" xfId="0" applyFont="1" applyFill="1" applyAlignment="1" applyProtection="1">
      <alignment vertical="center"/>
    </xf>
    <xf numFmtId="166" fontId="12" fillId="3" borderId="0" xfId="1" applyNumberFormat="1" applyFont="1" applyFill="1" applyAlignment="1" applyProtection="1">
      <alignment horizontal="left" vertical="center"/>
    </xf>
    <xf numFmtId="0" fontId="12" fillId="0" borderId="34" xfId="0" applyFont="1" applyFill="1" applyBorder="1" applyAlignment="1" applyProtection="1">
      <alignment horizontal="left" vertical="center" indent="1"/>
    </xf>
    <xf numFmtId="0" fontId="20" fillId="16" borderId="0" xfId="0" quotePrefix="1" applyFont="1" applyFill="1" applyBorder="1" applyAlignment="1" applyProtection="1"/>
    <xf numFmtId="0" fontId="12" fillId="0" borderId="48" xfId="0" applyFont="1" applyFill="1" applyBorder="1" applyAlignment="1" applyProtection="1">
      <alignment horizontal="left" vertical="center" wrapText="1"/>
    </xf>
    <xf numFmtId="0" fontId="11" fillId="16" borderId="0" xfId="0" applyFont="1" applyFill="1" applyBorder="1" applyAlignment="1" applyProtection="1">
      <alignment horizontal="left"/>
    </xf>
    <xf numFmtId="0" fontId="85" fillId="3" borderId="0" xfId="0" applyFont="1" applyFill="1" applyBorder="1" applyAlignment="1" applyProtection="1"/>
    <xf numFmtId="0" fontId="18" fillId="3" borderId="1" xfId="0" applyFont="1" applyFill="1" applyBorder="1" applyAlignment="1" applyProtection="1">
      <alignment horizontal="center" wrapText="1"/>
      <protection locked="0"/>
    </xf>
    <xf numFmtId="0" fontId="12" fillId="3" borderId="0" xfId="0" applyFont="1" applyFill="1" applyBorder="1" applyAlignment="1" applyProtection="1">
      <alignment horizontal="center" wrapText="1"/>
    </xf>
    <xf numFmtId="0" fontId="13" fillId="3" borderId="0" xfId="0" applyFont="1" applyFill="1" applyBorder="1" applyAlignment="1" applyProtection="1">
      <alignment vertical="center"/>
    </xf>
    <xf numFmtId="0" fontId="13" fillId="3" borderId="0" xfId="0" applyFont="1" applyFill="1" applyBorder="1" applyProtection="1"/>
    <xf numFmtId="0" fontId="12" fillId="3" borderId="0" xfId="0" applyFont="1" applyFill="1" applyBorder="1" applyAlignment="1" applyProtection="1">
      <alignment horizontal="left"/>
    </xf>
    <xf numFmtId="0" fontId="6" fillId="0" borderId="32" xfId="0" applyFont="1" applyFill="1" applyBorder="1" applyAlignment="1" applyProtection="1">
      <alignment horizontal="left"/>
    </xf>
    <xf numFmtId="0" fontId="6" fillId="0" borderId="47" xfId="0" applyFont="1" applyFill="1" applyBorder="1" applyAlignment="1" applyProtection="1">
      <alignment horizontal="left"/>
    </xf>
    <xf numFmtId="0" fontId="0" fillId="3" borderId="41" xfId="0" applyFill="1" applyBorder="1" applyProtection="1"/>
    <xf numFmtId="0" fontId="12" fillId="3" borderId="98" xfId="0" applyFont="1" applyFill="1" applyBorder="1" applyAlignment="1" applyProtection="1">
      <alignment horizontal="left" vertical="center" wrapText="1" indent="1"/>
    </xf>
    <xf numFmtId="0" fontId="78" fillId="16" borderId="0" xfId="0" applyFont="1" applyFill="1" applyBorder="1" applyAlignment="1" applyProtection="1">
      <alignment horizontal="left"/>
    </xf>
    <xf numFmtId="0" fontId="28" fillId="16" borderId="0" xfId="0" applyFont="1" applyFill="1" applyBorder="1" applyAlignment="1" applyProtection="1">
      <alignment horizontal="left"/>
    </xf>
    <xf numFmtId="0" fontId="13" fillId="0" borderId="33" xfId="0" applyFont="1" applyFill="1" applyBorder="1" applyAlignment="1" applyProtection="1">
      <alignment vertical="top"/>
    </xf>
    <xf numFmtId="0" fontId="13" fillId="0" borderId="45" xfId="0" applyFont="1" applyFill="1" applyBorder="1" applyAlignment="1" applyProtection="1">
      <alignment horizontal="center" vertical="top"/>
    </xf>
    <xf numFmtId="0" fontId="0" fillId="0" borderId="46" xfId="0" applyBorder="1" applyProtection="1"/>
    <xf numFmtId="0" fontId="0" fillId="0" borderId="68" xfId="0" applyBorder="1" applyProtection="1"/>
    <xf numFmtId="0" fontId="17" fillId="3" borderId="46" xfId="0" applyFont="1" applyFill="1" applyBorder="1" applyAlignment="1" applyProtection="1">
      <alignment horizontal="left"/>
    </xf>
    <xf numFmtId="0" fontId="17" fillId="3" borderId="98" xfId="0" applyFont="1" applyFill="1" applyBorder="1" applyAlignment="1" applyProtection="1">
      <alignment horizontal="left"/>
    </xf>
    <xf numFmtId="0" fontId="4" fillId="3" borderId="33" xfId="0" applyFont="1" applyFill="1" applyBorder="1" applyProtection="1"/>
    <xf numFmtId="166" fontId="4" fillId="3" borderId="33" xfId="1" applyNumberFormat="1" applyFont="1" applyFill="1" applyBorder="1" applyProtection="1"/>
    <xf numFmtId="0" fontId="0" fillId="3" borderId="47" xfId="0" applyFill="1" applyBorder="1" applyAlignment="1" applyProtection="1">
      <alignment horizontal="center"/>
    </xf>
    <xf numFmtId="0" fontId="17" fillId="0" borderId="45" xfId="0" applyFont="1" applyFill="1" applyBorder="1" applyAlignment="1" applyProtection="1">
      <alignment horizontal="left"/>
    </xf>
    <xf numFmtId="0" fontId="17" fillId="0" borderId="41" xfId="0" applyFont="1" applyFill="1" applyBorder="1" applyAlignment="1" applyProtection="1">
      <alignment horizontal="center"/>
    </xf>
    <xf numFmtId="9" fontId="84" fillId="18" borderId="1" xfId="7" applyFont="1" applyFill="1" applyBorder="1" applyProtection="1"/>
    <xf numFmtId="1" fontId="2" fillId="18" borderId="1" xfId="7" applyNumberFormat="1" applyFont="1" applyFill="1" applyBorder="1" applyProtection="1"/>
    <xf numFmtId="0" fontId="18" fillId="3" borderId="1" xfId="0" applyFont="1" applyFill="1" applyBorder="1" applyAlignment="1" applyProtection="1">
      <alignment horizontal="center"/>
      <protection locked="0"/>
    </xf>
    <xf numFmtId="0" fontId="28" fillId="18" borderId="0" xfId="0" applyFont="1" applyFill="1" applyBorder="1" applyAlignment="1" applyProtection="1">
      <alignment horizontal="left"/>
    </xf>
    <xf numFmtId="0" fontId="45" fillId="16" borderId="0" xfId="0" applyFont="1" applyFill="1" applyBorder="1" applyAlignment="1" applyProtection="1">
      <alignment horizontal="left"/>
    </xf>
    <xf numFmtId="0" fontId="12" fillId="16" borderId="0" xfId="0" applyFont="1" applyFill="1" applyBorder="1" applyAlignment="1" applyProtection="1">
      <alignment horizontal="left"/>
    </xf>
    <xf numFmtId="0" fontId="2" fillId="16" borderId="0" xfId="0" applyFont="1" applyFill="1" applyBorder="1" applyAlignment="1" applyProtection="1">
      <alignment horizontal="left"/>
    </xf>
    <xf numFmtId="0" fontId="2" fillId="16" borderId="0" xfId="0" applyFont="1" applyFill="1" applyBorder="1" applyAlignment="1" applyProtection="1">
      <alignment horizontal="left" wrapText="1"/>
    </xf>
    <xf numFmtId="0" fontId="18" fillId="3" borderId="0" xfId="0" applyFont="1" applyFill="1" applyBorder="1" applyAlignment="1" applyProtection="1">
      <alignment horizontal="center" wrapText="1"/>
      <protection locked="0"/>
    </xf>
    <xf numFmtId="0" fontId="13" fillId="3" borderId="0" xfId="0" applyFont="1" applyFill="1" applyAlignment="1" applyProtection="1">
      <alignment horizontal="left" indent="1"/>
    </xf>
    <xf numFmtId="0" fontId="12" fillId="3" borderId="0" xfId="0" applyFont="1" applyFill="1" applyAlignment="1" applyProtection="1"/>
    <xf numFmtId="0" fontId="11" fillId="2" borderId="94" xfId="0" applyFont="1" applyFill="1" applyBorder="1" applyAlignment="1" applyProtection="1">
      <alignment vertical="center"/>
    </xf>
    <xf numFmtId="0" fontId="11" fillId="2" borderId="75" xfId="0" applyFont="1" applyFill="1" applyBorder="1" applyAlignment="1" applyProtection="1">
      <alignment vertical="center"/>
    </xf>
    <xf numFmtId="0" fontId="11" fillId="2" borderId="155" xfId="0" applyFont="1" applyFill="1" applyBorder="1" applyAlignment="1" applyProtection="1">
      <alignment vertical="center"/>
    </xf>
    <xf numFmtId="0" fontId="11" fillId="2" borderId="84" xfId="0" applyFont="1" applyFill="1" applyBorder="1" applyAlignment="1" applyProtection="1">
      <alignment vertical="center"/>
    </xf>
    <xf numFmtId="0" fontId="11" fillId="2" borderId="96" xfId="0" applyFont="1" applyFill="1" applyBorder="1" applyAlignment="1" applyProtection="1">
      <alignment vertical="center"/>
    </xf>
    <xf numFmtId="0" fontId="11" fillId="2" borderId="151" xfId="0" applyFont="1" applyFill="1" applyBorder="1" applyAlignment="1" applyProtection="1">
      <alignment vertical="center"/>
    </xf>
    <xf numFmtId="0" fontId="11" fillId="2" borderId="91" xfId="0" applyFont="1" applyFill="1" applyBorder="1" applyAlignment="1" applyProtection="1">
      <alignment vertical="center"/>
    </xf>
    <xf numFmtId="0" fontId="11" fillId="2" borderId="92" xfId="0" applyFont="1" applyFill="1" applyBorder="1" applyAlignment="1" applyProtection="1">
      <alignment vertical="center"/>
    </xf>
    <xf numFmtId="0" fontId="4" fillId="0" borderId="45" xfId="0" applyFont="1" applyBorder="1" applyProtection="1"/>
    <xf numFmtId="0" fontId="4" fillId="0" borderId="65" xfId="0" applyFont="1" applyBorder="1" applyProtection="1"/>
    <xf numFmtId="0" fontId="4" fillId="0" borderId="41" xfId="0" applyFont="1" applyBorder="1" applyProtection="1"/>
    <xf numFmtId="0" fontId="17" fillId="0" borderId="41" xfId="0" applyFont="1" applyFill="1" applyBorder="1" applyAlignment="1" applyProtection="1">
      <alignment horizontal="left"/>
    </xf>
    <xf numFmtId="0" fontId="15" fillId="16" borderId="0" xfId="0" applyFont="1" applyFill="1" applyBorder="1" applyAlignment="1" applyProtection="1">
      <alignment vertical="center"/>
    </xf>
    <xf numFmtId="0" fontId="4" fillId="16" borderId="0" xfId="0" applyFont="1" applyFill="1" applyBorder="1" applyProtection="1"/>
    <xf numFmtId="166" fontId="4" fillId="16" borderId="0" xfId="1" applyNumberFormat="1" applyFont="1" applyFill="1" applyBorder="1" applyProtection="1"/>
    <xf numFmtId="0" fontId="50" fillId="16" borderId="0" xfId="0" applyFont="1" applyFill="1" applyBorder="1" applyAlignment="1" applyProtection="1">
      <alignment horizontal="left" wrapText="1"/>
    </xf>
    <xf numFmtId="0" fontId="49" fillId="16" borderId="0" xfId="0" applyFont="1" applyFill="1" applyBorder="1" applyAlignment="1" applyProtection="1">
      <alignment horizontal="left" wrapText="1"/>
    </xf>
    <xf numFmtId="0" fontId="15" fillId="16" borderId="31" xfId="0" applyFont="1" applyFill="1" applyBorder="1" applyAlignment="1" applyProtection="1">
      <alignment vertical="center"/>
    </xf>
    <xf numFmtId="0" fontId="15" fillId="16" borderId="32" xfId="0" applyFont="1" applyFill="1" applyBorder="1" applyAlignment="1" applyProtection="1">
      <alignment vertical="center"/>
    </xf>
    <xf numFmtId="0" fontId="15" fillId="16" borderId="34" xfId="0" applyFont="1" applyFill="1" applyBorder="1" applyAlignment="1" applyProtection="1">
      <alignment vertical="center"/>
    </xf>
    <xf numFmtId="0" fontId="15" fillId="16" borderId="0" xfId="0" applyFont="1" applyFill="1" applyAlignment="1" applyProtection="1">
      <alignment vertical="center"/>
    </xf>
    <xf numFmtId="0" fontId="4" fillId="16" borderId="34" xfId="0" applyFont="1" applyFill="1" applyBorder="1" applyProtection="1"/>
    <xf numFmtId="166" fontId="4" fillId="16" borderId="32" xfId="1" applyNumberFormat="1" applyFont="1" applyFill="1" applyBorder="1" applyProtection="1"/>
    <xf numFmtId="166" fontId="4" fillId="16" borderId="34" xfId="1" applyNumberFormat="1" applyFont="1" applyFill="1" applyBorder="1" applyProtection="1"/>
    <xf numFmtId="0" fontId="0" fillId="16" borderId="34" xfId="0" applyFill="1" applyBorder="1" applyProtection="1"/>
    <xf numFmtId="0" fontId="4" fillId="16" borderId="0" xfId="0" applyFont="1" applyFill="1" applyBorder="1" applyAlignment="1" applyProtection="1">
      <alignment horizontal="center" vertical="center" wrapText="1"/>
    </xf>
    <xf numFmtId="0" fontId="9" fillId="0" borderId="0" xfId="0" applyFont="1" applyAlignment="1" applyProtection="1">
      <alignment horizontal="left" vertical="center"/>
    </xf>
    <xf numFmtId="3" fontId="63" fillId="3" borderId="0" xfId="0" applyNumberFormat="1" applyFont="1" applyFill="1" applyAlignment="1" applyProtection="1">
      <alignment horizontal="left"/>
    </xf>
    <xf numFmtId="0" fontId="64" fillId="18" borderId="97" xfId="0" applyFont="1" applyFill="1" applyBorder="1" applyAlignment="1" applyProtection="1">
      <alignment horizontal="left"/>
    </xf>
    <xf numFmtId="0" fontId="0" fillId="18" borderId="103" xfId="0" applyFill="1" applyBorder="1" applyAlignment="1" applyProtection="1">
      <alignment horizontal="center"/>
    </xf>
    <xf numFmtId="0" fontId="0" fillId="18" borderId="123" xfId="0" applyFill="1" applyBorder="1" applyProtection="1"/>
    <xf numFmtId="0" fontId="12" fillId="16" borderId="34" xfId="0" applyFont="1" applyFill="1" applyBorder="1" applyAlignment="1" applyProtection="1">
      <alignment vertical="center"/>
    </xf>
    <xf numFmtId="0" fontId="13" fillId="16" borderId="32" xfId="0" applyFont="1" applyFill="1" applyBorder="1" applyAlignment="1" applyProtection="1">
      <alignment horizontal="center" vertical="top"/>
    </xf>
    <xf numFmtId="0" fontId="13" fillId="16" borderId="0" xfId="0" applyFont="1" applyFill="1" applyBorder="1" applyAlignment="1" applyProtection="1">
      <alignment horizontal="center" vertical="top"/>
    </xf>
    <xf numFmtId="0" fontId="13" fillId="16" borderId="48" xfId="0" applyFont="1" applyFill="1" applyBorder="1" applyAlignment="1" applyProtection="1">
      <alignment horizontal="center" vertical="top"/>
    </xf>
    <xf numFmtId="0" fontId="13" fillId="16" borderId="34" xfId="0" applyFont="1" applyFill="1" applyBorder="1" applyAlignment="1" applyProtection="1">
      <alignment vertical="top"/>
    </xf>
    <xf numFmtId="0" fontId="12" fillId="16" borderId="0" xfId="0" applyFont="1" applyFill="1" applyBorder="1" applyAlignment="1" applyProtection="1">
      <alignment vertical="center"/>
    </xf>
    <xf numFmtId="0" fontId="13" fillId="16" borderId="98" xfId="0" applyFont="1" applyFill="1" applyBorder="1" applyAlignment="1" applyProtection="1">
      <alignment vertical="top"/>
    </xf>
    <xf numFmtId="0" fontId="13" fillId="16" borderId="46" xfId="0" applyFont="1" applyFill="1" applyBorder="1" applyAlignment="1" applyProtection="1">
      <alignment vertical="top"/>
    </xf>
    <xf numFmtId="0" fontId="9" fillId="16" borderId="34" xfId="0" applyFont="1" applyFill="1" applyBorder="1" applyProtection="1"/>
    <xf numFmtId="0" fontId="0" fillId="16" borderId="48" xfId="0" applyFill="1" applyBorder="1" applyProtection="1"/>
    <xf numFmtId="0" fontId="12" fillId="16" borderId="34" xfId="0" applyFont="1" applyFill="1" applyBorder="1" applyProtection="1"/>
    <xf numFmtId="0" fontId="12" fillId="16" borderId="47" xfId="0" applyFont="1" applyFill="1" applyBorder="1" applyAlignment="1" applyProtection="1"/>
    <xf numFmtId="0" fontId="12" fillId="16" borderId="35" xfId="0" applyFont="1" applyFill="1" applyBorder="1" applyAlignment="1" applyProtection="1"/>
    <xf numFmtId="0" fontId="12" fillId="16" borderId="34" xfId="0" quotePrefix="1" applyFont="1" applyFill="1" applyBorder="1" applyAlignment="1" applyProtection="1"/>
    <xf numFmtId="0" fontId="13" fillId="16" borderId="33" xfId="0" applyFont="1" applyFill="1" applyBorder="1" applyAlignment="1" applyProtection="1"/>
    <xf numFmtId="0" fontId="12" fillId="16" borderId="33" xfId="0" applyFont="1" applyFill="1" applyBorder="1" applyAlignment="1" applyProtection="1"/>
    <xf numFmtId="0" fontId="2" fillId="16" borderId="34" xfId="0" applyFont="1" applyFill="1" applyBorder="1" applyAlignment="1" applyProtection="1"/>
    <xf numFmtId="0" fontId="12" fillId="16" borderId="48" xfId="0" applyFont="1" applyFill="1" applyBorder="1" applyAlignment="1" applyProtection="1"/>
    <xf numFmtId="0" fontId="26" fillId="16" borderId="0" xfId="6" applyFont="1" applyFill="1" applyBorder="1" applyAlignment="1" applyProtection="1">
      <alignment horizontal="left"/>
    </xf>
    <xf numFmtId="0" fontId="26" fillId="16" borderId="97" xfId="0" applyFont="1" applyFill="1" applyBorder="1" applyAlignment="1" applyProtection="1"/>
    <xf numFmtId="0" fontId="26" fillId="16" borderId="103" xfId="0" applyFont="1" applyFill="1" applyBorder="1" applyAlignment="1" applyProtection="1"/>
    <xf numFmtId="0" fontId="53" fillId="16" borderId="0" xfId="0" applyFont="1" applyFill="1" applyProtection="1"/>
    <xf numFmtId="0" fontId="1" fillId="16" borderId="0" xfId="0" applyFont="1" applyFill="1" applyProtection="1"/>
    <xf numFmtId="0" fontId="0" fillId="16" borderId="0" xfId="0" applyFill="1" applyBorder="1" applyProtection="1">
      <protection locked="0"/>
    </xf>
    <xf numFmtId="0" fontId="6" fillId="16" borderId="34" xfId="0" applyFont="1" applyFill="1" applyBorder="1" applyAlignment="1" applyProtection="1">
      <alignment horizontal="left"/>
    </xf>
    <xf numFmtId="0" fontId="17" fillId="16" borderId="34" xfId="0" applyFont="1" applyFill="1" applyBorder="1" applyAlignment="1" applyProtection="1">
      <alignment horizontal="left"/>
    </xf>
    <xf numFmtId="0" fontId="17" fillId="16" borderId="32" xfId="0" applyFont="1" applyFill="1" applyBorder="1" applyAlignment="1" applyProtection="1">
      <alignment horizontal="left"/>
    </xf>
    <xf numFmtId="0" fontId="13" fillId="27" borderId="122" xfId="0" applyFont="1" applyFill="1" applyBorder="1" applyAlignment="1" applyProtection="1">
      <alignment horizontal="center" vertical="center"/>
    </xf>
    <xf numFmtId="0" fontId="6" fillId="16" borderId="34" xfId="0" applyFont="1" applyFill="1" applyBorder="1" applyAlignment="1" applyProtection="1">
      <alignment vertical="center"/>
    </xf>
    <xf numFmtId="0" fontId="6" fillId="16" borderId="34" xfId="0" applyFont="1" applyFill="1" applyBorder="1" applyProtection="1"/>
    <xf numFmtId="0" fontId="4" fillId="16" borderId="32" xfId="0" applyFont="1" applyFill="1" applyBorder="1" applyProtection="1"/>
    <xf numFmtId="0" fontId="0" fillId="16" borderId="0" xfId="0" applyFill="1" applyBorder="1" applyAlignment="1" applyProtection="1">
      <alignment horizontal="center"/>
    </xf>
    <xf numFmtId="0" fontId="12" fillId="16" borderId="41" xfId="0" applyFont="1" applyFill="1" applyBorder="1" applyAlignment="1" applyProtection="1"/>
    <xf numFmtId="0" fontId="12" fillId="16" borderId="45" xfId="0" applyFont="1" applyFill="1" applyBorder="1" applyAlignment="1" applyProtection="1">
      <alignment horizontal="right"/>
    </xf>
    <xf numFmtId="0" fontId="12" fillId="16" borderId="47" xfId="0" applyFont="1" applyFill="1" applyBorder="1" applyAlignment="1" applyProtection="1">
      <alignment horizontal="right" wrapText="1"/>
    </xf>
    <xf numFmtId="3" fontId="23" fillId="16" borderId="1" xfId="0" applyNumberFormat="1" applyFont="1" applyFill="1" applyBorder="1" applyAlignment="1" applyProtection="1">
      <alignment horizontal="center" vertical="center"/>
    </xf>
    <xf numFmtId="0" fontId="23" fillId="27" borderId="1" xfId="0" applyFont="1" applyFill="1" applyBorder="1" applyAlignment="1" applyProtection="1">
      <alignment horizontal="center" vertical="center" wrapText="1"/>
    </xf>
    <xf numFmtId="0" fontId="12" fillId="16" borderId="48" xfId="0" applyFont="1" applyFill="1" applyBorder="1" applyAlignment="1" applyProtection="1">
      <alignment horizontal="left" vertical="center" wrapText="1"/>
    </xf>
    <xf numFmtId="0" fontId="12" fillId="16" borderId="0" xfId="0" quotePrefix="1" applyFont="1" applyFill="1" applyAlignment="1" applyProtection="1"/>
    <xf numFmtId="0" fontId="12" fillId="16" borderId="68" xfId="0" quotePrefix="1" applyFont="1" applyFill="1" applyBorder="1" applyAlignment="1" applyProtection="1"/>
    <xf numFmtId="0" fontId="2" fillId="16" borderId="41" xfId="0" quotePrefix="1" applyFont="1" applyFill="1" applyBorder="1" applyAlignment="1" applyProtection="1"/>
    <xf numFmtId="0" fontId="12" fillId="0" borderId="48" xfId="0" applyFont="1" applyFill="1" applyBorder="1" applyAlignment="1" applyProtection="1">
      <alignment horizontal="left" vertical="center"/>
    </xf>
    <xf numFmtId="0" fontId="18" fillId="16" borderId="0" xfId="0" applyFont="1" applyFill="1" applyBorder="1" applyAlignment="1" applyProtection="1">
      <alignment horizontal="center" wrapText="1"/>
    </xf>
    <xf numFmtId="0" fontId="18" fillId="16" borderId="0" xfId="0" applyFont="1" applyFill="1" applyBorder="1" applyAlignment="1" applyProtection="1">
      <alignment horizontal="left"/>
    </xf>
    <xf numFmtId="0" fontId="4" fillId="16" borderId="0" xfId="0" applyFont="1" applyFill="1" applyAlignment="1" applyProtection="1">
      <alignment horizontal="center"/>
    </xf>
    <xf numFmtId="0" fontId="12" fillId="16" borderId="0" xfId="0" applyFont="1" applyFill="1" applyAlignment="1" applyProtection="1">
      <alignment horizontal="left" indent="1"/>
    </xf>
    <xf numFmtId="166" fontId="12" fillId="16" borderId="0" xfId="1" applyNumberFormat="1" applyFont="1" applyFill="1" applyProtection="1"/>
    <xf numFmtId="0" fontId="13" fillId="16" borderId="92" xfId="6" applyFont="1" applyFill="1" applyBorder="1" applyAlignment="1" applyProtection="1">
      <alignment vertical="center"/>
    </xf>
    <xf numFmtId="0" fontId="13" fillId="16" borderId="93" xfId="6" applyFont="1" applyFill="1" applyBorder="1" applyAlignment="1" applyProtection="1">
      <alignment vertical="center"/>
    </xf>
    <xf numFmtId="0" fontId="13" fillId="27" borderId="3" xfId="0" applyFont="1" applyFill="1" applyBorder="1" applyAlignment="1" applyProtection="1">
      <alignment horizontal="center" vertical="center" wrapText="1"/>
    </xf>
    <xf numFmtId="0" fontId="12" fillId="0" borderId="47" xfId="0" applyFont="1" applyFill="1" applyBorder="1" applyAlignment="1" applyProtection="1">
      <alignment vertical="center"/>
    </xf>
    <xf numFmtId="0" fontId="12" fillId="0" borderId="156" xfId="0" applyFont="1" applyFill="1" applyBorder="1" applyAlignment="1" applyProtection="1"/>
    <xf numFmtId="0" fontId="12" fillId="0" borderId="47" xfId="0" applyFont="1" applyFill="1" applyBorder="1" applyAlignment="1" applyProtection="1"/>
    <xf numFmtId="0" fontId="12" fillId="0" borderId="0" xfId="0" quotePrefix="1" applyFont="1" applyFill="1" applyBorder="1" applyAlignment="1" applyProtection="1"/>
    <xf numFmtId="0" fontId="2" fillId="0" borderId="0" xfId="0" applyFont="1" applyBorder="1" applyAlignment="1" applyProtection="1"/>
    <xf numFmtId="0" fontId="12" fillId="0" borderId="92" xfId="0" applyFont="1" applyFill="1" applyBorder="1" applyAlignment="1" applyProtection="1">
      <alignment horizontal="center" vertical="center" wrapText="1"/>
      <protection locked="0"/>
    </xf>
    <xf numFmtId="0" fontId="13" fillId="5" borderId="123" xfId="0" applyFont="1" applyFill="1" applyBorder="1" applyAlignment="1" applyProtection="1">
      <alignment horizontal="center" vertical="center" wrapText="1"/>
    </xf>
    <xf numFmtId="0" fontId="12" fillId="0" borderId="157" xfId="0" applyFont="1" applyFill="1" applyBorder="1" applyAlignment="1" applyProtection="1">
      <alignment horizontal="left" vertical="center"/>
      <protection locked="0"/>
    </xf>
    <xf numFmtId="0" fontId="12" fillId="0" borderId="70" xfId="0" applyFont="1" applyFill="1" applyBorder="1" applyAlignment="1" applyProtection="1">
      <alignment horizontal="left" vertical="center"/>
      <protection locked="0"/>
    </xf>
    <xf numFmtId="0" fontId="12" fillId="0" borderId="88" xfId="0" applyFont="1" applyFill="1" applyBorder="1" applyAlignment="1" applyProtection="1">
      <alignment horizontal="left" vertical="center"/>
      <protection locked="0"/>
    </xf>
    <xf numFmtId="3" fontId="12" fillId="4" borderId="151" xfId="0" applyNumberFormat="1" applyFont="1" applyFill="1" applyBorder="1" applyAlignment="1" applyProtection="1">
      <alignment horizontal="center" vertical="center"/>
    </xf>
    <xf numFmtId="0" fontId="2" fillId="16" borderId="0" xfId="0" applyFont="1" applyFill="1" applyBorder="1" applyProtection="1"/>
    <xf numFmtId="0" fontId="15" fillId="0" borderId="0" xfId="0" applyFont="1" applyFill="1" applyBorder="1" applyAlignment="1" applyProtection="1"/>
    <xf numFmtId="0" fontId="15" fillId="16" borderId="54" xfId="0" applyFont="1" applyFill="1" applyBorder="1" applyAlignment="1" applyProtection="1"/>
    <xf numFmtId="0" fontId="15" fillId="0" borderId="68" xfId="0" applyFont="1" applyBorder="1" applyAlignment="1" applyProtection="1"/>
    <xf numFmtId="0" fontId="15" fillId="0" borderId="98" xfId="0" applyFont="1" applyBorder="1" applyAlignment="1" applyProtection="1"/>
    <xf numFmtId="0" fontId="13" fillId="5" borderId="1" xfId="0" applyFont="1" applyFill="1" applyBorder="1" applyAlignment="1" applyProtection="1">
      <alignment horizontal="center" vertical="center" wrapText="1"/>
    </xf>
    <xf numFmtId="0" fontId="13" fillId="27" borderId="122" xfId="0" applyFont="1" applyFill="1" applyBorder="1" applyAlignment="1" applyProtection="1">
      <alignment horizontal="center" vertical="center" wrapText="1"/>
    </xf>
    <xf numFmtId="0" fontId="86" fillId="3" borderId="0" xfId="0" applyNumberFormat="1" applyFont="1" applyFill="1" applyAlignment="1" applyProtection="1">
      <alignment wrapText="1"/>
    </xf>
    <xf numFmtId="0" fontId="86" fillId="3" borderId="0" xfId="0" applyFont="1" applyFill="1" applyAlignment="1" applyProtection="1">
      <alignment wrapText="1"/>
    </xf>
    <xf numFmtId="0" fontId="86" fillId="3" borderId="0" xfId="0" applyFont="1" applyFill="1" applyAlignment="1" applyProtection="1">
      <alignment vertical="top" wrapText="1"/>
    </xf>
    <xf numFmtId="0" fontId="4" fillId="16" borderId="35" xfId="0" applyFont="1" applyFill="1" applyBorder="1" applyProtection="1"/>
    <xf numFmtId="0" fontId="4" fillId="16" borderId="51" xfId="0" applyFont="1" applyFill="1" applyBorder="1" applyProtection="1"/>
    <xf numFmtId="0" fontId="12" fillId="3" borderId="1" xfId="6" applyFont="1" applyFill="1" applyBorder="1" applyAlignment="1" applyProtection="1">
      <protection locked="0"/>
    </xf>
    <xf numFmtId="0" fontId="26" fillId="16" borderId="123" xfId="0" applyFont="1" applyFill="1" applyBorder="1" applyAlignment="1" applyProtection="1"/>
    <xf numFmtId="0" fontId="11" fillId="2" borderId="158" xfId="0" applyFont="1" applyFill="1" applyBorder="1" applyAlignment="1" applyProtection="1">
      <alignment vertical="center"/>
    </xf>
    <xf numFmtId="0" fontId="11" fillId="2" borderId="122" xfId="0" applyFont="1" applyFill="1" applyBorder="1" applyAlignment="1" applyProtection="1">
      <alignment vertical="center"/>
    </xf>
    <xf numFmtId="0" fontId="11" fillId="2" borderId="159" xfId="0" applyFont="1" applyFill="1" applyBorder="1" applyAlignment="1" applyProtection="1">
      <alignment vertical="center"/>
    </xf>
    <xf numFmtId="0" fontId="13" fillId="5" borderId="28" xfId="0" applyFont="1" applyFill="1" applyBorder="1" applyAlignment="1" applyProtection="1">
      <alignment horizontal="center" vertical="center"/>
    </xf>
    <xf numFmtId="0" fontId="13" fillId="8" borderId="6" xfId="0" applyFont="1" applyFill="1" applyBorder="1" applyAlignment="1" applyProtection="1">
      <alignment horizontal="center" vertical="center" wrapText="1"/>
    </xf>
    <xf numFmtId="0" fontId="13" fillId="5" borderId="6" xfId="0" applyFont="1" applyFill="1" applyBorder="1" applyAlignment="1" applyProtection="1">
      <alignment horizontal="center" vertical="center" wrapText="1"/>
    </xf>
    <xf numFmtId="0" fontId="13" fillId="3" borderId="1" xfId="0" applyFont="1" applyFill="1" applyBorder="1" applyAlignment="1" applyProtection="1">
      <alignment horizontal="center" vertical="center"/>
    </xf>
    <xf numFmtId="0" fontId="15" fillId="3" borderId="27" xfId="0" applyFont="1" applyFill="1" applyBorder="1" applyAlignment="1" applyProtection="1">
      <alignment vertical="center"/>
    </xf>
    <xf numFmtId="0" fontId="13" fillId="8" borderId="1" xfId="0" applyFont="1" applyFill="1" applyBorder="1" applyAlignment="1" applyProtection="1">
      <alignment horizontal="center" vertical="center" wrapText="1"/>
    </xf>
    <xf numFmtId="0" fontId="12" fillId="3" borderId="75" xfId="0" applyFont="1" applyFill="1" applyBorder="1" applyAlignment="1" applyProtection="1">
      <alignment vertical="center" wrapText="1"/>
      <protection locked="0"/>
    </xf>
    <xf numFmtId="0" fontId="13" fillId="3" borderId="158" xfId="0" applyFont="1" applyFill="1" applyBorder="1" applyAlignment="1" applyProtection="1">
      <alignment horizontal="center" vertical="center"/>
      <protection locked="0"/>
    </xf>
    <xf numFmtId="0" fontId="13" fillId="27" borderId="159" xfId="0" applyFont="1" applyFill="1" applyBorder="1" applyAlignment="1" applyProtection="1">
      <alignment horizontal="center" vertical="center" wrapText="1"/>
    </xf>
    <xf numFmtId="168" fontId="13" fillId="0" borderId="160" xfId="0" applyNumberFormat="1" applyFont="1" applyFill="1" applyBorder="1" applyAlignment="1" applyProtection="1">
      <alignment horizontal="right" vertical="center"/>
      <protection locked="0"/>
    </xf>
    <xf numFmtId="168" fontId="13" fillId="0" borderId="4" xfId="0" applyNumberFormat="1" applyFont="1" applyFill="1" applyBorder="1" applyAlignment="1" applyProtection="1">
      <alignment horizontal="right" vertical="center"/>
      <protection locked="0"/>
    </xf>
    <xf numFmtId="168" fontId="12" fillId="0" borderId="4" xfId="0" applyNumberFormat="1" applyFont="1" applyFill="1" applyBorder="1" applyAlignment="1" applyProtection="1">
      <alignment horizontal="right" vertical="center"/>
      <protection locked="0"/>
    </xf>
    <xf numFmtId="168" fontId="13" fillId="0" borderId="154" xfId="0" applyNumberFormat="1" applyFont="1" applyFill="1" applyBorder="1" applyAlignment="1" applyProtection="1">
      <alignment horizontal="right" vertical="center"/>
      <protection locked="0"/>
    </xf>
    <xf numFmtId="168" fontId="13" fillId="0" borderId="159" xfId="0" applyNumberFormat="1" applyFont="1" applyFill="1" applyBorder="1" applyAlignment="1" applyProtection="1">
      <alignment horizontal="right" vertical="center"/>
    </xf>
    <xf numFmtId="0" fontId="87" fillId="3" borderId="0" xfId="0" applyFont="1" applyFill="1" applyAlignment="1" applyProtection="1">
      <alignment wrapText="1"/>
    </xf>
    <xf numFmtId="0" fontId="86" fillId="3" borderId="0" xfId="0" quotePrefix="1" applyNumberFormat="1" applyFont="1" applyFill="1" applyAlignment="1" applyProtection="1">
      <alignment wrapText="1"/>
    </xf>
    <xf numFmtId="0" fontId="86" fillId="3" borderId="0" xfId="0" applyNumberFormat="1" applyFont="1" applyFill="1" applyAlignment="1" applyProtection="1">
      <alignment vertical="top" wrapText="1"/>
    </xf>
    <xf numFmtId="0" fontId="86" fillId="3" borderId="0" xfId="0" applyFont="1" applyFill="1" applyAlignment="1" applyProtection="1">
      <alignment vertical="center" wrapText="1"/>
    </xf>
    <xf numFmtId="0" fontId="88" fillId="3" borderId="0" xfId="0" applyFont="1" applyFill="1" applyAlignment="1" applyProtection="1">
      <alignment wrapText="1"/>
    </xf>
    <xf numFmtId="167" fontId="12" fillId="0" borderId="4" xfId="0" applyNumberFormat="1" applyFont="1" applyFill="1" applyBorder="1" applyAlignment="1" applyProtection="1">
      <alignment horizontal="left" vertical="center" indent="1"/>
      <protection locked="0"/>
    </xf>
    <xf numFmtId="0" fontId="13" fillId="13" borderId="97" xfId="0" applyFont="1" applyFill="1" applyBorder="1" applyAlignment="1" applyProtection="1">
      <alignment horizontal="center" vertical="center"/>
    </xf>
    <xf numFmtId="0" fontId="13" fillId="16" borderId="0" xfId="0" applyFont="1" applyFill="1" applyBorder="1" applyAlignment="1" applyProtection="1">
      <alignment horizontal="right" vertical="center"/>
    </xf>
    <xf numFmtId="168" fontId="12" fillId="16" borderId="0" xfId="0" applyNumberFormat="1" applyFont="1" applyFill="1" applyBorder="1" applyAlignment="1" applyProtection="1">
      <alignment horizontal="right" vertical="center"/>
    </xf>
    <xf numFmtId="168" fontId="13" fillId="16" borderId="0" xfId="0" applyNumberFormat="1" applyFont="1" applyFill="1" applyBorder="1" applyAlignment="1" applyProtection="1">
      <alignment horizontal="right" vertical="center"/>
    </xf>
    <xf numFmtId="0" fontId="12" fillId="16" borderId="0" xfId="0" applyFont="1" applyFill="1" applyBorder="1" applyAlignment="1" applyProtection="1">
      <alignment horizontal="right" vertical="center"/>
    </xf>
    <xf numFmtId="0" fontId="12" fillId="16" borderId="0" xfId="0" applyFont="1" applyFill="1" applyBorder="1" applyAlignment="1" applyProtection="1">
      <alignment horizontal="left" vertical="center"/>
    </xf>
    <xf numFmtId="0" fontId="2" fillId="16" borderId="0" xfId="0" applyFont="1" applyFill="1" applyBorder="1" applyAlignment="1" applyProtection="1">
      <alignment horizontal="right" vertical="center"/>
    </xf>
    <xf numFmtId="0" fontId="13" fillId="13" borderId="158" xfId="0" applyFont="1" applyFill="1" applyBorder="1" applyAlignment="1" applyProtection="1">
      <alignment horizontal="center" vertical="center"/>
    </xf>
    <xf numFmtId="0" fontId="13" fillId="3" borderId="122" xfId="0" applyFont="1" applyFill="1" applyBorder="1" applyAlignment="1" applyProtection="1">
      <alignment horizontal="center" vertical="center"/>
      <protection locked="0"/>
    </xf>
    <xf numFmtId="0" fontId="28" fillId="3" borderId="0" xfId="0" applyFont="1" applyFill="1" applyBorder="1" applyProtection="1"/>
    <xf numFmtId="0" fontId="28" fillId="3" borderId="0" xfId="0" applyFont="1" applyFill="1" applyProtection="1"/>
    <xf numFmtId="0" fontId="4" fillId="16" borderId="0" xfId="0" applyFont="1" applyFill="1" applyBorder="1" applyAlignment="1" applyProtection="1">
      <alignment horizontal="left" vertical="center" wrapText="1"/>
      <protection locked="0"/>
    </xf>
    <xf numFmtId="0" fontId="12" fillId="3" borderId="0" xfId="0" applyFont="1" applyFill="1" applyAlignment="1" applyProtection="1">
      <alignment horizontal="left" vertical="center"/>
    </xf>
    <xf numFmtId="0" fontId="28" fillId="3" borderId="0" xfId="0" applyFont="1" applyFill="1" applyBorder="1" applyAlignment="1" applyProtection="1"/>
    <xf numFmtId="0" fontId="2" fillId="3" borderId="41" xfId="0" applyFont="1" applyFill="1" applyBorder="1" applyAlignment="1" applyProtection="1"/>
    <xf numFmtId="0" fontId="12" fillId="0" borderId="62" xfId="0" applyFont="1" applyFill="1" applyBorder="1" applyAlignment="1" applyProtection="1">
      <protection locked="0"/>
    </xf>
    <xf numFmtId="3" fontId="12" fillId="0" borderId="62" xfId="0" applyNumberFormat="1" applyFont="1" applyFill="1" applyBorder="1" applyAlignment="1" applyProtection="1"/>
    <xf numFmtId="3" fontId="12" fillId="0" borderId="102" xfId="0" applyNumberFormat="1" applyFont="1" applyFill="1" applyBorder="1" applyAlignment="1" applyProtection="1"/>
    <xf numFmtId="3" fontId="12" fillId="0" borderId="54" xfId="0" applyNumberFormat="1" applyFont="1" applyFill="1" applyBorder="1" applyAlignment="1" applyProtection="1"/>
    <xf numFmtId="168" fontId="12" fillId="0" borderId="54" xfId="0" applyNumberFormat="1" applyFont="1" applyFill="1" applyBorder="1" applyAlignment="1" applyProtection="1">
      <alignment horizontal="right"/>
      <protection locked="0"/>
    </xf>
    <xf numFmtId="165" fontId="12" fillId="16" borderId="54" xfId="1" applyFont="1" applyFill="1" applyBorder="1" applyAlignment="1" applyProtection="1">
      <alignment horizontal="right"/>
      <protection locked="0"/>
    </xf>
    <xf numFmtId="9" fontId="4" fillId="3" borderId="120" xfId="7" applyFont="1" applyFill="1" applyBorder="1" applyAlignment="1" applyProtection="1">
      <alignment horizontal="center" vertical="center" wrapText="1"/>
      <protection locked="0"/>
    </xf>
    <xf numFmtId="9" fontId="4" fillId="3" borderId="28" xfId="7" applyFont="1" applyFill="1" applyBorder="1" applyAlignment="1" applyProtection="1">
      <alignment horizontal="center" vertical="center" wrapText="1"/>
      <protection locked="0"/>
    </xf>
    <xf numFmtId="0" fontId="4" fillId="16" borderId="1" xfId="0" applyNumberFormat="1" applyFont="1" applyFill="1" applyBorder="1" applyAlignment="1" applyProtection="1">
      <alignment horizontal="center" vertical="center" wrapText="1"/>
      <protection locked="0"/>
    </xf>
    <xf numFmtId="9" fontId="4" fillId="3" borderId="1" xfId="7" applyFont="1" applyFill="1" applyBorder="1" applyAlignment="1" applyProtection="1">
      <alignment horizontal="center" vertical="center" wrapText="1"/>
      <protection locked="0"/>
    </xf>
    <xf numFmtId="166" fontId="12" fillId="3" borderId="1" xfId="1" applyNumberFormat="1" applyFont="1" applyFill="1" applyBorder="1" applyAlignment="1" applyProtection="1">
      <alignment horizontal="center"/>
      <protection locked="0"/>
    </xf>
    <xf numFmtId="164" fontId="0" fillId="3" borderId="0" xfId="0" applyNumberFormat="1" applyFill="1" applyProtection="1"/>
    <xf numFmtId="9" fontId="0" fillId="3" borderId="0" xfId="0" applyNumberFormat="1" applyFill="1" applyAlignment="1" applyProtection="1">
      <alignment vertical="center"/>
    </xf>
    <xf numFmtId="166" fontId="0" fillId="3" borderId="0" xfId="1" applyNumberFormat="1" applyFont="1" applyFill="1" applyAlignment="1" applyProtection="1">
      <alignment vertical="center"/>
    </xf>
    <xf numFmtId="166" fontId="0" fillId="3" borderId="0" xfId="0" applyNumberFormat="1" applyFill="1" applyAlignment="1" applyProtection="1">
      <alignment vertical="center"/>
    </xf>
    <xf numFmtId="0" fontId="64" fillId="0" borderId="1" xfId="0" applyFont="1" applyBorder="1" applyAlignment="1">
      <alignment horizontal="left" vertical="top"/>
    </xf>
    <xf numFmtId="0" fontId="64" fillId="0" borderId="1" xfId="0" applyFont="1" applyBorder="1" applyAlignment="1">
      <alignment horizontal="left" vertical="top" wrapText="1"/>
    </xf>
    <xf numFmtId="0" fontId="64" fillId="0" borderId="1" xfId="0" applyFont="1" applyBorder="1"/>
    <xf numFmtId="0" fontId="2" fillId="0" borderId="1" xfId="0" applyFont="1" applyBorder="1" applyAlignment="1" applyProtection="1"/>
    <xf numFmtId="0" fontId="2" fillId="0" borderId="1" xfId="0" applyFont="1" applyFill="1" applyBorder="1" applyAlignment="1" applyProtection="1"/>
    <xf numFmtId="0" fontId="0" fillId="0" borderId="1" xfId="0" applyBorder="1"/>
    <xf numFmtId="0" fontId="23" fillId="0" borderId="1" xfId="0" applyFont="1" applyBorder="1" applyAlignment="1">
      <alignment horizontal="left" vertical="top" wrapText="1"/>
    </xf>
    <xf numFmtId="0" fontId="23" fillId="0" borderId="1" xfId="0" applyFont="1" applyBorder="1" applyAlignment="1">
      <alignment horizontal="right" vertical="top" wrapText="1"/>
    </xf>
    <xf numFmtId="166" fontId="2" fillId="0" borderId="1" xfId="1" applyNumberFormat="1" applyFont="1" applyFill="1" applyBorder="1" applyAlignment="1" applyProtection="1">
      <alignment horizontal="center" vertical="center" wrapText="1"/>
      <protection locked="0"/>
    </xf>
    <xf numFmtId="166" fontId="2" fillId="0" borderId="1" xfId="1" applyNumberFormat="1" applyFont="1" applyBorder="1" applyAlignment="1" applyProtection="1">
      <alignment horizontal="center" vertical="center"/>
      <protection locked="0"/>
    </xf>
    <xf numFmtId="166" fontId="0" fillId="0" borderId="0" xfId="1" applyNumberFormat="1" applyFont="1"/>
    <xf numFmtId="166" fontId="0" fillId="0" borderId="1" xfId="1" applyNumberFormat="1" applyFont="1" applyBorder="1"/>
    <xf numFmtId="166" fontId="2" fillId="0" borderId="1" xfId="1" applyNumberFormat="1" applyFont="1" applyBorder="1" applyAlignment="1" applyProtection="1"/>
    <xf numFmtId="0" fontId="14" fillId="4" borderId="121" xfId="0" applyFont="1" applyFill="1" applyBorder="1" applyAlignment="1" applyProtection="1">
      <alignment vertical="center"/>
    </xf>
    <xf numFmtId="3" fontId="4" fillId="3" borderId="1" xfId="0" applyNumberFormat="1" applyFont="1" applyFill="1" applyBorder="1" applyAlignment="1" applyProtection="1">
      <alignment horizontal="center" vertical="center" wrapText="1"/>
      <protection locked="0"/>
    </xf>
    <xf numFmtId="166" fontId="16" fillId="0" borderId="34" xfId="1" applyNumberFormat="1" applyFont="1" applyBorder="1" applyAlignment="1" applyProtection="1">
      <alignment wrapText="1"/>
    </xf>
    <xf numFmtId="166" fontId="0" fillId="0" borderId="34" xfId="1" applyNumberFormat="1" applyFont="1" applyBorder="1" applyAlignment="1" applyProtection="1">
      <alignment vertical="center"/>
    </xf>
    <xf numFmtId="166" fontId="15" fillId="16" borderId="34" xfId="1" applyNumberFormat="1" applyFont="1" applyFill="1" applyBorder="1" applyAlignment="1" applyProtection="1">
      <alignment vertical="center"/>
    </xf>
    <xf numFmtId="166" fontId="15" fillId="16" borderId="0" xfId="1" applyNumberFormat="1" applyFont="1" applyFill="1" applyAlignment="1" applyProtection="1">
      <alignment vertical="center"/>
    </xf>
    <xf numFmtId="166" fontId="4" fillId="0" borderId="33" xfId="1" applyNumberFormat="1" applyFont="1" applyBorder="1" applyProtection="1"/>
    <xf numFmtId="166" fontId="11" fillId="0" borderId="45" xfId="1" applyNumberFormat="1" applyFont="1" applyFill="1" applyBorder="1" applyAlignment="1" applyProtection="1">
      <alignment horizontal="center"/>
    </xf>
    <xf numFmtId="166" fontId="11" fillId="0" borderId="34" xfId="1" applyNumberFormat="1" applyFont="1" applyFill="1" applyBorder="1" applyAlignment="1" applyProtection="1">
      <alignment horizontal="center"/>
    </xf>
    <xf numFmtId="166" fontId="13" fillId="0" borderId="38" xfId="1" applyNumberFormat="1" applyFont="1" applyFill="1" applyBorder="1" applyAlignment="1" applyProtection="1">
      <alignment vertical="top"/>
    </xf>
    <xf numFmtId="166" fontId="12" fillId="0" borderId="54" xfId="1" applyNumberFormat="1" applyFont="1" applyFill="1" applyBorder="1" applyAlignment="1" applyProtection="1">
      <alignment horizontal="right"/>
      <protection locked="0"/>
    </xf>
    <xf numFmtId="166" fontId="12" fillId="0" borderId="101" xfId="1" applyNumberFormat="1" applyFont="1" applyFill="1" applyBorder="1" applyAlignment="1" applyProtection="1">
      <alignment horizontal="right"/>
      <protection locked="0"/>
    </xf>
    <xf numFmtId="166" fontId="13" fillId="0" borderId="0" xfId="1" applyNumberFormat="1" applyFont="1" applyFill="1" applyBorder="1" applyAlignment="1" applyProtection="1">
      <alignment vertical="top"/>
    </xf>
    <xf numFmtId="166" fontId="12" fillId="0" borderId="33" xfId="1" applyNumberFormat="1" applyFont="1" applyFill="1" applyBorder="1" applyProtection="1"/>
    <xf numFmtId="166" fontId="12" fillId="4" borderId="54" xfId="1" applyNumberFormat="1" applyFont="1" applyFill="1" applyBorder="1" applyAlignment="1" applyProtection="1">
      <alignment horizontal="right"/>
    </xf>
    <xf numFmtId="166" fontId="12" fillId="0" borderId="0" xfId="1" applyNumberFormat="1" applyFont="1" applyFill="1" applyBorder="1" applyAlignment="1" applyProtection="1">
      <alignment horizontal="right"/>
      <protection locked="0"/>
    </xf>
    <xf numFmtId="166" fontId="12" fillId="0" borderId="52" xfId="1" applyNumberFormat="1" applyFont="1" applyFill="1" applyBorder="1" applyProtection="1"/>
    <xf numFmtId="166" fontId="12" fillId="0" borderId="34" xfId="1" applyNumberFormat="1" applyFont="1" applyFill="1" applyBorder="1" applyProtection="1"/>
    <xf numFmtId="166" fontId="12" fillId="16" borderId="34" xfId="1" applyNumberFormat="1" applyFont="1" applyFill="1" applyBorder="1" applyProtection="1"/>
    <xf numFmtId="166" fontId="12" fillId="0" borderId="33" xfId="1" applyNumberFormat="1" applyFont="1" applyBorder="1" applyProtection="1"/>
    <xf numFmtId="166" fontId="0" fillId="0" borderId="46" xfId="1" applyNumberFormat="1" applyFont="1" applyBorder="1" applyProtection="1"/>
    <xf numFmtId="166" fontId="0" fillId="0" borderId="0" xfId="1" applyNumberFormat="1" applyFont="1" applyBorder="1" applyProtection="1"/>
    <xf numFmtId="166" fontId="0" fillId="3" borderId="0" xfId="1" applyNumberFormat="1" applyFont="1" applyFill="1" applyBorder="1" applyProtection="1"/>
    <xf numFmtId="166" fontId="0" fillId="0" borderId="32" xfId="1" applyNumberFormat="1" applyFont="1" applyBorder="1" applyProtection="1"/>
    <xf numFmtId="166" fontId="0" fillId="0" borderId="32" xfId="1" applyNumberFormat="1" applyFont="1" applyBorder="1" applyAlignment="1" applyProtection="1">
      <alignment vertical="center"/>
    </xf>
    <xf numFmtId="166" fontId="15" fillId="0" borderId="32" xfId="1" applyNumberFormat="1" applyFont="1" applyBorder="1" applyAlignment="1" applyProtection="1">
      <alignment vertical="center"/>
    </xf>
    <xf numFmtId="166" fontId="15" fillId="16" borderId="32" xfId="1" applyNumberFormat="1" applyFont="1" applyFill="1" applyBorder="1" applyAlignment="1" applyProtection="1">
      <alignment vertical="center"/>
    </xf>
    <xf numFmtId="166" fontId="0" fillId="16" borderId="32" xfId="1" applyNumberFormat="1" applyFont="1" applyFill="1" applyBorder="1" applyProtection="1"/>
    <xf numFmtId="166" fontId="4" fillId="0" borderId="47" xfId="1" applyNumberFormat="1" applyFont="1" applyBorder="1" applyProtection="1"/>
    <xf numFmtId="166" fontId="11" fillId="0" borderId="41" xfId="1" applyNumberFormat="1" applyFont="1" applyFill="1" applyBorder="1" applyAlignment="1" applyProtection="1">
      <alignment horizontal="center"/>
    </xf>
    <xf numFmtId="166" fontId="13" fillId="0" borderId="41" xfId="1" applyNumberFormat="1" applyFont="1" applyFill="1" applyBorder="1" applyAlignment="1" applyProtection="1">
      <alignment vertical="top"/>
    </xf>
    <xf numFmtId="166" fontId="13" fillId="0" borderId="32" xfId="1" applyNumberFormat="1" applyFont="1" applyFill="1" applyBorder="1" applyAlignment="1" applyProtection="1">
      <alignment vertical="top"/>
    </xf>
    <xf numFmtId="166" fontId="12" fillId="0" borderId="41" xfId="1" applyNumberFormat="1" applyFont="1" applyBorder="1" applyProtection="1"/>
    <xf numFmtId="166" fontId="12" fillId="0" borderId="0" xfId="1" applyNumberFormat="1" applyFont="1" applyProtection="1"/>
    <xf numFmtId="166" fontId="13" fillId="4" borderId="54" xfId="1" applyNumberFormat="1" applyFont="1" applyFill="1" applyBorder="1" applyAlignment="1" applyProtection="1">
      <alignment horizontal="right"/>
    </xf>
    <xf numFmtId="166" fontId="13" fillId="0" borderId="57" xfId="1" applyNumberFormat="1" applyFont="1" applyFill="1" applyBorder="1" applyAlignment="1" applyProtection="1">
      <alignment vertical="top"/>
    </xf>
    <xf numFmtId="166" fontId="12" fillId="0" borderId="0" xfId="1" applyNumberFormat="1" applyFont="1" applyFill="1" applyBorder="1" applyAlignment="1" applyProtection="1">
      <alignment horizontal="left"/>
    </xf>
    <xf numFmtId="166" fontId="13" fillId="3" borderId="47" xfId="1" applyNumberFormat="1" applyFont="1" applyFill="1" applyBorder="1" applyAlignment="1" applyProtection="1">
      <alignment vertical="top"/>
    </xf>
    <xf numFmtId="166" fontId="13" fillId="3" borderId="54" xfId="1" applyNumberFormat="1" applyFont="1" applyFill="1" applyBorder="1" applyAlignment="1" applyProtection="1">
      <alignment horizontal="right"/>
    </xf>
    <xf numFmtId="166" fontId="12" fillId="0" borderId="0" xfId="1" applyNumberFormat="1" applyFont="1" applyFill="1" applyBorder="1" applyProtection="1"/>
    <xf numFmtId="166" fontId="13" fillId="4" borderId="78" xfId="1" applyNumberFormat="1" applyFont="1" applyFill="1" applyBorder="1" applyAlignment="1" applyProtection="1">
      <alignment horizontal="right"/>
    </xf>
    <xf numFmtId="166" fontId="12" fillId="0" borderId="58" xfId="1" applyNumberFormat="1" applyFont="1" applyFill="1" applyBorder="1" applyProtection="1"/>
    <xf numFmtId="166" fontId="12" fillId="16" borderId="32" xfId="1" applyNumberFormat="1" applyFont="1" applyFill="1" applyBorder="1" applyProtection="1"/>
    <xf numFmtId="166" fontId="12" fillId="0" borderId="47" xfId="1" applyNumberFormat="1" applyFont="1" applyBorder="1" applyProtection="1"/>
    <xf numFmtId="166" fontId="0" fillId="0" borderId="98" xfId="1" applyNumberFormat="1" applyFont="1" applyBorder="1" applyProtection="1"/>
    <xf numFmtId="0" fontId="4" fillId="3" borderId="0" xfId="0" applyFont="1" applyFill="1" applyAlignment="1" applyProtection="1">
      <alignment vertical="center"/>
    </xf>
    <xf numFmtId="0" fontId="7" fillId="2" borderId="11" xfId="0" applyFont="1" applyFill="1" applyBorder="1" applyAlignment="1" applyProtection="1">
      <alignment horizontal="left" vertical="center"/>
    </xf>
    <xf numFmtId="0" fontId="7" fillId="2" borderId="0" xfId="0" applyFont="1" applyFill="1" applyBorder="1" applyAlignment="1" applyProtection="1">
      <alignment horizontal="left" vertical="center"/>
    </xf>
    <xf numFmtId="0" fontId="7" fillId="2" borderId="5" xfId="0" applyFont="1" applyFill="1" applyBorder="1" applyAlignment="1" applyProtection="1">
      <alignment vertical="center"/>
    </xf>
    <xf numFmtId="0" fontId="4" fillId="4" borderId="13" xfId="0" applyFont="1" applyFill="1" applyBorder="1" applyAlignment="1" applyProtection="1">
      <alignment horizontal="left" vertical="center" indent="1"/>
    </xf>
    <xf numFmtId="0" fontId="7" fillId="2" borderId="1" xfId="0" applyFont="1" applyFill="1" applyBorder="1" applyAlignment="1" applyProtection="1">
      <alignment horizontal="left" vertical="center"/>
    </xf>
    <xf numFmtId="0" fontId="4" fillId="4" borderId="4" xfId="0" applyFont="1" applyFill="1" applyBorder="1" applyAlignment="1" applyProtection="1">
      <alignment horizontal="left" vertical="center" indent="1"/>
    </xf>
    <xf numFmtId="0" fontId="7" fillId="2" borderId="11" xfId="0" applyFont="1" applyFill="1" applyBorder="1" applyAlignment="1" applyProtection="1">
      <alignment vertical="center"/>
    </xf>
    <xf numFmtId="0" fontId="7" fillId="2" borderId="0" xfId="0" applyFont="1" applyFill="1" applyBorder="1" applyAlignment="1" applyProtection="1">
      <alignment vertical="center"/>
    </xf>
    <xf numFmtId="0" fontId="7" fillId="2" borderId="6" xfId="0" applyFont="1" applyFill="1" applyBorder="1" applyAlignment="1" applyProtection="1">
      <alignment vertical="center"/>
    </xf>
    <xf numFmtId="167" fontId="4" fillId="4" borderId="16" xfId="0" applyNumberFormat="1" applyFont="1" applyFill="1" applyBorder="1" applyAlignment="1" applyProtection="1">
      <alignment horizontal="left" vertical="center" indent="1"/>
    </xf>
    <xf numFmtId="167" fontId="4" fillId="4" borderId="70" xfId="0" applyNumberFormat="1" applyFont="1" applyFill="1" applyBorder="1" applyAlignment="1" applyProtection="1">
      <alignment horizontal="left" vertical="center" indent="1"/>
    </xf>
    <xf numFmtId="0" fontId="7" fillId="2" borderId="7" xfId="0" applyFont="1" applyFill="1" applyBorder="1" applyAlignment="1" applyProtection="1">
      <alignment vertical="center"/>
    </xf>
    <xf numFmtId="0" fontId="7" fillId="2" borderId="2" xfId="0" applyFont="1" applyFill="1" applyBorder="1" applyAlignment="1" applyProtection="1">
      <alignment vertical="center"/>
    </xf>
    <xf numFmtId="0" fontId="7" fillId="0" borderId="36" xfId="0" applyFont="1" applyFill="1" applyBorder="1" applyAlignment="1" applyProtection="1">
      <alignment vertical="center"/>
    </xf>
    <xf numFmtId="0" fontId="7" fillId="0" borderId="37" xfId="0" applyFont="1" applyFill="1" applyBorder="1" applyAlignment="1" applyProtection="1">
      <alignment vertical="center"/>
    </xf>
    <xf numFmtId="0" fontId="4" fillId="0" borderId="0" xfId="0" applyFont="1" applyFill="1" applyBorder="1" applyAlignment="1" applyProtection="1">
      <alignment horizontal="left" vertical="center" indent="1"/>
    </xf>
    <xf numFmtId="0" fontId="4" fillId="0" borderId="39" xfId="0" applyFont="1" applyFill="1" applyBorder="1" applyAlignment="1" applyProtection="1">
      <alignment horizontal="left" vertical="center" indent="1"/>
    </xf>
    <xf numFmtId="0" fontId="4" fillId="0" borderId="40" xfId="0" applyFont="1" applyFill="1" applyBorder="1" applyAlignment="1" applyProtection="1">
      <alignment horizontal="left" vertical="center" indent="1"/>
    </xf>
    <xf numFmtId="0" fontId="4" fillId="0" borderId="0" xfId="0" applyFont="1" applyFill="1" applyAlignment="1" applyProtection="1">
      <alignment vertical="center"/>
    </xf>
    <xf numFmtId="0" fontId="4" fillId="0" borderId="41" xfId="0" applyFont="1" applyFill="1" applyBorder="1" applyAlignment="1" applyProtection="1">
      <alignment vertical="center"/>
    </xf>
    <xf numFmtId="0" fontId="9" fillId="0" borderId="35" xfId="0" applyFont="1" applyFill="1" applyBorder="1" applyAlignment="1" applyProtection="1">
      <alignment vertical="center"/>
    </xf>
    <xf numFmtId="0" fontId="7" fillId="0" borderId="32" xfId="0" applyFont="1" applyFill="1" applyBorder="1" applyAlignment="1" applyProtection="1">
      <alignment vertical="center"/>
    </xf>
    <xf numFmtId="0" fontId="4" fillId="0" borderId="32" xfId="0" applyFont="1" applyFill="1" applyBorder="1" applyAlignment="1" applyProtection="1">
      <alignment horizontal="left" vertical="center" indent="1"/>
    </xf>
    <xf numFmtId="0" fontId="4" fillId="0" borderId="34" xfId="0" applyFont="1" applyFill="1" applyBorder="1" applyAlignment="1" applyProtection="1">
      <alignment horizontal="left" vertical="center" indent="1"/>
    </xf>
    <xf numFmtId="0" fontId="4" fillId="0" borderId="38" xfId="0" applyFont="1" applyFill="1" applyBorder="1" applyAlignment="1" applyProtection="1">
      <alignment horizontal="left" vertical="center" indent="1"/>
    </xf>
    <xf numFmtId="0" fontId="4" fillId="0" borderId="38" xfId="0" applyFont="1" applyFill="1" applyBorder="1" applyAlignment="1" applyProtection="1">
      <alignment vertical="center"/>
    </xf>
    <xf numFmtId="0" fontId="4" fillId="0" borderId="32" xfId="0" applyFont="1" applyFill="1" applyBorder="1" applyAlignment="1" applyProtection="1">
      <alignment vertical="center"/>
    </xf>
    <xf numFmtId="0" fontId="4" fillId="0" borderId="34" xfId="0" applyFont="1" applyFill="1" applyBorder="1" applyAlignment="1" applyProtection="1">
      <alignment vertical="center"/>
    </xf>
    <xf numFmtId="0" fontId="7" fillId="0" borderId="35" xfId="0" applyFont="1" applyFill="1" applyBorder="1" applyAlignment="1" applyProtection="1">
      <alignment vertical="center"/>
    </xf>
    <xf numFmtId="0" fontId="4" fillId="0" borderId="33" xfId="0" applyFont="1" applyBorder="1" applyAlignment="1" applyProtection="1"/>
    <xf numFmtId="0" fontId="4" fillId="0" borderId="47" xfId="0" applyFont="1" applyBorder="1" applyAlignment="1" applyProtection="1"/>
    <xf numFmtId="0" fontId="4" fillId="0" borderId="0" xfId="0" applyFont="1" applyAlignment="1" applyProtection="1"/>
    <xf numFmtId="0" fontId="4" fillId="0" borderId="98" xfId="0" applyFont="1" applyBorder="1" applyAlignment="1" applyProtection="1"/>
    <xf numFmtId="0" fontId="9" fillId="5" borderId="85" xfId="0" applyFont="1" applyFill="1" applyBorder="1" applyAlignment="1" applyProtection="1">
      <alignment horizontal="center" vertical="center" wrapText="1"/>
    </xf>
    <xf numFmtId="0" fontId="4" fillId="4" borderId="114" xfId="0" applyNumberFormat="1" applyFont="1" applyFill="1" applyBorder="1" applyAlignment="1" applyProtection="1">
      <alignment horizontal="center" vertical="center" wrapText="1"/>
    </xf>
    <xf numFmtId="0" fontId="4" fillId="3" borderId="85" xfId="0" applyFont="1" applyFill="1" applyBorder="1" applyAlignment="1" applyProtection="1">
      <alignment horizontal="center" vertical="center" wrapText="1"/>
      <protection locked="0"/>
    </xf>
    <xf numFmtId="0" fontId="4" fillId="4" borderId="71" xfId="0" applyNumberFormat="1" applyFont="1" applyFill="1" applyBorder="1" applyAlignment="1" applyProtection="1">
      <alignment horizontal="center" vertical="center" wrapText="1"/>
    </xf>
    <xf numFmtId="0" fontId="4" fillId="3" borderId="71" xfId="0" applyFont="1" applyFill="1" applyBorder="1" applyAlignment="1" applyProtection="1">
      <alignment horizontal="center" vertical="center" wrapText="1"/>
      <protection locked="0"/>
    </xf>
    <xf numFmtId="0" fontId="4" fillId="3" borderId="68" xfId="0" applyFont="1" applyFill="1" applyBorder="1" applyAlignment="1" applyProtection="1">
      <alignment horizontal="left" vertical="center" wrapText="1"/>
      <protection locked="0"/>
    </xf>
    <xf numFmtId="0" fontId="4" fillId="3" borderId="46" xfId="0" applyFont="1" applyFill="1" applyBorder="1" applyAlignment="1" applyProtection="1">
      <alignment horizontal="left" vertical="center" wrapText="1"/>
      <protection locked="0"/>
    </xf>
    <xf numFmtId="0" fontId="4" fillId="3" borderId="0" xfId="0" applyFont="1" applyFill="1" applyBorder="1" applyAlignment="1" applyProtection="1">
      <alignment horizontal="left" vertical="center" wrapText="1"/>
      <protection locked="0"/>
    </xf>
    <xf numFmtId="0" fontId="4" fillId="3" borderId="98" xfId="0" applyFont="1" applyFill="1" applyBorder="1" applyAlignment="1" applyProtection="1">
      <alignment horizontal="left" vertical="center" wrapText="1"/>
      <protection locked="0"/>
    </xf>
    <xf numFmtId="0" fontId="7" fillId="3" borderId="11" xfId="0" applyFont="1" applyFill="1" applyBorder="1" applyAlignment="1" applyProtection="1">
      <alignment horizontal="left"/>
    </xf>
    <xf numFmtId="0" fontId="4" fillId="0" borderId="68" xfId="0" applyFont="1" applyFill="1" applyBorder="1" applyAlignment="1" applyProtection="1">
      <alignment horizontal="left" vertical="center" wrapText="1" indent="1"/>
      <protection locked="0"/>
    </xf>
    <xf numFmtId="0" fontId="4" fillId="0" borderId="0" xfId="0" applyFont="1" applyFill="1" applyBorder="1" applyAlignment="1" applyProtection="1">
      <alignment horizontal="left" vertical="center" wrapText="1" indent="1"/>
      <protection locked="0"/>
    </xf>
    <xf numFmtId="0" fontId="4" fillId="0" borderId="98" xfId="0" applyFont="1" applyFill="1" applyBorder="1" applyAlignment="1" applyProtection="1">
      <alignment horizontal="left" vertical="center" wrapText="1" indent="1"/>
      <protection locked="0"/>
    </xf>
    <xf numFmtId="0" fontId="4" fillId="0" borderId="46" xfId="0" applyFont="1" applyFill="1" applyBorder="1" applyAlignment="1" applyProtection="1">
      <alignment horizontal="left" vertical="center" wrapText="1" indent="1"/>
      <protection locked="0"/>
    </xf>
    <xf numFmtId="166" fontId="4" fillId="3" borderId="0" xfId="1" applyNumberFormat="1" applyFont="1" applyFill="1" applyProtection="1"/>
    <xf numFmtId="0" fontId="7" fillId="0" borderId="97" xfId="0" applyFont="1" applyFill="1" applyBorder="1" applyAlignment="1" applyProtection="1">
      <alignment vertical="center"/>
    </xf>
    <xf numFmtId="0" fontId="4" fillId="0" borderId="113" xfId="0" applyFont="1" applyFill="1" applyBorder="1" applyAlignment="1" applyProtection="1"/>
    <xf numFmtId="0" fontId="9" fillId="5" borderId="75" xfId="0" applyFont="1" applyFill="1" applyBorder="1" applyAlignment="1" applyProtection="1">
      <alignment horizontal="center" vertical="center" wrapText="1"/>
    </xf>
    <xf numFmtId="0" fontId="9" fillId="5" borderId="75" xfId="0" applyFont="1" applyFill="1" applyBorder="1" applyAlignment="1" applyProtection="1">
      <alignment horizontal="center" vertical="center"/>
    </xf>
    <xf numFmtId="171" fontId="4" fillId="4" borderId="1" xfId="0" applyNumberFormat="1" applyFont="1" applyFill="1" applyBorder="1" applyAlignment="1" applyProtection="1">
      <alignment horizontal="center" vertical="center" wrapText="1"/>
    </xf>
    <xf numFmtId="0" fontId="4" fillId="4" borderId="1" xfId="0" applyFont="1" applyFill="1" applyBorder="1" applyAlignment="1" applyProtection="1">
      <alignment horizontal="center" vertical="center" wrapText="1"/>
    </xf>
    <xf numFmtId="15" fontId="4" fillId="3" borderId="1" xfId="0" applyNumberFormat="1" applyFont="1" applyFill="1" applyBorder="1" applyAlignment="1" applyProtection="1">
      <alignment horizontal="center" vertical="center"/>
      <protection locked="0"/>
    </xf>
    <xf numFmtId="171" fontId="4" fillId="4" borderId="84" xfId="0" applyNumberFormat="1" applyFont="1" applyFill="1" applyBorder="1" applyAlignment="1" applyProtection="1">
      <alignment horizontal="center" vertical="center" wrapText="1"/>
    </xf>
    <xf numFmtId="0" fontId="4" fillId="4" borderId="84" xfId="0" applyFont="1" applyFill="1" applyBorder="1" applyAlignment="1" applyProtection="1">
      <alignment horizontal="center" vertical="center" wrapText="1"/>
    </xf>
    <xf numFmtId="15" fontId="4" fillId="3" borderId="84" xfId="0" applyNumberFormat="1" applyFont="1" applyFill="1" applyBorder="1" applyAlignment="1" applyProtection="1">
      <alignment horizontal="center" vertical="center"/>
      <protection locked="0"/>
    </xf>
    <xf numFmtId="0" fontId="4" fillId="3" borderId="0" xfId="0" applyFont="1" applyFill="1" applyBorder="1" applyProtection="1">
      <protection locked="0"/>
    </xf>
    <xf numFmtId="166" fontId="4" fillId="3" borderId="0" xfId="1" applyNumberFormat="1" applyFont="1" applyFill="1" applyBorder="1" applyProtection="1">
      <protection locked="0"/>
    </xf>
    <xf numFmtId="0" fontId="4" fillId="0" borderId="0" xfId="0" applyFont="1" applyProtection="1"/>
    <xf numFmtId="0" fontId="9" fillId="3" borderId="0" xfId="0" applyFont="1" applyFill="1" applyAlignment="1" applyProtection="1">
      <alignment horizontal="left" wrapText="1"/>
    </xf>
    <xf numFmtId="0" fontId="4" fillId="3" borderId="0" xfId="0" applyFont="1" applyFill="1" applyBorder="1" applyAlignment="1" applyProtection="1">
      <alignment horizontal="left" vertical="center" indent="1"/>
    </xf>
    <xf numFmtId="0" fontId="4" fillId="3" borderId="0" xfId="0" applyFont="1" applyFill="1" applyAlignment="1" applyProtection="1">
      <alignment horizontal="left" vertical="center"/>
    </xf>
    <xf numFmtId="0" fontId="4" fillId="0" borderId="0" xfId="0" applyFont="1" applyAlignment="1" applyProtection="1">
      <alignment vertical="center"/>
    </xf>
    <xf numFmtId="0" fontId="9" fillId="3" borderId="0" xfId="0" applyFont="1" applyFill="1" applyBorder="1" applyAlignment="1" applyProtection="1">
      <alignment horizontal="left" vertical="center" indent="1"/>
    </xf>
    <xf numFmtId="167" fontId="4" fillId="3" borderId="0" xfId="0" applyNumberFormat="1" applyFont="1" applyFill="1" applyBorder="1" applyAlignment="1" applyProtection="1">
      <alignment horizontal="left" vertical="center" indent="1"/>
    </xf>
    <xf numFmtId="0" fontId="7" fillId="2" borderId="76" xfId="0" applyFont="1" applyFill="1" applyBorder="1" applyAlignment="1" applyProtection="1">
      <alignment horizontal="left" vertical="center"/>
    </xf>
    <xf numFmtId="0" fontId="7" fillId="2" borderId="49" xfId="0" applyFont="1" applyFill="1" applyBorder="1" applyAlignment="1" applyProtection="1">
      <alignment horizontal="left" vertical="center"/>
    </xf>
    <xf numFmtId="0" fontId="4" fillId="4" borderId="3" xfId="0" applyFont="1" applyFill="1" applyBorder="1" applyAlignment="1" applyProtection="1">
      <alignment horizontal="left" vertical="center" indent="1"/>
    </xf>
    <xf numFmtId="0" fontId="7" fillId="2" borderId="3" xfId="0" applyFont="1" applyFill="1" applyBorder="1" applyAlignment="1" applyProtection="1">
      <alignment horizontal="left" vertical="center"/>
    </xf>
    <xf numFmtId="0" fontId="4" fillId="4" borderId="15" xfId="0" applyFont="1" applyFill="1" applyBorder="1" applyAlignment="1" applyProtection="1">
      <alignment horizontal="left" vertical="center" indent="1"/>
    </xf>
    <xf numFmtId="167" fontId="4" fillId="4" borderId="1" xfId="0" applyNumberFormat="1" applyFont="1" applyFill="1" applyBorder="1" applyAlignment="1" applyProtection="1">
      <alignment horizontal="left" vertical="center" indent="1"/>
    </xf>
    <xf numFmtId="167" fontId="4" fillId="4" borderId="4" xfId="0" applyNumberFormat="1" applyFont="1" applyFill="1" applyBorder="1" applyAlignment="1" applyProtection="1">
      <alignment horizontal="left" vertical="center" indent="1"/>
    </xf>
    <xf numFmtId="167" fontId="4" fillId="4" borderId="96" xfId="0" applyNumberFormat="1" applyFont="1" applyFill="1" applyBorder="1" applyAlignment="1" applyProtection="1">
      <alignment horizontal="left" vertical="center" indent="1"/>
    </xf>
    <xf numFmtId="0" fontId="9" fillId="3" borderId="0" xfId="0" applyFont="1" applyFill="1" applyBorder="1" applyAlignment="1" applyProtection="1">
      <alignment vertical="center"/>
    </xf>
    <xf numFmtId="0" fontId="50" fillId="3" borderId="0" xfId="0" applyFont="1" applyFill="1" applyAlignment="1" applyProtection="1">
      <alignment vertical="center"/>
    </xf>
    <xf numFmtId="0" fontId="4" fillId="0" borderId="0" xfId="0" applyFont="1" applyFill="1" applyBorder="1" applyAlignment="1" applyProtection="1">
      <alignment horizontal="left" vertical="center" wrapText="1" indent="1"/>
    </xf>
    <xf numFmtId="166" fontId="4" fillId="3" borderId="0" xfId="1" applyNumberFormat="1" applyFont="1" applyFill="1" applyAlignment="1" applyProtection="1">
      <alignment vertical="center"/>
    </xf>
    <xf numFmtId="0" fontId="14" fillId="4" borderId="8" xfId="0" applyFont="1" applyFill="1" applyBorder="1" applyAlignment="1" applyProtection="1">
      <alignment vertical="center"/>
    </xf>
    <xf numFmtId="0" fontId="4" fillId="4" borderId="8" xfId="0" applyFont="1" applyFill="1" applyBorder="1" applyAlignment="1" applyProtection="1">
      <alignment horizontal="center" vertical="center"/>
    </xf>
    <xf numFmtId="0" fontId="95" fillId="4" borderId="8" xfId="0" applyFont="1" applyFill="1" applyBorder="1" applyAlignment="1" applyProtection="1">
      <alignment vertical="center"/>
    </xf>
    <xf numFmtId="0" fontId="95" fillId="4" borderId="90" xfId="0" applyFont="1" applyFill="1" applyBorder="1" applyAlignment="1" applyProtection="1">
      <alignment vertical="center"/>
    </xf>
    <xf numFmtId="0" fontId="14" fillId="4" borderId="90" xfId="0" applyFont="1" applyFill="1" applyBorder="1" applyAlignment="1" applyProtection="1">
      <alignment vertical="center"/>
    </xf>
    <xf numFmtId="0" fontId="4" fillId="4" borderId="92" xfId="0" applyFont="1" applyFill="1" applyBorder="1" applyAlignment="1" applyProtection="1">
      <alignment horizontal="center" vertical="center" wrapText="1"/>
    </xf>
    <xf numFmtId="49" fontId="4" fillId="16" borderId="28" xfId="0" applyNumberFormat="1" applyFont="1" applyFill="1" applyBorder="1" applyAlignment="1" applyProtection="1">
      <alignment horizontal="center" vertical="center" wrapText="1"/>
      <protection locked="0"/>
    </xf>
    <xf numFmtId="164" fontId="4" fillId="16" borderId="28" xfId="0" applyNumberFormat="1" applyFont="1" applyFill="1" applyBorder="1" applyAlignment="1" applyProtection="1">
      <alignment horizontal="center" vertical="center" wrapText="1"/>
      <protection locked="0"/>
    </xf>
    <xf numFmtId="173" fontId="4" fillId="18" borderId="28" xfId="0" applyNumberFormat="1" applyFont="1" applyFill="1" applyBorder="1" applyAlignment="1" applyProtection="1">
      <alignment horizontal="center" vertical="center" wrapText="1"/>
    </xf>
    <xf numFmtId="0" fontId="4" fillId="3" borderId="1" xfId="0" applyNumberFormat="1" applyFont="1" applyFill="1" applyBorder="1" applyAlignment="1" applyProtection="1">
      <alignment horizontal="center" vertical="center" wrapText="1"/>
      <protection locked="0"/>
    </xf>
    <xf numFmtId="0" fontId="4" fillId="18" borderId="1" xfId="0" applyNumberFormat="1" applyFont="1" applyFill="1" applyBorder="1" applyAlignment="1" applyProtection="1">
      <alignment horizontal="center" vertical="center" wrapText="1"/>
    </xf>
    <xf numFmtId="10" fontId="4" fillId="3" borderId="1" xfId="0" applyNumberFormat="1" applyFont="1" applyFill="1" applyBorder="1" applyAlignment="1" applyProtection="1">
      <alignment horizontal="center" vertical="center" wrapText="1"/>
      <protection locked="0"/>
    </xf>
    <xf numFmtId="9" fontId="4" fillId="3" borderId="1" xfId="0" applyNumberFormat="1" applyFont="1" applyFill="1" applyBorder="1" applyAlignment="1" applyProtection="1">
      <alignment horizontal="center" vertical="center" wrapText="1"/>
      <protection locked="0"/>
    </xf>
    <xf numFmtId="0" fontId="4" fillId="4" borderId="93" xfId="0" applyFont="1" applyFill="1" applyBorder="1" applyAlignment="1" applyProtection="1">
      <alignment horizontal="center" vertical="center" wrapText="1"/>
    </xf>
    <xf numFmtId="49" fontId="4" fillId="16" borderId="84" xfId="0" applyNumberFormat="1" applyFont="1" applyFill="1" applyBorder="1" applyAlignment="1" applyProtection="1">
      <alignment horizontal="center" vertical="center" wrapText="1"/>
      <protection locked="0"/>
    </xf>
    <xf numFmtId="164" fontId="4" fillId="16" borderId="84" xfId="0" applyNumberFormat="1" applyFont="1" applyFill="1" applyBorder="1" applyAlignment="1" applyProtection="1">
      <alignment horizontal="center" vertical="center" wrapText="1"/>
      <protection locked="0"/>
    </xf>
    <xf numFmtId="173" fontId="4" fillId="18" borderId="84" xfId="0" applyNumberFormat="1" applyFont="1" applyFill="1" applyBorder="1" applyAlignment="1" applyProtection="1">
      <alignment horizontal="center" vertical="center" wrapText="1"/>
    </xf>
    <xf numFmtId="3" fontId="4" fillId="3" borderId="84" xfId="0" applyNumberFormat="1" applyFont="1" applyFill="1" applyBorder="1" applyAlignment="1" applyProtection="1">
      <alignment horizontal="center" vertical="center" wrapText="1"/>
      <protection locked="0"/>
    </xf>
    <xf numFmtId="0" fontId="4" fillId="3" borderId="84" xfId="0" applyNumberFormat="1" applyFont="1" applyFill="1" applyBorder="1" applyAlignment="1" applyProtection="1">
      <alignment horizontal="center" vertical="center" wrapText="1"/>
      <protection locked="0"/>
    </xf>
    <xf numFmtId="0" fontId="4" fillId="4" borderId="91" xfId="0" applyFont="1" applyFill="1" applyBorder="1" applyAlignment="1" applyProtection="1">
      <alignment horizontal="left" vertical="center" wrapText="1" indent="1"/>
    </xf>
    <xf numFmtId="0" fontId="4" fillId="4" borderId="3" xfId="0" applyFont="1" applyFill="1" applyBorder="1" applyAlignment="1" applyProtection="1">
      <alignment horizontal="left" vertical="center" wrapText="1" indent="1"/>
    </xf>
    <xf numFmtId="164" fontId="4" fillId="16" borderId="1" xfId="0" applyNumberFormat="1" applyFont="1" applyFill="1" applyBorder="1" applyAlignment="1" applyProtection="1">
      <alignment horizontal="center" vertical="center" wrapText="1"/>
      <protection locked="0"/>
    </xf>
    <xf numFmtId="164" fontId="4" fillId="18" borderId="1" xfId="0" applyNumberFormat="1" applyFont="1" applyFill="1" applyBorder="1" applyAlignment="1" applyProtection="1">
      <alignment horizontal="center" vertical="center" wrapText="1"/>
    </xf>
    <xf numFmtId="0" fontId="4" fillId="4" borderId="92" xfId="0" applyFont="1" applyFill="1" applyBorder="1" applyAlignment="1" applyProtection="1">
      <alignment horizontal="left" vertical="center" wrapText="1" indent="1"/>
    </xf>
    <xf numFmtId="0" fontId="4" fillId="4" borderId="1" xfId="0" applyFont="1" applyFill="1" applyBorder="1" applyAlignment="1" applyProtection="1">
      <alignment horizontal="left" vertical="center" wrapText="1" indent="1"/>
    </xf>
    <xf numFmtId="164" fontId="4" fillId="4" borderId="1" xfId="0" applyNumberFormat="1" applyFont="1" applyFill="1" applyBorder="1" applyAlignment="1" applyProtection="1">
      <alignment horizontal="center" vertical="center" wrapText="1"/>
    </xf>
    <xf numFmtId="164" fontId="4" fillId="4" borderId="28" xfId="0" applyNumberFormat="1" applyFont="1" applyFill="1" applyBorder="1" applyAlignment="1" applyProtection="1">
      <alignment horizontal="center" vertical="center" wrapText="1"/>
    </xf>
    <xf numFmtId="3" fontId="12" fillId="3" borderId="84" xfId="0" applyNumberFormat="1" applyFont="1" applyFill="1" applyBorder="1" applyAlignment="1" applyProtection="1">
      <alignment horizontal="right" vertical="center"/>
      <protection locked="0"/>
    </xf>
    <xf numFmtId="3" fontId="12" fillId="3" borderId="75" xfId="0" applyNumberFormat="1" applyFont="1" applyFill="1" applyBorder="1" applyAlignment="1" applyProtection="1">
      <alignment horizontal="right" vertical="center"/>
      <protection locked="0"/>
    </xf>
    <xf numFmtId="3" fontId="12" fillId="0" borderId="1" xfId="0" applyNumberFormat="1" applyFont="1" applyFill="1" applyBorder="1" applyAlignment="1" applyProtection="1">
      <alignment horizontal="right" vertical="center"/>
      <protection locked="0"/>
    </xf>
    <xf numFmtId="3" fontId="12" fillId="0" borderId="84" xfId="0" applyNumberFormat="1" applyFont="1" applyFill="1" applyBorder="1" applyAlignment="1" applyProtection="1">
      <alignment horizontal="right" vertical="center"/>
      <protection locked="0"/>
    </xf>
    <xf numFmtId="4" fontId="15" fillId="3" borderId="54" xfId="0" applyNumberFormat="1" applyFont="1" applyFill="1" applyBorder="1" applyAlignment="1" applyProtection="1">
      <alignment horizontal="right"/>
      <protection locked="0"/>
    </xf>
    <xf numFmtId="3" fontId="0" fillId="3" borderId="0" xfId="0" applyNumberFormat="1" applyFill="1" applyProtection="1"/>
    <xf numFmtId="166" fontId="2" fillId="18" borderId="1" xfId="1" applyNumberFormat="1" applyFont="1" applyFill="1" applyBorder="1" applyProtection="1"/>
    <xf numFmtId="0" fontId="23" fillId="16" borderId="3" xfId="0" applyFont="1" applyFill="1" applyBorder="1" applyAlignment="1" applyProtection="1">
      <alignment horizontal="center" vertical="center" wrapText="1"/>
    </xf>
    <xf numFmtId="3" fontId="12" fillId="3" borderId="28" xfId="0" applyNumberFormat="1" applyFont="1" applyFill="1" applyBorder="1" applyAlignment="1" applyProtection="1">
      <alignment horizontal="center" vertical="center"/>
      <protection locked="0"/>
    </xf>
    <xf numFmtId="3" fontId="12" fillId="3" borderId="75" xfId="0" applyNumberFormat="1" applyFont="1" applyFill="1" applyBorder="1" applyAlignment="1" applyProtection="1">
      <alignment horizontal="center" vertical="center"/>
      <protection locked="0"/>
    </xf>
    <xf numFmtId="3" fontId="4" fillId="3" borderId="95" xfId="0" applyNumberFormat="1" applyFont="1" applyFill="1" applyBorder="1" applyAlignment="1" applyProtection="1">
      <alignment horizontal="left" vertical="center" wrapText="1"/>
      <protection locked="0"/>
    </xf>
    <xf numFmtId="3" fontId="4" fillId="3" borderId="151" xfId="0" applyNumberFormat="1" applyFont="1" applyFill="1" applyBorder="1" applyAlignment="1" applyProtection="1">
      <alignment horizontal="left" vertical="center" wrapText="1"/>
      <protection locked="0"/>
    </xf>
    <xf numFmtId="3" fontId="4" fillId="3" borderId="23" xfId="0" applyNumberFormat="1" applyFont="1" applyFill="1" applyBorder="1" applyAlignment="1" applyProtection="1">
      <alignment horizontal="left" vertical="center" wrapText="1"/>
      <protection locked="0"/>
    </xf>
    <xf numFmtId="165" fontId="4" fillId="3" borderId="120" xfId="1" applyFont="1" applyFill="1" applyBorder="1" applyAlignment="1" applyProtection="1">
      <alignment horizontal="center" vertical="center" wrapText="1"/>
      <protection locked="0"/>
    </xf>
    <xf numFmtId="165" fontId="4" fillId="16" borderId="1" xfId="1" applyFont="1" applyFill="1" applyBorder="1" applyAlignment="1" applyProtection="1">
      <alignment horizontal="center" vertical="center" wrapText="1"/>
      <protection locked="0"/>
    </xf>
    <xf numFmtId="165" fontId="0" fillId="3" borderId="0" xfId="1" applyFont="1" applyFill="1" applyProtection="1"/>
    <xf numFmtId="165" fontId="15" fillId="3" borderId="0" xfId="1" applyFont="1" applyFill="1" applyAlignment="1" applyProtection="1">
      <alignment vertical="center"/>
    </xf>
    <xf numFmtId="165" fontId="8" fillId="3" borderId="0" xfId="1" applyFont="1" applyFill="1" applyAlignment="1" applyProtection="1">
      <alignment vertical="center"/>
    </xf>
    <xf numFmtId="165" fontId="4" fillId="3" borderId="28" xfId="1" applyFont="1" applyFill="1" applyBorder="1" applyAlignment="1" applyProtection="1">
      <alignment horizontal="center" vertical="center" wrapText="1"/>
      <protection locked="0"/>
    </xf>
    <xf numFmtId="165" fontId="4" fillId="3" borderId="1" xfId="1" applyFont="1" applyFill="1" applyBorder="1" applyAlignment="1" applyProtection="1">
      <alignment horizontal="center" vertical="center" wrapText="1"/>
      <protection locked="0"/>
    </xf>
    <xf numFmtId="165" fontId="12" fillId="3" borderId="1" xfId="1" applyFont="1" applyFill="1" applyBorder="1" applyAlignment="1" applyProtection="1">
      <alignment horizontal="center" vertical="center" wrapText="1"/>
      <protection locked="0"/>
    </xf>
    <xf numFmtId="165" fontId="0" fillId="3" borderId="0" xfId="1" applyFont="1" applyFill="1" applyAlignment="1" applyProtection="1">
      <alignment vertical="center"/>
    </xf>
    <xf numFmtId="0" fontId="15" fillId="4" borderId="4" xfId="0" applyFont="1" applyFill="1" applyBorder="1" applyAlignment="1" applyProtection="1">
      <alignment horizontal="center"/>
    </xf>
    <xf numFmtId="167" fontId="15" fillId="4" borderId="4" xfId="0" applyNumberFormat="1" applyFont="1" applyFill="1" applyBorder="1" applyAlignment="1" applyProtection="1">
      <alignment horizontal="center"/>
    </xf>
    <xf numFmtId="0" fontId="12" fillId="0" borderId="40" xfId="0" applyFont="1" applyFill="1" applyBorder="1" applyAlignment="1" applyProtection="1">
      <alignment horizontal="center"/>
    </xf>
    <xf numFmtId="0" fontId="12" fillId="0" borderId="32" xfId="0" applyFont="1" applyFill="1" applyBorder="1" applyAlignment="1" applyProtection="1">
      <alignment horizontal="center"/>
    </xf>
    <xf numFmtId="0" fontId="12" fillId="0" borderId="34" xfId="0" applyFont="1" applyFill="1" applyBorder="1" applyAlignment="1" applyProtection="1">
      <alignment horizontal="center"/>
    </xf>
    <xf numFmtId="0" fontId="0" fillId="0" borderId="33" xfId="0" applyBorder="1" applyAlignment="1" applyProtection="1">
      <alignment horizontal="center"/>
    </xf>
    <xf numFmtId="0" fontId="0" fillId="0" borderId="46" xfId="0" applyFill="1" applyBorder="1" applyAlignment="1" applyProtection="1">
      <alignment horizontal="center"/>
    </xf>
    <xf numFmtId="0" fontId="15" fillId="3" borderId="0" xfId="0" applyFont="1" applyFill="1" applyBorder="1" applyAlignment="1" applyProtection="1">
      <alignment horizontal="center"/>
    </xf>
    <xf numFmtId="172" fontId="2" fillId="3" borderId="69" xfId="0" applyNumberFormat="1" applyFont="1" applyFill="1" applyBorder="1" applyAlignment="1" applyProtection="1">
      <alignment horizontal="center" vertical="center" wrapText="1"/>
      <protection locked="0"/>
    </xf>
    <xf numFmtId="0" fontId="12" fillId="3" borderId="1" xfId="6" quotePrefix="1" applyNumberFormat="1" applyFont="1" applyFill="1" applyBorder="1" applyAlignment="1" applyProtection="1">
      <alignment horizontal="left" vertical="center" wrapText="1"/>
      <protection locked="0"/>
    </xf>
    <xf numFmtId="0" fontId="12" fillId="16" borderId="152" xfId="0" applyFont="1" applyFill="1" applyBorder="1" applyAlignment="1" applyProtection="1">
      <alignment horizontal="center" vertical="center" wrapText="1"/>
      <protection locked="0"/>
    </xf>
    <xf numFmtId="3" fontId="2" fillId="16" borderId="1" xfId="0" applyNumberFormat="1" applyFont="1" applyFill="1" applyBorder="1" applyAlignment="1" applyProtection="1">
      <alignment horizontal="center" vertical="center" wrapText="1"/>
      <protection locked="0"/>
    </xf>
    <xf numFmtId="0" fontId="2" fillId="16" borderId="1" xfId="0" applyFont="1" applyFill="1" applyBorder="1" applyAlignment="1" applyProtection="1">
      <alignment horizontal="center" vertical="center"/>
      <protection locked="0"/>
    </xf>
    <xf numFmtId="49" fontId="12" fillId="16" borderId="1" xfId="7" applyNumberFormat="1" applyFont="1" applyFill="1" applyBorder="1" applyAlignment="1" applyProtection="1">
      <alignment horizontal="center" vertical="center" wrapText="1"/>
      <protection locked="0"/>
    </xf>
    <xf numFmtId="173" fontId="12" fillId="16" borderId="1" xfId="7" applyNumberFormat="1" applyFont="1" applyFill="1" applyBorder="1" applyAlignment="1" applyProtection="1">
      <alignment horizontal="center" vertical="center" wrapText="1"/>
      <protection locked="0"/>
    </xf>
    <xf numFmtId="178" fontId="12" fillId="16" borderId="75" xfId="7" applyNumberFormat="1" applyFont="1" applyFill="1" applyBorder="1" applyAlignment="1" applyProtection="1">
      <alignment horizontal="center" vertical="center" wrapText="1"/>
      <protection locked="0"/>
    </xf>
    <xf numFmtId="3" fontId="12" fillId="16" borderId="1" xfId="0" applyNumberFormat="1" applyFont="1" applyFill="1" applyBorder="1" applyAlignment="1" applyProtection="1">
      <alignment horizontal="left" vertical="center" wrapText="1"/>
      <protection locked="0"/>
    </xf>
    <xf numFmtId="3" fontId="2" fillId="16" borderId="1" xfId="0" applyNumberFormat="1" applyFont="1" applyFill="1" applyBorder="1" applyAlignment="1" applyProtection="1">
      <alignment horizontal="center" vertical="center"/>
      <protection locked="0"/>
    </xf>
    <xf numFmtId="10" fontId="2" fillId="16" borderId="1" xfId="7" applyNumberFormat="1" applyFont="1" applyFill="1" applyBorder="1" applyAlignment="1" applyProtection="1">
      <alignment horizontal="center" vertical="center"/>
      <protection locked="0"/>
    </xf>
    <xf numFmtId="9" fontId="2" fillId="16" borderId="1" xfId="7" applyFont="1" applyFill="1" applyBorder="1" applyAlignment="1" applyProtection="1">
      <alignment horizontal="center" vertical="center" wrapText="1"/>
      <protection locked="0"/>
    </xf>
    <xf numFmtId="9" fontId="2" fillId="16" borderId="1" xfId="7" applyFont="1" applyFill="1" applyBorder="1" applyAlignment="1" applyProtection="1">
      <alignment horizontal="center" vertical="center"/>
      <protection locked="0"/>
    </xf>
    <xf numFmtId="3" fontId="12" fillId="0" borderId="13" xfId="0" applyNumberFormat="1" applyFont="1" applyFill="1" applyBorder="1" applyAlignment="1" applyProtection="1">
      <alignment horizontal="center" vertical="center" wrapText="1"/>
      <protection locked="0"/>
    </xf>
    <xf numFmtId="0" fontId="12" fillId="16" borderId="1" xfId="0" applyFont="1" applyFill="1" applyBorder="1" applyAlignment="1" applyProtection="1">
      <alignment horizontal="center" vertical="center" wrapText="1"/>
      <protection locked="0"/>
    </xf>
    <xf numFmtId="0" fontId="12" fillId="16" borderId="13" xfId="0" applyFont="1" applyFill="1" applyBorder="1" applyAlignment="1" applyProtection="1">
      <alignment horizontal="center" vertical="center" wrapText="1"/>
      <protection locked="0"/>
    </xf>
    <xf numFmtId="3" fontId="12" fillId="16" borderId="13" xfId="0" applyNumberFormat="1" applyFont="1" applyFill="1" applyBorder="1" applyAlignment="1" applyProtection="1">
      <alignment horizontal="center" vertical="center" wrapText="1"/>
      <protection locked="0"/>
    </xf>
    <xf numFmtId="49" fontId="12" fillId="16" borderId="13" xfId="0" applyNumberFormat="1" applyFont="1" applyFill="1" applyBorder="1" applyAlignment="1" applyProtection="1">
      <alignment horizontal="center" vertical="center" wrapText="1"/>
      <protection locked="0"/>
    </xf>
    <xf numFmtId="3" fontId="2" fillId="0" borderId="1" xfId="0" applyNumberFormat="1" applyFont="1" applyFill="1" applyBorder="1" applyAlignment="1" applyProtection="1">
      <alignment horizontal="center" vertical="center"/>
      <protection locked="0"/>
    </xf>
    <xf numFmtId="9" fontId="12" fillId="16" borderId="13" xfId="7" applyFont="1" applyFill="1" applyBorder="1" applyAlignment="1" applyProtection="1">
      <alignment horizontal="center" vertical="center"/>
      <protection locked="0"/>
    </xf>
    <xf numFmtId="0" fontId="12" fillId="3" borderId="86" xfId="0" applyFont="1" applyFill="1" applyBorder="1" applyAlignment="1" applyProtection="1">
      <alignment horizontal="center" vertical="center"/>
      <protection locked="0"/>
    </xf>
    <xf numFmtId="0" fontId="12" fillId="0" borderId="13" xfId="0" applyFont="1" applyFill="1" applyBorder="1" applyAlignment="1" applyProtection="1">
      <alignment horizontal="left" vertical="center" wrapText="1" indent="1"/>
      <protection locked="0"/>
    </xf>
    <xf numFmtId="0" fontId="11" fillId="2" borderId="11" xfId="0" applyFont="1" applyFill="1" applyBorder="1" applyAlignment="1" applyProtection="1">
      <alignment horizontal="left" vertical="center"/>
    </xf>
    <xf numFmtId="0" fontId="12" fillId="0" borderId="34" xfId="0" applyFont="1" applyFill="1" applyBorder="1" applyAlignment="1" applyProtection="1">
      <alignment horizontal="center" vertical="center"/>
    </xf>
    <xf numFmtId="0" fontId="11" fillId="2" borderId="0" xfId="0" applyFont="1" applyFill="1" applyBorder="1" applyAlignment="1" applyProtection="1">
      <alignment horizontal="left" vertical="center"/>
    </xf>
    <xf numFmtId="0" fontId="11" fillId="2" borderId="11" xfId="0" applyFont="1" applyFill="1" applyBorder="1" applyAlignment="1" applyProtection="1">
      <alignment vertical="center"/>
    </xf>
    <xf numFmtId="167" fontId="12" fillId="4" borderId="16" xfId="0" applyNumberFormat="1" applyFont="1" applyFill="1" applyBorder="1" applyAlignment="1" applyProtection="1">
      <alignment horizontal="left" vertical="center" indent="1"/>
    </xf>
    <xf numFmtId="167" fontId="12" fillId="4" borderId="70" xfId="0" applyNumberFormat="1" applyFont="1" applyFill="1" applyBorder="1" applyAlignment="1" applyProtection="1">
      <alignment horizontal="left" vertical="center" indent="1"/>
    </xf>
    <xf numFmtId="0" fontId="11" fillId="0" borderId="34" xfId="0" applyFont="1" applyFill="1" applyBorder="1" applyAlignment="1" applyProtection="1">
      <alignment horizontal="center"/>
    </xf>
    <xf numFmtId="0" fontId="11" fillId="2" borderId="11" xfId="0" applyFont="1" applyFill="1" applyBorder="1" applyAlignment="1" applyProtection="1">
      <alignment horizontal="left" vertical="center"/>
    </xf>
    <xf numFmtId="0" fontId="12" fillId="0" borderId="34" xfId="0" applyFont="1" applyFill="1" applyBorder="1" applyAlignment="1" applyProtection="1">
      <alignment horizontal="center" vertical="center"/>
    </xf>
    <xf numFmtId="0" fontId="11" fillId="2" borderId="0" xfId="0" applyFont="1" applyFill="1" applyBorder="1" applyAlignment="1" applyProtection="1">
      <alignment horizontal="left" vertical="center"/>
    </xf>
    <xf numFmtId="0" fontId="11" fillId="2" borderId="11" xfId="0" applyFont="1" applyFill="1" applyBorder="1" applyAlignment="1" applyProtection="1">
      <alignment vertical="center"/>
    </xf>
    <xf numFmtId="167" fontId="12" fillId="4" borderId="16" xfId="0" applyNumberFormat="1" applyFont="1" applyFill="1" applyBorder="1" applyAlignment="1" applyProtection="1">
      <alignment horizontal="left" vertical="center" indent="1"/>
    </xf>
    <xf numFmtId="167" fontId="12" fillId="4" borderId="70" xfId="0" applyNumberFormat="1" applyFont="1" applyFill="1" applyBorder="1" applyAlignment="1" applyProtection="1">
      <alignment horizontal="left" vertical="center" indent="1"/>
    </xf>
    <xf numFmtId="0" fontId="11" fillId="0" borderId="34" xfId="0" applyFont="1" applyFill="1" applyBorder="1" applyAlignment="1" applyProtection="1">
      <alignment horizontal="center"/>
    </xf>
    <xf numFmtId="0" fontId="98" fillId="0" borderId="70" xfId="0" applyFont="1" applyFill="1" applyBorder="1" applyAlignment="1" applyProtection="1">
      <alignment horizontal="left" vertical="center" wrapText="1" indent="1"/>
      <protection locked="0"/>
    </xf>
    <xf numFmtId="0" fontId="98" fillId="0" borderId="1" xfId="0" applyFont="1" applyFill="1" applyBorder="1" applyAlignment="1" applyProtection="1">
      <alignment horizontal="center" vertical="center" wrapText="1"/>
      <protection locked="0"/>
    </xf>
    <xf numFmtId="0" fontId="98" fillId="0" borderId="84" xfId="0" applyFont="1" applyFill="1" applyBorder="1" applyAlignment="1" applyProtection="1">
      <alignment horizontal="center" vertical="center" wrapText="1"/>
      <protection locked="0"/>
    </xf>
    <xf numFmtId="0" fontId="101" fillId="0" borderId="0" xfId="0" applyFont="1" applyFill="1" applyProtection="1"/>
    <xf numFmtId="0" fontId="101" fillId="0" borderId="0" xfId="0" applyFont="1" applyProtection="1"/>
    <xf numFmtId="166" fontId="101" fillId="0" borderId="0" xfId="1" applyNumberFormat="1" applyFont="1" applyProtection="1"/>
    <xf numFmtId="0" fontId="101" fillId="3" borderId="0" xfId="0" applyFont="1" applyFill="1" applyProtection="1"/>
    <xf numFmtId="166" fontId="101" fillId="3" borderId="0" xfId="1" applyNumberFormat="1" applyFont="1" applyFill="1" applyProtection="1"/>
    <xf numFmtId="3" fontId="98" fillId="4" borderId="1" xfId="0" applyNumberFormat="1" applyFont="1" applyFill="1" applyBorder="1" applyAlignment="1" applyProtection="1">
      <alignment horizontal="center" vertical="center"/>
    </xf>
    <xf numFmtId="3" fontId="98" fillId="0" borderId="1" xfId="0" applyNumberFormat="1" applyFont="1" applyFill="1" applyBorder="1" applyAlignment="1" applyProtection="1">
      <alignment horizontal="right" vertical="center"/>
      <protection locked="0"/>
    </xf>
    <xf numFmtId="3" fontId="98" fillId="0" borderId="84" xfId="0" applyNumberFormat="1" applyFont="1" applyFill="1" applyBorder="1" applyAlignment="1" applyProtection="1">
      <alignment horizontal="right" vertical="center"/>
      <protection locked="0"/>
    </xf>
    <xf numFmtId="0" fontId="98" fillId="0" borderId="88" xfId="0" applyFont="1" applyFill="1" applyBorder="1" applyAlignment="1" applyProtection="1">
      <alignment horizontal="left" vertical="center" wrapText="1" indent="1"/>
      <protection locked="0"/>
    </xf>
    <xf numFmtId="168" fontId="98" fillId="0" borderId="4" xfId="0" applyNumberFormat="1" applyFont="1" applyFill="1" applyBorder="1" applyAlignment="1" applyProtection="1">
      <alignment horizontal="left" vertical="center" wrapText="1"/>
      <protection locked="0"/>
    </xf>
    <xf numFmtId="3" fontId="98" fillId="3" borderId="88" xfId="0" applyNumberFormat="1" applyFont="1" applyFill="1" applyBorder="1" applyAlignment="1" applyProtection="1">
      <alignment horizontal="left" vertical="center" wrapText="1" indent="1"/>
      <protection locked="0"/>
    </xf>
    <xf numFmtId="0" fontId="98" fillId="0" borderId="74" xfId="0" applyFont="1" applyFill="1" applyBorder="1" applyAlignment="1" applyProtection="1">
      <alignment horizontal="center" vertical="center"/>
      <protection locked="0"/>
    </xf>
    <xf numFmtId="0" fontId="98" fillId="0" borderId="77" xfId="0" applyFont="1" applyFill="1" applyBorder="1" applyAlignment="1" applyProtection="1">
      <alignment horizontal="center" vertical="center"/>
      <protection locked="0"/>
    </xf>
    <xf numFmtId="0" fontId="0" fillId="3" borderId="0" xfId="0" applyFill="1" applyBorder="1" applyAlignment="1" applyProtection="1">
      <alignment vertical="top" wrapText="1"/>
    </xf>
    <xf numFmtId="166" fontId="12" fillId="0" borderId="32" xfId="1" applyNumberFormat="1" applyFont="1" applyBorder="1" applyAlignment="1" applyProtection="1">
      <alignment vertical="center"/>
    </xf>
    <xf numFmtId="0" fontId="12" fillId="3" borderId="0" xfId="0" applyFont="1" applyFill="1" applyBorder="1" applyAlignment="1" applyProtection="1">
      <alignment vertical="top" wrapText="1"/>
    </xf>
    <xf numFmtId="0" fontId="12" fillId="4" borderId="13" xfId="0" applyFont="1" applyFill="1" applyBorder="1" applyAlignment="1" applyProtection="1">
      <alignment horizontal="left" vertical="center" indent="1"/>
    </xf>
    <xf numFmtId="0" fontId="12" fillId="16" borderId="31" xfId="0" applyFont="1" applyFill="1" applyBorder="1" applyAlignment="1" applyProtection="1">
      <alignment vertical="center"/>
    </xf>
    <xf numFmtId="0" fontId="12" fillId="16" borderId="32" xfId="0" applyFont="1" applyFill="1" applyBorder="1" applyAlignment="1" applyProtection="1">
      <alignment vertical="center"/>
    </xf>
    <xf numFmtId="166" fontId="12" fillId="16" borderId="34" xfId="1" applyNumberFormat="1" applyFont="1" applyFill="1" applyBorder="1" applyAlignment="1" applyProtection="1">
      <alignment vertical="center"/>
    </xf>
    <xf numFmtId="166" fontId="12" fillId="16" borderId="32" xfId="1" applyNumberFormat="1" applyFont="1" applyFill="1" applyBorder="1" applyAlignment="1" applyProtection="1">
      <alignment vertical="center"/>
    </xf>
    <xf numFmtId="0" fontId="12" fillId="16" borderId="0" xfId="0" applyFont="1" applyFill="1" applyAlignment="1" applyProtection="1">
      <alignment vertical="center"/>
    </xf>
    <xf numFmtId="166" fontId="12" fillId="16" borderId="0" xfId="1" applyNumberFormat="1" applyFont="1" applyFill="1" applyAlignment="1" applyProtection="1">
      <alignment vertical="center"/>
    </xf>
    <xf numFmtId="0" fontId="12" fillId="3" borderId="0" xfId="0" applyFont="1" applyFill="1" applyAlignment="1" applyProtection="1">
      <alignment vertical="top" wrapText="1"/>
    </xf>
    <xf numFmtId="0" fontId="2" fillId="3" borderId="0" xfId="0" applyFont="1" applyFill="1" applyBorder="1" applyAlignment="1" applyProtection="1">
      <alignment vertical="top" wrapText="1"/>
    </xf>
    <xf numFmtId="0" fontId="102" fillId="22" borderId="1" xfId="0" applyFont="1" applyFill="1" applyBorder="1" applyAlignment="1" applyProtection="1">
      <alignment vertical="top" wrapText="1"/>
    </xf>
    <xf numFmtId="166" fontId="98" fillId="24" borderId="54" xfId="1" applyNumberFormat="1" applyFont="1" applyFill="1" applyBorder="1" applyAlignment="1" applyProtection="1">
      <alignment horizontal="right"/>
      <protection locked="0"/>
    </xf>
    <xf numFmtId="166" fontId="98" fillId="24" borderId="101" xfId="1" applyNumberFormat="1" applyFont="1" applyFill="1" applyBorder="1" applyAlignment="1" applyProtection="1">
      <alignment horizontal="right"/>
      <protection locked="0"/>
    </xf>
    <xf numFmtId="166" fontId="99" fillId="24" borderId="0" xfId="1" applyNumberFormat="1" applyFont="1" applyFill="1" applyBorder="1" applyAlignment="1" applyProtection="1">
      <alignment horizontal="right"/>
      <protection locked="0"/>
    </xf>
    <xf numFmtId="166" fontId="12" fillId="24" borderId="54" xfId="1" applyNumberFormat="1" applyFont="1" applyFill="1" applyBorder="1" applyAlignment="1" applyProtection="1">
      <alignment horizontal="right"/>
      <protection locked="0"/>
    </xf>
    <xf numFmtId="166" fontId="12" fillId="24" borderId="101" xfId="1" applyNumberFormat="1" applyFont="1" applyFill="1" applyBorder="1" applyAlignment="1" applyProtection="1">
      <alignment horizontal="right"/>
      <protection locked="0"/>
    </xf>
    <xf numFmtId="166" fontId="12" fillId="24" borderId="0" xfId="1" applyNumberFormat="1" applyFont="1" applyFill="1" applyBorder="1" applyAlignment="1" applyProtection="1">
      <alignment horizontal="right"/>
      <protection locked="0"/>
    </xf>
    <xf numFmtId="0" fontId="29" fillId="0" borderId="0" xfId="0" applyFont="1"/>
    <xf numFmtId="0" fontId="29" fillId="0" borderId="0" xfId="0" applyFont="1" applyAlignment="1" applyProtection="1"/>
    <xf numFmtId="168" fontId="29" fillId="0" borderId="54" xfId="0" applyNumberFormat="1" applyFont="1" applyFill="1" applyBorder="1" applyAlignment="1" applyProtection="1">
      <alignment horizontal="right"/>
      <protection locked="0"/>
    </xf>
    <xf numFmtId="0" fontId="29" fillId="0" borderId="0" xfId="0" applyFont="1" applyFill="1" applyBorder="1" applyAlignment="1" applyProtection="1">
      <alignment horizontal="right"/>
    </xf>
    <xf numFmtId="0" fontId="29" fillId="0" borderId="0" xfId="0" applyFont="1" applyFill="1" applyBorder="1" applyAlignment="1" applyProtection="1">
      <alignment horizontal="left"/>
    </xf>
    <xf numFmtId="168" fontId="105" fillId="0" borderId="54" xfId="0" applyNumberFormat="1" applyFont="1" applyFill="1" applyBorder="1" applyAlignment="1" applyProtection="1">
      <alignment horizontal="right"/>
      <protection locked="0"/>
    </xf>
    <xf numFmtId="0" fontId="29" fillId="0" borderId="0" xfId="0" applyFont="1" applyFill="1" applyBorder="1" applyAlignment="1" applyProtection="1">
      <alignment horizontal="center"/>
    </xf>
    <xf numFmtId="0" fontId="29" fillId="0" borderId="0" xfId="0" applyFont="1" applyFill="1" applyBorder="1" applyAlignment="1" applyProtection="1"/>
    <xf numFmtId="0" fontId="29" fillId="0" borderId="0" xfId="0" applyFont="1" applyFill="1" applyBorder="1" applyAlignment="1" applyProtection="1">
      <alignment horizontal="left" vertical="center"/>
    </xf>
    <xf numFmtId="168" fontId="105" fillId="19" borderId="1" xfId="0" applyNumberFormat="1" applyFont="1" applyFill="1" applyBorder="1" applyAlignment="1" applyProtection="1">
      <alignment horizontal="right"/>
    </xf>
    <xf numFmtId="0" fontId="105" fillId="0" borderId="0" xfId="0" applyFont="1"/>
    <xf numFmtId="168" fontId="29" fillId="0" borderId="0" xfId="0" applyNumberFormat="1" applyFont="1" applyFill="1" applyBorder="1" applyAlignment="1" applyProtection="1">
      <alignment horizontal="right"/>
      <protection locked="0"/>
    </xf>
    <xf numFmtId="168" fontId="105" fillId="0" borderId="0" xfId="0" applyNumberFormat="1" applyFont="1" applyFill="1" applyBorder="1" applyAlignment="1" applyProtection="1">
      <alignment horizontal="right"/>
      <protection locked="0"/>
    </xf>
    <xf numFmtId="168" fontId="105" fillId="0" borderId="0" xfId="0" applyNumberFormat="1" applyFont="1" applyFill="1" applyBorder="1" applyAlignment="1" applyProtection="1">
      <alignment horizontal="right"/>
    </xf>
    <xf numFmtId="0" fontId="106" fillId="0" borderId="0" xfId="0" applyFont="1" applyAlignment="1" applyProtection="1"/>
    <xf numFmtId="0" fontId="107" fillId="0" borderId="0" xfId="0" applyFont="1"/>
    <xf numFmtId="0" fontId="29" fillId="0" borderId="54" xfId="0" applyFont="1" applyFill="1" applyBorder="1" applyAlignment="1" applyProtection="1"/>
    <xf numFmtId="0" fontId="29" fillId="0" borderId="54" xfId="0" applyFont="1" applyBorder="1" applyAlignment="1" applyProtection="1"/>
    <xf numFmtId="0" fontId="105" fillId="0" borderId="0" xfId="0" applyFont="1" applyBorder="1" applyAlignment="1" applyProtection="1">
      <alignment horizontal="right" vertical="center"/>
      <protection locked="0"/>
    </xf>
    <xf numFmtId="0" fontId="29" fillId="0" borderId="0" xfId="0" applyFont="1" applyBorder="1" applyAlignment="1" applyProtection="1">
      <alignment horizontal="left" vertical="center" indent="1"/>
      <protection locked="0"/>
    </xf>
    <xf numFmtId="41" fontId="105" fillId="0" borderId="0" xfId="0" applyNumberFormat="1" applyFont="1" applyFill="1" applyBorder="1"/>
    <xf numFmtId="0" fontId="29" fillId="0" borderId="0" xfId="0" applyFont="1" applyBorder="1"/>
    <xf numFmtId="0" fontId="29" fillId="0" borderId="0" xfId="0" applyFont="1" applyBorder="1" applyAlignment="1" applyProtection="1">
      <alignment horizontal="right" vertical="center"/>
      <protection locked="0"/>
    </xf>
    <xf numFmtId="41" fontId="29" fillId="0" borderId="54" xfId="1" applyNumberFormat="1" applyFont="1" applyFill="1" applyBorder="1" applyAlignment="1" applyProtection="1">
      <alignment horizontal="right"/>
      <protection locked="0"/>
    </xf>
    <xf numFmtId="41" fontId="29" fillId="0" borderId="16" xfId="1" applyNumberFormat="1" applyFont="1" applyFill="1" applyBorder="1" applyAlignment="1" applyProtection="1">
      <alignment horizontal="right"/>
      <protection locked="0"/>
    </xf>
    <xf numFmtId="41" fontId="105" fillId="0" borderId="0" xfId="0" applyNumberFormat="1" applyFont="1" applyBorder="1"/>
    <xf numFmtId="41" fontId="105" fillId="21" borderId="75" xfId="1" applyNumberFormat="1" applyFont="1" applyFill="1" applyBorder="1" applyAlignment="1" applyProtection="1"/>
    <xf numFmtId="0" fontId="29" fillId="0" borderId="0" xfId="0" applyFont="1" applyFill="1" applyAlignment="1" applyProtection="1"/>
    <xf numFmtId="41" fontId="105" fillId="0" borderId="0" xfId="1" applyNumberFormat="1" applyFont="1" applyFill="1" applyBorder="1" applyAlignment="1" applyProtection="1"/>
    <xf numFmtId="0" fontId="29" fillId="0" borderId="0" xfId="0" applyFont="1" applyFill="1"/>
    <xf numFmtId="0" fontId="105" fillId="0" borderId="0" xfId="0" applyFont="1" applyFill="1"/>
    <xf numFmtId="0" fontId="107" fillId="0" borderId="0" xfId="0" applyFont="1" applyFill="1"/>
    <xf numFmtId="0" fontId="0" fillId="0" borderId="0" xfId="0" applyFill="1"/>
    <xf numFmtId="41" fontId="105" fillId="22" borderId="0" xfId="1" applyNumberFormat="1" applyFont="1" applyFill="1" applyBorder="1" applyAlignment="1" applyProtection="1"/>
    <xf numFmtId="41" fontId="108" fillId="0" borderId="0" xfId="1" applyNumberFormat="1" applyFont="1" applyFill="1" applyBorder="1" applyAlignment="1" applyProtection="1"/>
    <xf numFmtId="0" fontId="21" fillId="3" borderId="0" xfId="0" applyFont="1" applyFill="1" applyAlignment="1" applyProtection="1">
      <alignment horizontal="center" wrapText="1"/>
    </xf>
    <xf numFmtId="0" fontId="19" fillId="3" borderId="0" xfId="0" applyFont="1" applyFill="1" applyAlignment="1" applyProtection="1">
      <alignment wrapText="1"/>
    </xf>
    <xf numFmtId="0" fontId="5" fillId="3" borderId="0" xfId="0" applyFont="1" applyFill="1" applyProtection="1"/>
    <xf numFmtId="0" fontId="9" fillId="3" borderId="0" xfId="0" applyFont="1" applyFill="1" applyAlignment="1" applyProtection="1">
      <alignment horizontal="center" vertical="top" wrapText="1"/>
    </xf>
    <xf numFmtId="0" fontId="4" fillId="3" borderId="0" xfId="0" applyFont="1" applyFill="1" applyAlignment="1" applyProtection="1">
      <alignment horizontal="left" vertical="top" wrapText="1"/>
    </xf>
    <xf numFmtId="0" fontId="12" fillId="0" borderId="1" xfId="0" applyFont="1" applyFill="1" applyBorder="1" applyAlignment="1" applyProtection="1">
      <alignment horizontal="left" vertical="center" wrapText="1" indent="1"/>
      <protection locked="0"/>
    </xf>
    <xf numFmtId="0" fontId="12" fillId="0" borderId="1" xfId="0" applyFont="1" applyBorder="1" applyAlignment="1" applyProtection="1">
      <alignment horizontal="left" vertical="center" wrapText="1" indent="1"/>
      <protection locked="0"/>
    </xf>
    <xf numFmtId="0" fontId="12" fillId="0" borderId="4" xfId="0" applyFont="1" applyBorder="1" applyAlignment="1" applyProtection="1">
      <alignment horizontal="left" vertical="center" wrapText="1" indent="1"/>
      <protection locked="0"/>
    </xf>
    <xf numFmtId="0" fontId="21" fillId="0" borderId="0" xfId="0" applyFont="1" applyAlignment="1" applyProtection="1">
      <alignment horizontal="left" vertical="center" wrapText="1"/>
    </xf>
    <xf numFmtId="0" fontId="11" fillId="2" borderId="76" xfId="0" applyFont="1" applyFill="1" applyBorder="1" applyAlignment="1" applyProtection="1">
      <alignment horizontal="left" vertical="center"/>
    </xf>
    <xf numFmtId="0" fontId="11" fillId="2" borderId="165" xfId="0" applyFont="1" applyFill="1" applyBorder="1" applyAlignment="1" applyProtection="1">
      <alignment horizontal="left" vertical="center"/>
    </xf>
    <xf numFmtId="0" fontId="12" fillId="0" borderId="89" xfId="0" applyFont="1" applyFill="1" applyBorder="1" applyAlignment="1" applyProtection="1">
      <alignment horizontal="left" vertical="center" indent="1"/>
      <protection locked="0"/>
    </xf>
    <xf numFmtId="0" fontId="12" fillId="0" borderId="8" xfId="0" applyFont="1" applyFill="1" applyBorder="1" applyAlignment="1" applyProtection="1">
      <alignment horizontal="left" vertical="center" indent="1"/>
      <protection locked="0"/>
    </xf>
    <xf numFmtId="0" fontId="12" fillId="0" borderId="90" xfId="0" applyFont="1" applyFill="1" applyBorder="1" applyAlignment="1" applyProtection="1">
      <alignment horizontal="left" vertical="center" indent="1"/>
      <protection locked="0"/>
    </xf>
    <xf numFmtId="0" fontId="12" fillId="0" borderId="13" xfId="0" applyFont="1" applyFill="1" applyBorder="1" applyAlignment="1" applyProtection="1">
      <alignment horizontal="left" vertical="center" indent="1"/>
      <protection locked="0"/>
    </xf>
    <xf numFmtId="0" fontId="12" fillId="0" borderId="16" xfId="0" applyFont="1" applyFill="1" applyBorder="1" applyAlignment="1" applyProtection="1">
      <alignment horizontal="left" vertical="center" indent="1"/>
      <protection locked="0"/>
    </xf>
    <xf numFmtId="0" fontId="12" fillId="0" borderId="70" xfId="0" applyFont="1" applyFill="1" applyBorder="1" applyAlignment="1" applyProtection="1">
      <alignment horizontal="left" vertical="center" indent="1"/>
      <protection locked="0"/>
    </xf>
    <xf numFmtId="0" fontId="11" fillId="2" borderId="11" xfId="0" applyFont="1" applyFill="1" applyBorder="1" applyAlignment="1" applyProtection="1">
      <alignment horizontal="left" vertical="center"/>
    </xf>
    <xf numFmtId="0" fontId="11" fillId="2" borderId="9" xfId="0" applyFont="1" applyFill="1" applyBorder="1" applyAlignment="1" applyProtection="1">
      <alignment horizontal="left" vertical="center"/>
    </xf>
    <xf numFmtId="167" fontId="12" fillId="0" borderId="13" xfId="0" applyNumberFormat="1" applyFont="1" applyFill="1" applyBorder="1" applyAlignment="1" applyProtection="1">
      <alignment horizontal="left" vertical="center" indent="1"/>
      <protection locked="0"/>
    </xf>
    <xf numFmtId="167" fontId="12" fillId="0" borderId="16" xfId="0" applyNumberFormat="1" applyFont="1" applyFill="1" applyBorder="1" applyAlignment="1" applyProtection="1">
      <alignment horizontal="left" vertical="center" indent="1"/>
      <protection locked="0"/>
    </xf>
    <xf numFmtId="167" fontId="12" fillId="0" borderId="70" xfId="0" applyNumberFormat="1" applyFont="1" applyFill="1" applyBorder="1" applyAlignment="1" applyProtection="1">
      <alignment horizontal="left" vertical="center" indent="1"/>
      <protection locked="0"/>
    </xf>
    <xf numFmtId="0" fontId="12" fillId="0" borderId="1" xfId="0" applyNumberFormat="1" applyFont="1" applyFill="1" applyBorder="1" applyAlignment="1" applyProtection="1">
      <alignment horizontal="left" vertical="center" wrapText="1" indent="1"/>
      <protection locked="0"/>
    </xf>
    <xf numFmtId="0" fontId="13" fillId="5" borderId="152" xfId="0" applyFont="1" applyFill="1" applyBorder="1" applyAlignment="1" applyProtection="1">
      <alignment horizontal="center" vertical="center" wrapText="1"/>
    </xf>
    <xf numFmtId="0" fontId="13" fillId="5" borderId="163" xfId="0" applyFont="1" applyFill="1" applyBorder="1" applyAlignment="1" applyProtection="1">
      <alignment horizontal="center" vertical="center" wrapText="1"/>
    </xf>
    <xf numFmtId="0" fontId="10" fillId="4" borderId="8" xfId="0" applyFont="1" applyFill="1" applyBorder="1" applyAlignment="1" applyProtection="1">
      <alignment horizontal="center" vertical="center"/>
    </xf>
    <xf numFmtId="0" fontId="10" fillId="4" borderId="90" xfId="0" applyFont="1" applyFill="1" applyBorder="1" applyAlignment="1" applyProtection="1">
      <alignment horizontal="center" vertical="center"/>
    </xf>
    <xf numFmtId="0" fontId="13" fillId="5" borderId="28" xfId="0" applyFont="1" applyFill="1" applyBorder="1" applyAlignment="1" applyProtection="1">
      <alignment horizontal="center" vertical="center" wrapText="1"/>
    </xf>
    <xf numFmtId="0" fontId="13" fillId="5" borderId="162" xfId="0" applyFont="1" applyFill="1" applyBorder="1" applyAlignment="1" applyProtection="1">
      <alignment horizontal="center" vertical="center" wrapText="1"/>
    </xf>
    <xf numFmtId="0" fontId="13" fillId="5" borderId="23" xfId="0" applyFont="1" applyFill="1" applyBorder="1" applyAlignment="1" applyProtection="1">
      <alignment horizontal="center" vertical="center" wrapText="1"/>
    </xf>
    <xf numFmtId="0" fontId="13" fillId="5" borderId="25" xfId="0" applyFont="1" applyFill="1" applyBorder="1" applyAlignment="1" applyProtection="1">
      <alignment horizontal="center" vertical="center" wrapText="1"/>
    </xf>
    <xf numFmtId="0" fontId="12" fillId="16" borderId="75" xfId="0" applyFont="1" applyFill="1" applyBorder="1" applyAlignment="1" applyProtection="1">
      <alignment horizontal="left" vertical="center" wrapText="1" indent="1"/>
      <protection locked="0"/>
    </xf>
    <xf numFmtId="0" fontId="12" fillId="16" borderId="160" xfId="0" applyFont="1" applyFill="1" applyBorder="1" applyAlignment="1" applyProtection="1">
      <alignment horizontal="left" vertical="center" wrapText="1" indent="1"/>
      <protection locked="0"/>
    </xf>
    <xf numFmtId="0" fontId="12" fillId="16" borderId="1" xfId="0" applyFont="1" applyFill="1" applyBorder="1" applyAlignment="1" applyProtection="1">
      <alignment horizontal="left" vertical="center" wrapText="1" indent="1"/>
      <protection locked="0"/>
    </xf>
    <xf numFmtId="0" fontId="12" fillId="16" borderId="4" xfId="0" applyFont="1" applyFill="1" applyBorder="1" applyAlignment="1" applyProtection="1">
      <alignment horizontal="left" vertical="center" wrapText="1" indent="1"/>
      <protection locked="0"/>
    </xf>
    <xf numFmtId="0" fontId="11" fillId="2" borderId="7" xfId="0" applyFont="1" applyFill="1" applyBorder="1" applyAlignment="1" applyProtection="1">
      <alignment horizontal="left" vertical="center"/>
    </xf>
    <xf numFmtId="0" fontId="11" fillId="2" borderId="2" xfId="0" applyFont="1" applyFill="1" applyBorder="1" applyAlignment="1" applyProtection="1">
      <alignment horizontal="left" vertical="center"/>
    </xf>
    <xf numFmtId="0" fontId="15" fillId="3" borderId="164" xfId="0" applyFont="1" applyFill="1" applyBorder="1" applyAlignment="1" applyProtection="1">
      <alignment horizontal="left" vertical="center" indent="1"/>
      <protection locked="0"/>
    </xf>
    <xf numFmtId="0" fontId="15" fillId="3" borderId="87" xfId="0" applyFont="1" applyFill="1" applyBorder="1" applyAlignment="1" applyProtection="1">
      <alignment horizontal="left" vertical="center" indent="1"/>
      <protection locked="0"/>
    </xf>
    <xf numFmtId="0" fontId="15" fillId="3" borderId="88" xfId="0" applyFont="1" applyFill="1" applyBorder="1" applyAlignment="1" applyProtection="1">
      <alignment horizontal="left" vertical="center" indent="1"/>
      <protection locked="0"/>
    </xf>
    <xf numFmtId="0" fontId="8" fillId="0" borderId="0" xfId="0" applyFont="1" applyBorder="1" applyAlignment="1" applyProtection="1">
      <alignment horizontal="left" vertical="center" wrapText="1"/>
    </xf>
    <xf numFmtId="0" fontId="12" fillId="16" borderId="13" xfId="0" applyNumberFormat="1" applyFont="1" applyFill="1" applyBorder="1" applyAlignment="1" applyProtection="1">
      <alignment horizontal="left" vertical="center" wrapText="1" indent="1"/>
      <protection locked="0"/>
    </xf>
    <xf numFmtId="0" fontId="12" fillId="16" borderId="16" xfId="0" applyNumberFormat="1" applyFont="1" applyFill="1" applyBorder="1" applyAlignment="1" applyProtection="1">
      <alignment horizontal="left" vertical="center" wrapText="1" indent="1"/>
      <protection locked="0"/>
    </xf>
    <xf numFmtId="0" fontId="12" fillId="16" borderId="6" xfId="0" applyNumberFormat="1" applyFont="1" applyFill="1" applyBorder="1" applyAlignment="1" applyProtection="1">
      <alignment horizontal="left" vertical="center" wrapText="1" indent="1"/>
      <protection locked="0"/>
    </xf>
    <xf numFmtId="0" fontId="12" fillId="0" borderId="151" xfId="0" applyFont="1" applyFill="1" applyBorder="1" applyAlignment="1" applyProtection="1">
      <alignment horizontal="left" vertical="center" indent="1"/>
      <protection locked="0"/>
    </xf>
    <xf numFmtId="0" fontId="12" fillId="0" borderId="87" xfId="0" applyFont="1" applyFill="1" applyBorder="1" applyAlignment="1" applyProtection="1">
      <alignment horizontal="left" vertical="center" indent="1"/>
      <protection locked="0"/>
    </xf>
    <xf numFmtId="0" fontId="12" fillId="0" borderId="88" xfId="0" applyFont="1" applyFill="1" applyBorder="1" applyAlignment="1" applyProtection="1">
      <alignment horizontal="left" vertical="center" indent="1"/>
      <protection locked="0"/>
    </xf>
    <xf numFmtId="0" fontId="12" fillId="16" borderId="89" xfId="0" applyNumberFormat="1" applyFont="1" applyFill="1" applyBorder="1" applyAlignment="1" applyProtection="1">
      <alignment horizontal="left" vertical="center" wrapText="1" indent="1"/>
      <protection locked="0"/>
    </xf>
    <xf numFmtId="0" fontId="12" fillId="16" borderId="8" xfId="0" applyNumberFormat="1" applyFont="1" applyFill="1" applyBorder="1" applyAlignment="1" applyProtection="1">
      <alignment horizontal="left" vertical="center" wrapText="1" indent="1"/>
      <protection locked="0"/>
    </xf>
    <xf numFmtId="0" fontId="12" fillId="16" borderId="5" xfId="0" applyNumberFormat="1" applyFont="1" applyFill="1" applyBorder="1" applyAlignment="1" applyProtection="1">
      <alignment horizontal="left" vertical="center" wrapText="1" indent="1"/>
      <protection locked="0"/>
    </xf>
    <xf numFmtId="0" fontId="35" fillId="0" borderId="27" xfId="0" applyFont="1" applyBorder="1" applyAlignment="1" applyProtection="1">
      <alignment vertical="center" wrapText="1"/>
    </xf>
    <xf numFmtId="0" fontId="35" fillId="0" borderId="153" xfId="0" applyFont="1" applyBorder="1" applyAlignment="1" applyProtection="1">
      <alignment vertical="center" wrapText="1"/>
    </xf>
    <xf numFmtId="0" fontId="35" fillId="0" borderId="161" xfId="0" applyFont="1" applyBorder="1" applyAlignment="1" applyProtection="1">
      <alignment vertical="center" wrapText="1"/>
    </xf>
    <xf numFmtId="0" fontId="35" fillId="0" borderId="10" xfId="0" applyFont="1" applyBorder="1" applyAlignment="1" applyProtection="1">
      <alignment vertical="center" wrapText="1"/>
    </xf>
    <xf numFmtId="0" fontId="35" fillId="0" borderId="145" xfId="0" applyFont="1" applyBorder="1" applyAlignment="1" applyProtection="1">
      <alignment vertical="center" wrapText="1"/>
    </xf>
    <xf numFmtId="0" fontId="13" fillId="0" borderId="13" xfId="0" applyFont="1" applyBorder="1" applyAlignment="1" applyProtection="1">
      <alignment horizontal="left" vertical="center" indent="1"/>
      <protection locked="0"/>
    </xf>
    <xf numFmtId="0" fontId="13" fillId="0" borderId="16" xfId="0" applyFont="1" applyBorder="1" applyAlignment="1" applyProtection="1">
      <alignment horizontal="left" vertical="center" indent="1"/>
      <protection locked="0"/>
    </xf>
    <xf numFmtId="0" fontId="13" fillId="0" borderId="70" xfId="0" applyFont="1" applyBorder="1" applyAlignment="1" applyProtection="1">
      <alignment horizontal="left" vertical="center" indent="1"/>
      <protection locked="0"/>
    </xf>
    <xf numFmtId="0" fontId="12" fillId="0" borderId="13" xfId="0" applyFont="1" applyBorder="1" applyAlignment="1" applyProtection="1">
      <alignment horizontal="left" vertical="center" indent="1"/>
      <protection locked="0"/>
    </xf>
    <xf numFmtId="0" fontId="12" fillId="0" borderId="16" xfId="0" applyFont="1" applyBorder="1" applyAlignment="1" applyProtection="1">
      <alignment horizontal="left" vertical="center" indent="1"/>
      <protection locked="0"/>
    </xf>
    <xf numFmtId="0" fontId="12" fillId="0" borderId="70" xfId="0" applyFont="1" applyBorder="1" applyAlignment="1" applyProtection="1">
      <alignment horizontal="left" vertical="center" indent="1"/>
      <protection locked="0"/>
    </xf>
    <xf numFmtId="0" fontId="15" fillId="3" borderId="151" xfId="0" applyFont="1" applyFill="1" applyBorder="1" applyAlignment="1" applyProtection="1">
      <alignment horizontal="left" vertical="center" indent="1"/>
      <protection locked="0"/>
    </xf>
    <xf numFmtId="0" fontId="0" fillId="0" borderId="27" xfId="0" applyBorder="1" applyAlignment="1" applyProtection="1">
      <alignment horizontal="center" vertical="center" wrapText="1"/>
    </xf>
    <xf numFmtId="0" fontId="0" fillId="0" borderId="25" xfId="0" applyBorder="1" applyAlignment="1" applyProtection="1">
      <alignment horizontal="center" vertical="center" wrapText="1"/>
    </xf>
    <xf numFmtId="0" fontId="0" fillId="0" borderId="161" xfId="0" applyBorder="1" applyAlignment="1" applyProtection="1">
      <alignment horizontal="center" vertical="center" wrapText="1"/>
    </xf>
    <xf numFmtId="0" fontId="0" fillId="0" borderId="10" xfId="0" applyBorder="1" applyAlignment="1" applyProtection="1">
      <alignment horizontal="center" vertical="center" wrapText="1"/>
    </xf>
    <xf numFmtId="0" fontId="0" fillId="0" borderId="2" xfId="0" applyBorder="1" applyAlignment="1" applyProtection="1">
      <alignment horizontal="center" vertical="center" wrapText="1"/>
    </xf>
    <xf numFmtId="0" fontId="12" fillId="0" borderId="13" xfId="0" applyFont="1" applyFill="1" applyBorder="1" applyAlignment="1" applyProtection="1">
      <alignment vertical="center" wrapText="1"/>
      <protection locked="0"/>
    </xf>
    <xf numFmtId="0" fontId="12" fillId="0" borderId="16" xfId="0" applyFont="1" applyFill="1" applyBorder="1" applyAlignment="1" applyProtection="1">
      <alignment vertical="center" wrapText="1"/>
      <protection locked="0"/>
    </xf>
    <xf numFmtId="0" fontId="12" fillId="0" borderId="6" xfId="0" applyFont="1" applyFill="1" applyBorder="1" applyAlignment="1" applyProtection="1">
      <alignment vertical="center" wrapText="1"/>
      <protection locked="0"/>
    </xf>
    <xf numFmtId="0" fontId="12" fillId="0" borderId="13" xfId="0" applyFont="1" applyFill="1" applyBorder="1" applyAlignment="1" applyProtection="1">
      <alignment horizontal="left" vertical="center" wrapText="1" indent="1"/>
      <protection locked="0"/>
    </xf>
    <xf numFmtId="0" fontId="12" fillId="0" borderId="70" xfId="0" applyFont="1" applyFill="1" applyBorder="1" applyAlignment="1" applyProtection="1">
      <alignment horizontal="left" vertical="center" wrapText="1" indent="1"/>
      <protection locked="0"/>
    </xf>
    <xf numFmtId="0" fontId="98" fillId="0" borderId="13" xfId="0" applyFont="1" applyFill="1" applyBorder="1" applyAlignment="1" applyProtection="1">
      <alignment horizontal="left" vertical="center" wrapText="1" indent="1"/>
      <protection locked="0"/>
    </xf>
    <xf numFmtId="0" fontId="98" fillId="0" borderId="70" xfId="0" applyFont="1" applyFill="1" applyBorder="1" applyAlignment="1" applyProtection="1">
      <alignment horizontal="left" vertical="center" wrapText="1" indent="1"/>
      <protection locked="0"/>
    </xf>
    <xf numFmtId="0" fontId="12" fillId="16" borderId="13" xfId="0" applyFont="1" applyFill="1" applyBorder="1" applyAlignment="1" applyProtection="1">
      <alignment vertical="center" wrapText="1"/>
      <protection locked="0"/>
    </xf>
    <xf numFmtId="0" fontId="12" fillId="16" borderId="16" xfId="0" applyFont="1" applyFill="1" applyBorder="1" applyAlignment="1" applyProtection="1">
      <alignment vertical="center" wrapText="1"/>
      <protection locked="0"/>
    </xf>
    <xf numFmtId="0" fontId="12" fillId="16" borderId="6" xfId="0" applyFont="1" applyFill="1" applyBorder="1" applyAlignment="1" applyProtection="1">
      <alignment vertical="center" wrapText="1"/>
      <protection locked="0"/>
    </xf>
    <xf numFmtId="0" fontId="0" fillId="0" borderId="16" xfId="0" applyBorder="1" applyAlignment="1">
      <alignment vertical="center" wrapText="1"/>
    </xf>
    <xf numFmtId="0" fontId="0" fillId="0" borderId="6" xfId="0" applyBorder="1" applyAlignment="1">
      <alignment vertical="center" wrapText="1"/>
    </xf>
    <xf numFmtId="0" fontId="11" fillId="2" borderId="49" xfId="0" applyFont="1" applyFill="1" applyBorder="1" applyAlignment="1" applyProtection="1">
      <alignment horizontal="left" vertical="center"/>
    </xf>
    <xf numFmtId="0" fontId="2" fillId="0" borderId="75" xfId="0" applyFont="1" applyBorder="1" applyAlignment="1" applyProtection="1">
      <alignment horizontal="center" vertical="center"/>
    </xf>
    <xf numFmtId="0" fontId="13" fillId="4" borderId="89" xfId="0" applyFont="1" applyFill="1" applyBorder="1" applyAlignment="1" applyProtection="1">
      <alignment horizontal="left" vertical="center" indent="1"/>
    </xf>
    <xf numFmtId="0" fontId="13" fillId="4" borderId="8" xfId="0" applyFont="1" applyFill="1" applyBorder="1" applyAlignment="1" applyProtection="1">
      <alignment horizontal="left" vertical="center" indent="1"/>
    </xf>
    <xf numFmtId="0" fontId="13" fillId="4" borderId="90" xfId="0" applyFont="1" applyFill="1" applyBorder="1" applyAlignment="1" applyProtection="1">
      <alignment horizontal="left" vertical="center" indent="1"/>
    </xf>
    <xf numFmtId="0" fontId="14" fillId="4" borderId="121" xfId="0" applyFont="1" applyFill="1" applyBorder="1" applyAlignment="1" applyProtection="1">
      <alignment vertical="center"/>
    </xf>
    <xf numFmtId="0" fontId="0" fillId="0" borderId="8" xfId="0" applyBorder="1" applyAlignment="1" applyProtection="1">
      <alignment vertical="center"/>
    </xf>
    <xf numFmtId="0" fontId="0" fillId="0" borderId="49" xfId="0" applyBorder="1" applyAlignment="1" applyProtection="1">
      <alignment vertical="center"/>
    </xf>
    <xf numFmtId="0" fontId="0" fillId="0" borderId="90" xfId="0" applyBorder="1" applyAlignment="1" applyProtection="1">
      <alignment vertical="center"/>
    </xf>
    <xf numFmtId="0" fontId="0" fillId="0" borderId="75" xfId="0" applyBorder="1" applyAlignment="1" applyProtection="1">
      <alignment horizontal="center" vertical="center"/>
    </xf>
    <xf numFmtId="0" fontId="13" fillId="5" borderId="27" xfId="0" applyFont="1" applyFill="1" applyBorder="1" applyAlignment="1" applyProtection="1">
      <alignment horizontal="center" vertical="center" wrapText="1"/>
    </xf>
    <xf numFmtId="0" fontId="13" fillId="5" borderId="54" xfId="0" applyFont="1" applyFill="1" applyBorder="1" applyAlignment="1" applyProtection="1">
      <alignment horizontal="center" vertical="center" wrapText="1"/>
    </xf>
    <xf numFmtId="0" fontId="13" fillId="5" borderId="13" xfId="0" applyFont="1" applyFill="1" applyBorder="1" applyAlignment="1" applyProtection="1">
      <alignment horizontal="center" vertical="center" wrapText="1"/>
    </xf>
    <xf numFmtId="0" fontId="0" fillId="0" borderId="6" xfId="0" applyBorder="1" applyAlignment="1" applyProtection="1">
      <alignment horizontal="center" vertical="center" wrapText="1"/>
    </xf>
    <xf numFmtId="0" fontId="0" fillId="0" borderId="96" xfId="0" applyBorder="1" applyAlignment="1" applyProtection="1">
      <alignment horizontal="center" vertical="center" wrapText="1"/>
    </xf>
    <xf numFmtId="0" fontId="15" fillId="4" borderId="151" xfId="0" applyFont="1" applyFill="1" applyBorder="1" applyAlignment="1" applyProtection="1">
      <alignment horizontal="left" vertical="center" indent="1"/>
    </xf>
    <xf numFmtId="0" fontId="15" fillId="4" borderId="87" xfId="0" applyFont="1" applyFill="1" applyBorder="1" applyAlignment="1" applyProtection="1">
      <alignment horizontal="left" vertical="center" indent="1"/>
    </xf>
    <xf numFmtId="0" fontId="15" fillId="4" borderId="88" xfId="0" applyFont="1" applyFill="1" applyBorder="1" applyAlignment="1" applyProtection="1">
      <alignment horizontal="left" vertical="center" indent="1"/>
    </xf>
    <xf numFmtId="0" fontId="0" fillId="0" borderId="54" xfId="0" applyBorder="1" applyAlignment="1" applyProtection="1">
      <alignment horizontal="center" vertical="center" wrapText="1"/>
    </xf>
    <xf numFmtId="0" fontId="0" fillId="0" borderId="75" xfId="0" applyBorder="1" applyAlignment="1" applyProtection="1">
      <alignment horizontal="center" vertical="center" wrapText="1"/>
    </xf>
    <xf numFmtId="0" fontId="13" fillId="5" borderId="153" xfId="0" applyFont="1" applyFill="1" applyBorder="1" applyAlignment="1" applyProtection="1">
      <alignment horizontal="center" vertical="center" wrapText="1"/>
    </xf>
    <xf numFmtId="0" fontId="13" fillId="5" borderId="96" xfId="0" applyFont="1" applyFill="1" applyBorder="1" applyAlignment="1" applyProtection="1">
      <alignment horizontal="center" vertical="center" wrapText="1"/>
    </xf>
    <xf numFmtId="0" fontId="13" fillId="5" borderId="157" xfId="0" applyFont="1" applyFill="1" applyBorder="1" applyAlignment="1" applyProtection="1">
      <alignment horizontal="center" vertical="center" wrapText="1"/>
    </xf>
    <xf numFmtId="0" fontId="12" fillId="0" borderId="16" xfId="0" applyFont="1" applyFill="1" applyBorder="1" applyAlignment="1" applyProtection="1">
      <alignment horizontal="left" vertical="center" wrapText="1" indent="1"/>
      <protection locked="0"/>
    </xf>
    <xf numFmtId="0" fontId="12" fillId="21" borderId="13" xfId="0" applyFont="1" applyFill="1" applyBorder="1" applyAlignment="1" applyProtection="1">
      <alignment horizontal="center" vertical="center" wrapText="1"/>
      <protection locked="0"/>
    </xf>
    <xf numFmtId="0" fontId="12" fillId="21" borderId="16" xfId="0" applyFont="1" applyFill="1" applyBorder="1" applyAlignment="1" applyProtection="1">
      <alignment horizontal="center" vertical="center" wrapText="1"/>
      <protection locked="0"/>
    </xf>
    <xf numFmtId="0" fontId="12" fillId="21" borderId="70" xfId="0" applyFont="1" applyFill="1" applyBorder="1" applyAlignment="1" applyProtection="1">
      <alignment horizontal="center" vertical="center" wrapText="1"/>
      <protection locked="0"/>
    </xf>
    <xf numFmtId="0" fontId="100" fillId="0" borderId="97" xfId="0" applyFont="1" applyFill="1" applyBorder="1" applyAlignment="1" applyProtection="1">
      <alignment vertical="center" wrapText="1"/>
      <protection locked="0"/>
    </xf>
    <xf numFmtId="0" fontId="100" fillId="0" borderId="103" xfId="0" applyFont="1" applyFill="1" applyBorder="1" applyAlignment="1" applyProtection="1">
      <alignment vertical="center" wrapText="1"/>
      <protection locked="0"/>
    </xf>
    <xf numFmtId="0" fontId="100" fillId="0" borderId="123" xfId="0" applyFont="1" applyFill="1" applyBorder="1" applyAlignment="1" applyProtection="1">
      <alignment vertical="center" wrapText="1"/>
      <protection locked="0"/>
    </xf>
    <xf numFmtId="0" fontId="12" fillId="0" borderId="0" xfId="0" applyFont="1" applyBorder="1" applyAlignment="1" applyProtection="1">
      <alignment horizontal="left" vertical="center" indent="1"/>
    </xf>
    <xf numFmtId="0" fontId="13" fillId="0" borderId="0" xfId="0" applyFont="1" applyFill="1" applyBorder="1" applyAlignment="1" applyProtection="1">
      <alignment vertical="center" wrapText="1"/>
    </xf>
    <xf numFmtId="0" fontId="0" fillId="0" borderId="0" xfId="0" applyFill="1" applyBorder="1" applyAlignment="1" applyProtection="1">
      <alignment vertical="center"/>
    </xf>
    <xf numFmtId="0" fontId="13" fillId="0" borderId="166" xfId="0" applyFont="1" applyFill="1" applyBorder="1" applyAlignment="1" applyProtection="1">
      <alignment horizontal="left" vertical="center" wrapText="1"/>
      <protection locked="0"/>
    </xf>
    <xf numFmtId="0" fontId="12" fillId="0" borderId="16" xfId="0" applyFont="1" applyFill="1" applyBorder="1" applyAlignment="1" applyProtection="1">
      <alignment horizontal="left" vertical="center" wrapText="1"/>
      <protection locked="0"/>
    </xf>
    <xf numFmtId="0" fontId="12" fillId="0" borderId="6" xfId="0" applyFont="1" applyFill="1" applyBorder="1" applyAlignment="1" applyProtection="1">
      <alignment horizontal="left" vertical="center" wrapText="1"/>
      <protection locked="0"/>
    </xf>
    <xf numFmtId="0" fontId="13" fillId="21" borderId="166" xfId="0" applyFont="1" applyFill="1" applyBorder="1" applyAlignment="1" applyProtection="1">
      <alignment horizontal="center" vertical="center" wrapText="1"/>
      <protection locked="0"/>
    </xf>
    <xf numFmtId="0" fontId="13" fillId="21" borderId="16" xfId="0" applyFont="1" applyFill="1" applyBorder="1" applyAlignment="1" applyProtection="1">
      <alignment horizontal="center" vertical="center" wrapText="1"/>
      <protection locked="0"/>
    </xf>
    <xf numFmtId="0" fontId="13" fillId="21" borderId="70" xfId="0" applyFont="1" applyFill="1" applyBorder="1" applyAlignment="1" applyProtection="1">
      <alignment horizontal="center" vertical="center" wrapText="1"/>
      <protection locked="0"/>
    </xf>
    <xf numFmtId="0" fontId="12" fillId="0" borderId="13" xfId="0" applyFont="1" applyFill="1" applyBorder="1" applyAlignment="1" applyProtection="1">
      <alignment horizontal="left" vertical="center" wrapText="1"/>
      <protection locked="0"/>
    </xf>
    <xf numFmtId="0" fontId="12" fillId="0" borderId="70" xfId="0" applyFont="1" applyFill="1" applyBorder="1" applyAlignment="1" applyProtection="1">
      <alignment horizontal="left" vertical="center" wrapText="1"/>
      <protection locked="0"/>
    </xf>
    <xf numFmtId="0" fontId="50" fillId="3" borderId="11" xfId="0" applyFont="1" applyFill="1" applyBorder="1" applyAlignment="1" applyProtection="1">
      <alignment horizontal="left" wrapText="1"/>
    </xf>
    <xf numFmtId="0" fontId="4" fillId="3" borderId="0" xfId="0" applyFont="1" applyFill="1" applyBorder="1" applyAlignment="1" applyProtection="1">
      <alignment horizontal="left" wrapText="1"/>
    </xf>
    <xf numFmtId="0" fontId="17" fillId="2" borderId="11" xfId="0" applyFont="1" applyFill="1" applyBorder="1" applyAlignment="1" applyProtection="1">
      <alignment horizontal="left" vertical="center"/>
    </xf>
    <xf numFmtId="0" fontId="17" fillId="2" borderId="0" xfId="0" applyFont="1" applyFill="1" applyBorder="1" applyAlignment="1" applyProtection="1">
      <alignment horizontal="left" vertical="center"/>
    </xf>
    <xf numFmtId="0" fontId="13" fillId="27" borderId="121" xfId="0" applyFont="1" applyFill="1" applyBorder="1" applyAlignment="1" applyProtection="1">
      <alignment horizontal="center" vertical="center" wrapText="1"/>
    </xf>
    <xf numFmtId="0" fontId="13" fillId="27" borderId="8" xfId="0" applyFont="1" applyFill="1" applyBorder="1" applyAlignment="1" applyProtection="1">
      <alignment horizontal="center" vertical="center" wrapText="1"/>
    </xf>
    <xf numFmtId="0" fontId="13" fillId="27" borderId="5" xfId="0" applyFont="1" applyFill="1" applyBorder="1" applyAlignment="1" applyProtection="1">
      <alignment horizontal="center" vertical="center" wrapText="1"/>
    </xf>
    <xf numFmtId="0" fontId="12" fillId="0" borderId="16" xfId="0" applyFont="1" applyFill="1" applyBorder="1" applyAlignment="1" applyProtection="1">
      <alignment horizontal="left" wrapText="1"/>
      <protection locked="0"/>
    </xf>
    <xf numFmtId="0" fontId="12" fillId="0" borderId="70" xfId="0" applyFont="1" applyFill="1" applyBorder="1" applyAlignment="1" applyProtection="1">
      <alignment horizontal="left" wrapText="1"/>
      <protection locked="0"/>
    </xf>
    <xf numFmtId="0" fontId="13" fillId="27" borderId="89" xfId="0" applyFont="1" applyFill="1" applyBorder="1" applyAlignment="1" applyProtection="1">
      <alignment horizontal="center" vertical="center" wrapText="1"/>
    </xf>
    <xf numFmtId="0" fontId="13" fillId="27" borderId="90" xfId="0" applyFont="1" applyFill="1" applyBorder="1" applyAlignment="1" applyProtection="1">
      <alignment horizontal="center" vertical="center" wrapText="1"/>
    </xf>
    <xf numFmtId="0" fontId="13" fillId="0" borderId="13" xfId="0" applyFont="1" applyFill="1" applyBorder="1" applyAlignment="1" applyProtection="1">
      <alignment horizontal="left" vertical="center" wrapText="1"/>
      <protection locked="0"/>
    </xf>
    <xf numFmtId="0" fontId="13" fillId="0" borderId="16" xfId="0" applyFont="1" applyFill="1" applyBorder="1" applyAlignment="1" applyProtection="1">
      <alignment horizontal="left" vertical="center" wrapText="1"/>
      <protection locked="0"/>
    </xf>
    <xf numFmtId="0" fontId="13" fillId="0" borderId="70" xfId="0" applyFont="1" applyFill="1" applyBorder="1" applyAlignment="1" applyProtection="1">
      <alignment horizontal="left" vertical="center" wrapText="1"/>
      <protection locked="0"/>
    </xf>
    <xf numFmtId="0" fontId="98" fillId="0" borderId="13" xfId="0" applyFont="1" applyFill="1" applyBorder="1" applyAlignment="1" applyProtection="1">
      <alignment horizontal="left" vertical="center" wrapText="1"/>
      <protection locked="0"/>
    </xf>
    <xf numFmtId="0" fontId="98" fillId="0" borderId="16" xfId="0" applyFont="1" applyFill="1" applyBorder="1" applyAlignment="1" applyProtection="1">
      <alignment horizontal="left" vertical="center" wrapText="1"/>
      <protection locked="0"/>
    </xf>
    <xf numFmtId="0" fontId="98" fillId="0" borderId="70" xfId="0" applyFont="1" applyFill="1" applyBorder="1" applyAlignment="1" applyProtection="1">
      <alignment horizontal="left" vertical="center" wrapText="1"/>
      <protection locked="0"/>
    </xf>
    <xf numFmtId="0" fontId="0" fillId="0" borderId="8" xfId="0" applyBorder="1" applyAlignment="1" applyProtection="1">
      <alignment horizontal="center" vertical="center" wrapText="1"/>
    </xf>
    <xf numFmtId="0" fontId="0" fillId="0" borderId="8" xfId="0" applyBorder="1" applyAlignment="1">
      <alignment horizontal="center" vertical="center" wrapText="1"/>
    </xf>
    <xf numFmtId="0" fontId="0" fillId="0" borderId="5" xfId="0" applyBorder="1" applyAlignment="1">
      <alignment horizontal="center" vertical="center" wrapText="1"/>
    </xf>
    <xf numFmtId="0" fontId="9" fillId="0" borderId="0" xfId="0" applyFont="1" applyFill="1" applyBorder="1" applyAlignment="1" applyProtection="1">
      <alignment horizontal="left" wrapText="1"/>
    </xf>
    <xf numFmtId="0" fontId="4" fillId="0" borderId="0" xfId="0" applyFont="1" applyFill="1" applyBorder="1" applyAlignment="1" applyProtection="1">
      <alignment horizontal="left" wrapText="1"/>
    </xf>
    <xf numFmtId="0" fontId="7" fillId="0" borderId="49" xfId="0" applyFont="1" applyFill="1" applyBorder="1" applyAlignment="1" applyProtection="1">
      <alignment horizontal="center"/>
    </xf>
    <xf numFmtId="0" fontId="13" fillId="0" borderId="93" xfId="0" applyFont="1" applyFill="1" applyBorder="1" applyAlignment="1" applyProtection="1">
      <alignment horizontal="left" vertical="center" wrapText="1"/>
    </xf>
    <xf numFmtId="0" fontId="23" fillId="0" borderId="84" xfId="0" applyFont="1" applyFill="1" applyBorder="1" applyAlignment="1" applyProtection="1">
      <alignment horizontal="left" vertical="center" wrapText="1"/>
    </xf>
    <xf numFmtId="0" fontId="98" fillId="0" borderId="84" xfId="0" applyFont="1" applyFill="1" applyBorder="1" applyAlignment="1" applyProtection="1">
      <alignment vertical="center" wrapText="1"/>
      <protection locked="0"/>
    </xf>
    <xf numFmtId="0" fontId="98" fillId="0" borderId="84" xfId="0" applyFont="1" applyFill="1" applyBorder="1" applyAlignment="1" applyProtection="1">
      <alignment wrapText="1"/>
      <protection locked="0"/>
    </xf>
    <xf numFmtId="0" fontId="98" fillId="0" borderId="95" xfId="0" applyFont="1" applyFill="1" applyBorder="1" applyAlignment="1" applyProtection="1">
      <alignment wrapText="1"/>
      <protection locked="0"/>
    </xf>
    <xf numFmtId="0" fontId="12" fillId="0" borderId="166" xfId="0" applyFont="1" applyFill="1" applyBorder="1" applyAlignment="1" applyProtection="1">
      <alignment horizontal="left" vertical="center" wrapText="1"/>
      <protection locked="0"/>
    </xf>
    <xf numFmtId="0" fontId="0" fillId="0" borderId="16" xfId="0" applyFill="1" applyBorder="1" applyAlignment="1" applyProtection="1">
      <alignment horizontal="left" vertical="center" wrapText="1"/>
      <protection locked="0"/>
    </xf>
    <xf numFmtId="0" fontId="0" fillId="0" borderId="16" xfId="0" applyBorder="1" applyAlignment="1" applyProtection="1">
      <alignment vertical="center" wrapText="1"/>
      <protection locked="0"/>
    </xf>
    <xf numFmtId="0" fontId="0" fillId="0" borderId="6" xfId="0" applyBorder="1" applyAlignment="1" applyProtection="1">
      <alignment vertical="center" wrapText="1"/>
      <protection locked="0"/>
    </xf>
    <xf numFmtId="0" fontId="98" fillId="0" borderId="23" xfId="0" applyFont="1" applyFill="1" applyBorder="1" applyAlignment="1" applyProtection="1">
      <alignment horizontal="left" vertical="center" wrapText="1" indent="1"/>
      <protection locked="0"/>
    </xf>
    <xf numFmtId="0" fontId="98" fillId="0" borderId="27" xfId="0" applyFont="1" applyFill="1" applyBorder="1" applyAlignment="1" applyProtection="1">
      <alignment horizontal="left" vertical="center" wrapText="1" indent="1"/>
      <protection locked="0"/>
    </xf>
    <xf numFmtId="0" fontId="98" fillId="0" borderId="153" xfId="0" applyFont="1" applyFill="1" applyBorder="1" applyAlignment="1" applyProtection="1">
      <alignment horizontal="left" vertical="center" wrapText="1" indent="1"/>
      <protection locked="0"/>
    </xf>
    <xf numFmtId="0" fontId="98" fillId="0" borderId="1" xfId="0" applyFont="1" applyFill="1" applyBorder="1" applyAlignment="1" applyProtection="1">
      <alignment vertical="center" wrapText="1"/>
      <protection locked="0"/>
    </xf>
    <xf numFmtId="0" fontId="98" fillId="0" borderId="1" xfId="0" applyFont="1" applyFill="1" applyBorder="1" applyAlignment="1" applyProtection="1">
      <alignment wrapText="1"/>
      <protection locked="0"/>
    </xf>
    <xf numFmtId="0" fontId="98" fillId="0" borderId="4" xfId="0" applyFont="1" applyFill="1" applyBorder="1" applyAlignment="1" applyProtection="1">
      <alignment wrapText="1"/>
      <protection locked="0"/>
    </xf>
    <xf numFmtId="0" fontId="13" fillId="0" borderId="92" xfId="0" applyFont="1" applyFill="1" applyBorder="1" applyAlignment="1" applyProtection="1">
      <alignment horizontal="left" vertical="center" wrapText="1"/>
    </xf>
    <xf numFmtId="0" fontId="23" fillId="0" borderId="1" xfId="0" applyFont="1" applyFill="1" applyBorder="1" applyAlignment="1" applyProtection="1">
      <alignment horizontal="left" vertical="center" wrapText="1"/>
    </xf>
    <xf numFmtId="0" fontId="12" fillId="0" borderId="1" xfId="0" applyFont="1" applyFill="1" applyBorder="1" applyAlignment="1" applyProtection="1">
      <alignment vertical="center" wrapText="1"/>
      <protection locked="0"/>
    </xf>
    <xf numFmtId="0" fontId="12" fillId="0" borderId="1" xfId="0" applyFont="1" applyFill="1" applyBorder="1" applyAlignment="1" applyProtection="1">
      <alignment wrapText="1"/>
      <protection locked="0"/>
    </xf>
    <xf numFmtId="0" fontId="12" fillId="0" borderId="4" xfId="0" applyFont="1" applyFill="1" applyBorder="1" applyAlignment="1" applyProtection="1">
      <alignment wrapText="1"/>
      <protection locked="0"/>
    </xf>
    <xf numFmtId="0" fontId="13" fillId="27" borderId="3" xfId="0" applyFont="1" applyFill="1" applyBorder="1" applyAlignment="1" applyProtection="1">
      <alignment horizontal="center" vertical="center" wrapText="1"/>
    </xf>
    <xf numFmtId="0" fontId="0" fillId="27" borderId="3" xfId="0" applyFill="1" applyBorder="1" applyAlignment="1" applyProtection="1"/>
    <xf numFmtId="0" fontId="0" fillId="27" borderId="12" xfId="0" applyFill="1" applyBorder="1" applyAlignment="1" applyProtection="1"/>
    <xf numFmtId="0" fontId="13" fillId="27" borderId="91" xfId="0" applyFont="1" applyFill="1" applyBorder="1" applyAlignment="1" applyProtection="1">
      <alignment horizontal="center" vertical="center" wrapText="1"/>
    </xf>
    <xf numFmtId="0" fontId="0" fillId="27" borderId="3" xfId="0" applyFill="1" applyBorder="1" applyAlignment="1" applyProtection="1">
      <alignment horizontal="center" vertical="center" wrapText="1"/>
    </xf>
    <xf numFmtId="0" fontId="73" fillId="0" borderId="10" xfId="0" applyFont="1" applyFill="1" applyBorder="1" applyAlignment="1" applyProtection="1">
      <alignment horizontal="left" vertical="center"/>
    </xf>
    <xf numFmtId="0" fontId="72" fillId="0" borderId="10" xfId="0" applyFont="1" applyFill="1" applyBorder="1" applyAlignment="1" applyProtection="1">
      <alignment horizontal="left" vertical="center"/>
    </xf>
    <xf numFmtId="0" fontId="15" fillId="0" borderId="92" xfId="0" applyFont="1" applyFill="1" applyBorder="1" applyAlignment="1" applyProtection="1">
      <alignment horizontal="left" vertical="center"/>
    </xf>
    <xf numFmtId="0" fontId="15" fillId="0" borderId="1" xfId="0" applyFont="1" applyFill="1" applyBorder="1" applyAlignment="1" applyProtection="1">
      <alignment horizontal="left" vertical="center"/>
    </xf>
    <xf numFmtId="0" fontId="13" fillId="0" borderId="1" xfId="0" applyFont="1" applyFill="1" applyBorder="1" applyAlignment="1" applyProtection="1">
      <alignment horizontal="left" vertical="center" wrapText="1"/>
    </xf>
    <xf numFmtId="0" fontId="15" fillId="4" borderId="92" xfId="0" applyFont="1" applyFill="1" applyBorder="1" applyAlignment="1" applyProtection="1">
      <alignment horizontal="left" vertical="center" indent="1"/>
    </xf>
    <xf numFmtId="0" fontId="15" fillId="4" borderId="1" xfId="0" applyFont="1" applyFill="1" applyBorder="1" applyAlignment="1" applyProtection="1">
      <alignment horizontal="left" vertical="center" indent="1"/>
    </xf>
    <xf numFmtId="0" fontId="15" fillId="4" borderId="4" xfId="0" applyFont="1" applyFill="1" applyBorder="1" applyAlignment="1" applyProtection="1">
      <alignment horizontal="left" vertical="center" indent="1"/>
    </xf>
    <xf numFmtId="0" fontId="15" fillId="4" borderId="164" xfId="0" applyFont="1" applyFill="1" applyBorder="1" applyAlignment="1" applyProtection="1">
      <alignment horizontal="center" vertical="center"/>
    </xf>
    <xf numFmtId="0" fontId="15" fillId="4" borderId="87" xfId="0" applyFont="1" applyFill="1" applyBorder="1" applyAlignment="1" applyProtection="1">
      <alignment horizontal="center" vertical="center"/>
    </xf>
    <xf numFmtId="0" fontId="15" fillId="4" borderId="88" xfId="0" applyFont="1" applyFill="1" applyBorder="1" applyAlignment="1" applyProtection="1">
      <alignment horizontal="center" vertical="center"/>
    </xf>
    <xf numFmtId="3" fontId="98" fillId="0" borderId="151" xfId="0" applyNumberFormat="1" applyFont="1" applyFill="1" applyBorder="1" applyAlignment="1" applyProtection="1">
      <alignment horizontal="left" vertical="center" wrapText="1"/>
      <protection locked="0"/>
    </xf>
    <xf numFmtId="3" fontId="98" fillId="0" borderId="155" xfId="0" applyNumberFormat="1" applyFont="1" applyFill="1" applyBorder="1" applyAlignment="1" applyProtection="1">
      <alignment horizontal="left" vertical="center" wrapText="1"/>
      <protection locked="0"/>
    </xf>
    <xf numFmtId="0" fontId="12" fillId="0" borderId="93" xfId="0" applyFont="1" applyFill="1" applyBorder="1" applyAlignment="1" applyProtection="1">
      <alignment horizontal="left" vertical="center" wrapText="1"/>
    </xf>
    <xf numFmtId="0" fontId="12" fillId="0" borderId="84" xfId="0" applyFont="1" applyFill="1" applyBorder="1" applyAlignment="1" applyProtection="1">
      <alignment horizontal="left" vertical="center" wrapText="1"/>
    </xf>
    <xf numFmtId="0" fontId="15" fillId="6" borderId="13" xfId="0" applyFont="1" applyFill="1" applyBorder="1" applyAlignment="1" applyProtection="1">
      <alignment horizontal="left" vertical="center"/>
    </xf>
    <xf numFmtId="0" fontId="15" fillId="6" borderId="6" xfId="0" applyFont="1" applyFill="1" applyBorder="1" applyAlignment="1" applyProtection="1">
      <alignment horizontal="left" vertical="center"/>
    </xf>
    <xf numFmtId="168" fontId="13" fillId="6" borderId="13" xfId="0" applyNumberFormat="1" applyFont="1" applyFill="1" applyBorder="1" applyAlignment="1" applyProtection="1">
      <alignment horizontal="right" vertical="center" wrapText="1"/>
    </xf>
    <xf numFmtId="168" fontId="13" fillId="6" borderId="6" xfId="0" applyNumberFormat="1" applyFont="1" applyFill="1" applyBorder="1" applyAlignment="1" applyProtection="1">
      <alignment horizontal="right" vertical="center" wrapText="1"/>
    </xf>
    <xf numFmtId="3" fontId="98" fillId="0" borderId="13" xfId="0" applyNumberFormat="1" applyFont="1" applyFill="1" applyBorder="1" applyAlignment="1" applyProtection="1">
      <alignment horizontal="left" vertical="center" wrapText="1" indent="1"/>
      <protection locked="0"/>
    </xf>
    <xf numFmtId="3" fontId="98" fillId="0" borderId="16" xfId="0" applyNumberFormat="1" applyFont="1" applyFill="1" applyBorder="1" applyAlignment="1" applyProtection="1">
      <alignment horizontal="left" vertical="center" wrapText="1" indent="1"/>
      <protection locked="0"/>
    </xf>
    <xf numFmtId="3" fontId="98" fillId="0" borderId="151" xfId="0" applyNumberFormat="1" applyFont="1" applyFill="1" applyBorder="1" applyAlignment="1" applyProtection="1">
      <alignment horizontal="left" vertical="center" wrapText="1" indent="1"/>
      <protection locked="0"/>
    </xf>
    <xf numFmtId="3" fontId="98" fillId="0" borderId="87" xfId="0" applyNumberFormat="1" applyFont="1" applyFill="1" applyBorder="1" applyAlignment="1" applyProtection="1">
      <alignment horizontal="left" vertical="center" wrapText="1" indent="1"/>
      <protection locked="0"/>
    </xf>
    <xf numFmtId="3" fontId="98" fillId="0" borderId="13" xfId="0" applyNumberFormat="1" applyFont="1" applyFill="1" applyBorder="1" applyAlignment="1" applyProtection="1">
      <alignment horizontal="left" vertical="center" wrapText="1"/>
      <protection locked="0"/>
    </xf>
    <xf numFmtId="3" fontId="98" fillId="0" borderId="6" xfId="0" applyNumberFormat="1" applyFont="1" applyFill="1" applyBorder="1" applyAlignment="1" applyProtection="1">
      <alignment horizontal="left" vertical="center" wrapText="1"/>
      <protection locked="0"/>
    </xf>
    <xf numFmtId="0" fontId="12" fillId="0" borderId="166" xfId="0" applyFont="1" applyFill="1" applyBorder="1" applyAlignment="1" applyProtection="1">
      <alignment horizontal="left" vertical="center" wrapText="1"/>
    </xf>
    <xf numFmtId="0" fontId="12" fillId="0" borderId="6" xfId="0" applyFont="1" applyFill="1" applyBorder="1" applyAlignment="1" applyProtection="1">
      <alignment horizontal="left" vertical="center" wrapText="1"/>
    </xf>
    <xf numFmtId="0" fontId="21" fillId="0" borderId="0" xfId="0" applyFont="1" applyAlignment="1" applyProtection="1">
      <alignment horizontal="left" wrapText="1"/>
    </xf>
    <xf numFmtId="0" fontId="6" fillId="0" borderId="0" xfId="0" applyFont="1" applyFill="1" applyBorder="1" applyAlignment="1" applyProtection="1">
      <alignment horizontal="left" vertical="center"/>
    </xf>
    <xf numFmtId="0" fontId="13" fillId="0" borderId="92" xfId="0" applyFont="1" applyFill="1" applyBorder="1" applyAlignment="1" applyProtection="1">
      <alignment horizontal="left" vertical="center"/>
    </xf>
    <xf numFmtId="0" fontId="13" fillId="0" borderId="1" xfId="0" applyFont="1" applyFill="1" applyBorder="1" applyAlignment="1" applyProtection="1">
      <alignment horizontal="left" vertical="center"/>
    </xf>
    <xf numFmtId="0" fontId="13" fillId="5" borderId="89" xfId="0" applyFont="1" applyFill="1" applyBorder="1" applyAlignment="1" applyProtection="1">
      <alignment horizontal="center" vertical="center"/>
    </xf>
    <xf numFmtId="0" fontId="13" fillId="5" borderId="5" xfId="0" applyFont="1" applyFill="1" applyBorder="1" applyAlignment="1" applyProtection="1">
      <alignment horizontal="center" vertical="center"/>
    </xf>
    <xf numFmtId="0" fontId="13" fillId="4" borderId="121" xfId="0" applyFont="1" applyFill="1" applyBorder="1" applyAlignment="1" applyProtection="1">
      <alignment horizontal="left" vertical="center" indent="1"/>
    </xf>
    <xf numFmtId="0" fontId="0" fillId="0" borderId="76" xfId="0" applyNumberFormat="1" applyBorder="1" applyAlignment="1" applyProtection="1">
      <alignment horizontal="left" vertical="top" wrapText="1"/>
      <protection locked="0"/>
    </xf>
    <xf numFmtId="0" fontId="0" fillId="0" borderId="49" xfId="0" applyNumberFormat="1" applyBorder="1" applyAlignment="1" applyProtection="1">
      <alignment horizontal="left" vertical="top" wrapText="1"/>
      <protection locked="0"/>
    </xf>
    <xf numFmtId="0" fontId="0" fillId="0" borderId="86" xfId="0" applyNumberFormat="1" applyBorder="1" applyAlignment="1" applyProtection="1">
      <alignment horizontal="left" vertical="top" wrapText="1"/>
      <protection locked="0"/>
    </xf>
    <xf numFmtId="0" fontId="0" fillId="0" borderId="11" xfId="0" applyNumberFormat="1" applyBorder="1" applyAlignment="1" applyProtection="1">
      <alignment horizontal="left" vertical="top" wrapText="1"/>
      <protection locked="0"/>
    </xf>
    <xf numFmtId="0" fontId="0" fillId="0" borderId="0" xfId="0" applyNumberFormat="1" applyBorder="1" applyAlignment="1" applyProtection="1">
      <alignment horizontal="left" vertical="top" wrapText="1"/>
      <protection locked="0"/>
    </xf>
    <xf numFmtId="0" fontId="0" fillId="0" borderId="117" xfId="0" applyNumberFormat="1" applyBorder="1" applyAlignment="1" applyProtection="1">
      <alignment horizontal="left" vertical="top" wrapText="1"/>
      <protection locked="0"/>
    </xf>
    <xf numFmtId="0" fontId="0" fillId="0" borderId="7" xfId="0" applyNumberFormat="1" applyBorder="1" applyAlignment="1" applyProtection="1">
      <alignment horizontal="left" vertical="top" wrapText="1"/>
      <protection locked="0"/>
    </xf>
    <xf numFmtId="0" fontId="0" fillId="0" borderId="10" xfId="0" applyNumberFormat="1" applyBorder="1" applyAlignment="1" applyProtection="1">
      <alignment horizontal="left" vertical="top" wrapText="1"/>
      <protection locked="0"/>
    </xf>
    <xf numFmtId="0" fontId="0" fillId="0" borderId="145" xfId="0" applyNumberFormat="1" applyBorder="1" applyAlignment="1" applyProtection="1">
      <alignment horizontal="left" vertical="top" wrapText="1"/>
      <protection locked="0"/>
    </xf>
    <xf numFmtId="0" fontId="2" fillId="0" borderId="171" xfId="0" applyFont="1" applyBorder="1" applyAlignment="1" applyProtection="1">
      <alignment horizontal="left" indent="1"/>
    </xf>
    <xf numFmtId="0" fontId="2" fillId="0" borderId="141" xfId="0" applyFont="1" applyBorder="1" applyAlignment="1" applyProtection="1">
      <alignment horizontal="left" indent="1"/>
    </xf>
    <xf numFmtId="0" fontId="2" fillId="0" borderId="169" xfId="0" applyFont="1" applyBorder="1" applyAlignment="1" applyProtection="1">
      <alignment horizontal="left" indent="1"/>
    </xf>
    <xf numFmtId="0" fontId="65" fillId="11" borderId="97" xfId="0" applyFont="1" applyFill="1" applyBorder="1" applyAlignment="1" applyProtection="1">
      <alignment horizontal="center" vertical="center"/>
    </xf>
    <xf numFmtId="0" fontId="65" fillId="11" borderId="103" xfId="0" applyFont="1" applyFill="1" applyBorder="1" applyAlignment="1" applyProtection="1">
      <alignment horizontal="center" vertical="center"/>
    </xf>
    <xf numFmtId="0" fontId="13" fillId="4" borderId="97" xfId="0" applyFont="1" applyFill="1" applyBorder="1" applyAlignment="1" applyProtection="1">
      <alignment horizontal="center"/>
    </xf>
    <xf numFmtId="0" fontId="13" fillId="4" borderId="103" xfId="0" applyFont="1" applyFill="1" applyBorder="1" applyAlignment="1" applyProtection="1">
      <alignment horizontal="center"/>
    </xf>
    <xf numFmtId="0" fontId="13" fillId="4" borderId="105" xfId="0" applyFont="1" applyFill="1" applyBorder="1" applyAlignment="1" applyProtection="1">
      <alignment horizontal="center"/>
    </xf>
    <xf numFmtId="0" fontId="0" fillId="0" borderId="123" xfId="0" applyBorder="1" applyAlignment="1" applyProtection="1"/>
    <xf numFmtId="0" fontId="13" fillId="10" borderId="97" xfId="0" applyFont="1" applyFill="1" applyBorder="1" applyAlignment="1" applyProtection="1">
      <alignment horizontal="center"/>
    </xf>
    <xf numFmtId="0" fontId="13" fillId="10" borderId="103" xfId="0" applyFont="1" applyFill="1" applyBorder="1" applyAlignment="1" applyProtection="1">
      <alignment horizontal="center"/>
    </xf>
    <xf numFmtId="0" fontId="13" fillId="10" borderId="123" xfId="0" applyFont="1" applyFill="1" applyBorder="1" applyAlignment="1" applyProtection="1">
      <alignment horizontal="center"/>
    </xf>
    <xf numFmtId="0" fontId="23" fillId="11" borderId="97" xfId="0" applyFont="1" applyFill="1" applyBorder="1" applyAlignment="1" applyProtection="1">
      <alignment horizontal="right" vertical="center"/>
    </xf>
    <xf numFmtId="0" fontId="0" fillId="0" borderId="103" xfId="0" applyBorder="1" applyAlignment="1" applyProtection="1"/>
    <xf numFmtId="0" fontId="0" fillId="0" borderId="17" xfId="0" applyFill="1" applyBorder="1" applyAlignment="1" applyProtection="1">
      <alignment horizontal="left" vertical="justify" wrapText="1"/>
    </xf>
    <xf numFmtId="0" fontId="0" fillId="0" borderId="0" xfId="0" applyFill="1" applyBorder="1" applyAlignment="1">
      <alignment horizontal="left" vertical="justify" wrapText="1"/>
    </xf>
    <xf numFmtId="0" fontId="0" fillId="0" borderId="9" xfId="0" applyFill="1" applyBorder="1" applyAlignment="1">
      <alignment horizontal="left" vertical="justify" wrapText="1"/>
    </xf>
    <xf numFmtId="0" fontId="0" fillId="0" borderId="17" xfId="0" applyFill="1" applyBorder="1" applyAlignment="1">
      <alignment horizontal="left" vertical="justify" wrapText="1"/>
    </xf>
    <xf numFmtId="0" fontId="0" fillId="0" borderId="96" xfId="0" applyFill="1" applyBorder="1" applyAlignment="1">
      <alignment horizontal="left" vertical="justify" wrapText="1"/>
    </xf>
    <xf numFmtId="0" fontId="0" fillId="0" borderId="54" xfId="0" applyFill="1" applyBorder="1" applyAlignment="1">
      <alignment horizontal="left" vertical="justify" wrapText="1"/>
    </xf>
    <xf numFmtId="0" fontId="0" fillId="0" borderId="172" xfId="0" applyFill="1" applyBorder="1" applyAlignment="1">
      <alignment horizontal="left" vertical="justify" wrapText="1"/>
    </xf>
    <xf numFmtId="0" fontId="13" fillId="4" borderId="7" xfId="0" applyFont="1" applyFill="1" applyBorder="1" applyAlignment="1" applyProtection="1">
      <alignment horizontal="center"/>
    </xf>
    <xf numFmtId="0" fontId="13" fillId="4" borderId="10" xfId="0" applyFont="1" applyFill="1" applyBorder="1" applyAlignment="1" applyProtection="1">
      <alignment horizontal="center"/>
    </xf>
    <xf numFmtId="0" fontId="13" fillId="4" borderId="104" xfId="0" applyFont="1" applyFill="1" applyBorder="1" applyAlignment="1" applyProtection="1">
      <alignment horizontal="center"/>
    </xf>
    <xf numFmtId="0" fontId="0" fillId="3" borderId="17" xfId="0" applyFill="1" applyBorder="1" applyAlignment="1" applyProtection="1">
      <alignment horizontal="left" vertical="justify" wrapText="1"/>
    </xf>
    <xf numFmtId="0" fontId="0" fillId="0" borderId="0" xfId="0" applyBorder="1" applyAlignment="1">
      <alignment horizontal="left" vertical="justify" wrapText="1"/>
    </xf>
    <xf numFmtId="0" fontId="0" fillId="0" borderId="9" xfId="0" applyBorder="1" applyAlignment="1">
      <alignment horizontal="left" vertical="justify" wrapText="1"/>
    </xf>
    <xf numFmtId="0" fontId="0" fillId="0" borderId="17" xfId="0" applyBorder="1" applyAlignment="1">
      <alignment horizontal="left" vertical="justify" wrapText="1"/>
    </xf>
    <xf numFmtId="0" fontId="0" fillId="0" borderId="96" xfId="0" applyBorder="1" applyAlignment="1">
      <alignment horizontal="left" vertical="justify" wrapText="1"/>
    </xf>
    <xf numFmtId="0" fontId="0" fillId="0" borderId="54" xfId="0" applyBorder="1" applyAlignment="1">
      <alignment horizontal="left" vertical="justify" wrapText="1"/>
    </xf>
    <xf numFmtId="0" fontId="0" fillId="0" borderId="172" xfId="0" applyBorder="1" applyAlignment="1">
      <alignment horizontal="left" vertical="justify" wrapText="1"/>
    </xf>
    <xf numFmtId="0" fontId="64" fillId="4" borderId="97" xfId="0" applyFont="1" applyFill="1" applyBorder="1" applyAlignment="1" applyProtection="1">
      <alignment horizontal="left"/>
    </xf>
    <xf numFmtId="0" fontId="64" fillId="4" borderId="103" xfId="0" applyFont="1" applyFill="1" applyBorder="1" applyAlignment="1" applyProtection="1">
      <alignment horizontal="left"/>
    </xf>
    <xf numFmtId="0" fontId="64" fillId="4" borderId="123" xfId="0" applyFont="1" applyFill="1" applyBorder="1" applyAlignment="1" applyProtection="1">
      <alignment horizontal="left"/>
    </xf>
    <xf numFmtId="0" fontId="23" fillId="10" borderId="28" xfId="0" applyFont="1" applyFill="1" applyBorder="1" applyAlignment="1" applyProtection="1">
      <alignment horizontal="center" wrapText="1"/>
    </xf>
    <xf numFmtId="0" fontId="0" fillId="0" borderId="75" xfId="0" applyBorder="1" applyAlignment="1" applyProtection="1">
      <alignment horizontal="center"/>
    </xf>
    <xf numFmtId="0" fontId="23" fillId="3" borderId="0" xfId="0" applyFont="1" applyFill="1" applyAlignment="1" applyProtection="1">
      <alignment horizontal="center" wrapText="1"/>
    </xf>
    <xf numFmtId="0" fontId="2" fillId="0" borderId="111" xfId="0" applyFont="1" applyFill="1" applyBorder="1" applyAlignment="1" applyProtection="1">
      <alignment horizontal="left" indent="1"/>
    </xf>
    <xf numFmtId="0" fontId="2" fillId="0" borderId="83" xfId="0" applyFont="1" applyFill="1" applyBorder="1" applyAlignment="1" applyProtection="1">
      <alignment horizontal="left" indent="1"/>
    </xf>
    <xf numFmtId="0" fontId="2" fillId="0" borderId="131" xfId="0" applyFont="1" applyFill="1" applyBorder="1" applyAlignment="1" applyProtection="1">
      <alignment horizontal="left" indent="1"/>
    </xf>
    <xf numFmtId="0" fontId="2" fillId="0" borderId="170" xfId="0" applyFont="1" applyBorder="1" applyAlignment="1" applyProtection="1">
      <alignment horizontal="left" indent="1"/>
    </xf>
    <xf numFmtId="0" fontId="2" fillId="0" borderId="126" xfId="0" applyFont="1" applyBorder="1" applyAlignment="1" applyProtection="1">
      <alignment horizontal="left" indent="1"/>
    </xf>
    <xf numFmtId="0" fontId="2" fillId="0" borderId="167" xfId="0" applyFont="1" applyBorder="1" applyAlignment="1" applyProtection="1">
      <alignment horizontal="left" indent="1"/>
    </xf>
    <xf numFmtId="0" fontId="2" fillId="0" borderId="111" xfId="0" applyFont="1" applyBorder="1" applyAlignment="1" applyProtection="1">
      <alignment horizontal="left" indent="1"/>
    </xf>
    <xf numFmtId="0" fontId="2" fillId="0" borderId="83" xfId="0" applyFont="1" applyBorder="1" applyAlignment="1" applyProtection="1">
      <alignment horizontal="left" indent="1"/>
    </xf>
    <xf numFmtId="0" fontId="2" fillId="0" borderId="131" xfId="0" applyFont="1" applyBorder="1" applyAlignment="1" applyProtection="1">
      <alignment horizontal="left" indent="1"/>
    </xf>
    <xf numFmtId="49" fontId="2" fillId="0" borderId="110" xfId="5" applyNumberFormat="1" applyFont="1" applyBorder="1" applyAlignment="1" applyProtection="1">
      <alignment horizontal="center" wrapText="1"/>
      <protection locked="0"/>
    </xf>
    <xf numFmtId="49" fontId="2" fillId="0" borderId="83" xfId="5" applyNumberFormat="1" applyFont="1" applyBorder="1" applyAlignment="1" applyProtection="1">
      <alignment horizontal="center" wrapText="1"/>
      <protection locked="0"/>
    </xf>
    <xf numFmtId="49" fontId="2" fillId="0" borderId="131" xfId="5" applyNumberFormat="1" applyFont="1" applyBorder="1" applyAlignment="1" applyProtection="1">
      <alignment horizontal="center" wrapText="1"/>
      <protection locked="0"/>
    </xf>
    <xf numFmtId="49" fontId="2" fillId="0" borderId="168" xfId="5" applyNumberFormat="1" applyFont="1" applyBorder="1" applyAlignment="1" applyProtection="1">
      <alignment horizontal="center" wrapText="1"/>
      <protection locked="0"/>
    </xf>
    <xf numFmtId="49" fontId="2" fillId="0" borderId="141" xfId="5" applyNumberFormat="1" applyFont="1" applyBorder="1" applyAlignment="1" applyProtection="1">
      <alignment horizontal="center" wrapText="1"/>
      <protection locked="0"/>
    </xf>
    <xf numFmtId="49" fontId="2" fillId="0" borderId="169" xfId="5" applyNumberFormat="1" applyFont="1" applyBorder="1" applyAlignment="1" applyProtection="1">
      <alignment horizontal="center" wrapText="1"/>
      <protection locked="0"/>
    </xf>
    <xf numFmtId="0" fontId="26" fillId="0" borderId="0" xfId="0" applyFont="1" applyAlignment="1" applyProtection="1">
      <alignment horizontal="left"/>
    </xf>
    <xf numFmtId="0" fontId="23" fillId="10" borderId="91" xfId="0" applyFont="1" applyFill="1" applyBorder="1" applyAlignment="1" applyProtection="1">
      <alignment horizontal="left"/>
    </xf>
    <xf numFmtId="0" fontId="23" fillId="10" borderId="3" xfId="0" applyFont="1" applyFill="1" applyBorder="1" applyAlignment="1" applyProtection="1">
      <alignment horizontal="left"/>
    </xf>
    <xf numFmtId="0" fontId="0" fillId="21" borderId="3" xfId="0" applyNumberFormat="1" applyFill="1" applyBorder="1" applyAlignment="1" applyProtection="1">
      <alignment horizontal="left" wrapText="1" indent="1"/>
    </xf>
    <xf numFmtId="0" fontId="0" fillId="21" borderId="12" xfId="0" applyNumberFormat="1" applyFill="1" applyBorder="1" applyAlignment="1" applyProtection="1">
      <alignment horizontal="left" wrapText="1" indent="1"/>
    </xf>
    <xf numFmtId="3" fontId="63" fillId="3" borderId="0" xfId="0" applyNumberFormat="1" applyFont="1" applyFill="1" applyAlignment="1" applyProtection="1">
      <alignment horizontal="center" wrapText="1"/>
    </xf>
    <xf numFmtId="0" fontId="0" fillId="0" borderId="0" xfId="0" applyAlignment="1" applyProtection="1">
      <alignment horizontal="center" wrapText="1"/>
    </xf>
    <xf numFmtId="0" fontId="23" fillId="10" borderId="92" xfId="0" applyFont="1" applyFill="1" applyBorder="1" applyAlignment="1" applyProtection="1">
      <alignment horizontal="left"/>
    </xf>
    <xf numFmtId="0" fontId="23" fillId="10" borderId="1" xfId="0" applyFont="1" applyFill="1" applyBorder="1" applyAlignment="1" applyProtection="1">
      <alignment horizontal="left"/>
    </xf>
    <xf numFmtId="0" fontId="0" fillId="21" borderId="1" xfId="0" applyFill="1" applyBorder="1" applyAlignment="1" applyProtection="1">
      <alignment horizontal="left" wrapText="1" indent="1"/>
    </xf>
    <xf numFmtId="0" fontId="0" fillId="21" borderId="4" xfId="0" applyFill="1" applyBorder="1" applyAlignment="1" applyProtection="1">
      <alignment horizontal="left" wrapText="1" indent="1"/>
    </xf>
    <xf numFmtId="0" fontId="13" fillId="10" borderId="0" xfId="0" applyFont="1" applyFill="1" applyBorder="1" applyAlignment="1" applyProtection="1">
      <alignment horizontal="center"/>
    </xf>
    <xf numFmtId="0" fontId="23" fillId="10" borderId="93" xfId="0" applyFont="1" applyFill="1" applyBorder="1" applyAlignment="1" applyProtection="1">
      <alignment horizontal="left"/>
    </xf>
    <xf numFmtId="0" fontId="23" fillId="10" borderId="84" xfId="0" applyFont="1" applyFill="1" applyBorder="1" applyAlignment="1" applyProtection="1">
      <alignment horizontal="left"/>
    </xf>
    <xf numFmtId="0" fontId="0" fillId="3" borderId="84" xfId="0" applyFill="1" applyBorder="1" applyAlignment="1" applyProtection="1">
      <alignment horizontal="left" wrapText="1" indent="1"/>
      <protection locked="0"/>
    </xf>
    <xf numFmtId="0" fontId="0" fillId="3" borderId="95" xfId="0" applyFill="1" applyBorder="1" applyAlignment="1" applyProtection="1">
      <alignment horizontal="left" wrapText="1" indent="1"/>
      <protection locked="0"/>
    </xf>
    <xf numFmtId="0" fontId="0" fillId="3" borderId="0" xfId="0" applyFill="1" applyBorder="1" applyAlignment="1" applyProtection="1">
      <alignment horizontal="left" wrapText="1" indent="1"/>
    </xf>
    <xf numFmtId="0" fontId="23" fillId="16" borderId="0" xfId="0" applyFont="1" applyFill="1" applyBorder="1" applyAlignment="1" applyProtection="1">
      <alignment horizontal="left"/>
    </xf>
    <xf numFmtId="0" fontId="13" fillId="18" borderId="97" xfId="0" applyFont="1" applyFill="1" applyBorder="1" applyAlignment="1" applyProtection="1">
      <alignment horizontal="center"/>
    </xf>
    <xf numFmtId="0" fontId="13" fillId="18" borderId="103" xfId="0" applyFont="1" applyFill="1" applyBorder="1" applyAlignment="1" applyProtection="1">
      <alignment horizontal="center"/>
    </xf>
    <xf numFmtId="0" fontId="13" fillId="18" borderId="123" xfId="0" applyFont="1" applyFill="1" applyBorder="1" applyAlignment="1" applyProtection="1">
      <alignment horizontal="center"/>
    </xf>
    <xf numFmtId="3" fontId="13" fillId="10" borderId="97" xfId="0" applyNumberFormat="1" applyFont="1" applyFill="1" applyBorder="1" applyAlignment="1" applyProtection="1">
      <alignment horizontal="center" wrapText="1"/>
    </xf>
    <xf numFmtId="3" fontId="13" fillId="10" borderId="103" xfId="0" applyNumberFormat="1" applyFont="1" applyFill="1" applyBorder="1" applyAlignment="1" applyProtection="1">
      <alignment horizontal="center" wrapText="1"/>
    </xf>
    <xf numFmtId="3" fontId="13" fillId="10" borderId="123" xfId="0" applyNumberFormat="1" applyFont="1" applyFill="1" applyBorder="1" applyAlignment="1" applyProtection="1">
      <alignment horizontal="center" wrapText="1"/>
    </xf>
    <xf numFmtId="49" fontId="2" fillId="0" borderId="135" xfId="5" applyNumberFormat="1" applyFont="1" applyBorder="1" applyAlignment="1" applyProtection="1">
      <alignment horizontal="center" wrapText="1"/>
      <protection locked="0"/>
    </xf>
    <xf numFmtId="49" fontId="2" fillId="0" borderId="126" xfId="5" applyNumberFormat="1" applyFont="1" applyBorder="1" applyAlignment="1" applyProtection="1">
      <alignment horizontal="center" wrapText="1"/>
      <protection locked="0"/>
    </xf>
    <xf numFmtId="49" fontId="2" fillId="0" borderId="167" xfId="5" applyNumberFormat="1" applyFont="1" applyBorder="1" applyAlignment="1" applyProtection="1">
      <alignment horizontal="center" wrapText="1"/>
      <protection locked="0"/>
    </xf>
    <xf numFmtId="0" fontId="13" fillId="0" borderId="166" xfId="0" applyFont="1" applyFill="1" applyBorder="1" applyAlignment="1" applyProtection="1">
      <alignment horizontal="left" vertical="center"/>
    </xf>
    <xf numFmtId="0" fontId="13" fillId="0" borderId="6" xfId="0" applyFont="1" applyFill="1" applyBorder="1" applyAlignment="1" applyProtection="1">
      <alignment horizontal="left" vertical="center"/>
    </xf>
    <xf numFmtId="0" fontId="15" fillId="0" borderId="166" xfId="0" applyFont="1" applyFill="1" applyBorder="1" applyAlignment="1" applyProtection="1">
      <alignment horizontal="left" vertical="center"/>
    </xf>
    <xf numFmtId="0" fontId="15" fillId="0" borderId="6" xfId="0" applyFont="1" applyFill="1" applyBorder="1" applyAlignment="1" applyProtection="1">
      <alignment horizontal="left" vertical="center"/>
    </xf>
    <xf numFmtId="0" fontId="12" fillId="0" borderId="164" xfId="0" applyFont="1" applyFill="1" applyBorder="1" applyAlignment="1" applyProtection="1">
      <alignment horizontal="left" vertical="center" wrapText="1"/>
    </xf>
    <xf numFmtId="0" fontId="12" fillId="0" borderId="155" xfId="0" applyFont="1" applyFill="1" applyBorder="1" applyAlignment="1" applyProtection="1">
      <alignment horizontal="left" vertical="center" wrapText="1"/>
    </xf>
    <xf numFmtId="0" fontId="12" fillId="0" borderId="151" xfId="0" applyFont="1" applyFill="1" applyBorder="1" applyAlignment="1" applyProtection="1">
      <alignment horizontal="left" vertical="center" wrapText="1"/>
      <protection locked="0"/>
    </xf>
    <xf numFmtId="0" fontId="12" fillId="0" borderId="155" xfId="0" applyFont="1" applyFill="1" applyBorder="1" applyAlignment="1" applyProtection="1">
      <alignment horizontal="left" vertical="center" wrapText="1"/>
      <protection locked="0"/>
    </xf>
    <xf numFmtId="0" fontId="15" fillId="0" borderId="164" xfId="0" applyFont="1" applyFill="1" applyBorder="1" applyAlignment="1" applyProtection="1">
      <alignment horizontal="left" vertical="center"/>
    </xf>
    <xf numFmtId="0" fontId="15" fillId="0" borderId="155" xfId="0" applyFont="1" applyFill="1" applyBorder="1" applyAlignment="1" applyProtection="1">
      <alignment horizontal="left" vertical="center"/>
    </xf>
    <xf numFmtId="0" fontId="13" fillId="0" borderId="166" xfId="0" applyFont="1" applyFill="1" applyBorder="1" applyAlignment="1" applyProtection="1">
      <alignment horizontal="left" vertical="center" wrapText="1"/>
    </xf>
    <xf numFmtId="0" fontId="13" fillId="0" borderId="6" xfId="0" applyFont="1" applyFill="1" applyBorder="1" applyAlignment="1" applyProtection="1">
      <alignment horizontal="left" vertical="center" wrapText="1"/>
    </xf>
    <xf numFmtId="0" fontId="12" fillId="0" borderId="97" xfId="0" applyFont="1" applyFill="1" applyBorder="1" applyAlignment="1" applyProtection="1">
      <alignment horizontal="left" vertical="center" wrapText="1"/>
      <protection locked="0"/>
    </xf>
    <xf numFmtId="0" fontId="12" fillId="0" borderId="103" xfId="0" applyFont="1" applyFill="1" applyBorder="1" applyAlignment="1" applyProtection="1">
      <alignment horizontal="left" vertical="center" wrapText="1"/>
      <protection locked="0"/>
    </xf>
    <xf numFmtId="0" fontId="12" fillId="0" borderId="123" xfId="0" applyFont="1" applyFill="1" applyBorder="1" applyAlignment="1" applyProtection="1">
      <alignment horizontal="left" vertical="center" wrapText="1"/>
      <protection locked="0"/>
    </xf>
    <xf numFmtId="0" fontId="13" fillId="0" borderId="121" xfId="0" applyFont="1" applyFill="1" applyBorder="1" applyAlignment="1" applyProtection="1">
      <alignment horizontal="left" vertical="center" wrapText="1"/>
    </xf>
    <xf numFmtId="0" fontId="0" fillId="0" borderId="8" xfId="0" applyFill="1" applyBorder="1" applyProtection="1"/>
    <xf numFmtId="0" fontId="98" fillId="16" borderId="121" xfId="0" applyFont="1" applyFill="1" applyBorder="1" applyAlignment="1" applyProtection="1">
      <alignment horizontal="left" vertical="center" wrapText="1"/>
      <protection locked="0"/>
    </xf>
    <xf numFmtId="0" fontId="98" fillId="16" borderId="8" xfId="0" applyFont="1" applyFill="1" applyBorder="1" applyAlignment="1" applyProtection="1">
      <alignment horizontal="left" vertical="center" wrapText="1"/>
      <protection locked="0"/>
    </xf>
    <xf numFmtId="0" fontId="98" fillId="16" borderId="90" xfId="0" applyFont="1" applyFill="1" applyBorder="1" applyAlignment="1" applyProtection="1">
      <alignment horizontal="left" vertical="center" wrapText="1"/>
      <protection locked="0"/>
    </xf>
    <xf numFmtId="0" fontId="13" fillId="16" borderId="164" xfId="0" applyFont="1" applyFill="1" applyBorder="1" applyAlignment="1" applyProtection="1">
      <alignment horizontal="left" vertical="center" wrapText="1"/>
    </xf>
    <xf numFmtId="0" fontId="35" fillId="16" borderId="87" xfId="0" applyFont="1" applyFill="1" applyBorder="1" applyProtection="1"/>
    <xf numFmtId="0" fontId="98" fillId="0" borderId="164" xfId="0" applyFont="1" applyFill="1" applyBorder="1" applyAlignment="1" applyProtection="1">
      <alignment vertical="center" wrapText="1"/>
      <protection locked="0"/>
    </xf>
    <xf numFmtId="0" fontId="98" fillId="0" borderId="87" xfId="0" applyFont="1" applyFill="1" applyBorder="1" applyAlignment="1" applyProtection="1">
      <alignment vertical="center" wrapText="1"/>
      <protection locked="0"/>
    </xf>
    <xf numFmtId="0" fontId="98" fillId="0" borderId="88" xfId="0" applyFont="1" applyFill="1" applyBorder="1" applyAlignment="1" applyProtection="1">
      <alignment vertical="center" wrapText="1"/>
      <protection locked="0"/>
    </xf>
    <xf numFmtId="0" fontId="13" fillId="16" borderId="10" xfId="0" applyFont="1" applyFill="1" applyBorder="1" applyAlignment="1" applyProtection="1"/>
    <xf numFmtId="0" fontId="13" fillId="0" borderId="173" xfId="0" applyFont="1" applyFill="1" applyBorder="1" applyAlignment="1" applyProtection="1">
      <alignment horizontal="center" vertical="center" wrapText="1"/>
    </xf>
    <xf numFmtId="0" fontId="13" fillId="0" borderId="122" xfId="0" applyFont="1" applyFill="1" applyBorder="1" applyAlignment="1" applyProtection="1">
      <alignment horizontal="center" vertical="center" wrapText="1"/>
    </xf>
    <xf numFmtId="0" fontId="13" fillId="0" borderId="159" xfId="0" applyFont="1" applyFill="1" applyBorder="1" applyAlignment="1" applyProtection="1">
      <alignment horizontal="center" vertical="center" wrapText="1"/>
    </xf>
    <xf numFmtId="0" fontId="6" fillId="16" borderId="10" xfId="0" applyFont="1" applyFill="1" applyBorder="1" applyAlignment="1" applyProtection="1">
      <alignment horizontal="left" vertical="center"/>
    </xf>
    <xf numFmtId="0" fontId="12" fillId="4" borderId="97" xfId="0" applyFont="1" applyFill="1" applyBorder="1" applyAlignment="1" applyProtection="1">
      <alignment horizontal="left" vertical="center"/>
    </xf>
    <xf numFmtId="0" fontId="12" fillId="4" borderId="103" xfId="0" applyFont="1" applyFill="1" applyBorder="1" applyAlignment="1" applyProtection="1">
      <alignment horizontal="left" vertical="center"/>
    </xf>
    <xf numFmtId="0" fontId="12" fillId="4" borderId="123" xfId="0" applyFont="1" applyFill="1" applyBorder="1" applyAlignment="1" applyProtection="1">
      <alignment horizontal="left" vertical="center"/>
    </xf>
    <xf numFmtId="0" fontId="21" fillId="0" borderId="53" xfId="0" applyFont="1" applyBorder="1" applyAlignment="1" applyProtection="1">
      <alignment horizontal="left" wrapText="1"/>
    </xf>
    <xf numFmtId="0" fontId="89" fillId="0" borderId="67" xfId="0" applyFont="1" applyBorder="1" applyAlignment="1" applyProtection="1">
      <alignment horizontal="left" vertical="center" wrapText="1" indent="5"/>
    </xf>
    <xf numFmtId="0" fontId="89" fillId="0" borderId="35" xfId="0" applyFont="1" applyBorder="1" applyAlignment="1" applyProtection="1">
      <alignment horizontal="left" vertical="center" wrapText="1" indent="5"/>
    </xf>
    <xf numFmtId="0" fontId="89" fillId="0" borderId="51" xfId="0" applyFont="1" applyBorder="1" applyAlignment="1" applyProtection="1">
      <alignment horizontal="left" vertical="center" wrapText="1" indent="5"/>
    </xf>
    <xf numFmtId="0" fontId="89" fillId="0" borderId="11" xfId="0" applyFont="1" applyBorder="1" applyAlignment="1" applyProtection="1">
      <alignment horizontal="left" vertical="center" wrapText="1" indent="5"/>
    </xf>
    <xf numFmtId="0" fontId="89" fillId="0" borderId="0" xfId="0" applyFont="1" applyBorder="1" applyAlignment="1" applyProtection="1">
      <alignment horizontal="left" vertical="center" wrapText="1" indent="5"/>
    </xf>
    <xf numFmtId="0" fontId="89" fillId="0" borderId="68" xfId="0" applyFont="1" applyBorder="1" applyAlignment="1" applyProtection="1">
      <alignment horizontal="left" vertical="center" wrapText="1" indent="5"/>
    </xf>
    <xf numFmtId="0" fontId="89" fillId="0" borderId="174" xfId="0" applyFont="1" applyBorder="1" applyAlignment="1" applyProtection="1">
      <alignment horizontal="left" vertical="center" wrapText="1" indent="5"/>
    </xf>
    <xf numFmtId="0" fontId="89" fillId="0" borderId="53" xfId="0" applyFont="1" applyBorder="1" applyAlignment="1" applyProtection="1">
      <alignment horizontal="left" vertical="center" wrapText="1" indent="5"/>
    </xf>
    <xf numFmtId="0" fontId="89" fillId="0" borderId="65" xfId="0" applyFont="1" applyBorder="1" applyAlignment="1" applyProtection="1">
      <alignment horizontal="left" vertical="center" wrapText="1" indent="5"/>
    </xf>
    <xf numFmtId="0" fontId="12" fillId="4" borderId="151" xfId="0" applyFont="1" applyFill="1" applyBorder="1" applyAlignment="1" applyProtection="1">
      <alignment horizontal="left" vertical="center" indent="1"/>
    </xf>
    <xf numFmtId="0" fontId="12" fillId="4" borderId="87" xfId="0" applyFont="1" applyFill="1" applyBorder="1" applyAlignment="1" applyProtection="1">
      <alignment horizontal="left" vertical="center" indent="1"/>
    </xf>
    <xf numFmtId="0" fontId="12" fillId="4" borderId="88" xfId="0" applyFont="1" applyFill="1" applyBorder="1" applyAlignment="1" applyProtection="1">
      <alignment horizontal="left" vertical="center" indent="1"/>
    </xf>
    <xf numFmtId="0" fontId="17" fillId="2" borderId="97" xfId="0" applyFont="1" applyFill="1" applyBorder="1" applyAlignment="1" applyProtection="1">
      <alignment horizontal="left"/>
    </xf>
    <xf numFmtId="0" fontId="17" fillId="2" borderId="103" xfId="0" applyFont="1" applyFill="1" applyBorder="1" applyAlignment="1" applyProtection="1">
      <alignment horizontal="left"/>
    </xf>
    <xf numFmtId="0" fontId="4" fillId="0" borderId="39" xfId="0" applyFont="1" applyFill="1" applyBorder="1" applyAlignment="1" applyProtection="1">
      <alignment horizontal="left" vertical="center"/>
    </xf>
    <xf numFmtId="0" fontId="9" fillId="0" borderId="50" xfId="0" applyFont="1" applyFill="1" applyBorder="1" applyAlignment="1" applyProtection="1">
      <alignment horizontal="left" vertical="center"/>
    </xf>
    <xf numFmtId="0" fontId="12" fillId="0" borderId="32" xfId="0" applyFont="1" applyFill="1" applyBorder="1" applyAlignment="1" applyProtection="1">
      <alignment horizontal="left"/>
    </xf>
    <xf numFmtId="0" fontId="12" fillId="0" borderId="38" xfId="0" applyFont="1" applyFill="1" applyBorder="1" applyAlignment="1" applyProtection="1">
      <alignment horizontal="left"/>
    </xf>
    <xf numFmtId="0" fontId="12" fillId="0" borderId="48" xfId="0" applyFont="1" applyFill="1" applyBorder="1" applyAlignment="1" applyProtection="1">
      <alignment horizontal="left"/>
    </xf>
    <xf numFmtId="0" fontId="12" fillId="0" borderId="38" xfId="0" applyFont="1" applyFill="1" applyBorder="1" applyAlignment="1" applyProtection="1">
      <alignment horizontal="left" vertical="center" wrapText="1"/>
    </xf>
    <xf numFmtId="0" fontId="98" fillId="0" borderId="23" xfId="0" applyFont="1" applyFill="1" applyBorder="1" applyAlignment="1" applyProtection="1">
      <alignment horizontal="left" vertical="center" wrapText="1"/>
      <protection locked="0"/>
    </xf>
    <xf numFmtId="0" fontId="98" fillId="0" borderId="27" xfId="0" applyFont="1" applyFill="1" applyBorder="1" applyAlignment="1" applyProtection="1">
      <alignment horizontal="left" vertical="center"/>
      <protection locked="0"/>
    </xf>
    <xf numFmtId="0" fontId="98" fillId="0" borderId="17" xfId="0" applyFont="1" applyFill="1" applyBorder="1" applyAlignment="1" applyProtection="1">
      <alignment horizontal="left" vertical="center"/>
      <protection locked="0"/>
    </xf>
    <xf numFmtId="0" fontId="98" fillId="0" borderId="0" xfId="0" applyFont="1" applyFill="1" applyBorder="1" applyAlignment="1" applyProtection="1">
      <alignment horizontal="left" vertical="center"/>
      <protection locked="0"/>
    </xf>
    <xf numFmtId="0" fontId="98" fillId="0" borderId="96" xfId="0" applyFont="1" applyFill="1" applyBorder="1" applyAlignment="1" applyProtection="1">
      <alignment horizontal="left" vertical="center"/>
      <protection locked="0"/>
    </xf>
    <xf numFmtId="0" fontId="98" fillId="0" borderId="54" xfId="0" applyFont="1" applyFill="1" applyBorder="1" applyAlignment="1" applyProtection="1">
      <alignment horizontal="left" vertical="center"/>
      <protection locked="0"/>
    </xf>
    <xf numFmtId="0" fontId="12" fillId="0" borderId="23" xfId="0" applyFont="1" applyFill="1" applyBorder="1" applyAlignment="1" applyProtection="1">
      <alignment horizontal="left" vertical="center" wrapText="1"/>
      <protection locked="0"/>
    </xf>
    <xf numFmtId="0" fontId="12" fillId="0" borderId="27" xfId="0" applyFont="1" applyFill="1" applyBorder="1" applyAlignment="1" applyProtection="1">
      <alignment horizontal="left" vertical="center"/>
      <protection locked="0"/>
    </xf>
    <xf numFmtId="0" fontId="12" fillId="0" borderId="17" xfId="0" applyFont="1" applyFill="1" applyBorder="1" applyAlignment="1" applyProtection="1">
      <alignment horizontal="left" vertical="center"/>
      <protection locked="0"/>
    </xf>
    <xf numFmtId="0" fontId="12" fillId="0" borderId="0" xfId="0" applyFont="1" applyFill="1" applyBorder="1" applyAlignment="1" applyProtection="1">
      <alignment horizontal="left" vertical="center"/>
      <protection locked="0"/>
    </xf>
    <xf numFmtId="0" fontId="12" fillId="0" borderId="96" xfId="0" applyFont="1" applyFill="1" applyBorder="1" applyAlignment="1" applyProtection="1">
      <alignment horizontal="left" vertical="center"/>
      <protection locked="0"/>
    </xf>
    <xf numFmtId="0" fontId="12" fillId="0" borderId="54" xfId="0" applyFont="1" applyFill="1" applyBorder="1" applyAlignment="1" applyProtection="1">
      <alignment horizontal="left" vertical="center"/>
      <protection locked="0"/>
    </xf>
    <xf numFmtId="0" fontId="13" fillId="0" borderId="0" xfId="0" applyFont="1" applyFill="1" applyBorder="1" applyAlignment="1" applyProtection="1">
      <alignment horizontal="left" wrapText="1"/>
    </xf>
    <xf numFmtId="0" fontId="2" fillId="0" borderId="68" xfId="0" applyFont="1" applyBorder="1" applyAlignment="1">
      <alignment wrapText="1"/>
    </xf>
    <xf numFmtId="0" fontId="17" fillId="2" borderId="123" xfId="0" applyFont="1" applyFill="1" applyBorder="1" applyAlignment="1" applyProtection="1">
      <alignment horizontal="left"/>
    </xf>
    <xf numFmtId="0" fontId="11" fillId="0" borderId="50" xfId="0" applyFont="1" applyFill="1" applyBorder="1" applyAlignment="1" applyProtection="1">
      <alignment horizontal="center"/>
    </xf>
    <xf numFmtId="0" fontId="11" fillId="0" borderId="49" xfId="0" applyFont="1" applyFill="1" applyBorder="1" applyAlignment="1" applyProtection="1">
      <alignment horizontal="center"/>
    </xf>
    <xf numFmtId="0" fontId="15" fillId="4" borderId="97" xfId="0" applyFont="1" applyFill="1" applyBorder="1" applyAlignment="1" applyProtection="1">
      <alignment horizontal="center" vertical="center"/>
    </xf>
    <xf numFmtId="0" fontId="15" fillId="4" borderId="103" xfId="0" applyFont="1" applyFill="1" applyBorder="1" applyAlignment="1" applyProtection="1">
      <alignment horizontal="center" vertical="center"/>
    </xf>
    <xf numFmtId="0" fontId="15" fillId="4" borderId="123" xfId="0" applyFont="1" applyFill="1" applyBorder="1" applyAlignment="1" applyProtection="1">
      <alignment horizontal="center" vertical="center"/>
    </xf>
    <xf numFmtId="0" fontId="12" fillId="0" borderId="27" xfId="0" applyFont="1" applyFill="1" applyBorder="1" applyAlignment="1" applyProtection="1">
      <alignment horizontal="left" vertical="center" wrapText="1"/>
    </xf>
    <xf numFmtId="0" fontId="12" fillId="0" borderId="54" xfId="0" applyFont="1" applyFill="1" applyBorder="1" applyAlignment="1" applyProtection="1">
      <alignment horizontal="left" vertical="center" wrapText="1"/>
    </xf>
    <xf numFmtId="0" fontId="12" fillId="0" borderId="13" xfId="0" applyFont="1" applyBorder="1" applyAlignment="1" applyProtection="1">
      <alignment horizontal="left"/>
      <protection locked="0"/>
    </xf>
    <xf numFmtId="0" fontId="12" fillId="0" borderId="16" xfId="0" applyFont="1" applyBorder="1" applyAlignment="1" applyProtection="1">
      <alignment horizontal="left"/>
      <protection locked="0"/>
    </xf>
    <xf numFmtId="0" fontId="12" fillId="0" borderId="6" xfId="0" applyFont="1" applyBorder="1" applyAlignment="1" applyProtection="1">
      <alignment horizontal="left"/>
      <protection locked="0"/>
    </xf>
    <xf numFmtId="0" fontId="12" fillId="0" borderId="76" xfId="0" applyFont="1" applyBorder="1" applyAlignment="1" applyProtection="1">
      <alignment vertical="top" wrapText="1"/>
      <protection locked="0"/>
    </xf>
    <xf numFmtId="0" fontId="12" fillId="0" borderId="49" xfId="0" applyFont="1" applyBorder="1" applyAlignment="1" applyProtection="1">
      <alignment vertical="top" wrapText="1"/>
      <protection locked="0"/>
    </xf>
    <xf numFmtId="0" fontId="12" fillId="0" borderId="86" xfId="0" applyFont="1" applyBorder="1" applyAlignment="1" applyProtection="1">
      <alignment vertical="top" wrapText="1"/>
      <protection locked="0"/>
    </xf>
    <xf numFmtId="0" fontId="12" fillId="0" borderId="7" xfId="0" applyFont="1" applyBorder="1" applyAlignment="1" applyProtection="1">
      <alignment vertical="top" wrapText="1"/>
      <protection locked="0"/>
    </xf>
    <xf numFmtId="0" fontId="12" fillId="0" borderId="10" xfId="0" applyFont="1" applyBorder="1" applyAlignment="1" applyProtection="1">
      <alignment vertical="top" wrapText="1"/>
      <protection locked="0"/>
    </xf>
    <xf numFmtId="0" fontId="12" fillId="0" borderId="145" xfId="0" applyFont="1" applyBorder="1" applyAlignment="1" applyProtection="1">
      <alignment vertical="top" wrapText="1"/>
      <protection locked="0"/>
    </xf>
    <xf numFmtId="0" fontId="12" fillId="16" borderId="47" xfId="0" quotePrefix="1" applyFont="1" applyFill="1" applyBorder="1" applyAlignment="1" applyProtection="1">
      <alignment horizontal="left" wrapText="1"/>
    </xf>
    <xf numFmtId="0" fontId="12" fillId="16" borderId="35" xfId="0" quotePrefix="1" applyFont="1" applyFill="1" applyBorder="1" applyAlignment="1" applyProtection="1">
      <alignment horizontal="left" wrapText="1"/>
    </xf>
    <xf numFmtId="0" fontId="12" fillId="16" borderId="51" xfId="0" quotePrefix="1" applyFont="1" applyFill="1" applyBorder="1" applyAlignment="1" applyProtection="1">
      <alignment horizontal="left" wrapText="1"/>
    </xf>
    <xf numFmtId="0" fontId="12" fillId="0" borderId="45" xfId="0" applyFont="1" applyFill="1" applyBorder="1" applyAlignment="1" applyProtection="1">
      <alignment horizontal="center" vertical="center"/>
    </xf>
    <xf numFmtId="0" fontId="12" fillId="0" borderId="34" xfId="0" applyFont="1" applyFill="1" applyBorder="1" applyAlignment="1" applyProtection="1">
      <alignment horizontal="center" vertical="center"/>
    </xf>
    <xf numFmtId="0" fontId="12" fillId="16" borderId="47" xfId="0" applyFont="1" applyFill="1" applyBorder="1" applyAlignment="1" applyProtection="1">
      <alignment horizontal="center"/>
    </xf>
    <xf numFmtId="0" fontId="12" fillId="16" borderId="35" xfId="0" applyFont="1" applyFill="1" applyBorder="1" applyAlignment="1" applyProtection="1">
      <alignment horizontal="center"/>
    </xf>
    <xf numFmtId="2" fontId="43" fillId="0" borderId="54" xfId="0" applyNumberFormat="1" applyFont="1" applyFill="1" applyBorder="1" applyAlignment="1" applyProtection="1">
      <alignment horizontal="left" vertical="center" wrapText="1" indent="2"/>
    </xf>
    <xf numFmtId="2" fontId="52" fillId="0" borderId="54" xfId="0" applyNumberFormat="1" applyFont="1" applyFill="1" applyBorder="1" applyAlignment="1" applyProtection="1">
      <alignment horizontal="left" vertical="center" wrapText="1" indent="2"/>
    </xf>
    <xf numFmtId="0" fontId="17" fillId="14" borderId="17" xfId="0" applyFont="1" applyFill="1" applyBorder="1" applyAlignment="1" applyProtection="1">
      <alignment horizontal="left"/>
    </xf>
    <xf numFmtId="0" fontId="17" fillId="14" borderId="0" xfId="0" applyFont="1" applyFill="1" applyBorder="1" applyAlignment="1" applyProtection="1">
      <alignment horizontal="left"/>
    </xf>
    <xf numFmtId="0" fontId="17" fillId="14" borderId="17" xfId="0" applyFont="1" applyFill="1" applyBorder="1" applyAlignment="1" applyProtection="1">
      <alignment horizontal="left" vertical="center"/>
    </xf>
    <xf numFmtId="0" fontId="17" fillId="14" borderId="0" xfId="0" applyFont="1" applyFill="1" applyBorder="1" applyAlignment="1" applyProtection="1">
      <alignment horizontal="left" vertical="center"/>
    </xf>
    <xf numFmtId="0" fontId="12" fillId="3" borderId="23" xfId="0" applyFont="1" applyFill="1" applyBorder="1" applyAlignment="1" applyProtection="1">
      <alignment horizontal="center" vertical="center" wrapText="1"/>
      <protection locked="0"/>
    </xf>
    <xf numFmtId="0" fontId="12" fillId="3" borderId="27" xfId="0" applyFont="1" applyFill="1" applyBorder="1" applyAlignment="1" applyProtection="1">
      <alignment horizontal="center" vertical="center" wrapText="1"/>
      <protection locked="0"/>
    </xf>
    <xf numFmtId="0" fontId="12" fillId="3" borderId="25" xfId="0" applyFont="1" applyFill="1" applyBorder="1" applyAlignment="1" applyProtection="1">
      <alignment horizontal="center" vertical="center" wrapText="1"/>
      <protection locked="0"/>
    </xf>
    <xf numFmtId="0" fontId="12" fillId="3" borderId="17" xfId="0" applyFont="1" applyFill="1" applyBorder="1" applyAlignment="1" applyProtection="1">
      <alignment horizontal="center" vertical="center" wrapText="1"/>
      <protection locked="0"/>
    </xf>
    <xf numFmtId="0" fontId="12" fillId="3" borderId="0" xfId="0" applyFont="1" applyFill="1" applyBorder="1" applyAlignment="1" applyProtection="1">
      <alignment horizontal="center" vertical="center" wrapText="1"/>
      <protection locked="0"/>
    </xf>
    <xf numFmtId="0" fontId="12" fillId="3" borderId="9" xfId="0" applyFont="1" applyFill="1" applyBorder="1" applyAlignment="1" applyProtection="1">
      <alignment horizontal="center" vertical="center" wrapText="1"/>
      <protection locked="0"/>
    </xf>
    <xf numFmtId="0" fontId="12" fillId="3" borderId="96" xfId="0" applyFont="1" applyFill="1" applyBorder="1" applyAlignment="1" applyProtection="1">
      <alignment horizontal="center" vertical="center" wrapText="1"/>
      <protection locked="0"/>
    </xf>
    <xf numFmtId="0" fontId="12" fillId="3" borderId="54" xfId="0" applyFont="1" applyFill="1" applyBorder="1" applyAlignment="1" applyProtection="1">
      <alignment horizontal="center" vertical="center" wrapText="1"/>
      <protection locked="0"/>
    </xf>
    <xf numFmtId="0" fontId="12" fillId="3" borderId="172" xfId="0" applyFont="1" applyFill="1" applyBorder="1" applyAlignment="1" applyProtection="1">
      <alignment horizontal="center" vertical="center" wrapText="1"/>
      <protection locked="0"/>
    </xf>
    <xf numFmtId="0" fontId="12" fillId="0" borderId="23" xfId="0" applyFont="1" applyFill="1" applyBorder="1" applyAlignment="1" applyProtection="1">
      <alignment horizontal="center" vertical="center" wrapText="1"/>
      <protection locked="0"/>
    </xf>
    <xf numFmtId="0" fontId="12" fillId="0" borderId="27" xfId="0" applyFont="1" applyFill="1" applyBorder="1" applyAlignment="1" applyProtection="1">
      <alignment horizontal="center" vertical="center" wrapText="1"/>
      <protection locked="0"/>
    </xf>
    <xf numFmtId="0" fontId="12" fillId="0" borderId="25" xfId="0" applyFont="1" applyFill="1" applyBorder="1" applyAlignment="1" applyProtection="1">
      <alignment horizontal="center" vertical="center" wrapText="1"/>
      <protection locked="0"/>
    </xf>
    <xf numFmtId="0" fontId="12" fillId="0" borderId="17" xfId="0" applyFont="1" applyFill="1" applyBorder="1" applyAlignment="1" applyProtection="1">
      <alignment horizontal="center" vertical="center" wrapText="1"/>
      <protection locked="0"/>
    </xf>
    <xf numFmtId="0" fontId="12" fillId="0" borderId="0" xfId="0" applyFont="1" applyFill="1" applyBorder="1" applyAlignment="1" applyProtection="1">
      <alignment horizontal="center" vertical="center" wrapText="1"/>
      <protection locked="0"/>
    </xf>
    <xf numFmtId="0" fontId="12" fillId="0" borderId="9" xfId="0" applyFont="1" applyFill="1" applyBorder="1" applyAlignment="1" applyProtection="1">
      <alignment horizontal="center" vertical="center" wrapText="1"/>
      <protection locked="0"/>
    </xf>
    <xf numFmtId="0" fontId="12" fillId="0" borderId="96" xfId="0" applyFont="1" applyFill="1" applyBorder="1" applyAlignment="1" applyProtection="1">
      <alignment horizontal="center" vertical="center" wrapText="1"/>
      <protection locked="0"/>
    </xf>
    <xf numFmtId="0" fontId="12" fillId="0" borderId="54" xfId="0" applyFont="1" applyFill="1" applyBorder="1" applyAlignment="1" applyProtection="1">
      <alignment horizontal="center" vertical="center" wrapText="1"/>
      <protection locked="0"/>
    </xf>
    <xf numFmtId="0" fontId="12" fillId="0" borderId="172" xfId="0" applyFont="1" applyFill="1" applyBorder="1" applyAlignment="1" applyProtection="1">
      <alignment horizontal="center" vertical="center" wrapText="1"/>
      <protection locked="0"/>
    </xf>
    <xf numFmtId="0" fontId="17" fillId="2" borderId="11" xfId="0" applyFont="1" applyFill="1" applyBorder="1" applyAlignment="1" applyProtection="1">
      <alignment horizontal="left"/>
    </xf>
    <xf numFmtId="0" fontId="17" fillId="2" borderId="0" xfId="0" applyFont="1" applyFill="1" applyBorder="1" applyAlignment="1" applyProtection="1">
      <alignment horizontal="left"/>
    </xf>
    <xf numFmtId="0" fontId="15" fillId="0" borderId="0" xfId="0" applyFont="1" applyAlignment="1" applyProtection="1">
      <alignment horizontal="left" wrapText="1"/>
    </xf>
    <xf numFmtId="0" fontId="12" fillId="0" borderId="54" xfId="0" applyFont="1" applyBorder="1" applyAlignment="1" applyProtection="1">
      <alignment horizontal="left" indent="1"/>
      <protection locked="0"/>
    </xf>
    <xf numFmtId="0" fontId="12" fillId="0" borderId="54" xfId="0" applyFont="1" applyFill="1" applyBorder="1" applyAlignment="1" applyProtection="1">
      <alignment horizontal="left"/>
      <protection locked="0"/>
    </xf>
    <xf numFmtId="0" fontId="11" fillId="2" borderId="76" xfId="0" applyFont="1" applyFill="1" applyBorder="1" applyAlignment="1" applyProtection="1">
      <alignment horizontal="left"/>
    </xf>
    <xf numFmtId="0" fontId="11" fillId="2" borderId="165" xfId="0" applyFont="1" applyFill="1" applyBorder="1" applyAlignment="1" applyProtection="1">
      <alignment horizontal="left"/>
    </xf>
    <xf numFmtId="0" fontId="11" fillId="2" borderId="11" xfId="0" applyFont="1" applyFill="1" applyBorder="1" applyAlignment="1" applyProtection="1">
      <alignment horizontal="left"/>
    </xf>
    <xf numFmtId="0" fontId="11" fillId="2" borderId="9" xfId="0" applyFont="1" applyFill="1" applyBorder="1" applyAlignment="1" applyProtection="1">
      <alignment horizontal="left"/>
    </xf>
    <xf numFmtId="0" fontId="12" fillId="0" borderId="0" xfId="0" applyFont="1" applyFill="1" applyBorder="1" applyAlignment="1" applyProtection="1">
      <alignment horizontal="left" wrapText="1"/>
    </xf>
    <xf numFmtId="0" fontId="15" fillId="0" borderId="0" xfId="0" applyFont="1" applyFill="1" applyBorder="1" applyAlignment="1" applyProtection="1">
      <alignment horizontal="left" wrapText="1"/>
    </xf>
    <xf numFmtId="167" fontId="15" fillId="4" borderId="1" xfId="0" applyNumberFormat="1" applyFont="1" applyFill="1" applyBorder="1" applyAlignment="1" applyProtection="1">
      <alignment horizontal="left" indent="1"/>
    </xf>
    <xf numFmtId="167" fontId="15" fillId="4" borderId="4" xfId="0" applyNumberFormat="1" applyFont="1" applyFill="1" applyBorder="1" applyAlignment="1" applyProtection="1">
      <alignment horizontal="left" indent="1"/>
    </xf>
    <xf numFmtId="0" fontId="50" fillId="0" borderId="0" xfId="0" applyFont="1" applyBorder="1" applyAlignment="1" applyProtection="1">
      <alignment wrapText="1"/>
    </xf>
    <xf numFmtId="0" fontId="51" fillId="0" borderId="0" xfId="0" applyFont="1" applyBorder="1" applyAlignment="1" applyProtection="1">
      <alignment wrapText="1"/>
    </xf>
    <xf numFmtId="0" fontId="51" fillId="0" borderId="0" xfId="0" applyFont="1" applyFill="1" applyBorder="1" applyAlignment="1" applyProtection="1">
      <alignment wrapText="1"/>
    </xf>
    <xf numFmtId="166" fontId="51" fillId="0" borderId="0" xfId="1" applyNumberFormat="1" applyFont="1" applyBorder="1" applyAlignment="1" applyProtection="1">
      <alignment wrapText="1"/>
    </xf>
    <xf numFmtId="0" fontId="15" fillId="4" borderId="3" xfId="0" applyFont="1" applyFill="1" applyBorder="1" applyAlignment="1" applyProtection="1">
      <alignment horizontal="left" indent="1"/>
    </xf>
    <xf numFmtId="0" fontId="15" fillId="4" borderId="12" xfId="0" applyFont="1" applyFill="1" applyBorder="1" applyAlignment="1" applyProtection="1">
      <alignment horizontal="left" indent="1"/>
    </xf>
    <xf numFmtId="0" fontId="11" fillId="2" borderId="7" xfId="0" applyFont="1" applyFill="1" applyBorder="1" applyAlignment="1" applyProtection="1">
      <alignment horizontal="left"/>
    </xf>
    <xf numFmtId="0" fontId="11" fillId="2" borderId="2" xfId="0" applyFont="1" applyFill="1" applyBorder="1" applyAlignment="1" applyProtection="1">
      <alignment horizontal="left"/>
    </xf>
    <xf numFmtId="15" fontId="12" fillId="0" borderId="54" xfId="0" applyNumberFormat="1" applyFont="1" applyBorder="1" applyAlignment="1" applyProtection="1">
      <alignment horizontal="left" indent="1"/>
      <protection locked="0"/>
    </xf>
    <xf numFmtId="0" fontId="15" fillId="4" borderId="84" xfId="0" applyFont="1" applyFill="1" applyBorder="1" applyAlignment="1" applyProtection="1">
      <alignment horizontal="left" indent="1"/>
    </xf>
    <xf numFmtId="0" fontId="15" fillId="4" borderId="95" xfId="0" applyFont="1" applyFill="1" applyBorder="1" applyAlignment="1" applyProtection="1">
      <alignment horizontal="left" indent="1"/>
    </xf>
    <xf numFmtId="0" fontId="15" fillId="4" borderId="1" xfId="0" applyFont="1" applyFill="1" applyBorder="1" applyAlignment="1" applyProtection="1">
      <alignment horizontal="left" indent="1"/>
    </xf>
    <xf numFmtId="0" fontId="15" fillId="4" borderId="4" xfId="0" applyFont="1" applyFill="1" applyBorder="1" applyAlignment="1" applyProtection="1">
      <alignment horizontal="left" indent="1"/>
    </xf>
    <xf numFmtId="0" fontId="13" fillId="4" borderId="1" xfId="0" applyFont="1" applyFill="1" applyBorder="1" applyAlignment="1" applyProtection="1">
      <alignment horizontal="left" indent="1"/>
    </xf>
    <xf numFmtId="0" fontId="13" fillId="4" borderId="4" xfId="0" applyFont="1" applyFill="1" applyBorder="1" applyAlignment="1" applyProtection="1">
      <alignment horizontal="left" indent="1"/>
    </xf>
    <xf numFmtId="0" fontId="15" fillId="4" borderId="13" xfId="0" applyFont="1" applyFill="1" applyBorder="1" applyAlignment="1" applyProtection="1">
      <alignment horizontal="left" vertical="center" indent="1"/>
    </xf>
    <xf numFmtId="0" fontId="15" fillId="4" borderId="16" xfId="0" applyFont="1" applyFill="1" applyBorder="1" applyAlignment="1" applyProtection="1">
      <alignment horizontal="left" vertical="center" indent="1"/>
    </xf>
    <xf numFmtId="0" fontId="15" fillId="4" borderId="70" xfId="0" applyFont="1" applyFill="1" applyBorder="1" applyAlignment="1" applyProtection="1">
      <alignment horizontal="left" vertical="center" indent="1"/>
    </xf>
    <xf numFmtId="0" fontId="21" fillId="3" borderId="0" xfId="6" applyFont="1" applyFill="1" applyAlignment="1" applyProtection="1">
      <alignment horizontal="left" wrapText="1"/>
    </xf>
    <xf numFmtId="0" fontId="50" fillId="3" borderId="0" xfId="6" applyFont="1" applyFill="1" applyAlignment="1" applyProtection="1">
      <alignment horizontal="left" wrapText="1"/>
    </xf>
    <xf numFmtId="0" fontId="12" fillId="7" borderId="11" xfId="6" applyFont="1" applyFill="1" applyBorder="1" applyAlignment="1" applyProtection="1">
      <alignment horizontal="center" wrapText="1"/>
    </xf>
    <xf numFmtId="0" fontId="12" fillId="7" borderId="0" xfId="6" applyFont="1" applyFill="1" applyBorder="1" applyAlignment="1" applyProtection="1">
      <alignment horizontal="center" wrapText="1"/>
    </xf>
    <xf numFmtId="0" fontId="15" fillId="4" borderId="97" xfId="0" applyFont="1" applyFill="1" applyBorder="1" applyAlignment="1" applyProtection="1">
      <alignment horizontal="left" vertical="center"/>
    </xf>
    <xf numFmtId="0" fontId="15" fillId="4" borderId="103" xfId="0" applyFont="1" applyFill="1" applyBorder="1" applyAlignment="1" applyProtection="1">
      <alignment horizontal="left" vertical="center"/>
    </xf>
    <xf numFmtId="0" fontId="15" fillId="4" borderId="123" xfId="0" applyFont="1" applyFill="1" applyBorder="1" applyAlignment="1" applyProtection="1">
      <alignment horizontal="left" vertical="center"/>
    </xf>
    <xf numFmtId="0" fontId="21" fillId="3" borderId="0" xfId="0" applyFont="1" applyFill="1" applyAlignment="1" applyProtection="1">
      <alignment horizontal="left" wrapText="1"/>
    </xf>
    <xf numFmtId="0" fontId="12" fillId="4" borderId="13" xfId="0" applyFont="1" applyFill="1" applyBorder="1" applyAlignment="1" applyProtection="1">
      <alignment horizontal="center" vertical="center"/>
    </xf>
    <xf numFmtId="0" fontId="12" fillId="4" borderId="6" xfId="0" applyFont="1" applyFill="1" applyBorder="1" applyAlignment="1" applyProtection="1">
      <alignment horizontal="center" vertical="center"/>
    </xf>
    <xf numFmtId="167" fontId="12" fillId="4" borderId="13" xfId="0" applyNumberFormat="1" applyFont="1" applyFill="1" applyBorder="1" applyAlignment="1" applyProtection="1">
      <alignment horizontal="center" vertical="center"/>
    </xf>
    <xf numFmtId="167" fontId="12" fillId="4" borderId="6" xfId="0" applyNumberFormat="1" applyFont="1" applyFill="1" applyBorder="1" applyAlignment="1" applyProtection="1">
      <alignment horizontal="center" vertical="center"/>
    </xf>
    <xf numFmtId="0" fontId="11" fillId="2" borderId="13" xfId="0" applyFont="1" applyFill="1" applyBorder="1" applyAlignment="1" applyProtection="1">
      <alignment horizontal="left" vertical="center"/>
    </xf>
    <xf numFmtId="0" fontId="11" fillId="2" borderId="6" xfId="0" applyFont="1" applyFill="1" applyBorder="1" applyAlignment="1" applyProtection="1">
      <alignment horizontal="left" vertical="center"/>
    </xf>
    <xf numFmtId="0" fontId="11" fillId="2" borderId="16" xfId="0" applyFont="1" applyFill="1" applyBorder="1" applyAlignment="1" applyProtection="1">
      <alignment horizontal="left" vertical="center"/>
    </xf>
    <xf numFmtId="0" fontId="54" fillId="15" borderId="121" xfId="0" applyFont="1" applyFill="1" applyBorder="1" applyAlignment="1" applyProtection="1">
      <alignment horizontal="center" wrapText="1"/>
    </xf>
    <xf numFmtId="0" fontId="54" fillId="15" borderId="8" xfId="0" applyFont="1" applyFill="1" applyBorder="1" applyAlignment="1" applyProtection="1">
      <alignment horizontal="center" wrapText="1"/>
    </xf>
    <xf numFmtId="0" fontId="54" fillId="15" borderId="90" xfId="0" applyFont="1" applyFill="1" applyBorder="1" applyAlignment="1" applyProtection="1">
      <alignment horizontal="center" wrapText="1"/>
    </xf>
    <xf numFmtId="0" fontId="54" fillId="15" borderId="166" xfId="0" applyFont="1" applyFill="1" applyBorder="1" applyAlignment="1" applyProtection="1">
      <alignment horizontal="center" wrapText="1"/>
    </xf>
    <xf numFmtId="0" fontId="54" fillId="15" borderId="16" xfId="0" applyFont="1" applyFill="1" applyBorder="1" applyAlignment="1" applyProtection="1">
      <alignment horizontal="center" wrapText="1"/>
    </xf>
    <xf numFmtId="0" fontId="54" fillId="15" borderId="70" xfId="0" applyFont="1" applyFill="1" applyBorder="1" applyAlignment="1" applyProtection="1">
      <alignment horizontal="center" wrapText="1"/>
    </xf>
    <xf numFmtId="0" fontId="4" fillId="4" borderId="13" xfId="0" applyNumberFormat="1" applyFont="1" applyFill="1" applyBorder="1" applyAlignment="1" applyProtection="1">
      <alignment horizontal="left" vertical="center" wrapText="1" indent="1"/>
    </xf>
    <xf numFmtId="0" fontId="4" fillId="4" borderId="16" xfId="0" applyNumberFormat="1" applyFont="1" applyFill="1" applyBorder="1" applyAlignment="1" applyProtection="1">
      <alignment horizontal="left" vertical="center" wrapText="1" indent="1"/>
    </xf>
    <xf numFmtId="0" fontId="4" fillId="4" borderId="6" xfId="0" applyNumberFormat="1" applyFont="1" applyFill="1" applyBorder="1" applyAlignment="1" applyProtection="1">
      <alignment horizontal="left" vertical="center" wrapText="1" indent="1"/>
    </xf>
    <xf numFmtId="3" fontId="4" fillId="18" borderId="13" xfId="0" applyNumberFormat="1" applyFont="1" applyFill="1" applyBorder="1" applyAlignment="1" applyProtection="1">
      <alignment horizontal="left" vertical="center" wrapText="1"/>
    </xf>
    <xf numFmtId="0" fontId="4" fillId="18" borderId="6" xfId="0" applyFont="1" applyFill="1" applyBorder="1" applyAlignment="1" applyProtection="1">
      <alignment horizontal="left" vertical="center" wrapText="1"/>
    </xf>
    <xf numFmtId="0" fontId="4" fillId="0" borderId="13" xfId="0" applyFont="1" applyFill="1" applyBorder="1" applyAlignment="1" applyProtection="1">
      <alignment horizontal="left" vertical="center" wrapText="1" indent="1"/>
      <protection locked="0"/>
    </xf>
    <xf numFmtId="0" fontId="4" fillId="0" borderId="16" xfId="0" applyFont="1" applyBorder="1" applyAlignment="1" applyProtection="1">
      <alignment horizontal="left" vertical="center" wrapText="1" indent="1"/>
      <protection locked="0"/>
    </xf>
    <xf numFmtId="0" fontId="4" fillId="0" borderId="70" xfId="0" applyFont="1" applyBorder="1" applyAlignment="1" applyProtection="1">
      <alignment horizontal="left" vertical="center" wrapText="1" indent="1"/>
      <protection locked="0"/>
    </xf>
    <xf numFmtId="0" fontId="7" fillId="2" borderId="11" xfId="0" applyFont="1" applyFill="1" applyBorder="1" applyAlignment="1" applyProtection="1">
      <alignment horizontal="left" vertical="center"/>
    </xf>
    <xf numFmtId="0" fontId="7" fillId="2" borderId="9" xfId="0" applyFont="1" applyFill="1" applyBorder="1" applyAlignment="1" applyProtection="1">
      <alignment horizontal="left" vertical="center"/>
    </xf>
    <xf numFmtId="0" fontId="4" fillId="4" borderId="96" xfId="0" applyFont="1" applyFill="1" applyBorder="1" applyAlignment="1" applyProtection="1">
      <alignment horizontal="left" vertical="center" indent="1"/>
    </xf>
    <xf numFmtId="0" fontId="4" fillId="4" borderId="54" xfId="0" applyFont="1" applyFill="1" applyBorder="1" applyAlignment="1" applyProtection="1">
      <alignment horizontal="left" vertical="center" indent="1"/>
    </xf>
    <xf numFmtId="0" fontId="4" fillId="4" borderId="157" xfId="0" applyFont="1" applyFill="1" applyBorder="1" applyAlignment="1" applyProtection="1">
      <alignment horizontal="left" vertical="center" indent="1"/>
    </xf>
    <xf numFmtId="0" fontId="9" fillId="4" borderId="13" xfId="0" applyFont="1" applyFill="1" applyBorder="1" applyAlignment="1" applyProtection="1">
      <alignment horizontal="left" vertical="center" indent="1"/>
    </xf>
    <xf numFmtId="0" fontId="9" fillId="4" borderId="16" xfId="0" applyFont="1" applyFill="1" applyBorder="1" applyAlignment="1" applyProtection="1">
      <alignment horizontal="left" vertical="center" indent="1"/>
    </xf>
    <xf numFmtId="0" fontId="9" fillId="4" borderId="70" xfId="0" applyFont="1" applyFill="1" applyBorder="1" applyAlignment="1" applyProtection="1">
      <alignment horizontal="left" vertical="center" indent="1"/>
    </xf>
    <xf numFmtId="0" fontId="4" fillId="4" borderId="13" xfId="0" applyFont="1" applyFill="1" applyBorder="1" applyAlignment="1" applyProtection="1">
      <alignment horizontal="left" vertical="center" indent="1"/>
    </xf>
    <xf numFmtId="0" fontId="4" fillId="4" borderId="16" xfId="0" applyFont="1" applyFill="1" applyBorder="1" applyAlignment="1" applyProtection="1">
      <alignment horizontal="left" vertical="center" indent="1"/>
    </xf>
    <xf numFmtId="0" fontId="4" fillId="4" borderId="70" xfId="0" applyFont="1" applyFill="1" applyBorder="1" applyAlignment="1" applyProtection="1">
      <alignment horizontal="left" vertical="center" indent="1"/>
    </xf>
    <xf numFmtId="0" fontId="9" fillId="5" borderId="152" xfId="0" applyFont="1" applyFill="1" applyBorder="1" applyAlignment="1" applyProtection="1">
      <alignment horizontal="center" vertical="center" wrapText="1"/>
    </xf>
    <xf numFmtId="0" fontId="9" fillId="5" borderId="94" xfId="0" applyFont="1" applyFill="1" applyBorder="1" applyAlignment="1" applyProtection="1">
      <alignment horizontal="center" vertical="center" wrapText="1"/>
    </xf>
    <xf numFmtId="0" fontId="9" fillId="5" borderId="28" xfId="0" applyFont="1" applyFill="1" applyBorder="1" applyAlignment="1" applyProtection="1">
      <alignment horizontal="center" vertical="center" wrapText="1"/>
    </xf>
    <xf numFmtId="0" fontId="9" fillId="5" borderId="75" xfId="0" applyFont="1" applyFill="1" applyBorder="1" applyAlignment="1" applyProtection="1">
      <alignment horizontal="center" vertical="center" wrapText="1"/>
    </xf>
    <xf numFmtId="0" fontId="4" fillId="3" borderId="0" xfId="0" applyFont="1" applyFill="1" applyBorder="1" applyAlignment="1" applyProtection="1">
      <alignment horizontal="left" vertical="center" wrapText="1"/>
    </xf>
    <xf numFmtId="0" fontId="7" fillId="2" borderId="7" xfId="0" applyFont="1" applyFill="1" applyBorder="1" applyAlignment="1" applyProtection="1">
      <alignment horizontal="left" vertical="center"/>
    </xf>
    <xf numFmtId="0" fontId="7" fillId="2" borderId="2" xfId="0" applyFont="1" applyFill="1" applyBorder="1" applyAlignment="1" applyProtection="1">
      <alignment horizontal="left" vertical="center"/>
    </xf>
    <xf numFmtId="0" fontId="4" fillId="4" borderId="151" xfId="0" applyFont="1" applyFill="1" applyBorder="1" applyAlignment="1" applyProtection="1">
      <alignment horizontal="left" vertical="center" indent="1"/>
    </xf>
    <xf numFmtId="0" fontId="4" fillId="4" borderId="87" xfId="0" applyFont="1" applyFill="1" applyBorder="1" applyAlignment="1" applyProtection="1">
      <alignment horizontal="left" vertical="center" indent="1"/>
    </xf>
    <xf numFmtId="0" fontId="4" fillId="4" borderId="88" xfId="0" applyFont="1" applyFill="1" applyBorder="1" applyAlignment="1" applyProtection="1">
      <alignment horizontal="left" vertical="center" indent="1"/>
    </xf>
    <xf numFmtId="0" fontId="14" fillId="4" borderId="8" xfId="0" applyFont="1" applyFill="1" applyBorder="1" applyAlignment="1" applyProtection="1">
      <alignment horizontal="center" vertical="center"/>
    </xf>
    <xf numFmtId="0" fontId="9" fillId="5" borderId="23" xfId="0" applyFont="1" applyFill="1" applyBorder="1" applyAlignment="1" applyProtection="1">
      <alignment horizontal="center" vertical="center" wrapText="1"/>
    </xf>
    <xf numFmtId="0" fontId="9" fillId="5" borderId="27" xfId="0" applyFont="1" applyFill="1" applyBorder="1" applyAlignment="1" applyProtection="1">
      <alignment horizontal="center" vertical="center" wrapText="1"/>
    </xf>
    <xf numFmtId="0" fontId="9" fillId="5" borderId="153" xfId="0" applyFont="1" applyFill="1" applyBorder="1" applyAlignment="1" applyProtection="1">
      <alignment horizontal="center" vertical="center" wrapText="1"/>
    </xf>
    <xf numFmtId="0" fontId="9" fillId="5" borderId="96" xfId="0" applyFont="1" applyFill="1" applyBorder="1" applyAlignment="1" applyProtection="1">
      <alignment horizontal="center" vertical="center" wrapText="1"/>
    </xf>
    <xf numFmtId="0" fontId="9" fillId="5" borderId="54" xfId="0" applyFont="1" applyFill="1" applyBorder="1" applyAlignment="1" applyProtection="1">
      <alignment horizontal="center" vertical="center" wrapText="1"/>
    </xf>
    <xf numFmtId="0" fontId="9" fillId="5" borderId="157" xfId="0" applyFont="1" applyFill="1" applyBorder="1" applyAlignment="1" applyProtection="1">
      <alignment horizontal="center" vertical="center" wrapText="1"/>
    </xf>
    <xf numFmtId="0" fontId="9" fillId="3" borderId="0" xfId="0" applyFont="1" applyFill="1" applyAlignment="1" applyProtection="1">
      <alignment horizontal="left" wrapText="1"/>
    </xf>
    <xf numFmtId="0" fontId="7" fillId="2" borderId="97" xfId="0" applyFont="1" applyFill="1" applyBorder="1" applyAlignment="1" applyProtection="1">
      <alignment horizontal="left" vertical="center"/>
    </xf>
    <xf numFmtId="0" fontId="7" fillId="2" borderId="173" xfId="0" applyFont="1" applyFill="1" applyBorder="1" applyAlignment="1" applyProtection="1">
      <alignment horizontal="left" vertical="center"/>
    </xf>
    <xf numFmtId="0" fontId="4" fillId="0" borderId="175" xfId="0" applyFont="1" applyBorder="1" applyAlignment="1" applyProtection="1">
      <alignment horizontal="left" vertical="center" wrapText="1" indent="1"/>
      <protection locked="0"/>
    </xf>
    <xf numFmtId="0" fontId="4" fillId="0" borderId="103" xfId="0" applyFont="1" applyBorder="1" applyAlignment="1" applyProtection="1">
      <alignment horizontal="left" vertical="center" wrapText="1" indent="1"/>
      <protection locked="0"/>
    </xf>
    <xf numFmtId="0" fontId="4" fillId="0" borderId="123" xfId="0" applyFont="1" applyBorder="1" applyAlignment="1" applyProtection="1">
      <alignment horizontal="left" vertical="center" wrapText="1" indent="1"/>
      <protection locked="0"/>
    </xf>
    <xf numFmtId="0" fontId="7" fillId="2" borderId="76" xfId="0" applyFont="1" applyFill="1" applyBorder="1" applyAlignment="1" applyProtection="1">
      <alignment horizontal="left" vertical="center"/>
    </xf>
    <xf numFmtId="0" fontId="7" fillId="2" borderId="165" xfId="0" applyFont="1" applyFill="1" applyBorder="1" applyAlignment="1" applyProtection="1">
      <alignment horizontal="left" vertical="center"/>
    </xf>
    <xf numFmtId="0" fontId="4" fillId="4" borderId="89" xfId="0" applyFont="1" applyFill="1" applyBorder="1" applyAlignment="1" applyProtection="1">
      <alignment horizontal="left" vertical="center" indent="1"/>
    </xf>
    <xf numFmtId="0" fontId="4" fillId="4" borderId="8" xfId="0" applyFont="1" applyFill="1" applyBorder="1" applyAlignment="1" applyProtection="1">
      <alignment horizontal="left" vertical="center" indent="1"/>
    </xf>
    <xf numFmtId="0" fontId="4" fillId="4" borderId="90" xfId="0" applyFont="1" applyFill="1" applyBorder="1" applyAlignment="1" applyProtection="1">
      <alignment horizontal="left" vertical="center" indent="1"/>
    </xf>
    <xf numFmtId="167" fontId="4" fillId="4" borderId="13" xfId="0" applyNumberFormat="1" applyFont="1" applyFill="1" applyBorder="1" applyAlignment="1" applyProtection="1">
      <alignment horizontal="left" vertical="center" indent="1"/>
    </xf>
    <xf numFmtId="167" fontId="4" fillId="4" borderId="16" xfId="0" applyNumberFormat="1" applyFont="1" applyFill="1" applyBorder="1" applyAlignment="1" applyProtection="1">
      <alignment horizontal="left" vertical="center" indent="1"/>
    </xf>
    <xf numFmtId="167" fontId="4" fillId="4" borderId="70" xfId="0" applyNumberFormat="1" applyFont="1" applyFill="1" applyBorder="1" applyAlignment="1" applyProtection="1">
      <alignment horizontal="left" vertical="center" indent="1"/>
    </xf>
    <xf numFmtId="0" fontId="9" fillId="27" borderId="13" xfId="0" applyFont="1" applyFill="1" applyBorder="1" applyAlignment="1" applyProtection="1">
      <alignment horizontal="center" vertical="center" wrapText="1"/>
    </xf>
    <xf numFmtId="0" fontId="4" fillId="27" borderId="6" xfId="0" applyFont="1" applyFill="1" applyBorder="1" applyAlignment="1" applyProtection="1">
      <alignment vertical="center" wrapText="1"/>
    </xf>
    <xf numFmtId="0" fontId="9" fillId="27" borderId="28" xfId="0" applyFont="1" applyFill="1" applyBorder="1" applyAlignment="1" applyProtection="1">
      <alignment horizontal="center" vertical="center" wrapText="1"/>
    </xf>
    <xf numFmtId="0" fontId="9" fillId="27" borderId="75" xfId="0" applyFont="1" applyFill="1" applyBorder="1" applyAlignment="1" applyProtection="1">
      <alignment horizontal="center" vertical="center" wrapText="1"/>
    </xf>
    <xf numFmtId="0" fontId="4" fillId="0" borderId="27" xfId="0" applyFont="1" applyBorder="1" applyAlignment="1" applyProtection="1">
      <alignment wrapText="1"/>
    </xf>
    <xf numFmtId="0" fontId="4" fillId="0" borderId="96" xfId="0" applyFont="1" applyBorder="1" applyAlignment="1" applyProtection="1">
      <alignment wrapText="1"/>
    </xf>
    <xf numFmtId="0" fontId="4" fillId="0" borderId="54" xfId="0" applyFont="1" applyBorder="1" applyAlignment="1" applyProtection="1">
      <alignment wrapText="1"/>
    </xf>
    <xf numFmtId="0" fontId="4" fillId="4" borderId="151" xfId="0" applyNumberFormat="1" applyFont="1" applyFill="1" applyBorder="1" applyAlignment="1" applyProtection="1">
      <alignment horizontal="left" vertical="center" wrapText="1" indent="1"/>
    </xf>
    <xf numFmtId="0" fontId="4" fillId="4" borderId="87" xfId="0" applyNumberFormat="1" applyFont="1" applyFill="1" applyBorder="1" applyAlignment="1" applyProtection="1">
      <alignment horizontal="left" vertical="center" wrapText="1" indent="1"/>
    </xf>
    <xf numFmtId="0" fontId="4" fillId="4" borderId="155" xfId="0" applyNumberFormat="1" applyFont="1" applyFill="1" applyBorder="1" applyAlignment="1" applyProtection="1">
      <alignment horizontal="left" vertical="center" wrapText="1" indent="1"/>
    </xf>
    <xf numFmtId="3" fontId="4" fillId="18" borderId="151" xfId="0" applyNumberFormat="1" applyFont="1" applyFill="1" applyBorder="1" applyAlignment="1" applyProtection="1">
      <alignment horizontal="left" vertical="center" wrapText="1"/>
    </xf>
    <xf numFmtId="0" fontId="4" fillId="18" borderId="155" xfId="0" applyFont="1" applyFill="1" applyBorder="1" applyAlignment="1" applyProtection="1">
      <alignment horizontal="left" vertical="center" wrapText="1"/>
    </xf>
    <xf numFmtId="0" fontId="4" fillId="0" borderId="151" xfId="0" applyFont="1" applyFill="1" applyBorder="1" applyAlignment="1" applyProtection="1">
      <alignment horizontal="left" vertical="center" wrapText="1" indent="1"/>
      <protection locked="0"/>
    </xf>
    <xf numFmtId="0" fontId="4" fillId="0" borderId="87" xfId="0" applyFont="1" applyBorder="1" applyAlignment="1" applyProtection="1">
      <alignment horizontal="left" vertical="center" wrapText="1" indent="1"/>
      <protection locked="0"/>
    </xf>
    <xf numFmtId="0" fontId="4" fillId="0" borderId="88" xfId="0" applyFont="1" applyBorder="1" applyAlignment="1" applyProtection="1">
      <alignment horizontal="left" vertical="center" wrapText="1" indent="1"/>
      <protection locked="0"/>
    </xf>
    <xf numFmtId="0" fontId="96" fillId="0" borderId="16" xfId="0" applyFont="1" applyBorder="1" applyAlignment="1" applyProtection="1">
      <alignment horizontal="left" vertical="center" wrapText="1" indent="1"/>
      <protection locked="0"/>
    </xf>
    <xf numFmtId="0" fontId="96" fillId="0" borderId="70" xfId="0" applyFont="1" applyBorder="1" applyAlignment="1" applyProtection="1">
      <alignment horizontal="left" vertical="center" wrapText="1" indent="1"/>
      <protection locked="0"/>
    </xf>
    <xf numFmtId="3" fontId="4" fillId="4" borderId="13" xfId="0" applyNumberFormat="1" applyFont="1" applyFill="1" applyBorder="1" applyAlignment="1" applyProtection="1">
      <alignment horizontal="left" vertical="center" wrapText="1"/>
    </xf>
    <xf numFmtId="0" fontId="4" fillId="21" borderId="70" xfId="0" applyFont="1" applyFill="1" applyBorder="1" applyAlignment="1" applyProtection="1">
      <alignment horizontal="left" vertical="center" wrapText="1"/>
    </xf>
    <xf numFmtId="0" fontId="4" fillId="4" borderId="1" xfId="0" applyNumberFormat="1" applyFont="1" applyFill="1" applyBorder="1" applyAlignment="1" applyProtection="1">
      <alignment horizontal="left" vertical="center" wrapText="1" indent="1"/>
    </xf>
    <xf numFmtId="0" fontId="9" fillId="24" borderId="13" xfId="0" applyFont="1" applyFill="1" applyBorder="1" applyAlignment="1" applyProtection="1">
      <alignment horizontal="center" vertical="center" wrapText="1"/>
    </xf>
    <xf numFmtId="0" fontId="4" fillId="24" borderId="70" xfId="0" applyFont="1" applyFill="1" applyBorder="1" applyAlignment="1" applyProtection="1">
      <alignment vertical="center" wrapText="1"/>
    </xf>
    <xf numFmtId="0" fontId="9" fillId="5" borderId="1" xfId="0" applyFont="1" applyFill="1" applyBorder="1" applyAlignment="1" applyProtection="1">
      <alignment horizontal="center" vertical="center" wrapText="1"/>
    </xf>
    <xf numFmtId="0" fontId="4" fillId="0" borderId="1" xfId="0" applyFont="1" applyBorder="1" applyAlignment="1" applyProtection="1">
      <alignment wrapText="1"/>
    </xf>
    <xf numFmtId="0" fontId="9" fillId="24" borderId="1" xfId="0" applyFont="1" applyFill="1" applyBorder="1" applyAlignment="1" applyProtection="1">
      <alignment horizontal="center" vertical="center" wrapText="1"/>
    </xf>
    <xf numFmtId="0" fontId="9" fillId="5" borderId="116" xfId="0" applyFont="1" applyFill="1" applyBorder="1" applyAlignment="1" applyProtection="1">
      <alignment horizontal="center" vertical="center" wrapText="1"/>
    </xf>
    <xf numFmtId="0" fontId="4" fillId="0" borderId="76" xfId="0" applyFont="1" applyFill="1" applyBorder="1" applyAlignment="1" applyProtection="1">
      <alignment horizontal="left" vertical="center"/>
      <protection locked="0"/>
    </xf>
    <xf numFmtId="0" fontId="4" fillId="0" borderId="49" xfId="0" applyFont="1" applyFill="1" applyBorder="1" applyAlignment="1" applyProtection="1">
      <alignment horizontal="left" vertical="center"/>
      <protection locked="0"/>
    </xf>
    <xf numFmtId="0" fontId="4" fillId="0" borderId="86" xfId="0" applyFont="1" applyFill="1" applyBorder="1" applyAlignment="1" applyProtection="1">
      <alignment horizontal="left" vertical="center"/>
      <protection locked="0"/>
    </xf>
    <xf numFmtId="0" fontId="4" fillId="0" borderId="11" xfId="0" applyFont="1" applyFill="1" applyBorder="1" applyAlignment="1" applyProtection="1">
      <alignment horizontal="left" vertical="center"/>
      <protection locked="0"/>
    </xf>
    <xf numFmtId="0" fontId="4" fillId="0" borderId="0" xfId="0" applyFont="1" applyFill="1" applyBorder="1" applyAlignment="1" applyProtection="1">
      <alignment horizontal="left" vertical="center"/>
      <protection locked="0"/>
    </xf>
    <xf numFmtId="0" fontId="4" fillId="0" borderId="117" xfId="0" applyFont="1" applyFill="1" applyBorder="1" applyAlignment="1" applyProtection="1">
      <alignment horizontal="left" vertical="center"/>
      <protection locked="0"/>
    </xf>
    <xf numFmtId="0" fontId="4" fillId="0" borderId="7" xfId="0" applyFont="1" applyFill="1" applyBorder="1" applyAlignment="1" applyProtection="1">
      <alignment horizontal="left" vertical="center"/>
      <protection locked="0"/>
    </xf>
    <xf numFmtId="0" fontId="4" fillId="0" borderId="10" xfId="0" applyFont="1" applyFill="1" applyBorder="1" applyAlignment="1" applyProtection="1">
      <alignment horizontal="left" vertical="center"/>
      <protection locked="0"/>
    </xf>
    <xf numFmtId="0" fontId="4" fillId="0" borderId="145" xfId="0" applyFont="1" applyFill="1" applyBorder="1" applyAlignment="1" applyProtection="1">
      <alignment horizontal="left" vertical="center"/>
      <protection locked="0"/>
    </xf>
    <xf numFmtId="0" fontId="4" fillId="4" borderId="13" xfId="0" applyFont="1" applyFill="1" applyBorder="1" applyAlignment="1" applyProtection="1">
      <alignment horizontal="left" vertical="center" wrapText="1"/>
    </xf>
    <xf numFmtId="0" fontId="4" fillId="4" borderId="16" xfId="0" applyFont="1" applyFill="1" applyBorder="1" applyAlignment="1" applyProtection="1">
      <alignment horizontal="left" vertical="center" wrapText="1"/>
    </xf>
    <xf numFmtId="0" fontId="4" fillId="21" borderId="6" xfId="0" applyFont="1" applyFill="1" applyBorder="1" applyAlignment="1" applyProtection="1">
      <alignment horizontal="left" vertical="center" wrapText="1"/>
    </xf>
    <xf numFmtId="3" fontId="4" fillId="0" borderId="1" xfId="0" applyNumberFormat="1" applyFont="1" applyFill="1" applyBorder="1" applyAlignment="1" applyProtection="1">
      <alignment horizontal="left" vertical="center" wrapText="1"/>
      <protection locked="0"/>
    </xf>
    <xf numFmtId="0" fontId="4" fillId="0" borderId="1" xfId="0" applyFont="1" applyBorder="1" applyAlignment="1" applyProtection="1">
      <alignment horizontal="left" vertical="center" wrapText="1"/>
      <protection locked="0"/>
    </xf>
    <xf numFmtId="0" fontId="4" fillId="0" borderId="4" xfId="0" applyFont="1" applyBorder="1" applyAlignment="1" applyProtection="1">
      <alignment horizontal="left" vertical="center" wrapText="1"/>
      <protection locked="0"/>
    </xf>
    <xf numFmtId="3" fontId="4" fillId="3" borderId="1" xfId="0" applyNumberFormat="1" applyFont="1" applyFill="1" applyBorder="1" applyAlignment="1" applyProtection="1">
      <alignment horizontal="center" vertical="center" wrapText="1"/>
      <protection locked="0"/>
    </xf>
    <xf numFmtId="0" fontId="4" fillId="0" borderId="1" xfId="0" applyFont="1" applyBorder="1" applyAlignment="1" applyProtection="1">
      <alignment vertical="center" wrapText="1"/>
      <protection locked="0"/>
    </xf>
    <xf numFmtId="0" fontId="12" fillId="4" borderId="13" xfId="0" applyFont="1" applyFill="1" applyBorder="1" applyAlignment="1" applyProtection="1">
      <alignment horizontal="left" vertical="center" wrapText="1"/>
    </xf>
    <xf numFmtId="0" fontId="12" fillId="4" borderId="16" xfId="0" applyFont="1" applyFill="1" applyBorder="1" applyAlignment="1" applyProtection="1">
      <alignment horizontal="left" vertical="center" wrapText="1"/>
    </xf>
    <xf numFmtId="0" fontId="12" fillId="21" borderId="6" xfId="0" applyFont="1" applyFill="1" applyBorder="1" applyAlignment="1" applyProtection="1">
      <alignment horizontal="left" vertical="center" wrapText="1"/>
    </xf>
    <xf numFmtId="0" fontId="13" fillId="3" borderId="10" xfId="0" applyFont="1" applyFill="1" applyBorder="1" applyAlignment="1" applyProtection="1">
      <alignment vertical="center" wrapText="1"/>
    </xf>
    <xf numFmtId="0" fontId="0" fillId="0" borderId="10" xfId="0" applyBorder="1" applyAlignment="1">
      <alignment vertical="center"/>
    </xf>
    <xf numFmtId="3" fontId="12" fillId="3" borderId="1" xfId="0" applyNumberFormat="1" applyFont="1" applyFill="1" applyBorder="1" applyAlignment="1" applyProtection="1">
      <alignment horizontal="center" vertical="center" wrapText="1"/>
      <protection locked="0"/>
    </xf>
    <xf numFmtId="0" fontId="12" fillId="0" borderId="1" xfId="0" applyFont="1" applyBorder="1" applyAlignment="1" applyProtection="1">
      <alignment vertical="center" wrapText="1"/>
      <protection locked="0"/>
    </xf>
    <xf numFmtId="3" fontId="12" fillId="0" borderId="1" xfId="0" applyNumberFormat="1" applyFont="1" applyFill="1" applyBorder="1" applyAlignment="1" applyProtection="1">
      <alignment horizontal="left" vertical="center" wrapText="1"/>
      <protection locked="0"/>
    </xf>
    <xf numFmtId="0" fontId="12" fillId="0" borderId="1" xfId="0" applyFont="1" applyBorder="1" applyAlignment="1" applyProtection="1">
      <alignment horizontal="left" vertical="center" wrapText="1"/>
      <protection locked="0"/>
    </xf>
    <xf numFmtId="0" fontId="12" fillId="0" borderId="4" xfId="0" applyFont="1" applyBorder="1" applyAlignment="1" applyProtection="1">
      <alignment horizontal="left" vertical="center" wrapText="1"/>
      <protection locked="0"/>
    </xf>
    <xf numFmtId="0" fontId="12" fillId="21" borderId="166" xfId="0" applyFont="1" applyFill="1" applyBorder="1" applyAlignment="1" applyProtection="1">
      <alignment horizontal="center" vertical="center" wrapText="1"/>
    </xf>
    <xf numFmtId="0" fontId="12" fillId="21" borderId="16" xfId="0" applyFont="1" applyFill="1" applyBorder="1" applyAlignment="1" applyProtection="1">
      <alignment horizontal="center" vertical="center" wrapText="1"/>
    </xf>
    <xf numFmtId="0" fontId="12" fillId="21" borderId="70" xfId="0" applyFont="1" applyFill="1" applyBorder="1" applyAlignment="1" applyProtection="1">
      <alignment horizontal="center" vertical="center" wrapText="1"/>
    </xf>
    <xf numFmtId="0" fontId="11" fillId="2" borderId="0" xfId="0" applyFont="1" applyFill="1" applyBorder="1" applyAlignment="1" applyProtection="1">
      <alignment horizontal="left" vertical="center"/>
    </xf>
    <xf numFmtId="0" fontId="0" fillId="0" borderId="0" xfId="0" applyAlignment="1" applyProtection="1">
      <alignment vertical="center"/>
    </xf>
    <xf numFmtId="0" fontId="11" fillId="2" borderId="11" xfId="0" applyFont="1" applyFill="1" applyBorder="1" applyAlignment="1" applyProtection="1">
      <alignment vertical="center"/>
    </xf>
    <xf numFmtId="0" fontId="11" fillId="2" borderId="97" xfId="0" applyFont="1" applyFill="1" applyBorder="1" applyAlignment="1" applyProtection="1">
      <alignment vertical="center"/>
    </xf>
    <xf numFmtId="0" fontId="0" fillId="0" borderId="103" xfId="0" applyBorder="1" applyAlignment="1" applyProtection="1">
      <alignment vertical="center"/>
    </xf>
    <xf numFmtId="0" fontId="0" fillId="0" borderId="123" xfId="0" applyBorder="1" applyAlignment="1" applyProtection="1">
      <alignment vertical="center"/>
    </xf>
    <xf numFmtId="0" fontId="50" fillId="3" borderId="0" xfId="0" applyFont="1" applyFill="1" applyBorder="1" applyAlignment="1" applyProtection="1">
      <alignment horizontal="left" vertical="center" wrapText="1"/>
    </xf>
    <xf numFmtId="0" fontId="7" fillId="3" borderId="0" xfId="0" applyFont="1" applyFill="1" applyBorder="1" applyAlignment="1" applyProtection="1">
      <alignment horizontal="center" vertical="center"/>
    </xf>
    <xf numFmtId="0" fontId="14" fillId="4" borderId="76" xfId="0" applyFont="1" applyFill="1" applyBorder="1" applyAlignment="1" applyProtection="1">
      <alignment horizontal="left" vertical="center"/>
    </xf>
    <xf numFmtId="0" fontId="14" fillId="4" borderId="49" xfId="0" applyFont="1" applyFill="1" applyBorder="1" applyAlignment="1" applyProtection="1">
      <alignment horizontal="left" vertical="center"/>
    </xf>
    <xf numFmtId="0" fontId="14" fillId="4" borderId="86" xfId="0" applyFont="1" applyFill="1" applyBorder="1" applyAlignment="1" applyProtection="1">
      <alignment horizontal="left" vertical="center"/>
    </xf>
    <xf numFmtId="0" fontId="9" fillId="5" borderId="176" xfId="0" applyFont="1" applyFill="1" applyBorder="1" applyAlignment="1" applyProtection="1">
      <alignment horizontal="center" vertical="center" wrapText="1"/>
    </xf>
    <xf numFmtId="0" fontId="9" fillId="5" borderId="163" xfId="0" applyFont="1" applyFill="1" applyBorder="1" applyAlignment="1" applyProtection="1">
      <alignment horizontal="center" vertical="center" wrapText="1"/>
    </xf>
    <xf numFmtId="0" fontId="9" fillId="27" borderId="120" xfId="0" applyFont="1" applyFill="1" applyBorder="1" applyAlignment="1" applyProtection="1">
      <alignment horizontal="center" vertical="center" wrapText="1"/>
    </xf>
    <xf numFmtId="0" fontId="4" fillId="27" borderId="162" xfId="0" applyFont="1" applyFill="1" applyBorder="1" applyAlignment="1" applyProtection="1">
      <alignment horizontal="center" vertical="center" wrapText="1"/>
    </xf>
    <xf numFmtId="3" fontId="4" fillId="0" borderId="120" xfId="0" applyNumberFormat="1" applyFont="1" applyFill="1" applyBorder="1" applyAlignment="1" applyProtection="1">
      <alignment horizontal="left" vertical="center" wrapText="1"/>
      <protection locked="0"/>
    </xf>
    <xf numFmtId="0" fontId="4" fillId="0" borderId="120" xfId="0" applyFont="1" applyBorder="1" applyAlignment="1" applyProtection="1">
      <alignment horizontal="left" vertical="center" wrapText="1"/>
      <protection locked="0"/>
    </xf>
    <xf numFmtId="0" fontId="4" fillId="0" borderId="15" xfId="0" applyFont="1" applyBorder="1" applyAlignment="1" applyProtection="1">
      <alignment horizontal="left" vertical="center" wrapText="1"/>
      <protection locked="0"/>
    </xf>
    <xf numFmtId="0" fontId="4" fillId="0" borderId="162" xfId="0" applyFont="1" applyBorder="1" applyAlignment="1" applyProtection="1">
      <alignment horizontal="center" vertical="center" wrapText="1"/>
    </xf>
    <xf numFmtId="165" fontId="9" fillId="27" borderId="120" xfId="1" applyFont="1" applyFill="1" applyBorder="1" applyAlignment="1" applyProtection="1">
      <alignment horizontal="center" vertical="center" wrapText="1"/>
    </xf>
    <xf numFmtId="165" fontId="4" fillId="0" borderId="162" xfId="1" applyFont="1" applyBorder="1" applyAlignment="1" applyProtection="1">
      <alignment horizontal="center" vertical="center" wrapText="1"/>
    </xf>
    <xf numFmtId="0" fontId="9" fillId="5" borderId="120" xfId="0" applyFont="1" applyFill="1" applyBorder="1" applyAlignment="1" applyProtection="1">
      <alignment horizontal="center" vertical="center" wrapText="1"/>
    </xf>
    <xf numFmtId="0" fontId="4" fillId="0" borderId="120" xfId="0" applyFont="1" applyBorder="1" applyAlignment="1" applyProtection="1">
      <alignment vertical="center"/>
    </xf>
    <xf numFmtId="0" fontId="9" fillId="5" borderId="162" xfId="0" applyFont="1" applyFill="1" applyBorder="1" applyAlignment="1" applyProtection="1">
      <alignment horizontal="center" vertical="center" wrapText="1"/>
    </xf>
    <xf numFmtId="0" fontId="4" fillId="0" borderId="162" xfId="0" applyFont="1" applyBorder="1" applyAlignment="1" applyProtection="1">
      <alignment vertical="center"/>
    </xf>
    <xf numFmtId="0" fontId="4" fillId="0" borderId="120" xfId="0" applyFont="1" applyBorder="1" applyAlignment="1" applyProtection="1">
      <alignment horizontal="center" vertical="center" wrapText="1"/>
    </xf>
    <xf numFmtId="0" fontId="4" fillId="27" borderId="75" xfId="0" applyFont="1" applyFill="1" applyBorder="1" applyAlignment="1">
      <alignment horizontal="center" vertical="center" wrapText="1"/>
    </xf>
    <xf numFmtId="0" fontId="9" fillId="27" borderId="162" xfId="0" applyFont="1" applyFill="1" applyBorder="1" applyAlignment="1" applyProtection="1">
      <alignment horizontal="center" vertical="center" wrapText="1"/>
    </xf>
    <xf numFmtId="3" fontId="4" fillId="3" borderId="3" xfId="0" applyNumberFormat="1" applyFont="1" applyFill="1" applyBorder="1" applyAlignment="1" applyProtection="1">
      <alignment horizontal="center" vertical="center" wrapText="1"/>
      <protection locked="0"/>
    </xf>
    <xf numFmtId="0" fontId="4" fillId="0" borderId="3" xfId="0" applyFont="1" applyBorder="1" applyAlignment="1" applyProtection="1">
      <alignment vertical="center" wrapText="1"/>
      <protection locked="0"/>
    </xf>
    <xf numFmtId="0" fontId="4" fillId="4" borderId="3" xfId="0" applyFont="1" applyFill="1" applyBorder="1" applyAlignment="1" applyProtection="1">
      <alignment horizontal="left" vertical="center" wrapText="1"/>
    </xf>
    <xf numFmtId="0" fontId="4" fillId="4" borderId="3" xfId="0" applyFont="1" applyFill="1" applyBorder="1" applyAlignment="1" applyProtection="1">
      <alignment vertical="center"/>
    </xf>
    <xf numFmtId="0" fontId="96" fillId="4" borderId="13" xfId="0" applyFont="1" applyFill="1" applyBorder="1" applyAlignment="1" applyProtection="1">
      <alignment horizontal="left" vertical="center" wrapText="1"/>
    </xf>
    <xf numFmtId="0" fontId="96" fillId="4" borderId="16" xfId="0" applyFont="1" applyFill="1" applyBorder="1" applyAlignment="1" applyProtection="1">
      <alignment horizontal="left" vertical="center" wrapText="1"/>
    </xf>
    <xf numFmtId="0" fontId="96" fillId="21" borderId="6" xfId="0" applyFont="1" applyFill="1" applyBorder="1" applyAlignment="1" applyProtection="1">
      <alignment horizontal="left" vertical="center" wrapText="1"/>
    </xf>
    <xf numFmtId="0" fontId="12" fillId="4" borderId="3" xfId="0" applyFont="1" applyFill="1" applyBorder="1" applyAlignment="1" applyProtection="1">
      <alignment horizontal="left" vertical="center" wrapText="1"/>
    </xf>
    <xf numFmtId="0" fontId="12" fillId="4" borderId="3" xfId="0" applyFont="1" applyFill="1" applyBorder="1" applyAlignment="1" applyProtection="1">
      <alignment vertical="center"/>
    </xf>
    <xf numFmtId="0" fontId="13" fillId="5" borderId="176" xfId="0" applyFont="1" applyFill="1" applyBorder="1" applyAlignment="1" applyProtection="1">
      <alignment horizontal="center" vertical="center" wrapText="1"/>
    </xf>
    <xf numFmtId="0" fontId="13" fillId="24" borderId="120" xfId="0" applyFont="1" applyFill="1" applyBorder="1" applyAlignment="1" applyProtection="1">
      <alignment horizontal="center" vertical="center" wrapText="1"/>
    </xf>
    <xf numFmtId="0" fontId="0" fillId="24" borderId="162" xfId="0" applyFill="1" applyBorder="1" applyAlignment="1" applyProtection="1">
      <alignment horizontal="center" vertical="center" wrapText="1"/>
    </xf>
    <xf numFmtId="0" fontId="23" fillId="5" borderId="120" xfId="0" applyFont="1" applyFill="1" applyBorder="1" applyAlignment="1" applyProtection="1">
      <alignment horizontal="center" vertical="center" wrapText="1"/>
    </xf>
    <xf numFmtId="0" fontId="0" fillId="0" borderId="120" xfId="0" applyBorder="1" applyAlignment="1" applyProtection="1">
      <alignment vertical="center"/>
    </xf>
    <xf numFmtId="0" fontId="23" fillId="5" borderId="162" xfId="0" applyFont="1" applyFill="1" applyBorder="1" applyAlignment="1" applyProtection="1">
      <alignment horizontal="center" vertical="center" wrapText="1"/>
    </xf>
    <xf numFmtId="0" fontId="0" fillId="0" borderId="162" xfId="0" applyBorder="1" applyAlignment="1" applyProtection="1">
      <alignment vertical="center"/>
    </xf>
    <xf numFmtId="0" fontId="13" fillId="27" borderId="120" xfId="0" applyFont="1" applyFill="1" applyBorder="1" applyAlignment="1" applyProtection="1">
      <alignment horizontal="center" vertical="center" wrapText="1"/>
    </xf>
    <xf numFmtId="0" fontId="0" fillId="0" borderId="162" xfId="0" applyBorder="1" applyAlignment="1" applyProtection="1">
      <alignment horizontal="center" vertical="center" wrapText="1"/>
    </xf>
    <xf numFmtId="0" fontId="13" fillId="24" borderId="162" xfId="0" applyFont="1" applyFill="1" applyBorder="1" applyAlignment="1" applyProtection="1">
      <alignment horizontal="center" vertical="center" wrapText="1"/>
    </xf>
    <xf numFmtId="0" fontId="13" fillId="5" borderId="15" xfId="0" applyFont="1" applyFill="1" applyBorder="1" applyAlignment="1" applyProtection="1">
      <alignment horizontal="center" vertical="center" wrapText="1"/>
    </xf>
    <xf numFmtId="0" fontId="0" fillId="0" borderId="177" xfId="0" applyBorder="1" applyAlignment="1" applyProtection="1">
      <alignment horizontal="center" vertical="center" wrapText="1"/>
    </xf>
    <xf numFmtId="3" fontId="4" fillId="0" borderId="28" xfId="0" applyNumberFormat="1" applyFont="1" applyFill="1" applyBorder="1" applyAlignment="1" applyProtection="1">
      <alignment horizontal="left" vertical="center" wrapText="1"/>
      <protection locked="0"/>
    </xf>
    <xf numFmtId="0" fontId="4" fillId="0" borderId="28" xfId="0" applyFont="1" applyBorder="1" applyAlignment="1" applyProtection="1">
      <alignment horizontal="left" vertical="center" wrapText="1"/>
      <protection locked="0"/>
    </xf>
    <xf numFmtId="0" fontId="4" fillId="0" borderId="154" xfId="0" applyFont="1" applyBorder="1" applyAlignment="1" applyProtection="1">
      <alignment horizontal="left" vertical="center" wrapText="1"/>
      <protection locked="0"/>
    </xf>
    <xf numFmtId="0" fontId="4" fillId="0" borderId="120" xfId="0" applyFont="1" applyBorder="1" applyAlignment="1" applyProtection="1">
      <alignment wrapText="1"/>
    </xf>
    <xf numFmtId="0" fontId="4" fillId="0" borderId="15" xfId="0" applyFont="1" applyBorder="1" applyAlignment="1" applyProtection="1">
      <alignment wrapText="1"/>
    </xf>
    <xf numFmtId="0" fontId="4" fillId="0" borderId="162" xfId="0" applyFont="1" applyBorder="1" applyAlignment="1" applyProtection="1">
      <alignment wrapText="1"/>
    </xf>
    <xf numFmtId="0" fontId="4" fillId="0" borderId="177" xfId="0" applyFont="1" applyBorder="1" applyAlignment="1" applyProtection="1">
      <alignment wrapText="1"/>
    </xf>
    <xf numFmtId="0" fontId="4" fillId="3" borderId="92" xfId="0" applyFont="1" applyFill="1" applyBorder="1" applyAlignment="1" applyProtection="1">
      <alignment horizontal="left" vertical="center" wrapText="1"/>
      <protection locked="0"/>
    </xf>
    <xf numFmtId="0" fontId="4" fillId="3" borderId="1" xfId="0" applyFont="1" applyFill="1" applyBorder="1" applyAlignment="1" applyProtection="1">
      <alignment horizontal="left" vertical="center" wrapText="1"/>
      <protection locked="0"/>
    </xf>
    <xf numFmtId="0" fontId="4" fillId="3" borderId="4" xfId="0" applyFont="1" applyFill="1" applyBorder="1" applyAlignment="1" applyProtection="1">
      <alignment horizontal="left" vertical="center" wrapText="1"/>
      <protection locked="0"/>
    </xf>
    <xf numFmtId="0" fontId="4" fillId="21" borderId="166" xfId="0" applyFont="1" applyFill="1" applyBorder="1" applyAlignment="1" applyProtection="1">
      <alignment horizontal="center" vertical="center" wrapText="1"/>
    </xf>
    <xf numFmtId="0" fontId="4" fillId="21" borderId="16" xfId="0" applyFont="1" applyFill="1" applyBorder="1" applyAlignment="1" applyProtection="1">
      <alignment horizontal="center" vertical="center" wrapText="1"/>
    </xf>
    <xf numFmtId="0" fontId="4" fillId="21" borderId="70" xfId="0" applyFont="1" applyFill="1" applyBorder="1" applyAlignment="1" applyProtection="1">
      <alignment horizontal="center" vertical="center" wrapText="1"/>
    </xf>
    <xf numFmtId="0" fontId="4" fillId="4" borderId="166" xfId="0" applyFont="1" applyFill="1" applyBorder="1" applyAlignment="1" applyProtection="1">
      <alignment horizontal="left" vertical="center" wrapText="1" indent="1"/>
    </xf>
    <xf numFmtId="0" fontId="4" fillId="4" borderId="16" xfId="0" applyFont="1" applyFill="1" applyBorder="1" applyAlignment="1" applyProtection="1">
      <alignment horizontal="left" vertical="center" wrapText="1" indent="1"/>
    </xf>
    <xf numFmtId="0" fontId="50" fillId="19" borderId="0" xfId="0" applyFont="1" applyFill="1" applyBorder="1" applyAlignment="1" applyProtection="1">
      <alignment horizontal="left" vertical="center" wrapText="1"/>
    </xf>
    <xf numFmtId="0" fontId="4" fillId="19" borderId="0" xfId="0" applyFont="1" applyFill="1" applyBorder="1" applyAlignment="1" applyProtection="1">
      <alignment horizontal="left" vertical="center" wrapText="1"/>
    </xf>
    <xf numFmtId="0" fontId="4" fillId="19" borderId="68" xfId="0" applyFont="1" applyFill="1" applyBorder="1" applyAlignment="1" applyProtection="1">
      <alignment horizontal="left" vertical="center" wrapText="1"/>
    </xf>
    <xf numFmtId="0" fontId="4" fillId="19" borderId="10" xfId="0" applyFont="1" applyFill="1" applyBorder="1" applyAlignment="1" applyProtection="1">
      <alignment horizontal="left" wrapText="1"/>
    </xf>
    <xf numFmtId="0" fontId="4" fillId="19" borderId="0" xfId="0" applyFont="1" applyFill="1" applyBorder="1" applyAlignment="1">
      <alignment horizontal="left" vertical="center" wrapText="1"/>
    </xf>
    <xf numFmtId="0" fontId="4" fillId="4" borderId="166" xfId="0" applyNumberFormat="1" applyFont="1" applyFill="1" applyBorder="1" applyAlignment="1" applyProtection="1">
      <alignment horizontal="left" vertical="center" wrapText="1" indent="1"/>
    </xf>
    <xf numFmtId="0" fontId="4" fillId="4" borderId="70" xfId="0" applyNumberFormat="1" applyFont="1" applyFill="1" applyBorder="1" applyAlignment="1" applyProtection="1">
      <alignment horizontal="left" vertical="center" wrapText="1" indent="1"/>
    </xf>
    <xf numFmtId="0" fontId="4" fillId="0" borderId="6" xfId="0" applyFont="1" applyBorder="1" applyAlignment="1" applyProtection="1">
      <alignment horizontal="left" vertical="center" wrapText="1"/>
      <protection locked="0"/>
    </xf>
    <xf numFmtId="0" fontId="4" fillId="0" borderId="16" xfId="0" applyFont="1" applyBorder="1" applyAlignment="1" applyProtection="1">
      <alignment horizontal="left" vertical="center" wrapText="1"/>
      <protection locked="0"/>
    </xf>
    <xf numFmtId="0" fontId="4" fillId="0" borderId="70" xfId="0" applyFont="1" applyBorder="1" applyAlignment="1" applyProtection="1">
      <alignment horizontal="left" vertical="center" wrapText="1"/>
      <protection locked="0"/>
    </xf>
    <xf numFmtId="0" fontId="4" fillId="0" borderId="5" xfId="0" applyFont="1" applyBorder="1" applyAlignment="1" applyProtection="1">
      <alignment horizontal="left" vertical="center" wrapText="1"/>
      <protection locked="0"/>
    </xf>
    <xf numFmtId="0" fontId="4" fillId="0" borderId="3" xfId="0" applyFont="1" applyBorder="1" applyAlignment="1" applyProtection="1">
      <alignment horizontal="left" vertical="center" wrapText="1"/>
      <protection locked="0"/>
    </xf>
    <xf numFmtId="0" fontId="4" fillId="0" borderId="12" xfId="0" applyFont="1" applyBorder="1" applyAlignment="1" applyProtection="1">
      <alignment horizontal="left" vertical="center" wrapText="1"/>
      <protection locked="0"/>
    </xf>
    <xf numFmtId="0" fontId="4" fillId="4" borderId="121" xfId="0" applyNumberFormat="1" applyFont="1" applyFill="1" applyBorder="1" applyAlignment="1" applyProtection="1">
      <alignment horizontal="left" vertical="center" wrapText="1" indent="1"/>
    </xf>
    <xf numFmtId="0" fontId="4" fillId="4" borderId="8" xfId="0" applyNumberFormat="1" applyFont="1" applyFill="1" applyBorder="1" applyAlignment="1" applyProtection="1">
      <alignment horizontal="left" vertical="center" wrapText="1" indent="1"/>
    </xf>
    <xf numFmtId="0" fontId="4" fillId="4" borderId="90" xfId="0" applyNumberFormat="1" applyFont="1" applyFill="1" applyBorder="1" applyAlignment="1" applyProtection="1">
      <alignment horizontal="left" vertical="center" wrapText="1" indent="1"/>
    </xf>
    <xf numFmtId="0" fontId="9" fillId="0" borderId="97" xfId="0" applyFont="1" applyFill="1" applyBorder="1" applyAlignment="1" applyProtection="1">
      <alignment horizontal="center" vertical="center" wrapText="1"/>
    </xf>
    <xf numFmtId="0" fontId="4" fillId="0" borderId="103" xfId="0" applyFont="1" applyFill="1" applyBorder="1" applyAlignment="1" applyProtection="1">
      <alignment horizontal="center" vertical="center" wrapText="1"/>
    </xf>
    <xf numFmtId="0" fontId="4" fillId="0" borderId="103" xfId="0" applyFont="1" applyFill="1" applyBorder="1" applyAlignment="1" applyProtection="1">
      <alignment wrapText="1"/>
    </xf>
    <xf numFmtId="0" fontId="4" fillId="0" borderId="123" xfId="0" applyFont="1" applyFill="1" applyBorder="1" applyAlignment="1" applyProtection="1">
      <alignment wrapText="1"/>
    </xf>
    <xf numFmtId="0" fontId="4" fillId="21" borderId="166" xfId="0" applyNumberFormat="1" applyFont="1" applyFill="1" applyBorder="1" applyAlignment="1" applyProtection="1">
      <alignment horizontal="center" vertical="center" wrapText="1"/>
    </xf>
    <xf numFmtId="0" fontId="4" fillId="21" borderId="16" xfId="0" applyNumberFormat="1" applyFont="1" applyFill="1" applyBorder="1" applyAlignment="1" applyProtection="1">
      <alignment horizontal="center" vertical="center" wrapText="1"/>
    </xf>
    <xf numFmtId="0" fontId="4" fillId="21" borderId="70" xfId="0" applyNumberFormat="1" applyFont="1" applyFill="1" applyBorder="1" applyAlignment="1" applyProtection="1">
      <alignment horizontal="center" vertical="center" wrapText="1"/>
    </xf>
    <xf numFmtId="0" fontId="9" fillId="5" borderId="76" xfId="0" applyFont="1" applyFill="1" applyBorder="1" applyAlignment="1" applyProtection="1">
      <alignment horizontal="center" vertical="center"/>
    </xf>
    <xf numFmtId="0" fontId="4" fillId="5" borderId="49" xfId="0" applyFont="1" applyFill="1" applyBorder="1" applyAlignment="1" applyProtection="1">
      <alignment horizontal="center" vertical="center"/>
    </xf>
    <xf numFmtId="0" fontId="4" fillId="5" borderId="49" xfId="0" applyFont="1" applyFill="1" applyBorder="1" applyAlignment="1" applyProtection="1"/>
    <xf numFmtId="0" fontId="4" fillId="5" borderId="86" xfId="0" applyFont="1" applyFill="1" applyBorder="1" applyAlignment="1" applyProtection="1"/>
    <xf numFmtId="0" fontId="9" fillId="5" borderId="49" xfId="0" applyFont="1" applyFill="1" applyBorder="1" applyAlignment="1" applyProtection="1">
      <alignment horizontal="center" vertical="center" wrapText="1"/>
    </xf>
    <xf numFmtId="0" fontId="4" fillId="0" borderId="49" xfId="0" applyFont="1" applyBorder="1" applyAlignment="1" applyProtection="1">
      <alignment wrapText="1"/>
    </xf>
    <xf numFmtId="0" fontId="4" fillId="0" borderId="86" xfId="0" applyFont="1" applyBorder="1" applyAlignment="1" applyProtection="1">
      <alignment wrapText="1"/>
    </xf>
    <xf numFmtId="0" fontId="9" fillId="5" borderId="76" xfId="0" applyFont="1" applyFill="1" applyBorder="1" applyAlignment="1" applyProtection="1">
      <alignment horizontal="center" vertical="center" wrapText="1"/>
    </xf>
    <xf numFmtId="0" fontId="4" fillId="0" borderId="49" xfId="0" applyFont="1" applyBorder="1" applyAlignment="1" applyProtection="1">
      <alignment horizontal="center" vertical="center" wrapText="1"/>
    </xf>
    <xf numFmtId="0" fontId="4" fillId="0" borderId="86" xfId="0" applyFont="1" applyBorder="1" applyAlignment="1" applyProtection="1">
      <alignment horizontal="center" vertical="center" wrapText="1"/>
    </xf>
    <xf numFmtId="0" fontId="9" fillId="3" borderId="0" xfId="0" applyFont="1" applyFill="1" applyBorder="1" applyAlignment="1" applyProtection="1">
      <alignment horizontal="center" vertical="center" wrapText="1"/>
    </xf>
    <xf numFmtId="0" fontId="4" fillId="3" borderId="0" xfId="0" applyFont="1" applyFill="1" applyBorder="1" applyAlignment="1" applyProtection="1">
      <alignment horizontal="center" vertical="center"/>
    </xf>
    <xf numFmtId="0" fontId="9" fillId="27" borderId="121" xfId="0" applyFont="1" applyFill="1" applyBorder="1" applyAlignment="1" applyProtection="1">
      <alignment horizontal="center" vertical="center" wrapText="1"/>
    </xf>
    <xf numFmtId="0" fontId="4" fillId="5" borderId="8" xfId="0" applyFont="1" applyFill="1" applyBorder="1" applyAlignment="1" applyProtection="1">
      <alignment horizontal="center" vertical="center" wrapText="1"/>
    </xf>
    <xf numFmtId="0" fontId="9" fillId="16" borderId="0" xfId="0" applyFont="1" applyFill="1" applyBorder="1" applyAlignment="1" applyProtection="1">
      <alignment horizontal="left" vertical="center"/>
    </xf>
    <xf numFmtId="0" fontId="4" fillId="5" borderId="75" xfId="0" applyFont="1" applyFill="1" applyBorder="1" applyAlignment="1" applyProtection="1">
      <alignment horizontal="center" vertical="center" wrapText="1"/>
    </xf>
    <xf numFmtId="0" fontId="9" fillId="3" borderId="97" xfId="0" applyFont="1" applyFill="1" applyBorder="1" applyAlignment="1" applyProtection="1">
      <alignment horizontal="center" vertical="center" wrapText="1"/>
    </xf>
    <xf numFmtId="0" fontId="4" fillId="3" borderId="103" xfId="0" applyFont="1" applyFill="1" applyBorder="1" applyAlignment="1" applyProtection="1">
      <alignment horizontal="center" vertical="center" wrapText="1"/>
    </xf>
    <xf numFmtId="0" fontId="4" fillId="3" borderId="123" xfId="0" applyFont="1" applyFill="1" applyBorder="1" applyAlignment="1" applyProtection="1">
      <alignment horizontal="center" vertical="center" wrapText="1"/>
    </xf>
    <xf numFmtId="0" fontId="4" fillId="3" borderId="0" xfId="0" applyFont="1" applyFill="1" applyBorder="1" applyAlignment="1" applyProtection="1">
      <alignment horizontal="center" vertical="center" wrapText="1"/>
    </xf>
    <xf numFmtId="0" fontId="9" fillId="3" borderId="97" xfId="0" applyFont="1" applyFill="1" applyBorder="1" applyAlignment="1" applyProtection="1">
      <alignment horizontal="center" vertical="center"/>
    </xf>
    <xf numFmtId="0" fontId="4" fillId="3" borderId="123" xfId="0" applyFont="1" applyFill="1" applyBorder="1" applyAlignment="1" applyProtection="1">
      <alignment horizontal="center" vertical="center"/>
    </xf>
    <xf numFmtId="0" fontId="4" fillId="3" borderId="84" xfId="0" applyFont="1" applyFill="1" applyBorder="1" applyAlignment="1" applyProtection="1">
      <alignment horizontal="center" vertical="center" wrapText="1"/>
      <protection locked="0"/>
    </xf>
    <xf numFmtId="0" fontId="4" fillId="3" borderId="13" xfId="0" applyFont="1" applyFill="1" applyBorder="1" applyAlignment="1" applyProtection="1">
      <alignment horizontal="left" vertical="center" wrapText="1"/>
      <protection locked="0"/>
    </xf>
    <xf numFmtId="0" fontId="4" fillId="3" borderId="16" xfId="0" applyFont="1" applyFill="1" applyBorder="1" applyAlignment="1" applyProtection="1">
      <alignment horizontal="left" vertical="center"/>
      <protection locked="0"/>
    </xf>
    <xf numFmtId="0" fontId="4" fillId="3" borderId="70" xfId="0" applyFont="1" applyFill="1" applyBorder="1" applyAlignment="1" applyProtection="1">
      <alignment horizontal="left"/>
      <protection locked="0"/>
    </xf>
    <xf numFmtId="0" fontId="4" fillId="0" borderId="10" xfId="0" applyFont="1" applyFill="1" applyBorder="1" applyAlignment="1" applyProtection="1">
      <alignment horizontal="left" vertical="center"/>
    </xf>
    <xf numFmtId="0" fontId="4" fillId="0" borderId="178" xfId="0" applyFont="1" applyFill="1" applyBorder="1" applyAlignment="1" applyProtection="1">
      <alignment horizontal="left" vertical="center"/>
    </xf>
    <xf numFmtId="0" fontId="9" fillId="4" borderId="89" xfId="0" applyFont="1" applyFill="1" applyBorder="1" applyAlignment="1" applyProtection="1">
      <alignment horizontal="left" vertical="center" indent="1"/>
    </xf>
    <xf numFmtId="0" fontId="9" fillId="4" borderId="8" xfId="0" applyFont="1" applyFill="1" applyBorder="1" applyAlignment="1" applyProtection="1">
      <alignment horizontal="left" vertical="center" indent="1"/>
    </xf>
    <xf numFmtId="0" fontId="9" fillId="4" borderId="90" xfId="0" applyFont="1" applyFill="1" applyBorder="1" applyAlignment="1" applyProtection="1">
      <alignment horizontal="left" vertical="center" indent="1"/>
    </xf>
    <xf numFmtId="0" fontId="7" fillId="2" borderId="0" xfId="0" applyFont="1" applyFill="1" applyBorder="1" applyAlignment="1" applyProtection="1">
      <alignment horizontal="left" vertical="center"/>
    </xf>
    <xf numFmtId="0" fontId="9" fillId="27" borderId="8" xfId="0" applyFont="1" applyFill="1" applyBorder="1" applyAlignment="1" applyProtection="1">
      <alignment horizontal="center" vertical="center" wrapText="1"/>
    </xf>
    <xf numFmtId="0" fontId="50" fillId="3" borderId="7" xfId="0" applyFont="1" applyFill="1" applyBorder="1" applyAlignment="1" applyProtection="1">
      <alignment horizontal="left"/>
    </xf>
    <xf numFmtId="0" fontId="4" fillId="3" borderId="10" xfId="0" applyFont="1" applyFill="1" applyBorder="1" applyAlignment="1" applyProtection="1">
      <alignment horizontal="left"/>
    </xf>
    <xf numFmtId="0" fontId="4" fillId="3" borderId="166" xfId="0" applyFont="1" applyFill="1" applyBorder="1" applyAlignment="1" applyProtection="1">
      <alignment horizontal="left" vertical="center" wrapText="1"/>
    </xf>
    <xf numFmtId="0" fontId="4" fillId="3" borderId="16" xfId="0" applyFont="1" applyFill="1" applyBorder="1" applyAlignment="1" applyProtection="1">
      <alignment horizontal="left" vertical="center" wrapText="1"/>
    </xf>
    <xf numFmtId="0" fontId="4" fillId="3" borderId="1" xfId="0" applyFont="1" applyFill="1" applyBorder="1" applyAlignment="1" applyProtection="1">
      <alignment horizontal="center" vertical="center" wrapText="1"/>
      <protection locked="0"/>
    </xf>
    <xf numFmtId="0" fontId="4" fillId="3" borderId="151" xfId="0" applyFont="1" applyFill="1" applyBorder="1" applyAlignment="1" applyProtection="1">
      <alignment horizontal="left" vertical="center" wrapText="1" shrinkToFit="1"/>
      <protection locked="0"/>
    </xf>
    <xf numFmtId="0" fontId="0" fillId="0" borderId="87" xfId="0" applyBorder="1" applyAlignment="1">
      <alignment horizontal="left" wrapText="1" shrinkToFit="1"/>
    </xf>
    <xf numFmtId="0" fontId="0" fillId="0" borderId="88" xfId="0" applyBorder="1" applyAlignment="1">
      <alignment horizontal="left" wrapText="1" shrinkToFit="1"/>
    </xf>
    <xf numFmtId="0" fontId="9" fillId="5" borderId="75" xfId="0" applyFont="1" applyFill="1" applyBorder="1" applyAlignment="1" applyProtection="1">
      <alignment horizontal="center" vertical="center"/>
    </xf>
    <xf numFmtId="0" fontId="4" fillId="5" borderId="160" xfId="0" applyFont="1" applyFill="1" applyBorder="1" applyAlignment="1" applyProtection="1"/>
    <xf numFmtId="0" fontId="4" fillId="3" borderId="164" xfId="0" applyFont="1" applyFill="1" applyBorder="1" applyAlignment="1" applyProtection="1">
      <alignment horizontal="left" vertical="center" wrapText="1"/>
    </xf>
    <xf numFmtId="0" fontId="4" fillId="3" borderId="87" xfId="0" applyFont="1" applyFill="1" applyBorder="1" applyAlignment="1" applyProtection="1">
      <alignment horizontal="left" vertical="center" wrapText="1"/>
    </xf>
    <xf numFmtId="3" fontId="15" fillId="6" borderId="89" xfId="0" applyNumberFormat="1" applyFont="1" applyFill="1" applyBorder="1" applyAlignment="1" applyProtection="1">
      <alignment horizontal="center" vertical="center"/>
    </xf>
    <xf numFmtId="3" fontId="15" fillId="6" borderId="5" xfId="0" applyNumberFormat="1" applyFont="1" applyFill="1" applyBorder="1" applyAlignment="1" applyProtection="1">
      <alignment horizontal="center" vertical="center"/>
    </xf>
    <xf numFmtId="3" fontId="4" fillId="3" borderId="13" xfId="0" applyNumberFormat="1" applyFont="1" applyFill="1" applyBorder="1" applyAlignment="1" applyProtection="1">
      <alignment vertical="center" wrapText="1"/>
      <protection locked="0"/>
    </xf>
    <xf numFmtId="3" fontId="4" fillId="3" borderId="6" xfId="0" applyNumberFormat="1" applyFont="1" applyFill="1" applyBorder="1" applyAlignment="1" applyProtection="1">
      <alignment vertical="center" wrapText="1"/>
      <protection locked="0"/>
    </xf>
    <xf numFmtId="0" fontId="15" fillId="4" borderId="164" xfId="0" applyFont="1" applyFill="1" applyBorder="1" applyAlignment="1" applyProtection="1">
      <alignment horizontal="left" vertical="center"/>
    </xf>
    <xf numFmtId="0" fontId="15" fillId="4" borderId="87" xfId="0" applyFont="1" applyFill="1" applyBorder="1" applyAlignment="1" applyProtection="1">
      <alignment horizontal="left" vertical="center"/>
    </xf>
    <xf numFmtId="0" fontId="15" fillId="4" borderId="88" xfId="0" applyFont="1" applyFill="1" applyBorder="1" applyAlignment="1" applyProtection="1">
      <alignment horizontal="left" vertical="center"/>
    </xf>
    <xf numFmtId="3" fontId="4" fillId="3" borderId="151" xfId="0" applyNumberFormat="1" applyFont="1" applyFill="1" applyBorder="1" applyAlignment="1" applyProtection="1">
      <alignment horizontal="left" vertical="center" wrapText="1"/>
      <protection locked="0"/>
    </xf>
    <xf numFmtId="3" fontId="4" fillId="3" borderId="155" xfId="0" applyNumberFormat="1" applyFont="1" applyFill="1" applyBorder="1" applyAlignment="1" applyProtection="1">
      <alignment horizontal="left" vertical="center" wrapText="1"/>
      <protection locked="0"/>
    </xf>
    <xf numFmtId="0" fontId="13" fillId="5" borderId="14" xfId="0" applyFont="1" applyFill="1" applyBorder="1" applyAlignment="1" applyProtection="1">
      <alignment horizontal="center" vertical="center" wrapText="1"/>
    </xf>
    <xf numFmtId="0" fontId="13" fillId="5" borderId="165" xfId="0" applyFont="1" applyFill="1" applyBorder="1" applyAlignment="1" applyProtection="1">
      <alignment horizontal="center" vertical="center" wrapText="1"/>
    </xf>
    <xf numFmtId="0" fontId="13" fillId="3" borderId="91" xfId="0" applyFont="1" applyFill="1" applyBorder="1" applyAlignment="1" applyProtection="1">
      <alignment horizontal="left" vertical="center"/>
    </xf>
    <xf numFmtId="0" fontId="13" fillId="3" borderId="3" xfId="0" applyFont="1" applyFill="1" applyBorder="1" applyAlignment="1" applyProtection="1">
      <alignment horizontal="left" vertical="center"/>
    </xf>
    <xf numFmtId="0" fontId="12" fillId="0" borderId="99" xfId="0" applyFont="1" applyFill="1" applyBorder="1" applyAlignment="1" applyProtection="1">
      <alignment horizontal="center" vertical="center"/>
    </xf>
    <xf numFmtId="0" fontId="12" fillId="0" borderId="25" xfId="0" applyFont="1" applyFill="1" applyBorder="1" applyAlignment="1" applyProtection="1">
      <alignment horizontal="center" vertical="center"/>
    </xf>
    <xf numFmtId="0" fontId="12" fillId="0" borderId="164" xfId="0" applyFont="1" applyFill="1" applyBorder="1" applyAlignment="1" applyProtection="1">
      <alignment horizontal="center" vertical="center"/>
    </xf>
    <xf numFmtId="0" fontId="12" fillId="0" borderId="155" xfId="0" applyFont="1" applyFill="1" applyBorder="1" applyAlignment="1" applyProtection="1">
      <alignment horizontal="center" vertical="center"/>
    </xf>
    <xf numFmtId="0" fontId="15" fillId="4" borderId="6" xfId="0" applyFont="1" applyFill="1" applyBorder="1" applyAlignment="1" applyProtection="1">
      <alignment horizontal="left" vertical="center" indent="1"/>
    </xf>
    <xf numFmtId="167" fontId="15" fillId="4" borderId="13" xfId="0" applyNumberFormat="1" applyFont="1" applyFill="1" applyBorder="1" applyAlignment="1" applyProtection="1">
      <alignment horizontal="left" vertical="center" indent="1"/>
    </xf>
    <xf numFmtId="167" fontId="15" fillId="4" borderId="6" xfId="0" applyNumberFormat="1" applyFont="1" applyFill="1" applyBorder="1" applyAlignment="1" applyProtection="1">
      <alignment horizontal="left" vertical="center" indent="1"/>
    </xf>
    <xf numFmtId="0" fontId="13" fillId="13" borderId="76" xfId="0" applyFont="1" applyFill="1" applyBorder="1" applyAlignment="1" applyProtection="1">
      <alignment horizontal="left" vertical="center"/>
    </xf>
    <xf numFmtId="0" fontId="13" fillId="13" borderId="49" xfId="0" applyFont="1" applyFill="1" applyBorder="1" applyAlignment="1" applyProtection="1">
      <alignment horizontal="left" vertical="center"/>
    </xf>
    <xf numFmtId="0" fontId="13" fillId="13" borderId="86" xfId="0" applyFont="1" applyFill="1" applyBorder="1" applyAlignment="1" applyProtection="1">
      <alignment horizontal="left" vertical="center"/>
    </xf>
    <xf numFmtId="0" fontId="13" fillId="5" borderId="176" xfId="0" applyFont="1" applyFill="1" applyBorder="1" applyAlignment="1" applyProtection="1">
      <alignment horizontal="left" vertical="center" wrapText="1"/>
    </xf>
    <xf numFmtId="0" fontId="13" fillId="5" borderId="120" xfId="0" applyFont="1" applyFill="1" applyBorder="1" applyAlignment="1" applyProtection="1">
      <alignment horizontal="left" vertical="center" wrapText="1"/>
    </xf>
    <xf numFmtId="0" fontId="12" fillId="3" borderId="97" xfId="0" applyFont="1" applyFill="1" applyBorder="1" applyAlignment="1" applyProtection="1">
      <alignment horizontal="left" vertical="top" wrapText="1"/>
      <protection locked="0"/>
    </xf>
    <xf numFmtId="0" fontId="12" fillId="3" borderId="103" xfId="0" applyFont="1" applyFill="1" applyBorder="1" applyAlignment="1" applyProtection="1">
      <alignment horizontal="left" vertical="top" wrapText="1"/>
      <protection locked="0"/>
    </xf>
    <xf numFmtId="0" fontId="12" fillId="3" borderId="123" xfId="0" applyFont="1" applyFill="1" applyBorder="1" applyAlignment="1" applyProtection="1">
      <alignment horizontal="left" vertical="top" wrapText="1"/>
      <protection locked="0"/>
    </xf>
    <xf numFmtId="0" fontId="13" fillId="5" borderId="179" xfId="0" applyFont="1" applyFill="1" applyBorder="1" applyAlignment="1" applyProtection="1">
      <alignment horizontal="left" wrapText="1"/>
    </xf>
    <xf numFmtId="0" fontId="0" fillId="5" borderId="119" xfId="0" applyFill="1" applyBorder="1" applyAlignment="1" applyProtection="1">
      <alignment horizontal="left" wrapText="1"/>
    </xf>
    <xf numFmtId="0" fontId="0" fillId="5" borderId="113" xfId="0" applyFill="1" applyBorder="1" applyAlignment="1" applyProtection="1">
      <alignment horizontal="left" wrapText="1"/>
    </xf>
    <xf numFmtId="0" fontId="13" fillId="3" borderId="91" xfId="0" applyFont="1" applyFill="1" applyBorder="1" applyAlignment="1" applyProtection="1">
      <alignment horizontal="left" vertical="center" wrapText="1"/>
    </xf>
    <xf numFmtId="0" fontId="13" fillId="3" borderId="3" xfId="0" applyFont="1" applyFill="1" applyBorder="1" applyAlignment="1" applyProtection="1">
      <alignment horizontal="left" vertical="center" wrapText="1"/>
    </xf>
    <xf numFmtId="0" fontId="12" fillId="3" borderId="93" xfId="0" applyFont="1" applyFill="1" applyBorder="1" applyAlignment="1" applyProtection="1">
      <alignment horizontal="left" vertical="center" wrapText="1"/>
    </xf>
    <xf numFmtId="0" fontId="12" fillId="3" borderId="84" xfId="0" applyFont="1" applyFill="1" applyBorder="1" applyAlignment="1" applyProtection="1">
      <alignment horizontal="left" vertical="center" wrapText="1"/>
    </xf>
    <xf numFmtId="0" fontId="12" fillId="0" borderId="92" xfId="0" applyFont="1" applyFill="1" applyBorder="1" applyAlignment="1" applyProtection="1">
      <alignment horizontal="left" vertical="center" wrapText="1"/>
    </xf>
    <xf numFmtId="0" fontId="12" fillId="0" borderId="1" xfId="0" applyFont="1" applyFill="1" applyBorder="1" applyAlignment="1" applyProtection="1">
      <alignment horizontal="left" vertical="center" wrapText="1"/>
    </xf>
    <xf numFmtId="3" fontId="15" fillId="6" borderId="3" xfId="0" applyNumberFormat="1" applyFont="1" applyFill="1" applyBorder="1" applyAlignment="1" applyProtection="1">
      <alignment horizontal="center" vertical="center" wrapText="1"/>
    </xf>
    <xf numFmtId="3" fontId="15" fillId="3" borderId="1" xfId="0" applyNumberFormat="1" applyFont="1" applyFill="1" applyBorder="1" applyAlignment="1" applyProtection="1">
      <alignment horizontal="center" vertical="center" wrapText="1"/>
      <protection locked="0"/>
    </xf>
    <xf numFmtId="3" fontId="12" fillId="3" borderId="13" xfId="0" applyNumberFormat="1" applyFont="1" applyFill="1" applyBorder="1" applyAlignment="1" applyProtection="1">
      <alignment horizontal="center" vertical="center" wrapText="1"/>
      <protection locked="0"/>
    </xf>
    <xf numFmtId="3" fontId="12" fillId="3" borderId="6" xfId="0" applyNumberFormat="1" applyFont="1" applyFill="1" applyBorder="1" applyAlignment="1" applyProtection="1">
      <alignment horizontal="center" vertical="center" wrapText="1"/>
      <protection locked="0"/>
    </xf>
    <xf numFmtId="0" fontId="12" fillId="0" borderId="16" xfId="0" applyFont="1" applyFill="1" applyBorder="1" applyAlignment="1" applyProtection="1">
      <alignment horizontal="left" vertical="center" wrapText="1"/>
    </xf>
    <xf numFmtId="0" fontId="12" fillId="3" borderId="151" xfId="0" applyFont="1" applyFill="1" applyBorder="1" applyAlignment="1" applyProtection="1">
      <alignment horizontal="left" vertical="center" wrapText="1"/>
    </xf>
    <xf numFmtId="3" fontId="12" fillId="3" borderId="84" xfId="0" applyNumberFormat="1" applyFont="1" applyFill="1" applyBorder="1" applyAlignment="1" applyProtection="1">
      <alignment horizontal="center" vertical="center" wrapText="1"/>
      <protection locked="0"/>
    </xf>
    <xf numFmtId="3" fontId="15" fillId="3" borderId="84" xfId="0" applyNumberFormat="1" applyFont="1" applyFill="1" applyBorder="1" applyAlignment="1" applyProtection="1">
      <alignment horizontal="center" vertical="center" wrapText="1"/>
      <protection locked="0"/>
    </xf>
    <xf numFmtId="3" fontId="12" fillId="3" borderId="151" xfId="0" applyNumberFormat="1" applyFont="1" applyFill="1" applyBorder="1" applyAlignment="1" applyProtection="1">
      <alignment horizontal="center" vertical="center" wrapText="1"/>
      <protection locked="0"/>
    </xf>
    <xf numFmtId="3" fontId="12" fillId="3" borderId="155" xfId="0" applyNumberFormat="1" applyFont="1" applyFill="1" applyBorder="1" applyAlignment="1" applyProtection="1">
      <alignment horizontal="center" vertical="center" wrapText="1"/>
      <protection locked="0"/>
    </xf>
    <xf numFmtId="0" fontId="13" fillId="3" borderId="89" xfId="0" applyFont="1" applyFill="1" applyBorder="1" applyAlignment="1" applyProtection="1">
      <alignment horizontal="left" vertical="center" wrapText="1"/>
    </xf>
    <xf numFmtId="0" fontId="12" fillId="4" borderId="13" xfId="0" applyNumberFormat="1" applyFont="1" applyFill="1" applyBorder="1" applyAlignment="1" applyProtection="1">
      <alignment horizontal="left" vertical="center" indent="1"/>
    </xf>
    <xf numFmtId="0" fontId="12" fillId="4" borderId="16" xfId="0" applyNumberFormat="1" applyFont="1" applyFill="1" applyBorder="1" applyAlignment="1" applyProtection="1">
      <alignment horizontal="left" vertical="center" indent="1"/>
    </xf>
    <xf numFmtId="0" fontId="12" fillId="4" borderId="70" xfId="0" applyNumberFormat="1" applyFont="1" applyFill="1" applyBorder="1" applyAlignment="1" applyProtection="1">
      <alignment horizontal="left" vertical="center" indent="1"/>
    </xf>
    <xf numFmtId="0" fontId="13" fillId="3" borderId="27" xfId="0" applyFont="1" applyFill="1" applyBorder="1" applyAlignment="1" applyProtection="1">
      <alignment horizontal="center" vertical="center"/>
      <protection locked="0"/>
    </xf>
    <xf numFmtId="0" fontId="0" fillId="0" borderId="54" xfId="0" applyBorder="1" applyAlignment="1" applyProtection="1">
      <alignment vertical="center"/>
      <protection locked="0"/>
    </xf>
    <xf numFmtId="0" fontId="71" fillId="3" borderId="0" xfId="0" applyFont="1" applyFill="1" applyAlignment="1" applyProtection="1">
      <alignment vertical="center" wrapText="1"/>
    </xf>
    <xf numFmtId="0" fontId="0" fillId="0" borderId="0" xfId="0" applyAlignment="1">
      <alignment vertical="center" wrapText="1"/>
    </xf>
    <xf numFmtId="0" fontId="13" fillId="3" borderId="0" xfId="0" applyFont="1" applyFill="1" applyBorder="1" applyAlignment="1" applyProtection="1">
      <alignment horizontal="center" vertical="center"/>
      <protection locked="0"/>
    </xf>
    <xf numFmtId="0" fontId="71" fillId="3" borderId="0" xfId="0" applyFont="1" applyFill="1" applyAlignment="1" applyProtection="1">
      <alignment vertical="center"/>
    </xf>
    <xf numFmtId="0" fontId="0" fillId="0" borderId="0" xfId="0" applyAlignment="1">
      <alignment vertical="center"/>
    </xf>
    <xf numFmtId="0" fontId="11" fillId="2" borderId="166" xfId="0" applyFont="1" applyFill="1" applyBorder="1" applyAlignment="1" applyProtection="1">
      <alignment horizontal="left" vertical="center"/>
    </xf>
    <xf numFmtId="0" fontId="11" fillId="2" borderId="164" xfId="0" applyFont="1" applyFill="1" applyBorder="1" applyAlignment="1" applyProtection="1">
      <alignment horizontal="left" vertical="center"/>
    </xf>
    <xf numFmtId="0" fontId="11" fillId="2" borderId="87" xfId="0" applyFont="1" applyFill="1" applyBorder="1" applyAlignment="1" applyProtection="1">
      <alignment horizontal="left" vertical="center"/>
    </xf>
    <xf numFmtId="0" fontId="11" fillId="2" borderId="155" xfId="0" applyFont="1" applyFill="1" applyBorder="1" applyAlignment="1" applyProtection="1">
      <alignment horizontal="left" vertical="center"/>
    </xf>
    <xf numFmtId="166" fontId="12" fillId="3" borderId="0" xfId="3" applyNumberFormat="1" applyFont="1" applyFill="1" applyAlignment="1" applyProtection="1">
      <alignment horizontal="left" vertical="top" wrapText="1"/>
      <protection locked="0"/>
    </xf>
    <xf numFmtId="0" fontId="0" fillId="0" borderId="54" xfId="0" applyBorder="1" applyAlignment="1" applyProtection="1">
      <alignment horizontal="left" vertical="top" wrapText="1"/>
      <protection locked="0"/>
    </xf>
    <xf numFmtId="0" fontId="21" fillId="16" borderId="0" xfId="0" applyFont="1" applyFill="1" applyAlignment="1" applyProtection="1">
      <alignment horizontal="left" wrapText="1"/>
    </xf>
    <xf numFmtId="0" fontId="11" fillId="2" borderId="97" xfId="0" applyFont="1" applyFill="1" applyBorder="1" applyAlignment="1" applyProtection="1">
      <alignment horizontal="left" vertical="center"/>
    </xf>
    <xf numFmtId="0" fontId="11" fillId="2" borderId="103" xfId="0" applyFont="1" applyFill="1" applyBorder="1" applyAlignment="1" applyProtection="1">
      <alignment horizontal="left" vertical="center"/>
    </xf>
    <xf numFmtId="0" fontId="11" fillId="2" borderId="173" xfId="0" applyFont="1" applyFill="1" applyBorder="1" applyAlignment="1" applyProtection="1">
      <alignment horizontal="left" vertical="center"/>
    </xf>
    <xf numFmtId="0" fontId="12" fillId="4" borderId="175" xfId="0" applyNumberFormat="1" applyFont="1" applyFill="1" applyBorder="1" applyAlignment="1" applyProtection="1">
      <alignment horizontal="left" vertical="center" wrapText="1" indent="1"/>
    </xf>
    <xf numFmtId="0" fontId="12" fillId="4" borderId="103" xfId="0" applyNumberFormat="1" applyFont="1" applyFill="1" applyBorder="1" applyAlignment="1" applyProtection="1">
      <alignment horizontal="left" vertical="center" wrapText="1" indent="1"/>
    </xf>
    <xf numFmtId="0" fontId="12" fillId="4" borderId="123" xfId="0" applyNumberFormat="1" applyFont="1" applyFill="1" applyBorder="1" applyAlignment="1" applyProtection="1">
      <alignment horizontal="left" vertical="center" wrapText="1" indent="1"/>
    </xf>
    <xf numFmtId="0" fontId="12" fillId="4" borderId="89" xfId="0" applyNumberFormat="1" applyFont="1" applyFill="1" applyBorder="1" applyAlignment="1" applyProtection="1">
      <alignment horizontal="left" vertical="center" indent="1"/>
    </xf>
    <xf numFmtId="0" fontId="12" fillId="4" borderId="8" xfId="0" applyNumberFormat="1" applyFont="1" applyFill="1" applyBorder="1" applyAlignment="1" applyProtection="1">
      <alignment horizontal="left" vertical="center" indent="1"/>
    </xf>
    <xf numFmtId="0" fontId="12" fillId="4" borderId="90" xfId="0" applyNumberFormat="1" applyFont="1" applyFill="1" applyBorder="1" applyAlignment="1" applyProtection="1">
      <alignment horizontal="left" vertical="center" indent="1"/>
    </xf>
    <xf numFmtId="0" fontId="11" fillId="2" borderId="10" xfId="0" applyFont="1" applyFill="1" applyBorder="1" applyAlignment="1" applyProtection="1">
      <alignment horizontal="left" vertical="center"/>
    </xf>
    <xf numFmtId="167" fontId="12" fillId="4" borderId="13" xfId="0" applyNumberFormat="1" applyFont="1" applyFill="1" applyBorder="1" applyAlignment="1" applyProtection="1">
      <alignment horizontal="left" vertical="center" indent="1"/>
    </xf>
    <xf numFmtId="167" fontId="12" fillId="4" borderId="16" xfId="0" applyNumberFormat="1" applyFont="1" applyFill="1" applyBorder="1" applyAlignment="1" applyProtection="1">
      <alignment horizontal="left" vertical="center" indent="1"/>
    </xf>
    <xf numFmtId="167" fontId="12" fillId="4" borderId="70" xfId="0" applyNumberFormat="1" applyFont="1" applyFill="1" applyBorder="1" applyAlignment="1" applyProtection="1">
      <alignment horizontal="left" vertical="center" indent="1"/>
    </xf>
    <xf numFmtId="0" fontId="13" fillId="4" borderId="13" xfId="0" applyNumberFormat="1" applyFont="1" applyFill="1" applyBorder="1" applyAlignment="1" applyProtection="1">
      <alignment horizontal="left" vertical="center" indent="1"/>
    </xf>
    <xf numFmtId="0" fontId="13" fillId="4" borderId="16" xfId="0" applyNumberFormat="1" applyFont="1" applyFill="1" applyBorder="1" applyAlignment="1" applyProtection="1">
      <alignment horizontal="left" vertical="center" indent="1"/>
    </xf>
    <xf numFmtId="0" fontId="13" fillId="4" borderId="70" xfId="0" applyNumberFormat="1" applyFont="1" applyFill="1" applyBorder="1" applyAlignment="1" applyProtection="1">
      <alignment horizontal="left" vertical="center" indent="1"/>
    </xf>
    <xf numFmtId="0" fontId="12" fillId="3" borderId="27" xfId="0" applyFont="1" applyFill="1" applyBorder="1" applyAlignment="1" applyProtection="1">
      <alignment horizontal="left" vertical="top" wrapText="1"/>
      <protection locked="0"/>
    </xf>
    <xf numFmtId="0" fontId="12" fillId="3" borderId="0" xfId="0" applyFont="1" applyFill="1" applyAlignment="1" applyProtection="1">
      <alignment vertical="center" wrapText="1"/>
    </xf>
    <xf numFmtId="0" fontId="17" fillId="2" borderId="11" xfId="0" applyFont="1" applyFill="1" applyBorder="1" applyAlignment="1" applyProtection="1">
      <alignment horizontal="left"/>
      <protection locked="0"/>
    </xf>
    <xf numFmtId="0" fontId="17" fillId="2" borderId="0" xfId="0" applyFont="1" applyFill="1" applyBorder="1" applyAlignment="1" applyProtection="1">
      <alignment horizontal="left"/>
      <protection locked="0"/>
    </xf>
    <xf numFmtId="15" fontId="12" fillId="3" borderId="54" xfId="0" applyNumberFormat="1" applyFont="1" applyFill="1" applyBorder="1" applyAlignment="1" applyProtection="1">
      <alignment horizontal="left"/>
      <protection locked="0"/>
    </xf>
    <xf numFmtId="0" fontId="71" fillId="3" borderId="54" xfId="0" applyFont="1" applyFill="1" applyBorder="1" applyAlignment="1" applyProtection="1">
      <alignment horizontal="left"/>
      <protection locked="0"/>
    </xf>
    <xf numFmtId="0" fontId="12" fillId="3" borderId="13" xfId="0" applyFont="1" applyFill="1" applyBorder="1" applyAlignment="1" applyProtection="1">
      <alignment horizontal="left" vertical="top" wrapText="1" indent="1"/>
      <protection locked="0"/>
    </xf>
    <xf numFmtId="0" fontId="71" fillId="3" borderId="16" xfId="0" applyFont="1" applyFill="1" applyBorder="1" applyAlignment="1" applyProtection="1">
      <alignment horizontal="left" vertical="top" wrapText="1" indent="1"/>
      <protection locked="0"/>
    </xf>
    <xf numFmtId="0" fontId="71" fillId="3" borderId="6" xfId="0" applyFont="1" applyFill="1" applyBorder="1" applyAlignment="1" applyProtection="1">
      <alignment horizontal="left" vertical="top" wrapText="1" indent="1"/>
      <protection locked="0"/>
    </xf>
    <xf numFmtId="0" fontId="12" fillId="3" borderId="16" xfId="0" applyFont="1" applyFill="1" applyBorder="1" applyAlignment="1" applyProtection="1">
      <alignment horizontal="left"/>
      <protection locked="0"/>
    </xf>
    <xf numFmtId="0" fontId="71" fillId="3" borderId="16" xfId="0" applyFont="1" applyFill="1" applyBorder="1" applyAlignment="1" applyProtection="1">
      <alignment horizontal="left"/>
      <protection locked="0"/>
    </xf>
    <xf numFmtId="0" fontId="61" fillId="0" borderId="54" xfId="0" applyFont="1" applyBorder="1" applyAlignment="1" applyProtection="1">
      <alignment horizontal="left" vertical="top" wrapText="1"/>
      <protection locked="0"/>
    </xf>
    <xf numFmtId="0" fontId="2" fillId="3" borderId="23" xfId="0" applyFont="1" applyFill="1" applyBorder="1" applyAlignment="1" applyProtection="1">
      <alignment horizontal="left" vertical="top" wrapText="1" indent="1"/>
      <protection locked="0"/>
    </xf>
    <xf numFmtId="0" fontId="0" fillId="3" borderId="27" xfId="0" applyFill="1" applyBorder="1" applyAlignment="1" applyProtection="1">
      <alignment horizontal="left" vertical="top" wrapText="1" indent="1"/>
      <protection locked="0"/>
    </xf>
    <xf numFmtId="0" fontId="0" fillId="3" borderId="25" xfId="0" applyFill="1" applyBorder="1" applyAlignment="1" applyProtection="1">
      <alignment horizontal="left" vertical="top" wrapText="1" indent="1"/>
      <protection locked="0"/>
    </xf>
    <xf numFmtId="0" fontId="0" fillId="3" borderId="17" xfId="0" applyFill="1" applyBorder="1" applyAlignment="1" applyProtection="1">
      <alignment horizontal="left" vertical="top" wrapText="1" indent="1"/>
      <protection locked="0"/>
    </xf>
    <xf numFmtId="0" fontId="0" fillId="3" borderId="0" xfId="0" applyFill="1" applyBorder="1" applyAlignment="1" applyProtection="1">
      <alignment horizontal="left" vertical="top" wrapText="1" indent="1"/>
      <protection locked="0"/>
    </xf>
    <xf numFmtId="0" fontId="0" fillId="3" borderId="9" xfId="0" applyFill="1" applyBorder="1" applyAlignment="1" applyProtection="1">
      <alignment horizontal="left" vertical="top" wrapText="1" indent="1"/>
      <protection locked="0"/>
    </xf>
    <xf numFmtId="0" fontId="0" fillId="3" borderId="96" xfId="0" applyFill="1" applyBorder="1" applyAlignment="1" applyProtection="1">
      <alignment horizontal="left" vertical="top" wrapText="1" indent="1"/>
      <protection locked="0"/>
    </xf>
    <xf numFmtId="0" fontId="0" fillId="3" borderId="54" xfId="0" applyFill="1" applyBorder="1" applyAlignment="1" applyProtection="1">
      <alignment horizontal="left" vertical="top" wrapText="1" indent="1"/>
      <protection locked="0"/>
    </xf>
    <xf numFmtId="0" fontId="0" fillId="3" borderId="172" xfId="0" applyFill="1" applyBorder="1" applyAlignment="1" applyProtection="1">
      <alignment horizontal="left" vertical="top" wrapText="1" indent="1"/>
      <protection locked="0"/>
    </xf>
    <xf numFmtId="0" fontId="12" fillId="0" borderId="92" xfId="0" applyFont="1" applyFill="1" applyBorder="1" applyAlignment="1" applyProtection="1">
      <alignment horizontal="left" vertical="center"/>
    </xf>
    <xf numFmtId="0" fontId="12" fillId="0" borderId="1" xfId="0" applyFont="1" applyFill="1" applyBorder="1" applyAlignment="1" applyProtection="1">
      <alignment horizontal="left" vertical="center"/>
    </xf>
    <xf numFmtId="168" fontId="13" fillId="0" borderId="1" xfId="0" applyNumberFormat="1" applyFont="1" applyFill="1" applyBorder="1" applyAlignment="1" applyProtection="1">
      <alignment horizontal="right" vertical="center"/>
      <protection locked="0"/>
    </xf>
    <xf numFmtId="0" fontId="12" fillId="0" borderId="1" xfId="0" applyFont="1" applyBorder="1" applyAlignment="1" applyProtection="1">
      <alignment horizontal="right" vertical="center"/>
      <protection locked="0"/>
    </xf>
    <xf numFmtId="0" fontId="13" fillId="3" borderId="158" xfId="0" applyFont="1" applyFill="1" applyBorder="1" applyAlignment="1" applyProtection="1">
      <alignment horizontal="left" vertical="center" wrapText="1"/>
    </xf>
    <xf numFmtId="0" fontId="2" fillId="3" borderId="175" xfId="0" applyFont="1" applyFill="1" applyBorder="1" applyAlignment="1" applyProtection="1">
      <alignment wrapText="1"/>
    </xf>
    <xf numFmtId="0" fontId="13" fillId="3" borderId="0" xfId="0" applyFont="1" applyFill="1" applyBorder="1" applyAlignment="1" applyProtection="1">
      <alignment horizontal="left" vertical="center"/>
    </xf>
    <xf numFmtId="0" fontId="2" fillId="3" borderId="0" xfId="0" applyFont="1" applyFill="1" applyBorder="1" applyAlignment="1" applyProtection="1">
      <alignment vertical="center"/>
    </xf>
    <xf numFmtId="0" fontId="43" fillId="3" borderId="0" xfId="0" applyFont="1" applyFill="1" applyBorder="1" applyAlignment="1" applyProtection="1">
      <alignment horizontal="left" vertical="center" wrapText="1"/>
    </xf>
    <xf numFmtId="0" fontId="35" fillId="0" borderId="0" xfId="0" applyFont="1" applyAlignment="1"/>
    <xf numFmtId="0" fontId="35" fillId="0" borderId="68" xfId="0" applyFont="1" applyBorder="1" applyAlignment="1"/>
    <xf numFmtId="0" fontId="12" fillId="0" borderId="94" xfId="0" applyFont="1" applyFill="1" applyBorder="1" applyAlignment="1" applyProtection="1">
      <alignment horizontal="left" vertical="center"/>
    </xf>
    <xf numFmtId="0" fontId="12" fillId="0" borderId="75" xfId="0" applyFont="1" applyFill="1" applyBorder="1" applyAlignment="1" applyProtection="1">
      <alignment horizontal="left" vertical="center"/>
    </xf>
    <xf numFmtId="168" fontId="13" fillId="0" borderId="75" xfId="0" applyNumberFormat="1" applyFont="1" applyFill="1" applyBorder="1" applyAlignment="1" applyProtection="1">
      <alignment horizontal="right" vertical="center"/>
      <protection locked="0"/>
    </xf>
    <xf numFmtId="0" fontId="12" fillId="0" borderId="75" xfId="0" applyFont="1" applyBorder="1" applyAlignment="1" applyProtection="1">
      <alignment horizontal="right" vertical="center"/>
      <protection locked="0"/>
    </xf>
    <xf numFmtId="168" fontId="13" fillId="0" borderId="28" xfId="0" applyNumberFormat="1" applyFont="1" applyFill="1" applyBorder="1" applyAlignment="1" applyProtection="1">
      <alignment horizontal="right" vertical="center"/>
      <protection locked="0"/>
    </xf>
    <xf numFmtId="0" fontId="12" fillId="0" borderId="28" xfId="0" applyFont="1" applyBorder="1" applyAlignment="1" applyProtection="1">
      <alignment horizontal="right" vertical="center"/>
      <protection locked="0"/>
    </xf>
    <xf numFmtId="0" fontId="13" fillId="13" borderId="164" xfId="0" applyFont="1" applyFill="1" applyBorder="1" applyAlignment="1" applyProtection="1">
      <alignment horizontal="left" vertical="center" wrapText="1"/>
    </xf>
    <xf numFmtId="0" fontId="0" fillId="13" borderId="87" xfId="0" applyFill="1" applyBorder="1" applyAlignment="1" applyProtection="1">
      <alignment horizontal="left" vertical="center" wrapText="1"/>
    </xf>
    <xf numFmtId="0" fontId="0" fillId="13" borderId="155" xfId="0" applyFill="1" applyBorder="1" applyAlignment="1" applyProtection="1">
      <alignment horizontal="left" vertical="center" wrapText="1"/>
    </xf>
    <xf numFmtId="0" fontId="13" fillId="27" borderId="158" xfId="0" applyFont="1" applyFill="1" applyBorder="1" applyAlignment="1" applyProtection="1">
      <alignment horizontal="left" vertical="center" wrapText="1"/>
    </xf>
    <xf numFmtId="0" fontId="35" fillId="27" borderId="175" xfId="0" applyFont="1" applyFill="1" applyBorder="1" applyAlignment="1" applyProtection="1">
      <alignment wrapText="1"/>
    </xf>
    <xf numFmtId="0" fontId="4" fillId="3" borderId="175" xfId="0" applyFont="1" applyFill="1" applyBorder="1" applyAlignment="1" applyProtection="1">
      <alignment horizontal="left" vertical="center" wrapText="1"/>
      <protection locked="0"/>
    </xf>
    <xf numFmtId="0" fontId="4" fillId="3" borderId="103" xfId="0" applyFont="1" applyFill="1" applyBorder="1" applyAlignment="1" applyProtection="1">
      <alignment horizontal="left" vertical="center" wrapText="1"/>
      <protection locked="0"/>
    </xf>
    <xf numFmtId="0" fontId="4" fillId="0" borderId="103" xfId="0" applyFont="1" applyBorder="1" applyAlignment="1" applyProtection="1">
      <alignment horizontal="left" vertical="center" wrapText="1"/>
      <protection locked="0"/>
    </xf>
    <xf numFmtId="0" fontId="4" fillId="0" borderId="123" xfId="0" applyFont="1" applyBorder="1" applyAlignment="1" applyProtection="1">
      <alignment horizontal="left" vertical="center" wrapText="1"/>
      <protection locked="0"/>
    </xf>
    <xf numFmtId="0" fontId="0" fillId="5" borderId="8" xfId="0" applyFill="1" applyBorder="1" applyAlignment="1" applyProtection="1">
      <alignment horizontal="center" vertical="center" wrapText="1"/>
    </xf>
    <xf numFmtId="0" fontId="0" fillId="5" borderId="5" xfId="0" applyFill="1" applyBorder="1" applyAlignment="1" applyProtection="1">
      <alignment horizontal="center" vertical="center" wrapText="1"/>
    </xf>
    <xf numFmtId="0" fontId="4" fillId="3" borderId="151" xfId="0" applyFont="1" applyFill="1" applyBorder="1" applyAlignment="1" applyProtection="1">
      <alignment vertical="center" wrapText="1"/>
      <protection locked="0"/>
    </xf>
    <xf numFmtId="0" fontId="4" fillId="3" borderId="87" xfId="0" applyFont="1" applyFill="1" applyBorder="1" applyAlignment="1" applyProtection="1">
      <alignment vertical="center" wrapText="1"/>
      <protection locked="0"/>
    </xf>
    <xf numFmtId="0" fontId="4" fillId="3" borderId="88" xfId="0" applyFont="1" applyFill="1" applyBorder="1" applyAlignment="1" applyProtection="1">
      <alignment vertical="center" wrapText="1"/>
      <protection locked="0"/>
    </xf>
    <xf numFmtId="0" fontId="0" fillId="27" borderId="12" xfId="0" applyFill="1" applyBorder="1" applyAlignment="1" applyProtection="1">
      <alignment horizontal="center" vertical="center" wrapText="1"/>
    </xf>
    <xf numFmtId="0" fontId="12" fillId="0" borderId="152" xfId="0" applyFont="1" applyFill="1" applyBorder="1" applyAlignment="1" applyProtection="1">
      <alignment horizontal="left" vertical="center"/>
    </xf>
    <xf numFmtId="0" fontId="12" fillId="0" borderId="28" xfId="0" applyFont="1" applyFill="1" applyBorder="1" applyAlignment="1" applyProtection="1">
      <alignment horizontal="left" vertical="center"/>
    </xf>
    <xf numFmtId="0" fontId="13" fillId="0" borderId="97" xfId="0" applyFont="1" applyFill="1" applyBorder="1" applyAlignment="1" applyProtection="1">
      <alignment horizontal="right" vertical="center"/>
    </xf>
    <xf numFmtId="0" fontId="13" fillId="0" borderId="173" xfId="0" applyFont="1" applyFill="1" applyBorder="1" applyAlignment="1" applyProtection="1">
      <alignment horizontal="right" vertical="center"/>
    </xf>
    <xf numFmtId="168" fontId="13" fillId="0" borderId="122" xfId="0" applyNumberFormat="1" applyFont="1" applyFill="1" applyBorder="1" applyAlignment="1" applyProtection="1">
      <alignment horizontal="right" vertical="center"/>
    </xf>
    <xf numFmtId="0" fontId="12" fillId="0" borderId="122" xfId="0" applyFont="1" applyBorder="1" applyAlignment="1" applyProtection="1">
      <alignment horizontal="right" vertical="center"/>
    </xf>
    <xf numFmtId="0" fontId="13" fillId="13" borderId="89" xfId="0" applyFont="1" applyFill="1" applyBorder="1" applyAlignment="1" applyProtection="1">
      <alignment horizontal="left" vertical="center" indent="1"/>
    </xf>
    <xf numFmtId="0" fontId="13" fillId="13" borderId="8" xfId="0" applyFont="1" applyFill="1" applyBorder="1" applyAlignment="1" applyProtection="1">
      <alignment horizontal="left" vertical="center" indent="1"/>
    </xf>
    <xf numFmtId="0" fontId="13" fillId="13" borderId="90" xfId="0" applyFont="1" applyFill="1" applyBorder="1" applyAlignment="1" applyProtection="1">
      <alignment horizontal="left" vertical="center" indent="1"/>
    </xf>
    <xf numFmtId="0" fontId="13" fillId="27" borderId="122" xfId="0" applyFont="1" applyFill="1" applyBorder="1" applyAlignment="1" applyProtection="1">
      <alignment horizontal="center" vertical="center" wrapText="1"/>
    </xf>
    <xf numFmtId="0" fontId="2" fillId="27" borderId="122" xfId="0" applyFont="1" applyFill="1" applyBorder="1" applyAlignment="1" applyProtection="1">
      <alignment horizontal="center" vertical="center" wrapText="1"/>
    </xf>
    <xf numFmtId="0" fontId="12" fillId="3" borderId="175" xfId="0" applyFont="1" applyFill="1" applyBorder="1" applyAlignment="1" applyProtection="1">
      <alignment horizontal="left" vertical="center" wrapText="1"/>
      <protection locked="0"/>
    </xf>
    <xf numFmtId="0" fontId="2" fillId="3" borderId="103" xfId="0" applyFont="1" applyFill="1" applyBorder="1" applyAlignment="1" applyProtection="1">
      <alignment horizontal="left" vertical="center" wrapText="1"/>
      <protection locked="0"/>
    </xf>
    <xf numFmtId="0" fontId="2" fillId="0" borderId="103" xfId="0" applyFont="1" applyBorder="1" applyAlignment="1" applyProtection="1">
      <alignment horizontal="left" vertical="center" wrapText="1"/>
      <protection locked="0"/>
    </xf>
    <xf numFmtId="0" fontId="2" fillId="0" borderId="123" xfId="0" applyFont="1" applyBorder="1" applyAlignment="1" applyProtection="1">
      <alignment horizontal="left" vertical="center" wrapText="1"/>
      <protection locked="0"/>
    </xf>
    <xf numFmtId="0" fontId="13" fillId="5" borderId="158" xfId="0" applyFont="1" applyFill="1" applyBorder="1" applyAlignment="1" applyProtection="1">
      <alignment horizontal="center" vertical="center" wrapText="1"/>
    </xf>
    <xf numFmtId="0" fontId="0" fillId="5" borderId="122" xfId="0" applyFill="1" applyBorder="1" applyAlignment="1" applyProtection="1">
      <alignment horizontal="center" vertical="center" wrapText="1"/>
    </xf>
    <xf numFmtId="0" fontId="0" fillId="0" borderId="122" xfId="0" applyBorder="1" applyAlignment="1" applyProtection="1">
      <alignment vertical="center" wrapText="1"/>
    </xf>
    <xf numFmtId="0" fontId="0" fillId="0" borderId="159" xfId="0" applyBorder="1" applyAlignment="1" applyProtection="1">
      <alignment vertical="center" wrapText="1"/>
    </xf>
    <xf numFmtId="0" fontId="13" fillId="5" borderId="158" xfId="0" applyFont="1" applyFill="1" applyBorder="1" applyAlignment="1" applyProtection="1">
      <alignment horizontal="left" vertical="center"/>
    </xf>
    <xf numFmtId="0" fontId="13" fillId="5" borderId="175" xfId="0" applyFont="1" applyFill="1" applyBorder="1" applyAlignment="1" applyProtection="1">
      <alignment horizontal="left" vertical="center"/>
    </xf>
    <xf numFmtId="0" fontId="13" fillId="27" borderId="158" xfId="0" applyFont="1" applyFill="1" applyBorder="1" applyAlignment="1" applyProtection="1">
      <alignment horizontal="center" vertical="center" wrapText="1"/>
    </xf>
    <xf numFmtId="0" fontId="12" fillId="0" borderId="92" xfId="0" applyFont="1" applyFill="1" applyBorder="1" applyAlignment="1" applyProtection="1">
      <alignment horizontal="left" vertical="center" wrapText="1"/>
      <protection locked="0"/>
    </xf>
    <xf numFmtId="0" fontId="12" fillId="0" borderId="1" xfId="0" applyFont="1" applyFill="1" applyBorder="1" applyAlignment="1" applyProtection="1">
      <alignment horizontal="left" vertical="center" wrapText="1"/>
      <protection locked="0"/>
    </xf>
    <xf numFmtId="0" fontId="12" fillId="0" borderId="4" xfId="0" applyFont="1" applyFill="1" applyBorder="1" applyAlignment="1" applyProtection="1">
      <alignment horizontal="left" vertical="center" wrapText="1"/>
      <protection locked="0"/>
    </xf>
    <xf numFmtId="0" fontId="13" fillId="0" borderId="92" xfId="0" applyFont="1" applyFill="1" applyBorder="1" applyAlignment="1" applyProtection="1">
      <alignment horizontal="center" vertical="center" wrapText="1"/>
      <protection locked="0"/>
    </xf>
    <xf numFmtId="0" fontId="13" fillId="0" borderId="13" xfId="0" applyFont="1" applyFill="1" applyBorder="1" applyAlignment="1" applyProtection="1">
      <alignment horizontal="center" vertical="center" wrapText="1"/>
      <protection locked="0"/>
    </xf>
    <xf numFmtId="0" fontId="12" fillId="0" borderId="3" xfId="0" applyFont="1" applyFill="1" applyBorder="1" applyAlignment="1" applyProtection="1">
      <alignment horizontal="left" vertical="center" wrapText="1"/>
      <protection locked="0"/>
    </xf>
    <xf numFmtId="0" fontId="12" fillId="0" borderId="93" xfId="0" applyFont="1" applyFill="1" applyBorder="1" applyAlignment="1" applyProtection="1">
      <alignment horizontal="left" vertical="center" wrapText="1"/>
      <protection locked="0"/>
    </xf>
    <xf numFmtId="0" fontId="12" fillId="0" borderId="84" xfId="0" applyFont="1" applyFill="1" applyBorder="1" applyAlignment="1" applyProtection="1">
      <alignment horizontal="left" vertical="center" wrapText="1"/>
      <protection locked="0"/>
    </xf>
    <xf numFmtId="0" fontId="12" fillId="0" borderId="95" xfId="0" applyFont="1" applyFill="1" applyBorder="1" applyAlignment="1" applyProtection="1">
      <alignment horizontal="left" vertical="center" wrapText="1"/>
      <protection locked="0"/>
    </xf>
    <xf numFmtId="0" fontId="13" fillId="5" borderId="69" xfId="0" applyFont="1" applyFill="1" applyBorder="1" applyAlignment="1" applyProtection="1">
      <alignment horizontal="center" vertical="center" wrapText="1"/>
    </xf>
    <xf numFmtId="0" fontId="13" fillId="5" borderId="97" xfId="0" applyFont="1" applyFill="1" applyBorder="1" applyAlignment="1" applyProtection="1">
      <alignment horizontal="center" vertical="center" wrapText="1"/>
    </xf>
    <xf numFmtId="0" fontId="4" fillId="0" borderId="121" xfId="0" applyFont="1" applyFill="1" applyBorder="1" applyAlignment="1" applyProtection="1">
      <alignment horizontal="left" vertical="top" wrapText="1"/>
      <protection locked="0"/>
    </xf>
    <xf numFmtId="0" fontId="4" fillId="0" borderId="8" xfId="0" applyFont="1" applyFill="1" applyBorder="1" applyAlignment="1" applyProtection="1">
      <alignment horizontal="left" vertical="top" wrapText="1"/>
      <protection locked="0"/>
    </xf>
    <xf numFmtId="0" fontId="4" fillId="0" borderId="90" xfId="0" applyFont="1" applyFill="1" applyBorder="1" applyAlignment="1" applyProtection="1">
      <alignment horizontal="left" vertical="top" wrapText="1"/>
      <protection locked="0"/>
    </xf>
    <xf numFmtId="0" fontId="4" fillId="0" borderId="92" xfId="0" applyFont="1" applyFill="1" applyBorder="1" applyAlignment="1" applyProtection="1">
      <alignment horizontal="left" vertical="top" wrapText="1"/>
      <protection locked="0"/>
    </xf>
    <xf numFmtId="0" fontId="4" fillId="0" borderId="1" xfId="0" applyFont="1" applyFill="1" applyBorder="1" applyAlignment="1" applyProtection="1">
      <alignment horizontal="left" vertical="top" wrapText="1"/>
      <protection locked="0"/>
    </xf>
    <xf numFmtId="0" fontId="4" fillId="0" borderId="4" xfId="0" applyFont="1" applyFill="1" applyBorder="1" applyAlignment="1" applyProtection="1">
      <alignment horizontal="left" vertical="top" wrapText="1"/>
      <protection locked="0"/>
    </xf>
    <xf numFmtId="0" fontId="9" fillId="0" borderId="92" xfId="0" applyFont="1" applyFill="1" applyBorder="1" applyAlignment="1" applyProtection="1">
      <alignment horizontal="left" vertical="top" wrapText="1"/>
      <protection locked="0"/>
    </xf>
    <xf numFmtId="0" fontId="9" fillId="0" borderId="166" xfId="0" applyFont="1" applyFill="1" applyBorder="1" applyAlignment="1" applyProtection="1">
      <alignment horizontal="left" vertical="top" wrapText="1"/>
      <protection locked="0"/>
    </xf>
    <xf numFmtId="0" fontId="4" fillId="0" borderId="16" xfId="0" applyFont="1" applyFill="1" applyBorder="1" applyAlignment="1" applyProtection="1">
      <alignment horizontal="left" vertical="top" wrapText="1"/>
      <protection locked="0"/>
    </xf>
    <xf numFmtId="0" fontId="4" fillId="0" borderId="70" xfId="0" applyFont="1" applyFill="1" applyBorder="1" applyAlignment="1" applyProtection="1">
      <alignment horizontal="left" vertical="top" wrapText="1"/>
      <protection locked="0"/>
    </xf>
    <xf numFmtId="0" fontId="4" fillId="0" borderId="166" xfId="0" applyFont="1" applyFill="1" applyBorder="1" applyAlignment="1" applyProtection="1">
      <alignment horizontal="left" vertical="top" wrapText="1"/>
      <protection locked="0"/>
    </xf>
    <xf numFmtId="0" fontId="9" fillId="0" borderId="92" xfId="0" applyFont="1" applyFill="1" applyBorder="1" applyAlignment="1" applyProtection="1">
      <alignment horizontal="left" vertical="center" wrapText="1"/>
      <protection locked="0"/>
    </xf>
    <xf numFmtId="0" fontId="4" fillId="0" borderId="1" xfId="0" applyFont="1" applyFill="1" applyBorder="1" applyAlignment="1" applyProtection="1">
      <alignment horizontal="left" vertical="center" wrapText="1"/>
      <protection locked="0"/>
    </xf>
    <xf numFmtId="0" fontId="4" fillId="0" borderId="4" xfId="0" applyFont="1" applyFill="1" applyBorder="1" applyAlignment="1" applyProtection="1">
      <alignment horizontal="left" vertical="center" wrapText="1"/>
      <protection locked="0"/>
    </xf>
    <xf numFmtId="0" fontId="13" fillId="0" borderId="93" xfId="0" applyFont="1" applyFill="1" applyBorder="1" applyAlignment="1" applyProtection="1">
      <alignment horizontal="center" vertical="center" wrapText="1"/>
      <protection locked="0"/>
    </xf>
    <xf numFmtId="0" fontId="13" fillId="0" borderId="151" xfId="0" applyFont="1" applyFill="1" applyBorder="1" applyAlignment="1" applyProtection="1">
      <alignment horizontal="center" vertical="center" wrapText="1"/>
      <protection locked="0"/>
    </xf>
    <xf numFmtId="0" fontId="4" fillId="0" borderId="166" xfId="0" applyFont="1" applyFill="1" applyBorder="1" applyAlignment="1" applyProtection="1">
      <alignment horizontal="left" vertical="center" wrapText="1"/>
      <protection locked="0"/>
    </xf>
    <xf numFmtId="0" fontId="4" fillId="0" borderId="16" xfId="0" applyFont="1" applyFill="1" applyBorder="1" applyAlignment="1" applyProtection="1">
      <alignment horizontal="left" vertical="center" wrapText="1"/>
      <protection locked="0"/>
    </xf>
    <xf numFmtId="0" fontId="4" fillId="0" borderId="70" xfId="0" applyFont="1" applyFill="1" applyBorder="1" applyAlignment="1" applyProtection="1">
      <alignment horizontal="left" vertical="center" wrapText="1"/>
      <protection locked="0"/>
    </xf>
    <xf numFmtId="0" fontId="26" fillId="0" borderId="32" xfId="0" applyFont="1" applyFill="1" applyBorder="1" applyAlignment="1" applyProtection="1">
      <alignment horizontal="left" vertical="center" wrapText="1"/>
    </xf>
    <xf numFmtId="0" fontId="28" fillId="0" borderId="38" xfId="0" applyFont="1" applyFill="1" applyBorder="1" applyAlignment="1" applyProtection="1">
      <alignment horizontal="left" vertical="center" wrapText="1"/>
    </xf>
    <xf numFmtId="0" fontId="17" fillId="2" borderId="11" xfId="0" applyFont="1" applyFill="1" applyBorder="1" applyAlignment="1" applyProtection="1">
      <alignment horizontal="left" wrapText="1"/>
    </xf>
    <xf numFmtId="0" fontId="0" fillId="0" borderId="0" xfId="0" applyAlignment="1" applyProtection="1">
      <alignment wrapText="1"/>
    </xf>
    <xf numFmtId="0" fontId="11" fillId="2" borderId="49" xfId="0" applyFont="1" applyFill="1" applyBorder="1" applyAlignment="1" applyProtection="1">
      <alignment horizontal="left"/>
    </xf>
    <xf numFmtId="0" fontId="13" fillId="4" borderId="14" xfId="0" applyFont="1" applyFill="1" applyBorder="1" applyAlignment="1" applyProtection="1">
      <alignment horizontal="left" indent="1"/>
    </xf>
    <xf numFmtId="0" fontId="13" fillId="4" borderId="49" xfId="0" applyFont="1" applyFill="1" applyBorder="1" applyAlignment="1" applyProtection="1">
      <alignment horizontal="left" indent="1"/>
    </xf>
    <xf numFmtId="0" fontId="13" fillId="4" borderId="86" xfId="0" applyFont="1" applyFill="1" applyBorder="1" applyAlignment="1" applyProtection="1">
      <alignment horizontal="left" indent="1"/>
    </xf>
    <xf numFmtId="0" fontId="15" fillId="4" borderId="151" xfId="0" applyFont="1" applyFill="1" applyBorder="1" applyAlignment="1" applyProtection="1">
      <alignment horizontal="left" indent="1"/>
    </xf>
    <xf numFmtId="0" fontId="15" fillId="4" borderId="87" xfId="0" applyFont="1" applyFill="1" applyBorder="1" applyAlignment="1" applyProtection="1">
      <alignment horizontal="left" indent="1"/>
    </xf>
    <xf numFmtId="0" fontId="15" fillId="4" borderId="88" xfId="0" applyFont="1" applyFill="1" applyBorder="1" applyAlignment="1" applyProtection="1">
      <alignment horizontal="left" indent="1"/>
    </xf>
    <xf numFmtId="0" fontId="12" fillId="3" borderId="1" xfId="0" applyFont="1" applyFill="1" applyBorder="1" applyAlignment="1" applyProtection="1">
      <alignment horizontal="left" vertical="center" wrapText="1"/>
      <protection locked="0"/>
    </xf>
    <xf numFmtId="0" fontId="12" fillId="0" borderId="1" xfId="0" applyFont="1" applyBorder="1" applyAlignment="1" applyProtection="1">
      <alignment horizontal="left" wrapText="1"/>
      <protection locked="0"/>
    </xf>
    <xf numFmtId="0" fontId="12" fillId="0" borderId="4" xfId="0" applyFont="1" applyBorder="1" applyAlignment="1" applyProtection="1">
      <alignment horizontal="left" wrapText="1"/>
      <protection locked="0"/>
    </xf>
    <xf numFmtId="0" fontId="12" fillId="3" borderId="23" xfId="0" applyFont="1" applyFill="1" applyBorder="1" applyAlignment="1" applyProtection="1">
      <alignment horizontal="left" vertical="center" wrapText="1"/>
      <protection locked="0"/>
    </xf>
    <xf numFmtId="0" fontId="12" fillId="0" borderId="27" xfId="0" applyFont="1" applyBorder="1" applyAlignment="1" applyProtection="1">
      <alignment horizontal="left"/>
      <protection locked="0"/>
    </xf>
    <xf numFmtId="0" fontId="12" fillId="0" borderId="153" xfId="0" applyFont="1" applyBorder="1" applyAlignment="1" applyProtection="1">
      <alignment horizontal="left"/>
      <protection locked="0"/>
    </xf>
    <xf numFmtId="0" fontId="2" fillId="3" borderId="16" xfId="0" applyFont="1" applyFill="1" applyBorder="1" applyAlignment="1" applyProtection="1">
      <alignment horizontal="left" vertical="center" wrapText="1"/>
    </xf>
    <xf numFmtId="0" fontId="0" fillId="3" borderId="16" xfId="0" applyFill="1" applyBorder="1" applyAlignment="1" applyProtection="1">
      <alignment horizontal="left" vertical="center" wrapText="1"/>
    </xf>
    <xf numFmtId="0" fontId="0" fillId="3" borderId="6" xfId="0" applyFill="1" applyBorder="1" applyAlignment="1" applyProtection="1">
      <alignment horizontal="left" vertical="center" wrapText="1"/>
    </xf>
    <xf numFmtId="0" fontId="23" fillId="16" borderId="3" xfId="0" applyFont="1" applyFill="1" applyBorder="1" applyAlignment="1" applyProtection="1">
      <alignment horizontal="center" vertical="center" wrapText="1"/>
    </xf>
    <xf numFmtId="0" fontId="35" fillId="16" borderId="3" xfId="0" applyFont="1" applyFill="1" applyBorder="1" applyAlignment="1" applyProtection="1">
      <alignment wrapText="1"/>
    </xf>
    <xf numFmtId="0" fontId="35" fillId="16" borderId="12" xfId="0" applyFont="1" applyFill="1" applyBorder="1" applyAlignment="1" applyProtection="1">
      <alignment wrapText="1"/>
    </xf>
    <xf numFmtId="0" fontId="12" fillId="3" borderId="27" xfId="0" applyFont="1" applyFill="1" applyBorder="1" applyAlignment="1" applyProtection="1">
      <alignment horizontal="left" vertical="center" wrapText="1"/>
      <protection locked="0"/>
    </xf>
    <xf numFmtId="0" fontId="12" fillId="3" borderId="153" xfId="0" applyFont="1" applyFill="1" applyBorder="1" applyAlignment="1" applyProtection="1">
      <alignment horizontal="left" vertical="center" wrapText="1"/>
      <protection locked="0"/>
    </xf>
    <xf numFmtId="0" fontId="12" fillId="3" borderId="96" xfId="0" applyFont="1" applyFill="1" applyBorder="1" applyAlignment="1" applyProtection="1">
      <alignment horizontal="left" vertical="center" wrapText="1"/>
      <protection locked="0"/>
    </xf>
    <xf numFmtId="0" fontId="12" fillId="3" borderId="54" xfId="0" applyFont="1" applyFill="1" applyBorder="1" applyAlignment="1" applyProtection="1">
      <alignment horizontal="left" vertical="center" wrapText="1"/>
      <protection locked="0"/>
    </xf>
    <xf numFmtId="0" fontId="12" fillId="3" borderId="157" xfId="0" applyFont="1" applyFill="1" applyBorder="1" applyAlignment="1" applyProtection="1">
      <alignment horizontal="left" vertical="center" wrapText="1"/>
      <protection locked="0"/>
    </xf>
    <xf numFmtId="0" fontId="2" fillId="3" borderId="6" xfId="0" applyFont="1" applyFill="1" applyBorder="1" applyAlignment="1" applyProtection="1">
      <alignment horizontal="left" vertical="center" wrapText="1"/>
    </xf>
    <xf numFmtId="0" fontId="31" fillId="3" borderId="99" xfId="0" applyFont="1" applyFill="1" applyBorder="1" applyAlignment="1" applyProtection="1">
      <alignment horizontal="left" vertical="center" wrapText="1"/>
    </xf>
    <xf numFmtId="0" fontId="31" fillId="3" borderId="27" xfId="0" applyFont="1" applyFill="1" applyBorder="1" applyAlignment="1" applyProtection="1">
      <alignment horizontal="left" vertical="center" wrapText="1"/>
    </xf>
    <xf numFmtId="0" fontId="31" fillId="3" borderId="25" xfId="0" applyFont="1" applyFill="1" applyBorder="1" applyAlignment="1" applyProtection="1">
      <alignment horizontal="left" vertical="center" wrapText="1"/>
    </xf>
    <xf numFmtId="0" fontId="2" fillId="3" borderId="0" xfId="0" applyFont="1" applyFill="1" applyBorder="1" applyAlignment="1" applyProtection="1">
      <alignment vertical="center" wrapText="1"/>
    </xf>
    <xf numFmtId="0" fontId="0" fillId="3" borderId="0" xfId="0" applyFill="1" applyBorder="1" applyAlignment="1" applyProtection="1">
      <alignment vertical="center" wrapText="1"/>
    </xf>
    <xf numFmtId="0" fontId="0" fillId="3" borderId="9" xfId="0" applyFill="1" applyBorder="1" applyAlignment="1" applyProtection="1">
      <alignment vertical="center" wrapText="1"/>
    </xf>
    <xf numFmtId="0" fontId="2" fillId="16" borderId="16" xfId="0" applyFont="1" applyFill="1" applyBorder="1" applyAlignment="1" applyProtection="1">
      <alignment vertical="center" wrapText="1"/>
    </xf>
    <xf numFmtId="0" fontId="0" fillId="16" borderId="16" xfId="0" applyFill="1" applyBorder="1" applyAlignment="1" applyProtection="1">
      <alignment vertical="center" wrapText="1"/>
    </xf>
    <xf numFmtId="0" fontId="0" fillId="16" borderId="6" xfId="0" applyFill="1" applyBorder="1" applyAlignment="1" applyProtection="1">
      <alignment vertical="center" wrapText="1"/>
    </xf>
    <xf numFmtId="3" fontId="12" fillId="4" borderId="28" xfId="0" applyNumberFormat="1" applyFont="1" applyFill="1" applyBorder="1" applyAlignment="1" applyProtection="1">
      <alignment horizontal="center" vertical="center"/>
    </xf>
    <xf numFmtId="0" fontId="12" fillId="0" borderId="75" xfId="0" applyFont="1" applyBorder="1" applyAlignment="1" applyProtection="1">
      <alignment vertical="center"/>
    </xf>
    <xf numFmtId="0" fontId="0" fillId="0" borderId="99" xfId="0" applyBorder="1" applyAlignment="1" applyProtection="1">
      <alignment vertical="center" wrapText="1"/>
    </xf>
    <xf numFmtId="0" fontId="0" fillId="0" borderId="27" xfId="0" applyBorder="1" applyAlignment="1" applyProtection="1">
      <alignment vertical="center" wrapText="1"/>
    </xf>
    <xf numFmtId="3" fontId="12" fillId="3" borderId="28" xfId="0" applyNumberFormat="1" applyFont="1" applyFill="1" applyBorder="1" applyAlignment="1" applyProtection="1">
      <alignment horizontal="center" vertical="center"/>
      <protection locked="0"/>
    </xf>
    <xf numFmtId="3" fontId="12" fillId="3" borderId="75" xfId="0" applyNumberFormat="1" applyFont="1" applyFill="1" applyBorder="1" applyAlignment="1" applyProtection="1">
      <alignment horizontal="center" vertical="center"/>
      <protection locked="0"/>
    </xf>
    <xf numFmtId="0" fontId="12" fillId="3" borderId="84" xfId="0" applyFont="1" applyFill="1" applyBorder="1" applyAlignment="1" applyProtection="1">
      <alignment horizontal="left" vertical="center" wrapText="1"/>
      <protection locked="0"/>
    </xf>
    <xf numFmtId="0" fontId="12" fillId="0" borderId="84" xfId="0" applyFont="1" applyBorder="1" applyAlignment="1" applyProtection="1">
      <alignment horizontal="left" wrapText="1"/>
      <protection locked="0"/>
    </xf>
    <xf numFmtId="0" fontId="12" fillId="0" borderId="95" xfId="0" applyFont="1" applyBorder="1" applyAlignment="1" applyProtection="1">
      <alignment horizontal="left" wrapText="1"/>
      <protection locked="0"/>
    </xf>
    <xf numFmtId="0" fontId="2" fillId="3" borderId="180" xfId="0" applyFont="1" applyFill="1" applyBorder="1" applyAlignment="1" applyProtection="1">
      <alignment horizontal="left" vertical="center" wrapText="1"/>
    </xf>
    <xf numFmtId="0" fontId="0" fillId="3" borderId="180" xfId="0" applyFill="1" applyBorder="1" applyAlignment="1" applyProtection="1">
      <alignment horizontal="left" vertical="center" wrapText="1"/>
    </xf>
    <xf numFmtId="0" fontId="0" fillId="3" borderId="181" xfId="0" applyFill="1" applyBorder="1" applyAlignment="1" applyProtection="1">
      <alignment horizontal="left" vertical="center" wrapText="1"/>
    </xf>
    <xf numFmtId="0" fontId="2" fillId="3" borderId="54" xfId="0" applyFont="1" applyFill="1" applyBorder="1" applyAlignment="1" applyProtection="1">
      <alignment vertical="center" wrapText="1"/>
    </xf>
    <xf numFmtId="0" fontId="0" fillId="3" borderId="54" xfId="0" applyFill="1" applyBorder="1" applyAlignment="1" applyProtection="1">
      <alignment vertical="center" wrapText="1"/>
    </xf>
    <xf numFmtId="0" fontId="2" fillId="3" borderId="194" xfId="0" applyFont="1" applyFill="1" applyBorder="1" applyAlignment="1" applyProtection="1">
      <alignment vertical="center" wrapText="1"/>
    </xf>
    <xf numFmtId="0" fontId="0" fillId="0" borderId="194" xfId="0" applyBorder="1"/>
    <xf numFmtId="0" fontId="0" fillId="0" borderId="195" xfId="0" applyBorder="1"/>
    <xf numFmtId="179" fontId="12" fillId="3" borderId="13" xfId="0" applyNumberFormat="1" applyFont="1" applyFill="1" applyBorder="1" applyAlignment="1" applyProtection="1">
      <alignment horizontal="left" vertical="top" wrapText="1"/>
      <protection locked="0"/>
    </xf>
    <xf numFmtId="179" fontId="12" fillId="0" borderId="16" xfId="0" applyNumberFormat="1" applyFont="1" applyBorder="1" applyAlignment="1" applyProtection="1">
      <alignment horizontal="left" vertical="top" wrapText="1"/>
      <protection locked="0"/>
    </xf>
    <xf numFmtId="179" fontId="12" fillId="0" borderId="70" xfId="0" applyNumberFormat="1" applyFont="1" applyBorder="1" applyAlignment="1" applyProtection="1">
      <alignment horizontal="left" vertical="top" wrapText="1"/>
      <protection locked="0"/>
    </xf>
    <xf numFmtId="0" fontId="2" fillId="3" borderId="164" xfId="0" applyFont="1" applyFill="1" applyBorder="1" applyAlignment="1" applyProtection="1">
      <alignment horizontal="left" vertical="center" wrapText="1"/>
    </xf>
    <xf numFmtId="0" fontId="2" fillId="3" borderId="87" xfId="0" applyFont="1" applyFill="1" applyBorder="1" applyAlignment="1" applyProtection="1">
      <alignment horizontal="left" vertical="center" wrapText="1"/>
    </xf>
    <xf numFmtId="0" fontId="2" fillId="3" borderId="155" xfId="0" applyFont="1" applyFill="1" applyBorder="1" applyAlignment="1" applyProtection="1">
      <alignment horizontal="left" vertical="center" wrapText="1"/>
    </xf>
    <xf numFmtId="0" fontId="2" fillId="16" borderId="54" xfId="0" applyFont="1" applyFill="1" applyBorder="1" applyAlignment="1" applyProtection="1">
      <alignment horizontal="left" vertical="center" wrapText="1"/>
    </xf>
    <xf numFmtId="0" fontId="0" fillId="16" borderId="54" xfId="0" applyFill="1" applyBorder="1" applyAlignment="1" applyProtection="1">
      <alignment horizontal="left" vertical="center" wrapText="1"/>
    </xf>
    <xf numFmtId="0" fontId="0" fillId="16" borderId="172" xfId="0" applyFill="1" applyBorder="1" applyAlignment="1" applyProtection="1">
      <alignment horizontal="left" vertical="center" wrapText="1"/>
    </xf>
    <xf numFmtId="0" fontId="23" fillId="27" borderId="13" xfId="0" applyFont="1" applyFill="1" applyBorder="1" applyAlignment="1" applyProtection="1">
      <alignment horizontal="center" vertical="center" wrapText="1"/>
    </xf>
    <xf numFmtId="0" fontId="23" fillId="27" borderId="16" xfId="0" applyFont="1" applyFill="1" applyBorder="1" applyAlignment="1" applyProtection="1">
      <alignment horizontal="center" vertical="center" wrapText="1"/>
    </xf>
    <xf numFmtId="0" fontId="23" fillId="27" borderId="6" xfId="0" applyFont="1" applyFill="1" applyBorder="1" applyAlignment="1" applyProtection="1">
      <alignment horizontal="center" vertical="center" wrapText="1"/>
    </xf>
    <xf numFmtId="0" fontId="83" fillId="4" borderId="23" xfId="0" applyNumberFormat="1" applyFont="1" applyFill="1" applyBorder="1" applyAlignment="1" applyProtection="1">
      <alignment horizontal="left" vertical="center" wrapText="1"/>
    </xf>
    <xf numFmtId="0" fontId="83" fillId="4" borderId="27" xfId="0" applyNumberFormat="1" applyFont="1" applyFill="1" applyBorder="1" applyAlignment="1" applyProtection="1">
      <alignment horizontal="left" vertical="center" wrapText="1"/>
    </xf>
    <xf numFmtId="0" fontId="83" fillId="4" borderId="25" xfId="0" applyNumberFormat="1" applyFont="1" applyFill="1" applyBorder="1" applyAlignment="1" applyProtection="1">
      <alignment horizontal="left" vertical="center" wrapText="1"/>
    </xf>
    <xf numFmtId="0" fontId="83" fillId="4" borderId="96" xfId="0" applyNumberFormat="1" applyFont="1" applyFill="1" applyBorder="1" applyAlignment="1" applyProtection="1">
      <alignment horizontal="left" vertical="center" wrapText="1"/>
    </xf>
    <xf numFmtId="0" fontId="83" fillId="4" borderId="54" xfId="0" applyNumberFormat="1" applyFont="1" applyFill="1" applyBorder="1" applyAlignment="1" applyProtection="1">
      <alignment horizontal="left" vertical="center" wrapText="1"/>
    </xf>
    <xf numFmtId="0" fontId="83" fillId="4" borderId="172" xfId="0" applyNumberFormat="1" applyFont="1" applyFill="1" applyBorder="1" applyAlignment="1" applyProtection="1">
      <alignment horizontal="left" vertical="center" wrapText="1"/>
    </xf>
    <xf numFmtId="0" fontId="4" fillId="3" borderId="13" xfId="0" applyFont="1" applyFill="1" applyBorder="1" applyAlignment="1" applyProtection="1">
      <alignment vertical="center" wrapText="1" shrinkToFit="1"/>
      <protection locked="0"/>
    </xf>
    <xf numFmtId="0" fontId="4" fillId="3" borderId="16" xfId="0" applyFont="1" applyFill="1" applyBorder="1" applyAlignment="1" applyProtection="1">
      <alignment vertical="center" wrapText="1" shrinkToFit="1"/>
      <protection locked="0"/>
    </xf>
    <xf numFmtId="0" fontId="4" fillId="3" borderId="6" xfId="0" applyFont="1" applyFill="1" applyBorder="1" applyAlignment="1" applyProtection="1">
      <alignment vertical="center" wrapText="1" shrinkToFit="1"/>
      <protection locked="0"/>
    </xf>
    <xf numFmtId="0" fontId="12" fillId="0" borderId="24" xfId="0" applyFont="1" applyFill="1" applyBorder="1" applyAlignment="1" applyProtection="1">
      <alignment horizontal="left" wrapText="1"/>
    </xf>
    <xf numFmtId="0" fontId="12" fillId="0" borderId="180" xfId="0" applyFont="1" applyFill="1" applyBorder="1" applyAlignment="1" applyProtection="1">
      <alignment horizontal="left" wrapText="1"/>
    </xf>
    <xf numFmtId="0" fontId="4" fillId="3" borderId="76" xfId="0" applyFont="1" applyFill="1" applyBorder="1" applyAlignment="1" applyProtection="1">
      <alignment horizontal="center" vertical="center" wrapText="1"/>
      <protection locked="0"/>
    </xf>
    <xf numFmtId="0" fontId="4" fillId="3" borderId="49" xfId="0" applyFont="1" applyFill="1" applyBorder="1" applyAlignment="1" applyProtection="1">
      <alignment horizontal="center" vertical="center" wrapText="1"/>
      <protection locked="0"/>
    </xf>
    <xf numFmtId="0" fontId="4" fillId="3" borderId="86" xfId="0" applyFont="1" applyFill="1" applyBorder="1" applyAlignment="1" applyProtection="1">
      <alignment horizontal="center" vertical="center" wrapText="1"/>
      <protection locked="0"/>
    </xf>
    <xf numFmtId="0" fontId="4" fillId="3" borderId="11" xfId="0" applyFont="1" applyFill="1" applyBorder="1" applyAlignment="1" applyProtection="1">
      <alignment horizontal="center" vertical="center" wrapText="1"/>
      <protection locked="0"/>
    </xf>
    <xf numFmtId="0" fontId="4" fillId="3" borderId="0" xfId="0" applyFont="1" applyFill="1" applyBorder="1" applyAlignment="1" applyProtection="1">
      <alignment horizontal="center" vertical="center" wrapText="1"/>
      <protection locked="0"/>
    </xf>
    <xf numFmtId="0" fontId="4" fillId="3" borderId="117" xfId="0" applyFont="1" applyFill="1" applyBorder="1" applyAlignment="1" applyProtection="1">
      <alignment horizontal="center" vertical="center" wrapText="1"/>
      <protection locked="0"/>
    </xf>
    <xf numFmtId="0" fontId="4" fillId="3" borderId="7" xfId="0" applyFont="1" applyFill="1" applyBorder="1" applyAlignment="1" applyProtection="1">
      <alignment horizontal="center" vertical="center" wrapText="1"/>
      <protection locked="0"/>
    </xf>
    <xf numFmtId="0" fontId="4" fillId="3" borderId="10" xfId="0" applyFont="1" applyFill="1" applyBorder="1" applyAlignment="1" applyProtection="1">
      <alignment horizontal="center" vertical="center" wrapText="1"/>
      <protection locked="0"/>
    </xf>
    <xf numFmtId="0" fontId="4" fillId="3" borderId="145" xfId="0" applyFont="1" applyFill="1" applyBorder="1" applyAlignment="1" applyProtection="1">
      <alignment horizontal="center" vertical="center" wrapText="1"/>
      <protection locked="0"/>
    </xf>
    <xf numFmtId="0" fontId="12" fillId="0" borderId="185" xfId="0" applyFont="1" applyFill="1" applyBorder="1" applyAlignment="1" applyProtection="1">
      <alignment horizontal="left" wrapText="1"/>
    </xf>
    <xf numFmtId="0" fontId="12" fillId="0" borderId="27" xfId="0" applyFont="1" applyFill="1" applyBorder="1" applyAlignment="1" applyProtection="1">
      <alignment horizontal="left" wrapText="1"/>
    </xf>
    <xf numFmtId="0" fontId="12" fillId="0" borderId="25" xfId="0" applyFont="1" applyFill="1" applyBorder="1" applyAlignment="1" applyProtection="1">
      <alignment horizontal="left" wrapText="1"/>
    </xf>
    <xf numFmtId="0" fontId="12" fillId="0" borderId="186" xfId="0" applyFont="1" applyFill="1" applyBorder="1" applyAlignment="1" applyProtection="1">
      <alignment horizontal="left" wrapText="1"/>
    </xf>
    <xf numFmtId="0" fontId="12" fillId="0" borderId="187" xfId="0" applyFont="1" applyFill="1" applyBorder="1" applyAlignment="1" applyProtection="1">
      <alignment horizontal="left" wrapText="1"/>
    </xf>
    <xf numFmtId="0" fontId="12" fillId="0" borderId="188" xfId="0" applyFont="1" applyFill="1" applyBorder="1" applyAlignment="1" applyProtection="1">
      <alignment horizontal="left" wrapText="1"/>
    </xf>
    <xf numFmtId="0" fontId="4" fillId="3" borderId="23" xfId="0" applyFont="1" applyFill="1" applyBorder="1" applyAlignment="1" applyProtection="1">
      <alignment horizontal="left" vertical="center" wrapText="1"/>
      <protection locked="0"/>
    </xf>
    <xf numFmtId="0" fontId="4" fillId="3" borderId="27" xfId="0" applyFont="1" applyFill="1" applyBorder="1" applyAlignment="1" applyProtection="1">
      <alignment horizontal="left" vertical="center" wrapText="1"/>
      <protection locked="0"/>
    </xf>
    <xf numFmtId="0" fontId="4" fillId="3" borderId="25" xfId="0" applyFont="1" applyFill="1" applyBorder="1" applyAlignment="1" applyProtection="1">
      <alignment horizontal="left" vertical="center" wrapText="1"/>
      <protection locked="0"/>
    </xf>
    <xf numFmtId="0" fontId="4" fillId="3" borderId="96" xfId="0" applyFont="1" applyFill="1" applyBorder="1" applyAlignment="1" applyProtection="1">
      <alignment horizontal="left" vertical="center" wrapText="1"/>
      <protection locked="0"/>
    </xf>
    <xf numFmtId="0" fontId="4" fillId="3" borderId="54" xfId="0" applyFont="1" applyFill="1" applyBorder="1" applyAlignment="1" applyProtection="1">
      <alignment horizontal="left" vertical="center" wrapText="1"/>
      <protection locked="0"/>
    </xf>
    <xf numFmtId="0" fontId="4" fillId="3" borderId="172" xfId="0" applyFont="1" applyFill="1" applyBorder="1" applyAlignment="1" applyProtection="1">
      <alignment horizontal="left" vertical="center" wrapText="1"/>
      <protection locked="0"/>
    </xf>
    <xf numFmtId="0" fontId="12" fillId="3" borderId="13" xfId="0" applyFont="1" applyFill="1" applyBorder="1" applyAlignment="1" applyProtection="1">
      <alignment horizontal="center" vertical="center" wrapText="1"/>
      <protection locked="0"/>
    </xf>
    <xf numFmtId="0" fontId="12" fillId="3" borderId="16" xfId="0" applyFont="1" applyFill="1" applyBorder="1" applyAlignment="1" applyProtection="1">
      <alignment horizontal="center" vertical="center" wrapText="1"/>
      <protection locked="0"/>
    </xf>
    <xf numFmtId="0" fontId="12" fillId="3" borderId="6" xfId="0" applyFont="1" applyFill="1" applyBorder="1" applyAlignment="1" applyProtection="1">
      <alignment horizontal="center" vertical="center" wrapText="1"/>
      <protection locked="0"/>
    </xf>
    <xf numFmtId="0" fontId="13" fillId="16" borderId="41" xfId="0" applyFont="1" applyFill="1" applyBorder="1" applyAlignment="1" applyProtection="1">
      <alignment horizontal="center" vertical="center"/>
    </xf>
    <xf numFmtId="0" fontId="13" fillId="16" borderId="38" xfId="0" applyFont="1" applyFill="1" applyBorder="1" applyAlignment="1" applyProtection="1">
      <alignment horizontal="center" vertical="center"/>
    </xf>
    <xf numFmtId="0" fontId="13" fillId="16" borderId="48" xfId="0" applyFont="1" applyFill="1" applyBorder="1" applyAlignment="1" applyProtection="1">
      <alignment horizontal="center" vertical="center"/>
    </xf>
    <xf numFmtId="0" fontId="12" fillId="3" borderId="13" xfId="0" applyFont="1" applyFill="1" applyBorder="1" applyAlignment="1" applyProtection="1">
      <alignment horizontal="center" vertical="center"/>
      <protection locked="0"/>
    </xf>
    <xf numFmtId="0" fontId="12" fillId="3" borderId="16" xfId="0" applyFont="1" applyFill="1" applyBorder="1" applyAlignment="1" applyProtection="1">
      <alignment horizontal="center" vertical="center"/>
      <protection locked="0"/>
    </xf>
    <xf numFmtId="0" fontId="12" fillId="3" borderId="6" xfId="0" applyFont="1" applyFill="1" applyBorder="1" applyAlignment="1" applyProtection="1">
      <alignment horizontal="center" vertical="center"/>
      <protection locked="0"/>
    </xf>
    <xf numFmtId="0" fontId="13" fillId="0" borderId="23" xfId="0" applyFont="1" applyFill="1" applyBorder="1" applyAlignment="1" applyProtection="1">
      <alignment horizontal="left" vertical="center" wrapText="1" indent="1"/>
    </xf>
    <xf numFmtId="0" fontId="13" fillId="0" borderId="27" xfId="0" applyFont="1" applyFill="1" applyBorder="1" applyAlignment="1" applyProtection="1">
      <alignment horizontal="left" vertical="center" wrapText="1" indent="1"/>
    </xf>
    <xf numFmtId="0" fontId="13" fillId="0" borderId="25" xfId="0" applyFont="1" applyFill="1" applyBorder="1" applyAlignment="1" applyProtection="1">
      <alignment horizontal="left" vertical="center" wrapText="1" indent="1"/>
    </xf>
    <xf numFmtId="0" fontId="13" fillId="0" borderId="96" xfId="0" applyFont="1" applyFill="1" applyBorder="1" applyAlignment="1" applyProtection="1">
      <alignment horizontal="left" vertical="center" wrapText="1" indent="1"/>
    </xf>
    <xf numFmtId="0" fontId="13" fillId="0" borderId="54" xfId="0" applyFont="1" applyFill="1" applyBorder="1" applyAlignment="1" applyProtection="1">
      <alignment horizontal="left" vertical="center" wrapText="1" indent="1"/>
    </xf>
    <xf numFmtId="0" fontId="13" fillId="0" borderId="172" xfId="0" applyFont="1" applyFill="1" applyBorder="1" applyAlignment="1" applyProtection="1">
      <alignment horizontal="left" vertical="center" wrapText="1" indent="1"/>
    </xf>
    <xf numFmtId="0" fontId="15" fillId="0" borderId="182" xfId="0" applyFont="1" applyFill="1" applyBorder="1" applyAlignment="1" applyProtection="1">
      <alignment horizontal="center" vertical="center"/>
    </xf>
    <xf numFmtId="0" fontId="15" fillId="0" borderId="183" xfId="0" applyFont="1" applyFill="1" applyBorder="1" applyAlignment="1" applyProtection="1">
      <alignment horizontal="center" vertical="center"/>
    </xf>
    <xf numFmtId="0" fontId="15" fillId="0" borderId="184" xfId="0" applyFont="1" applyFill="1" applyBorder="1" applyAlignment="1" applyProtection="1">
      <alignment horizontal="center" vertical="center"/>
    </xf>
    <xf numFmtId="0" fontId="12" fillId="16" borderId="111" xfId="0" applyFont="1" applyFill="1" applyBorder="1" applyAlignment="1" applyProtection="1">
      <alignment horizontal="left"/>
    </xf>
    <xf numFmtId="0" fontId="12" fillId="16" borderId="83" xfId="0" applyFont="1" applyFill="1" applyBorder="1" applyAlignment="1" applyProtection="1">
      <alignment horizontal="left"/>
    </xf>
    <xf numFmtId="0" fontId="11" fillId="0" borderId="34" xfId="0" applyFont="1" applyFill="1" applyBorder="1" applyAlignment="1" applyProtection="1">
      <alignment horizontal="center"/>
    </xf>
    <xf numFmtId="0" fontId="12" fillId="0" borderId="111" xfId="0" applyFont="1" applyFill="1" applyBorder="1" applyAlignment="1" applyProtection="1">
      <alignment horizontal="left"/>
    </xf>
    <xf numFmtId="0" fontId="12" fillId="0" borderId="83" xfId="0" applyFont="1" applyFill="1" applyBorder="1" applyAlignment="1" applyProtection="1">
      <alignment horizontal="left"/>
    </xf>
    <xf numFmtId="0" fontId="12" fillId="4" borderId="23" xfId="0" applyFont="1" applyFill="1" applyBorder="1" applyAlignment="1" applyProtection="1">
      <alignment horizontal="left" vertical="center" wrapText="1"/>
    </xf>
    <xf numFmtId="0" fontId="12" fillId="4" borderId="27" xfId="0" applyFont="1" applyFill="1" applyBorder="1" applyAlignment="1" applyProtection="1">
      <alignment horizontal="left" vertical="center" wrapText="1"/>
    </xf>
    <xf numFmtId="0" fontId="12" fillId="4" borderId="25" xfId="0" applyFont="1" applyFill="1" applyBorder="1" applyAlignment="1" applyProtection="1">
      <alignment horizontal="left" vertical="center" wrapText="1"/>
    </xf>
    <xf numFmtId="0" fontId="12" fillId="4" borderId="96" xfId="0" applyFont="1" applyFill="1" applyBorder="1" applyAlignment="1" applyProtection="1">
      <alignment horizontal="left" vertical="center" wrapText="1"/>
    </xf>
    <xf numFmtId="0" fontId="12" fillId="4" borderId="54" xfId="0" applyFont="1" applyFill="1" applyBorder="1" applyAlignment="1" applyProtection="1">
      <alignment horizontal="left" vertical="center" wrapText="1"/>
    </xf>
    <xf numFmtId="0" fontId="12" fillId="4" borderId="172" xfId="0" applyFont="1" applyFill="1" applyBorder="1" applyAlignment="1" applyProtection="1">
      <alignment horizontal="left" vertical="center" wrapText="1"/>
    </xf>
    <xf numFmtId="0" fontId="13" fillId="16" borderId="0" xfId="0" applyFont="1" applyFill="1" applyBorder="1" applyAlignment="1" applyProtection="1">
      <alignment horizontal="left" wrapText="1"/>
    </xf>
    <xf numFmtId="0" fontId="2" fillId="16" borderId="68" xfId="0" applyFont="1" applyFill="1" applyBorder="1" applyAlignment="1">
      <alignment wrapText="1"/>
    </xf>
    <xf numFmtId="0" fontId="23" fillId="27" borderId="13" xfId="0" applyFont="1" applyFill="1" applyBorder="1" applyAlignment="1" applyProtection="1">
      <alignment horizontal="center" vertical="center"/>
    </xf>
    <xf numFmtId="0" fontId="23" fillId="27" borderId="16" xfId="0" applyFont="1" applyFill="1" applyBorder="1" applyAlignment="1" applyProtection="1">
      <alignment horizontal="center" vertical="center"/>
    </xf>
    <xf numFmtId="0" fontId="23" fillId="27" borderId="6" xfId="0" applyFont="1" applyFill="1" applyBorder="1" applyAlignment="1" applyProtection="1">
      <alignment horizontal="center" vertical="center"/>
    </xf>
    <xf numFmtId="0" fontId="12" fillId="4" borderId="175" xfId="0" applyFont="1" applyFill="1" applyBorder="1" applyAlignment="1" applyProtection="1">
      <alignment horizontal="left" vertical="center"/>
    </xf>
    <xf numFmtId="0" fontId="12" fillId="3" borderId="67" xfId="0" applyFont="1" applyFill="1" applyBorder="1" applyAlignment="1" applyProtection="1">
      <alignment horizontal="left" vertical="center" wrapText="1"/>
      <protection locked="0"/>
    </xf>
    <xf numFmtId="0" fontId="12" fillId="3" borderId="35" xfId="0" applyFont="1" applyFill="1" applyBorder="1" applyAlignment="1" applyProtection="1">
      <alignment horizontal="left" vertical="center" wrapText="1"/>
      <protection locked="0"/>
    </xf>
    <xf numFmtId="0" fontId="12" fillId="3" borderId="193" xfId="0" applyFont="1" applyFill="1" applyBorder="1" applyAlignment="1" applyProtection="1">
      <alignment horizontal="left" vertical="center" wrapText="1"/>
      <protection locked="0"/>
    </xf>
    <xf numFmtId="0" fontId="12" fillId="3" borderId="7" xfId="0" applyFont="1" applyFill="1" applyBorder="1" applyAlignment="1" applyProtection="1">
      <alignment horizontal="left" vertical="center" wrapText="1"/>
      <protection locked="0"/>
    </xf>
    <xf numFmtId="0" fontId="12" fillId="3" borderId="10" xfId="0" applyFont="1" applyFill="1" applyBorder="1" applyAlignment="1" applyProtection="1">
      <alignment horizontal="left" vertical="center" wrapText="1"/>
      <protection locked="0"/>
    </xf>
    <xf numFmtId="0" fontId="12" fillId="3" borderId="145" xfId="0" applyFont="1" applyFill="1" applyBorder="1" applyAlignment="1" applyProtection="1">
      <alignment horizontal="left" vertical="center" wrapText="1"/>
      <protection locked="0"/>
    </xf>
    <xf numFmtId="0" fontId="11" fillId="16" borderId="0" xfId="0" applyFont="1" applyFill="1" applyBorder="1" applyAlignment="1" applyProtection="1">
      <alignment horizontal="left" vertical="center"/>
    </xf>
    <xf numFmtId="0" fontId="39" fillId="16" borderId="0" xfId="0" applyFont="1" applyFill="1" applyBorder="1" applyAlignment="1" applyProtection="1">
      <alignment horizontal="left" vertical="center"/>
    </xf>
    <xf numFmtId="0" fontId="39" fillId="14" borderId="189" xfId="0" applyFont="1" applyFill="1" applyBorder="1" applyAlignment="1" applyProtection="1">
      <alignment vertical="center"/>
    </xf>
    <xf numFmtId="0" fontId="0" fillId="0" borderId="50" xfId="0" applyBorder="1" applyAlignment="1" applyProtection="1"/>
    <xf numFmtId="0" fontId="0" fillId="0" borderId="190" xfId="0" applyBorder="1" applyAlignment="1" applyProtection="1"/>
    <xf numFmtId="0" fontId="11" fillId="14" borderId="191" xfId="0" applyFont="1" applyFill="1" applyBorder="1" applyAlignment="1" applyProtection="1">
      <alignment horizontal="left" vertical="center"/>
    </xf>
    <xf numFmtId="0" fontId="39" fillId="14" borderId="40" xfId="0" applyFont="1" applyFill="1" applyBorder="1" applyAlignment="1" applyProtection="1">
      <alignment horizontal="left" vertical="center"/>
    </xf>
    <xf numFmtId="0" fontId="39" fillId="14" borderId="192" xfId="0" applyFont="1" applyFill="1" applyBorder="1" applyAlignment="1" applyProtection="1">
      <alignment horizontal="left" vertical="center"/>
    </xf>
    <xf numFmtId="0" fontId="11" fillId="14" borderId="176" xfId="0" applyFont="1" applyFill="1" applyBorder="1" applyAlignment="1" applyProtection="1">
      <alignment horizontal="left"/>
    </xf>
    <xf numFmtId="0" fontId="45" fillId="0" borderId="120" xfId="0" applyFont="1" applyBorder="1" applyAlignment="1" applyProtection="1">
      <alignment horizontal="left"/>
    </xf>
    <xf numFmtId="0" fontId="45" fillId="0" borderId="15" xfId="0" applyFont="1" applyBorder="1" applyAlignment="1" applyProtection="1">
      <alignment horizontal="left"/>
    </xf>
    <xf numFmtId="0" fontId="6" fillId="3" borderId="0" xfId="0" applyFont="1" applyFill="1" applyBorder="1" applyAlignment="1" applyProtection="1">
      <alignment horizontal="left"/>
    </xf>
    <xf numFmtId="0" fontId="0" fillId="3" borderId="0" xfId="0" applyFill="1" applyBorder="1" applyAlignment="1" applyProtection="1">
      <alignment horizontal="left"/>
    </xf>
    <xf numFmtId="2" fontId="43" fillId="0" borderId="0" xfId="0" applyNumberFormat="1" applyFont="1" applyFill="1" applyBorder="1" applyAlignment="1" applyProtection="1">
      <alignment horizontal="left" wrapText="1" indent="2"/>
    </xf>
    <xf numFmtId="2" fontId="52" fillId="0" borderId="0" xfId="0" applyNumberFormat="1" applyFont="1" applyFill="1" applyBorder="1" applyAlignment="1" applyProtection="1">
      <alignment horizontal="left" wrapText="1" indent="2"/>
    </xf>
    <xf numFmtId="0" fontId="12" fillId="3" borderId="76" xfId="0" applyFont="1" applyFill="1" applyBorder="1" applyAlignment="1" applyProtection="1">
      <alignment horizontal="left" vertical="center" wrapText="1"/>
      <protection locked="0"/>
    </xf>
    <xf numFmtId="0" fontId="12" fillId="3" borderId="49" xfId="0" applyFont="1" applyFill="1" applyBorder="1" applyAlignment="1" applyProtection="1">
      <alignment horizontal="left" vertical="center" wrapText="1"/>
      <protection locked="0"/>
    </xf>
    <xf numFmtId="0" fontId="12" fillId="3" borderId="86" xfId="0" applyFont="1" applyFill="1" applyBorder="1" applyAlignment="1" applyProtection="1">
      <alignment horizontal="left" vertical="center" wrapText="1"/>
      <protection locked="0"/>
    </xf>
    <xf numFmtId="0" fontId="86" fillId="3" borderId="0" xfId="0" applyFont="1" applyFill="1" applyAlignment="1" applyProtection="1">
      <alignment horizontal="center" vertical="center" wrapText="1"/>
    </xf>
    <xf numFmtId="0" fontId="12" fillId="3" borderId="16" xfId="0" applyFont="1" applyFill="1" applyBorder="1" applyAlignment="1" applyProtection="1">
      <alignment horizontal="left" vertical="center" wrapText="1"/>
      <protection locked="0"/>
    </xf>
    <xf numFmtId="0" fontId="4" fillId="3" borderId="1" xfId="0" applyFont="1" applyFill="1" applyBorder="1" applyAlignment="1" applyProtection="1">
      <alignment horizontal="center"/>
    </xf>
    <xf numFmtId="0" fontId="11" fillId="2" borderId="121" xfId="0" applyFont="1" applyFill="1" applyBorder="1" applyAlignment="1" applyProtection="1">
      <alignment horizontal="left" vertical="center"/>
    </xf>
    <xf numFmtId="0" fontId="11" fillId="2" borderId="8" xfId="0" applyFont="1" applyFill="1" applyBorder="1" applyAlignment="1" applyProtection="1">
      <alignment horizontal="left" vertical="center"/>
    </xf>
    <xf numFmtId="0" fontId="11" fillId="2" borderId="5" xfId="0" applyFont="1" applyFill="1" applyBorder="1" applyAlignment="1" applyProtection="1">
      <alignment horizontal="left" vertical="center"/>
    </xf>
    <xf numFmtId="0" fontId="4" fillId="3" borderId="13" xfId="0" applyFont="1" applyFill="1" applyBorder="1" applyAlignment="1" applyProtection="1">
      <alignment horizontal="left"/>
    </xf>
    <xf numFmtId="0" fontId="4" fillId="3" borderId="16" xfId="0" applyFont="1" applyFill="1" applyBorder="1" applyAlignment="1" applyProtection="1">
      <alignment horizontal="left"/>
    </xf>
    <xf numFmtId="0" fontId="4" fillId="3" borderId="6" xfId="0" applyFont="1" applyFill="1" applyBorder="1" applyAlignment="1" applyProtection="1">
      <alignment horizontal="left"/>
    </xf>
    <xf numFmtId="0" fontId="18" fillId="3" borderId="0" xfId="0" applyFont="1" applyFill="1" applyBorder="1" applyAlignment="1" applyProtection="1">
      <alignment horizontal="left" wrapText="1"/>
    </xf>
    <xf numFmtId="0" fontId="90" fillId="3" borderId="0" xfId="0" applyFont="1" applyFill="1" applyAlignment="1" applyProtection="1">
      <alignment horizontal="left" wrapText="1"/>
    </xf>
    <xf numFmtId="0" fontId="13" fillId="4" borderId="13" xfId="0" applyFont="1" applyFill="1" applyBorder="1" applyAlignment="1" applyProtection="1">
      <alignment horizontal="left" vertical="center" indent="1"/>
    </xf>
    <xf numFmtId="0" fontId="13" fillId="4" borderId="16" xfId="0" applyFont="1" applyFill="1" applyBorder="1" applyAlignment="1" applyProtection="1">
      <alignment horizontal="left" vertical="center" indent="1"/>
    </xf>
    <xf numFmtId="0" fontId="13" fillId="4" borderId="70" xfId="0" applyFont="1" applyFill="1" applyBorder="1" applyAlignment="1" applyProtection="1">
      <alignment horizontal="left" vertical="center" indent="1"/>
    </xf>
    <xf numFmtId="0" fontId="15" fillId="4" borderId="175" xfId="0" applyFont="1" applyFill="1" applyBorder="1" applyAlignment="1" applyProtection="1">
      <alignment horizontal="left" vertical="center" wrapText="1" indent="1"/>
    </xf>
    <xf numFmtId="0" fontId="15" fillId="4" borderId="103" xfId="0" applyFont="1" applyFill="1" applyBorder="1" applyAlignment="1" applyProtection="1">
      <alignment horizontal="left" vertical="center" wrapText="1" indent="1"/>
    </xf>
    <xf numFmtId="0" fontId="15" fillId="4" borderId="123" xfId="0" applyFont="1" applyFill="1" applyBorder="1" applyAlignment="1" applyProtection="1">
      <alignment horizontal="left" vertical="center" wrapText="1" indent="1"/>
    </xf>
    <xf numFmtId="0" fontId="15" fillId="4" borderId="89" xfId="0" applyFont="1" applyFill="1" applyBorder="1" applyAlignment="1" applyProtection="1">
      <alignment horizontal="left" vertical="center" indent="1"/>
    </xf>
    <xf numFmtId="0" fontId="15" fillId="4" borderId="8" xfId="0" applyFont="1" applyFill="1" applyBorder="1" applyAlignment="1" applyProtection="1">
      <alignment horizontal="left" vertical="center" indent="1"/>
    </xf>
    <xf numFmtId="0" fontId="15" fillId="4" borderId="90" xfId="0" applyFont="1" applyFill="1" applyBorder="1" applyAlignment="1" applyProtection="1">
      <alignment horizontal="left" vertical="center" indent="1"/>
    </xf>
    <xf numFmtId="0" fontId="26" fillId="16" borderId="0" xfId="0" applyFont="1" applyFill="1" applyBorder="1" applyAlignment="1" applyProtection="1">
      <alignment horizontal="left"/>
    </xf>
    <xf numFmtId="0" fontId="18" fillId="16" borderId="0" xfId="0" applyFont="1" applyFill="1" applyBorder="1" applyAlignment="1" applyProtection="1">
      <alignment horizontal="center" wrapText="1"/>
    </xf>
    <xf numFmtId="0" fontId="28" fillId="3" borderId="54" xfId="0" applyFont="1" applyFill="1" applyBorder="1" applyAlignment="1" applyProtection="1">
      <alignment horizontal="left"/>
      <protection locked="0"/>
    </xf>
    <xf numFmtId="167" fontId="15" fillId="4" borderId="16" xfId="0" applyNumberFormat="1" applyFont="1" applyFill="1" applyBorder="1" applyAlignment="1" applyProtection="1">
      <alignment horizontal="left" vertical="center" indent="1"/>
    </xf>
    <xf numFmtId="167" fontId="15" fillId="4" borderId="70" xfId="0" applyNumberFormat="1" applyFont="1" applyFill="1" applyBorder="1" applyAlignment="1" applyProtection="1">
      <alignment horizontal="left" vertical="center" indent="1"/>
    </xf>
    <xf numFmtId="0" fontId="12" fillId="3" borderId="0" xfId="0" applyFont="1" applyFill="1" applyAlignment="1" applyProtection="1">
      <alignment horizontal="left" wrapText="1" indent="1"/>
    </xf>
    <xf numFmtId="15" fontId="28" fillId="3" borderId="54" xfId="0" applyNumberFormat="1" applyFont="1" applyFill="1" applyBorder="1" applyAlignment="1" applyProtection="1">
      <alignment horizontal="left"/>
      <protection locked="0"/>
    </xf>
    <xf numFmtId="0" fontId="12" fillId="3" borderId="0" xfId="0" applyFont="1" applyFill="1" applyBorder="1" applyAlignment="1" applyProtection="1">
      <alignment horizontal="left" wrapText="1"/>
    </xf>
    <xf numFmtId="0" fontId="35" fillId="0" borderId="0" xfId="0" applyFont="1" applyBorder="1" applyAlignment="1">
      <alignment horizontal="left" wrapText="1"/>
    </xf>
    <xf numFmtId="0" fontId="2" fillId="0" borderId="23" xfId="0" applyFont="1" applyFill="1" applyBorder="1" applyAlignment="1" applyProtection="1">
      <alignment horizontal="left" vertical="center" wrapText="1"/>
      <protection locked="0"/>
    </xf>
    <xf numFmtId="0" fontId="0" fillId="0" borderId="27" xfId="0" applyFill="1" applyBorder="1" applyAlignment="1" applyProtection="1">
      <alignment horizontal="left" vertical="center" wrapText="1"/>
      <protection locked="0"/>
    </xf>
    <xf numFmtId="0" fontId="0" fillId="0" borderId="25" xfId="0" applyFill="1" applyBorder="1" applyAlignment="1" applyProtection="1">
      <alignment horizontal="left" vertical="center" wrapText="1"/>
      <protection locked="0"/>
    </xf>
    <xf numFmtId="0" fontId="0" fillId="0" borderId="96" xfId="0" applyFill="1" applyBorder="1" applyAlignment="1" applyProtection="1">
      <alignment horizontal="left" vertical="center" wrapText="1"/>
      <protection locked="0"/>
    </xf>
    <xf numFmtId="0" fontId="0" fillId="0" borderId="54" xfId="0" applyFill="1" applyBorder="1" applyAlignment="1" applyProtection="1">
      <alignment horizontal="left" vertical="center" wrapText="1"/>
      <protection locked="0"/>
    </xf>
    <xf numFmtId="0" fontId="0" fillId="0" borderId="172" xfId="0" applyFill="1" applyBorder="1" applyAlignment="1" applyProtection="1">
      <alignment horizontal="left" vertical="center" wrapText="1"/>
      <protection locked="0"/>
    </xf>
    <xf numFmtId="0" fontId="4" fillId="16" borderId="23" xfId="0" applyFont="1" applyFill="1" applyBorder="1" applyAlignment="1" applyProtection="1">
      <alignment vertical="top" wrapText="1"/>
      <protection locked="0"/>
    </xf>
    <xf numFmtId="0" fontId="4" fillId="16" borderId="27" xfId="0" applyFont="1" applyFill="1" applyBorder="1" applyAlignment="1" applyProtection="1">
      <alignment vertical="top" wrapText="1"/>
      <protection locked="0"/>
    </xf>
    <xf numFmtId="0" fontId="4" fillId="16" borderId="25" xfId="0" applyFont="1" applyFill="1" applyBorder="1" applyAlignment="1" applyProtection="1">
      <alignment vertical="top" wrapText="1"/>
      <protection locked="0"/>
    </xf>
    <xf numFmtId="0" fontId="4" fillId="16" borderId="96" xfId="0" applyFont="1" applyFill="1" applyBorder="1" applyAlignment="1" applyProtection="1">
      <alignment vertical="top" wrapText="1"/>
      <protection locked="0"/>
    </xf>
    <xf numFmtId="0" fontId="4" fillId="16" borderId="54" xfId="0" applyFont="1" applyFill="1" applyBorder="1" applyAlignment="1" applyProtection="1">
      <alignment vertical="top" wrapText="1"/>
      <protection locked="0"/>
    </xf>
    <xf numFmtId="0" fontId="4" fillId="16" borderId="172" xfId="0" applyFont="1" applyFill="1" applyBorder="1" applyAlignment="1" applyProtection="1">
      <alignment vertical="top" wrapText="1"/>
      <protection locked="0"/>
    </xf>
    <xf numFmtId="0" fontId="91" fillId="16" borderId="27" xfId="0" applyFont="1" applyFill="1" applyBorder="1" applyAlignment="1" applyProtection="1">
      <alignment horizontal="left" wrapText="1"/>
      <protection locked="0"/>
    </xf>
    <xf numFmtId="0" fontId="12" fillId="0" borderId="16" xfId="0" applyFont="1" applyFill="1" applyBorder="1" applyAlignment="1" applyProtection="1">
      <alignment horizontal="left" vertical="center" wrapText="1" shrinkToFit="1"/>
      <protection locked="0"/>
    </xf>
    <xf numFmtId="0" fontId="12" fillId="3" borderId="54" xfId="0" applyFont="1" applyFill="1" applyBorder="1" applyAlignment="1" applyProtection="1">
      <alignment horizontal="left" vertical="center"/>
    </xf>
    <xf numFmtId="0" fontId="92" fillId="3" borderId="0" xfId="6" applyFont="1" applyFill="1" applyAlignment="1" applyProtection="1">
      <alignment horizontal="left" wrapText="1"/>
    </xf>
    <xf numFmtId="0" fontId="50" fillId="0" borderId="0" xfId="0" applyFont="1" applyFill="1" applyBorder="1" applyAlignment="1" applyProtection="1">
      <alignment horizontal="left" wrapText="1"/>
    </xf>
    <xf numFmtId="0" fontId="49" fillId="0" borderId="0" xfId="0" applyFont="1" applyFill="1" applyBorder="1" applyAlignment="1" applyProtection="1">
      <alignment horizontal="left" wrapText="1"/>
    </xf>
    <xf numFmtId="0" fontId="93" fillId="16" borderId="97" xfId="0" applyFont="1" applyFill="1" applyBorder="1" applyAlignment="1" applyProtection="1">
      <alignment horizontal="left" wrapText="1"/>
    </xf>
    <xf numFmtId="0" fontId="94" fillId="16" borderId="103" xfId="0" applyFont="1" applyFill="1" applyBorder="1" applyAlignment="1" applyProtection="1">
      <alignment horizontal="left" wrapText="1"/>
    </xf>
    <xf numFmtId="0" fontId="94" fillId="16" borderId="123" xfId="0" applyFont="1" applyFill="1" applyBorder="1" applyAlignment="1" applyProtection="1">
      <alignment horizontal="left" wrapText="1"/>
    </xf>
    <xf numFmtId="0" fontId="11" fillId="2" borderId="123" xfId="0" applyFont="1" applyFill="1" applyBorder="1" applyAlignment="1" applyProtection="1">
      <alignment horizontal="left" vertical="center"/>
    </xf>
  </cellXfs>
  <cellStyles count="8">
    <cellStyle name="Comma" xfId="1" builtinId="3"/>
    <cellStyle name="Comma 2" xfId="2"/>
    <cellStyle name="Comma 3" xfId="3"/>
    <cellStyle name="Comma 4" xfId="4"/>
    <cellStyle name="Comma_HIV_Financial Reporting Template_Nov16" xfId="5"/>
    <cellStyle name="Normal" xfId="0" builtinId="0"/>
    <cellStyle name="Normal 2" xfId="6"/>
    <cellStyle name="Percent" xfId="7" builtinId="5"/>
  </cellStyles>
  <dxfs count="101">
    <dxf>
      <fill>
        <patternFill>
          <bgColor theme="9" tint="0.59996337778862885"/>
        </patternFill>
      </fill>
    </dxf>
    <dxf>
      <fill>
        <patternFill>
          <bgColor theme="9" tint="0.59996337778862885"/>
        </patternFill>
      </fill>
    </dxf>
    <dxf>
      <fill>
        <patternFill>
          <bgColor theme="9" tint="0.59996337778862885"/>
        </patternFill>
      </fill>
    </dxf>
    <dxf>
      <fill>
        <patternFill>
          <bgColor theme="0"/>
        </patternFill>
      </fill>
    </dxf>
    <dxf>
      <fill>
        <patternFill>
          <bgColor theme="0"/>
        </patternFill>
      </fill>
    </dxf>
    <dxf>
      <font>
        <condense val="0"/>
        <extend val="0"/>
        <color auto="1"/>
      </font>
      <fill>
        <patternFill>
          <bgColor indexed="26"/>
        </patternFill>
      </fill>
    </dxf>
    <dxf>
      <font>
        <condense val="0"/>
        <extend val="0"/>
        <color auto="1"/>
      </font>
      <fill>
        <patternFill>
          <bgColor indexed="26"/>
        </patternFill>
      </fill>
    </dxf>
    <dxf>
      <font>
        <condense val="0"/>
        <extend val="0"/>
        <color auto="1"/>
      </font>
      <fill>
        <patternFill>
          <bgColor indexed="26"/>
        </patternFill>
      </fill>
    </dxf>
    <dxf>
      <font>
        <condense val="0"/>
        <extend val="0"/>
        <color auto="1"/>
      </font>
      <fill>
        <patternFill>
          <bgColor indexed="26"/>
        </patternFill>
      </fill>
    </dxf>
    <dxf>
      <font>
        <condense val="0"/>
        <extend val="0"/>
        <color auto="1"/>
      </font>
      <fill>
        <patternFill>
          <bgColor indexed="26"/>
        </patternFill>
      </fill>
    </dxf>
    <dxf>
      <font>
        <condense val="0"/>
        <extend val="0"/>
        <color indexed="22"/>
      </font>
    </dxf>
    <dxf>
      <font>
        <condense val="0"/>
        <extend val="0"/>
        <color indexed="22"/>
      </font>
    </dxf>
    <dxf>
      <font>
        <condense val="0"/>
        <extend val="0"/>
        <color indexed="22"/>
      </font>
    </dxf>
    <dxf>
      <font>
        <b val="0"/>
        <i val="0"/>
        <condense val="0"/>
        <extend val="0"/>
        <color indexed="10"/>
      </font>
    </dxf>
    <dxf>
      <font>
        <b/>
        <i val="0"/>
        <condense val="0"/>
        <extend val="0"/>
        <color indexed="10"/>
      </font>
    </dxf>
    <dxf>
      <font>
        <b val="0"/>
        <i val="0"/>
        <condense val="0"/>
        <extend val="0"/>
        <color indexed="10"/>
      </font>
    </dxf>
    <dxf>
      <font>
        <b/>
        <i val="0"/>
        <condense val="0"/>
        <extend val="0"/>
        <color indexed="10"/>
      </font>
    </dxf>
    <dxf>
      <font>
        <b val="0"/>
        <i val="0"/>
        <condense val="0"/>
        <extend val="0"/>
        <color indexed="10"/>
      </font>
    </dxf>
    <dxf>
      <font>
        <b/>
        <i val="0"/>
        <condense val="0"/>
        <extend val="0"/>
        <color indexed="10"/>
      </font>
    </dxf>
    <dxf>
      <font>
        <b/>
        <i val="0"/>
        <condense val="0"/>
        <extend val="0"/>
        <color indexed="10"/>
      </font>
    </dxf>
    <dxf>
      <font>
        <b val="0"/>
        <i val="0"/>
        <condense val="0"/>
        <extend val="0"/>
        <color indexed="10"/>
      </font>
    </dxf>
    <dxf>
      <font>
        <b/>
        <i val="0"/>
        <condense val="0"/>
        <extend val="0"/>
        <color indexed="10"/>
      </font>
    </dxf>
    <dxf>
      <fill>
        <patternFill>
          <bgColor theme="9" tint="0.59996337778862885"/>
        </patternFill>
      </fill>
    </dxf>
    <dxf>
      <font>
        <b val="0"/>
        <i val="0"/>
        <condense val="0"/>
        <extend val="0"/>
        <color indexed="10"/>
      </font>
    </dxf>
    <dxf>
      <font>
        <b/>
        <i val="0"/>
        <condense val="0"/>
        <extend val="0"/>
        <color indexed="10"/>
      </font>
    </dxf>
    <dxf>
      <font>
        <b val="0"/>
        <i val="0"/>
        <condense val="0"/>
        <extend val="0"/>
        <color indexed="10"/>
      </font>
    </dxf>
    <dxf>
      <font>
        <b/>
        <i val="0"/>
        <condense val="0"/>
        <extend val="0"/>
        <color indexed="10"/>
      </font>
    </dxf>
    <dxf>
      <fill>
        <patternFill>
          <bgColor indexed="26"/>
        </patternFill>
      </fill>
    </dxf>
    <dxf>
      <fill>
        <patternFill>
          <bgColor indexed="43"/>
        </patternFill>
      </fill>
    </dxf>
    <dxf>
      <fill>
        <patternFill>
          <bgColor indexed="22"/>
        </patternFill>
      </fill>
    </dxf>
    <dxf>
      <fill>
        <patternFill>
          <bgColor indexed="26"/>
        </patternFill>
      </fill>
    </dxf>
    <dxf>
      <fill>
        <patternFill>
          <bgColor indexed="22"/>
        </patternFill>
      </fill>
    </dxf>
    <dxf>
      <fill>
        <patternFill>
          <bgColor indexed="26"/>
        </patternFill>
      </fill>
    </dxf>
    <dxf>
      <fill>
        <patternFill>
          <bgColor indexed="22"/>
        </patternFill>
      </fill>
    </dxf>
    <dxf>
      <fill>
        <patternFill>
          <bgColor indexed="26"/>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patternFill>
      </fill>
    </dxf>
    <dxf>
      <font>
        <condense val="0"/>
        <extend val="0"/>
        <color indexed="22"/>
      </font>
    </dxf>
    <dxf>
      <font>
        <condense val="0"/>
        <extend val="0"/>
        <color indexed="22"/>
      </font>
    </dxf>
    <dxf>
      <font>
        <condense val="0"/>
        <extend val="0"/>
        <color indexed="22"/>
      </font>
    </dxf>
    <dxf>
      <font>
        <condense val="0"/>
        <extend val="0"/>
        <color indexed="22"/>
      </font>
    </dxf>
    <dxf>
      <font>
        <condense val="0"/>
        <extend val="0"/>
        <color indexed="22"/>
      </font>
    </dxf>
    <dxf>
      <font>
        <condense val="0"/>
        <extend val="0"/>
        <color indexed="22"/>
      </font>
    </dxf>
    <dxf>
      <font>
        <b val="0"/>
        <i val="0"/>
        <condense val="0"/>
        <extend val="0"/>
        <color indexed="10"/>
      </font>
    </dxf>
    <dxf>
      <font>
        <b val="0"/>
        <i val="0"/>
        <condense val="0"/>
        <extend val="0"/>
        <color indexed="10"/>
      </font>
    </dxf>
    <dxf>
      <font>
        <b/>
        <i val="0"/>
        <condense val="0"/>
        <extend val="0"/>
        <color indexed="10"/>
      </font>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ont>
        <condense val="0"/>
        <extend val="0"/>
        <color auto="1"/>
      </font>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ont>
        <b val="0"/>
        <i val="0"/>
        <condense val="0"/>
        <extend val="0"/>
        <color indexed="10"/>
      </font>
    </dxf>
    <dxf>
      <font>
        <b/>
        <i val="0"/>
        <condense val="0"/>
        <extend val="0"/>
        <color indexed="10"/>
      </font>
    </dxf>
    <dxf>
      <fill>
        <patternFill>
          <bgColor indexed="22"/>
        </patternFill>
      </fill>
    </dxf>
    <dxf>
      <fill>
        <patternFill>
          <bgColor indexed="26"/>
        </patternFill>
      </fill>
    </dxf>
    <dxf>
      <fill>
        <patternFill>
          <bgColor indexed="22"/>
        </patternFill>
      </fill>
    </dxf>
    <dxf>
      <fill>
        <patternFill>
          <bgColor indexed="26"/>
        </patternFill>
      </fill>
    </dxf>
    <dxf>
      <fill>
        <patternFill>
          <bgColor indexed="26"/>
        </patternFill>
      </fill>
    </dxf>
    <dxf>
      <fill>
        <patternFill>
          <bgColor indexed="43"/>
        </patternFill>
      </fill>
    </dxf>
    <dxf>
      <fill>
        <patternFill>
          <bgColor indexed="22"/>
        </patternFill>
      </fill>
    </dxf>
    <dxf>
      <fill>
        <patternFill>
          <bgColor indexed="26"/>
        </patternFill>
      </fill>
    </dxf>
    <dxf>
      <fill>
        <patternFill>
          <bgColor indexed="22"/>
        </patternFill>
      </fill>
    </dxf>
    <dxf>
      <fill>
        <patternFill>
          <bgColor indexed="26"/>
        </patternFill>
      </fill>
    </dxf>
    <dxf>
      <fill>
        <patternFill>
          <bgColor indexed="22"/>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6.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customXml" Target="../customXml/item1.xml"/><Relationship Id="rId8" Type="http://schemas.openxmlformats.org/officeDocument/2006/relationships/worksheet" Target="worksheets/sheet8.xml"/></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13</xdr:col>
      <xdr:colOff>85725</xdr:colOff>
      <xdr:row>12</xdr:row>
      <xdr:rowOff>171450</xdr:rowOff>
    </xdr:from>
    <xdr:to>
      <xdr:col>13</xdr:col>
      <xdr:colOff>419100</xdr:colOff>
      <xdr:row>12</xdr:row>
      <xdr:rowOff>171450</xdr:rowOff>
    </xdr:to>
    <xdr:sp macro="" textlink="">
      <xdr:nvSpPr>
        <xdr:cNvPr id="6" name="Line 1"/>
        <xdr:cNvSpPr>
          <a:spLocks noChangeShapeType="1"/>
        </xdr:cNvSpPr>
      </xdr:nvSpPr>
      <xdr:spPr bwMode="auto">
        <a:xfrm flipH="1">
          <a:off x="14668500" y="3638550"/>
          <a:ext cx="333375" cy="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85725</xdr:colOff>
      <xdr:row>15</xdr:row>
      <xdr:rowOff>171450</xdr:rowOff>
    </xdr:from>
    <xdr:to>
      <xdr:col>13</xdr:col>
      <xdr:colOff>419100</xdr:colOff>
      <xdr:row>15</xdr:row>
      <xdr:rowOff>171450</xdr:rowOff>
    </xdr:to>
    <xdr:sp macro="" textlink="">
      <xdr:nvSpPr>
        <xdr:cNvPr id="7" name="Line 1"/>
        <xdr:cNvSpPr>
          <a:spLocks noChangeShapeType="1"/>
        </xdr:cNvSpPr>
      </xdr:nvSpPr>
      <xdr:spPr bwMode="auto">
        <a:xfrm flipH="1">
          <a:off x="14668500" y="4705350"/>
          <a:ext cx="333375" cy="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85725</xdr:colOff>
      <xdr:row>16</xdr:row>
      <xdr:rowOff>171450</xdr:rowOff>
    </xdr:from>
    <xdr:to>
      <xdr:col>13</xdr:col>
      <xdr:colOff>419100</xdr:colOff>
      <xdr:row>16</xdr:row>
      <xdr:rowOff>171450</xdr:rowOff>
    </xdr:to>
    <xdr:sp macro="" textlink="">
      <xdr:nvSpPr>
        <xdr:cNvPr id="8" name="Line 1"/>
        <xdr:cNvSpPr>
          <a:spLocks noChangeShapeType="1"/>
        </xdr:cNvSpPr>
      </xdr:nvSpPr>
      <xdr:spPr bwMode="auto">
        <a:xfrm flipH="1">
          <a:off x="14668500" y="5038725"/>
          <a:ext cx="333375" cy="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66675</xdr:colOff>
      <xdr:row>23</xdr:row>
      <xdr:rowOff>314325</xdr:rowOff>
    </xdr:from>
    <xdr:to>
      <xdr:col>13</xdr:col>
      <xdr:colOff>400050</xdr:colOff>
      <xdr:row>23</xdr:row>
      <xdr:rowOff>314325</xdr:rowOff>
    </xdr:to>
    <xdr:sp macro="" textlink="">
      <xdr:nvSpPr>
        <xdr:cNvPr id="9" name="Line 1"/>
        <xdr:cNvSpPr>
          <a:spLocks noChangeShapeType="1"/>
        </xdr:cNvSpPr>
      </xdr:nvSpPr>
      <xdr:spPr bwMode="auto">
        <a:xfrm flipH="1">
          <a:off x="14649450" y="7515225"/>
          <a:ext cx="333375" cy="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85725</xdr:colOff>
      <xdr:row>12</xdr:row>
      <xdr:rowOff>171450</xdr:rowOff>
    </xdr:from>
    <xdr:to>
      <xdr:col>13</xdr:col>
      <xdr:colOff>419100</xdr:colOff>
      <xdr:row>12</xdr:row>
      <xdr:rowOff>171450</xdr:rowOff>
    </xdr:to>
    <xdr:sp macro="" textlink="">
      <xdr:nvSpPr>
        <xdr:cNvPr id="6" name="Line 1"/>
        <xdr:cNvSpPr>
          <a:spLocks noChangeShapeType="1"/>
        </xdr:cNvSpPr>
      </xdr:nvSpPr>
      <xdr:spPr bwMode="auto">
        <a:xfrm flipH="1">
          <a:off x="14668500" y="3638550"/>
          <a:ext cx="333375" cy="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85725</xdr:colOff>
      <xdr:row>15</xdr:row>
      <xdr:rowOff>171450</xdr:rowOff>
    </xdr:from>
    <xdr:to>
      <xdr:col>13</xdr:col>
      <xdr:colOff>419100</xdr:colOff>
      <xdr:row>15</xdr:row>
      <xdr:rowOff>171450</xdr:rowOff>
    </xdr:to>
    <xdr:sp macro="" textlink="">
      <xdr:nvSpPr>
        <xdr:cNvPr id="7" name="Line 1"/>
        <xdr:cNvSpPr>
          <a:spLocks noChangeShapeType="1"/>
        </xdr:cNvSpPr>
      </xdr:nvSpPr>
      <xdr:spPr bwMode="auto">
        <a:xfrm flipH="1">
          <a:off x="14668500" y="4705350"/>
          <a:ext cx="333375" cy="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85725</xdr:colOff>
      <xdr:row>16</xdr:row>
      <xdr:rowOff>171450</xdr:rowOff>
    </xdr:from>
    <xdr:to>
      <xdr:col>13</xdr:col>
      <xdr:colOff>419100</xdr:colOff>
      <xdr:row>16</xdr:row>
      <xdr:rowOff>171450</xdr:rowOff>
    </xdr:to>
    <xdr:sp macro="" textlink="">
      <xdr:nvSpPr>
        <xdr:cNvPr id="8" name="Line 1"/>
        <xdr:cNvSpPr>
          <a:spLocks noChangeShapeType="1"/>
        </xdr:cNvSpPr>
      </xdr:nvSpPr>
      <xdr:spPr bwMode="auto">
        <a:xfrm flipH="1">
          <a:off x="14668500" y="5038725"/>
          <a:ext cx="333375" cy="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66675</xdr:colOff>
      <xdr:row>23</xdr:row>
      <xdr:rowOff>314325</xdr:rowOff>
    </xdr:from>
    <xdr:to>
      <xdr:col>13</xdr:col>
      <xdr:colOff>400050</xdr:colOff>
      <xdr:row>23</xdr:row>
      <xdr:rowOff>314325</xdr:rowOff>
    </xdr:to>
    <xdr:sp macro="" textlink="">
      <xdr:nvSpPr>
        <xdr:cNvPr id="9" name="Line 1"/>
        <xdr:cNvSpPr>
          <a:spLocks noChangeShapeType="1"/>
        </xdr:cNvSpPr>
      </xdr:nvSpPr>
      <xdr:spPr bwMode="auto">
        <a:xfrm flipH="1">
          <a:off x="14649450" y="7515225"/>
          <a:ext cx="333375" cy="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57150</xdr:colOff>
      <xdr:row>3</xdr:row>
      <xdr:rowOff>95250</xdr:rowOff>
    </xdr:from>
    <xdr:to>
      <xdr:col>7</xdr:col>
      <xdr:colOff>390525</xdr:colOff>
      <xdr:row>3</xdr:row>
      <xdr:rowOff>95250</xdr:rowOff>
    </xdr:to>
    <xdr:sp macro="" textlink="">
      <xdr:nvSpPr>
        <xdr:cNvPr id="2" name="Line 1"/>
        <xdr:cNvSpPr>
          <a:spLocks noChangeShapeType="1"/>
        </xdr:cNvSpPr>
      </xdr:nvSpPr>
      <xdr:spPr bwMode="auto">
        <a:xfrm flipH="1">
          <a:off x="6343650" y="666750"/>
          <a:ext cx="3333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47625</xdr:colOff>
      <xdr:row>17</xdr:row>
      <xdr:rowOff>95250</xdr:rowOff>
    </xdr:from>
    <xdr:to>
      <xdr:col>7</xdr:col>
      <xdr:colOff>390525</xdr:colOff>
      <xdr:row>17</xdr:row>
      <xdr:rowOff>95250</xdr:rowOff>
    </xdr:to>
    <xdr:sp macro="" textlink="">
      <xdr:nvSpPr>
        <xdr:cNvPr id="3" name="Line 3"/>
        <xdr:cNvSpPr>
          <a:spLocks noChangeShapeType="1"/>
        </xdr:cNvSpPr>
      </xdr:nvSpPr>
      <xdr:spPr bwMode="auto">
        <a:xfrm flipH="1">
          <a:off x="6334125" y="3333750"/>
          <a:ext cx="3429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85725</xdr:colOff>
      <xdr:row>19</xdr:row>
      <xdr:rowOff>104775</xdr:rowOff>
    </xdr:from>
    <xdr:to>
      <xdr:col>7</xdr:col>
      <xdr:colOff>428625</xdr:colOff>
      <xdr:row>19</xdr:row>
      <xdr:rowOff>104775</xdr:rowOff>
    </xdr:to>
    <xdr:sp macro="" textlink="">
      <xdr:nvSpPr>
        <xdr:cNvPr id="4" name="Line 4"/>
        <xdr:cNvSpPr>
          <a:spLocks noChangeShapeType="1"/>
        </xdr:cNvSpPr>
      </xdr:nvSpPr>
      <xdr:spPr bwMode="auto">
        <a:xfrm flipH="1">
          <a:off x="6372225" y="3724275"/>
          <a:ext cx="3429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47625</xdr:colOff>
      <xdr:row>15</xdr:row>
      <xdr:rowOff>114300</xdr:rowOff>
    </xdr:from>
    <xdr:to>
      <xdr:col>7</xdr:col>
      <xdr:colOff>390525</xdr:colOff>
      <xdr:row>15</xdr:row>
      <xdr:rowOff>114300</xdr:rowOff>
    </xdr:to>
    <xdr:sp macro="" textlink="">
      <xdr:nvSpPr>
        <xdr:cNvPr id="5" name="Line 3"/>
        <xdr:cNvSpPr>
          <a:spLocks noChangeShapeType="1"/>
        </xdr:cNvSpPr>
      </xdr:nvSpPr>
      <xdr:spPr bwMode="auto">
        <a:xfrm flipH="1">
          <a:off x="6334125" y="2971800"/>
          <a:ext cx="3429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1016000</xdr:colOff>
      <xdr:row>14</xdr:row>
      <xdr:rowOff>15875</xdr:rowOff>
    </xdr:from>
    <xdr:to>
      <xdr:col>9</xdr:col>
      <xdr:colOff>1435100</xdr:colOff>
      <xdr:row>14</xdr:row>
      <xdr:rowOff>15875</xdr:rowOff>
    </xdr:to>
    <xdr:sp macro="" textlink="">
      <xdr:nvSpPr>
        <xdr:cNvPr id="2" name="PowerPlusWaterMarkObject3"/>
        <xdr:cNvSpPr>
          <a:spLocks noChangeArrowheads="1" noChangeShapeType="1" noTextEdit="1"/>
        </xdr:cNvSpPr>
      </xdr:nvSpPr>
      <xdr:spPr bwMode="auto">
        <a:xfrm rot="18900000">
          <a:off x="6302375" y="3063875"/>
          <a:ext cx="6800850" cy="0"/>
        </a:xfrm>
        <a:prstGeom prst="rect">
          <a:avLst/>
        </a:prstGeom>
      </xdr:spPr>
      <xdr:txBody>
        <a:bodyPr wrap="none" fromWordArt="1">
          <a:prstTxWarp prst="textPlain">
            <a:avLst>
              <a:gd name="adj" fmla="val 50000"/>
            </a:avLst>
          </a:prstTxWarp>
        </a:bodyPr>
        <a:lstStyle/>
        <a:p>
          <a:pPr algn="ctr" rtl="0"/>
          <a:r>
            <a:rPr lang="en-US" sz="100" spc="0">
              <a:ln w="9525">
                <a:noFill/>
                <a:round/>
                <a:headEnd/>
                <a:tailEnd/>
              </a:ln>
              <a:solidFill>
                <a:srgbClr val="C0C0C0">
                  <a:alpha val="50000"/>
                </a:srgbClr>
              </a:solidFill>
              <a:latin typeface="Arial"/>
              <a:cs typeface="Arial"/>
            </a:rPr>
            <a:t>DRAFT</a:t>
          </a:r>
        </a:p>
      </xdr:txBody>
    </xdr:sp>
    <xdr:clientData/>
  </xdr:twoCellAnchor>
  <mc:AlternateContent xmlns:mc="http://schemas.openxmlformats.org/markup-compatibility/2006">
    <mc:Choice xmlns:a14="http://schemas.microsoft.com/office/drawing/2010/main" Requires="a14">
      <xdr:twoCellAnchor editAs="oneCell">
        <xdr:from>
          <xdr:col>0</xdr:col>
          <xdr:colOff>2886075</xdr:colOff>
          <xdr:row>45</xdr:row>
          <xdr:rowOff>0</xdr:rowOff>
        </xdr:from>
        <xdr:to>
          <xdr:col>1</xdr:col>
          <xdr:colOff>9525</xdr:colOff>
          <xdr:row>46</xdr:row>
          <xdr:rowOff>180974</xdr:rowOff>
        </xdr:to>
        <xdr:pic>
          <xdr:nvPicPr>
            <xdr:cNvPr id="31505" name="Picture 1"/>
            <xdr:cNvPicPr>
              <a:picLocks noChangeAspect="1" noChangeArrowheads="1"/>
              <a:extLst>
                <a:ext uri="{84589F7E-364E-4C9E-8A38-B11213B215E9}">
                  <a14:cameraTool cellRange="LFASig" spid="_x0000_s31581"/>
                </a:ext>
              </a:extLst>
            </xdr:cNvPicPr>
          </xdr:nvPicPr>
          <xdr:blipFill>
            <a:blip xmlns:r="http://schemas.openxmlformats.org/officeDocument/2006/relationships" r:embed="rId1">
              <a:extLst>
                <a:ext uri="{28A0092B-C50C-407E-A947-70E740481C1C}">
                  <a14:useLocalDpi val="0"/>
                </a:ext>
              </a:extLst>
            </a:blip>
            <a:srcRect/>
            <a:stretch>
              <a:fillRect/>
            </a:stretch>
          </xdr:blipFill>
          <xdr:spPr bwMode="auto">
            <a:xfrm>
              <a:off x="257175" y="11277600"/>
              <a:ext cx="9525" cy="7810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omedrive/Documents%20and%20Settings/Administrator/My%20Documents/RCC%202008/CCM%20RCC%20proposal%20sent%20to%20GF%2001%20April%202008/Bulgaria%20Proposal%20Form/BUL%20RCC%20Attachment%20A%20Indicators%20and%20Targets%20Tabl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gallabergenova/Local%20Settings/Temporary%20Internet%20Files/OLK40/NGA-809-G11-M.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henneuse/AppData/Local/Microsoft/Windows/Temporary%20Internet%20Files/Content.Outlook/LX8CLMNA/Malaria_Financial%20Reporting%20Template_Jun1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chenneuse/AppData/Local/Microsoft/Windows/Temporary%20Internet%20Files/Content.Outlook/LX8CLMNA/TB_Financial%20Reporting%20Template_Jun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mkirova\AppData\Local\Microsoft\Windows\Temporary%20Internet%20Files\Content.Outlook\TLNCZ1LZ\Case%20study_PU_DR_for%20participants_v2_13Jun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ocuments%20and%20Settings\NOsei\My%20Documents\ladder%20plans\2010-2011%20wk%20files\Global%20Fund%20FY11\Action%20Aid%20Gambia%202011%20VoI\PUDR%20AAITG%20Quarter%204%20Oct%20-%20Dec%202010%20revised%20format%20March%202011%20LFA%20comment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DOCUME~1\NOsei\LOCALS~1\Temp\notesE1EF34\PUDR%20AAITG%20Quarter%204%20VOIFeb2011LFA22.2.11draftminusEF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HIV_AIDS Attachment "/>
      <sheetName val="SDAs_impact_datasources"/>
    </sheetNames>
    <sheetDataSet>
      <sheetData sheetId="0" refreshError="1"/>
      <sheetData sheetId="1" refreshError="1"/>
      <sheetData sheetId="2">
        <row r="2">
          <cell r="D2" t="str">
            <v>impact</v>
          </cell>
        </row>
        <row r="3">
          <cell r="D3" t="str">
            <v>outcome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_Cover Sheet"/>
      <sheetName val="PR_Programmatic Progress_1A"/>
      <sheetName val="PR_Programmatic Progress_1B"/>
      <sheetName val="PR_Grant Management_2"/>
      <sheetName val="PR_Total PR Cash Outflow_3A"/>
      <sheetName val="PR_Procurement Info_3B"/>
      <sheetName val="PR_Cash Reconciliation_4A"/>
      <sheetName val="PR_Disbursement Request_4B"/>
      <sheetName val="PR_Overall Performance_5"/>
      <sheetName val="PR_Cash Request_6A&amp;B"/>
      <sheetName val="PR_Bank Details_6C"/>
      <sheetName val="PR_Annex_SR-Financials"/>
      <sheetName val="LFA_Cover Sheet"/>
      <sheetName val="LFA_Programmatic Progress_1A"/>
      <sheetName val="LFA_Programmatic Progress_1B"/>
      <sheetName val="LFA_Grant Management_2"/>
      <sheetName val="LFA_Total PR Cash Outflow_3A"/>
      <sheetName val="LFA_Procurement Info_3B"/>
      <sheetName val="LFA_Findings&amp;Recommendations_4"/>
      <sheetName val="LFA_Cash Reconciliation_5A"/>
      <sheetName val="LFA_Disbursement Request_5B"/>
      <sheetName val="Sheet1"/>
      <sheetName val="LFA_Overall Performance_6"/>
      <sheetName val="LFA_DisbursementRecommendation7"/>
      <sheetName val="LFA_Bank Details_7D"/>
      <sheetName val="LFA_Annex-SR Financials"/>
      <sheetName val="LFA_Signature (image)"/>
      <sheetName val="Memo HIV"/>
      <sheetName val="Memo TB"/>
      <sheetName val="Memo Malar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sheetData sheetId="27" refreshError="1"/>
      <sheetData sheetId="28" refreshError="1"/>
      <sheetData sheetId="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LARIA_Financial Data"/>
      <sheetName val="Definitions"/>
      <sheetName val="Annex 1"/>
      <sheetName val="Annex 2"/>
      <sheetName val="Annex 3"/>
    </sheetNames>
    <sheetDataSet>
      <sheetData sheetId="0"/>
      <sheetData sheetId="1">
        <row r="28">
          <cell r="C28" t="str">
            <v>Please select…</v>
          </cell>
        </row>
        <row r="29">
          <cell r="C29" t="str">
            <v>Prevention: Behavioral Change Communication - Mass Media</v>
          </cell>
        </row>
        <row r="30">
          <cell r="C30" t="str">
            <v>Prevention: Behavioral Change Communication - Community Outreach</v>
          </cell>
        </row>
        <row r="31">
          <cell r="C31" t="str">
            <v>Prevention: Insecticide-treated nets (ITNs)</v>
          </cell>
        </row>
        <row r="32">
          <cell r="C32" t="str">
            <v>Prevention: Malaria in pregnancy</v>
          </cell>
        </row>
        <row r="33">
          <cell r="C33" t="str">
            <v>Prevention: Vector control (other than ITNs)</v>
          </cell>
        </row>
        <row r="34">
          <cell r="C34" t="str">
            <v>Prevention: other - specify</v>
          </cell>
        </row>
        <row r="35">
          <cell r="C35" t="str">
            <v>Treatment: Prompt, effective antimalarial treatment</v>
          </cell>
        </row>
        <row r="36">
          <cell r="C36" t="str">
            <v>Treatment: Home-based management of malaria</v>
          </cell>
        </row>
        <row r="37">
          <cell r="C37" t="str">
            <v>Treatment: Diagnosis</v>
          </cell>
        </row>
        <row r="38">
          <cell r="C38" t="str">
            <v>Treatment: other - specify</v>
          </cell>
        </row>
        <row r="39">
          <cell r="C39" t="str">
            <v>Supportive Environment: Monitoring drug resistance</v>
          </cell>
        </row>
        <row r="40">
          <cell r="C40" t="str">
            <v>Supportive environment: Monitoring insecticide resistance</v>
          </cell>
        </row>
        <row r="41">
          <cell r="C41" t="str">
            <v>Supportive Environment: Coordination and partnership development (national, community, public-private)</v>
          </cell>
        </row>
        <row r="42">
          <cell r="C42" t="str">
            <v>Supportive environment: other - specify</v>
          </cell>
        </row>
        <row r="43">
          <cell r="C43" t="str">
            <v>Supportive environment: Program management and administration</v>
          </cell>
        </row>
        <row r="44">
          <cell r="C44" t="str">
            <v>HSS: Service delivery</v>
          </cell>
        </row>
        <row r="45">
          <cell r="C45" t="str">
            <v>HSS: Human resources</v>
          </cell>
        </row>
        <row r="46">
          <cell r="C46" t="str">
            <v>HSS: Community Systems Strengthening</v>
          </cell>
        </row>
        <row r="47">
          <cell r="C47" t="str">
            <v>HSS: Information system &amp; Operational research</v>
          </cell>
        </row>
        <row r="48">
          <cell r="C48" t="str">
            <v>HSS: Infrastructure</v>
          </cell>
        </row>
        <row r="49">
          <cell r="C49" t="str">
            <v>HSS: Procurement and Supply management</v>
          </cell>
        </row>
        <row r="50">
          <cell r="C50" t="str">
            <v>HSS: other - specify</v>
          </cell>
        </row>
      </sheetData>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_Financial Data"/>
      <sheetName val="Definitions"/>
      <sheetName val="Annex 1"/>
      <sheetName val="Annex 2"/>
      <sheetName val="Annex 3"/>
    </sheetNames>
    <sheetDataSet>
      <sheetData sheetId="0"/>
      <sheetData sheetId="1">
        <row r="39">
          <cell r="C39" t="str">
            <v>Please select…</v>
          </cell>
        </row>
        <row r="40">
          <cell r="C40" t="str">
            <v>Improving diagnosis</v>
          </cell>
        </row>
        <row r="41">
          <cell r="C41" t="str">
            <v>Standardized treatment, patient support and patient charter</v>
          </cell>
        </row>
        <row r="42">
          <cell r="C42" t="str">
            <v>Procurement and Supply management</v>
          </cell>
        </row>
        <row r="43">
          <cell r="C43" t="str">
            <v>M&amp;E</v>
          </cell>
        </row>
        <row r="44">
          <cell r="C44" t="str">
            <v>TB/HIV</v>
          </cell>
        </row>
        <row r="45">
          <cell r="C45" t="str">
            <v>MDR-TB</v>
          </cell>
        </row>
        <row r="46">
          <cell r="C46" t="str">
            <v>High-risk groups</v>
          </cell>
        </row>
        <row r="47">
          <cell r="C47" t="str">
            <v>HSS (beyond TB)</v>
          </cell>
        </row>
        <row r="48">
          <cell r="C48" t="str">
            <v>PAL (Practical Approach to Lung Health)</v>
          </cell>
        </row>
        <row r="49">
          <cell r="C49" t="str">
            <v>PPM / ISTC (Public-Public, Public-Private Mix (PPM) approaches and International standards for TB care)</v>
          </cell>
        </row>
        <row r="50">
          <cell r="C50" t="str">
            <v>ACSM (Advocacy, communication and social mobilization)</v>
          </cell>
        </row>
        <row r="51">
          <cell r="C51" t="str">
            <v>Community TB care</v>
          </cell>
        </row>
        <row r="52">
          <cell r="C52" t="str">
            <v>Programme-based operational research</v>
          </cell>
        </row>
        <row r="53">
          <cell r="C53" t="str">
            <v>Other - specify</v>
          </cell>
        </row>
        <row r="54">
          <cell r="C54" t="str">
            <v>Supportive environment: Program management and administration</v>
          </cell>
        </row>
      </sheetData>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PR_Programmatic Progress_1A"/>
      <sheetName val="PR_Programmatic Progress_1B"/>
      <sheetName val="PR_Grant Management_2"/>
      <sheetName val="PR_Total PR Cash Outflow_3A"/>
      <sheetName val="EFR HIV AIDS Financial Data_3B"/>
      <sheetName val="PR_Procurement Info_4"/>
      <sheetName val="PR_Cash Reconciliation_5A"/>
      <sheetName val="PR_Disbursement Request_5B"/>
      <sheetName val="PR_Overall Performance_6"/>
      <sheetName val="PR_Cash Request_7A&amp;B"/>
      <sheetName val="PR_Bank Details_7C"/>
      <sheetName val="PR_Annex_SR-Financials"/>
      <sheetName val="Checklist"/>
      <sheetName val="LFA_Programmatic Progress_1A"/>
      <sheetName val="LFA_Programmatic Progress_1B"/>
      <sheetName val="LFA_Grant Management_2"/>
      <sheetName val="LFA_Total PR Cash Outflow_3A"/>
      <sheetName val="LFA_EFR Review_3B"/>
      <sheetName val="LFA_Procurement Info_4"/>
      <sheetName val="LFA_Findings&amp;Recommendations"/>
      <sheetName val="LFA_Cash Reconciliation_5A"/>
      <sheetName val="LFA_Disbursement Recommend_5B"/>
      <sheetName val="Sheet1"/>
      <sheetName val="LFA_Overall Performance_6"/>
      <sheetName val="LFA_DisbursementRecommendation7"/>
      <sheetName val="LFA_Bank Details_7C"/>
      <sheetName val="LFA_Annex-SR Financials"/>
      <sheetName val="Annex for additional info"/>
      <sheetName val="Memo HIV"/>
      <sheetName val="Memo TB"/>
      <sheetName val="Memo Malaria"/>
      <sheetName val="Definitions-lists-EFR"/>
    </sheetNames>
    <sheetDataSet>
      <sheetData sheetId="0"/>
      <sheetData sheetId="1">
        <row r="7">
          <cell r="C7" t="str">
            <v>MNR-809-G04-H</v>
          </cell>
        </row>
        <row r="10">
          <cell r="C10" t="str">
            <v>EUR</v>
          </cell>
        </row>
        <row r="12">
          <cell r="D12" t="str">
            <v>Quarter</v>
          </cell>
          <cell r="F12">
            <v>7</v>
          </cell>
        </row>
        <row r="13">
          <cell r="D13">
            <v>40452</v>
          </cell>
          <cell r="F13">
            <v>40543</v>
          </cell>
        </row>
        <row r="14">
          <cell r="C14">
            <v>5</v>
          </cell>
        </row>
      </sheetData>
      <sheetData sheetId="2"/>
      <sheetData sheetId="3"/>
      <sheetData sheetId="4">
        <row r="12">
          <cell r="D12">
            <v>2860000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FA_Programmatic Progress_1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FA_Programmatic Progress_1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2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1.bin"/></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printerSettings" Target="../printerSettings/printerSettings42.bin"/></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printerSettings" Target="../printerSettings/printerSettings44.bin"/></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FFFF00"/>
    <pageSetUpPr fitToPage="1"/>
  </sheetPr>
  <dimension ref="A1:D19"/>
  <sheetViews>
    <sheetView view="pageBreakPreview" topLeftCell="A7" zoomScale="85" zoomScaleNormal="75" zoomScaleSheetLayoutView="85" workbookViewId="0">
      <selection activeCell="H7" sqref="H7"/>
    </sheetView>
  </sheetViews>
  <sheetFormatPr defaultRowHeight="12.75" x14ac:dyDescent="0.2"/>
  <cols>
    <col min="1" max="1" width="144" style="496" customWidth="1"/>
    <col min="2" max="2" width="16.85546875" style="72" customWidth="1"/>
    <col min="3" max="3" width="10.140625" style="72" customWidth="1"/>
    <col min="4" max="4" width="1.140625" style="72" customWidth="1"/>
    <col min="5" max="16384" width="9.140625" style="72"/>
  </cols>
  <sheetData>
    <row r="1" spans="1:4" ht="61.5" customHeight="1" x14ac:dyDescent="0.35">
      <c r="A1" s="1670" t="s">
        <v>618</v>
      </c>
      <c r="B1" s="1670"/>
    </row>
    <row r="2" spans="1:4" ht="25.5" customHeight="1" x14ac:dyDescent="0.2">
      <c r="A2" s="495"/>
      <c r="B2" s="1235"/>
      <c r="C2" s="1001"/>
    </row>
    <row r="3" spans="1:4" ht="52.5" customHeight="1" x14ac:dyDescent="0.2">
      <c r="A3" s="1673" t="s">
        <v>619</v>
      </c>
      <c r="B3" s="1673"/>
    </row>
    <row r="4" spans="1:4" ht="35.25" customHeight="1" x14ac:dyDescent="0.25">
      <c r="A4" s="1674" t="s">
        <v>633</v>
      </c>
      <c r="B4" s="1674"/>
      <c r="C4" s="1333"/>
      <c r="D4" s="1333"/>
    </row>
    <row r="5" spans="1:4" ht="23.25" customHeight="1" x14ac:dyDescent="0.25">
      <c r="A5" s="1674"/>
      <c r="B5" s="1674"/>
      <c r="C5" s="1310"/>
      <c r="D5" s="1310"/>
    </row>
    <row r="6" spans="1:4" ht="29.25" customHeight="1" x14ac:dyDescent="0.25">
      <c r="A6" s="1674"/>
      <c r="B6" s="1674"/>
      <c r="C6" s="1334"/>
      <c r="D6" s="1334"/>
    </row>
    <row r="7" spans="1:4" ht="40.5" customHeight="1" x14ac:dyDescent="0.25">
      <c r="A7" s="1674"/>
      <c r="B7" s="1674"/>
      <c r="C7" s="1334"/>
      <c r="D7" s="1334"/>
    </row>
    <row r="8" spans="1:4" ht="24" customHeight="1" x14ac:dyDescent="0.25">
      <c r="A8" s="1674"/>
      <c r="B8" s="1674"/>
      <c r="C8" s="1334"/>
      <c r="D8" s="1334"/>
    </row>
    <row r="9" spans="1:4" ht="21" customHeight="1" x14ac:dyDescent="0.2">
      <c r="A9" s="1674"/>
      <c r="B9" s="1674"/>
      <c r="C9" s="1335"/>
      <c r="D9" s="1335"/>
    </row>
    <row r="10" spans="1:4" ht="45" customHeight="1" x14ac:dyDescent="0.2">
      <c r="A10" s="1674"/>
      <c r="B10" s="1674"/>
      <c r="C10" s="1336"/>
      <c r="D10" s="1336"/>
    </row>
    <row r="11" spans="1:4" ht="15.75" customHeight="1" x14ac:dyDescent="0.2">
      <c r="A11" s="1674"/>
      <c r="B11" s="1674"/>
      <c r="C11" s="1311"/>
      <c r="D11" s="1311"/>
    </row>
    <row r="12" spans="1:4" ht="93.75" customHeight="1" x14ac:dyDescent="0.25">
      <c r="A12" s="1674"/>
      <c r="B12" s="1674"/>
      <c r="C12" s="1309"/>
      <c r="D12" s="1309"/>
    </row>
    <row r="13" spans="1:4" ht="31.5" customHeight="1" x14ac:dyDescent="0.25">
      <c r="A13" s="1674"/>
      <c r="B13" s="1674"/>
      <c r="C13" s="1309"/>
      <c r="D13" s="1309"/>
    </row>
    <row r="14" spans="1:4" ht="27.75" customHeight="1" x14ac:dyDescent="0.25">
      <c r="A14" s="1674"/>
      <c r="B14" s="1674"/>
      <c r="C14" s="1333"/>
      <c r="D14" s="1333"/>
    </row>
    <row r="15" spans="1:4" ht="84.75" customHeight="1" x14ac:dyDescent="0.25">
      <c r="A15" s="1674"/>
      <c r="B15" s="1674"/>
      <c r="C15" s="1310"/>
      <c r="D15" s="1310"/>
    </row>
    <row r="16" spans="1:4" ht="15.75" customHeight="1" x14ac:dyDescent="0.25">
      <c r="A16" s="1674"/>
      <c r="B16" s="1674"/>
      <c r="C16" s="1337"/>
      <c r="D16" s="1337"/>
    </row>
    <row r="17" spans="1:4" ht="37.5" customHeight="1" x14ac:dyDescent="0.3">
      <c r="A17" s="1671" t="s">
        <v>158</v>
      </c>
      <c r="B17" s="1671"/>
      <c r="C17" s="1671"/>
      <c r="D17" s="1671"/>
    </row>
    <row r="18" spans="1:4" x14ac:dyDescent="0.2">
      <c r="A18" s="1672"/>
      <c r="B18" s="1672"/>
      <c r="C18" s="1672"/>
      <c r="D18" s="1672"/>
    </row>
    <row r="19" spans="1:4" x14ac:dyDescent="0.2">
      <c r="A19" s="1672"/>
      <c r="B19" s="1672"/>
      <c r="C19" s="1672"/>
      <c r="D19" s="1672"/>
    </row>
  </sheetData>
  <sheetProtection password="92D1" sheet="1" selectLockedCells="1"/>
  <customSheetViews>
    <customSheetView guid="{E26F941C-F347-432D-B4B3-73B25F002075}" scale="75" showPageBreaks="1" fitToPage="1" printArea="1">
      <selection activeCell="G16" sqref="G16"/>
      <pageMargins left="0.74803149606299213" right="0.74803149606299213" top="0.98425196850393704" bottom="0.98425196850393704" header="0.51181102362204722" footer="0.51181102362204722"/>
      <printOptions horizontalCentered="1"/>
      <pageSetup paperSize="9" scale="87" orientation="landscape" r:id="rId1"/>
      <headerFooter alignWithMargins="0">
        <oddFooter>&amp;L&amp;9SD 3.1A - Form, Ongoing DR/PU and LFA Review and Recommendation_v2.1 February 2006&amp;R&amp;9Page &amp;P of &amp;N</oddFooter>
      </headerFooter>
    </customSheetView>
  </customSheetViews>
  <mergeCells count="6">
    <mergeCell ref="A1:B1"/>
    <mergeCell ref="A17:D17"/>
    <mergeCell ref="A18:D18"/>
    <mergeCell ref="A3:B3"/>
    <mergeCell ref="A19:D19"/>
    <mergeCell ref="A4:B16"/>
  </mergeCells>
  <phoneticPr fontId="0" type="noConversion"/>
  <printOptions horizontalCentered="1"/>
  <pageMargins left="0.74803149606299213" right="0.74803149606299213" top="0.59055118110236227" bottom="0.59055118110236227" header="0.51181102362204722" footer="0.51181102362204722"/>
  <pageSetup paperSize="9" scale="76" orientation="landscape" cellComments="asDisplayed" r:id="rId2"/>
  <headerFooter alignWithMargins="0">
    <oddFooter>&amp;L&amp;9&amp;F&amp;C&amp;A&amp;R&amp;9Page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1"/>
    <pageSetUpPr fitToPage="1"/>
  </sheetPr>
  <dimension ref="A1:U40"/>
  <sheetViews>
    <sheetView showGridLines="0" view="pageBreakPreview" zoomScale="70" zoomScaleNormal="55" zoomScaleSheetLayoutView="70" workbookViewId="0">
      <selection activeCell="B27" sqref="B27:F27"/>
    </sheetView>
  </sheetViews>
  <sheetFormatPr defaultRowHeight="12.75" outlineLevelRow="1" x14ac:dyDescent="0.2"/>
  <cols>
    <col min="1" max="1" width="14.85546875" style="13" customWidth="1"/>
    <col min="2" max="2" width="38.28515625" style="13" customWidth="1"/>
    <col min="3" max="3" width="22" style="13" customWidth="1"/>
    <col min="4" max="4" width="18.5703125" style="37" customWidth="1"/>
    <col min="5" max="5" width="19.28515625" style="13" customWidth="1"/>
    <col min="6" max="6" width="16.140625" style="13" customWidth="1"/>
    <col min="7" max="7" width="14" style="13" customWidth="1"/>
    <col min="8" max="8" width="13.42578125" style="38" customWidth="1"/>
    <col min="9" max="9" width="13.5703125" style="13" customWidth="1"/>
    <col min="10" max="10" width="17.5703125" style="13" customWidth="1"/>
    <col min="11" max="11" width="21.7109375" style="13" customWidth="1"/>
    <col min="12" max="12" width="16.28515625" style="13" customWidth="1"/>
    <col min="13" max="13" width="26.140625" style="13" customWidth="1"/>
    <col min="14" max="14" width="16.140625" style="13" customWidth="1"/>
    <col min="15" max="15" width="37" style="13" customWidth="1"/>
    <col min="16" max="16" width="17" style="13" customWidth="1"/>
    <col min="17" max="20" width="9.140625" style="63"/>
    <col min="21" max="21" width="15.42578125" style="63" hidden="1" customWidth="1"/>
    <col min="22" max="16384" width="9.140625" style="63"/>
  </cols>
  <sheetData>
    <row r="1" spans="1:21" ht="25.5" customHeight="1" x14ac:dyDescent="0.2">
      <c r="A1" s="1678" t="s">
        <v>61</v>
      </c>
      <c r="B1" s="1678"/>
      <c r="C1" s="1678"/>
      <c r="D1" s="1678"/>
      <c r="E1" s="1678"/>
      <c r="F1" s="1678"/>
      <c r="G1" s="464"/>
      <c r="H1" s="35"/>
      <c r="I1" s="35"/>
      <c r="J1" s="12"/>
      <c r="K1" s="12"/>
      <c r="L1" s="12"/>
      <c r="M1" s="12"/>
      <c r="N1" s="12"/>
      <c r="O1" s="12"/>
      <c r="U1" s="962" t="s">
        <v>263</v>
      </c>
    </row>
    <row r="2" spans="1:21" ht="25.5" hidden="1" customHeight="1" x14ac:dyDescent="0.2">
      <c r="A2" s="464"/>
      <c r="B2" s="464"/>
      <c r="C2" s="464"/>
      <c r="D2" s="464"/>
      <c r="E2" s="464"/>
      <c r="F2" s="464"/>
      <c r="G2" s="464"/>
      <c r="H2" s="35"/>
      <c r="I2" s="35"/>
      <c r="J2" s="12"/>
      <c r="K2" s="12"/>
      <c r="L2" s="12"/>
      <c r="M2" s="12"/>
      <c r="N2" s="12"/>
      <c r="O2" s="12"/>
      <c r="U2" s="13" t="s">
        <v>185</v>
      </c>
    </row>
    <row r="3" spans="1:21" ht="25.5" hidden="1" customHeight="1" x14ac:dyDescent="0.2">
      <c r="A3" s="464"/>
      <c r="B3" s="464"/>
      <c r="C3" s="464"/>
      <c r="D3" s="464"/>
      <c r="E3" s="464"/>
      <c r="F3" s="464"/>
      <c r="G3" s="464"/>
      <c r="H3" s="35"/>
      <c r="I3" s="35"/>
      <c r="J3" s="12"/>
      <c r="K3" s="12"/>
      <c r="L3" s="12"/>
      <c r="M3" s="12"/>
      <c r="N3" s="12"/>
      <c r="O3" s="12"/>
      <c r="U3" s="13" t="s">
        <v>296</v>
      </c>
    </row>
    <row r="4" spans="1:21" ht="27.75" customHeight="1" thickBot="1" x14ac:dyDescent="0.3">
      <c r="A4" s="99" t="s">
        <v>155</v>
      </c>
      <c r="U4" s="175" t="s">
        <v>321</v>
      </c>
    </row>
    <row r="5" spans="1:21" ht="15" customHeight="1" x14ac:dyDescent="0.2">
      <c r="A5" s="1679" t="s">
        <v>68</v>
      </c>
      <c r="B5" s="1680"/>
      <c r="C5" s="1681" t="s">
        <v>782</v>
      </c>
      <c r="D5" s="1682"/>
      <c r="E5" s="1682"/>
      <c r="F5" s="1683"/>
      <c r="G5" s="49"/>
      <c r="H5" s="171"/>
      <c r="I5" s="4"/>
      <c r="O5" s="44"/>
      <c r="U5" s="175" t="s">
        <v>470</v>
      </c>
    </row>
    <row r="6" spans="1:21" ht="15" customHeight="1" x14ac:dyDescent="0.2">
      <c r="A6" s="1687" t="s">
        <v>69</v>
      </c>
      <c r="B6" s="1688"/>
      <c r="C6" s="1684" t="s">
        <v>638</v>
      </c>
      <c r="D6" s="1685"/>
      <c r="E6" s="1685"/>
      <c r="F6" s="1686"/>
      <c r="G6" s="49"/>
      <c r="H6" s="13"/>
      <c r="U6" s="175" t="s">
        <v>175</v>
      </c>
    </row>
    <row r="7" spans="1:21" ht="27" customHeight="1" x14ac:dyDescent="0.2">
      <c r="A7" s="1687" t="s">
        <v>271</v>
      </c>
      <c r="B7" s="1688"/>
      <c r="C7" s="1725" t="s">
        <v>788</v>
      </c>
      <c r="D7" s="1726"/>
      <c r="E7" s="1726"/>
      <c r="F7" s="1727"/>
      <c r="G7" s="50"/>
      <c r="H7" s="13"/>
      <c r="U7" s="175" t="s">
        <v>180</v>
      </c>
    </row>
    <row r="8" spans="1:21" ht="15" customHeight="1" x14ac:dyDescent="0.2">
      <c r="A8" s="1687" t="s">
        <v>244</v>
      </c>
      <c r="B8" s="1688"/>
      <c r="C8" s="1728" t="s">
        <v>775</v>
      </c>
      <c r="D8" s="1729"/>
      <c r="E8" s="1729"/>
      <c r="F8" s="1730"/>
      <c r="G8" s="49"/>
      <c r="H8" s="13"/>
      <c r="U8" s="13" t="s">
        <v>195</v>
      </c>
    </row>
    <row r="9" spans="1:21" ht="15" customHeight="1" x14ac:dyDescent="0.2">
      <c r="A9" s="1687" t="s">
        <v>269</v>
      </c>
      <c r="B9" s="1688"/>
      <c r="C9" s="1689">
        <v>40087</v>
      </c>
      <c r="D9" s="1690"/>
      <c r="E9" s="1690"/>
      <c r="F9" s="1691"/>
      <c r="G9" s="51"/>
      <c r="H9" s="13"/>
      <c r="U9" s="13" t="s">
        <v>485</v>
      </c>
    </row>
    <row r="10" spans="1:21" ht="15" customHeight="1" thickBot="1" x14ac:dyDescent="0.25">
      <c r="A10" s="1705" t="s">
        <v>245</v>
      </c>
      <c r="B10" s="1706"/>
      <c r="C10" s="1714" t="s">
        <v>640</v>
      </c>
      <c r="D10" s="1715"/>
      <c r="E10" s="1715"/>
      <c r="F10" s="1716"/>
      <c r="G10" s="52"/>
      <c r="H10" s="13"/>
      <c r="U10" s="13" t="s">
        <v>486</v>
      </c>
    </row>
    <row r="11" spans="1:21" ht="27" customHeight="1" thickBot="1" x14ac:dyDescent="0.3">
      <c r="A11" s="98" t="s">
        <v>242</v>
      </c>
      <c r="B11" s="10"/>
      <c r="C11" s="10"/>
      <c r="D11" s="36"/>
      <c r="E11" s="10"/>
      <c r="F11" s="10"/>
      <c r="G11" s="10"/>
      <c r="H11" s="11"/>
      <c r="I11" s="10"/>
      <c r="J11" s="12"/>
      <c r="K11" s="12"/>
      <c r="L11" s="12"/>
      <c r="M11" s="12"/>
      <c r="N11" s="12"/>
    </row>
    <row r="12" spans="1:21" ht="15" customHeight="1" x14ac:dyDescent="0.2">
      <c r="A12" s="466" t="s">
        <v>277</v>
      </c>
      <c r="B12" s="469"/>
      <c r="C12" s="53" t="s">
        <v>283</v>
      </c>
      <c r="D12" s="665" t="s">
        <v>641</v>
      </c>
      <c r="E12" s="43" t="s">
        <v>284</v>
      </c>
      <c r="F12" s="1584">
        <v>7</v>
      </c>
      <c r="G12" s="49"/>
      <c r="H12" s="13"/>
    </row>
    <row r="13" spans="1:21" ht="15" customHeight="1" x14ac:dyDescent="0.2">
      <c r="A13" s="484" t="s">
        <v>278</v>
      </c>
      <c r="B13" s="40"/>
      <c r="C13" s="54" t="s">
        <v>246</v>
      </c>
      <c r="D13" s="782">
        <v>40452</v>
      </c>
      <c r="E13" s="5" t="s">
        <v>264</v>
      </c>
      <c r="F13" s="666">
        <v>40543</v>
      </c>
      <c r="G13" s="39"/>
      <c r="H13" s="13"/>
    </row>
    <row r="14" spans="1:21" ht="15" customHeight="1" thickBot="1" x14ac:dyDescent="0.25">
      <c r="A14" s="55" t="s">
        <v>279</v>
      </c>
      <c r="B14" s="41"/>
      <c r="C14" s="1731">
        <v>5</v>
      </c>
      <c r="D14" s="1708"/>
      <c r="E14" s="1708"/>
      <c r="F14" s="1709"/>
      <c r="G14" s="52"/>
      <c r="H14" s="13"/>
    </row>
    <row r="15" spans="1:21" ht="27" customHeight="1" thickBot="1" x14ac:dyDescent="0.3">
      <c r="A15" s="98" t="s">
        <v>241</v>
      </c>
      <c r="B15" s="10"/>
      <c r="C15" s="10"/>
      <c r="D15" s="36"/>
      <c r="E15" s="10"/>
      <c r="F15" s="10"/>
      <c r="G15" s="10"/>
      <c r="H15" s="11"/>
      <c r="I15" s="10"/>
      <c r="J15" s="12"/>
      <c r="K15" s="12"/>
      <c r="L15" s="12"/>
      <c r="M15" s="12"/>
      <c r="N15" s="12"/>
    </row>
    <row r="16" spans="1:21" ht="15" customHeight="1" x14ac:dyDescent="0.2">
      <c r="A16" s="466" t="s">
        <v>282</v>
      </c>
      <c r="B16" s="469"/>
      <c r="C16" s="1216" t="s">
        <v>283</v>
      </c>
      <c r="D16" s="665" t="s">
        <v>641</v>
      </c>
      <c r="E16" s="43" t="s">
        <v>284</v>
      </c>
      <c r="F16" s="690">
        <v>8</v>
      </c>
      <c r="G16" s="49"/>
      <c r="H16" s="13"/>
    </row>
    <row r="17" spans="1:21" ht="15" customHeight="1" x14ac:dyDescent="0.2">
      <c r="A17" s="484" t="s">
        <v>280</v>
      </c>
      <c r="B17" s="40"/>
      <c r="C17" s="1217" t="s">
        <v>246</v>
      </c>
      <c r="D17" s="1037">
        <v>40544</v>
      </c>
      <c r="E17" s="5" t="s">
        <v>264</v>
      </c>
      <c r="F17" s="1338">
        <v>40633</v>
      </c>
      <c r="G17" s="39"/>
      <c r="H17" s="13"/>
    </row>
    <row r="18" spans="1:21" ht="15" customHeight="1" thickBot="1" x14ac:dyDescent="0.25">
      <c r="A18" s="55" t="s">
        <v>281</v>
      </c>
      <c r="B18" s="168"/>
      <c r="C18" s="1707">
        <v>6</v>
      </c>
      <c r="D18" s="1708"/>
      <c r="E18" s="1708"/>
      <c r="F18" s="1709"/>
      <c r="G18" s="52"/>
      <c r="H18" s="13"/>
    </row>
    <row r="19" spans="1:21" ht="15" x14ac:dyDescent="0.2">
      <c r="A19" s="10"/>
      <c r="B19" s="10"/>
      <c r="C19" s="10"/>
      <c r="D19" s="36"/>
      <c r="E19" s="10"/>
      <c r="F19" s="10"/>
      <c r="G19" s="10"/>
      <c r="H19" s="11"/>
      <c r="I19" s="10"/>
      <c r="J19" s="12"/>
      <c r="K19" s="12"/>
      <c r="L19" s="12"/>
      <c r="M19" s="12"/>
      <c r="N19" s="12"/>
    </row>
    <row r="20" spans="1:21" ht="3" customHeight="1" x14ac:dyDescent="0.2">
      <c r="A20" s="1710"/>
      <c r="B20" s="1710"/>
      <c r="C20" s="1710"/>
      <c r="D20" s="1710"/>
      <c r="E20" s="1710"/>
      <c r="F20" s="1710"/>
      <c r="G20" s="1710"/>
      <c r="H20" s="1710"/>
      <c r="I20" s="1710"/>
      <c r="J20" s="1710"/>
      <c r="K20" s="1710"/>
      <c r="L20" s="1710"/>
      <c r="M20" s="1710"/>
      <c r="N20" s="1710"/>
      <c r="O20" s="1710"/>
      <c r="P20" s="1710"/>
    </row>
    <row r="21" spans="1:21" ht="12.75" hidden="1" customHeight="1" x14ac:dyDescent="0.2">
      <c r="A21" s="10"/>
      <c r="B21" s="10"/>
      <c r="C21" s="10"/>
      <c r="D21" s="36"/>
      <c r="E21" s="10"/>
      <c r="F21" s="10"/>
      <c r="G21" s="10"/>
      <c r="H21" s="11"/>
      <c r="I21" s="10"/>
      <c r="J21" s="12"/>
      <c r="K21" s="12"/>
      <c r="L21" s="12"/>
      <c r="M21" s="12"/>
      <c r="N21" s="12"/>
    </row>
    <row r="22" spans="1:21" ht="54.75" customHeight="1" x14ac:dyDescent="0.2">
      <c r="A22" s="9" t="s">
        <v>448</v>
      </c>
      <c r="B22" s="9"/>
      <c r="C22" s="10"/>
      <c r="D22" s="36"/>
      <c r="E22" s="10"/>
      <c r="F22" s="10"/>
      <c r="G22" s="10"/>
      <c r="H22" s="11"/>
      <c r="I22" s="10"/>
      <c r="J22" s="12"/>
      <c r="K22" s="12"/>
      <c r="L22" s="12"/>
      <c r="M22" s="12"/>
      <c r="N22" s="12"/>
    </row>
    <row r="23" spans="1:21" s="14" customFormat="1" ht="34.5" customHeight="1" thickBot="1" x14ac:dyDescent="0.25">
      <c r="A23" s="440" t="s">
        <v>62</v>
      </c>
      <c r="B23" s="45"/>
      <c r="C23" s="45"/>
      <c r="D23" s="45"/>
      <c r="E23" s="45"/>
      <c r="F23" s="45"/>
      <c r="G23" s="45"/>
      <c r="H23" s="45"/>
      <c r="I23" s="45"/>
      <c r="J23" s="45"/>
      <c r="K23" s="45"/>
      <c r="L23" s="45"/>
      <c r="M23" s="45"/>
      <c r="N23" s="45"/>
      <c r="O23" s="45"/>
      <c r="P23" s="46"/>
      <c r="U23" s="63"/>
    </row>
    <row r="24" spans="1:21" s="67" customFormat="1" ht="20.25" customHeight="1" x14ac:dyDescent="0.2">
      <c r="A24" s="828" t="s">
        <v>27</v>
      </c>
      <c r="B24" s="56"/>
      <c r="C24" s="56"/>
      <c r="D24" s="56"/>
      <c r="E24" s="56"/>
      <c r="F24" s="56"/>
      <c r="G24" s="56"/>
      <c r="H24" s="56"/>
      <c r="I24" s="56"/>
      <c r="J24" s="56"/>
      <c r="K24" s="56"/>
      <c r="L24" s="56"/>
      <c r="M24" s="56"/>
      <c r="N24" s="56"/>
      <c r="O24" s="1695"/>
      <c r="P24" s="1696"/>
      <c r="U24" s="14"/>
    </row>
    <row r="25" spans="1:21" ht="31.5" customHeight="1" x14ac:dyDescent="0.2">
      <c r="A25" s="1693" t="s">
        <v>286</v>
      </c>
      <c r="B25" s="1699" t="s">
        <v>249</v>
      </c>
      <c r="C25" s="1732"/>
      <c r="D25" s="1732"/>
      <c r="E25" s="1732"/>
      <c r="F25" s="1733"/>
      <c r="G25" s="1699" t="s">
        <v>272</v>
      </c>
      <c r="H25" s="1700"/>
      <c r="I25" s="1697" t="s">
        <v>442</v>
      </c>
      <c r="J25" s="1697" t="s">
        <v>443</v>
      </c>
      <c r="K25" s="1697" t="s">
        <v>231</v>
      </c>
      <c r="L25" s="1697" t="s">
        <v>444</v>
      </c>
      <c r="M25" s="1697" t="s">
        <v>422</v>
      </c>
      <c r="N25" s="1699" t="s">
        <v>232</v>
      </c>
      <c r="O25" s="1720"/>
      <c r="P25" s="1721"/>
      <c r="U25" s="67"/>
    </row>
    <row r="26" spans="1:21" ht="22.5" customHeight="1" thickBot="1" x14ac:dyDescent="0.25">
      <c r="A26" s="1694"/>
      <c r="B26" s="1734"/>
      <c r="C26" s="1735"/>
      <c r="D26" s="1735"/>
      <c r="E26" s="1735"/>
      <c r="F26" s="1736"/>
      <c r="G26" s="1042" t="s">
        <v>247</v>
      </c>
      <c r="H26" s="1042" t="s">
        <v>248</v>
      </c>
      <c r="I26" s="1698"/>
      <c r="J26" s="1698"/>
      <c r="K26" s="1698"/>
      <c r="L26" s="1698"/>
      <c r="M26" s="1698"/>
      <c r="N26" s="1722"/>
      <c r="O26" s="1723"/>
      <c r="P26" s="1724"/>
    </row>
    <row r="27" spans="1:21" ht="59.25" customHeight="1" x14ac:dyDescent="0.2">
      <c r="A27" s="1566" t="s">
        <v>642</v>
      </c>
      <c r="B27" s="1717" t="s">
        <v>644</v>
      </c>
      <c r="C27" s="1718"/>
      <c r="D27" s="1718"/>
      <c r="E27" s="1718"/>
      <c r="F27" s="1719"/>
      <c r="G27" s="1567" t="s">
        <v>649</v>
      </c>
      <c r="H27" s="1568">
        <v>2005</v>
      </c>
      <c r="I27" s="1569" t="s">
        <v>655</v>
      </c>
      <c r="J27" s="1567" t="s">
        <v>670</v>
      </c>
      <c r="K27" s="1570">
        <v>40543</v>
      </c>
      <c r="L27" s="1571" t="s">
        <v>668</v>
      </c>
      <c r="M27" s="1572" t="s">
        <v>296</v>
      </c>
      <c r="N27" s="1701" t="s">
        <v>657</v>
      </c>
      <c r="O27" s="1701"/>
      <c r="P27" s="1702"/>
    </row>
    <row r="28" spans="1:21" ht="59.25" customHeight="1" x14ac:dyDescent="0.2">
      <c r="A28" s="1566" t="s">
        <v>643</v>
      </c>
      <c r="B28" s="1711" t="s">
        <v>645</v>
      </c>
      <c r="C28" s="1712"/>
      <c r="D28" s="1712"/>
      <c r="E28" s="1712"/>
      <c r="F28" s="1713"/>
      <c r="G28" s="1573" t="s">
        <v>651</v>
      </c>
      <c r="H28" s="1568">
        <v>2006</v>
      </c>
      <c r="I28" s="1569" t="s">
        <v>655</v>
      </c>
      <c r="J28" s="1574">
        <v>2.24E-2</v>
      </c>
      <c r="K28" s="1570">
        <v>40543</v>
      </c>
      <c r="L28" s="1571" t="s">
        <v>123</v>
      </c>
      <c r="M28" s="1572" t="s">
        <v>656</v>
      </c>
      <c r="N28" s="1703" t="s">
        <v>653</v>
      </c>
      <c r="O28" s="1703"/>
      <c r="P28" s="1704"/>
    </row>
    <row r="29" spans="1:21" ht="59.25" customHeight="1" x14ac:dyDescent="0.2">
      <c r="A29" s="1566" t="s">
        <v>642</v>
      </c>
      <c r="B29" s="1711" t="s">
        <v>646</v>
      </c>
      <c r="C29" s="1712"/>
      <c r="D29" s="1712"/>
      <c r="E29" s="1712"/>
      <c r="F29" s="1713"/>
      <c r="G29" s="1567" t="s">
        <v>652</v>
      </c>
      <c r="H29" s="1568">
        <v>2008</v>
      </c>
      <c r="I29" s="1569" t="s">
        <v>659</v>
      </c>
      <c r="J29" s="1573" t="s">
        <v>650</v>
      </c>
      <c r="K29" s="1570" t="s">
        <v>123</v>
      </c>
      <c r="L29" s="1571" t="s">
        <v>123</v>
      </c>
      <c r="M29" s="1572" t="s">
        <v>672</v>
      </c>
      <c r="N29" s="1703" t="s">
        <v>654</v>
      </c>
      <c r="O29" s="1703"/>
      <c r="P29" s="1704"/>
    </row>
    <row r="30" spans="1:21" ht="59.25" customHeight="1" x14ac:dyDescent="0.2">
      <c r="A30" s="1566" t="s">
        <v>642</v>
      </c>
      <c r="B30" s="1711" t="s">
        <v>647</v>
      </c>
      <c r="C30" s="1712"/>
      <c r="D30" s="1712"/>
      <c r="E30" s="1712"/>
      <c r="F30" s="1713"/>
      <c r="G30" s="1567" t="s">
        <v>669</v>
      </c>
      <c r="H30" s="1568">
        <v>2010</v>
      </c>
      <c r="I30" s="1569" t="s">
        <v>655</v>
      </c>
      <c r="J30" s="1567" t="s">
        <v>669</v>
      </c>
      <c r="K30" s="1570">
        <v>40543</v>
      </c>
      <c r="L30" s="1567" t="s">
        <v>669</v>
      </c>
      <c r="M30" s="1572" t="s">
        <v>296</v>
      </c>
      <c r="N30" s="1701" t="s">
        <v>657</v>
      </c>
      <c r="O30" s="1701"/>
      <c r="P30" s="1702"/>
    </row>
    <row r="31" spans="1:21" ht="59.25" customHeight="1" x14ac:dyDescent="0.2">
      <c r="A31" s="1566" t="s">
        <v>642</v>
      </c>
      <c r="B31" s="1711" t="s">
        <v>648</v>
      </c>
      <c r="C31" s="1712"/>
      <c r="D31" s="1712"/>
      <c r="E31" s="1712"/>
      <c r="F31" s="1713"/>
      <c r="G31" s="1575">
        <v>0.56000000000000005</v>
      </c>
      <c r="H31" s="1568">
        <v>2010</v>
      </c>
      <c r="I31" s="1569" t="s">
        <v>655</v>
      </c>
      <c r="J31" s="1576">
        <v>0.56000000000000005</v>
      </c>
      <c r="K31" s="1570">
        <v>40543</v>
      </c>
      <c r="L31" s="1575">
        <v>0.56000000000000005</v>
      </c>
      <c r="M31" s="1572" t="s">
        <v>658</v>
      </c>
      <c r="N31" s="1703" t="s">
        <v>671</v>
      </c>
      <c r="O31" s="1703"/>
      <c r="P31" s="1704"/>
    </row>
    <row r="32" spans="1:21" ht="59.25" customHeight="1" x14ac:dyDescent="0.2">
      <c r="A32" s="1041" t="s">
        <v>263</v>
      </c>
      <c r="B32" s="1692"/>
      <c r="C32" s="1692"/>
      <c r="D32" s="1692"/>
      <c r="E32" s="1692"/>
      <c r="F32" s="1692"/>
      <c r="G32" s="1097" t="s">
        <v>123</v>
      </c>
      <c r="H32" s="1111" t="s">
        <v>123</v>
      </c>
      <c r="I32" s="1111" t="s">
        <v>123</v>
      </c>
      <c r="J32" s="1083" t="s">
        <v>123</v>
      </c>
      <c r="K32" s="1036" t="s">
        <v>123</v>
      </c>
      <c r="L32" s="1083" t="s">
        <v>123</v>
      </c>
      <c r="M32" s="857" t="s">
        <v>263</v>
      </c>
      <c r="N32" s="1675"/>
      <c r="O32" s="1676"/>
      <c r="P32" s="1677"/>
    </row>
    <row r="33" spans="1:21" ht="59.25" customHeight="1" outlineLevel="1" x14ac:dyDescent="0.2">
      <c r="A33" s="1041" t="s">
        <v>263</v>
      </c>
      <c r="B33" s="1692"/>
      <c r="C33" s="1692"/>
      <c r="D33" s="1692"/>
      <c r="E33" s="1692"/>
      <c r="F33" s="1692"/>
      <c r="G33" s="1097" t="s">
        <v>123</v>
      </c>
      <c r="H33" s="1111" t="s">
        <v>123</v>
      </c>
      <c r="I33" s="1111" t="s">
        <v>123</v>
      </c>
      <c r="J33" s="1083" t="s">
        <v>123</v>
      </c>
      <c r="K33" s="1036" t="s">
        <v>123</v>
      </c>
      <c r="L33" s="1083" t="s">
        <v>123</v>
      </c>
      <c r="M33" s="857" t="s">
        <v>263</v>
      </c>
      <c r="N33" s="1675"/>
      <c r="O33" s="1676"/>
      <c r="P33" s="1677"/>
    </row>
    <row r="34" spans="1:21" ht="59.25" customHeight="1" outlineLevel="1" x14ac:dyDescent="0.2">
      <c r="A34" s="1041" t="s">
        <v>263</v>
      </c>
      <c r="B34" s="1692"/>
      <c r="C34" s="1692"/>
      <c r="D34" s="1692"/>
      <c r="E34" s="1692"/>
      <c r="F34" s="1692"/>
      <c r="G34" s="1097" t="s">
        <v>123</v>
      </c>
      <c r="H34" s="1111" t="s">
        <v>123</v>
      </c>
      <c r="I34" s="1111" t="s">
        <v>123</v>
      </c>
      <c r="J34" s="1083" t="s">
        <v>123</v>
      </c>
      <c r="K34" s="1036" t="s">
        <v>123</v>
      </c>
      <c r="L34" s="1083" t="s">
        <v>123</v>
      </c>
      <c r="M34" s="857" t="s">
        <v>263</v>
      </c>
      <c r="N34" s="1675"/>
      <c r="O34" s="1676"/>
      <c r="P34" s="1677"/>
    </row>
    <row r="35" spans="1:21" ht="59.25" customHeight="1" outlineLevel="1" x14ac:dyDescent="0.2">
      <c r="A35" s="1041" t="s">
        <v>263</v>
      </c>
      <c r="B35" s="1692"/>
      <c r="C35" s="1692"/>
      <c r="D35" s="1692"/>
      <c r="E35" s="1692"/>
      <c r="F35" s="1692"/>
      <c r="G35" s="1097" t="s">
        <v>123</v>
      </c>
      <c r="H35" s="1111" t="s">
        <v>123</v>
      </c>
      <c r="I35" s="1111" t="s">
        <v>123</v>
      </c>
      <c r="J35" s="1083" t="s">
        <v>123</v>
      </c>
      <c r="K35" s="1036" t="s">
        <v>123</v>
      </c>
      <c r="L35" s="1083" t="s">
        <v>123</v>
      </c>
      <c r="M35" s="857" t="s">
        <v>263</v>
      </c>
      <c r="N35" s="1675"/>
      <c r="O35" s="1676"/>
      <c r="P35" s="1677"/>
    </row>
    <row r="36" spans="1:21" ht="59.25" customHeight="1" outlineLevel="1" x14ac:dyDescent="0.2">
      <c r="A36" s="1296" t="s">
        <v>263</v>
      </c>
      <c r="B36" s="1692"/>
      <c r="C36" s="1692"/>
      <c r="D36" s="1692"/>
      <c r="E36" s="1692"/>
      <c r="F36" s="1692"/>
      <c r="G36" s="1097" t="s">
        <v>123</v>
      </c>
      <c r="H36" s="1111" t="s">
        <v>123</v>
      </c>
      <c r="I36" s="1111" t="s">
        <v>123</v>
      </c>
      <c r="J36" s="1083" t="s">
        <v>123</v>
      </c>
      <c r="K36" s="1036" t="s">
        <v>123</v>
      </c>
      <c r="L36" s="1083" t="s">
        <v>123</v>
      </c>
      <c r="M36" s="857" t="s">
        <v>263</v>
      </c>
      <c r="N36" s="1675"/>
      <c r="O36" s="1676"/>
      <c r="P36" s="1677"/>
    </row>
    <row r="37" spans="1:21" s="14" customFormat="1" ht="13.5" customHeight="1" x14ac:dyDescent="0.2">
      <c r="A37" s="33"/>
      <c r="B37" s="45"/>
      <c r="C37" s="45"/>
      <c r="D37" s="45"/>
      <c r="E37" s="45"/>
      <c r="F37" s="45"/>
      <c r="G37" s="45"/>
      <c r="H37" s="45"/>
      <c r="I37" s="45"/>
      <c r="J37" s="45"/>
      <c r="K37" s="45"/>
      <c r="L37" s="45"/>
      <c r="M37" s="45"/>
      <c r="N37" s="45"/>
      <c r="O37" s="45"/>
      <c r="P37" s="46"/>
      <c r="U37" s="63"/>
    </row>
    <row r="38" spans="1:21" s="14" customFormat="1" ht="13.5" customHeight="1" x14ac:dyDescent="0.2">
      <c r="A38" s="12"/>
      <c r="B38" s="12"/>
      <c r="C38" s="12"/>
      <c r="D38" s="12"/>
      <c r="E38" s="12"/>
      <c r="F38" s="12"/>
      <c r="G38" s="12"/>
      <c r="H38" s="12"/>
      <c r="I38" s="12"/>
      <c r="J38" s="12"/>
      <c r="K38" s="12"/>
      <c r="L38" s="12"/>
      <c r="M38" s="12"/>
      <c r="N38" s="12"/>
      <c r="O38" s="12"/>
      <c r="P38" s="12"/>
    </row>
    <row r="39" spans="1:21" x14ac:dyDescent="0.2">
      <c r="U39" s="14"/>
    </row>
    <row r="40" spans="1:21" ht="12.75" customHeight="1" x14ac:dyDescent="0.2"/>
  </sheetData>
  <sheetProtection formatCells="0" formatColumns="0" formatRows="0"/>
  <customSheetViews>
    <customSheetView guid="{E26F941C-F347-432D-B4B3-73B25F002075}" scale="55" showPageBreaks="1" showGridLines="0" fitToPage="1" printArea="1" hiddenRows="1" topLeftCell="A13">
      <selection activeCell="B51" sqref="B51:H51"/>
      <pageMargins left="0.41" right="0.43" top="0.43" bottom="0.46" header="0.4" footer="0.28000000000000003"/>
      <printOptions horizontalCentered="1"/>
      <pageSetup paperSize="9" scale="31" orientation="landscape" cellComments="asDisplayed" r:id="rId1"/>
      <headerFooter alignWithMargins="0">
        <oddFooter>&amp;L&amp;9SD 3.1A - Form, Ongoing DR/PU and LFA Review and Recommendation_v2.1 February 2006&amp;R&amp;9Page &amp;P of &amp;N</oddFooter>
      </headerFooter>
    </customSheetView>
  </customSheetViews>
  <mergeCells count="46">
    <mergeCell ref="A7:B7"/>
    <mergeCell ref="A8:B8"/>
    <mergeCell ref="C7:F7"/>
    <mergeCell ref="C8:F8"/>
    <mergeCell ref="M25:M26"/>
    <mergeCell ref="C14:F14"/>
    <mergeCell ref="B25:F26"/>
    <mergeCell ref="K25:K26"/>
    <mergeCell ref="J25:J26"/>
    <mergeCell ref="B27:F27"/>
    <mergeCell ref="B28:F28"/>
    <mergeCell ref="N33:P33"/>
    <mergeCell ref="N32:P32"/>
    <mergeCell ref="N25:P26"/>
    <mergeCell ref="B35:F35"/>
    <mergeCell ref="B36:F36"/>
    <mergeCell ref="A10:B10"/>
    <mergeCell ref="I25:I26"/>
    <mergeCell ref="C18:F18"/>
    <mergeCell ref="A20:P20"/>
    <mergeCell ref="B29:F29"/>
    <mergeCell ref="C10:F10"/>
    <mergeCell ref="B30:F30"/>
    <mergeCell ref="N35:P35"/>
    <mergeCell ref="N36:P36"/>
    <mergeCell ref="B32:F32"/>
    <mergeCell ref="N29:P29"/>
    <mergeCell ref="N30:P30"/>
    <mergeCell ref="N31:P31"/>
    <mergeCell ref="B31:F31"/>
    <mergeCell ref="N34:P34"/>
    <mergeCell ref="A1:F1"/>
    <mergeCell ref="A5:B5"/>
    <mergeCell ref="C5:F5"/>
    <mergeCell ref="C6:F6"/>
    <mergeCell ref="A9:B9"/>
    <mergeCell ref="C9:F9"/>
    <mergeCell ref="A6:B6"/>
    <mergeCell ref="B34:F34"/>
    <mergeCell ref="B33:F33"/>
    <mergeCell ref="A25:A26"/>
    <mergeCell ref="O24:P24"/>
    <mergeCell ref="L25:L26"/>
    <mergeCell ref="G25:H25"/>
    <mergeCell ref="N27:P27"/>
    <mergeCell ref="N28:P28"/>
  </mergeCells>
  <phoneticPr fontId="0" type="noConversion"/>
  <dataValidations xWindow="817" yWindow="445" count="7">
    <dataValidation type="list" allowBlank="1" showInputMessage="1" showErrorMessage="1" sqref="G18">
      <formula1>"Select,N/A,1,2,3,4,5,6,7,8,9,10,11,12,13,14,15,16,17,18,19,20"</formula1>
    </dataValidation>
    <dataValidation type="list" allowBlank="1" showInputMessage="1" showErrorMessage="1" sqref="G10:G11 C10:F10">
      <formula1>"Select,USD,EUR"</formula1>
    </dataValidation>
    <dataValidation type="list" allowBlank="1" showInputMessage="1" showErrorMessage="1" sqref="C6:G6">
      <formula1>"Select,Health Systems Strengthening,HIV/AIDS,HIV/TB,Integrated,Malaria,Tuberculosis"</formula1>
    </dataValidation>
    <dataValidation type="list" allowBlank="1" showInputMessage="1" showErrorMessage="1" sqref="D16">
      <formula1>"Select,Quarter,Semester,Annual,Other"</formula1>
    </dataValidation>
    <dataValidation type="list" allowBlank="1" showInputMessage="1" sqref="D12">
      <formula1>"Select,Quarter,Semester,Annual,Other (type)"</formula1>
    </dataValidation>
    <dataValidation type="list" errorStyle="information" allowBlank="1" showInputMessage="1" prompt="Please select the data source from the list below. You can also type in your own text." sqref="M27:M36">
      <formula1>$U$1:$U$10</formula1>
    </dataValidation>
    <dataValidation type="list" allowBlank="1" showInputMessage="1" showErrorMessage="1" sqref="A27:A36">
      <formula1>"Select, Impact, Outcome"</formula1>
    </dataValidation>
  </dataValidations>
  <printOptions horizontalCentered="1"/>
  <pageMargins left="0.74803149606299213" right="0.74803149606299213" top="0.59055118110236227" bottom="0.59055118110236227" header="0.51181102362204722" footer="0.51181102362204722"/>
  <pageSetup paperSize="9" scale="41" fitToHeight="0" orientation="landscape" cellComments="asDisplayed" r:id="rId2"/>
  <headerFooter alignWithMargins="0">
    <oddFooter>&amp;L&amp;9&amp;F&amp;C&amp;A&amp;R&amp;9Page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1"/>
    <pageSetUpPr fitToPage="1"/>
  </sheetPr>
  <dimension ref="A1:Q38"/>
  <sheetViews>
    <sheetView showGridLines="0" tabSelected="1" view="pageBreakPreview" topLeftCell="F1" zoomScale="70" zoomScaleNormal="25" zoomScaleSheetLayoutView="70" workbookViewId="0">
      <selection activeCell="A33" sqref="A33:P34"/>
    </sheetView>
  </sheetViews>
  <sheetFormatPr defaultRowHeight="12.75" outlineLevelRow="1" x14ac:dyDescent="0.2"/>
  <cols>
    <col min="1" max="1" width="13.28515625" style="63" customWidth="1"/>
    <col min="2" max="2" width="12.28515625" style="63" customWidth="1"/>
    <col min="3" max="3" width="28.7109375" style="63" customWidth="1"/>
    <col min="4" max="4" width="25.42578125" style="63" customWidth="1"/>
    <col min="5" max="6" width="24.42578125" style="63" customWidth="1"/>
    <col min="7" max="7" width="15" style="63" customWidth="1"/>
    <col min="8" max="8" width="24.42578125" style="63" customWidth="1"/>
    <col min="9" max="9" width="16.28515625" style="63" customWidth="1"/>
    <col min="10" max="10" width="18.7109375" style="63" customWidth="1"/>
    <col min="11" max="11" width="12.7109375" style="63" customWidth="1"/>
    <col min="12" max="12" width="21.42578125" style="63" bestFit="1" customWidth="1"/>
    <col min="13" max="13" width="18.28515625" style="63" bestFit="1" customWidth="1"/>
    <col min="14" max="14" width="18.42578125" style="63" customWidth="1"/>
    <col min="15" max="15" width="16" style="63" customWidth="1"/>
    <col min="16" max="16" width="56.5703125" style="63" customWidth="1"/>
    <col min="17" max="17" width="8.42578125" style="63" customWidth="1"/>
    <col min="18" max="16384" width="9.140625" style="63"/>
  </cols>
  <sheetData>
    <row r="1" spans="1:17" ht="25.5" customHeight="1" x14ac:dyDescent="0.2">
      <c r="A1" s="1678" t="s">
        <v>61</v>
      </c>
      <c r="B1" s="1678"/>
      <c r="C1" s="1678"/>
      <c r="D1" s="1678"/>
      <c r="E1" s="1678"/>
      <c r="F1" s="1678"/>
      <c r="G1" s="1678"/>
      <c r="H1" s="464"/>
      <c r="I1" s="464"/>
      <c r="J1" s="35"/>
      <c r="K1" s="35"/>
      <c r="L1" s="12"/>
      <c r="M1" s="12"/>
      <c r="N1" s="12"/>
      <c r="O1" s="12"/>
      <c r="P1" s="12"/>
      <c r="Q1" s="13"/>
    </row>
    <row r="2" spans="1:17" ht="18.75" customHeight="1" thickBot="1" x14ac:dyDescent="0.3">
      <c r="A2" s="98" t="s">
        <v>156</v>
      </c>
      <c r="B2" s="98"/>
      <c r="C2" s="10"/>
      <c r="D2" s="10"/>
      <c r="E2" s="36"/>
      <c r="F2" s="10"/>
      <c r="G2" s="10"/>
      <c r="H2" s="10"/>
      <c r="I2" s="10"/>
      <c r="J2" s="10"/>
      <c r="K2" s="12"/>
      <c r="L2" s="12"/>
      <c r="M2" s="12"/>
      <c r="N2" s="12"/>
      <c r="O2" s="12"/>
      <c r="P2" s="13"/>
      <c r="Q2" s="13"/>
    </row>
    <row r="3" spans="1:17" s="73" customFormat="1" ht="25.5" customHeight="1" thickBot="1" x14ac:dyDescent="0.25">
      <c r="A3" s="1679" t="s">
        <v>70</v>
      </c>
      <c r="B3" s="1749"/>
      <c r="C3" s="1680"/>
      <c r="D3" s="1751" t="str">
        <f>IF('PR_Programmatic Progress_1A'!C7="","",'PR_Programmatic Progress_1A'!C7)</f>
        <v>MNR-809-G04-H</v>
      </c>
      <c r="E3" s="1752"/>
      <c r="F3" s="1752"/>
      <c r="G3" s="1753"/>
      <c r="H3" s="4"/>
      <c r="I3" s="171"/>
      <c r="J3" s="4"/>
      <c r="K3" s="4"/>
      <c r="L3" s="4"/>
      <c r="M3" s="4"/>
      <c r="N3" s="4"/>
      <c r="O3" s="4"/>
      <c r="P3" s="4"/>
      <c r="Q3" s="4"/>
    </row>
    <row r="4" spans="1:17" s="73" customFormat="1" ht="15" customHeight="1" x14ac:dyDescent="0.2">
      <c r="A4" s="465" t="s">
        <v>277</v>
      </c>
      <c r="B4" s="483"/>
      <c r="C4" s="483"/>
      <c r="D4" s="53" t="s">
        <v>283</v>
      </c>
      <c r="E4" s="477" t="str">
        <f>IF('PR_Programmatic Progress_1A'!D12="Select","",'PR_Programmatic Progress_1A'!D12)</f>
        <v>Quarter</v>
      </c>
      <c r="F4" s="5" t="s">
        <v>284</v>
      </c>
      <c r="G4" s="47">
        <v>7</v>
      </c>
      <c r="H4" s="4"/>
      <c r="I4" s="4"/>
      <c r="J4" s="4"/>
      <c r="K4" s="4"/>
      <c r="L4" s="4"/>
      <c r="M4" s="4"/>
      <c r="N4" s="4"/>
      <c r="O4" s="4"/>
      <c r="P4" s="4"/>
      <c r="Q4" s="4"/>
    </row>
    <row r="5" spans="1:17" s="73" customFormat="1" ht="15" customHeight="1" x14ac:dyDescent="0.2">
      <c r="A5" s="484" t="s">
        <v>278</v>
      </c>
      <c r="B5" s="40"/>
      <c r="C5" s="40"/>
      <c r="D5" s="54" t="s">
        <v>246</v>
      </c>
      <c r="E5" s="490">
        <f>IF('PR_Programmatic Progress_1A'!D13="","",'PR_Programmatic Progress_1A'!D13)</f>
        <v>40452</v>
      </c>
      <c r="F5" s="5" t="s">
        <v>264</v>
      </c>
      <c r="G5" s="491">
        <f>IF('PR_Programmatic Progress_1A'!F13="","",'PR_Programmatic Progress_1A'!F13)</f>
        <v>40543</v>
      </c>
      <c r="H5" s="4"/>
      <c r="I5" s="4"/>
      <c r="J5" s="4"/>
      <c r="K5" s="4"/>
      <c r="L5" s="4"/>
      <c r="M5" s="4"/>
      <c r="N5" s="4"/>
      <c r="O5" s="4"/>
      <c r="P5" s="4"/>
      <c r="Q5" s="4"/>
    </row>
    <row r="6" spans="1:17" s="73" customFormat="1" ht="15" customHeight="1" thickBot="1" x14ac:dyDescent="0.25">
      <c r="A6" s="55" t="s">
        <v>279</v>
      </c>
      <c r="B6" s="168"/>
      <c r="C6" s="41"/>
      <c r="D6" s="1764">
        <v>5</v>
      </c>
      <c r="E6" s="1765"/>
      <c r="F6" s="1765"/>
      <c r="G6" s="1766"/>
      <c r="H6" s="4"/>
      <c r="I6" s="4"/>
      <c r="J6" s="4"/>
      <c r="K6" s="4"/>
      <c r="L6" s="4"/>
      <c r="M6" s="4"/>
      <c r="N6" s="4"/>
      <c r="O6" s="4"/>
      <c r="P6" s="4"/>
      <c r="Q6" s="21"/>
    </row>
    <row r="7" spans="1:17" s="73" customFormat="1" ht="6" customHeight="1" x14ac:dyDescent="0.2">
      <c r="A7" s="441"/>
      <c r="B7" s="441"/>
      <c r="C7" s="441"/>
      <c r="D7" s="82"/>
      <c r="E7" s="82"/>
      <c r="F7" s="82"/>
      <c r="G7" s="82"/>
      <c r="J7" s="4"/>
      <c r="K7" s="4"/>
      <c r="L7" s="4"/>
      <c r="M7" s="4"/>
      <c r="N7" s="4"/>
      <c r="O7" s="4"/>
      <c r="P7" s="4"/>
      <c r="Q7" s="21"/>
    </row>
    <row r="8" spans="1:17" s="14" customFormat="1" ht="22.5" customHeight="1" thickBot="1" x14ac:dyDescent="0.25">
      <c r="A8" s="439" t="s">
        <v>535</v>
      </c>
      <c r="B8" s="33"/>
      <c r="C8" s="45"/>
      <c r="D8" s="45"/>
      <c r="E8" s="45"/>
      <c r="F8" s="45"/>
      <c r="G8" s="45"/>
      <c r="H8" s="45"/>
      <c r="I8" s="45"/>
      <c r="J8" s="45"/>
      <c r="K8" s="45"/>
      <c r="L8" s="45"/>
      <c r="M8" s="45"/>
      <c r="N8" s="45"/>
      <c r="O8" s="45"/>
      <c r="P8" s="45"/>
      <c r="Q8" s="324"/>
    </row>
    <row r="9" spans="1:17" s="67" customFormat="1" ht="20.25" customHeight="1" x14ac:dyDescent="0.2">
      <c r="A9" s="1754" t="s">
        <v>527</v>
      </c>
      <c r="B9" s="1755"/>
      <c r="C9" s="1755"/>
      <c r="D9" s="1755"/>
      <c r="E9" s="1755"/>
      <c r="F9" s="1755"/>
      <c r="G9" s="1756"/>
      <c r="H9" s="1756"/>
      <c r="I9" s="1756"/>
      <c r="J9" s="1755"/>
      <c r="K9" s="1755"/>
      <c r="L9" s="1755"/>
      <c r="M9" s="1755"/>
      <c r="N9" s="1755"/>
      <c r="O9" s="1755"/>
      <c r="P9" s="1757"/>
      <c r="Q9" s="325"/>
    </row>
    <row r="10" spans="1:17" ht="31.5" customHeight="1" x14ac:dyDescent="0.2">
      <c r="A10" s="1697" t="s">
        <v>441</v>
      </c>
      <c r="B10" s="1697" t="s">
        <v>609</v>
      </c>
      <c r="C10" s="1699" t="s">
        <v>249</v>
      </c>
      <c r="D10" s="1732"/>
      <c r="E10" s="1732"/>
      <c r="F10" s="1732"/>
      <c r="G10" s="1699" t="s">
        <v>450</v>
      </c>
      <c r="H10" s="1697" t="s">
        <v>528</v>
      </c>
      <c r="I10" s="1697" t="s">
        <v>2</v>
      </c>
      <c r="J10" s="1761" t="s">
        <v>421</v>
      </c>
      <c r="K10" s="1762"/>
      <c r="L10" s="1759" t="s">
        <v>445</v>
      </c>
      <c r="M10" s="1697" t="s">
        <v>446</v>
      </c>
      <c r="N10" s="1697" t="s">
        <v>72</v>
      </c>
      <c r="O10" s="1699" t="s">
        <v>25</v>
      </c>
      <c r="P10" s="1769"/>
      <c r="Q10" s="498"/>
    </row>
    <row r="11" spans="1:17" ht="58.5" customHeight="1" x14ac:dyDescent="0.2">
      <c r="A11" s="1758"/>
      <c r="B11" s="1750"/>
      <c r="C11" s="1763"/>
      <c r="D11" s="1767"/>
      <c r="E11" s="1767"/>
      <c r="F11" s="1767"/>
      <c r="G11" s="1763"/>
      <c r="H11" s="1758"/>
      <c r="I11" s="1758"/>
      <c r="J11" s="57" t="s">
        <v>247</v>
      </c>
      <c r="K11" s="57" t="s">
        <v>248</v>
      </c>
      <c r="L11" s="1760"/>
      <c r="M11" s="1768"/>
      <c r="N11" s="1758"/>
      <c r="O11" s="1770"/>
      <c r="P11" s="1771"/>
      <c r="Q11" s="13"/>
    </row>
    <row r="12" spans="1:17" ht="252" customHeight="1" x14ac:dyDescent="0.2">
      <c r="A12" s="1026">
        <v>1</v>
      </c>
      <c r="B12" s="1026">
        <v>1.2</v>
      </c>
      <c r="C12" s="1737" t="s">
        <v>789</v>
      </c>
      <c r="D12" s="1738"/>
      <c r="E12" s="1738"/>
      <c r="F12" s="1739"/>
      <c r="G12" s="667" t="s">
        <v>660</v>
      </c>
      <c r="H12" s="1027" t="s">
        <v>791</v>
      </c>
      <c r="I12" s="667" t="s">
        <v>662</v>
      </c>
      <c r="J12" s="1577">
        <v>95</v>
      </c>
      <c r="K12" s="1112" t="s">
        <v>787</v>
      </c>
      <c r="L12" s="1577">
        <v>225</v>
      </c>
      <c r="M12" s="445">
        <v>100</v>
      </c>
      <c r="N12" s="1088">
        <f>M12/L12</f>
        <v>0.44444444444444442</v>
      </c>
      <c r="O12" s="1742" t="s">
        <v>798</v>
      </c>
      <c r="P12" s="1743"/>
      <c r="Q12" s="186"/>
    </row>
    <row r="13" spans="1:17" ht="289.5" customHeight="1" x14ac:dyDescent="0.2">
      <c r="A13" s="1026">
        <v>1</v>
      </c>
      <c r="B13" s="1026">
        <v>1.3</v>
      </c>
      <c r="C13" s="1737" t="s">
        <v>780</v>
      </c>
      <c r="D13" s="1738"/>
      <c r="E13" s="1738"/>
      <c r="F13" s="1739"/>
      <c r="G13" s="667" t="s">
        <v>660</v>
      </c>
      <c r="H13" s="1027" t="s">
        <v>661</v>
      </c>
      <c r="I13" s="667" t="s">
        <v>662</v>
      </c>
      <c r="J13" s="1577" t="s">
        <v>781</v>
      </c>
      <c r="K13" s="1112" t="s">
        <v>781</v>
      </c>
      <c r="L13" s="1577">
        <v>400</v>
      </c>
      <c r="M13" s="445">
        <v>594</v>
      </c>
      <c r="N13" s="1088">
        <f>M13/L13</f>
        <v>1.4850000000000001</v>
      </c>
      <c r="O13" s="1742" t="s">
        <v>799</v>
      </c>
      <c r="P13" s="1743"/>
      <c r="Q13" s="186"/>
    </row>
    <row r="14" spans="1:17" ht="253.5" customHeight="1" x14ac:dyDescent="0.2">
      <c r="A14" s="1026">
        <v>1</v>
      </c>
      <c r="B14" s="1026">
        <v>1.4</v>
      </c>
      <c r="C14" s="1737" t="s">
        <v>790</v>
      </c>
      <c r="D14" s="1738"/>
      <c r="E14" s="1738"/>
      <c r="F14" s="1739"/>
      <c r="G14" s="667" t="s">
        <v>660</v>
      </c>
      <c r="H14" s="1027" t="s">
        <v>661</v>
      </c>
      <c r="I14" s="667" t="s">
        <v>662</v>
      </c>
      <c r="J14" s="1577">
        <v>30</v>
      </c>
      <c r="K14" s="1112" t="s">
        <v>787</v>
      </c>
      <c r="L14" s="1577">
        <v>100</v>
      </c>
      <c r="M14" s="445">
        <v>0</v>
      </c>
      <c r="N14" s="1088">
        <f>M14/L14</f>
        <v>0</v>
      </c>
      <c r="O14" s="1742" t="s">
        <v>800</v>
      </c>
      <c r="P14" s="1743"/>
      <c r="Q14" s="186"/>
    </row>
    <row r="15" spans="1:17" ht="183" customHeight="1" x14ac:dyDescent="0.2">
      <c r="A15" s="1585">
        <v>2</v>
      </c>
      <c r="B15" s="1585">
        <v>2.1</v>
      </c>
      <c r="C15" s="1737" t="s">
        <v>792</v>
      </c>
      <c r="D15" s="1747"/>
      <c r="E15" s="1747"/>
      <c r="F15" s="1748"/>
      <c r="G15" s="667" t="s">
        <v>786</v>
      </c>
      <c r="H15" s="1027" t="s">
        <v>663</v>
      </c>
      <c r="I15" s="667" t="s">
        <v>662</v>
      </c>
      <c r="J15" s="1577">
        <v>200</v>
      </c>
      <c r="K15" s="1112" t="s">
        <v>787</v>
      </c>
      <c r="L15" s="1577">
        <v>300</v>
      </c>
      <c r="M15" s="445">
        <v>300</v>
      </c>
      <c r="N15" s="1583">
        <f>M15/L15</f>
        <v>1</v>
      </c>
      <c r="O15" s="1742" t="s">
        <v>801</v>
      </c>
      <c r="P15" s="1743"/>
      <c r="Q15" s="186"/>
    </row>
    <row r="16" spans="1:17" ht="150.75" customHeight="1" x14ac:dyDescent="0.2">
      <c r="A16" s="1026"/>
      <c r="B16" s="1026"/>
      <c r="C16" s="1744"/>
      <c r="D16" s="1745"/>
      <c r="E16" s="1745"/>
      <c r="F16" s="1746"/>
      <c r="G16" s="1578"/>
      <c r="H16" s="1579"/>
      <c r="I16" s="1578"/>
      <c r="J16" s="1580"/>
      <c r="K16" s="1581"/>
      <c r="L16" s="1582"/>
      <c r="M16" s="1582"/>
      <c r="N16" s="1583"/>
      <c r="O16" s="1740"/>
      <c r="P16" s="1741"/>
      <c r="Q16" s="186"/>
    </row>
    <row r="17" spans="1:17" ht="77.25" customHeight="1" x14ac:dyDescent="0.2">
      <c r="A17" s="1026"/>
      <c r="B17" s="1026"/>
      <c r="C17" s="1737"/>
      <c r="D17" s="1738"/>
      <c r="E17" s="1738"/>
      <c r="F17" s="1739"/>
      <c r="G17" s="667"/>
      <c r="H17" s="1027"/>
      <c r="I17" s="667"/>
      <c r="J17" s="1577"/>
      <c r="K17" s="1112"/>
      <c r="L17" s="1577"/>
      <c r="M17" s="445"/>
      <c r="N17" s="1088"/>
      <c r="O17" s="1740"/>
      <c r="P17" s="1741"/>
      <c r="Q17" s="186"/>
    </row>
    <row r="18" spans="1:17" ht="37.5" customHeight="1" x14ac:dyDescent="0.2">
      <c r="A18" s="1026"/>
      <c r="B18" s="1026"/>
      <c r="C18" s="1737"/>
      <c r="D18" s="1738"/>
      <c r="E18" s="1738"/>
      <c r="F18" s="1739"/>
      <c r="G18" s="667" t="s">
        <v>263</v>
      </c>
      <c r="H18" s="1027" t="s">
        <v>263</v>
      </c>
      <c r="I18" s="667" t="s">
        <v>263</v>
      </c>
      <c r="J18" s="1086"/>
      <c r="K18" s="1112"/>
      <c r="L18" s="1086" t="s">
        <v>123</v>
      </c>
      <c r="M18" s="1087" t="s">
        <v>123</v>
      </c>
      <c r="N18" s="1088"/>
      <c r="O18" s="1740"/>
      <c r="P18" s="1741"/>
      <c r="Q18" s="186"/>
    </row>
    <row r="19" spans="1:17" ht="37.5" customHeight="1" x14ac:dyDescent="0.2">
      <c r="A19" s="1026"/>
      <c r="B19" s="1026"/>
      <c r="C19" s="1737"/>
      <c r="D19" s="1738"/>
      <c r="E19" s="1738"/>
      <c r="F19" s="1739"/>
      <c r="G19" s="667" t="s">
        <v>263</v>
      </c>
      <c r="H19" s="1027" t="s">
        <v>263</v>
      </c>
      <c r="I19" s="667" t="s">
        <v>263</v>
      </c>
      <c r="J19" s="1086"/>
      <c r="K19" s="1112"/>
      <c r="L19" s="1086" t="s">
        <v>123</v>
      </c>
      <c r="M19" s="1087" t="s">
        <v>123</v>
      </c>
      <c r="N19" s="1088"/>
      <c r="O19" s="1740"/>
      <c r="P19" s="1741"/>
      <c r="Q19" s="186"/>
    </row>
    <row r="20" spans="1:17" ht="37.5" hidden="1" customHeight="1" outlineLevel="1" x14ac:dyDescent="0.2">
      <c r="A20" s="667"/>
      <c r="B20" s="1026"/>
      <c r="C20" s="1740"/>
      <c r="D20" s="1772"/>
      <c r="E20" s="1772"/>
      <c r="F20" s="1772"/>
      <c r="G20" s="667" t="s">
        <v>263</v>
      </c>
      <c r="H20" s="1027" t="s">
        <v>263</v>
      </c>
      <c r="I20" s="667" t="s">
        <v>263</v>
      </c>
      <c r="J20" s="1098"/>
      <c r="K20" s="1113"/>
      <c r="L20" s="1087" t="s">
        <v>123</v>
      </c>
      <c r="M20" s="1087" t="s">
        <v>123</v>
      </c>
      <c r="N20" s="1088"/>
      <c r="O20" s="1740"/>
      <c r="P20" s="1741"/>
      <c r="Q20" s="186"/>
    </row>
    <row r="21" spans="1:17" ht="37.5" hidden="1" customHeight="1" outlineLevel="1" x14ac:dyDescent="0.2">
      <c r="A21" s="667"/>
      <c r="B21" s="1026"/>
      <c r="C21" s="1740"/>
      <c r="D21" s="1772"/>
      <c r="E21" s="1772"/>
      <c r="F21" s="1772"/>
      <c r="G21" s="667" t="s">
        <v>263</v>
      </c>
      <c r="H21" s="1027" t="s">
        <v>263</v>
      </c>
      <c r="I21" s="667" t="s">
        <v>263</v>
      </c>
      <c r="J21" s="1098"/>
      <c r="K21" s="1113"/>
      <c r="L21" s="1087" t="s">
        <v>123</v>
      </c>
      <c r="M21" s="1087" t="s">
        <v>123</v>
      </c>
      <c r="N21" s="1088"/>
      <c r="O21" s="1740"/>
      <c r="P21" s="1741"/>
      <c r="Q21" s="186"/>
    </row>
    <row r="22" spans="1:17" ht="37.5" hidden="1" customHeight="1" outlineLevel="1" x14ac:dyDescent="0.2">
      <c r="A22" s="667"/>
      <c r="B22" s="1026"/>
      <c r="C22" s="1740"/>
      <c r="D22" s="1772"/>
      <c r="E22" s="1772"/>
      <c r="F22" s="1772"/>
      <c r="G22" s="667" t="s">
        <v>263</v>
      </c>
      <c r="H22" s="1027" t="s">
        <v>263</v>
      </c>
      <c r="I22" s="667" t="s">
        <v>263</v>
      </c>
      <c r="J22" s="1098"/>
      <c r="K22" s="1113"/>
      <c r="L22" s="1087" t="s">
        <v>123</v>
      </c>
      <c r="M22" s="1087" t="s">
        <v>123</v>
      </c>
      <c r="N22" s="1088"/>
      <c r="O22" s="1740"/>
      <c r="P22" s="1741"/>
      <c r="Q22" s="186"/>
    </row>
    <row r="23" spans="1:17" ht="37.5" hidden="1" customHeight="1" outlineLevel="1" x14ac:dyDescent="0.2">
      <c r="A23" s="667"/>
      <c r="B23" s="1026"/>
      <c r="C23" s="1740"/>
      <c r="D23" s="1772"/>
      <c r="E23" s="1772"/>
      <c r="F23" s="1772"/>
      <c r="G23" s="667" t="s">
        <v>263</v>
      </c>
      <c r="H23" s="1027" t="s">
        <v>263</v>
      </c>
      <c r="I23" s="667" t="s">
        <v>263</v>
      </c>
      <c r="J23" s="1098"/>
      <c r="K23" s="1113"/>
      <c r="L23" s="1087" t="s">
        <v>123</v>
      </c>
      <c r="M23" s="1087" t="s">
        <v>123</v>
      </c>
      <c r="N23" s="1088"/>
      <c r="O23" s="1740"/>
      <c r="P23" s="1741"/>
      <c r="Q23" s="186"/>
    </row>
    <row r="24" spans="1:17" ht="37.5" hidden="1" customHeight="1" outlineLevel="1" x14ac:dyDescent="0.2">
      <c r="A24" s="667"/>
      <c r="B24" s="1026"/>
      <c r="C24" s="1740"/>
      <c r="D24" s="1772"/>
      <c r="E24" s="1772"/>
      <c r="F24" s="1772"/>
      <c r="G24" s="667" t="s">
        <v>263</v>
      </c>
      <c r="H24" s="1027" t="s">
        <v>263</v>
      </c>
      <c r="I24" s="667" t="s">
        <v>263</v>
      </c>
      <c r="J24" s="1098"/>
      <c r="K24" s="1113"/>
      <c r="L24" s="1087" t="s">
        <v>123</v>
      </c>
      <c r="M24" s="1087" t="s">
        <v>123</v>
      </c>
      <c r="N24" s="1088"/>
      <c r="O24" s="1740"/>
      <c r="P24" s="1741"/>
      <c r="Q24" s="186"/>
    </row>
    <row r="25" spans="1:17" ht="11.25" customHeight="1" collapsed="1" x14ac:dyDescent="0.2">
      <c r="A25" s="1773"/>
      <c r="B25" s="1774"/>
      <c r="C25" s="1774"/>
      <c r="D25" s="1774"/>
      <c r="E25" s="1774"/>
      <c r="F25" s="1774"/>
      <c r="G25" s="1774"/>
      <c r="H25" s="1774"/>
      <c r="I25" s="1774"/>
      <c r="J25" s="1774"/>
      <c r="K25" s="1774"/>
      <c r="L25" s="1774"/>
      <c r="M25" s="1774"/>
      <c r="N25" s="1774"/>
      <c r="O25" s="1774"/>
      <c r="P25" s="1775"/>
      <c r="Q25" s="186"/>
    </row>
    <row r="26" spans="1:17" ht="37.5" hidden="1" customHeight="1" outlineLevel="1" x14ac:dyDescent="0.2">
      <c r="A26" s="667"/>
      <c r="B26" s="1026"/>
      <c r="C26" s="1740"/>
      <c r="D26" s="1772"/>
      <c r="E26" s="1772"/>
      <c r="F26" s="1772"/>
      <c r="G26" s="667" t="s">
        <v>263</v>
      </c>
      <c r="H26" s="1027" t="s">
        <v>263</v>
      </c>
      <c r="I26" s="667" t="s">
        <v>263</v>
      </c>
      <c r="J26" s="1098"/>
      <c r="K26" s="1113"/>
      <c r="L26" s="1087" t="s">
        <v>123</v>
      </c>
      <c r="M26" s="1087" t="s">
        <v>123</v>
      </c>
      <c r="N26" s="1088"/>
      <c r="O26" s="1740"/>
      <c r="P26" s="1741"/>
      <c r="Q26" s="186"/>
    </row>
    <row r="27" spans="1:17" ht="37.5" hidden="1" customHeight="1" outlineLevel="1" x14ac:dyDescent="0.2">
      <c r="A27" s="1043"/>
      <c r="B27" s="1039"/>
      <c r="C27" s="1039"/>
      <c r="D27" s="1040"/>
      <c r="E27" s="1040"/>
      <c r="F27" s="1040"/>
      <c r="G27" s="667" t="s">
        <v>263</v>
      </c>
      <c r="H27" s="1027" t="s">
        <v>263</v>
      </c>
      <c r="I27" s="667" t="s">
        <v>263</v>
      </c>
      <c r="J27" s="1098"/>
      <c r="K27" s="1113"/>
      <c r="L27" s="1087" t="s">
        <v>123</v>
      </c>
      <c r="M27" s="1087" t="s">
        <v>123</v>
      </c>
      <c r="N27" s="1089"/>
      <c r="O27" s="1039"/>
      <c r="P27" s="1044"/>
      <c r="Q27" s="186"/>
    </row>
    <row r="28" spans="1:17" ht="37.5" hidden="1" customHeight="1" outlineLevel="1" x14ac:dyDescent="0.2">
      <c r="A28" s="1043"/>
      <c r="B28" s="1039"/>
      <c r="C28" s="1039"/>
      <c r="D28" s="1040"/>
      <c r="E28" s="1040"/>
      <c r="F28" s="1040"/>
      <c r="G28" s="667" t="s">
        <v>263</v>
      </c>
      <c r="H28" s="1027" t="s">
        <v>263</v>
      </c>
      <c r="I28" s="667" t="s">
        <v>263</v>
      </c>
      <c r="J28" s="1098"/>
      <c r="K28" s="1113"/>
      <c r="L28" s="1087" t="s">
        <v>123</v>
      </c>
      <c r="M28" s="1087" t="s">
        <v>123</v>
      </c>
      <c r="N28" s="1089"/>
      <c r="O28" s="1039"/>
      <c r="P28" s="1044"/>
      <c r="Q28" s="186"/>
    </row>
    <row r="29" spans="1:17" ht="37.5" hidden="1" customHeight="1" outlineLevel="1" x14ac:dyDescent="0.2">
      <c r="A29" s="1043"/>
      <c r="B29" s="1039"/>
      <c r="C29" s="1039"/>
      <c r="D29" s="1040"/>
      <c r="E29" s="1040"/>
      <c r="F29" s="1040"/>
      <c r="G29" s="667" t="s">
        <v>263</v>
      </c>
      <c r="H29" s="1027" t="s">
        <v>263</v>
      </c>
      <c r="I29" s="667" t="s">
        <v>263</v>
      </c>
      <c r="J29" s="1098"/>
      <c r="K29" s="1113"/>
      <c r="L29" s="1087" t="s">
        <v>123</v>
      </c>
      <c r="M29" s="1087" t="s">
        <v>123</v>
      </c>
      <c r="N29" s="1089"/>
      <c r="O29" s="1039"/>
      <c r="P29" s="1044"/>
      <c r="Q29" s="186"/>
    </row>
    <row r="30" spans="1:17" ht="37.5" hidden="1" customHeight="1" outlineLevel="1" x14ac:dyDescent="0.2">
      <c r="A30" s="667"/>
      <c r="B30" s="1026"/>
      <c r="C30" s="1026"/>
      <c r="D30" s="1100"/>
      <c r="E30" s="1100"/>
      <c r="F30" s="1100"/>
      <c r="G30" s="667" t="s">
        <v>263</v>
      </c>
      <c r="H30" s="1027" t="s">
        <v>263</v>
      </c>
      <c r="I30" s="667" t="s">
        <v>263</v>
      </c>
      <c r="J30" s="1098"/>
      <c r="K30" s="1113"/>
      <c r="L30" s="1087" t="s">
        <v>123</v>
      </c>
      <c r="M30" s="1087" t="s">
        <v>123</v>
      </c>
      <c r="N30" s="1088"/>
      <c r="O30" s="1026"/>
      <c r="P30" s="1099"/>
      <c r="Q30" s="186"/>
    </row>
    <row r="31" spans="1:17" ht="12.75" customHeight="1" collapsed="1" x14ac:dyDescent="0.2">
      <c r="A31" s="499"/>
      <c r="B31" s="499"/>
      <c r="C31" s="500"/>
      <c r="D31" s="1779"/>
      <c r="E31" s="1779"/>
      <c r="F31" s="1779"/>
      <c r="G31" s="1779"/>
      <c r="H31" s="501"/>
      <c r="I31" s="501"/>
      <c r="J31" s="502"/>
      <c r="K31" s="499"/>
      <c r="L31" s="502"/>
      <c r="M31" s="502"/>
      <c r="N31" s="502"/>
      <c r="O31" s="502"/>
      <c r="P31" s="503"/>
      <c r="Q31" s="503"/>
    </row>
    <row r="32" spans="1:17" ht="15.75" x14ac:dyDescent="0.2">
      <c r="A32" s="1236" t="s">
        <v>620</v>
      </c>
      <c r="B32" s="504"/>
      <c r="C32" s="13"/>
      <c r="D32" s="13"/>
      <c r="E32" s="13"/>
      <c r="F32" s="13"/>
      <c r="G32" s="13"/>
      <c r="H32" s="13"/>
      <c r="I32" s="13"/>
      <c r="J32" s="13"/>
      <c r="K32" s="13"/>
      <c r="L32" s="13"/>
      <c r="M32" s="13"/>
      <c r="N32" s="13"/>
      <c r="O32" s="13"/>
      <c r="P32" s="13"/>
      <c r="Q32" s="13"/>
    </row>
    <row r="33" spans="1:17" ht="32.25" customHeight="1" x14ac:dyDescent="0.2">
      <c r="A33" s="1780" t="s">
        <v>233</v>
      </c>
      <c r="B33" s="1781"/>
      <c r="C33" s="1781"/>
      <c r="D33" s="1781"/>
      <c r="E33" s="1781"/>
      <c r="F33" s="1781"/>
      <c r="G33" s="1781"/>
      <c r="H33" s="1781"/>
      <c r="I33" s="1781"/>
      <c r="J33" s="1781"/>
      <c r="K33" s="1781"/>
      <c r="L33" s="1781"/>
      <c r="M33" s="1781"/>
      <c r="N33" s="1781"/>
      <c r="O33" s="1781"/>
      <c r="P33" s="1781"/>
      <c r="Q33" s="13"/>
    </row>
    <row r="34" spans="1:17" ht="24.75" customHeight="1" thickBot="1" x14ac:dyDescent="0.25">
      <c r="A34" s="1781"/>
      <c r="B34" s="1781"/>
      <c r="C34" s="1781"/>
      <c r="D34" s="1781"/>
      <c r="E34" s="1781"/>
      <c r="F34" s="1781"/>
      <c r="G34" s="1781"/>
      <c r="H34" s="1781"/>
      <c r="I34" s="1781"/>
      <c r="J34" s="1781"/>
      <c r="K34" s="1781"/>
      <c r="L34" s="1781"/>
      <c r="M34" s="1781"/>
      <c r="N34" s="1781"/>
      <c r="O34" s="1781"/>
      <c r="P34" s="1781"/>
      <c r="Q34" s="13"/>
    </row>
    <row r="35" spans="1:17" ht="97.5" customHeight="1" thickBot="1" x14ac:dyDescent="0.25">
      <c r="A35" s="1776" t="s">
        <v>802</v>
      </c>
      <c r="B35" s="1777"/>
      <c r="C35" s="1777"/>
      <c r="D35" s="1777"/>
      <c r="E35" s="1777"/>
      <c r="F35" s="1777"/>
      <c r="G35" s="1777"/>
      <c r="H35" s="1777"/>
      <c r="I35" s="1777"/>
      <c r="J35" s="1777"/>
      <c r="K35" s="1777"/>
      <c r="L35" s="1777"/>
      <c r="M35" s="1777"/>
      <c r="N35" s="1777"/>
      <c r="O35" s="1777"/>
      <c r="P35" s="1778"/>
      <c r="Q35" s="13"/>
    </row>
    <row r="36" spans="1:17" ht="7.5" customHeight="1" x14ac:dyDescent="0.2">
      <c r="A36" s="13"/>
      <c r="B36" s="13"/>
      <c r="C36" s="13"/>
      <c r="D36" s="13"/>
      <c r="E36" s="37"/>
      <c r="F36" s="13"/>
      <c r="G36" s="13"/>
      <c r="H36" s="13"/>
      <c r="I36" s="13"/>
      <c r="J36" s="13"/>
      <c r="K36" s="13"/>
      <c r="L36" s="13"/>
      <c r="M36" s="13"/>
      <c r="N36" s="13"/>
      <c r="O36" s="13"/>
      <c r="P36" s="13"/>
      <c r="Q36" s="13"/>
    </row>
    <row r="37" spans="1:17" x14ac:dyDescent="0.2">
      <c r="A37" s="13"/>
      <c r="B37" s="13"/>
      <c r="C37" s="13"/>
      <c r="D37" s="13"/>
      <c r="E37" s="37"/>
      <c r="F37" s="13"/>
      <c r="G37" s="13"/>
      <c r="H37" s="13"/>
      <c r="I37" s="13"/>
      <c r="J37" s="13"/>
      <c r="K37" s="13"/>
      <c r="L37" s="13"/>
      <c r="M37" s="13"/>
      <c r="N37" s="13"/>
      <c r="O37" s="13"/>
      <c r="P37" s="13"/>
      <c r="Q37" s="13"/>
    </row>
    <row r="38" spans="1:17" x14ac:dyDescent="0.2">
      <c r="A38" s="13"/>
      <c r="B38" s="13"/>
      <c r="C38" s="13"/>
      <c r="D38" s="13"/>
      <c r="E38" s="37"/>
      <c r="F38" s="13"/>
      <c r="G38" s="13"/>
      <c r="H38" s="13"/>
      <c r="I38" s="13"/>
      <c r="J38" s="13"/>
      <c r="K38" s="13"/>
      <c r="L38" s="13"/>
      <c r="M38" s="13"/>
      <c r="N38" s="13"/>
      <c r="O38" s="13"/>
      <c r="P38" s="13"/>
      <c r="Q38" s="13"/>
    </row>
  </sheetData>
  <sheetProtection formatCells="0" formatColumns="0" formatRows="0"/>
  <dataConsolidate/>
  <customSheetViews>
    <customSheetView guid="{E26F941C-F347-432D-B4B3-73B25F002075}" scale="55" showPageBreaks="1" showGridLines="0" fitToPage="1" printArea="1">
      <selection activeCell="T31" sqref="T31"/>
      <pageMargins left="0.52" right="0.43" top="0.43" bottom="0.46" header="0.4" footer="0.28000000000000003"/>
      <printOptions horizontalCentered="1"/>
      <pageSetup paperSize="9" scale="41" orientation="landscape" cellComments="asDisplayed" r:id="rId1"/>
      <headerFooter alignWithMargins="0">
        <oddFooter>&amp;L&amp;9SD 3.1A - Form, Ongoing DR/PU and LFA Review and Recommendation_v2.1 February 2006&amp;R&amp;9Page &amp;P of &amp;N</oddFooter>
      </headerFooter>
    </customSheetView>
  </customSheetViews>
  <mergeCells count="48">
    <mergeCell ref="C19:F19"/>
    <mergeCell ref="O19:P19"/>
    <mergeCell ref="C22:F22"/>
    <mergeCell ref="O22:P22"/>
    <mergeCell ref="O23:P23"/>
    <mergeCell ref="C23:F23"/>
    <mergeCell ref="A35:P35"/>
    <mergeCell ref="D31:G31"/>
    <mergeCell ref="A33:P34"/>
    <mergeCell ref="C26:F26"/>
    <mergeCell ref="O26:P26"/>
    <mergeCell ref="C24:F24"/>
    <mergeCell ref="A25:P25"/>
    <mergeCell ref="O24:P24"/>
    <mergeCell ref="C21:F21"/>
    <mergeCell ref="O20:P20"/>
    <mergeCell ref="C20:F20"/>
    <mergeCell ref="O21:P21"/>
    <mergeCell ref="A1:G1"/>
    <mergeCell ref="A3:C3"/>
    <mergeCell ref="B10:B11"/>
    <mergeCell ref="D3:G3"/>
    <mergeCell ref="A9:P9"/>
    <mergeCell ref="A10:A11"/>
    <mergeCell ref="I10:I11"/>
    <mergeCell ref="L10:L11"/>
    <mergeCell ref="J10:K10"/>
    <mergeCell ref="G10:G11"/>
    <mergeCell ref="D6:G6"/>
    <mergeCell ref="C10:F11"/>
    <mergeCell ref="H10:H11"/>
    <mergeCell ref="M10:M11"/>
    <mergeCell ref="N10:N11"/>
    <mergeCell ref="O10:P11"/>
    <mergeCell ref="C12:F12"/>
    <mergeCell ref="O18:P18"/>
    <mergeCell ref="O13:P13"/>
    <mergeCell ref="O17:P17"/>
    <mergeCell ref="O14:P14"/>
    <mergeCell ref="C18:F18"/>
    <mergeCell ref="C13:F13"/>
    <mergeCell ref="C14:F14"/>
    <mergeCell ref="C16:F16"/>
    <mergeCell ref="C17:F17"/>
    <mergeCell ref="C15:F15"/>
    <mergeCell ref="O16:P16"/>
    <mergeCell ref="O15:P15"/>
    <mergeCell ref="O12:P12"/>
  </mergeCells>
  <phoneticPr fontId="0" type="noConversion"/>
  <dataValidations xWindow="411" yWindow="224" count="4">
    <dataValidation type="list" allowBlank="1" showInputMessage="1" showErrorMessage="1" sqref="D2:I2">
      <formula1>"Select,USD,EUR"</formula1>
    </dataValidation>
    <dataValidation type="list" allowBlank="1" showInputMessage="1" showErrorMessage="1" sqref="H26:H30 H12:H24">
      <formula1>"Select, Y-over program term, Y-cumulative annually, N-not cumulative, Y-over RCC term"</formula1>
    </dataValidation>
    <dataValidation type="list" allowBlank="1" showInputMessage="1" showErrorMessage="1" sqref="I26:I30 I12:I24">
      <formula1>"Select, Yes - Top 10, Top 10 equivalent, No"</formula1>
    </dataValidation>
    <dataValidation type="list" allowBlank="1" showInputMessage="1" showErrorMessage="1" sqref="G26:G30 G12:G24">
      <formula1>"Select, National Program, Current grant, GF, GF and other donors"</formula1>
    </dataValidation>
  </dataValidations>
  <printOptions horizontalCentered="1"/>
  <pageMargins left="0.55118110236220474" right="0.55118110236220474" top="0.39370078740157483" bottom="0.59055118110236227" header="0.51181102362204722" footer="0.51181102362204722"/>
  <pageSetup paperSize="9" scale="39" fitToHeight="0" orientation="landscape" cellComments="asDisplayed" r:id="rId2"/>
  <headerFooter alignWithMargins="0">
    <oddFooter>&amp;L&amp;9&amp;F&amp;C&amp;A&amp;R&amp;9Page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1"/>
    <pageSetUpPr fitToPage="1"/>
  </sheetPr>
  <dimension ref="A1:Q49"/>
  <sheetViews>
    <sheetView showGridLines="0" view="pageLayout" topLeftCell="B1" zoomScale="70" zoomScaleNormal="100" zoomScaleSheetLayoutView="70" zoomScalePageLayoutView="70" workbookViewId="0">
      <selection activeCell="H48" sqref="H48"/>
    </sheetView>
  </sheetViews>
  <sheetFormatPr defaultRowHeight="12.75" outlineLevelRow="1" x14ac:dyDescent="0.2"/>
  <cols>
    <col min="1" max="1" width="29.42578125" style="72" customWidth="1"/>
    <col min="2" max="2" width="23.140625" style="72" customWidth="1"/>
    <col min="3" max="3" width="25.7109375" style="72" customWidth="1"/>
    <col min="4" max="4" width="16.42578125" style="72" customWidth="1"/>
    <col min="5" max="5" width="15" style="72" customWidth="1"/>
    <col min="6" max="6" width="16.85546875" style="72" customWidth="1"/>
    <col min="7" max="7" width="34.140625" style="72" customWidth="1"/>
    <col min="8" max="10" width="9.140625" style="72"/>
    <col min="11" max="11" width="21.42578125" style="72" customWidth="1"/>
    <col min="12" max="16384" width="9.140625" style="72"/>
  </cols>
  <sheetData>
    <row r="1" spans="1:17" s="63" customFormat="1" ht="25.5" customHeight="1" x14ac:dyDescent="0.2">
      <c r="A1" s="1678" t="s">
        <v>61</v>
      </c>
      <c r="B1" s="1678"/>
      <c r="C1" s="1678"/>
      <c r="D1" s="1678"/>
      <c r="E1" s="1678"/>
      <c r="F1" s="1678"/>
      <c r="G1" s="1678"/>
      <c r="H1" s="464"/>
      <c r="I1" s="35"/>
      <c r="J1" s="35"/>
      <c r="K1" s="12"/>
      <c r="L1" s="12"/>
      <c r="M1" s="14"/>
      <c r="N1" s="14"/>
    </row>
    <row r="2" spans="1:17" s="63" customFormat="1" ht="27" customHeight="1" thickBot="1" x14ac:dyDescent="0.3">
      <c r="A2" s="98" t="s">
        <v>156</v>
      </c>
      <c r="B2" s="98"/>
      <c r="C2" s="10"/>
      <c r="D2" s="10"/>
      <c r="E2" s="36"/>
      <c r="F2" s="10"/>
      <c r="G2" s="10"/>
      <c r="H2" s="10"/>
      <c r="I2" s="10"/>
      <c r="J2" s="12"/>
      <c r="K2" s="12"/>
      <c r="L2" s="12"/>
      <c r="M2" s="14"/>
    </row>
    <row r="3" spans="1:17" s="73" customFormat="1" ht="18" customHeight="1" thickBot="1" x14ac:dyDescent="0.25">
      <c r="A3" s="1679" t="s">
        <v>70</v>
      </c>
      <c r="B3" s="1749"/>
      <c r="C3" s="1680"/>
      <c r="D3" s="1751" t="str">
        <f>IF('PR_Programmatic Progress_1A'!C7="","",'PR_Programmatic Progress_1A'!C7)</f>
        <v>MNR-809-G04-H</v>
      </c>
      <c r="E3" s="1752"/>
      <c r="F3" s="1752"/>
      <c r="G3" s="1753"/>
      <c r="H3" s="4"/>
      <c r="I3" s="4"/>
      <c r="J3" s="4"/>
      <c r="K3" s="4"/>
      <c r="L3" s="4"/>
    </row>
    <row r="4" spans="1:17" s="73" customFormat="1" ht="15" customHeight="1" x14ac:dyDescent="0.2">
      <c r="A4" s="465" t="s">
        <v>277</v>
      </c>
      <c r="B4" s="483"/>
      <c r="C4" s="483"/>
      <c r="D4" s="53" t="s">
        <v>283</v>
      </c>
      <c r="E4" s="477" t="str">
        <f>IF('PR_Programmatic Progress_1A'!D12="Select","",'PR_Programmatic Progress_1A'!D12)</f>
        <v>Quarter</v>
      </c>
      <c r="F4" s="5" t="s">
        <v>284</v>
      </c>
      <c r="G4" s="47">
        <f>IF('PR_Programmatic Progress_1A'!F12="Select","",'PR_Programmatic Progress_1A'!F12)</f>
        <v>7</v>
      </c>
      <c r="H4" s="4"/>
      <c r="I4" s="4"/>
      <c r="J4" s="4"/>
      <c r="K4" s="4"/>
      <c r="L4" s="4"/>
    </row>
    <row r="5" spans="1:17" s="73" customFormat="1" ht="15" customHeight="1" x14ac:dyDescent="0.2">
      <c r="A5" s="484" t="s">
        <v>278</v>
      </c>
      <c r="B5" s="40"/>
      <c r="C5" s="40"/>
      <c r="D5" s="54" t="s">
        <v>246</v>
      </c>
      <c r="E5" s="490">
        <f>IF('PR_Programmatic Progress_1A'!D13="","",'PR_Programmatic Progress_1A'!D13)</f>
        <v>40452</v>
      </c>
      <c r="F5" s="5" t="s">
        <v>264</v>
      </c>
      <c r="G5" s="491">
        <f>IF('PR_Programmatic Progress_1A'!F13="","",'PR_Programmatic Progress_1A'!F13)</f>
        <v>40543</v>
      </c>
      <c r="H5" s="4"/>
      <c r="I5" s="4"/>
      <c r="J5" s="4"/>
      <c r="K5" s="4"/>
      <c r="L5" s="4"/>
    </row>
    <row r="6" spans="1:17" s="73" customFormat="1" ht="15" customHeight="1" thickBot="1" x14ac:dyDescent="0.25">
      <c r="A6" s="55" t="s">
        <v>279</v>
      </c>
      <c r="B6" s="168"/>
      <c r="C6" s="41"/>
      <c r="D6" s="1764">
        <v>5</v>
      </c>
      <c r="E6" s="1765"/>
      <c r="F6" s="1765"/>
      <c r="G6" s="1766"/>
      <c r="H6" s="4"/>
      <c r="I6" s="4"/>
      <c r="J6" s="4"/>
      <c r="K6" s="4"/>
      <c r="L6" s="4"/>
    </row>
    <row r="7" spans="1:17" x14ac:dyDescent="0.2">
      <c r="A7" s="505"/>
      <c r="B7" s="3"/>
      <c r="C7" s="3"/>
      <c r="D7" s="3"/>
      <c r="E7" s="3"/>
      <c r="F7" s="3"/>
      <c r="G7" s="3"/>
      <c r="H7" s="3"/>
      <c r="I7" s="3"/>
      <c r="J7" s="3"/>
      <c r="K7" s="3"/>
      <c r="L7" s="3"/>
    </row>
    <row r="8" spans="1:17" s="67" customFormat="1" ht="23.25" x14ac:dyDescent="0.2">
      <c r="A8" s="172" t="s">
        <v>229</v>
      </c>
      <c r="B8" s="172"/>
      <c r="C8" s="172"/>
      <c r="D8" s="172"/>
      <c r="E8" s="172"/>
      <c r="F8" s="172"/>
      <c r="G8" s="172"/>
      <c r="H8" s="172"/>
      <c r="I8" s="172"/>
      <c r="J8" s="172"/>
      <c r="K8" s="172"/>
      <c r="L8" s="172"/>
      <c r="M8" s="695"/>
      <c r="N8" s="695"/>
      <c r="O8" s="695"/>
      <c r="P8" s="695"/>
      <c r="Q8" s="695"/>
    </row>
    <row r="9" spans="1:17" s="67" customFormat="1" ht="23.25" x14ac:dyDescent="0.2">
      <c r="A9" s="172"/>
      <c r="B9" s="172"/>
      <c r="C9" s="172"/>
      <c r="D9" s="172"/>
      <c r="E9" s="172"/>
      <c r="F9" s="172"/>
      <c r="G9" s="172"/>
      <c r="H9" s="172"/>
      <c r="I9" s="172"/>
      <c r="J9" s="172"/>
      <c r="K9" s="172"/>
      <c r="L9" s="172"/>
      <c r="M9" s="695"/>
      <c r="N9" s="695"/>
      <c r="O9" s="695"/>
      <c r="P9" s="695"/>
      <c r="Q9" s="695"/>
    </row>
    <row r="10" spans="1:17" s="74" customFormat="1" ht="24.75" customHeight="1" thickBot="1" x14ac:dyDescent="0.25">
      <c r="A10" s="829" t="s">
        <v>491</v>
      </c>
      <c r="B10" s="830"/>
      <c r="C10" s="830"/>
      <c r="D10" s="830"/>
      <c r="E10" s="830"/>
      <c r="F10" s="830"/>
      <c r="G10" s="830"/>
      <c r="H10" s="830"/>
      <c r="I10" s="830"/>
      <c r="J10" s="830"/>
      <c r="K10" s="830"/>
      <c r="L10" s="830"/>
      <c r="M10" s="91"/>
      <c r="N10" s="91"/>
      <c r="O10" s="91"/>
    </row>
    <row r="11" spans="1:17" s="74" customFormat="1" ht="4.5" customHeight="1" x14ac:dyDescent="0.25">
      <c r="A11" s="1812"/>
      <c r="B11" s="1812"/>
      <c r="C11" s="1812"/>
      <c r="D11" s="1812"/>
      <c r="E11" s="1812"/>
      <c r="F11" s="1812"/>
      <c r="G11" s="1812"/>
      <c r="H11" s="1812"/>
      <c r="I11" s="1812"/>
      <c r="J11" s="1812"/>
      <c r="K11" s="1812"/>
      <c r="L11" s="1812"/>
    </row>
    <row r="12" spans="1:17" s="74" customFormat="1" ht="68.25" customHeight="1" thickBot="1" x14ac:dyDescent="0.25">
      <c r="A12" s="1810" t="s">
        <v>621</v>
      </c>
      <c r="B12" s="1811"/>
      <c r="C12" s="1811"/>
      <c r="D12" s="1811"/>
      <c r="E12" s="1811"/>
      <c r="F12" s="1811"/>
      <c r="G12" s="1811"/>
      <c r="H12" s="1811"/>
      <c r="I12" s="1811"/>
      <c r="J12" s="1811"/>
      <c r="K12" s="1811"/>
      <c r="L12" s="1811"/>
    </row>
    <row r="13" spans="1:17" s="63" customFormat="1" ht="53.25" customHeight="1" x14ac:dyDescent="0.2">
      <c r="A13" s="1794" t="s">
        <v>190</v>
      </c>
      <c r="B13" s="1807"/>
      <c r="C13" s="1807"/>
      <c r="D13" s="1808"/>
      <c r="E13" s="1809"/>
      <c r="F13" s="1038" t="s">
        <v>6</v>
      </c>
      <c r="G13" s="1799" t="s">
        <v>416</v>
      </c>
      <c r="H13" s="1795"/>
      <c r="I13" s="1795"/>
      <c r="J13" s="1795"/>
      <c r="K13" s="1795"/>
      <c r="L13" s="1800"/>
    </row>
    <row r="14" spans="1:17" ht="126" customHeight="1" x14ac:dyDescent="0.2">
      <c r="A14" s="1818" t="s">
        <v>795</v>
      </c>
      <c r="B14" s="1819"/>
      <c r="C14" s="1819"/>
      <c r="D14" s="1820"/>
      <c r="E14" s="1821"/>
      <c r="F14" s="1578" t="s">
        <v>664</v>
      </c>
      <c r="G14" s="1822" t="s">
        <v>803</v>
      </c>
      <c r="H14" s="1823"/>
      <c r="I14" s="1823"/>
      <c r="J14" s="1823"/>
      <c r="K14" s="1823"/>
      <c r="L14" s="1824"/>
    </row>
    <row r="15" spans="1:17" ht="68.25" customHeight="1" x14ac:dyDescent="0.2">
      <c r="A15" s="1818" t="s">
        <v>776</v>
      </c>
      <c r="B15" s="1819"/>
      <c r="C15" s="1819"/>
      <c r="D15" s="1820"/>
      <c r="E15" s="1821"/>
      <c r="F15" s="1601" t="s">
        <v>664</v>
      </c>
      <c r="G15" s="1822" t="s">
        <v>804</v>
      </c>
      <c r="H15" s="1823"/>
      <c r="I15" s="1823"/>
      <c r="J15" s="1823"/>
      <c r="K15" s="1823"/>
      <c r="L15" s="1824"/>
    </row>
    <row r="16" spans="1:17" ht="72" customHeight="1" x14ac:dyDescent="0.2">
      <c r="A16" s="1785"/>
      <c r="B16" s="1786"/>
      <c r="C16" s="1786"/>
      <c r="D16" s="1786"/>
      <c r="E16" s="1786"/>
      <c r="F16" s="1786"/>
      <c r="G16" s="1786"/>
      <c r="H16" s="1786"/>
      <c r="I16" s="1786"/>
      <c r="J16" s="1786"/>
      <c r="K16" s="1786"/>
      <c r="L16" s="1787"/>
    </row>
    <row r="17" spans="1:12" ht="184.5" customHeight="1" x14ac:dyDescent="0.2">
      <c r="A17" s="1792" t="s">
        <v>492</v>
      </c>
      <c r="B17" s="1793"/>
      <c r="C17" s="1793"/>
      <c r="D17" s="1793"/>
      <c r="E17" s="1793"/>
      <c r="F17" s="1793"/>
      <c r="G17" s="1793"/>
      <c r="H17" s="1793"/>
      <c r="I17" s="1793"/>
      <c r="J17" s="1793"/>
      <c r="K17" s="1793"/>
      <c r="L17" s="1793"/>
    </row>
    <row r="18" spans="1:12" ht="81" customHeight="1" x14ac:dyDescent="0.2">
      <c r="A18" s="1790" t="s">
        <v>622</v>
      </c>
      <c r="B18" s="1791"/>
      <c r="C18" s="1791"/>
      <c r="D18" s="1791"/>
      <c r="E18" s="1791"/>
      <c r="F18" s="1791"/>
      <c r="G18" s="1791"/>
      <c r="H18" s="1791"/>
      <c r="I18" s="1791"/>
      <c r="J18" s="1791"/>
      <c r="K18" s="1791"/>
      <c r="L18" s="1791"/>
    </row>
    <row r="19" spans="1:12" ht="33.75" hidden="1" customHeight="1" outlineLevel="1" x14ac:dyDescent="0.25">
      <c r="A19" s="79"/>
      <c r="B19" s="77"/>
      <c r="C19" s="77"/>
      <c r="D19" s="77"/>
      <c r="E19" s="77"/>
      <c r="F19" s="77"/>
      <c r="G19" s="77"/>
      <c r="H19" s="77"/>
      <c r="I19" s="77"/>
      <c r="J19" s="77"/>
      <c r="K19" s="77"/>
      <c r="L19" s="77"/>
    </row>
    <row r="20" spans="1:12" ht="33.75" hidden="1" customHeight="1" outlineLevel="1" x14ac:dyDescent="0.2">
      <c r="A20" s="1794" t="s">
        <v>415</v>
      </c>
      <c r="B20" s="1795"/>
      <c r="C20" s="1795"/>
      <c r="D20" s="1796"/>
      <c r="E20" s="1799" t="s">
        <v>416</v>
      </c>
      <c r="F20" s="1795"/>
      <c r="G20" s="1795"/>
      <c r="H20" s="1795"/>
      <c r="I20" s="1795"/>
      <c r="J20" s="1795"/>
      <c r="K20" s="1795"/>
      <c r="L20" s="1800"/>
    </row>
    <row r="21" spans="1:12" ht="33.75" hidden="1" customHeight="1" outlineLevel="1" x14ac:dyDescent="0.2">
      <c r="A21" s="1782" t="s">
        <v>666</v>
      </c>
      <c r="B21" s="1783"/>
      <c r="C21" s="1783"/>
      <c r="D21" s="1784"/>
      <c r="E21" s="1788" t="s">
        <v>667</v>
      </c>
      <c r="F21" s="1797"/>
      <c r="G21" s="1797"/>
      <c r="H21" s="1797"/>
      <c r="I21" s="1797"/>
      <c r="J21" s="1797"/>
      <c r="K21" s="1797"/>
      <c r="L21" s="1798"/>
    </row>
    <row r="22" spans="1:12" s="1110" customFormat="1" ht="15" customHeight="1" collapsed="1" x14ac:dyDescent="0.2">
      <c r="A22" s="1782"/>
      <c r="B22" s="1783"/>
      <c r="C22" s="1783"/>
      <c r="D22" s="1784"/>
      <c r="E22" s="1788"/>
      <c r="F22" s="1797"/>
      <c r="G22" s="1797"/>
      <c r="H22" s="1797"/>
      <c r="I22" s="1797"/>
      <c r="J22" s="1797"/>
      <c r="K22" s="1797"/>
      <c r="L22" s="1798"/>
    </row>
    <row r="23" spans="1:12" ht="33.75" hidden="1" customHeight="1" outlineLevel="1" x14ac:dyDescent="0.2">
      <c r="A23" s="1782"/>
      <c r="B23" s="1783"/>
      <c r="C23" s="1783"/>
      <c r="D23" s="1784"/>
      <c r="E23" s="1788"/>
      <c r="F23" s="1797"/>
      <c r="G23" s="1797"/>
      <c r="H23" s="1797"/>
      <c r="I23" s="1797"/>
      <c r="J23" s="1797"/>
      <c r="K23" s="1797"/>
      <c r="L23" s="1798"/>
    </row>
    <row r="24" spans="1:12" ht="33.75" hidden="1" customHeight="1" outlineLevel="1" x14ac:dyDescent="0.2">
      <c r="A24" s="1782"/>
      <c r="B24" s="1783"/>
      <c r="C24" s="1783"/>
      <c r="D24" s="1784"/>
      <c r="E24" s="1788"/>
      <c r="F24" s="1783"/>
      <c r="G24" s="1783"/>
      <c r="H24" s="1783"/>
      <c r="I24" s="1783"/>
      <c r="J24" s="1783"/>
      <c r="K24" s="1783"/>
      <c r="L24" s="1789"/>
    </row>
    <row r="25" spans="1:12" ht="33.75" hidden="1" customHeight="1" outlineLevel="1" thickBot="1" x14ac:dyDescent="0.25">
      <c r="A25" s="1782"/>
      <c r="B25" s="1783"/>
      <c r="C25" s="1783"/>
      <c r="D25" s="1784"/>
      <c r="E25" s="1788"/>
      <c r="F25" s="1783"/>
      <c r="G25" s="1783"/>
      <c r="H25" s="1783"/>
      <c r="I25" s="1783"/>
      <c r="J25" s="1783"/>
      <c r="K25" s="1783"/>
      <c r="L25" s="1789"/>
    </row>
    <row r="26" spans="1:12" s="346" customFormat="1" ht="78" customHeight="1" collapsed="1" x14ac:dyDescent="0.2">
      <c r="A26" s="1782" t="s">
        <v>793</v>
      </c>
      <c r="B26" s="1783"/>
      <c r="C26" s="1783"/>
      <c r="D26" s="1784"/>
      <c r="E26" s="1804" t="s">
        <v>805</v>
      </c>
      <c r="F26" s="1805"/>
      <c r="G26" s="1805"/>
      <c r="H26" s="1805"/>
      <c r="I26" s="1805"/>
      <c r="J26" s="1805"/>
      <c r="K26" s="1805"/>
      <c r="L26" s="1806"/>
    </row>
    <row r="27" spans="1:12" ht="51" customHeight="1" x14ac:dyDescent="0.2">
      <c r="A27" s="1782" t="s">
        <v>779</v>
      </c>
      <c r="B27" s="1783"/>
      <c r="C27" s="1783"/>
      <c r="D27" s="1784"/>
      <c r="E27" s="1804" t="s">
        <v>806</v>
      </c>
      <c r="F27" s="1805"/>
      <c r="G27" s="1805"/>
      <c r="H27" s="1805"/>
      <c r="I27" s="1805"/>
      <c r="J27" s="1805"/>
      <c r="K27" s="1805"/>
      <c r="L27" s="1806"/>
    </row>
    <row r="28" spans="1:12" ht="93" customHeight="1" x14ac:dyDescent="0.2">
      <c r="A28" s="1782" t="s">
        <v>785</v>
      </c>
      <c r="B28" s="1783"/>
      <c r="C28" s="1783"/>
      <c r="D28" s="1784"/>
      <c r="E28" s="1804" t="s">
        <v>807</v>
      </c>
      <c r="F28" s="1805"/>
      <c r="G28" s="1805"/>
      <c r="H28" s="1805"/>
      <c r="I28" s="1805"/>
      <c r="J28" s="1805"/>
      <c r="K28" s="1805"/>
      <c r="L28" s="1806"/>
    </row>
    <row r="29" spans="1:12" ht="39.75" customHeight="1" x14ac:dyDescent="0.2">
      <c r="A29" s="1782"/>
      <c r="B29" s="1783"/>
      <c r="C29" s="1783"/>
      <c r="D29" s="1784"/>
      <c r="E29" s="1788"/>
      <c r="F29" s="1783"/>
      <c r="G29" s="1783"/>
      <c r="H29" s="1783"/>
      <c r="I29" s="1783"/>
      <c r="J29" s="1783"/>
      <c r="K29" s="1783"/>
      <c r="L29" s="1789"/>
    </row>
    <row r="30" spans="1:12" ht="40.5" customHeight="1" x14ac:dyDescent="0.2">
      <c r="A30" s="1782"/>
      <c r="B30" s="1783"/>
      <c r="C30" s="1783"/>
      <c r="D30" s="1784"/>
      <c r="E30" s="1801"/>
      <c r="F30" s="1802"/>
      <c r="G30" s="1802"/>
      <c r="H30" s="1802"/>
      <c r="I30" s="1802"/>
      <c r="J30" s="1802"/>
      <c r="K30" s="1802"/>
      <c r="L30" s="1803"/>
    </row>
    <row r="31" spans="1:12" ht="61.5" customHeight="1" x14ac:dyDescent="0.2">
      <c r="A31" s="1104"/>
      <c r="B31" s="1105"/>
      <c r="C31" s="1105"/>
      <c r="D31" s="1106"/>
      <c r="E31" s="1107"/>
      <c r="F31" s="1108"/>
      <c r="G31" s="1108"/>
      <c r="H31" s="1108"/>
      <c r="I31" s="1108"/>
      <c r="J31" s="1108"/>
      <c r="K31" s="1108"/>
      <c r="L31" s="1109"/>
    </row>
    <row r="32" spans="1:12" ht="35.25" customHeight="1" x14ac:dyDescent="0.2">
      <c r="A32" s="1782"/>
      <c r="B32" s="1783"/>
      <c r="C32" s="1783"/>
      <c r="D32" s="1784"/>
      <c r="E32" s="1801"/>
      <c r="F32" s="1802"/>
      <c r="G32" s="1802"/>
      <c r="H32" s="1802"/>
      <c r="I32" s="1802"/>
      <c r="J32" s="1802"/>
      <c r="K32" s="1802"/>
      <c r="L32" s="1803"/>
    </row>
    <row r="33" spans="1:12" ht="35.25" customHeight="1" x14ac:dyDescent="0.2">
      <c r="A33" s="507"/>
      <c r="B33" s="507"/>
      <c r="C33" s="507"/>
      <c r="D33" s="507"/>
      <c r="E33" s="507"/>
      <c r="F33" s="508"/>
      <c r="G33" s="508"/>
      <c r="H33" s="508"/>
      <c r="I33" s="508"/>
      <c r="J33" s="507"/>
      <c r="K33" s="507"/>
      <c r="L33" s="507"/>
    </row>
    <row r="34" spans="1:12" ht="35.25" customHeight="1" x14ac:dyDescent="0.2">
      <c r="J34" s="509"/>
    </row>
    <row r="35" spans="1:12" ht="35.25" customHeight="1" x14ac:dyDescent="0.2">
      <c r="A35" s="1792" t="s">
        <v>493</v>
      </c>
      <c r="B35" s="1793"/>
      <c r="C35" s="1793"/>
      <c r="D35" s="1793"/>
      <c r="E35" s="1793"/>
      <c r="F35" s="1793"/>
      <c r="G35" s="1793"/>
      <c r="H35" s="1793"/>
      <c r="I35" s="1793"/>
      <c r="J35" s="1793"/>
      <c r="K35" s="1793"/>
      <c r="L35" s="1793"/>
    </row>
    <row r="36" spans="1:12" ht="35.25" hidden="1" customHeight="1" outlineLevel="1" x14ac:dyDescent="0.2">
      <c r="A36" s="1838" t="s">
        <v>191</v>
      </c>
      <c r="B36" s="1839"/>
      <c r="C36" s="1839"/>
      <c r="D36" s="1839"/>
      <c r="E36" s="1839"/>
      <c r="F36" s="1839"/>
      <c r="G36" s="1839"/>
      <c r="H36" s="1839"/>
      <c r="I36" s="1839"/>
      <c r="J36" s="1839"/>
      <c r="K36" s="1839"/>
      <c r="L36" s="1839"/>
    </row>
    <row r="37" spans="1:12" ht="35.25" hidden="1" customHeight="1" outlineLevel="1" x14ac:dyDescent="0.2">
      <c r="A37" s="1836" t="s">
        <v>224</v>
      </c>
      <c r="B37" s="1837"/>
      <c r="C37" s="1837"/>
      <c r="D37" s="1837"/>
      <c r="E37" s="1290" t="s">
        <v>39</v>
      </c>
      <c r="F37" s="1290" t="s">
        <v>6</v>
      </c>
      <c r="G37" s="1833" t="s">
        <v>225</v>
      </c>
      <c r="H37" s="1834"/>
      <c r="I37" s="1834"/>
      <c r="J37" s="1834"/>
      <c r="K37" s="1834"/>
      <c r="L37" s="1835"/>
    </row>
    <row r="38" spans="1:12" ht="35.25" hidden="1" customHeight="1" outlineLevel="1" x14ac:dyDescent="0.2">
      <c r="A38" s="1828" t="s">
        <v>414</v>
      </c>
      <c r="B38" s="1829"/>
      <c r="C38" s="1829"/>
      <c r="D38" s="1829"/>
      <c r="E38" s="510">
        <v>40724</v>
      </c>
      <c r="F38" s="667" t="s">
        <v>714</v>
      </c>
      <c r="G38" s="1830"/>
      <c r="H38" s="1831"/>
      <c r="I38" s="1831"/>
      <c r="J38" s="1831"/>
      <c r="K38" s="1831"/>
      <c r="L38" s="1832"/>
    </row>
    <row r="39" spans="1:12" s="91" customFormat="1" ht="31.5" customHeight="1" collapsed="1" x14ac:dyDescent="0.25">
      <c r="A39" s="1828" t="s">
        <v>414</v>
      </c>
      <c r="B39" s="1829"/>
      <c r="C39" s="1829"/>
      <c r="D39" s="1829"/>
      <c r="E39" s="510">
        <v>40633</v>
      </c>
      <c r="F39" s="1601" t="s">
        <v>714</v>
      </c>
      <c r="G39" s="1825" t="s">
        <v>809</v>
      </c>
      <c r="H39" s="1826"/>
      <c r="I39" s="1826"/>
      <c r="J39" s="1826"/>
      <c r="K39" s="1826"/>
      <c r="L39" s="1827"/>
    </row>
    <row r="40" spans="1:12" s="91" customFormat="1" ht="33" customHeight="1" thickBot="1" x14ac:dyDescent="0.3">
      <c r="A40" s="1813" t="s">
        <v>223</v>
      </c>
      <c r="B40" s="1814"/>
      <c r="C40" s="1814"/>
      <c r="D40" s="1814"/>
      <c r="E40" s="511">
        <v>40589</v>
      </c>
      <c r="F40" s="1602" t="s">
        <v>808</v>
      </c>
      <c r="G40" s="1815" t="s">
        <v>810</v>
      </c>
      <c r="H40" s="1816"/>
      <c r="I40" s="1816"/>
      <c r="J40" s="1816"/>
      <c r="K40" s="1816"/>
      <c r="L40" s="1817"/>
    </row>
    <row r="41" spans="1:12" ht="35.25" hidden="1" customHeight="1" outlineLevel="1" x14ac:dyDescent="0.2">
      <c r="A41" s="3"/>
      <c r="B41" s="3"/>
      <c r="C41" s="3"/>
      <c r="D41" s="3"/>
      <c r="E41" s="3"/>
      <c r="F41" s="3"/>
      <c r="G41" s="1603"/>
      <c r="H41" s="1604"/>
      <c r="I41" s="1604"/>
      <c r="J41" s="1605"/>
      <c r="K41" s="1604"/>
      <c r="L41" s="1604"/>
    </row>
    <row r="42" spans="1:12" ht="35.25" hidden="1" customHeight="1" outlineLevel="1" x14ac:dyDescent="0.2">
      <c r="A42" s="3"/>
      <c r="B42" s="3"/>
      <c r="C42" s="3"/>
      <c r="D42" s="3"/>
      <c r="E42" s="3"/>
      <c r="F42" s="3"/>
      <c r="G42" s="1603"/>
      <c r="H42" s="1604"/>
      <c r="I42" s="1604"/>
      <c r="J42" s="1605"/>
      <c r="K42" s="1604"/>
      <c r="L42" s="1604"/>
    </row>
    <row r="43" spans="1:12" collapsed="1" x14ac:dyDescent="0.2">
      <c r="G43" s="1606"/>
      <c r="H43" s="1606"/>
      <c r="I43" s="1606"/>
      <c r="J43" s="1607"/>
      <c r="K43" s="1606"/>
      <c r="L43" s="1606"/>
    </row>
    <row r="44" spans="1:12" x14ac:dyDescent="0.2">
      <c r="G44" s="1606"/>
      <c r="H44" s="1606"/>
      <c r="I44" s="1606"/>
      <c r="J44" s="1607"/>
      <c r="K44" s="1606"/>
      <c r="L44" s="1606"/>
    </row>
    <row r="45" spans="1:12" s="91" customFormat="1" ht="25.5" customHeight="1" x14ac:dyDescent="0.2">
      <c r="A45" s="72"/>
      <c r="B45" s="72"/>
      <c r="C45" s="72"/>
      <c r="D45" s="72"/>
      <c r="E45" s="72"/>
      <c r="F45" s="72"/>
      <c r="G45" s="72"/>
      <c r="H45" s="72"/>
      <c r="I45" s="72"/>
      <c r="J45" s="509"/>
      <c r="K45" s="72"/>
      <c r="L45" s="72"/>
    </row>
    <row r="46" spans="1:12" s="696" customFormat="1" ht="42" customHeight="1" x14ac:dyDescent="0.2">
      <c r="A46" s="72"/>
      <c r="B46" s="72"/>
      <c r="C46" s="72"/>
      <c r="D46" s="72"/>
      <c r="E46" s="72"/>
      <c r="F46" s="72"/>
      <c r="G46" s="72"/>
      <c r="H46" s="72"/>
      <c r="I46" s="72"/>
      <c r="J46" s="509"/>
      <c r="K46" s="72"/>
      <c r="L46" s="72"/>
    </row>
    <row r="47" spans="1:12" s="91" customFormat="1" ht="33.75" customHeight="1" x14ac:dyDescent="0.2">
      <c r="A47" s="72"/>
      <c r="B47" s="72"/>
      <c r="C47" s="72"/>
      <c r="D47" s="72"/>
      <c r="E47" s="72"/>
      <c r="F47" s="72"/>
      <c r="G47" s="72"/>
      <c r="H47" s="72"/>
      <c r="I47" s="72"/>
      <c r="J47" s="72"/>
      <c r="K47" s="72"/>
      <c r="L47" s="72"/>
    </row>
    <row r="48" spans="1:12" s="91" customFormat="1" ht="31.5" customHeight="1" x14ac:dyDescent="0.2">
      <c r="A48" s="72"/>
      <c r="B48" s="72"/>
      <c r="C48" s="72"/>
      <c r="D48" s="72"/>
      <c r="E48" s="72"/>
      <c r="F48" s="72"/>
      <c r="G48" s="72"/>
      <c r="H48" s="72"/>
      <c r="I48" s="72"/>
      <c r="J48" s="72"/>
      <c r="K48" s="72"/>
      <c r="L48" s="72"/>
    </row>
    <row r="49" spans="1:12" s="91" customFormat="1" ht="33" customHeight="1" x14ac:dyDescent="0.2">
      <c r="A49" s="72"/>
      <c r="B49" s="72"/>
      <c r="C49" s="72"/>
      <c r="D49" s="72"/>
      <c r="E49" s="72"/>
      <c r="F49" s="72"/>
      <c r="G49" s="72"/>
      <c r="H49" s="72"/>
      <c r="I49" s="72"/>
      <c r="J49" s="72"/>
      <c r="K49" s="72"/>
      <c r="L49" s="72"/>
    </row>
  </sheetData>
  <sheetProtection formatCells="0" formatColumns="0" formatRows="0" insertRows="0"/>
  <customSheetViews>
    <customSheetView guid="{E26F941C-F347-432D-B4B3-73B25F002075}" scale="55" showPageBreaks="1" showGridLines="0" fitToPage="1" topLeftCell="A7">
      <selection activeCell="A15" sqref="A15:L18"/>
      <pageMargins left="0.56999999999999995" right="0.45" top="0.59" bottom="0.64" header="0.51181102362204722" footer="0.51181102362204722"/>
      <printOptions horizontalCentered="1"/>
      <pageSetup paperSize="9" scale="41" orientation="landscape" cellComments="asDisplayed" r:id="rId1"/>
      <headerFooter alignWithMargins="0">
        <oddFooter>&amp;L&amp;9SD 3.1A - Form, Ongoing DR/PU and LFA Review and Recommendation_v2.1 February 2006&amp;R&amp;9Page &amp;P of &amp;N</oddFooter>
      </headerFooter>
    </customSheetView>
  </customSheetViews>
  <mergeCells count="49">
    <mergeCell ref="A40:D40"/>
    <mergeCell ref="G40:L40"/>
    <mergeCell ref="A15:E15"/>
    <mergeCell ref="G14:L14"/>
    <mergeCell ref="G15:L15"/>
    <mergeCell ref="A14:E14"/>
    <mergeCell ref="G39:L39"/>
    <mergeCell ref="A39:D39"/>
    <mergeCell ref="A35:L35"/>
    <mergeCell ref="A38:D38"/>
    <mergeCell ref="G38:L38"/>
    <mergeCell ref="G37:L37"/>
    <mergeCell ref="A37:D37"/>
    <mergeCell ref="A36:L36"/>
    <mergeCell ref="E29:L29"/>
    <mergeCell ref="A30:D30"/>
    <mergeCell ref="A1:G1"/>
    <mergeCell ref="A3:C3"/>
    <mergeCell ref="D3:G3"/>
    <mergeCell ref="D6:G6"/>
    <mergeCell ref="A13:E13"/>
    <mergeCell ref="A12:L12"/>
    <mergeCell ref="A11:L11"/>
    <mergeCell ref="G13:L13"/>
    <mergeCell ref="E30:L30"/>
    <mergeCell ref="A26:D26"/>
    <mergeCell ref="A27:D27"/>
    <mergeCell ref="A32:D32"/>
    <mergeCell ref="E32:L32"/>
    <mergeCell ref="A29:D29"/>
    <mergeCell ref="E26:L26"/>
    <mergeCell ref="E27:L27"/>
    <mergeCell ref="A28:D28"/>
    <mergeCell ref="E28:L28"/>
    <mergeCell ref="A25:D25"/>
    <mergeCell ref="A16:L16"/>
    <mergeCell ref="E24:L24"/>
    <mergeCell ref="E25:L25"/>
    <mergeCell ref="A24:D24"/>
    <mergeCell ref="A18:L18"/>
    <mergeCell ref="A17:L17"/>
    <mergeCell ref="A20:D20"/>
    <mergeCell ref="E23:L23"/>
    <mergeCell ref="A23:D23"/>
    <mergeCell ref="A22:D22"/>
    <mergeCell ref="E22:L22"/>
    <mergeCell ref="E21:L21"/>
    <mergeCell ref="E20:L20"/>
    <mergeCell ref="A21:D21"/>
  </mergeCells>
  <phoneticPr fontId="0" type="noConversion"/>
  <conditionalFormatting sqref="C35:E35">
    <cfRule type="cellIs" dxfId="100" priority="16" stopIfTrue="1" operator="notEqual">
      <formula>B35</formula>
    </cfRule>
    <cfRule type="cellIs" dxfId="99" priority="17" stopIfTrue="1" operator="notEqual">
      <formula>A35</formula>
    </cfRule>
  </conditionalFormatting>
  <conditionalFormatting sqref="B35 B38">
    <cfRule type="cellIs" dxfId="98" priority="14" stopIfTrue="1" operator="notEqual">
      <formula>A35</formula>
    </cfRule>
    <cfRule type="cellIs" dxfId="97" priority="15" stopIfTrue="1" operator="notEqual">
      <formula>#REF!</formula>
    </cfRule>
  </conditionalFormatting>
  <conditionalFormatting sqref="A35 A37:A38">
    <cfRule type="cellIs" dxfId="96" priority="12" stopIfTrue="1" operator="notEqual">
      <formula>#REF!</formula>
    </cfRule>
    <cfRule type="cellIs" dxfId="95" priority="13" stopIfTrue="1" operator="notEqual">
      <formula>#REF!</formula>
    </cfRule>
  </conditionalFormatting>
  <conditionalFormatting sqref="A33 D33:I33">
    <cfRule type="cellIs" dxfId="94" priority="11" stopIfTrue="1" operator="notEqual">
      <formula>#REF!</formula>
    </cfRule>
  </conditionalFormatting>
  <conditionalFormatting sqref="A14:C15">
    <cfRule type="cellIs" dxfId="93" priority="39" stopIfTrue="1" operator="notEqual">
      <formula>#REF!</formula>
    </cfRule>
  </conditionalFormatting>
  <conditionalFormatting sqref="B39:B40">
    <cfRule type="cellIs" dxfId="92" priority="3" stopIfTrue="1" operator="notEqual">
      <formula>A39</formula>
    </cfRule>
    <cfRule type="cellIs" dxfId="91" priority="4" stopIfTrue="1" operator="notEqual">
      <formula>#REF!</formula>
    </cfRule>
  </conditionalFormatting>
  <conditionalFormatting sqref="A39:A40">
    <cfRule type="cellIs" dxfId="90" priority="1" stopIfTrue="1" operator="notEqual">
      <formula>#REF!</formula>
    </cfRule>
    <cfRule type="cellIs" dxfId="89" priority="2" stopIfTrue="1" operator="notEqual">
      <formula>#REF!</formula>
    </cfRule>
  </conditionalFormatting>
  <dataValidations count="6">
    <dataValidation type="date" allowBlank="1" showInputMessage="1" showErrorMessage="1" sqref="E38">
      <formula1>39814</formula1>
      <formula2>43831</formula2>
    </dataValidation>
    <dataValidation type="list" allowBlank="1" showInputMessage="1" showErrorMessage="1" sqref="D2:H2">
      <formula1>"Select,USD,EUR"</formula1>
    </dataValidation>
    <dataValidation type="list" allowBlank="1" showInputMessage="1" showErrorMessage="1" sqref="F38">
      <formula1>"Select,Submitted to GF, Preparation on track, Overdue"</formula1>
    </dataValidation>
    <dataValidation type="list" allowBlank="1" showInputMessage="1" showErrorMessage="1" sqref="F14:F15">
      <formula1>"Select,Met,Unmet - In Progress,Unmet - Not started"</formula1>
    </dataValidation>
    <dataValidation type="list" allowBlank="1" showInputMessage="1" showErrorMessage="1" sqref="F39:F40 JB39:JB40 SX39:SX40 ACT39:ACT40 AMP39:AMP40 AWL39:AWL40 BGH39:BGH40 BQD39:BQD40 BZZ39:BZZ40 CJV39:CJV40 CTR39:CTR40 DDN39:DDN40 DNJ39:DNJ40 DXF39:DXF40 EHB39:EHB40 EQX39:EQX40 FAT39:FAT40 FKP39:FKP40 FUL39:FUL40 GEH39:GEH40 GOD39:GOD40 GXZ39:GXZ40 HHV39:HHV40 HRR39:HRR40 IBN39:IBN40 ILJ39:ILJ40 IVF39:IVF40 JFB39:JFB40 JOX39:JOX40 JYT39:JYT40 KIP39:KIP40 KSL39:KSL40 LCH39:LCH40 LMD39:LMD40 LVZ39:LVZ40 MFV39:MFV40 MPR39:MPR40 MZN39:MZN40 NJJ39:NJJ40 NTF39:NTF40 ODB39:ODB40 OMX39:OMX40 OWT39:OWT40 PGP39:PGP40 PQL39:PQL40 QAH39:QAH40 QKD39:QKD40 QTZ39:QTZ40 RDV39:RDV40 RNR39:RNR40 RXN39:RXN40 SHJ39:SHJ40 SRF39:SRF40 TBB39:TBB40 TKX39:TKX40 TUT39:TUT40 UEP39:UEP40 UOL39:UOL40 UYH39:UYH40 VID39:VID40 VRZ39:VRZ40 WBV39:WBV40 WLR39:WLR40 WVN39:WVN40">
      <formula1>"Select,Submitted to GF, Preparation on track, Overdue"</formula1>
    </dataValidation>
    <dataValidation type="date" allowBlank="1" showInputMessage="1" showErrorMessage="1" sqref="E39:E40 JA39:JA40 SW39:SW40 ACS39:ACS40 AMO39:AMO40 AWK39:AWK40 BGG39:BGG40 BQC39:BQC40 BZY39:BZY40 CJU39:CJU40 CTQ39:CTQ40 DDM39:DDM40 DNI39:DNI40 DXE39:DXE40 EHA39:EHA40 EQW39:EQW40 FAS39:FAS40 FKO39:FKO40 FUK39:FUK40 GEG39:GEG40 GOC39:GOC40 GXY39:GXY40 HHU39:HHU40 HRQ39:HRQ40 IBM39:IBM40 ILI39:ILI40 IVE39:IVE40 JFA39:JFA40 JOW39:JOW40 JYS39:JYS40 KIO39:KIO40 KSK39:KSK40 LCG39:LCG40 LMC39:LMC40 LVY39:LVY40 MFU39:MFU40 MPQ39:MPQ40 MZM39:MZM40 NJI39:NJI40 NTE39:NTE40 ODA39:ODA40 OMW39:OMW40 OWS39:OWS40 PGO39:PGO40 PQK39:PQK40 QAG39:QAG40 QKC39:QKC40 QTY39:QTY40 RDU39:RDU40 RNQ39:RNQ40 RXM39:RXM40 SHI39:SHI40 SRE39:SRE40 TBA39:TBA40 TKW39:TKW40 TUS39:TUS40 UEO39:UEO40 UOK39:UOK40 UYG39:UYG40 VIC39:VIC40 VRY39:VRY40 WBU39:WBU40 WLQ39:WLQ40 WVM39:WVM40">
      <formula1>39814</formula1>
      <formula2>43831</formula2>
    </dataValidation>
  </dataValidations>
  <printOptions horizontalCentered="1"/>
  <pageMargins left="0.55118110236220474" right="0.55118110236220474" top="0.39370078740157483" bottom="0.59055118110236227" header="0.51181102362204722" footer="0.51181102362204722"/>
  <pageSetup paperSize="9" scale="52" fitToHeight="0" orientation="landscape" cellComments="asDisplayed" r:id="rId2"/>
  <headerFooter alignWithMargins="0">
    <oddFooter>&amp;L&amp;9&amp;F&amp;C&amp;A&amp;R&amp;9Page &amp;P of &amp;N</oddFooter>
  </headerFooter>
  <rowBreaks count="1" manualBreakCount="1">
    <brk id="16"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N21"/>
  <sheetViews>
    <sheetView showGridLines="0" view="pageBreakPreview" zoomScale="70" zoomScaleNormal="55" zoomScaleSheetLayoutView="70" workbookViewId="0">
      <selection activeCell="K18" sqref="K18:K19"/>
    </sheetView>
  </sheetViews>
  <sheetFormatPr defaultRowHeight="12.75" x14ac:dyDescent="0.2"/>
  <cols>
    <col min="1" max="1" width="15" style="72" customWidth="1"/>
    <col min="2" max="2" width="45.42578125" style="72" customWidth="1"/>
    <col min="3" max="3" width="19.28515625" style="72" customWidth="1"/>
    <col min="4" max="4" width="22.140625" style="72" customWidth="1"/>
    <col min="5" max="5" width="19.28515625" style="72" customWidth="1"/>
    <col min="6" max="6" width="26.42578125" style="72" customWidth="1"/>
    <col min="7" max="7" width="22" style="72" customWidth="1"/>
    <col min="8" max="8" width="20.5703125" style="509" customWidth="1"/>
    <col min="9" max="9" width="20.5703125" style="72" customWidth="1"/>
    <col min="10" max="10" width="19.28515625" style="72" customWidth="1"/>
    <col min="11" max="11" width="44.5703125" style="72" customWidth="1"/>
    <col min="12" max="16384" width="9.140625" style="72"/>
  </cols>
  <sheetData>
    <row r="1" spans="1:14" ht="25.5" customHeight="1" x14ac:dyDescent="0.35">
      <c r="A1" s="1865" t="s">
        <v>61</v>
      </c>
      <c r="B1" s="1865"/>
      <c r="C1" s="1865"/>
      <c r="D1" s="1865"/>
      <c r="E1" s="1865"/>
      <c r="F1" s="1865"/>
      <c r="G1" s="1865"/>
      <c r="H1" s="1"/>
      <c r="I1" s="2"/>
      <c r="J1" s="3"/>
      <c r="K1" s="3"/>
      <c r="L1" s="3"/>
    </row>
    <row r="2" spans="1:14" s="63" customFormat="1" ht="27" customHeight="1" thickBot="1" x14ac:dyDescent="0.3">
      <c r="A2" s="98" t="s">
        <v>156</v>
      </c>
      <c r="B2" s="10"/>
      <c r="C2" s="10"/>
      <c r="D2" s="36"/>
      <c r="E2" s="10"/>
      <c r="F2" s="10"/>
      <c r="G2" s="3"/>
      <c r="H2" s="11"/>
      <c r="I2" s="10"/>
      <c r="J2" s="12"/>
      <c r="K2" s="12"/>
      <c r="L2" s="13"/>
    </row>
    <row r="3" spans="1:14" s="73" customFormat="1" ht="28.5" customHeight="1" thickBot="1" x14ac:dyDescent="0.25">
      <c r="A3" s="1679" t="s">
        <v>70</v>
      </c>
      <c r="B3" s="1749"/>
      <c r="C3" s="1749"/>
      <c r="D3" s="1871" t="str">
        <f>IF('PR_Programmatic Progress_1A'!C7="","",'PR_Programmatic Progress_1A'!C7)</f>
        <v>MNR-809-G04-H</v>
      </c>
      <c r="E3" s="1752"/>
      <c r="F3" s="1752"/>
      <c r="G3" s="1753"/>
      <c r="H3" s="4"/>
      <c r="I3" s="4"/>
      <c r="J3" s="4"/>
      <c r="K3" s="4"/>
      <c r="L3" s="4"/>
    </row>
    <row r="4" spans="1:14" s="73" customFormat="1" ht="15" customHeight="1" x14ac:dyDescent="0.2">
      <c r="A4" s="465" t="s">
        <v>277</v>
      </c>
      <c r="B4" s="483"/>
      <c r="C4" s="483"/>
      <c r="D4" s="1216" t="s">
        <v>283</v>
      </c>
      <c r="E4" s="477" t="str">
        <f>IF('PR_Programmatic Progress_1A'!D12="Select","",'PR_Programmatic Progress_1A'!D12)</f>
        <v>Quarter</v>
      </c>
      <c r="F4" s="5" t="s">
        <v>284</v>
      </c>
      <c r="G4" s="47">
        <f>IF('PR_Programmatic Progress_1A'!F12="Select","",'PR_Programmatic Progress_1A'!F12)</f>
        <v>7</v>
      </c>
      <c r="H4" s="4"/>
      <c r="I4" s="4"/>
      <c r="J4" s="4"/>
      <c r="K4" s="4"/>
      <c r="L4" s="4"/>
    </row>
    <row r="5" spans="1:14" s="73" customFormat="1" ht="15" customHeight="1" x14ac:dyDescent="0.2">
      <c r="A5" s="484" t="s">
        <v>278</v>
      </c>
      <c r="B5" s="40"/>
      <c r="C5" s="40"/>
      <c r="D5" s="1217" t="s">
        <v>246</v>
      </c>
      <c r="E5" s="490">
        <f>IF('PR_Programmatic Progress_1A'!D13="","",'PR_Programmatic Progress_1A'!D13)</f>
        <v>40452</v>
      </c>
      <c r="F5" s="5" t="s">
        <v>264</v>
      </c>
      <c r="G5" s="491">
        <f>IF('PR_Programmatic Progress_1A'!F13="","",'PR_Programmatic Progress_1A'!F13)</f>
        <v>40543</v>
      </c>
      <c r="H5" s="4"/>
      <c r="I5" s="4"/>
      <c r="J5" s="4"/>
      <c r="K5" s="4"/>
      <c r="L5" s="4"/>
    </row>
    <row r="6" spans="1:14" s="73" customFormat="1" ht="15" customHeight="1" x14ac:dyDescent="0.2">
      <c r="A6" s="1210" t="s">
        <v>279</v>
      </c>
      <c r="B6" s="1211"/>
      <c r="C6" s="1214"/>
      <c r="D6" s="1843">
        <f>IF('PR_Programmatic Progress_1A'!C14="Select","",'PR_Programmatic Progress_1A'!C14)</f>
        <v>5</v>
      </c>
      <c r="E6" s="1844"/>
      <c r="F6" s="1844"/>
      <c r="G6" s="1845"/>
      <c r="H6" s="4"/>
      <c r="I6" s="4"/>
      <c r="J6" s="4"/>
      <c r="K6" s="4"/>
      <c r="L6" s="4"/>
    </row>
    <row r="7" spans="1:14" s="73" customFormat="1" ht="15" customHeight="1" thickBot="1" x14ac:dyDescent="0.25">
      <c r="A7" s="1212" t="s">
        <v>245</v>
      </c>
      <c r="B7" s="1213"/>
      <c r="C7" s="1215"/>
      <c r="D7" s="1846" t="str">
        <f>IF('PR_Programmatic Progress_1A'!C10="Select","",'PR_Programmatic Progress_1A'!C10)</f>
        <v>EUR</v>
      </c>
      <c r="E7" s="1847"/>
      <c r="F7" s="1847"/>
      <c r="G7" s="1848"/>
      <c r="H7" s="4"/>
      <c r="I7" s="4"/>
      <c r="J7" s="4"/>
      <c r="K7" s="4"/>
      <c r="L7" s="4"/>
    </row>
    <row r="8" spans="1:14" s="63" customFormat="1" ht="15.75" customHeight="1" x14ac:dyDescent="0.2">
      <c r="A8" s="10"/>
      <c r="B8" s="10"/>
      <c r="C8" s="10"/>
      <c r="D8" s="36"/>
      <c r="E8" s="10"/>
      <c r="F8" s="12"/>
      <c r="G8" s="11"/>
      <c r="H8" s="10"/>
      <c r="I8" s="12"/>
      <c r="J8" s="12"/>
      <c r="K8" s="13"/>
      <c r="L8" s="13"/>
    </row>
    <row r="9" spans="1:14" s="697" customFormat="1" ht="27" customHeight="1" x14ac:dyDescent="0.2">
      <c r="A9" s="1866" t="s">
        <v>309</v>
      </c>
      <c r="B9" s="1866"/>
      <c r="C9" s="1866"/>
      <c r="D9" s="1866"/>
      <c r="E9" s="1866"/>
      <c r="F9" s="1866"/>
      <c r="G9" s="1866"/>
      <c r="H9" s="1866"/>
      <c r="I9" s="1866"/>
      <c r="J9" s="1866"/>
      <c r="K9" s="497"/>
      <c r="L9" s="512"/>
    </row>
    <row r="10" spans="1:14" s="697" customFormat="1" ht="27" customHeight="1" thickBot="1" x14ac:dyDescent="0.25">
      <c r="A10" s="687" t="s">
        <v>131</v>
      </c>
      <c r="B10" s="686"/>
      <c r="C10" s="686"/>
      <c r="D10" s="686"/>
      <c r="E10" s="686"/>
      <c r="F10" s="686"/>
      <c r="G10" s="686"/>
      <c r="H10" s="686"/>
      <c r="I10" s="686"/>
      <c r="J10" s="686"/>
      <c r="K10" s="497"/>
      <c r="L10" s="512"/>
    </row>
    <row r="11" spans="1:14" s="63" customFormat="1" ht="75" customHeight="1" x14ac:dyDescent="0.2">
      <c r="A11" s="1836"/>
      <c r="B11" s="1833"/>
      <c r="C11" s="473" t="s">
        <v>251</v>
      </c>
      <c r="D11" s="473" t="s">
        <v>64</v>
      </c>
      <c r="E11" s="182" t="s">
        <v>252</v>
      </c>
      <c r="F11" s="1869" t="s">
        <v>253</v>
      </c>
      <c r="G11" s="1870"/>
      <c r="H11" s="473" t="s">
        <v>52</v>
      </c>
      <c r="I11" s="473" t="s">
        <v>65</v>
      </c>
      <c r="J11" s="473" t="s">
        <v>252</v>
      </c>
      <c r="K11" s="183" t="s">
        <v>253</v>
      </c>
      <c r="L11" s="13"/>
    </row>
    <row r="12" spans="1:14" s="63" customFormat="1" ht="75" customHeight="1" x14ac:dyDescent="0.2">
      <c r="A12" s="1867" t="s">
        <v>454</v>
      </c>
      <c r="B12" s="1868"/>
      <c r="C12" s="1608">
        <f>C13+C14</f>
        <v>2500000</v>
      </c>
      <c r="D12" s="456">
        <f>D13+D14</f>
        <v>2235000</v>
      </c>
      <c r="E12" s="451">
        <f>IF(C12="",IF(D12="","",C12-D12),C12-D12)</f>
        <v>265000</v>
      </c>
      <c r="F12" s="1853"/>
      <c r="G12" s="1854"/>
      <c r="H12" s="456">
        <f>H13+H14</f>
        <v>5600000</v>
      </c>
      <c r="I12" s="456">
        <f>I13+I14</f>
        <v>4500000</v>
      </c>
      <c r="J12" s="451">
        <f>IF(H12="",IF(I12="","",H12-I12),H12-I12)</f>
        <v>1100000</v>
      </c>
      <c r="K12" s="364"/>
      <c r="L12" s="13"/>
    </row>
    <row r="13" spans="1:14" s="63" customFormat="1" ht="226.5" customHeight="1" x14ac:dyDescent="0.2">
      <c r="A13" s="1840" t="s">
        <v>254</v>
      </c>
      <c r="B13" s="1841"/>
      <c r="C13" s="1609">
        <v>1500000</v>
      </c>
      <c r="D13" s="1536">
        <v>1435000</v>
      </c>
      <c r="E13" s="451">
        <f>IF(C13="",IF(D13="",0,C13-D13),C13-D13)</f>
        <v>65000</v>
      </c>
      <c r="F13" s="1857" t="s">
        <v>812</v>
      </c>
      <c r="G13" s="1858"/>
      <c r="H13" s="1536">
        <v>2600000</v>
      </c>
      <c r="I13" s="1536">
        <v>2000000</v>
      </c>
      <c r="J13" s="451">
        <f>IF(H13="",IF(I13="",0,H13-I13),H13-I13)</f>
        <v>600000</v>
      </c>
      <c r="K13" s="1600" t="s">
        <v>811</v>
      </c>
      <c r="L13" s="13"/>
    </row>
    <row r="14" spans="1:14" s="63" customFormat="1" ht="267.75" customHeight="1" thickBot="1" x14ac:dyDescent="0.25">
      <c r="A14" s="1840" t="s">
        <v>255</v>
      </c>
      <c r="B14" s="1841"/>
      <c r="C14" s="1610">
        <v>1000000</v>
      </c>
      <c r="D14" s="1537">
        <v>800000</v>
      </c>
      <c r="E14" s="451">
        <f>IF(C14="",IF(D14="",0,C14-D14),C14-D14)</f>
        <v>200000</v>
      </c>
      <c r="F14" s="1859" t="s">
        <v>813</v>
      </c>
      <c r="G14" s="1860"/>
      <c r="H14" s="1537">
        <v>3000000</v>
      </c>
      <c r="I14" s="1537">
        <v>2500000</v>
      </c>
      <c r="J14" s="451">
        <f>IF(H14="",IF(I14="",0,H14-I14),H14-I14)</f>
        <v>500000</v>
      </c>
      <c r="K14" s="1611" t="s">
        <v>814</v>
      </c>
      <c r="L14" s="13"/>
    </row>
    <row r="15" spans="1:14" s="699" customFormat="1" ht="18.75" customHeight="1" thickBot="1" x14ac:dyDescent="0.25">
      <c r="A15" s="453"/>
      <c r="B15" s="453"/>
      <c r="C15" s="454"/>
      <c r="D15" s="454"/>
      <c r="E15" s="455"/>
      <c r="F15" s="513"/>
      <c r="G15" s="513"/>
      <c r="H15" s="454"/>
      <c r="I15" s="454"/>
      <c r="J15" s="455"/>
      <c r="K15" s="513"/>
      <c r="L15" s="191"/>
      <c r="M15" s="698"/>
      <c r="N15" s="698"/>
    </row>
    <row r="16" spans="1:14" s="63" customFormat="1" ht="91.5" customHeight="1" x14ac:dyDescent="0.2">
      <c r="A16" s="1836"/>
      <c r="B16" s="1833"/>
      <c r="C16" s="473" t="s">
        <v>418</v>
      </c>
      <c r="D16" s="473" t="s">
        <v>64</v>
      </c>
      <c r="E16" s="182" t="s">
        <v>252</v>
      </c>
      <c r="F16" s="1799" t="s">
        <v>253</v>
      </c>
      <c r="G16" s="1796"/>
      <c r="H16" s="473" t="s">
        <v>52</v>
      </c>
      <c r="I16" s="473" t="s">
        <v>65</v>
      </c>
      <c r="J16" s="473" t="s">
        <v>252</v>
      </c>
      <c r="K16" s="184" t="s">
        <v>253</v>
      </c>
      <c r="L16" s="37"/>
    </row>
    <row r="17" spans="1:12" s="63" customFormat="1" ht="78.75" customHeight="1" x14ac:dyDescent="0.2">
      <c r="A17" s="1828" t="s">
        <v>53</v>
      </c>
      <c r="B17" s="1842"/>
      <c r="C17" s="451">
        <f>C18+C19</f>
        <v>1300000</v>
      </c>
      <c r="D17" s="451">
        <f>D18+D19</f>
        <v>1350000</v>
      </c>
      <c r="E17" s="451">
        <f>IF(C17="",IF(D17="","",C17-D17),C17-D17)</f>
        <v>-50000</v>
      </c>
      <c r="F17" s="1855"/>
      <c r="G17" s="1856"/>
      <c r="H17" s="459">
        <f>H18+H19</f>
        <v>2500000</v>
      </c>
      <c r="I17" s="459">
        <f>I18+I19</f>
        <v>1950000</v>
      </c>
      <c r="J17" s="459">
        <f>IF(H17="",IF(I17="","",H17-I17),H17-I17)</f>
        <v>550000</v>
      </c>
      <c r="K17" s="517"/>
      <c r="L17" s="37"/>
    </row>
    <row r="18" spans="1:12" s="63" customFormat="1" ht="137.25" customHeight="1" x14ac:dyDescent="0.2">
      <c r="A18" s="1863" t="s">
        <v>40</v>
      </c>
      <c r="B18" s="1864"/>
      <c r="C18" s="445">
        <v>600000</v>
      </c>
      <c r="D18" s="1535">
        <f>C18-50000</f>
        <v>550000</v>
      </c>
      <c r="E18" s="457">
        <f>IF(C18="",IF(D18="",0,C18-D18),C18-D18)</f>
        <v>50000</v>
      </c>
      <c r="F18" s="1861" t="s">
        <v>816</v>
      </c>
      <c r="G18" s="1862"/>
      <c r="H18" s="445">
        <v>1000000</v>
      </c>
      <c r="I18" s="445">
        <v>850000</v>
      </c>
      <c r="J18" s="459">
        <f>IF(H18="",IF(I18="",0,H18-I18),H18-I18)</f>
        <v>150000</v>
      </c>
      <c r="K18" s="1612" t="s">
        <v>815</v>
      </c>
      <c r="L18" s="498"/>
    </row>
    <row r="19" spans="1:12" s="63" customFormat="1" ht="122.25" customHeight="1" thickBot="1" x14ac:dyDescent="0.25">
      <c r="A19" s="1851" t="s">
        <v>41</v>
      </c>
      <c r="B19" s="1852"/>
      <c r="C19" s="446">
        <v>700000</v>
      </c>
      <c r="D19" s="1534">
        <f>C19+100000</f>
        <v>800000</v>
      </c>
      <c r="E19" s="457">
        <f>IF(C19="",IF(D19="",0,C19-D19),C19-D19)</f>
        <v>-100000</v>
      </c>
      <c r="F19" s="1849" t="s">
        <v>796</v>
      </c>
      <c r="G19" s="1850"/>
      <c r="H19" s="1534">
        <v>1500000</v>
      </c>
      <c r="I19" s="1534">
        <f>H19-E19-500000</f>
        <v>1100000</v>
      </c>
      <c r="J19" s="458">
        <f>IF(H19="",IF(I19="",0,H19-I19),H19-I19)</f>
        <v>400000</v>
      </c>
      <c r="K19" s="1613" t="s">
        <v>817</v>
      </c>
      <c r="L19" s="498"/>
    </row>
    <row r="20" spans="1:12" s="63" customFormat="1" ht="10.5" customHeight="1" x14ac:dyDescent="0.2">
      <c r="A20" s="174"/>
      <c r="B20" s="179"/>
      <c r="C20" s="188"/>
      <c r="D20" s="188"/>
      <c r="E20" s="188"/>
      <c r="F20" s="180"/>
      <c r="G20" s="514"/>
      <c r="H20" s="188"/>
      <c r="I20" s="188"/>
      <c r="J20" s="188"/>
      <c r="K20" s="188"/>
      <c r="L20" s="498"/>
    </row>
    <row r="21" spans="1:12" ht="19.5" customHeight="1" x14ac:dyDescent="0.2">
      <c r="A21" s="174"/>
      <c r="B21" s="515"/>
      <c r="C21" s="515"/>
      <c r="D21" s="515"/>
      <c r="E21" s="515"/>
      <c r="F21" s="515"/>
      <c r="G21" s="515"/>
      <c r="H21" s="516"/>
      <c r="I21" s="515"/>
      <c r="J21" s="515"/>
      <c r="K21" s="515"/>
      <c r="L21" s="3"/>
    </row>
  </sheetData>
  <sheetProtection password="92D1" sheet="1" formatCells="0" formatColumns="0" formatRows="0"/>
  <mergeCells count="22">
    <mergeCell ref="A1:G1"/>
    <mergeCell ref="A9:J9"/>
    <mergeCell ref="A12:B12"/>
    <mergeCell ref="A11:B11"/>
    <mergeCell ref="F11:G11"/>
    <mergeCell ref="A3:C3"/>
    <mergeCell ref="D3:G3"/>
    <mergeCell ref="A13:B13"/>
    <mergeCell ref="A17:B17"/>
    <mergeCell ref="D6:G6"/>
    <mergeCell ref="D7:G7"/>
    <mergeCell ref="F19:G19"/>
    <mergeCell ref="A19:B19"/>
    <mergeCell ref="F16:G16"/>
    <mergeCell ref="F12:G12"/>
    <mergeCell ref="F17:G17"/>
    <mergeCell ref="F13:G13"/>
    <mergeCell ref="A14:B14"/>
    <mergeCell ref="F14:G14"/>
    <mergeCell ref="F18:G18"/>
    <mergeCell ref="A16:B16"/>
    <mergeCell ref="A18:B18"/>
  </mergeCells>
  <phoneticPr fontId="36" type="noConversion"/>
  <conditionalFormatting sqref="E15:E16 J15 F16:F17 D17 C17:C19 H17:I18 K17:K18 C20:K20">
    <cfRule type="cellIs" dxfId="88" priority="7" stopIfTrue="1" operator="lessThan">
      <formula>0</formula>
    </cfRule>
  </conditionalFormatting>
  <conditionalFormatting sqref="E15:E16 J15:J16 F16:F17 H18:I18 C20:K20 H17:H18 K17:K18">
    <cfRule type="cellIs" dxfId="87" priority="6" stopIfTrue="1" operator="lessThan">
      <formula>0</formula>
    </cfRule>
  </conditionalFormatting>
  <dataValidations disablePrompts="1" count="1">
    <dataValidation type="list" allowBlank="1" showInputMessage="1" showErrorMessage="1" sqref="C2:F2">
      <formula1>"Select,USD,EUR"</formula1>
    </dataValidation>
  </dataValidations>
  <printOptions horizontalCentered="1"/>
  <pageMargins left="0.74803149606299213" right="0.74803149606299213" top="0.39370078740157483" bottom="0.39370078740157483" header="0.51181102362204722" footer="0.51181102362204722"/>
  <pageSetup paperSize="9" scale="48" fitToHeight="0" orientation="landscape" cellComments="asDisplayed" r:id="rId1"/>
  <headerFooter alignWithMargins="0">
    <oddFooter>&amp;L&amp;9&amp;F&amp;C&amp;A&amp;R&amp;9Page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11"/>
    <pageSetUpPr fitToPage="1"/>
  </sheetPr>
  <dimension ref="A1:Z75"/>
  <sheetViews>
    <sheetView view="pageBreakPreview" zoomScale="70" zoomScaleNormal="55" zoomScaleSheetLayoutView="70" workbookViewId="0">
      <selection activeCell="F5" sqref="F5"/>
    </sheetView>
  </sheetViews>
  <sheetFormatPr defaultRowHeight="12.75" x14ac:dyDescent="0.2"/>
  <cols>
    <col min="1" max="7" width="18.140625" style="936" customWidth="1"/>
    <col min="8" max="8" width="47.28515625" style="936" customWidth="1"/>
    <col min="9" max="11" width="18.140625" style="936" customWidth="1"/>
    <col min="12" max="12" width="42.85546875" style="936" customWidth="1"/>
    <col min="13" max="13" width="4.28515625" style="936" customWidth="1"/>
    <col min="14" max="15" width="9.140625" style="936"/>
    <col min="16" max="26" width="0" style="936" hidden="1" customWidth="1"/>
    <col min="27" max="16384" width="9.140625" style="936"/>
  </cols>
  <sheetData>
    <row r="1" spans="1:26" ht="18" x14ac:dyDescent="0.25">
      <c r="A1" s="1933" t="s">
        <v>494</v>
      </c>
      <c r="B1" s="1933"/>
      <c r="C1" s="1933"/>
      <c r="D1" s="1933"/>
      <c r="E1" s="1933"/>
      <c r="F1" s="1933"/>
      <c r="G1" s="858"/>
      <c r="H1" s="858"/>
      <c r="I1" s="859"/>
      <c r="J1" s="859"/>
      <c r="K1" s="859"/>
      <c r="L1" s="934"/>
      <c r="M1" s="935"/>
    </row>
    <row r="2" spans="1:26" ht="7.5" customHeight="1" thickBot="1" x14ac:dyDescent="0.25">
      <c r="A2" s="72"/>
      <c r="B2" s="72"/>
      <c r="C2" s="72"/>
      <c r="D2" s="860"/>
      <c r="E2" s="428"/>
      <c r="F2" s="861"/>
      <c r="G2" s="494"/>
      <c r="H2" s="72"/>
      <c r="I2" s="859"/>
      <c r="J2" s="859"/>
      <c r="K2" s="859"/>
      <c r="L2" s="934"/>
      <c r="M2" s="935"/>
    </row>
    <row r="3" spans="1:26" x14ac:dyDescent="0.2">
      <c r="A3" s="1934" t="s">
        <v>74</v>
      </c>
      <c r="B3" s="1935"/>
      <c r="C3" s="1936" t="str">
        <f>'PR_Programmatic Progress_1A'!C5:F5</f>
        <v>Monrovia</v>
      </c>
      <c r="D3" s="1937"/>
      <c r="E3" s="428"/>
      <c r="F3" s="1938" t="s">
        <v>75</v>
      </c>
      <c r="G3" s="1939"/>
      <c r="H3" s="1939"/>
      <c r="I3" s="859"/>
      <c r="J3" s="859"/>
      <c r="K3" s="859"/>
      <c r="L3" s="934"/>
      <c r="M3" s="935"/>
    </row>
    <row r="4" spans="1:26" x14ac:dyDescent="0.2">
      <c r="A4" s="1940" t="s">
        <v>76</v>
      </c>
      <c r="B4" s="1941"/>
      <c r="C4" s="1942" t="str">
        <f>'PR_Programmatic Progress_1A'!C7:F7</f>
        <v>MNR-809-G04-H</v>
      </c>
      <c r="D4" s="1943"/>
      <c r="E4" s="428"/>
      <c r="F4" s="1939"/>
      <c r="G4" s="1939"/>
      <c r="H4" s="1939"/>
      <c r="I4" s="859"/>
      <c r="J4" s="859"/>
      <c r="K4" s="859"/>
      <c r="L4" s="934"/>
      <c r="M4" s="935"/>
    </row>
    <row r="5" spans="1:26" x14ac:dyDescent="0.2">
      <c r="A5" s="1940" t="s">
        <v>77</v>
      </c>
      <c r="B5" s="1941"/>
      <c r="C5" s="1942" t="str">
        <f>'PR_Programmatic Progress_1A'!C8:F8</f>
        <v>Ministry of Health</v>
      </c>
      <c r="D5" s="1943"/>
      <c r="E5" s="428"/>
      <c r="F5" s="1237" t="s">
        <v>610</v>
      </c>
      <c r="G5" s="494"/>
      <c r="H5" s="72"/>
      <c r="I5" s="859"/>
      <c r="J5" s="859"/>
      <c r="K5" s="859"/>
      <c r="L5" s="934"/>
      <c r="M5" s="935"/>
    </row>
    <row r="6" spans="1:26" ht="13.5" thickBot="1" x14ac:dyDescent="0.25">
      <c r="A6" s="1945" t="s">
        <v>1</v>
      </c>
      <c r="B6" s="1946"/>
      <c r="C6" s="1947" t="s">
        <v>78</v>
      </c>
      <c r="D6" s="1948"/>
      <c r="E6" s="428"/>
      <c r="F6" s="861"/>
      <c r="G6" s="494"/>
      <c r="H6" s="72"/>
      <c r="I6" s="859"/>
      <c r="J6" s="859"/>
      <c r="K6" s="859"/>
      <c r="L6" s="934"/>
      <c r="M6" s="935"/>
    </row>
    <row r="7" spans="1:26" x14ac:dyDescent="0.2">
      <c r="A7" s="1949"/>
      <c r="B7" s="1949"/>
      <c r="C7" s="72"/>
      <c r="D7" s="72"/>
      <c r="E7" s="72"/>
      <c r="F7" s="72"/>
      <c r="G7" s="862" t="s">
        <v>79</v>
      </c>
      <c r="H7" s="934"/>
      <c r="I7" s="859"/>
      <c r="J7" s="859"/>
      <c r="K7" s="862" t="s">
        <v>79</v>
      </c>
      <c r="L7" s="934"/>
      <c r="M7" s="935"/>
    </row>
    <row r="8" spans="1:26" x14ac:dyDescent="0.2">
      <c r="A8" s="1950"/>
      <c r="B8" s="1950"/>
      <c r="C8" s="959"/>
      <c r="D8" s="934"/>
      <c r="E8" s="1915" t="s">
        <v>80</v>
      </c>
      <c r="F8" s="863" t="s">
        <v>81</v>
      </c>
      <c r="G8" s="864"/>
      <c r="H8" s="960"/>
      <c r="I8" s="1915" t="s">
        <v>82</v>
      </c>
      <c r="J8" s="863" t="s">
        <v>81</v>
      </c>
      <c r="K8" s="864"/>
      <c r="L8" s="934"/>
      <c r="M8" s="935"/>
    </row>
    <row r="9" spans="1:26" x14ac:dyDescent="0.2">
      <c r="A9" s="72"/>
      <c r="B9" s="72"/>
      <c r="C9" s="72"/>
      <c r="D9" s="860"/>
      <c r="E9" s="1916"/>
      <c r="F9" s="863" t="s">
        <v>264</v>
      </c>
      <c r="G9" s="864"/>
      <c r="H9" s="960"/>
      <c r="I9" s="1916"/>
      <c r="J9" s="863" t="s">
        <v>264</v>
      </c>
      <c r="K9" s="864"/>
      <c r="L9" s="934"/>
      <c r="M9" s="935"/>
    </row>
    <row r="10" spans="1:26" ht="40.5" customHeight="1" x14ac:dyDescent="0.2">
      <c r="A10" s="72"/>
      <c r="B10" s="72"/>
      <c r="C10" s="855"/>
      <c r="D10" s="860"/>
      <c r="E10" s="72"/>
      <c r="F10" s="72"/>
      <c r="G10" s="865"/>
      <c r="H10" s="961" t="s">
        <v>83</v>
      </c>
      <c r="I10" s="72"/>
      <c r="J10" s="72"/>
      <c r="K10" s="72"/>
      <c r="L10" s="934"/>
      <c r="M10" s="935"/>
    </row>
    <row r="11" spans="1:26" ht="5.25" customHeight="1" x14ac:dyDescent="0.2">
      <c r="A11" s="72"/>
      <c r="B11" s="72"/>
      <c r="C11" s="72"/>
      <c r="D11" s="860"/>
      <c r="E11" s="72"/>
      <c r="F11" s="72"/>
      <c r="G11" s="865"/>
      <c r="H11" s="865"/>
      <c r="I11" s="72"/>
      <c r="J11" s="72"/>
      <c r="K11" s="72"/>
      <c r="L11" s="934"/>
      <c r="M11" s="935"/>
    </row>
    <row r="12" spans="1:26" ht="14.25" customHeight="1" x14ac:dyDescent="0.2">
      <c r="A12" s="72"/>
      <c r="B12" s="72"/>
      <c r="C12" s="72"/>
      <c r="D12" s="860"/>
      <c r="E12" s="1917" t="s">
        <v>84</v>
      </c>
      <c r="F12" s="1917"/>
      <c r="G12" s="1917"/>
      <c r="H12" s="1917"/>
      <c r="I12" s="72"/>
      <c r="J12" s="72"/>
      <c r="K12" s="72"/>
      <c r="L12" s="934"/>
      <c r="M12" s="935"/>
    </row>
    <row r="13" spans="1:26" x14ac:dyDescent="0.2">
      <c r="A13" s="72"/>
      <c r="B13" s="72"/>
      <c r="C13" s="72"/>
      <c r="D13" s="860"/>
      <c r="E13" s="1917"/>
      <c r="F13" s="1917"/>
      <c r="G13" s="1917"/>
      <c r="H13" s="1917"/>
      <c r="I13" s="72"/>
      <c r="J13" s="72"/>
      <c r="K13" s="72"/>
      <c r="L13" s="934"/>
      <c r="M13" s="935"/>
    </row>
    <row r="14" spans="1:26" ht="6" customHeight="1" thickBot="1" x14ac:dyDescent="0.25">
      <c r="A14" s="72"/>
      <c r="B14" s="72"/>
      <c r="C14" s="72"/>
      <c r="D14" s="860"/>
      <c r="E14" s="866"/>
      <c r="F14" s="866"/>
      <c r="G14" s="866"/>
      <c r="H14" s="866"/>
      <c r="I14" s="72"/>
      <c r="J14" s="72"/>
      <c r="K14" s="72"/>
      <c r="L14" s="934"/>
      <c r="M14" s="935"/>
    </row>
    <row r="15" spans="1:26" ht="15.75" customHeight="1" thickBot="1" x14ac:dyDescent="0.3">
      <c r="A15" s="852" t="s">
        <v>85</v>
      </c>
      <c r="B15" s="670"/>
      <c r="C15" s="670"/>
      <c r="D15" s="867"/>
      <c r="E15" s="1886" t="s">
        <v>80</v>
      </c>
      <c r="F15" s="1887"/>
      <c r="G15" s="1887"/>
      <c r="H15" s="1887"/>
      <c r="I15" s="1888" t="s">
        <v>82</v>
      </c>
      <c r="J15" s="1887"/>
      <c r="K15" s="1887"/>
      <c r="L15" s="1889"/>
      <c r="M15" s="935"/>
      <c r="P15" s="1794" t="str">
        <f>IF('PR_Programmatic Progress_1A'!R15="Select","Please select currency on Page
 'PR_Programmatic Achievement (1)'", "All amounts are in: "&amp;'PR_Programmatic Progress_1A'!R15)</f>
        <v xml:space="preserve">All amounts are in: </v>
      </c>
      <c r="Q15" s="1796"/>
      <c r="R15" s="473" t="s">
        <v>251</v>
      </c>
      <c r="S15" s="473" t="s">
        <v>64</v>
      </c>
      <c r="T15" s="182" t="s">
        <v>252</v>
      </c>
      <c r="U15" s="1869" t="s">
        <v>253</v>
      </c>
      <c r="V15" s="1870"/>
      <c r="W15" s="473" t="s">
        <v>52</v>
      </c>
      <c r="X15" s="473" t="s">
        <v>65</v>
      </c>
      <c r="Y15" s="473" t="s">
        <v>252</v>
      </c>
      <c r="Z15" s="183" t="s">
        <v>253</v>
      </c>
    </row>
    <row r="16" spans="1:26" ht="30.75" thickBot="1" x14ac:dyDescent="0.3">
      <c r="A16" s="671" t="s">
        <v>86</v>
      </c>
      <c r="B16" s="1944" t="s">
        <v>87</v>
      </c>
      <c r="C16" s="1944"/>
      <c r="D16" s="868"/>
      <c r="E16" s="854" t="s">
        <v>88</v>
      </c>
      <c r="F16" s="869" t="s">
        <v>89</v>
      </c>
      <c r="G16" s="870" t="s">
        <v>252</v>
      </c>
      <c r="H16" s="871" t="s">
        <v>253</v>
      </c>
      <c r="I16" s="672" t="s">
        <v>90</v>
      </c>
      <c r="J16" s="872" t="s">
        <v>91</v>
      </c>
      <c r="K16" s="873" t="s">
        <v>252</v>
      </c>
      <c r="L16" s="874" t="s">
        <v>253</v>
      </c>
      <c r="M16" s="935"/>
      <c r="P16" s="1960" t="s">
        <v>454</v>
      </c>
      <c r="Q16" s="1961"/>
      <c r="R16" s="456">
        <f>R17+R18</f>
        <v>2500000</v>
      </c>
      <c r="S16" s="456">
        <f>S17+S18</f>
        <v>2235000</v>
      </c>
      <c r="T16" s="451">
        <f>IF(R16="",IF(S16="","",R16-S16),R16-S16)</f>
        <v>265000</v>
      </c>
      <c r="U16" s="1853"/>
      <c r="V16" s="1854"/>
      <c r="W16" s="456">
        <f>W17+W18</f>
        <v>5600000</v>
      </c>
      <c r="X16" s="456">
        <f>X17+X18</f>
        <v>4500000</v>
      </c>
      <c r="Y16" s="451">
        <f>IF(W16="",IF(X16="","",W16-X16),W16-X16)</f>
        <v>1100000</v>
      </c>
      <c r="Z16" s="364"/>
    </row>
    <row r="17" spans="1:26" ht="14.25" x14ac:dyDescent="0.2">
      <c r="A17" s="875">
        <v>1</v>
      </c>
      <c r="B17" s="1921" t="s">
        <v>92</v>
      </c>
      <c r="C17" s="1922"/>
      <c r="D17" s="1923"/>
      <c r="E17" s="876"/>
      <c r="F17" s="877"/>
      <c r="G17" s="878" t="str">
        <f>IF((E17=0)*AND(F17=0)," ",E17-F17)</f>
        <v xml:space="preserve"> </v>
      </c>
      <c r="H17" s="879"/>
      <c r="I17" s="880"/>
      <c r="J17" s="881"/>
      <c r="K17" s="878" t="str">
        <f t="shared" ref="K17:K29" si="0">IF((I17=0)*AND(J17=0)," ",I17-J17)</f>
        <v xml:space="preserve"> </v>
      </c>
      <c r="L17" s="882"/>
      <c r="M17" s="935"/>
      <c r="P17" s="1962" t="s">
        <v>254</v>
      </c>
      <c r="Q17" s="1963"/>
      <c r="R17" s="445">
        <f>'PR_Total PR Cash Outflow_3A'!C13</f>
        <v>1500000</v>
      </c>
      <c r="S17" s="445">
        <f>'PR_Total PR Cash Outflow_3A'!D13</f>
        <v>1435000</v>
      </c>
      <c r="T17" s="451">
        <f>IF(R17="",IF(S17="",0,R17-S17),R17-S17)</f>
        <v>65000</v>
      </c>
      <c r="U17" s="1788"/>
      <c r="V17" s="1784"/>
      <c r="W17" s="445">
        <f>'PR_Total PR Cash Outflow_3A'!H13</f>
        <v>2600000</v>
      </c>
      <c r="X17" s="445">
        <f>'PR_Total PR Cash Outflow_3A'!I13</f>
        <v>2000000</v>
      </c>
      <c r="Y17" s="451">
        <f>IF(W17="",IF(X17="",0,W17-X17),W17-X17)</f>
        <v>600000</v>
      </c>
      <c r="Z17" s="831"/>
    </row>
    <row r="18" spans="1:26" ht="15" thickBot="1" x14ac:dyDescent="0.25">
      <c r="A18" s="883">
        <v>2</v>
      </c>
      <c r="B18" s="1924" t="s">
        <v>93</v>
      </c>
      <c r="C18" s="1925"/>
      <c r="D18" s="1926"/>
      <c r="E18" s="884"/>
      <c r="F18" s="885"/>
      <c r="G18" s="878" t="str">
        <f t="shared" ref="G18:G29" si="1">IF((E18=0)*AND(F18=0)," ",E18-F18)</f>
        <v xml:space="preserve"> </v>
      </c>
      <c r="H18" s="886"/>
      <c r="I18" s="887"/>
      <c r="J18" s="888"/>
      <c r="K18" s="878" t="str">
        <f t="shared" si="0"/>
        <v xml:space="preserve"> </v>
      </c>
      <c r="L18" s="889"/>
      <c r="M18" s="935"/>
      <c r="P18" s="1968" t="s">
        <v>255</v>
      </c>
      <c r="Q18" s="1969"/>
      <c r="R18" s="446">
        <f>'PR_Total PR Cash Outflow_3A'!C14</f>
        <v>1000000</v>
      </c>
      <c r="S18" s="446">
        <f>'PR_Total PR Cash Outflow_3A'!D14</f>
        <v>800000</v>
      </c>
      <c r="T18" s="694">
        <f>IF(R18="",IF(S18="",0,R18-S18),R18-S18)</f>
        <v>200000</v>
      </c>
      <c r="U18" s="1966"/>
      <c r="V18" s="1967"/>
      <c r="W18" s="446">
        <f>'PR_Total PR Cash Outflow_3A'!H14</f>
        <v>3000000</v>
      </c>
      <c r="X18" s="446">
        <f>'PR_Total PR Cash Outflow_3A'!I14</f>
        <v>2500000</v>
      </c>
      <c r="Y18" s="694">
        <f>IF(W18="",IF(X18="",0,W18-X18),W18-X18)</f>
        <v>500000</v>
      </c>
      <c r="Z18" s="1061"/>
    </row>
    <row r="19" spans="1:26" ht="15.75" customHeight="1" thickBot="1" x14ac:dyDescent="0.25">
      <c r="A19" s="883">
        <v>3</v>
      </c>
      <c r="B19" s="1924" t="s">
        <v>94</v>
      </c>
      <c r="C19" s="1925"/>
      <c r="D19" s="1926"/>
      <c r="E19" s="884"/>
      <c r="F19" s="885"/>
      <c r="G19" s="878" t="str">
        <f t="shared" si="1"/>
        <v xml:space="preserve"> </v>
      </c>
      <c r="H19" s="886"/>
      <c r="I19" s="887"/>
      <c r="J19" s="888"/>
      <c r="K19" s="878" t="str">
        <f t="shared" si="0"/>
        <v xml:space="preserve"> </v>
      </c>
      <c r="L19" s="889"/>
      <c r="M19" s="935"/>
      <c r="P19" s="453"/>
      <c r="Q19" s="453"/>
      <c r="R19" s="454"/>
      <c r="S19" s="454"/>
      <c r="T19" s="455"/>
      <c r="U19" s="513"/>
      <c r="V19" s="513"/>
      <c r="W19" s="454"/>
      <c r="X19" s="454"/>
      <c r="Y19" s="455"/>
      <c r="Z19" s="513"/>
    </row>
    <row r="20" spans="1:26" ht="15.75" customHeight="1" x14ac:dyDescent="0.2">
      <c r="A20" s="883">
        <v>4</v>
      </c>
      <c r="B20" s="1924" t="s">
        <v>95</v>
      </c>
      <c r="C20" s="1925"/>
      <c r="D20" s="1926"/>
      <c r="E20" s="884"/>
      <c r="F20" s="885"/>
      <c r="G20" s="878" t="str">
        <f t="shared" si="1"/>
        <v xml:space="preserve"> </v>
      </c>
      <c r="H20" s="886"/>
      <c r="I20" s="887"/>
      <c r="J20" s="888"/>
      <c r="K20" s="878" t="str">
        <f t="shared" si="0"/>
        <v xml:space="preserve"> </v>
      </c>
      <c r="L20" s="889"/>
      <c r="M20" s="935"/>
      <c r="P20" s="1794"/>
      <c r="Q20" s="1796"/>
      <c r="R20" s="473" t="s">
        <v>418</v>
      </c>
      <c r="S20" s="473" t="s">
        <v>64</v>
      </c>
      <c r="T20" s="182" t="s">
        <v>252</v>
      </c>
      <c r="U20" s="1799" t="s">
        <v>253</v>
      </c>
      <c r="V20" s="1796"/>
      <c r="W20" s="473" t="s">
        <v>52</v>
      </c>
      <c r="X20" s="473" t="s">
        <v>65</v>
      </c>
      <c r="Y20" s="473" t="s">
        <v>252</v>
      </c>
      <c r="Z20" s="184" t="s">
        <v>253</v>
      </c>
    </row>
    <row r="21" spans="1:26" ht="15" x14ac:dyDescent="0.2">
      <c r="A21" s="883">
        <v>5</v>
      </c>
      <c r="B21" s="1924" t="s">
        <v>96</v>
      </c>
      <c r="C21" s="1925"/>
      <c r="D21" s="1926"/>
      <c r="E21" s="884"/>
      <c r="F21" s="885"/>
      <c r="G21" s="878" t="str">
        <f t="shared" si="1"/>
        <v xml:space="preserve"> </v>
      </c>
      <c r="H21" s="886"/>
      <c r="I21" s="887"/>
      <c r="J21" s="888"/>
      <c r="K21" s="878" t="str">
        <f t="shared" si="0"/>
        <v xml:space="preserve"> </v>
      </c>
      <c r="L21" s="889"/>
      <c r="M21" s="935"/>
      <c r="P21" s="1970" t="s">
        <v>53</v>
      </c>
      <c r="Q21" s="1971"/>
      <c r="R21" s="451">
        <f>R22+R23</f>
        <v>1300000</v>
      </c>
      <c r="S21" s="451">
        <f>S22+S23</f>
        <v>1350000</v>
      </c>
      <c r="T21" s="451">
        <f>IF(R21="",IF(S21="","",R21-S21),R21-S21)</f>
        <v>-50000</v>
      </c>
      <c r="U21" s="1855"/>
      <c r="V21" s="1856"/>
      <c r="W21" s="459">
        <f>W22+W23</f>
        <v>2500000</v>
      </c>
      <c r="X21" s="459">
        <f>X22+X23</f>
        <v>1950000</v>
      </c>
      <c r="Y21" s="459">
        <f>IF(W21="",IF(X21="","",W21-X21),W21-X21)</f>
        <v>550000</v>
      </c>
      <c r="Z21" s="517"/>
    </row>
    <row r="22" spans="1:26" ht="14.25" x14ac:dyDescent="0.2">
      <c r="A22" s="883">
        <v>6</v>
      </c>
      <c r="B22" s="1918" t="s">
        <v>97</v>
      </c>
      <c r="C22" s="1919"/>
      <c r="D22" s="1920"/>
      <c r="E22" s="884"/>
      <c r="F22" s="885"/>
      <c r="G22" s="878" t="str">
        <f t="shared" si="1"/>
        <v xml:space="preserve"> </v>
      </c>
      <c r="H22" s="886"/>
      <c r="I22" s="887"/>
      <c r="J22" s="888"/>
      <c r="K22" s="878" t="str">
        <f t="shared" si="0"/>
        <v xml:space="preserve"> </v>
      </c>
      <c r="L22" s="889"/>
      <c r="M22" s="935"/>
      <c r="P22" s="1863" t="s">
        <v>40</v>
      </c>
      <c r="Q22" s="1864"/>
      <c r="R22" s="445">
        <f>'PR_Total PR Cash Outflow_3A'!C18</f>
        <v>600000</v>
      </c>
      <c r="S22" s="445">
        <f>'PR_Total PR Cash Outflow_3A'!D18</f>
        <v>550000</v>
      </c>
      <c r="T22" s="457">
        <f>IF(R22="",IF(S22="",0,R22-S22),R22-S22)</f>
        <v>50000</v>
      </c>
      <c r="U22" s="1788"/>
      <c r="V22" s="1784"/>
      <c r="W22" s="445">
        <f>'PR_Total PR Cash Outflow_3A'!H18</f>
        <v>1000000</v>
      </c>
      <c r="X22" s="445">
        <f>'PR_Total PR Cash Outflow_3A'!I18</f>
        <v>850000</v>
      </c>
      <c r="Y22" s="459">
        <f>IF(W22="",IF(X22="",0,W22-X22),W22-X22)</f>
        <v>150000</v>
      </c>
      <c r="Z22" s="832"/>
    </row>
    <row r="23" spans="1:26" ht="15" thickBot="1" x14ac:dyDescent="0.25">
      <c r="A23" s="890">
        <v>7</v>
      </c>
      <c r="B23" s="1918" t="s">
        <v>98</v>
      </c>
      <c r="C23" s="1919"/>
      <c r="D23" s="1920"/>
      <c r="E23" s="884"/>
      <c r="F23" s="885"/>
      <c r="G23" s="878" t="str">
        <f t="shared" si="1"/>
        <v xml:space="preserve"> </v>
      </c>
      <c r="H23" s="886"/>
      <c r="I23" s="887"/>
      <c r="J23" s="888"/>
      <c r="K23" s="878" t="str">
        <f t="shared" si="0"/>
        <v xml:space="preserve"> </v>
      </c>
      <c r="L23" s="889"/>
      <c r="M23" s="935"/>
      <c r="P23" s="1964" t="s">
        <v>41</v>
      </c>
      <c r="Q23" s="1965"/>
      <c r="R23" s="446">
        <f>'PR_Total PR Cash Outflow_3A'!C19</f>
        <v>700000</v>
      </c>
      <c r="S23" s="446">
        <f>'PR_Total PR Cash Outflow_3A'!D19</f>
        <v>800000</v>
      </c>
      <c r="T23" s="1060">
        <f>IF(R23="",IF(S23="",0,R23-S23),R23-S23)</f>
        <v>-100000</v>
      </c>
      <c r="U23" s="1966"/>
      <c r="V23" s="1967"/>
      <c r="W23" s="446">
        <f>'PR_Total PR Cash Outflow_3A'!H19</f>
        <v>1500000</v>
      </c>
      <c r="X23" s="446">
        <f>'PR_Total PR Cash Outflow_3A'!I19</f>
        <v>1100000</v>
      </c>
      <c r="Y23" s="458">
        <f>IF(W23="",IF(X23="",0,W23-X23),W23-X23)</f>
        <v>400000</v>
      </c>
      <c r="Z23" s="833"/>
    </row>
    <row r="24" spans="1:26" x14ac:dyDescent="0.2">
      <c r="A24" s="891">
        <v>8</v>
      </c>
      <c r="B24" s="1918" t="s">
        <v>99</v>
      </c>
      <c r="C24" s="1919"/>
      <c r="D24" s="1920"/>
      <c r="E24" s="892"/>
      <c r="F24" s="893"/>
      <c r="G24" s="878" t="str">
        <f t="shared" si="1"/>
        <v xml:space="preserve"> </v>
      </c>
      <c r="H24" s="894"/>
      <c r="I24" s="887"/>
      <c r="J24" s="888"/>
      <c r="K24" s="878" t="str">
        <f t="shared" si="0"/>
        <v xml:space="preserve"> </v>
      </c>
      <c r="L24" s="895"/>
      <c r="M24" s="935"/>
    </row>
    <row r="25" spans="1:26" x14ac:dyDescent="0.2">
      <c r="A25" s="891">
        <v>9</v>
      </c>
      <c r="B25" s="1918" t="s">
        <v>480</v>
      </c>
      <c r="C25" s="1919"/>
      <c r="D25" s="1920"/>
      <c r="E25" s="892"/>
      <c r="F25" s="893"/>
      <c r="G25" s="878" t="str">
        <f t="shared" si="1"/>
        <v xml:space="preserve"> </v>
      </c>
      <c r="H25" s="894"/>
      <c r="I25" s="887"/>
      <c r="J25" s="888"/>
      <c r="K25" s="878" t="str">
        <f t="shared" si="0"/>
        <v xml:space="preserve"> </v>
      </c>
      <c r="L25" s="895"/>
      <c r="M25" s="935"/>
    </row>
    <row r="26" spans="1:26" x14ac:dyDescent="0.2">
      <c r="A26" s="891">
        <v>10</v>
      </c>
      <c r="B26" s="1918" t="s">
        <v>481</v>
      </c>
      <c r="C26" s="1919"/>
      <c r="D26" s="1920"/>
      <c r="E26" s="892"/>
      <c r="F26" s="893"/>
      <c r="G26" s="878" t="str">
        <f t="shared" si="1"/>
        <v xml:space="preserve"> </v>
      </c>
      <c r="H26" s="894"/>
      <c r="I26" s="887"/>
      <c r="J26" s="888"/>
      <c r="K26" s="878" t="str">
        <f t="shared" si="0"/>
        <v xml:space="preserve"> </v>
      </c>
      <c r="L26" s="895"/>
      <c r="M26" s="935"/>
    </row>
    <row r="27" spans="1:26" x14ac:dyDescent="0.2">
      <c r="A27" s="891">
        <v>11</v>
      </c>
      <c r="B27" s="1918" t="s">
        <v>100</v>
      </c>
      <c r="C27" s="1919"/>
      <c r="D27" s="1920"/>
      <c r="E27" s="892"/>
      <c r="F27" s="893"/>
      <c r="G27" s="878" t="str">
        <f t="shared" si="1"/>
        <v xml:space="preserve"> </v>
      </c>
      <c r="H27" s="894"/>
      <c r="I27" s="887"/>
      <c r="J27" s="888"/>
      <c r="K27" s="878" t="str">
        <f t="shared" si="0"/>
        <v xml:space="preserve"> </v>
      </c>
      <c r="L27" s="895"/>
      <c r="M27" s="935"/>
    </row>
    <row r="28" spans="1:26" x14ac:dyDescent="0.2">
      <c r="A28" s="891">
        <v>12</v>
      </c>
      <c r="B28" s="1918" t="s">
        <v>101</v>
      </c>
      <c r="C28" s="1919"/>
      <c r="D28" s="1920"/>
      <c r="E28" s="892"/>
      <c r="F28" s="893"/>
      <c r="G28" s="878" t="str">
        <f t="shared" si="1"/>
        <v xml:space="preserve"> </v>
      </c>
      <c r="H28" s="894"/>
      <c r="I28" s="887"/>
      <c r="J28" s="888"/>
      <c r="K28" s="878" t="str">
        <f t="shared" si="0"/>
        <v xml:space="preserve"> </v>
      </c>
      <c r="L28" s="895"/>
      <c r="M28" s="935"/>
    </row>
    <row r="29" spans="1:26" ht="13.5" thickBot="1" x14ac:dyDescent="0.25">
      <c r="A29" s="896">
        <v>13</v>
      </c>
      <c r="B29" s="1881" t="s">
        <v>102</v>
      </c>
      <c r="C29" s="1882"/>
      <c r="D29" s="1883"/>
      <c r="E29" s="892"/>
      <c r="F29" s="897"/>
      <c r="G29" s="878" t="str">
        <f t="shared" si="1"/>
        <v xml:space="preserve"> </v>
      </c>
      <c r="H29" s="898"/>
      <c r="I29" s="899"/>
      <c r="J29" s="900"/>
      <c r="K29" s="878" t="str">
        <f t="shared" si="0"/>
        <v xml:space="preserve"> </v>
      </c>
      <c r="L29" s="901"/>
      <c r="M29" s="935"/>
    </row>
    <row r="30" spans="1:26" ht="13.5" thickBot="1" x14ac:dyDescent="0.25">
      <c r="A30" s="1884"/>
      <c r="B30" s="1885"/>
      <c r="C30" s="1885"/>
      <c r="D30" s="853" t="s">
        <v>37</v>
      </c>
      <c r="E30" s="902">
        <f>SUM(E17:E29)</f>
        <v>0</v>
      </c>
      <c r="F30" s="902">
        <f>SUM(F17:F29)</f>
        <v>0</v>
      </c>
      <c r="G30" s="903">
        <f>SUM(G17:G29)</f>
        <v>0</v>
      </c>
      <c r="H30" s="904"/>
      <c r="I30" s="673">
        <f>SUM(I17:I29)</f>
        <v>0</v>
      </c>
      <c r="J30" s="902">
        <f>SUM(J17:J29)</f>
        <v>0</v>
      </c>
      <c r="K30" s="902">
        <f>SUM(K17:K29)</f>
        <v>0</v>
      </c>
      <c r="L30" s="905"/>
      <c r="M30" s="937"/>
    </row>
    <row r="31" spans="1:26" ht="5.25" customHeight="1" x14ac:dyDescent="0.2">
      <c r="A31" s="906"/>
      <c r="B31" s="907"/>
      <c r="C31" s="907"/>
      <c r="D31" s="908"/>
      <c r="E31" s="906"/>
      <c r="F31" s="906"/>
      <c r="G31" s="909"/>
      <c r="H31" s="909"/>
      <c r="I31" s="72"/>
      <c r="J31" s="72"/>
      <c r="K31" s="72"/>
      <c r="L31" s="72"/>
      <c r="M31" s="935"/>
    </row>
    <row r="32" spans="1:26" ht="6" customHeight="1" thickBot="1" x14ac:dyDescent="0.25">
      <c r="A32" s="906"/>
      <c r="B32" s="907"/>
      <c r="C32" s="907"/>
      <c r="D32" s="908"/>
      <c r="E32" s="906"/>
      <c r="F32" s="906"/>
      <c r="G32" s="909"/>
      <c r="H32" s="909"/>
      <c r="I32" s="72"/>
      <c r="J32" s="72"/>
      <c r="K32" s="72"/>
      <c r="L32" s="72"/>
      <c r="M32" s="935"/>
    </row>
    <row r="33" spans="1:13" ht="16.5" thickBot="1" x14ac:dyDescent="0.3">
      <c r="A33" s="852" t="s">
        <v>103</v>
      </c>
      <c r="B33" s="670"/>
      <c r="C33" s="670"/>
      <c r="D33" s="910"/>
      <c r="E33" s="1886" t="s">
        <v>80</v>
      </c>
      <c r="F33" s="1887"/>
      <c r="G33" s="1887"/>
      <c r="H33" s="1887"/>
      <c r="I33" s="1888" t="s">
        <v>82</v>
      </c>
      <c r="J33" s="1887"/>
      <c r="K33" s="1887"/>
      <c r="L33" s="1889"/>
      <c r="M33" s="935"/>
    </row>
    <row r="34" spans="1:13" ht="30.75" thickBot="1" x14ac:dyDescent="0.3">
      <c r="A34" s="671" t="s">
        <v>86</v>
      </c>
      <c r="B34" s="911" t="s">
        <v>104</v>
      </c>
      <c r="C34" s="912" t="s">
        <v>105</v>
      </c>
      <c r="D34" s="913" t="s">
        <v>106</v>
      </c>
      <c r="E34" s="854" t="s">
        <v>88</v>
      </c>
      <c r="F34" s="869" t="s">
        <v>89</v>
      </c>
      <c r="G34" s="873" t="s">
        <v>252</v>
      </c>
      <c r="H34" s="871" t="s">
        <v>253</v>
      </c>
      <c r="I34" s="672" t="s">
        <v>90</v>
      </c>
      <c r="J34" s="872" t="s">
        <v>91</v>
      </c>
      <c r="K34" s="873" t="s">
        <v>252</v>
      </c>
      <c r="L34" s="914" t="s">
        <v>253</v>
      </c>
      <c r="M34" s="938"/>
    </row>
    <row r="35" spans="1:13" ht="13.5" thickBot="1" x14ac:dyDescent="0.25">
      <c r="A35" s="915"/>
      <c r="B35" s="856" t="s">
        <v>107</v>
      </c>
      <c r="C35" s="916"/>
      <c r="D35" s="917" t="s">
        <v>107</v>
      </c>
      <c r="E35" s="892"/>
      <c r="F35" s="892"/>
      <c r="G35" s="878" t="str">
        <f>IF((E35=0)*AND(F35=0)," ",E35-F35)</f>
        <v xml:space="preserve"> </v>
      </c>
      <c r="H35" s="886"/>
      <c r="I35" s="880"/>
      <c r="J35" s="881"/>
      <c r="K35" s="878" t="str">
        <f>IF((I35=0)*AND(J35=0)," ",I35-J35)</f>
        <v xml:space="preserve"> </v>
      </c>
      <c r="L35" s="918"/>
      <c r="M35" s="939"/>
    </row>
    <row r="36" spans="1:13" ht="13.5" thickBot="1" x14ac:dyDescent="0.25">
      <c r="A36" s="919"/>
      <c r="B36" s="856" t="s">
        <v>107</v>
      </c>
      <c r="C36" s="920"/>
      <c r="D36" s="921" t="s">
        <v>107</v>
      </c>
      <c r="E36" s="892"/>
      <c r="F36" s="892"/>
      <c r="G36" s="878" t="str">
        <f>IF((E36=0)*AND(F36=0)," ",E36-F36)</f>
        <v xml:space="preserve"> </v>
      </c>
      <c r="H36" s="886"/>
      <c r="I36" s="887"/>
      <c r="J36" s="888"/>
      <c r="K36" s="878" t="str">
        <f>IF((I36=0)*AND(J36=0)," ",I36-J36)</f>
        <v xml:space="preserve"> </v>
      </c>
      <c r="L36" s="918"/>
      <c r="M36" s="939"/>
    </row>
    <row r="37" spans="1:13" ht="13.5" thickBot="1" x14ac:dyDescent="0.25">
      <c r="A37" s="919"/>
      <c r="B37" s="856" t="s">
        <v>107</v>
      </c>
      <c r="C37" s="920"/>
      <c r="D37" s="921" t="s">
        <v>107</v>
      </c>
      <c r="E37" s="892"/>
      <c r="F37" s="892"/>
      <c r="G37" s="878" t="str">
        <f>IF((E37=0)*AND(F37=0)," ",E37-F37)</f>
        <v xml:space="preserve"> </v>
      </c>
      <c r="H37" s="922"/>
      <c r="I37" s="887"/>
      <c r="J37" s="888"/>
      <c r="K37" s="878" t="str">
        <f>IF((I37=0)*AND(J37=0)," ",I37-J37)</f>
        <v xml:space="preserve"> </v>
      </c>
      <c r="L37" s="923"/>
      <c r="M37" s="939"/>
    </row>
    <row r="38" spans="1:13" ht="13.5" thickBot="1" x14ac:dyDescent="0.25">
      <c r="A38" s="919"/>
      <c r="B38" s="856" t="s">
        <v>107</v>
      </c>
      <c r="C38" s="920"/>
      <c r="D38" s="921" t="s">
        <v>107</v>
      </c>
      <c r="E38" s="892"/>
      <c r="F38" s="892"/>
      <c r="G38" s="878" t="str">
        <f>IF((E38=0)*AND(F38=0)," ",E38-F38)</f>
        <v xml:space="preserve"> </v>
      </c>
      <c r="H38" s="886"/>
      <c r="I38" s="887"/>
      <c r="J38" s="888"/>
      <c r="K38" s="878" t="str">
        <f>IF((I38=0)*AND(J38=0)," ",I38-J38)</f>
        <v xml:space="preserve"> </v>
      </c>
      <c r="L38" s="918"/>
      <c r="M38" s="939"/>
    </row>
    <row r="39" spans="1:13" ht="13.5" thickBot="1" x14ac:dyDescent="0.25">
      <c r="A39" s="676"/>
      <c r="B39" s="856" t="s">
        <v>107</v>
      </c>
      <c r="C39" s="924"/>
      <c r="D39" s="925" t="s">
        <v>107</v>
      </c>
      <c r="E39" s="892"/>
      <c r="F39" s="892"/>
      <c r="G39" s="878" t="str">
        <f>IF((E39=0)*AND(F39=0)," ",E39-F39)</f>
        <v xml:space="preserve"> </v>
      </c>
      <c r="H39" s="926"/>
      <c r="I39" s="887"/>
      <c r="J39" s="888"/>
      <c r="K39" s="878" t="str">
        <f>IF((I39=0)*AND(J39=0)," ",I39-J39)</f>
        <v xml:space="preserve"> </v>
      </c>
      <c r="L39" s="927"/>
      <c r="M39" s="939"/>
    </row>
    <row r="40" spans="1:13" ht="13.5" thickBot="1" x14ac:dyDescent="0.25">
      <c r="A40" s="1893" t="s">
        <v>37</v>
      </c>
      <c r="B40" s="1894"/>
      <c r="C40" s="1894"/>
      <c r="D40" s="1889"/>
      <c r="E40" s="903">
        <f>SUM(E35:E39)</f>
        <v>0</v>
      </c>
      <c r="F40" s="902">
        <f>SUM(F35:F39)</f>
        <v>0</v>
      </c>
      <c r="G40" s="902">
        <f>SUM(G35:G39)</f>
        <v>0</v>
      </c>
      <c r="H40" s="928"/>
      <c r="I40" s="673">
        <f>SUM(I35:I39)</f>
        <v>0</v>
      </c>
      <c r="J40" s="902">
        <f>SUM(J35:J39)</f>
        <v>0</v>
      </c>
      <c r="K40" s="902">
        <f>SUM(K35:K39)</f>
        <v>0</v>
      </c>
      <c r="L40" s="929"/>
      <c r="M40" s="937"/>
    </row>
    <row r="41" spans="1:13" x14ac:dyDescent="0.2">
      <c r="A41" s="1895" t="s">
        <v>482</v>
      </c>
      <c r="B41" s="1896"/>
      <c r="C41" s="1896"/>
      <c r="D41" s="1896"/>
      <c r="E41" s="1897"/>
      <c r="F41" s="906"/>
      <c r="G41" s="906"/>
      <c r="H41" s="906"/>
      <c r="I41" s="72"/>
      <c r="J41" s="72"/>
      <c r="K41" s="72"/>
      <c r="L41" s="72"/>
      <c r="M41" s="935"/>
    </row>
    <row r="42" spans="1:13" x14ac:dyDescent="0.2">
      <c r="A42" s="1898"/>
      <c r="B42" s="1896"/>
      <c r="C42" s="1896"/>
      <c r="D42" s="1896"/>
      <c r="E42" s="1897"/>
      <c r="F42" s="906"/>
      <c r="G42" s="906"/>
      <c r="H42" s="906"/>
      <c r="I42" s="72"/>
      <c r="J42" s="72"/>
      <c r="K42" s="72"/>
      <c r="L42" s="72"/>
      <c r="M42" s="935"/>
    </row>
    <row r="43" spans="1:13" x14ac:dyDescent="0.2">
      <c r="A43" s="1899"/>
      <c r="B43" s="1900"/>
      <c r="C43" s="1900"/>
      <c r="D43" s="1900"/>
      <c r="E43" s="1901"/>
      <c r="F43" s="906"/>
      <c r="G43" s="906"/>
      <c r="H43" s="906"/>
      <c r="I43" s="72"/>
      <c r="J43" s="72"/>
      <c r="K43" s="72"/>
      <c r="L43" s="72"/>
      <c r="M43" s="935"/>
    </row>
    <row r="44" spans="1:13" ht="10.5" customHeight="1" thickBot="1" x14ac:dyDescent="0.3">
      <c r="A44" s="941"/>
      <c r="B44" s="942"/>
      <c r="C44" s="942"/>
      <c r="D44" s="943"/>
      <c r="E44" s="944"/>
      <c r="F44" s="944"/>
      <c r="G44" s="944"/>
      <c r="H44" s="944"/>
      <c r="I44" s="944"/>
      <c r="J44" s="944"/>
      <c r="K44" s="944"/>
      <c r="L44" s="945"/>
      <c r="M44" s="935"/>
    </row>
    <row r="45" spans="1:13" ht="16.5" thickBot="1" x14ac:dyDescent="0.3">
      <c r="A45" s="930" t="s">
        <v>108</v>
      </c>
      <c r="B45" s="931"/>
      <c r="C45" s="931"/>
      <c r="D45" s="932"/>
      <c r="E45" s="1902" t="s">
        <v>80</v>
      </c>
      <c r="F45" s="1903"/>
      <c r="G45" s="1903"/>
      <c r="H45" s="1903"/>
      <c r="I45" s="1904" t="s">
        <v>82</v>
      </c>
      <c r="J45" s="1903"/>
      <c r="K45" s="1903"/>
      <c r="L45" s="1889"/>
      <c r="M45" s="935"/>
    </row>
    <row r="46" spans="1:13" ht="45.75" thickBot="1" x14ac:dyDescent="0.3">
      <c r="A46" s="671" t="s">
        <v>86</v>
      </c>
      <c r="B46" s="677" t="s">
        <v>109</v>
      </c>
      <c r="C46" s="677" t="s">
        <v>110</v>
      </c>
      <c r="D46" s="678" t="s">
        <v>111</v>
      </c>
      <c r="E46" s="854" t="s">
        <v>88</v>
      </c>
      <c r="F46" s="869" t="s">
        <v>89</v>
      </c>
      <c r="G46" s="873" t="s">
        <v>252</v>
      </c>
      <c r="H46" s="871" t="s">
        <v>253</v>
      </c>
      <c r="I46" s="672" t="s">
        <v>90</v>
      </c>
      <c r="J46" s="872" t="s">
        <v>91</v>
      </c>
      <c r="K46" s="873" t="s">
        <v>252</v>
      </c>
      <c r="L46" s="914" t="s">
        <v>253</v>
      </c>
      <c r="M46" s="938"/>
    </row>
    <row r="47" spans="1:13" x14ac:dyDescent="0.2">
      <c r="A47" s="679"/>
      <c r="B47" s="675" t="s">
        <v>78</v>
      </c>
      <c r="C47" s="680"/>
      <c r="D47" s="681" t="s">
        <v>107</v>
      </c>
      <c r="E47" s="933"/>
      <c r="F47" s="892"/>
      <c r="G47" s="878" t="str">
        <f>IF((E47=0)*AND(F47=0)," ",E47-F47)</f>
        <v xml:space="preserve"> </v>
      </c>
      <c r="H47" s="886"/>
      <c r="I47" s="887"/>
      <c r="J47" s="888"/>
      <c r="K47" s="878" t="str">
        <f>IF((I47=0)*AND(J47=0)," ",I47-J47)</f>
        <v xml:space="preserve"> </v>
      </c>
      <c r="L47" s="918"/>
      <c r="M47" s="939"/>
    </row>
    <row r="48" spans="1:13" x14ac:dyDescent="0.2">
      <c r="A48" s="679"/>
      <c r="B48" s="675" t="s">
        <v>78</v>
      </c>
      <c r="C48" s="680"/>
      <c r="D48" s="681" t="s">
        <v>107</v>
      </c>
      <c r="E48" s="933"/>
      <c r="F48" s="892"/>
      <c r="G48" s="878" t="str">
        <f>IF((E48=0)*AND(F48=0)," ",E48-F48)</f>
        <v xml:space="preserve"> </v>
      </c>
      <c r="H48" s="886"/>
      <c r="I48" s="887"/>
      <c r="J48" s="888"/>
      <c r="K48" s="878" t="str">
        <f>IF((I48=0)*AND(J48=0)," ",I48-J48)</f>
        <v xml:space="preserve"> </v>
      </c>
      <c r="L48" s="918"/>
      <c r="M48" s="939"/>
    </row>
    <row r="49" spans="1:13" x14ac:dyDescent="0.2">
      <c r="A49" s="679"/>
      <c r="B49" s="675" t="s">
        <v>78</v>
      </c>
      <c r="C49" s="680"/>
      <c r="D49" s="681" t="s">
        <v>107</v>
      </c>
      <c r="E49" s="933"/>
      <c r="F49" s="892"/>
      <c r="G49" s="878" t="str">
        <f>IF((E49=0)*AND(F49=0)," ",E49-F49)</f>
        <v xml:space="preserve"> </v>
      </c>
      <c r="H49" s="886"/>
      <c r="I49" s="887"/>
      <c r="J49" s="888"/>
      <c r="K49" s="878" t="str">
        <f>IF((I49=0)*AND(J49=0)," ",I49-J49)</f>
        <v xml:space="preserve"> </v>
      </c>
      <c r="L49" s="918"/>
      <c r="M49" s="939"/>
    </row>
    <row r="50" spans="1:13" x14ac:dyDescent="0.2">
      <c r="A50" s="679"/>
      <c r="B50" s="675" t="s">
        <v>78</v>
      </c>
      <c r="C50" s="680"/>
      <c r="D50" s="681" t="s">
        <v>107</v>
      </c>
      <c r="E50" s="933"/>
      <c r="F50" s="892"/>
      <c r="G50" s="878" t="str">
        <f>IF((E50=0)*AND(F50=0)," ",E50-F50)</f>
        <v xml:space="preserve"> </v>
      </c>
      <c r="H50" s="886"/>
      <c r="I50" s="887"/>
      <c r="J50" s="888"/>
      <c r="K50" s="878" t="str">
        <f>IF((I50=0)*AND(J50=0)," ",I50-J50)</f>
        <v xml:space="preserve"> </v>
      </c>
      <c r="L50" s="918"/>
      <c r="M50" s="939"/>
    </row>
    <row r="51" spans="1:13" ht="13.5" thickBot="1" x14ac:dyDescent="0.25">
      <c r="A51" s="676"/>
      <c r="B51" s="682" t="s">
        <v>78</v>
      </c>
      <c r="C51" s="683"/>
      <c r="D51" s="681" t="s">
        <v>107</v>
      </c>
      <c r="E51" s="933"/>
      <c r="F51" s="892"/>
      <c r="G51" s="878" t="str">
        <f>IF((E51=0)*AND(F51=0)," ",E51-F51)</f>
        <v xml:space="preserve"> </v>
      </c>
      <c r="H51" s="926"/>
      <c r="I51" s="887"/>
      <c r="J51" s="888"/>
      <c r="K51" s="878" t="str">
        <f>IF((I51=0)*AND(J51=0)," ",I51-J51)</f>
        <v xml:space="preserve"> </v>
      </c>
      <c r="L51" s="927"/>
      <c r="M51" s="939"/>
    </row>
    <row r="52" spans="1:13" ht="13.5" thickBot="1" x14ac:dyDescent="0.25">
      <c r="A52" s="684"/>
      <c r="B52" s="685"/>
      <c r="C52" s="685"/>
      <c r="D52" s="853" t="s">
        <v>37</v>
      </c>
      <c r="E52" s="903">
        <f>SUM(E47:E51)</f>
        <v>0</v>
      </c>
      <c r="F52" s="902">
        <f>SUM(F47:F51)</f>
        <v>0</v>
      </c>
      <c r="G52" s="902">
        <f>SUM(G47:G51)</f>
        <v>0</v>
      </c>
      <c r="H52" s="928"/>
      <c r="I52" s="673">
        <f>SUM(I47:I51)</f>
        <v>0</v>
      </c>
      <c r="J52" s="902">
        <f>SUM(J47:J51)</f>
        <v>0</v>
      </c>
      <c r="K52" s="902">
        <f>SUM(K47:K51)</f>
        <v>0</v>
      </c>
      <c r="L52" s="929"/>
      <c r="M52" s="937"/>
    </row>
    <row r="53" spans="1:13" x14ac:dyDescent="0.2">
      <c r="A53" s="1905" t="s">
        <v>483</v>
      </c>
      <c r="B53" s="1906"/>
      <c r="C53" s="1906"/>
      <c r="D53" s="1906"/>
      <c r="E53" s="1907"/>
      <c r="F53" s="906"/>
      <c r="G53" s="906"/>
      <c r="H53" s="906"/>
      <c r="I53" s="72"/>
      <c r="J53" s="72"/>
      <c r="K53" s="72"/>
      <c r="L53" s="72"/>
      <c r="M53" s="935"/>
    </row>
    <row r="54" spans="1:13" x14ac:dyDescent="0.2">
      <c r="A54" s="1908"/>
      <c r="B54" s="1906"/>
      <c r="C54" s="1906"/>
      <c r="D54" s="1906"/>
      <c r="E54" s="1907"/>
      <c r="F54" s="906"/>
      <c r="G54" s="906"/>
      <c r="H54" s="906"/>
      <c r="I54" s="72"/>
      <c r="J54" s="72"/>
      <c r="K54" s="72"/>
      <c r="L54" s="72"/>
      <c r="M54" s="935"/>
    </row>
    <row r="55" spans="1:13" x14ac:dyDescent="0.2">
      <c r="A55" s="1909"/>
      <c r="B55" s="1910"/>
      <c r="C55" s="1910"/>
      <c r="D55" s="1910"/>
      <c r="E55" s="1911"/>
      <c r="F55" s="906"/>
      <c r="G55" s="906"/>
      <c r="H55" s="906"/>
      <c r="I55" s="72"/>
      <c r="J55" s="72"/>
      <c r="K55" s="72"/>
      <c r="L55" s="72"/>
      <c r="M55" s="935"/>
    </row>
    <row r="56" spans="1:13" ht="7.5" customHeight="1" x14ac:dyDescent="0.2">
      <c r="A56" s="946"/>
      <c r="B56" s="947"/>
      <c r="C56" s="947"/>
      <c r="D56" s="947"/>
      <c r="E56" s="947"/>
      <c r="F56" s="948"/>
      <c r="G56" s="948"/>
      <c r="H56" s="948"/>
      <c r="I56" s="934"/>
      <c r="J56" s="934"/>
      <c r="K56" s="934"/>
      <c r="L56" s="934"/>
      <c r="M56" s="935"/>
    </row>
    <row r="57" spans="1:13" x14ac:dyDescent="0.2">
      <c r="A57" s="934" t="s">
        <v>484</v>
      </c>
      <c r="B57" s="949"/>
      <c r="C57" s="949"/>
      <c r="D57" s="950"/>
      <c r="E57" s="950"/>
      <c r="F57" s="948"/>
      <c r="G57" s="948"/>
      <c r="H57" s="948"/>
      <c r="I57" s="934"/>
      <c r="J57" s="934"/>
      <c r="K57" s="934"/>
      <c r="L57" s="934"/>
      <c r="M57" s="935"/>
    </row>
    <row r="58" spans="1:13" x14ac:dyDescent="0.2">
      <c r="A58" s="934" t="s">
        <v>112</v>
      </c>
      <c r="B58" s="934"/>
      <c r="C58" s="934"/>
      <c r="D58" s="934"/>
      <c r="E58" s="951"/>
      <c r="F58" s="952"/>
      <c r="G58" s="953"/>
      <c r="H58" s="934"/>
      <c r="I58" s="934"/>
      <c r="J58" s="934"/>
      <c r="K58" s="934"/>
      <c r="L58" s="934"/>
      <c r="M58" s="935"/>
    </row>
    <row r="59" spans="1:13" ht="6" customHeight="1" thickBot="1" x14ac:dyDescent="0.25">
      <c r="A59" s="954"/>
      <c r="B59" s="934"/>
      <c r="C59" s="951"/>
      <c r="D59" s="934"/>
      <c r="E59" s="951"/>
      <c r="F59" s="951"/>
      <c r="G59" s="952"/>
      <c r="H59" s="952"/>
      <c r="I59" s="955"/>
      <c r="J59" s="955"/>
      <c r="K59" s="955"/>
      <c r="L59" s="934"/>
      <c r="M59" s="935"/>
    </row>
    <row r="60" spans="1:13" ht="15.75" thickBot="1" x14ac:dyDescent="0.25">
      <c r="A60" s="1912" t="s">
        <v>113</v>
      </c>
      <c r="B60" s="1913"/>
      <c r="C60" s="1913"/>
      <c r="D60" s="1913"/>
      <c r="E60" s="1913"/>
      <c r="F60" s="1913"/>
      <c r="G60" s="1913"/>
      <c r="H60" s="1913"/>
      <c r="I60" s="1913"/>
      <c r="J60" s="1913"/>
      <c r="K60" s="1913"/>
      <c r="L60" s="1914"/>
      <c r="M60" s="935"/>
    </row>
    <row r="61" spans="1:13" ht="15.75" thickBot="1" x14ac:dyDescent="0.3">
      <c r="A61" s="1890" t="s">
        <v>114</v>
      </c>
      <c r="B61" s="1891"/>
      <c r="C61" s="1891"/>
      <c r="D61" s="1891"/>
      <c r="E61" s="1891"/>
      <c r="F61" s="1891"/>
      <c r="G61" s="1891"/>
      <c r="H61" s="1891"/>
      <c r="I61" s="1891"/>
      <c r="J61" s="1891"/>
      <c r="K61" s="1891"/>
      <c r="L61" s="1892"/>
      <c r="M61" s="935"/>
    </row>
    <row r="62" spans="1:13" ht="6.75" customHeight="1" x14ac:dyDescent="0.2">
      <c r="A62" s="1872"/>
      <c r="B62" s="1873"/>
      <c r="C62" s="1873"/>
      <c r="D62" s="1873"/>
      <c r="E62" s="1873"/>
      <c r="F62" s="1873"/>
      <c r="G62" s="1873"/>
      <c r="H62" s="1873"/>
      <c r="I62" s="1873"/>
      <c r="J62" s="1873"/>
      <c r="K62" s="1873"/>
      <c r="L62" s="1874"/>
      <c r="M62" s="940"/>
    </row>
    <row r="63" spans="1:13" ht="6.75" customHeight="1" x14ac:dyDescent="0.2">
      <c r="A63" s="1875"/>
      <c r="B63" s="1876"/>
      <c r="C63" s="1876"/>
      <c r="D63" s="1876"/>
      <c r="E63" s="1876"/>
      <c r="F63" s="1876"/>
      <c r="G63" s="1876"/>
      <c r="H63" s="1876"/>
      <c r="I63" s="1876"/>
      <c r="J63" s="1876"/>
      <c r="K63" s="1876"/>
      <c r="L63" s="1877"/>
      <c r="M63" s="940"/>
    </row>
    <row r="64" spans="1:13" ht="5.25" customHeight="1" x14ac:dyDescent="0.2">
      <c r="A64" s="1875"/>
      <c r="B64" s="1876"/>
      <c r="C64" s="1876"/>
      <c r="D64" s="1876"/>
      <c r="E64" s="1876"/>
      <c r="F64" s="1876"/>
      <c r="G64" s="1876"/>
      <c r="H64" s="1876"/>
      <c r="I64" s="1876"/>
      <c r="J64" s="1876"/>
      <c r="K64" s="1876"/>
      <c r="L64" s="1877"/>
      <c r="M64" s="940"/>
    </row>
    <row r="65" spans="1:13" ht="7.5" customHeight="1" x14ac:dyDescent="0.2">
      <c r="A65" s="1875"/>
      <c r="B65" s="1876"/>
      <c r="C65" s="1876"/>
      <c r="D65" s="1876"/>
      <c r="E65" s="1876"/>
      <c r="F65" s="1876"/>
      <c r="G65" s="1876"/>
      <c r="H65" s="1876"/>
      <c r="I65" s="1876"/>
      <c r="J65" s="1876"/>
      <c r="K65" s="1876"/>
      <c r="L65" s="1877"/>
      <c r="M65" s="940"/>
    </row>
    <row r="66" spans="1:13" ht="7.5" customHeight="1" thickBot="1" x14ac:dyDescent="0.25">
      <c r="A66" s="1878"/>
      <c r="B66" s="1879"/>
      <c r="C66" s="1879"/>
      <c r="D66" s="1879"/>
      <c r="E66" s="1879"/>
      <c r="F66" s="1879"/>
      <c r="G66" s="1879"/>
      <c r="H66" s="1879"/>
      <c r="I66" s="1879"/>
      <c r="J66" s="1879"/>
      <c r="K66" s="1879"/>
      <c r="L66" s="1880"/>
      <c r="M66" s="940"/>
    </row>
    <row r="67" spans="1:13" ht="9" customHeight="1" thickBot="1" x14ac:dyDescent="0.3">
      <c r="A67" s="956"/>
      <c r="B67" s="935"/>
      <c r="C67" s="957"/>
      <c r="D67" s="935"/>
      <c r="E67" s="957"/>
      <c r="F67" s="957"/>
      <c r="G67" s="958"/>
      <c r="H67" s="958"/>
      <c r="I67" s="935"/>
      <c r="J67" s="935"/>
      <c r="K67" s="935"/>
      <c r="L67" s="935"/>
      <c r="M67" s="935"/>
    </row>
    <row r="68" spans="1:13" ht="16.5" thickBot="1" x14ac:dyDescent="0.3">
      <c r="A68" s="1238" t="s">
        <v>487</v>
      </c>
      <c r="B68" s="1239"/>
      <c r="C68" s="1239"/>
      <c r="D68" s="1240"/>
      <c r="E68" s="1951" t="s">
        <v>82</v>
      </c>
      <c r="F68" s="1952"/>
      <c r="G68" s="1952"/>
      <c r="H68" s="1952"/>
      <c r="I68" s="1952"/>
      <c r="J68" s="1952"/>
      <c r="K68" s="1952"/>
      <c r="L68" s="1953"/>
    </row>
    <row r="69" spans="1:13" ht="45.75" thickBot="1" x14ac:dyDescent="0.3">
      <c r="A69" s="671" t="s">
        <v>86</v>
      </c>
      <c r="B69" s="677" t="s">
        <v>110</v>
      </c>
      <c r="C69" s="678" t="s">
        <v>111</v>
      </c>
      <c r="D69" s="672" t="s">
        <v>488</v>
      </c>
      <c r="E69" s="1954" t="s">
        <v>225</v>
      </c>
      <c r="F69" s="1955"/>
      <c r="G69" s="1955"/>
      <c r="H69" s="1955"/>
      <c r="I69" s="1955"/>
      <c r="J69" s="1955"/>
      <c r="K69" s="1956"/>
    </row>
    <row r="70" spans="1:13" x14ac:dyDescent="0.2">
      <c r="A70" s="679"/>
      <c r="B70" s="680"/>
      <c r="C70" s="681" t="s">
        <v>107</v>
      </c>
      <c r="D70" s="963"/>
      <c r="E70" s="1957"/>
      <c r="F70" s="1958"/>
      <c r="G70" s="1958"/>
      <c r="H70" s="1958"/>
      <c r="I70" s="1958"/>
      <c r="J70" s="1958"/>
      <c r="K70" s="1959"/>
    </row>
    <row r="71" spans="1:13" x14ac:dyDescent="0.2">
      <c r="A71" s="679"/>
      <c r="B71" s="680"/>
      <c r="C71" s="681" t="s">
        <v>107</v>
      </c>
      <c r="D71" s="963"/>
      <c r="E71" s="1927"/>
      <c r="F71" s="1928"/>
      <c r="G71" s="1928"/>
      <c r="H71" s="1928"/>
      <c r="I71" s="1928"/>
      <c r="J71" s="1928"/>
      <c r="K71" s="1929"/>
    </row>
    <row r="72" spans="1:13" x14ac:dyDescent="0.2">
      <c r="A72" s="679"/>
      <c r="B72" s="680"/>
      <c r="C72" s="681" t="s">
        <v>107</v>
      </c>
      <c r="D72" s="963"/>
      <c r="E72" s="1927"/>
      <c r="F72" s="1928"/>
      <c r="G72" s="1928"/>
      <c r="H72" s="1928"/>
      <c r="I72" s="1928"/>
      <c r="J72" s="1928"/>
      <c r="K72" s="1929"/>
    </row>
    <row r="73" spans="1:13" x14ac:dyDescent="0.2">
      <c r="A73" s="679"/>
      <c r="B73" s="680"/>
      <c r="C73" s="681" t="s">
        <v>107</v>
      </c>
      <c r="D73" s="963"/>
      <c r="E73" s="1927"/>
      <c r="F73" s="1928"/>
      <c r="G73" s="1928"/>
      <c r="H73" s="1928"/>
      <c r="I73" s="1928"/>
      <c r="J73" s="1928"/>
      <c r="K73" s="1929"/>
    </row>
    <row r="74" spans="1:13" ht="13.5" thickBot="1" x14ac:dyDescent="0.25">
      <c r="A74" s="676"/>
      <c r="B74" s="683"/>
      <c r="C74" s="681" t="s">
        <v>107</v>
      </c>
      <c r="D74" s="963"/>
      <c r="E74" s="1930"/>
      <c r="F74" s="1931"/>
      <c r="G74" s="1931"/>
      <c r="H74" s="1931"/>
      <c r="I74" s="1931"/>
      <c r="J74" s="1931"/>
      <c r="K74" s="1932"/>
    </row>
    <row r="75" spans="1:13" ht="13.5" thickBot="1" x14ac:dyDescent="0.25">
      <c r="A75" s="684"/>
      <c r="B75" s="685"/>
      <c r="C75" s="853" t="s">
        <v>37</v>
      </c>
      <c r="D75" s="673">
        <f>SUM(D70:D74)</f>
        <v>0</v>
      </c>
      <c r="E75" s="964"/>
      <c r="F75" s="965"/>
      <c r="G75" s="965"/>
      <c r="H75" s="965"/>
      <c r="I75" s="965"/>
      <c r="J75" s="965"/>
      <c r="K75" s="965"/>
    </row>
  </sheetData>
  <sheetProtection password="92D1" sheet="1"/>
  <mergeCells count="65">
    <mergeCell ref="P22:Q22"/>
    <mergeCell ref="U22:V22"/>
    <mergeCell ref="P23:Q23"/>
    <mergeCell ref="U23:V23"/>
    <mergeCell ref="P18:Q18"/>
    <mergeCell ref="U18:V18"/>
    <mergeCell ref="P20:Q20"/>
    <mergeCell ref="U20:V20"/>
    <mergeCell ref="P21:Q21"/>
    <mergeCell ref="U21:V21"/>
    <mergeCell ref="P15:Q15"/>
    <mergeCell ref="U15:V15"/>
    <mergeCell ref="P16:Q16"/>
    <mergeCell ref="U16:V16"/>
    <mergeCell ref="P17:Q17"/>
    <mergeCell ref="U17:V17"/>
    <mergeCell ref="E68:L68"/>
    <mergeCell ref="E69:K69"/>
    <mergeCell ref="E70:K70"/>
    <mergeCell ref="E71:K71"/>
    <mergeCell ref="E72:K72"/>
    <mergeCell ref="E73:K73"/>
    <mergeCell ref="E74:K74"/>
    <mergeCell ref="A1:F1"/>
    <mergeCell ref="A3:B3"/>
    <mergeCell ref="C3:D3"/>
    <mergeCell ref="F3:H4"/>
    <mergeCell ref="A4:B4"/>
    <mergeCell ref="C4:D4"/>
    <mergeCell ref="B16:C16"/>
    <mergeCell ref="A5:B5"/>
    <mergeCell ref="C5:D5"/>
    <mergeCell ref="A6:B6"/>
    <mergeCell ref="C6:D6"/>
    <mergeCell ref="A7:B7"/>
    <mergeCell ref="A8:B8"/>
    <mergeCell ref="E8:E9"/>
    <mergeCell ref="I8:I9"/>
    <mergeCell ref="E12:H13"/>
    <mergeCell ref="E15:H15"/>
    <mergeCell ref="I15:L15"/>
    <mergeCell ref="B28:D28"/>
    <mergeCell ref="B17:D17"/>
    <mergeCell ref="B18:D18"/>
    <mergeCell ref="B19:D19"/>
    <mergeCell ref="B20:D20"/>
    <mergeCell ref="B21:D21"/>
    <mergeCell ref="B22:D22"/>
    <mergeCell ref="B23:D23"/>
    <mergeCell ref="B24:D24"/>
    <mergeCell ref="B25:D25"/>
    <mergeCell ref="B26:D26"/>
    <mergeCell ref="B27:D27"/>
    <mergeCell ref="A62:L66"/>
    <mergeCell ref="B29:D29"/>
    <mergeCell ref="A30:C30"/>
    <mergeCell ref="E33:H33"/>
    <mergeCell ref="I33:L33"/>
    <mergeCell ref="A61:L61"/>
    <mergeCell ref="A40:D40"/>
    <mergeCell ref="A41:E43"/>
    <mergeCell ref="E45:H45"/>
    <mergeCell ref="I45:L45"/>
    <mergeCell ref="A53:E55"/>
    <mergeCell ref="A60:L60"/>
  </mergeCells>
  <conditionalFormatting sqref="E52 E40">
    <cfRule type="cellIs" dxfId="86" priority="11" stopIfTrue="1" operator="notEqual">
      <formula>$E$30</formula>
    </cfRule>
    <cfRule type="cellIs" dxfId="85" priority="12" stopIfTrue="1" operator="notEqual">
      <formula>$E$52</formula>
    </cfRule>
  </conditionalFormatting>
  <conditionalFormatting sqref="F40 F52">
    <cfRule type="cellIs" dxfId="84" priority="13" stopIfTrue="1" operator="notEqual">
      <formula>$F$30</formula>
    </cfRule>
    <cfRule type="cellIs" dxfId="83" priority="14" stopIfTrue="1" operator="notEqual">
      <formula>$F$52</formula>
    </cfRule>
  </conditionalFormatting>
  <conditionalFormatting sqref="I52 I40">
    <cfRule type="cellIs" dxfId="82" priority="15" stopIfTrue="1" operator="notEqual">
      <formula>$I$30</formula>
    </cfRule>
    <cfRule type="cellIs" dxfId="81" priority="16" stopIfTrue="1" operator="notEqual">
      <formula>$I$52</formula>
    </cfRule>
  </conditionalFormatting>
  <conditionalFormatting sqref="J40">
    <cfRule type="cellIs" dxfId="80" priority="17" stopIfTrue="1" operator="notEqual">
      <formula>$J$30</formula>
    </cfRule>
    <cfRule type="cellIs" dxfId="79" priority="18" stopIfTrue="1" operator="notEqual">
      <formula>$J$52</formula>
    </cfRule>
  </conditionalFormatting>
  <conditionalFormatting sqref="E30">
    <cfRule type="cellIs" dxfId="78" priority="19" stopIfTrue="1" operator="notEqual">
      <formula>$E$40</formula>
    </cfRule>
    <cfRule type="cellIs" dxfId="77" priority="20" stopIfTrue="1" operator="notEqual">
      <formula>$E$52</formula>
    </cfRule>
  </conditionalFormatting>
  <conditionalFormatting sqref="F30">
    <cfRule type="cellIs" dxfId="76" priority="21" stopIfTrue="1" operator="notEqual">
      <formula>$F$40</formula>
    </cfRule>
    <cfRule type="cellIs" dxfId="75" priority="22" stopIfTrue="1" operator="notEqual">
      <formula>$F$52</formula>
    </cfRule>
  </conditionalFormatting>
  <conditionalFormatting sqref="I30">
    <cfRule type="cellIs" dxfId="74" priority="23" stopIfTrue="1" operator="notEqual">
      <formula>$I$40</formula>
    </cfRule>
    <cfRule type="cellIs" dxfId="73" priority="24" stopIfTrue="1" operator="notEqual">
      <formula>$I$52</formula>
    </cfRule>
  </conditionalFormatting>
  <conditionalFormatting sqref="J30">
    <cfRule type="cellIs" dxfId="72" priority="25" stopIfTrue="1" operator="notEqual">
      <formula>$J$40</formula>
    </cfRule>
    <cfRule type="cellIs" dxfId="71" priority="26" stopIfTrue="1" operator="notEqual">
      <formula>$J$52</formula>
    </cfRule>
  </conditionalFormatting>
  <conditionalFormatting sqref="G9">
    <cfRule type="cellIs" dxfId="70" priority="27" stopIfTrue="1" operator="notEqual">
      <formula>$K$9</formula>
    </cfRule>
  </conditionalFormatting>
  <conditionalFormatting sqref="K9">
    <cfRule type="cellIs" dxfId="69" priority="28" stopIfTrue="1" operator="notEqual">
      <formula>$G$9</formula>
    </cfRule>
  </conditionalFormatting>
  <conditionalFormatting sqref="G8">
    <cfRule type="cellIs" dxfId="68" priority="29" stopIfTrue="1" operator="lessThan">
      <formula>$K$8</formula>
    </cfRule>
  </conditionalFormatting>
  <conditionalFormatting sqref="K8">
    <cfRule type="cellIs" dxfId="67" priority="30" stopIfTrue="1" operator="greaterThan">
      <formula>$G$8</formula>
    </cfRule>
  </conditionalFormatting>
  <conditionalFormatting sqref="J52">
    <cfRule type="cellIs" dxfId="66" priority="31" stopIfTrue="1" operator="notEqual">
      <formula>$J$30</formula>
    </cfRule>
    <cfRule type="cellIs" dxfId="65" priority="32" stopIfTrue="1" operator="notEqual">
      <formula>$J$40</formula>
    </cfRule>
  </conditionalFormatting>
  <conditionalFormatting sqref="K52">
    <cfRule type="cellIs" dxfId="64" priority="33" stopIfTrue="1" operator="notEqual">
      <formula>$K$30</formula>
    </cfRule>
    <cfRule type="cellIs" dxfId="63" priority="34" stopIfTrue="1" operator="notEqual">
      <formula>$K$40</formula>
    </cfRule>
  </conditionalFormatting>
  <conditionalFormatting sqref="K40">
    <cfRule type="cellIs" dxfId="62" priority="35" stopIfTrue="1" operator="notEqual">
      <formula>$K$30</formula>
    </cfRule>
    <cfRule type="cellIs" dxfId="61" priority="36" stopIfTrue="1" operator="notEqual">
      <formula>$K$52</formula>
    </cfRule>
  </conditionalFormatting>
  <conditionalFormatting sqref="K30">
    <cfRule type="cellIs" dxfId="60" priority="37" stopIfTrue="1" operator="notEqual">
      <formula>$K$40</formula>
    </cfRule>
    <cfRule type="cellIs" dxfId="59" priority="38" stopIfTrue="1" operator="notEqual">
      <formula>$K$52</formula>
    </cfRule>
  </conditionalFormatting>
  <conditionalFormatting sqref="G30">
    <cfRule type="cellIs" dxfId="58" priority="39" stopIfTrue="1" operator="notEqual">
      <formula>$G$40</formula>
    </cfRule>
    <cfRule type="cellIs" dxfId="57" priority="40" stopIfTrue="1" operator="notEqual">
      <formula>$G$52</formula>
    </cfRule>
  </conditionalFormatting>
  <conditionalFormatting sqref="G40 G52">
    <cfRule type="cellIs" dxfId="56" priority="41" stopIfTrue="1" operator="notEqual">
      <formula>$G$30</formula>
    </cfRule>
    <cfRule type="cellIs" dxfId="55" priority="42" stopIfTrue="1" operator="notEqual">
      <formula>$G$52</formula>
    </cfRule>
  </conditionalFormatting>
  <conditionalFormatting sqref="I30">
    <cfRule type="cellIs" dxfId="54" priority="5" operator="notEqual">
      <formula>$W$16</formula>
    </cfRule>
  </conditionalFormatting>
  <conditionalFormatting sqref="I20">
    <cfRule type="cellIs" dxfId="53" priority="9" operator="notEqual">
      <formula>$W$23</formula>
    </cfRule>
  </conditionalFormatting>
  <conditionalFormatting sqref="J20">
    <cfRule type="cellIs" dxfId="52" priority="8" operator="notEqual">
      <formula>$X$23</formula>
    </cfRule>
  </conditionalFormatting>
  <conditionalFormatting sqref="I21">
    <cfRule type="cellIs" dxfId="51" priority="7" operator="notEqual">
      <formula>$W$22</formula>
    </cfRule>
  </conditionalFormatting>
  <conditionalFormatting sqref="J21">
    <cfRule type="cellIs" dxfId="50" priority="6" operator="notEqual">
      <formula>$X$22</formula>
    </cfRule>
  </conditionalFormatting>
  <conditionalFormatting sqref="T19:T20 Y19 Z21:Z23 U20:U21 R17:S18 R21:S23 W17:X18 W21:X23">
    <cfRule type="cellIs" dxfId="49" priority="2" stopIfTrue="1" operator="lessThan">
      <formula>0</formula>
    </cfRule>
  </conditionalFormatting>
  <conditionalFormatting sqref="T19:T20 Y19:Y20 U20:U21 W21:W23 Z21:Z23 X22:X23">
    <cfRule type="cellIs" dxfId="48" priority="1" stopIfTrue="1" operator="lessThan">
      <formula>0</formula>
    </cfRule>
  </conditionalFormatting>
  <dataValidations count="11">
    <dataValidation type="decimal" allowBlank="1" showInputMessage="1" showErrorMessage="1" sqref="I17:J29">
      <formula1>-10000000000000</formula1>
      <formula2>990000000000000</formula2>
    </dataValidation>
    <dataValidation type="decimal" allowBlank="1" showInputMessage="1" showErrorMessage="1" sqref="E35:F39">
      <formula1>-100000000000</formula1>
      <formula2>99999999999999.9</formula2>
    </dataValidation>
    <dataValidation type="decimal" allowBlank="1" showInputMessage="1" showErrorMessage="1" sqref="E17:F29">
      <formula1>-1000000000000</formula1>
      <formula2>99999999999999.9</formula2>
    </dataValidation>
    <dataValidation type="list" allowBlank="1" showErrorMessage="1" errorTitle="Invalid Data" error="You must select a category from the list only." promptTitle="Please Select" sqref="B35:B39">
      <formula1>ListHIV</formula1>
    </dataValidation>
    <dataValidation type="list" allowBlank="1" showInputMessage="1" showErrorMessage="1" sqref="C6:D6 A7">
      <formula1>"Please Select …,USD,EURO"</formula1>
    </dataValidation>
    <dataValidation type="date" allowBlank="1" showInputMessage="1" sqref="G8:H9 K8:K9">
      <formula1>34700</formula1>
      <formula2>127472</formula2>
    </dataValidation>
    <dataValidation type="decimal" allowBlank="1" showInputMessage="1" showErrorMessage="1" sqref="I35:J39 I47:J51 D70:D74">
      <formula1>-1000000000000000</formula1>
      <formula2>99999999999999900</formula2>
    </dataValidation>
    <dataValidation type="decimal" allowBlank="1" showInputMessage="1" showErrorMessage="1" sqref="E47:F51">
      <formula1>-1000000000000</formula1>
      <formula2>99000000000000.9</formula2>
    </dataValidation>
    <dataValidation type="list" allowBlank="1" showErrorMessage="1" errorTitle="Invalid Data" error="You must select from the list only." sqref="B47:B51">
      <formula1>"Please Select …,PR,SR"</formula1>
    </dataValidation>
    <dataValidation type="list" allowBlank="1" showInputMessage="1" showErrorMessage="1" sqref="D35:D39">
      <formula1>ListHIV_SDA</formula1>
    </dataValidation>
    <dataValidation type="list" allowBlank="1" showInputMessage="1" showErrorMessage="1" sqref="D47:D51 C70:C74">
      <formula1>List_IE</formula1>
    </dataValidation>
  </dataValidations>
  <pageMargins left="0.70866141732283472" right="0.70866141732283472" top="0.74803149606299213" bottom="0.74803149606299213" header="0.31496062992125984" footer="0.31496062992125984"/>
  <pageSetup paperSize="8" scale="71" fitToHeight="0"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1"/>
    <pageSetUpPr fitToPage="1"/>
  </sheetPr>
  <dimension ref="A1:L19"/>
  <sheetViews>
    <sheetView showGridLines="0" view="pageBreakPreview" topLeftCell="A10" zoomScale="70" zoomScaleNormal="75" zoomScaleSheetLayoutView="70" zoomScalePageLayoutView="75" workbookViewId="0">
      <selection activeCell="A14" sqref="A14:J14"/>
    </sheetView>
  </sheetViews>
  <sheetFormatPr defaultRowHeight="12.75" x14ac:dyDescent="0.2"/>
  <cols>
    <col min="1" max="1" width="15" style="72" customWidth="1"/>
    <col min="2" max="2" width="45.42578125" style="72" customWidth="1"/>
    <col min="3" max="3" width="19.28515625" style="72" customWidth="1"/>
    <col min="4" max="4" width="23.28515625" style="72" customWidth="1"/>
    <col min="5" max="5" width="19.28515625" style="72" customWidth="1"/>
    <col min="6" max="6" width="17.140625" style="72" customWidth="1"/>
    <col min="7" max="7" width="25.85546875" style="72" customWidth="1"/>
    <col min="8" max="8" width="20" style="509" customWidth="1"/>
    <col min="9" max="9" width="19.28515625" style="72" customWidth="1"/>
    <col min="10" max="10" width="30" style="72" customWidth="1"/>
    <col min="11" max="11" width="5.7109375" style="72" customWidth="1"/>
    <col min="12" max="12" width="3.5703125" style="72" customWidth="1"/>
    <col min="13" max="16384" width="9.140625" style="72"/>
  </cols>
  <sheetData>
    <row r="1" spans="1:12" ht="25.5" customHeight="1" x14ac:dyDescent="0.35">
      <c r="A1" s="1865" t="s">
        <v>61</v>
      </c>
      <c r="B1" s="1865"/>
      <c r="C1" s="1865"/>
      <c r="D1" s="1865"/>
      <c r="E1" s="1865"/>
      <c r="F1" s="1865"/>
      <c r="G1" s="1865"/>
      <c r="H1" s="1"/>
      <c r="I1" s="3"/>
      <c r="J1" s="3"/>
    </row>
    <row r="2" spans="1:12" s="63" customFormat="1" ht="27" customHeight="1" thickBot="1" x14ac:dyDescent="0.3">
      <c r="A2" s="98" t="s">
        <v>156</v>
      </c>
      <c r="B2" s="10"/>
      <c r="C2" s="10"/>
      <c r="D2" s="36"/>
      <c r="E2" s="10"/>
      <c r="F2" s="10"/>
      <c r="G2" s="3"/>
      <c r="H2" s="11"/>
      <c r="I2" s="12"/>
      <c r="J2" s="12"/>
    </row>
    <row r="3" spans="1:12" s="73" customFormat="1" ht="28.5" customHeight="1" thickBot="1" x14ac:dyDescent="0.25">
      <c r="A3" s="1679" t="s">
        <v>70</v>
      </c>
      <c r="B3" s="1749"/>
      <c r="C3" s="1680"/>
      <c r="D3" s="1751" t="str">
        <f>IF('PR_Programmatic Progress_1A'!C7="","",'PR_Programmatic Progress_1A'!C7)</f>
        <v>MNR-809-G04-H</v>
      </c>
      <c r="E3" s="1752"/>
      <c r="F3" s="1752"/>
      <c r="G3" s="1753"/>
      <c r="H3" s="4"/>
      <c r="I3" s="4"/>
      <c r="J3" s="4"/>
    </row>
    <row r="4" spans="1:12" s="73" customFormat="1" ht="15" customHeight="1" x14ac:dyDescent="0.2">
      <c r="A4" s="465" t="s">
        <v>277</v>
      </c>
      <c r="B4" s="483"/>
      <c r="C4" s="483"/>
      <c r="D4" s="53" t="s">
        <v>283</v>
      </c>
      <c r="E4" s="477" t="str">
        <f>IF('PR_Programmatic Progress_1A'!D12="Select","",'PR_Programmatic Progress_1A'!D12)</f>
        <v>Quarter</v>
      </c>
      <c r="F4" s="5" t="s">
        <v>284</v>
      </c>
      <c r="G4" s="47">
        <f>IF('PR_Programmatic Progress_1A'!F12="Select","",'PR_Programmatic Progress_1A'!F12)</f>
        <v>7</v>
      </c>
      <c r="H4" s="4"/>
      <c r="I4" s="4"/>
      <c r="J4" s="4"/>
    </row>
    <row r="5" spans="1:12" s="73" customFormat="1" ht="15" customHeight="1" x14ac:dyDescent="0.2">
      <c r="A5" s="484" t="s">
        <v>278</v>
      </c>
      <c r="B5" s="40"/>
      <c r="C5" s="40"/>
      <c r="D5" s="54" t="s">
        <v>246</v>
      </c>
      <c r="E5" s="490">
        <f>IF('PR_Programmatic Progress_1A'!D13="","",'PR_Programmatic Progress_1A'!D13)</f>
        <v>40452</v>
      </c>
      <c r="F5" s="5" t="s">
        <v>264</v>
      </c>
      <c r="G5" s="491">
        <f>IF('PR_Programmatic Progress_1A'!F13="","",'PR_Programmatic Progress_1A'!F13)</f>
        <v>40543</v>
      </c>
      <c r="H5" s="4"/>
      <c r="I5" s="4"/>
      <c r="J5" s="4"/>
    </row>
    <row r="6" spans="1:12" s="73" customFormat="1" ht="15" customHeight="1" thickBot="1" x14ac:dyDescent="0.25">
      <c r="A6" s="55" t="s">
        <v>279</v>
      </c>
      <c r="B6" s="168"/>
      <c r="C6" s="41"/>
      <c r="D6" s="1764">
        <f>IF('PR_Programmatic Progress_1A'!C14="Select","",'PR_Programmatic Progress_1A'!C14)</f>
        <v>5</v>
      </c>
      <c r="E6" s="1765"/>
      <c r="F6" s="1765"/>
      <c r="G6" s="1766"/>
      <c r="H6" s="4"/>
      <c r="I6" s="4"/>
      <c r="J6" s="4"/>
    </row>
    <row r="7" spans="1:12" s="63" customFormat="1" ht="15.75" customHeight="1" x14ac:dyDescent="0.2">
      <c r="A7" s="10"/>
      <c r="B7" s="10"/>
      <c r="C7" s="10"/>
      <c r="D7" s="36"/>
      <c r="E7" s="10"/>
      <c r="F7" s="12"/>
      <c r="G7" s="11"/>
      <c r="H7" s="10"/>
      <c r="I7" s="12"/>
      <c r="J7" s="13"/>
    </row>
    <row r="8" spans="1:12" s="697" customFormat="1" ht="27" customHeight="1" thickBot="1" x14ac:dyDescent="0.25">
      <c r="A8" s="1989" t="s">
        <v>495</v>
      </c>
      <c r="B8" s="1989"/>
      <c r="C8" s="1989"/>
      <c r="D8" s="1989"/>
      <c r="E8" s="1989"/>
      <c r="F8" s="1989"/>
      <c r="G8" s="1989"/>
      <c r="H8" s="1989"/>
      <c r="I8" s="1989"/>
      <c r="J8" s="1989"/>
    </row>
    <row r="9" spans="1:12" s="63" customFormat="1" ht="34.5" customHeight="1" thickBot="1" x14ac:dyDescent="0.25">
      <c r="A9" s="385"/>
      <c r="B9" s="386"/>
      <c r="C9" s="518"/>
      <c r="D9" s="518"/>
      <c r="E9" s="387"/>
      <c r="F9" s="519"/>
      <c r="G9" s="1986" t="s">
        <v>225</v>
      </c>
      <c r="H9" s="1987"/>
      <c r="I9" s="1987"/>
      <c r="J9" s="1988"/>
      <c r="K9" s="14"/>
    </row>
    <row r="10" spans="1:12" s="63" customFormat="1" ht="161.25" customHeight="1" x14ac:dyDescent="0.2">
      <c r="A10" s="1975" t="s">
        <v>623</v>
      </c>
      <c r="B10" s="1976"/>
      <c r="C10" s="1976"/>
      <c r="D10" s="1976"/>
      <c r="E10" s="1976"/>
      <c r="F10" s="1614" t="s">
        <v>17</v>
      </c>
      <c r="G10" s="1977" t="s">
        <v>818</v>
      </c>
      <c r="H10" s="1978"/>
      <c r="I10" s="1978"/>
      <c r="J10" s="1979"/>
      <c r="K10" s="14"/>
      <c r="L10" s="14"/>
    </row>
    <row r="11" spans="1:12" ht="161.25" customHeight="1" thickBot="1" x14ac:dyDescent="0.25">
      <c r="A11" s="1980" t="s">
        <v>624</v>
      </c>
      <c r="B11" s="1981"/>
      <c r="C11" s="1981"/>
      <c r="D11" s="1981"/>
      <c r="E11" s="1981"/>
      <c r="F11" s="1615" t="s">
        <v>18</v>
      </c>
      <c r="G11" s="1982" t="s">
        <v>819</v>
      </c>
      <c r="H11" s="1983"/>
      <c r="I11" s="1983"/>
      <c r="J11" s="1984"/>
    </row>
    <row r="12" spans="1:12" s="63" customFormat="1" ht="21.75" customHeight="1" x14ac:dyDescent="0.2">
      <c r="A12" s="169"/>
      <c r="B12" s="520"/>
      <c r="C12" s="520"/>
      <c r="D12" s="520"/>
      <c r="E12" s="521"/>
      <c r="F12" s="522"/>
      <c r="G12" s="175"/>
      <c r="H12" s="187"/>
      <c r="I12" s="186"/>
      <c r="J12" s="498"/>
      <c r="K12" s="14"/>
      <c r="L12" s="14"/>
    </row>
    <row r="13" spans="1:12" ht="15.75" thickBot="1" x14ac:dyDescent="0.3">
      <c r="A13" s="1985" t="s">
        <v>236</v>
      </c>
      <c r="B13" s="1985"/>
      <c r="C13" s="1985"/>
      <c r="D13" s="1985"/>
      <c r="E13" s="1985"/>
      <c r="F13" s="1985"/>
      <c r="G13" s="1985"/>
      <c r="H13" s="1985"/>
      <c r="I13" s="1985"/>
      <c r="J13" s="1985"/>
    </row>
    <row r="14" spans="1:12" ht="139.5" customHeight="1" thickBot="1" x14ac:dyDescent="0.25">
      <c r="A14" s="1972"/>
      <c r="B14" s="1973"/>
      <c r="C14" s="1973"/>
      <c r="D14" s="1973"/>
      <c r="E14" s="1973"/>
      <c r="F14" s="1973"/>
      <c r="G14" s="1973"/>
      <c r="H14" s="1973"/>
      <c r="I14" s="1973"/>
      <c r="J14" s="1974"/>
    </row>
    <row r="15" spans="1:12" ht="17.25" customHeight="1" x14ac:dyDescent="0.2">
      <c r="A15" s="523"/>
      <c r="B15" s="523"/>
      <c r="C15" s="523"/>
      <c r="D15" s="523"/>
      <c r="E15" s="523"/>
      <c r="F15" s="523"/>
      <c r="G15" s="3"/>
      <c r="H15" s="16"/>
      <c r="I15" s="3"/>
      <c r="J15" s="3"/>
    </row>
    <row r="18" spans="2:2" x14ac:dyDescent="0.2">
      <c r="B18" s="699"/>
    </row>
    <row r="19" spans="2:2" ht="18" customHeight="1" x14ac:dyDescent="0.2"/>
  </sheetData>
  <sheetProtection password="92D1" sheet="1" formatCells="0" formatColumns="0" formatRows="0"/>
  <mergeCells count="12">
    <mergeCell ref="G9:J9"/>
    <mergeCell ref="A1:G1"/>
    <mergeCell ref="A3:C3"/>
    <mergeCell ref="D3:G3"/>
    <mergeCell ref="D6:G6"/>
    <mergeCell ref="A8:J8"/>
    <mergeCell ref="A14:J14"/>
    <mergeCell ref="A10:E10"/>
    <mergeCell ref="G10:J10"/>
    <mergeCell ref="A11:E11"/>
    <mergeCell ref="G11:J11"/>
    <mergeCell ref="A13:J13"/>
  </mergeCells>
  <phoneticPr fontId="36" type="noConversion"/>
  <conditionalFormatting sqref="E9">
    <cfRule type="cellIs" dxfId="47" priority="1" stopIfTrue="1" operator="lessThan">
      <formula>0</formula>
    </cfRule>
  </conditionalFormatting>
  <dataValidations count="3">
    <dataValidation type="list" allowBlank="1" showInputMessage="1" showErrorMessage="1" sqref="F15 F10:F12">
      <formula1>"Select,Yes,No,N/A"</formula1>
    </dataValidation>
    <dataValidation type="list" allowBlank="1" showInputMessage="1" showErrorMessage="1" sqref="C2:F2">
      <formula1>"Select,USD,EUR"</formula1>
    </dataValidation>
    <dataValidation allowBlank="1" showInputMessage="1" sqref="F9"/>
  </dataValidations>
  <printOptions horizontalCentered="1"/>
  <pageMargins left="0.74803149606299213" right="0.74803149606299213" top="0.59055118110236227" bottom="0.59055118110236227" header="0.51181102362204722" footer="0.51181102362204722"/>
  <pageSetup paperSize="9" scale="54" fitToHeight="0" orientation="landscape" cellComments="asDisplayed" r:id="rId1"/>
  <headerFooter alignWithMargins="0">
    <oddFooter>&amp;L&amp;9&amp;F&amp;C&amp;A&amp;R&amp;9Page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sheetPr>
  <dimension ref="A1:O35"/>
  <sheetViews>
    <sheetView workbookViewId="0">
      <selection activeCell="C15" sqref="C15"/>
    </sheetView>
  </sheetViews>
  <sheetFormatPr defaultRowHeight="12.75" x14ac:dyDescent="0.2"/>
  <cols>
    <col min="1" max="1" width="14.85546875" style="69" customWidth="1"/>
    <col min="2" max="2" width="19.85546875" style="69" customWidth="1"/>
    <col min="3" max="3" width="17.42578125" style="69" customWidth="1"/>
    <col min="4" max="4" width="19.42578125" style="69" customWidth="1"/>
    <col min="5" max="5" width="14.85546875" style="69" customWidth="1"/>
    <col min="6" max="6" width="19.28515625" style="69" customWidth="1"/>
    <col min="7" max="7" width="17" style="69" customWidth="1"/>
    <col min="8" max="8" width="30.28515625" style="69" customWidth="1"/>
    <col min="9" max="9" width="20.7109375" style="69" customWidth="1"/>
    <col min="10" max="10" width="3.42578125" style="69" customWidth="1"/>
    <col min="11" max="11" width="20.7109375" style="1404" customWidth="1"/>
    <col min="12" max="12" width="4.85546875" style="69" customWidth="1"/>
    <col min="13" max="13" width="16" style="1404" customWidth="1"/>
    <col min="14" max="14" width="9.140625" style="69"/>
    <col min="15" max="15" width="26.140625" style="1616" customWidth="1"/>
    <col min="16" max="16384" width="9.140625" style="69"/>
  </cols>
  <sheetData>
    <row r="1" spans="1:15" ht="26.25" x14ac:dyDescent="0.4">
      <c r="A1" s="1993" t="s">
        <v>61</v>
      </c>
      <c r="B1" s="1993"/>
      <c r="C1" s="1993"/>
      <c r="D1" s="1993"/>
      <c r="E1" s="1993"/>
      <c r="F1" s="1993"/>
      <c r="G1" s="1993"/>
      <c r="H1" s="1993"/>
      <c r="I1" s="285"/>
      <c r="J1" s="274"/>
      <c r="K1" s="1384"/>
      <c r="L1" s="289"/>
      <c r="M1" s="1405"/>
    </row>
    <row r="2" spans="1:15" s="14" customFormat="1" ht="16.5" thickBot="1" x14ac:dyDescent="0.3">
      <c r="A2" s="98" t="s">
        <v>157</v>
      </c>
      <c r="B2" s="10"/>
      <c r="C2" s="10"/>
      <c r="D2" s="271"/>
      <c r="E2" s="272"/>
      <c r="F2" s="272"/>
      <c r="G2" s="10"/>
      <c r="H2" s="273"/>
      <c r="I2" s="286"/>
      <c r="J2" s="290"/>
      <c r="K2" s="1385"/>
      <c r="L2" s="290"/>
      <c r="M2" s="1406"/>
      <c r="O2" s="1616"/>
    </row>
    <row r="3" spans="1:15" s="326" customFormat="1" ht="15.75" thickBot="1" x14ac:dyDescent="0.25">
      <c r="A3" s="1679" t="s">
        <v>70</v>
      </c>
      <c r="B3" s="1749"/>
      <c r="C3" s="1680"/>
      <c r="D3" s="1751" t="str">
        <f>IF('[5]PR_Programmatic Progress_1A'!C7="","",'[5]PR_Programmatic Progress_1A'!C7)</f>
        <v>MNR-809-G04-H</v>
      </c>
      <c r="E3" s="1752"/>
      <c r="F3" s="1752"/>
      <c r="G3" s="1753"/>
      <c r="H3" s="1994" t="s">
        <v>634</v>
      </c>
      <c r="I3" s="1995"/>
      <c r="J3" s="1995"/>
      <c r="K3" s="1995"/>
      <c r="L3" s="1996"/>
      <c r="M3" s="1617"/>
      <c r="O3" s="1618"/>
    </row>
    <row r="4" spans="1:15" s="326" customFormat="1" ht="15" x14ac:dyDescent="0.2">
      <c r="A4" s="1586" t="s">
        <v>277</v>
      </c>
      <c r="B4" s="1588"/>
      <c r="C4" s="1588"/>
      <c r="D4" s="53" t="s">
        <v>283</v>
      </c>
      <c r="E4" s="1619" t="str">
        <f>IF('[5]PR_Programmatic Progress_1A'!D12="Select","",'[5]PR_Programmatic Progress_1A'!D12)</f>
        <v>Quarter</v>
      </c>
      <c r="F4" s="5" t="s">
        <v>284</v>
      </c>
      <c r="G4" s="372">
        <f>IF('[5]PR_Programmatic Progress_1A'!F12="Select","",'[5]PR_Programmatic Progress_1A'!F12)</f>
        <v>7</v>
      </c>
      <c r="H4" s="1997"/>
      <c r="I4" s="1998"/>
      <c r="J4" s="1998"/>
      <c r="K4" s="1998"/>
      <c r="L4" s="1999"/>
      <c r="M4" s="1617"/>
      <c r="O4" s="1618"/>
    </row>
    <row r="5" spans="1:15" s="326" customFormat="1" ht="15" x14ac:dyDescent="0.2">
      <c r="A5" s="1589" t="s">
        <v>278</v>
      </c>
      <c r="B5" s="40"/>
      <c r="C5" s="40"/>
      <c r="D5" s="54" t="s">
        <v>246</v>
      </c>
      <c r="E5" s="1590">
        <f>IF('[5]PR_Programmatic Progress_1A'!D13="","",'[5]PR_Programmatic Progress_1A'!D13)</f>
        <v>40452</v>
      </c>
      <c r="F5" s="5" t="s">
        <v>264</v>
      </c>
      <c r="G5" s="1591">
        <f>IF('[5]PR_Programmatic Progress_1A'!F13="","",'[5]PR_Programmatic Progress_1A'!F13)</f>
        <v>40543</v>
      </c>
      <c r="H5" s="2000"/>
      <c r="I5" s="2001"/>
      <c r="J5" s="2001"/>
      <c r="K5" s="2001"/>
      <c r="L5" s="2002"/>
      <c r="M5" s="1617"/>
      <c r="O5" s="1618"/>
    </row>
    <row r="6" spans="1:15" s="326" customFormat="1" ht="15.75" thickBot="1" x14ac:dyDescent="0.25">
      <c r="A6" s="55" t="s">
        <v>279</v>
      </c>
      <c r="B6" s="168"/>
      <c r="C6" s="41"/>
      <c r="D6" s="2003">
        <f>IF('[5]PR_Programmatic Progress_1A'!C14="Select","",'[5]PR_Programmatic Progress_1A'!C14)</f>
        <v>5</v>
      </c>
      <c r="E6" s="2004"/>
      <c r="F6" s="2004"/>
      <c r="G6" s="2005"/>
      <c r="H6" s="1620"/>
      <c r="I6" s="1621"/>
      <c r="J6" s="1241"/>
      <c r="K6" s="1622"/>
      <c r="L6" s="1241"/>
      <c r="M6" s="1623"/>
      <c r="O6" s="1618"/>
    </row>
    <row r="7" spans="1:15" s="1170" customFormat="1" ht="15.75" thickBot="1" x14ac:dyDescent="0.25">
      <c r="A7" s="1212" t="s">
        <v>245</v>
      </c>
      <c r="B7" s="1213"/>
      <c r="C7" s="1215"/>
      <c r="D7" s="1990" t="str">
        <f>IF('[5]PR_Programmatic Progress_1A'!C10="Select","",'[5]PR_Programmatic Progress_1A'!C10)</f>
        <v>EUR</v>
      </c>
      <c r="E7" s="1991"/>
      <c r="F7" s="1991"/>
      <c r="G7" s="1992"/>
      <c r="H7" s="1624"/>
      <c r="I7" s="1624"/>
      <c r="J7" s="1624"/>
      <c r="K7" s="1625"/>
      <c r="L7" s="1624"/>
      <c r="M7" s="1625"/>
      <c r="O7" s="1626"/>
    </row>
    <row r="8" spans="1:15" ht="15" x14ac:dyDescent="0.2">
      <c r="A8" s="282"/>
      <c r="B8" s="283"/>
      <c r="C8" s="283"/>
      <c r="D8" s="282"/>
      <c r="E8" s="283"/>
      <c r="F8" s="7"/>
      <c r="G8" s="280"/>
      <c r="H8" s="1231"/>
      <c r="I8" s="1232"/>
      <c r="J8" s="1233"/>
      <c r="K8" s="1233"/>
      <c r="L8" s="1234"/>
      <c r="M8" s="1409"/>
    </row>
    <row r="9" spans="1:15" ht="21" thickBot="1" x14ac:dyDescent="0.35">
      <c r="A9" s="166" t="s">
        <v>496</v>
      </c>
      <c r="B9" s="284"/>
      <c r="C9" s="284"/>
      <c r="D9" s="167"/>
      <c r="E9" s="1312"/>
      <c r="F9" s="1313"/>
      <c r="G9" s="278"/>
      <c r="H9" s="276"/>
      <c r="I9" s="6"/>
      <c r="J9" s="278"/>
      <c r="K9" s="1388"/>
      <c r="L9" s="278"/>
      <c r="M9" s="1410"/>
    </row>
    <row r="10" spans="1:15" s="698" customFormat="1" ht="18.75" thickBot="1" x14ac:dyDescent="0.3">
      <c r="A10" s="2006" t="s">
        <v>256</v>
      </c>
      <c r="B10" s="2007"/>
      <c r="C10" s="2007"/>
      <c r="D10" s="2007"/>
      <c r="E10" s="2007"/>
      <c r="F10" s="2007"/>
      <c r="G10" s="2007"/>
      <c r="H10" s="2007"/>
      <c r="I10" s="2007"/>
      <c r="J10" s="2007"/>
      <c r="K10" s="2007"/>
      <c r="L10" s="2007"/>
      <c r="M10" s="2007"/>
      <c r="O10" s="1627"/>
    </row>
    <row r="11" spans="1:15" s="698" customFormat="1" ht="15.75" x14ac:dyDescent="0.2">
      <c r="A11" s="2008"/>
      <c r="B11" s="2009"/>
      <c r="C11" s="2009"/>
      <c r="D11" s="2009"/>
      <c r="E11" s="2009"/>
      <c r="F11" s="2009"/>
      <c r="G11" s="2009"/>
      <c r="H11" s="2009"/>
      <c r="I11" s="2009"/>
      <c r="J11" s="2009"/>
      <c r="K11" s="2009"/>
      <c r="L11" s="2009"/>
      <c r="M11" s="2009"/>
      <c r="O11" s="1627"/>
    </row>
    <row r="12" spans="1:15" s="698" customFormat="1" ht="15" x14ac:dyDescent="0.25">
      <c r="A12" s="2010" t="s">
        <v>524</v>
      </c>
      <c r="B12" s="2011"/>
      <c r="C12" s="2011"/>
      <c r="D12" s="2011"/>
      <c r="E12" s="2011"/>
      <c r="F12" s="2011"/>
      <c r="G12" s="2011"/>
      <c r="H12" s="2011"/>
      <c r="I12" s="2012"/>
      <c r="J12" s="474"/>
      <c r="K12" s="1389"/>
      <c r="L12" s="474"/>
      <c r="M12" s="1411"/>
      <c r="O12" s="1627"/>
    </row>
    <row r="13" spans="1:15" s="698" customFormat="1" ht="25.5" x14ac:dyDescent="0.25">
      <c r="A13" s="645"/>
      <c r="B13" s="1592"/>
      <c r="C13" s="1592"/>
      <c r="D13" s="1592"/>
      <c r="E13" s="1592"/>
      <c r="F13" s="1592"/>
      <c r="G13" s="1592"/>
      <c r="H13" s="1592"/>
      <c r="I13" s="1592"/>
      <c r="J13" s="1592"/>
      <c r="K13" s="1390"/>
      <c r="L13" s="388"/>
      <c r="M13" s="1629">
        <v>1700000</v>
      </c>
      <c r="O13" s="1628" t="s">
        <v>820</v>
      </c>
    </row>
    <row r="14" spans="1:15" s="698" customFormat="1" ht="15" x14ac:dyDescent="0.2">
      <c r="A14" s="191"/>
      <c r="B14" s="248"/>
      <c r="C14" s="294"/>
      <c r="D14" s="248"/>
      <c r="E14" s="293"/>
      <c r="F14" s="247"/>
      <c r="G14" s="293"/>
      <c r="H14" s="293"/>
      <c r="I14" s="293"/>
      <c r="J14" s="244"/>
      <c r="K14" s="1391"/>
      <c r="L14" s="389"/>
      <c r="M14" s="1412"/>
      <c r="O14" s="1627"/>
    </row>
    <row r="15" spans="1:15" s="698" customFormat="1" ht="15" x14ac:dyDescent="0.2">
      <c r="A15" s="377" t="s">
        <v>257</v>
      </c>
      <c r="B15" s="245" t="s">
        <v>54</v>
      </c>
      <c r="C15" s="245"/>
      <c r="D15" s="245"/>
      <c r="E15" s="244"/>
      <c r="F15" s="1188"/>
      <c r="G15" s="244"/>
      <c r="H15" s="244"/>
      <c r="I15" s="244"/>
      <c r="J15" s="244"/>
      <c r="K15" s="1392">
        <v>1000000</v>
      </c>
      <c r="L15" s="389"/>
      <c r="M15" s="1413"/>
      <c r="O15" s="1627"/>
    </row>
    <row r="16" spans="1:15" s="698" customFormat="1" ht="25.5" x14ac:dyDescent="0.25">
      <c r="A16" s="353"/>
      <c r="B16" s="1241" t="s">
        <v>390</v>
      </c>
      <c r="C16" s="1241"/>
      <c r="D16" s="1241"/>
      <c r="E16" s="1242"/>
      <c r="F16" s="1243"/>
      <c r="G16" s="1244"/>
      <c r="H16" s="1245"/>
      <c r="I16" s="1245"/>
      <c r="J16" s="1245"/>
      <c r="K16" s="1629">
        <v>250000</v>
      </c>
      <c r="L16" s="389"/>
      <c r="M16" s="1414"/>
      <c r="O16" s="1628" t="s">
        <v>821</v>
      </c>
    </row>
    <row r="17" spans="1:15" s="698" customFormat="1" ht="25.5" x14ac:dyDescent="0.25">
      <c r="A17" s="1587"/>
      <c r="B17" s="245" t="s">
        <v>452</v>
      </c>
      <c r="C17" s="245"/>
      <c r="D17" s="245"/>
      <c r="E17" s="246"/>
      <c r="F17" s="1189"/>
      <c r="G17" s="246"/>
      <c r="H17" s="244"/>
      <c r="I17" s="244"/>
      <c r="J17" s="244"/>
      <c r="K17" s="1630">
        <v>20000</v>
      </c>
      <c r="L17" s="389"/>
      <c r="M17" s="76"/>
      <c r="O17" s="1628" t="s">
        <v>822</v>
      </c>
    </row>
    <row r="18" spans="1:15" s="698" customFormat="1" ht="15" x14ac:dyDescent="0.2">
      <c r="A18" s="1587"/>
      <c r="B18" s="245" t="s">
        <v>453</v>
      </c>
      <c r="C18" s="245"/>
      <c r="D18" s="245"/>
      <c r="E18" s="246"/>
      <c r="F18" s="246"/>
      <c r="G18" s="246"/>
      <c r="H18" s="244"/>
      <c r="I18" s="244"/>
      <c r="J18" s="244"/>
      <c r="K18" s="1393">
        <v>0</v>
      </c>
      <c r="L18" s="389"/>
      <c r="M18" s="1415"/>
      <c r="O18" s="1627"/>
    </row>
    <row r="19" spans="1:15" s="698" customFormat="1" ht="15" x14ac:dyDescent="0.25">
      <c r="A19" s="1587"/>
      <c r="B19" s="326" t="s">
        <v>46</v>
      </c>
      <c r="C19" s="245"/>
      <c r="D19" s="245"/>
      <c r="E19" s="246"/>
      <c r="F19" s="246"/>
      <c r="G19" s="246"/>
      <c r="H19" s="244"/>
      <c r="I19" s="244"/>
      <c r="J19" s="244"/>
      <c r="K19" s="1393"/>
      <c r="L19" s="389"/>
      <c r="M19" s="1416">
        <f>+K15+K16+K17+K18+K19</f>
        <v>1270000</v>
      </c>
      <c r="O19" s="1627"/>
    </row>
    <row r="20" spans="1:15" s="698" customFormat="1" ht="15" x14ac:dyDescent="0.2">
      <c r="A20" s="646"/>
      <c r="B20" s="647"/>
      <c r="C20" s="646"/>
      <c r="D20" s="647"/>
      <c r="E20" s="648"/>
      <c r="F20" s="648"/>
      <c r="G20" s="649"/>
      <c r="H20" s="650"/>
      <c r="I20" s="651"/>
      <c r="J20" s="244"/>
      <c r="K20" s="1394"/>
      <c r="L20" s="389"/>
      <c r="M20" s="1417"/>
      <c r="O20" s="1627"/>
    </row>
    <row r="21" spans="1:15" s="698" customFormat="1" ht="14.25" x14ac:dyDescent="0.2">
      <c r="A21" s="190"/>
      <c r="B21" s="300"/>
      <c r="C21" s="295"/>
      <c r="D21" s="295"/>
      <c r="E21" s="296"/>
      <c r="F21" s="295"/>
      <c r="G21" s="299"/>
      <c r="H21" s="295"/>
      <c r="I21" s="298"/>
      <c r="J21" s="240"/>
      <c r="K21" s="1395"/>
      <c r="L21" s="391"/>
      <c r="M21" s="1418"/>
      <c r="O21" s="1627"/>
    </row>
    <row r="22" spans="1:15" s="698" customFormat="1" ht="15" x14ac:dyDescent="0.2">
      <c r="A22" s="1587" t="s">
        <v>258</v>
      </c>
      <c r="B22" s="2013" t="s">
        <v>56</v>
      </c>
      <c r="C22" s="2013"/>
      <c r="D22" s="2013"/>
      <c r="E22" s="2013"/>
      <c r="F22" s="2013"/>
      <c r="G22" s="2013"/>
      <c r="H22" s="2013"/>
      <c r="I22" s="2013"/>
      <c r="J22" s="244"/>
      <c r="K22" s="1396">
        <f>IF('[5]PR_Total PR Cash Outflow_3A'!D12="","",'[5]PR_Total PR Cash Outflow_3A'!D12)</f>
        <v>2860000</v>
      </c>
      <c r="L22" s="389"/>
      <c r="M22" s="1419"/>
      <c r="O22" s="1627"/>
    </row>
    <row r="23" spans="1:15" s="698" customFormat="1" ht="15" x14ac:dyDescent="0.25">
      <c r="A23" s="328"/>
      <c r="B23" s="326" t="s">
        <v>47</v>
      </c>
      <c r="C23" s="326"/>
      <c r="D23" s="326"/>
      <c r="E23" s="329"/>
      <c r="F23" s="329"/>
      <c r="G23" s="330"/>
      <c r="H23" s="331"/>
      <c r="I23" s="332"/>
      <c r="J23" s="327"/>
      <c r="K23" s="1392"/>
      <c r="L23" s="394"/>
      <c r="M23" s="1420"/>
      <c r="O23" s="1627"/>
    </row>
    <row r="24" spans="1:15" s="698" customFormat="1" ht="38.25" x14ac:dyDescent="0.25">
      <c r="A24" s="688"/>
      <c r="B24" s="1246" t="s">
        <v>133</v>
      </c>
      <c r="C24" s="1246"/>
      <c r="D24" s="1246"/>
      <c r="E24" s="1243"/>
      <c r="F24" s="1243"/>
      <c r="G24" s="1243"/>
      <c r="H24" s="1247"/>
      <c r="I24" s="1248"/>
      <c r="J24" s="1245"/>
      <c r="K24" s="1631">
        <v>-100000</v>
      </c>
      <c r="L24" s="394"/>
      <c r="M24" s="1416">
        <f>+K22+K23+K24</f>
        <v>2760000</v>
      </c>
      <c r="O24" s="1628" t="s">
        <v>823</v>
      </c>
    </row>
    <row r="25" spans="1:15" s="698" customFormat="1" ht="14.25" x14ac:dyDescent="0.2">
      <c r="A25" s="652"/>
      <c r="B25" s="176"/>
      <c r="C25" s="653"/>
      <c r="D25" s="176"/>
      <c r="E25" s="653"/>
      <c r="F25" s="654"/>
      <c r="G25" s="176"/>
      <c r="H25" s="655"/>
      <c r="I25" s="656"/>
      <c r="J25" s="240"/>
      <c r="K25" s="1398"/>
      <c r="L25" s="391"/>
      <c r="M25" s="1421"/>
      <c r="O25" s="1627"/>
    </row>
    <row r="26" spans="1:15" s="698" customFormat="1" ht="15.75" thickBot="1" x14ac:dyDescent="0.3">
      <c r="A26" s="297" t="s">
        <v>134</v>
      </c>
      <c r="B26" s="296"/>
      <c r="C26" s="296"/>
      <c r="D26" s="296"/>
      <c r="E26" s="300"/>
      <c r="F26" s="300"/>
      <c r="G26" s="300"/>
      <c r="H26" s="300"/>
      <c r="I26" s="295"/>
      <c r="J26" s="240"/>
      <c r="K26" s="1399"/>
      <c r="L26" s="391"/>
      <c r="M26" s="1422">
        <f>M13+M19-M24</f>
        <v>210000</v>
      </c>
      <c r="O26" s="1627"/>
    </row>
    <row r="27" spans="1:15" s="698" customFormat="1" ht="15" thickTop="1" x14ac:dyDescent="0.2">
      <c r="A27" s="176"/>
      <c r="B27" s="239"/>
      <c r="C27" s="239"/>
      <c r="D27" s="235"/>
      <c r="E27" s="236"/>
      <c r="F27" s="236"/>
      <c r="G27" s="236"/>
      <c r="H27" s="236"/>
      <c r="I27" s="239"/>
      <c r="J27" s="176"/>
      <c r="K27" s="1395"/>
      <c r="L27" s="236"/>
      <c r="M27" s="1423"/>
      <c r="O27" s="1627"/>
    </row>
    <row r="28" spans="1:15" ht="15.75" x14ac:dyDescent="0.25">
      <c r="A28" s="1249" t="s">
        <v>135</v>
      </c>
      <c r="B28" s="1234"/>
      <c r="C28" s="1234"/>
      <c r="D28" s="1234"/>
      <c r="E28" s="1234"/>
      <c r="F28" s="1234"/>
      <c r="G28" s="1234"/>
      <c r="H28" s="1234"/>
      <c r="I28" s="1250"/>
      <c r="J28" s="1234"/>
      <c r="K28" s="1400"/>
      <c r="L28" s="1251"/>
      <c r="M28" s="1424"/>
    </row>
    <row r="29" spans="1:15" ht="15" x14ac:dyDescent="0.2">
      <c r="A29" s="689" t="s">
        <v>625</v>
      </c>
      <c r="B29" s="526"/>
      <c r="C29" s="526"/>
      <c r="D29" s="526"/>
      <c r="E29" s="526"/>
      <c r="F29" s="526"/>
      <c r="G29" s="526"/>
      <c r="H29" s="526"/>
      <c r="I29" s="529"/>
      <c r="J29" s="526"/>
      <c r="K29" s="1401"/>
      <c r="L29" s="749"/>
      <c r="M29" s="1425"/>
    </row>
    <row r="30" spans="1:15" x14ac:dyDescent="0.2">
      <c r="A30" s="2014" t="s">
        <v>824</v>
      </c>
      <c r="B30" s="2015"/>
      <c r="C30" s="2015"/>
      <c r="D30" s="2015"/>
      <c r="E30" s="2015"/>
      <c r="F30" s="2015"/>
      <c r="G30" s="2015"/>
      <c r="H30" s="2015"/>
      <c r="I30" s="2015"/>
      <c r="J30" s="2015"/>
      <c r="K30" s="2015"/>
      <c r="L30" s="2015"/>
      <c r="M30" s="2015"/>
    </row>
    <row r="31" spans="1:15" x14ac:dyDescent="0.2">
      <c r="A31" s="2016"/>
      <c r="B31" s="2017"/>
      <c r="C31" s="2017"/>
      <c r="D31" s="2017"/>
      <c r="E31" s="2017"/>
      <c r="F31" s="2017"/>
      <c r="G31" s="2017"/>
      <c r="H31" s="2017"/>
      <c r="I31" s="2017"/>
      <c r="J31" s="2017"/>
      <c r="K31" s="2017"/>
      <c r="L31" s="2017"/>
      <c r="M31" s="2017"/>
    </row>
    <row r="32" spans="1:15" ht="24" customHeight="1" x14ac:dyDescent="0.2">
      <c r="A32" s="2018"/>
      <c r="B32" s="2019"/>
      <c r="C32" s="2019"/>
      <c r="D32" s="2019"/>
      <c r="E32" s="2019"/>
      <c r="F32" s="2019"/>
      <c r="G32" s="2019"/>
      <c r="H32" s="2019"/>
      <c r="I32" s="2019"/>
      <c r="J32" s="2019"/>
      <c r="K32" s="2019"/>
      <c r="L32" s="2019"/>
      <c r="M32" s="2019"/>
    </row>
    <row r="33" spans="1:13" s="69" customFormat="1" x14ac:dyDescent="0.2">
      <c r="A33" s="1190"/>
      <c r="B33" s="1190"/>
      <c r="C33" s="1190"/>
      <c r="D33" s="1190"/>
      <c r="E33" s="1190"/>
      <c r="F33" s="1190"/>
      <c r="G33" s="1190"/>
      <c r="H33" s="1190"/>
      <c r="I33" s="1191"/>
      <c r="J33" s="1190"/>
      <c r="K33" s="1402"/>
      <c r="L33" s="1190"/>
      <c r="M33" s="1426"/>
    </row>
    <row r="34" spans="1:13" s="69" customFormat="1" x14ac:dyDescent="0.2">
      <c r="A34" s="2"/>
      <c r="B34" s="2"/>
      <c r="C34" s="2"/>
      <c r="D34" s="2"/>
      <c r="E34" s="2"/>
      <c r="F34" s="2"/>
      <c r="G34" s="2"/>
      <c r="H34" s="2"/>
      <c r="I34" s="2"/>
      <c r="J34" s="2"/>
      <c r="K34" s="1403"/>
      <c r="L34" s="2"/>
      <c r="M34" s="1403"/>
    </row>
    <row r="35" spans="1:13" s="69" customFormat="1" x14ac:dyDescent="0.2">
      <c r="A35" s="2"/>
      <c r="B35" s="2"/>
      <c r="C35" s="2"/>
      <c r="D35" s="2"/>
      <c r="E35" s="2"/>
      <c r="F35" s="2"/>
      <c r="G35" s="2"/>
      <c r="H35" s="2"/>
      <c r="I35" s="2"/>
      <c r="J35" s="2"/>
      <c r="K35" s="1403"/>
      <c r="L35" s="2"/>
      <c r="M35" s="1403"/>
    </row>
  </sheetData>
  <mergeCells count="11">
    <mergeCell ref="A10:M10"/>
    <mergeCell ref="A11:M11"/>
    <mergeCell ref="A12:I12"/>
    <mergeCell ref="B22:I22"/>
    <mergeCell ref="A30:M32"/>
    <mergeCell ref="D7:G7"/>
    <mergeCell ref="A1:H1"/>
    <mergeCell ref="A3:C3"/>
    <mergeCell ref="D3:G3"/>
    <mergeCell ref="H3:L5"/>
    <mergeCell ref="D6:G6"/>
  </mergeCells>
  <dataValidations count="1">
    <dataValidation type="list" allowBlank="1" showInputMessage="1" showErrorMessage="1" sqref="C2:G2">
      <formula1>"Select,USD,EUR"</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sheetPr>
  <dimension ref="A1:O35"/>
  <sheetViews>
    <sheetView topLeftCell="F7" workbookViewId="0">
      <selection activeCell="M35" sqref="M35"/>
    </sheetView>
  </sheetViews>
  <sheetFormatPr defaultRowHeight="12.75" x14ac:dyDescent="0.2"/>
  <cols>
    <col min="1" max="1" width="14.85546875" style="69" customWidth="1"/>
    <col min="2" max="2" width="19.85546875" style="69" customWidth="1"/>
    <col min="3" max="3" width="17.42578125" style="69" customWidth="1"/>
    <col min="4" max="4" width="19.42578125" style="69" customWidth="1"/>
    <col min="5" max="5" width="14.85546875" style="69" customWidth="1"/>
    <col min="6" max="6" width="19.28515625" style="69" customWidth="1"/>
    <col min="7" max="7" width="17" style="69" customWidth="1"/>
    <col min="8" max="8" width="30.28515625" style="69" customWidth="1"/>
    <col min="9" max="9" width="20.7109375" style="69" customWidth="1"/>
    <col min="10" max="10" width="3.42578125" style="69" customWidth="1"/>
    <col min="11" max="11" width="20.7109375" style="1404" customWidth="1"/>
    <col min="12" max="12" width="4.85546875" style="69" customWidth="1"/>
    <col min="13" max="13" width="16" style="1404" customWidth="1"/>
    <col min="14" max="14" width="9.140625" style="69"/>
    <col min="15" max="15" width="26.140625" style="1616" customWidth="1"/>
    <col min="16" max="16384" width="9.140625" style="69"/>
  </cols>
  <sheetData>
    <row r="1" spans="1:15" ht="26.25" x14ac:dyDescent="0.4">
      <c r="A1" s="1993" t="s">
        <v>61</v>
      </c>
      <c r="B1" s="1993"/>
      <c r="C1" s="1993"/>
      <c r="D1" s="1993"/>
      <c r="E1" s="1993"/>
      <c r="F1" s="1993"/>
      <c r="G1" s="1993"/>
      <c r="H1" s="1993"/>
      <c r="I1" s="285"/>
      <c r="J1" s="274"/>
      <c r="K1" s="1384"/>
      <c r="L1" s="289"/>
      <c r="M1" s="1405"/>
    </row>
    <row r="2" spans="1:15" s="14" customFormat="1" ht="16.5" thickBot="1" x14ac:dyDescent="0.3">
      <c r="A2" s="98" t="s">
        <v>157</v>
      </c>
      <c r="B2" s="10"/>
      <c r="C2" s="10"/>
      <c r="D2" s="271"/>
      <c r="E2" s="272"/>
      <c r="F2" s="272"/>
      <c r="G2" s="10"/>
      <c r="H2" s="273"/>
      <c r="I2" s="286"/>
      <c r="J2" s="290"/>
      <c r="K2" s="1385"/>
      <c r="L2" s="290"/>
      <c r="M2" s="1406"/>
      <c r="O2" s="1616"/>
    </row>
    <row r="3" spans="1:15" s="326" customFormat="1" ht="15.75" thickBot="1" x14ac:dyDescent="0.25">
      <c r="A3" s="1679" t="s">
        <v>70</v>
      </c>
      <c r="B3" s="1749"/>
      <c r="C3" s="1680"/>
      <c r="D3" s="1751" t="str">
        <f>IF('[5]PR_Programmatic Progress_1A'!C7="","",'[5]PR_Programmatic Progress_1A'!C7)</f>
        <v>MNR-809-G04-H</v>
      </c>
      <c r="E3" s="1752"/>
      <c r="F3" s="1752"/>
      <c r="G3" s="1753"/>
      <c r="H3" s="1994" t="s">
        <v>634</v>
      </c>
      <c r="I3" s="1995"/>
      <c r="J3" s="1995"/>
      <c r="K3" s="1995"/>
      <c r="L3" s="1996"/>
      <c r="M3" s="1617"/>
      <c r="O3" s="1618"/>
    </row>
    <row r="4" spans="1:15" s="326" customFormat="1" ht="15" x14ac:dyDescent="0.2">
      <c r="A4" s="1593" t="s">
        <v>277</v>
      </c>
      <c r="B4" s="1595"/>
      <c r="C4" s="1595"/>
      <c r="D4" s="53" t="s">
        <v>283</v>
      </c>
      <c r="E4" s="1619" t="str">
        <f>IF('[5]PR_Programmatic Progress_1A'!D12="Select","",'[5]PR_Programmatic Progress_1A'!D12)</f>
        <v>Quarter</v>
      </c>
      <c r="F4" s="5" t="s">
        <v>284</v>
      </c>
      <c r="G4" s="372">
        <f>IF('[5]PR_Programmatic Progress_1A'!F12="Select","",'[5]PR_Programmatic Progress_1A'!F12)</f>
        <v>7</v>
      </c>
      <c r="H4" s="1997"/>
      <c r="I4" s="1998"/>
      <c r="J4" s="1998"/>
      <c r="K4" s="1998"/>
      <c r="L4" s="1999"/>
      <c r="M4" s="1617"/>
      <c r="O4" s="1618"/>
    </row>
    <row r="5" spans="1:15" s="326" customFormat="1" ht="15" x14ac:dyDescent="0.2">
      <c r="A5" s="1596" t="s">
        <v>278</v>
      </c>
      <c r="B5" s="40"/>
      <c r="C5" s="40"/>
      <c r="D5" s="54" t="s">
        <v>246</v>
      </c>
      <c r="E5" s="1597">
        <f>IF('[5]PR_Programmatic Progress_1A'!D13="","",'[5]PR_Programmatic Progress_1A'!D13)</f>
        <v>40452</v>
      </c>
      <c r="F5" s="5" t="s">
        <v>264</v>
      </c>
      <c r="G5" s="1598">
        <f>IF('[5]PR_Programmatic Progress_1A'!F13="","",'[5]PR_Programmatic Progress_1A'!F13)</f>
        <v>40543</v>
      </c>
      <c r="H5" s="2000"/>
      <c r="I5" s="2001"/>
      <c r="J5" s="2001"/>
      <c r="K5" s="2001"/>
      <c r="L5" s="2002"/>
      <c r="M5" s="1617"/>
      <c r="O5" s="1618"/>
    </row>
    <row r="6" spans="1:15" s="326" customFormat="1" ht="15.75" thickBot="1" x14ac:dyDescent="0.25">
      <c r="A6" s="55" t="s">
        <v>279</v>
      </c>
      <c r="B6" s="168"/>
      <c r="C6" s="41"/>
      <c r="D6" s="2003">
        <f>IF('[5]PR_Programmatic Progress_1A'!C14="Select","",'[5]PR_Programmatic Progress_1A'!C14)</f>
        <v>5</v>
      </c>
      <c r="E6" s="2004"/>
      <c r="F6" s="2004"/>
      <c r="G6" s="2005"/>
      <c r="H6" s="1620"/>
      <c r="I6" s="1621"/>
      <c r="J6" s="1241"/>
      <c r="K6" s="1622"/>
      <c r="L6" s="1241"/>
      <c r="M6" s="1623"/>
      <c r="O6" s="1618"/>
    </row>
    <row r="7" spans="1:15" s="1170" customFormat="1" ht="15.75" thickBot="1" x14ac:dyDescent="0.25">
      <c r="A7" s="1212" t="s">
        <v>245</v>
      </c>
      <c r="B7" s="1213"/>
      <c r="C7" s="1215"/>
      <c r="D7" s="1990" t="str">
        <f>IF('[5]PR_Programmatic Progress_1A'!C10="Select","",'[5]PR_Programmatic Progress_1A'!C10)</f>
        <v>EUR</v>
      </c>
      <c r="E7" s="1991"/>
      <c r="F7" s="1991"/>
      <c r="G7" s="1992"/>
      <c r="H7" s="1624"/>
      <c r="I7" s="1624"/>
      <c r="J7" s="1624"/>
      <c r="K7" s="1625"/>
      <c r="L7" s="1624"/>
      <c r="M7" s="1625"/>
      <c r="O7" s="1626"/>
    </row>
    <row r="8" spans="1:15" ht="15" x14ac:dyDescent="0.2">
      <c r="A8" s="282"/>
      <c r="B8" s="283"/>
      <c r="C8" s="283"/>
      <c r="D8" s="282"/>
      <c r="E8" s="283"/>
      <c r="F8" s="7"/>
      <c r="G8" s="280"/>
      <c r="H8" s="1231"/>
      <c r="I8" s="1232"/>
      <c r="J8" s="1233"/>
      <c r="K8" s="1233"/>
      <c r="L8" s="1234"/>
      <c r="M8" s="1409"/>
    </row>
    <row r="9" spans="1:15" ht="21" thickBot="1" x14ac:dyDescent="0.35">
      <c r="A9" s="166" t="s">
        <v>496</v>
      </c>
      <c r="B9" s="284"/>
      <c r="C9" s="284"/>
      <c r="D9" s="167"/>
      <c r="E9" s="1312"/>
      <c r="F9" s="1313"/>
      <c r="G9" s="278"/>
      <c r="H9" s="276"/>
      <c r="I9" s="6"/>
      <c r="J9" s="278"/>
      <c r="K9" s="1388"/>
      <c r="L9" s="278"/>
      <c r="M9" s="1410"/>
    </row>
    <row r="10" spans="1:15" s="698" customFormat="1" ht="18.75" thickBot="1" x14ac:dyDescent="0.3">
      <c r="A10" s="2006" t="s">
        <v>256</v>
      </c>
      <c r="B10" s="2007"/>
      <c r="C10" s="2007"/>
      <c r="D10" s="2007"/>
      <c r="E10" s="2007"/>
      <c r="F10" s="2007"/>
      <c r="G10" s="2007"/>
      <c r="H10" s="2007"/>
      <c r="I10" s="2007"/>
      <c r="J10" s="2007"/>
      <c r="K10" s="2007"/>
      <c r="L10" s="2007"/>
      <c r="M10" s="2007"/>
      <c r="O10" s="1627"/>
    </row>
    <row r="11" spans="1:15" s="698" customFormat="1" ht="15.75" x14ac:dyDescent="0.2">
      <c r="A11" s="2008"/>
      <c r="B11" s="2009"/>
      <c r="C11" s="2009"/>
      <c r="D11" s="2009"/>
      <c r="E11" s="2009"/>
      <c r="F11" s="2009"/>
      <c r="G11" s="2009"/>
      <c r="H11" s="2009"/>
      <c r="I11" s="2009"/>
      <c r="J11" s="2009"/>
      <c r="K11" s="2009"/>
      <c r="L11" s="2009"/>
      <c r="M11" s="2009"/>
      <c r="O11" s="1627"/>
    </row>
    <row r="12" spans="1:15" s="698" customFormat="1" ht="15" x14ac:dyDescent="0.25">
      <c r="A12" s="2010" t="s">
        <v>524</v>
      </c>
      <c r="B12" s="2011"/>
      <c r="C12" s="2011"/>
      <c r="D12" s="2011"/>
      <c r="E12" s="2011"/>
      <c r="F12" s="2011"/>
      <c r="G12" s="2011"/>
      <c r="H12" s="2011"/>
      <c r="I12" s="2012"/>
      <c r="J12" s="474"/>
      <c r="K12" s="1389"/>
      <c r="L12" s="474"/>
      <c r="M12" s="1411"/>
      <c r="O12" s="1627"/>
    </row>
    <row r="13" spans="1:15" s="698" customFormat="1" ht="25.5" x14ac:dyDescent="0.25">
      <c r="A13" s="645"/>
      <c r="B13" s="1599"/>
      <c r="C13" s="1599"/>
      <c r="D13" s="1599"/>
      <c r="E13" s="1599"/>
      <c r="F13" s="1599"/>
      <c r="G13" s="1599"/>
      <c r="H13" s="1599"/>
      <c r="I13" s="1599"/>
      <c r="J13" s="1599"/>
      <c r="K13" s="1390"/>
      <c r="L13" s="388"/>
      <c r="M13" s="1632">
        <v>1700000</v>
      </c>
      <c r="O13" s="1628" t="s">
        <v>820</v>
      </c>
    </row>
    <row r="14" spans="1:15" s="698" customFormat="1" ht="15" x14ac:dyDescent="0.2">
      <c r="A14" s="191"/>
      <c r="B14" s="248"/>
      <c r="C14" s="294"/>
      <c r="D14" s="248"/>
      <c r="E14" s="293"/>
      <c r="F14" s="247"/>
      <c r="G14" s="293"/>
      <c r="H14" s="293"/>
      <c r="I14" s="293"/>
      <c r="J14" s="244"/>
      <c r="K14" s="1391"/>
      <c r="L14" s="389"/>
      <c r="M14" s="1412"/>
      <c r="O14" s="1627"/>
    </row>
    <row r="15" spans="1:15" s="698" customFormat="1" ht="15" x14ac:dyDescent="0.2">
      <c r="A15" s="377" t="s">
        <v>257</v>
      </c>
      <c r="B15" s="245" t="s">
        <v>54</v>
      </c>
      <c r="C15" s="245"/>
      <c r="D15" s="245"/>
      <c r="E15" s="244"/>
      <c r="F15" s="1188"/>
      <c r="G15" s="244"/>
      <c r="H15" s="244"/>
      <c r="I15" s="244"/>
      <c r="J15" s="244"/>
      <c r="K15" s="1392">
        <v>1000000</v>
      </c>
      <c r="L15" s="389"/>
      <c r="M15" s="1413"/>
      <c r="O15" s="1627"/>
    </row>
    <row r="16" spans="1:15" s="698" customFormat="1" ht="25.5" x14ac:dyDescent="0.2">
      <c r="A16" s="353"/>
      <c r="B16" s="1241" t="s">
        <v>390</v>
      </c>
      <c r="C16" s="1241"/>
      <c r="D16" s="1241"/>
      <c r="E16" s="1242"/>
      <c r="F16" s="1243"/>
      <c r="G16" s="1244"/>
      <c r="H16" s="1245"/>
      <c r="I16" s="1245"/>
      <c r="J16" s="1245"/>
      <c r="K16" s="1632">
        <v>250000</v>
      </c>
      <c r="L16" s="389"/>
      <c r="M16" s="1414"/>
      <c r="O16" s="1628" t="s">
        <v>821</v>
      </c>
    </row>
    <row r="17" spans="1:15" s="698" customFormat="1" ht="25.5" x14ac:dyDescent="0.2">
      <c r="A17" s="1594"/>
      <c r="B17" s="245" t="s">
        <v>452</v>
      </c>
      <c r="C17" s="245"/>
      <c r="D17" s="245"/>
      <c r="E17" s="246"/>
      <c r="F17" s="1189"/>
      <c r="G17" s="246"/>
      <c r="H17" s="244"/>
      <c r="I17" s="244"/>
      <c r="J17" s="244"/>
      <c r="K17" s="1633">
        <v>20000</v>
      </c>
      <c r="L17" s="389"/>
      <c r="M17" s="76"/>
      <c r="O17" s="1628" t="s">
        <v>822</v>
      </c>
    </row>
    <row r="18" spans="1:15" s="698" customFormat="1" ht="15" x14ac:dyDescent="0.2">
      <c r="A18" s="1594"/>
      <c r="B18" s="245" t="s">
        <v>453</v>
      </c>
      <c r="C18" s="245"/>
      <c r="D18" s="245"/>
      <c r="E18" s="246"/>
      <c r="F18" s="246"/>
      <c r="G18" s="246"/>
      <c r="H18" s="244"/>
      <c r="I18" s="244"/>
      <c r="J18" s="244"/>
      <c r="K18" s="1393">
        <v>0</v>
      </c>
      <c r="L18" s="389"/>
      <c r="M18" s="1415"/>
      <c r="O18" s="1627"/>
    </row>
    <row r="19" spans="1:15" s="698" customFormat="1" ht="15" x14ac:dyDescent="0.25">
      <c r="A19" s="1594"/>
      <c r="B19" s="326" t="s">
        <v>46</v>
      </c>
      <c r="C19" s="245"/>
      <c r="D19" s="245"/>
      <c r="E19" s="246"/>
      <c r="F19" s="246"/>
      <c r="G19" s="246"/>
      <c r="H19" s="244"/>
      <c r="I19" s="244"/>
      <c r="J19" s="244"/>
      <c r="K19" s="1393"/>
      <c r="L19" s="389"/>
      <c r="M19" s="1416">
        <f>+K15+K16+K17+K18+K19</f>
        <v>1270000</v>
      </c>
      <c r="O19" s="1627"/>
    </row>
    <row r="20" spans="1:15" s="698" customFormat="1" ht="15" x14ac:dyDescent="0.2">
      <c r="A20" s="646"/>
      <c r="B20" s="647"/>
      <c r="C20" s="646"/>
      <c r="D20" s="647"/>
      <c r="E20" s="648"/>
      <c r="F20" s="648"/>
      <c r="G20" s="649"/>
      <c r="H20" s="650"/>
      <c r="I20" s="651"/>
      <c r="J20" s="244"/>
      <c r="K20" s="1394"/>
      <c r="L20" s="389"/>
      <c r="M20" s="1417"/>
      <c r="O20" s="1627"/>
    </row>
    <row r="21" spans="1:15" s="698" customFormat="1" ht="14.25" x14ac:dyDescent="0.2">
      <c r="A21" s="190"/>
      <c r="B21" s="300"/>
      <c r="C21" s="295"/>
      <c r="D21" s="295"/>
      <c r="E21" s="296"/>
      <c r="F21" s="295"/>
      <c r="G21" s="299"/>
      <c r="H21" s="295"/>
      <c r="I21" s="298"/>
      <c r="J21" s="240"/>
      <c r="K21" s="1395"/>
      <c r="L21" s="391"/>
      <c r="M21" s="1418"/>
      <c r="O21" s="1627"/>
    </row>
    <row r="22" spans="1:15" s="698" customFormat="1" ht="15" x14ac:dyDescent="0.2">
      <c r="A22" s="1594" t="s">
        <v>258</v>
      </c>
      <c r="B22" s="2013" t="s">
        <v>56</v>
      </c>
      <c r="C22" s="2013"/>
      <c r="D22" s="2013"/>
      <c r="E22" s="2013"/>
      <c r="F22" s="2013"/>
      <c r="G22" s="2013"/>
      <c r="H22" s="2013"/>
      <c r="I22" s="2013"/>
      <c r="J22" s="244"/>
      <c r="K22" s="1396">
        <f>'PR_Total PR Cash Outflow_3A'!D12</f>
        <v>2235000</v>
      </c>
      <c r="L22" s="389"/>
      <c r="M22" s="1419"/>
      <c r="O22" s="1627"/>
    </row>
    <row r="23" spans="1:15" s="698" customFormat="1" ht="15" x14ac:dyDescent="0.25">
      <c r="A23" s="328"/>
      <c r="B23" s="326" t="s">
        <v>47</v>
      </c>
      <c r="C23" s="326"/>
      <c r="D23" s="326"/>
      <c r="E23" s="329"/>
      <c r="F23" s="329"/>
      <c r="G23" s="330"/>
      <c r="H23" s="331"/>
      <c r="I23" s="332"/>
      <c r="J23" s="327"/>
      <c r="K23" s="1392"/>
      <c r="L23" s="394"/>
      <c r="M23" s="1420"/>
      <c r="O23" s="1627"/>
    </row>
    <row r="24" spans="1:15" s="698" customFormat="1" ht="38.25" x14ac:dyDescent="0.25">
      <c r="A24" s="688"/>
      <c r="B24" s="1246" t="s">
        <v>133</v>
      </c>
      <c r="C24" s="1246"/>
      <c r="D24" s="1246"/>
      <c r="E24" s="1243"/>
      <c r="F24" s="1243"/>
      <c r="G24" s="1243"/>
      <c r="H24" s="1247"/>
      <c r="I24" s="1248"/>
      <c r="J24" s="1245"/>
      <c r="K24" s="1634">
        <v>-100000</v>
      </c>
      <c r="L24" s="394"/>
      <c r="M24" s="1416">
        <f>+K22+K23+K24</f>
        <v>2135000</v>
      </c>
      <c r="O24" s="1628" t="s">
        <v>823</v>
      </c>
    </row>
    <row r="25" spans="1:15" s="698" customFormat="1" ht="14.25" x14ac:dyDescent="0.2">
      <c r="A25" s="652"/>
      <c r="B25" s="176"/>
      <c r="C25" s="653"/>
      <c r="D25" s="176"/>
      <c r="E25" s="653"/>
      <c r="F25" s="654"/>
      <c r="G25" s="176"/>
      <c r="H25" s="655"/>
      <c r="I25" s="656"/>
      <c r="J25" s="240"/>
      <c r="K25" s="1398"/>
      <c r="L25" s="391"/>
      <c r="M25" s="1421"/>
      <c r="O25" s="1627"/>
    </row>
    <row r="26" spans="1:15" s="698" customFormat="1" ht="15.75" thickBot="1" x14ac:dyDescent="0.3">
      <c r="A26" s="297" t="s">
        <v>134</v>
      </c>
      <c r="B26" s="296"/>
      <c r="C26" s="296"/>
      <c r="D26" s="296"/>
      <c r="E26" s="300"/>
      <c r="F26" s="300"/>
      <c r="G26" s="300"/>
      <c r="H26" s="300"/>
      <c r="I26" s="295"/>
      <c r="J26" s="240"/>
      <c r="K26" s="1399"/>
      <c r="L26" s="391"/>
      <c r="M26" s="1422">
        <f>M13+M19-M24</f>
        <v>835000</v>
      </c>
      <c r="O26" s="1627"/>
    </row>
    <row r="27" spans="1:15" s="698" customFormat="1" ht="15" thickTop="1" x14ac:dyDescent="0.2">
      <c r="A27" s="176"/>
      <c r="B27" s="239"/>
      <c r="C27" s="239"/>
      <c r="D27" s="235"/>
      <c r="E27" s="236"/>
      <c r="F27" s="236"/>
      <c r="G27" s="236"/>
      <c r="H27" s="236"/>
      <c r="I27" s="239"/>
      <c r="J27" s="176"/>
      <c r="K27" s="1395"/>
      <c r="L27" s="236"/>
      <c r="M27" s="1423"/>
      <c r="O27" s="1627"/>
    </row>
    <row r="28" spans="1:15" ht="15.75" x14ac:dyDescent="0.25">
      <c r="A28" s="1249" t="s">
        <v>135</v>
      </c>
      <c r="B28" s="1234"/>
      <c r="C28" s="1234"/>
      <c r="D28" s="1234"/>
      <c r="E28" s="1234"/>
      <c r="F28" s="1234"/>
      <c r="G28" s="1234"/>
      <c r="H28" s="1234"/>
      <c r="I28" s="1250"/>
      <c r="J28" s="1234"/>
      <c r="K28" s="1400"/>
      <c r="L28" s="1251"/>
      <c r="M28" s="1424"/>
    </row>
    <row r="29" spans="1:15" ht="15" x14ac:dyDescent="0.2">
      <c r="A29" s="689" t="s">
        <v>625</v>
      </c>
      <c r="B29" s="526"/>
      <c r="C29" s="526"/>
      <c r="D29" s="526"/>
      <c r="E29" s="526"/>
      <c r="F29" s="526"/>
      <c r="G29" s="526"/>
      <c r="H29" s="526"/>
      <c r="I29" s="529"/>
      <c r="J29" s="526"/>
      <c r="K29" s="1401"/>
      <c r="L29" s="749"/>
      <c r="M29" s="1425"/>
    </row>
    <row r="30" spans="1:15" x14ac:dyDescent="0.2">
      <c r="A30" s="2020" t="s">
        <v>825</v>
      </c>
      <c r="B30" s="2021"/>
      <c r="C30" s="2021"/>
      <c r="D30" s="2021"/>
      <c r="E30" s="2021"/>
      <c r="F30" s="2021"/>
      <c r="G30" s="2021"/>
      <c r="H30" s="2021"/>
      <c r="I30" s="2021"/>
      <c r="J30" s="2021"/>
      <c r="K30" s="2021"/>
      <c r="L30" s="2021"/>
      <c r="M30" s="2021"/>
    </row>
    <row r="31" spans="1:15" x14ac:dyDescent="0.2">
      <c r="A31" s="2022"/>
      <c r="B31" s="2023"/>
      <c r="C31" s="2023"/>
      <c r="D31" s="2023"/>
      <c r="E31" s="2023"/>
      <c r="F31" s="2023"/>
      <c r="G31" s="2023"/>
      <c r="H31" s="2023"/>
      <c r="I31" s="2023"/>
      <c r="J31" s="2023"/>
      <c r="K31" s="2023"/>
      <c r="L31" s="2023"/>
      <c r="M31" s="2023"/>
    </row>
    <row r="32" spans="1:15" x14ac:dyDescent="0.2">
      <c r="A32" s="2024"/>
      <c r="B32" s="2025"/>
      <c r="C32" s="2025"/>
      <c r="D32" s="2025"/>
      <c r="E32" s="2025"/>
      <c r="F32" s="2025"/>
      <c r="G32" s="2025"/>
      <c r="H32" s="2025"/>
      <c r="I32" s="2025"/>
      <c r="J32" s="2025"/>
      <c r="K32" s="2025"/>
      <c r="L32" s="2025"/>
      <c r="M32" s="2025"/>
    </row>
    <row r="33" spans="1:13" s="69" customFormat="1" x14ac:dyDescent="0.2">
      <c r="A33" s="1190"/>
      <c r="B33" s="1190"/>
      <c r="C33" s="1190"/>
      <c r="D33" s="1190"/>
      <c r="E33" s="1190"/>
      <c r="F33" s="1190"/>
      <c r="G33" s="1190"/>
      <c r="H33" s="1190"/>
      <c r="I33" s="1191"/>
      <c r="J33" s="1190"/>
      <c r="K33" s="1402"/>
      <c r="L33" s="1190"/>
      <c r="M33" s="1426"/>
    </row>
    <row r="34" spans="1:13" s="69" customFormat="1" x14ac:dyDescent="0.2">
      <c r="A34" s="2"/>
      <c r="B34" s="2"/>
      <c r="C34" s="2"/>
      <c r="D34" s="2"/>
      <c r="E34" s="2"/>
      <c r="F34" s="2"/>
      <c r="G34" s="2"/>
      <c r="H34" s="2"/>
      <c r="I34" s="2"/>
      <c r="J34" s="2"/>
      <c r="K34" s="1403"/>
      <c r="L34" s="2"/>
      <c r="M34" s="1403"/>
    </row>
    <row r="35" spans="1:13" s="69" customFormat="1" x14ac:dyDescent="0.2">
      <c r="A35" s="2"/>
      <c r="B35" s="2"/>
      <c r="C35" s="2"/>
      <c r="D35" s="2"/>
      <c r="E35" s="2"/>
      <c r="F35" s="2"/>
      <c r="G35" s="2"/>
      <c r="H35" s="2"/>
      <c r="I35" s="2"/>
      <c r="J35" s="2"/>
      <c r="K35" s="1403"/>
      <c r="L35" s="2"/>
      <c r="M35" s="1403"/>
    </row>
  </sheetData>
  <mergeCells count="11">
    <mergeCell ref="D7:G7"/>
    <mergeCell ref="A1:H1"/>
    <mergeCell ref="A3:C3"/>
    <mergeCell ref="D3:G3"/>
    <mergeCell ref="H3:L5"/>
    <mergeCell ref="D6:G6"/>
    <mergeCell ref="A10:M10"/>
    <mergeCell ref="A11:M11"/>
    <mergeCell ref="A12:I12"/>
    <mergeCell ref="B22:I22"/>
    <mergeCell ref="A30:M32"/>
  </mergeCells>
  <dataValidations count="1">
    <dataValidation type="list" allowBlank="1" showInputMessage="1" showErrorMessage="1" sqref="C2:G2">
      <formula1>"Select,USD,EUR"</formula1>
    </dataValidation>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M35"/>
  <sheetViews>
    <sheetView view="pageBreakPreview" topLeftCell="A4" zoomScale="70" zoomScaleNormal="75" zoomScaleSheetLayoutView="70" workbookViewId="0">
      <selection activeCell="K33" sqref="K33"/>
    </sheetView>
  </sheetViews>
  <sheetFormatPr defaultRowHeight="12.75" x14ac:dyDescent="0.2"/>
  <cols>
    <col min="1" max="1" width="14.85546875" style="69" customWidth="1"/>
    <col min="2" max="2" width="19.85546875" style="69" customWidth="1"/>
    <col min="3" max="3" width="17.42578125" style="69" customWidth="1"/>
    <col min="4" max="4" width="19.42578125" style="69" customWidth="1"/>
    <col min="5" max="5" width="14.85546875" style="69" customWidth="1"/>
    <col min="6" max="6" width="19.28515625" style="69" customWidth="1"/>
    <col min="7" max="7" width="17" style="69" customWidth="1"/>
    <col min="8" max="8" width="30.28515625" style="69" customWidth="1"/>
    <col min="9" max="9" width="20.7109375" style="69" customWidth="1"/>
    <col min="10" max="10" width="3.42578125" style="69" customWidth="1"/>
    <col min="11" max="11" width="20.7109375" style="1404" customWidth="1"/>
    <col min="12" max="12" width="4.85546875" style="69" customWidth="1"/>
    <col min="13" max="13" width="16" style="1404" customWidth="1"/>
    <col min="14" max="16384" width="9.140625" style="69"/>
  </cols>
  <sheetData>
    <row r="1" spans="1:13" ht="25.5" customHeight="1" x14ac:dyDescent="0.4">
      <c r="A1" s="1993" t="s">
        <v>61</v>
      </c>
      <c r="B1" s="1993"/>
      <c r="C1" s="1993"/>
      <c r="D1" s="1993"/>
      <c r="E1" s="1993"/>
      <c r="F1" s="1993"/>
      <c r="G1" s="1993"/>
      <c r="H1" s="1993"/>
      <c r="I1" s="285"/>
      <c r="J1" s="274"/>
      <c r="K1" s="1384"/>
      <c r="L1" s="289"/>
      <c r="M1" s="1405"/>
    </row>
    <row r="2" spans="1:13" s="14" customFormat="1" ht="27" customHeight="1" thickBot="1" x14ac:dyDescent="0.3">
      <c r="A2" s="98" t="s">
        <v>157</v>
      </c>
      <c r="B2" s="10"/>
      <c r="C2" s="10"/>
      <c r="D2" s="271"/>
      <c r="E2" s="272"/>
      <c r="F2" s="272"/>
      <c r="G2" s="10"/>
      <c r="H2" s="273"/>
      <c r="I2" s="286"/>
      <c r="J2" s="290"/>
      <c r="K2" s="1385"/>
      <c r="L2" s="290"/>
      <c r="M2" s="1406"/>
    </row>
    <row r="3" spans="1:13" s="208" customFormat="1" ht="28.5" customHeight="1" thickBot="1" x14ac:dyDescent="0.25">
      <c r="A3" s="1679" t="s">
        <v>70</v>
      </c>
      <c r="B3" s="1749"/>
      <c r="C3" s="1680"/>
      <c r="D3" s="1751" t="str">
        <f>IF('PR_Programmatic Progress_1A'!C7="","",'PR_Programmatic Progress_1A'!C7)</f>
        <v>MNR-809-G04-H</v>
      </c>
      <c r="E3" s="1752"/>
      <c r="F3" s="1752"/>
      <c r="G3" s="1753"/>
      <c r="H3" s="1994" t="s">
        <v>634</v>
      </c>
      <c r="I3" s="1995"/>
      <c r="J3" s="1995"/>
      <c r="K3" s="1995"/>
      <c r="L3" s="1996"/>
      <c r="M3" s="1407"/>
    </row>
    <row r="4" spans="1:13" s="208" customFormat="1" ht="15" customHeight="1" x14ac:dyDescent="0.2">
      <c r="A4" s="465" t="s">
        <v>277</v>
      </c>
      <c r="B4" s="483"/>
      <c r="C4" s="483"/>
      <c r="D4" s="53" t="s">
        <v>283</v>
      </c>
      <c r="E4" s="477" t="str">
        <f>IF('PR_Programmatic Progress_1A'!D12="Select","",'PR_Programmatic Progress_1A'!D12)</f>
        <v>Quarter</v>
      </c>
      <c r="F4" s="5" t="s">
        <v>284</v>
      </c>
      <c r="G4" s="47">
        <f>IF('PR_Programmatic Progress_1A'!F12="Select","",'PR_Programmatic Progress_1A'!F12)</f>
        <v>7</v>
      </c>
      <c r="H4" s="1997"/>
      <c r="I4" s="1998"/>
      <c r="J4" s="1998"/>
      <c r="K4" s="1998"/>
      <c r="L4" s="1999"/>
      <c r="M4" s="1407"/>
    </row>
    <row r="5" spans="1:13" s="208" customFormat="1" ht="15" customHeight="1" x14ac:dyDescent="0.2">
      <c r="A5" s="484" t="s">
        <v>278</v>
      </c>
      <c r="B5" s="40"/>
      <c r="C5" s="40"/>
      <c r="D5" s="54" t="s">
        <v>246</v>
      </c>
      <c r="E5" s="490">
        <f>IF('PR_Programmatic Progress_1A'!D13="","",'PR_Programmatic Progress_1A'!D13)</f>
        <v>40452</v>
      </c>
      <c r="F5" s="5" t="s">
        <v>264</v>
      </c>
      <c r="G5" s="491">
        <f>IF('PR_Programmatic Progress_1A'!F13="","",'PR_Programmatic Progress_1A'!F13)</f>
        <v>40543</v>
      </c>
      <c r="H5" s="2000"/>
      <c r="I5" s="2001"/>
      <c r="J5" s="2001"/>
      <c r="K5" s="2001"/>
      <c r="L5" s="2002"/>
      <c r="M5" s="1407"/>
    </row>
    <row r="6" spans="1:13" s="208" customFormat="1" ht="15" customHeight="1" thickBot="1" x14ac:dyDescent="0.25">
      <c r="A6" s="55" t="s">
        <v>279</v>
      </c>
      <c r="B6" s="168"/>
      <c r="C6" s="41"/>
      <c r="D6" s="1764">
        <f>IF('PR_Programmatic Progress_1A'!C14="Select","",'PR_Programmatic Progress_1A'!C14)</f>
        <v>5</v>
      </c>
      <c r="E6" s="1765"/>
      <c r="F6" s="1765"/>
      <c r="G6" s="1766"/>
      <c r="H6" s="1227"/>
      <c r="I6" s="1228"/>
      <c r="J6" s="1229"/>
      <c r="K6" s="1386"/>
      <c r="L6" s="1229"/>
      <c r="M6" s="1408"/>
    </row>
    <row r="7" spans="1:13" s="73" customFormat="1" ht="15" customHeight="1" thickBot="1" x14ac:dyDescent="0.25">
      <c r="A7" s="1212" t="s">
        <v>245</v>
      </c>
      <c r="B7" s="1213"/>
      <c r="C7" s="1215"/>
      <c r="D7" s="1846" t="str">
        <f>IF('PR_Programmatic Progress_1A'!C10="Select","",'PR_Programmatic Progress_1A'!C10)</f>
        <v>EUR</v>
      </c>
      <c r="E7" s="1847"/>
      <c r="F7" s="1847"/>
      <c r="G7" s="1848"/>
      <c r="H7" s="1230"/>
      <c r="I7" s="1230"/>
      <c r="J7" s="1230"/>
      <c r="K7" s="1387"/>
      <c r="L7" s="1230"/>
      <c r="M7" s="1387"/>
    </row>
    <row r="8" spans="1:13" ht="27.75" customHeight="1" x14ac:dyDescent="0.2">
      <c r="A8" s="282"/>
      <c r="B8" s="283"/>
      <c r="C8" s="283"/>
      <c r="D8" s="282"/>
      <c r="E8" s="283"/>
      <c r="F8" s="7"/>
      <c r="G8" s="280"/>
      <c r="H8" s="1231"/>
      <c r="I8" s="1232"/>
      <c r="J8" s="1233"/>
      <c r="K8" s="1233"/>
      <c r="L8" s="1234"/>
      <c r="M8" s="1409"/>
    </row>
    <row r="9" spans="1:13" ht="33.75" customHeight="1" thickBot="1" x14ac:dyDescent="0.35">
      <c r="A9" s="166" t="s">
        <v>496</v>
      </c>
      <c r="B9" s="284"/>
      <c r="C9" s="284"/>
      <c r="D9" s="167"/>
      <c r="E9" s="1312"/>
      <c r="F9" s="1313"/>
      <c r="G9" s="278"/>
      <c r="H9" s="276"/>
      <c r="I9" s="6"/>
      <c r="J9" s="278"/>
      <c r="K9" s="1388"/>
      <c r="L9" s="278"/>
      <c r="M9" s="1410"/>
    </row>
    <row r="10" spans="1:13" s="698" customFormat="1" ht="26.25" customHeight="1" thickBot="1" x14ac:dyDescent="0.3">
      <c r="A10" s="2006" t="s">
        <v>256</v>
      </c>
      <c r="B10" s="2007"/>
      <c r="C10" s="2007"/>
      <c r="D10" s="2007"/>
      <c r="E10" s="2007"/>
      <c r="F10" s="2007"/>
      <c r="G10" s="2007"/>
      <c r="H10" s="2007"/>
      <c r="I10" s="2007"/>
      <c r="J10" s="2007"/>
      <c r="K10" s="2007"/>
      <c r="L10" s="2007"/>
      <c r="M10" s="2007"/>
    </row>
    <row r="11" spans="1:13" s="698" customFormat="1" ht="26.25" customHeight="1" x14ac:dyDescent="0.2">
      <c r="A11" s="2008"/>
      <c r="B11" s="2009"/>
      <c r="C11" s="2009"/>
      <c r="D11" s="2009"/>
      <c r="E11" s="2009"/>
      <c r="F11" s="2009"/>
      <c r="G11" s="2009"/>
      <c r="H11" s="2009"/>
      <c r="I11" s="2009"/>
      <c r="J11" s="2009"/>
      <c r="K11" s="2009"/>
      <c r="L11" s="2009"/>
      <c r="M11" s="2009"/>
    </row>
    <row r="12" spans="1:13" s="698" customFormat="1" ht="18" customHeight="1" x14ac:dyDescent="0.25">
      <c r="A12" s="2010" t="s">
        <v>524</v>
      </c>
      <c r="B12" s="2011"/>
      <c r="C12" s="2011"/>
      <c r="D12" s="2011"/>
      <c r="E12" s="2011"/>
      <c r="F12" s="2011"/>
      <c r="G12" s="2011"/>
      <c r="H12" s="2011"/>
      <c r="I12" s="2012"/>
      <c r="J12" s="474"/>
      <c r="K12" s="1389"/>
      <c r="L12" s="474"/>
      <c r="M12" s="1411"/>
    </row>
    <row r="13" spans="1:13" s="698" customFormat="1" ht="24" customHeight="1" x14ac:dyDescent="0.25">
      <c r="A13" s="645"/>
      <c r="B13" s="486"/>
      <c r="C13" s="486"/>
      <c r="D13" s="486"/>
      <c r="E13" s="486"/>
      <c r="F13" s="486"/>
      <c r="G13" s="486"/>
      <c r="H13" s="486"/>
      <c r="I13" s="486"/>
      <c r="J13" s="486"/>
      <c r="K13" s="1390"/>
      <c r="L13" s="388"/>
      <c r="M13" s="1392">
        <v>1700000</v>
      </c>
    </row>
    <row r="14" spans="1:13" s="698" customFormat="1" ht="26.25" customHeight="1" x14ac:dyDescent="0.2">
      <c r="A14" s="191"/>
      <c r="B14" s="248"/>
      <c r="C14" s="294"/>
      <c r="D14" s="248"/>
      <c r="E14" s="293"/>
      <c r="F14" s="247"/>
      <c r="G14" s="293"/>
      <c r="H14" s="293"/>
      <c r="I14" s="293"/>
      <c r="J14" s="244"/>
      <c r="K14" s="1391"/>
      <c r="L14" s="389"/>
      <c r="M14" s="1412"/>
    </row>
    <row r="15" spans="1:13" s="698" customFormat="1" ht="26.25" customHeight="1" x14ac:dyDescent="0.2">
      <c r="A15" s="377" t="s">
        <v>257</v>
      </c>
      <c r="B15" s="245" t="s">
        <v>54</v>
      </c>
      <c r="C15" s="245"/>
      <c r="D15" s="245"/>
      <c r="E15" s="244"/>
      <c r="F15" s="1188"/>
      <c r="G15" s="244"/>
      <c r="H15" s="244"/>
      <c r="I15" s="244"/>
      <c r="J15" s="244"/>
      <c r="K15" s="1392">
        <v>1000000</v>
      </c>
      <c r="L15" s="389"/>
      <c r="M15" s="1413"/>
    </row>
    <row r="16" spans="1:13" s="698" customFormat="1" ht="26.25" customHeight="1" x14ac:dyDescent="0.2">
      <c r="A16" s="353"/>
      <c r="B16" s="1241" t="s">
        <v>390</v>
      </c>
      <c r="C16" s="1241"/>
      <c r="D16" s="1241"/>
      <c r="E16" s="1242"/>
      <c r="F16" s="1243"/>
      <c r="G16" s="1244"/>
      <c r="H16" s="1245"/>
      <c r="I16" s="1245"/>
      <c r="J16" s="1245"/>
      <c r="K16" s="1392">
        <v>250000</v>
      </c>
      <c r="L16" s="389"/>
      <c r="M16" s="1414"/>
    </row>
    <row r="17" spans="1:13" s="698" customFormat="1" ht="26.25" customHeight="1" x14ac:dyDescent="0.2">
      <c r="A17" s="475"/>
      <c r="B17" s="245" t="s">
        <v>452</v>
      </c>
      <c r="C17" s="245"/>
      <c r="D17" s="245"/>
      <c r="E17" s="246"/>
      <c r="F17" s="1189"/>
      <c r="G17" s="246"/>
      <c r="H17" s="244"/>
      <c r="I17" s="244"/>
      <c r="J17" s="244"/>
      <c r="K17" s="1393">
        <v>20000</v>
      </c>
      <c r="L17" s="389"/>
      <c r="M17" s="76"/>
    </row>
    <row r="18" spans="1:13" s="698" customFormat="1" ht="26.25" customHeight="1" x14ac:dyDescent="0.2">
      <c r="A18" s="475"/>
      <c r="B18" s="245" t="s">
        <v>453</v>
      </c>
      <c r="C18" s="245"/>
      <c r="D18" s="245"/>
      <c r="E18" s="246"/>
      <c r="F18" s="246"/>
      <c r="G18" s="246"/>
      <c r="H18" s="244"/>
      <c r="I18" s="244"/>
      <c r="J18" s="244"/>
      <c r="K18" s="1393"/>
      <c r="L18" s="389"/>
      <c r="M18" s="1415"/>
    </row>
    <row r="19" spans="1:13" s="698" customFormat="1" ht="26.25" customHeight="1" x14ac:dyDescent="0.25">
      <c r="A19" s="475"/>
      <c r="B19" s="326" t="s">
        <v>46</v>
      </c>
      <c r="C19" s="245"/>
      <c r="D19" s="245"/>
      <c r="E19" s="246"/>
      <c r="F19" s="246"/>
      <c r="G19" s="246"/>
      <c r="H19" s="244"/>
      <c r="I19" s="244"/>
      <c r="J19" s="244"/>
      <c r="K19" s="1393"/>
      <c r="L19" s="389"/>
      <c r="M19" s="1416">
        <f>+K15+K16+K17+K18+K19</f>
        <v>1270000</v>
      </c>
    </row>
    <row r="20" spans="1:13" s="698" customFormat="1" ht="26.25" customHeight="1" x14ac:dyDescent="0.2">
      <c r="A20" s="646"/>
      <c r="B20" s="647"/>
      <c r="C20" s="646"/>
      <c r="D20" s="647"/>
      <c r="E20" s="648"/>
      <c r="F20" s="648"/>
      <c r="G20" s="649"/>
      <c r="H20" s="650"/>
      <c r="I20" s="651"/>
      <c r="J20" s="244"/>
      <c r="K20" s="1394"/>
      <c r="L20" s="389"/>
      <c r="M20" s="1417"/>
    </row>
    <row r="21" spans="1:13" s="698" customFormat="1" ht="26.25" customHeight="1" x14ac:dyDescent="0.2">
      <c r="A21" s="190"/>
      <c r="B21" s="300"/>
      <c r="C21" s="295"/>
      <c r="D21" s="295"/>
      <c r="E21" s="296"/>
      <c r="F21" s="295"/>
      <c r="G21" s="299"/>
      <c r="H21" s="295"/>
      <c r="I21" s="298"/>
      <c r="J21" s="240"/>
      <c r="K21" s="1395"/>
      <c r="L21" s="391"/>
      <c r="M21" s="1418"/>
    </row>
    <row r="22" spans="1:13" s="698" customFormat="1" ht="26.25" customHeight="1" x14ac:dyDescent="0.2">
      <c r="A22" s="475" t="s">
        <v>258</v>
      </c>
      <c r="B22" s="2013" t="s">
        <v>56</v>
      </c>
      <c r="C22" s="2013"/>
      <c r="D22" s="2013"/>
      <c r="E22" s="2013"/>
      <c r="F22" s="2013"/>
      <c r="G22" s="2013"/>
      <c r="H22" s="2013"/>
      <c r="I22" s="2013"/>
      <c r="J22" s="244"/>
      <c r="K22" s="1396">
        <f>IF('PR_Total PR Cash Outflow_3A'!D12="","",'PR_Total PR Cash Outflow_3A'!D12)</f>
        <v>2235000</v>
      </c>
      <c r="L22" s="389"/>
      <c r="M22" s="1419"/>
    </row>
    <row r="23" spans="1:13" s="698" customFormat="1" ht="26.25" customHeight="1" x14ac:dyDescent="0.25">
      <c r="A23" s="328"/>
      <c r="B23" s="326" t="s">
        <v>47</v>
      </c>
      <c r="C23" s="326"/>
      <c r="D23" s="326"/>
      <c r="E23" s="329"/>
      <c r="F23" s="329"/>
      <c r="G23" s="330"/>
      <c r="H23" s="331"/>
      <c r="I23" s="332"/>
      <c r="J23" s="327"/>
      <c r="K23" s="1392">
        <v>-100000</v>
      </c>
      <c r="L23" s="394"/>
      <c r="M23" s="1420"/>
    </row>
    <row r="24" spans="1:13" s="698" customFormat="1" ht="26.25" customHeight="1" x14ac:dyDescent="0.25">
      <c r="A24" s="688"/>
      <c r="B24" s="1246" t="s">
        <v>133</v>
      </c>
      <c r="C24" s="1246"/>
      <c r="D24" s="1246"/>
      <c r="E24" s="1243"/>
      <c r="F24" s="1243"/>
      <c r="G24" s="1243"/>
      <c r="H24" s="1247"/>
      <c r="I24" s="1248"/>
      <c r="J24" s="1245"/>
      <c r="K24" s="1397"/>
      <c r="L24" s="394"/>
      <c r="M24" s="1416">
        <f>+K22+K23+K24</f>
        <v>2135000</v>
      </c>
    </row>
    <row r="25" spans="1:13" s="698" customFormat="1" ht="26.25" customHeight="1" x14ac:dyDescent="0.2">
      <c r="A25" s="652"/>
      <c r="B25" s="176"/>
      <c r="C25" s="653"/>
      <c r="D25" s="176"/>
      <c r="E25" s="653"/>
      <c r="F25" s="654"/>
      <c r="G25" s="176"/>
      <c r="H25" s="655"/>
      <c r="I25" s="656"/>
      <c r="J25" s="240"/>
      <c r="K25" s="1398"/>
      <c r="L25" s="391"/>
      <c r="M25" s="1421"/>
    </row>
    <row r="26" spans="1:13" s="698" customFormat="1" ht="26.25" customHeight="1" thickBot="1" x14ac:dyDescent="0.3">
      <c r="A26" s="297" t="s">
        <v>134</v>
      </c>
      <c r="B26" s="296"/>
      <c r="C26" s="296"/>
      <c r="D26" s="296"/>
      <c r="E26" s="300"/>
      <c r="F26" s="300"/>
      <c r="G26" s="300"/>
      <c r="H26" s="300"/>
      <c r="I26" s="295"/>
      <c r="J26" s="240"/>
      <c r="K26" s="1399"/>
      <c r="L26" s="391"/>
      <c r="M26" s="1422">
        <f>M13+M19-M24</f>
        <v>835000</v>
      </c>
    </row>
    <row r="27" spans="1:13" s="698" customFormat="1" ht="19.5" customHeight="1" thickTop="1" x14ac:dyDescent="0.2">
      <c r="A27" s="176"/>
      <c r="B27" s="239"/>
      <c r="C27" s="239"/>
      <c r="D27" s="235"/>
      <c r="E27" s="236"/>
      <c r="F27" s="236"/>
      <c r="G27" s="236"/>
      <c r="H27" s="236"/>
      <c r="I27" s="239"/>
      <c r="J27" s="176"/>
      <c r="K27" s="1395"/>
      <c r="L27" s="236"/>
      <c r="M27" s="1423"/>
    </row>
    <row r="28" spans="1:13" ht="15.75" x14ac:dyDescent="0.25">
      <c r="A28" s="1249" t="s">
        <v>135</v>
      </c>
      <c r="B28" s="1234"/>
      <c r="C28" s="1234"/>
      <c r="D28" s="1234"/>
      <c r="E28" s="1234"/>
      <c r="F28" s="1234"/>
      <c r="G28" s="1234"/>
      <c r="H28" s="1234"/>
      <c r="I28" s="1250"/>
      <c r="J28" s="1234"/>
      <c r="K28" s="1400"/>
      <c r="L28" s="1251"/>
      <c r="M28" s="1424"/>
    </row>
    <row r="29" spans="1:13" ht="21.75" customHeight="1" x14ac:dyDescent="0.2">
      <c r="A29" s="689" t="s">
        <v>625</v>
      </c>
      <c r="B29" s="526"/>
      <c r="C29" s="526"/>
      <c r="D29" s="526"/>
      <c r="E29" s="526"/>
      <c r="F29" s="526"/>
      <c r="G29" s="526"/>
      <c r="H29" s="526"/>
      <c r="I29" s="529"/>
      <c r="J29" s="526"/>
      <c r="K29" s="1401"/>
      <c r="L29" s="749"/>
      <c r="M29" s="1425"/>
    </row>
    <row r="30" spans="1:13" x14ac:dyDescent="0.2">
      <c r="A30" s="2020" t="s">
        <v>797</v>
      </c>
      <c r="B30" s="2021"/>
      <c r="C30" s="2021"/>
      <c r="D30" s="2021"/>
      <c r="E30" s="2021"/>
      <c r="F30" s="2021"/>
      <c r="G30" s="2021"/>
      <c r="H30" s="2021"/>
      <c r="I30" s="2021"/>
      <c r="J30" s="2021"/>
      <c r="K30" s="2021"/>
      <c r="L30" s="2021"/>
      <c r="M30" s="2021"/>
    </row>
    <row r="31" spans="1:13" x14ac:dyDescent="0.2">
      <c r="A31" s="2022"/>
      <c r="B31" s="2023"/>
      <c r="C31" s="2023"/>
      <c r="D31" s="2023"/>
      <c r="E31" s="2023"/>
      <c r="F31" s="2023"/>
      <c r="G31" s="2023"/>
      <c r="H31" s="2023"/>
      <c r="I31" s="2023"/>
      <c r="J31" s="2023"/>
      <c r="K31" s="2023"/>
      <c r="L31" s="2023"/>
      <c r="M31" s="2023"/>
    </row>
    <row r="32" spans="1:13" ht="107.25" customHeight="1" x14ac:dyDescent="0.2">
      <c r="A32" s="2024"/>
      <c r="B32" s="2025"/>
      <c r="C32" s="2025"/>
      <c r="D32" s="2025"/>
      <c r="E32" s="2025"/>
      <c r="F32" s="2025"/>
      <c r="G32" s="2025"/>
      <c r="H32" s="2025"/>
      <c r="I32" s="2025"/>
      <c r="J32" s="2025"/>
      <c r="K32" s="2025"/>
      <c r="L32" s="2025"/>
      <c r="M32" s="2025"/>
    </row>
    <row r="33" spans="1:13" x14ac:dyDescent="0.2">
      <c r="A33" s="1190"/>
      <c r="B33" s="1190"/>
      <c r="C33" s="1190"/>
      <c r="D33" s="1190"/>
      <c r="E33" s="1190"/>
      <c r="F33" s="1190"/>
      <c r="G33" s="1190"/>
      <c r="H33" s="1190"/>
      <c r="I33" s="1191"/>
      <c r="J33" s="1190"/>
      <c r="K33" s="1402"/>
      <c r="L33" s="1190"/>
      <c r="M33" s="1426"/>
    </row>
    <row r="34" spans="1:13" x14ac:dyDescent="0.2">
      <c r="A34" s="2"/>
      <c r="B34" s="2"/>
      <c r="C34" s="2"/>
      <c r="D34" s="2"/>
      <c r="E34" s="2"/>
      <c r="F34" s="2"/>
      <c r="G34" s="2"/>
      <c r="H34" s="2"/>
      <c r="I34" s="2"/>
      <c r="J34" s="2"/>
      <c r="K34" s="1403"/>
      <c r="L34" s="2"/>
      <c r="M34" s="1403"/>
    </row>
    <row r="35" spans="1:13" x14ac:dyDescent="0.2">
      <c r="A35" s="2"/>
      <c r="B35" s="2"/>
      <c r="C35" s="2"/>
      <c r="D35" s="2"/>
      <c r="E35" s="2"/>
      <c r="F35" s="2"/>
      <c r="G35" s="2"/>
      <c r="H35" s="2"/>
      <c r="I35" s="2"/>
      <c r="J35" s="2"/>
      <c r="K35" s="1403"/>
      <c r="L35" s="2"/>
      <c r="M35" s="1403"/>
    </row>
  </sheetData>
  <sheetProtection password="92D1" sheet="1" formatCells="0" formatColumns="0" formatRows="0"/>
  <mergeCells count="11">
    <mergeCell ref="A12:I12"/>
    <mergeCell ref="D7:G7"/>
    <mergeCell ref="H3:L5"/>
    <mergeCell ref="A30:M32"/>
    <mergeCell ref="A1:H1"/>
    <mergeCell ref="A3:C3"/>
    <mergeCell ref="B22:I22"/>
    <mergeCell ref="A10:M10"/>
    <mergeCell ref="A11:M11"/>
    <mergeCell ref="D3:G3"/>
    <mergeCell ref="D6:G6"/>
  </mergeCells>
  <phoneticPr fontId="36" type="noConversion"/>
  <dataValidations count="1">
    <dataValidation type="list" allowBlank="1" showInputMessage="1" showErrorMessage="1" sqref="C2:G2">
      <formula1>"Select,USD,EUR"</formula1>
    </dataValidation>
  </dataValidations>
  <printOptions horizontalCentered="1"/>
  <pageMargins left="0.74803149606299213" right="0.74803149606299213" top="0.59055118110236227" bottom="0.59055118110236227" header="0.51181102362204722" footer="0.51181102362204722"/>
  <pageSetup paperSize="9" scale="60" fitToHeight="0" orientation="landscape" cellComments="asDisplayed" r:id="rId1"/>
  <headerFooter alignWithMargins="0">
    <oddFooter>&amp;L&amp;9&amp;F&amp;C&amp;A&amp;R&amp;9Page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sheetPr>
  <dimension ref="A1:N21"/>
  <sheetViews>
    <sheetView workbookViewId="0">
      <selection activeCell="G18" sqref="G18"/>
    </sheetView>
  </sheetViews>
  <sheetFormatPr defaultRowHeight="12.75" x14ac:dyDescent="0.2"/>
  <cols>
    <col min="1" max="1" width="22.5703125" bestFit="1" customWidth="1"/>
    <col min="2" max="2" width="21.28515625" customWidth="1"/>
    <col min="3" max="3" width="17.140625" customWidth="1"/>
    <col min="4" max="4" width="0" hidden="1" customWidth="1"/>
    <col min="5" max="5" width="10.85546875" bestFit="1" customWidth="1"/>
    <col min="7" max="7" width="13.28515625" customWidth="1"/>
  </cols>
  <sheetData>
    <row r="1" spans="1:14" x14ac:dyDescent="0.2">
      <c r="A1" s="1635"/>
      <c r="B1" s="1635"/>
      <c r="C1" s="1635"/>
      <c r="D1" s="1635"/>
      <c r="E1" s="1635"/>
      <c r="F1" s="1635"/>
      <c r="G1" s="107" t="s">
        <v>826</v>
      </c>
      <c r="H1" s="1635"/>
      <c r="I1" s="1635"/>
      <c r="J1" s="1635"/>
    </row>
    <row r="2" spans="1:14" x14ac:dyDescent="0.2">
      <c r="A2" s="1636" t="s">
        <v>827</v>
      </c>
      <c r="B2" s="1637">
        <v>500000</v>
      </c>
      <c r="C2" s="1638" t="s">
        <v>276</v>
      </c>
      <c r="D2" s="1639"/>
      <c r="E2" s="1640">
        <v>1600000</v>
      </c>
      <c r="F2" s="1641" t="s">
        <v>828</v>
      </c>
      <c r="G2" s="1642"/>
      <c r="H2" s="1635"/>
      <c r="I2" s="1635"/>
      <c r="J2" s="1635"/>
    </row>
    <row r="3" spans="1:14" x14ac:dyDescent="0.2">
      <c r="A3" s="1636"/>
      <c r="B3" s="1642"/>
      <c r="C3" s="1638"/>
      <c r="D3" s="1643"/>
      <c r="E3" s="1641"/>
      <c r="F3" s="1641"/>
      <c r="G3" s="1636"/>
      <c r="H3" s="1635"/>
      <c r="I3" s="1635"/>
      <c r="J3" s="1635"/>
    </row>
    <row r="4" spans="1:14" x14ac:dyDescent="0.2">
      <c r="A4" s="1636" t="s">
        <v>827</v>
      </c>
      <c r="B4" s="1637">
        <v>600000</v>
      </c>
      <c r="C4" s="1638" t="s">
        <v>276</v>
      </c>
      <c r="D4" s="1639"/>
      <c r="E4" s="1640">
        <v>600000</v>
      </c>
      <c r="F4" s="1641" t="s">
        <v>829</v>
      </c>
      <c r="G4" s="1644">
        <f>SUM(E2:E4)</f>
        <v>2200000</v>
      </c>
      <c r="H4" s="1635"/>
      <c r="I4" s="1645" t="s">
        <v>830</v>
      </c>
      <c r="J4" s="1635"/>
    </row>
    <row r="5" spans="1:14" x14ac:dyDescent="0.2">
      <c r="A5" s="1636"/>
      <c r="B5" s="1646"/>
      <c r="C5" s="1638"/>
      <c r="D5" s="1639"/>
      <c r="E5" s="1647"/>
      <c r="F5" s="1641"/>
      <c r="G5" s="1648"/>
      <c r="H5" s="1635"/>
      <c r="I5" s="1645"/>
      <c r="J5" s="1635"/>
    </row>
    <row r="6" spans="1:14" ht="15" x14ac:dyDescent="0.25">
      <c r="A6" s="1649" t="s">
        <v>831</v>
      </c>
      <c r="B6" s="1646"/>
      <c r="C6" s="1638"/>
      <c r="D6" s="1639"/>
      <c r="E6" s="1647"/>
      <c r="F6" s="1641"/>
      <c r="G6" s="1648"/>
      <c r="H6" s="1635"/>
      <c r="I6" s="1645"/>
      <c r="J6" s="1635"/>
      <c r="K6" s="1650"/>
      <c r="L6" s="1650"/>
      <c r="M6" s="1650"/>
      <c r="N6" s="1650"/>
    </row>
    <row r="7" spans="1:14" ht="15" x14ac:dyDescent="0.25">
      <c r="A7" s="1651"/>
      <c r="B7" s="1651"/>
      <c r="C7" s="1651"/>
      <c r="D7" s="1651"/>
      <c r="E7" s="1652"/>
      <c r="F7" s="1651"/>
      <c r="G7" s="1652"/>
      <c r="H7" s="1635"/>
      <c r="I7" s="1645"/>
      <c r="J7" s="1635"/>
      <c r="K7" s="1650"/>
      <c r="L7" s="1650"/>
      <c r="M7" s="1650"/>
      <c r="N7" s="1650"/>
    </row>
    <row r="8" spans="1:14" ht="15" x14ac:dyDescent="0.25">
      <c r="A8" s="1653" t="s">
        <v>832</v>
      </c>
      <c r="B8" s="1654"/>
      <c r="C8" s="1654"/>
      <c r="D8" s="1654"/>
      <c r="E8" s="1654"/>
      <c r="F8" s="1654"/>
      <c r="G8" s="1655"/>
      <c r="H8" s="1656"/>
      <c r="I8" s="1645"/>
      <c r="J8" s="1635"/>
      <c r="K8" s="1650"/>
      <c r="L8" s="1650"/>
      <c r="M8" s="1650"/>
      <c r="N8" s="1650"/>
    </row>
    <row r="9" spans="1:14" ht="15" x14ac:dyDescent="0.25">
      <c r="A9" s="1657" t="s">
        <v>833</v>
      </c>
      <c r="B9" s="1654" t="s">
        <v>834</v>
      </c>
      <c r="C9" s="1654"/>
      <c r="D9" s="1654"/>
      <c r="E9" s="1654"/>
      <c r="F9" s="1654"/>
      <c r="G9" s="1658">
        <v>-100000</v>
      </c>
      <c r="H9" s="1656"/>
      <c r="I9" s="1645" t="s">
        <v>835</v>
      </c>
      <c r="J9" s="1635"/>
      <c r="K9" s="1650"/>
      <c r="L9" s="1650"/>
      <c r="M9" s="1650"/>
      <c r="N9" s="1650"/>
    </row>
    <row r="10" spans="1:14" ht="15" x14ac:dyDescent="0.25">
      <c r="A10" s="1657" t="s">
        <v>833</v>
      </c>
      <c r="B10" s="1654" t="s">
        <v>836</v>
      </c>
      <c r="C10" s="1654"/>
      <c r="D10" s="1654"/>
      <c r="E10" s="1654"/>
      <c r="F10" s="1654"/>
      <c r="G10" s="1659">
        <v>-50000</v>
      </c>
      <c r="H10" s="1656"/>
      <c r="I10" s="1645" t="s">
        <v>837</v>
      </c>
      <c r="J10" s="1635"/>
      <c r="K10" s="1650"/>
      <c r="L10" s="1650"/>
      <c r="M10" s="1650"/>
      <c r="N10" s="1650"/>
    </row>
    <row r="11" spans="1:14" ht="15" x14ac:dyDescent="0.25">
      <c r="A11" s="1657" t="s">
        <v>838</v>
      </c>
      <c r="B11" s="1654" t="s">
        <v>839</v>
      </c>
      <c r="C11" s="1654"/>
      <c r="D11" s="1654"/>
      <c r="E11" s="1654" t="s">
        <v>840</v>
      </c>
      <c r="F11" s="1654"/>
      <c r="G11" s="1659">
        <v>-80000</v>
      </c>
      <c r="H11" s="1656"/>
      <c r="I11" s="1645" t="s">
        <v>841</v>
      </c>
      <c r="J11" s="1635"/>
      <c r="K11" s="1650"/>
      <c r="L11" s="1650"/>
      <c r="M11" s="1650"/>
      <c r="N11" s="1650"/>
    </row>
    <row r="12" spans="1:14" ht="15" x14ac:dyDescent="0.25">
      <c r="A12" s="1657" t="s">
        <v>829</v>
      </c>
      <c r="B12" s="1654" t="s">
        <v>842</v>
      </c>
      <c r="C12" s="1654"/>
      <c r="D12" s="1654"/>
      <c r="E12" s="1654" t="s">
        <v>840</v>
      </c>
      <c r="F12" s="1654"/>
      <c r="G12" s="1658">
        <v>-100000</v>
      </c>
      <c r="H12" s="1656"/>
      <c r="I12" s="1645" t="s">
        <v>841</v>
      </c>
      <c r="J12" s="1635"/>
      <c r="K12" s="1650"/>
      <c r="L12" s="1650"/>
      <c r="M12" s="1650"/>
      <c r="N12" s="1650"/>
    </row>
    <row r="13" spans="1:14" ht="15" x14ac:dyDescent="0.25">
      <c r="A13" s="1657"/>
      <c r="B13" s="1654"/>
      <c r="C13" s="1654"/>
      <c r="D13" s="1654"/>
      <c r="E13" s="1654"/>
      <c r="F13" s="1654"/>
      <c r="G13" s="1660"/>
      <c r="H13" s="1660"/>
      <c r="I13" s="1645"/>
      <c r="J13" s="1635"/>
      <c r="K13" s="1650"/>
      <c r="L13" s="1650"/>
      <c r="M13" s="1650"/>
      <c r="N13" s="1650"/>
    </row>
    <row r="14" spans="1:14" ht="15" x14ac:dyDescent="0.25">
      <c r="A14" s="1642"/>
      <c r="B14" s="1642"/>
      <c r="C14" s="1642"/>
      <c r="D14" s="1642"/>
      <c r="E14" s="1636" t="s">
        <v>843</v>
      </c>
      <c r="F14" s="1641" t="s">
        <v>844</v>
      </c>
      <c r="G14" s="1661">
        <f>SUM(G9:G12)</f>
        <v>-330000</v>
      </c>
      <c r="H14" s="1635"/>
      <c r="I14" s="1645" t="s">
        <v>845</v>
      </c>
      <c r="J14" s="1635"/>
      <c r="K14" s="1650"/>
      <c r="L14" s="1650"/>
      <c r="M14" s="1650"/>
      <c r="N14" s="1650"/>
    </row>
    <row r="15" spans="1:14" s="1667" customFormat="1" ht="15" x14ac:dyDescent="0.25">
      <c r="A15" s="1642"/>
      <c r="B15" s="1642"/>
      <c r="C15" s="1642"/>
      <c r="D15" s="1642"/>
      <c r="E15" s="1662"/>
      <c r="F15" s="1641"/>
      <c r="G15" s="1663"/>
      <c r="H15" s="1664"/>
      <c r="I15" s="1665"/>
      <c r="J15" s="1664"/>
      <c r="K15" s="1666"/>
      <c r="L15" s="1666"/>
      <c r="M15" s="1666"/>
      <c r="N15" s="1666"/>
    </row>
    <row r="16" spans="1:14" s="1667" customFormat="1" ht="15" x14ac:dyDescent="0.25">
      <c r="A16" s="1642"/>
      <c r="B16" s="1642" t="s">
        <v>846</v>
      </c>
      <c r="C16" s="1642"/>
      <c r="D16" s="1642"/>
      <c r="E16" s="1662"/>
      <c r="F16" s="1641" t="s">
        <v>847</v>
      </c>
      <c r="G16" s="1668">
        <f>G4+G14</f>
        <v>1870000</v>
      </c>
      <c r="H16" s="1664"/>
      <c r="I16" s="1665" t="s">
        <v>848</v>
      </c>
      <c r="J16" s="1664"/>
      <c r="K16" s="1666"/>
      <c r="L16" s="1666"/>
      <c r="M16" s="1666"/>
      <c r="N16" s="1666"/>
    </row>
    <row r="17" spans="1:14" s="1667" customFormat="1" ht="15" x14ac:dyDescent="0.25">
      <c r="A17" s="1642"/>
      <c r="B17" s="1642"/>
      <c r="C17" s="1642"/>
      <c r="D17" s="1642"/>
      <c r="E17" s="1662"/>
      <c r="F17" s="1641"/>
      <c r="G17" s="1663"/>
      <c r="H17" s="1664"/>
      <c r="I17" s="1665"/>
      <c r="J17" s="1664"/>
      <c r="K17" s="1666"/>
      <c r="L17" s="1666"/>
      <c r="M17" s="1666"/>
      <c r="N17" s="1666"/>
    </row>
    <row r="18" spans="1:14" s="1667" customFormat="1" ht="15" x14ac:dyDescent="0.25">
      <c r="A18" s="1642"/>
      <c r="B18" s="1642" t="s">
        <v>849</v>
      </c>
      <c r="C18" s="1642"/>
      <c r="D18" s="1642"/>
      <c r="E18" s="1662"/>
      <c r="F18" s="1641" t="s">
        <v>850</v>
      </c>
      <c r="G18" s="1663">
        <f>'PR_Cash Reconciliation_Answer'!M26</f>
        <v>835000</v>
      </c>
      <c r="H18" s="1664"/>
      <c r="I18" s="1645" t="s">
        <v>851</v>
      </c>
      <c r="J18" s="1664"/>
      <c r="K18" s="1666"/>
      <c r="L18" s="1666"/>
      <c r="M18" s="1666"/>
      <c r="N18" s="1666"/>
    </row>
    <row r="19" spans="1:14" s="1667" customFormat="1" ht="15" x14ac:dyDescent="0.25">
      <c r="A19" s="1642"/>
      <c r="B19" s="1642"/>
      <c r="C19" s="1642"/>
      <c r="D19" s="1642"/>
      <c r="E19" s="1662"/>
      <c r="F19" s="1641"/>
      <c r="G19" s="1663"/>
      <c r="H19" s="1664"/>
      <c r="I19" s="1665"/>
      <c r="J19" s="1664"/>
      <c r="K19" s="1666"/>
      <c r="L19" s="1666"/>
      <c r="M19" s="1666"/>
      <c r="N19" s="1666"/>
    </row>
    <row r="20" spans="1:14" s="1667" customFormat="1" ht="15" x14ac:dyDescent="0.25">
      <c r="A20" s="1642"/>
      <c r="B20" s="1642"/>
      <c r="C20" s="1642"/>
      <c r="D20" s="1642"/>
      <c r="E20" s="1662"/>
      <c r="F20" s="1641" t="s">
        <v>852</v>
      </c>
      <c r="G20" s="1669">
        <f>G16-G18</f>
        <v>1035000</v>
      </c>
      <c r="H20" s="1664"/>
      <c r="I20" s="1645" t="s">
        <v>853</v>
      </c>
      <c r="J20" s="1664"/>
      <c r="K20" s="1666"/>
      <c r="L20" s="1666"/>
      <c r="M20" s="1666"/>
      <c r="N20" s="1666"/>
    </row>
    <row r="21" spans="1:14" s="1667" customFormat="1" ht="15" x14ac:dyDescent="0.25">
      <c r="A21" s="1642"/>
      <c r="B21" s="1642"/>
      <c r="C21" s="1642"/>
      <c r="D21" s="1642"/>
      <c r="E21" s="1662"/>
      <c r="F21" s="1641"/>
      <c r="G21" s="1663"/>
      <c r="H21" s="1664"/>
      <c r="I21" s="1665"/>
      <c r="J21" s="1664"/>
      <c r="K21" s="1666"/>
      <c r="L21" s="1666"/>
      <c r="M21" s="1666"/>
      <c r="N21" s="1666"/>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1"/>
    <pageSetUpPr fitToPage="1"/>
  </sheetPr>
  <dimension ref="A1:T80"/>
  <sheetViews>
    <sheetView showGridLines="0" view="pageBreakPreview" topLeftCell="B1" zoomScale="70" zoomScaleNormal="60" zoomScaleSheetLayoutView="70" zoomScalePageLayoutView="80" workbookViewId="0">
      <selection activeCell="N31" sqref="N31"/>
    </sheetView>
  </sheetViews>
  <sheetFormatPr defaultRowHeight="12.75" x14ac:dyDescent="0.2"/>
  <cols>
    <col min="1" max="1" width="14.85546875" style="72" customWidth="1"/>
    <col min="2" max="2" width="29" style="72" customWidth="1"/>
    <col min="3" max="3" width="6.140625" style="72" customWidth="1"/>
    <col min="4" max="4" width="2.42578125" style="72" customWidth="1"/>
    <col min="5" max="5" width="17.42578125" style="72" customWidth="1"/>
    <col min="6" max="6" width="21.5703125" style="72" bestFit="1" customWidth="1"/>
    <col min="7" max="7" width="14.85546875" style="72" customWidth="1"/>
    <col min="8" max="8" width="19.28515625" style="72" customWidth="1"/>
    <col min="9" max="9" width="18" style="72" customWidth="1"/>
    <col min="10" max="10" width="32.85546875" style="72" customWidth="1"/>
    <col min="11" max="11" width="15.7109375" style="72" customWidth="1"/>
    <col min="12" max="12" width="22.5703125" style="72" customWidth="1"/>
    <col min="13" max="13" width="3.42578125" style="72" customWidth="1"/>
    <col min="14" max="14" width="16" style="72" customWidth="1"/>
    <col min="15" max="17" width="16" style="72" hidden="1" customWidth="1"/>
    <col min="18" max="18" width="7" style="72" customWidth="1"/>
    <col min="19" max="19" width="20.7109375" style="72" customWidth="1"/>
    <col min="20" max="20" width="9.85546875" style="72" customWidth="1"/>
    <col min="21" max="16384" width="9.140625" style="69"/>
  </cols>
  <sheetData>
    <row r="1" spans="1:20" ht="25.5" customHeight="1" x14ac:dyDescent="0.4">
      <c r="A1" s="1993" t="s">
        <v>61</v>
      </c>
      <c r="B1" s="1993"/>
      <c r="C1" s="1993"/>
      <c r="D1" s="1993"/>
      <c r="E1" s="1993"/>
      <c r="F1" s="1993"/>
      <c r="G1" s="1993"/>
      <c r="H1" s="1993"/>
      <c r="I1" s="1993"/>
      <c r="J1" s="1993"/>
      <c r="K1" s="285"/>
      <c r="L1" s="274"/>
      <c r="M1" s="274"/>
      <c r="N1" s="288"/>
      <c r="O1" s="288"/>
      <c r="P1" s="288"/>
      <c r="Q1" s="288"/>
      <c r="R1" s="289"/>
      <c r="S1" s="289"/>
      <c r="T1" s="700"/>
    </row>
    <row r="2" spans="1:20" s="14" customFormat="1" ht="27" customHeight="1" thickBot="1" x14ac:dyDescent="0.3">
      <c r="A2" s="98" t="s">
        <v>157</v>
      </c>
      <c r="B2" s="10"/>
      <c r="C2" s="10"/>
      <c r="D2" s="10"/>
      <c r="E2" s="10"/>
      <c r="F2" s="271"/>
      <c r="G2" s="272"/>
      <c r="H2" s="272"/>
      <c r="I2" s="10"/>
      <c r="J2" s="273"/>
      <c r="K2" s="286"/>
      <c r="L2" s="290"/>
      <c r="M2" s="290"/>
      <c r="N2" s="290"/>
      <c r="O2" s="290"/>
      <c r="P2" s="290"/>
      <c r="Q2" s="290"/>
      <c r="R2" s="290"/>
      <c r="S2" s="290"/>
      <c r="T2" s="701"/>
    </row>
    <row r="3" spans="1:20" s="208" customFormat="1" ht="28.5" customHeight="1" thickBot="1" x14ac:dyDescent="0.25">
      <c r="A3" s="1679" t="s">
        <v>70</v>
      </c>
      <c r="B3" s="1749"/>
      <c r="C3" s="1749"/>
      <c r="D3" s="1749"/>
      <c r="E3" s="1680"/>
      <c r="F3" s="1751" t="str">
        <f>IF('PR_Programmatic Progress_1A'!C7="","",'PR_Programmatic Progress_1A'!C7)</f>
        <v>MNR-809-G04-H</v>
      </c>
      <c r="G3" s="1752"/>
      <c r="H3" s="1752"/>
      <c r="I3" s="1753"/>
      <c r="J3" s="196"/>
      <c r="K3" s="198"/>
      <c r="L3" s="200"/>
      <c r="M3" s="200"/>
      <c r="N3" s="200"/>
      <c r="O3" s="200"/>
      <c r="P3" s="200"/>
      <c r="Q3" s="200"/>
      <c r="R3" s="200"/>
      <c r="S3" s="200"/>
      <c r="T3" s="702"/>
    </row>
    <row r="4" spans="1:20" s="208" customFormat="1" ht="15" customHeight="1" x14ac:dyDescent="0.2">
      <c r="A4" s="465" t="s">
        <v>277</v>
      </c>
      <c r="B4" s="483"/>
      <c r="C4" s="483"/>
      <c r="D4" s="483"/>
      <c r="E4" s="483"/>
      <c r="F4" s="53" t="s">
        <v>283</v>
      </c>
      <c r="G4" s="477" t="str">
        <f>IF('PR_Programmatic Progress_1A'!D12="Select","",'PR_Programmatic Progress_1A'!D12)</f>
        <v>Quarter</v>
      </c>
      <c r="H4" s="5" t="s">
        <v>284</v>
      </c>
      <c r="I4" s="47">
        <f>IF('PR_Programmatic Progress_1A'!F12="Select","",'PR_Programmatic Progress_1A'!F12)</f>
        <v>7</v>
      </c>
      <c r="J4" s="197"/>
      <c r="K4" s="198"/>
      <c r="L4" s="200"/>
      <c r="M4" s="200"/>
      <c r="N4" s="200"/>
      <c r="O4" s="200"/>
      <c r="P4" s="200"/>
      <c r="Q4" s="200"/>
      <c r="R4" s="200"/>
      <c r="S4" s="200"/>
      <c r="T4" s="702"/>
    </row>
    <row r="5" spans="1:20" s="208" customFormat="1" ht="15" customHeight="1" x14ac:dyDescent="0.2">
      <c r="A5" s="484" t="s">
        <v>278</v>
      </c>
      <c r="B5" s="40"/>
      <c r="C5" s="40"/>
      <c r="D5" s="40"/>
      <c r="E5" s="40"/>
      <c r="F5" s="54" t="s">
        <v>246</v>
      </c>
      <c r="G5" s="490">
        <f>IF('PR_Programmatic Progress_1A'!D13="","",'PR_Programmatic Progress_1A'!D13)</f>
        <v>40452</v>
      </c>
      <c r="H5" s="5" t="s">
        <v>264</v>
      </c>
      <c r="I5" s="491">
        <f>IF('PR_Programmatic Progress_1A'!F13="","",'PR_Programmatic Progress_1A'!F13)</f>
        <v>40543</v>
      </c>
      <c r="J5" s="197"/>
      <c r="K5" s="198"/>
      <c r="L5" s="200"/>
      <c r="M5" s="200"/>
      <c r="N5" s="200"/>
      <c r="O5" s="200"/>
      <c r="P5" s="200"/>
      <c r="Q5" s="200"/>
      <c r="R5" s="200"/>
      <c r="S5" s="200"/>
      <c r="T5" s="702"/>
    </row>
    <row r="6" spans="1:20" s="208" customFormat="1" ht="15" customHeight="1" thickBot="1" x14ac:dyDescent="0.25">
      <c r="A6" s="55" t="s">
        <v>279</v>
      </c>
      <c r="B6" s="168"/>
      <c r="C6" s="168"/>
      <c r="D6" s="168"/>
      <c r="E6" s="41"/>
      <c r="F6" s="1764">
        <f>IF('PR_Programmatic Progress_1A'!C14="Select","",'PR_Programmatic Progress_1A'!C14)</f>
        <v>5</v>
      </c>
      <c r="G6" s="1765"/>
      <c r="H6" s="1765"/>
      <c r="I6" s="1766"/>
      <c r="J6" s="197"/>
      <c r="K6" s="198"/>
      <c r="L6" s="200"/>
      <c r="M6" s="200"/>
      <c r="N6" s="200"/>
      <c r="O6" s="200"/>
      <c r="P6" s="200"/>
      <c r="Q6" s="200"/>
      <c r="R6" s="200"/>
      <c r="S6" s="200"/>
      <c r="T6" s="702"/>
    </row>
    <row r="7" spans="1:20" s="73" customFormat="1" ht="15" customHeight="1" thickBot="1" x14ac:dyDescent="0.25">
      <c r="A7" s="1212" t="s">
        <v>245</v>
      </c>
      <c r="B7" s="1213"/>
      <c r="C7" s="1215"/>
      <c r="D7" s="2031" t="str">
        <f>IF('PR_Programmatic Progress_1A'!C10="Select","",'PR_Programmatic Progress_1A'!C10)</f>
        <v>EUR</v>
      </c>
      <c r="E7" s="2032"/>
      <c r="F7" s="2032"/>
      <c r="G7" s="2032"/>
      <c r="H7" s="2032"/>
      <c r="I7" s="2033"/>
      <c r="J7" s="4"/>
      <c r="K7" s="4"/>
      <c r="L7" s="4"/>
    </row>
    <row r="8" spans="1:20" ht="8.25" customHeight="1" x14ac:dyDescent="0.2">
      <c r="A8" s="282"/>
      <c r="B8" s="283"/>
      <c r="C8" s="283"/>
      <c r="D8" s="1218"/>
      <c r="E8" s="1218"/>
      <c r="F8" s="1219"/>
      <c r="G8" s="1218"/>
      <c r="H8" s="7"/>
      <c r="I8" s="1220"/>
      <c r="J8" s="277"/>
      <c r="K8" s="287"/>
      <c r="L8" s="275"/>
      <c r="M8" s="275"/>
      <c r="N8" s="277"/>
      <c r="O8" s="277"/>
      <c r="P8" s="277"/>
      <c r="Q8" s="277"/>
      <c r="R8" s="289"/>
      <c r="S8" s="200"/>
      <c r="T8" s="700"/>
    </row>
    <row r="9" spans="1:20" ht="33.75" customHeight="1" x14ac:dyDescent="0.3">
      <c r="A9" s="66" t="s">
        <v>496</v>
      </c>
      <c r="B9" s="284"/>
      <c r="C9" s="284"/>
      <c r="D9" s="284"/>
      <c r="E9" s="284"/>
      <c r="F9" s="167"/>
      <c r="G9" s="281"/>
      <c r="H9" s="279"/>
      <c r="I9" s="278"/>
      <c r="J9" s="276"/>
      <c r="K9" s="6"/>
      <c r="L9" s="278"/>
      <c r="M9" s="289"/>
      <c r="N9" s="289"/>
      <c r="O9" s="289"/>
      <c r="P9" s="289"/>
      <c r="Q9" s="289"/>
      <c r="R9" s="289"/>
      <c r="S9" s="289"/>
      <c r="T9" s="700"/>
    </row>
    <row r="10" spans="1:20" s="698" customFormat="1" ht="6.75" customHeight="1" thickBot="1" x14ac:dyDescent="0.25">
      <c r="A10" s="176"/>
      <c r="B10" s="239"/>
      <c r="C10" s="239"/>
      <c r="D10" s="239"/>
      <c r="E10" s="239"/>
      <c r="F10" s="235"/>
      <c r="G10" s="236"/>
      <c r="H10" s="236"/>
      <c r="I10" s="236"/>
      <c r="J10" s="236"/>
      <c r="K10" s="239"/>
      <c r="L10" s="239"/>
      <c r="M10" s="783"/>
      <c r="N10" s="783"/>
      <c r="O10" s="783"/>
      <c r="P10" s="783"/>
      <c r="Q10" s="783"/>
      <c r="R10" s="783"/>
      <c r="S10" s="783"/>
      <c r="T10" s="976"/>
    </row>
    <row r="11" spans="1:20" s="698" customFormat="1" ht="20.100000000000001" customHeight="1" thickBot="1" x14ac:dyDescent="0.3">
      <c r="A11" s="2006" t="s">
        <v>259</v>
      </c>
      <c r="B11" s="2007"/>
      <c r="C11" s="2007"/>
      <c r="D11" s="2007"/>
      <c r="E11" s="2007"/>
      <c r="F11" s="2007"/>
      <c r="G11" s="2007"/>
      <c r="H11" s="2007"/>
      <c r="I11" s="2007"/>
      <c r="J11" s="2007"/>
      <c r="K11" s="2007"/>
      <c r="L11" s="2007"/>
      <c r="M11" s="2007"/>
      <c r="N11" s="2007"/>
      <c r="O11" s="2007"/>
      <c r="P11" s="2007"/>
      <c r="Q11" s="2007"/>
      <c r="R11" s="2007"/>
      <c r="S11" s="2028"/>
      <c r="T11" s="977"/>
    </row>
    <row r="12" spans="1:20" s="698" customFormat="1" ht="4.5" customHeight="1" x14ac:dyDescent="0.25">
      <c r="A12" s="2029"/>
      <c r="B12" s="2029"/>
      <c r="C12" s="2029"/>
      <c r="D12" s="2029"/>
      <c r="E12" s="2029"/>
      <c r="F12" s="2029"/>
      <c r="G12" s="2029"/>
      <c r="H12" s="2029"/>
      <c r="I12" s="2030"/>
      <c r="J12" s="2029"/>
      <c r="K12" s="2029"/>
      <c r="L12" s="2029"/>
      <c r="M12" s="2029"/>
      <c r="N12" s="2029"/>
      <c r="O12" s="2029"/>
      <c r="P12" s="2029"/>
      <c r="Q12" s="2029"/>
      <c r="R12" s="2029"/>
      <c r="S12" s="2029"/>
      <c r="T12" s="976"/>
    </row>
    <row r="13" spans="1:20" s="698" customFormat="1" ht="4.5" customHeight="1" x14ac:dyDescent="0.25">
      <c r="A13" s="775"/>
      <c r="B13" s="18"/>
      <c r="C13" s="18"/>
      <c r="D13" s="18"/>
      <c r="E13" s="775"/>
      <c r="F13" s="18"/>
      <c r="G13" s="775"/>
      <c r="H13" s="775"/>
      <c r="I13" s="18"/>
      <c r="J13" s="775"/>
      <c r="K13" s="775"/>
      <c r="L13" s="775"/>
      <c r="M13" s="775"/>
      <c r="N13" s="775"/>
      <c r="O13" s="18"/>
      <c r="P13" s="18"/>
      <c r="Q13" s="18"/>
      <c r="R13" s="18"/>
      <c r="S13" s="775"/>
      <c r="T13" s="976"/>
    </row>
    <row r="14" spans="1:20" s="698" customFormat="1" ht="15" customHeight="1" x14ac:dyDescent="0.25">
      <c r="A14" s="253" t="s">
        <v>265</v>
      </c>
      <c r="B14" s="18"/>
      <c r="C14" s="18"/>
      <c r="D14" s="18"/>
      <c r="E14" s="291"/>
      <c r="F14" s="18"/>
      <c r="G14" s="486"/>
      <c r="H14" s="322"/>
      <c r="I14" s="18"/>
      <c r="J14" s="486"/>
      <c r="K14" s="486"/>
      <c r="L14" s="301"/>
      <c r="M14" s="486"/>
      <c r="N14" s="474"/>
      <c r="O14" s="18"/>
      <c r="P14" s="18"/>
      <c r="Q14" s="18"/>
      <c r="R14" s="18"/>
      <c r="S14" s="486"/>
      <c r="T14" s="976"/>
    </row>
    <row r="15" spans="1:20" s="698" customFormat="1" ht="17.25" customHeight="1" x14ac:dyDescent="0.25">
      <c r="A15" s="254" t="s">
        <v>9</v>
      </c>
      <c r="B15" s="292"/>
      <c r="C15" s="19"/>
      <c r="D15" s="19"/>
      <c r="E15" s="19"/>
      <c r="F15" s="307"/>
      <c r="G15" s="249"/>
      <c r="H15" s="19"/>
      <c r="I15" s="249"/>
      <c r="J15" s="292"/>
      <c r="K15" s="249"/>
      <c r="L15" s="249"/>
      <c r="M15" s="19"/>
      <c r="N15" s="249"/>
      <c r="O15" s="307"/>
      <c r="P15" s="307"/>
      <c r="Q15" s="307"/>
      <c r="R15" s="307"/>
      <c r="S15" s="308"/>
      <c r="T15" s="976"/>
    </row>
    <row r="16" spans="1:20" s="741" customFormat="1" ht="19.5" customHeight="1" x14ac:dyDescent="0.2">
      <c r="A16" s="264" t="s">
        <v>497</v>
      </c>
      <c r="B16" s="314"/>
      <c r="C16" s="170"/>
      <c r="D16" s="170"/>
      <c r="E16" s="321">
        <f>IF('PR_Programmatic Progress_1A'!D17="","",'PR_Programmatic Progress_1A'!D17)</f>
        <v>40544</v>
      </c>
      <c r="F16" s="306"/>
      <c r="G16" s="264" t="s">
        <v>260</v>
      </c>
      <c r="H16" s="321">
        <f>IF('PR_Programmatic Progress_1A'!F17="","",'PR_Programmatic Progress_1A'!F17)</f>
        <v>40633</v>
      </c>
      <c r="I16" s="264"/>
      <c r="J16" s="303" t="s">
        <v>42</v>
      </c>
      <c r="K16" s="1358">
        <v>500000</v>
      </c>
      <c r="L16" s="396" t="s">
        <v>276</v>
      </c>
      <c r="M16" s="397"/>
      <c r="N16" s="1358">
        <f>K16+'PR_Total PR Cash Outflow_3A'!J12-100000-50000-80000</f>
        <v>1370000</v>
      </c>
      <c r="O16" s="834"/>
      <c r="P16" s="834"/>
      <c r="Q16" s="834"/>
      <c r="R16" s="398"/>
      <c r="S16" s="406"/>
      <c r="T16" s="978"/>
    </row>
    <row r="17" spans="1:20" s="741" customFormat="1" ht="24.75" customHeight="1" x14ac:dyDescent="0.2">
      <c r="A17" s="264" t="s">
        <v>566</v>
      </c>
      <c r="B17" s="314"/>
      <c r="C17" s="170"/>
      <c r="D17" s="170"/>
      <c r="E17" s="193"/>
      <c r="F17" s="306"/>
      <c r="G17" s="310"/>
      <c r="H17" s="193"/>
      <c r="I17" s="264"/>
      <c r="J17" s="304"/>
      <c r="K17" s="400"/>
      <c r="L17" s="396"/>
      <c r="M17" s="401"/>
      <c r="N17" s="402"/>
      <c r="O17" s="1165"/>
      <c r="P17" s="1165"/>
      <c r="Q17" s="1165"/>
      <c r="R17" s="398"/>
      <c r="T17" s="776"/>
    </row>
    <row r="18" spans="1:20" s="741" customFormat="1" ht="22.5" customHeight="1" x14ac:dyDescent="0.2">
      <c r="A18" s="237" t="s">
        <v>557</v>
      </c>
      <c r="B18" s="314"/>
      <c r="C18" s="170"/>
      <c r="D18" s="170"/>
      <c r="E18" s="321">
        <f>IF(H16="","",H16+1)</f>
        <v>40634</v>
      </c>
      <c r="F18" s="306"/>
      <c r="G18" s="264" t="s">
        <v>260</v>
      </c>
      <c r="H18" s="321">
        <f>IF(E18="","",DATE(YEAR(E18),MONTH(E18)+3,DAY(E18)-1))</f>
        <v>40724</v>
      </c>
      <c r="I18" s="264"/>
      <c r="J18" s="303" t="s">
        <v>42</v>
      </c>
      <c r="K18" s="1358">
        <v>600000</v>
      </c>
      <c r="L18" s="396" t="s">
        <v>276</v>
      </c>
      <c r="M18" s="404"/>
      <c r="N18" s="403">
        <f>K18-100000</f>
        <v>500000</v>
      </c>
      <c r="O18" s="1166"/>
      <c r="P18" s="1166"/>
      <c r="Q18" s="1166"/>
      <c r="R18" s="405"/>
      <c r="T18" s="740"/>
    </row>
    <row r="19" spans="1:20" s="1136" customFormat="1" ht="16.5" customHeight="1" x14ac:dyDescent="0.25">
      <c r="A19" s="1128"/>
      <c r="B19" s="1129"/>
      <c r="C19" s="1129"/>
      <c r="D19" s="1129"/>
      <c r="E19" s="1130"/>
      <c r="F19" s="1129"/>
      <c r="G19" s="1129"/>
      <c r="H19" s="1130"/>
      <c r="I19" s="1129"/>
      <c r="J19" s="1129"/>
      <c r="K19" s="1131"/>
      <c r="L19" s="1132"/>
      <c r="M19" s="1133"/>
      <c r="N19" s="1131"/>
      <c r="O19" s="1131"/>
      <c r="P19" s="1131"/>
      <c r="Q19" s="1131"/>
      <c r="R19" s="1134"/>
      <c r="S19" s="750" t="s">
        <v>205</v>
      </c>
    </row>
    <row r="20" spans="1:20" s="1136" customFormat="1" ht="25.5" customHeight="1" x14ac:dyDescent="0.25">
      <c r="A20" s="264" t="s">
        <v>574</v>
      </c>
      <c r="B20" s="1129"/>
      <c r="D20" s="1129"/>
      <c r="E20" s="1130"/>
      <c r="F20" s="1129"/>
      <c r="G20" s="1129"/>
      <c r="H20" s="1130"/>
      <c r="I20" s="1129"/>
      <c r="J20" s="1129"/>
      <c r="K20" s="1131"/>
      <c r="L20" s="1132"/>
      <c r="M20" s="1133"/>
      <c r="N20" s="1131"/>
      <c r="O20" s="1131"/>
      <c r="P20" s="1131"/>
      <c r="Q20" s="1131"/>
      <c r="R20" s="1134"/>
      <c r="S20" s="390">
        <f>N16+N18+N22</f>
        <v>1870000</v>
      </c>
    </row>
    <row r="21" spans="1:20" s="1136" customFormat="1" ht="25.5" customHeight="1" x14ac:dyDescent="0.25">
      <c r="A21" s="237" t="s">
        <v>560</v>
      </c>
      <c r="B21" s="1129"/>
      <c r="C21" s="1159" t="s">
        <v>556</v>
      </c>
      <c r="D21" s="1129"/>
      <c r="E21" s="1130"/>
      <c r="F21" s="1129"/>
      <c r="G21" s="1129"/>
      <c r="H21" s="1130"/>
      <c r="I21" s="1129"/>
      <c r="J21" s="1129"/>
      <c r="K21" s="1131"/>
      <c r="L21" s="1132"/>
      <c r="M21" s="1133"/>
      <c r="N21" s="1131"/>
      <c r="O21" s="1131"/>
      <c r="P21" s="1131"/>
      <c r="Q21" s="1131"/>
      <c r="R21" s="1134"/>
      <c r="S21" s="1135"/>
    </row>
    <row r="22" spans="1:20" s="1136" customFormat="1" ht="20.25" customHeight="1" x14ac:dyDescent="0.25">
      <c r="A22" s="1128" t="s">
        <v>558</v>
      </c>
      <c r="B22" s="1129"/>
      <c r="D22" s="1129"/>
      <c r="E22" s="321">
        <f>IF(H18="","",H18+1)</f>
        <v>40725</v>
      </c>
      <c r="F22" s="1129"/>
      <c r="G22" s="264" t="s">
        <v>260</v>
      </c>
      <c r="H22" s="321" t="str">
        <f>IF(C21="","",IF(C21="1M",DATE(YEAR(E22),MONTH(E22)+1,DAY(E22)-1),IF(C21="2M",DATE(YEAR(E22),MONTH(E22)+2,DAY(E22)-1),IF(C21="3M",DATE(YEAR(E22),MONTH(E22)+3,DAY(E22)-1),""))))</f>
        <v/>
      </c>
      <c r="I22" s="1129"/>
      <c r="J22" s="1129" t="s">
        <v>42</v>
      </c>
      <c r="K22" s="1359"/>
      <c r="L22" s="1132" t="s">
        <v>276</v>
      </c>
      <c r="M22" s="1133"/>
      <c r="N22" s="1139">
        <v>0</v>
      </c>
      <c r="O22" s="1131"/>
      <c r="P22" s="1131"/>
      <c r="Q22" s="1131"/>
      <c r="R22" s="1134"/>
      <c r="S22" s="1135"/>
    </row>
    <row r="23" spans="1:20" s="1136" customFormat="1" ht="14.25" customHeight="1" x14ac:dyDescent="0.25">
      <c r="A23" s="1128"/>
      <c r="B23" s="1129"/>
      <c r="D23" s="1129"/>
      <c r="E23" s="1130"/>
      <c r="F23" s="1129"/>
      <c r="G23" s="1129"/>
      <c r="H23" s="1130"/>
      <c r="I23" s="1129"/>
      <c r="J23" s="1129"/>
      <c r="K23" s="1131"/>
      <c r="L23" s="1132"/>
      <c r="M23" s="1133"/>
      <c r="N23" s="1131"/>
      <c r="O23" s="1131"/>
      <c r="P23" s="1131"/>
      <c r="Q23" s="1131"/>
      <c r="R23" s="1134"/>
      <c r="S23" s="1135"/>
    </row>
    <row r="24" spans="1:20" s="741" customFormat="1" ht="40.5" customHeight="1" x14ac:dyDescent="0.25">
      <c r="A24" s="2026" t="s">
        <v>626</v>
      </c>
      <c r="B24" s="2026"/>
      <c r="C24" s="2026"/>
      <c r="D24" s="2026"/>
      <c r="E24" s="2026"/>
      <c r="F24" s="2026"/>
      <c r="G24" s="2026"/>
      <c r="H24" s="2026"/>
      <c r="I24" s="2026"/>
      <c r="J24" s="2026"/>
      <c r="K24" s="2026"/>
      <c r="L24" s="2026"/>
      <c r="M24" s="2026"/>
      <c r="N24" s="2026"/>
      <c r="O24" s="2026"/>
      <c r="P24" s="2026"/>
      <c r="Q24" s="2026"/>
      <c r="R24" s="2026"/>
      <c r="S24" s="2026"/>
      <c r="T24" s="2027"/>
    </row>
    <row r="25" spans="1:20" s="741" customFormat="1" ht="33" customHeight="1" x14ac:dyDescent="0.25">
      <c r="A25" s="2026" t="s">
        <v>571</v>
      </c>
      <c r="B25" s="2026"/>
      <c r="C25" s="2026"/>
      <c r="D25" s="2026"/>
      <c r="E25" s="2026"/>
      <c r="F25" s="2026"/>
      <c r="G25" s="2026"/>
      <c r="H25" s="2026"/>
      <c r="I25" s="2026"/>
      <c r="J25" s="2026"/>
      <c r="K25" s="2026"/>
      <c r="L25" s="2026"/>
      <c r="M25" s="2026"/>
      <c r="N25" s="2026"/>
      <c r="O25" s="2026"/>
      <c r="P25" s="2026"/>
      <c r="Q25" s="2026"/>
      <c r="R25" s="2026"/>
      <c r="S25" s="2026"/>
      <c r="T25" s="2026"/>
    </row>
    <row r="26" spans="1:20" s="741" customFormat="1" ht="13.5" customHeight="1" thickBot="1" x14ac:dyDescent="0.25">
      <c r="A26" s="170"/>
      <c r="B26" s="170"/>
      <c r="C26" s="170"/>
      <c r="D26" s="170"/>
      <c r="E26" s="170"/>
      <c r="F26" s="170"/>
      <c r="G26" s="194"/>
      <c r="H26" s="194"/>
      <c r="I26" s="194"/>
      <c r="J26" s="170"/>
      <c r="K26" s="170"/>
      <c r="L26" s="170"/>
      <c r="M26" s="170"/>
      <c r="N26" s="657"/>
      <c r="O26" s="657"/>
      <c r="P26" s="657"/>
      <c r="Q26" s="657"/>
      <c r="R26" s="170"/>
      <c r="S26" s="657"/>
    </row>
    <row r="27" spans="1:20" ht="102" customHeight="1" x14ac:dyDescent="0.2">
      <c r="A27" s="2034" t="s">
        <v>611</v>
      </c>
      <c r="B27" s="2034"/>
      <c r="C27" s="2034"/>
      <c r="D27" s="2034"/>
      <c r="E27" s="2034"/>
      <c r="F27" s="2034"/>
      <c r="G27" s="2034"/>
      <c r="H27" s="2034"/>
      <c r="I27" s="2039" t="s">
        <v>854</v>
      </c>
      <c r="J27" s="2040"/>
      <c r="K27" s="2040"/>
      <c r="L27" s="2040"/>
      <c r="M27" s="2040"/>
      <c r="N27" s="2040"/>
      <c r="O27" s="2040"/>
      <c r="P27" s="2040"/>
      <c r="Q27" s="2040"/>
      <c r="R27" s="2040"/>
      <c r="S27" s="2041"/>
      <c r="T27" s="69"/>
    </row>
    <row r="28" spans="1:20" ht="102" customHeight="1" thickBot="1" x14ac:dyDescent="0.25">
      <c r="A28" s="2035"/>
      <c r="B28" s="2035"/>
      <c r="C28" s="2035"/>
      <c r="D28" s="2035"/>
      <c r="E28" s="2035"/>
      <c r="F28" s="2035"/>
      <c r="G28" s="2035"/>
      <c r="H28" s="2035"/>
      <c r="I28" s="2042"/>
      <c r="J28" s="2043"/>
      <c r="K28" s="2043"/>
      <c r="L28" s="2043"/>
      <c r="M28" s="2043"/>
      <c r="N28" s="2043"/>
      <c r="O28" s="2043"/>
      <c r="P28" s="2043"/>
      <c r="Q28" s="2043"/>
      <c r="R28" s="2043"/>
      <c r="S28" s="2044"/>
      <c r="T28" s="69"/>
    </row>
    <row r="29" spans="1:20" s="741" customFormat="1" ht="6.75" customHeight="1" x14ac:dyDescent="0.2">
      <c r="A29" s="380"/>
      <c r="B29" s="381"/>
      <c r="C29" s="381"/>
      <c r="D29" s="381"/>
      <c r="E29" s="382"/>
      <c r="F29" s="382"/>
      <c r="G29" s="383"/>
      <c r="H29" s="383"/>
      <c r="I29" s="622"/>
      <c r="J29" s="623"/>
      <c r="K29" s="170"/>
      <c r="L29" s="623"/>
      <c r="M29" s="323"/>
      <c r="N29" s="624"/>
      <c r="O29" s="624"/>
      <c r="P29" s="624"/>
      <c r="Q29" s="624"/>
      <c r="R29" s="323"/>
      <c r="S29" s="625"/>
      <c r="T29" s="978"/>
    </row>
    <row r="30" spans="1:20" s="741" customFormat="1" ht="6.75" customHeight="1" x14ac:dyDescent="0.2">
      <c r="A30" s="632"/>
      <c r="B30" s="633"/>
      <c r="C30" s="633"/>
      <c r="D30" s="633"/>
      <c r="E30" s="634"/>
      <c r="F30" s="634"/>
      <c r="G30" s="635"/>
      <c r="H30" s="635"/>
      <c r="I30" s="636"/>
      <c r="J30" s="637"/>
      <c r="K30" s="633"/>
      <c r="L30" s="637"/>
      <c r="M30" s="633"/>
      <c r="N30" s="638"/>
      <c r="O30" s="638"/>
      <c r="P30" s="638"/>
      <c r="Q30" s="638"/>
      <c r="R30" s="637"/>
      <c r="S30" s="639"/>
      <c r="T30" s="978"/>
    </row>
    <row r="31" spans="1:20" s="741" customFormat="1" ht="26.25" customHeight="1" x14ac:dyDescent="0.2">
      <c r="A31" s="2048" t="s">
        <v>258</v>
      </c>
      <c r="B31" s="323" t="s">
        <v>536</v>
      </c>
      <c r="C31" s="323"/>
      <c r="D31" s="323"/>
      <c r="E31" s="323"/>
      <c r="F31" s="323"/>
      <c r="G31" s="323"/>
      <c r="H31" s="323"/>
      <c r="I31" s="323"/>
      <c r="J31" s="323"/>
      <c r="K31" s="323"/>
      <c r="L31" s="323"/>
      <c r="M31" s="407"/>
      <c r="N31" s="392">
        <f>+'PR_Cash Reconciliation_5A'!M26</f>
        <v>835000</v>
      </c>
      <c r="O31" s="1167"/>
      <c r="P31" s="1167"/>
      <c r="Q31" s="1167"/>
      <c r="R31" s="408"/>
      <c r="S31" s="409"/>
      <c r="T31" s="978"/>
    </row>
    <row r="32" spans="1:20" s="741" customFormat="1" ht="26.25" customHeight="1" x14ac:dyDescent="0.2">
      <c r="A32" s="2049"/>
      <c r="B32" s="619"/>
      <c r="C32" s="619"/>
      <c r="D32" s="619"/>
      <c r="E32" s="264"/>
      <c r="F32" s="264"/>
      <c r="G32" s="264"/>
      <c r="H32" s="264"/>
      <c r="I32" s="264"/>
      <c r="J32" s="264"/>
      <c r="K32" s="264"/>
      <c r="L32" s="264"/>
      <c r="M32" s="170"/>
      <c r="N32" s="751"/>
      <c r="O32" s="771"/>
      <c r="P32" s="771"/>
      <c r="Q32" s="771"/>
      <c r="R32" s="399"/>
      <c r="S32" s="406"/>
      <c r="T32" s="978"/>
    </row>
    <row r="33" spans="1:20" s="741" customFormat="1" ht="26.25" customHeight="1" x14ac:dyDescent="0.2">
      <c r="A33" s="2049"/>
      <c r="B33" s="264" t="s">
        <v>498</v>
      </c>
      <c r="C33" s="313"/>
      <c r="D33" s="313"/>
      <c r="E33" s="352"/>
      <c r="F33" s="264"/>
      <c r="G33" s="264"/>
      <c r="H33" s="264"/>
      <c r="I33" s="341"/>
      <c r="J33" s="341"/>
      <c r="K33" s="341"/>
      <c r="L33" s="264"/>
      <c r="M33" s="305"/>
      <c r="N33" s="393">
        <v>0</v>
      </c>
      <c r="O33" s="1131"/>
      <c r="P33" s="1131"/>
      <c r="Q33" s="1131"/>
      <c r="R33" s="399"/>
      <c r="S33" s="406"/>
      <c r="T33" s="978"/>
    </row>
    <row r="34" spans="1:20" s="741" customFormat="1" ht="26.25" customHeight="1" x14ac:dyDescent="0.25">
      <c r="A34" s="351"/>
      <c r="B34" s="1252" t="s">
        <v>499</v>
      </c>
      <c r="C34" s="1129"/>
      <c r="D34" s="1129"/>
      <c r="E34" s="1129"/>
      <c r="F34" s="1253"/>
      <c r="G34" s="1252"/>
      <c r="H34" s="2050"/>
      <c r="I34" s="2051"/>
      <c r="J34" s="2051"/>
      <c r="K34" s="2051"/>
      <c r="L34" s="2051"/>
      <c r="M34" s="2051"/>
      <c r="N34" s="393">
        <v>0</v>
      </c>
      <c r="O34" s="1131"/>
      <c r="P34" s="1131"/>
      <c r="Q34" s="1131"/>
      <c r="R34" s="410"/>
      <c r="S34" s="390">
        <f>+N31+N33+N34</f>
        <v>835000</v>
      </c>
      <c r="T34" s="981"/>
    </row>
    <row r="35" spans="1:20" s="741" customFormat="1" ht="21" customHeight="1" x14ac:dyDescent="0.2">
      <c r="A35" s="640"/>
      <c r="B35" s="302"/>
      <c r="C35" s="633"/>
      <c r="D35" s="633"/>
      <c r="E35" s="633"/>
      <c r="F35" s="641"/>
      <c r="G35" s="641"/>
      <c r="H35" s="302"/>
      <c r="I35" s="633"/>
      <c r="J35" s="302"/>
      <c r="K35" s="633"/>
      <c r="L35" s="1354"/>
      <c r="M35" s="302"/>
      <c r="N35" s="1355"/>
      <c r="O35" s="1356"/>
      <c r="P35" s="1356"/>
      <c r="Q35" s="1356"/>
      <c r="R35" s="1356"/>
      <c r="S35" s="1357"/>
    </row>
    <row r="36" spans="1:20" s="741" customFormat="1" ht="26.25" customHeight="1" thickBot="1" x14ac:dyDescent="0.3">
      <c r="A36" s="170" t="s">
        <v>500</v>
      </c>
      <c r="B36" s="170"/>
      <c r="C36" s="170"/>
      <c r="D36" s="170"/>
      <c r="E36" s="170"/>
      <c r="F36" s="170"/>
      <c r="G36" s="170"/>
      <c r="H36" s="170"/>
      <c r="I36" s="170"/>
      <c r="J36" s="170"/>
      <c r="K36" s="170"/>
      <c r="L36" s="323"/>
      <c r="M36" s="323"/>
      <c r="N36" s="408"/>
      <c r="O36" s="411"/>
      <c r="P36" s="411"/>
      <c r="Q36" s="411"/>
      <c r="R36" s="411"/>
      <c r="S36" s="395">
        <f>IF(S20=0,0,IF(S20-S34&lt;0,0,S20-S34))</f>
        <v>1035000</v>
      </c>
      <c r="T36" s="1353"/>
    </row>
    <row r="37" spans="1:20" s="741" customFormat="1" ht="9.75" customHeight="1" thickTop="1" x14ac:dyDescent="0.2">
      <c r="A37" s="309"/>
      <c r="B37" s="309"/>
      <c r="C37" s="309"/>
      <c r="D37" s="309"/>
      <c r="E37" s="309"/>
      <c r="F37" s="309"/>
      <c r="G37" s="309"/>
      <c r="H37" s="309"/>
      <c r="I37" s="320"/>
      <c r="J37" s="309"/>
      <c r="K37" s="309"/>
      <c r="L37" s="309"/>
      <c r="M37" s="309"/>
      <c r="N37" s="309"/>
      <c r="O37" s="304"/>
      <c r="P37" s="304"/>
      <c r="Q37" s="304"/>
      <c r="R37" s="304"/>
      <c r="S37" s="192"/>
      <c r="T37" s="978"/>
    </row>
    <row r="38" spans="1:20" s="741" customFormat="1" ht="26.25" customHeight="1" x14ac:dyDescent="0.2">
      <c r="A38" s="316" t="s">
        <v>501</v>
      </c>
      <c r="B38" s="309"/>
      <c r="C38" s="309"/>
      <c r="D38" s="309"/>
      <c r="E38" s="309"/>
      <c r="F38" s="309"/>
      <c r="G38" s="309"/>
      <c r="H38" s="319"/>
      <c r="I38" s="267" t="s">
        <v>17</v>
      </c>
      <c r="J38" s="315"/>
      <c r="K38" s="309"/>
      <c r="L38" s="309"/>
      <c r="M38" s="309"/>
      <c r="N38" s="309"/>
      <c r="O38" s="304"/>
      <c r="P38" s="304"/>
      <c r="Q38" s="304"/>
      <c r="R38" s="304"/>
      <c r="S38" s="304"/>
      <c r="T38" s="978"/>
    </row>
    <row r="39" spans="1:20" s="741" customFormat="1" ht="11.25" customHeight="1" x14ac:dyDescent="0.2">
      <c r="A39" s="316"/>
      <c r="B39" s="309"/>
      <c r="C39" s="309"/>
      <c r="D39" s="309"/>
      <c r="E39" s="309"/>
      <c r="F39" s="309"/>
      <c r="G39" s="309"/>
      <c r="H39" s="309"/>
      <c r="I39" s="48"/>
      <c r="J39" s="310"/>
      <c r="K39" s="309"/>
      <c r="L39" s="309"/>
      <c r="M39" s="309"/>
      <c r="N39" s="310"/>
      <c r="O39" s="311"/>
      <c r="P39" s="311"/>
      <c r="Q39" s="311"/>
      <c r="R39" s="304"/>
      <c r="S39" s="304"/>
      <c r="T39" s="978"/>
    </row>
    <row r="40" spans="1:20" s="741" customFormat="1" ht="26.25" customHeight="1" thickBot="1" x14ac:dyDescent="0.3">
      <c r="A40" s="620" t="s">
        <v>502</v>
      </c>
      <c r="B40" s="309"/>
      <c r="C40" s="309"/>
      <c r="D40" s="309"/>
      <c r="E40" s="309"/>
      <c r="F40" s="317"/>
      <c r="G40" s="528"/>
      <c r="H40" s="318"/>
      <c r="I40" s="1255" t="s">
        <v>603</v>
      </c>
      <c r="J40" s="1256"/>
      <c r="K40" s="1256"/>
      <c r="L40" s="1149"/>
      <c r="M40" s="1257"/>
      <c r="N40" s="1258"/>
      <c r="O40" s="1258"/>
      <c r="P40" s="1258"/>
      <c r="Q40" s="1258"/>
      <c r="R40" s="1258"/>
      <c r="S40" s="1257"/>
      <c r="T40" s="978"/>
    </row>
    <row r="41" spans="1:20" s="741" customFormat="1" ht="36" customHeight="1" thickBot="1" x14ac:dyDescent="0.25">
      <c r="A41" s="619"/>
      <c r="B41" s="1254" t="s">
        <v>226</v>
      </c>
      <c r="C41" s="1254"/>
      <c r="D41" s="1254"/>
      <c r="E41" s="1149"/>
      <c r="F41" s="752"/>
      <c r="G41" s="753">
        <v>46</v>
      </c>
      <c r="H41" s="754"/>
      <c r="I41" s="2036" t="s">
        <v>777</v>
      </c>
      <c r="J41" s="2037"/>
      <c r="K41" s="2037"/>
      <c r="L41" s="2038"/>
      <c r="M41" s="311"/>
      <c r="N41" s="310"/>
      <c r="O41" s="311"/>
      <c r="P41" s="311"/>
      <c r="Q41" s="311"/>
      <c r="R41" s="311"/>
      <c r="S41" s="311"/>
      <c r="T41" s="978"/>
    </row>
    <row r="42" spans="1:20" s="741" customFormat="1" ht="9.75" customHeight="1" thickBot="1" x14ac:dyDescent="0.25">
      <c r="A42" s="619"/>
      <c r="B42" s="756"/>
      <c r="C42" s="756"/>
      <c r="D42" s="756"/>
      <c r="E42" s="264"/>
      <c r="F42" s="306"/>
      <c r="G42" s="755"/>
      <c r="H42" s="192"/>
      <c r="I42" s="662"/>
      <c r="J42" s="662"/>
      <c r="K42" s="662"/>
      <c r="L42" s="662"/>
      <c r="M42" s="310"/>
      <c r="N42" s="310"/>
      <c r="O42" s="311"/>
      <c r="P42" s="311"/>
      <c r="Q42" s="311"/>
      <c r="R42" s="311"/>
      <c r="S42" s="311"/>
      <c r="T42" s="978"/>
    </row>
    <row r="43" spans="1:20" s="741" customFormat="1" ht="36" customHeight="1" thickBot="1" x14ac:dyDescent="0.25">
      <c r="A43" s="245"/>
      <c r="B43" s="1254" t="s">
        <v>227</v>
      </c>
      <c r="C43" s="1254"/>
      <c r="D43" s="1254"/>
      <c r="E43" s="1149"/>
      <c r="F43" s="752"/>
      <c r="G43" s="753">
        <v>46</v>
      </c>
      <c r="H43" s="754"/>
      <c r="I43" s="2036" t="s">
        <v>777</v>
      </c>
      <c r="J43" s="2037"/>
      <c r="K43" s="2037"/>
      <c r="L43" s="2038"/>
      <c r="M43" s="311"/>
      <c r="N43" s="310"/>
      <c r="O43" s="311"/>
      <c r="P43" s="311"/>
      <c r="Q43" s="311"/>
      <c r="R43" s="311"/>
      <c r="S43" s="311"/>
      <c r="T43" s="978"/>
    </row>
    <row r="44" spans="1:20" s="741" customFormat="1" ht="9.75" customHeight="1" thickBot="1" x14ac:dyDescent="0.25">
      <c r="A44" s="245"/>
      <c r="B44" s="756"/>
      <c r="C44" s="756"/>
      <c r="D44" s="756"/>
      <c r="E44" s="264"/>
      <c r="F44" s="264"/>
      <c r="G44" s="170"/>
      <c r="H44" s="306"/>
      <c r="I44" s="662"/>
      <c r="J44" s="662"/>
      <c r="K44" s="662"/>
      <c r="L44" s="662"/>
      <c r="M44" s="310"/>
      <c r="N44" s="310"/>
      <c r="O44" s="311"/>
      <c r="P44" s="311"/>
      <c r="Q44" s="311"/>
      <c r="R44" s="311"/>
      <c r="S44" s="311"/>
      <c r="T44" s="978"/>
    </row>
    <row r="45" spans="1:20" s="741" customFormat="1" ht="35.25" customHeight="1" thickBot="1" x14ac:dyDescent="0.25">
      <c r="A45" s="245"/>
      <c r="B45" s="2045" t="s">
        <v>55</v>
      </c>
      <c r="C45" s="2046"/>
      <c r="D45" s="2046"/>
      <c r="E45" s="2047"/>
      <c r="F45" s="1292"/>
      <c r="G45" s="753"/>
      <c r="H45" s="1293"/>
      <c r="I45" s="2036"/>
      <c r="J45" s="2037"/>
      <c r="K45" s="2037"/>
      <c r="L45" s="2038"/>
      <c r="M45" s="980"/>
      <c r="N45" s="979"/>
      <c r="O45" s="980"/>
      <c r="P45" s="980"/>
      <c r="Q45" s="980"/>
      <c r="R45" s="980"/>
      <c r="S45" s="980"/>
      <c r="T45" s="981"/>
    </row>
    <row r="46" spans="1:20" s="741" customFormat="1" ht="6" customHeight="1" x14ac:dyDescent="0.2">
      <c r="A46" s="1291"/>
      <c r="B46" s="1294"/>
      <c r="C46" s="1294"/>
      <c r="D46" s="1294"/>
      <c r="E46" s="170"/>
      <c r="F46" s="621"/>
      <c r="G46" s="621"/>
      <c r="H46" s="621"/>
      <c r="I46" s="1295"/>
      <c r="J46" s="1295"/>
      <c r="K46" s="1295"/>
      <c r="L46" s="1295"/>
      <c r="M46" s="1295"/>
      <c r="N46" s="1295"/>
      <c r="O46" s="1295"/>
      <c r="P46" s="1295"/>
      <c r="Q46" s="1295"/>
      <c r="R46" s="1295"/>
      <c r="S46" s="1295"/>
    </row>
    <row r="47" spans="1:20" ht="14.25" x14ac:dyDescent="0.2">
      <c r="A47" s="982"/>
      <c r="B47" s="523"/>
      <c r="C47" s="523"/>
      <c r="D47" s="523"/>
      <c r="E47" s="523"/>
      <c r="F47" s="982"/>
      <c r="G47" s="982"/>
      <c r="H47" s="982"/>
      <c r="I47" s="2"/>
      <c r="J47" s="2"/>
      <c r="K47" s="2"/>
      <c r="L47" s="2"/>
      <c r="M47" s="2"/>
      <c r="N47" s="2"/>
      <c r="O47" s="2"/>
      <c r="P47" s="2"/>
      <c r="Q47" s="2"/>
      <c r="R47" s="2"/>
      <c r="S47" s="2"/>
      <c r="T47" s="69"/>
    </row>
    <row r="48" spans="1:20" ht="14.25" x14ac:dyDescent="0.2">
      <c r="A48" s="983"/>
      <c r="B48" s="88"/>
      <c r="C48" s="88"/>
      <c r="D48" s="88"/>
      <c r="E48" s="88"/>
      <c r="F48" s="983"/>
      <c r="G48" s="983"/>
      <c r="H48" s="983"/>
      <c r="I48" s="69"/>
      <c r="J48" s="69"/>
      <c r="K48" s="69"/>
      <c r="L48" s="69"/>
      <c r="M48" s="69"/>
      <c r="N48" s="69"/>
      <c r="O48" s="69"/>
      <c r="P48" s="69"/>
      <c r="Q48" s="69"/>
      <c r="R48" s="69"/>
      <c r="S48" s="69"/>
      <c r="T48" s="69"/>
    </row>
    <row r="49" spans="1:20" ht="14.25" x14ac:dyDescent="0.2">
      <c r="A49" s="983"/>
      <c r="B49" s="88"/>
      <c r="C49" s="88"/>
      <c r="D49" s="88"/>
      <c r="E49" s="88"/>
      <c r="F49" s="983"/>
      <c r="G49" s="983"/>
      <c r="H49" s="983"/>
      <c r="I49" s="69"/>
      <c r="J49" s="69"/>
      <c r="K49" s="69"/>
      <c r="L49" s="69"/>
      <c r="M49" s="69"/>
      <c r="N49" s="69"/>
      <c r="O49" s="69"/>
      <c r="P49" s="69"/>
      <c r="Q49" s="69"/>
      <c r="R49" s="69"/>
      <c r="S49" s="69"/>
      <c r="T49" s="69"/>
    </row>
    <row r="50" spans="1:20" ht="14.25" x14ac:dyDescent="0.2">
      <c r="A50" s="983"/>
      <c r="B50" s="88"/>
      <c r="C50" s="88"/>
      <c r="D50" s="88"/>
      <c r="E50" s="88"/>
      <c r="F50" s="983"/>
      <c r="G50" s="983"/>
      <c r="H50" s="983"/>
      <c r="I50" s="69"/>
      <c r="J50" s="69"/>
      <c r="K50" s="69"/>
      <c r="L50" s="69"/>
      <c r="M50" s="69"/>
      <c r="N50" s="69"/>
      <c r="O50" s="69"/>
      <c r="P50" s="69"/>
      <c r="Q50" s="69"/>
      <c r="R50" s="69"/>
      <c r="S50" s="69"/>
      <c r="T50" s="69"/>
    </row>
    <row r="51" spans="1:20" ht="14.25" x14ac:dyDescent="0.2">
      <c r="A51" s="983"/>
      <c r="B51" s="88"/>
      <c r="C51" s="88"/>
      <c r="D51" s="88"/>
      <c r="E51" s="88"/>
      <c r="F51" s="983"/>
      <c r="G51" s="983"/>
      <c r="H51" s="983"/>
      <c r="I51" s="69"/>
      <c r="J51" s="69"/>
      <c r="K51" s="69"/>
      <c r="L51" s="69"/>
      <c r="M51" s="69"/>
      <c r="N51" s="69"/>
      <c r="O51" s="69"/>
      <c r="P51" s="69"/>
      <c r="Q51" s="69"/>
      <c r="R51" s="69"/>
      <c r="S51" s="69"/>
      <c r="T51" s="69"/>
    </row>
    <row r="52" spans="1:20" x14ac:dyDescent="0.2">
      <c r="A52" s="983"/>
      <c r="B52" s="983"/>
      <c r="C52" s="983"/>
      <c r="D52" s="983"/>
      <c r="E52" s="983"/>
      <c r="F52" s="983"/>
      <c r="G52" s="983"/>
      <c r="H52" s="983"/>
      <c r="I52" s="69"/>
      <c r="J52" s="69"/>
      <c r="K52" s="69"/>
      <c r="L52" s="69"/>
      <c r="M52" s="69"/>
      <c r="N52" s="69"/>
      <c r="O52" s="69"/>
      <c r="P52" s="69"/>
      <c r="Q52" s="69"/>
      <c r="R52" s="69"/>
      <c r="S52" s="69"/>
      <c r="T52" s="69"/>
    </row>
    <row r="53" spans="1:20" x14ac:dyDescent="0.2">
      <c r="A53" s="983"/>
      <c r="B53" s="983"/>
      <c r="C53" s="983"/>
      <c r="D53" s="983"/>
      <c r="E53" s="983"/>
      <c r="F53" s="983"/>
      <c r="G53" s="983"/>
      <c r="H53" s="983"/>
      <c r="I53" s="69"/>
      <c r="J53" s="69"/>
      <c r="K53" s="69"/>
      <c r="L53" s="69"/>
      <c r="M53" s="69"/>
      <c r="N53" s="69"/>
      <c r="O53" s="69"/>
      <c r="P53" s="69"/>
      <c r="Q53" s="69"/>
      <c r="R53" s="69"/>
      <c r="S53" s="69"/>
      <c r="T53" s="69"/>
    </row>
    <row r="54" spans="1:20" x14ac:dyDescent="0.2">
      <c r="A54" s="983"/>
      <c r="B54" s="983"/>
      <c r="C54" s="983"/>
      <c r="D54" s="983"/>
      <c r="E54" s="983"/>
      <c r="F54" s="983"/>
      <c r="G54" s="983"/>
      <c r="H54" s="983"/>
      <c r="I54" s="69"/>
      <c r="J54" s="69"/>
      <c r="K54" s="69"/>
      <c r="L54" s="69"/>
      <c r="M54" s="69"/>
      <c r="N54" s="69"/>
      <c r="O54" s="69"/>
      <c r="P54" s="69"/>
      <c r="Q54" s="69"/>
      <c r="R54" s="69"/>
      <c r="S54" s="69"/>
      <c r="T54" s="69"/>
    </row>
    <row r="55" spans="1:20" x14ac:dyDescent="0.2">
      <c r="A55" s="69"/>
      <c r="B55" s="69"/>
      <c r="C55" s="69"/>
      <c r="D55" s="69"/>
      <c r="E55" s="69"/>
      <c r="F55" s="69"/>
      <c r="G55" s="69"/>
      <c r="H55" s="69"/>
      <c r="I55" s="69"/>
      <c r="J55" s="69"/>
      <c r="K55" s="69"/>
      <c r="L55" s="69"/>
      <c r="M55" s="69"/>
      <c r="N55" s="69"/>
      <c r="O55" s="69"/>
      <c r="P55" s="69"/>
      <c r="Q55" s="69"/>
      <c r="R55" s="69"/>
      <c r="S55" s="69"/>
      <c r="T55" s="69"/>
    </row>
    <row r="56" spans="1:20" x14ac:dyDescent="0.2">
      <c r="A56" s="69"/>
      <c r="B56" s="69"/>
      <c r="C56" s="69"/>
      <c r="D56" s="69"/>
      <c r="E56" s="69"/>
      <c r="F56" s="69"/>
      <c r="G56" s="69"/>
      <c r="H56" s="69"/>
      <c r="I56" s="69"/>
      <c r="J56" s="69"/>
      <c r="K56" s="69"/>
      <c r="L56" s="69"/>
      <c r="M56" s="69"/>
      <c r="N56" s="69"/>
      <c r="O56" s="69"/>
      <c r="P56" s="69"/>
      <c r="Q56" s="69"/>
      <c r="R56" s="69"/>
      <c r="S56" s="69"/>
      <c r="T56" s="69"/>
    </row>
    <row r="57" spans="1:20" x14ac:dyDescent="0.2">
      <c r="A57" s="69"/>
      <c r="B57" s="69"/>
      <c r="C57" s="69"/>
      <c r="D57" s="69"/>
      <c r="E57" s="69"/>
      <c r="F57" s="69"/>
      <c r="G57" s="69"/>
      <c r="H57" s="69"/>
      <c r="I57" s="69"/>
      <c r="J57" s="69"/>
      <c r="K57" s="69"/>
      <c r="L57" s="69"/>
      <c r="M57" s="69"/>
      <c r="N57" s="69"/>
      <c r="O57" s="69"/>
      <c r="P57" s="69"/>
      <c r="Q57" s="69"/>
      <c r="R57" s="69"/>
      <c r="S57" s="69"/>
      <c r="T57" s="69"/>
    </row>
    <row r="58" spans="1:20" x14ac:dyDescent="0.2">
      <c r="A58" s="69"/>
      <c r="B58" s="69"/>
      <c r="C58" s="69"/>
      <c r="D58" s="69"/>
      <c r="E58" s="69"/>
      <c r="F58" s="69"/>
      <c r="G58" s="69"/>
      <c r="H58" s="69"/>
      <c r="I58" s="69"/>
      <c r="J58" s="69"/>
      <c r="K58" s="69"/>
      <c r="L58" s="69"/>
      <c r="M58" s="69"/>
      <c r="N58" s="69"/>
      <c r="O58" s="69"/>
      <c r="P58" s="69"/>
      <c r="Q58" s="69"/>
      <c r="R58" s="69"/>
      <c r="S58" s="69"/>
      <c r="T58" s="69"/>
    </row>
    <row r="59" spans="1:20" x14ac:dyDescent="0.2">
      <c r="A59" s="69"/>
      <c r="B59" s="69"/>
      <c r="C59" s="69"/>
      <c r="D59" s="69"/>
      <c r="E59" s="69"/>
      <c r="F59" s="69"/>
      <c r="G59" s="69"/>
      <c r="H59" s="69"/>
      <c r="I59" s="69"/>
      <c r="J59" s="69"/>
      <c r="K59" s="69"/>
      <c r="L59" s="69"/>
      <c r="M59" s="69"/>
      <c r="N59" s="69"/>
      <c r="O59" s="69"/>
      <c r="P59" s="69"/>
      <c r="Q59" s="69"/>
      <c r="R59" s="69"/>
      <c r="S59" s="69"/>
      <c r="T59" s="69"/>
    </row>
    <row r="60" spans="1:20" x14ac:dyDescent="0.2">
      <c r="A60" s="69"/>
      <c r="B60" s="69"/>
      <c r="C60" s="69"/>
      <c r="D60" s="69"/>
      <c r="E60" s="69"/>
      <c r="F60" s="69"/>
      <c r="G60" s="69"/>
      <c r="H60" s="69"/>
      <c r="I60" s="69"/>
      <c r="J60" s="69"/>
      <c r="K60" s="69"/>
      <c r="L60" s="69"/>
      <c r="M60" s="69"/>
      <c r="N60" s="69"/>
      <c r="O60" s="69"/>
      <c r="P60" s="69"/>
      <c r="Q60" s="69"/>
      <c r="R60" s="69"/>
      <c r="S60" s="69"/>
      <c r="T60" s="69"/>
    </row>
    <row r="61" spans="1:20" x14ac:dyDescent="0.2">
      <c r="A61" s="69"/>
      <c r="B61" s="69"/>
      <c r="C61" s="69"/>
      <c r="D61" s="69"/>
      <c r="E61" s="69"/>
      <c r="F61" s="69"/>
      <c r="G61" s="69"/>
      <c r="H61" s="69"/>
      <c r="I61" s="69"/>
      <c r="J61" s="69"/>
      <c r="K61" s="69"/>
      <c r="L61" s="69"/>
      <c r="M61" s="69"/>
      <c r="N61" s="69"/>
      <c r="O61" s="69"/>
      <c r="P61" s="69"/>
      <c r="Q61" s="69"/>
      <c r="R61" s="69"/>
      <c r="S61" s="69"/>
      <c r="T61" s="69"/>
    </row>
    <row r="62" spans="1:20" x14ac:dyDescent="0.2">
      <c r="A62" s="69"/>
      <c r="B62" s="69"/>
      <c r="C62" s="69"/>
      <c r="D62" s="69"/>
      <c r="E62" s="69"/>
      <c r="F62" s="69"/>
      <c r="G62" s="69"/>
      <c r="H62" s="69"/>
      <c r="I62" s="69"/>
      <c r="J62" s="69"/>
      <c r="K62" s="69"/>
      <c r="L62" s="69"/>
      <c r="M62" s="69"/>
      <c r="N62" s="69"/>
      <c r="O62" s="69"/>
      <c r="P62" s="69"/>
      <c r="Q62" s="69"/>
      <c r="R62" s="69"/>
      <c r="S62" s="69"/>
      <c r="T62" s="69"/>
    </row>
    <row r="63" spans="1:20" x14ac:dyDescent="0.2">
      <c r="A63" s="69"/>
      <c r="B63" s="69"/>
      <c r="C63" s="69"/>
      <c r="D63" s="69"/>
      <c r="E63" s="69"/>
      <c r="F63" s="69"/>
      <c r="G63" s="69"/>
      <c r="H63" s="69"/>
      <c r="I63" s="69"/>
      <c r="J63" s="69"/>
      <c r="K63" s="69"/>
      <c r="L63" s="69"/>
      <c r="M63" s="69"/>
      <c r="N63" s="69"/>
      <c r="O63" s="69"/>
      <c r="P63" s="69"/>
      <c r="Q63" s="69"/>
      <c r="R63" s="69"/>
      <c r="S63" s="69"/>
      <c r="T63" s="69"/>
    </row>
    <row r="64" spans="1:20" x14ac:dyDescent="0.2">
      <c r="A64" s="69"/>
      <c r="B64" s="69"/>
      <c r="C64" s="69"/>
      <c r="D64" s="69"/>
      <c r="E64" s="69"/>
      <c r="F64" s="69"/>
      <c r="G64" s="69"/>
      <c r="H64" s="69"/>
      <c r="I64" s="69"/>
      <c r="J64" s="69"/>
      <c r="K64" s="69"/>
      <c r="L64" s="69"/>
      <c r="M64" s="69"/>
      <c r="N64" s="69"/>
      <c r="O64" s="69"/>
      <c r="P64" s="69"/>
      <c r="Q64" s="69"/>
      <c r="R64" s="69"/>
      <c r="S64" s="69"/>
      <c r="T64" s="69"/>
    </row>
    <row r="65" spans="1:20" x14ac:dyDescent="0.2">
      <c r="A65" s="69"/>
      <c r="B65" s="69"/>
      <c r="C65" s="69"/>
      <c r="D65" s="69"/>
      <c r="E65" s="69"/>
      <c r="F65" s="69"/>
      <c r="G65" s="69"/>
      <c r="H65" s="69"/>
      <c r="I65" s="69"/>
      <c r="J65" s="69"/>
      <c r="K65" s="69"/>
      <c r="L65" s="69"/>
      <c r="M65" s="69"/>
      <c r="N65" s="69"/>
      <c r="O65" s="69"/>
      <c r="P65" s="69"/>
      <c r="Q65" s="69"/>
      <c r="R65" s="69"/>
      <c r="S65" s="69"/>
      <c r="T65" s="69"/>
    </row>
    <row r="66" spans="1:20" x14ac:dyDescent="0.2">
      <c r="A66" s="69"/>
      <c r="B66" s="69"/>
      <c r="C66" s="69"/>
      <c r="D66" s="69"/>
      <c r="E66" s="69"/>
      <c r="F66" s="69"/>
      <c r="G66" s="69"/>
      <c r="H66" s="69"/>
      <c r="I66" s="69"/>
      <c r="J66" s="69"/>
      <c r="K66" s="69"/>
      <c r="L66" s="69"/>
      <c r="M66" s="69"/>
      <c r="N66" s="69"/>
      <c r="O66" s="69"/>
      <c r="P66" s="69"/>
      <c r="Q66" s="69"/>
      <c r="R66" s="69"/>
      <c r="S66" s="69"/>
      <c r="T66" s="69"/>
    </row>
    <row r="67" spans="1:20" x14ac:dyDescent="0.2">
      <c r="A67" s="69"/>
      <c r="B67" s="69"/>
      <c r="C67" s="69"/>
      <c r="D67" s="69"/>
      <c r="E67" s="69"/>
      <c r="F67" s="69"/>
      <c r="G67" s="69"/>
      <c r="H67" s="69"/>
      <c r="I67" s="69"/>
      <c r="J67" s="69"/>
      <c r="K67" s="69"/>
      <c r="L67" s="69"/>
      <c r="M67" s="69"/>
      <c r="N67" s="69"/>
      <c r="O67" s="69"/>
      <c r="P67" s="69"/>
      <c r="Q67" s="69"/>
      <c r="R67" s="69"/>
      <c r="S67" s="69"/>
      <c r="T67" s="69"/>
    </row>
    <row r="68" spans="1:20" x14ac:dyDescent="0.2">
      <c r="A68" s="69"/>
      <c r="B68" s="69"/>
      <c r="C68" s="69"/>
      <c r="D68" s="69"/>
      <c r="E68" s="69"/>
      <c r="F68" s="69"/>
      <c r="G68" s="69"/>
      <c r="H68" s="69"/>
      <c r="I68" s="69"/>
      <c r="J68" s="69"/>
      <c r="K68" s="69"/>
      <c r="L68" s="69"/>
      <c r="M68" s="69"/>
      <c r="N68" s="69"/>
      <c r="O68" s="69"/>
      <c r="P68" s="69"/>
      <c r="Q68" s="69"/>
      <c r="R68" s="69"/>
      <c r="S68" s="69"/>
      <c r="T68" s="69"/>
    </row>
    <row r="69" spans="1:20" x14ac:dyDescent="0.2">
      <c r="A69" s="69"/>
      <c r="B69" s="69"/>
      <c r="C69" s="69"/>
      <c r="D69" s="69"/>
      <c r="E69" s="69"/>
      <c r="F69" s="69"/>
      <c r="G69" s="69"/>
      <c r="H69" s="69"/>
      <c r="I69" s="69"/>
      <c r="J69" s="69"/>
      <c r="K69" s="69"/>
      <c r="L69" s="69"/>
      <c r="M69" s="69"/>
      <c r="N69" s="69"/>
      <c r="O69" s="69"/>
      <c r="P69" s="69"/>
      <c r="Q69" s="69"/>
      <c r="R69" s="69"/>
      <c r="S69" s="69"/>
      <c r="T69" s="69"/>
    </row>
    <row r="70" spans="1:20" x14ac:dyDescent="0.2">
      <c r="A70" s="69"/>
      <c r="B70" s="69"/>
      <c r="C70" s="69"/>
      <c r="D70" s="69"/>
      <c r="E70" s="69"/>
      <c r="F70" s="69"/>
      <c r="G70" s="69"/>
      <c r="H70" s="69"/>
      <c r="I70" s="69"/>
      <c r="J70" s="69"/>
      <c r="K70" s="69"/>
      <c r="L70" s="69"/>
      <c r="M70" s="69"/>
      <c r="N70" s="69"/>
      <c r="O70" s="69"/>
      <c r="P70" s="69"/>
      <c r="Q70" s="69"/>
      <c r="R70" s="69"/>
      <c r="S70" s="69"/>
      <c r="T70" s="69"/>
    </row>
    <row r="71" spans="1:20" x14ac:dyDescent="0.2">
      <c r="A71" s="69"/>
      <c r="B71" s="69"/>
      <c r="C71" s="69"/>
      <c r="D71" s="69"/>
      <c r="E71" s="69"/>
      <c r="F71" s="69"/>
      <c r="G71" s="69"/>
      <c r="H71" s="69"/>
      <c r="I71" s="69"/>
      <c r="J71" s="69"/>
      <c r="K71" s="69"/>
      <c r="L71" s="69"/>
      <c r="M71" s="69"/>
      <c r="N71" s="69"/>
      <c r="O71" s="69"/>
      <c r="P71" s="69"/>
      <c r="Q71" s="69"/>
      <c r="R71" s="69"/>
      <c r="S71" s="69"/>
      <c r="T71" s="69"/>
    </row>
    <row r="72" spans="1:20" x14ac:dyDescent="0.2">
      <c r="A72" s="69"/>
      <c r="B72" s="69"/>
      <c r="C72" s="69"/>
      <c r="D72" s="69"/>
      <c r="E72" s="69"/>
      <c r="F72" s="69"/>
      <c r="G72" s="69"/>
      <c r="H72" s="69"/>
      <c r="I72" s="69"/>
      <c r="J72" s="69"/>
      <c r="K72" s="69"/>
      <c r="L72" s="69"/>
      <c r="M72" s="69"/>
      <c r="N72" s="69"/>
      <c r="O72" s="69"/>
      <c r="P72" s="69"/>
      <c r="Q72" s="69"/>
      <c r="R72" s="69"/>
      <c r="S72" s="69"/>
      <c r="T72" s="69"/>
    </row>
    <row r="73" spans="1:20" x14ac:dyDescent="0.2">
      <c r="A73" s="69"/>
      <c r="B73" s="69"/>
      <c r="C73" s="69"/>
      <c r="D73" s="69"/>
      <c r="E73" s="69"/>
      <c r="F73" s="69"/>
      <c r="G73" s="69"/>
      <c r="H73" s="69"/>
      <c r="I73" s="69"/>
      <c r="J73" s="69"/>
      <c r="K73" s="69"/>
      <c r="L73" s="69"/>
      <c r="M73" s="69"/>
      <c r="N73" s="69"/>
      <c r="O73" s="69"/>
      <c r="P73" s="69"/>
      <c r="Q73" s="69"/>
      <c r="R73" s="69"/>
      <c r="S73" s="69"/>
      <c r="T73" s="69"/>
    </row>
    <row r="74" spans="1:20" x14ac:dyDescent="0.2">
      <c r="A74" s="69"/>
      <c r="B74" s="69"/>
      <c r="C74" s="69"/>
      <c r="D74" s="69"/>
      <c r="E74" s="69"/>
      <c r="F74" s="69"/>
      <c r="G74" s="69"/>
      <c r="H74" s="69"/>
      <c r="I74" s="69"/>
      <c r="J74" s="69"/>
      <c r="K74" s="69"/>
      <c r="L74" s="69"/>
      <c r="M74" s="69"/>
      <c r="N74" s="69"/>
      <c r="O74" s="69"/>
      <c r="P74" s="69"/>
      <c r="Q74" s="69"/>
      <c r="R74" s="69"/>
      <c r="S74" s="69"/>
      <c r="T74" s="69"/>
    </row>
    <row r="75" spans="1:20" x14ac:dyDescent="0.2">
      <c r="A75" s="69"/>
      <c r="B75" s="69"/>
      <c r="C75" s="69"/>
      <c r="D75" s="69"/>
      <c r="E75" s="69"/>
      <c r="F75" s="69"/>
      <c r="G75" s="69"/>
      <c r="H75" s="69"/>
      <c r="I75" s="69"/>
      <c r="J75" s="69"/>
      <c r="K75" s="69"/>
      <c r="L75" s="69"/>
      <c r="M75" s="69"/>
      <c r="N75" s="69"/>
      <c r="O75" s="69"/>
      <c r="P75" s="69"/>
      <c r="Q75" s="69"/>
      <c r="R75" s="69"/>
      <c r="S75" s="69"/>
      <c r="T75" s="69"/>
    </row>
    <row r="76" spans="1:20" x14ac:dyDescent="0.2">
      <c r="A76" s="69"/>
      <c r="B76" s="69"/>
      <c r="C76" s="69"/>
      <c r="D76" s="69"/>
      <c r="E76" s="69"/>
      <c r="F76" s="69"/>
      <c r="G76" s="69"/>
      <c r="H76" s="69"/>
      <c r="I76" s="69"/>
      <c r="J76" s="69"/>
      <c r="K76" s="69"/>
      <c r="L76" s="69"/>
      <c r="M76" s="69"/>
      <c r="N76" s="69"/>
      <c r="O76" s="69"/>
      <c r="P76" s="69"/>
      <c r="Q76" s="69"/>
      <c r="R76" s="69"/>
      <c r="S76" s="69"/>
      <c r="T76" s="69"/>
    </row>
    <row r="77" spans="1:20" x14ac:dyDescent="0.2">
      <c r="A77" s="69"/>
      <c r="B77" s="69"/>
      <c r="C77" s="69"/>
      <c r="D77" s="69"/>
      <c r="E77" s="69"/>
      <c r="F77" s="69"/>
      <c r="G77" s="69"/>
      <c r="H77" s="69"/>
      <c r="I77" s="69"/>
      <c r="J77" s="69"/>
      <c r="K77" s="69"/>
      <c r="L77" s="69"/>
      <c r="M77" s="69"/>
      <c r="N77" s="69"/>
      <c r="O77" s="69"/>
      <c r="P77" s="69"/>
      <c r="Q77" s="69"/>
      <c r="R77" s="69"/>
      <c r="S77" s="69"/>
      <c r="T77" s="69"/>
    </row>
    <row r="78" spans="1:20" x14ac:dyDescent="0.2">
      <c r="A78" s="69"/>
      <c r="B78" s="69"/>
      <c r="C78" s="69"/>
      <c r="D78" s="69"/>
      <c r="E78" s="69"/>
      <c r="F78" s="69"/>
      <c r="G78" s="69"/>
      <c r="H78" s="69"/>
      <c r="I78" s="69"/>
      <c r="J78" s="69"/>
      <c r="K78" s="69"/>
      <c r="L78" s="69"/>
      <c r="M78" s="69"/>
      <c r="N78" s="69"/>
      <c r="O78" s="69"/>
      <c r="P78" s="69"/>
      <c r="Q78" s="69"/>
      <c r="R78" s="69"/>
      <c r="S78" s="69"/>
      <c r="T78" s="69"/>
    </row>
    <row r="79" spans="1:20" x14ac:dyDescent="0.2">
      <c r="A79" s="69"/>
      <c r="B79" s="69"/>
      <c r="C79" s="69"/>
      <c r="D79" s="69"/>
      <c r="E79" s="69"/>
      <c r="F79" s="69"/>
      <c r="G79" s="69"/>
      <c r="H79" s="69"/>
      <c r="I79" s="69"/>
      <c r="J79" s="69"/>
      <c r="K79" s="69"/>
      <c r="L79" s="69"/>
      <c r="M79" s="69"/>
      <c r="N79" s="69"/>
      <c r="O79" s="69"/>
      <c r="P79" s="69"/>
      <c r="Q79" s="69"/>
      <c r="R79" s="69"/>
      <c r="S79" s="69"/>
      <c r="T79" s="69"/>
    </row>
    <row r="80" spans="1:20" x14ac:dyDescent="0.2">
      <c r="A80" s="69"/>
      <c r="B80" s="69"/>
      <c r="C80" s="69"/>
      <c r="D80" s="69"/>
      <c r="E80" s="69"/>
      <c r="F80" s="69"/>
      <c r="G80" s="69"/>
      <c r="H80" s="69"/>
      <c r="I80" s="69"/>
      <c r="J80" s="69"/>
      <c r="K80" s="69"/>
      <c r="L80" s="69"/>
      <c r="M80" s="69"/>
      <c r="N80" s="69"/>
      <c r="O80" s="69"/>
      <c r="P80" s="69"/>
      <c r="Q80" s="69"/>
      <c r="R80" s="69"/>
      <c r="S80" s="69"/>
      <c r="T80" s="69"/>
    </row>
  </sheetData>
  <sheetProtection password="92D1" sheet="1" formatCells="0" formatColumns="0" formatRows="0"/>
  <mergeCells count="17">
    <mergeCell ref="A27:H28"/>
    <mergeCell ref="I41:L41"/>
    <mergeCell ref="I43:L43"/>
    <mergeCell ref="I45:L45"/>
    <mergeCell ref="I27:S28"/>
    <mergeCell ref="B45:E45"/>
    <mergeCell ref="A31:A33"/>
    <mergeCell ref="H34:M34"/>
    <mergeCell ref="A1:J1"/>
    <mergeCell ref="A3:E3"/>
    <mergeCell ref="F3:I3"/>
    <mergeCell ref="F6:I6"/>
    <mergeCell ref="A25:T25"/>
    <mergeCell ref="A24:T24"/>
    <mergeCell ref="A11:S11"/>
    <mergeCell ref="A12:S12"/>
    <mergeCell ref="D7:I7"/>
  </mergeCells>
  <phoneticPr fontId="36" type="noConversion"/>
  <conditionalFormatting sqref="E16">
    <cfRule type="cellIs" dxfId="46" priority="6" stopIfTrue="1" operator="equal">
      <formula>$S$5</formula>
    </cfRule>
  </conditionalFormatting>
  <conditionalFormatting sqref="H16">
    <cfRule type="cellIs" dxfId="45" priority="5" stopIfTrue="1" operator="equal">
      <formula>$S$5</formula>
    </cfRule>
  </conditionalFormatting>
  <conditionalFormatting sqref="E18">
    <cfRule type="cellIs" dxfId="44" priority="4" stopIfTrue="1" operator="equal">
      <formula>$S$5</formula>
    </cfRule>
  </conditionalFormatting>
  <conditionalFormatting sqref="H18">
    <cfRule type="cellIs" dxfId="43" priority="3" stopIfTrue="1" operator="equal">
      <formula>$S$5</formula>
    </cfRule>
  </conditionalFormatting>
  <conditionalFormatting sqref="E22">
    <cfRule type="cellIs" dxfId="42" priority="2" stopIfTrue="1" operator="equal">
      <formula>$S$5</formula>
    </cfRule>
  </conditionalFormatting>
  <conditionalFormatting sqref="H22">
    <cfRule type="cellIs" dxfId="41" priority="1" stopIfTrue="1" operator="equal">
      <formula>$S$5</formula>
    </cfRule>
  </conditionalFormatting>
  <dataValidations count="3">
    <dataValidation type="list" allowBlank="1" showInputMessage="1" showErrorMessage="1" sqref="I38:I39">
      <formula1>"Select,Yes,No"</formula1>
    </dataValidation>
    <dataValidation type="list" allowBlank="1" showInputMessage="1" showErrorMessage="1" sqref="E2:I2">
      <formula1>"Select,USD,EUR"</formula1>
    </dataValidation>
    <dataValidation type="list" allowBlank="1" showInputMessage="1" showErrorMessage="1" sqref="C21">
      <formula1>"Select ,1M, 2M, 3M"</formula1>
    </dataValidation>
  </dataValidations>
  <printOptions horizontalCentered="1"/>
  <pageMargins left="0.74803149606299213" right="0.74803149606299213" top="0.59055118110236227" bottom="0.59055118110236227" header="0.51181102362204722" footer="0.51181102362204722"/>
  <pageSetup paperSize="9" scale="48" fitToHeight="0" orientation="landscape" cellComments="asDisplayed" r:id="rId1"/>
  <headerFooter alignWithMargins="0">
    <oddFooter>&amp;L&amp;9&amp;F&amp;C&amp;A&amp;R&amp;9Page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O31"/>
  <sheetViews>
    <sheetView showGridLines="0" view="pageBreakPreview" zoomScale="85" zoomScaleNormal="75" zoomScaleSheetLayoutView="85" workbookViewId="0">
      <selection activeCell="E34" sqref="E34:E35"/>
    </sheetView>
  </sheetViews>
  <sheetFormatPr defaultRowHeight="12.75" x14ac:dyDescent="0.2"/>
  <cols>
    <col min="1" max="1" width="9.140625" style="72"/>
    <col min="2" max="2" width="33.85546875" style="72" customWidth="1"/>
    <col min="3" max="3" width="22.42578125" style="72" customWidth="1"/>
    <col min="4" max="4" width="16.7109375" style="72" customWidth="1"/>
    <col min="5" max="5" width="12.5703125" style="72" customWidth="1"/>
    <col min="6" max="6" width="15.7109375" style="72" customWidth="1"/>
    <col min="7" max="11" width="9.140625" style="72"/>
    <col min="12" max="12" width="3.28515625" style="72" customWidth="1"/>
    <col min="13" max="14" width="9.140625" style="72"/>
    <col min="15" max="15" width="10.85546875" style="72" customWidth="1"/>
    <col min="16" max="16384" width="9.140625" style="72"/>
  </cols>
  <sheetData>
    <row r="1" spans="1:15" ht="35.25" customHeight="1" x14ac:dyDescent="0.2">
      <c r="A1" s="1678" t="s">
        <v>61</v>
      </c>
      <c r="B1" s="1678"/>
      <c r="C1" s="1678"/>
      <c r="D1" s="1678"/>
      <c r="E1" s="1678"/>
      <c r="F1" s="1678"/>
      <c r="G1" s="35"/>
      <c r="H1" s="35"/>
      <c r="I1" s="12"/>
      <c r="J1" s="12"/>
      <c r="K1" s="12"/>
    </row>
    <row r="2" spans="1:15" ht="16.5" thickBot="1" x14ac:dyDescent="0.3">
      <c r="A2" s="98" t="s">
        <v>156</v>
      </c>
    </row>
    <row r="3" spans="1:15" ht="15.75" thickBot="1" x14ac:dyDescent="0.25">
      <c r="A3" s="1679" t="s">
        <v>70</v>
      </c>
      <c r="B3" s="1680"/>
      <c r="C3" s="1751" t="str">
        <f>IF('LFA_Programmatic Progress_1A'!C7="","",'LFA_Programmatic Progress_1A'!C7)</f>
        <v>MNR-809-G04-H</v>
      </c>
      <c r="D3" s="1752"/>
      <c r="E3" s="1752"/>
      <c r="F3" s="1753"/>
      <c r="G3" s="73"/>
      <c r="H3" s="73"/>
      <c r="I3" s="73"/>
      <c r="J3" s="73"/>
      <c r="K3" s="73"/>
    </row>
    <row r="4" spans="1:15" ht="15" x14ac:dyDescent="0.2">
      <c r="A4" s="465" t="s">
        <v>277</v>
      </c>
      <c r="B4" s="483"/>
      <c r="C4" s="53" t="s">
        <v>283</v>
      </c>
      <c r="D4" s="477" t="str">
        <f>IF('LFA_Programmatic Progress_1A'!D12="Select","",'LFA_Programmatic Progress_1A'!D12)</f>
        <v>Quarter</v>
      </c>
      <c r="E4" s="5" t="s">
        <v>284</v>
      </c>
      <c r="F4" s="47">
        <f>IF('LFA_Programmatic Progress_1A'!F12="Select","",'LFA_Programmatic Progress_1A'!F12)</f>
        <v>7</v>
      </c>
      <c r="G4" s="73"/>
      <c r="H4" s="73"/>
      <c r="I4" s="73"/>
      <c r="J4" s="73"/>
      <c r="K4" s="73"/>
    </row>
    <row r="5" spans="1:15" ht="15" x14ac:dyDescent="0.2">
      <c r="A5" s="484" t="s">
        <v>278</v>
      </c>
      <c r="B5" s="40"/>
      <c r="C5" s="54" t="s">
        <v>246</v>
      </c>
      <c r="D5" s="490">
        <f>IF('LFA_Programmatic Progress_1A'!D13="","",'LFA_Programmatic Progress_1A'!D13)</f>
        <v>40452</v>
      </c>
      <c r="E5" s="5" t="s">
        <v>264</v>
      </c>
      <c r="F5" s="491">
        <f>IF('LFA_Programmatic Progress_1A'!F13="","",'LFA_Programmatic Progress_1A'!F13)</f>
        <v>40543</v>
      </c>
      <c r="G5" s="73"/>
      <c r="H5" s="73"/>
      <c r="I5" s="73"/>
      <c r="J5" s="73"/>
      <c r="K5" s="73"/>
    </row>
    <row r="6" spans="1:15" ht="15.75" thickBot="1" x14ac:dyDescent="0.25">
      <c r="A6" s="55" t="s">
        <v>279</v>
      </c>
      <c r="B6" s="41"/>
      <c r="C6" s="1764">
        <f>IF('LFA_Programmatic Progress_1A'!C14="Select","",'LFA_Programmatic Progress_1A'!C14)</f>
        <v>5</v>
      </c>
      <c r="D6" s="1765"/>
      <c r="E6" s="1765"/>
      <c r="F6" s="1766"/>
      <c r="G6" s="73"/>
      <c r="H6" s="73"/>
      <c r="I6" s="73"/>
      <c r="J6" s="73"/>
      <c r="K6" s="73"/>
    </row>
    <row r="8" spans="1:15" ht="20.25" x14ac:dyDescent="0.3">
      <c r="A8" s="173" t="s">
        <v>503</v>
      </c>
      <c r="B8" s="173"/>
      <c r="C8" s="173"/>
      <c r="D8" s="173"/>
      <c r="E8" s="173"/>
      <c r="F8" s="173"/>
      <c r="G8" s="173"/>
      <c r="H8" s="173"/>
      <c r="I8" s="173"/>
      <c r="J8" s="173"/>
      <c r="K8" s="173"/>
    </row>
    <row r="9" spans="1:15" ht="20.25" x14ac:dyDescent="0.3">
      <c r="A9" s="173"/>
      <c r="B9" s="173"/>
      <c r="C9" s="173"/>
      <c r="D9" s="173"/>
      <c r="E9" s="173"/>
      <c r="F9" s="173"/>
      <c r="G9" s="173"/>
      <c r="H9" s="173"/>
      <c r="I9" s="173"/>
      <c r="J9" s="173"/>
      <c r="K9" s="173"/>
    </row>
    <row r="10" spans="1:15" ht="20.25" customHeight="1" x14ac:dyDescent="0.25">
      <c r="A10" s="2054" t="s">
        <v>292</v>
      </c>
      <c r="B10" s="2055"/>
      <c r="C10" s="2055"/>
      <c r="D10" s="2055"/>
      <c r="E10" s="2055"/>
      <c r="F10" s="2055"/>
      <c r="G10" s="2055"/>
      <c r="H10" s="2055"/>
      <c r="I10" s="2055"/>
      <c r="J10" s="2055"/>
      <c r="K10" s="2055"/>
      <c r="L10" s="2055"/>
      <c r="M10" s="2055"/>
      <c r="N10" s="2055"/>
      <c r="O10" s="2055"/>
    </row>
    <row r="11" spans="1:15" ht="36" customHeight="1" x14ac:dyDescent="0.2">
      <c r="A11" s="2052" t="s">
        <v>627</v>
      </c>
      <c r="B11" s="2053"/>
      <c r="C11" s="2053"/>
      <c r="D11" s="2053"/>
      <c r="E11" s="2053"/>
      <c r="F11" s="2053"/>
      <c r="G11" s="2053"/>
      <c r="H11" s="2053"/>
      <c r="I11" s="2053"/>
      <c r="J11" s="2053"/>
      <c r="K11" s="2053"/>
    </row>
    <row r="12" spans="1:15" ht="12.75" customHeight="1" x14ac:dyDescent="0.2">
      <c r="A12" s="2067"/>
      <c r="B12" s="2068"/>
      <c r="C12" s="2068"/>
      <c r="D12" s="2068"/>
      <c r="E12" s="2068"/>
      <c r="F12" s="2068"/>
      <c r="G12" s="2068"/>
      <c r="H12" s="2068"/>
      <c r="I12" s="2068"/>
      <c r="J12" s="2068"/>
      <c r="K12" s="2068"/>
      <c r="L12" s="2068"/>
      <c r="M12" s="2068"/>
      <c r="N12" s="2068"/>
      <c r="O12" s="2069"/>
    </row>
    <row r="13" spans="1:15" ht="12.75" customHeight="1" x14ac:dyDescent="0.2">
      <c r="A13" s="2070"/>
      <c r="B13" s="2071"/>
      <c r="C13" s="2071"/>
      <c r="D13" s="2071"/>
      <c r="E13" s="2071"/>
      <c r="F13" s="2071"/>
      <c r="G13" s="2071"/>
      <c r="H13" s="2071"/>
      <c r="I13" s="2071"/>
      <c r="J13" s="2071"/>
      <c r="K13" s="2071"/>
      <c r="L13" s="2071"/>
      <c r="M13" s="2071"/>
      <c r="N13" s="2071"/>
      <c r="O13" s="2072"/>
    </row>
    <row r="14" spans="1:15" ht="12.75" customHeight="1" x14ac:dyDescent="0.2">
      <c r="A14" s="2070"/>
      <c r="B14" s="2071"/>
      <c r="C14" s="2071"/>
      <c r="D14" s="2071"/>
      <c r="E14" s="2071"/>
      <c r="F14" s="2071"/>
      <c r="G14" s="2071"/>
      <c r="H14" s="2071"/>
      <c r="I14" s="2071"/>
      <c r="J14" s="2071"/>
      <c r="K14" s="2071"/>
      <c r="L14" s="2071"/>
      <c r="M14" s="2071"/>
      <c r="N14" s="2071"/>
      <c r="O14" s="2072"/>
    </row>
    <row r="15" spans="1:15" ht="12.75" customHeight="1" x14ac:dyDescent="0.2">
      <c r="A15" s="2070"/>
      <c r="B15" s="2071"/>
      <c r="C15" s="2071"/>
      <c r="D15" s="2071"/>
      <c r="E15" s="2071"/>
      <c r="F15" s="2071"/>
      <c r="G15" s="2071"/>
      <c r="H15" s="2071"/>
      <c r="I15" s="2071"/>
      <c r="J15" s="2071"/>
      <c r="K15" s="2071"/>
      <c r="L15" s="2071"/>
      <c r="M15" s="2071"/>
      <c r="N15" s="2071"/>
      <c r="O15" s="2072"/>
    </row>
    <row r="16" spans="1:15" ht="81.75" customHeight="1" x14ac:dyDescent="0.2">
      <c r="A16" s="2073"/>
      <c r="B16" s="2074"/>
      <c r="C16" s="2074"/>
      <c r="D16" s="2074"/>
      <c r="E16" s="2074"/>
      <c r="F16" s="2074"/>
      <c r="G16" s="2074"/>
      <c r="H16" s="2074"/>
      <c r="I16" s="2074"/>
      <c r="J16" s="2074"/>
      <c r="K16" s="2074"/>
      <c r="L16" s="2074"/>
      <c r="M16" s="2074"/>
      <c r="N16" s="2074"/>
      <c r="O16" s="2075"/>
    </row>
    <row r="17" spans="1:15" ht="20.25" x14ac:dyDescent="0.3">
      <c r="A17" s="173"/>
      <c r="B17" s="173"/>
      <c r="C17" s="173"/>
      <c r="D17" s="173"/>
      <c r="E17" s="173"/>
      <c r="F17" s="173"/>
      <c r="G17" s="173"/>
      <c r="H17" s="173"/>
      <c r="I17" s="173"/>
      <c r="J17" s="173"/>
      <c r="K17" s="173"/>
    </row>
    <row r="18" spans="1:15" ht="18" x14ac:dyDescent="0.2">
      <c r="A18" s="2056" t="s">
        <v>288</v>
      </c>
      <c r="B18" s="2057"/>
      <c r="C18" s="2057"/>
      <c r="D18" s="2057"/>
      <c r="E18" s="2057"/>
      <c r="F18" s="2057"/>
      <c r="G18" s="2057"/>
      <c r="H18" s="2057"/>
      <c r="I18" s="2057"/>
      <c r="J18" s="2057"/>
      <c r="K18" s="2057"/>
      <c r="L18" s="2057"/>
      <c r="M18" s="2057"/>
      <c r="N18" s="2057"/>
      <c r="O18" s="2057"/>
    </row>
    <row r="19" spans="1:15" ht="12.75" customHeight="1" x14ac:dyDescent="0.2">
      <c r="A19" s="2058"/>
      <c r="B19" s="2059"/>
      <c r="C19" s="2059"/>
      <c r="D19" s="2059"/>
      <c r="E19" s="2059"/>
      <c r="F19" s="2059"/>
      <c r="G19" s="2059"/>
      <c r="H19" s="2059"/>
      <c r="I19" s="2059"/>
      <c r="J19" s="2059"/>
      <c r="K19" s="2059"/>
      <c r="L19" s="2059"/>
      <c r="M19" s="2059"/>
      <c r="N19" s="2059"/>
      <c r="O19" s="2060"/>
    </row>
    <row r="20" spans="1:15" ht="12.75" customHeight="1" x14ac:dyDescent="0.2">
      <c r="A20" s="2061"/>
      <c r="B20" s="2062"/>
      <c r="C20" s="2062"/>
      <c r="D20" s="2062"/>
      <c r="E20" s="2062"/>
      <c r="F20" s="2062"/>
      <c r="G20" s="2062"/>
      <c r="H20" s="2062"/>
      <c r="I20" s="2062"/>
      <c r="J20" s="2062"/>
      <c r="K20" s="2062"/>
      <c r="L20" s="2062"/>
      <c r="M20" s="2062"/>
      <c r="N20" s="2062"/>
      <c r="O20" s="2063"/>
    </row>
    <row r="21" spans="1:15" ht="12.75" customHeight="1" x14ac:dyDescent="0.2">
      <c r="A21" s="2061"/>
      <c r="B21" s="2062"/>
      <c r="C21" s="2062"/>
      <c r="D21" s="2062"/>
      <c r="E21" s="2062"/>
      <c r="F21" s="2062"/>
      <c r="G21" s="2062"/>
      <c r="H21" s="2062"/>
      <c r="I21" s="2062"/>
      <c r="J21" s="2062"/>
      <c r="K21" s="2062"/>
      <c r="L21" s="2062"/>
      <c r="M21" s="2062"/>
      <c r="N21" s="2062"/>
      <c r="O21" s="2063"/>
    </row>
    <row r="22" spans="1:15" ht="12.75" customHeight="1" x14ac:dyDescent="0.2">
      <c r="A22" s="2061"/>
      <c r="B22" s="2062"/>
      <c r="C22" s="2062"/>
      <c r="D22" s="2062"/>
      <c r="E22" s="2062"/>
      <c r="F22" s="2062"/>
      <c r="G22" s="2062"/>
      <c r="H22" s="2062"/>
      <c r="I22" s="2062"/>
      <c r="J22" s="2062"/>
      <c r="K22" s="2062"/>
      <c r="L22" s="2062"/>
      <c r="M22" s="2062"/>
      <c r="N22" s="2062"/>
      <c r="O22" s="2063"/>
    </row>
    <row r="23" spans="1:15" ht="12.75" customHeight="1" x14ac:dyDescent="0.2">
      <c r="A23" s="2064"/>
      <c r="B23" s="2065"/>
      <c r="C23" s="2065"/>
      <c r="D23" s="2065"/>
      <c r="E23" s="2065"/>
      <c r="F23" s="2065"/>
      <c r="G23" s="2065"/>
      <c r="H23" s="2065"/>
      <c r="I23" s="2065"/>
      <c r="J23" s="2065"/>
      <c r="K23" s="2065"/>
      <c r="L23" s="2065"/>
      <c r="M23" s="2065"/>
      <c r="N23" s="2065"/>
      <c r="O23" s="2066"/>
    </row>
    <row r="24" spans="1:15" ht="14.25" x14ac:dyDescent="0.2">
      <c r="A24" s="530"/>
      <c r="B24" s="530"/>
      <c r="C24" s="530"/>
      <c r="D24" s="530"/>
      <c r="E24" s="530"/>
      <c r="F24" s="530"/>
      <c r="G24" s="530"/>
      <c r="H24" s="530"/>
      <c r="I24" s="530"/>
      <c r="J24" s="530"/>
      <c r="K24" s="530"/>
    </row>
    <row r="25" spans="1:15" ht="18" x14ac:dyDescent="0.2">
      <c r="A25" s="2056" t="s">
        <v>289</v>
      </c>
      <c r="B25" s="2057"/>
      <c r="C25" s="2057"/>
      <c r="D25" s="2057"/>
      <c r="E25" s="2057"/>
      <c r="F25" s="2057"/>
      <c r="G25" s="2057"/>
      <c r="H25" s="2057"/>
      <c r="I25" s="2057"/>
      <c r="J25" s="2057"/>
      <c r="K25" s="2057"/>
      <c r="L25" s="2057"/>
      <c r="M25" s="2057"/>
      <c r="N25" s="2057"/>
      <c r="O25" s="2057"/>
    </row>
    <row r="26" spans="1:15" ht="12.75" customHeight="1" x14ac:dyDescent="0.2">
      <c r="A26" s="2058"/>
      <c r="B26" s="2059"/>
      <c r="C26" s="2059"/>
      <c r="D26" s="2059"/>
      <c r="E26" s="2059"/>
      <c r="F26" s="2059"/>
      <c r="G26" s="2059"/>
      <c r="H26" s="2059"/>
      <c r="I26" s="2059"/>
      <c r="J26" s="2059"/>
      <c r="K26" s="2059"/>
      <c r="L26" s="2059"/>
      <c r="M26" s="2059"/>
      <c r="N26" s="2059"/>
      <c r="O26" s="2060"/>
    </row>
    <row r="27" spans="1:15" ht="12.75" customHeight="1" x14ac:dyDescent="0.2">
      <c r="A27" s="2061"/>
      <c r="B27" s="2062"/>
      <c r="C27" s="2062"/>
      <c r="D27" s="2062"/>
      <c r="E27" s="2062"/>
      <c r="F27" s="2062"/>
      <c r="G27" s="2062"/>
      <c r="H27" s="2062"/>
      <c r="I27" s="2062"/>
      <c r="J27" s="2062"/>
      <c r="K27" s="2062"/>
      <c r="L27" s="2062"/>
      <c r="M27" s="2062"/>
      <c r="N27" s="2062"/>
      <c r="O27" s="2063"/>
    </row>
    <row r="28" spans="1:15" ht="12.75" customHeight="1" x14ac:dyDescent="0.2">
      <c r="A28" s="2061"/>
      <c r="B28" s="2062"/>
      <c r="C28" s="2062"/>
      <c r="D28" s="2062"/>
      <c r="E28" s="2062"/>
      <c r="F28" s="2062"/>
      <c r="G28" s="2062"/>
      <c r="H28" s="2062"/>
      <c r="I28" s="2062"/>
      <c r="J28" s="2062"/>
      <c r="K28" s="2062"/>
      <c r="L28" s="2062"/>
      <c r="M28" s="2062"/>
      <c r="N28" s="2062"/>
      <c r="O28" s="2063"/>
    </row>
    <row r="29" spans="1:15" ht="12.75" customHeight="1" x14ac:dyDescent="0.2">
      <c r="A29" s="2061"/>
      <c r="B29" s="2062"/>
      <c r="C29" s="2062"/>
      <c r="D29" s="2062"/>
      <c r="E29" s="2062"/>
      <c r="F29" s="2062"/>
      <c r="G29" s="2062"/>
      <c r="H29" s="2062"/>
      <c r="I29" s="2062"/>
      <c r="J29" s="2062"/>
      <c r="K29" s="2062"/>
      <c r="L29" s="2062"/>
      <c r="M29" s="2062"/>
      <c r="N29" s="2062"/>
      <c r="O29" s="2063"/>
    </row>
    <row r="30" spans="1:15" ht="12.75" customHeight="1" x14ac:dyDescent="0.2">
      <c r="A30" s="2064"/>
      <c r="B30" s="2065"/>
      <c r="C30" s="2065"/>
      <c r="D30" s="2065"/>
      <c r="E30" s="2065"/>
      <c r="F30" s="2065"/>
      <c r="G30" s="2065"/>
      <c r="H30" s="2065"/>
      <c r="I30" s="2065"/>
      <c r="J30" s="2065"/>
      <c r="K30" s="2065"/>
      <c r="L30" s="2065"/>
      <c r="M30" s="2065"/>
      <c r="N30" s="2065"/>
      <c r="O30" s="2066"/>
    </row>
    <row r="31" spans="1:15" x14ac:dyDescent="0.2">
      <c r="A31" s="3"/>
      <c r="B31" s="3"/>
      <c r="C31" s="3"/>
      <c r="D31" s="3"/>
      <c r="E31" s="3"/>
      <c r="F31" s="3"/>
      <c r="G31" s="3"/>
      <c r="H31" s="3"/>
      <c r="I31" s="3"/>
      <c r="J31" s="3"/>
      <c r="K31" s="3"/>
    </row>
  </sheetData>
  <sheetProtection password="92D1" sheet="1" formatCells="0" formatColumns="0" formatRows="0"/>
  <mergeCells count="11">
    <mergeCell ref="A18:O18"/>
    <mergeCell ref="A25:O25"/>
    <mergeCell ref="A19:O23"/>
    <mergeCell ref="A26:O30"/>
    <mergeCell ref="A12:O16"/>
    <mergeCell ref="A1:F1"/>
    <mergeCell ref="A3:B3"/>
    <mergeCell ref="C3:F3"/>
    <mergeCell ref="C6:F6"/>
    <mergeCell ref="A11:K11"/>
    <mergeCell ref="A10:O10"/>
  </mergeCells>
  <phoneticPr fontId="36" type="noConversion"/>
  <printOptions horizontalCentered="1"/>
  <pageMargins left="0.74803149606299213" right="0.74803149606299213" top="0.59055118110236227" bottom="0.59055118110236227" header="0.51181102362204722" footer="0.51181102362204722"/>
  <pageSetup paperSize="9" scale="67" fitToHeight="0" orientation="landscape" cellComments="asDisplayed" r:id="rId1"/>
  <headerFooter>
    <oddFooter>&amp;L&amp;9&amp;F&amp;C&amp;A&amp;R&amp;9Page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1"/>
    <pageSetUpPr fitToPage="1"/>
  </sheetPr>
  <dimension ref="A1:O40"/>
  <sheetViews>
    <sheetView showGridLines="0" showRuler="0" view="pageBreakPreview" topLeftCell="A4" zoomScale="70" zoomScaleNormal="70" zoomScaleSheetLayoutView="70" zoomScalePageLayoutView="75" workbookViewId="0">
      <selection activeCell="K42" sqref="K42"/>
    </sheetView>
  </sheetViews>
  <sheetFormatPr defaultRowHeight="12.75" x14ac:dyDescent="0.2"/>
  <cols>
    <col min="1" max="1" width="24.42578125" style="72" customWidth="1"/>
    <col min="2" max="2" width="29" style="72" customWidth="1"/>
    <col min="3" max="3" width="29.7109375" style="72" customWidth="1"/>
    <col min="4" max="4" width="18.42578125" style="72" customWidth="1"/>
    <col min="5" max="5" width="12.28515625" style="72" customWidth="1"/>
    <col min="6" max="6" width="19.28515625" style="72" customWidth="1"/>
    <col min="7" max="7" width="9.140625" style="72"/>
    <col min="8" max="8" width="6.28515625" style="72" customWidth="1"/>
    <col min="9" max="9" width="9.140625" style="72"/>
    <col min="10" max="10" width="9.7109375" style="72" customWidth="1"/>
    <col min="11" max="11" width="18.140625" style="509" customWidth="1"/>
    <col min="12" max="13" width="20.140625" style="72" customWidth="1"/>
    <col min="14" max="16384" width="9.140625" style="72"/>
  </cols>
  <sheetData>
    <row r="1" spans="1:13" ht="25.5" customHeight="1" x14ac:dyDescent="0.35">
      <c r="A1" s="1865" t="s">
        <v>61</v>
      </c>
      <c r="B1" s="1865"/>
      <c r="C1" s="1865"/>
      <c r="D1" s="1865"/>
      <c r="E1" s="1865"/>
      <c r="F1" s="1865"/>
      <c r="G1" s="34"/>
      <c r="H1" s="34"/>
      <c r="I1" s="34"/>
      <c r="J1" s="2"/>
      <c r="K1" s="2"/>
      <c r="L1" s="2"/>
      <c r="M1" s="3"/>
    </row>
    <row r="2" spans="1:13" s="63" customFormat="1" ht="27.75" customHeight="1" thickBot="1" x14ac:dyDescent="0.3">
      <c r="A2" s="99" t="s">
        <v>155</v>
      </c>
      <c r="B2" s="13"/>
      <c r="C2" s="13"/>
      <c r="D2" s="37"/>
      <c r="E2" s="13"/>
      <c r="F2" s="13"/>
      <c r="G2" s="13"/>
      <c r="H2" s="38"/>
      <c r="I2" s="13"/>
      <c r="J2" s="13"/>
      <c r="K2" s="13"/>
      <c r="L2" s="13"/>
      <c r="M2" s="13"/>
    </row>
    <row r="3" spans="1:13" ht="15" customHeight="1" x14ac:dyDescent="0.25">
      <c r="A3" s="2081" t="s">
        <v>68</v>
      </c>
      <c r="B3" s="2082"/>
      <c r="C3" s="2093" t="str">
        <f>IF('PR_Programmatic Progress_1A'!C5:F5="","",'PR_Programmatic Progress_1A'!C5:F5)</f>
        <v>Monrovia</v>
      </c>
      <c r="D3" s="2093"/>
      <c r="E3" s="2093"/>
      <c r="F3" s="2094"/>
      <c r="G3" s="3"/>
      <c r="H3" s="3"/>
      <c r="I3" s="3"/>
      <c r="J3" s="3"/>
      <c r="K3" s="3"/>
      <c r="L3" s="3"/>
      <c r="M3" s="3"/>
    </row>
    <row r="4" spans="1:13" ht="15" customHeight="1" x14ac:dyDescent="0.25">
      <c r="A4" s="2083" t="s">
        <v>69</v>
      </c>
      <c r="B4" s="2084"/>
      <c r="C4" s="2100" t="str">
        <f>IF('PR_Programmatic Progress_1A'!C6:F6="Select","",'PR_Programmatic Progress_1A'!C6:F6)</f>
        <v>HIV/AIDS</v>
      </c>
      <c r="D4" s="2100"/>
      <c r="E4" s="2100"/>
      <c r="F4" s="2101"/>
      <c r="G4" s="3"/>
      <c r="H4" s="3"/>
      <c r="I4" s="3"/>
      <c r="J4" s="3"/>
      <c r="K4" s="3"/>
      <c r="L4" s="3"/>
      <c r="M4" s="3"/>
    </row>
    <row r="5" spans="1:13" ht="24.75" customHeight="1" x14ac:dyDescent="0.25">
      <c r="A5" s="2083" t="s">
        <v>70</v>
      </c>
      <c r="B5" s="2084"/>
      <c r="C5" s="2102" t="str">
        <f>IF('PR_Programmatic Progress_1A'!C7:F7="","",'PR_Programmatic Progress_1A'!C7:F7)</f>
        <v>MNR-809-G04-H</v>
      </c>
      <c r="D5" s="2102"/>
      <c r="E5" s="2102"/>
      <c r="F5" s="2103"/>
      <c r="G5" s="3"/>
      <c r="H5" s="3"/>
      <c r="I5" s="3"/>
      <c r="J5" s="3"/>
      <c r="K5" s="3"/>
      <c r="L5" s="3"/>
      <c r="M5" s="3"/>
    </row>
    <row r="6" spans="1:13" s="63" customFormat="1" ht="15" customHeight="1" x14ac:dyDescent="0.2">
      <c r="A6" s="1687" t="s">
        <v>244</v>
      </c>
      <c r="B6" s="1688"/>
      <c r="C6" s="2104" t="str">
        <f>IF('PR_Programmatic Progress_1A'!C8:F8="","",'PR_Programmatic Progress_1A'!C8:F8)</f>
        <v>Ministry of Health</v>
      </c>
      <c r="D6" s="2105"/>
      <c r="E6" s="2105"/>
      <c r="F6" s="2106"/>
      <c r="G6" s="49"/>
      <c r="H6" s="13"/>
      <c r="I6" s="13"/>
      <c r="J6" s="13"/>
      <c r="K6" s="13"/>
      <c r="L6" s="13"/>
      <c r="M6" s="13"/>
    </row>
    <row r="7" spans="1:13" ht="15" customHeight="1" x14ac:dyDescent="0.25">
      <c r="A7" s="2083" t="s">
        <v>269</v>
      </c>
      <c r="B7" s="2084"/>
      <c r="C7" s="2087">
        <f>IF('PR_Programmatic Progress_1A'!C9:F9="","",'PR_Programmatic Progress_1A'!C9:F9)</f>
        <v>40087</v>
      </c>
      <c r="D7" s="2087"/>
      <c r="E7" s="2087"/>
      <c r="F7" s="2088"/>
      <c r="G7" s="3"/>
      <c r="H7" s="3"/>
      <c r="I7" s="3"/>
      <c r="J7" s="3"/>
      <c r="K7" s="3"/>
      <c r="L7" s="3"/>
      <c r="M7" s="3"/>
    </row>
    <row r="8" spans="1:13" ht="15" customHeight="1" thickBot="1" x14ac:dyDescent="0.3">
      <c r="A8" s="2095" t="s">
        <v>245</v>
      </c>
      <c r="B8" s="2096"/>
      <c r="C8" s="2098" t="str">
        <f>IF('PR_Programmatic Progress_1A'!C10="Select","",'PR_Programmatic Progress_1A'!C10)</f>
        <v>EUR</v>
      </c>
      <c r="D8" s="2098"/>
      <c r="E8" s="2098"/>
      <c r="F8" s="2099"/>
      <c r="G8" s="3"/>
      <c r="H8" s="3"/>
      <c r="I8" s="3"/>
      <c r="J8" s="3"/>
      <c r="K8" s="3"/>
      <c r="L8" s="3"/>
      <c r="M8" s="3"/>
    </row>
    <row r="9" spans="1:13" s="63" customFormat="1" ht="27" customHeight="1" thickBot="1" x14ac:dyDescent="0.3">
      <c r="A9" s="98" t="s">
        <v>156</v>
      </c>
      <c r="B9" s="10"/>
      <c r="C9" s="10"/>
      <c r="D9" s="36"/>
      <c r="E9" s="10"/>
      <c r="F9" s="10"/>
      <c r="G9" s="10"/>
      <c r="H9" s="11"/>
      <c r="I9" s="10"/>
      <c r="J9" s="12"/>
      <c r="K9" s="12"/>
      <c r="L9" s="12"/>
      <c r="M9" s="13"/>
    </row>
    <row r="10" spans="1:13" s="73" customFormat="1" ht="15" customHeight="1" x14ac:dyDescent="0.2">
      <c r="A10" s="466" t="s">
        <v>277</v>
      </c>
      <c r="B10" s="469"/>
      <c r="C10" s="53" t="s">
        <v>283</v>
      </c>
      <c r="D10" s="492" t="str">
        <f>IF('PR_Programmatic Progress_1A'!D12="Select","",'PR_Programmatic Progress_1A'!D12)</f>
        <v>Quarter</v>
      </c>
      <c r="E10" s="43" t="s">
        <v>284</v>
      </c>
      <c r="F10" s="81">
        <f>IF('PR_Programmatic Progress_1A'!F12="Select","",'PR_Programmatic Progress_1A'!F12)</f>
        <v>7</v>
      </c>
      <c r="G10" s="4"/>
      <c r="H10" s="4"/>
      <c r="I10" s="4"/>
      <c r="J10" s="4"/>
      <c r="K10" s="4"/>
      <c r="L10" s="4"/>
      <c r="M10" s="4"/>
    </row>
    <row r="11" spans="1:13" s="73" customFormat="1" ht="15" customHeight="1" x14ac:dyDescent="0.2">
      <c r="A11" s="484" t="s">
        <v>278</v>
      </c>
      <c r="B11" s="40"/>
      <c r="C11" s="54" t="s">
        <v>246</v>
      </c>
      <c r="D11" s="490">
        <f>IF('PR_Programmatic Progress_1A'!D13="","",'PR_Programmatic Progress_1A'!D13)</f>
        <v>40452</v>
      </c>
      <c r="E11" s="5" t="s">
        <v>264</v>
      </c>
      <c r="F11" s="491">
        <f>IF('PR_Programmatic Progress_1A'!F13="","",'PR_Programmatic Progress_1A'!F13)</f>
        <v>40543</v>
      </c>
      <c r="G11" s="4"/>
      <c r="H11" s="4"/>
      <c r="I11" s="4"/>
      <c r="J11" s="4"/>
      <c r="K11" s="4"/>
      <c r="L11" s="4"/>
      <c r="M11" s="4"/>
    </row>
    <row r="12" spans="1:13" s="73" customFormat="1" ht="15" customHeight="1" thickBot="1" x14ac:dyDescent="0.25">
      <c r="A12" s="55" t="s">
        <v>279</v>
      </c>
      <c r="B12" s="41"/>
      <c r="C12" s="1764">
        <f>IF('PR_Programmatic Progress_1A'!C14:F14="Select","",'PR_Programmatic Progress_1A'!C14:F14)</f>
        <v>5</v>
      </c>
      <c r="D12" s="1765"/>
      <c r="E12" s="1765"/>
      <c r="F12" s="1766"/>
      <c r="G12" s="4"/>
      <c r="H12" s="4"/>
      <c r="I12" s="4"/>
      <c r="J12" s="4"/>
      <c r="K12" s="4"/>
      <c r="L12" s="4"/>
      <c r="M12" s="4"/>
    </row>
    <row r="13" spans="1:13" s="63" customFormat="1" ht="27" customHeight="1" thickBot="1" x14ac:dyDescent="0.3">
      <c r="A13" s="98" t="s">
        <v>157</v>
      </c>
      <c r="B13" s="10"/>
      <c r="C13" s="10"/>
      <c r="D13" s="36"/>
      <c r="E13" s="10"/>
      <c r="F13" s="10"/>
      <c r="G13" s="10"/>
      <c r="H13" s="11"/>
      <c r="I13" s="10"/>
      <c r="J13" s="12"/>
      <c r="K13" s="12"/>
      <c r="L13" s="12"/>
      <c r="M13" s="13"/>
    </row>
    <row r="14" spans="1:13" s="73" customFormat="1" ht="15" customHeight="1" x14ac:dyDescent="0.2">
      <c r="A14" s="466" t="s">
        <v>235</v>
      </c>
      <c r="B14" s="469"/>
      <c r="C14" s="53" t="s">
        <v>283</v>
      </c>
      <c r="D14" s="492" t="str">
        <f>IF('PR_Programmatic Progress_1A'!D16="Select","",'PR_Programmatic Progress_1A'!D16)</f>
        <v>Quarter</v>
      </c>
      <c r="E14" s="43" t="s">
        <v>284</v>
      </c>
      <c r="F14" s="81">
        <f>IF('PR_Programmatic Progress_1A'!F16="Select","",'PR_Programmatic Progress_1A'!F16)</f>
        <v>8</v>
      </c>
      <c r="G14" s="4"/>
      <c r="H14" s="4"/>
      <c r="I14" s="4"/>
      <c r="J14" s="4"/>
      <c r="K14" s="4"/>
      <c r="L14" s="4"/>
      <c r="M14" s="4"/>
    </row>
    <row r="15" spans="1:13" s="73" customFormat="1" ht="15" customHeight="1" x14ac:dyDescent="0.2">
      <c r="A15" s="484" t="s">
        <v>310</v>
      </c>
      <c r="B15" s="40"/>
      <c r="C15" s="54" t="s">
        <v>246</v>
      </c>
      <c r="D15" s="490">
        <f>IF('PR_Programmatic Progress_1A'!D17="","",'PR_Programmatic Progress_1A'!D17)</f>
        <v>40544</v>
      </c>
      <c r="E15" s="5" t="s">
        <v>264</v>
      </c>
      <c r="F15" s="491">
        <f>IF('PR_Programmatic Progress_1A'!F17="","",'PR_Programmatic Progress_1A'!F17)</f>
        <v>40633</v>
      </c>
      <c r="G15" s="4"/>
      <c r="H15" s="4"/>
      <c r="I15" s="4"/>
      <c r="J15" s="4"/>
      <c r="K15" s="4"/>
      <c r="L15" s="4"/>
      <c r="M15" s="4"/>
    </row>
    <row r="16" spans="1:13" s="73" customFormat="1" ht="15" customHeight="1" thickBot="1" x14ac:dyDescent="0.25">
      <c r="A16" s="55" t="s">
        <v>311</v>
      </c>
      <c r="B16" s="41"/>
      <c r="C16" s="1764">
        <f>IF('PR_Programmatic Progress_1A'!C18:F18="Select","",'PR_Programmatic Progress_1A'!C18:F18)</f>
        <v>6</v>
      </c>
      <c r="D16" s="1765"/>
      <c r="E16" s="1765"/>
      <c r="F16" s="1766"/>
      <c r="G16" s="4"/>
      <c r="H16" s="4"/>
      <c r="I16" s="4"/>
      <c r="J16" s="4"/>
      <c r="K16" s="4"/>
      <c r="L16" s="4"/>
      <c r="M16" s="4"/>
    </row>
    <row r="17" spans="1:15" ht="16.5" customHeight="1" x14ac:dyDescent="0.25">
      <c r="A17" s="42"/>
      <c r="B17" s="42"/>
      <c r="C17" s="24"/>
      <c r="D17" s="24"/>
      <c r="E17" s="24"/>
      <c r="F17" s="24"/>
      <c r="G17" s="31"/>
      <c r="H17" s="31"/>
      <c r="I17" s="31"/>
      <c r="J17" s="31"/>
      <c r="K17" s="31"/>
      <c r="L17" s="31"/>
      <c r="M17" s="31"/>
    </row>
    <row r="18" spans="1:15" ht="36.75" customHeight="1" x14ac:dyDescent="0.3">
      <c r="A18" s="166" t="s">
        <v>504</v>
      </c>
      <c r="B18" s="167"/>
      <c r="C18" s="7"/>
      <c r="D18" s="6"/>
      <c r="E18" s="6"/>
      <c r="F18" s="6"/>
      <c r="G18" s="6"/>
      <c r="H18" s="7"/>
      <c r="I18" s="6"/>
      <c r="J18" s="6"/>
      <c r="K18" s="8"/>
      <c r="L18" s="6"/>
      <c r="M18" s="2"/>
      <c r="N18" s="69"/>
      <c r="O18" s="69"/>
    </row>
    <row r="19" spans="1:15" s="74" customFormat="1" ht="18.75" thickBot="1" x14ac:dyDescent="0.3">
      <c r="A19" s="2076" t="s">
        <v>261</v>
      </c>
      <c r="B19" s="2077"/>
      <c r="C19" s="2077"/>
      <c r="D19" s="2077"/>
      <c r="E19" s="2077"/>
      <c r="F19" s="2077"/>
      <c r="G19" s="2077"/>
      <c r="H19" s="2077"/>
      <c r="I19" s="2077"/>
      <c r="J19" s="2077"/>
      <c r="K19" s="2077"/>
      <c r="L19" s="2077"/>
      <c r="M19" s="2077"/>
    </row>
    <row r="20" spans="1:15" s="74" customFormat="1" ht="15.75" x14ac:dyDescent="0.25">
      <c r="A20" s="1812"/>
      <c r="B20" s="1812"/>
      <c r="C20" s="1812"/>
      <c r="D20" s="1812"/>
      <c r="E20" s="1812"/>
      <c r="F20" s="1812"/>
      <c r="G20" s="1812"/>
      <c r="H20" s="1812"/>
      <c r="I20" s="1812"/>
      <c r="J20" s="1812"/>
      <c r="K20" s="1812"/>
      <c r="L20" s="1812"/>
      <c r="M20" s="1812"/>
    </row>
    <row r="21" spans="1:15" s="74" customFormat="1" ht="15.75" x14ac:dyDescent="0.25">
      <c r="A21" s="22" t="s">
        <v>149</v>
      </c>
      <c r="B21" s="18"/>
      <c r="C21" s="18"/>
      <c r="D21" s="18"/>
      <c r="E21" s="18"/>
      <c r="F21" s="18"/>
      <c r="G21" s="18"/>
      <c r="H21" s="18"/>
      <c r="I21" s="18"/>
      <c r="J21" s="18"/>
      <c r="K21" s="18"/>
      <c r="L21" s="26"/>
      <c r="M21" s="26"/>
    </row>
    <row r="22" spans="1:15" s="74" customFormat="1" ht="15.75" x14ac:dyDescent="0.25">
      <c r="A22" s="22"/>
      <c r="B22" s="18"/>
      <c r="C22" s="18"/>
      <c r="D22" s="18"/>
      <c r="E22" s="18"/>
      <c r="F22" s="18"/>
      <c r="G22" s="18"/>
      <c r="H22" s="18"/>
      <c r="I22" s="18"/>
      <c r="J22" s="18"/>
      <c r="K22" s="18"/>
      <c r="L22" s="26"/>
      <c r="M22" s="26"/>
    </row>
    <row r="23" spans="1:15" s="74" customFormat="1" ht="29.25" customHeight="1" x14ac:dyDescent="0.25">
      <c r="A23" s="2085" t="s">
        <v>456</v>
      </c>
      <c r="B23" s="2086"/>
      <c r="C23" s="2086"/>
      <c r="D23" s="758">
        <f>+'PR_Disbursement Request_5B'!S36</f>
        <v>1035000</v>
      </c>
      <c r="E23" s="438"/>
      <c r="F23" s="17"/>
      <c r="G23" s="18"/>
      <c r="H23" s="18"/>
      <c r="I23" s="18"/>
      <c r="J23" s="18"/>
      <c r="K23" s="18"/>
      <c r="L23" s="26"/>
      <c r="M23" s="26"/>
    </row>
    <row r="24" spans="1:15" s="74" customFormat="1" ht="12" customHeight="1" x14ac:dyDescent="0.25">
      <c r="A24" s="22"/>
      <c r="B24" s="18"/>
      <c r="C24" s="18"/>
      <c r="D24" s="18"/>
      <c r="E24" s="18"/>
      <c r="F24" s="18"/>
      <c r="G24" s="18"/>
      <c r="H24" s="18"/>
      <c r="I24" s="18"/>
      <c r="J24" s="18"/>
      <c r="K24" s="18"/>
      <c r="L24" s="26"/>
      <c r="M24" s="26"/>
    </row>
    <row r="25" spans="1:15" s="74" customFormat="1" ht="15.75" x14ac:dyDescent="0.25">
      <c r="A25" s="22" t="str">
        <f>"2.  Amount requested in words (in: "&amp;IF('PR_Programmatic Progress_1A'!$C$10="Select","please select currency in 'PR_Section 1A')",'PR_Programmatic Progress_1A'!$C$10&amp;"):")</f>
        <v>2.  Amount requested in words (in: EUR):</v>
      </c>
      <c r="B25" s="18"/>
      <c r="C25" s="17"/>
      <c r="D25" s="2080" t="s">
        <v>855</v>
      </c>
      <c r="E25" s="2080"/>
      <c r="F25" s="2080"/>
      <c r="G25" s="2080"/>
      <c r="H25" s="2080"/>
      <c r="I25" s="2080"/>
      <c r="J25" s="2080"/>
      <c r="K25" s="2080"/>
      <c r="L25" s="2080"/>
      <c r="M25" s="26"/>
    </row>
    <row r="26" spans="1:15" s="74" customFormat="1" ht="20.100000000000001" customHeight="1" x14ac:dyDescent="0.2">
      <c r="A26" s="27"/>
      <c r="B26" s="27"/>
      <c r="C26" s="27"/>
      <c r="D26" s="27"/>
      <c r="E26" s="27"/>
      <c r="F26" s="27"/>
      <c r="G26" s="27"/>
      <c r="H26" s="27"/>
      <c r="I26" s="27"/>
      <c r="J26" s="27"/>
      <c r="K26" s="28"/>
      <c r="L26" s="27"/>
      <c r="M26" s="27"/>
    </row>
    <row r="27" spans="1:15" s="74" customFormat="1" ht="20.100000000000001" customHeight="1" x14ac:dyDescent="0.25">
      <c r="A27" s="2076" t="s">
        <v>270</v>
      </c>
      <c r="B27" s="2077"/>
      <c r="C27" s="2077"/>
      <c r="D27" s="2077"/>
      <c r="E27" s="2077"/>
      <c r="F27" s="2077"/>
      <c r="G27" s="2077"/>
      <c r="H27" s="2077"/>
      <c r="I27" s="2077"/>
      <c r="J27" s="2077"/>
      <c r="K27" s="2077"/>
      <c r="L27" s="2077"/>
      <c r="M27" s="2077"/>
    </row>
    <row r="28" spans="1:15" s="482" customFormat="1" ht="45.75" customHeight="1" x14ac:dyDescent="0.2">
      <c r="A28" s="2078" t="s">
        <v>273</v>
      </c>
      <c r="B28" s="2078"/>
      <c r="C28" s="2078"/>
      <c r="D28" s="2078"/>
      <c r="E28" s="2078"/>
      <c r="F28" s="2078"/>
      <c r="G28" s="2078"/>
      <c r="H28" s="2078"/>
      <c r="I28" s="2078"/>
      <c r="J28" s="2078"/>
      <c r="K28" s="2078"/>
      <c r="L28" s="2078"/>
      <c r="M28" s="2078"/>
    </row>
    <row r="29" spans="1:15" s="482" customFormat="1" x14ac:dyDescent="0.2">
      <c r="A29" s="23"/>
      <c r="B29" s="23"/>
      <c r="C29" s="23"/>
      <c r="D29" s="23"/>
      <c r="E29" s="23"/>
      <c r="F29" s="23"/>
      <c r="G29" s="23"/>
      <c r="H29" s="29"/>
      <c r="I29" s="23"/>
      <c r="J29" s="23"/>
      <c r="K29" s="30"/>
      <c r="L29" s="23"/>
      <c r="M29" s="23"/>
    </row>
    <row r="30" spans="1:15" s="482" customFormat="1" ht="37.5" customHeight="1" x14ac:dyDescent="0.2">
      <c r="A30" s="2078" t="s">
        <v>262</v>
      </c>
      <c r="B30" s="2078"/>
      <c r="C30" s="2079"/>
      <c r="D30" s="2079"/>
      <c r="E30" s="2079"/>
      <c r="F30" s="23"/>
      <c r="G30" s="23"/>
      <c r="H30" s="29"/>
      <c r="I30" s="23"/>
      <c r="J30" s="23"/>
      <c r="K30" s="30"/>
      <c r="L30" s="23"/>
      <c r="M30" s="23"/>
    </row>
    <row r="31" spans="1:15" ht="14.25" x14ac:dyDescent="0.2">
      <c r="A31" s="3"/>
      <c r="B31" s="3"/>
      <c r="C31" s="757"/>
      <c r="D31" s="757"/>
      <c r="E31" s="757"/>
      <c r="F31" s="3"/>
      <c r="G31" s="3"/>
      <c r="H31" s="31"/>
      <c r="I31" s="3"/>
      <c r="J31" s="3"/>
      <c r="K31" s="16"/>
      <c r="L31" s="3"/>
      <c r="M31" s="3"/>
    </row>
    <row r="32" spans="1:15" ht="28.5" customHeight="1" x14ac:dyDescent="0.2">
      <c r="A32" s="32" t="s">
        <v>266</v>
      </c>
      <c r="B32" s="3"/>
      <c r="C32" s="2079" t="s">
        <v>783</v>
      </c>
      <c r="D32" s="2079"/>
      <c r="E32" s="2079"/>
      <c r="F32" s="3"/>
      <c r="G32" s="3"/>
      <c r="H32" s="31"/>
      <c r="I32" s="3"/>
      <c r="J32" s="3"/>
      <c r="K32" s="16"/>
      <c r="L32" s="3"/>
      <c r="M32" s="3"/>
    </row>
    <row r="33" spans="1:13" ht="25.5" customHeight="1" x14ac:dyDescent="0.2">
      <c r="A33" s="32" t="s">
        <v>267</v>
      </c>
      <c r="B33" s="3"/>
      <c r="C33" s="2079" t="s">
        <v>778</v>
      </c>
      <c r="D33" s="2079"/>
      <c r="E33" s="2079"/>
      <c r="F33" s="3"/>
      <c r="G33" s="3"/>
      <c r="H33" s="31"/>
      <c r="I33" s="3"/>
      <c r="J33" s="3"/>
      <c r="K33" s="16"/>
      <c r="L33" s="3"/>
      <c r="M33" s="3"/>
    </row>
    <row r="34" spans="1:13" ht="25.5" customHeight="1" x14ac:dyDescent="0.2">
      <c r="A34" s="32" t="s">
        <v>268</v>
      </c>
      <c r="B34" s="3"/>
      <c r="C34" s="2097" t="s">
        <v>794</v>
      </c>
      <c r="D34" s="2079"/>
      <c r="E34" s="2079"/>
      <c r="F34" s="3"/>
      <c r="G34" s="3"/>
      <c r="H34" s="31"/>
      <c r="I34" s="3"/>
      <c r="J34" s="3"/>
      <c r="K34" s="16"/>
      <c r="L34" s="3"/>
      <c r="M34" s="3"/>
    </row>
    <row r="35" spans="1:13" x14ac:dyDescent="0.2">
      <c r="A35" s="3"/>
      <c r="B35" s="3"/>
      <c r="C35" s="3"/>
      <c r="D35" s="3"/>
      <c r="E35" s="3"/>
      <c r="F35" s="3"/>
      <c r="G35" s="3"/>
      <c r="H35" s="31"/>
      <c r="I35" s="3"/>
      <c r="J35" s="3"/>
      <c r="K35" s="16"/>
      <c r="L35" s="3"/>
      <c r="M35" s="3"/>
    </row>
    <row r="36" spans="1:13" x14ac:dyDescent="0.2">
      <c r="A36" s="3"/>
      <c r="B36" s="3"/>
      <c r="C36" s="3"/>
      <c r="D36" s="3"/>
      <c r="E36" s="3"/>
      <c r="F36" s="3"/>
      <c r="G36" s="3"/>
      <c r="H36" s="31"/>
      <c r="I36" s="3"/>
      <c r="J36" s="3"/>
      <c r="K36" s="16"/>
      <c r="L36" s="3"/>
      <c r="M36" s="3"/>
    </row>
    <row r="37" spans="1:13" x14ac:dyDescent="0.2">
      <c r="A37" s="2089" t="s">
        <v>522</v>
      </c>
      <c r="B37" s="2090"/>
      <c r="C37" s="2090"/>
      <c r="D37" s="2090"/>
      <c r="E37" s="2090"/>
      <c r="F37" s="2090"/>
      <c r="G37" s="2090"/>
      <c r="H37" s="2091"/>
      <c r="I37" s="2090"/>
      <c r="J37" s="2090"/>
      <c r="K37" s="2092"/>
      <c r="L37" s="2090"/>
      <c r="M37" s="2090"/>
    </row>
    <row r="38" spans="1:13" x14ac:dyDescent="0.2">
      <c r="A38" s="2090"/>
      <c r="B38" s="2090"/>
      <c r="C38" s="2090"/>
      <c r="D38" s="2090"/>
      <c r="E38" s="2090"/>
      <c r="F38" s="2090"/>
      <c r="G38" s="2090"/>
      <c r="H38" s="2091"/>
      <c r="I38" s="2090"/>
      <c r="J38" s="2090"/>
      <c r="K38" s="2092"/>
      <c r="L38" s="2090"/>
      <c r="M38" s="2090"/>
    </row>
    <row r="39" spans="1:13" x14ac:dyDescent="0.2">
      <c r="A39" s="2090"/>
      <c r="B39" s="2090"/>
      <c r="C39" s="2090"/>
      <c r="D39" s="2090"/>
      <c r="E39" s="2090"/>
      <c r="F39" s="2090"/>
      <c r="G39" s="2090"/>
      <c r="H39" s="2091"/>
      <c r="I39" s="2090"/>
      <c r="J39" s="2090"/>
      <c r="K39" s="2092"/>
      <c r="L39" s="2090"/>
      <c r="M39" s="2090"/>
    </row>
    <row r="40" spans="1:13" x14ac:dyDescent="0.2">
      <c r="A40" s="3"/>
      <c r="B40" s="3"/>
      <c r="C40" s="3"/>
      <c r="D40" s="3"/>
      <c r="E40" s="3"/>
      <c r="F40" s="3"/>
      <c r="G40" s="3"/>
      <c r="H40" s="31"/>
      <c r="I40" s="3"/>
      <c r="J40" s="3"/>
      <c r="K40" s="16"/>
      <c r="L40" s="3"/>
      <c r="M40" s="3"/>
    </row>
  </sheetData>
  <sheetProtection password="92D1" sheet="1" formatCells="0" formatColumns="0"/>
  <customSheetViews>
    <customSheetView guid="{E26F941C-F347-432D-B4B3-73B25F002075}" scale="75" showGridLines="0" fitToPage="1">
      <selection activeCell="I16" sqref="I16"/>
      <pageMargins left="0.47" right="0.43" top="0.47" bottom="0.56999999999999995" header="0.41" footer="0.34"/>
      <printOptions horizontalCentered="1"/>
      <pageSetup paperSize="9" scale="56" orientation="landscape" cellComments="asDisplayed" r:id="rId1"/>
      <headerFooter alignWithMargins="0">
        <oddFooter>&amp;L&amp;9SD 3.1A - Form, Ongoing DR/PU and LFA Review and Recommendation_v2.1 February 2006&amp;R&amp;9Page &amp;P of &amp;N</oddFooter>
      </headerFooter>
    </customSheetView>
  </customSheetViews>
  <mergeCells count="27">
    <mergeCell ref="A37:M39"/>
    <mergeCell ref="C3:F3"/>
    <mergeCell ref="A8:B8"/>
    <mergeCell ref="C34:E34"/>
    <mergeCell ref="C33:E33"/>
    <mergeCell ref="C16:F16"/>
    <mergeCell ref="C8:F8"/>
    <mergeCell ref="C4:F4"/>
    <mergeCell ref="C32:E32"/>
    <mergeCell ref="A28:M28"/>
    <mergeCell ref="A7:B7"/>
    <mergeCell ref="A27:M27"/>
    <mergeCell ref="C5:F5"/>
    <mergeCell ref="A6:B6"/>
    <mergeCell ref="C6:F6"/>
    <mergeCell ref="A20:M20"/>
    <mergeCell ref="A19:M19"/>
    <mergeCell ref="A1:F1"/>
    <mergeCell ref="A30:B30"/>
    <mergeCell ref="C30:E30"/>
    <mergeCell ref="D25:L25"/>
    <mergeCell ref="A3:B3"/>
    <mergeCell ref="A4:B4"/>
    <mergeCell ref="A23:C23"/>
    <mergeCell ref="A5:B5"/>
    <mergeCell ref="C7:F7"/>
    <mergeCell ref="C12:F12"/>
  </mergeCells>
  <phoneticPr fontId="0" type="noConversion"/>
  <dataValidations count="1">
    <dataValidation type="list" allowBlank="1" showInputMessage="1" showErrorMessage="1" sqref="C9:G9 C13:G13">
      <formula1>"Select,USD,EUR"</formula1>
    </dataValidation>
  </dataValidations>
  <printOptions horizontalCentered="1"/>
  <pageMargins left="0.74803149606299213" right="0.74803149606299213" top="0.59055118110236227" bottom="0.59055118110236227" header="0.51181102362204722" footer="0.51181102362204722"/>
  <pageSetup paperSize="9" scale="58" fitToHeight="0" orientation="landscape" cellComments="asDisplayed" r:id="rId2"/>
  <headerFooter alignWithMargins="0">
    <oddFooter>&amp;L&amp;9&amp;F&amp;C&amp;A&amp;R&amp;9Page &amp;P of &amp;N</oddFooter>
  </headerFooter>
  <ignoredErrors>
    <ignoredError sqref="C6" unlocked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M82"/>
  <sheetViews>
    <sheetView view="pageBreakPreview" zoomScale="60" zoomScaleNormal="70" workbookViewId="0">
      <selection activeCell="M26" sqref="M26"/>
    </sheetView>
  </sheetViews>
  <sheetFormatPr defaultColWidth="13.28515625" defaultRowHeight="12.75" x14ac:dyDescent="0.2"/>
  <cols>
    <col min="1" max="1" width="2.42578125" style="705" customWidth="1"/>
    <col min="2" max="2" width="50" style="705" customWidth="1"/>
    <col min="3" max="3" width="50.140625" style="705" customWidth="1"/>
    <col min="4" max="4" width="20.85546875" style="705" customWidth="1"/>
    <col min="5" max="5" width="25.28515625" style="705" customWidth="1"/>
    <col min="6" max="6" width="43.85546875" style="705" customWidth="1"/>
    <col min="7" max="7" width="4.140625" style="705" customWidth="1"/>
    <col min="8" max="8" width="10.140625" style="705" customWidth="1"/>
    <col min="9" max="224" width="9.140625" style="705" customWidth="1"/>
    <col min="225" max="225" width="2.42578125" style="705" customWidth="1"/>
    <col min="226" max="226" width="1.7109375" style="705" customWidth="1"/>
    <col min="227" max="227" width="7" style="705" customWidth="1"/>
    <col min="228" max="228" width="10.140625" style="705" customWidth="1"/>
    <col min="229" max="229" width="15" style="705" customWidth="1"/>
    <col min="230" max="233" width="5.42578125" style="705" customWidth="1"/>
    <col min="234" max="250" width="4.140625" style="705" customWidth="1"/>
    <col min="251" max="251" width="1.7109375" style="705" customWidth="1"/>
    <col min="252" max="16384" width="13.28515625" style="705"/>
  </cols>
  <sheetData>
    <row r="1" spans="1:8" ht="25.5" customHeight="1" x14ac:dyDescent="0.35">
      <c r="A1" s="2107" t="s">
        <v>61</v>
      </c>
      <c r="B1" s="2107"/>
      <c r="C1" s="2107"/>
      <c r="D1" s="2107"/>
    </row>
    <row r="2" spans="1:8" ht="7.5" customHeight="1" x14ac:dyDescent="0.2"/>
    <row r="3" spans="1:8" ht="34.5" customHeight="1" x14ac:dyDescent="0.25">
      <c r="A3" s="2108" t="s">
        <v>472</v>
      </c>
      <c r="B3" s="2108"/>
      <c r="C3" s="2108"/>
      <c r="D3" s="2108"/>
      <c r="E3" s="2108"/>
      <c r="F3" s="970"/>
    </row>
    <row r="4" spans="1:8" ht="7.5" customHeight="1" x14ac:dyDescent="0.2"/>
    <row r="5" spans="1:8" ht="18.75" customHeight="1" x14ac:dyDescent="0.25">
      <c r="B5" s="1259" t="s">
        <v>505</v>
      </c>
      <c r="C5" s="1259"/>
      <c r="D5" s="1259"/>
      <c r="E5" s="1259"/>
      <c r="F5" s="1259"/>
    </row>
    <row r="6" spans="1:8" ht="10.5" customHeight="1" x14ac:dyDescent="0.2"/>
    <row r="7" spans="1:8" ht="23.25" customHeight="1" x14ac:dyDescent="0.2">
      <c r="B7" s="531" t="s">
        <v>423</v>
      </c>
      <c r="C7" s="642"/>
    </row>
    <row r="8" spans="1:8" ht="6.75" customHeight="1" x14ac:dyDescent="0.2"/>
    <row r="9" spans="1:8" ht="22.5" customHeight="1" x14ac:dyDescent="0.2">
      <c r="B9" s="968" t="s">
        <v>424</v>
      </c>
      <c r="C9" s="968"/>
      <c r="D9" s="968"/>
      <c r="E9" s="968"/>
      <c r="F9" s="968"/>
    </row>
    <row r="10" spans="1:8" ht="10.5" customHeight="1" thickBot="1" x14ac:dyDescent="0.25"/>
    <row r="11" spans="1:8" s="706" customFormat="1" ht="29.25" customHeight="1" x14ac:dyDescent="0.25">
      <c r="B11" s="533"/>
      <c r="C11" s="534" t="s">
        <v>425</v>
      </c>
      <c r="D11" s="838" t="s">
        <v>473</v>
      </c>
    </row>
    <row r="12" spans="1:8" s="706" customFormat="1" ht="30.75" customHeight="1" x14ac:dyDescent="0.2">
      <c r="B12" s="1288" t="s">
        <v>474</v>
      </c>
      <c r="C12" s="813">
        <f>C20</f>
        <v>0</v>
      </c>
      <c r="D12" s="815">
        <f>IF(C30="",C24,C30)</f>
        <v>0</v>
      </c>
    </row>
    <row r="13" spans="1:8" s="706" customFormat="1" ht="30.75" customHeight="1" x14ac:dyDescent="0.2">
      <c r="B13" s="1288" t="s">
        <v>427</v>
      </c>
      <c r="C13" s="813">
        <f>C36</f>
        <v>0</v>
      </c>
      <c r="D13" s="815">
        <f>IF(C46="",C40,C46)</f>
        <v>0</v>
      </c>
    </row>
    <row r="14" spans="1:8" s="706" customFormat="1" ht="30.75" customHeight="1" x14ac:dyDescent="0.2">
      <c r="B14" s="1288" t="s">
        <v>428</v>
      </c>
      <c r="C14" s="813">
        <f>C53</f>
        <v>0</v>
      </c>
      <c r="D14" s="815">
        <f>IF(C63="",C57,C63)</f>
        <v>0</v>
      </c>
    </row>
    <row r="15" spans="1:8" s="706" customFormat="1" ht="30.75" customHeight="1" thickBot="1" x14ac:dyDescent="0.25">
      <c r="B15" s="1289" t="s">
        <v>429</v>
      </c>
      <c r="C15" s="643">
        <f>C69</f>
        <v>0</v>
      </c>
      <c r="D15" s="816">
        <f>IF(C79="",C73,C79)</f>
        <v>0</v>
      </c>
    </row>
    <row r="16" spans="1:8" s="706" customFormat="1" ht="33.75" customHeight="1" thickBot="1" x14ac:dyDescent="0.3">
      <c r="B16" s="971" t="s">
        <v>471</v>
      </c>
      <c r="C16" s="972"/>
      <c r="D16" s="817">
        <f>SUM(D12:D15)</f>
        <v>0</v>
      </c>
      <c r="E16" s="2109" t="str">
        <f>IF(D16&lt;&gt;'PR_Cash Request_7A&amp;B'!D23,"The total does not match requested amount on PR signature page","")</f>
        <v>The total does not match requested amount on PR signature page</v>
      </c>
      <c r="F16" s="2110"/>
      <c r="G16" s="811"/>
      <c r="H16" s="840"/>
    </row>
    <row r="17" spans="2:13" s="706" customFormat="1" ht="6" customHeight="1" x14ac:dyDescent="0.2">
      <c r="L17" s="708"/>
      <c r="M17" s="708"/>
    </row>
    <row r="18" spans="2:13" s="706" customFormat="1" ht="15" x14ac:dyDescent="0.25">
      <c r="B18" s="969" t="s">
        <v>426</v>
      </c>
      <c r="C18" s="969"/>
      <c r="D18" s="969"/>
      <c r="E18" s="969"/>
      <c r="F18" s="969"/>
      <c r="G18" s="707"/>
      <c r="H18" s="707"/>
      <c r="I18" s="707"/>
      <c r="J18" s="707"/>
      <c r="K18" s="707"/>
      <c r="L18" s="707"/>
      <c r="M18" s="707"/>
    </row>
    <row r="19" spans="2:13" ht="10.5" customHeight="1" x14ac:dyDescent="0.2"/>
    <row r="20" spans="2:13" s="706" customFormat="1" ht="30.75" customHeight="1" x14ac:dyDescent="0.2">
      <c r="B20" s="436" t="s">
        <v>430</v>
      </c>
      <c r="C20" s="812"/>
      <c r="E20" s="844" t="s">
        <v>274</v>
      </c>
      <c r="F20" s="1314"/>
    </row>
    <row r="21" spans="2:13" s="706" customFormat="1" ht="6" customHeight="1" x14ac:dyDescent="0.2">
      <c r="C21" s="814"/>
      <c r="E21" s="842"/>
      <c r="F21" s="845"/>
    </row>
    <row r="22" spans="2:13" s="706" customFormat="1" ht="25.5" customHeight="1" x14ac:dyDescent="0.2">
      <c r="B22" s="841" t="s">
        <v>478</v>
      </c>
      <c r="C22" s="812"/>
      <c r="E22" s="844" t="s">
        <v>274</v>
      </c>
      <c r="F22" s="1314"/>
    </row>
    <row r="23" spans="2:13" s="706" customFormat="1" ht="8.25" customHeight="1" x14ac:dyDescent="0.2">
      <c r="C23" s="814"/>
      <c r="E23" s="842"/>
      <c r="F23" s="845"/>
    </row>
    <row r="24" spans="2:13" s="706" customFormat="1" ht="33.75" customHeight="1" x14ac:dyDescent="0.2">
      <c r="B24" s="437" t="s">
        <v>475</v>
      </c>
      <c r="C24" s="1077"/>
      <c r="D24" s="532"/>
      <c r="E24" s="844" t="s">
        <v>432</v>
      </c>
      <c r="F24" s="1314"/>
    </row>
    <row r="25" spans="2:13" s="706" customFormat="1" ht="6" customHeight="1" x14ac:dyDescent="0.2">
      <c r="C25" s="814"/>
      <c r="E25" s="842"/>
      <c r="F25" s="845"/>
    </row>
    <row r="26" spans="2:13" s="706" customFormat="1" ht="35.25" customHeight="1" x14ac:dyDescent="0.2">
      <c r="B26" s="437" t="s">
        <v>431</v>
      </c>
      <c r="C26" s="812"/>
      <c r="E26" s="844" t="s">
        <v>479</v>
      </c>
      <c r="F26" s="1314"/>
    </row>
    <row r="27" spans="2:13" s="706" customFormat="1" ht="7.5" customHeight="1" x14ac:dyDescent="0.2">
      <c r="C27" s="814"/>
      <c r="E27" s="842"/>
      <c r="F27" s="845"/>
    </row>
    <row r="28" spans="2:13" s="706" customFormat="1" ht="44.25" customHeight="1" x14ac:dyDescent="0.2">
      <c r="B28" s="437" t="s">
        <v>476</v>
      </c>
      <c r="C28" s="1078"/>
      <c r="E28" s="844" t="s">
        <v>275</v>
      </c>
      <c r="F28" s="1314"/>
    </row>
    <row r="29" spans="2:13" ht="10.5" customHeight="1" x14ac:dyDescent="0.2">
      <c r="E29" s="843"/>
      <c r="F29" s="845"/>
    </row>
    <row r="30" spans="2:13" s="706" customFormat="1" ht="36.75" customHeight="1" x14ac:dyDescent="0.2">
      <c r="B30" s="437" t="s">
        <v>477</v>
      </c>
      <c r="C30" s="1077"/>
      <c r="E30" s="844" t="s">
        <v>433</v>
      </c>
      <c r="F30" s="1314"/>
    </row>
    <row r="31" spans="2:13" ht="10.5" customHeight="1" x14ac:dyDescent="0.2">
      <c r="E31" s="843"/>
      <c r="F31" s="707"/>
    </row>
    <row r="32" spans="2:13" s="706" customFormat="1" ht="36.75" customHeight="1" x14ac:dyDescent="0.2">
      <c r="B32" s="846"/>
      <c r="C32" s="847"/>
      <c r="E32" s="844" t="s">
        <v>434</v>
      </c>
      <c r="F32" s="1314"/>
    </row>
    <row r="33" spans="2:13" s="706" customFormat="1" ht="6.75" customHeight="1" x14ac:dyDescent="0.2">
      <c r="B33" s="532"/>
      <c r="C33" s="532"/>
    </row>
    <row r="34" spans="2:13" s="706" customFormat="1" ht="15" x14ac:dyDescent="0.25">
      <c r="B34" s="969" t="s">
        <v>427</v>
      </c>
      <c r="C34" s="969"/>
      <c r="D34" s="969"/>
      <c r="E34" s="969"/>
      <c r="F34" s="969"/>
      <c r="G34" s="707"/>
      <c r="H34" s="707"/>
      <c r="I34" s="707"/>
      <c r="J34" s="707"/>
      <c r="K34" s="707"/>
      <c r="L34" s="707"/>
      <c r="M34" s="707"/>
    </row>
    <row r="35" spans="2:13" ht="10.5" customHeight="1" x14ac:dyDescent="0.2"/>
    <row r="36" spans="2:13" s="706" customFormat="1" ht="30.75" customHeight="1" x14ac:dyDescent="0.2">
      <c r="B36" s="436" t="s">
        <v>430</v>
      </c>
      <c r="C36" s="812"/>
      <c r="E36" s="844" t="s">
        <v>274</v>
      </c>
      <c r="F36" s="1314"/>
    </row>
    <row r="37" spans="2:13" s="706" customFormat="1" ht="6" customHeight="1" x14ac:dyDescent="0.2">
      <c r="C37" s="814"/>
      <c r="E37" s="842"/>
      <c r="F37" s="845"/>
    </row>
    <row r="38" spans="2:13" s="706" customFormat="1" ht="25.5" customHeight="1" x14ac:dyDescent="0.2">
      <c r="B38" s="841" t="s">
        <v>478</v>
      </c>
      <c r="C38" s="812"/>
      <c r="E38" s="844" t="s">
        <v>274</v>
      </c>
      <c r="F38" s="1314"/>
    </row>
    <row r="39" spans="2:13" s="706" customFormat="1" ht="8.25" customHeight="1" x14ac:dyDescent="0.2">
      <c r="C39" s="814"/>
      <c r="E39" s="842"/>
      <c r="F39" s="845"/>
    </row>
    <row r="40" spans="2:13" s="706" customFormat="1" ht="33.75" customHeight="1" x14ac:dyDescent="0.2">
      <c r="B40" s="437" t="s">
        <v>475</v>
      </c>
      <c r="C40" s="1077"/>
      <c r="D40" s="532"/>
      <c r="E40" s="844" t="s">
        <v>432</v>
      </c>
      <c r="F40" s="1314"/>
    </row>
    <row r="41" spans="2:13" s="706" customFormat="1" ht="6" customHeight="1" x14ac:dyDescent="0.2">
      <c r="C41" s="814"/>
      <c r="E41" s="842"/>
      <c r="F41" s="845"/>
    </row>
    <row r="42" spans="2:13" s="706" customFormat="1" ht="28.5" customHeight="1" x14ac:dyDescent="0.2">
      <c r="B42" s="437" t="s">
        <v>431</v>
      </c>
      <c r="C42" s="812"/>
      <c r="E42" s="844" t="s">
        <v>479</v>
      </c>
      <c r="F42" s="1314"/>
    </row>
    <row r="43" spans="2:13" s="706" customFormat="1" ht="7.5" customHeight="1" x14ac:dyDescent="0.2">
      <c r="C43" s="814"/>
      <c r="E43" s="842"/>
      <c r="F43" s="845"/>
    </row>
    <row r="44" spans="2:13" s="706" customFormat="1" ht="44.25" customHeight="1" x14ac:dyDescent="0.2">
      <c r="B44" s="437" t="s">
        <v>476</v>
      </c>
      <c r="C44" s="1078"/>
      <c r="E44" s="844" t="s">
        <v>275</v>
      </c>
      <c r="F44" s="1314"/>
    </row>
    <row r="45" spans="2:13" ht="10.5" customHeight="1" x14ac:dyDescent="0.2">
      <c r="E45" s="843"/>
      <c r="F45" s="845"/>
    </row>
    <row r="46" spans="2:13" s="706" customFormat="1" ht="36.75" customHeight="1" x14ac:dyDescent="0.2">
      <c r="B46" s="437" t="s">
        <v>477</v>
      </c>
      <c r="C46" s="1077"/>
      <c r="E46" s="844" t="s">
        <v>433</v>
      </c>
      <c r="F46" s="1314"/>
    </row>
    <row r="47" spans="2:13" ht="10.5" customHeight="1" x14ac:dyDescent="0.2">
      <c r="E47" s="843"/>
      <c r="F47" s="707"/>
    </row>
    <row r="48" spans="2:13" s="706" customFormat="1" ht="30.75" customHeight="1" x14ac:dyDescent="0.2">
      <c r="B48" s="846"/>
      <c r="C48" s="847"/>
      <c r="E48" s="844" t="s">
        <v>434</v>
      </c>
      <c r="F48" s="1314"/>
    </row>
    <row r="49" spans="2:13" s="706" customFormat="1" ht="5.25" customHeight="1" x14ac:dyDescent="0.2">
      <c r="B49" s="532"/>
      <c r="C49" s="532"/>
    </row>
    <row r="50" spans="2:13" s="706" customFormat="1" ht="2.25" customHeight="1" x14ac:dyDescent="0.2">
      <c r="L50" s="708"/>
      <c r="M50" s="708"/>
    </row>
    <row r="51" spans="2:13" s="706" customFormat="1" ht="15" x14ac:dyDescent="0.25">
      <c r="B51" s="969" t="s">
        <v>428</v>
      </c>
      <c r="C51" s="969"/>
      <c r="D51" s="969"/>
      <c r="E51" s="969"/>
      <c r="F51" s="969"/>
      <c r="G51" s="707"/>
      <c r="H51" s="707"/>
      <c r="I51" s="707"/>
      <c r="J51" s="707"/>
      <c r="K51" s="707"/>
      <c r="L51" s="707"/>
      <c r="M51" s="707"/>
    </row>
    <row r="52" spans="2:13" ht="10.5" customHeight="1" x14ac:dyDescent="0.2"/>
    <row r="53" spans="2:13" s="706" customFormat="1" ht="30.75" customHeight="1" x14ac:dyDescent="0.2">
      <c r="B53" s="436" t="s">
        <v>430</v>
      </c>
      <c r="C53" s="812"/>
      <c r="E53" s="844" t="s">
        <v>274</v>
      </c>
      <c r="F53" s="1314"/>
    </row>
    <row r="54" spans="2:13" s="706" customFormat="1" ht="6" customHeight="1" x14ac:dyDescent="0.2">
      <c r="C54" s="814"/>
      <c r="E54" s="842"/>
      <c r="F54" s="845"/>
    </row>
    <row r="55" spans="2:13" s="706" customFormat="1" ht="25.5" customHeight="1" x14ac:dyDescent="0.2">
      <c r="B55" s="841" t="s">
        <v>478</v>
      </c>
      <c r="C55" s="812"/>
      <c r="E55" s="844" t="s">
        <v>274</v>
      </c>
      <c r="F55" s="1314"/>
    </row>
    <row r="56" spans="2:13" s="706" customFormat="1" ht="8.25" customHeight="1" x14ac:dyDescent="0.2">
      <c r="C56" s="814"/>
      <c r="E56" s="842"/>
      <c r="F56" s="845"/>
    </row>
    <row r="57" spans="2:13" s="706" customFormat="1" ht="33.75" customHeight="1" x14ac:dyDescent="0.2">
      <c r="B57" s="437" t="s">
        <v>475</v>
      </c>
      <c r="C57" s="1077"/>
      <c r="D57" s="532"/>
      <c r="E57" s="844" t="s">
        <v>432</v>
      </c>
      <c r="F57" s="1314"/>
    </row>
    <row r="58" spans="2:13" s="706" customFormat="1" ht="6" customHeight="1" x14ac:dyDescent="0.2">
      <c r="C58" s="814"/>
      <c r="E58" s="842"/>
      <c r="F58" s="845"/>
    </row>
    <row r="59" spans="2:13" s="706" customFormat="1" ht="28.5" customHeight="1" x14ac:dyDescent="0.2">
      <c r="B59" s="437" t="s">
        <v>431</v>
      </c>
      <c r="C59" s="812"/>
      <c r="E59" s="844" t="s">
        <v>479</v>
      </c>
      <c r="F59" s="1314"/>
    </row>
    <row r="60" spans="2:13" s="706" customFormat="1" ht="7.5" customHeight="1" x14ac:dyDescent="0.2">
      <c r="C60" s="814"/>
      <c r="E60" s="842"/>
      <c r="F60" s="845"/>
    </row>
    <row r="61" spans="2:13" s="706" customFormat="1" ht="45.75" customHeight="1" x14ac:dyDescent="0.2">
      <c r="B61" s="437" t="s">
        <v>476</v>
      </c>
      <c r="C61" s="1078"/>
      <c r="E61" s="844" t="s">
        <v>275</v>
      </c>
      <c r="F61" s="1314"/>
    </row>
    <row r="62" spans="2:13" ht="10.5" customHeight="1" x14ac:dyDescent="0.2">
      <c r="E62" s="843"/>
      <c r="F62" s="845"/>
    </row>
    <row r="63" spans="2:13" s="706" customFormat="1" ht="36.75" customHeight="1" x14ac:dyDescent="0.2">
      <c r="B63" s="437" t="s">
        <v>477</v>
      </c>
      <c r="C63" s="1077"/>
      <c r="E63" s="844" t="s">
        <v>433</v>
      </c>
      <c r="F63" s="1314"/>
    </row>
    <row r="64" spans="2:13" ht="10.5" customHeight="1" x14ac:dyDescent="0.2">
      <c r="E64" s="843"/>
      <c r="F64" s="707"/>
    </row>
    <row r="65" spans="2:13" s="706" customFormat="1" ht="33.75" customHeight="1" x14ac:dyDescent="0.2">
      <c r="B65" s="849"/>
      <c r="C65" s="848"/>
      <c r="E65" s="844" t="s">
        <v>434</v>
      </c>
      <c r="F65" s="1314"/>
    </row>
    <row r="66" spans="2:13" s="706" customFormat="1" ht="5.25" customHeight="1" x14ac:dyDescent="0.2">
      <c r="B66" s="532"/>
      <c r="C66" s="532"/>
    </row>
    <row r="67" spans="2:13" s="706" customFormat="1" ht="15" x14ac:dyDescent="0.25">
      <c r="B67" s="969" t="s">
        <v>429</v>
      </c>
      <c r="C67" s="969"/>
      <c r="D67" s="969"/>
      <c r="E67" s="969"/>
      <c r="F67" s="969"/>
      <c r="G67" s="707"/>
      <c r="H67" s="707"/>
      <c r="I67" s="707"/>
      <c r="J67" s="707"/>
      <c r="K67" s="707"/>
      <c r="L67" s="707"/>
      <c r="M67" s="707"/>
    </row>
    <row r="68" spans="2:13" ht="10.5" customHeight="1" x14ac:dyDescent="0.2"/>
    <row r="69" spans="2:13" s="706" customFormat="1" ht="30.75" customHeight="1" x14ac:dyDescent="0.2">
      <c r="B69" s="436" t="s">
        <v>430</v>
      </c>
      <c r="C69" s="812"/>
      <c r="E69" s="844" t="s">
        <v>274</v>
      </c>
      <c r="F69" s="1314"/>
    </row>
    <row r="70" spans="2:13" s="706" customFormat="1" ht="6" customHeight="1" x14ac:dyDescent="0.2">
      <c r="C70" s="814"/>
      <c r="E70" s="842"/>
      <c r="F70" s="845"/>
    </row>
    <row r="71" spans="2:13" s="706" customFormat="1" ht="25.5" customHeight="1" x14ac:dyDescent="0.2">
      <c r="B71" s="841" t="s">
        <v>478</v>
      </c>
      <c r="C71" s="812"/>
      <c r="E71" s="844" t="s">
        <v>274</v>
      </c>
      <c r="F71" s="1314"/>
    </row>
    <row r="72" spans="2:13" s="706" customFormat="1" ht="8.25" customHeight="1" x14ac:dyDescent="0.2">
      <c r="C72" s="814"/>
      <c r="E72" s="842"/>
      <c r="F72" s="845"/>
    </row>
    <row r="73" spans="2:13" s="706" customFormat="1" ht="33.75" customHeight="1" x14ac:dyDescent="0.2">
      <c r="B73" s="437" t="s">
        <v>475</v>
      </c>
      <c r="C73" s="1077"/>
      <c r="D73" s="532"/>
      <c r="E73" s="844" t="s">
        <v>432</v>
      </c>
      <c r="F73" s="1314"/>
    </row>
    <row r="74" spans="2:13" s="706" customFormat="1" ht="6" customHeight="1" x14ac:dyDescent="0.2">
      <c r="C74" s="814"/>
      <c r="E74" s="842"/>
      <c r="F74" s="845"/>
    </row>
    <row r="75" spans="2:13" s="706" customFormat="1" ht="28.5" customHeight="1" x14ac:dyDescent="0.2">
      <c r="B75" s="437" t="s">
        <v>431</v>
      </c>
      <c r="C75" s="812"/>
      <c r="E75" s="844" t="s">
        <v>479</v>
      </c>
      <c r="F75" s="1314"/>
    </row>
    <row r="76" spans="2:13" s="706" customFormat="1" ht="7.5" customHeight="1" x14ac:dyDescent="0.2">
      <c r="C76" s="814"/>
      <c r="E76" s="842"/>
      <c r="F76" s="845"/>
    </row>
    <row r="77" spans="2:13" s="706" customFormat="1" ht="42.75" customHeight="1" x14ac:dyDescent="0.2">
      <c r="B77" s="437" t="s">
        <v>476</v>
      </c>
      <c r="C77" s="1078"/>
      <c r="E77" s="844" t="s">
        <v>275</v>
      </c>
      <c r="F77" s="1314"/>
    </row>
    <row r="78" spans="2:13" ht="10.5" customHeight="1" x14ac:dyDescent="0.2">
      <c r="E78" s="843"/>
      <c r="F78" s="845"/>
    </row>
    <row r="79" spans="2:13" s="706" customFormat="1" ht="36.75" customHeight="1" x14ac:dyDescent="0.2">
      <c r="B79" s="437" t="s">
        <v>477</v>
      </c>
      <c r="C79" s="1077"/>
      <c r="E79" s="844" t="s">
        <v>433</v>
      </c>
      <c r="F79" s="1314"/>
    </row>
    <row r="80" spans="2:13" ht="6" customHeight="1" x14ac:dyDescent="0.2">
      <c r="E80" s="843"/>
      <c r="F80" s="707"/>
    </row>
    <row r="81" spans="2:6" s="706" customFormat="1" ht="26.25" customHeight="1" x14ac:dyDescent="0.2">
      <c r="B81" s="846"/>
      <c r="C81" s="847"/>
      <c r="E81" s="844" t="s">
        <v>434</v>
      </c>
      <c r="F81" s="1314"/>
    </row>
    <row r="82" spans="2:6" s="706" customFormat="1" ht="12" customHeight="1" x14ac:dyDescent="0.2">
      <c r="B82" s="532"/>
      <c r="C82" s="532"/>
    </row>
  </sheetData>
  <sheetProtection password="92D1" sheet="1" formatCells="0" formatColumns="0"/>
  <mergeCells count="3">
    <mergeCell ref="A1:D1"/>
    <mergeCell ref="A3:E3"/>
    <mergeCell ref="E16:F16"/>
  </mergeCells>
  <phoneticPr fontId="59" type="noConversion"/>
  <conditionalFormatting sqref="E16">
    <cfRule type="cellIs" dxfId="40" priority="1" operator="equal">
      <formula>""</formula>
    </cfRule>
  </conditionalFormatting>
  <pageMargins left="0.70866141732283472" right="0.70866141732283472" top="0.74803149606299213" bottom="0.74803149606299213" header="0.31496062992125984" footer="0.31496062992125984"/>
  <pageSetup paperSize="9" scale="45" fitToHeight="0" orientation="portrait" cellComments="asDisplayed" r:id="rId1"/>
  <headerFooter>
    <oddFooter>&amp;L&amp;F&amp;C&amp;A&amp;R&amp;P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1"/>
    <pageSetUpPr fitToPage="1"/>
  </sheetPr>
  <dimension ref="B1:Z40"/>
  <sheetViews>
    <sheetView showGridLines="0" view="pageBreakPreview" zoomScale="55" zoomScaleNormal="70" zoomScaleSheetLayoutView="55" zoomScalePageLayoutView="55" workbookViewId="0">
      <selection activeCell="D20" sqref="D20"/>
    </sheetView>
  </sheetViews>
  <sheetFormatPr defaultRowHeight="12.75" x14ac:dyDescent="0.2"/>
  <cols>
    <col min="1" max="1" width="2" style="72" customWidth="1"/>
    <col min="2" max="2" width="20.42578125" style="72" customWidth="1"/>
    <col min="3" max="3" width="17.5703125" style="72" hidden="1" customWidth="1"/>
    <col min="4" max="4" width="19.5703125" style="72" customWidth="1"/>
    <col min="5" max="5" width="2.28515625" style="72" customWidth="1"/>
    <col min="6" max="6" width="15.42578125" style="72" customWidth="1"/>
    <col min="7" max="7" width="21.7109375" style="72" customWidth="1"/>
    <col min="8" max="8" width="2.42578125" style="72" customWidth="1"/>
    <col min="9" max="9" width="16.28515625" style="72" customWidth="1"/>
    <col min="10" max="10" width="24.7109375" style="72" bestFit="1" customWidth="1"/>
    <col min="11" max="11" width="2.5703125" style="72" customWidth="1"/>
    <col min="12" max="12" width="19.7109375" style="72" customWidth="1"/>
    <col min="13" max="13" width="19.42578125" style="72" customWidth="1"/>
    <col min="14" max="14" width="17.5703125" style="428" customWidth="1"/>
    <col min="15" max="15" width="26.28515625" style="72" hidden="1" customWidth="1"/>
    <col min="16" max="16" width="68.28515625" style="72" customWidth="1"/>
    <col min="17" max="17" width="4.140625" style="69" customWidth="1"/>
    <col min="18" max="26" width="9.140625" style="69"/>
    <col min="27" max="16384" width="9.140625" style="72"/>
  </cols>
  <sheetData>
    <row r="1" spans="2:26" ht="25.5" customHeight="1" x14ac:dyDescent="0.35">
      <c r="B1" s="2114" t="s">
        <v>61</v>
      </c>
      <c r="C1" s="2114"/>
      <c r="D1" s="2114"/>
      <c r="E1" s="2114"/>
      <c r="F1" s="2114"/>
      <c r="G1" s="2114"/>
      <c r="H1" s="2114"/>
      <c r="I1" s="2114"/>
      <c r="J1" s="2114"/>
      <c r="K1" s="2114"/>
      <c r="L1" s="2114"/>
      <c r="M1" s="2114"/>
      <c r="N1" s="2114"/>
      <c r="O1" s="2114"/>
      <c r="P1" s="2114"/>
      <c r="Q1" s="1029"/>
      <c r="R1" s="1029"/>
      <c r="S1" s="1029"/>
      <c r="T1" s="1029"/>
      <c r="U1" s="1029"/>
      <c r="V1" s="1029"/>
      <c r="W1" s="1029"/>
      <c r="X1" s="1029"/>
      <c r="Y1" s="1029"/>
      <c r="Z1" s="1029"/>
    </row>
    <row r="2" spans="2:26" ht="14.25" customHeight="1" thickBot="1" x14ac:dyDescent="0.35">
      <c r="B2" s="69"/>
      <c r="C2" s="69"/>
      <c r="D2" s="69"/>
      <c r="E2" s="69"/>
      <c r="F2" s="69"/>
      <c r="G2" s="69"/>
      <c r="H2" s="69"/>
      <c r="I2" s="78"/>
      <c r="J2" s="83"/>
      <c r="K2" s="69"/>
      <c r="L2" s="69"/>
      <c r="M2" s="69"/>
      <c r="N2" s="69"/>
      <c r="R2" s="984"/>
      <c r="S2" s="984"/>
      <c r="T2" s="984"/>
      <c r="U2" s="984"/>
      <c r="V2" s="984"/>
      <c r="W2" s="984"/>
      <c r="X2" s="984"/>
    </row>
    <row r="3" spans="2:26" s="699" customFormat="1" ht="26.25" customHeight="1" thickBot="1" x14ac:dyDescent="0.3">
      <c r="B3" s="1260" t="s">
        <v>116</v>
      </c>
      <c r="C3" s="1261"/>
      <c r="D3" s="1261"/>
      <c r="E3" s="1261"/>
      <c r="F3" s="1261"/>
      <c r="G3" s="1261"/>
      <c r="H3" s="1261"/>
      <c r="I3" s="1261"/>
      <c r="J3" s="1261"/>
      <c r="K3" s="1261"/>
      <c r="L3" s="1261"/>
      <c r="M3" s="1261"/>
      <c r="N3" s="1261"/>
      <c r="O3" s="1261"/>
      <c r="P3" s="1315"/>
      <c r="Q3" s="698"/>
      <c r="R3" s="698"/>
      <c r="S3" s="698"/>
      <c r="T3" s="698"/>
      <c r="U3" s="698"/>
      <c r="V3" s="698"/>
      <c r="W3" s="698"/>
      <c r="X3" s="698"/>
      <c r="Y3" s="698"/>
      <c r="Z3" s="698"/>
    </row>
    <row r="5" spans="2:26" ht="22.5" customHeight="1" x14ac:dyDescent="0.2">
      <c r="B5" s="72" t="s">
        <v>117</v>
      </c>
      <c r="J5" s="835"/>
      <c r="L5" s="190"/>
      <c r="M5" s="31"/>
      <c r="N5" s="1028"/>
      <c r="O5" s="31"/>
      <c r="P5" s="31"/>
    </row>
    <row r="6" spans="2:26" ht="13.5" thickBot="1" x14ac:dyDescent="0.25"/>
    <row r="7" spans="2:26" ht="15.75" thickBot="1" x14ac:dyDescent="0.25">
      <c r="B7" s="1679" t="s">
        <v>70</v>
      </c>
      <c r="C7" s="1749"/>
      <c r="D7" s="1749"/>
      <c r="E7" s="1749"/>
      <c r="F7" s="1680"/>
      <c r="G7" s="1751" t="str">
        <f>'PR_Programmatic Progress_1A'!C7</f>
        <v>MNR-809-G04-H</v>
      </c>
      <c r="H7" s="1752"/>
      <c r="I7" s="1752"/>
      <c r="J7" s="1752"/>
      <c r="K7" s="1752"/>
      <c r="L7" s="1753"/>
      <c r="O7" s="428"/>
    </row>
    <row r="8" spans="2:26" ht="15" x14ac:dyDescent="0.2">
      <c r="B8" s="465" t="s">
        <v>277</v>
      </c>
      <c r="C8" s="483"/>
      <c r="D8" s="483"/>
      <c r="E8" s="483"/>
      <c r="F8" s="483"/>
      <c r="G8" s="53" t="s">
        <v>283</v>
      </c>
      <c r="H8" s="2115" t="str">
        <f>'PR_Programmatic Progress_1A'!D12</f>
        <v>Quarter</v>
      </c>
      <c r="I8" s="2116"/>
      <c r="J8" s="2119" t="s">
        <v>284</v>
      </c>
      <c r="K8" s="2120"/>
      <c r="L8" s="372">
        <f>'PR_Programmatic Progress_1A'!F12</f>
        <v>7</v>
      </c>
      <c r="O8" s="428"/>
    </row>
    <row r="9" spans="2:26" ht="15" x14ac:dyDescent="0.2">
      <c r="B9" s="484" t="s">
        <v>278</v>
      </c>
      <c r="C9" s="40"/>
      <c r="D9" s="40"/>
      <c r="E9" s="40"/>
      <c r="F9" s="40"/>
      <c r="G9" s="54" t="s">
        <v>246</v>
      </c>
      <c r="H9" s="2117">
        <f>'PR_Programmatic Progress_1A'!D13</f>
        <v>40452</v>
      </c>
      <c r="I9" s="2118"/>
      <c r="J9" s="2119" t="s">
        <v>264</v>
      </c>
      <c r="K9" s="2121"/>
      <c r="L9" s="373">
        <f>'PR_Programmatic Progress_1A'!F13</f>
        <v>40543</v>
      </c>
      <c r="O9" s="428"/>
    </row>
    <row r="10" spans="2:26" ht="15.75" thickBot="1" x14ac:dyDescent="0.25">
      <c r="B10" s="55" t="s">
        <v>279</v>
      </c>
      <c r="C10" s="168"/>
      <c r="D10" s="168"/>
      <c r="E10" s="168"/>
      <c r="F10" s="41"/>
      <c r="G10" s="2003">
        <f>'PR_Programmatic Progress_1A'!C14</f>
        <v>5</v>
      </c>
      <c r="H10" s="2004"/>
      <c r="I10" s="2004"/>
      <c r="J10" s="2004"/>
      <c r="K10" s="2004"/>
      <c r="L10" s="2005"/>
    </row>
    <row r="11" spans="2:26" s="73" customFormat="1" ht="15" customHeight="1" thickBot="1" x14ac:dyDescent="0.25">
      <c r="B11" s="1316" t="s">
        <v>245</v>
      </c>
      <c r="C11" s="1317"/>
      <c r="D11" s="1318"/>
      <c r="E11" s="2111" t="str">
        <f>IF('PR_Programmatic Progress_1A'!C10="Select","",'PR_Programmatic Progress_1A'!C10)</f>
        <v>EUR</v>
      </c>
      <c r="F11" s="2112"/>
      <c r="G11" s="2112"/>
      <c r="H11" s="2112"/>
      <c r="I11" s="2112"/>
      <c r="J11" s="2112"/>
      <c r="K11" s="2112"/>
      <c r="L11" s="2113"/>
      <c r="M11" s="4"/>
    </row>
    <row r="12" spans="2:26" x14ac:dyDescent="0.2">
      <c r="N12" s="537"/>
    </row>
    <row r="14" spans="2:26" s="543" customFormat="1" ht="105" x14ac:dyDescent="0.2">
      <c r="B14" s="1319" t="s">
        <v>29</v>
      </c>
      <c r="C14" s="1320" t="s">
        <v>30</v>
      </c>
      <c r="D14" s="1321" t="s">
        <v>31</v>
      </c>
      <c r="E14" s="1322"/>
      <c r="F14" s="1307" t="s">
        <v>418</v>
      </c>
      <c r="G14" s="1321" t="s">
        <v>32</v>
      </c>
      <c r="H14" s="1323"/>
      <c r="I14" s="1307" t="s">
        <v>628</v>
      </c>
      <c r="J14" s="1321" t="s">
        <v>629</v>
      </c>
      <c r="K14" s="1322"/>
      <c r="L14" s="1307" t="s">
        <v>636</v>
      </c>
      <c r="M14" s="1321" t="s">
        <v>630</v>
      </c>
      <c r="N14" s="1321" t="s">
        <v>0</v>
      </c>
      <c r="O14" s="1324" t="s">
        <v>36</v>
      </c>
      <c r="P14" s="1307" t="s">
        <v>612</v>
      </c>
      <c r="Q14" s="1030"/>
      <c r="R14" s="1030"/>
      <c r="S14" s="1030"/>
      <c r="T14" s="1030"/>
      <c r="U14" s="1030"/>
      <c r="V14" s="1030"/>
      <c r="W14" s="1030"/>
      <c r="X14" s="1030"/>
      <c r="Y14" s="1030"/>
      <c r="Z14" s="1030"/>
    </row>
    <row r="15" spans="2:26" ht="42" customHeight="1" x14ac:dyDescent="0.2">
      <c r="B15" s="821"/>
      <c r="C15" s="1093">
        <v>0</v>
      </c>
      <c r="D15" s="826"/>
      <c r="E15" s="759"/>
      <c r="F15" s="821">
        <v>0</v>
      </c>
      <c r="G15" s="821">
        <v>0</v>
      </c>
      <c r="H15" s="760"/>
      <c r="I15" s="821">
        <v>0</v>
      </c>
      <c r="J15" s="821">
        <v>0</v>
      </c>
      <c r="K15" s="761"/>
      <c r="L15" s="821">
        <v>0</v>
      </c>
      <c r="M15" s="1031"/>
      <c r="N15" s="1091">
        <f>SUM(I15-L15)</f>
        <v>0</v>
      </c>
      <c r="O15" s="823" t="s">
        <v>17</v>
      </c>
      <c r="P15" s="1325"/>
    </row>
    <row r="16" spans="2:26" ht="42" customHeight="1" x14ac:dyDescent="0.2">
      <c r="B16" s="821"/>
      <c r="C16" s="1094">
        <v>0</v>
      </c>
      <c r="D16" s="826"/>
      <c r="E16" s="762"/>
      <c r="F16" s="821">
        <v>0</v>
      </c>
      <c r="G16" s="821">
        <v>0</v>
      </c>
      <c r="H16" s="763"/>
      <c r="I16" s="821">
        <v>0</v>
      </c>
      <c r="J16" s="821">
        <v>0</v>
      </c>
      <c r="K16" s="764"/>
      <c r="L16" s="821">
        <v>0</v>
      </c>
      <c r="M16" s="1031"/>
      <c r="N16" s="1091">
        <f t="shared" ref="N16:N34" si="0">SUM(I16-L16)</f>
        <v>0</v>
      </c>
      <c r="O16" s="824">
        <v>0</v>
      </c>
      <c r="P16" s="1325"/>
    </row>
    <row r="17" spans="2:16" ht="42" customHeight="1" x14ac:dyDescent="0.2">
      <c r="B17" s="821"/>
      <c r="C17" s="1094">
        <v>0</v>
      </c>
      <c r="D17" s="826"/>
      <c r="E17" s="762"/>
      <c r="F17" s="821">
        <v>0</v>
      </c>
      <c r="G17" s="821">
        <v>0</v>
      </c>
      <c r="H17" s="763"/>
      <c r="I17" s="821">
        <v>0</v>
      </c>
      <c r="J17" s="821">
        <v>0</v>
      </c>
      <c r="K17" s="764"/>
      <c r="L17" s="821">
        <v>0</v>
      </c>
      <c r="M17" s="1031"/>
      <c r="N17" s="1091">
        <f t="shared" si="0"/>
        <v>0</v>
      </c>
      <c r="O17" s="824">
        <v>0</v>
      </c>
      <c r="P17" s="1325"/>
    </row>
    <row r="18" spans="2:16" ht="42" customHeight="1" x14ac:dyDescent="0.2">
      <c r="B18" s="821"/>
      <c r="C18" s="1094">
        <v>0</v>
      </c>
      <c r="D18" s="826"/>
      <c r="E18" s="762"/>
      <c r="F18" s="821">
        <v>0</v>
      </c>
      <c r="G18" s="821">
        <v>0</v>
      </c>
      <c r="H18" s="763"/>
      <c r="I18" s="821">
        <v>0</v>
      </c>
      <c r="J18" s="821">
        <v>0</v>
      </c>
      <c r="K18" s="764"/>
      <c r="L18" s="821">
        <v>0</v>
      </c>
      <c r="M18" s="1031"/>
      <c r="N18" s="1091">
        <f t="shared" si="0"/>
        <v>0</v>
      </c>
      <c r="O18" s="824">
        <v>0</v>
      </c>
      <c r="P18" s="1325"/>
    </row>
    <row r="19" spans="2:16" ht="42" customHeight="1" x14ac:dyDescent="0.2">
      <c r="B19" s="821"/>
      <c r="C19" s="1094">
        <v>0</v>
      </c>
      <c r="D19" s="826"/>
      <c r="E19" s="762"/>
      <c r="F19" s="821">
        <v>0</v>
      </c>
      <c r="G19" s="821">
        <v>0</v>
      </c>
      <c r="H19" s="763"/>
      <c r="I19" s="821">
        <v>0</v>
      </c>
      <c r="J19" s="821">
        <v>0</v>
      </c>
      <c r="K19" s="764"/>
      <c r="L19" s="821">
        <v>0</v>
      </c>
      <c r="M19" s="1031"/>
      <c r="N19" s="1091">
        <f t="shared" si="0"/>
        <v>0</v>
      </c>
      <c r="O19" s="824">
        <v>0</v>
      </c>
      <c r="P19" s="1325"/>
    </row>
    <row r="20" spans="2:16" ht="42" customHeight="1" x14ac:dyDescent="0.2">
      <c r="B20" s="821"/>
      <c r="C20" s="1094">
        <v>0</v>
      </c>
      <c r="D20" s="826"/>
      <c r="E20" s="762"/>
      <c r="F20" s="821">
        <v>0</v>
      </c>
      <c r="G20" s="821">
        <v>0</v>
      </c>
      <c r="H20" s="763"/>
      <c r="I20" s="821">
        <v>0</v>
      </c>
      <c r="J20" s="821">
        <v>0</v>
      </c>
      <c r="K20" s="764"/>
      <c r="L20" s="821">
        <v>0</v>
      </c>
      <c r="M20" s="1031"/>
      <c r="N20" s="1091">
        <f t="shared" si="0"/>
        <v>0</v>
      </c>
      <c r="O20" s="824">
        <v>0</v>
      </c>
      <c r="P20" s="1325"/>
    </row>
    <row r="21" spans="2:16" ht="42" customHeight="1" x14ac:dyDescent="0.2">
      <c r="B21" s="821"/>
      <c r="C21" s="1094">
        <v>0</v>
      </c>
      <c r="D21" s="826"/>
      <c r="E21" s="762"/>
      <c r="F21" s="821">
        <v>0</v>
      </c>
      <c r="G21" s="821">
        <v>0</v>
      </c>
      <c r="H21" s="763"/>
      <c r="I21" s="821">
        <v>0</v>
      </c>
      <c r="J21" s="821">
        <v>0</v>
      </c>
      <c r="K21" s="764"/>
      <c r="L21" s="821">
        <v>0</v>
      </c>
      <c r="M21" s="1031"/>
      <c r="N21" s="1091">
        <f t="shared" si="0"/>
        <v>0</v>
      </c>
      <c r="O21" s="824">
        <v>0</v>
      </c>
      <c r="P21" s="1325"/>
    </row>
    <row r="22" spans="2:16" ht="42" customHeight="1" x14ac:dyDescent="0.2">
      <c r="B22" s="821"/>
      <c r="C22" s="1094">
        <v>0</v>
      </c>
      <c r="D22" s="826"/>
      <c r="E22" s="762"/>
      <c r="F22" s="821">
        <v>0</v>
      </c>
      <c r="G22" s="821">
        <v>0</v>
      </c>
      <c r="H22" s="763"/>
      <c r="I22" s="821">
        <v>0</v>
      </c>
      <c r="J22" s="821">
        <v>0</v>
      </c>
      <c r="K22" s="764"/>
      <c r="L22" s="821">
        <v>0</v>
      </c>
      <c r="M22" s="1031"/>
      <c r="N22" s="1091">
        <f t="shared" si="0"/>
        <v>0</v>
      </c>
      <c r="O22" s="824">
        <v>0</v>
      </c>
      <c r="P22" s="1325"/>
    </row>
    <row r="23" spans="2:16" ht="42" customHeight="1" x14ac:dyDescent="0.2">
      <c r="B23" s="821"/>
      <c r="C23" s="1094">
        <v>0</v>
      </c>
      <c r="D23" s="826"/>
      <c r="E23" s="762"/>
      <c r="F23" s="821">
        <v>0</v>
      </c>
      <c r="G23" s="821">
        <v>0</v>
      </c>
      <c r="H23" s="763"/>
      <c r="I23" s="821">
        <v>0</v>
      </c>
      <c r="J23" s="821">
        <v>0</v>
      </c>
      <c r="K23" s="764"/>
      <c r="L23" s="821">
        <v>0</v>
      </c>
      <c r="M23" s="1031"/>
      <c r="N23" s="1091">
        <f>SUM(I23-L23)</f>
        <v>0</v>
      </c>
      <c r="O23" s="824">
        <v>0</v>
      </c>
      <c r="P23" s="1325"/>
    </row>
    <row r="24" spans="2:16" ht="42" customHeight="1" x14ac:dyDescent="0.2">
      <c r="B24" s="821"/>
      <c r="C24" s="1094">
        <v>0</v>
      </c>
      <c r="D24" s="826"/>
      <c r="E24" s="765"/>
      <c r="F24" s="821">
        <v>0</v>
      </c>
      <c r="G24" s="821">
        <v>0</v>
      </c>
      <c r="H24" s="766"/>
      <c r="I24" s="821">
        <v>0</v>
      </c>
      <c r="J24" s="821">
        <v>0</v>
      </c>
      <c r="K24" s="767"/>
      <c r="L24" s="821">
        <v>0</v>
      </c>
      <c r="M24" s="1031"/>
      <c r="N24" s="1091">
        <f t="shared" si="0"/>
        <v>0</v>
      </c>
      <c r="O24" s="824">
        <v>0</v>
      </c>
      <c r="P24" s="1325"/>
    </row>
    <row r="25" spans="2:16" ht="42" customHeight="1" x14ac:dyDescent="0.2">
      <c r="B25" s="821"/>
      <c r="C25" s="1094">
        <v>0</v>
      </c>
      <c r="D25" s="826"/>
      <c r="E25" s="765"/>
      <c r="F25" s="821">
        <v>0</v>
      </c>
      <c r="G25" s="821">
        <v>0</v>
      </c>
      <c r="H25" s="766"/>
      <c r="I25" s="821">
        <v>0</v>
      </c>
      <c r="J25" s="821">
        <v>0</v>
      </c>
      <c r="K25" s="767"/>
      <c r="L25" s="821">
        <v>0</v>
      </c>
      <c r="M25" s="1031"/>
      <c r="N25" s="1091">
        <f t="shared" si="0"/>
        <v>0</v>
      </c>
      <c r="O25" s="824">
        <v>0</v>
      </c>
      <c r="P25" s="1325"/>
    </row>
    <row r="26" spans="2:16" ht="42" customHeight="1" x14ac:dyDescent="0.2">
      <c r="B26" s="821"/>
      <c r="C26" s="1094">
        <v>0</v>
      </c>
      <c r="D26" s="826"/>
      <c r="E26" s="765"/>
      <c r="F26" s="821">
        <v>0</v>
      </c>
      <c r="G26" s="821">
        <v>0</v>
      </c>
      <c r="H26" s="766"/>
      <c r="I26" s="821">
        <v>0</v>
      </c>
      <c r="J26" s="821">
        <v>0</v>
      </c>
      <c r="K26" s="767"/>
      <c r="L26" s="821">
        <v>0</v>
      </c>
      <c r="M26" s="1031"/>
      <c r="N26" s="1091">
        <f t="shared" si="0"/>
        <v>0</v>
      </c>
      <c r="O26" s="824">
        <v>0</v>
      </c>
      <c r="P26" s="1325"/>
    </row>
    <row r="27" spans="2:16" ht="42" customHeight="1" x14ac:dyDescent="0.2">
      <c r="B27" s="821"/>
      <c r="C27" s="1094">
        <v>0</v>
      </c>
      <c r="D27" s="826"/>
      <c r="E27" s="765"/>
      <c r="F27" s="821">
        <v>0</v>
      </c>
      <c r="G27" s="821">
        <v>0</v>
      </c>
      <c r="H27" s="766"/>
      <c r="I27" s="821">
        <v>0</v>
      </c>
      <c r="J27" s="821">
        <v>0</v>
      </c>
      <c r="K27" s="767"/>
      <c r="L27" s="821">
        <v>0</v>
      </c>
      <c r="M27" s="1031"/>
      <c r="N27" s="1091">
        <f t="shared" si="0"/>
        <v>0</v>
      </c>
      <c r="O27" s="824">
        <v>0</v>
      </c>
      <c r="P27" s="1325"/>
    </row>
    <row r="28" spans="2:16" ht="42" customHeight="1" x14ac:dyDescent="0.2">
      <c r="B28" s="821"/>
      <c r="C28" s="1094">
        <v>0</v>
      </c>
      <c r="D28" s="826"/>
      <c r="E28" s="765"/>
      <c r="F28" s="821">
        <v>0</v>
      </c>
      <c r="G28" s="821">
        <v>0</v>
      </c>
      <c r="H28" s="766"/>
      <c r="I28" s="821">
        <v>0</v>
      </c>
      <c r="J28" s="821">
        <v>0</v>
      </c>
      <c r="K28" s="767"/>
      <c r="L28" s="821">
        <v>0</v>
      </c>
      <c r="M28" s="1031"/>
      <c r="N28" s="1091">
        <f t="shared" si="0"/>
        <v>0</v>
      </c>
      <c r="O28" s="824">
        <v>0</v>
      </c>
      <c r="P28" s="1325"/>
    </row>
    <row r="29" spans="2:16" ht="42" customHeight="1" x14ac:dyDescent="0.2">
      <c r="B29" s="821"/>
      <c r="C29" s="1094">
        <v>0</v>
      </c>
      <c r="D29" s="826"/>
      <c r="E29" s="765"/>
      <c r="F29" s="821">
        <v>0</v>
      </c>
      <c r="G29" s="821">
        <v>0</v>
      </c>
      <c r="H29" s="766"/>
      <c r="I29" s="821">
        <v>0</v>
      </c>
      <c r="J29" s="821">
        <v>0</v>
      </c>
      <c r="K29" s="767"/>
      <c r="L29" s="821">
        <v>0</v>
      </c>
      <c r="M29" s="1031"/>
      <c r="N29" s="1091">
        <f t="shared" si="0"/>
        <v>0</v>
      </c>
      <c r="O29" s="824">
        <v>0</v>
      </c>
      <c r="P29" s="1325"/>
    </row>
    <row r="30" spans="2:16" ht="42" customHeight="1" x14ac:dyDescent="0.2">
      <c r="B30" s="821"/>
      <c r="C30" s="1094">
        <v>0</v>
      </c>
      <c r="D30" s="826"/>
      <c r="E30" s="765"/>
      <c r="F30" s="821">
        <v>0</v>
      </c>
      <c r="G30" s="821">
        <v>0</v>
      </c>
      <c r="H30" s="766"/>
      <c r="I30" s="821">
        <v>0</v>
      </c>
      <c r="J30" s="821">
        <v>0</v>
      </c>
      <c r="K30" s="767"/>
      <c r="L30" s="821">
        <v>0</v>
      </c>
      <c r="M30" s="1031"/>
      <c r="N30" s="1091">
        <f t="shared" si="0"/>
        <v>0</v>
      </c>
      <c r="O30" s="824">
        <v>0</v>
      </c>
      <c r="P30" s="1325"/>
    </row>
    <row r="31" spans="2:16" ht="42" customHeight="1" x14ac:dyDescent="0.2">
      <c r="B31" s="821"/>
      <c r="C31" s="1094">
        <v>0</v>
      </c>
      <c r="D31" s="826"/>
      <c r="E31" s="765"/>
      <c r="F31" s="821">
        <v>0</v>
      </c>
      <c r="G31" s="821">
        <v>0</v>
      </c>
      <c r="H31" s="766"/>
      <c r="I31" s="821">
        <v>0</v>
      </c>
      <c r="J31" s="821">
        <v>0</v>
      </c>
      <c r="K31" s="767"/>
      <c r="L31" s="821">
        <v>0</v>
      </c>
      <c r="M31" s="1031"/>
      <c r="N31" s="1091">
        <f t="shared" si="0"/>
        <v>0</v>
      </c>
      <c r="O31" s="824">
        <v>0</v>
      </c>
      <c r="P31" s="1325"/>
    </row>
    <row r="32" spans="2:16" ht="42" customHeight="1" x14ac:dyDescent="0.2">
      <c r="B32" s="821"/>
      <c r="C32" s="1094">
        <v>0</v>
      </c>
      <c r="D32" s="826"/>
      <c r="E32" s="765"/>
      <c r="F32" s="821">
        <v>0</v>
      </c>
      <c r="G32" s="821">
        <v>0</v>
      </c>
      <c r="H32" s="766"/>
      <c r="I32" s="821">
        <v>0</v>
      </c>
      <c r="J32" s="821">
        <v>0</v>
      </c>
      <c r="K32" s="767"/>
      <c r="L32" s="821">
        <v>0</v>
      </c>
      <c r="M32" s="1031"/>
      <c r="N32" s="1091">
        <f t="shared" si="0"/>
        <v>0</v>
      </c>
      <c r="O32" s="824">
        <v>0</v>
      </c>
      <c r="P32" s="1325"/>
    </row>
    <row r="33" spans="2:16" ht="42" customHeight="1" x14ac:dyDescent="0.2">
      <c r="B33" s="821"/>
      <c r="C33" s="1094">
        <v>0</v>
      </c>
      <c r="D33" s="826"/>
      <c r="E33" s="765"/>
      <c r="F33" s="821">
        <v>0</v>
      </c>
      <c r="G33" s="821">
        <v>0</v>
      </c>
      <c r="H33" s="766"/>
      <c r="I33" s="821">
        <v>0</v>
      </c>
      <c r="J33" s="821">
        <v>0</v>
      </c>
      <c r="K33" s="767"/>
      <c r="L33" s="821">
        <v>0</v>
      </c>
      <c r="M33" s="1031"/>
      <c r="N33" s="1091">
        <f t="shared" si="0"/>
        <v>0</v>
      </c>
      <c r="O33" s="824">
        <v>0</v>
      </c>
      <c r="P33" s="1325"/>
    </row>
    <row r="34" spans="2:16" ht="42.75" customHeight="1" x14ac:dyDescent="0.2">
      <c r="B34" s="821"/>
      <c r="C34" s="1094">
        <v>0</v>
      </c>
      <c r="D34" s="826"/>
      <c r="E34" s="762"/>
      <c r="F34" s="821">
        <v>0</v>
      </c>
      <c r="G34" s="821">
        <v>0</v>
      </c>
      <c r="H34" s="763"/>
      <c r="I34" s="821">
        <v>0</v>
      </c>
      <c r="J34" s="821">
        <v>0</v>
      </c>
      <c r="K34" s="764"/>
      <c r="L34" s="821">
        <v>0</v>
      </c>
      <c r="M34" s="1031"/>
      <c r="N34" s="1091">
        <f t="shared" si="0"/>
        <v>0</v>
      </c>
      <c r="O34" s="824">
        <v>0</v>
      </c>
      <c r="P34" s="1325"/>
    </row>
    <row r="35" spans="2:16" ht="14.25" x14ac:dyDescent="0.2">
      <c r="B35" s="88"/>
      <c r="C35" s="768"/>
      <c r="D35" s="88" t="s">
        <v>469</v>
      </c>
      <c r="E35" s="92"/>
      <c r="F35" s="88"/>
      <c r="G35" s="88"/>
      <c r="H35" s="75"/>
      <c r="I35" s="88"/>
      <c r="J35" s="88"/>
      <c r="K35" s="92"/>
      <c r="L35" s="88"/>
      <c r="M35" s="88" t="s">
        <v>469</v>
      </c>
      <c r="N35" s="88"/>
      <c r="O35" s="769"/>
      <c r="P35" s="88"/>
    </row>
    <row r="36" spans="2:16" ht="22.5" customHeight="1" x14ac:dyDescent="0.25">
      <c r="B36" s="88" t="s">
        <v>37</v>
      </c>
      <c r="C36" s="768"/>
      <c r="D36" s="88"/>
      <c r="E36" s="92"/>
      <c r="F36" s="770">
        <f>SUM(F15:F34)</f>
        <v>0</v>
      </c>
      <c r="G36" s="770">
        <f>SUM(G15:G34)</f>
        <v>0</v>
      </c>
      <c r="H36" s="748"/>
      <c r="I36" s="770">
        <f>SUM(I15:I34)</f>
        <v>0</v>
      </c>
      <c r="J36" s="770">
        <f>SUM(J15:J34)</f>
        <v>0</v>
      </c>
      <c r="K36" s="771"/>
      <c r="L36" s="770">
        <f>SUM(L15:L34)</f>
        <v>0</v>
      </c>
      <c r="M36" s="772"/>
      <c r="N36" s="770">
        <f>SUM(N15:N34)</f>
        <v>0</v>
      </c>
      <c r="O36" s="769"/>
      <c r="P36" s="546"/>
    </row>
    <row r="37" spans="2:16" ht="14.25" x14ac:dyDescent="0.2">
      <c r="B37" s="75"/>
      <c r="C37" s="75"/>
      <c r="D37" s="75"/>
      <c r="E37" s="75"/>
      <c r="F37" s="75"/>
      <c r="G37" s="75"/>
      <c r="H37" s="75"/>
      <c r="I37" s="75"/>
      <c r="J37" s="75"/>
      <c r="K37" s="75"/>
      <c r="L37" s="75"/>
      <c r="M37" s="75"/>
      <c r="N37" s="547"/>
      <c r="O37" s="75"/>
      <c r="P37" s="75"/>
    </row>
    <row r="38" spans="2:16" ht="14.25" x14ac:dyDescent="0.2">
      <c r="B38" s="75" t="s">
        <v>458</v>
      </c>
      <c r="C38" s="75"/>
      <c r="D38" s="75"/>
      <c r="E38" s="75"/>
      <c r="F38" s="75"/>
      <c r="G38" s="75"/>
      <c r="H38" s="75"/>
      <c r="I38" s="75"/>
      <c r="J38" s="75"/>
      <c r="K38" s="75"/>
      <c r="L38" s="75"/>
      <c r="M38" s="75"/>
      <c r="N38" s="547"/>
      <c r="O38" s="75"/>
      <c r="P38" s="75"/>
    </row>
    <row r="39" spans="2:16" ht="14.25" x14ac:dyDescent="0.2">
      <c r="B39" s="75" t="s">
        <v>459</v>
      </c>
      <c r="C39" s="75"/>
      <c r="D39" s="75"/>
      <c r="E39" s="75"/>
      <c r="F39" s="75"/>
      <c r="G39" s="75"/>
      <c r="H39" s="75"/>
      <c r="I39" s="75"/>
      <c r="J39" s="75"/>
      <c r="K39" s="75"/>
      <c r="L39" s="75"/>
      <c r="M39" s="75"/>
      <c r="N39" s="547"/>
      <c r="O39" s="75"/>
      <c r="P39" s="75"/>
    </row>
    <row r="40" spans="2:16" ht="14.25" x14ac:dyDescent="0.2">
      <c r="C40" s="75"/>
      <c r="D40" s="75"/>
      <c r="E40" s="75"/>
      <c r="F40" s="75"/>
      <c r="G40" s="75"/>
      <c r="H40" s="75"/>
      <c r="I40" s="75"/>
      <c r="J40" s="75"/>
      <c r="K40" s="75"/>
      <c r="L40" s="75"/>
      <c r="M40" s="75"/>
      <c r="N40" s="547"/>
      <c r="O40" s="75"/>
      <c r="P40" s="75"/>
    </row>
  </sheetData>
  <sheetProtection formatCells="0" formatColumns="0" formatRows="0" sort="0"/>
  <mergeCells count="9">
    <mergeCell ref="E11:L11"/>
    <mergeCell ref="G10:L10"/>
    <mergeCell ref="B1:P1"/>
    <mergeCell ref="H8:I8"/>
    <mergeCell ref="H9:I9"/>
    <mergeCell ref="J8:K8"/>
    <mergeCell ref="J9:K9"/>
    <mergeCell ref="B7:F7"/>
    <mergeCell ref="G7:L7"/>
  </mergeCells>
  <phoneticPr fontId="36" type="noConversion"/>
  <dataValidations count="1">
    <dataValidation type="list" allowBlank="1" showInputMessage="1" showErrorMessage="1" sqref="J5">
      <formula1>"Yes, No"</formula1>
    </dataValidation>
  </dataValidations>
  <printOptions horizontalCentered="1"/>
  <pageMargins left="0.74803149606299213" right="0.74803149606299213" top="0.59055118110236227" bottom="0.59055118110236227" header="0.51181102362204722" footer="0.51181102362204722"/>
  <pageSetup paperSize="9" scale="51" fitToHeight="0" orientation="landscape" cellComments="asDisplayed" r:id="rId1"/>
  <headerFooter alignWithMargins="0">
    <oddFooter>&amp;L&amp;9&amp;F&amp;C&amp;A&amp;R&amp;9Page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FFFF00"/>
    <pageSetUpPr fitToPage="1"/>
  </sheetPr>
  <dimension ref="A1:N50"/>
  <sheetViews>
    <sheetView view="pageBreakPreview" zoomScaleNormal="80" zoomScaleSheetLayoutView="100" workbookViewId="0">
      <selection activeCell="F28" sqref="F28"/>
    </sheetView>
  </sheetViews>
  <sheetFormatPr defaultRowHeight="15" x14ac:dyDescent="0.25"/>
  <cols>
    <col min="1" max="1" width="29.7109375" style="550" customWidth="1"/>
    <col min="2" max="2" width="21.28515625" style="550" customWidth="1"/>
    <col min="3" max="3" width="22.7109375" style="550" customWidth="1"/>
    <col min="4" max="4" width="26.140625" style="550" customWidth="1"/>
    <col min="5" max="5" width="1" style="549" customWidth="1"/>
    <col min="6" max="6" width="50.85546875" style="549" customWidth="1"/>
    <col min="7" max="14" width="9.140625" style="549"/>
    <col min="15" max="16384" width="9.140625" style="550"/>
  </cols>
  <sheetData>
    <row r="1" spans="1:6" ht="15.75" x14ac:dyDescent="0.25">
      <c r="A1" s="1262" t="s">
        <v>150</v>
      </c>
      <c r="B1" s="1263"/>
      <c r="C1" s="1263"/>
      <c r="D1" s="1263"/>
      <c r="E1" s="1263"/>
    </row>
    <row r="2" spans="1:6" ht="5.25" customHeight="1" x14ac:dyDescent="0.25">
      <c r="A2" s="548"/>
      <c r="B2" s="549"/>
      <c r="C2" s="549"/>
      <c r="D2" s="549"/>
    </row>
    <row r="3" spans="1:6" x14ac:dyDescent="0.25">
      <c r="A3" s="551" t="s">
        <v>378</v>
      </c>
      <c r="B3" s="549"/>
      <c r="C3" s="549"/>
      <c r="D3" s="549"/>
    </row>
    <row r="4" spans="1:6" ht="9.75" customHeight="1" thickBot="1" x14ac:dyDescent="0.3">
      <c r="A4" s="549"/>
      <c r="B4" s="549"/>
      <c r="C4" s="549"/>
      <c r="D4" s="549"/>
    </row>
    <row r="5" spans="1:6" ht="35.25" customHeight="1" thickBot="1" x14ac:dyDescent="0.3">
      <c r="A5" s="552" t="s">
        <v>349</v>
      </c>
      <c r="B5" s="553" t="s">
        <v>350</v>
      </c>
      <c r="C5" s="552" t="s">
        <v>351</v>
      </c>
      <c r="D5" s="552" t="s">
        <v>225</v>
      </c>
    </row>
    <row r="6" spans="1:6" x14ac:dyDescent="0.25">
      <c r="A6" s="2122" t="s">
        <v>382</v>
      </c>
      <c r="B6" s="2123"/>
      <c r="C6" s="2123"/>
      <c r="D6" s="2124"/>
    </row>
    <row r="7" spans="1:6" x14ac:dyDescent="0.25">
      <c r="A7" s="554" t="s">
        <v>352</v>
      </c>
      <c r="B7" s="555" t="s">
        <v>353</v>
      </c>
      <c r="C7" s="556"/>
      <c r="D7" s="557"/>
    </row>
    <row r="8" spans="1:6" x14ac:dyDescent="0.25">
      <c r="A8" s="554" t="s">
        <v>354</v>
      </c>
      <c r="B8" s="555" t="s">
        <v>353</v>
      </c>
      <c r="C8" s="556"/>
      <c r="D8" s="557"/>
    </row>
    <row r="9" spans="1:6" ht="26.25" x14ac:dyDescent="0.25">
      <c r="A9" s="554" t="s">
        <v>355</v>
      </c>
      <c r="B9" s="555" t="s">
        <v>353</v>
      </c>
      <c r="C9" s="556"/>
      <c r="D9" s="557" t="s">
        <v>356</v>
      </c>
      <c r="F9" s="558"/>
    </row>
    <row r="10" spans="1:6" ht="26.25" x14ac:dyDescent="0.25">
      <c r="A10" s="554" t="s">
        <v>573</v>
      </c>
      <c r="B10" s="555" t="s">
        <v>353</v>
      </c>
      <c r="C10" s="556"/>
      <c r="D10" s="557" t="s">
        <v>357</v>
      </c>
    </row>
    <row r="11" spans="1:6" ht="39" x14ac:dyDescent="0.25">
      <c r="A11" s="554" t="s">
        <v>358</v>
      </c>
      <c r="B11" s="555" t="s">
        <v>353</v>
      </c>
      <c r="C11" s="556"/>
      <c r="D11" s="557" t="s">
        <v>357</v>
      </c>
    </row>
    <row r="12" spans="1:6" x14ac:dyDescent="0.25">
      <c r="A12" s="559"/>
      <c r="B12" s="555"/>
      <c r="C12" s="556"/>
      <c r="D12" s="560"/>
    </row>
    <row r="13" spans="1:6" x14ac:dyDescent="0.25">
      <c r="A13" s="2125" t="s">
        <v>359</v>
      </c>
      <c r="B13" s="2126"/>
      <c r="C13" s="2126"/>
      <c r="D13" s="2127"/>
    </row>
    <row r="14" spans="1:6" ht="39" x14ac:dyDescent="0.25">
      <c r="A14" s="554" t="s">
        <v>360</v>
      </c>
      <c r="B14" s="555" t="s">
        <v>353</v>
      </c>
      <c r="C14" s="556"/>
      <c r="D14" s="557"/>
    </row>
    <row r="15" spans="1:6" x14ac:dyDescent="0.25">
      <c r="A15" s="554" t="s">
        <v>361</v>
      </c>
      <c r="B15" s="555" t="s">
        <v>353</v>
      </c>
      <c r="C15" s="556"/>
      <c r="D15" s="557"/>
    </row>
    <row r="16" spans="1:6" x14ac:dyDescent="0.25">
      <c r="A16" s="554" t="s">
        <v>362</v>
      </c>
      <c r="B16" s="555" t="s">
        <v>353</v>
      </c>
      <c r="C16" s="556"/>
      <c r="D16" s="557"/>
    </row>
    <row r="17" spans="1:4" x14ac:dyDescent="0.25">
      <c r="A17" s="554" t="s">
        <v>363</v>
      </c>
      <c r="B17" s="555" t="s">
        <v>353</v>
      </c>
      <c r="C17" s="556"/>
      <c r="D17" s="557"/>
    </row>
    <row r="18" spans="1:4" x14ac:dyDescent="0.25">
      <c r="A18" s="554"/>
      <c r="B18" s="556"/>
      <c r="C18" s="556"/>
      <c r="D18" s="557"/>
    </row>
    <row r="19" spans="1:4" x14ac:dyDescent="0.25">
      <c r="A19" s="2125" t="s">
        <v>364</v>
      </c>
      <c r="B19" s="2126"/>
      <c r="C19" s="2126"/>
      <c r="D19" s="2127"/>
    </row>
    <row r="20" spans="1:4" ht="51.75" x14ac:dyDescent="0.25">
      <c r="A20" s="554" t="s">
        <v>365</v>
      </c>
      <c r="B20" s="555" t="s">
        <v>353</v>
      </c>
      <c r="C20" s="556"/>
      <c r="D20" s="557" t="s">
        <v>366</v>
      </c>
    </row>
    <row r="21" spans="1:4" ht="26.25" x14ac:dyDescent="0.25">
      <c r="A21" s="554" t="s">
        <v>367</v>
      </c>
      <c r="B21" s="555" t="s">
        <v>353</v>
      </c>
      <c r="C21" s="555" t="s">
        <v>353</v>
      </c>
      <c r="D21" s="851" t="s">
        <v>631</v>
      </c>
    </row>
    <row r="22" spans="1:4" x14ac:dyDescent="0.25">
      <c r="A22" s="554" t="s">
        <v>368</v>
      </c>
      <c r="B22" s="555" t="s">
        <v>353</v>
      </c>
      <c r="C22" s="556"/>
      <c r="D22" s="557"/>
    </row>
    <row r="23" spans="1:4" x14ac:dyDescent="0.25">
      <c r="A23" s="554" t="s">
        <v>369</v>
      </c>
      <c r="B23" s="555" t="s">
        <v>353</v>
      </c>
      <c r="C23" s="556"/>
      <c r="D23" s="557"/>
    </row>
    <row r="24" spans="1:4" x14ac:dyDescent="0.25">
      <c r="A24" s="554" t="s">
        <v>370</v>
      </c>
      <c r="B24" s="555" t="s">
        <v>353</v>
      </c>
      <c r="C24" s="556"/>
      <c r="D24" s="557"/>
    </row>
    <row r="25" spans="1:4" x14ac:dyDescent="0.25">
      <c r="A25" s="554" t="s">
        <v>371</v>
      </c>
      <c r="B25" s="555" t="s">
        <v>353</v>
      </c>
      <c r="C25" s="556"/>
      <c r="D25" s="557"/>
    </row>
    <row r="26" spans="1:4" x14ac:dyDescent="0.25">
      <c r="A26" s="554" t="s">
        <v>372</v>
      </c>
      <c r="B26" s="555" t="s">
        <v>353</v>
      </c>
      <c r="C26" s="556"/>
      <c r="D26" s="557"/>
    </row>
    <row r="27" spans="1:4" ht="39" x14ac:dyDescent="0.25">
      <c r="A27" s="554" t="s">
        <v>373</v>
      </c>
      <c r="B27" s="555" t="s">
        <v>353</v>
      </c>
      <c r="C27" s="555" t="s">
        <v>353</v>
      </c>
      <c r="D27" s="557"/>
    </row>
    <row r="28" spans="1:4" ht="39" x14ac:dyDescent="0.25">
      <c r="A28" s="554" t="s">
        <v>374</v>
      </c>
      <c r="B28" s="555" t="s">
        <v>353</v>
      </c>
      <c r="C28" s="555"/>
      <c r="D28" s="557"/>
    </row>
    <row r="29" spans="1:4" x14ac:dyDescent="0.25">
      <c r="A29" s="2125" t="s">
        <v>375</v>
      </c>
      <c r="B29" s="2126"/>
      <c r="C29" s="2126"/>
      <c r="D29" s="2127"/>
    </row>
    <row r="30" spans="1:4" ht="39" x14ac:dyDescent="0.25">
      <c r="A30" s="554" t="s">
        <v>376</v>
      </c>
      <c r="B30" s="561" t="s">
        <v>353</v>
      </c>
      <c r="C30" s="561"/>
      <c r="D30" s="562"/>
    </row>
    <row r="31" spans="1:4" x14ac:dyDescent="0.25">
      <c r="A31" s="554" t="s">
        <v>377</v>
      </c>
      <c r="B31" s="555" t="s">
        <v>353</v>
      </c>
      <c r="C31" s="561"/>
      <c r="D31" s="562"/>
    </row>
    <row r="32" spans="1:4" ht="15.75" thickBot="1" x14ac:dyDescent="0.3">
      <c r="A32" s="563"/>
      <c r="B32" s="564"/>
      <c r="C32" s="564"/>
      <c r="D32" s="565"/>
    </row>
    <row r="33" spans="1:4" ht="5.25" customHeight="1" x14ac:dyDescent="0.25">
      <c r="A33" s="566"/>
      <c r="B33" s="566"/>
      <c r="C33" s="566"/>
      <c r="D33" s="566"/>
    </row>
    <row r="34" spans="1:4" x14ac:dyDescent="0.25">
      <c r="A34" s="566"/>
      <c r="B34" s="566"/>
      <c r="C34" s="566"/>
      <c r="D34" s="566"/>
    </row>
    <row r="35" spans="1:4" x14ac:dyDescent="0.25">
      <c r="A35" s="566"/>
      <c r="B35" s="566"/>
      <c r="C35" s="566"/>
      <c r="D35" s="566"/>
    </row>
    <row r="36" spans="1:4" x14ac:dyDescent="0.25">
      <c r="A36" s="566"/>
      <c r="B36" s="566"/>
      <c r="C36" s="566"/>
      <c r="D36" s="566"/>
    </row>
    <row r="37" spans="1:4" x14ac:dyDescent="0.25">
      <c r="A37" s="566"/>
      <c r="B37" s="566"/>
      <c r="C37" s="566"/>
      <c r="D37" s="566"/>
    </row>
    <row r="38" spans="1:4" x14ac:dyDescent="0.25">
      <c r="A38" s="566"/>
      <c r="B38" s="566"/>
      <c r="C38" s="566"/>
      <c r="D38" s="566"/>
    </row>
    <row r="39" spans="1:4" x14ac:dyDescent="0.25">
      <c r="A39" s="566"/>
      <c r="B39" s="566"/>
      <c r="C39" s="566"/>
      <c r="D39" s="566"/>
    </row>
    <row r="40" spans="1:4" x14ac:dyDescent="0.25">
      <c r="A40" s="566"/>
      <c r="B40" s="566"/>
      <c r="C40" s="566"/>
      <c r="D40" s="566"/>
    </row>
    <row r="41" spans="1:4" x14ac:dyDescent="0.25">
      <c r="A41" s="566"/>
      <c r="B41" s="566"/>
      <c r="C41" s="566"/>
      <c r="D41" s="566"/>
    </row>
    <row r="42" spans="1:4" x14ac:dyDescent="0.25">
      <c r="A42" s="567"/>
      <c r="B42" s="567"/>
      <c r="C42" s="567"/>
      <c r="D42" s="567"/>
    </row>
    <row r="43" spans="1:4" x14ac:dyDescent="0.25">
      <c r="A43" s="567"/>
      <c r="B43" s="567"/>
      <c r="C43" s="567"/>
      <c r="D43" s="567"/>
    </row>
    <row r="44" spans="1:4" x14ac:dyDescent="0.25">
      <c r="A44" s="567"/>
      <c r="B44" s="567"/>
      <c r="C44" s="567"/>
      <c r="D44" s="567"/>
    </row>
    <row r="45" spans="1:4" x14ac:dyDescent="0.25">
      <c r="A45" s="567"/>
      <c r="B45" s="567"/>
      <c r="C45" s="567"/>
      <c r="D45" s="567"/>
    </row>
    <row r="46" spans="1:4" x14ac:dyDescent="0.25">
      <c r="A46" s="567"/>
      <c r="B46" s="567"/>
      <c r="C46" s="567"/>
      <c r="D46" s="567"/>
    </row>
    <row r="47" spans="1:4" x14ac:dyDescent="0.25">
      <c r="A47" s="567"/>
      <c r="B47" s="567"/>
      <c r="C47" s="567"/>
      <c r="D47" s="567"/>
    </row>
    <row r="48" spans="1:4" x14ac:dyDescent="0.25">
      <c r="A48" s="567"/>
      <c r="B48" s="567"/>
      <c r="C48" s="567"/>
      <c r="D48" s="567"/>
    </row>
    <row r="49" spans="1:4" x14ac:dyDescent="0.25">
      <c r="A49" s="567"/>
      <c r="B49" s="567"/>
      <c r="C49" s="567"/>
      <c r="D49" s="567"/>
    </row>
    <row r="50" spans="1:4" x14ac:dyDescent="0.25">
      <c r="A50" s="567"/>
      <c r="B50" s="567"/>
      <c r="C50" s="567"/>
      <c r="D50" s="567"/>
    </row>
  </sheetData>
  <sheetProtection password="92D1" sheet="1" selectLockedCells="1"/>
  <mergeCells count="4">
    <mergeCell ref="A6:D6"/>
    <mergeCell ref="A13:D13"/>
    <mergeCell ref="A19:D19"/>
    <mergeCell ref="A29:D29"/>
  </mergeCells>
  <phoneticPr fontId="36" type="noConversion"/>
  <printOptions horizontalCentered="1"/>
  <pageMargins left="0.74803149606299213" right="0.74803149606299213" top="0.59055118110236227" bottom="0.59055118110236227" header="0.51181102362204722" footer="0.51181102362204722"/>
  <pageSetup paperSize="9" scale="87" fitToHeight="0" orientation="portrait" cellComments="asDisplayed" r:id="rId1"/>
  <headerFooter alignWithMargins="0">
    <oddFooter>&amp;L&amp;9&amp;F&amp;C&amp;A&amp;R&amp;9Page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0"/>
  </sheetPr>
  <dimension ref="A1:AF37"/>
  <sheetViews>
    <sheetView view="pageBreakPreview" topLeftCell="B16" zoomScale="70" zoomScaleNormal="40" zoomScaleSheetLayoutView="70" workbookViewId="0">
      <selection activeCell="J32" sqref="J32:K32"/>
    </sheetView>
  </sheetViews>
  <sheetFormatPr defaultRowHeight="15" x14ac:dyDescent="0.2"/>
  <cols>
    <col min="1" max="1" width="14.5703125" style="1427" customWidth="1"/>
    <col min="2" max="2" width="45.42578125" style="1427" customWidth="1"/>
    <col min="3" max="3" width="18.5703125" style="1427" customWidth="1"/>
    <col min="4" max="4" width="17.28515625" style="1427" customWidth="1"/>
    <col min="5" max="5" width="18.7109375" style="1427" customWidth="1"/>
    <col min="6" max="6" width="19.5703125" style="1427" customWidth="1"/>
    <col min="7" max="8" width="20.5703125" style="1506" customWidth="1"/>
    <col min="9" max="9" width="20.42578125" style="1427" customWidth="1"/>
    <col min="10" max="10" width="27" style="1427" bestFit="1" customWidth="1"/>
    <col min="11" max="11" width="10.7109375" style="1427" customWidth="1"/>
    <col min="12" max="12" width="19.140625" style="1427" customWidth="1"/>
    <col min="13" max="13" width="17" style="1427" customWidth="1"/>
    <col min="14" max="14" width="19" style="1427" bestFit="1" customWidth="1"/>
    <col min="15" max="18" width="9.140625" style="1427" customWidth="1"/>
    <col min="19" max="19" width="1.5703125" style="1427" customWidth="1"/>
    <col min="20" max="20" width="9.140625" style="1427" customWidth="1"/>
    <col min="21" max="21" width="17.140625" style="1427" hidden="1" customWidth="1"/>
    <col min="22" max="32" width="9.140625" style="1427" hidden="1" customWidth="1"/>
    <col min="33" max="245" width="9.140625" style="1427" customWidth="1"/>
    <col min="246" max="16384" width="9.140625" style="1427"/>
  </cols>
  <sheetData>
    <row r="1" spans="1:24" s="1488" customFormat="1" ht="25.5" customHeight="1" x14ac:dyDescent="0.25">
      <c r="A1" s="2164" t="s">
        <v>285</v>
      </c>
      <c r="B1" s="2164"/>
      <c r="C1" s="2164"/>
      <c r="D1" s="2164"/>
      <c r="E1" s="2164"/>
      <c r="F1" s="2164"/>
      <c r="G1" s="2164"/>
      <c r="H1" s="2164"/>
      <c r="I1" s="2164"/>
      <c r="J1" s="2164"/>
      <c r="K1" s="2164"/>
      <c r="L1" s="70"/>
      <c r="M1" s="70"/>
      <c r="N1" s="90"/>
      <c r="O1" s="90"/>
      <c r="P1" s="90"/>
      <c r="Q1" s="90"/>
      <c r="R1" s="90"/>
      <c r="S1" s="90"/>
      <c r="T1" s="90"/>
      <c r="U1" s="90"/>
      <c r="V1" s="90"/>
      <c r="W1" s="90"/>
      <c r="X1" s="90"/>
    </row>
    <row r="2" spans="1:24" s="90" customFormat="1" ht="15" customHeight="1" thickBot="1" x14ac:dyDescent="0.3">
      <c r="A2" s="1489"/>
      <c r="B2" s="1489"/>
      <c r="C2" s="1489"/>
      <c r="D2" s="1489"/>
      <c r="E2" s="1489"/>
      <c r="F2" s="1489"/>
      <c r="G2" s="1489"/>
      <c r="H2" s="1489"/>
      <c r="I2" s="1489"/>
      <c r="J2" s="1489"/>
      <c r="K2" s="1489"/>
      <c r="L2" s="70"/>
      <c r="M2" s="70"/>
    </row>
    <row r="3" spans="1:24" s="1492" customFormat="1" ht="15" customHeight="1" thickBot="1" x14ac:dyDescent="0.25">
      <c r="A3" s="2165" t="s">
        <v>140</v>
      </c>
      <c r="B3" s="2166"/>
      <c r="C3" s="2167" t="s">
        <v>706</v>
      </c>
      <c r="D3" s="2168"/>
      <c r="E3" s="2168"/>
      <c r="F3" s="2169"/>
      <c r="G3" s="1490"/>
      <c r="H3" s="1490"/>
      <c r="I3" s="1427"/>
      <c r="J3" s="1427"/>
      <c r="K3" s="1427"/>
      <c r="L3" s="1427"/>
      <c r="M3" s="1491"/>
      <c r="N3" s="1427"/>
      <c r="O3" s="1427"/>
      <c r="P3" s="1427"/>
      <c r="Q3" s="1427"/>
      <c r="R3" s="1427"/>
      <c r="S3" s="1427"/>
      <c r="T3" s="1427"/>
      <c r="U3" s="1427"/>
      <c r="V3" s="1427"/>
      <c r="W3" s="1427"/>
      <c r="X3" s="1427"/>
    </row>
    <row r="4" spans="1:24" s="1492" customFormat="1" ht="27.75" customHeight="1" thickBot="1" x14ac:dyDescent="0.3">
      <c r="A4" s="99" t="s">
        <v>155</v>
      </c>
      <c r="B4" s="90"/>
      <c r="C4" s="90"/>
      <c r="D4" s="90"/>
      <c r="E4" s="90"/>
      <c r="F4" s="90"/>
      <c r="G4" s="90"/>
      <c r="H4" s="90"/>
      <c r="I4" s="90"/>
      <c r="J4" s="90"/>
      <c r="K4" s="90"/>
      <c r="L4" s="90"/>
      <c r="M4" s="90"/>
      <c r="N4" s="90"/>
      <c r="O4" s="90"/>
      <c r="P4" s="90"/>
      <c r="Q4" s="90"/>
      <c r="R4" s="90"/>
      <c r="S4" s="90"/>
      <c r="T4" s="90"/>
      <c r="U4" s="90"/>
      <c r="V4" s="90"/>
      <c r="W4" s="90"/>
      <c r="X4" s="90"/>
    </row>
    <row r="5" spans="1:24" s="1492" customFormat="1" ht="15" customHeight="1" x14ac:dyDescent="0.2">
      <c r="A5" s="2170" t="s">
        <v>68</v>
      </c>
      <c r="B5" s="2171"/>
      <c r="C5" s="2172" t="str">
        <f>IF('PR_Programmatic Progress_1A'!C5:F5="","",'PR_Programmatic Progress_1A'!C5:F5)</f>
        <v>Monrovia</v>
      </c>
      <c r="D5" s="2173"/>
      <c r="E5" s="2173"/>
      <c r="F5" s="2174"/>
      <c r="G5" s="1490"/>
      <c r="H5" s="1446"/>
      <c r="J5" s="1427"/>
      <c r="K5" s="1427"/>
      <c r="L5" s="1427"/>
      <c r="M5" s="1491"/>
      <c r="N5" s="1427"/>
      <c r="O5" s="1427"/>
      <c r="P5" s="1427"/>
      <c r="Q5" s="1427"/>
      <c r="R5" s="1427"/>
      <c r="S5" s="1427"/>
      <c r="T5" s="1427"/>
      <c r="U5" s="1427"/>
      <c r="V5" s="1427"/>
      <c r="W5" s="1427"/>
      <c r="X5" s="1427"/>
    </row>
    <row r="6" spans="1:24" s="1492" customFormat="1" ht="15" customHeight="1" x14ac:dyDescent="0.2">
      <c r="A6" s="2136" t="s">
        <v>69</v>
      </c>
      <c r="B6" s="2137"/>
      <c r="C6" s="2138" t="str">
        <f>IF('PR_Programmatic Progress_1A'!C6:F6="Select","",'PR_Programmatic Progress_1A'!C6:F6)</f>
        <v>HIV/AIDS</v>
      </c>
      <c r="D6" s="2139"/>
      <c r="E6" s="2139"/>
      <c r="F6" s="2140"/>
      <c r="G6" s="1490"/>
      <c r="H6" s="1490"/>
      <c r="I6" s="1427"/>
      <c r="J6" s="1427"/>
      <c r="K6" s="1427"/>
      <c r="L6" s="1427"/>
      <c r="M6" s="1427"/>
      <c r="N6" s="1427"/>
      <c r="O6" s="1427"/>
      <c r="P6" s="1427"/>
      <c r="Q6" s="1427"/>
      <c r="R6" s="1427"/>
      <c r="S6" s="1427"/>
      <c r="T6" s="1427"/>
      <c r="U6" s="1427"/>
      <c r="V6" s="1427"/>
      <c r="W6" s="1427"/>
      <c r="X6" s="1427"/>
    </row>
    <row r="7" spans="1:24" s="1492" customFormat="1" ht="25.5" customHeight="1" x14ac:dyDescent="0.2">
      <c r="A7" s="2136" t="s">
        <v>271</v>
      </c>
      <c r="B7" s="2137"/>
      <c r="C7" s="2141" t="str">
        <f>IF('PR_Programmatic Progress_1A'!C7:F7="","",'PR_Programmatic Progress_1A'!C7:F7)</f>
        <v>MNR-809-G04-H</v>
      </c>
      <c r="D7" s="2142"/>
      <c r="E7" s="2142"/>
      <c r="F7" s="2143"/>
      <c r="G7" s="1493"/>
      <c r="H7" s="1493"/>
      <c r="I7" s="1427"/>
      <c r="J7" s="1427"/>
      <c r="K7" s="1427"/>
      <c r="L7" s="1427"/>
      <c r="M7" s="1427"/>
      <c r="N7" s="1427"/>
      <c r="O7" s="1427"/>
      <c r="P7" s="1427"/>
      <c r="Q7" s="1427"/>
      <c r="R7" s="1427"/>
      <c r="S7" s="1427"/>
      <c r="T7" s="1427"/>
      <c r="U7" s="1427"/>
      <c r="V7" s="1427"/>
      <c r="W7" s="1427"/>
      <c r="X7" s="1427"/>
    </row>
    <row r="8" spans="1:24" s="1492" customFormat="1" ht="15" customHeight="1" x14ac:dyDescent="0.2">
      <c r="A8" s="2136" t="s">
        <v>244</v>
      </c>
      <c r="B8" s="2137"/>
      <c r="C8" s="2144" t="str">
        <f>IF('PR_Programmatic Progress_1A'!C8:F8="","",'PR_Programmatic Progress_1A'!C8:F8)</f>
        <v>Ministry of Health</v>
      </c>
      <c r="D8" s="2145"/>
      <c r="E8" s="2145"/>
      <c r="F8" s="2146"/>
      <c r="G8" s="1490"/>
      <c r="H8" s="1490"/>
      <c r="I8" s="1427"/>
      <c r="J8" s="1427"/>
      <c r="K8" s="1427"/>
      <c r="L8" s="1427"/>
      <c r="M8" s="1427"/>
      <c r="N8" s="1427"/>
      <c r="O8" s="1427"/>
      <c r="P8" s="1427"/>
      <c r="Q8" s="1427"/>
      <c r="R8" s="1427"/>
      <c r="S8" s="1427"/>
      <c r="T8" s="1427"/>
      <c r="U8" s="1427"/>
      <c r="V8" s="1427"/>
      <c r="W8" s="1427"/>
      <c r="X8" s="1427"/>
    </row>
    <row r="9" spans="1:24" s="1492" customFormat="1" ht="15" customHeight="1" x14ac:dyDescent="0.2">
      <c r="A9" s="2136" t="s">
        <v>269</v>
      </c>
      <c r="B9" s="2137"/>
      <c r="C9" s="2175">
        <f>IF('PR_Programmatic Progress_1A'!C9:F9="","",'PR_Programmatic Progress_1A'!C9:F9)</f>
        <v>40087</v>
      </c>
      <c r="D9" s="2176"/>
      <c r="E9" s="2176"/>
      <c r="F9" s="2177"/>
      <c r="G9" s="1494"/>
      <c r="H9" s="1494"/>
      <c r="I9" s="1427"/>
      <c r="J9" s="1427"/>
      <c r="K9" s="1427"/>
      <c r="L9" s="1427"/>
      <c r="M9" s="1427"/>
      <c r="N9" s="1427"/>
      <c r="O9" s="1427"/>
      <c r="P9" s="1427"/>
      <c r="Q9" s="1427"/>
      <c r="R9" s="1427"/>
      <c r="S9" s="1427"/>
      <c r="T9" s="1427"/>
      <c r="U9" s="1427"/>
      <c r="V9" s="1427"/>
      <c r="W9" s="1427"/>
      <c r="X9" s="1427"/>
    </row>
    <row r="10" spans="1:24" s="1492" customFormat="1" ht="15" customHeight="1" thickBot="1" x14ac:dyDescent="0.25">
      <c r="A10" s="2152" t="s">
        <v>245</v>
      </c>
      <c r="B10" s="2153"/>
      <c r="C10" s="2154" t="str">
        <f>IF('PR_Programmatic Progress_1A'!C10:F10="Select","",'PR_Programmatic Progress_1A'!C10:F10)</f>
        <v>EUR</v>
      </c>
      <c r="D10" s="2155"/>
      <c r="E10" s="2155"/>
      <c r="F10" s="2156"/>
      <c r="G10" s="1490"/>
      <c r="H10" s="1490"/>
      <c r="I10" s="1427"/>
      <c r="J10" s="1427"/>
      <c r="K10" s="1427"/>
      <c r="L10" s="1427"/>
      <c r="M10" s="1427"/>
      <c r="N10" s="1427"/>
      <c r="O10" s="1427"/>
      <c r="P10" s="1427"/>
      <c r="Q10" s="1427"/>
      <c r="R10" s="1427"/>
      <c r="S10" s="1427"/>
      <c r="T10" s="1427"/>
      <c r="U10" s="1427"/>
      <c r="V10" s="1427"/>
      <c r="W10" s="1427"/>
      <c r="X10" s="1427"/>
    </row>
    <row r="11" spans="1:24" s="1492" customFormat="1" ht="27" customHeight="1" thickBot="1" x14ac:dyDescent="0.3">
      <c r="A11" s="98" t="s">
        <v>156</v>
      </c>
      <c r="B11" s="90"/>
      <c r="C11" s="90"/>
      <c r="D11" s="90"/>
      <c r="E11" s="90"/>
      <c r="F11" s="90"/>
      <c r="G11" s="90"/>
      <c r="H11" s="90"/>
      <c r="I11" s="90"/>
      <c r="J11" s="90"/>
      <c r="K11" s="90"/>
      <c r="L11" s="90"/>
      <c r="M11" s="90"/>
      <c r="N11" s="90"/>
      <c r="O11" s="90"/>
      <c r="P11" s="90"/>
      <c r="Q11" s="90"/>
      <c r="R11" s="90"/>
      <c r="S11" s="90"/>
      <c r="T11" s="90"/>
      <c r="U11" s="90"/>
      <c r="V11" s="90"/>
      <c r="W11" s="90"/>
      <c r="X11" s="90"/>
    </row>
    <row r="12" spans="1:24" s="1492" customFormat="1" ht="15" customHeight="1" x14ac:dyDescent="0.2">
      <c r="A12" s="1495" t="s">
        <v>277</v>
      </c>
      <c r="B12" s="1496"/>
      <c r="C12" s="1430" t="s">
        <v>283</v>
      </c>
      <c r="D12" s="1497" t="str">
        <f>IF('PR_Programmatic Progress_1A'!D12="Select","",'PR_Programmatic Progress_1A'!D12)</f>
        <v>Quarter</v>
      </c>
      <c r="E12" s="1498" t="s">
        <v>284</v>
      </c>
      <c r="F12" s="1499">
        <f>IF('PR_Programmatic Progress_1A'!F12="Select","",'PR_Programmatic Progress_1A'!F12)</f>
        <v>7</v>
      </c>
      <c r="G12" s="1490"/>
      <c r="H12" s="1490"/>
      <c r="I12" s="1427"/>
      <c r="J12" s="1427"/>
      <c r="K12" s="1427"/>
      <c r="L12" s="1427"/>
      <c r="M12" s="1427"/>
      <c r="N12" s="1427"/>
      <c r="O12" s="1427"/>
      <c r="P12" s="1427"/>
      <c r="Q12" s="1427"/>
      <c r="R12" s="1427"/>
      <c r="S12" s="1427"/>
      <c r="T12" s="1427"/>
      <c r="U12" s="1427"/>
      <c r="V12" s="1427"/>
      <c r="W12" s="1427"/>
      <c r="X12" s="1427"/>
    </row>
    <row r="13" spans="1:24" s="1492" customFormat="1" ht="15" customHeight="1" x14ac:dyDescent="0.2">
      <c r="A13" s="1434" t="s">
        <v>278</v>
      </c>
      <c r="B13" s="1435"/>
      <c r="C13" s="1436" t="s">
        <v>246</v>
      </c>
      <c r="D13" s="1500">
        <f>IF('PR_Programmatic Progress_1A'!D13="","",'PR_Programmatic Progress_1A'!D13)</f>
        <v>40452</v>
      </c>
      <c r="E13" s="1432" t="s">
        <v>264</v>
      </c>
      <c r="F13" s="1501">
        <f>IF('PR_Programmatic Progress_1A'!F13="","",'PR_Programmatic Progress_1A'!F13)</f>
        <v>40543</v>
      </c>
      <c r="G13" s="1494"/>
      <c r="H13" s="1494"/>
      <c r="I13" s="1427"/>
      <c r="J13" s="1427"/>
      <c r="K13" s="1427"/>
      <c r="L13" s="1427"/>
      <c r="M13" s="1427"/>
      <c r="N13" s="1427"/>
      <c r="O13" s="1427"/>
      <c r="P13" s="1427"/>
      <c r="Q13" s="1427"/>
      <c r="R13" s="1427"/>
      <c r="S13" s="1427"/>
      <c r="T13" s="1427"/>
      <c r="U13" s="1427"/>
      <c r="V13" s="1427"/>
      <c r="W13" s="1427"/>
      <c r="X13" s="1427"/>
    </row>
    <row r="14" spans="1:24" s="1492" customFormat="1" ht="15" customHeight="1" thickBot="1" x14ac:dyDescent="0.25">
      <c r="A14" s="1439" t="s">
        <v>279</v>
      </c>
      <c r="B14" s="1440"/>
      <c r="C14" s="2154">
        <f>IF('PR_Programmatic Progress_1A'!C14="Select","",'PR_Programmatic Progress_1A'!C14)</f>
        <v>5</v>
      </c>
      <c r="D14" s="2155"/>
      <c r="E14" s="2155"/>
      <c r="F14" s="2156"/>
      <c r="G14" s="1490"/>
      <c r="H14" s="1490"/>
      <c r="I14" s="1427"/>
      <c r="J14" s="1427"/>
      <c r="K14" s="1427"/>
      <c r="L14" s="1427"/>
      <c r="M14" s="1427"/>
      <c r="N14" s="1427"/>
      <c r="O14" s="1427"/>
      <c r="P14" s="1427"/>
      <c r="Q14" s="1427"/>
      <c r="R14" s="1427"/>
      <c r="S14" s="1427"/>
      <c r="T14" s="1427"/>
      <c r="U14" s="1427"/>
      <c r="V14" s="1427"/>
      <c r="W14" s="1427"/>
      <c r="X14" s="1427"/>
    </row>
    <row r="15" spans="1:24" s="1492" customFormat="1" ht="27" customHeight="1" thickBot="1" x14ac:dyDescent="0.3">
      <c r="A15" s="98" t="s">
        <v>157</v>
      </c>
      <c r="B15" s="90"/>
      <c r="C15" s="90"/>
      <c r="D15" s="90"/>
      <c r="E15" s="90"/>
      <c r="F15" s="90"/>
      <c r="G15" s="90"/>
      <c r="H15" s="90"/>
      <c r="I15" s="90"/>
      <c r="J15" s="90"/>
      <c r="K15" s="90"/>
      <c r="L15" s="90"/>
      <c r="M15" s="90"/>
      <c r="N15" s="90"/>
      <c r="O15" s="90"/>
      <c r="P15" s="90"/>
      <c r="Q15" s="90"/>
      <c r="R15" s="90"/>
      <c r="S15" s="90"/>
      <c r="T15" s="90"/>
      <c r="U15" s="90"/>
      <c r="V15" s="90"/>
      <c r="W15" s="90"/>
      <c r="X15" s="90"/>
    </row>
    <row r="16" spans="1:24" s="1492" customFormat="1" ht="15" customHeight="1" x14ac:dyDescent="0.2">
      <c r="A16" s="1495" t="s">
        <v>282</v>
      </c>
      <c r="B16" s="1496"/>
      <c r="C16" s="1430" t="s">
        <v>283</v>
      </c>
      <c r="D16" s="1497" t="str">
        <f>IF('PR_Programmatic Progress_1A'!D16="Select","",'PR_Programmatic Progress_1A'!D16)</f>
        <v>Quarter</v>
      </c>
      <c r="E16" s="1498" t="s">
        <v>284</v>
      </c>
      <c r="F16" s="1499">
        <f>IF('PR_Programmatic Progress_1A'!F16="Select","",'PR_Programmatic Progress_1A'!F16)</f>
        <v>8</v>
      </c>
      <c r="G16" s="1490"/>
      <c r="H16" s="1490"/>
      <c r="I16" s="1427"/>
      <c r="J16" s="1427"/>
      <c r="K16" s="1427"/>
      <c r="L16" s="1427"/>
      <c r="M16" s="1427"/>
      <c r="N16" s="1427"/>
      <c r="O16" s="1427"/>
      <c r="P16" s="1427"/>
      <c r="Q16" s="1427"/>
      <c r="R16" s="1427"/>
      <c r="S16" s="1427"/>
      <c r="T16" s="1427"/>
      <c r="U16" s="1427"/>
      <c r="V16" s="1427"/>
      <c r="W16" s="1427"/>
      <c r="X16" s="1427"/>
    </row>
    <row r="17" spans="1:31" s="1492" customFormat="1" ht="15" customHeight="1" x14ac:dyDescent="0.2">
      <c r="A17" s="1434" t="s">
        <v>280</v>
      </c>
      <c r="B17" s="1435"/>
      <c r="C17" s="1436" t="s">
        <v>246</v>
      </c>
      <c r="D17" s="1502">
        <f>IF('PR_Programmatic Progress_1A'!D17="","",'PR_Programmatic Progress_1A'!D17)</f>
        <v>40544</v>
      </c>
      <c r="E17" s="1432" t="s">
        <v>264</v>
      </c>
      <c r="F17" s="1501">
        <f>IF('PR_Programmatic Progress_1A'!F17="","",'PR_Programmatic Progress_1A'!F17)</f>
        <v>40633</v>
      </c>
      <c r="G17" s="1494"/>
      <c r="H17" s="1494"/>
      <c r="I17" s="1427"/>
      <c r="J17" s="1427"/>
      <c r="K17" s="1427"/>
      <c r="L17" s="1427"/>
      <c r="M17" s="1427"/>
      <c r="N17" s="1427"/>
      <c r="O17" s="1427"/>
      <c r="P17" s="1427"/>
      <c r="Q17" s="1427"/>
      <c r="R17" s="1427"/>
      <c r="S17" s="1427"/>
      <c r="T17" s="1427"/>
      <c r="U17" s="1427"/>
      <c r="V17" s="1427"/>
      <c r="W17" s="1427"/>
      <c r="X17" s="1427"/>
    </row>
    <row r="18" spans="1:31" s="1492" customFormat="1" ht="15" customHeight="1" thickBot="1" x14ac:dyDescent="0.25">
      <c r="A18" s="1439" t="s">
        <v>281</v>
      </c>
      <c r="B18" s="1440"/>
      <c r="C18" s="2154">
        <f>IF('PR_Programmatic Progress_1A'!C18:F18="Select","",'PR_Programmatic Progress_1A'!C18:F18)</f>
        <v>6</v>
      </c>
      <c r="D18" s="2155"/>
      <c r="E18" s="2155"/>
      <c r="F18" s="2156"/>
      <c r="G18" s="1490"/>
      <c r="H18" s="1490"/>
      <c r="I18" s="1427"/>
      <c r="J18" s="1427"/>
      <c r="K18" s="1427"/>
      <c r="L18" s="1427"/>
      <c r="M18" s="1427"/>
      <c r="N18" s="1427"/>
      <c r="O18" s="1427"/>
      <c r="P18" s="1427"/>
      <c r="Q18" s="1427"/>
      <c r="R18" s="1427"/>
      <c r="S18" s="1427"/>
      <c r="T18" s="1427"/>
      <c r="U18" s="1427"/>
      <c r="V18" s="1427"/>
      <c r="W18" s="1427"/>
      <c r="X18" s="1427"/>
    </row>
    <row r="19" spans="1:31" s="1488" customFormat="1" ht="15" customHeight="1" x14ac:dyDescent="0.2">
      <c r="A19" s="90"/>
      <c r="B19" s="90"/>
      <c r="C19" s="90"/>
      <c r="D19" s="90"/>
      <c r="E19" s="90"/>
      <c r="F19" s="90"/>
      <c r="G19" s="90"/>
      <c r="H19" s="90"/>
      <c r="I19" s="90"/>
      <c r="J19" s="90"/>
      <c r="K19" s="90"/>
      <c r="L19" s="90"/>
      <c r="M19" s="90"/>
      <c r="N19" s="90"/>
      <c r="O19" s="90"/>
      <c r="P19" s="90"/>
      <c r="Q19" s="90"/>
      <c r="R19" s="90"/>
      <c r="S19" s="90"/>
      <c r="T19" s="90"/>
      <c r="U19" s="90"/>
      <c r="V19" s="90"/>
      <c r="W19" s="90"/>
      <c r="X19" s="90"/>
    </row>
    <row r="20" spans="1:31" s="1492" customFormat="1" ht="12.75" customHeight="1" x14ac:dyDescent="0.2">
      <c r="A20" s="2151" t="s">
        <v>138</v>
      </c>
      <c r="B20" s="2151"/>
      <c r="C20" s="2151"/>
      <c r="D20" s="2151"/>
      <c r="E20" s="2151"/>
      <c r="F20" s="2151"/>
      <c r="G20" s="2151"/>
      <c r="H20" s="2151"/>
      <c r="I20" s="2151"/>
      <c r="J20" s="2151"/>
      <c r="K20" s="2151"/>
      <c r="L20" s="2151"/>
      <c r="M20" s="2151"/>
      <c r="N20" s="1427"/>
      <c r="O20" s="1427"/>
      <c r="P20" s="1427"/>
      <c r="Q20" s="1427"/>
      <c r="R20" s="1427"/>
      <c r="S20" s="1427"/>
      <c r="T20" s="1427"/>
      <c r="U20" s="1427"/>
      <c r="V20" s="1427"/>
      <c r="W20" s="1427"/>
      <c r="X20" s="1427"/>
    </row>
    <row r="21" spans="1:31" s="1492" customFormat="1" x14ac:dyDescent="0.2">
      <c r="A21" s="64"/>
      <c r="B21" s="64"/>
      <c r="C21" s="64"/>
      <c r="D21" s="64"/>
      <c r="E21" s="64"/>
      <c r="F21" s="64"/>
      <c r="G21" s="65"/>
      <c r="H21" s="65"/>
      <c r="I21" s="64"/>
      <c r="J21" s="64"/>
      <c r="K21" s="64"/>
      <c r="L21" s="1427"/>
      <c r="M21" s="1427"/>
      <c r="N21" s="1427"/>
      <c r="O21" s="1427"/>
      <c r="P21" s="1427"/>
      <c r="Q21" s="1427"/>
      <c r="R21" s="1427"/>
      <c r="S21" s="1427"/>
      <c r="T21" s="1427"/>
      <c r="U21" s="1427"/>
      <c r="V21" s="1427"/>
      <c r="W21" s="1427"/>
      <c r="X21" s="1427"/>
    </row>
    <row r="22" spans="1:31" s="1492" customFormat="1" ht="28.5" customHeight="1" x14ac:dyDescent="0.2">
      <c r="A22" s="1503" t="s">
        <v>449</v>
      </c>
      <c r="B22" s="1503"/>
      <c r="C22" s="64"/>
      <c r="D22" s="64"/>
      <c r="E22" s="64"/>
      <c r="F22" s="64"/>
      <c r="G22" s="65"/>
      <c r="H22" s="65"/>
      <c r="I22" s="64"/>
      <c r="J22" s="64"/>
      <c r="K22" s="64"/>
      <c r="L22" s="1427"/>
      <c r="M22" s="1427"/>
      <c r="N22" s="1427"/>
      <c r="O22" s="1427"/>
      <c r="P22" s="1427"/>
      <c r="Q22" s="1427"/>
      <c r="R22" s="1427"/>
      <c r="S22" s="1427"/>
      <c r="T22" s="1427"/>
      <c r="U22" s="1427"/>
      <c r="V22" s="1427"/>
      <c r="W22" s="1427"/>
      <c r="X22" s="1427"/>
    </row>
    <row r="23" spans="1:31" s="1492" customFormat="1" ht="31.5" customHeight="1" thickBot="1" x14ac:dyDescent="0.25">
      <c r="A23" s="1504" t="s">
        <v>62</v>
      </c>
      <c r="B23" s="1505"/>
      <c r="C23" s="1427"/>
      <c r="D23" s="1427"/>
      <c r="E23" s="1427"/>
      <c r="F23" s="1427"/>
      <c r="G23" s="1506"/>
      <c r="H23" s="1506"/>
      <c r="I23" s="1427"/>
      <c r="J23" s="1427"/>
      <c r="K23" s="1427"/>
      <c r="L23" s="1427"/>
      <c r="M23" s="1427"/>
      <c r="N23" s="1427"/>
      <c r="O23" s="1427"/>
      <c r="P23" s="1427"/>
      <c r="Q23" s="1427"/>
      <c r="R23" s="1427"/>
      <c r="S23" s="1427"/>
      <c r="T23" s="1427"/>
      <c r="U23" s="1427"/>
      <c r="V23" s="1427"/>
      <c r="W23" s="1427"/>
      <c r="X23" s="1427"/>
    </row>
    <row r="24" spans="1:31" s="1492" customFormat="1" ht="15.75" x14ac:dyDescent="0.2">
      <c r="A24" s="1382" t="s">
        <v>28</v>
      </c>
      <c r="B24" s="1507"/>
      <c r="C24" s="1507"/>
      <c r="D24" s="1507"/>
      <c r="E24" s="1507"/>
      <c r="F24" s="1507"/>
      <c r="G24" s="1507"/>
      <c r="H24" s="1507"/>
      <c r="I24" s="1507"/>
      <c r="J24" s="1507"/>
      <c r="K24" s="1507"/>
      <c r="L24" s="1507"/>
      <c r="M24" s="1507"/>
      <c r="N24" s="2157"/>
      <c r="O24" s="2157"/>
      <c r="P24" s="1508"/>
      <c r="Q24" s="1509"/>
      <c r="R24" s="1510"/>
      <c r="S24" s="1427"/>
      <c r="T24" s="1427"/>
      <c r="U24" s="1382" t="s">
        <v>28</v>
      </c>
      <c r="V24" s="1507"/>
      <c r="W24" s="1507"/>
      <c r="X24" s="1507"/>
      <c r="Y24" s="1507"/>
      <c r="Z24" s="1507"/>
      <c r="AA24" s="1507"/>
      <c r="AB24" s="1507"/>
      <c r="AC24" s="1507"/>
      <c r="AD24" s="1507"/>
      <c r="AE24" s="1511"/>
    </row>
    <row r="25" spans="1:31" s="1492" customFormat="1" ht="12.75" customHeight="1" x14ac:dyDescent="0.2">
      <c r="A25" s="2147" t="s">
        <v>286</v>
      </c>
      <c r="B25" s="2158" t="s">
        <v>249</v>
      </c>
      <c r="C25" s="2182"/>
      <c r="D25" s="2182"/>
      <c r="E25" s="2182"/>
      <c r="F25" s="2180" t="s">
        <v>442</v>
      </c>
      <c r="G25" s="2149" t="s">
        <v>699</v>
      </c>
      <c r="H25" s="2180" t="s">
        <v>231</v>
      </c>
      <c r="I25" s="2149" t="s">
        <v>700</v>
      </c>
      <c r="J25" s="2178" t="s">
        <v>422</v>
      </c>
      <c r="K25" s="2179"/>
      <c r="L25" s="2149" t="s">
        <v>139</v>
      </c>
      <c r="M25" s="2149" t="s">
        <v>26</v>
      </c>
      <c r="N25" s="2158" t="s">
        <v>71</v>
      </c>
      <c r="O25" s="2159"/>
      <c r="P25" s="2159"/>
      <c r="Q25" s="2159"/>
      <c r="R25" s="2160"/>
      <c r="S25" s="1427"/>
      <c r="T25" s="1427"/>
      <c r="U25" s="2147" t="s">
        <v>286</v>
      </c>
      <c r="V25" s="2200" t="s">
        <v>249</v>
      </c>
      <c r="W25" s="2201"/>
      <c r="X25" s="2201"/>
      <c r="Y25" s="2201"/>
      <c r="Z25" s="2202" t="s">
        <v>442</v>
      </c>
      <c r="AA25" s="2200" t="s">
        <v>699</v>
      </c>
      <c r="AB25" s="2202" t="s">
        <v>231</v>
      </c>
      <c r="AC25" s="2203" t="s">
        <v>700</v>
      </c>
      <c r="AD25" s="2198" t="s">
        <v>422</v>
      </c>
      <c r="AE25" s="2199"/>
    </row>
    <row r="26" spans="1:31" s="1492" customFormat="1" ht="91.5" customHeight="1" x14ac:dyDescent="0.2">
      <c r="A26" s="2148"/>
      <c r="B26" s="2183"/>
      <c r="C26" s="2184"/>
      <c r="D26" s="2184"/>
      <c r="E26" s="2184"/>
      <c r="F26" s="2181"/>
      <c r="G26" s="2150"/>
      <c r="H26" s="2181"/>
      <c r="I26" s="2150"/>
      <c r="J26" s="2178"/>
      <c r="K26" s="2179"/>
      <c r="L26" s="2150"/>
      <c r="M26" s="2150"/>
      <c r="N26" s="2161"/>
      <c r="O26" s="2162"/>
      <c r="P26" s="2162"/>
      <c r="Q26" s="2162"/>
      <c r="R26" s="2163"/>
      <c r="S26" s="1427"/>
      <c r="T26" s="1427"/>
      <c r="U26" s="2148"/>
      <c r="V26" s="2201"/>
      <c r="W26" s="2201"/>
      <c r="X26" s="2201"/>
      <c r="Y26" s="2201"/>
      <c r="Z26" s="2202"/>
      <c r="AA26" s="2200"/>
      <c r="AB26" s="2202"/>
      <c r="AC26" s="2150"/>
      <c r="AD26" s="2198"/>
      <c r="AE26" s="2199"/>
    </row>
    <row r="27" spans="1:31" s="1492" customFormat="1" ht="141" customHeight="1" x14ac:dyDescent="0.2">
      <c r="A27" s="1512" t="str">
        <f>U27</f>
        <v>Outcome</v>
      </c>
      <c r="B27" s="2128" t="str">
        <f>V27</f>
        <v>% of young women and men aged 15 - 24  who have had sexual intercourse before the age of 15</v>
      </c>
      <c r="C27" s="2129"/>
      <c r="D27" s="2129"/>
      <c r="E27" s="2130"/>
      <c r="F27" s="1513" t="str">
        <f>Z27</f>
        <v>2010</v>
      </c>
      <c r="G27" s="1514" t="str">
        <f>AA27</f>
        <v>2.1% (males)           13% (females)</v>
      </c>
      <c r="H27" s="1515">
        <f>AB27</f>
        <v>40543</v>
      </c>
      <c r="I27" s="1514" t="str">
        <f>AC27</f>
        <v>1.5% (males)         7.4% (females)</v>
      </c>
      <c r="J27" s="2131" t="str">
        <f>AD27</f>
        <v>BSS (Behavioral and Surveillance Survey)</v>
      </c>
      <c r="K27" s="2132"/>
      <c r="L27" s="1383" t="s">
        <v>674</v>
      </c>
      <c r="M27" s="1516" t="s">
        <v>675</v>
      </c>
      <c r="N27" s="2133" t="s">
        <v>720</v>
      </c>
      <c r="O27" s="2134"/>
      <c r="P27" s="2134"/>
      <c r="Q27" s="2134"/>
      <c r="R27" s="2135"/>
      <c r="S27" s="1427"/>
      <c r="T27" s="1427"/>
      <c r="U27" s="1512" t="str">
        <f>IF('PR_Programmatic Progress_1A'!A27="Select","",'PR_Programmatic Progress_1A'!A27)</f>
        <v>Outcome</v>
      </c>
      <c r="V27" s="2197" t="str">
        <f>IF('PR_Programmatic Progress_1A'!B27="","",'PR_Programmatic Progress_1A'!B27)</f>
        <v>% of young women and men aged 15 - 24  who have had sexual intercourse before the age of 15</v>
      </c>
      <c r="W27" s="2197"/>
      <c r="X27" s="2197"/>
      <c r="Y27" s="2197"/>
      <c r="Z27" s="1481" t="str">
        <f>IF('PR_Programmatic Progress_1A'!I27="","",'PR_Programmatic Progress_1A'!I27)</f>
        <v>2010</v>
      </c>
      <c r="AA27" s="1362" t="str">
        <f>IF('PR_Programmatic Progress_1A'!J27="","",'PR_Programmatic Progress_1A'!J27)</f>
        <v>2.1% (males)           13% (females)</v>
      </c>
      <c r="AB27" s="1362">
        <f>IF('PR_Programmatic Progress_1A'!K27="","",'PR_Programmatic Progress_1A'!K27)</f>
        <v>40543</v>
      </c>
      <c r="AC27" s="1517" t="str">
        <f>IF('PR_Programmatic Progress_1A'!L27="","",'PR_Programmatic Progress_1A'!L27)</f>
        <v>1.5% (males)         7.4% (females)</v>
      </c>
      <c r="AD27" s="2195" t="str">
        <f>'PR_Programmatic Progress_1A'!M27</f>
        <v>BSS (Behavioral and Surveillance Survey)</v>
      </c>
      <c r="AE27" s="2196"/>
    </row>
    <row r="28" spans="1:31" s="1492" customFormat="1" ht="115.5" customHeight="1" x14ac:dyDescent="0.2">
      <c r="A28" s="1512" t="str">
        <f t="shared" ref="A28:A36" si="0">U28</f>
        <v>Impact</v>
      </c>
      <c r="B28" s="2128" t="str">
        <f t="shared" ref="B28:B36" si="1">V28</f>
        <v>% of young women and men aged 15 - 24 who are HIV infected</v>
      </c>
      <c r="C28" s="2129"/>
      <c r="D28" s="2129"/>
      <c r="E28" s="2130"/>
      <c r="F28" s="1513" t="str">
        <f t="shared" ref="F28:F36" si="2">Z28</f>
        <v>2010</v>
      </c>
      <c r="G28" s="1514">
        <f t="shared" ref="G28:I36" si="3">AA28</f>
        <v>2.24E-2</v>
      </c>
      <c r="H28" s="1515">
        <f t="shared" si="3"/>
        <v>40543</v>
      </c>
      <c r="I28" s="1514" t="str">
        <f t="shared" si="3"/>
        <v>-</v>
      </c>
      <c r="J28" s="2131" t="str">
        <f t="shared" ref="J28:J36" si="4">AD28</f>
        <v>Other (NSS)</v>
      </c>
      <c r="K28" s="2132"/>
      <c r="L28" s="1383" t="s">
        <v>674</v>
      </c>
      <c r="M28" s="1518">
        <v>1.9400000000000001E-2</v>
      </c>
      <c r="N28" s="2133" t="s">
        <v>709</v>
      </c>
      <c r="O28" s="2134"/>
      <c r="P28" s="2134"/>
      <c r="Q28" s="2134"/>
      <c r="R28" s="2135"/>
      <c r="S28" s="1427"/>
      <c r="T28" s="1427"/>
      <c r="U28" s="1512" t="str">
        <f>IF('PR_Programmatic Progress_1A'!A28="Select","",'PR_Programmatic Progress_1A'!A28)</f>
        <v>Impact</v>
      </c>
      <c r="V28" s="2197" t="str">
        <f>IF('PR_Programmatic Progress_1A'!B28="","",'PR_Programmatic Progress_1A'!B28)</f>
        <v>% of young women and men aged 15 - 24 who are HIV infected</v>
      </c>
      <c r="W28" s="2197"/>
      <c r="X28" s="2197"/>
      <c r="Y28" s="2197"/>
      <c r="Z28" s="1481" t="str">
        <f>IF('PR_Programmatic Progress_1A'!I28="","",'PR_Programmatic Progress_1A'!I28)</f>
        <v>2010</v>
      </c>
      <c r="AA28" s="1362">
        <f>IF('PR_Programmatic Progress_1A'!J28="","",'PR_Programmatic Progress_1A'!J28)</f>
        <v>2.24E-2</v>
      </c>
      <c r="AB28" s="1362">
        <f>IF('PR_Programmatic Progress_1A'!K28="","",'PR_Programmatic Progress_1A'!K28)</f>
        <v>40543</v>
      </c>
      <c r="AC28" s="1517" t="str">
        <f>IF('PR_Programmatic Progress_1A'!L28="","",'PR_Programmatic Progress_1A'!L28)</f>
        <v>-</v>
      </c>
      <c r="AD28" s="2195" t="str">
        <f>'PR_Programmatic Progress_1A'!M28</f>
        <v>Other (NSS)</v>
      </c>
      <c r="AE28" s="2196"/>
    </row>
    <row r="29" spans="1:31" s="1492" customFormat="1" ht="44.25" customHeight="1" x14ac:dyDescent="0.2">
      <c r="A29" s="1512" t="str">
        <f t="shared" si="0"/>
        <v>Outcome</v>
      </c>
      <c r="B29" s="2128" t="str">
        <f t="shared" si="1"/>
        <v>% of most-at-risk populatoion(s) (sex workers, clients of sex workers, men who have sex with men,  injecting drug users) who are HIV infected</v>
      </c>
      <c r="C29" s="2129"/>
      <c r="D29" s="2129"/>
      <c r="E29" s="2130"/>
      <c r="F29" s="1513" t="str">
        <f t="shared" si="2"/>
        <v>2011</v>
      </c>
      <c r="G29" s="1514" t="str">
        <f t="shared" si="3"/>
        <v>TBD</v>
      </c>
      <c r="H29" s="1515" t="str">
        <f t="shared" si="3"/>
        <v>-</v>
      </c>
      <c r="I29" s="1514" t="str">
        <f t="shared" si="3"/>
        <v>-</v>
      </c>
      <c r="J29" s="2131" t="str">
        <f t="shared" si="4"/>
        <v>Other (2 yearly mapping)</v>
      </c>
      <c r="K29" s="2132"/>
      <c r="L29" s="1383"/>
      <c r="M29" s="1516"/>
      <c r="N29" s="2133" t="s">
        <v>710</v>
      </c>
      <c r="O29" s="2193"/>
      <c r="P29" s="2193"/>
      <c r="Q29" s="2193"/>
      <c r="R29" s="2194"/>
      <c r="S29" s="1427"/>
      <c r="T29" s="1427"/>
      <c r="U29" s="1512" t="str">
        <f>IF('PR_Programmatic Progress_1A'!A29="Select","",'PR_Programmatic Progress_1A'!A29)</f>
        <v>Outcome</v>
      </c>
      <c r="V29" s="2197" t="str">
        <f>IF('PR_Programmatic Progress_1A'!B29="","",'PR_Programmatic Progress_1A'!B29)</f>
        <v>% of most-at-risk populatoion(s) (sex workers, clients of sex workers, men who have sex with men,  injecting drug users) who are HIV infected</v>
      </c>
      <c r="W29" s="2197"/>
      <c r="X29" s="2197"/>
      <c r="Y29" s="2197"/>
      <c r="Z29" s="1481" t="str">
        <f>IF('PR_Programmatic Progress_1A'!I29="","",'PR_Programmatic Progress_1A'!I29)</f>
        <v>2011</v>
      </c>
      <c r="AA29" s="1362" t="str">
        <f>IF('PR_Programmatic Progress_1A'!J29="","",'PR_Programmatic Progress_1A'!J29)</f>
        <v>TBD</v>
      </c>
      <c r="AB29" s="1362" t="str">
        <f>IF('PR_Programmatic Progress_1A'!K29="","",'PR_Programmatic Progress_1A'!K29)</f>
        <v>-</v>
      </c>
      <c r="AC29" s="1517" t="str">
        <f>IF('PR_Programmatic Progress_1A'!L29="","",'PR_Programmatic Progress_1A'!L29)</f>
        <v>-</v>
      </c>
      <c r="AD29" s="2195" t="str">
        <f>'PR_Programmatic Progress_1A'!M29</f>
        <v>Other (2 yearly mapping)</v>
      </c>
      <c r="AE29" s="2196"/>
    </row>
    <row r="30" spans="1:31" s="1492" customFormat="1" ht="148.5" customHeight="1" x14ac:dyDescent="0.2">
      <c r="A30" s="1512" t="str">
        <f t="shared" si="0"/>
        <v>Outcome</v>
      </c>
      <c r="B30" s="2128" t="str">
        <f t="shared" si="1"/>
        <v xml:space="preserve">% of people aged 15 - 49 years  with more than one sexual partners in the past 12 months  reporting the use of condoms during their last sexual intercourse </v>
      </c>
      <c r="C30" s="2129"/>
      <c r="D30" s="2129"/>
      <c r="E30" s="2130"/>
      <c r="F30" s="1513" t="str">
        <f t="shared" si="2"/>
        <v>2010</v>
      </c>
      <c r="G30" s="1514" t="str">
        <f t="shared" si="3"/>
        <v>18.8% (males) 11.1% (females)</v>
      </c>
      <c r="H30" s="1515">
        <f t="shared" si="3"/>
        <v>40543</v>
      </c>
      <c r="I30" s="1514" t="str">
        <f t="shared" si="3"/>
        <v>18.8% (males) 11.1% (females)</v>
      </c>
      <c r="J30" s="2131" t="str">
        <f t="shared" si="4"/>
        <v>BSS (Behavioral and Surveillance Survey)</v>
      </c>
      <c r="K30" s="2132"/>
      <c r="L30" s="1383" t="s">
        <v>674</v>
      </c>
      <c r="M30" s="1516" t="s">
        <v>676</v>
      </c>
      <c r="N30" s="2133" t="s">
        <v>720</v>
      </c>
      <c r="O30" s="2134"/>
      <c r="P30" s="2134"/>
      <c r="Q30" s="2134"/>
      <c r="R30" s="2135"/>
      <c r="S30" s="1427"/>
      <c r="T30" s="1427"/>
      <c r="U30" s="1512" t="str">
        <f>IF('PR_Programmatic Progress_1A'!A30="Select","",'PR_Programmatic Progress_1A'!A30)</f>
        <v>Outcome</v>
      </c>
      <c r="V30" s="2197" t="str">
        <f>IF('PR_Programmatic Progress_1A'!B30="","",'PR_Programmatic Progress_1A'!B30)</f>
        <v xml:space="preserve">% of people aged 15 - 49 years  with more than one sexual partners in the past 12 months  reporting the use of condoms during their last sexual intercourse </v>
      </c>
      <c r="W30" s="2197"/>
      <c r="X30" s="2197"/>
      <c r="Y30" s="2197"/>
      <c r="Z30" s="1481" t="str">
        <f>IF('PR_Programmatic Progress_1A'!I30="","",'PR_Programmatic Progress_1A'!I30)</f>
        <v>2010</v>
      </c>
      <c r="AA30" s="1362" t="str">
        <f>IF('PR_Programmatic Progress_1A'!J30="","",'PR_Programmatic Progress_1A'!J30)</f>
        <v>18.8% (males) 11.1% (females)</v>
      </c>
      <c r="AB30" s="1362">
        <f>IF('PR_Programmatic Progress_1A'!K30="","",'PR_Programmatic Progress_1A'!K30)</f>
        <v>40543</v>
      </c>
      <c r="AC30" s="1517" t="str">
        <f>IF('PR_Programmatic Progress_1A'!L30="","",'PR_Programmatic Progress_1A'!L30)</f>
        <v>18.8% (males) 11.1% (females)</v>
      </c>
      <c r="AD30" s="2195" t="str">
        <f>'PR_Programmatic Progress_1A'!M30</f>
        <v>BSS (Behavioral and Surveillance Survey)</v>
      </c>
      <c r="AE30" s="2196"/>
    </row>
    <row r="31" spans="1:31" s="1492" customFormat="1" ht="92.25" customHeight="1" x14ac:dyDescent="0.2">
      <c r="A31" s="1512" t="str">
        <f t="shared" si="0"/>
        <v>Outcome</v>
      </c>
      <c r="B31" s="2128" t="str">
        <f t="shared" si="1"/>
        <v>% of young people aged 10 -24 years  reached by life skill-based HIV/AIDS education in and out of school</v>
      </c>
      <c r="C31" s="2129"/>
      <c r="D31" s="2129"/>
      <c r="E31" s="2130"/>
      <c r="F31" s="1513" t="str">
        <f t="shared" si="2"/>
        <v>2010</v>
      </c>
      <c r="G31" s="1514">
        <f t="shared" si="3"/>
        <v>0.56000000000000005</v>
      </c>
      <c r="H31" s="1515">
        <f t="shared" si="3"/>
        <v>40543</v>
      </c>
      <c r="I31" s="1514">
        <f t="shared" si="3"/>
        <v>0.56000000000000005</v>
      </c>
      <c r="J31" s="2131" t="str">
        <f>AD31</f>
        <v>Other (Life skills based HIV/AIDS education survey)</v>
      </c>
      <c r="K31" s="2132"/>
      <c r="L31" s="1383" t="s">
        <v>674</v>
      </c>
      <c r="M31" s="1519">
        <v>0.56999999999999995</v>
      </c>
      <c r="N31" s="2133" t="s">
        <v>772</v>
      </c>
      <c r="O31" s="2134"/>
      <c r="P31" s="2134"/>
      <c r="Q31" s="2134"/>
      <c r="R31" s="2135"/>
      <c r="S31" s="1427"/>
      <c r="T31" s="1427"/>
      <c r="U31" s="1512" t="str">
        <f>IF('PR_Programmatic Progress_1A'!A31="Select","",'PR_Programmatic Progress_1A'!A31)</f>
        <v>Outcome</v>
      </c>
      <c r="V31" s="2197" t="str">
        <f>IF('PR_Programmatic Progress_1A'!B31="","",'PR_Programmatic Progress_1A'!B31)</f>
        <v>% of young people aged 10 -24 years  reached by life skill-based HIV/AIDS education in and out of school</v>
      </c>
      <c r="W31" s="2197"/>
      <c r="X31" s="2197"/>
      <c r="Y31" s="2197"/>
      <c r="Z31" s="1481" t="str">
        <f>IF('PR_Programmatic Progress_1A'!I31="","",'PR_Programmatic Progress_1A'!I31)</f>
        <v>2010</v>
      </c>
      <c r="AA31" s="1362">
        <f>IF('PR_Programmatic Progress_1A'!J31="","",'PR_Programmatic Progress_1A'!J31)</f>
        <v>0.56000000000000005</v>
      </c>
      <c r="AB31" s="1362">
        <f>IF('PR_Programmatic Progress_1A'!K31="","",'PR_Programmatic Progress_1A'!K31)</f>
        <v>40543</v>
      </c>
      <c r="AC31" s="1517">
        <f>IF('PR_Programmatic Progress_1A'!L31="","",'PR_Programmatic Progress_1A'!L31)</f>
        <v>0.56000000000000005</v>
      </c>
      <c r="AD31" s="2195" t="str">
        <f>'PR_Programmatic Progress_1A'!M31</f>
        <v>Other (Life skills based HIV/AIDS education survey)</v>
      </c>
      <c r="AE31" s="2196"/>
    </row>
    <row r="32" spans="1:31" s="1492" customFormat="1" ht="44.25" customHeight="1" x14ac:dyDescent="0.2">
      <c r="A32" s="1512" t="str">
        <f t="shared" si="0"/>
        <v/>
      </c>
      <c r="B32" s="2128" t="str">
        <f t="shared" si="1"/>
        <v/>
      </c>
      <c r="C32" s="2129"/>
      <c r="D32" s="2129"/>
      <c r="E32" s="2130"/>
      <c r="F32" s="1513" t="str">
        <f t="shared" si="2"/>
        <v>-</v>
      </c>
      <c r="G32" s="1514" t="str">
        <f t="shared" si="3"/>
        <v>-</v>
      </c>
      <c r="H32" s="1515" t="str">
        <f t="shared" si="3"/>
        <v>-</v>
      </c>
      <c r="I32" s="1514" t="str">
        <f t="shared" si="3"/>
        <v>-</v>
      </c>
      <c r="J32" s="2131" t="str">
        <f t="shared" si="4"/>
        <v>Select</v>
      </c>
      <c r="K32" s="2132"/>
      <c r="L32" s="1383"/>
      <c r="M32" s="1516"/>
      <c r="N32" s="2133"/>
      <c r="O32" s="2134"/>
      <c r="P32" s="2134"/>
      <c r="Q32" s="2134"/>
      <c r="R32" s="2135"/>
      <c r="S32" s="1427"/>
      <c r="T32" s="1427"/>
      <c r="U32" s="1512" t="str">
        <f>IF('PR_Programmatic Progress_1A'!A32="Select","",'PR_Programmatic Progress_1A'!A32)</f>
        <v/>
      </c>
      <c r="V32" s="2197" t="str">
        <f>IF('PR_Programmatic Progress_1A'!B32="","",'PR_Programmatic Progress_1A'!B32)</f>
        <v/>
      </c>
      <c r="W32" s="2197"/>
      <c r="X32" s="2197"/>
      <c r="Y32" s="2197"/>
      <c r="Z32" s="1481" t="str">
        <f>IF('PR_Programmatic Progress_1A'!I32="","",'PR_Programmatic Progress_1A'!I32)</f>
        <v>-</v>
      </c>
      <c r="AA32" s="1362" t="str">
        <f>IF('PR_Programmatic Progress_1A'!J32="","",'PR_Programmatic Progress_1A'!J32)</f>
        <v>-</v>
      </c>
      <c r="AB32" s="1362" t="str">
        <f>IF('PR_Programmatic Progress_1A'!K32="","",'PR_Programmatic Progress_1A'!K32)</f>
        <v>-</v>
      </c>
      <c r="AC32" s="1517" t="str">
        <f>IF('PR_Programmatic Progress_1A'!L32="","",'PR_Programmatic Progress_1A'!L32)</f>
        <v>-</v>
      </c>
      <c r="AD32" s="2195" t="str">
        <f>'PR_Programmatic Progress_1A'!M32</f>
        <v>Select</v>
      </c>
      <c r="AE32" s="2196"/>
    </row>
    <row r="33" spans="1:31" s="1492" customFormat="1" ht="44.25" customHeight="1" x14ac:dyDescent="0.2">
      <c r="A33" s="1512" t="str">
        <f t="shared" si="0"/>
        <v/>
      </c>
      <c r="B33" s="2128" t="str">
        <f t="shared" si="1"/>
        <v/>
      </c>
      <c r="C33" s="2129"/>
      <c r="D33" s="2129"/>
      <c r="E33" s="2130"/>
      <c r="F33" s="1513" t="str">
        <f t="shared" si="2"/>
        <v>-</v>
      </c>
      <c r="G33" s="1514" t="str">
        <f t="shared" si="3"/>
        <v>-</v>
      </c>
      <c r="H33" s="1515" t="str">
        <f t="shared" si="3"/>
        <v>-</v>
      </c>
      <c r="I33" s="1514" t="str">
        <f t="shared" si="3"/>
        <v>-</v>
      </c>
      <c r="J33" s="2131" t="str">
        <f t="shared" si="4"/>
        <v>Select</v>
      </c>
      <c r="K33" s="2132"/>
      <c r="L33" s="1383"/>
      <c r="M33" s="1516"/>
      <c r="N33" s="2133"/>
      <c r="O33" s="2134"/>
      <c r="P33" s="2134"/>
      <c r="Q33" s="2134"/>
      <c r="R33" s="2135"/>
      <c r="S33" s="1427"/>
      <c r="T33" s="1427"/>
      <c r="U33" s="1512" t="str">
        <f>IF('PR_Programmatic Progress_1A'!A33="Select","",'PR_Programmatic Progress_1A'!A33)</f>
        <v/>
      </c>
      <c r="V33" s="2197" t="str">
        <f>IF('PR_Programmatic Progress_1A'!B33="","",'PR_Programmatic Progress_1A'!B33)</f>
        <v/>
      </c>
      <c r="W33" s="2197"/>
      <c r="X33" s="2197"/>
      <c r="Y33" s="2197"/>
      <c r="Z33" s="1481" t="str">
        <f>IF('PR_Programmatic Progress_1A'!I33="","",'PR_Programmatic Progress_1A'!I33)</f>
        <v>-</v>
      </c>
      <c r="AA33" s="1362" t="str">
        <f>IF('PR_Programmatic Progress_1A'!J33="","",'PR_Programmatic Progress_1A'!J33)</f>
        <v>-</v>
      </c>
      <c r="AB33" s="1362" t="str">
        <f>IF('PR_Programmatic Progress_1A'!K33="","",'PR_Programmatic Progress_1A'!K33)</f>
        <v>-</v>
      </c>
      <c r="AC33" s="1517" t="str">
        <f>IF('PR_Programmatic Progress_1A'!L33="","",'PR_Programmatic Progress_1A'!L33)</f>
        <v>-</v>
      </c>
      <c r="AD33" s="2195" t="str">
        <f>'PR_Programmatic Progress_1A'!M33</f>
        <v>Select</v>
      </c>
      <c r="AE33" s="2196"/>
    </row>
    <row r="34" spans="1:31" s="1492" customFormat="1" ht="44.25" customHeight="1" x14ac:dyDescent="0.2">
      <c r="A34" s="1512" t="str">
        <f t="shared" si="0"/>
        <v/>
      </c>
      <c r="B34" s="2128" t="str">
        <f t="shared" si="1"/>
        <v/>
      </c>
      <c r="C34" s="2129"/>
      <c r="D34" s="2129"/>
      <c r="E34" s="2130"/>
      <c r="F34" s="1513" t="str">
        <f t="shared" si="2"/>
        <v>-</v>
      </c>
      <c r="G34" s="1514" t="str">
        <f t="shared" si="3"/>
        <v>-</v>
      </c>
      <c r="H34" s="1515" t="str">
        <f t="shared" si="3"/>
        <v>-</v>
      </c>
      <c r="I34" s="1514" t="str">
        <f t="shared" si="3"/>
        <v>-</v>
      </c>
      <c r="J34" s="2131" t="str">
        <f t="shared" si="4"/>
        <v>Select</v>
      </c>
      <c r="K34" s="2132"/>
      <c r="L34" s="1383"/>
      <c r="M34" s="1516"/>
      <c r="N34" s="2133"/>
      <c r="O34" s="2134"/>
      <c r="P34" s="2134"/>
      <c r="Q34" s="2134"/>
      <c r="R34" s="2135"/>
      <c r="S34" s="1427"/>
      <c r="T34" s="1427"/>
      <c r="U34" s="1512" t="str">
        <f>IF('PR_Programmatic Progress_1A'!A34="Select","",'PR_Programmatic Progress_1A'!A34)</f>
        <v/>
      </c>
      <c r="V34" s="2197" t="str">
        <f>IF('PR_Programmatic Progress_1A'!B34="","",'PR_Programmatic Progress_1A'!B34)</f>
        <v/>
      </c>
      <c r="W34" s="2197"/>
      <c r="X34" s="2197"/>
      <c r="Y34" s="2197"/>
      <c r="Z34" s="1481" t="str">
        <f>IF('PR_Programmatic Progress_1A'!I34="","",'PR_Programmatic Progress_1A'!I34)</f>
        <v>-</v>
      </c>
      <c r="AA34" s="1362" t="str">
        <f>IF('PR_Programmatic Progress_1A'!J34="","",'PR_Programmatic Progress_1A'!J34)</f>
        <v>-</v>
      </c>
      <c r="AB34" s="1362" t="str">
        <f>IF('PR_Programmatic Progress_1A'!K34="","",'PR_Programmatic Progress_1A'!K34)</f>
        <v>-</v>
      </c>
      <c r="AC34" s="1517" t="str">
        <f>IF('PR_Programmatic Progress_1A'!L34="","",'PR_Programmatic Progress_1A'!L34)</f>
        <v>-</v>
      </c>
      <c r="AD34" s="2195" t="str">
        <f>'PR_Programmatic Progress_1A'!M34</f>
        <v>Select</v>
      </c>
      <c r="AE34" s="2196"/>
    </row>
    <row r="35" spans="1:31" s="1492" customFormat="1" ht="44.25" customHeight="1" x14ac:dyDescent="0.2">
      <c r="A35" s="1512" t="str">
        <f t="shared" si="0"/>
        <v/>
      </c>
      <c r="B35" s="2128" t="str">
        <f t="shared" si="1"/>
        <v/>
      </c>
      <c r="C35" s="2129"/>
      <c r="D35" s="2129"/>
      <c r="E35" s="2130"/>
      <c r="F35" s="1513" t="str">
        <f t="shared" si="2"/>
        <v>-</v>
      </c>
      <c r="G35" s="1514" t="str">
        <f t="shared" si="3"/>
        <v>-</v>
      </c>
      <c r="H35" s="1515" t="str">
        <f t="shared" si="3"/>
        <v>-</v>
      </c>
      <c r="I35" s="1514" t="str">
        <f t="shared" si="3"/>
        <v>-</v>
      </c>
      <c r="J35" s="2131" t="str">
        <f t="shared" si="4"/>
        <v>Select</v>
      </c>
      <c r="K35" s="2132"/>
      <c r="L35" s="1383"/>
      <c r="M35" s="1516"/>
      <c r="N35" s="2133"/>
      <c r="O35" s="2134"/>
      <c r="P35" s="2134"/>
      <c r="Q35" s="2134"/>
      <c r="R35" s="2135"/>
      <c r="S35" s="1427"/>
      <c r="T35" s="1427"/>
      <c r="U35" s="1512" t="str">
        <f>IF('PR_Programmatic Progress_1A'!A35="Select","",'PR_Programmatic Progress_1A'!A35)</f>
        <v/>
      </c>
      <c r="V35" s="2197" t="str">
        <f>IF('PR_Programmatic Progress_1A'!B35="","",'PR_Programmatic Progress_1A'!B35)</f>
        <v/>
      </c>
      <c r="W35" s="2197"/>
      <c r="X35" s="2197"/>
      <c r="Y35" s="2197"/>
      <c r="Z35" s="1481" t="str">
        <f>IF('PR_Programmatic Progress_1A'!I35="","",'PR_Programmatic Progress_1A'!I35)</f>
        <v>-</v>
      </c>
      <c r="AA35" s="1362" t="str">
        <f>IF('PR_Programmatic Progress_1A'!J35="","",'PR_Programmatic Progress_1A'!J35)</f>
        <v>-</v>
      </c>
      <c r="AB35" s="1362" t="str">
        <f>IF('PR_Programmatic Progress_1A'!K35="","",'PR_Programmatic Progress_1A'!K35)</f>
        <v>-</v>
      </c>
      <c r="AC35" s="1517" t="str">
        <f>IF('PR_Programmatic Progress_1A'!L35="","",'PR_Programmatic Progress_1A'!L35)</f>
        <v>-</v>
      </c>
      <c r="AD35" s="2195" t="str">
        <f>'PR_Programmatic Progress_1A'!M35</f>
        <v>Select</v>
      </c>
      <c r="AE35" s="2196"/>
    </row>
    <row r="36" spans="1:31" s="1492" customFormat="1" ht="44.25" customHeight="1" thickBot="1" x14ac:dyDescent="0.25">
      <c r="A36" s="1520" t="str">
        <f t="shared" si="0"/>
        <v/>
      </c>
      <c r="B36" s="2185" t="str">
        <f t="shared" si="1"/>
        <v/>
      </c>
      <c r="C36" s="2186"/>
      <c r="D36" s="2186"/>
      <c r="E36" s="2187"/>
      <c r="F36" s="1521" t="str">
        <f t="shared" si="2"/>
        <v>-</v>
      </c>
      <c r="G36" s="1522" t="str">
        <f t="shared" si="3"/>
        <v>-</v>
      </c>
      <c r="H36" s="1523" t="str">
        <f t="shared" si="3"/>
        <v>-</v>
      </c>
      <c r="I36" s="1522" t="str">
        <f t="shared" si="3"/>
        <v>-</v>
      </c>
      <c r="J36" s="2188" t="str">
        <f t="shared" si="4"/>
        <v>Select</v>
      </c>
      <c r="K36" s="2189"/>
      <c r="L36" s="1524"/>
      <c r="M36" s="1525"/>
      <c r="N36" s="2190"/>
      <c r="O36" s="2191"/>
      <c r="P36" s="2191"/>
      <c r="Q36" s="2191"/>
      <c r="R36" s="2192"/>
      <c r="S36" s="1427"/>
      <c r="T36" s="1427"/>
      <c r="U36" s="1512" t="str">
        <f>IF('PR_Programmatic Progress_1A'!A36="Select","",'PR_Programmatic Progress_1A'!A36)</f>
        <v/>
      </c>
      <c r="V36" s="2197" t="str">
        <f>IF('PR_Programmatic Progress_1A'!B36="","",'PR_Programmatic Progress_1A'!B36)</f>
        <v/>
      </c>
      <c r="W36" s="2197"/>
      <c r="X36" s="2197"/>
      <c r="Y36" s="2197"/>
      <c r="Z36" s="1481" t="str">
        <f>IF('PR_Programmatic Progress_1A'!I36="","",'PR_Programmatic Progress_1A'!I36)</f>
        <v>-</v>
      </c>
      <c r="AA36" s="1362" t="str">
        <f>IF('PR_Programmatic Progress_1A'!J36="","",'PR_Programmatic Progress_1A'!J36)</f>
        <v>-</v>
      </c>
      <c r="AB36" s="1362" t="str">
        <f>IF('PR_Programmatic Progress_1A'!K36="","",'PR_Programmatic Progress_1A'!K36)</f>
        <v>-</v>
      </c>
      <c r="AC36" s="1517" t="str">
        <f>IF('PR_Programmatic Progress_1A'!L36="","",'PR_Programmatic Progress_1A'!L36)</f>
        <v>-</v>
      </c>
      <c r="AD36" s="2195" t="str">
        <f>'PR_Programmatic Progress_1A'!M36</f>
        <v>Select</v>
      </c>
      <c r="AE36" s="2196"/>
    </row>
    <row r="37" spans="1:31" s="1492" customFormat="1" x14ac:dyDescent="0.2">
      <c r="A37" s="1427"/>
      <c r="B37" s="1427"/>
      <c r="C37" s="1427"/>
      <c r="D37" s="1427"/>
      <c r="E37" s="1427"/>
      <c r="F37" s="1427"/>
      <c r="G37" s="1506"/>
      <c r="H37" s="1506"/>
      <c r="I37" s="1427"/>
      <c r="J37" s="1427"/>
      <c r="K37" s="1427"/>
      <c r="L37" s="1427"/>
      <c r="M37" s="1427"/>
      <c r="N37" s="1427"/>
      <c r="O37" s="1427"/>
      <c r="P37" s="1427"/>
      <c r="Q37" s="1427"/>
      <c r="R37" s="1427"/>
      <c r="S37" s="1427"/>
      <c r="T37" s="1427"/>
      <c r="U37" s="1427"/>
      <c r="V37" s="1427"/>
      <c r="W37" s="1427"/>
      <c r="X37" s="1427"/>
    </row>
  </sheetData>
  <sheetProtection formatCells="0" formatColumns="0" formatRows="0"/>
  <customSheetViews>
    <customSheetView guid="{E26F941C-F347-432D-B4B3-73B25F002075}" scale="65" fitToPage="1" hiddenColumns="1" topLeftCell="D22">
      <selection activeCell="G56" sqref="G56"/>
      <rowBreaks count="1" manualBreakCount="1">
        <brk id="39" max="16383" man="1"/>
      </rowBreaks>
      <pageMargins left="0.49" right="0.38" top="0.49" bottom="0.49" header="0.43" footer="0.38"/>
      <pageSetup paperSize="9" scale="40" orientation="landscape" cellComments="asDisplayed" r:id="rId1"/>
      <headerFooter alignWithMargins="0">
        <oddFooter>&amp;L&amp;9SD 3.1A - Form, Ongoing DR/PU and LFA Review and Recommendation_v2.1 February 2006&amp;R&amp;9Page &amp;P of &amp;N</oddFooter>
      </headerFooter>
    </customSheetView>
  </customSheetViews>
  <mergeCells count="86">
    <mergeCell ref="V35:Y35"/>
    <mergeCell ref="AD35:AE35"/>
    <mergeCell ref="V36:Y36"/>
    <mergeCell ref="AD36:AE36"/>
    <mergeCell ref="V33:Y33"/>
    <mergeCell ref="AD33:AE33"/>
    <mergeCell ref="V34:Y34"/>
    <mergeCell ref="AD34:AE34"/>
    <mergeCell ref="AD31:AE31"/>
    <mergeCell ref="V32:Y32"/>
    <mergeCell ref="AD32:AE32"/>
    <mergeCell ref="V29:Y29"/>
    <mergeCell ref="AD29:AE29"/>
    <mergeCell ref="V30:Y30"/>
    <mergeCell ref="AD30:AE30"/>
    <mergeCell ref="V31:Y31"/>
    <mergeCell ref="AD27:AE27"/>
    <mergeCell ref="V28:Y28"/>
    <mergeCell ref="AD28:AE28"/>
    <mergeCell ref="AD25:AE26"/>
    <mergeCell ref="U25:U26"/>
    <mergeCell ref="V25:Y26"/>
    <mergeCell ref="Z25:Z26"/>
    <mergeCell ref="AA25:AA26"/>
    <mergeCell ref="AB25:AB26"/>
    <mergeCell ref="V27:Y27"/>
    <mergeCell ref="AC25:AC26"/>
    <mergeCell ref="B36:E36"/>
    <mergeCell ref="J36:K36"/>
    <mergeCell ref="N36:R36"/>
    <mergeCell ref="B27:E27"/>
    <mergeCell ref="B28:E28"/>
    <mergeCell ref="J27:K27"/>
    <mergeCell ref="B29:E29"/>
    <mergeCell ref="B30:E30"/>
    <mergeCell ref="N29:R29"/>
    <mergeCell ref="N30:R30"/>
    <mergeCell ref="B35:E35"/>
    <mergeCell ref="J35:K35"/>
    <mergeCell ref="N35:R35"/>
    <mergeCell ref="J31:K31"/>
    <mergeCell ref="J29:K29"/>
    <mergeCell ref="J32:K32"/>
    <mergeCell ref="N27:R27"/>
    <mergeCell ref="N24:O24"/>
    <mergeCell ref="N25:R26"/>
    <mergeCell ref="A1:K1"/>
    <mergeCell ref="A3:B3"/>
    <mergeCell ref="C3:F3"/>
    <mergeCell ref="A5:B5"/>
    <mergeCell ref="C5:F5"/>
    <mergeCell ref="C9:F9"/>
    <mergeCell ref="C14:F14"/>
    <mergeCell ref="C18:F18"/>
    <mergeCell ref="M25:M26"/>
    <mergeCell ref="J25:K26"/>
    <mergeCell ref="H25:H26"/>
    <mergeCell ref="F25:F26"/>
    <mergeCell ref="B25:E26"/>
    <mergeCell ref="A9:B9"/>
    <mergeCell ref="A25:A26"/>
    <mergeCell ref="G25:G26"/>
    <mergeCell ref="I25:I26"/>
    <mergeCell ref="L25:L26"/>
    <mergeCell ref="A20:M20"/>
    <mergeCell ref="A10:B10"/>
    <mergeCell ref="C10:F10"/>
    <mergeCell ref="A6:B6"/>
    <mergeCell ref="C6:F6"/>
    <mergeCell ref="A7:B7"/>
    <mergeCell ref="C7:F7"/>
    <mergeCell ref="A8:B8"/>
    <mergeCell ref="C8:F8"/>
    <mergeCell ref="B34:E34"/>
    <mergeCell ref="J34:K34"/>
    <mergeCell ref="N34:R34"/>
    <mergeCell ref="J28:K28"/>
    <mergeCell ref="N32:R32"/>
    <mergeCell ref="B31:E31"/>
    <mergeCell ref="B32:E32"/>
    <mergeCell ref="B33:E33"/>
    <mergeCell ref="J30:K30"/>
    <mergeCell ref="N28:R28"/>
    <mergeCell ref="N33:R33"/>
    <mergeCell ref="J33:K33"/>
    <mergeCell ref="N31:R31"/>
  </mergeCells>
  <phoneticPr fontId="29" type="noConversion"/>
  <conditionalFormatting sqref="A27:K36">
    <cfRule type="cellIs" dxfId="39" priority="5" operator="notEqual">
      <formula>U27</formula>
    </cfRule>
  </conditionalFormatting>
  <conditionalFormatting sqref="L27:L36">
    <cfRule type="cellIs" dxfId="38" priority="69" operator="notEqual">
      <formula>#REF!</formula>
    </cfRule>
  </conditionalFormatting>
  <dataValidations count="6">
    <dataValidation allowBlank="1" showInputMessage="1" showErrorMessage="1" sqref="Z27:AC36 U27:U36 A27:A36"/>
    <dataValidation type="list" allowBlank="1" showInputMessage="1" showErrorMessage="1" sqref="G14:H14 G18:H18">
      <formula1>"Select,N/A,1,2,3,4,5,6,7,8,9,10,11,12,13,14,15,16,17,18,19,20"</formula1>
    </dataValidation>
    <dataValidation type="list" allowBlank="1" showInputMessage="1" showErrorMessage="1" sqref="G6:H6">
      <formula1>"Select,Health Systems Strengthening,HIV/AIDS,HIV/TB,Integrated,Malaria,Tuberculosis"</formula1>
    </dataValidation>
    <dataValidation type="list" allowBlank="1" showInputMessage="1" showErrorMessage="1" sqref="G10:H10">
      <formula1>"Select,USD,EUR"</formula1>
    </dataValidation>
    <dataValidation type="list" allowBlank="1" showInputMessage="1" showErrorMessage="1" sqref="G12:H12 G16:H16">
      <formula1>"Select,1,2,3,4,5,6,7,8,9,10,11,12,13,14,15,16,17,18,19,20"</formula1>
    </dataValidation>
    <dataValidation type="list" allowBlank="1" showInputMessage="1" prompt="If &quot;Other&quot;, please specify" sqref="L27:L36">
      <formula1>"Select,Not Verified,Desk Review,Other ..."</formula1>
    </dataValidation>
  </dataValidations>
  <printOptions horizontalCentered="1"/>
  <pageMargins left="0.74803149606299213" right="0.74803149606299213" top="0.59055118110236227" bottom="0.59055118110236227" header="0.51181102362204722" footer="0.51181102362204722"/>
  <pageSetup paperSize="9" scale="40" fitToHeight="0" orientation="landscape" cellComments="asDisplayed" r:id="rId2"/>
  <headerFooter alignWithMargins="0">
    <oddFooter>&amp;L&amp;9&amp;F&amp;C&amp;A&amp;R&amp;9Page &amp;P of &amp;N</oddFooter>
  </headerFooter>
  <ignoredErrors>
    <ignoredError sqref="F12:F13 F16:F17 C18 D16:D17 C14 D12:D13 D5:F10 C5:C6 C8:C10" unlockedFormula="1"/>
  </ignoredErrors>
  <extLst>
    <ext xmlns:x14="http://schemas.microsoft.com/office/spreadsheetml/2009/9/main" uri="{78C0D931-6437-407d-A8EE-F0AAD7539E65}">
      <x14:conditionalFormattings>
        <x14:conditionalFormatting xmlns:xm="http://schemas.microsoft.com/office/excel/2006/main">
          <x14:cfRule type="cellIs" priority="2" operator="notEqual" id="{828EA4F9-30AA-45C0-A421-4E00B89D26C5}">
            <xm:f>'C:\Documents and Settings\NOsei\My Documents\ladder plans\2010-2011 wk files\Global Fund FY11\Action Aid Gambia 2011 VoI\[PUDR AAITG Quarter 4 Oct - Dec 2010 revised format March 2011 LFA comments.xlsx]LFA_Programmatic Progress_1A'!#REF!</xm:f>
            <x14:dxf>
              <fill>
                <patternFill>
                  <bgColor theme="9" tint="0.59996337778862885"/>
                </patternFill>
              </fill>
            </x14:dxf>
          </x14:cfRule>
          <xm:sqref>L27:L36</xm:sqref>
        </x14:conditionalFormatting>
        <x14:conditionalFormatting xmlns:xm="http://schemas.microsoft.com/office/excel/2006/main">
          <x14:cfRule type="cellIs" priority="1" operator="notEqual" id="{4DAB6BC2-55CA-4276-8B2E-AB86C5F4EEFB}">
            <xm:f>'C:\DOCUME~1\NOsei\LOCALS~1\Temp\notesE1EF34\[PUDR AAITG Quarter 4 VOIFeb2011LFA22.2.11draftminusEFR.xls]LFA_Programmatic Progress_1A'!#REF!</xm:f>
            <x14:dxf>
              <fill>
                <patternFill>
                  <bgColor theme="9" tint="0.59996337778862885"/>
                </patternFill>
              </fill>
            </x14:dxf>
          </x14:cfRule>
          <xm:sqref>L27:L33</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0"/>
    <pageSetUpPr fitToPage="1"/>
  </sheetPr>
  <dimension ref="A1:AI46"/>
  <sheetViews>
    <sheetView view="pageBreakPreview" topLeftCell="A16" zoomScale="70" zoomScaleNormal="40" zoomScaleSheetLayoutView="70" workbookViewId="0">
      <selection activeCell="A40" sqref="A40:T46"/>
    </sheetView>
  </sheetViews>
  <sheetFormatPr defaultRowHeight="12.75" x14ac:dyDescent="0.2"/>
  <cols>
    <col min="1" max="2" width="13.42578125" style="63" customWidth="1"/>
    <col min="3" max="3" width="19.5703125" style="63" customWidth="1"/>
    <col min="4" max="4" width="22.7109375" style="63" customWidth="1"/>
    <col min="5" max="5" width="14.85546875" style="63" customWidth="1"/>
    <col min="6" max="6" width="24" style="63" customWidth="1"/>
    <col min="7" max="7" width="16.7109375" style="568" customWidth="1"/>
    <col min="8" max="8" width="12.7109375" style="63" customWidth="1"/>
    <col min="9" max="9" width="19.5703125" style="63" customWidth="1"/>
    <col min="10" max="10" width="18.28515625" style="573" customWidth="1"/>
    <col min="11" max="11" width="21.42578125" style="63" bestFit="1" customWidth="1"/>
    <col min="12" max="12" width="21.140625" style="63" bestFit="1" customWidth="1"/>
    <col min="13" max="13" width="12.140625" style="63" customWidth="1"/>
    <col min="14" max="14" width="5.7109375" style="63" customWidth="1"/>
    <col min="15" max="15" width="17" style="1555" customWidth="1"/>
    <col min="16" max="16" width="20.140625" style="63" bestFit="1" customWidth="1"/>
    <col min="17" max="17" width="9.140625" style="63" customWidth="1"/>
    <col min="18" max="18" width="29.5703125" style="63" customWidth="1"/>
    <col min="19" max="20" width="9.140625" style="63" customWidth="1"/>
    <col min="21" max="21" width="17.7109375" style="63" customWidth="1"/>
    <col min="22" max="35" width="9.140625" style="63" hidden="1" customWidth="1"/>
    <col min="36" max="243" width="9.140625" style="63" customWidth="1"/>
    <col min="244" max="16384" width="9.140625" style="63"/>
  </cols>
  <sheetData>
    <row r="1" spans="1:34" s="3" customFormat="1" ht="25.5" customHeight="1" x14ac:dyDescent="0.35">
      <c r="A1" s="2114" t="s">
        <v>285</v>
      </c>
      <c r="B1" s="2114"/>
      <c r="C1" s="2114"/>
      <c r="D1" s="2114"/>
      <c r="E1" s="2114"/>
      <c r="F1" s="2114"/>
      <c r="G1" s="2114"/>
      <c r="H1" s="2114"/>
      <c r="I1" s="2114"/>
      <c r="J1" s="2114"/>
      <c r="K1" s="2114"/>
      <c r="L1" s="69"/>
      <c r="M1" s="69"/>
      <c r="N1" s="72"/>
      <c r="O1" s="1549"/>
      <c r="P1" s="72"/>
      <c r="Q1" s="72"/>
      <c r="R1" s="72"/>
      <c r="S1" s="72"/>
      <c r="T1" s="72"/>
      <c r="U1" s="72"/>
      <c r="V1" s="72"/>
      <c r="W1" s="72"/>
      <c r="X1" s="72"/>
      <c r="Y1" s="72"/>
    </row>
    <row r="2" spans="1:34" s="13" customFormat="1" ht="27" customHeight="1" thickBot="1" x14ac:dyDescent="0.3">
      <c r="A2" s="98" t="s">
        <v>156</v>
      </c>
      <c r="B2" s="72"/>
      <c r="C2" s="72"/>
      <c r="D2" s="72"/>
      <c r="E2" s="72"/>
      <c r="F2" s="72"/>
      <c r="G2" s="72"/>
      <c r="H2" s="72"/>
      <c r="I2" s="72"/>
      <c r="J2" s="428"/>
      <c r="K2" s="72"/>
      <c r="L2" s="72"/>
      <c r="M2" s="72"/>
      <c r="N2" s="72"/>
      <c r="O2" s="1549"/>
      <c r="P2" s="72"/>
      <c r="Q2" s="72"/>
      <c r="R2" s="72"/>
      <c r="S2" s="72"/>
      <c r="T2" s="72"/>
      <c r="U2" s="72"/>
      <c r="V2" s="72"/>
      <c r="W2" s="72"/>
      <c r="X2" s="72"/>
      <c r="Y2" s="72"/>
    </row>
    <row r="3" spans="1:34" s="4" customFormat="1" ht="25.5" customHeight="1" thickBot="1" x14ac:dyDescent="0.25">
      <c r="A3" s="1687" t="s">
        <v>70</v>
      </c>
      <c r="B3" s="2234"/>
      <c r="C3" s="2235"/>
      <c r="D3" s="470" t="str">
        <f>IF('LFA_Programmatic Progress_1A'!C7="","",'LFA_Programmatic Progress_1A'!C7)</f>
        <v>MNR-809-G04-H</v>
      </c>
      <c r="E3" s="471"/>
      <c r="F3" s="471"/>
      <c r="G3" s="472"/>
      <c r="H3" s="195"/>
      <c r="I3" s="200"/>
      <c r="J3" s="442"/>
      <c r="K3" s="73"/>
      <c r="L3" s="73"/>
      <c r="M3" s="73"/>
      <c r="N3" s="73"/>
      <c r="O3" s="1550"/>
      <c r="P3" s="73"/>
      <c r="Q3" s="73"/>
      <c r="R3" s="73"/>
      <c r="S3" s="73"/>
      <c r="T3" s="73"/>
      <c r="U3" s="73"/>
      <c r="V3" s="73"/>
      <c r="W3" s="73"/>
      <c r="X3" s="73"/>
      <c r="Y3" s="73"/>
    </row>
    <row r="4" spans="1:34" s="4" customFormat="1" ht="15" customHeight="1" x14ac:dyDescent="0.2">
      <c r="A4" s="1687" t="s">
        <v>277</v>
      </c>
      <c r="B4" s="2235"/>
      <c r="C4" s="2235"/>
      <c r="D4" s="53" t="s">
        <v>283</v>
      </c>
      <c r="E4" s="477" t="str">
        <f>IF('LFA_Programmatic Progress_1A'!D12="Select","",'LFA_Programmatic Progress_1A'!D12)</f>
        <v>Quarter</v>
      </c>
      <c r="F4" s="5" t="s">
        <v>284</v>
      </c>
      <c r="G4" s="47">
        <f>IF('LFA_Programmatic Progress_1A'!F12="Select","",'LFA_Programmatic Progress_1A'!F12)</f>
        <v>7</v>
      </c>
      <c r="H4" s="196"/>
      <c r="I4" s="171"/>
      <c r="K4" s="73"/>
      <c r="L4" s="73"/>
      <c r="M4" s="73"/>
      <c r="N4" s="73"/>
      <c r="O4" s="1550"/>
      <c r="P4" s="73"/>
      <c r="Q4" s="73"/>
      <c r="R4" s="73"/>
      <c r="S4" s="73"/>
      <c r="T4" s="73"/>
      <c r="U4" s="73"/>
      <c r="V4" s="73"/>
      <c r="W4" s="73"/>
      <c r="X4" s="73"/>
      <c r="Y4" s="73"/>
    </row>
    <row r="5" spans="1:34" s="4" customFormat="1" ht="15" customHeight="1" thickBot="1" x14ac:dyDescent="0.25">
      <c r="A5" s="2236" t="s">
        <v>278</v>
      </c>
      <c r="B5" s="2235"/>
      <c r="C5" s="2235"/>
      <c r="D5" s="54" t="s">
        <v>246</v>
      </c>
      <c r="E5" s="490">
        <f>IF('LFA_Programmatic Progress_1A'!D13="","",'LFA_Programmatic Progress_1A'!D13)</f>
        <v>40452</v>
      </c>
      <c r="F5" s="5" t="s">
        <v>264</v>
      </c>
      <c r="G5" s="491">
        <f>IF('LFA_Programmatic Progress_1A'!F13="","",'LFA_Programmatic Progress_1A'!F13)</f>
        <v>40543</v>
      </c>
      <c r="H5" s="197"/>
      <c r="I5" s="200"/>
      <c r="J5" s="443"/>
      <c r="K5" s="73"/>
      <c r="L5" s="73"/>
      <c r="M5" s="73"/>
      <c r="N5" s="73"/>
      <c r="O5" s="1550"/>
      <c r="P5" s="73"/>
      <c r="Q5" s="73"/>
      <c r="R5" s="73"/>
      <c r="S5" s="73"/>
      <c r="T5" s="73"/>
      <c r="U5" s="73"/>
      <c r="V5" s="73"/>
      <c r="W5" s="73"/>
      <c r="X5" s="73"/>
      <c r="Y5" s="73"/>
    </row>
    <row r="6" spans="1:34" s="4" customFormat="1" ht="15" customHeight="1" thickBot="1" x14ac:dyDescent="0.25">
      <c r="A6" s="2237" t="s">
        <v>279</v>
      </c>
      <c r="B6" s="2238"/>
      <c r="C6" s="2239"/>
      <c r="D6" s="467">
        <f>IF('LFA_Programmatic Progress_1A'!C14="Select","",'LFA_Programmatic Progress_1A'!C14)</f>
        <v>5</v>
      </c>
      <c r="E6" s="467"/>
      <c r="F6" s="467"/>
      <c r="G6" s="468"/>
      <c r="I6" s="199"/>
      <c r="J6" s="444"/>
      <c r="K6" s="73"/>
      <c r="L6" s="73"/>
      <c r="M6" s="73"/>
      <c r="N6" s="73"/>
      <c r="O6" s="1550"/>
      <c r="P6" s="73"/>
      <c r="Q6" s="73"/>
      <c r="R6" s="73"/>
      <c r="S6" s="73"/>
      <c r="T6" s="73"/>
      <c r="U6" s="73"/>
      <c r="V6" s="73"/>
      <c r="W6" s="73"/>
      <c r="X6" s="73"/>
      <c r="Y6" s="73"/>
    </row>
    <row r="7" spans="1:34" s="67" customFormat="1" ht="22.5" customHeight="1" x14ac:dyDescent="0.2">
      <c r="A7" s="2241"/>
      <c r="B7" s="2241"/>
      <c r="C7" s="2241"/>
      <c r="D7" s="2241"/>
      <c r="E7" s="2241"/>
      <c r="F7" s="2241"/>
      <c r="G7" s="2241"/>
      <c r="H7" s="2241"/>
      <c r="I7" s="2241"/>
      <c r="J7" s="2241"/>
      <c r="K7" s="2241"/>
      <c r="L7" s="2241"/>
      <c r="M7" s="68"/>
      <c r="O7" s="1551"/>
    </row>
    <row r="8" spans="1:34" s="67" customFormat="1" ht="39" customHeight="1" thickBot="1" x14ac:dyDescent="0.25">
      <c r="A8" s="2240" t="s">
        <v>535</v>
      </c>
      <c r="B8" s="2240"/>
      <c r="C8" s="2240"/>
      <c r="D8" s="2240"/>
      <c r="E8" s="2240"/>
      <c r="F8" s="2240"/>
      <c r="G8" s="2240"/>
      <c r="H8" s="2240"/>
      <c r="I8" s="2240"/>
      <c r="J8" s="2240"/>
      <c r="K8" s="2240"/>
      <c r="L8" s="2240"/>
      <c r="M8" s="2240"/>
      <c r="N8" s="2240"/>
      <c r="O8" s="2240"/>
      <c r="P8" s="2240"/>
      <c r="Q8" s="2240"/>
      <c r="R8" s="2240"/>
      <c r="S8" s="2240"/>
      <c r="T8" s="2240"/>
    </row>
    <row r="9" spans="1:34" s="13" customFormat="1" ht="21.75" customHeight="1" thickBot="1" x14ac:dyDescent="0.25">
      <c r="A9" s="2242" t="s">
        <v>529</v>
      </c>
      <c r="B9" s="2243"/>
      <c r="C9" s="2243"/>
      <c r="D9" s="2243"/>
      <c r="E9" s="2243"/>
      <c r="F9" s="2243"/>
      <c r="G9" s="2243"/>
      <c r="H9" s="2243"/>
      <c r="I9" s="2243"/>
      <c r="J9" s="2243"/>
      <c r="K9" s="2243"/>
      <c r="L9" s="2243"/>
      <c r="M9" s="2243"/>
      <c r="N9" s="2243"/>
      <c r="O9" s="2243"/>
      <c r="P9" s="2243"/>
      <c r="Q9" s="2243"/>
      <c r="R9" s="2243"/>
      <c r="S9" s="2243"/>
      <c r="T9" s="2244"/>
      <c r="U9" s="63"/>
      <c r="V9" s="63"/>
      <c r="W9" s="2242" t="s">
        <v>529</v>
      </c>
      <c r="X9" s="2243"/>
      <c r="Y9" s="2243"/>
      <c r="Z9" s="2243"/>
      <c r="AA9" s="2243"/>
      <c r="AB9" s="2243"/>
      <c r="AC9" s="2243"/>
      <c r="AD9" s="2243"/>
      <c r="AE9" s="2243"/>
      <c r="AF9" s="2243"/>
      <c r="AG9" s="2243"/>
      <c r="AH9" s="2244"/>
    </row>
    <row r="10" spans="1:34" s="13" customFormat="1" ht="12.75" customHeight="1" x14ac:dyDescent="0.2">
      <c r="A10" s="2245" t="s">
        <v>137</v>
      </c>
      <c r="B10" s="2247" t="s">
        <v>222</v>
      </c>
      <c r="C10" s="2255" t="s">
        <v>249</v>
      </c>
      <c r="D10" s="2255"/>
      <c r="E10" s="2256"/>
      <c r="F10" s="2256"/>
      <c r="G10" s="2256"/>
      <c r="H10" s="2247" t="s">
        <v>58</v>
      </c>
      <c r="I10" s="2247" t="s">
        <v>528</v>
      </c>
      <c r="J10" s="2247" t="s">
        <v>2</v>
      </c>
      <c r="K10" s="2247" t="s">
        <v>701</v>
      </c>
      <c r="L10" s="2247" t="s">
        <v>702</v>
      </c>
      <c r="M10" s="2247" t="s">
        <v>139</v>
      </c>
      <c r="N10" s="2259"/>
      <c r="O10" s="2253" t="s">
        <v>26</v>
      </c>
      <c r="P10" s="2180" t="s">
        <v>703</v>
      </c>
      <c r="Q10" s="2247" t="s">
        <v>704</v>
      </c>
      <c r="R10" s="2286"/>
      <c r="S10" s="2286"/>
      <c r="T10" s="2287"/>
      <c r="U10" s="63"/>
      <c r="V10" s="63"/>
      <c r="W10" s="2271" t="s">
        <v>137</v>
      </c>
      <c r="X10" s="2272" t="s">
        <v>222</v>
      </c>
      <c r="Y10" s="2274" t="s">
        <v>249</v>
      </c>
      <c r="Z10" s="2274"/>
      <c r="AA10" s="2275"/>
      <c r="AB10" s="2275"/>
      <c r="AC10" s="2275"/>
      <c r="AD10" s="2278" t="s">
        <v>58</v>
      </c>
      <c r="AE10" s="2272" t="s">
        <v>528</v>
      </c>
      <c r="AF10" s="2272" t="s">
        <v>2</v>
      </c>
      <c r="AG10" s="2278" t="s">
        <v>63</v>
      </c>
      <c r="AH10" s="2281" t="s">
        <v>447</v>
      </c>
    </row>
    <row r="11" spans="1:34" s="13" customFormat="1" ht="87.75" customHeight="1" thickBot="1" x14ac:dyDescent="0.25">
      <c r="A11" s="2246"/>
      <c r="B11" s="2248"/>
      <c r="C11" s="2257"/>
      <c r="D11" s="2257"/>
      <c r="E11" s="2258"/>
      <c r="F11" s="2258"/>
      <c r="G11" s="2258"/>
      <c r="H11" s="2252"/>
      <c r="I11" s="2261"/>
      <c r="J11" s="2261"/>
      <c r="K11" s="2252"/>
      <c r="L11" s="2252"/>
      <c r="M11" s="2252"/>
      <c r="N11" s="2252"/>
      <c r="O11" s="2254"/>
      <c r="P11" s="2260"/>
      <c r="Q11" s="2288"/>
      <c r="R11" s="2288"/>
      <c r="S11" s="2288"/>
      <c r="T11" s="2289"/>
      <c r="U11" s="63"/>
      <c r="V11" s="63"/>
      <c r="W11" s="1694"/>
      <c r="X11" s="2273"/>
      <c r="Y11" s="2276"/>
      <c r="Z11" s="2276"/>
      <c r="AA11" s="2277"/>
      <c r="AB11" s="2277"/>
      <c r="AC11" s="2277"/>
      <c r="AD11" s="2279"/>
      <c r="AE11" s="2280"/>
      <c r="AF11" s="2280"/>
      <c r="AG11" s="2279"/>
      <c r="AH11" s="2282"/>
    </row>
    <row r="12" spans="1:34" s="13" customFormat="1" ht="230.25" customHeight="1" x14ac:dyDescent="0.2">
      <c r="A12" s="1526" t="e">
        <f>W12</f>
        <v>#REF!</v>
      </c>
      <c r="B12" s="1527" t="e">
        <f>X12</f>
        <v>#REF!</v>
      </c>
      <c r="C12" s="2264" t="e">
        <f>Y12</f>
        <v>#REF!</v>
      </c>
      <c r="D12" s="2264"/>
      <c r="E12" s="2265"/>
      <c r="F12" s="2265"/>
      <c r="G12" s="2265"/>
      <c r="H12" s="1362" t="e">
        <f>AD12</f>
        <v>#REF!</v>
      </c>
      <c r="I12" s="1362" t="e">
        <f t="shared" ref="I12:L27" si="0">AE12</f>
        <v>#REF!</v>
      </c>
      <c r="J12" s="1362" t="e">
        <f t="shared" si="0"/>
        <v>#REF!</v>
      </c>
      <c r="K12" s="1528" t="e">
        <f t="shared" si="0"/>
        <v>#REF!</v>
      </c>
      <c r="L12" s="1529" t="e">
        <f t="shared" si="0"/>
        <v>#REF!</v>
      </c>
      <c r="M12" s="2262" t="s">
        <v>677</v>
      </c>
      <c r="N12" s="2263"/>
      <c r="O12" s="1547">
        <v>62104</v>
      </c>
      <c r="P12" s="1360">
        <v>1.06</v>
      </c>
      <c r="Q12" s="2249" t="s">
        <v>678</v>
      </c>
      <c r="R12" s="2250"/>
      <c r="S12" s="2250"/>
      <c r="T12" s="2251"/>
      <c r="U12" s="1366"/>
      <c r="V12" s="63"/>
      <c r="W12" s="569" t="e">
        <f>IF('PR_Programmatic Progress_1B'!#REF!="","",'PR_Programmatic Progress_1B'!#REF!)</f>
        <v>#REF!</v>
      </c>
      <c r="X12" s="570" t="e">
        <f>IF('PR_Programmatic Progress_1B'!#REF!="","",'PR_Programmatic Progress_1B'!#REF!)</f>
        <v>#REF!</v>
      </c>
      <c r="Y12" s="2269" t="e">
        <f>IF('PR_Programmatic Progress_1B'!#REF!="","",'PR_Programmatic Progress_1B'!#REF!)</f>
        <v>#REF!</v>
      </c>
      <c r="Z12" s="2269"/>
      <c r="AA12" s="2270"/>
      <c r="AB12" s="2270"/>
      <c r="AC12" s="2270"/>
      <c r="AD12" s="1025" t="e">
        <f>IF('PR_Programmatic Progress_1B'!#REF!="","",'PR_Programmatic Progress_1B'!#REF!)</f>
        <v>#REF!</v>
      </c>
      <c r="AE12" s="1025" t="e">
        <f>IF('PR_Programmatic Progress_1B'!#REF!="","",'PR_Programmatic Progress_1B'!#REF!)</f>
        <v>#REF!</v>
      </c>
      <c r="AF12" s="1025" t="e">
        <f>IF('PR_Programmatic Progress_1B'!#REF!="","",'PR_Programmatic Progress_1B'!#REF!)</f>
        <v>#REF!</v>
      </c>
      <c r="AG12" s="1025" t="e">
        <f>IF('PR_Programmatic Progress_1B'!#REF!="","",'PR_Programmatic Progress_1B'!#REF!)</f>
        <v>#REF!</v>
      </c>
      <c r="AH12" s="1046" t="e">
        <f>IF('PR_Programmatic Progress_1B'!#REF!="","",'PR_Programmatic Progress_1B'!#REF!)</f>
        <v>#REF!</v>
      </c>
    </row>
    <row r="13" spans="1:34" s="13" customFormat="1" ht="234.75" customHeight="1" x14ac:dyDescent="0.2">
      <c r="A13" s="1530">
        <f t="shared" ref="A13:A37" si="1">W13</f>
        <v>1</v>
      </c>
      <c r="B13" s="1531">
        <f t="shared" ref="B13:B37" si="2">X13</f>
        <v>1.2</v>
      </c>
      <c r="C13" s="2213" t="str">
        <f t="shared" ref="C13:C37" si="3">Y13</f>
        <v>Number of commercial sex workers reached with prevention interventions</v>
      </c>
      <c r="D13" s="2214"/>
      <c r="E13" s="2214"/>
      <c r="F13" s="2214"/>
      <c r="G13" s="2215"/>
      <c r="H13" s="1362" t="str">
        <f t="shared" ref="H13:J37" si="4">AD13</f>
        <v>GF</v>
      </c>
      <c r="I13" s="1362" t="str">
        <f t="shared" si="0"/>
        <v>Y-cumulative annually</v>
      </c>
      <c r="J13" s="1362" t="str">
        <f t="shared" si="0"/>
        <v>Yes - Top 10</v>
      </c>
      <c r="K13" s="1528">
        <f t="shared" si="0"/>
        <v>225</v>
      </c>
      <c r="L13" s="1532">
        <f t="shared" ref="L13:L37" si="5">AH13</f>
        <v>100</v>
      </c>
      <c r="M13" s="2219" t="s">
        <v>677</v>
      </c>
      <c r="N13" s="2220"/>
      <c r="O13" s="1552">
        <v>15234</v>
      </c>
      <c r="P13" s="1361" t="s">
        <v>679</v>
      </c>
      <c r="Q13" s="2283" t="s">
        <v>712</v>
      </c>
      <c r="R13" s="2284"/>
      <c r="S13" s="2284"/>
      <c r="T13" s="2285"/>
      <c r="U13" s="63"/>
      <c r="V13" s="63"/>
      <c r="W13" s="571">
        <f>IF('PR_Programmatic Progress_1B'!A12="","",'PR_Programmatic Progress_1B'!A12)</f>
        <v>1</v>
      </c>
      <c r="X13" s="572">
        <f>IF('PR_Programmatic Progress_1B'!B12="","",'PR_Programmatic Progress_1B'!B12)</f>
        <v>1.2</v>
      </c>
      <c r="Y13" s="2221" t="str">
        <f>IF('PR_Programmatic Progress_1B'!C12="","",'PR_Programmatic Progress_1B'!C12)</f>
        <v>Number of commercial sex workers reached with prevention interventions</v>
      </c>
      <c r="Z13" s="2222"/>
      <c r="AA13" s="2222"/>
      <c r="AB13" s="2222"/>
      <c r="AC13" s="2223"/>
      <c r="AD13" s="1025" t="str">
        <f>IF('PR_Programmatic Progress_1B'!G12="","",'PR_Programmatic Progress_1B'!G12)</f>
        <v>GF</v>
      </c>
      <c r="AE13" s="1025" t="str">
        <f>IF('PR_Programmatic Progress_1B'!H12="","",'PR_Programmatic Progress_1B'!H12)</f>
        <v>Y-cumulative annually</v>
      </c>
      <c r="AF13" s="1025" t="str">
        <f>IF('PR_Programmatic Progress_1B'!I12="","",'PR_Programmatic Progress_1B'!I12)</f>
        <v>Yes - Top 10</v>
      </c>
      <c r="AG13" s="1025">
        <f>IF('PR_Programmatic Progress_1B'!L12="","",'PR_Programmatic Progress_1B'!L12)</f>
        <v>225</v>
      </c>
      <c r="AH13" s="1047">
        <f>IF('PR_Programmatic Progress_1B'!M12="","",'PR_Programmatic Progress_1B'!M12)</f>
        <v>100</v>
      </c>
    </row>
    <row r="14" spans="1:34" s="13" customFormat="1" ht="251.25" customHeight="1" x14ac:dyDescent="0.2">
      <c r="A14" s="1530">
        <f t="shared" si="1"/>
        <v>1</v>
      </c>
      <c r="B14" s="1531">
        <f t="shared" si="2"/>
        <v>1.3</v>
      </c>
      <c r="C14" s="2266" t="str">
        <f t="shared" si="3"/>
        <v>Number of medical (doctors and nurses) and non-medical staff (psychologists, social assistants, peer consultants) trained in HIV/AIDS</v>
      </c>
      <c r="D14" s="2267"/>
      <c r="E14" s="2267"/>
      <c r="F14" s="2267"/>
      <c r="G14" s="2268"/>
      <c r="H14" s="1362" t="str">
        <f t="shared" si="4"/>
        <v>GF</v>
      </c>
      <c r="I14" s="1362" t="str">
        <f t="shared" si="0"/>
        <v>Y-over program term</v>
      </c>
      <c r="J14" s="1362" t="str">
        <f t="shared" si="0"/>
        <v>Yes - Top 10</v>
      </c>
      <c r="K14" s="1528">
        <f t="shared" si="0"/>
        <v>400</v>
      </c>
      <c r="L14" s="1532">
        <f t="shared" si="5"/>
        <v>594</v>
      </c>
      <c r="M14" s="2219" t="s">
        <v>677</v>
      </c>
      <c r="N14" s="2220"/>
      <c r="O14" s="1548">
        <v>125</v>
      </c>
      <c r="P14" s="1363">
        <v>1</v>
      </c>
      <c r="Q14" s="2216" t="s">
        <v>711</v>
      </c>
      <c r="R14" s="2217"/>
      <c r="S14" s="2217"/>
      <c r="T14" s="2218"/>
      <c r="U14" s="63"/>
      <c r="V14" s="63"/>
      <c r="W14" s="571">
        <f>IF('PR_Programmatic Progress_1B'!A13="","",'PR_Programmatic Progress_1B'!A13)</f>
        <v>1</v>
      </c>
      <c r="X14" s="572">
        <f>IF('PR_Programmatic Progress_1B'!B13="","",'PR_Programmatic Progress_1B'!B13)</f>
        <v>1.3</v>
      </c>
      <c r="Y14" s="2221" t="str">
        <f>IF('PR_Programmatic Progress_1B'!C13="","",'PR_Programmatic Progress_1B'!C13)</f>
        <v>Number of medical (doctors and nurses) and non-medical staff (psychologists, social assistants, peer consultants) trained in HIV/AIDS</v>
      </c>
      <c r="Z14" s="2222"/>
      <c r="AA14" s="2222"/>
      <c r="AB14" s="2222"/>
      <c r="AC14" s="2223"/>
      <c r="AD14" s="1025" t="str">
        <f>IF('PR_Programmatic Progress_1B'!G13="","",'PR_Programmatic Progress_1B'!G13)</f>
        <v>GF</v>
      </c>
      <c r="AE14" s="1025" t="str">
        <f>IF('PR_Programmatic Progress_1B'!H13="","",'PR_Programmatic Progress_1B'!H13)</f>
        <v>Y-over program term</v>
      </c>
      <c r="AF14" s="1025" t="str">
        <f>IF('PR_Programmatic Progress_1B'!I13="","",'PR_Programmatic Progress_1B'!I13)</f>
        <v>Yes - Top 10</v>
      </c>
      <c r="AG14" s="1025">
        <f>IF('PR_Programmatic Progress_1B'!L13="","",'PR_Programmatic Progress_1B'!L13)</f>
        <v>400</v>
      </c>
      <c r="AH14" s="1047">
        <f>IF('PR_Programmatic Progress_1B'!M13="","",'PR_Programmatic Progress_1B'!M13)</f>
        <v>594</v>
      </c>
    </row>
    <row r="15" spans="1:34" s="13" customFormat="1" ht="159" customHeight="1" x14ac:dyDescent="0.2">
      <c r="A15" s="1530">
        <f t="shared" si="1"/>
        <v>1</v>
      </c>
      <c r="B15" s="1531">
        <f t="shared" si="2"/>
        <v>1.4</v>
      </c>
      <c r="C15" s="2266" t="str">
        <f t="shared" si="3"/>
        <v>Number of IDUs on opioid substitution therapy</v>
      </c>
      <c r="D15" s="2267"/>
      <c r="E15" s="2267"/>
      <c r="F15" s="2267"/>
      <c r="G15" s="2268"/>
      <c r="H15" s="1362" t="str">
        <f t="shared" si="4"/>
        <v>GF</v>
      </c>
      <c r="I15" s="1362" t="str">
        <f t="shared" si="0"/>
        <v>Y-over program term</v>
      </c>
      <c r="J15" s="1362" t="str">
        <f t="shared" si="0"/>
        <v>Yes - Top 10</v>
      </c>
      <c r="K15" s="1528">
        <f t="shared" si="0"/>
        <v>100</v>
      </c>
      <c r="L15" s="1532">
        <f t="shared" si="5"/>
        <v>0</v>
      </c>
      <c r="M15" s="2219" t="s">
        <v>677</v>
      </c>
      <c r="N15" s="2220"/>
      <c r="O15" s="1548">
        <v>1255</v>
      </c>
      <c r="P15" s="1363" t="s">
        <v>680</v>
      </c>
      <c r="Q15" s="2216" t="s">
        <v>681</v>
      </c>
      <c r="R15" s="2217"/>
      <c r="S15" s="2217"/>
      <c r="T15" s="2218"/>
      <c r="U15" s="1367"/>
      <c r="V15" s="63"/>
      <c r="W15" s="571">
        <f>IF('PR_Programmatic Progress_1B'!A14="","",'PR_Programmatic Progress_1B'!A14)</f>
        <v>1</v>
      </c>
      <c r="X15" s="572">
        <f>IF('PR_Programmatic Progress_1B'!B14="","",'PR_Programmatic Progress_1B'!B14)</f>
        <v>1.4</v>
      </c>
      <c r="Y15" s="2221" t="str">
        <f>IF('PR_Programmatic Progress_1B'!C14="","",'PR_Programmatic Progress_1B'!C14)</f>
        <v>Number of IDUs on opioid substitution therapy</v>
      </c>
      <c r="Z15" s="2222"/>
      <c r="AA15" s="2222"/>
      <c r="AB15" s="2222"/>
      <c r="AC15" s="2223"/>
      <c r="AD15" s="1025" t="str">
        <f>IF('PR_Programmatic Progress_1B'!G14="","",'PR_Programmatic Progress_1B'!G14)</f>
        <v>GF</v>
      </c>
      <c r="AE15" s="1025" t="str">
        <f>IF('PR_Programmatic Progress_1B'!H14="","",'PR_Programmatic Progress_1B'!H14)</f>
        <v>Y-over program term</v>
      </c>
      <c r="AF15" s="1025" t="str">
        <f>IF('PR_Programmatic Progress_1B'!I14="","",'PR_Programmatic Progress_1B'!I14)</f>
        <v>Yes - Top 10</v>
      </c>
      <c r="AG15" s="1025">
        <f>IF('PR_Programmatic Progress_1B'!L14="","",'PR_Programmatic Progress_1B'!L14)</f>
        <v>100</v>
      </c>
      <c r="AH15" s="1047">
        <f>IF('PR_Programmatic Progress_1B'!M14="","",'PR_Programmatic Progress_1B'!M14)</f>
        <v>0</v>
      </c>
    </row>
    <row r="16" spans="1:34" s="13" customFormat="1" ht="360.75" customHeight="1" x14ac:dyDescent="0.2">
      <c r="A16" s="1530" t="e">
        <f t="shared" si="1"/>
        <v>#REF!</v>
      </c>
      <c r="B16" s="1531" t="e">
        <f t="shared" si="2"/>
        <v>#REF!</v>
      </c>
      <c r="C16" s="2213" t="e">
        <f t="shared" si="3"/>
        <v>#REF!</v>
      </c>
      <c r="D16" s="2214"/>
      <c r="E16" s="2214"/>
      <c r="F16" s="2214"/>
      <c r="G16" s="2215"/>
      <c r="H16" s="1362" t="e">
        <f t="shared" si="4"/>
        <v>#REF!</v>
      </c>
      <c r="I16" s="1362" t="e">
        <f t="shared" si="0"/>
        <v>#REF!</v>
      </c>
      <c r="J16" s="1362" t="e">
        <f t="shared" si="0"/>
        <v>#REF!</v>
      </c>
      <c r="K16" s="1528" t="e">
        <f t="shared" si="0"/>
        <v>#REF!</v>
      </c>
      <c r="L16" s="1532" t="e">
        <f t="shared" si="5"/>
        <v>#REF!</v>
      </c>
      <c r="M16" s="2219" t="s">
        <v>677</v>
      </c>
      <c r="N16" s="2220"/>
      <c r="O16" s="1548">
        <v>398807</v>
      </c>
      <c r="P16" s="1363">
        <v>0.8</v>
      </c>
      <c r="Q16" s="2216" t="s">
        <v>721</v>
      </c>
      <c r="R16" s="2217"/>
      <c r="S16" s="2217"/>
      <c r="T16" s="2218"/>
      <c r="U16" s="1368"/>
      <c r="V16" s="63"/>
      <c r="W16" s="571" t="e">
        <f>IF('PR_Programmatic Progress_1B'!#REF!="","",'PR_Programmatic Progress_1B'!#REF!)</f>
        <v>#REF!</v>
      </c>
      <c r="X16" s="572" t="e">
        <f>IF('PR_Programmatic Progress_1B'!#REF!="","",'PR_Programmatic Progress_1B'!#REF!)</f>
        <v>#REF!</v>
      </c>
      <c r="Y16" s="2221" t="e">
        <f>IF('PR_Programmatic Progress_1B'!#REF!="","",'PR_Programmatic Progress_1B'!#REF!)</f>
        <v>#REF!</v>
      </c>
      <c r="Z16" s="2222"/>
      <c r="AA16" s="2222"/>
      <c r="AB16" s="2222"/>
      <c r="AC16" s="2223"/>
      <c r="AD16" s="1025" t="e">
        <f>IF('PR_Programmatic Progress_1B'!#REF!="","",'PR_Programmatic Progress_1B'!#REF!)</f>
        <v>#REF!</v>
      </c>
      <c r="AE16" s="1025" t="e">
        <f>IF('PR_Programmatic Progress_1B'!#REF!="","",'PR_Programmatic Progress_1B'!#REF!)</f>
        <v>#REF!</v>
      </c>
      <c r="AF16" s="1025" t="e">
        <f>IF('PR_Programmatic Progress_1B'!#REF!="","",'PR_Programmatic Progress_1B'!#REF!)</f>
        <v>#REF!</v>
      </c>
      <c r="AG16" s="1025" t="e">
        <f>IF('PR_Programmatic Progress_1B'!#REF!="","",'PR_Programmatic Progress_1B'!#REF!)</f>
        <v>#REF!</v>
      </c>
      <c r="AH16" s="1047" t="e">
        <f>IF('PR_Programmatic Progress_1B'!#REF!="","",'PR_Programmatic Progress_1B'!#REF!)</f>
        <v>#REF!</v>
      </c>
    </row>
    <row r="17" spans="1:34" s="13" customFormat="1" ht="231" customHeight="1" x14ac:dyDescent="0.2">
      <c r="A17" s="1530" t="str">
        <f t="shared" si="1"/>
        <v/>
      </c>
      <c r="B17" s="1531" t="str">
        <f t="shared" si="2"/>
        <v/>
      </c>
      <c r="C17" s="2213" t="str">
        <f t="shared" si="3"/>
        <v/>
      </c>
      <c r="D17" s="2214"/>
      <c r="E17" s="2214"/>
      <c r="F17" s="2214"/>
      <c r="G17" s="2215"/>
      <c r="H17" s="1362" t="str">
        <f t="shared" si="4"/>
        <v/>
      </c>
      <c r="I17" s="1362" t="str">
        <f t="shared" si="0"/>
        <v/>
      </c>
      <c r="J17" s="1362" t="str">
        <f t="shared" si="0"/>
        <v/>
      </c>
      <c r="K17" s="1528" t="str">
        <f t="shared" ref="K17:K37" si="6">AG17</f>
        <v/>
      </c>
      <c r="L17" s="1532" t="str">
        <f t="shared" si="5"/>
        <v/>
      </c>
      <c r="M17" s="2219" t="s">
        <v>674</v>
      </c>
      <c r="N17" s="2220"/>
      <c r="O17" s="1548">
        <v>396</v>
      </c>
      <c r="P17" s="1363">
        <v>0.18</v>
      </c>
      <c r="Q17" s="2216" t="s">
        <v>723</v>
      </c>
      <c r="R17" s="2217"/>
      <c r="S17" s="2217"/>
      <c r="T17" s="2218"/>
      <c r="U17" s="63"/>
      <c r="V17" s="63"/>
      <c r="W17" s="571" t="str">
        <f>IF('PR_Programmatic Progress_1B'!A16="","",'PR_Programmatic Progress_1B'!A16)</f>
        <v/>
      </c>
      <c r="X17" s="572" t="str">
        <f>IF('PR_Programmatic Progress_1B'!B16="","",'PR_Programmatic Progress_1B'!B16)</f>
        <v/>
      </c>
      <c r="Y17" s="2221" t="str">
        <f>IF('PR_Programmatic Progress_1B'!C16="","",'PR_Programmatic Progress_1B'!C16)</f>
        <v/>
      </c>
      <c r="Z17" s="2222"/>
      <c r="AA17" s="2222"/>
      <c r="AB17" s="2222"/>
      <c r="AC17" s="2223"/>
      <c r="AD17" s="1025" t="str">
        <f>IF('PR_Programmatic Progress_1B'!G16="","",'PR_Programmatic Progress_1B'!G16)</f>
        <v/>
      </c>
      <c r="AE17" s="1025" t="str">
        <f>IF('PR_Programmatic Progress_1B'!H16="","",'PR_Programmatic Progress_1B'!H16)</f>
        <v/>
      </c>
      <c r="AF17" s="1025" t="str">
        <f>IF('PR_Programmatic Progress_1B'!I16="","",'PR_Programmatic Progress_1B'!I16)</f>
        <v/>
      </c>
      <c r="AG17" s="1025" t="str">
        <f>IF('PR_Programmatic Progress_1B'!L16="","",'PR_Programmatic Progress_1B'!L16)</f>
        <v/>
      </c>
      <c r="AH17" s="1047" t="str">
        <f>IF('PR_Programmatic Progress_1B'!M16="","",'PR_Programmatic Progress_1B'!M16)</f>
        <v/>
      </c>
    </row>
    <row r="18" spans="1:34" s="13" customFormat="1" ht="311.25" customHeight="1" x14ac:dyDescent="0.2">
      <c r="A18" s="1530" t="str">
        <f t="shared" si="1"/>
        <v/>
      </c>
      <c r="B18" s="1531" t="str">
        <f t="shared" si="2"/>
        <v/>
      </c>
      <c r="C18" s="2213" t="str">
        <f t="shared" si="3"/>
        <v/>
      </c>
      <c r="D18" s="2214"/>
      <c r="E18" s="2214"/>
      <c r="F18" s="2214"/>
      <c r="G18" s="2215"/>
      <c r="H18" s="1362" t="str">
        <f t="shared" si="4"/>
        <v/>
      </c>
      <c r="I18" s="1362" t="str">
        <f t="shared" si="0"/>
        <v/>
      </c>
      <c r="J18" s="1362" t="str">
        <f t="shared" si="0"/>
        <v/>
      </c>
      <c r="K18" s="1528" t="str">
        <f t="shared" si="6"/>
        <v/>
      </c>
      <c r="L18" s="1532" t="str">
        <f t="shared" si="5"/>
        <v/>
      </c>
      <c r="M18" s="2219" t="s">
        <v>674</v>
      </c>
      <c r="N18" s="2220"/>
      <c r="O18" s="1553">
        <v>3221</v>
      </c>
      <c r="P18" s="1363">
        <v>0.99</v>
      </c>
      <c r="Q18" s="2216" t="s">
        <v>722</v>
      </c>
      <c r="R18" s="2217"/>
      <c r="S18" s="2217"/>
      <c r="T18" s="2218"/>
      <c r="U18" s="63"/>
      <c r="V18" s="63"/>
      <c r="W18" s="571" t="str">
        <f>IF('PR_Programmatic Progress_1B'!A17="","",'PR_Programmatic Progress_1B'!A17)</f>
        <v/>
      </c>
      <c r="X18" s="572" t="str">
        <f>IF('PR_Programmatic Progress_1B'!B17="","",'PR_Programmatic Progress_1B'!B17)</f>
        <v/>
      </c>
      <c r="Y18" s="2221" t="str">
        <f>IF('PR_Programmatic Progress_1B'!C17="","",'PR_Programmatic Progress_1B'!C17)</f>
        <v/>
      </c>
      <c r="Z18" s="2222"/>
      <c r="AA18" s="2222"/>
      <c r="AB18" s="2222"/>
      <c r="AC18" s="2223"/>
      <c r="AD18" s="1025" t="str">
        <f>IF('PR_Programmatic Progress_1B'!G17="","",'PR_Programmatic Progress_1B'!G17)</f>
        <v/>
      </c>
      <c r="AE18" s="1025" t="str">
        <f>IF('PR_Programmatic Progress_1B'!H17="","",'PR_Programmatic Progress_1B'!H17)</f>
        <v/>
      </c>
      <c r="AF18" s="1025" t="str">
        <f>IF('PR_Programmatic Progress_1B'!I17="","",'PR_Programmatic Progress_1B'!I17)</f>
        <v/>
      </c>
      <c r="AG18" s="1025" t="str">
        <f>IF('PR_Programmatic Progress_1B'!L17="","",'PR_Programmatic Progress_1B'!L17)</f>
        <v/>
      </c>
      <c r="AH18" s="1047" t="str">
        <f>IF('PR_Programmatic Progress_1B'!M17="","",'PR_Programmatic Progress_1B'!M17)</f>
        <v/>
      </c>
    </row>
    <row r="19" spans="1:34" s="13" customFormat="1" ht="63.75" customHeight="1" x14ac:dyDescent="0.2">
      <c r="A19" s="1530" t="str">
        <f t="shared" si="1"/>
        <v/>
      </c>
      <c r="B19" s="1531" t="str">
        <f t="shared" si="2"/>
        <v/>
      </c>
      <c r="C19" s="2213" t="str">
        <f t="shared" si="3"/>
        <v/>
      </c>
      <c r="D19" s="2214"/>
      <c r="E19" s="2214"/>
      <c r="F19" s="2214"/>
      <c r="G19" s="2215"/>
      <c r="H19" s="1362" t="str">
        <f t="shared" si="4"/>
        <v>Select</v>
      </c>
      <c r="I19" s="1362" t="str">
        <f t="shared" si="0"/>
        <v>Select</v>
      </c>
      <c r="J19" s="1362" t="str">
        <f t="shared" si="0"/>
        <v>Select</v>
      </c>
      <c r="K19" s="1528" t="str">
        <f t="shared" si="6"/>
        <v>-</v>
      </c>
      <c r="L19" s="1532" t="str">
        <f t="shared" si="5"/>
        <v>-</v>
      </c>
      <c r="M19" s="2219"/>
      <c r="N19" s="2220"/>
      <c r="O19" s="1553"/>
      <c r="P19" s="1363"/>
      <c r="Q19" s="2216"/>
      <c r="R19" s="2217"/>
      <c r="S19" s="2217"/>
      <c r="T19" s="2218"/>
      <c r="U19" s="63"/>
      <c r="V19" s="63"/>
      <c r="W19" s="571" t="str">
        <f>IF('PR_Programmatic Progress_1B'!A18="","",'PR_Programmatic Progress_1B'!A18)</f>
        <v/>
      </c>
      <c r="X19" s="572" t="str">
        <f>IF('PR_Programmatic Progress_1B'!B18="","",'PR_Programmatic Progress_1B'!B18)</f>
        <v/>
      </c>
      <c r="Y19" s="2221" t="str">
        <f>IF('PR_Programmatic Progress_1B'!C18="","",'PR_Programmatic Progress_1B'!C18)</f>
        <v/>
      </c>
      <c r="Z19" s="2222"/>
      <c r="AA19" s="2222"/>
      <c r="AB19" s="2222"/>
      <c r="AC19" s="2223"/>
      <c r="AD19" s="1025" t="str">
        <f>IF('PR_Programmatic Progress_1B'!G18="","",'PR_Programmatic Progress_1B'!G18)</f>
        <v>Select</v>
      </c>
      <c r="AE19" s="1025" t="str">
        <f>IF('PR_Programmatic Progress_1B'!H18="","",'PR_Programmatic Progress_1B'!H18)</f>
        <v>Select</v>
      </c>
      <c r="AF19" s="1025" t="str">
        <f>IF('PR_Programmatic Progress_1B'!I18="","",'PR_Programmatic Progress_1B'!I18)</f>
        <v>Select</v>
      </c>
      <c r="AG19" s="1025" t="str">
        <f>IF('PR_Programmatic Progress_1B'!L18="","",'PR_Programmatic Progress_1B'!L18)</f>
        <v>-</v>
      </c>
      <c r="AH19" s="1047" t="str">
        <f>IF('PR_Programmatic Progress_1B'!M18="","",'PR_Programmatic Progress_1B'!M18)</f>
        <v>-</v>
      </c>
    </row>
    <row r="20" spans="1:34" s="13" customFormat="1" ht="63.75" customHeight="1" x14ac:dyDescent="0.2">
      <c r="A20" s="1530" t="str">
        <f t="shared" si="1"/>
        <v/>
      </c>
      <c r="B20" s="1531" t="str">
        <f t="shared" si="2"/>
        <v/>
      </c>
      <c r="C20" s="2213" t="str">
        <f t="shared" si="3"/>
        <v/>
      </c>
      <c r="D20" s="2214"/>
      <c r="E20" s="2214"/>
      <c r="F20" s="2214"/>
      <c r="G20" s="2215"/>
      <c r="H20" s="1362" t="str">
        <f t="shared" si="4"/>
        <v>Select</v>
      </c>
      <c r="I20" s="1362" t="str">
        <f t="shared" si="0"/>
        <v>Select</v>
      </c>
      <c r="J20" s="1362" t="str">
        <f t="shared" si="0"/>
        <v>Select</v>
      </c>
      <c r="K20" s="1528" t="str">
        <f t="shared" si="6"/>
        <v>-</v>
      </c>
      <c r="L20" s="1532" t="str">
        <f t="shared" si="5"/>
        <v>-</v>
      </c>
      <c r="M20" s="2219"/>
      <c r="N20" s="2220"/>
      <c r="O20" s="1553"/>
      <c r="P20" s="1363"/>
      <c r="Q20" s="2216"/>
      <c r="R20" s="2217"/>
      <c r="S20" s="2217"/>
      <c r="T20" s="2218"/>
      <c r="U20" s="63"/>
      <c r="V20" s="63"/>
      <c r="W20" s="571" t="str">
        <f>IF('PR_Programmatic Progress_1B'!A19="","",'PR_Programmatic Progress_1B'!A19)</f>
        <v/>
      </c>
      <c r="X20" s="572" t="str">
        <f>IF('PR_Programmatic Progress_1B'!B19="","",'PR_Programmatic Progress_1B'!B19)</f>
        <v/>
      </c>
      <c r="Y20" s="2221" t="str">
        <f>IF('PR_Programmatic Progress_1B'!C19="","",'PR_Programmatic Progress_1B'!C19)</f>
        <v/>
      </c>
      <c r="Z20" s="2222"/>
      <c r="AA20" s="2222"/>
      <c r="AB20" s="2222"/>
      <c r="AC20" s="2223"/>
      <c r="AD20" s="1025" t="str">
        <f>IF('PR_Programmatic Progress_1B'!G19="","",'PR_Programmatic Progress_1B'!G19)</f>
        <v>Select</v>
      </c>
      <c r="AE20" s="1025" t="str">
        <f>IF('PR_Programmatic Progress_1B'!H19="","",'PR_Programmatic Progress_1B'!H19)</f>
        <v>Select</v>
      </c>
      <c r="AF20" s="1025" t="str">
        <f>IF('PR_Programmatic Progress_1B'!I19="","",'PR_Programmatic Progress_1B'!I19)</f>
        <v>Select</v>
      </c>
      <c r="AG20" s="1025" t="str">
        <f>IF('PR_Programmatic Progress_1B'!L19="","",'PR_Programmatic Progress_1B'!L19)</f>
        <v>-</v>
      </c>
      <c r="AH20" s="1047" t="str">
        <f>IF('PR_Programmatic Progress_1B'!M19="","",'PR_Programmatic Progress_1B'!M19)</f>
        <v>-</v>
      </c>
    </row>
    <row r="21" spans="1:34" s="13" customFormat="1" ht="63.75" customHeight="1" x14ac:dyDescent="0.2">
      <c r="A21" s="1530" t="e">
        <f t="shared" si="1"/>
        <v>#REF!</v>
      </c>
      <c r="B21" s="1531" t="e">
        <f t="shared" si="2"/>
        <v>#REF!</v>
      </c>
      <c r="C21" s="2213" t="e">
        <f t="shared" si="3"/>
        <v>#REF!</v>
      </c>
      <c r="D21" s="2214"/>
      <c r="E21" s="2214"/>
      <c r="F21" s="2214"/>
      <c r="G21" s="2215"/>
      <c r="H21" s="1362" t="e">
        <f t="shared" si="4"/>
        <v>#REF!</v>
      </c>
      <c r="I21" s="1362" t="e">
        <f t="shared" si="0"/>
        <v>#REF!</v>
      </c>
      <c r="J21" s="1362" t="e">
        <f t="shared" si="0"/>
        <v>#REF!</v>
      </c>
      <c r="K21" s="1528" t="e">
        <f t="shared" si="6"/>
        <v>#REF!</v>
      </c>
      <c r="L21" s="1532" t="e">
        <f t="shared" si="5"/>
        <v>#REF!</v>
      </c>
      <c r="M21" s="2219"/>
      <c r="N21" s="2220"/>
      <c r="O21" s="1553"/>
      <c r="P21" s="1363"/>
      <c r="Q21" s="2216"/>
      <c r="R21" s="2217"/>
      <c r="S21" s="2217"/>
      <c r="T21" s="2218"/>
      <c r="U21" s="63"/>
      <c r="V21" s="63"/>
      <c r="W21" s="571" t="e">
        <f>IF('PR_Programmatic Progress_1B'!#REF!="","",'PR_Programmatic Progress_1B'!#REF!)</f>
        <v>#REF!</v>
      </c>
      <c r="X21" s="572" t="e">
        <f>IF('PR_Programmatic Progress_1B'!#REF!="","",'PR_Programmatic Progress_1B'!#REF!)</f>
        <v>#REF!</v>
      </c>
      <c r="Y21" s="2221" t="e">
        <f>IF('PR_Programmatic Progress_1B'!#REF!="","",'PR_Programmatic Progress_1B'!#REF!)</f>
        <v>#REF!</v>
      </c>
      <c r="Z21" s="2222"/>
      <c r="AA21" s="2222"/>
      <c r="AB21" s="2222"/>
      <c r="AC21" s="2223"/>
      <c r="AD21" s="1025" t="e">
        <f>IF('PR_Programmatic Progress_1B'!#REF!="","",'PR_Programmatic Progress_1B'!#REF!)</f>
        <v>#REF!</v>
      </c>
      <c r="AE21" s="1025" t="e">
        <f>IF('PR_Programmatic Progress_1B'!#REF!="","",'PR_Programmatic Progress_1B'!#REF!)</f>
        <v>#REF!</v>
      </c>
      <c r="AF21" s="1025" t="e">
        <f>IF('PR_Programmatic Progress_1B'!#REF!="","",'PR_Programmatic Progress_1B'!#REF!)</f>
        <v>#REF!</v>
      </c>
      <c r="AG21" s="1025" t="e">
        <f>IF('PR_Programmatic Progress_1B'!#REF!="","",'PR_Programmatic Progress_1B'!#REF!)</f>
        <v>#REF!</v>
      </c>
      <c r="AH21" s="1047" t="e">
        <f>IF('PR_Programmatic Progress_1B'!#REF!="","",'PR_Programmatic Progress_1B'!#REF!)</f>
        <v>#REF!</v>
      </c>
    </row>
    <row r="22" spans="1:34" s="13" customFormat="1" ht="63.75" customHeight="1" x14ac:dyDescent="0.2">
      <c r="A22" s="1530" t="e">
        <f t="shared" si="1"/>
        <v>#REF!</v>
      </c>
      <c r="B22" s="1531" t="e">
        <f t="shared" si="2"/>
        <v>#REF!</v>
      </c>
      <c r="C22" s="2213" t="e">
        <f t="shared" si="3"/>
        <v>#REF!</v>
      </c>
      <c r="D22" s="2214"/>
      <c r="E22" s="2214"/>
      <c r="F22" s="2214"/>
      <c r="G22" s="2215"/>
      <c r="H22" s="1362" t="e">
        <f t="shared" si="4"/>
        <v>#REF!</v>
      </c>
      <c r="I22" s="1362" t="e">
        <f t="shared" si="0"/>
        <v>#REF!</v>
      </c>
      <c r="J22" s="1362" t="e">
        <f t="shared" si="0"/>
        <v>#REF!</v>
      </c>
      <c r="K22" s="1528" t="e">
        <f t="shared" si="6"/>
        <v>#REF!</v>
      </c>
      <c r="L22" s="1532" t="e">
        <f t="shared" si="5"/>
        <v>#REF!</v>
      </c>
      <c r="M22" s="2219"/>
      <c r="N22" s="2220"/>
      <c r="O22" s="1553"/>
      <c r="P22" s="1363"/>
      <c r="Q22" s="2216"/>
      <c r="R22" s="2217"/>
      <c r="S22" s="2217"/>
      <c r="T22" s="2218"/>
      <c r="U22" s="63"/>
      <c r="V22" s="63"/>
      <c r="W22" s="571" t="e">
        <f>IF('PR_Programmatic Progress_1B'!#REF!="","",'PR_Programmatic Progress_1B'!#REF!)</f>
        <v>#REF!</v>
      </c>
      <c r="X22" s="572" t="e">
        <f>IF('PR_Programmatic Progress_1B'!#REF!="","",'PR_Programmatic Progress_1B'!#REF!)</f>
        <v>#REF!</v>
      </c>
      <c r="Y22" s="2221" t="e">
        <f>IF('PR_Programmatic Progress_1B'!#REF!="","",'PR_Programmatic Progress_1B'!#REF!)</f>
        <v>#REF!</v>
      </c>
      <c r="Z22" s="2222"/>
      <c r="AA22" s="2222"/>
      <c r="AB22" s="2222"/>
      <c r="AC22" s="2223"/>
      <c r="AD22" s="1025" t="e">
        <f>IF('PR_Programmatic Progress_1B'!#REF!="","",'PR_Programmatic Progress_1B'!#REF!)</f>
        <v>#REF!</v>
      </c>
      <c r="AE22" s="1025" t="e">
        <f>IF('PR_Programmatic Progress_1B'!#REF!="","",'PR_Programmatic Progress_1B'!#REF!)</f>
        <v>#REF!</v>
      </c>
      <c r="AF22" s="1025" t="e">
        <f>IF('PR_Programmatic Progress_1B'!#REF!="","",'PR_Programmatic Progress_1B'!#REF!)</f>
        <v>#REF!</v>
      </c>
      <c r="AG22" s="1025" t="e">
        <f>IF('PR_Programmatic Progress_1B'!#REF!="","",'PR_Programmatic Progress_1B'!#REF!)</f>
        <v>#REF!</v>
      </c>
      <c r="AH22" s="1047" t="e">
        <f>IF('PR_Programmatic Progress_1B'!#REF!="","",'PR_Programmatic Progress_1B'!#REF!)</f>
        <v>#REF!</v>
      </c>
    </row>
    <row r="23" spans="1:34" s="13" customFormat="1" ht="63.75" customHeight="1" x14ac:dyDescent="0.2">
      <c r="A23" s="1530" t="e">
        <f t="shared" si="1"/>
        <v>#REF!</v>
      </c>
      <c r="B23" s="1531" t="e">
        <f t="shared" si="2"/>
        <v>#REF!</v>
      </c>
      <c r="C23" s="2213" t="e">
        <f t="shared" si="3"/>
        <v>#REF!</v>
      </c>
      <c r="D23" s="2214"/>
      <c r="E23" s="2214"/>
      <c r="F23" s="2214"/>
      <c r="G23" s="2215"/>
      <c r="H23" s="1362" t="e">
        <f t="shared" si="4"/>
        <v>#REF!</v>
      </c>
      <c r="I23" s="1362" t="e">
        <f t="shared" si="0"/>
        <v>#REF!</v>
      </c>
      <c r="J23" s="1362" t="e">
        <f t="shared" si="0"/>
        <v>#REF!</v>
      </c>
      <c r="K23" s="1528" t="e">
        <f t="shared" si="6"/>
        <v>#REF!</v>
      </c>
      <c r="L23" s="1532" t="e">
        <f t="shared" si="5"/>
        <v>#REF!</v>
      </c>
      <c r="M23" s="2219"/>
      <c r="N23" s="2220"/>
      <c r="O23" s="1553"/>
      <c r="P23" s="1363"/>
      <c r="Q23" s="2216"/>
      <c r="R23" s="2217"/>
      <c r="S23" s="2217"/>
      <c r="T23" s="2218"/>
      <c r="U23" s="63"/>
      <c r="V23" s="63"/>
      <c r="W23" s="571" t="e">
        <f>IF('PR_Programmatic Progress_1B'!#REF!="","",'PR_Programmatic Progress_1B'!#REF!)</f>
        <v>#REF!</v>
      </c>
      <c r="X23" s="572" t="e">
        <f>IF('PR_Programmatic Progress_1B'!#REF!="","",'PR_Programmatic Progress_1B'!#REF!)</f>
        <v>#REF!</v>
      </c>
      <c r="Y23" s="2221" t="e">
        <f>IF('PR_Programmatic Progress_1B'!#REF!="","",'PR_Programmatic Progress_1B'!#REF!)</f>
        <v>#REF!</v>
      </c>
      <c r="Z23" s="2222"/>
      <c r="AA23" s="2222"/>
      <c r="AB23" s="2222"/>
      <c r="AC23" s="2223"/>
      <c r="AD23" s="1025" t="e">
        <f>IF('PR_Programmatic Progress_1B'!#REF!="","",'PR_Programmatic Progress_1B'!#REF!)</f>
        <v>#REF!</v>
      </c>
      <c r="AE23" s="1025" t="e">
        <f>IF('PR_Programmatic Progress_1B'!#REF!="","",'PR_Programmatic Progress_1B'!#REF!)</f>
        <v>#REF!</v>
      </c>
      <c r="AF23" s="1025" t="e">
        <f>IF('PR_Programmatic Progress_1B'!#REF!="","",'PR_Programmatic Progress_1B'!#REF!)</f>
        <v>#REF!</v>
      </c>
      <c r="AG23" s="1025" t="e">
        <f>IF('PR_Programmatic Progress_1B'!#REF!="","",'PR_Programmatic Progress_1B'!#REF!)</f>
        <v>#REF!</v>
      </c>
      <c r="AH23" s="1047" t="e">
        <f>IF('PR_Programmatic Progress_1B'!#REF!="","",'PR_Programmatic Progress_1B'!#REF!)</f>
        <v>#REF!</v>
      </c>
    </row>
    <row r="24" spans="1:34" s="13" customFormat="1" ht="63.75" customHeight="1" x14ac:dyDescent="0.2">
      <c r="A24" s="1530" t="e">
        <f t="shared" si="1"/>
        <v>#REF!</v>
      </c>
      <c r="B24" s="1531" t="e">
        <f t="shared" si="2"/>
        <v>#REF!</v>
      </c>
      <c r="C24" s="2213" t="e">
        <f t="shared" si="3"/>
        <v>#REF!</v>
      </c>
      <c r="D24" s="2214"/>
      <c r="E24" s="2214"/>
      <c r="F24" s="2214"/>
      <c r="G24" s="2215"/>
      <c r="H24" s="1362" t="e">
        <f t="shared" si="4"/>
        <v>#REF!</v>
      </c>
      <c r="I24" s="1362" t="e">
        <f t="shared" si="0"/>
        <v>#REF!</v>
      </c>
      <c r="J24" s="1362" t="e">
        <f t="shared" si="0"/>
        <v>#REF!</v>
      </c>
      <c r="K24" s="1528" t="e">
        <f t="shared" si="6"/>
        <v>#REF!</v>
      </c>
      <c r="L24" s="1532" t="e">
        <f t="shared" si="5"/>
        <v>#REF!</v>
      </c>
      <c r="M24" s="2219"/>
      <c r="N24" s="2220"/>
      <c r="O24" s="1553"/>
      <c r="P24" s="1363"/>
      <c r="Q24" s="2216"/>
      <c r="R24" s="2217"/>
      <c r="S24" s="2217"/>
      <c r="T24" s="2218"/>
      <c r="U24" s="63"/>
      <c r="V24" s="63"/>
      <c r="W24" s="571" t="e">
        <f>IF('PR_Programmatic Progress_1B'!#REF!="","",'PR_Programmatic Progress_1B'!#REF!)</f>
        <v>#REF!</v>
      </c>
      <c r="X24" s="572" t="e">
        <f>IF('PR_Programmatic Progress_1B'!#REF!="","",'PR_Programmatic Progress_1B'!#REF!)</f>
        <v>#REF!</v>
      </c>
      <c r="Y24" s="2221" t="e">
        <f>IF('PR_Programmatic Progress_1B'!#REF!="","",'PR_Programmatic Progress_1B'!#REF!)</f>
        <v>#REF!</v>
      </c>
      <c r="Z24" s="2222"/>
      <c r="AA24" s="2222"/>
      <c r="AB24" s="2222"/>
      <c r="AC24" s="2223"/>
      <c r="AD24" s="1025" t="e">
        <f>IF('PR_Programmatic Progress_1B'!#REF!="","",'PR_Programmatic Progress_1B'!#REF!)</f>
        <v>#REF!</v>
      </c>
      <c r="AE24" s="1025" t="e">
        <f>IF('PR_Programmatic Progress_1B'!#REF!="","",'PR_Programmatic Progress_1B'!#REF!)</f>
        <v>#REF!</v>
      </c>
      <c r="AF24" s="1025" t="e">
        <f>IF('PR_Programmatic Progress_1B'!#REF!="","",'PR_Programmatic Progress_1B'!#REF!)</f>
        <v>#REF!</v>
      </c>
      <c r="AG24" s="1025" t="e">
        <f>IF('PR_Programmatic Progress_1B'!#REF!="","",'PR_Programmatic Progress_1B'!#REF!)</f>
        <v>#REF!</v>
      </c>
      <c r="AH24" s="1047" t="e">
        <f>IF('PR_Programmatic Progress_1B'!#REF!="","",'PR_Programmatic Progress_1B'!#REF!)</f>
        <v>#REF!</v>
      </c>
    </row>
    <row r="25" spans="1:34" s="13" customFormat="1" ht="63.75" customHeight="1" x14ac:dyDescent="0.2">
      <c r="A25" s="1530" t="e">
        <f t="shared" si="1"/>
        <v>#REF!</v>
      </c>
      <c r="B25" s="1531" t="e">
        <f t="shared" si="2"/>
        <v>#REF!</v>
      </c>
      <c r="C25" s="2213" t="e">
        <f t="shared" si="3"/>
        <v>#REF!</v>
      </c>
      <c r="D25" s="2214"/>
      <c r="E25" s="2214"/>
      <c r="F25" s="2214"/>
      <c r="G25" s="2215"/>
      <c r="H25" s="1362" t="e">
        <f t="shared" si="4"/>
        <v>#REF!</v>
      </c>
      <c r="I25" s="1362" t="e">
        <f t="shared" si="0"/>
        <v>#REF!</v>
      </c>
      <c r="J25" s="1362" t="e">
        <f t="shared" si="0"/>
        <v>#REF!</v>
      </c>
      <c r="K25" s="1528" t="e">
        <f t="shared" si="6"/>
        <v>#REF!</v>
      </c>
      <c r="L25" s="1532" t="e">
        <f t="shared" si="5"/>
        <v>#REF!</v>
      </c>
      <c r="M25" s="2219"/>
      <c r="N25" s="2220"/>
      <c r="O25" s="1553"/>
      <c r="P25" s="1363"/>
      <c r="Q25" s="2216"/>
      <c r="R25" s="2217"/>
      <c r="S25" s="2217"/>
      <c r="T25" s="2218"/>
      <c r="U25" s="63"/>
      <c r="V25" s="63"/>
      <c r="W25" s="571" t="e">
        <f>IF('PR_Programmatic Progress_1B'!#REF!="","",'PR_Programmatic Progress_1B'!#REF!)</f>
        <v>#REF!</v>
      </c>
      <c r="X25" s="572" t="e">
        <f>IF('PR_Programmatic Progress_1B'!#REF!="","",'PR_Programmatic Progress_1B'!#REF!)</f>
        <v>#REF!</v>
      </c>
      <c r="Y25" s="2221" t="e">
        <f>IF('PR_Programmatic Progress_1B'!#REF!="","",'PR_Programmatic Progress_1B'!#REF!)</f>
        <v>#REF!</v>
      </c>
      <c r="Z25" s="2222"/>
      <c r="AA25" s="2222"/>
      <c r="AB25" s="2222"/>
      <c r="AC25" s="2223"/>
      <c r="AD25" s="1025" t="e">
        <f>IF('PR_Programmatic Progress_1B'!#REF!="","",'PR_Programmatic Progress_1B'!#REF!)</f>
        <v>#REF!</v>
      </c>
      <c r="AE25" s="1025" t="e">
        <f>IF('PR_Programmatic Progress_1B'!#REF!="","",'PR_Programmatic Progress_1B'!#REF!)</f>
        <v>#REF!</v>
      </c>
      <c r="AF25" s="1025" t="e">
        <f>IF('PR_Programmatic Progress_1B'!#REF!="","",'PR_Programmatic Progress_1B'!#REF!)</f>
        <v>#REF!</v>
      </c>
      <c r="AG25" s="1025" t="e">
        <f>IF('PR_Programmatic Progress_1B'!#REF!="","",'PR_Programmatic Progress_1B'!#REF!)</f>
        <v>#REF!</v>
      </c>
      <c r="AH25" s="1047" t="e">
        <f>IF('PR_Programmatic Progress_1B'!#REF!="","",'PR_Programmatic Progress_1B'!#REF!)</f>
        <v>#REF!</v>
      </c>
    </row>
    <row r="26" spans="1:34" s="13" customFormat="1" ht="63.75" customHeight="1" x14ac:dyDescent="0.2">
      <c r="A26" s="1530" t="e">
        <f t="shared" si="1"/>
        <v>#REF!</v>
      </c>
      <c r="B26" s="1531" t="e">
        <f t="shared" si="2"/>
        <v>#REF!</v>
      </c>
      <c r="C26" s="2213" t="e">
        <f t="shared" si="3"/>
        <v>#REF!</v>
      </c>
      <c r="D26" s="2214"/>
      <c r="E26" s="2214"/>
      <c r="F26" s="2214"/>
      <c r="G26" s="2215"/>
      <c r="H26" s="1362" t="e">
        <f t="shared" si="4"/>
        <v>#REF!</v>
      </c>
      <c r="I26" s="1362" t="e">
        <f t="shared" si="0"/>
        <v>#REF!</v>
      </c>
      <c r="J26" s="1362" t="e">
        <f t="shared" si="0"/>
        <v>#REF!</v>
      </c>
      <c r="K26" s="1528" t="e">
        <f t="shared" si="6"/>
        <v>#REF!</v>
      </c>
      <c r="L26" s="1532" t="e">
        <f t="shared" si="5"/>
        <v>#REF!</v>
      </c>
      <c r="M26" s="2219"/>
      <c r="N26" s="2220"/>
      <c r="O26" s="1553"/>
      <c r="P26" s="1363"/>
      <c r="Q26" s="2216"/>
      <c r="R26" s="2217"/>
      <c r="S26" s="2217"/>
      <c r="T26" s="2218"/>
      <c r="U26" s="63"/>
      <c r="V26" s="63"/>
      <c r="W26" s="571" t="e">
        <f>IF('PR_Programmatic Progress_1B'!#REF!="","",'PR_Programmatic Progress_1B'!#REF!)</f>
        <v>#REF!</v>
      </c>
      <c r="X26" s="572" t="e">
        <f>IF('PR_Programmatic Progress_1B'!#REF!="","",'PR_Programmatic Progress_1B'!#REF!)</f>
        <v>#REF!</v>
      </c>
      <c r="Y26" s="2221" t="e">
        <f>IF('PR_Programmatic Progress_1B'!#REF!="","",'PR_Programmatic Progress_1B'!#REF!)</f>
        <v>#REF!</v>
      </c>
      <c r="Z26" s="2222"/>
      <c r="AA26" s="2222"/>
      <c r="AB26" s="2222"/>
      <c r="AC26" s="2223"/>
      <c r="AD26" s="1025" t="e">
        <f>IF('PR_Programmatic Progress_1B'!#REF!="","",'PR_Programmatic Progress_1B'!#REF!)</f>
        <v>#REF!</v>
      </c>
      <c r="AE26" s="1025" t="e">
        <f>IF('PR_Programmatic Progress_1B'!#REF!="","",'PR_Programmatic Progress_1B'!#REF!)</f>
        <v>#REF!</v>
      </c>
      <c r="AF26" s="1025" t="e">
        <f>IF('PR_Programmatic Progress_1B'!#REF!="","",'PR_Programmatic Progress_1B'!#REF!)</f>
        <v>#REF!</v>
      </c>
      <c r="AG26" s="1025" t="e">
        <f>IF('PR_Programmatic Progress_1B'!#REF!="","",'PR_Programmatic Progress_1B'!#REF!)</f>
        <v>#REF!</v>
      </c>
      <c r="AH26" s="1047" t="e">
        <f>IF('PR_Programmatic Progress_1B'!#REF!="","",'PR_Programmatic Progress_1B'!#REF!)</f>
        <v>#REF!</v>
      </c>
    </row>
    <row r="27" spans="1:34" s="13" customFormat="1" ht="69" customHeight="1" x14ac:dyDescent="0.2">
      <c r="A27" s="1530" t="str">
        <f t="shared" si="1"/>
        <v/>
      </c>
      <c r="B27" s="1531" t="str">
        <f t="shared" si="2"/>
        <v/>
      </c>
      <c r="C27" s="2213" t="str">
        <f t="shared" si="3"/>
        <v/>
      </c>
      <c r="D27" s="2214"/>
      <c r="E27" s="2214"/>
      <c r="F27" s="2214"/>
      <c r="G27" s="2215"/>
      <c r="H27" s="1362" t="str">
        <f t="shared" si="4"/>
        <v>Select</v>
      </c>
      <c r="I27" s="1362" t="str">
        <f t="shared" si="0"/>
        <v>Select</v>
      </c>
      <c r="J27" s="1362" t="str">
        <f t="shared" si="0"/>
        <v>Select</v>
      </c>
      <c r="K27" s="1528" t="str">
        <f t="shared" si="6"/>
        <v>-</v>
      </c>
      <c r="L27" s="1532" t="str">
        <f t="shared" si="5"/>
        <v>-</v>
      </c>
      <c r="M27" s="2219"/>
      <c r="N27" s="2220"/>
      <c r="O27" s="1553"/>
      <c r="P27" s="1363"/>
      <c r="Q27" s="2216"/>
      <c r="R27" s="2217"/>
      <c r="S27" s="2217"/>
      <c r="T27" s="2218"/>
      <c r="U27" s="63"/>
      <c r="V27" s="63"/>
      <c r="W27" s="571" t="str">
        <f>IF('PR_Programmatic Progress_1B'!A20="","",'PR_Programmatic Progress_1B'!A20)</f>
        <v/>
      </c>
      <c r="X27" s="572" t="str">
        <f>IF('PR_Programmatic Progress_1B'!B20="","",'PR_Programmatic Progress_1B'!B20)</f>
        <v/>
      </c>
      <c r="Y27" s="2221" t="str">
        <f>IF('PR_Programmatic Progress_1B'!C20="","",'PR_Programmatic Progress_1B'!C20)</f>
        <v/>
      </c>
      <c r="Z27" s="2222"/>
      <c r="AA27" s="2222"/>
      <c r="AB27" s="2222"/>
      <c r="AC27" s="2223"/>
      <c r="AD27" s="1025" t="str">
        <f>IF('PR_Programmatic Progress_1B'!G20="","",'PR_Programmatic Progress_1B'!G20)</f>
        <v>Select</v>
      </c>
      <c r="AE27" s="1025" t="str">
        <f>IF('PR_Programmatic Progress_1B'!H20="","",'PR_Programmatic Progress_1B'!H20)</f>
        <v>Select</v>
      </c>
      <c r="AF27" s="1025" t="str">
        <f>IF('PR_Programmatic Progress_1B'!I20="","",'PR_Programmatic Progress_1B'!I20)</f>
        <v>Select</v>
      </c>
      <c r="AG27" s="1025" t="str">
        <f>IF('PR_Programmatic Progress_1B'!L20="","",'PR_Programmatic Progress_1B'!L20)</f>
        <v>-</v>
      </c>
      <c r="AH27" s="1047" t="str">
        <f>IF('PR_Programmatic Progress_1B'!M20="","",'PR_Programmatic Progress_1B'!M20)</f>
        <v>-</v>
      </c>
    </row>
    <row r="28" spans="1:34" s="13" customFormat="1" ht="69" customHeight="1" x14ac:dyDescent="0.2">
      <c r="A28" s="1530" t="str">
        <f t="shared" si="1"/>
        <v/>
      </c>
      <c r="B28" s="1531" t="str">
        <f t="shared" si="2"/>
        <v/>
      </c>
      <c r="C28" s="2213" t="str">
        <f t="shared" si="3"/>
        <v/>
      </c>
      <c r="D28" s="2214"/>
      <c r="E28" s="2214"/>
      <c r="F28" s="2214"/>
      <c r="G28" s="2215"/>
      <c r="H28" s="1362" t="str">
        <f t="shared" si="4"/>
        <v>Select</v>
      </c>
      <c r="I28" s="1362" t="str">
        <f t="shared" si="4"/>
        <v>Select</v>
      </c>
      <c r="J28" s="1362" t="str">
        <f t="shared" si="4"/>
        <v>Select</v>
      </c>
      <c r="K28" s="1528" t="str">
        <f t="shared" si="6"/>
        <v>-</v>
      </c>
      <c r="L28" s="1532" t="str">
        <f t="shared" si="5"/>
        <v>-</v>
      </c>
      <c r="M28" s="2219"/>
      <c r="N28" s="2220"/>
      <c r="O28" s="1553"/>
      <c r="P28" s="1363"/>
      <c r="Q28" s="2216"/>
      <c r="R28" s="2217"/>
      <c r="S28" s="2217"/>
      <c r="T28" s="2218"/>
      <c r="U28" s="63"/>
      <c r="V28" s="63"/>
      <c r="W28" s="571" t="str">
        <f>IF('PR_Programmatic Progress_1B'!A21="","",'PR_Programmatic Progress_1B'!A21)</f>
        <v/>
      </c>
      <c r="X28" s="572" t="str">
        <f>IF('PR_Programmatic Progress_1B'!B21="","",'PR_Programmatic Progress_1B'!B21)</f>
        <v/>
      </c>
      <c r="Y28" s="2221" t="str">
        <f>IF('PR_Programmatic Progress_1B'!C21="","",'PR_Programmatic Progress_1B'!C21)</f>
        <v/>
      </c>
      <c r="Z28" s="2222"/>
      <c r="AA28" s="2222"/>
      <c r="AB28" s="2222"/>
      <c r="AC28" s="2223"/>
      <c r="AD28" s="1025" t="str">
        <f>IF('PR_Programmatic Progress_1B'!G21="","",'PR_Programmatic Progress_1B'!G21)</f>
        <v>Select</v>
      </c>
      <c r="AE28" s="1025" t="str">
        <f>IF('PR_Programmatic Progress_1B'!H21="","",'PR_Programmatic Progress_1B'!H21)</f>
        <v>Select</v>
      </c>
      <c r="AF28" s="1025" t="str">
        <f>IF('PR_Programmatic Progress_1B'!I21="","",'PR_Programmatic Progress_1B'!I21)</f>
        <v>Select</v>
      </c>
      <c r="AG28" s="1025" t="str">
        <f>IF('PR_Programmatic Progress_1B'!L21="","",'PR_Programmatic Progress_1B'!L21)</f>
        <v>-</v>
      </c>
      <c r="AH28" s="1047" t="str">
        <f>IF('PR_Programmatic Progress_1B'!M21="","",'PR_Programmatic Progress_1B'!M21)</f>
        <v>-</v>
      </c>
    </row>
    <row r="29" spans="1:34" s="13" customFormat="1" ht="69" customHeight="1" x14ac:dyDescent="0.2">
      <c r="A29" s="1530" t="str">
        <f t="shared" si="1"/>
        <v/>
      </c>
      <c r="B29" s="1531" t="str">
        <f t="shared" si="2"/>
        <v/>
      </c>
      <c r="C29" s="2213" t="str">
        <f t="shared" si="3"/>
        <v/>
      </c>
      <c r="D29" s="2214"/>
      <c r="E29" s="2214"/>
      <c r="F29" s="2214"/>
      <c r="G29" s="2215"/>
      <c r="H29" s="1362" t="str">
        <f t="shared" si="4"/>
        <v>Select</v>
      </c>
      <c r="I29" s="1362" t="str">
        <f t="shared" si="4"/>
        <v>Select</v>
      </c>
      <c r="J29" s="1362" t="str">
        <f t="shared" si="4"/>
        <v>Select</v>
      </c>
      <c r="K29" s="1528" t="str">
        <f t="shared" si="6"/>
        <v>-</v>
      </c>
      <c r="L29" s="1532" t="str">
        <f t="shared" si="5"/>
        <v>-</v>
      </c>
      <c r="M29" s="2219"/>
      <c r="N29" s="2220"/>
      <c r="O29" s="1553"/>
      <c r="P29" s="1363"/>
      <c r="Q29" s="2216"/>
      <c r="R29" s="2217"/>
      <c r="S29" s="2217"/>
      <c r="T29" s="2218"/>
      <c r="U29" s="63"/>
      <c r="V29" s="63"/>
      <c r="W29" s="571" t="str">
        <f>IF('PR_Programmatic Progress_1B'!A22="","",'PR_Programmatic Progress_1B'!A22)</f>
        <v/>
      </c>
      <c r="X29" s="572" t="str">
        <f>IF('PR_Programmatic Progress_1B'!B22="","",'PR_Programmatic Progress_1B'!B22)</f>
        <v/>
      </c>
      <c r="Y29" s="2221" t="str">
        <f>IF('PR_Programmatic Progress_1B'!C22="","",'PR_Programmatic Progress_1B'!C22)</f>
        <v/>
      </c>
      <c r="Z29" s="2222"/>
      <c r="AA29" s="2222"/>
      <c r="AB29" s="2222"/>
      <c r="AC29" s="2223"/>
      <c r="AD29" s="1025" t="str">
        <f>IF('PR_Programmatic Progress_1B'!G22="","",'PR_Programmatic Progress_1B'!G22)</f>
        <v>Select</v>
      </c>
      <c r="AE29" s="1025" t="str">
        <f>IF('PR_Programmatic Progress_1B'!H22="","",'PR_Programmatic Progress_1B'!H22)</f>
        <v>Select</v>
      </c>
      <c r="AF29" s="1025" t="str">
        <f>IF('PR_Programmatic Progress_1B'!I22="","",'PR_Programmatic Progress_1B'!I22)</f>
        <v>Select</v>
      </c>
      <c r="AG29" s="1025" t="str">
        <f>IF('PR_Programmatic Progress_1B'!L22="","",'PR_Programmatic Progress_1B'!L22)</f>
        <v>-</v>
      </c>
      <c r="AH29" s="1047" t="str">
        <f>IF('PR_Programmatic Progress_1B'!M22="","",'PR_Programmatic Progress_1B'!M22)</f>
        <v>-</v>
      </c>
    </row>
    <row r="30" spans="1:34" s="13" customFormat="1" ht="69" customHeight="1" x14ac:dyDescent="0.2">
      <c r="A30" s="1530" t="str">
        <f t="shared" si="1"/>
        <v/>
      </c>
      <c r="B30" s="1531" t="str">
        <f t="shared" si="2"/>
        <v/>
      </c>
      <c r="C30" s="2213" t="str">
        <f t="shared" si="3"/>
        <v/>
      </c>
      <c r="D30" s="2214"/>
      <c r="E30" s="2214"/>
      <c r="F30" s="2214"/>
      <c r="G30" s="2215"/>
      <c r="H30" s="1362" t="str">
        <f t="shared" si="4"/>
        <v>Select</v>
      </c>
      <c r="I30" s="1362" t="str">
        <f t="shared" si="4"/>
        <v>Select</v>
      </c>
      <c r="J30" s="1362" t="str">
        <f t="shared" si="4"/>
        <v>Select</v>
      </c>
      <c r="K30" s="1528" t="str">
        <f t="shared" si="6"/>
        <v>-</v>
      </c>
      <c r="L30" s="1533" t="str">
        <f t="shared" si="5"/>
        <v>-</v>
      </c>
      <c r="M30" s="2219"/>
      <c r="N30" s="2220"/>
      <c r="O30" s="1553"/>
      <c r="P30" s="1363"/>
      <c r="Q30" s="2216"/>
      <c r="R30" s="2217"/>
      <c r="S30" s="2217"/>
      <c r="T30" s="2218"/>
      <c r="U30" s="63"/>
      <c r="V30" s="63"/>
      <c r="W30" s="571" t="str">
        <f>IF('PR_Programmatic Progress_1B'!A23="","",'PR_Programmatic Progress_1B'!A23)</f>
        <v/>
      </c>
      <c r="X30" s="572" t="str">
        <f>IF('PR_Programmatic Progress_1B'!B23="","",'PR_Programmatic Progress_1B'!B23)</f>
        <v/>
      </c>
      <c r="Y30" s="2221" t="str">
        <f>IF('PR_Programmatic Progress_1B'!C23="","",'PR_Programmatic Progress_1B'!C23)</f>
        <v/>
      </c>
      <c r="Z30" s="2222"/>
      <c r="AA30" s="2222"/>
      <c r="AB30" s="2222"/>
      <c r="AC30" s="2223"/>
      <c r="AD30" s="1025" t="str">
        <f>IF('PR_Programmatic Progress_1B'!G23="","",'PR_Programmatic Progress_1B'!G23)</f>
        <v>Select</v>
      </c>
      <c r="AE30" s="1025" t="str">
        <f>IF('PR_Programmatic Progress_1B'!H23="","",'PR_Programmatic Progress_1B'!H23)</f>
        <v>Select</v>
      </c>
      <c r="AF30" s="1025" t="str">
        <f>IF('PR_Programmatic Progress_1B'!I23="","",'PR_Programmatic Progress_1B'!I23)</f>
        <v>Select</v>
      </c>
      <c r="AG30" s="1025" t="str">
        <f>IF('PR_Programmatic Progress_1B'!L23="","",'PR_Programmatic Progress_1B'!L23)</f>
        <v>-</v>
      </c>
      <c r="AH30" s="1048" t="str">
        <f>IF('PR_Programmatic Progress_1B'!M23="","",'PR_Programmatic Progress_1B'!M23)</f>
        <v>-</v>
      </c>
    </row>
    <row r="31" spans="1:34" s="13" customFormat="1" ht="69" customHeight="1" x14ac:dyDescent="0.2">
      <c r="A31" s="1530" t="str">
        <f t="shared" si="1"/>
        <v/>
      </c>
      <c r="B31" s="1531" t="str">
        <f t="shared" si="2"/>
        <v/>
      </c>
      <c r="C31" s="2213" t="str">
        <f t="shared" si="3"/>
        <v/>
      </c>
      <c r="D31" s="2214"/>
      <c r="E31" s="2214"/>
      <c r="F31" s="2214"/>
      <c r="G31" s="2215"/>
      <c r="H31" s="1362" t="str">
        <f t="shared" si="4"/>
        <v>Select</v>
      </c>
      <c r="I31" s="1362" t="str">
        <f t="shared" si="4"/>
        <v>Select</v>
      </c>
      <c r="J31" s="1362" t="str">
        <f t="shared" si="4"/>
        <v>Select</v>
      </c>
      <c r="K31" s="1528" t="str">
        <f t="shared" si="6"/>
        <v>-</v>
      </c>
      <c r="L31" s="1532" t="str">
        <f t="shared" si="5"/>
        <v>-</v>
      </c>
      <c r="M31" s="2219"/>
      <c r="N31" s="2220"/>
      <c r="O31" s="1553"/>
      <c r="P31" s="1363"/>
      <c r="Q31" s="2216"/>
      <c r="R31" s="2217"/>
      <c r="S31" s="2217"/>
      <c r="T31" s="2218"/>
      <c r="U31" s="63"/>
      <c r="V31" s="63"/>
      <c r="W31" s="571" t="str">
        <f>IF('PR_Programmatic Progress_1B'!A24="","",'PR_Programmatic Progress_1B'!A24)</f>
        <v/>
      </c>
      <c r="X31" s="572" t="str">
        <f>IF('PR_Programmatic Progress_1B'!B24="","",'PR_Programmatic Progress_1B'!B24)</f>
        <v/>
      </c>
      <c r="Y31" s="2221" t="str">
        <f>IF('PR_Programmatic Progress_1B'!C24="","",'PR_Programmatic Progress_1B'!C24)</f>
        <v/>
      </c>
      <c r="Z31" s="2222"/>
      <c r="AA31" s="2222"/>
      <c r="AB31" s="2222"/>
      <c r="AC31" s="2223"/>
      <c r="AD31" s="1025" t="str">
        <f>IF('PR_Programmatic Progress_1B'!G24="","",'PR_Programmatic Progress_1B'!G24)</f>
        <v>Select</v>
      </c>
      <c r="AE31" s="1025" t="str">
        <f>IF('PR_Programmatic Progress_1B'!H24="","",'PR_Programmatic Progress_1B'!H24)</f>
        <v>Select</v>
      </c>
      <c r="AF31" s="1025" t="str">
        <f>IF('PR_Programmatic Progress_1B'!I24="","",'PR_Programmatic Progress_1B'!I24)</f>
        <v>Select</v>
      </c>
      <c r="AG31" s="1025" t="str">
        <f>IF('PR_Programmatic Progress_1B'!L24="","",'PR_Programmatic Progress_1B'!L24)</f>
        <v>-</v>
      </c>
      <c r="AH31" s="1047" t="str">
        <f>IF('PR_Programmatic Progress_1B'!M24="","",'PR_Programmatic Progress_1B'!M24)</f>
        <v>-</v>
      </c>
    </row>
    <row r="32" spans="1:34" s="13" customFormat="1" ht="14.25" customHeight="1" x14ac:dyDescent="0.2">
      <c r="A32" s="2231"/>
      <c r="B32" s="2232"/>
      <c r="C32" s="2232"/>
      <c r="D32" s="2232"/>
      <c r="E32" s="2232"/>
      <c r="F32" s="2232"/>
      <c r="G32" s="2232"/>
      <c r="H32" s="2232"/>
      <c r="I32" s="2232"/>
      <c r="J32" s="2232"/>
      <c r="K32" s="2232"/>
      <c r="L32" s="2232"/>
      <c r="M32" s="2232"/>
      <c r="N32" s="2232"/>
      <c r="O32" s="2232"/>
      <c r="P32" s="2232"/>
      <c r="Q32" s="2232"/>
      <c r="R32" s="2232"/>
      <c r="S32" s="2232"/>
      <c r="T32" s="2233"/>
      <c r="U32" s="63"/>
      <c r="V32" s="63"/>
      <c r="W32" s="571"/>
      <c r="X32" s="572"/>
      <c r="Y32" s="1101"/>
      <c r="Z32" s="1102"/>
      <c r="AA32" s="1102"/>
      <c r="AB32" s="1102"/>
      <c r="AC32" s="1103"/>
      <c r="AD32" s="1025"/>
      <c r="AE32" s="1025"/>
      <c r="AF32" s="1025"/>
      <c r="AG32" s="1025"/>
      <c r="AH32" s="1047"/>
    </row>
    <row r="33" spans="1:34" s="13" customFormat="1" ht="69" customHeight="1" x14ac:dyDescent="0.2">
      <c r="A33" s="571" t="str">
        <f t="shared" si="1"/>
        <v/>
      </c>
      <c r="B33" s="572" t="str">
        <f t="shared" si="2"/>
        <v/>
      </c>
      <c r="C33" s="2221" t="str">
        <f t="shared" si="3"/>
        <v/>
      </c>
      <c r="D33" s="2222"/>
      <c r="E33" s="2222"/>
      <c r="F33" s="2222"/>
      <c r="G33" s="2223"/>
      <c r="H33" s="1025" t="str">
        <f t="shared" si="4"/>
        <v>Select</v>
      </c>
      <c r="I33" s="1025" t="str">
        <f t="shared" si="4"/>
        <v>Select</v>
      </c>
      <c r="J33" s="1025" t="str">
        <f t="shared" si="4"/>
        <v>Select</v>
      </c>
      <c r="K33" s="1084" t="str">
        <f t="shared" si="6"/>
        <v>-</v>
      </c>
      <c r="L33" s="1085" t="str">
        <f t="shared" si="5"/>
        <v>-</v>
      </c>
      <c r="M33" s="2226"/>
      <c r="N33" s="2227"/>
      <c r="O33" s="1554"/>
      <c r="P33" s="1090"/>
      <c r="Q33" s="2228"/>
      <c r="R33" s="2229"/>
      <c r="S33" s="2229"/>
      <c r="T33" s="2230"/>
      <c r="U33" s="63"/>
      <c r="V33" s="63"/>
      <c r="W33" s="571" t="str">
        <f>IF('PR_Programmatic Progress_1B'!A26="","",'PR_Programmatic Progress_1B'!A26)</f>
        <v/>
      </c>
      <c r="X33" s="572" t="str">
        <f>IF('PR_Programmatic Progress_1B'!B26="","",'PR_Programmatic Progress_1B'!B26)</f>
        <v/>
      </c>
      <c r="Y33" s="2221" t="str">
        <f>IF('PR_Programmatic Progress_1B'!C26="","",'PR_Programmatic Progress_1B'!C26)</f>
        <v/>
      </c>
      <c r="Z33" s="2222"/>
      <c r="AA33" s="2222"/>
      <c r="AB33" s="2222"/>
      <c r="AC33" s="2223"/>
      <c r="AD33" s="1025" t="str">
        <f>IF('PR_Programmatic Progress_1B'!G26="","",'PR_Programmatic Progress_1B'!G26)</f>
        <v>Select</v>
      </c>
      <c r="AE33" s="1025" t="str">
        <f>IF('PR_Programmatic Progress_1B'!H26="","",'PR_Programmatic Progress_1B'!H26)</f>
        <v>Select</v>
      </c>
      <c r="AF33" s="1025" t="str">
        <f>IF('PR_Programmatic Progress_1B'!I26="","",'PR_Programmatic Progress_1B'!I26)</f>
        <v>Select</v>
      </c>
      <c r="AG33" s="1025" t="str">
        <f>IF('PR_Programmatic Progress_1B'!L26="","",'PR_Programmatic Progress_1B'!L26)</f>
        <v>-</v>
      </c>
      <c r="AH33" s="1047" t="str">
        <f>IF('PR_Programmatic Progress_1B'!M26="","",'PR_Programmatic Progress_1B'!M26)</f>
        <v>-</v>
      </c>
    </row>
    <row r="34" spans="1:34" s="13" customFormat="1" ht="69" customHeight="1" x14ac:dyDescent="0.2">
      <c r="A34" s="571" t="str">
        <f t="shared" si="1"/>
        <v/>
      </c>
      <c r="B34" s="572" t="str">
        <f t="shared" si="2"/>
        <v/>
      </c>
      <c r="C34" s="2221" t="str">
        <f t="shared" si="3"/>
        <v/>
      </c>
      <c r="D34" s="2222"/>
      <c r="E34" s="2222"/>
      <c r="F34" s="2222"/>
      <c r="G34" s="2223"/>
      <c r="H34" s="1025" t="str">
        <f t="shared" si="4"/>
        <v>Select</v>
      </c>
      <c r="I34" s="1025" t="str">
        <f t="shared" si="4"/>
        <v>Select</v>
      </c>
      <c r="J34" s="1025" t="str">
        <f t="shared" si="4"/>
        <v>Select</v>
      </c>
      <c r="K34" s="1084" t="str">
        <f t="shared" si="6"/>
        <v>-</v>
      </c>
      <c r="L34" s="1085" t="str">
        <f t="shared" si="5"/>
        <v>-</v>
      </c>
      <c r="M34" s="2226"/>
      <c r="N34" s="2227"/>
      <c r="O34" s="1554"/>
      <c r="P34" s="1090"/>
      <c r="Q34" s="2228"/>
      <c r="R34" s="2229"/>
      <c r="S34" s="2229"/>
      <c r="T34" s="2230"/>
      <c r="U34" s="63"/>
      <c r="V34" s="63"/>
      <c r="W34" s="571" t="str">
        <f>IF('PR_Programmatic Progress_1B'!A27="","",'PR_Programmatic Progress_1B'!A27)</f>
        <v/>
      </c>
      <c r="X34" s="572" t="str">
        <f>IF('PR_Programmatic Progress_1B'!B27="","",'PR_Programmatic Progress_1B'!B27)</f>
        <v/>
      </c>
      <c r="Y34" s="2221" t="str">
        <f>IF('PR_Programmatic Progress_1B'!C27="","",'PR_Programmatic Progress_1B'!C27)</f>
        <v/>
      </c>
      <c r="Z34" s="2222"/>
      <c r="AA34" s="2222"/>
      <c r="AB34" s="2222"/>
      <c r="AC34" s="2223"/>
      <c r="AD34" s="1025" t="str">
        <f>IF('PR_Programmatic Progress_1B'!G27="","",'PR_Programmatic Progress_1B'!G27)</f>
        <v>Select</v>
      </c>
      <c r="AE34" s="1025" t="str">
        <f>IF('PR_Programmatic Progress_1B'!H27="","",'PR_Programmatic Progress_1B'!H27)</f>
        <v>Select</v>
      </c>
      <c r="AF34" s="1025" t="str">
        <f>IF('PR_Programmatic Progress_1B'!I27="","",'PR_Programmatic Progress_1B'!I27)</f>
        <v>Select</v>
      </c>
      <c r="AG34" s="1025" t="str">
        <f>IF('PR_Programmatic Progress_1B'!L27="","",'PR_Programmatic Progress_1B'!L27)</f>
        <v>-</v>
      </c>
      <c r="AH34" s="1047" t="str">
        <f>IF('PR_Programmatic Progress_1B'!M27="","",'PR_Programmatic Progress_1B'!M27)</f>
        <v>-</v>
      </c>
    </row>
    <row r="35" spans="1:34" s="13" customFormat="1" ht="69" customHeight="1" x14ac:dyDescent="0.2">
      <c r="A35" s="571" t="str">
        <f t="shared" si="1"/>
        <v/>
      </c>
      <c r="B35" s="572" t="str">
        <f t="shared" si="2"/>
        <v/>
      </c>
      <c r="C35" s="2221" t="str">
        <f t="shared" si="3"/>
        <v/>
      </c>
      <c r="D35" s="2222"/>
      <c r="E35" s="2222"/>
      <c r="F35" s="2222"/>
      <c r="G35" s="2223"/>
      <c r="H35" s="1025" t="str">
        <f t="shared" si="4"/>
        <v>Select</v>
      </c>
      <c r="I35" s="1025" t="str">
        <f t="shared" si="4"/>
        <v>Select</v>
      </c>
      <c r="J35" s="1025" t="str">
        <f t="shared" si="4"/>
        <v>Select</v>
      </c>
      <c r="K35" s="1084" t="str">
        <f t="shared" si="6"/>
        <v>-</v>
      </c>
      <c r="L35" s="1085" t="str">
        <f t="shared" si="5"/>
        <v>-</v>
      </c>
      <c r="M35" s="2226"/>
      <c r="N35" s="2227"/>
      <c r="O35" s="1554"/>
      <c r="P35" s="1090"/>
      <c r="Q35" s="2228"/>
      <c r="R35" s="2229"/>
      <c r="S35" s="2229"/>
      <c r="T35" s="2230"/>
      <c r="U35" s="63"/>
      <c r="V35" s="63"/>
      <c r="W35" s="571" t="str">
        <f>IF('PR_Programmatic Progress_1B'!A28="","",'PR_Programmatic Progress_1B'!A28)</f>
        <v/>
      </c>
      <c r="X35" s="572" t="str">
        <f>IF('PR_Programmatic Progress_1B'!B28="","",'PR_Programmatic Progress_1B'!B28)</f>
        <v/>
      </c>
      <c r="Y35" s="2221" t="str">
        <f>IF('PR_Programmatic Progress_1B'!C28="","",'PR_Programmatic Progress_1B'!C28)</f>
        <v/>
      </c>
      <c r="Z35" s="2222"/>
      <c r="AA35" s="2222"/>
      <c r="AB35" s="2222"/>
      <c r="AC35" s="2223"/>
      <c r="AD35" s="1025" t="str">
        <f>IF('PR_Programmatic Progress_1B'!G28="","",'PR_Programmatic Progress_1B'!G28)</f>
        <v>Select</v>
      </c>
      <c r="AE35" s="1025" t="str">
        <f>IF('PR_Programmatic Progress_1B'!H28="","",'PR_Programmatic Progress_1B'!H28)</f>
        <v>Select</v>
      </c>
      <c r="AF35" s="1025" t="str">
        <f>IF('PR_Programmatic Progress_1B'!I28="","",'PR_Programmatic Progress_1B'!I28)</f>
        <v>Select</v>
      </c>
      <c r="AG35" s="1025" t="str">
        <f>IF('PR_Programmatic Progress_1B'!L28="","",'PR_Programmatic Progress_1B'!L28)</f>
        <v>-</v>
      </c>
      <c r="AH35" s="1047" t="str">
        <f>IF('PR_Programmatic Progress_1B'!M28="","",'PR_Programmatic Progress_1B'!M28)</f>
        <v>-</v>
      </c>
    </row>
    <row r="36" spans="1:34" s="13" customFormat="1" ht="69" customHeight="1" x14ac:dyDescent="0.2">
      <c r="A36" s="571" t="str">
        <f t="shared" si="1"/>
        <v/>
      </c>
      <c r="B36" s="572" t="str">
        <f t="shared" si="2"/>
        <v/>
      </c>
      <c r="C36" s="2221" t="str">
        <f t="shared" si="3"/>
        <v/>
      </c>
      <c r="D36" s="2222"/>
      <c r="E36" s="2222"/>
      <c r="F36" s="2222"/>
      <c r="G36" s="2223"/>
      <c r="H36" s="1025" t="str">
        <f t="shared" si="4"/>
        <v>Select</v>
      </c>
      <c r="I36" s="1025" t="str">
        <f t="shared" si="4"/>
        <v>Select</v>
      </c>
      <c r="J36" s="1025" t="str">
        <f t="shared" si="4"/>
        <v>Select</v>
      </c>
      <c r="K36" s="1084" t="str">
        <f t="shared" si="6"/>
        <v>-</v>
      </c>
      <c r="L36" s="1085" t="str">
        <f t="shared" si="5"/>
        <v>-</v>
      </c>
      <c r="M36" s="2226"/>
      <c r="N36" s="2227"/>
      <c r="O36" s="1554"/>
      <c r="P36" s="1090"/>
      <c r="Q36" s="2228"/>
      <c r="R36" s="2229"/>
      <c r="S36" s="2229"/>
      <c r="T36" s="2230"/>
      <c r="U36" s="63"/>
      <c r="V36" s="63"/>
      <c r="W36" s="571" t="str">
        <f>IF('PR_Programmatic Progress_1B'!A29="","",'PR_Programmatic Progress_1B'!A29)</f>
        <v/>
      </c>
      <c r="X36" s="572" t="str">
        <f>IF('PR_Programmatic Progress_1B'!B29="","",'PR_Programmatic Progress_1B'!B29)</f>
        <v/>
      </c>
      <c r="Y36" s="2221" t="str">
        <f>IF('PR_Programmatic Progress_1B'!C29="","",'PR_Programmatic Progress_1B'!C29)</f>
        <v/>
      </c>
      <c r="Z36" s="2222"/>
      <c r="AA36" s="2222"/>
      <c r="AB36" s="2222"/>
      <c r="AC36" s="2223"/>
      <c r="AD36" s="1025" t="str">
        <f>IF('PR_Programmatic Progress_1B'!G29="","",'PR_Programmatic Progress_1B'!G29)</f>
        <v>Select</v>
      </c>
      <c r="AE36" s="1025" t="str">
        <f>IF('PR_Programmatic Progress_1B'!H29="","",'PR_Programmatic Progress_1B'!H29)</f>
        <v>Select</v>
      </c>
      <c r="AF36" s="1025" t="str">
        <f>IF('PR_Programmatic Progress_1B'!I29="","",'PR_Programmatic Progress_1B'!I29)</f>
        <v>Select</v>
      </c>
      <c r="AG36" s="1025" t="str">
        <f>IF('PR_Programmatic Progress_1B'!L29="","",'PR_Programmatic Progress_1B'!L29)</f>
        <v>-</v>
      </c>
      <c r="AH36" s="1047" t="str">
        <f>IF('PR_Programmatic Progress_1B'!M29="","",'PR_Programmatic Progress_1B'!M29)</f>
        <v>-</v>
      </c>
    </row>
    <row r="37" spans="1:34" s="13" customFormat="1" ht="69" customHeight="1" x14ac:dyDescent="0.2">
      <c r="A37" s="571" t="str">
        <f t="shared" si="1"/>
        <v/>
      </c>
      <c r="B37" s="572" t="str">
        <f t="shared" si="2"/>
        <v/>
      </c>
      <c r="C37" s="2221" t="str">
        <f t="shared" si="3"/>
        <v/>
      </c>
      <c r="D37" s="2222"/>
      <c r="E37" s="2222"/>
      <c r="F37" s="2222"/>
      <c r="G37" s="2223"/>
      <c r="H37" s="1025" t="str">
        <f t="shared" si="4"/>
        <v>Select</v>
      </c>
      <c r="I37" s="1025" t="str">
        <f t="shared" si="4"/>
        <v>Select</v>
      </c>
      <c r="J37" s="1025" t="str">
        <f t="shared" si="4"/>
        <v>Select</v>
      </c>
      <c r="K37" s="1084" t="str">
        <f t="shared" si="6"/>
        <v>-</v>
      </c>
      <c r="L37" s="1085" t="str">
        <f t="shared" si="5"/>
        <v>-</v>
      </c>
      <c r="M37" s="2226"/>
      <c r="N37" s="2227"/>
      <c r="O37" s="1554"/>
      <c r="P37" s="1090"/>
      <c r="Q37" s="2228"/>
      <c r="R37" s="2229"/>
      <c r="S37" s="2229"/>
      <c r="T37" s="2230"/>
      <c r="U37" s="63"/>
      <c r="V37" s="63"/>
      <c r="W37" s="571" t="str">
        <f>IF('PR_Programmatic Progress_1B'!A30="","",'PR_Programmatic Progress_1B'!A30)</f>
        <v/>
      </c>
      <c r="X37" s="572" t="str">
        <f>IF('PR_Programmatic Progress_1B'!B30="","",'PR_Programmatic Progress_1B'!B30)</f>
        <v/>
      </c>
      <c r="Y37" s="2221" t="str">
        <f>IF('PR_Programmatic Progress_1B'!C30="","",'PR_Programmatic Progress_1B'!C30)</f>
        <v/>
      </c>
      <c r="Z37" s="2222"/>
      <c r="AA37" s="2222"/>
      <c r="AB37" s="2222"/>
      <c r="AC37" s="2223"/>
      <c r="AD37" s="1025" t="str">
        <f>IF('PR_Programmatic Progress_1B'!G30="","",'PR_Programmatic Progress_1B'!G30)</f>
        <v>Select</v>
      </c>
      <c r="AE37" s="1025" t="str">
        <f>IF('PR_Programmatic Progress_1B'!H30="","",'PR_Programmatic Progress_1B'!H30)</f>
        <v>Select</v>
      </c>
      <c r="AF37" s="1025" t="str">
        <f>IF('PR_Programmatic Progress_1B'!I30="","",'PR_Programmatic Progress_1B'!I30)</f>
        <v>Select</v>
      </c>
      <c r="AG37" s="1025" t="str">
        <f>IF('PR_Programmatic Progress_1B'!L30="","",'PR_Programmatic Progress_1B'!L30)</f>
        <v>-</v>
      </c>
      <c r="AH37" s="1047" t="str">
        <f>IF('PR_Programmatic Progress_1B'!M30="","",'PR_Programmatic Progress_1B'!M30)</f>
        <v>-</v>
      </c>
    </row>
    <row r="38" spans="1:34" x14ac:dyDescent="0.2">
      <c r="I38" s="573"/>
    </row>
    <row r="39" spans="1:34" ht="52.5" customHeight="1" thickBot="1" x14ac:dyDescent="0.25">
      <c r="A39" s="2224" t="s">
        <v>73</v>
      </c>
      <c r="B39" s="2225"/>
      <c r="C39" s="2225"/>
      <c r="D39" s="2225"/>
      <c r="E39" s="2225"/>
      <c r="F39" s="2225"/>
      <c r="G39" s="2225"/>
      <c r="H39" s="2225"/>
      <c r="I39" s="2225"/>
      <c r="J39" s="2225"/>
      <c r="K39" s="2225"/>
      <c r="L39" s="2225"/>
      <c r="M39" s="2225"/>
      <c r="N39" s="2225"/>
      <c r="O39" s="2225"/>
      <c r="P39" s="2225"/>
      <c r="Q39" s="2225"/>
      <c r="R39" s="2225"/>
      <c r="S39" s="2225"/>
      <c r="T39" s="2225"/>
    </row>
    <row r="40" spans="1:34" x14ac:dyDescent="0.2">
      <c r="A40" s="2204" t="s">
        <v>724</v>
      </c>
      <c r="B40" s="2205"/>
      <c r="C40" s="2205"/>
      <c r="D40" s="2205"/>
      <c r="E40" s="2205"/>
      <c r="F40" s="2205"/>
      <c r="G40" s="2205"/>
      <c r="H40" s="2205"/>
      <c r="I40" s="2205"/>
      <c r="J40" s="2205"/>
      <c r="K40" s="2205"/>
      <c r="L40" s="2205"/>
      <c r="M40" s="2205"/>
      <c r="N40" s="2205"/>
      <c r="O40" s="2205"/>
      <c r="P40" s="2205"/>
      <c r="Q40" s="2205"/>
      <c r="R40" s="2205"/>
      <c r="S40" s="2205"/>
      <c r="T40" s="2206"/>
    </row>
    <row r="41" spans="1:34" x14ac:dyDescent="0.2">
      <c r="A41" s="2207"/>
      <c r="B41" s="2208"/>
      <c r="C41" s="2208"/>
      <c r="D41" s="2208"/>
      <c r="E41" s="2208"/>
      <c r="F41" s="2208"/>
      <c r="G41" s="2208"/>
      <c r="H41" s="2208"/>
      <c r="I41" s="2208"/>
      <c r="J41" s="2208"/>
      <c r="K41" s="2208"/>
      <c r="L41" s="2208"/>
      <c r="M41" s="2208"/>
      <c r="N41" s="2208"/>
      <c r="O41" s="2208"/>
      <c r="P41" s="2208"/>
      <c r="Q41" s="2208"/>
      <c r="R41" s="2208"/>
      <c r="S41" s="2208"/>
      <c r="T41" s="2209"/>
    </row>
    <row r="42" spans="1:34" ht="20.25" customHeight="1" x14ac:dyDescent="0.2">
      <c r="A42" s="2207"/>
      <c r="B42" s="2208"/>
      <c r="C42" s="2208"/>
      <c r="D42" s="2208"/>
      <c r="E42" s="2208"/>
      <c r="F42" s="2208"/>
      <c r="G42" s="2208"/>
      <c r="H42" s="2208"/>
      <c r="I42" s="2208"/>
      <c r="J42" s="2208"/>
      <c r="K42" s="2208"/>
      <c r="L42" s="2208"/>
      <c r="M42" s="2208"/>
      <c r="N42" s="2208"/>
      <c r="O42" s="2208"/>
      <c r="P42" s="2208"/>
      <c r="Q42" s="2208"/>
      <c r="R42" s="2208"/>
      <c r="S42" s="2208"/>
      <c r="T42" s="2209"/>
    </row>
    <row r="43" spans="1:34" x14ac:dyDescent="0.2">
      <c r="A43" s="2207"/>
      <c r="B43" s="2208"/>
      <c r="C43" s="2208"/>
      <c r="D43" s="2208"/>
      <c r="E43" s="2208"/>
      <c r="F43" s="2208"/>
      <c r="G43" s="2208"/>
      <c r="H43" s="2208"/>
      <c r="I43" s="2208"/>
      <c r="J43" s="2208"/>
      <c r="K43" s="2208"/>
      <c r="L43" s="2208"/>
      <c r="M43" s="2208"/>
      <c r="N43" s="2208"/>
      <c r="O43" s="2208"/>
      <c r="P43" s="2208"/>
      <c r="Q43" s="2208"/>
      <c r="R43" s="2208"/>
      <c r="S43" s="2208"/>
      <c r="T43" s="2209"/>
    </row>
    <row r="44" spans="1:34" x14ac:dyDescent="0.2">
      <c r="A44" s="2207"/>
      <c r="B44" s="2208"/>
      <c r="C44" s="2208"/>
      <c r="D44" s="2208"/>
      <c r="E44" s="2208"/>
      <c r="F44" s="2208"/>
      <c r="G44" s="2208"/>
      <c r="H44" s="2208"/>
      <c r="I44" s="2208"/>
      <c r="J44" s="2208"/>
      <c r="K44" s="2208"/>
      <c r="L44" s="2208"/>
      <c r="M44" s="2208"/>
      <c r="N44" s="2208"/>
      <c r="O44" s="2208"/>
      <c r="P44" s="2208"/>
      <c r="Q44" s="2208"/>
      <c r="R44" s="2208"/>
      <c r="S44" s="2208"/>
      <c r="T44" s="2209"/>
    </row>
    <row r="45" spans="1:34" x14ac:dyDescent="0.2">
      <c r="A45" s="2207"/>
      <c r="B45" s="2208"/>
      <c r="C45" s="2208"/>
      <c r="D45" s="2208"/>
      <c r="E45" s="2208"/>
      <c r="F45" s="2208"/>
      <c r="G45" s="2208"/>
      <c r="H45" s="2208"/>
      <c r="I45" s="2208"/>
      <c r="J45" s="2208"/>
      <c r="K45" s="2208"/>
      <c r="L45" s="2208"/>
      <c r="M45" s="2208"/>
      <c r="N45" s="2208"/>
      <c r="O45" s="2208"/>
      <c r="P45" s="2208"/>
      <c r="Q45" s="2208"/>
      <c r="R45" s="2208"/>
      <c r="S45" s="2208"/>
      <c r="T45" s="2209"/>
    </row>
    <row r="46" spans="1:34" ht="21" customHeight="1" thickBot="1" x14ac:dyDescent="0.25">
      <c r="A46" s="2210"/>
      <c r="B46" s="2211"/>
      <c r="C46" s="2211"/>
      <c r="D46" s="2211"/>
      <c r="E46" s="2211"/>
      <c r="F46" s="2211"/>
      <c r="G46" s="2211"/>
      <c r="H46" s="2211"/>
      <c r="I46" s="2211"/>
      <c r="J46" s="2211"/>
      <c r="K46" s="2211"/>
      <c r="L46" s="2211"/>
      <c r="M46" s="2211"/>
      <c r="N46" s="2211"/>
      <c r="O46" s="2211"/>
      <c r="P46" s="2211"/>
      <c r="Q46" s="2211"/>
      <c r="R46" s="2211"/>
      <c r="S46" s="2211"/>
      <c r="T46" s="2212"/>
    </row>
  </sheetData>
  <sheetProtection formatCells="0" formatColumns="0" formatRows="0"/>
  <customSheetViews>
    <customSheetView guid="{E26F941C-F347-432D-B4B3-73B25F002075}" scale="70" fitToPage="1" hiddenColumns="1" topLeftCell="AH1">
      <selection activeCell="G6" sqref="G6"/>
      <pageMargins left="0.45" right="0.5" top="0.56000000000000005" bottom="0.45" header="0.36" footer="0.22"/>
      <printOptions horizontalCentered="1"/>
      <pageSetup paperSize="9" scale="43" orientation="landscape" cellComments="asDisplayed" r:id="rId1"/>
      <headerFooter alignWithMargins="0">
        <oddFooter>&amp;L&amp;9SD 3.1A - Form, Ongoing DR/PU and LFA Review and Recommendation_v2.1 February 2006&amp;R&amp;9Page &amp;P of &amp;N</oddFooter>
      </headerFooter>
    </customSheetView>
  </customSheetViews>
  <mergeCells count="132">
    <mergeCell ref="Y37:AC37"/>
    <mergeCell ref="Y35:AC35"/>
    <mergeCell ref="Y36:AC36"/>
    <mergeCell ref="Y33:AC33"/>
    <mergeCell ref="Y34:AC34"/>
    <mergeCell ref="Y30:AC30"/>
    <mergeCell ref="Y31:AC31"/>
    <mergeCell ref="Y28:AC28"/>
    <mergeCell ref="Y29:AC29"/>
    <mergeCell ref="Y26:AC26"/>
    <mergeCell ref="Y27:AC27"/>
    <mergeCell ref="Y24:AC24"/>
    <mergeCell ref="Y25:AC25"/>
    <mergeCell ref="Y22:AC22"/>
    <mergeCell ref="Y23:AC23"/>
    <mergeCell ref="Y20:AC20"/>
    <mergeCell ref="Y21:AC21"/>
    <mergeCell ref="Y18:AC18"/>
    <mergeCell ref="Y19:AC19"/>
    <mergeCell ref="Y16:AC16"/>
    <mergeCell ref="Y17:AC17"/>
    <mergeCell ref="Y14:AC14"/>
    <mergeCell ref="Y15:AC15"/>
    <mergeCell ref="Y12:AC12"/>
    <mergeCell ref="Y13:AC13"/>
    <mergeCell ref="Q21:T21"/>
    <mergeCell ref="W9:AH9"/>
    <mergeCell ref="W10:W11"/>
    <mergeCell ref="X10:X11"/>
    <mergeCell ref="Y10:AC11"/>
    <mergeCell ref="AD10:AD11"/>
    <mergeCell ref="AE10:AE11"/>
    <mergeCell ref="AF10:AF11"/>
    <mergeCell ref="AG10:AG11"/>
    <mergeCell ref="AH10:AH11"/>
    <mergeCell ref="Q13:T13"/>
    <mergeCell ref="Q16:T16"/>
    <mergeCell ref="Q17:T17"/>
    <mergeCell ref="Q10:T11"/>
    <mergeCell ref="C36:G36"/>
    <mergeCell ref="M36:N36"/>
    <mergeCell ref="Q36:T36"/>
    <mergeCell ref="C37:G37"/>
    <mergeCell ref="M37:N37"/>
    <mergeCell ref="Q37:T37"/>
    <mergeCell ref="M35:N35"/>
    <mergeCell ref="Q18:T18"/>
    <mergeCell ref="C18:G18"/>
    <mergeCell ref="M23:N23"/>
    <mergeCell ref="Q22:T22"/>
    <mergeCell ref="Q23:T23"/>
    <mergeCell ref="M14:N14"/>
    <mergeCell ref="M18:N18"/>
    <mergeCell ref="M20:N20"/>
    <mergeCell ref="Q15:T15"/>
    <mergeCell ref="Q19:T19"/>
    <mergeCell ref="Q20:T20"/>
    <mergeCell ref="Q14:T14"/>
    <mergeCell ref="Q35:T35"/>
    <mergeCell ref="C13:G13"/>
    <mergeCell ref="M13:N13"/>
    <mergeCell ref="M19:N19"/>
    <mergeCell ref="M25:N25"/>
    <mergeCell ref="C19:G19"/>
    <mergeCell ref="C21:G21"/>
    <mergeCell ref="C22:G22"/>
    <mergeCell ref="C14:G14"/>
    <mergeCell ref="C20:G20"/>
    <mergeCell ref="M17:N17"/>
    <mergeCell ref="C15:G15"/>
    <mergeCell ref="C17:G17"/>
    <mergeCell ref="M16:N16"/>
    <mergeCell ref="C16:G16"/>
    <mergeCell ref="M15:N15"/>
    <mergeCell ref="O10:O11"/>
    <mergeCell ref="C10:G11"/>
    <mergeCell ref="M10:N11"/>
    <mergeCell ref="P10:P11"/>
    <mergeCell ref="J10:J11"/>
    <mergeCell ref="I10:I11"/>
    <mergeCell ref="M12:N12"/>
    <mergeCell ref="C12:G12"/>
    <mergeCell ref="K10:K11"/>
    <mergeCell ref="L10:L11"/>
    <mergeCell ref="A1:K1"/>
    <mergeCell ref="A3:C3"/>
    <mergeCell ref="A4:C4"/>
    <mergeCell ref="A5:C5"/>
    <mergeCell ref="A6:C6"/>
    <mergeCell ref="A8:T8"/>
    <mergeCell ref="A7:L7"/>
    <mergeCell ref="A9:T9"/>
    <mergeCell ref="M27:N27"/>
    <mergeCell ref="Q27:T27"/>
    <mergeCell ref="Q25:T25"/>
    <mergeCell ref="Q26:T26"/>
    <mergeCell ref="M21:N21"/>
    <mergeCell ref="M22:N22"/>
    <mergeCell ref="M24:N24"/>
    <mergeCell ref="Q24:T24"/>
    <mergeCell ref="C23:G23"/>
    <mergeCell ref="C27:G27"/>
    <mergeCell ref="C26:G26"/>
    <mergeCell ref="C25:G25"/>
    <mergeCell ref="A10:A11"/>
    <mergeCell ref="B10:B11"/>
    <mergeCell ref="Q12:T12"/>
    <mergeCell ref="H10:H11"/>
    <mergeCell ref="A40:T46"/>
    <mergeCell ref="C31:G31"/>
    <mergeCell ref="Q31:T31"/>
    <mergeCell ref="C24:G24"/>
    <mergeCell ref="M26:N26"/>
    <mergeCell ref="C33:G33"/>
    <mergeCell ref="A39:T39"/>
    <mergeCell ref="M31:N31"/>
    <mergeCell ref="M33:N33"/>
    <mergeCell ref="Q33:T33"/>
    <mergeCell ref="C34:G34"/>
    <mergeCell ref="M34:N34"/>
    <mergeCell ref="Q34:T34"/>
    <mergeCell ref="C35:G35"/>
    <mergeCell ref="A32:T32"/>
    <mergeCell ref="C28:G28"/>
    <mergeCell ref="Q28:T28"/>
    <mergeCell ref="C30:G30"/>
    <mergeCell ref="C29:G29"/>
    <mergeCell ref="M30:N30"/>
    <mergeCell ref="Q30:T30"/>
    <mergeCell ref="M28:N28"/>
    <mergeCell ref="M29:N29"/>
    <mergeCell ref="Q29:T29"/>
  </mergeCells>
  <phoneticPr fontId="29" type="noConversion"/>
  <conditionalFormatting sqref="A12:L31 A32 A33:L37">
    <cfRule type="cellIs" dxfId="35" priority="1" operator="notEqual">
      <formula>W12</formula>
    </cfRule>
  </conditionalFormatting>
  <dataValidations count="5">
    <dataValidation type="list" allowBlank="1" showInputMessage="1" showErrorMessage="1" sqref="M33:M37 M12:M31">
      <formula1>"Select,Not Verified,Desk Review,PR On-site Visit,SR On-site Visit,Other ..."</formula1>
    </dataValidation>
    <dataValidation type="list" allowBlank="1" showInputMessage="1" showErrorMessage="1" sqref="AE12:AE37">
      <formula1>"Select, Y-over program term, Y-cumulative annually, N-not cumulative"</formula1>
    </dataValidation>
    <dataValidation type="list" allowBlank="1" showInputMessage="1" showErrorMessage="1" sqref="AF12:AF37 J12:J31 J33:J37">
      <formula1>"Select, Yes - Top 10, Top 10 equivalent, No"</formula1>
    </dataValidation>
    <dataValidation type="list" allowBlank="1" showInputMessage="1" showErrorMessage="1" sqref="AD12:AD37 H12:H31 H33:H37">
      <formula1>"Select, National Program, Current grant, GF, GF and other donors"</formula1>
    </dataValidation>
    <dataValidation type="list" allowBlank="1" showInputMessage="1" showErrorMessage="1" sqref="I12:I31 I33:I37">
      <formula1>"Select, Y-over program term, Y-cumulative annually, N-not cumulative, Y-over RCC term"</formula1>
    </dataValidation>
  </dataValidations>
  <printOptions horizontalCentered="1"/>
  <pageMargins left="0.55118110236220474" right="0.55118110236220474" top="0.39370078740157483" bottom="0.59055118110236227" header="0.51181102362204722" footer="0.51181102362204722"/>
  <pageSetup paperSize="9" scale="39" fitToHeight="0" orientation="landscape" cellComments="asDisplayed" r:id="rId2"/>
  <headerFooter alignWithMargins="0">
    <oddFooter>&amp;L&amp;9&amp;F&amp;C&amp;A&amp;R&amp;9Page &amp;P of &amp;N</oddFooter>
  </headerFooter>
  <rowBreaks count="1" manualBreakCount="1">
    <brk id="26" max="20"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0"/>
    <pageSetUpPr fitToPage="1"/>
  </sheetPr>
  <dimension ref="A1:IU77"/>
  <sheetViews>
    <sheetView view="pageBreakPreview" zoomScale="70" zoomScaleNormal="65" zoomScaleSheetLayoutView="70" workbookViewId="0">
      <selection activeCell="A16" sqref="A16:C16"/>
    </sheetView>
  </sheetViews>
  <sheetFormatPr defaultColWidth="0" defaultRowHeight="15" x14ac:dyDescent="0.2"/>
  <cols>
    <col min="1" max="1" width="15.42578125" style="70" customWidth="1"/>
    <col min="2" max="2" width="33.28515625" style="70" customWidth="1"/>
    <col min="3" max="3" width="18.7109375" style="70" customWidth="1"/>
    <col min="4" max="4" width="20.7109375" style="70" customWidth="1"/>
    <col min="5" max="5" width="19.28515625" style="70" customWidth="1"/>
    <col min="6" max="6" width="20" style="70" customWidth="1"/>
    <col min="7" max="7" width="0.5703125" style="70" hidden="1" customWidth="1"/>
    <col min="8" max="8" width="6.5703125" style="70" hidden="1" customWidth="1"/>
    <col min="9" max="9" width="1" style="70" customWidth="1"/>
    <col min="10" max="10" width="18.140625" style="71" customWidth="1"/>
    <col min="11" max="11" width="21.7109375" style="70" customWidth="1"/>
    <col min="12" max="12" width="83" style="70" customWidth="1"/>
    <col min="13" max="23" width="9.140625" style="69" customWidth="1"/>
    <col min="24" max="24" width="0" style="69" hidden="1" customWidth="1"/>
    <col min="25" max="25" width="9.85546875" style="69" hidden="1" customWidth="1"/>
    <col min="26" max="28" width="0" style="69" hidden="1" customWidth="1"/>
    <col min="29" max="29" width="9.85546875" style="69" hidden="1" customWidth="1"/>
    <col min="30" max="251" width="0" style="69" hidden="1" customWidth="1"/>
    <col min="252" max="252" width="9.85546875" style="69" hidden="1" customWidth="1"/>
    <col min="253" max="255" width="0" style="69" hidden="1" customWidth="1"/>
    <col min="256" max="16384" width="9.85546875" style="69" hidden="1"/>
  </cols>
  <sheetData>
    <row r="1" spans="1:23" s="3" customFormat="1" ht="25.5" customHeight="1" x14ac:dyDescent="0.25">
      <c r="A1" s="2164" t="s">
        <v>285</v>
      </c>
      <c r="B1" s="2164"/>
      <c r="C1" s="2164"/>
      <c r="D1" s="2164"/>
      <c r="E1" s="2164"/>
      <c r="F1" s="2164"/>
      <c r="G1" s="2164"/>
      <c r="H1" s="2164"/>
      <c r="I1" s="2164"/>
      <c r="J1" s="2164"/>
      <c r="K1" s="70"/>
      <c r="L1" s="70"/>
      <c r="M1" s="69"/>
      <c r="N1" s="69"/>
      <c r="O1" s="69"/>
      <c r="P1" s="69"/>
      <c r="Q1" s="69"/>
      <c r="R1" s="69"/>
      <c r="S1" s="69"/>
      <c r="T1" s="69"/>
      <c r="U1" s="69"/>
      <c r="V1" s="69"/>
      <c r="W1" s="69"/>
    </row>
    <row r="2" spans="1:23" s="13" customFormat="1" ht="27" customHeight="1" thickBot="1" x14ac:dyDescent="0.3">
      <c r="A2" s="98" t="s">
        <v>156</v>
      </c>
      <c r="B2" s="90"/>
      <c r="C2" s="90"/>
      <c r="D2" s="90"/>
      <c r="E2" s="90"/>
      <c r="F2" s="90"/>
      <c r="G2" s="90"/>
      <c r="H2" s="90"/>
      <c r="I2" s="90"/>
      <c r="J2" s="90"/>
      <c r="K2" s="90"/>
      <c r="L2" s="90"/>
      <c r="M2" s="69"/>
      <c r="N2" s="69"/>
      <c r="O2" s="69"/>
      <c r="P2" s="69"/>
      <c r="Q2" s="69"/>
      <c r="R2" s="69"/>
      <c r="S2" s="69"/>
      <c r="T2" s="69"/>
      <c r="U2" s="69"/>
      <c r="V2" s="69"/>
      <c r="W2" s="69"/>
    </row>
    <row r="3" spans="1:23" s="4" customFormat="1" ht="27.75" customHeight="1" thickBot="1" x14ac:dyDescent="0.25">
      <c r="A3" s="2170" t="s">
        <v>70</v>
      </c>
      <c r="B3" s="2171"/>
      <c r="C3" s="2349" t="str">
        <f>IF('LFA_Programmatic Progress_1A'!C7="","",'LFA_Programmatic Progress_1A'!C7)</f>
        <v>MNR-809-G04-H</v>
      </c>
      <c r="D3" s="2350"/>
      <c r="E3" s="2350"/>
      <c r="F3" s="2351"/>
      <c r="G3" s="1427"/>
      <c r="H3" s="1427"/>
      <c r="I3" s="1427"/>
      <c r="J3" s="1427"/>
      <c r="K3" s="1427"/>
      <c r="L3" s="1427"/>
      <c r="M3" s="208"/>
      <c r="N3" s="208"/>
      <c r="O3" s="208"/>
      <c r="P3" s="208"/>
      <c r="Q3" s="208"/>
      <c r="R3" s="208"/>
      <c r="S3" s="208"/>
      <c r="T3" s="208"/>
      <c r="U3" s="208"/>
      <c r="V3" s="208"/>
      <c r="W3" s="208"/>
    </row>
    <row r="4" spans="1:23" s="4" customFormat="1" ht="15" customHeight="1" x14ac:dyDescent="0.2">
      <c r="A4" s="1428" t="s">
        <v>277</v>
      </c>
      <c r="B4" s="1429"/>
      <c r="C4" s="1430" t="s">
        <v>283</v>
      </c>
      <c r="D4" s="1431" t="str">
        <f>IF('LFA_Programmatic Progress_1A'!D12="Select","",'LFA_Programmatic Progress_1A'!D12)</f>
        <v>Quarter</v>
      </c>
      <c r="E4" s="1432" t="s">
        <v>284</v>
      </c>
      <c r="F4" s="1433">
        <f>IF('LFA_Programmatic Progress_1A'!F12="Select","",'LFA_Programmatic Progress_1A'!F12)</f>
        <v>7</v>
      </c>
      <c r="G4" s="1427"/>
      <c r="H4" s="1427"/>
      <c r="I4" s="1427"/>
      <c r="J4" s="1427"/>
      <c r="K4" s="1427"/>
      <c r="L4" s="1427"/>
      <c r="M4" s="208"/>
      <c r="N4" s="208"/>
      <c r="O4" s="208"/>
      <c r="P4" s="208"/>
      <c r="Q4" s="208"/>
      <c r="R4" s="208"/>
      <c r="S4" s="208"/>
      <c r="T4" s="208"/>
      <c r="U4" s="208"/>
      <c r="V4" s="208"/>
      <c r="W4" s="208"/>
    </row>
    <row r="5" spans="1:23" s="4" customFormat="1" ht="15" customHeight="1" x14ac:dyDescent="0.2">
      <c r="A5" s="1434" t="s">
        <v>278</v>
      </c>
      <c r="B5" s="1435"/>
      <c r="C5" s="1436" t="s">
        <v>246</v>
      </c>
      <c r="D5" s="1437">
        <f>IF('LFA_Programmatic Progress_1A'!D13="","",'LFA_Programmatic Progress_1A'!D13)</f>
        <v>40452</v>
      </c>
      <c r="E5" s="1432" t="s">
        <v>264</v>
      </c>
      <c r="F5" s="1438">
        <f>IF('LFA_Programmatic Progress_1A'!F13="","",'LFA_Programmatic Progress_1A'!F13)</f>
        <v>40543</v>
      </c>
      <c r="G5" s="1427"/>
      <c r="H5" s="1427"/>
      <c r="I5" s="1427"/>
      <c r="J5" s="1427"/>
      <c r="K5" s="1427"/>
      <c r="L5" s="1427"/>
      <c r="M5" s="208"/>
      <c r="N5" s="208"/>
      <c r="O5" s="208"/>
      <c r="P5" s="208"/>
      <c r="Q5" s="208"/>
      <c r="R5" s="208"/>
      <c r="S5" s="208"/>
      <c r="T5" s="208"/>
      <c r="U5" s="208"/>
      <c r="V5" s="208"/>
      <c r="W5" s="208"/>
    </row>
    <row r="6" spans="1:23" s="4" customFormat="1" ht="15" customHeight="1" thickBot="1" x14ac:dyDescent="0.25">
      <c r="A6" s="1439" t="s">
        <v>279</v>
      </c>
      <c r="B6" s="1440"/>
      <c r="C6" s="2154">
        <f>IF('LFA_Programmatic Progress_1A'!C14="Select","",'LFA_Programmatic Progress_1A'!C14)</f>
        <v>5</v>
      </c>
      <c r="D6" s="2155"/>
      <c r="E6" s="2155"/>
      <c r="F6" s="2156"/>
      <c r="G6" s="1427"/>
      <c r="H6" s="1427"/>
      <c r="I6" s="1427"/>
      <c r="J6" s="1427"/>
      <c r="K6" s="1427"/>
      <c r="L6" s="1427"/>
      <c r="M6" s="208"/>
      <c r="N6" s="208"/>
      <c r="O6" s="208"/>
      <c r="P6" s="208"/>
      <c r="Q6" s="208"/>
      <c r="R6" s="208"/>
      <c r="S6" s="208"/>
      <c r="T6" s="208"/>
      <c r="U6" s="208"/>
      <c r="V6" s="208"/>
      <c r="W6" s="208"/>
    </row>
    <row r="7" spans="1:23" s="4" customFormat="1" ht="9" customHeight="1" x14ac:dyDescent="0.2">
      <c r="A7" s="1441"/>
      <c r="B7" s="1442"/>
      <c r="C7" s="1443"/>
      <c r="D7" s="1444"/>
      <c r="E7" s="1445"/>
      <c r="F7" s="1443"/>
      <c r="G7" s="1446"/>
      <c r="H7" s="1446"/>
      <c r="I7" s="1447"/>
      <c r="J7" s="1447"/>
      <c r="K7" s="1427"/>
      <c r="L7" s="1427"/>
      <c r="M7" s="208"/>
      <c r="N7" s="208"/>
      <c r="O7" s="208"/>
      <c r="P7" s="208"/>
      <c r="Q7" s="208"/>
      <c r="R7" s="208"/>
      <c r="S7" s="208"/>
      <c r="T7" s="208"/>
      <c r="U7" s="208"/>
      <c r="V7" s="208"/>
      <c r="W7" s="208"/>
    </row>
    <row r="8" spans="1:23" s="4" customFormat="1" ht="19.5" customHeight="1" x14ac:dyDescent="0.2">
      <c r="A8" s="1448" t="s">
        <v>229</v>
      </c>
      <c r="B8" s="1449"/>
      <c r="C8" s="1450"/>
      <c r="D8" s="1450"/>
      <c r="E8" s="1451"/>
      <c r="F8" s="1452"/>
      <c r="G8" s="1453"/>
      <c r="H8" s="1453"/>
      <c r="I8" s="1454"/>
      <c r="J8" s="1455"/>
      <c r="K8" s="1427"/>
      <c r="L8" s="1427"/>
      <c r="M8" s="208"/>
      <c r="N8" s="208"/>
      <c r="O8" s="208"/>
      <c r="P8" s="208"/>
      <c r="Q8" s="208"/>
      <c r="R8" s="208"/>
      <c r="S8" s="208"/>
      <c r="T8" s="208"/>
      <c r="U8" s="208"/>
      <c r="V8" s="208"/>
      <c r="W8" s="208"/>
    </row>
    <row r="9" spans="1:23" s="506" customFormat="1" ht="5.25" customHeight="1" x14ac:dyDescent="0.2">
      <c r="A9" s="1456"/>
      <c r="B9" s="1457"/>
      <c r="C9" s="1458"/>
      <c r="D9" s="1458"/>
      <c r="E9" s="1458"/>
      <c r="F9" s="1458"/>
      <c r="G9" s="1459"/>
      <c r="H9" s="1459"/>
      <c r="I9" s="1458"/>
      <c r="J9" s="1457"/>
      <c r="K9" s="1459"/>
      <c r="L9" s="1460"/>
      <c r="M9" s="945"/>
      <c r="N9" s="945"/>
      <c r="O9" s="945"/>
      <c r="P9" s="945"/>
      <c r="Q9" s="945"/>
      <c r="R9" s="945"/>
      <c r="S9" s="945"/>
      <c r="T9" s="945"/>
      <c r="U9" s="945"/>
      <c r="V9" s="945"/>
      <c r="W9" s="945"/>
    </row>
    <row r="10" spans="1:23" s="17" customFormat="1" ht="24.75" customHeight="1" x14ac:dyDescent="0.2">
      <c r="A10" s="2136" t="s">
        <v>506</v>
      </c>
      <c r="B10" s="2352"/>
      <c r="C10" s="2352"/>
      <c r="D10" s="2352"/>
      <c r="E10" s="2352"/>
      <c r="F10" s="2352"/>
      <c r="G10" s="2352"/>
      <c r="H10" s="2352"/>
      <c r="I10" s="2352"/>
      <c r="J10" s="2352"/>
      <c r="K10" s="2352"/>
      <c r="L10" s="2352"/>
      <c r="M10" s="984"/>
      <c r="N10" s="984"/>
      <c r="O10" s="984"/>
      <c r="P10" s="984"/>
      <c r="Q10" s="984"/>
      <c r="R10" s="984"/>
      <c r="S10" s="984"/>
      <c r="T10" s="984"/>
      <c r="U10" s="984"/>
      <c r="V10" s="984"/>
      <c r="W10" s="984"/>
    </row>
    <row r="11" spans="1:23" s="17" customFormat="1" ht="27" customHeight="1" x14ac:dyDescent="0.2">
      <c r="A11" s="2298" t="s">
        <v>695</v>
      </c>
      <c r="B11" s="2302"/>
      <c r="C11" s="2302"/>
      <c r="D11" s="2302"/>
      <c r="E11" s="2302"/>
      <c r="F11" s="2302"/>
      <c r="G11" s="2302"/>
      <c r="H11" s="2302"/>
      <c r="I11" s="2302"/>
      <c r="J11" s="2302"/>
      <c r="K11" s="2302"/>
      <c r="L11" s="2302"/>
      <c r="M11" s="984"/>
      <c r="N11" s="984"/>
      <c r="O11" s="984"/>
      <c r="P11" s="984"/>
      <c r="Q11" s="984"/>
      <c r="R11" s="984"/>
      <c r="S11" s="984"/>
      <c r="T11" s="984"/>
      <c r="U11" s="984"/>
      <c r="V11" s="984"/>
      <c r="W11" s="984"/>
    </row>
    <row r="12" spans="1:23" s="850" customFormat="1" ht="41.25" customHeight="1" x14ac:dyDescent="0.2">
      <c r="A12" s="2298" t="s">
        <v>696</v>
      </c>
      <c r="B12" s="2299"/>
      <c r="C12" s="2299"/>
      <c r="D12" s="2299"/>
      <c r="E12" s="2299"/>
      <c r="F12" s="2299"/>
      <c r="G12" s="2299"/>
      <c r="H12" s="2299"/>
      <c r="I12" s="2299"/>
      <c r="J12" s="2299"/>
      <c r="K12" s="2299"/>
      <c r="L12" s="2300"/>
      <c r="M12" s="985"/>
      <c r="N12" s="985"/>
      <c r="O12" s="985"/>
      <c r="P12" s="985"/>
      <c r="Q12" s="985"/>
      <c r="R12" s="985"/>
      <c r="S12" s="985"/>
      <c r="T12" s="985"/>
      <c r="U12" s="985"/>
      <c r="V12" s="985"/>
      <c r="W12" s="985"/>
    </row>
    <row r="13" spans="1:23" s="850" customFormat="1" ht="31.5" customHeight="1" thickBot="1" x14ac:dyDescent="0.25">
      <c r="A13" s="2301" t="s">
        <v>697</v>
      </c>
      <c r="B13" s="2301"/>
      <c r="C13" s="2301"/>
      <c r="D13" s="2301"/>
      <c r="E13" s="2301"/>
      <c r="F13" s="2301"/>
      <c r="G13" s="2301"/>
      <c r="H13" s="2301"/>
      <c r="I13" s="2301"/>
      <c r="J13" s="2301"/>
      <c r="K13" s="2301"/>
      <c r="L13" s="2301"/>
      <c r="M13" s="985"/>
      <c r="N13" s="985"/>
      <c r="O13" s="985"/>
      <c r="P13" s="985"/>
      <c r="Q13" s="985"/>
      <c r="R13" s="985"/>
      <c r="S13" s="985"/>
      <c r="T13" s="985"/>
      <c r="U13" s="985"/>
      <c r="V13" s="985"/>
      <c r="W13" s="985"/>
    </row>
    <row r="14" spans="1:23" s="185" customFormat="1" ht="23.25" customHeight="1" thickBot="1" x14ac:dyDescent="0.3">
      <c r="A14" s="202"/>
      <c r="B14" s="203"/>
      <c r="C14" s="204"/>
      <c r="D14" s="369" t="s">
        <v>435</v>
      </c>
      <c r="E14" s="2314" t="s">
        <v>436</v>
      </c>
      <c r="F14" s="2315"/>
      <c r="G14" s="2315"/>
      <c r="H14" s="2315"/>
      <c r="I14" s="2315"/>
      <c r="J14" s="2315"/>
      <c r="K14" s="2316"/>
      <c r="L14" s="2317"/>
      <c r="M14" s="986"/>
      <c r="N14" s="986"/>
      <c r="O14" s="986"/>
      <c r="P14" s="986"/>
      <c r="Q14" s="986"/>
      <c r="R14" s="986"/>
      <c r="S14" s="986"/>
      <c r="T14" s="986"/>
      <c r="U14" s="986"/>
      <c r="V14" s="986"/>
      <c r="W14" s="986"/>
    </row>
    <row r="15" spans="1:23" s="13" customFormat="1" ht="47.25" customHeight="1" thickBot="1" x14ac:dyDescent="0.25">
      <c r="A15" s="2328" t="s">
        <v>250</v>
      </c>
      <c r="B15" s="2329"/>
      <c r="C15" s="2330"/>
      <c r="D15" s="1461" t="s">
        <v>6</v>
      </c>
      <c r="E15" s="1461" t="s">
        <v>6</v>
      </c>
      <c r="F15" s="2325" t="s">
        <v>420</v>
      </c>
      <c r="G15" s="2326"/>
      <c r="H15" s="2326"/>
      <c r="I15" s="2326"/>
      <c r="J15" s="2326"/>
      <c r="K15" s="2326"/>
      <c r="L15" s="2327"/>
      <c r="M15" s="14"/>
      <c r="N15" s="14"/>
      <c r="O15" s="14"/>
      <c r="P15" s="14"/>
      <c r="Q15" s="14"/>
      <c r="R15" s="14"/>
      <c r="S15" s="14"/>
      <c r="T15" s="14"/>
      <c r="U15" s="14"/>
      <c r="V15" s="14"/>
      <c r="W15" s="14"/>
    </row>
    <row r="16" spans="1:23" s="3" customFormat="1" ht="143.25" customHeight="1" x14ac:dyDescent="0.2">
      <c r="A16" s="2311" t="str">
        <f>IF('PR_Grant Management_2'!A14="","",'PR_Grant Management_2'!A14)</f>
        <v xml:space="preserve">The first disbursement of Grant funds by the Global Fund to the Principal Recipient is subject to the satisfaction of each of the following conditions:
a. the delivery by the Principal Recipient to the Global Fund of a statement confirming the bank account into which the Grant funds will be disbursed as indicated in block 10 of the face sheet of this Agreement; </v>
      </c>
      <c r="B16" s="2312"/>
      <c r="C16" s="2313"/>
      <c r="D16" s="1462" t="str">
        <f>IF('PR_Grant Management_2'!F14="","",'PR_Grant Management_2'!F14)</f>
        <v>Met</v>
      </c>
      <c r="E16" s="1463" t="s">
        <v>664</v>
      </c>
      <c r="F16" s="2308" t="s">
        <v>725</v>
      </c>
      <c r="G16" s="2309"/>
      <c r="H16" s="2309"/>
      <c r="I16" s="2309"/>
      <c r="J16" s="2309"/>
      <c r="K16" s="2309"/>
      <c r="L16" s="2310"/>
      <c r="M16" s="69"/>
      <c r="N16" s="69"/>
      <c r="O16" s="69"/>
      <c r="P16" s="69"/>
      <c r="Q16" s="69"/>
      <c r="R16" s="69"/>
      <c r="S16" s="69"/>
      <c r="T16" s="69"/>
      <c r="U16" s="69"/>
      <c r="V16" s="69"/>
      <c r="W16" s="69"/>
    </row>
    <row r="17" spans="1:23" s="3" customFormat="1" ht="108.75" customHeight="1" x14ac:dyDescent="0.2">
      <c r="A17" s="2303" t="str">
        <f>IF('PR_Grant Management_2'!A15="","",'PR_Grant Management_2'!A15)</f>
        <v>The second disbursement of Grant funds by the Global Fund to the Principal Recipient is subject to the delivery by the Principal Recipient to the Global Fund of evidence, in form and substance satisfactory to the Global Fund, that the Principal Recipient has upgraded its Accounting System as well as its Accounting Manual, particularly cash basis of accounting, to facilitate compliance with Global Fund reporting requirements.</v>
      </c>
      <c r="B17" s="2129"/>
      <c r="C17" s="2304"/>
      <c r="D17" s="1464" t="str">
        <f>IF('PR_Grant Management_2'!F15="","",'PR_Grant Management_2'!F15)</f>
        <v>Met</v>
      </c>
      <c r="E17" s="1465" t="s">
        <v>664</v>
      </c>
      <c r="F17" s="2305" t="s">
        <v>693</v>
      </c>
      <c r="G17" s="2217"/>
      <c r="H17" s="2217"/>
      <c r="I17" s="2217"/>
      <c r="J17" s="2217"/>
      <c r="K17" s="2217"/>
      <c r="L17" s="2218"/>
      <c r="M17" s="69"/>
      <c r="N17" s="69"/>
      <c r="O17" s="69"/>
      <c r="P17" s="69"/>
      <c r="Q17" s="69"/>
      <c r="R17" s="69"/>
      <c r="S17" s="69"/>
      <c r="T17" s="69"/>
      <c r="U17" s="69"/>
      <c r="V17" s="69"/>
      <c r="W17" s="69"/>
    </row>
    <row r="18" spans="1:23" s="3" customFormat="1" ht="131.25" customHeight="1" x14ac:dyDescent="0.2">
      <c r="A18" s="2303" t="e">
        <f>IF('PR_Grant Management_2'!#REF!="","",'PR_Grant Management_2'!#REF!)</f>
        <v>#REF!</v>
      </c>
      <c r="B18" s="2129"/>
      <c r="C18" s="2304"/>
      <c r="D18" s="1464" t="e">
        <f>IF('PR_Grant Management_2'!#REF!="","",'PR_Grant Management_2'!#REF!)</f>
        <v>#REF!</v>
      </c>
      <c r="E18" s="1465" t="s">
        <v>664</v>
      </c>
      <c r="F18" s="2306" t="s">
        <v>726</v>
      </c>
      <c r="G18" s="2306"/>
      <c r="H18" s="2306"/>
      <c r="I18" s="2306"/>
      <c r="J18" s="2306"/>
      <c r="K18" s="2306"/>
      <c r="L18" s="2307"/>
      <c r="M18" s="69"/>
      <c r="N18" s="69"/>
      <c r="O18" s="69"/>
      <c r="P18" s="69"/>
      <c r="Q18" s="69"/>
      <c r="R18" s="69"/>
      <c r="S18" s="69"/>
      <c r="T18" s="69"/>
      <c r="U18" s="69"/>
      <c r="V18" s="69"/>
      <c r="W18" s="69"/>
    </row>
    <row r="19" spans="1:23" s="3" customFormat="1" ht="131.25" customHeight="1" x14ac:dyDescent="0.2">
      <c r="A19" s="2303" t="e">
        <f>IF('PR_Grant Management_2'!#REF!="","",'PR_Grant Management_2'!#REF!)</f>
        <v>#REF!</v>
      </c>
      <c r="B19" s="2129"/>
      <c r="C19" s="2304"/>
      <c r="D19" s="1464" t="e">
        <f>IF('PR_Grant Management_2'!#REF!="","",'PR_Grant Management_2'!#REF!)</f>
        <v>#REF!</v>
      </c>
      <c r="E19" s="1465" t="s">
        <v>665</v>
      </c>
      <c r="F19" s="2306" t="s">
        <v>694</v>
      </c>
      <c r="G19" s="2306"/>
      <c r="H19" s="2306"/>
      <c r="I19" s="2306"/>
      <c r="J19" s="2306"/>
      <c r="K19" s="2306"/>
      <c r="L19" s="2307"/>
      <c r="M19" s="69"/>
      <c r="N19" s="69"/>
      <c r="O19" s="69"/>
      <c r="P19" s="69"/>
      <c r="Q19" s="69"/>
      <c r="R19" s="69"/>
      <c r="S19" s="69"/>
      <c r="T19" s="69"/>
      <c r="U19" s="69"/>
      <c r="V19" s="69"/>
      <c r="W19" s="69"/>
    </row>
    <row r="20" spans="1:23" s="3" customFormat="1" ht="119.25" customHeight="1" x14ac:dyDescent="0.2">
      <c r="A20" s="2303" t="e">
        <f>IF('PR_Grant Management_2'!#REF!="","",'PR_Grant Management_2'!#REF!)</f>
        <v>#REF!</v>
      </c>
      <c r="B20" s="2129"/>
      <c r="C20" s="2304"/>
      <c r="D20" s="1464" t="e">
        <f>IF('PR_Grant Management_2'!#REF!="","",'PR_Grant Management_2'!#REF!)</f>
        <v>#REF!</v>
      </c>
      <c r="E20" s="1465"/>
      <c r="F20" s="2306"/>
      <c r="G20" s="2306"/>
      <c r="H20" s="2306"/>
      <c r="I20" s="2306"/>
      <c r="J20" s="2306"/>
      <c r="K20" s="2306"/>
      <c r="L20" s="2307"/>
      <c r="M20" s="69"/>
      <c r="N20" s="69"/>
      <c r="O20" s="69"/>
      <c r="P20" s="69"/>
      <c r="Q20" s="69"/>
      <c r="R20" s="69"/>
      <c r="S20" s="69"/>
      <c r="T20" s="69"/>
      <c r="U20" s="69"/>
      <c r="V20" s="69"/>
      <c r="W20" s="69"/>
    </row>
    <row r="21" spans="1:23" s="3" customFormat="1" ht="209.25" customHeight="1" x14ac:dyDescent="0.2">
      <c r="A21" s="2303" t="e">
        <f>IF('PR_Grant Management_2'!#REF!="","",'PR_Grant Management_2'!#REF!)</f>
        <v>#REF!</v>
      </c>
      <c r="B21" s="2129"/>
      <c r="C21" s="2304"/>
      <c r="D21" s="1464" t="e">
        <f>IF('PR_Grant Management_2'!#REF!="","",'PR_Grant Management_2'!#REF!)</f>
        <v>#REF!</v>
      </c>
      <c r="E21" s="1465" t="s">
        <v>664</v>
      </c>
      <c r="F21" s="2306" t="s">
        <v>727</v>
      </c>
      <c r="G21" s="2306"/>
      <c r="H21" s="2306"/>
      <c r="I21" s="2306"/>
      <c r="J21" s="2306"/>
      <c r="K21" s="2306"/>
      <c r="L21" s="2307"/>
      <c r="M21" s="69"/>
      <c r="N21" s="69"/>
      <c r="O21" s="69"/>
      <c r="P21" s="69"/>
      <c r="Q21" s="69"/>
      <c r="R21" s="69"/>
      <c r="S21" s="69"/>
      <c r="T21" s="69"/>
      <c r="U21" s="69"/>
      <c r="V21" s="69"/>
      <c r="W21" s="69"/>
    </row>
    <row r="22" spans="1:23" s="3" customFormat="1" ht="340.5" customHeight="1" x14ac:dyDescent="0.2">
      <c r="A22" s="2303" t="e">
        <f>IF('PR_Grant Management_2'!#REF!="","",'PR_Grant Management_2'!#REF!)</f>
        <v>#REF!</v>
      </c>
      <c r="B22" s="2129"/>
      <c r="C22" s="2304"/>
      <c r="D22" s="1464" t="e">
        <f>IF('PR_Grant Management_2'!#REF!="","",'PR_Grant Management_2'!#REF!)</f>
        <v>#REF!</v>
      </c>
      <c r="E22" s="1465" t="s">
        <v>665</v>
      </c>
      <c r="F22" s="2306" t="s">
        <v>728</v>
      </c>
      <c r="G22" s="2306"/>
      <c r="H22" s="2306"/>
      <c r="I22" s="2306"/>
      <c r="J22" s="2306"/>
      <c r="K22" s="2306"/>
      <c r="L22" s="2307"/>
      <c r="M22" s="69"/>
      <c r="N22" s="69"/>
      <c r="O22" s="69"/>
      <c r="P22" s="69"/>
      <c r="Q22" s="69"/>
      <c r="R22" s="69"/>
      <c r="S22" s="69"/>
      <c r="T22" s="69"/>
      <c r="U22" s="69"/>
      <c r="V22" s="69"/>
      <c r="W22" s="69"/>
    </row>
    <row r="23" spans="1:23" s="3" customFormat="1" ht="169.5" customHeight="1" x14ac:dyDescent="0.2">
      <c r="A23" s="2303" t="e">
        <f>IF('PR_Grant Management_2'!#REF!="","",'PR_Grant Management_2'!#REF!)</f>
        <v>#REF!</v>
      </c>
      <c r="B23" s="2129"/>
      <c r="C23" s="2304"/>
      <c r="D23" s="1464" t="e">
        <f>IF('PR_Grant Management_2'!#REF!="","",'PR_Grant Management_2'!#REF!)</f>
        <v>#REF!</v>
      </c>
      <c r="E23" s="1465" t="s">
        <v>665</v>
      </c>
      <c r="F23" s="2306" t="s">
        <v>773</v>
      </c>
      <c r="G23" s="2306"/>
      <c r="H23" s="2306"/>
      <c r="I23" s="2306"/>
      <c r="J23" s="2306"/>
      <c r="K23" s="2306"/>
      <c r="L23" s="2307"/>
      <c r="M23" s="69"/>
      <c r="N23" s="69"/>
      <c r="O23" s="69"/>
      <c r="P23" s="69"/>
      <c r="Q23" s="69"/>
      <c r="R23" s="69"/>
      <c r="S23" s="69"/>
      <c r="T23" s="69"/>
      <c r="U23" s="69"/>
      <c r="V23" s="69"/>
      <c r="W23" s="69"/>
    </row>
    <row r="24" spans="1:23" s="3" customFormat="1" ht="41.25" customHeight="1" x14ac:dyDescent="0.2">
      <c r="A24" s="2303" t="e">
        <f>IF('PR_Grant Management_2'!#REF!="","",'PR_Grant Management_2'!#REF!)</f>
        <v>#REF!</v>
      </c>
      <c r="B24" s="2129"/>
      <c r="C24" s="2304"/>
      <c r="D24" s="1464" t="e">
        <f>IF('PR_Grant Management_2'!#REF!="","",'PR_Grant Management_2'!#REF!)</f>
        <v>#REF!</v>
      </c>
      <c r="E24" s="1465"/>
      <c r="F24" s="2306"/>
      <c r="G24" s="2306"/>
      <c r="H24" s="2306"/>
      <c r="I24" s="2306"/>
      <c r="J24" s="2306"/>
      <c r="K24" s="2306"/>
      <c r="L24" s="2307"/>
      <c r="M24" s="69"/>
      <c r="N24" s="69"/>
      <c r="O24" s="69"/>
      <c r="P24" s="69"/>
      <c r="Q24" s="69"/>
      <c r="R24" s="69"/>
      <c r="S24" s="69"/>
      <c r="T24" s="69"/>
      <c r="U24" s="69"/>
      <c r="V24" s="69"/>
      <c r="W24" s="69"/>
    </row>
    <row r="25" spans="1:23" s="3" customFormat="1" ht="41.25" customHeight="1" x14ac:dyDescent="0.2">
      <c r="A25" s="2303" t="e">
        <f>IF('PR_Grant Management_2'!#REF!="","",'PR_Grant Management_2'!#REF!)</f>
        <v>#REF!</v>
      </c>
      <c r="B25" s="2129"/>
      <c r="C25" s="2304"/>
      <c r="D25" s="1464" t="e">
        <f>IF('PR_Grant Management_2'!#REF!="","",'PR_Grant Management_2'!#REF!)</f>
        <v>#REF!</v>
      </c>
      <c r="E25" s="1465"/>
      <c r="F25" s="2306"/>
      <c r="G25" s="2306"/>
      <c r="H25" s="2306"/>
      <c r="I25" s="2306"/>
      <c r="J25" s="2306"/>
      <c r="K25" s="2306"/>
      <c r="L25" s="2307"/>
      <c r="M25" s="69"/>
      <c r="N25" s="69"/>
      <c r="O25" s="69"/>
      <c r="P25" s="69"/>
      <c r="Q25" s="69"/>
      <c r="R25" s="69"/>
      <c r="S25" s="69"/>
      <c r="T25" s="69"/>
      <c r="U25" s="69"/>
      <c r="V25" s="69"/>
      <c r="W25" s="69"/>
    </row>
    <row r="26" spans="1:23" s="3" customFormat="1" ht="41.25" customHeight="1" x14ac:dyDescent="0.2">
      <c r="A26" s="2303" t="e">
        <f>IF('PR_Grant Management_2'!#REF!="","",'PR_Grant Management_2'!#REF!)</f>
        <v>#REF!</v>
      </c>
      <c r="B26" s="2129"/>
      <c r="C26" s="2304"/>
      <c r="D26" s="1464" t="e">
        <f>IF('PR_Grant Management_2'!#REF!="","",'PR_Grant Management_2'!#REF!)</f>
        <v>#REF!</v>
      </c>
      <c r="E26" s="1465"/>
      <c r="F26" s="2306"/>
      <c r="G26" s="2306"/>
      <c r="H26" s="2306"/>
      <c r="I26" s="2306"/>
      <c r="J26" s="2306"/>
      <c r="K26" s="2306"/>
      <c r="L26" s="2307"/>
      <c r="M26" s="69"/>
      <c r="N26" s="69"/>
      <c r="O26" s="69"/>
      <c r="P26" s="69"/>
      <c r="Q26" s="69"/>
      <c r="R26" s="69"/>
      <c r="S26" s="69"/>
      <c r="T26" s="69"/>
      <c r="U26" s="69"/>
      <c r="V26" s="69"/>
      <c r="W26" s="69"/>
    </row>
    <row r="27" spans="1:23" s="3" customFormat="1" ht="13.5" customHeight="1" x14ac:dyDescent="0.2">
      <c r="A27" s="2318" t="str">
        <f>IF('PR_Grant Management_2'!A16="","",'PR_Grant Management_2'!A16)</f>
        <v/>
      </c>
      <c r="B27" s="2319"/>
      <c r="C27" s="2319"/>
      <c r="D27" s="2319"/>
      <c r="E27" s="2319"/>
      <c r="F27" s="2319"/>
      <c r="G27" s="2319"/>
      <c r="H27" s="2319"/>
      <c r="I27" s="2319"/>
      <c r="J27" s="2319"/>
      <c r="K27" s="2319"/>
      <c r="L27" s="2320"/>
      <c r="M27" s="69"/>
      <c r="N27" s="69"/>
      <c r="O27" s="69"/>
      <c r="P27" s="69"/>
      <c r="Q27" s="69"/>
      <c r="R27" s="69"/>
      <c r="S27" s="69"/>
      <c r="T27" s="69"/>
      <c r="U27" s="69"/>
      <c r="V27" s="69"/>
      <c r="W27" s="69"/>
    </row>
    <row r="28" spans="1:23" s="3" customFormat="1" ht="41.25" customHeight="1" x14ac:dyDescent="0.2">
      <c r="A28" s="2303" t="e">
        <f>IF('PR_Grant Management_2'!#REF!="","",'PR_Grant Management_2'!#REF!)</f>
        <v>#REF!</v>
      </c>
      <c r="B28" s="2129"/>
      <c r="C28" s="2304"/>
      <c r="D28" s="1464" t="e">
        <f>IF('PR_Grant Management_2'!#REF!="","",'PR_Grant Management_2'!#REF!)</f>
        <v>#REF!</v>
      </c>
      <c r="E28" s="1465"/>
      <c r="F28" s="2306"/>
      <c r="G28" s="2306"/>
      <c r="H28" s="2306"/>
      <c r="I28" s="2306"/>
      <c r="J28" s="2306"/>
      <c r="K28" s="2306"/>
      <c r="L28" s="2307"/>
      <c r="M28" s="69"/>
      <c r="N28" s="69"/>
      <c r="O28" s="69"/>
      <c r="P28" s="69"/>
      <c r="Q28" s="69"/>
      <c r="R28" s="69"/>
      <c r="S28" s="69"/>
      <c r="T28" s="69"/>
      <c r="U28" s="69"/>
      <c r="V28" s="69"/>
      <c r="W28" s="69"/>
    </row>
    <row r="29" spans="1:23" s="3" customFormat="1" ht="41.25" customHeight="1" x14ac:dyDescent="0.2">
      <c r="A29" s="2303" t="e">
        <f>IF('PR_Grant Management_2'!#REF!="","",'PR_Grant Management_2'!#REF!)</f>
        <v>#REF!</v>
      </c>
      <c r="B29" s="2129"/>
      <c r="C29" s="2304"/>
      <c r="D29" s="1464" t="e">
        <f>IF('PR_Grant Management_2'!#REF!="","",'PR_Grant Management_2'!#REF!)</f>
        <v>#REF!</v>
      </c>
      <c r="E29" s="1465"/>
      <c r="F29" s="2306"/>
      <c r="G29" s="2306"/>
      <c r="H29" s="2306"/>
      <c r="I29" s="2306"/>
      <c r="J29" s="2306"/>
      <c r="K29" s="2306"/>
      <c r="L29" s="2307"/>
      <c r="M29" s="69"/>
      <c r="N29" s="69"/>
      <c r="O29" s="69"/>
      <c r="P29" s="69"/>
      <c r="Q29" s="69"/>
      <c r="R29" s="69"/>
      <c r="S29" s="69"/>
      <c r="T29" s="69"/>
      <c r="U29" s="69"/>
      <c r="V29" s="69"/>
      <c r="W29" s="69"/>
    </row>
    <row r="30" spans="1:23" s="3" customFormat="1" ht="41.25" customHeight="1" x14ac:dyDescent="0.2">
      <c r="A30" s="2303" t="e">
        <f>IF('PR_Grant Management_2'!#REF!="","",'PR_Grant Management_2'!#REF!)</f>
        <v>#REF!</v>
      </c>
      <c r="B30" s="2129"/>
      <c r="C30" s="2304"/>
      <c r="D30" s="1464" t="e">
        <f>IF('PR_Grant Management_2'!#REF!="","",'PR_Grant Management_2'!#REF!)</f>
        <v>#REF!</v>
      </c>
      <c r="E30" s="1465"/>
      <c r="F30" s="2306"/>
      <c r="G30" s="2306"/>
      <c r="H30" s="2306"/>
      <c r="I30" s="2306"/>
      <c r="J30" s="2306"/>
      <c r="K30" s="2306"/>
      <c r="L30" s="2307"/>
      <c r="M30" s="69"/>
      <c r="N30" s="69"/>
      <c r="O30" s="69"/>
      <c r="P30" s="69"/>
      <c r="Q30" s="69"/>
      <c r="R30" s="69"/>
      <c r="S30" s="69"/>
      <c r="T30" s="69"/>
      <c r="U30" s="69"/>
      <c r="V30" s="69"/>
      <c r="W30" s="69"/>
    </row>
    <row r="31" spans="1:23" s="346" customFormat="1" ht="17.25" customHeight="1" x14ac:dyDescent="0.2">
      <c r="A31" s="1466"/>
      <c r="B31" s="1467"/>
      <c r="C31" s="1468"/>
      <c r="D31" s="1467"/>
      <c r="E31" s="1467"/>
      <c r="F31" s="1467"/>
      <c r="G31" s="1468"/>
      <c r="H31" s="1468"/>
      <c r="I31" s="1466"/>
      <c r="J31" s="1468"/>
      <c r="K31" s="1469"/>
      <c r="L31" s="1468"/>
    </row>
    <row r="32" spans="1:23" s="3" customFormat="1" ht="25.5" customHeight="1" x14ac:dyDescent="0.2">
      <c r="A32" s="2136" t="s">
        <v>507</v>
      </c>
      <c r="B32" s="2352"/>
      <c r="C32" s="2352"/>
      <c r="D32" s="2352"/>
      <c r="E32" s="2352"/>
      <c r="F32" s="2352"/>
      <c r="G32" s="2352"/>
      <c r="H32" s="2352"/>
      <c r="I32" s="2352"/>
      <c r="J32" s="2352"/>
      <c r="K32" s="2352"/>
      <c r="L32" s="2352"/>
      <c r="M32" s="69"/>
      <c r="N32" s="69"/>
      <c r="O32" s="69"/>
      <c r="P32" s="69"/>
      <c r="Q32" s="69"/>
      <c r="R32" s="69"/>
      <c r="S32" s="69"/>
      <c r="T32" s="69"/>
      <c r="U32" s="69"/>
      <c r="V32" s="69"/>
      <c r="W32" s="69"/>
    </row>
    <row r="33" spans="1:23" s="3" customFormat="1" ht="5.25" customHeight="1" x14ac:dyDescent="0.25">
      <c r="A33" s="1470"/>
      <c r="B33" s="1118"/>
      <c r="C33" s="1118"/>
      <c r="D33" s="1118"/>
      <c r="E33" s="1118"/>
      <c r="F33" s="1118"/>
      <c r="G33" s="1118"/>
      <c r="H33" s="1118"/>
      <c r="I33" s="1118"/>
      <c r="J33" s="1118"/>
      <c r="K33" s="1118"/>
      <c r="L33" s="1118"/>
      <c r="M33" s="69"/>
      <c r="N33" s="69"/>
      <c r="O33" s="69"/>
      <c r="P33" s="69"/>
      <c r="Q33" s="69"/>
      <c r="R33" s="69"/>
      <c r="S33" s="69"/>
      <c r="T33" s="69"/>
      <c r="U33" s="69"/>
      <c r="V33" s="69"/>
      <c r="W33" s="69"/>
    </row>
    <row r="34" spans="1:23" s="3" customFormat="1" ht="24" customHeight="1" thickBot="1" x14ac:dyDescent="0.3">
      <c r="A34" s="2354" t="s">
        <v>698</v>
      </c>
      <c r="B34" s="2355"/>
      <c r="C34" s="2355"/>
      <c r="D34" s="2355"/>
      <c r="E34" s="2355"/>
      <c r="F34" s="2355"/>
      <c r="G34" s="2355"/>
      <c r="H34" s="2355"/>
      <c r="I34" s="2355"/>
      <c r="J34" s="2355"/>
      <c r="K34" s="2355"/>
      <c r="L34" s="2355"/>
      <c r="M34" s="69"/>
      <c r="N34" s="69"/>
      <c r="O34" s="69"/>
      <c r="P34" s="69"/>
      <c r="Q34" s="69"/>
      <c r="R34" s="69"/>
      <c r="S34" s="69"/>
      <c r="T34" s="69"/>
      <c r="U34" s="69"/>
      <c r="V34" s="69"/>
      <c r="W34" s="69"/>
    </row>
    <row r="35" spans="1:23" s="3" customFormat="1" ht="42" customHeight="1" x14ac:dyDescent="0.2">
      <c r="A35" s="2333" t="s">
        <v>415</v>
      </c>
      <c r="B35" s="2353"/>
      <c r="C35" s="2353"/>
      <c r="D35" s="2321" t="s">
        <v>437</v>
      </c>
      <c r="E35" s="2322"/>
      <c r="F35" s="2322"/>
      <c r="G35" s="2322"/>
      <c r="H35" s="2323"/>
      <c r="I35" s="2323"/>
      <c r="J35" s="2323"/>
      <c r="K35" s="2323"/>
      <c r="L35" s="2324"/>
      <c r="M35" s="69"/>
      <c r="N35" s="69"/>
      <c r="O35" s="69"/>
      <c r="P35" s="69"/>
      <c r="Q35" s="69"/>
      <c r="R35" s="69"/>
      <c r="S35" s="69"/>
      <c r="T35" s="69"/>
      <c r="U35" s="69"/>
      <c r="V35" s="69"/>
      <c r="W35" s="69"/>
    </row>
    <row r="36" spans="1:23" s="3" customFormat="1" ht="40.5" customHeight="1" x14ac:dyDescent="0.2">
      <c r="A36" s="2296" t="str">
        <f>IF('PR_Grant Management_2'!A21="","",'PR_Grant Management_2'!A21)</f>
        <v>Reduce Stigma and Discrimination - Meaningful involvement of PLHIVs (Mission meeting in Nov. 2010)</v>
      </c>
      <c r="B36" s="2297"/>
      <c r="C36" s="2297"/>
      <c r="D36" s="2290" t="s">
        <v>717</v>
      </c>
      <c r="E36" s="2291"/>
      <c r="F36" s="2291"/>
      <c r="G36" s="2291"/>
      <c r="H36" s="2291"/>
      <c r="I36" s="2291"/>
      <c r="J36" s="2291"/>
      <c r="K36" s="2291"/>
      <c r="L36" s="2292"/>
      <c r="M36" s="69"/>
      <c r="N36" s="69"/>
      <c r="O36" s="69"/>
      <c r="P36" s="69"/>
      <c r="Q36" s="69"/>
      <c r="R36" s="69"/>
      <c r="S36" s="69"/>
      <c r="T36" s="69"/>
      <c r="U36" s="69"/>
      <c r="V36" s="69"/>
      <c r="W36" s="69"/>
    </row>
    <row r="37" spans="1:23" s="3" customFormat="1" ht="40.5" customHeight="1" x14ac:dyDescent="0.2">
      <c r="A37" s="2296" t="str">
        <f>IF('PR_Grant Management_2'!A22="","",'PR_Grant Management_2'!A22)</f>
        <v/>
      </c>
      <c r="B37" s="2297"/>
      <c r="C37" s="2297"/>
      <c r="D37" s="2290" t="s">
        <v>729</v>
      </c>
      <c r="E37" s="2291"/>
      <c r="F37" s="2291"/>
      <c r="G37" s="2291"/>
      <c r="H37" s="2291"/>
      <c r="I37" s="2291"/>
      <c r="J37" s="2291"/>
      <c r="K37" s="2291"/>
      <c r="L37" s="2292"/>
      <c r="M37" s="69"/>
      <c r="N37" s="69"/>
      <c r="O37" s="69"/>
      <c r="P37" s="69"/>
      <c r="Q37" s="69"/>
      <c r="R37" s="69"/>
      <c r="S37" s="69"/>
      <c r="T37" s="69"/>
      <c r="U37" s="69"/>
      <c r="V37" s="69"/>
      <c r="W37" s="69"/>
    </row>
    <row r="38" spans="1:23" s="3" customFormat="1" ht="40.5" customHeight="1" x14ac:dyDescent="0.2">
      <c r="A38" s="2296" t="str">
        <f>IF('PR_Grant Management_2'!A23="","",'PR_Grant Management_2'!A23)</f>
        <v/>
      </c>
      <c r="B38" s="2297"/>
      <c r="C38" s="2297"/>
      <c r="D38" s="2290" t="s">
        <v>730</v>
      </c>
      <c r="E38" s="2291"/>
      <c r="F38" s="2291"/>
      <c r="G38" s="2291"/>
      <c r="H38" s="2291"/>
      <c r="I38" s="2291"/>
      <c r="J38" s="2291"/>
      <c r="K38" s="2291"/>
      <c r="L38" s="2292"/>
      <c r="M38" s="69"/>
      <c r="N38" s="69"/>
      <c r="O38" s="69"/>
      <c r="P38" s="69"/>
      <c r="Q38" s="69"/>
      <c r="R38" s="69"/>
      <c r="S38" s="69"/>
      <c r="T38" s="69"/>
      <c r="U38" s="69"/>
      <c r="V38" s="69"/>
      <c r="W38" s="69"/>
    </row>
    <row r="39" spans="1:23" s="3" customFormat="1" ht="40.5" customHeight="1" x14ac:dyDescent="0.2">
      <c r="A39" s="2296" t="str">
        <f>IF('PR_Grant Management_2'!A24="","",'PR_Grant Management_2'!A24)</f>
        <v/>
      </c>
      <c r="B39" s="2297"/>
      <c r="C39" s="2297"/>
      <c r="D39" s="2290" t="s">
        <v>716</v>
      </c>
      <c r="E39" s="2291"/>
      <c r="F39" s="2291"/>
      <c r="G39" s="2291"/>
      <c r="H39" s="2291"/>
      <c r="I39" s="2291"/>
      <c r="J39" s="2291"/>
      <c r="K39" s="2291"/>
      <c r="L39" s="2292"/>
      <c r="M39" s="69"/>
      <c r="N39" s="69"/>
      <c r="O39" s="69"/>
      <c r="P39" s="69"/>
      <c r="Q39" s="69"/>
      <c r="R39" s="69"/>
      <c r="S39" s="69"/>
      <c r="T39" s="69"/>
      <c r="U39" s="69"/>
      <c r="V39" s="69"/>
      <c r="W39" s="69"/>
    </row>
    <row r="40" spans="1:23" s="3" customFormat="1" ht="40.5" customHeight="1" x14ac:dyDescent="0.2">
      <c r="A40" s="2296" t="str">
        <f>IF('PR_Grant Management_2'!A25="","",'PR_Grant Management_2'!A25)</f>
        <v/>
      </c>
      <c r="B40" s="2297"/>
      <c r="C40" s="2297"/>
      <c r="D40" s="2290" t="s">
        <v>774</v>
      </c>
      <c r="E40" s="2291"/>
      <c r="F40" s="2291"/>
      <c r="G40" s="2291"/>
      <c r="H40" s="2291"/>
      <c r="I40" s="2291"/>
      <c r="J40" s="2291"/>
      <c r="K40" s="2291"/>
      <c r="L40" s="2292"/>
      <c r="M40" s="69"/>
      <c r="N40" s="69"/>
      <c r="O40" s="69"/>
      <c r="P40" s="69"/>
      <c r="Q40" s="69"/>
      <c r="R40" s="69"/>
      <c r="S40" s="69"/>
      <c r="T40" s="69"/>
      <c r="U40" s="69"/>
      <c r="V40" s="69"/>
      <c r="W40" s="69"/>
    </row>
    <row r="41" spans="1:23" s="3" customFormat="1" ht="40.5" customHeight="1" x14ac:dyDescent="0.2">
      <c r="A41" s="2296" t="str">
        <f>IF('PR_Grant Management_2'!A26="","",'PR_Grant Management_2'!A26)</f>
        <v xml:space="preserve">1. The sub-recipients audit plan is still outstanding. It was due by 30 October 2010. </v>
      </c>
      <c r="B41" s="2297"/>
      <c r="C41" s="2297"/>
      <c r="D41" s="2290" t="s">
        <v>731</v>
      </c>
      <c r="E41" s="2291"/>
      <c r="F41" s="2291"/>
      <c r="G41" s="2291"/>
      <c r="H41" s="2291"/>
      <c r="I41" s="2291"/>
      <c r="J41" s="2291"/>
      <c r="K41" s="2291"/>
      <c r="L41" s="2292"/>
      <c r="M41" s="69"/>
      <c r="N41" s="69"/>
      <c r="O41" s="69"/>
      <c r="P41" s="69"/>
      <c r="Q41" s="69"/>
      <c r="R41" s="69"/>
      <c r="S41" s="69"/>
      <c r="T41" s="69"/>
      <c r="U41" s="69"/>
      <c r="V41" s="69"/>
      <c r="W41" s="69"/>
    </row>
    <row r="42" spans="1:23" s="3" customFormat="1" ht="40.5" customHeight="1" x14ac:dyDescent="0.2">
      <c r="A42" s="2296" t="str">
        <f>IF('PR_Grant Management_2'!A27="","",'PR_Grant Management_2'!A27)</f>
        <v>2. The PR needs to open a separate bank account for this grant and transfer the correct cash balance from the current joint bank account.</v>
      </c>
      <c r="B42" s="2297"/>
      <c r="C42" s="2297"/>
      <c r="D42" s="2290"/>
      <c r="E42" s="2291"/>
      <c r="F42" s="2291"/>
      <c r="G42" s="2291"/>
      <c r="H42" s="2291"/>
      <c r="I42" s="2291"/>
      <c r="J42" s="2291"/>
      <c r="K42" s="2291"/>
      <c r="L42" s="2292"/>
      <c r="M42" s="69"/>
      <c r="N42" s="69"/>
      <c r="O42" s="69"/>
      <c r="P42" s="69"/>
      <c r="Q42" s="69"/>
      <c r="R42" s="69"/>
      <c r="S42" s="69"/>
      <c r="T42" s="69"/>
      <c r="U42" s="69"/>
      <c r="V42" s="69"/>
      <c r="W42" s="69"/>
    </row>
    <row r="43" spans="1:23" s="3" customFormat="1" ht="40.5" customHeight="1" x14ac:dyDescent="0.2">
      <c r="A43" s="2296" t="str">
        <f>IF('PR_Grant Management_2'!A28="","",'PR_Grant Management_2'!A28)</f>
        <v>3. Although the PR has upgraded its accounting system to allow generating expenses reports on cash basis, the expenditures in the PU are still presented using the accrual basis of accounting. This prevents the verification of the cash balance, which is being calculated as a balance based on the cumulative expenditures of the program. Cumulative expenditures need to be updated based on actual cash disbursements from the PR grant account.</v>
      </c>
      <c r="B43" s="2297"/>
      <c r="C43" s="2297"/>
      <c r="D43" s="2290"/>
      <c r="E43" s="2291"/>
      <c r="F43" s="2291"/>
      <c r="G43" s="2291"/>
      <c r="H43" s="2291"/>
      <c r="I43" s="2291"/>
      <c r="J43" s="2291"/>
      <c r="K43" s="2291"/>
      <c r="L43" s="2292"/>
      <c r="M43" s="69"/>
      <c r="N43" s="69"/>
      <c r="O43" s="69"/>
      <c r="P43" s="69"/>
      <c r="Q43" s="69"/>
      <c r="R43" s="69"/>
      <c r="S43" s="69"/>
      <c r="T43" s="69"/>
      <c r="U43" s="69"/>
      <c r="V43" s="69"/>
      <c r="W43" s="69"/>
    </row>
    <row r="44" spans="1:23" s="3" customFormat="1" ht="40.5" customHeight="1" x14ac:dyDescent="0.2">
      <c r="A44" s="2296" t="str">
        <f>IF('PR_Grant Management_2'!A29="","",'PR_Grant Management_2'!A29)</f>
        <v/>
      </c>
      <c r="B44" s="2297"/>
      <c r="C44" s="2297"/>
      <c r="D44" s="2290"/>
      <c r="E44" s="2291"/>
      <c r="F44" s="2291"/>
      <c r="G44" s="2291"/>
      <c r="H44" s="2291"/>
      <c r="I44" s="2291"/>
      <c r="J44" s="2291"/>
      <c r="K44" s="2291"/>
      <c r="L44" s="2292"/>
      <c r="M44" s="69"/>
      <c r="N44" s="69"/>
      <c r="O44" s="69"/>
      <c r="P44" s="69"/>
      <c r="Q44" s="69"/>
      <c r="R44" s="69"/>
      <c r="S44" s="69"/>
      <c r="T44" s="69"/>
      <c r="U44" s="69"/>
      <c r="V44" s="69"/>
      <c r="W44" s="69"/>
    </row>
    <row r="45" spans="1:23" s="3" customFormat="1" ht="40.5" customHeight="1" x14ac:dyDescent="0.2">
      <c r="A45" s="2296" t="str">
        <f>IF('PR_Grant Management_2'!A30="","",'PR_Grant Management_2'!A30)</f>
        <v/>
      </c>
      <c r="B45" s="2297"/>
      <c r="C45" s="2297"/>
      <c r="D45" s="2290"/>
      <c r="E45" s="2291"/>
      <c r="F45" s="2291"/>
      <c r="G45" s="2291"/>
      <c r="H45" s="2291"/>
      <c r="I45" s="2291"/>
      <c r="J45" s="2291"/>
      <c r="K45" s="2291"/>
      <c r="L45" s="2292"/>
      <c r="M45" s="69"/>
      <c r="N45" s="69"/>
      <c r="O45" s="69"/>
      <c r="P45" s="69"/>
      <c r="Q45" s="69"/>
      <c r="R45" s="69"/>
      <c r="S45" s="69"/>
      <c r="T45" s="69"/>
      <c r="U45" s="69"/>
      <c r="V45" s="69"/>
      <c r="W45" s="69"/>
    </row>
    <row r="46" spans="1:23" s="3" customFormat="1" ht="40.5" customHeight="1" x14ac:dyDescent="0.2">
      <c r="A46" s="2296" t="e">
        <f>IF('PR_Grant Management_2'!#REF!="","",'PR_Grant Management_2'!#REF!)</f>
        <v>#REF!</v>
      </c>
      <c r="B46" s="2297"/>
      <c r="C46" s="2297"/>
      <c r="D46" s="2290"/>
      <c r="E46" s="2291"/>
      <c r="F46" s="2291"/>
      <c r="G46" s="2291"/>
      <c r="H46" s="2291"/>
      <c r="I46" s="2291"/>
      <c r="J46" s="2291"/>
      <c r="K46" s="2291"/>
      <c r="L46" s="2292"/>
      <c r="M46" s="69"/>
      <c r="N46" s="69"/>
      <c r="O46" s="69"/>
      <c r="P46" s="69"/>
      <c r="Q46" s="69"/>
      <c r="R46" s="69"/>
      <c r="S46" s="69"/>
      <c r="T46" s="69"/>
      <c r="U46" s="69"/>
      <c r="V46" s="69"/>
      <c r="W46" s="69"/>
    </row>
    <row r="47" spans="1:23" s="3" customFormat="1" ht="15.75" customHeight="1" x14ac:dyDescent="0.2">
      <c r="A47" s="2293"/>
      <c r="B47" s="2294"/>
      <c r="C47" s="2294"/>
      <c r="D47" s="2294"/>
      <c r="E47" s="2294"/>
      <c r="F47" s="2294"/>
      <c r="G47" s="2294"/>
      <c r="H47" s="2294"/>
      <c r="I47" s="2294"/>
      <c r="J47" s="2294"/>
      <c r="K47" s="2294"/>
      <c r="L47" s="2295"/>
      <c r="M47" s="69"/>
      <c r="N47" s="69"/>
      <c r="O47" s="69"/>
      <c r="P47" s="69"/>
      <c r="Q47" s="69"/>
      <c r="R47" s="69"/>
      <c r="S47" s="69"/>
      <c r="T47" s="69"/>
      <c r="U47" s="69"/>
      <c r="V47" s="69"/>
      <c r="W47" s="69"/>
    </row>
    <row r="48" spans="1:23" s="3" customFormat="1" ht="40.5" customHeight="1" x14ac:dyDescent="0.2">
      <c r="A48" s="2296" t="str">
        <f>IF('PR_Grant Management_2'!A31="","",'PR_Grant Management_2'!A31)</f>
        <v/>
      </c>
      <c r="B48" s="2297"/>
      <c r="C48" s="2297"/>
      <c r="D48" s="2290"/>
      <c r="E48" s="2291"/>
      <c r="F48" s="2291"/>
      <c r="G48" s="2291"/>
      <c r="H48" s="2291"/>
      <c r="I48" s="2291"/>
      <c r="J48" s="2291"/>
      <c r="K48" s="2291"/>
      <c r="L48" s="2292"/>
      <c r="M48" s="69"/>
      <c r="N48" s="69"/>
      <c r="O48" s="69"/>
      <c r="P48" s="69"/>
      <c r="Q48" s="69"/>
      <c r="R48" s="69"/>
      <c r="S48" s="69"/>
      <c r="T48" s="69"/>
      <c r="U48" s="69"/>
      <c r="V48" s="69"/>
      <c r="W48" s="69"/>
    </row>
    <row r="49" spans="1:23" s="3" customFormat="1" ht="40.5" customHeight="1" x14ac:dyDescent="0.2">
      <c r="A49" s="2296" t="str">
        <f>IF('PR_Grant Management_2'!A32="","",'PR_Grant Management_2'!A32)</f>
        <v/>
      </c>
      <c r="B49" s="2297"/>
      <c r="C49" s="2297"/>
      <c r="D49" s="2290"/>
      <c r="E49" s="2291"/>
      <c r="F49" s="2291"/>
      <c r="G49" s="2291"/>
      <c r="H49" s="2291"/>
      <c r="I49" s="2291"/>
      <c r="J49" s="2291"/>
      <c r="K49" s="2291"/>
      <c r="L49" s="2292"/>
      <c r="M49" s="69"/>
      <c r="N49" s="69"/>
      <c r="O49" s="69"/>
      <c r="P49" s="69"/>
      <c r="Q49" s="69"/>
      <c r="R49" s="69"/>
      <c r="S49" s="69"/>
      <c r="T49" s="69"/>
      <c r="U49" s="69"/>
      <c r="V49" s="69"/>
      <c r="W49" s="69"/>
    </row>
    <row r="50" spans="1:23" s="3" customFormat="1" ht="40.5" customHeight="1" x14ac:dyDescent="0.2">
      <c r="A50" s="2296" t="e">
        <f>IF('PR_Grant Management_2'!#REF!="","",'PR_Grant Management_2'!#REF!)</f>
        <v>#REF!</v>
      </c>
      <c r="B50" s="2297"/>
      <c r="C50" s="2297"/>
      <c r="D50" s="2290"/>
      <c r="E50" s="2291"/>
      <c r="F50" s="2291"/>
      <c r="G50" s="2291"/>
      <c r="H50" s="2291"/>
      <c r="I50" s="2291"/>
      <c r="J50" s="2291"/>
      <c r="K50" s="2291"/>
      <c r="L50" s="2292"/>
      <c r="M50" s="69"/>
      <c r="N50" s="69"/>
      <c r="O50" s="69"/>
      <c r="P50" s="69"/>
      <c r="Q50" s="69"/>
      <c r="R50" s="69"/>
      <c r="S50" s="69"/>
      <c r="T50" s="69"/>
      <c r="U50" s="69"/>
      <c r="V50" s="69"/>
      <c r="W50" s="69"/>
    </row>
    <row r="51" spans="1:23" s="31" customFormat="1" ht="16.5" customHeight="1" x14ac:dyDescent="0.2">
      <c r="A51" s="1471"/>
      <c r="B51" s="1472"/>
      <c r="C51" s="1473"/>
      <c r="D51" s="1473"/>
      <c r="E51" s="1474"/>
      <c r="F51" s="1472"/>
      <c r="G51" s="1472"/>
      <c r="H51" s="1472"/>
      <c r="I51" s="1474"/>
      <c r="J51" s="1472"/>
      <c r="K51" s="1474"/>
      <c r="L51" s="1473"/>
      <c r="M51" s="69"/>
      <c r="N51" s="69"/>
      <c r="O51" s="69"/>
      <c r="P51" s="69"/>
      <c r="Q51" s="69"/>
      <c r="R51" s="69"/>
      <c r="S51" s="69"/>
      <c r="T51" s="69"/>
      <c r="U51" s="69"/>
      <c r="V51" s="69"/>
      <c r="W51" s="69"/>
    </row>
    <row r="52" spans="1:23" s="72" customFormat="1" x14ac:dyDescent="0.2">
      <c r="A52" s="90"/>
      <c r="B52" s="90"/>
      <c r="C52" s="90"/>
      <c r="D52" s="90"/>
      <c r="E52" s="90"/>
      <c r="F52" s="90"/>
      <c r="G52" s="90"/>
      <c r="H52" s="90"/>
      <c r="I52" s="90"/>
      <c r="J52" s="1475"/>
      <c r="K52" s="90"/>
      <c r="L52" s="90"/>
      <c r="M52" s="69"/>
      <c r="N52" s="69"/>
      <c r="O52" s="69"/>
      <c r="P52" s="69"/>
      <c r="Q52" s="69"/>
      <c r="R52" s="69"/>
      <c r="S52" s="69"/>
      <c r="T52" s="69"/>
      <c r="U52" s="69"/>
      <c r="V52" s="69"/>
      <c r="W52" s="69"/>
    </row>
    <row r="53" spans="1:23" s="506" customFormat="1" ht="25.5" customHeight="1" x14ac:dyDescent="0.2">
      <c r="A53" s="2335" t="s">
        <v>508</v>
      </c>
      <c r="B53" s="2335"/>
      <c r="C53" s="2335"/>
      <c r="D53" s="2335"/>
      <c r="E53" s="2335"/>
      <c r="F53" s="2335"/>
      <c r="G53" s="2335"/>
      <c r="H53" s="2335"/>
      <c r="I53" s="2335"/>
      <c r="J53" s="2335"/>
      <c r="K53" s="2335"/>
      <c r="L53" s="2335"/>
      <c r="M53" s="945"/>
      <c r="N53" s="945"/>
      <c r="O53" s="945"/>
      <c r="P53" s="945"/>
      <c r="Q53" s="945"/>
      <c r="R53" s="945"/>
      <c r="S53" s="945"/>
      <c r="T53" s="945"/>
      <c r="U53" s="945"/>
      <c r="V53" s="945"/>
      <c r="W53" s="945"/>
    </row>
    <row r="54" spans="1:23" s="574" customFormat="1" ht="37.5" customHeight="1" thickBot="1" x14ac:dyDescent="0.25">
      <c r="A54" s="2347" t="s">
        <v>192</v>
      </c>
      <c r="B54" s="2347"/>
      <c r="C54" s="2347"/>
      <c r="D54" s="2347"/>
      <c r="E54" s="2347"/>
      <c r="F54" s="2347"/>
      <c r="G54" s="2347"/>
      <c r="H54" s="2347"/>
      <c r="I54" s="2347"/>
      <c r="J54" s="2347"/>
      <c r="K54" s="2347"/>
      <c r="L54" s="2348"/>
      <c r="M54" s="945"/>
      <c r="N54" s="945"/>
      <c r="O54" s="945"/>
      <c r="P54" s="945"/>
      <c r="Q54" s="945"/>
      <c r="R54" s="945"/>
      <c r="S54" s="945"/>
      <c r="T54" s="945"/>
      <c r="U54" s="945"/>
      <c r="V54" s="945"/>
      <c r="W54" s="945"/>
    </row>
    <row r="55" spans="1:23" s="574" customFormat="1" ht="28.5" customHeight="1" thickBot="1" x14ac:dyDescent="0.25">
      <c r="A55" s="1476"/>
      <c r="B55" s="1477"/>
      <c r="C55" s="2341" t="s">
        <v>435</v>
      </c>
      <c r="D55" s="2342"/>
      <c r="E55" s="2337" t="s">
        <v>436</v>
      </c>
      <c r="F55" s="2338"/>
      <c r="G55" s="2338"/>
      <c r="H55" s="2338"/>
      <c r="I55" s="2338"/>
      <c r="J55" s="2338"/>
      <c r="K55" s="2338"/>
      <c r="L55" s="2339"/>
      <c r="M55" s="945"/>
      <c r="N55" s="945"/>
      <c r="O55" s="945"/>
      <c r="P55" s="945"/>
      <c r="Q55" s="945"/>
      <c r="R55" s="945"/>
      <c r="S55" s="945"/>
      <c r="T55" s="945"/>
      <c r="U55" s="945"/>
      <c r="V55" s="945"/>
      <c r="W55" s="945"/>
    </row>
    <row r="56" spans="1:23" s="506" customFormat="1" ht="23.25" customHeight="1" x14ac:dyDescent="0.2">
      <c r="A56" s="2333" t="s">
        <v>224</v>
      </c>
      <c r="B56" s="2334"/>
      <c r="C56" s="1478" t="s">
        <v>51</v>
      </c>
      <c r="D56" s="1478" t="s">
        <v>6</v>
      </c>
      <c r="E56" s="1479" t="s">
        <v>51</v>
      </c>
      <c r="F56" s="2150" t="s">
        <v>6</v>
      </c>
      <c r="G56" s="2336"/>
      <c r="H56" s="2336"/>
      <c r="I56" s="2336"/>
      <c r="J56" s="2362" t="s">
        <v>225</v>
      </c>
      <c r="K56" s="2362"/>
      <c r="L56" s="2363"/>
      <c r="M56" s="945"/>
      <c r="N56" s="945"/>
      <c r="O56" s="945"/>
      <c r="P56" s="945"/>
      <c r="Q56" s="945"/>
      <c r="R56" s="945"/>
      <c r="S56" s="945"/>
      <c r="T56" s="945"/>
      <c r="U56" s="945"/>
      <c r="V56" s="945"/>
      <c r="W56" s="945"/>
    </row>
    <row r="57" spans="1:23" s="506" customFormat="1" ht="41.25" customHeight="1" x14ac:dyDescent="0.2">
      <c r="A57" s="2356" t="s">
        <v>414</v>
      </c>
      <c r="B57" s="2357"/>
      <c r="C57" s="1480">
        <f>IF('PR_Grant Management_2'!E38="","",'PR_Grant Management_2'!E38)</f>
        <v>40724</v>
      </c>
      <c r="D57" s="1481" t="str">
        <f>IF('PR_Grant Management_2'!F38="","",'PR_Grant Management_2'!F38)</f>
        <v>Preparation on track</v>
      </c>
      <c r="E57" s="1482">
        <v>40724</v>
      </c>
      <c r="F57" s="2358" t="s">
        <v>714</v>
      </c>
      <c r="G57" s="2358"/>
      <c r="H57" s="2358"/>
      <c r="I57" s="2358"/>
      <c r="J57" s="2344" t="s">
        <v>713</v>
      </c>
      <c r="K57" s="2345"/>
      <c r="L57" s="2346"/>
      <c r="M57" s="945"/>
      <c r="N57" s="945"/>
      <c r="O57" s="945"/>
      <c r="P57" s="945"/>
      <c r="Q57" s="945"/>
      <c r="R57" s="945"/>
      <c r="S57" s="945"/>
      <c r="T57" s="945"/>
      <c r="U57" s="945"/>
      <c r="V57" s="945"/>
      <c r="W57" s="945"/>
    </row>
    <row r="58" spans="1:23" s="506" customFormat="1" ht="41.25" customHeight="1" thickBot="1" x14ac:dyDescent="0.25">
      <c r="A58" s="2364" t="s">
        <v>223</v>
      </c>
      <c r="B58" s="2365"/>
      <c r="C58" s="1483">
        <f>IF('PR_Grant Management_2'!E39="","",'PR_Grant Management_2'!E39)</f>
        <v>40633</v>
      </c>
      <c r="D58" s="1484" t="str">
        <f>IF('PR_Grant Management_2'!F39="","",'PR_Grant Management_2'!F39)</f>
        <v>Preparation on track</v>
      </c>
      <c r="E58" s="1485">
        <v>40589</v>
      </c>
      <c r="F58" s="2343" t="s">
        <v>714</v>
      </c>
      <c r="G58" s="2343"/>
      <c r="H58" s="2343"/>
      <c r="I58" s="2343"/>
      <c r="J58" s="2359" t="s">
        <v>732</v>
      </c>
      <c r="K58" s="2360"/>
      <c r="L58" s="2361"/>
      <c r="M58" s="945"/>
      <c r="N58" s="945"/>
      <c r="O58" s="945"/>
      <c r="P58" s="945"/>
      <c r="Q58" s="945"/>
      <c r="R58" s="945"/>
      <c r="S58" s="945"/>
      <c r="T58" s="945"/>
      <c r="U58" s="945"/>
      <c r="V58" s="945"/>
      <c r="W58" s="945"/>
    </row>
    <row r="59" spans="1:23" ht="15" customHeight="1" x14ac:dyDescent="0.2">
      <c r="A59" s="1486"/>
      <c r="B59" s="1486"/>
      <c r="C59" s="1486"/>
      <c r="D59" s="1486"/>
      <c r="E59" s="1486"/>
      <c r="F59" s="1486"/>
      <c r="G59" s="1486"/>
      <c r="H59" s="1486"/>
      <c r="I59" s="1486"/>
      <c r="J59" s="1487"/>
      <c r="K59" s="1486"/>
      <c r="L59" s="1486"/>
    </row>
    <row r="70" spans="6:11" ht="15.75" x14ac:dyDescent="0.2">
      <c r="J70" s="2331"/>
      <c r="K70" s="2332"/>
    </row>
    <row r="71" spans="6:11" ht="15.75" x14ac:dyDescent="0.2">
      <c r="F71" s="2331"/>
      <c r="G71" s="2332"/>
      <c r="J71" s="2340"/>
      <c r="K71" s="2340"/>
    </row>
    <row r="72" spans="6:11" ht="15.75" x14ac:dyDescent="0.2">
      <c r="F72" s="2331"/>
      <c r="G72" s="2332"/>
      <c r="J72" s="2340"/>
      <c r="K72" s="2340"/>
    </row>
    <row r="73" spans="6:11" ht="15.75" x14ac:dyDescent="0.2">
      <c r="F73" s="2331"/>
      <c r="G73" s="2332"/>
      <c r="J73" s="2340"/>
      <c r="K73" s="2340"/>
    </row>
    <row r="74" spans="6:11" ht="15.75" x14ac:dyDescent="0.2">
      <c r="F74" s="2331"/>
      <c r="G74" s="2332"/>
      <c r="J74" s="2340"/>
      <c r="K74" s="2340"/>
    </row>
    <row r="75" spans="6:11" ht="15.75" x14ac:dyDescent="0.2">
      <c r="F75" s="2331"/>
      <c r="G75" s="2332"/>
      <c r="J75" s="2340"/>
      <c r="K75" s="2340"/>
    </row>
    <row r="76" spans="6:11" ht="15.75" x14ac:dyDescent="0.2">
      <c r="F76" s="2331"/>
      <c r="G76" s="2332"/>
      <c r="J76" s="2340"/>
      <c r="K76" s="2340"/>
    </row>
    <row r="77" spans="6:11" ht="15.75" x14ac:dyDescent="0.2">
      <c r="F77" s="2331"/>
      <c r="G77" s="2332"/>
    </row>
  </sheetData>
  <sheetProtection formatCells="0" formatColumns="0" formatRows="0" insertRows="0"/>
  <customSheetViews>
    <customSheetView guid="{E26F941C-F347-432D-B4B3-73B25F002075}" scale="65" fitToPage="1" hiddenColumns="1">
      <selection activeCell="E42" sqref="E42"/>
      <pageMargins left="0.55000000000000004" right="0.52" top="0.85" bottom="0.98425196850393704" header="0.51181102362204722" footer="0.51181102362204722"/>
      <printOptions horizontalCentered="1"/>
      <pageSetup paperSize="9" scale="54" orientation="landscape" cellComments="asDisplayed" r:id="rId1"/>
      <headerFooter alignWithMargins="0">
        <oddFooter>&amp;L&amp;9SD 3.1A - Form, Ongoing DR/PU and LFA Review and Recommendation_v2.1 February 2006&amp;R&amp;9Page &amp;P of &amp;N</oddFooter>
      </headerFooter>
    </customSheetView>
  </customSheetViews>
  <mergeCells count="100">
    <mergeCell ref="F77:G77"/>
    <mergeCell ref="A32:L32"/>
    <mergeCell ref="F75:G75"/>
    <mergeCell ref="F76:G76"/>
    <mergeCell ref="F74:G74"/>
    <mergeCell ref="A57:B57"/>
    <mergeCell ref="F57:I57"/>
    <mergeCell ref="J71:K71"/>
    <mergeCell ref="J58:L58"/>
    <mergeCell ref="J56:L56"/>
    <mergeCell ref="F71:G71"/>
    <mergeCell ref="D39:L39"/>
    <mergeCell ref="D40:L40"/>
    <mergeCell ref="A58:B58"/>
    <mergeCell ref="A41:C41"/>
    <mergeCell ref="A40:C40"/>
    <mergeCell ref="C55:D55"/>
    <mergeCell ref="F58:I58"/>
    <mergeCell ref="J57:L57"/>
    <mergeCell ref="A54:L54"/>
    <mergeCell ref="A1:J1"/>
    <mergeCell ref="A3:B3"/>
    <mergeCell ref="C3:F3"/>
    <mergeCell ref="C6:F6"/>
    <mergeCell ref="A10:L10"/>
    <mergeCell ref="D37:L37"/>
    <mergeCell ref="A37:C37"/>
    <mergeCell ref="A35:C35"/>
    <mergeCell ref="A34:L34"/>
    <mergeCell ref="D36:L36"/>
    <mergeCell ref="D38:L38"/>
    <mergeCell ref="A38:C38"/>
    <mergeCell ref="J76:K76"/>
    <mergeCell ref="J74:K74"/>
    <mergeCell ref="J75:K75"/>
    <mergeCell ref="F73:G73"/>
    <mergeCell ref="J72:K72"/>
    <mergeCell ref="J73:K73"/>
    <mergeCell ref="F72:G72"/>
    <mergeCell ref="J70:K70"/>
    <mergeCell ref="A56:B56"/>
    <mergeCell ref="A53:L53"/>
    <mergeCell ref="F56:I56"/>
    <mergeCell ref="A39:C39"/>
    <mergeCell ref="D41:L41"/>
    <mergeCell ref="D50:L50"/>
    <mergeCell ref="A50:C50"/>
    <mergeCell ref="E55:L55"/>
    <mergeCell ref="A42:C42"/>
    <mergeCell ref="D42:L42"/>
    <mergeCell ref="A43:C43"/>
    <mergeCell ref="D43:L43"/>
    <mergeCell ref="A44:C44"/>
    <mergeCell ref="D44:L44"/>
    <mergeCell ref="A49:C49"/>
    <mergeCell ref="A28:C28"/>
    <mergeCell ref="F28:L28"/>
    <mergeCell ref="F15:L15"/>
    <mergeCell ref="A15:C15"/>
    <mergeCell ref="F19:L19"/>
    <mergeCell ref="A19:C19"/>
    <mergeCell ref="F20:L20"/>
    <mergeCell ref="A20:C20"/>
    <mergeCell ref="A21:C21"/>
    <mergeCell ref="F21:L21"/>
    <mergeCell ref="F22:L22"/>
    <mergeCell ref="A36:C36"/>
    <mergeCell ref="F29:L29"/>
    <mergeCell ref="F30:L30"/>
    <mergeCell ref="A22:C22"/>
    <mergeCell ref="A30:C30"/>
    <mergeCell ref="A23:C23"/>
    <mergeCell ref="A27:L27"/>
    <mergeCell ref="F23:L23"/>
    <mergeCell ref="A24:C24"/>
    <mergeCell ref="F24:L24"/>
    <mergeCell ref="A25:C25"/>
    <mergeCell ref="F25:L25"/>
    <mergeCell ref="A26:C26"/>
    <mergeCell ref="F26:L26"/>
    <mergeCell ref="A29:C29"/>
    <mergeCell ref="D35:L35"/>
    <mergeCell ref="A12:L12"/>
    <mergeCell ref="A13:L13"/>
    <mergeCell ref="A11:L11"/>
    <mergeCell ref="A17:C17"/>
    <mergeCell ref="A18:C18"/>
    <mergeCell ref="F17:L17"/>
    <mergeCell ref="F18:L18"/>
    <mergeCell ref="F16:L16"/>
    <mergeCell ref="A16:C16"/>
    <mergeCell ref="E14:L14"/>
    <mergeCell ref="D49:L49"/>
    <mergeCell ref="A47:L47"/>
    <mergeCell ref="A45:C45"/>
    <mergeCell ref="D45:L45"/>
    <mergeCell ref="A46:C46"/>
    <mergeCell ref="D46:L46"/>
    <mergeCell ref="A48:C48"/>
    <mergeCell ref="D48:L48"/>
  </mergeCells>
  <phoneticPr fontId="29" type="noConversion"/>
  <conditionalFormatting sqref="C53:E53">
    <cfRule type="cellIs" dxfId="34" priority="37" stopIfTrue="1" operator="notEqual">
      <formula>B53</formula>
    </cfRule>
    <cfRule type="cellIs" dxfId="33" priority="38" stopIfTrue="1" operator="notEqual">
      <formula>A53</formula>
    </cfRule>
  </conditionalFormatting>
  <conditionalFormatting sqref="B57:B58 B53">
    <cfRule type="cellIs" dxfId="32" priority="33" stopIfTrue="1" operator="notEqual">
      <formula>A53</formula>
    </cfRule>
    <cfRule type="cellIs" dxfId="31" priority="34" stopIfTrue="1" operator="notEqual">
      <formula>#REF!</formula>
    </cfRule>
  </conditionalFormatting>
  <conditionalFormatting sqref="A53:A54 A56:A58 A31">
    <cfRule type="cellIs" dxfId="30" priority="50" stopIfTrue="1" operator="notEqual">
      <formula>#REF!</formula>
    </cfRule>
    <cfRule type="cellIs" dxfId="29" priority="51" stopIfTrue="1" operator="notEqual">
      <formula>#REF!</formula>
    </cfRule>
  </conditionalFormatting>
  <conditionalFormatting sqref="D51:I51 A36:A51">
    <cfRule type="cellIs" dxfId="28" priority="55" stopIfTrue="1" operator="notEqual">
      <formula>#REF!</formula>
    </cfRule>
  </conditionalFormatting>
  <conditionalFormatting sqref="A28:C30 A27 A16:C26">
    <cfRule type="cellIs" dxfId="27" priority="67" stopIfTrue="1" operator="notEqual">
      <formula>#REF!</formula>
    </cfRule>
  </conditionalFormatting>
  <dataValidations count="2">
    <dataValidation type="list" allowBlank="1" showInputMessage="1" showErrorMessage="1" sqref="J71:K76 E28:E31 E16:E26">
      <formula1>"Met,Unmet - In Progress, Unmet - Not started"</formula1>
    </dataValidation>
    <dataValidation type="list" allowBlank="1" showInputMessage="1" showErrorMessage="1" sqref="F57:I58">
      <formula1>"Submitted to GF, Preparation on track, Overdue"</formula1>
    </dataValidation>
  </dataValidations>
  <printOptions horizontalCentered="1"/>
  <pageMargins left="0.74803149606299213" right="0.74803149606299213" top="0.59055118110236227" bottom="0.78740157480314965" header="0.51181102362204722" footer="0.51181102362204722"/>
  <pageSetup paperSize="9" scale="52" fitToHeight="0" orientation="landscape" cellComments="asDisplayed" r:id="rId2"/>
  <headerFooter alignWithMargins="0">
    <oddFooter>&amp;L&amp;9&amp;F&amp;C&amp;A&amp;R&amp;9Page &amp;P of &amp;N</oddFooter>
  </headerFooter>
  <rowBreaks count="1" manualBreakCount="1">
    <brk id="30" max="11"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0"/>
    <pageSetUpPr fitToPage="1"/>
  </sheetPr>
  <dimension ref="A1:IE76"/>
  <sheetViews>
    <sheetView view="pageBreakPreview" topLeftCell="F1" zoomScale="70" zoomScaleNormal="55" zoomScaleSheetLayoutView="70" workbookViewId="0">
      <selection activeCell="H14" sqref="H14"/>
    </sheetView>
  </sheetViews>
  <sheetFormatPr defaultColWidth="0" defaultRowHeight="12.75" x14ac:dyDescent="0.2"/>
  <cols>
    <col min="1" max="1" width="23.140625" style="1001" customWidth="1"/>
    <col min="2" max="2" width="18" style="1001" customWidth="1"/>
    <col min="3" max="3" width="18.85546875" style="1001" customWidth="1"/>
    <col min="4" max="4" width="16" style="1001" customWidth="1"/>
    <col min="5" max="5" width="15.85546875" style="1001" customWidth="1"/>
    <col min="6" max="6" width="27.140625" style="1001" customWidth="1"/>
    <col min="7" max="7" width="66.42578125" style="1001" customWidth="1"/>
    <col min="8" max="8" width="24.7109375" style="1001" customWidth="1"/>
    <col min="9" max="9" width="20.140625" style="1001" customWidth="1"/>
    <col min="10" max="10" width="14.42578125" style="1001" customWidth="1"/>
    <col min="11" max="11" width="75.140625" style="1001" customWidth="1"/>
    <col min="12" max="12" width="18.5703125" style="1000" customWidth="1"/>
    <col min="13" max="25" width="9.140625" style="1001" hidden="1" customWidth="1"/>
    <col min="26" max="239" width="9.140625" style="1001" customWidth="1"/>
    <col min="240" max="16384" width="0" style="1001" hidden="1"/>
  </cols>
  <sheetData>
    <row r="1" spans="1:239" s="3" customFormat="1" ht="25.5" customHeight="1" x14ac:dyDescent="0.35">
      <c r="A1" s="2114" t="s">
        <v>285</v>
      </c>
      <c r="B1" s="2114"/>
      <c r="C1" s="2114"/>
      <c r="D1" s="2114"/>
      <c r="E1" s="2114"/>
      <c r="F1" s="2114"/>
      <c r="G1" s="2114"/>
      <c r="H1" s="2114"/>
      <c r="I1" s="2114"/>
      <c r="J1" s="2114"/>
      <c r="K1" s="2114"/>
      <c r="L1" s="991"/>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c r="CN1" s="69"/>
      <c r="CO1" s="69"/>
      <c r="CP1" s="69"/>
      <c r="CQ1" s="69"/>
      <c r="CR1" s="69"/>
      <c r="CS1" s="69"/>
      <c r="CT1" s="69"/>
      <c r="CU1" s="69"/>
      <c r="CV1" s="69"/>
      <c r="CW1" s="69"/>
      <c r="CX1" s="69"/>
      <c r="CY1" s="69"/>
      <c r="CZ1" s="69"/>
      <c r="DA1" s="69"/>
      <c r="DB1" s="69"/>
      <c r="DC1" s="69"/>
      <c r="DD1" s="69"/>
      <c r="DE1" s="69"/>
      <c r="DF1" s="69"/>
      <c r="DG1" s="69"/>
      <c r="DH1" s="69"/>
      <c r="DI1" s="69"/>
      <c r="DJ1" s="69"/>
      <c r="DK1" s="69"/>
      <c r="DL1" s="69"/>
      <c r="DM1" s="69"/>
      <c r="DN1" s="69"/>
      <c r="DO1" s="69"/>
      <c r="DP1" s="69"/>
      <c r="DQ1" s="69"/>
      <c r="DR1" s="69"/>
      <c r="DS1" s="69"/>
      <c r="DT1" s="69"/>
      <c r="DU1" s="69"/>
      <c r="DV1" s="69"/>
      <c r="DW1" s="69"/>
      <c r="DX1" s="69"/>
      <c r="DY1" s="69"/>
      <c r="DZ1" s="69"/>
      <c r="EA1" s="69"/>
      <c r="EB1" s="69"/>
      <c r="EC1" s="69"/>
      <c r="ED1" s="69"/>
      <c r="EE1" s="69"/>
      <c r="EF1" s="69"/>
      <c r="EG1" s="69"/>
      <c r="EH1" s="69"/>
      <c r="EI1" s="69"/>
      <c r="EJ1" s="69"/>
      <c r="EK1" s="69"/>
      <c r="EL1" s="69"/>
      <c r="EM1" s="69"/>
      <c r="EN1" s="69"/>
      <c r="EO1" s="69"/>
      <c r="EP1" s="69"/>
      <c r="EQ1" s="69"/>
      <c r="ER1" s="69"/>
      <c r="ES1" s="69"/>
      <c r="ET1" s="69"/>
      <c r="EU1" s="69"/>
      <c r="EV1" s="69"/>
      <c r="EW1" s="69"/>
      <c r="EX1" s="69"/>
      <c r="EY1" s="69"/>
      <c r="EZ1" s="69"/>
      <c r="FA1" s="69"/>
      <c r="FB1" s="69"/>
      <c r="FC1" s="69"/>
      <c r="FD1" s="69"/>
      <c r="FE1" s="69"/>
      <c r="FF1" s="69"/>
      <c r="FG1" s="69"/>
      <c r="FH1" s="69"/>
      <c r="FI1" s="69"/>
      <c r="FJ1" s="69"/>
      <c r="FK1" s="69"/>
      <c r="FL1" s="69"/>
      <c r="FM1" s="69"/>
      <c r="FN1" s="69"/>
      <c r="FO1" s="69"/>
      <c r="FP1" s="69"/>
      <c r="FQ1" s="69"/>
      <c r="FR1" s="69"/>
      <c r="FS1" s="69"/>
      <c r="FT1" s="69"/>
      <c r="FU1" s="69"/>
      <c r="FV1" s="69"/>
      <c r="FW1" s="69"/>
      <c r="FX1" s="69"/>
      <c r="FY1" s="69"/>
      <c r="FZ1" s="69"/>
      <c r="GA1" s="69"/>
      <c r="GB1" s="69"/>
      <c r="GC1" s="69"/>
      <c r="GD1" s="69"/>
      <c r="GE1" s="69"/>
      <c r="GF1" s="69"/>
      <c r="GG1" s="69"/>
      <c r="GH1" s="69"/>
      <c r="GI1" s="69"/>
      <c r="GJ1" s="69"/>
      <c r="GK1" s="69"/>
      <c r="GL1" s="69"/>
      <c r="GM1" s="69"/>
      <c r="GN1" s="69"/>
      <c r="GO1" s="69"/>
      <c r="GP1" s="69"/>
      <c r="GQ1" s="69"/>
      <c r="GR1" s="69"/>
      <c r="GS1" s="69"/>
      <c r="GT1" s="69"/>
      <c r="GU1" s="69"/>
      <c r="GV1" s="69"/>
      <c r="GW1" s="69"/>
      <c r="GX1" s="69"/>
      <c r="GY1" s="69"/>
      <c r="GZ1" s="69"/>
      <c r="HA1" s="69"/>
      <c r="HB1" s="69"/>
      <c r="HC1" s="69"/>
      <c r="HD1" s="69"/>
      <c r="HE1" s="69"/>
      <c r="HF1" s="69"/>
      <c r="HG1" s="69"/>
      <c r="HH1" s="69"/>
      <c r="HI1" s="69"/>
      <c r="HJ1" s="69"/>
      <c r="HK1" s="69"/>
      <c r="HL1" s="69"/>
      <c r="HM1" s="69"/>
      <c r="HN1" s="69"/>
      <c r="HO1" s="69"/>
      <c r="HP1" s="69"/>
      <c r="HQ1" s="69"/>
      <c r="HR1" s="69"/>
      <c r="HS1" s="69"/>
      <c r="HT1" s="69"/>
      <c r="HU1" s="69"/>
      <c r="HV1" s="69"/>
      <c r="HW1" s="69"/>
      <c r="HX1" s="69"/>
      <c r="HY1" s="69"/>
      <c r="HZ1" s="69"/>
      <c r="IA1" s="69"/>
      <c r="IB1" s="69"/>
      <c r="IC1" s="69"/>
      <c r="ID1" s="69"/>
      <c r="IE1" s="69"/>
    </row>
    <row r="2" spans="1:239" s="13" customFormat="1" ht="27" customHeight="1" thickBot="1" x14ac:dyDescent="0.3">
      <c r="A2" s="98" t="s">
        <v>156</v>
      </c>
      <c r="B2" s="72"/>
      <c r="C2" s="72"/>
      <c r="D2" s="72"/>
      <c r="E2" s="72"/>
      <c r="F2" s="72"/>
      <c r="G2" s="72"/>
      <c r="H2" s="72"/>
      <c r="I2" s="72"/>
      <c r="J2" s="72"/>
      <c r="K2" s="72"/>
      <c r="L2" s="69"/>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row>
    <row r="3" spans="1:239" s="4" customFormat="1" ht="30" customHeight="1" thickBot="1" x14ac:dyDescent="0.25">
      <c r="A3" s="1679" t="s">
        <v>70</v>
      </c>
      <c r="B3" s="1749"/>
      <c r="C3" s="2386" t="str">
        <f>IF('LFA_Programmatic Progress_1A'!C7="","",'LFA_Programmatic Progress_1A'!C7)</f>
        <v>MNR-809-G04-H</v>
      </c>
      <c r="D3" s="2387"/>
      <c r="E3" s="2387"/>
      <c r="F3" s="2387"/>
      <c r="G3" s="2388"/>
      <c r="H3" s="73"/>
      <c r="I3" s="73"/>
      <c r="J3" s="73"/>
      <c r="K3" s="73"/>
      <c r="L3" s="69"/>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8"/>
      <c r="BE3" s="208"/>
      <c r="BF3" s="208"/>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8"/>
      <c r="CG3" s="208"/>
      <c r="CH3" s="208"/>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c r="DH3" s="208"/>
      <c r="DI3" s="208"/>
      <c r="DJ3" s="208"/>
      <c r="DK3" s="208"/>
      <c r="DL3" s="208"/>
      <c r="DM3" s="208"/>
      <c r="DN3" s="208"/>
      <c r="DO3" s="208"/>
      <c r="DP3" s="208"/>
      <c r="DQ3" s="208"/>
      <c r="DR3" s="208"/>
      <c r="DS3" s="208"/>
      <c r="DT3" s="208"/>
      <c r="DU3" s="208"/>
      <c r="DV3" s="208"/>
      <c r="DW3" s="208"/>
      <c r="DX3" s="208"/>
      <c r="DY3" s="208"/>
      <c r="DZ3" s="208"/>
      <c r="EA3" s="208"/>
      <c r="EB3" s="208"/>
      <c r="EC3" s="208"/>
      <c r="ED3" s="208"/>
      <c r="EE3" s="208"/>
      <c r="EF3" s="208"/>
      <c r="EG3" s="208"/>
      <c r="EH3" s="208"/>
      <c r="EI3" s="208"/>
      <c r="EJ3" s="208"/>
      <c r="EK3" s="208"/>
      <c r="EL3" s="208"/>
      <c r="EM3" s="208"/>
      <c r="EN3" s="208"/>
      <c r="EO3" s="208"/>
      <c r="EP3" s="208"/>
      <c r="EQ3" s="208"/>
      <c r="ER3" s="208"/>
      <c r="ES3" s="208"/>
      <c r="ET3" s="208"/>
      <c r="EU3" s="208"/>
      <c r="EV3" s="208"/>
      <c r="EW3" s="208"/>
      <c r="EX3" s="208"/>
      <c r="EY3" s="208"/>
      <c r="EZ3" s="208"/>
      <c r="FA3" s="208"/>
      <c r="FB3" s="208"/>
      <c r="FC3" s="208"/>
      <c r="FD3" s="208"/>
      <c r="FE3" s="208"/>
      <c r="FF3" s="208"/>
      <c r="FG3" s="208"/>
      <c r="FH3" s="208"/>
      <c r="FI3" s="208"/>
      <c r="FJ3" s="208"/>
      <c r="FK3" s="208"/>
      <c r="FL3" s="208"/>
      <c r="FM3" s="208"/>
      <c r="FN3" s="208"/>
      <c r="FO3" s="208"/>
      <c r="FP3" s="208"/>
      <c r="FQ3" s="208"/>
      <c r="FR3" s="208"/>
      <c r="FS3" s="208"/>
      <c r="FT3" s="208"/>
      <c r="FU3" s="208"/>
      <c r="FV3" s="208"/>
      <c r="FW3" s="208"/>
      <c r="FX3" s="208"/>
      <c r="FY3" s="208"/>
      <c r="FZ3" s="208"/>
      <c r="GA3" s="208"/>
      <c r="GB3" s="208"/>
      <c r="GC3" s="208"/>
      <c r="GD3" s="208"/>
      <c r="GE3" s="208"/>
      <c r="GF3" s="208"/>
      <c r="GG3" s="208"/>
      <c r="GH3" s="208"/>
      <c r="GI3" s="208"/>
      <c r="GJ3" s="208"/>
      <c r="GK3" s="208"/>
      <c r="GL3" s="208"/>
      <c r="GM3" s="208"/>
      <c r="GN3" s="208"/>
      <c r="GO3" s="208"/>
      <c r="GP3" s="208"/>
      <c r="GQ3" s="208"/>
      <c r="GR3" s="208"/>
      <c r="GS3" s="208"/>
      <c r="GT3" s="208"/>
      <c r="GU3" s="208"/>
      <c r="GV3" s="208"/>
      <c r="GW3" s="208"/>
      <c r="GX3" s="208"/>
      <c r="GY3" s="208"/>
      <c r="GZ3" s="208"/>
      <c r="HA3" s="208"/>
      <c r="HB3" s="208"/>
      <c r="HC3" s="208"/>
      <c r="HD3" s="208"/>
      <c r="HE3" s="208"/>
      <c r="HF3" s="208"/>
      <c r="HG3" s="208"/>
      <c r="HH3" s="208"/>
      <c r="HI3" s="208"/>
      <c r="HJ3" s="208"/>
      <c r="HK3" s="208"/>
      <c r="HL3" s="208"/>
      <c r="HM3" s="208"/>
      <c r="HN3" s="208"/>
      <c r="HO3" s="208"/>
      <c r="HP3" s="208"/>
      <c r="HQ3" s="208"/>
      <c r="HR3" s="208"/>
      <c r="HS3" s="208"/>
      <c r="HT3" s="208"/>
      <c r="HU3" s="208"/>
      <c r="HV3" s="208"/>
      <c r="HW3" s="208"/>
      <c r="HX3" s="208"/>
      <c r="HY3" s="208"/>
      <c r="HZ3" s="208"/>
      <c r="IA3" s="208"/>
      <c r="IB3" s="208"/>
      <c r="IC3" s="208"/>
      <c r="ID3" s="208"/>
      <c r="IE3" s="208"/>
    </row>
    <row r="4" spans="1:239" s="4" customFormat="1" ht="15" customHeight="1" x14ac:dyDescent="0.2">
      <c r="A4" s="465" t="s">
        <v>277</v>
      </c>
      <c r="B4" s="483"/>
      <c r="C4" s="1216" t="s">
        <v>283</v>
      </c>
      <c r="D4" s="2104" t="str">
        <f>IF('LFA_Programmatic Progress_1A'!D12="Select","",'LFA_Programmatic Progress_1A'!D12)</f>
        <v>Quarter</v>
      </c>
      <c r="E4" s="2383"/>
      <c r="F4" s="5" t="s">
        <v>284</v>
      </c>
      <c r="G4" s="47">
        <f>IF('LFA_Programmatic Progress_1A'!F12="Select","",'LFA_Programmatic Progress_1A'!F12)</f>
        <v>7</v>
      </c>
      <c r="H4" s="73"/>
      <c r="I4" s="208"/>
      <c r="J4" s="73"/>
      <c r="K4" s="73"/>
      <c r="L4" s="69"/>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c r="AN4" s="208"/>
      <c r="AO4" s="208"/>
      <c r="AP4" s="208"/>
      <c r="AQ4" s="208"/>
      <c r="AR4" s="208"/>
      <c r="AS4" s="208"/>
      <c r="AT4" s="208"/>
      <c r="AU4" s="208"/>
      <c r="AV4" s="208"/>
      <c r="AW4" s="208"/>
      <c r="AX4" s="208"/>
      <c r="AY4" s="208"/>
      <c r="AZ4" s="208"/>
      <c r="BA4" s="208"/>
      <c r="BB4" s="208"/>
      <c r="BC4" s="208"/>
      <c r="BD4" s="208"/>
      <c r="BE4" s="208"/>
      <c r="BF4" s="208"/>
      <c r="BG4" s="208"/>
      <c r="BH4" s="208"/>
      <c r="BI4" s="208"/>
      <c r="BJ4" s="208"/>
      <c r="BK4" s="208"/>
      <c r="BL4" s="208"/>
      <c r="BM4" s="208"/>
      <c r="BN4" s="208"/>
      <c r="BO4" s="208"/>
      <c r="BP4" s="208"/>
      <c r="BQ4" s="208"/>
      <c r="BR4" s="208"/>
      <c r="BS4" s="208"/>
      <c r="BT4" s="208"/>
      <c r="BU4" s="208"/>
      <c r="BV4" s="208"/>
      <c r="BW4" s="208"/>
      <c r="BX4" s="208"/>
      <c r="BY4" s="208"/>
      <c r="BZ4" s="208"/>
      <c r="CA4" s="208"/>
      <c r="CB4" s="208"/>
      <c r="CC4" s="208"/>
      <c r="CD4" s="208"/>
      <c r="CE4" s="208"/>
      <c r="CF4" s="208"/>
      <c r="CG4" s="208"/>
      <c r="CH4" s="208"/>
      <c r="CI4" s="208"/>
      <c r="CJ4" s="208"/>
      <c r="CK4" s="208"/>
      <c r="CL4" s="208"/>
      <c r="CM4" s="208"/>
      <c r="CN4" s="208"/>
      <c r="CO4" s="208"/>
      <c r="CP4" s="208"/>
      <c r="CQ4" s="208"/>
      <c r="CR4" s="208"/>
      <c r="CS4" s="208"/>
      <c r="CT4" s="208"/>
      <c r="CU4" s="208"/>
      <c r="CV4" s="208"/>
      <c r="CW4" s="208"/>
      <c r="CX4" s="208"/>
      <c r="CY4" s="208"/>
      <c r="CZ4" s="208"/>
      <c r="DA4" s="208"/>
      <c r="DB4" s="208"/>
      <c r="DC4" s="208"/>
      <c r="DD4" s="208"/>
      <c r="DE4" s="208"/>
      <c r="DF4" s="208"/>
      <c r="DG4" s="208"/>
      <c r="DH4" s="208"/>
      <c r="DI4" s="208"/>
      <c r="DJ4" s="208"/>
      <c r="DK4" s="208"/>
      <c r="DL4" s="208"/>
      <c r="DM4" s="208"/>
      <c r="DN4" s="208"/>
      <c r="DO4" s="208"/>
      <c r="DP4" s="208"/>
      <c r="DQ4" s="208"/>
      <c r="DR4" s="208"/>
      <c r="DS4" s="208"/>
      <c r="DT4" s="208"/>
      <c r="DU4" s="208"/>
      <c r="DV4" s="208"/>
      <c r="DW4" s="208"/>
      <c r="DX4" s="208"/>
      <c r="DY4" s="208"/>
      <c r="DZ4" s="208"/>
      <c r="EA4" s="208"/>
      <c r="EB4" s="208"/>
      <c r="EC4" s="208"/>
      <c r="ED4" s="208"/>
      <c r="EE4" s="208"/>
      <c r="EF4" s="208"/>
      <c r="EG4" s="208"/>
      <c r="EH4" s="208"/>
      <c r="EI4" s="208"/>
      <c r="EJ4" s="208"/>
      <c r="EK4" s="208"/>
      <c r="EL4" s="208"/>
      <c r="EM4" s="208"/>
      <c r="EN4" s="208"/>
      <c r="EO4" s="208"/>
      <c r="EP4" s="208"/>
      <c r="EQ4" s="208"/>
      <c r="ER4" s="208"/>
      <c r="ES4" s="208"/>
      <c r="ET4" s="208"/>
      <c r="EU4" s="208"/>
      <c r="EV4" s="208"/>
      <c r="EW4" s="208"/>
      <c r="EX4" s="208"/>
      <c r="EY4" s="208"/>
      <c r="EZ4" s="208"/>
      <c r="FA4" s="208"/>
      <c r="FB4" s="208"/>
      <c r="FC4" s="208"/>
      <c r="FD4" s="208"/>
      <c r="FE4" s="208"/>
      <c r="FF4" s="208"/>
      <c r="FG4" s="208"/>
      <c r="FH4" s="208"/>
      <c r="FI4" s="208"/>
      <c r="FJ4" s="208"/>
      <c r="FK4" s="208"/>
      <c r="FL4" s="208"/>
      <c r="FM4" s="208"/>
      <c r="FN4" s="208"/>
      <c r="FO4" s="208"/>
      <c r="FP4" s="208"/>
      <c r="FQ4" s="208"/>
      <c r="FR4" s="208"/>
      <c r="FS4" s="208"/>
      <c r="FT4" s="208"/>
      <c r="FU4" s="208"/>
      <c r="FV4" s="208"/>
      <c r="FW4" s="208"/>
      <c r="FX4" s="208"/>
      <c r="FY4" s="208"/>
      <c r="FZ4" s="208"/>
      <c r="GA4" s="208"/>
      <c r="GB4" s="208"/>
      <c r="GC4" s="208"/>
      <c r="GD4" s="208"/>
      <c r="GE4" s="208"/>
      <c r="GF4" s="208"/>
      <c r="GG4" s="208"/>
      <c r="GH4" s="208"/>
      <c r="GI4" s="208"/>
      <c r="GJ4" s="208"/>
      <c r="GK4" s="208"/>
      <c r="GL4" s="208"/>
      <c r="GM4" s="208"/>
      <c r="GN4" s="208"/>
      <c r="GO4" s="208"/>
      <c r="GP4" s="208"/>
      <c r="GQ4" s="208"/>
      <c r="GR4" s="208"/>
      <c r="GS4" s="208"/>
      <c r="GT4" s="208"/>
      <c r="GU4" s="208"/>
      <c r="GV4" s="208"/>
      <c r="GW4" s="208"/>
      <c r="GX4" s="208"/>
      <c r="GY4" s="208"/>
      <c r="GZ4" s="208"/>
      <c r="HA4" s="208"/>
      <c r="HB4" s="208"/>
      <c r="HC4" s="208"/>
      <c r="HD4" s="208"/>
      <c r="HE4" s="208"/>
      <c r="HF4" s="208"/>
      <c r="HG4" s="208"/>
      <c r="HH4" s="208"/>
      <c r="HI4" s="208"/>
      <c r="HJ4" s="208"/>
      <c r="HK4" s="208"/>
      <c r="HL4" s="208"/>
      <c r="HM4" s="208"/>
      <c r="HN4" s="208"/>
      <c r="HO4" s="208"/>
      <c r="HP4" s="208"/>
      <c r="HQ4" s="208"/>
      <c r="HR4" s="208"/>
      <c r="HS4" s="208"/>
      <c r="HT4" s="208"/>
      <c r="HU4" s="208"/>
      <c r="HV4" s="208"/>
      <c r="HW4" s="208"/>
      <c r="HX4" s="208"/>
      <c r="HY4" s="208"/>
      <c r="HZ4" s="208"/>
      <c r="IA4" s="208"/>
      <c r="IB4" s="208"/>
      <c r="IC4" s="208"/>
      <c r="ID4" s="208"/>
      <c r="IE4" s="208"/>
    </row>
    <row r="5" spans="1:239" s="4" customFormat="1" ht="15" customHeight="1" x14ac:dyDescent="0.2">
      <c r="A5" s="484" t="s">
        <v>278</v>
      </c>
      <c r="B5" s="40"/>
      <c r="C5" s="1217" t="s">
        <v>246</v>
      </c>
      <c r="D5" s="2384">
        <f>IF('LFA_Programmatic Progress_1A'!D13="","",'LFA_Programmatic Progress_1A'!D13)</f>
        <v>40452</v>
      </c>
      <c r="E5" s="2385"/>
      <c r="F5" s="5" t="s">
        <v>264</v>
      </c>
      <c r="G5" s="491">
        <f>IF('LFA_Programmatic Progress_1A'!F13="","",'LFA_Programmatic Progress_1A'!F13)</f>
        <v>40543</v>
      </c>
      <c r="H5" s="1222"/>
      <c r="I5" s="1222"/>
      <c r="J5" s="1222"/>
      <c r="K5" s="1222"/>
      <c r="L5" s="69"/>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row>
    <row r="6" spans="1:239" s="4" customFormat="1" ht="15" customHeight="1" thickBot="1" x14ac:dyDescent="0.25">
      <c r="A6" s="55" t="s">
        <v>279</v>
      </c>
      <c r="B6" s="168"/>
      <c r="C6" s="2370">
        <f>IF('LFA_Programmatic Progress_1A'!C14="Select","",'LFA_Programmatic Progress_1A'!C14)</f>
        <v>5</v>
      </c>
      <c r="D6" s="2371"/>
      <c r="E6" s="2371"/>
      <c r="F6" s="2371"/>
      <c r="G6" s="2372"/>
      <c r="H6" s="1222"/>
      <c r="I6" s="1222"/>
      <c r="J6" s="1222"/>
      <c r="K6" s="1222"/>
      <c r="L6" s="69"/>
      <c r="M6" s="208"/>
      <c r="N6" s="208"/>
      <c r="O6" s="208"/>
      <c r="P6" s="208"/>
      <c r="Q6" s="208"/>
      <c r="R6" s="208"/>
      <c r="S6" s="208"/>
      <c r="T6" s="208"/>
      <c r="U6" s="208"/>
      <c r="V6" s="208"/>
      <c r="W6" s="208"/>
      <c r="X6" s="208"/>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8"/>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c r="CU6" s="208"/>
      <c r="CV6" s="208"/>
      <c r="CW6" s="208"/>
      <c r="CX6" s="208"/>
      <c r="CY6" s="208"/>
      <c r="CZ6" s="208"/>
      <c r="DA6" s="208"/>
      <c r="DB6" s="208"/>
      <c r="DC6" s="208"/>
      <c r="DD6" s="208"/>
      <c r="DE6" s="208"/>
      <c r="DF6" s="208"/>
      <c r="DG6" s="208"/>
      <c r="DH6" s="208"/>
      <c r="DI6" s="208"/>
      <c r="DJ6" s="208"/>
      <c r="DK6" s="208"/>
      <c r="DL6" s="208"/>
      <c r="DM6" s="208"/>
      <c r="DN6" s="208"/>
      <c r="DO6" s="208"/>
      <c r="DP6" s="208"/>
      <c r="DQ6" s="208"/>
      <c r="DR6" s="208"/>
      <c r="DS6" s="208"/>
      <c r="DT6" s="208"/>
      <c r="DU6" s="208"/>
      <c r="DV6" s="208"/>
      <c r="DW6" s="208"/>
      <c r="DX6" s="208"/>
      <c r="DY6" s="208"/>
      <c r="DZ6" s="208"/>
      <c r="EA6" s="208"/>
      <c r="EB6" s="208"/>
      <c r="EC6" s="208"/>
      <c r="ED6" s="208"/>
      <c r="EE6" s="208"/>
      <c r="EF6" s="208"/>
      <c r="EG6" s="208"/>
      <c r="EH6" s="208"/>
      <c r="EI6" s="208"/>
      <c r="EJ6" s="208"/>
      <c r="EK6" s="208"/>
      <c r="EL6" s="208"/>
      <c r="EM6" s="208"/>
      <c r="EN6" s="208"/>
      <c r="EO6" s="208"/>
      <c r="EP6" s="208"/>
      <c r="EQ6" s="208"/>
      <c r="ER6" s="208"/>
      <c r="ES6" s="208"/>
      <c r="ET6" s="208"/>
      <c r="EU6" s="208"/>
      <c r="EV6" s="208"/>
      <c r="EW6" s="208"/>
      <c r="EX6" s="208"/>
      <c r="EY6" s="208"/>
      <c r="EZ6" s="208"/>
      <c r="FA6" s="208"/>
      <c r="FB6" s="208"/>
      <c r="FC6" s="208"/>
      <c r="FD6" s="208"/>
      <c r="FE6" s="208"/>
      <c r="FF6" s="208"/>
      <c r="FG6" s="208"/>
      <c r="FH6" s="208"/>
      <c r="FI6" s="208"/>
      <c r="FJ6" s="208"/>
      <c r="FK6" s="208"/>
      <c r="FL6" s="208"/>
      <c r="FM6" s="208"/>
      <c r="FN6" s="208"/>
      <c r="FO6" s="208"/>
      <c r="FP6" s="208"/>
      <c r="FQ6" s="208"/>
      <c r="FR6" s="208"/>
      <c r="FS6" s="208"/>
      <c r="FT6" s="208"/>
      <c r="FU6" s="208"/>
      <c r="FV6" s="208"/>
      <c r="FW6" s="208"/>
      <c r="FX6" s="208"/>
      <c r="FY6" s="208"/>
      <c r="FZ6" s="208"/>
      <c r="GA6" s="208"/>
      <c r="GB6" s="208"/>
      <c r="GC6" s="208"/>
      <c r="GD6" s="208"/>
      <c r="GE6" s="208"/>
      <c r="GF6" s="208"/>
      <c r="GG6" s="208"/>
      <c r="GH6" s="208"/>
      <c r="GI6" s="208"/>
      <c r="GJ6" s="208"/>
      <c r="GK6" s="208"/>
      <c r="GL6" s="208"/>
      <c r="GM6" s="208"/>
      <c r="GN6" s="208"/>
      <c r="GO6" s="208"/>
      <c r="GP6" s="208"/>
      <c r="GQ6" s="208"/>
      <c r="GR6" s="208"/>
      <c r="GS6" s="208"/>
      <c r="GT6" s="208"/>
      <c r="GU6" s="208"/>
      <c r="GV6" s="208"/>
      <c r="GW6" s="208"/>
      <c r="GX6" s="208"/>
      <c r="GY6" s="208"/>
      <c r="GZ6" s="208"/>
      <c r="HA6" s="208"/>
      <c r="HB6" s="208"/>
      <c r="HC6" s="208"/>
      <c r="HD6" s="208"/>
      <c r="HE6" s="208"/>
      <c r="HF6" s="208"/>
      <c r="HG6" s="208"/>
      <c r="HH6" s="208"/>
      <c r="HI6" s="208"/>
      <c r="HJ6" s="208"/>
      <c r="HK6" s="208"/>
      <c r="HL6" s="208"/>
      <c r="HM6" s="208"/>
      <c r="HN6" s="208"/>
      <c r="HO6" s="208"/>
      <c r="HP6" s="208"/>
      <c r="HQ6" s="208"/>
      <c r="HR6" s="208"/>
      <c r="HS6" s="208"/>
      <c r="HT6" s="208"/>
      <c r="HU6" s="208"/>
      <c r="HV6" s="208"/>
      <c r="HW6" s="208"/>
      <c r="HX6" s="208"/>
      <c r="HY6" s="208"/>
      <c r="HZ6" s="208"/>
      <c r="IA6" s="208"/>
      <c r="IB6" s="208"/>
      <c r="IC6" s="208"/>
      <c r="ID6" s="208"/>
      <c r="IE6" s="208"/>
    </row>
    <row r="7" spans="1:239" s="73" customFormat="1" ht="15" customHeight="1" thickBot="1" x14ac:dyDescent="0.25">
      <c r="A7" s="1212" t="s">
        <v>245</v>
      </c>
      <c r="B7" s="1215"/>
      <c r="C7" s="2031" t="str">
        <f>IF('PR_Programmatic Progress_1A'!C10="Select","",'PR_Programmatic Progress_1A'!C10)</f>
        <v>EUR</v>
      </c>
      <c r="D7" s="2032"/>
      <c r="E7" s="2032"/>
      <c r="F7" s="2032"/>
      <c r="G7" s="2033"/>
      <c r="H7" s="1222"/>
      <c r="I7" s="1222"/>
      <c r="J7" s="1222"/>
      <c r="K7" s="1222"/>
    </row>
    <row r="8" spans="1:239" s="3" customFormat="1" ht="16.5" customHeight="1" x14ac:dyDescent="0.2">
      <c r="A8" s="70"/>
      <c r="B8" s="70"/>
      <c r="C8" s="70"/>
      <c r="D8" s="70"/>
      <c r="E8" s="70"/>
      <c r="F8" s="70"/>
      <c r="G8" s="70"/>
      <c r="H8" s="1223"/>
      <c r="I8" s="1223"/>
      <c r="J8" s="1224"/>
      <c r="K8" s="1001"/>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69"/>
      <c r="CG8" s="69"/>
      <c r="CH8" s="69"/>
      <c r="CI8" s="69"/>
      <c r="CJ8" s="69"/>
      <c r="CK8" s="69"/>
      <c r="CL8" s="69"/>
      <c r="CM8" s="69"/>
      <c r="CN8" s="69"/>
      <c r="CO8" s="69"/>
      <c r="CP8" s="69"/>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row>
    <row r="9" spans="1:239" s="17" customFormat="1" ht="25.5" customHeight="1" x14ac:dyDescent="0.25">
      <c r="A9" s="452" t="s">
        <v>10</v>
      </c>
      <c r="B9" s="206"/>
      <c r="C9" s="206"/>
      <c r="D9" s="206"/>
      <c r="E9" s="206"/>
      <c r="F9" s="206"/>
      <c r="G9" s="206"/>
      <c r="H9" s="1197"/>
      <c r="I9" s="1197"/>
      <c r="J9" s="1197"/>
      <c r="K9" s="1221"/>
      <c r="L9" s="69"/>
      <c r="M9" s="984"/>
      <c r="N9" s="984"/>
      <c r="O9" s="984"/>
      <c r="P9" s="984"/>
      <c r="Q9" s="984"/>
      <c r="R9" s="984"/>
      <c r="S9" s="984"/>
      <c r="T9" s="984"/>
      <c r="U9" s="984"/>
      <c r="V9" s="984"/>
      <c r="W9" s="984"/>
      <c r="X9" s="984"/>
      <c r="Y9" s="984"/>
      <c r="Z9" s="984"/>
      <c r="AA9" s="984"/>
      <c r="AB9" s="984"/>
      <c r="AC9" s="984"/>
      <c r="AD9" s="984"/>
      <c r="AE9" s="984"/>
      <c r="AF9" s="984"/>
      <c r="AG9" s="984"/>
      <c r="AH9" s="984"/>
      <c r="AI9" s="984"/>
      <c r="AJ9" s="984"/>
      <c r="AK9" s="984"/>
      <c r="AL9" s="984"/>
      <c r="AM9" s="984"/>
      <c r="AN9" s="984"/>
      <c r="AO9" s="984"/>
      <c r="AP9" s="984"/>
      <c r="AQ9" s="984"/>
      <c r="AR9" s="984"/>
      <c r="AS9" s="984"/>
      <c r="AT9" s="984"/>
      <c r="AU9" s="984"/>
      <c r="AV9" s="984"/>
      <c r="AW9" s="984"/>
      <c r="AX9" s="984"/>
      <c r="AY9" s="984"/>
      <c r="AZ9" s="984"/>
      <c r="BA9" s="984"/>
      <c r="BB9" s="984"/>
      <c r="BC9" s="984"/>
      <c r="BD9" s="984"/>
      <c r="BE9" s="984"/>
      <c r="BF9" s="984"/>
      <c r="BG9" s="984"/>
      <c r="BH9" s="984"/>
      <c r="BI9" s="984"/>
      <c r="BJ9" s="984"/>
      <c r="BK9" s="984"/>
      <c r="BL9" s="984"/>
      <c r="BM9" s="984"/>
      <c r="BN9" s="984"/>
      <c r="BO9" s="984"/>
      <c r="BP9" s="984"/>
      <c r="BQ9" s="984"/>
      <c r="BR9" s="984"/>
      <c r="BS9" s="984"/>
      <c r="BT9" s="984"/>
      <c r="BU9" s="984"/>
      <c r="BV9" s="984"/>
      <c r="BW9" s="984"/>
      <c r="BX9" s="984"/>
      <c r="BY9" s="984"/>
      <c r="BZ9" s="984"/>
      <c r="CA9" s="984"/>
      <c r="CB9" s="984"/>
      <c r="CC9" s="984"/>
      <c r="CD9" s="984"/>
      <c r="CE9" s="984"/>
      <c r="CF9" s="984"/>
      <c r="CG9" s="984"/>
      <c r="CH9" s="984"/>
      <c r="CI9" s="984"/>
      <c r="CJ9" s="984"/>
      <c r="CK9" s="984"/>
      <c r="CL9" s="984"/>
      <c r="CM9" s="984"/>
      <c r="CN9" s="984"/>
      <c r="CO9" s="984"/>
      <c r="CP9" s="984"/>
      <c r="CQ9" s="984"/>
      <c r="CR9" s="984"/>
      <c r="CS9" s="984"/>
      <c r="CT9" s="984"/>
      <c r="CU9" s="984"/>
      <c r="CV9" s="984"/>
      <c r="CW9" s="984"/>
      <c r="CX9" s="984"/>
      <c r="CY9" s="984"/>
      <c r="CZ9" s="984"/>
      <c r="DA9" s="984"/>
      <c r="DB9" s="984"/>
      <c r="DC9" s="984"/>
      <c r="DD9" s="984"/>
      <c r="DE9" s="984"/>
      <c r="DF9" s="984"/>
      <c r="DG9" s="984"/>
      <c r="DH9" s="984"/>
      <c r="DI9" s="984"/>
      <c r="DJ9" s="984"/>
      <c r="DK9" s="984"/>
      <c r="DL9" s="984"/>
      <c r="DM9" s="984"/>
      <c r="DN9" s="984"/>
      <c r="DO9" s="984"/>
      <c r="DP9" s="984"/>
      <c r="DQ9" s="984"/>
      <c r="DR9" s="984"/>
      <c r="DS9" s="984"/>
      <c r="DT9" s="984"/>
      <c r="DU9" s="984"/>
      <c r="DV9" s="984"/>
      <c r="DW9" s="984"/>
      <c r="DX9" s="984"/>
      <c r="DY9" s="984"/>
      <c r="DZ9" s="984"/>
      <c r="EA9" s="984"/>
      <c r="EB9" s="984"/>
      <c r="EC9" s="984"/>
      <c r="ED9" s="984"/>
      <c r="EE9" s="984"/>
      <c r="EF9" s="984"/>
      <c r="EG9" s="984"/>
      <c r="EH9" s="984"/>
      <c r="EI9" s="984"/>
      <c r="EJ9" s="984"/>
      <c r="EK9" s="984"/>
      <c r="EL9" s="984"/>
      <c r="EM9" s="984"/>
      <c r="EN9" s="984"/>
      <c r="EO9" s="984"/>
      <c r="EP9" s="984"/>
      <c r="EQ9" s="984"/>
      <c r="ER9" s="984"/>
      <c r="ES9" s="984"/>
      <c r="ET9" s="984"/>
      <c r="EU9" s="984"/>
      <c r="EV9" s="984"/>
      <c r="EW9" s="984"/>
      <c r="EX9" s="984"/>
      <c r="EY9" s="984"/>
      <c r="EZ9" s="984"/>
      <c r="FA9" s="984"/>
      <c r="FB9" s="984"/>
      <c r="FC9" s="984"/>
      <c r="FD9" s="984"/>
      <c r="FE9" s="984"/>
      <c r="FF9" s="984"/>
      <c r="FG9" s="984"/>
      <c r="FH9" s="984"/>
      <c r="FI9" s="984"/>
      <c r="FJ9" s="984"/>
      <c r="FK9" s="984"/>
      <c r="FL9" s="984"/>
      <c r="FM9" s="984"/>
      <c r="FN9" s="984"/>
      <c r="FO9" s="984"/>
      <c r="FP9" s="984"/>
      <c r="FQ9" s="984"/>
      <c r="FR9" s="984"/>
      <c r="FS9" s="984"/>
      <c r="FT9" s="984"/>
      <c r="FU9" s="984"/>
      <c r="FV9" s="984"/>
      <c r="FW9" s="984"/>
      <c r="FX9" s="984"/>
      <c r="FY9" s="984"/>
      <c r="FZ9" s="984"/>
      <c r="GA9" s="984"/>
      <c r="GB9" s="984"/>
      <c r="GC9" s="984"/>
      <c r="GD9" s="984"/>
      <c r="GE9" s="984"/>
      <c r="GF9" s="984"/>
      <c r="GG9" s="984"/>
      <c r="GH9" s="984"/>
      <c r="GI9" s="984"/>
      <c r="GJ9" s="984"/>
      <c r="GK9" s="984"/>
      <c r="GL9" s="984"/>
      <c r="GM9" s="984"/>
      <c r="GN9" s="984"/>
      <c r="GO9" s="984"/>
      <c r="GP9" s="984"/>
      <c r="GQ9" s="984"/>
      <c r="GR9" s="984"/>
      <c r="GS9" s="984"/>
      <c r="GT9" s="984"/>
      <c r="GU9" s="984"/>
      <c r="GV9" s="984"/>
      <c r="GW9" s="984"/>
      <c r="GX9" s="984"/>
      <c r="GY9" s="984"/>
      <c r="GZ9" s="984"/>
      <c r="HA9" s="984"/>
      <c r="HB9" s="984"/>
      <c r="HC9" s="984"/>
      <c r="HD9" s="984"/>
      <c r="HE9" s="984"/>
      <c r="HF9" s="984"/>
      <c r="HG9" s="984"/>
      <c r="HH9" s="984"/>
      <c r="HI9" s="984"/>
      <c r="HJ9" s="984"/>
      <c r="HK9" s="984"/>
      <c r="HL9" s="984"/>
      <c r="HM9" s="984"/>
      <c r="HN9" s="984"/>
      <c r="HO9" s="984"/>
      <c r="HP9" s="984"/>
      <c r="HQ9" s="984"/>
      <c r="HR9" s="984"/>
      <c r="HS9" s="984"/>
      <c r="HT9" s="984"/>
      <c r="HU9" s="984"/>
      <c r="HV9" s="984"/>
      <c r="HW9" s="984"/>
      <c r="HX9" s="984"/>
      <c r="HY9" s="984"/>
      <c r="HZ9" s="984"/>
      <c r="IA9" s="984"/>
      <c r="IB9" s="984"/>
      <c r="IC9" s="984"/>
      <c r="ID9" s="984"/>
      <c r="IE9" s="984"/>
    </row>
    <row r="10" spans="1:239" s="17" customFormat="1" ht="21" customHeight="1" x14ac:dyDescent="0.2">
      <c r="A10" s="1792" t="s">
        <v>57</v>
      </c>
      <c r="B10" s="1793"/>
      <c r="C10" s="1793"/>
      <c r="D10" s="1793"/>
      <c r="E10" s="1793"/>
      <c r="F10" s="1793"/>
      <c r="G10" s="1793"/>
      <c r="H10" s="1793"/>
      <c r="I10" s="1793"/>
      <c r="J10" s="1793"/>
      <c r="K10" s="1793"/>
      <c r="L10" s="69"/>
      <c r="M10" s="984"/>
      <c r="N10" s="984"/>
      <c r="O10" s="984"/>
      <c r="P10" s="984"/>
      <c r="Q10" s="984"/>
      <c r="R10" s="984"/>
      <c r="S10" s="984"/>
      <c r="T10" s="984"/>
      <c r="U10" s="984"/>
      <c r="V10" s="984"/>
      <c r="W10" s="984"/>
      <c r="X10" s="984"/>
      <c r="Y10" s="984"/>
      <c r="Z10" s="984"/>
      <c r="AA10" s="984"/>
      <c r="AB10" s="984"/>
      <c r="AC10" s="984"/>
      <c r="AD10" s="984"/>
      <c r="AE10" s="984"/>
      <c r="AF10" s="984"/>
      <c r="AG10" s="984"/>
      <c r="AH10" s="984"/>
      <c r="AI10" s="984"/>
      <c r="AJ10" s="984"/>
      <c r="AK10" s="984"/>
      <c r="AL10" s="984"/>
      <c r="AM10" s="984"/>
      <c r="AN10" s="984"/>
      <c r="AO10" s="984"/>
      <c r="AP10" s="984"/>
      <c r="AQ10" s="984"/>
      <c r="AR10" s="984"/>
      <c r="AS10" s="984"/>
      <c r="AT10" s="984"/>
      <c r="AU10" s="984"/>
      <c r="AV10" s="984"/>
      <c r="AW10" s="984"/>
      <c r="AX10" s="984"/>
      <c r="AY10" s="984"/>
      <c r="AZ10" s="984"/>
      <c r="BA10" s="984"/>
      <c r="BB10" s="984"/>
      <c r="BC10" s="984"/>
      <c r="BD10" s="984"/>
      <c r="BE10" s="984"/>
      <c r="BF10" s="984"/>
      <c r="BG10" s="984"/>
      <c r="BH10" s="984"/>
      <c r="BI10" s="984"/>
      <c r="BJ10" s="984"/>
      <c r="BK10" s="984"/>
      <c r="BL10" s="984"/>
      <c r="BM10" s="984"/>
      <c r="BN10" s="984"/>
      <c r="BO10" s="984"/>
      <c r="BP10" s="984"/>
      <c r="BQ10" s="984"/>
      <c r="BR10" s="984"/>
      <c r="BS10" s="984"/>
      <c r="BT10" s="984"/>
      <c r="BU10" s="984"/>
      <c r="BV10" s="984"/>
      <c r="BW10" s="984"/>
      <c r="BX10" s="984"/>
      <c r="BY10" s="984"/>
      <c r="BZ10" s="984"/>
      <c r="CA10" s="984"/>
      <c r="CB10" s="984"/>
      <c r="CC10" s="984"/>
      <c r="CD10" s="984"/>
      <c r="CE10" s="984"/>
      <c r="CF10" s="984"/>
      <c r="CG10" s="984"/>
      <c r="CH10" s="984"/>
      <c r="CI10" s="984"/>
      <c r="CJ10" s="984"/>
      <c r="CK10" s="984"/>
      <c r="CL10" s="984"/>
      <c r="CM10" s="984"/>
      <c r="CN10" s="984"/>
      <c r="CO10" s="984"/>
      <c r="CP10" s="984"/>
      <c r="CQ10" s="984"/>
      <c r="CR10" s="984"/>
      <c r="CS10" s="984"/>
      <c r="CT10" s="984"/>
      <c r="CU10" s="984"/>
      <c r="CV10" s="984"/>
      <c r="CW10" s="984"/>
      <c r="CX10" s="984"/>
      <c r="CY10" s="984"/>
      <c r="CZ10" s="984"/>
      <c r="DA10" s="984"/>
      <c r="DB10" s="984"/>
      <c r="DC10" s="984"/>
      <c r="DD10" s="984"/>
      <c r="DE10" s="984"/>
      <c r="DF10" s="984"/>
      <c r="DG10" s="984"/>
      <c r="DH10" s="984"/>
      <c r="DI10" s="984"/>
      <c r="DJ10" s="984"/>
      <c r="DK10" s="984"/>
      <c r="DL10" s="984"/>
      <c r="DM10" s="984"/>
      <c r="DN10" s="984"/>
      <c r="DO10" s="984"/>
      <c r="DP10" s="984"/>
      <c r="DQ10" s="984"/>
      <c r="DR10" s="984"/>
      <c r="DS10" s="984"/>
      <c r="DT10" s="984"/>
      <c r="DU10" s="984"/>
      <c r="DV10" s="984"/>
      <c r="DW10" s="984"/>
      <c r="DX10" s="984"/>
      <c r="DY10" s="984"/>
      <c r="DZ10" s="984"/>
      <c r="EA10" s="984"/>
      <c r="EB10" s="984"/>
      <c r="EC10" s="984"/>
      <c r="ED10" s="984"/>
      <c r="EE10" s="984"/>
      <c r="EF10" s="984"/>
      <c r="EG10" s="984"/>
      <c r="EH10" s="984"/>
      <c r="EI10" s="984"/>
      <c r="EJ10" s="984"/>
      <c r="EK10" s="984"/>
      <c r="EL10" s="984"/>
      <c r="EM10" s="984"/>
      <c r="EN10" s="984"/>
      <c r="EO10" s="984"/>
      <c r="EP10" s="984"/>
      <c r="EQ10" s="984"/>
      <c r="ER10" s="984"/>
      <c r="ES10" s="984"/>
      <c r="ET10" s="984"/>
      <c r="EU10" s="984"/>
      <c r="EV10" s="984"/>
      <c r="EW10" s="984"/>
      <c r="EX10" s="984"/>
      <c r="EY10" s="984"/>
      <c r="EZ10" s="984"/>
      <c r="FA10" s="984"/>
      <c r="FB10" s="984"/>
      <c r="FC10" s="984"/>
      <c r="FD10" s="984"/>
      <c r="FE10" s="984"/>
      <c r="FF10" s="984"/>
      <c r="FG10" s="984"/>
      <c r="FH10" s="984"/>
      <c r="FI10" s="984"/>
      <c r="FJ10" s="984"/>
      <c r="FK10" s="984"/>
      <c r="FL10" s="984"/>
      <c r="FM10" s="984"/>
      <c r="FN10" s="984"/>
      <c r="FO10" s="984"/>
      <c r="FP10" s="984"/>
      <c r="FQ10" s="984"/>
      <c r="FR10" s="984"/>
      <c r="FS10" s="984"/>
      <c r="FT10" s="984"/>
      <c r="FU10" s="984"/>
      <c r="FV10" s="984"/>
      <c r="FW10" s="984"/>
      <c r="FX10" s="984"/>
      <c r="FY10" s="984"/>
      <c r="FZ10" s="984"/>
      <c r="GA10" s="984"/>
      <c r="GB10" s="984"/>
      <c r="GC10" s="984"/>
      <c r="GD10" s="984"/>
      <c r="GE10" s="984"/>
      <c r="GF10" s="984"/>
      <c r="GG10" s="984"/>
      <c r="GH10" s="984"/>
      <c r="GI10" s="984"/>
      <c r="GJ10" s="984"/>
      <c r="GK10" s="984"/>
      <c r="GL10" s="984"/>
      <c r="GM10" s="984"/>
      <c r="GN10" s="984"/>
      <c r="GO10" s="984"/>
      <c r="GP10" s="984"/>
      <c r="GQ10" s="984"/>
      <c r="GR10" s="984"/>
      <c r="GS10" s="984"/>
      <c r="GT10" s="984"/>
      <c r="GU10" s="984"/>
      <c r="GV10" s="984"/>
      <c r="GW10" s="984"/>
      <c r="GX10" s="984"/>
      <c r="GY10" s="984"/>
      <c r="GZ10" s="984"/>
      <c r="HA10" s="984"/>
      <c r="HB10" s="984"/>
      <c r="HC10" s="984"/>
      <c r="HD10" s="984"/>
      <c r="HE10" s="984"/>
      <c r="HF10" s="984"/>
      <c r="HG10" s="984"/>
      <c r="HH10" s="984"/>
      <c r="HI10" s="984"/>
      <c r="HJ10" s="984"/>
      <c r="HK10" s="984"/>
      <c r="HL10" s="984"/>
      <c r="HM10" s="984"/>
      <c r="HN10" s="984"/>
      <c r="HO10" s="984"/>
      <c r="HP10" s="984"/>
      <c r="HQ10" s="984"/>
      <c r="HR10" s="984"/>
      <c r="HS10" s="984"/>
      <c r="HT10" s="984"/>
      <c r="HU10" s="984"/>
      <c r="HV10" s="984"/>
      <c r="HW10" s="984"/>
      <c r="HX10" s="984"/>
      <c r="HY10" s="984"/>
      <c r="HZ10" s="984"/>
      <c r="IA10" s="984"/>
      <c r="IB10" s="984"/>
      <c r="IC10" s="984"/>
      <c r="ID10" s="984"/>
      <c r="IE10" s="984"/>
    </row>
    <row r="11" spans="1:239" s="3" customFormat="1" ht="30" customHeight="1" thickBot="1" x14ac:dyDescent="0.25">
      <c r="A11" s="687" t="s">
        <v>131</v>
      </c>
      <c r="B11" s="69"/>
      <c r="C11" s="69"/>
      <c r="D11" s="69"/>
      <c r="E11" s="69"/>
      <c r="F11" s="69"/>
      <c r="G11" s="69"/>
      <c r="H11" s="69"/>
      <c r="I11" s="69"/>
      <c r="J11" s="69"/>
      <c r="K11" s="69"/>
      <c r="L11" s="992"/>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9"/>
      <c r="AL11" s="69"/>
      <c r="AM11" s="69"/>
      <c r="AN11" s="69"/>
      <c r="AO11" s="69"/>
      <c r="AP11" s="69"/>
      <c r="AQ11" s="69"/>
      <c r="AR11" s="69"/>
      <c r="AS11" s="69"/>
      <c r="AT11" s="69"/>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c r="BY11" s="69"/>
      <c r="BZ11" s="69"/>
      <c r="CA11" s="69"/>
      <c r="CB11" s="69"/>
      <c r="CC11" s="69"/>
      <c r="CD11" s="69"/>
      <c r="CE11" s="69"/>
      <c r="CF11" s="69"/>
      <c r="CG11" s="69"/>
      <c r="CH11" s="69"/>
      <c r="CI11" s="69"/>
      <c r="CJ11" s="69"/>
      <c r="CK11" s="69"/>
      <c r="CL11" s="69"/>
      <c r="CM11" s="69"/>
      <c r="CN11" s="69"/>
      <c r="CO11" s="69"/>
      <c r="CP11" s="69"/>
      <c r="CQ11" s="69"/>
      <c r="CR11" s="69"/>
      <c r="CS11" s="69"/>
      <c r="CT11" s="69"/>
      <c r="CU11" s="69"/>
      <c r="CV11" s="69"/>
      <c r="CW11" s="69"/>
      <c r="CX11" s="69"/>
      <c r="CY11" s="69"/>
      <c r="CZ11" s="69"/>
      <c r="DA11" s="69"/>
      <c r="DB11" s="69"/>
      <c r="DC11" s="69"/>
      <c r="DD11" s="69"/>
      <c r="DE11" s="69"/>
      <c r="DF11" s="69"/>
      <c r="DG11" s="69"/>
      <c r="DH11" s="69"/>
      <c r="DI11" s="69"/>
      <c r="DJ11" s="69"/>
      <c r="DK11" s="69"/>
      <c r="DL11" s="69"/>
      <c r="DM11" s="69"/>
      <c r="DN11" s="69"/>
      <c r="DO11" s="69"/>
      <c r="DP11" s="69"/>
      <c r="DQ11" s="69"/>
      <c r="DR11" s="69"/>
      <c r="DS11" s="69"/>
      <c r="DT11" s="69"/>
      <c r="DU11" s="69"/>
      <c r="DV11" s="69"/>
      <c r="DW11" s="69"/>
      <c r="DX11" s="69"/>
      <c r="DY11" s="69"/>
      <c r="DZ11" s="69"/>
      <c r="EA11" s="69"/>
      <c r="EB11" s="69"/>
      <c r="EC11" s="69"/>
      <c r="ED11" s="69"/>
      <c r="EE11" s="69"/>
      <c r="EF11" s="69"/>
      <c r="EG11" s="69"/>
      <c r="EH11" s="69"/>
      <c r="EI11" s="69"/>
      <c r="EJ11" s="69"/>
      <c r="EK11" s="69"/>
      <c r="EL11" s="69"/>
      <c r="EM11" s="69"/>
      <c r="EN11" s="69"/>
      <c r="EO11" s="69"/>
      <c r="EP11" s="69"/>
      <c r="EQ11" s="69"/>
      <c r="ER11" s="69"/>
      <c r="ES11" s="69"/>
      <c r="ET11" s="69"/>
      <c r="EU11" s="69"/>
      <c r="EV11" s="69"/>
      <c r="EW11" s="69"/>
      <c r="EX11" s="69"/>
      <c r="EY11" s="69"/>
      <c r="EZ11" s="69"/>
      <c r="FA11" s="69"/>
      <c r="FB11" s="69"/>
      <c r="FC11" s="69"/>
      <c r="FD11" s="69"/>
      <c r="FE11" s="69"/>
      <c r="FF11" s="69"/>
      <c r="FG11" s="69"/>
      <c r="FH11" s="69"/>
      <c r="FI11" s="69"/>
      <c r="FJ11" s="69"/>
      <c r="FK11" s="69"/>
      <c r="FL11" s="69"/>
      <c r="FM11" s="69"/>
      <c r="FN11" s="69"/>
      <c r="FO11" s="69"/>
      <c r="FP11" s="69"/>
      <c r="FQ11" s="69"/>
      <c r="FR11" s="69"/>
      <c r="FS11" s="69"/>
      <c r="FT11" s="69"/>
      <c r="FU11" s="69"/>
      <c r="FV11" s="69"/>
      <c r="FW11" s="69"/>
      <c r="FX11" s="69"/>
      <c r="FY11" s="69"/>
      <c r="FZ11" s="69"/>
      <c r="GA11" s="69"/>
      <c r="GB11" s="69"/>
      <c r="GC11" s="69"/>
      <c r="GD11" s="69"/>
      <c r="GE11" s="69"/>
      <c r="GF11" s="69"/>
      <c r="GG11" s="69"/>
      <c r="GH11" s="69"/>
      <c r="GI11" s="69"/>
      <c r="GJ11" s="69"/>
      <c r="GK11" s="69"/>
      <c r="GL11" s="69"/>
      <c r="GM11" s="69"/>
      <c r="GN11" s="69"/>
      <c r="GO11" s="69"/>
      <c r="GP11" s="69"/>
      <c r="GQ11" s="69"/>
      <c r="GR11" s="69"/>
      <c r="GS11" s="69"/>
      <c r="GT11" s="69"/>
      <c r="GU11" s="69"/>
      <c r="GV11" s="69"/>
      <c r="GW11" s="69"/>
      <c r="GX11" s="69"/>
      <c r="GY11" s="69"/>
      <c r="GZ11" s="69"/>
      <c r="HA11" s="69"/>
      <c r="HB11" s="69"/>
      <c r="HC11" s="69"/>
      <c r="HD11" s="69"/>
      <c r="HE11" s="69"/>
      <c r="HF11" s="69"/>
      <c r="HG11" s="69"/>
      <c r="HH11" s="69"/>
      <c r="HI11" s="69"/>
      <c r="HJ11" s="69"/>
      <c r="HK11" s="69"/>
      <c r="HL11" s="69"/>
      <c r="HM11" s="69"/>
      <c r="HN11" s="69"/>
      <c r="HO11" s="69"/>
      <c r="HP11" s="69"/>
      <c r="HQ11" s="69"/>
      <c r="HR11" s="69"/>
      <c r="HS11" s="69"/>
      <c r="HT11" s="69"/>
      <c r="HU11" s="69"/>
      <c r="HV11" s="69"/>
      <c r="HW11" s="69"/>
      <c r="HX11" s="69"/>
      <c r="HY11" s="69"/>
      <c r="HZ11" s="69"/>
      <c r="IA11" s="69"/>
      <c r="IB11" s="69"/>
      <c r="IC11" s="69"/>
      <c r="ID11" s="69"/>
      <c r="IE11" s="69"/>
    </row>
    <row r="12" spans="1:239" s="17" customFormat="1" ht="93.75" customHeight="1" thickBot="1" x14ac:dyDescent="0.25">
      <c r="A12" s="2271"/>
      <c r="B12" s="2278"/>
      <c r="C12" s="808" t="s">
        <v>411</v>
      </c>
      <c r="D12" s="808" t="s">
        <v>412</v>
      </c>
      <c r="E12" s="808" t="s">
        <v>252</v>
      </c>
      <c r="F12" s="2375" t="s">
        <v>230</v>
      </c>
      <c r="G12" s="2376"/>
      <c r="H12" s="808" t="s">
        <v>419</v>
      </c>
      <c r="I12" s="808" t="s">
        <v>413</v>
      </c>
      <c r="J12" s="808" t="s">
        <v>252</v>
      </c>
      <c r="K12" s="973" t="s">
        <v>230</v>
      </c>
      <c r="L12" s="993"/>
      <c r="M12" s="984"/>
      <c r="N12" s="2271" t="str">
        <f>IF('PR_Programmatic Progress_1A'!P10="Select","Please select currency on Page
 'PR_Programmatic Achievement (1)'", "All amounts are in: "&amp;'PR_Programmatic Progress_1A'!P10)</f>
        <v xml:space="preserve">All amounts are in: </v>
      </c>
      <c r="O12" s="2278"/>
      <c r="P12" s="808" t="s">
        <v>411</v>
      </c>
      <c r="Q12" s="808" t="s">
        <v>412</v>
      </c>
      <c r="R12" s="808" t="s">
        <v>252</v>
      </c>
      <c r="S12" s="2375" t="s">
        <v>230</v>
      </c>
      <c r="T12" s="2376"/>
      <c r="U12" s="808" t="s">
        <v>419</v>
      </c>
      <c r="V12" s="808" t="s">
        <v>413</v>
      </c>
      <c r="W12" s="808" t="s">
        <v>252</v>
      </c>
      <c r="X12" s="1045" t="s">
        <v>230</v>
      </c>
      <c r="Y12" s="984"/>
      <c r="Z12" s="984"/>
      <c r="AA12" s="984"/>
      <c r="AB12" s="984"/>
      <c r="AC12" s="984"/>
      <c r="AD12" s="984"/>
      <c r="AE12" s="984"/>
      <c r="AF12" s="984"/>
      <c r="AG12" s="984"/>
      <c r="AH12" s="984"/>
      <c r="AI12" s="984"/>
      <c r="AJ12" s="984"/>
      <c r="AK12" s="984"/>
      <c r="AL12" s="984"/>
      <c r="AM12" s="984"/>
      <c r="AN12" s="984"/>
      <c r="AO12" s="984"/>
      <c r="AP12" s="984"/>
      <c r="AQ12" s="984"/>
      <c r="AR12" s="984"/>
      <c r="AS12" s="984"/>
      <c r="AT12" s="984"/>
      <c r="AU12" s="984"/>
      <c r="AV12" s="984"/>
      <c r="AW12" s="984"/>
      <c r="AX12" s="984"/>
      <c r="AY12" s="984"/>
      <c r="AZ12" s="984"/>
      <c r="BA12" s="984"/>
      <c r="BB12" s="984"/>
      <c r="BC12" s="984"/>
      <c r="BD12" s="984"/>
      <c r="BE12" s="984"/>
      <c r="BF12" s="984"/>
      <c r="BG12" s="984"/>
      <c r="BH12" s="984"/>
      <c r="BI12" s="984"/>
      <c r="BJ12" s="984"/>
      <c r="BK12" s="984"/>
      <c r="BL12" s="984"/>
      <c r="BM12" s="984"/>
      <c r="BN12" s="984"/>
      <c r="BO12" s="984"/>
      <c r="BP12" s="984"/>
      <c r="BQ12" s="984"/>
      <c r="BR12" s="984"/>
      <c r="BS12" s="984"/>
      <c r="BT12" s="984"/>
      <c r="BU12" s="984"/>
      <c r="BV12" s="984"/>
      <c r="BW12" s="984"/>
      <c r="BX12" s="984"/>
      <c r="BY12" s="984"/>
      <c r="BZ12" s="984"/>
      <c r="CA12" s="984"/>
      <c r="CB12" s="984"/>
      <c r="CC12" s="984"/>
      <c r="CD12" s="984"/>
      <c r="CE12" s="984"/>
      <c r="CF12" s="984"/>
      <c r="CG12" s="984"/>
      <c r="CH12" s="984"/>
      <c r="CI12" s="984"/>
      <c r="CJ12" s="984"/>
      <c r="CK12" s="984"/>
      <c r="CL12" s="984"/>
      <c r="CM12" s="984"/>
      <c r="CN12" s="984"/>
      <c r="CO12" s="984"/>
      <c r="CP12" s="984"/>
      <c r="CQ12" s="984"/>
      <c r="CR12" s="984"/>
      <c r="CS12" s="984"/>
      <c r="CT12" s="984"/>
      <c r="CU12" s="984"/>
      <c r="CV12" s="984"/>
      <c r="CW12" s="984"/>
      <c r="CX12" s="984"/>
      <c r="CY12" s="984"/>
      <c r="CZ12" s="984"/>
      <c r="DA12" s="984"/>
      <c r="DB12" s="984"/>
      <c r="DC12" s="984"/>
      <c r="DD12" s="984"/>
      <c r="DE12" s="984"/>
      <c r="DF12" s="984"/>
      <c r="DG12" s="984"/>
      <c r="DH12" s="984"/>
      <c r="DI12" s="984"/>
      <c r="DJ12" s="984"/>
      <c r="DK12" s="984"/>
      <c r="DL12" s="984"/>
      <c r="DM12" s="984"/>
      <c r="DN12" s="984"/>
      <c r="DO12" s="984"/>
      <c r="DP12" s="984"/>
      <c r="DQ12" s="984"/>
      <c r="DR12" s="984"/>
      <c r="DS12" s="984"/>
      <c r="DT12" s="984"/>
      <c r="DU12" s="984"/>
      <c r="DV12" s="984"/>
      <c r="DW12" s="984"/>
      <c r="DX12" s="984"/>
      <c r="DY12" s="984"/>
      <c r="DZ12" s="984"/>
      <c r="EA12" s="984"/>
      <c r="EB12" s="984"/>
      <c r="EC12" s="984"/>
      <c r="ED12" s="984"/>
      <c r="EE12" s="984"/>
      <c r="EF12" s="984"/>
      <c r="EG12" s="984"/>
      <c r="EH12" s="984"/>
      <c r="EI12" s="984"/>
      <c r="EJ12" s="984"/>
      <c r="EK12" s="984"/>
      <c r="EL12" s="984"/>
      <c r="EM12" s="984"/>
      <c r="EN12" s="984"/>
      <c r="EO12" s="984"/>
      <c r="EP12" s="984"/>
      <c r="EQ12" s="984"/>
      <c r="ER12" s="984"/>
      <c r="ES12" s="984"/>
      <c r="ET12" s="984"/>
      <c r="EU12" s="984"/>
      <c r="EV12" s="984"/>
      <c r="EW12" s="984"/>
      <c r="EX12" s="984"/>
      <c r="EY12" s="984"/>
      <c r="EZ12" s="984"/>
      <c r="FA12" s="984"/>
      <c r="FB12" s="984"/>
      <c r="FC12" s="984"/>
      <c r="FD12" s="984"/>
      <c r="FE12" s="984"/>
      <c r="FF12" s="984"/>
      <c r="FG12" s="984"/>
      <c r="FH12" s="984"/>
      <c r="FI12" s="984"/>
      <c r="FJ12" s="984"/>
      <c r="FK12" s="984"/>
      <c r="FL12" s="984"/>
      <c r="FM12" s="984"/>
      <c r="FN12" s="984"/>
      <c r="FO12" s="984"/>
      <c r="FP12" s="984"/>
      <c r="FQ12" s="984"/>
      <c r="FR12" s="984"/>
      <c r="FS12" s="984"/>
      <c r="FT12" s="984"/>
      <c r="FU12" s="984"/>
      <c r="FV12" s="984"/>
      <c r="FW12" s="984"/>
      <c r="FX12" s="984"/>
      <c r="FY12" s="984"/>
      <c r="FZ12" s="984"/>
      <c r="GA12" s="984"/>
      <c r="GB12" s="984"/>
      <c r="GC12" s="984"/>
      <c r="GD12" s="984"/>
      <c r="GE12" s="984"/>
      <c r="GF12" s="984"/>
      <c r="GG12" s="984"/>
      <c r="GH12" s="984"/>
      <c r="GI12" s="984"/>
      <c r="GJ12" s="984"/>
      <c r="GK12" s="984"/>
      <c r="GL12" s="984"/>
      <c r="GM12" s="984"/>
      <c r="GN12" s="984"/>
      <c r="GO12" s="984"/>
      <c r="GP12" s="984"/>
      <c r="GQ12" s="984"/>
      <c r="GR12" s="984"/>
      <c r="GS12" s="984"/>
      <c r="GT12" s="984"/>
      <c r="GU12" s="984"/>
      <c r="GV12" s="984"/>
      <c r="GW12" s="984"/>
      <c r="GX12" s="984"/>
      <c r="GY12" s="984"/>
      <c r="GZ12" s="984"/>
      <c r="HA12" s="984"/>
      <c r="HB12" s="984"/>
      <c r="HC12" s="984"/>
      <c r="HD12" s="984"/>
      <c r="HE12" s="984"/>
      <c r="HF12" s="984"/>
      <c r="HG12" s="984"/>
      <c r="HH12" s="984"/>
      <c r="HI12" s="984"/>
      <c r="HJ12" s="984"/>
      <c r="HK12" s="984"/>
      <c r="HL12" s="984"/>
      <c r="HM12" s="984"/>
      <c r="HN12" s="984"/>
      <c r="HO12" s="984"/>
      <c r="HP12" s="984"/>
      <c r="HQ12" s="984"/>
      <c r="HR12" s="984"/>
      <c r="HS12" s="984"/>
      <c r="HT12" s="984"/>
      <c r="HU12" s="984"/>
      <c r="HV12" s="984"/>
      <c r="HW12" s="984"/>
      <c r="HX12" s="984"/>
      <c r="HY12" s="984"/>
      <c r="HZ12" s="984"/>
      <c r="IA12" s="984"/>
      <c r="IB12" s="984"/>
      <c r="IC12" s="984"/>
      <c r="ID12" s="984"/>
      <c r="IE12" s="984"/>
    </row>
    <row r="13" spans="1:239" s="17" customFormat="1" ht="21" customHeight="1" x14ac:dyDescent="0.2">
      <c r="A13" s="2377" t="s">
        <v>7</v>
      </c>
      <c r="B13" s="2378"/>
      <c r="C13" s="809">
        <f>C14+C15</f>
        <v>2500000</v>
      </c>
      <c r="D13" s="809">
        <f>D14+D15</f>
        <v>2235000</v>
      </c>
      <c r="E13" s="809">
        <f>IF(C13="",IF(D13="","",C13-D13),C13-D13)</f>
        <v>265000</v>
      </c>
      <c r="F13" s="2366"/>
      <c r="G13" s="2367"/>
      <c r="H13" s="809">
        <f>H14+H15</f>
        <v>5600000</v>
      </c>
      <c r="I13" s="809">
        <f>I14+I15</f>
        <v>4500000</v>
      </c>
      <c r="J13" s="809">
        <f>IF(H13="",IF(I13="","",H13-I13),H13-I13)</f>
        <v>1100000</v>
      </c>
      <c r="K13" s="987"/>
      <c r="L13" s="993"/>
      <c r="M13" s="984"/>
      <c r="N13" s="2377" t="s">
        <v>7</v>
      </c>
      <c r="O13" s="2378"/>
      <c r="P13" s="809">
        <f>P14+P15</f>
        <v>2500000</v>
      </c>
      <c r="Q13" s="809">
        <f>Q14+Q15</f>
        <v>2235000</v>
      </c>
      <c r="R13" s="809">
        <f>IF(P13="",IF(Q13="","",P13-Q13),P13-Q13)</f>
        <v>265000</v>
      </c>
      <c r="S13" s="2366"/>
      <c r="T13" s="2367"/>
      <c r="U13" s="809">
        <f>U14+U15</f>
        <v>5600000</v>
      </c>
      <c r="V13" s="809">
        <f>V14+V15</f>
        <v>4500000</v>
      </c>
      <c r="W13" s="809">
        <f>IF(U13="",IF(V13="","",U13-V13),U13-V13)</f>
        <v>1100000</v>
      </c>
      <c r="X13" s="1049"/>
      <c r="Y13" s="984"/>
      <c r="Z13" s="984"/>
      <c r="AA13" s="984"/>
      <c r="AB13" s="984"/>
      <c r="AC13" s="984"/>
      <c r="AD13" s="984"/>
      <c r="AE13" s="984"/>
      <c r="AF13" s="984"/>
      <c r="AG13" s="984"/>
      <c r="AH13" s="984"/>
      <c r="AI13" s="984"/>
      <c r="AJ13" s="984"/>
      <c r="AK13" s="984"/>
      <c r="AL13" s="984"/>
      <c r="AM13" s="984"/>
      <c r="AN13" s="984"/>
      <c r="AO13" s="984"/>
      <c r="AP13" s="984"/>
      <c r="AQ13" s="984"/>
      <c r="AR13" s="984"/>
      <c r="AS13" s="984"/>
      <c r="AT13" s="984"/>
      <c r="AU13" s="984"/>
      <c r="AV13" s="984"/>
      <c r="AW13" s="984"/>
      <c r="AX13" s="984"/>
      <c r="AY13" s="984"/>
      <c r="AZ13" s="984"/>
      <c r="BA13" s="984"/>
      <c r="BB13" s="984"/>
      <c r="BC13" s="984"/>
      <c r="BD13" s="984"/>
      <c r="BE13" s="984"/>
      <c r="BF13" s="984"/>
      <c r="BG13" s="984"/>
      <c r="BH13" s="984"/>
      <c r="BI13" s="984"/>
      <c r="BJ13" s="984"/>
      <c r="BK13" s="984"/>
      <c r="BL13" s="984"/>
      <c r="BM13" s="984"/>
      <c r="BN13" s="984"/>
      <c r="BO13" s="984"/>
      <c r="BP13" s="984"/>
      <c r="BQ13" s="984"/>
      <c r="BR13" s="984"/>
      <c r="BS13" s="984"/>
      <c r="BT13" s="984"/>
      <c r="BU13" s="984"/>
      <c r="BV13" s="984"/>
      <c r="BW13" s="984"/>
      <c r="BX13" s="984"/>
      <c r="BY13" s="984"/>
      <c r="BZ13" s="984"/>
      <c r="CA13" s="984"/>
      <c r="CB13" s="984"/>
      <c r="CC13" s="984"/>
      <c r="CD13" s="984"/>
      <c r="CE13" s="984"/>
      <c r="CF13" s="984"/>
      <c r="CG13" s="984"/>
      <c r="CH13" s="984"/>
      <c r="CI13" s="984"/>
      <c r="CJ13" s="984"/>
      <c r="CK13" s="984"/>
      <c r="CL13" s="984"/>
      <c r="CM13" s="984"/>
      <c r="CN13" s="984"/>
      <c r="CO13" s="984"/>
      <c r="CP13" s="984"/>
      <c r="CQ13" s="984"/>
      <c r="CR13" s="984"/>
      <c r="CS13" s="984"/>
      <c r="CT13" s="984"/>
      <c r="CU13" s="984"/>
      <c r="CV13" s="984"/>
      <c r="CW13" s="984"/>
      <c r="CX13" s="984"/>
      <c r="CY13" s="984"/>
      <c r="CZ13" s="984"/>
      <c r="DA13" s="984"/>
      <c r="DB13" s="984"/>
      <c r="DC13" s="984"/>
      <c r="DD13" s="984"/>
      <c r="DE13" s="984"/>
      <c r="DF13" s="984"/>
      <c r="DG13" s="984"/>
      <c r="DH13" s="984"/>
      <c r="DI13" s="984"/>
      <c r="DJ13" s="984"/>
      <c r="DK13" s="984"/>
      <c r="DL13" s="984"/>
      <c r="DM13" s="984"/>
      <c r="DN13" s="984"/>
      <c r="DO13" s="984"/>
      <c r="DP13" s="984"/>
      <c r="DQ13" s="984"/>
      <c r="DR13" s="984"/>
      <c r="DS13" s="984"/>
      <c r="DT13" s="984"/>
      <c r="DU13" s="984"/>
      <c r="DV13" s="984"/>
      <c r="DW13" s="984"/>
      <c r="DX13" s="984"/>
      <c r="DY13" s="984"/>
      <c r="DZ13" s="984"/>
      <c r="EA13" s="984"/>
      <c r="EB13" s="984"/>
      <c r="EC13" s="984"/>
      <c r="ED13" s="984"/>
      <c r="EE13" s="984"/>
      <c r="EF13" s="984"/>
      <c r="EG13" s="984"/>
      <c r="EH13" s="984"/>
      <c r="EI13" s="984"/>
      <c r="EJ13" s="984"/>
      <c r="EK13" s="984"/>
      <c r="EL13" s="984"/>
      <c r="EM13" s="984"/>
      <c r="EN13" s="984"/>
      <c r="EO13" s="984"/>
      <c r="EP13" s="984"/>
      <c r="EQ13" s="984"/>
      <c r="ER13" s="984"/>
      <c r="ES13" s="984"/>
      <c r="ET13" s="984"/>
      <c r="EU13" s="984"/>
      <c r="EV13" s="984"/>
      <c r="EW13" s="984"/>
      <c r="EX13" s="984"/>
      <c r="EY13" s="984"/>
      <c r="EZ13" s="984"/>
      <c r="FA13" s="984"/>
      <c r="FB13" s="984"/>
      <c r="FC13" s="984"/>
      <c r="FD13" s="984"/>
      <c r="FE13" s="984"/>
      <c r="FF13" s="984"/>
      <c r="FG13" s="984"/>
      <c r="FH13" s="984"/>
      <c r="FI13" s="984"/>
      <c r="FJ13" s="984"/>
      <c r="FK13" s="984"/>
      <c r="FL13" s="984"/>
      <c r="FM13" s="984"/>
      <c r="FN13" s="984"/>
      <c r="FO13" s="984"/>
      <c r="FP13" s="984"/>
      <c r="FQ13" s="984"/>
      <c r="FR13" s="984"/>
      <c r="FS13" s="984"/>
      <c r="FT13" s="984"/>
      <c r="FU13" s="984"/>
      <c r="FV13" s="984"/>
      <c r="FW13" s="984"/>
      <c r="FX13" s="984"/>
      <c r="FY13" s="984"/>
      <c r="FZ13" s="984"/>
      <c r="GA13" s="984"/>
      <c r="GB13" s="984"/>
      <c r="GC13" s="984"/>
      <c r="GD13" s="984"/>
      <c r="GE13" s="984"/>
      <c r="GF13" s="984"/>
      <c r="GG13" s="984"/>
      <c r="GH13" s="984"/>
      <c r="GI13" s="984"/>
      <c r="GJ13" s="984"/>
      <c r="GK13" s="984"/>
      <c r="GL13" s="984"/>
      <c r="GM13" s="984"/>
      <c r="GN13" s="984"/>
      <c r="GO13" s="984"/>
      <c r="GP13" s="984"/>
      <c r="GQ13" s="984"/>
      <c r="GR13" s="984"/>
      <c r="GS13" s="984"/>
      <c r="GT13" s="984"/>
      <c r="GU13" s="984"/>
      <c r="GV13" s="984"/>
      <c r="GW13" s="984"/>
      <c r="GX13" s="984"/>
      <c r="GY13" s="984"/>
      <c r="GZ13" s="984"/>
      <c r="HA13" s="984"/>
      <c r="HB13" s="984"/>
      <c r="HC13" s="984"/>
      <c r="HD13" s="984"/>
      <c r="HE13" s="984"/>
      <c r="HF13" s="984"/>
      <c r="HG13" s="984"/>
      <c r="HH13" s="984"/>
      <c r="HI13" s="984"/>
      <c r="HJ13" s="984"/>
      <c r="HK13" s="984"/>
      <c r="HL13" s="984"/>
      <c r="HM13" s="984"/>
      <c r="HN13" s="984"/>
      <c r="HO13" s="984"/>
      <c r="HP13" s="984"/>
      <c r="HQ13" s="984"/>
      <c r="HR13" s="984"/>
      <c r="HS13" s="984"/>
      <c r="HT13" s="984"/>
      <c r="HU13" s="984"/>
      <c r="HV13" s="984"/>
      <c r="HW13" s="984"/>
      <c r="HX13" s="984"/>
      <c r="HY13" s="984"/>
      <c r="HZ13" s="984"/>
      <c r="IA13" s="984"/>
      <c r="IB13" s="984"/>
      <c r="IC13" s="984"/>
      <c r="ID13" s="984"/>
      <c r="IE13" s="984"/>
    </row>
    <row r="14" spans="1:239" s="17" customFormat="1" ht="409.5" customHeight="1" x14ac:dyDescent="0.2">
      <c r="A14" s="2379" t="s">
        <v>254</v>
      </c>
      <c r="B14" s="2380"/>
      <c r="C14" s="827">
        <f>P14</f>
        <v>1500000</v>
      </c>
      <c r="D14" s="827">
        <f>Q14</f>
        <v>1435000</v>
      </c>
      <c r="E14" s="692">
        <f>IF(C14="",IF(D14="",0,C14-D14),C14-D14)</f>
        <v>65000</v>
      </c>
      <c r="F14" s="2368" t="s">
        <v>784</v>
      </c>
      <c r="G14" s="2369"/>
      <c r="H14" s="827">
        <f>U14</f>
        <v>2600000</v>
      </c>
      <c r="I14" s="827">
        <f>V14</f>
        <v>2000000</v>
      </c>
      <c r="J14" s="692">
        <f>IF(H14="",IF(I14="",0,H14-I14),H14-I14)</f>
        <v>600000</v>
      </c>
      <c r="K14" s="1546" t="s">
        <v>735</v>
      </c>
      <c r="L14" s="993"/>
      <c r="M14" s="984"/>
      <c r="N14" s="2379" t="s">
        <v>254</v>
      </c>
      <c r="O14" s="2380"/>
      <c r="P14" s="827">
        <f>'PR_Total PR Cash Outflow_3A'!C13</f>
        <v>1500000</v>
      </c>
      <c r="Q14" s="827">
        <f>'PR_Total PR Cash Outflow_3A'!D13</f>
        <v>1435000</v>
      </c>
      <c r="R14" s="692">
        <f>IF(P14="",IF(Q14="",0,P14-Q14),P14-Q14)</f>
        <v>65000</v>
      </c>
      <c r="S14" s="2405"/>
      <c r="T14" s="2406"/>
      <c r="U14" s="691">
        <f>'PR_Total PR Cash Outflow_3A'!H13</f>
        <v>2600000</v>
      </c>
      <c r="V14" s="691">
        <f>'PR_Total PR Cash Outflow_3A'!I13</f>
        <v>2000000</v>
      </c>
      <c r="W14" s="692">
        <f>IF(U14="",IF(V14="",0,U14-V14),U14-V14)</f>
        <v>600000</v>
      </c>
      <c r="X14" s="1050"/>
      <c r="Y14" s="984"/>
      <c r="Z14" s="984"/>
      <c r="AA14" s="984"/>
      <c r="AB14" s="984"/>
      <c r="AC14" s="984"/>
      <c r="AD14" s="984"/>
      <c r="AE14" s="984"/>
      <c r="AF14" s="984"/>
      <c r="AG14" s="984"/>
      <c r="AH14" s="984"/>
      <c r="AI14" s="984"/>
      <c r="AJ14" s="984"/>
      <c r="AK14" s="984"/>
      <c r="AL14" s="984"/>
      <c r="AM14" s="984"/>
      <c r="AN14" s="984"/>
      <c r="AO14" s="984"/>
      <c r="AP14" s="984"/>
      <c r="AQ14" s="984"/>
      <c r="AR14" s="984"/>
      <c r="AS14" s="984"/>
      <c r="AT14" s="984"/>
      <c r="AU14" s="984"/>
      <c r="AV14" s="984"/>
      <c r="AW14" s="984"/>
      <c r="AX14" s="984"/>
      <c r="AY14" s="984"/>
      <c r="AZ14" s="984"/>
      <c r="BA14" s="984"/>
      <c r="BB14" s="984"/>
      <c r="BC14" s="984"/>
      <c r="BD14" s="984"/>
      <c r="BE14" s="984"/>
      <c r="BF14" s="984"/>
      <c r="BG14" s="984"/>
      <c r="BH14" s="984"/>
      <c r="BI14" s="984"/>
      <c r="BJ14" s="984"/>
      <c r="BK14" s="984"/>
      <c r="BL14" s="984"/>
      <c r="BM14" s="984"/>
      <c r="BN14" s="984"/>
      <c r="BO14" s="984"/>
      <c r="BP14" s="984"/>
      <c r="BQ14" s="984"/>
      <c r="BR14" s="984"/>
      <c r="BS14" s="984"/>
      <c r="BT14" s="984"/>
      <c r="BU14" s="984"/>
      <c r="BV14" s="984"/>
      <c r="BW14" s="984"/>
      <c r="BX14" s="984"/>
      <c r="BY14" s="984"/>
      <c r="BZ14" s="984"/>
      <c r="CA14" s="984"/>
      <c r="CB14" s="984"/>
      <c r="CC14" s="984"/>
      <c r="CD14" s="984"/>
      <c r="CE14" s="984"/>
      <c r="CF14" s="984"/>
      <c r="CG14" s="984"/>
      <c r="CH14" s="984"/>
      <c r="CI14" s="984"/>
      <c r="CJ14" s="984"/>
      <c r="CK14" s="984"/>
      <c r="CL14" s="984"/>
      <c r="CM14" s="984"/>
      <c r="CN14" s="984"/>
      <c r="CO14" s="984"/>
      <c r="CP14" s="984"/>
      <c r="CQ14" s="984"/>
      <c r="CR14" s="984"/>
      <c r="CS14" s="984"/>
      <c r="CT14" s="984"/>
      <c r="CU14" s="984"/>
      <c r="CV14" s="984"/>
      <c r="CW14" s="984"/>
      <c r="CX14" s="984"/>
      <c r="CY14" s="984"/>
      <c r="CZ14" s="984"/>
      <c r="DA14" s="984"/>
      <c r="DB14" s="984"/>
      <c r="DC14" s="984"/>
      <c r="DD14" s="984"/>
      <c r="DE14" s="984"/>
      <c r="DF14" s="984"/>
      <c r="DG14" s="984"/>
      <c r="DH14" s="984"/>
      <c r="DI14" s="984"/>
      <c r="DJ14" s="984"/>
      <c r="DK14" s="984"/>
      <c r="DL14" s="984"/>
      <c r="DM14" s="984"/>
      <c r="DN14" s="984"/>
      <c r="DO14" s="984"/>
      <c r="DP14" s="984"/>
      <c r="DQ14" s="984"/>
      <c r="DR14" s="984"/>
      <c r="DS14" s="984"/>
      <c r="DT14" s="984"/>
      <c r="DU14" s="984"/>
      <c r="DV14" s="984"/>
      <c r="DW14" s="984"/>
      <c r="DX14" s="984"/>
      <c r="DY14" s="984"/>
      <c r="DZ14" s="984"/>
      <c r="EA14" s="984"/>
      <c r="EB14" s="984"/>
      <c r="EC14" s="984"/>
      <c r="ED14" s="984"/>
      <c r="EE14" s="984"/>
      <c r="EF14" s="984"/>
      <c r="EG14" s="984"/>
      <c r="EH14" s="984"/>
      <c r="EI14" s="984"/>
      <c r="EJ14" s="984"/>
      <c r="EK14" s="984"/>
      <c r="EL14" s="984"/>
      <c r="EM14" s="984"/>
      <c r="EN14" s="984"/>
      <c r="EO14" s="984"/>
      <c r="EP14" s="984"/>
      <c r="EQ14" s="984"/>
      <c r="ER14" s="984"/>
      <c r="ES14" s="984"/>
      <c r="ET14" s="984"/>
      <c r="EU14" s="984"/>
      <c r="EV14" s="984"/>
      <c r="EW14" s="984"/>
      <c r="EX14" s="984"/>
      <c r="EY14" s="984"/>
      <c r="EZ14" s="984"/>
      <c r="FA14" s="984"/>
      <c r="FB14" s="984"/>
      <c r="FC14" s="984"/>
      <c r="FD14" s="984"/>
      <c r="FE14" s="984"/>
      <c r="FF14" s="984"/>
      <c r="FG14" s="984"/>
      <c r="FH14" s="984"/>
      <c r="FI14" s="984"/>
      <c r="FJ14" s="984"/>
      <c r="FK14" s="984"/>
      <c r="FL14" s="984"/>
      <c r="FM14" s="984"/>
      <c r="FN14" s="984"/>
      <c r="FO14" s="984"/>
      <c r="FP14" s="984"/>
      <c r="FQ14" s="984"/>
      <c r="FR14" s="984"/>
      <c r="FS14" s="984"/>
      <c r="FT14" s="984"/>
      <c r="FU14" s="984"/>
      <c r="FV14" s="984"/>
      <c r="FW14" s="984"/>
      <c r="FX14" s="984"/>
      <c r="FY14" s="984"/>
      <c r="FZ14" s="984"/>
      <c r="GA14" s="984"/>
      <c r="GB14" s="984"/>
      <c r="GC14" s="984"/>
      <c r="GD14" s="984"/>
      <c r="GE14" s="984"/>
      <c r="GF14" s="984"/>
      <c r="GG14" s="984"/>
      <c r="GH14" s="984"/>
      <c r="GI14" s="984"/>
      <c r="GJ14" s="984"/>
      <c r="GK14" s="984"/>
      <c r="GL14" s="984"/>
      <c r="GM14" s="984"/>
      <c r="GN14" s="984"/>
      <c r="GO14" s="984"/>
      <c r="GP14" s="984"/>
      <c r="GQ14" s="984"/>
      <c r="GR14" s="984"/>
      <c r="GS14" s="984"/>
      <c r="GT14" s="984"/>
      <c r="GU14" s="984"/>
      <c r="GV14" s="984"/>
      <c r="GW14" s="984"/>
      <c r="GX14" s="984"/>
      <c r="GY14" s="984"/>
      <c r="GZ14" s="984"/>
      <c r="HA14" s="984"/>
      <c r="HB14" s="984"/>
      <c r="HC14" s="984"/>
      <c r="HD14" s="984"/>
      <c r="HE14" s="984"/>
      <c r="HF14" s="984"/>
      <c r="HG14" s="984"/>
      <c r="HH14" s="984"/>
      <c r="HI14" s="984"/>
      <c r="HJ14" s="984"/>
      <c r="HK14" s="984"/>
      <c r="HL14" s="984"/>
      <c r="HM14" s="984"/>
      <c r="HN14" s="984"/>
      <c r="HO14" s="984"/>
      <c r="HP14" s="984"/>
      <c r="HQ14" s="984"/>
      <c r="HR14" s="984"/>
      <c r="HS14" s="984"/>
      <c r="HT14" s="984"/>
      <c r="HU14" s="984"/>
      <c r="HV14" s="984"/>
      <c r="HW14" s="984"/>
      <c r="HX14" s="984"/>
      <c r="HY14" s="984"/>
      <c r="HZ14" s="984"/>
      <c r="IA14" s="984"/>
      <c r="IB14" s="984"/>
      <c r="IC14" s="984"/>
      <c r="ID14" s="984"/>
      <c r="IE14" s="984"/>
    </row>
    <row r="15" spans="1:239" s="17" customFormat="1" ht="111" customHeight="1" thickBot="1" x14ac:dyDescent="0.25">
      <c r="A15" s="2381" t="s">
        <v>255</v>
      </c>
      <c r="B15" s="2382"/>
      <c r="C15" s="693">
        <f>P15</f>
        <v>1000000</v>
      </c>
      <c r="D15" s="693">
        <f>Q15</f>
        <v>800000</v>
      </c>
      <c r="E15" s="694">
        <f>IF(C15="",IF(D15="",0,C15-D15),C15-D15)</f>
        <v>200000</v>
      </c>
      <c r="F15" s="2373" t="s">
        <v>733</v>
      </c>
      <c r="G15" s="2374"/>
      <c r="H15" s="693">
        <f>U15</f>
        <v>3000000</v>
      </c>
      <c r="I15" s="693">
        <f>V15</f>
        <v>2500000</v>
      </c>
      <c r="J15" s="694">
        <f>IF(H15="",IF(I15="",0,H15-I15),H15-I15)</f>
        <v>500000</v>
      </c>
      <c r="K15" s="1545" t="s">
        <v>736</v>
      </c>
      <c r="L15" s="993"/>
      <c r="M15" s="984"/>
      <c r="N15" s="2381" t="s">
        <v>255</v>
      </c>
      <c r="O15" s="2382"/>
      <c r="P15" s="693">
        <f>'PR_Total PR Cash Outflow_3A'!C14</f>
        <v>1000000</v>
      </c>
      <c r="Q15" s="693">
        <f>'PR_Total PR Cash Outflow_3A'!D14</f>
        <v>800000</v>
      </c>
      <c r="R15" s="694">
        <f>IF(P15="",IF(Q15="",0,P15-Q15),P15-Q15)</f>
        <v>200000</v>
      </c>
      <c r="S15" s="2411"/>
      <c r="T15" s="2412"/>
      <c r="U15" s="693">
        <f>'PR_Total PR Cash Outflow_3A'!H14</f>
        <v>3000000</v>
      </c>
      <c r="V15" s="693">
        <f>'PR_Total PR Cash Outflow_3A'!I14</f>
        <v>2500000</v>
      </c>
      <c r="W15" s="694">
        <f>IF(U15="",IF(V15="",0,U15-V15),U15-V15)</f>
        <v>500000</v>
      </c>
      <c r="X15" s="1051"/>
      <c r="Y15" s="984"/>
      <c r="Z15" s="984"/>
      <c r="AA15" s="984"/>
      <c r="AB15" s="984"/>
      <c r="AC15" s="984"/>
      <c r="AD15" s="984"/>
      <c r="AE15" s="984"/>
      <c r="AF15" s="984"/>
      <c r="AG15" s="984"/>
      <c r="AH15" s="984"/>
      <c r="AI15" s="984"/>
      <c r="AJ15" s="984"/>
      <c r="AK15" s="984"/>
      <c r="AL15" s="984"/>
      <c r="AM15" s="984"/>
      <c r="AN15" s="984"/>
      <c r="AO15" s="984"/>
      <c r="AP15" s="984"/>
      <c r="AQ15" s="984"/>
      <c r="AR15" s="984"/>
      <c r="AS15" s="984"/>
      <c r="AT15" s="984"/>
      <c r="AU15" s="984"/>
      <c r="AV15" s="984"/>
      <c r="AW15" s="984"/>
      <c r="AX15" s="984"/>
      <c r="AY15" s="984"/>
      <c r="AZ15" s="984"/>
      <c r="BA15" s="984"/>
      <c r="BB15" s="984"/>
      <c r="BC15" s="984"/>
      <c r="BD15" s="984"/>
      <c r="BE15" s="984"/>
      <c r="BF15" s="984"/>
      <c r="BG15" s="984"/>
      <c r="BH15" s="984"/>
      <c r="BI15" s="984"/>
      <c r="BJ15" s="984"/>
      <c r="BK15" s="984"/>
      <c r="BL15" s="984"/>
      <c r="BM15" s="984"/>
      <c r="BN15" s="984"/>
      <c r="BO15" s="984"/>
      <c r="BP15" s="984"/>
      <c r="BQ15" s="984"/>
      <c r="BR15" s="984"/>
      <c r="BS15" s="984"/>
      <c r="BT15" s="984"/>
      <c r="BU15" s="984"/>
      <c r="BV15" s="984"/>
      <c r="BW15" s="984"/>
      <c r="BX15" s="984"/>
      <c r="BY15" s="984"/>
      <c r="BZ15" s="984"/>
      <c r="CA15" s="984"/>
      <c r="CB15" s="984"/>
      <c r="CC15" s="984"/>
      <c r="CD15" s="984"/>
      <c r="CE15" s="984"/>
      <c r="CF15" s="984"/>
      <c r="CG15" s="984"/>
      <c r="CH15" s="984"/>
      <c r="CI15" s="984"/>
      <c r="CJ15" s="984"/>
      <c r="CK15" s="984"/>
      <c r="CL15" s="984"/>
      <c r="CM15" s="984"/>
      <c r="CN15" s="984"/>
      <c r="CO15" s="984"/>
      <c r="CP15" s="984"/>
      <c r="CQ15" s="984"/>
      <c r="CR15" s="984"/>
      <c r="CS15" s="984"/>
      <c r="CT15" s="984"/>
      <c r="CU15" s="984"/>
      <c r="CV15" s="984"/>
      <c r="CW15" s="984"/>
      <c r="CX15" s="984"/>
      <c r="CY15" s="984"/>
      <c r="CZ15" s="984"/>
      <c r="DA15" s="984"/>
      <c r="DB15" s="984"/>
      <c r="DC15" s="984"/>
      <c r="DD15" s="984"/>
      <c r="DE15" s="984"/>
      <c r="DF15" s="984"/>
      <c r="DG15" s="984"/>
      <c r="DH15" s="984"/>
      <c r="DI15" s="984"/>
      <c r="DJ15" s="984"/>
      <c r="DK15" s="984"/>
      <c r="DL15" s="984"/>
      <c r="DM15" s="984"/>
      <c r="DN15" s="984"/>
      <c r="DO15" s="984"/>
      <c r="DP15" s="984"/>
      <c r="DQ15" s="984"/>
      <c r="DR15" s="984"/>
      <c r="DS15" s="984"/>
      <c r="DT15" s="984"/>
      <c r="DU15" s="984"/>
      <c r="DV15" s="984"/>
      <c r="DW15" s="984"/>
      <c r="DX15" s="984"/>
      <c r="DY15" s="984"/>
      <c r="DZ15" s="984"/>
      <c r="EA15" s="984"/>
      <c r="EB15" s="984"/>
      <c r="EC15" s="984"/>
      <c r="ED15" s="984"/>
      <c r="EE15" s="984"/>
      <c r="EF15" s="984"/>
      <c r="EG15" s="984"/>
      <c r="EH15" s="984"/>
      <c r="EI15" s="984"/>
      <c r="EJ15" s="984"/>
      <c r="EK15" s="984"/>
      <c r="EL15" s="984"/>
      <c r="EM15" s="984"/>
      <c r="EN15" s="984"/>
      <c r="EO15" s="984"/>
      <c r="EP15" s="984"/>
      <c r="EQ15" s="984"/>
      <c r="ER15" s="984"/>
      <c r="ES15" s="984"/>
      <c r="ET15" s="984"/>
      <c r="EU15" s="984"/>
      <c r="EV15" s="984"/>
      <c r="EW15" s="984"/>
      <c r="EX15" s="984"/>
      <c r="EY15" s="984"/>
      <c r="EZ15" s="984"/>
      <c r="FA15" s="984"/>
      <c r="FB15" s="984"/>
      <c r="FC15" s="984"/>
      <c r="FD15" s="984"/>
      <c r="FE15" s="984"/>
      <c r="FF15" s="984"/>
      <c r="FG15" s="984"/>
      <c r="FH15" s="984"/>
      <c r="FI15" s="984"/>
      <c r="FJ15" s="984"/>
      <c r="FK15" s="984"/>
      <c r="FL15" s="984"/>
      <c r="FM15" s="984"/>
      <c r="FN15" s="984"/>
      <c r="FO15" s="984"/>
      <c r="FP15" s="984"/>
      <c r="FQ15" s="984"/>
      <c r="FR15" s="984"/>
      <c r="FS15" s="984"/>
      <c r="FT15" s="984"/>
      <c r="FU15" s="984"/>
      <c r="FV15" s="984"/>
      <c r="FW15" s="984"/>
      <c r="FX15" s="984"/>
      <c r="FY15" s="984"/>
      <c r="FZ15" s="984"/>
      <c r="GA15" s="984"/>
      <c r="GB15" s="984"/>
      <c r="GC15" s="984"/>
      <c r="GD15" s="984"/>
      <c r="GE15" s="984"/>
      <c r="GF15" s="984"/>
      <c r="GG15" s="984"/>
      <c r="GH15" s="984"/>
      <c r="GI15" s="984"/>
      <c r="GJ15" s="984"/>
      <c r="GK15" s="984"/>
      <c r="GL15" s="984"/>
      <c r="GM15" s="984"/>
      <c r="GN15" s="984"/>
      <c r="GO15" s="984"/>
      <c r="GP15" s="984"/>
      <c r="GQ15" s="984"/>
      <c r="GR15" s="984"/>
      <c r="GS15" s="984"/>
      <c r="GT15" s="984"/>
      <c r="GU15" s="984"/>
      <c r="GV15" s="984"/>
      <c r="GW15" s="984"/>
      <c r="GX15" s="984"/>
      <c r="GY15" s="984"/>
      <c r="GZ15" s="984"/>
      <c r="HA15" s="984"/>
      <c r="HB15" s="984"/>
      <c r="HC15" s="984"/>
      <c r="HD15" s="984"/>
      <c r="HE15" s="984"/>
      <c r="HF15" s="984"/>
      <c r="HG15" s="984"/>
      <c r="HH15" s="984"/>
      <c r="HI15" s="984"/>
      <c r="HJ15" s="984"/>
      <c r="HK15" s="984"/>
      <c r="HL15" s="984"/>
      <c r="HM15" s="984"/>
      <c r="HN15" s="984"/>
      <c r="HO15" s="984"/>
      <c r="HP15" s="984"/>
      <c r="HQ15" s="984"/>
      <c r="HR15" s="984"/>
      <c r="HS15" s="984"/>
      <c r="HT15" s="984"/>
      <c r="HU15" s="984"/>
      <c r="HV15" s="984"/>
      <c r="HW15" s="984"/>
      <c r="HX15" s="984"/>
      <c r="HY15" s="984"/>
      <c r="HZ15" s="984"/>
      <c r="IA15" s="984"/>
      <c r="IB15" s="984"/>
      <c r="IC15" s="984"/>
      <c r="ID15" s="984"/>
      <c r="IE15" s="984"/>
    </row>
    <row r="16" spans="1:239" s="17" customFormat="1" ht="22.5" customHeight="1" thickBot="1" x14ac:dyDescent="0.25">
      <c r="A16" s="447"/>
      <c r="B16" s="448"/>
      <c r="C16" s="348"/>
      <c r="D16" s="348"/>
      <c r="E16" s="348"/>
      <c r="F16" s="82"/>
      <c r="G16" s="82"/>
      <c r="H16" s="348"/>
      <c r="I16" s="348"/>
      <c r="J16" s="348"/>
      <c r="K16" s="82"/>
      <c r="L16" s="348"/>
      <c r="M16" s="984"/>
      <c r="N16" s="1052"/>
      <c r="O16" s="448"/>
      <c r="P16" s="348"/>
      <c r="Q16" s="348"/>
      <c r="R16" s="348"/>
      <c r="S16" s="82"/>
      <c r="T16" s="82"/>
      <c r="U16" s="348"/>
      <c r="V16" s="348"/>
      <c r="W16" s="348"/>
      <c r="X16" s="1053"/>
      <c r="Y16" s="984"/>
      <c r="Z16" s="984"/>
      <c r="AA16" s="984"/>
      <c r="AB16" s="984"/>
      <c r="AC16" s="984"/>
      <c r="AD16" s="984"/>
      <c r="AE16" s="984"/>
      <c r="AF16" s="984"/>
      <c r="AG16" s="984"/>
      <c r="AH16" s="984"/>
      <c r="AI16" s="984"/>
      <c r="AJ16" s="984"/>
      <c r="AK16" s="984"/>
      <c r="AL16" s="984"/>
      <c r="AM16" s="984"/>
      <c r="AN16" s="984"/>
      <c r="AO16" s="984"/>
      <c r="AP16" s="984"/>
      <c r="AQ16" s="984"/>
      <c r="AR16" s="984"/>
      <c r="AS16" s="984"/>
      <c r="AT16" s="984"/>
      <c r="AU16" s="984"/>
      <c r="AV16" s="984"/>
      <c r="AW16" s="984"/>
      <c r="AX16" s="984"/>
      <c r="AY16" s="984"/>
      <c r="AZ16" s="984"/>
      <c r="BA16" s="984"/>
      <c r="BB16" s="984"/>
      <c r="BC16" s="984"/>
      <c r="BD16" s="984"/>
      <c r="BE16" s="984"/>
      <c r="BF16" s="984"/>
      <c r="BG16" s="984"/>
      <c r="BH16" s="984"/>
      <c r="BI16" s="984"/>
      <c r="BJ16" s="984"/>
      <c r="BK16" s="984"/>
      <c r="BL16" s="984"/>
      <c r="BM16" s="984"/>
      <c r="BN16" s="984"/>
      <c r="BO16" s="984"/>
      <c r="BP16" s="984"/>
      <c r="BQ16" s="984"/>
      <c r="BR16" s="984"/>
      <c r="BS16" s="984"/>
      <c r="BT16" s="984"/>
      <c r="BU16" s="984"/>
      <c r="BV16" s="984"/>
      <c r="BW16" s="984"/>
      <c r="BX16" s="984"/>
      <c r="BY16" s="984"/>
      <c r="BZ16" s="984"/>
      <c r="CA16" s="984"/>
      <c r="CB16" s="984"/>
      <c r="CC16" s="984"/>
      <c r="CD16" s="984"/>
      <c r="CE16" s="984"/>
      <c r="CF16" s="984"/>
      <c r="CG16" s="984"/>
      <c r="CH16" s="984"/>
      <c r="CI16" s="984"/>
      <c r="CJ16" s="984"/>
      <c r="CK16" s="984"/>
      <c r="CL16" s="984"/>
      <c r="CM16" s="984"/>
      <c r="CN16" s="984"/>
      <c r="CO16" s="984"/>
      <c r="CP16" s="984"/>
      <c r="CQ16" s="984"/>
      <c r="CR16" s="984"/>
      <c r="CS16" s="984"/>
      <c r="CT16" s="984"/>
      <c r="CU16" s="984"/>
      <c r="CV16" s="984"/>
      <c r="CW16" s="984"/>
      <c r="CX16" s="984"/>
      <c r="CY16" s="984"/>
      <c r="CZ16" s="984"/>
      <c r="DA16" s="984"/>
      <c r="DB16" s="984"/>
      <c r="DC16" s="984"/>
      <c r="DD16" s="984"/>
      <c r="DE16" s="984"/>
      <c r="DF16" s="984"/>
      <c r="DG16" s="984"/>
      <c r="DH16" s="984"/>
      <c r="DI16" s="984"/>
      <c r="DJ16" s="984"/>
      <c r="DK16" s="984"/>
      <c r="DL16" s="984"/>
      <c r="DM16" s="984"/>
      <c r="DN16" s="984"/>
      <c r="DO16" s="984"/>
      <c r="DP16" s="984"/>
      <c r="DQ16" s="984"/>
      <c r="DR16" s="984"/>
      <c r="DS16" s="984"/>
      <c r="DT16" s="984"/>
      <c r="DU16" s="984"/>
      <c r="DV16" s="984"/>
      <c r="DW16" s="984"/>
      <c r="DX16" s="984"/>
      <c r="DY16" s="984"/>
      <c r="DZ16" s="984"/>
      <c r="EA16" s="984"/>
      <c r="EB16" s="984"/>
      <c r="EC16" s="984"/>
      <c r="ED16" s="984"/>
      <c r="EE16" s="984"/>
      <c r="EF16" s="984"/>
      <c r="EG16" s="984"/>
      <c r="EH16" s="984"/>
      <c r="EI16" s="984"/>
      <c r="EJ16" s="984"/>
      <c r="EK16" s="984"/>
      <c r="EL16" s="984"/>
      <c r="EM16" s="984"/>
      <c r="EN16" s="984"/>
      <c r="EO16" s="984"/>
      <c r="EP16" s="984"/>
      <c r="EQ16" s="984"/>
      <c r="ER16" s="984"/>
      <c r="ES16" s="984"/>
      <c r="ET16" s="984"/>
      <c r="EU16" s="984"/>
      <c r="EV16" s="984"/>
      <c r="EW16" s="984"/>
      <c r="EX16" s="984"/>
      <c r="EY16" s="984"/>
      <c r="EZ16" s="984"/>
      <c r="FA16" s="984"/>
      <c r="FB16" s="984"/>
      <c r="FC16" s="984"/>
      <c r="FD16" s="984"/>
      <c r="FE16" s="984"/>
      <c r="FF16" s="984"/>
      <c r="FG16" s="984"/>
      <c r="FH16" s="984"/>
      <c r="FI16" s="984"/>
      <c r="FJ16" s="984"/>
      <c r="FK16" s="984"/>
      <c r="FL16" s="984"/>
      <c r="FM16" s="984"/>
      <c r="FN16" s="984"/>
      <c r="FO16" s="984"/>
      <c r="FP16" s="984"/>
      <c r="FQ16" s="984"/>
      <c r="FR16" s="984"/>
      <c r="FS16" s="984"/>
      <c r="FT16" s="984"/>
      <c r="FU16" s="984"/>
      <c r="FV16" s="984"/>
      <c r="FW16" s="984"/>
      <c r="FX16" s="984"/>
      <c r="FY16" s="984"/>
      <c r="FZ16" s="984"/>
      <c r="GA16" s="984"/>
      <c r="GB16" s="984"/>
      <c r="GC16" s="984"/>
      <c r="GD16" s="984"/>
      <c r="GE16" s="984"/>
      <c r="GF16" s="984"/>
      <c r="GG16" s="984"/>
      <c r="GH16" s="984"/>
      <c r="GI16" s="984"/>
      <c r="GJ16" s="984"/>
      <c r="GK16" s="984"/>
      <c r="GL16" s="984"/>
      <c r="GM16" s="984"/>
      <c r="GN16" s="984"/>
      <c r="GO16" s="984"/>
      <c r="GP16" s="984"/>
      <c r="GQ16" s="984"/>
      <c r="GR16" s="984"/>
      <c r="GS16" s="984"/>
      <c r="GT16" s="984"/>
      <c r="GU16" s="984"/>
      <c r="GV16" s="984"/>
      <c r="GW16" s="984"/>
      <c r="GX16" s="984"/>
      <c r="GY16" s="984"/>
      <c r="GZ16" s="984"/>
      <c r="HA16" s="984"/>
      <c r="HB16" s="984"/>
      <c r="HC16" s="984"/>
      <c r="HD16" s="984"/>
      <c r="HE16" s="984"/>
      <c r="HF16" s="984"/>
      <c r="HG16" s="984"/>
      <c r="HH16" s="984"/>
      <c r="HI16" s="984"/>
      <c r="HJ16" s="984"/>
      <c r="HK16" s="984"/>
      <c r="HL16" s="984"/>
      <c r="HM16" s="984"/>
      <c r="HN16" s="984"/>
      <c r="HO16" s="984"/>
      <c r="HP16" s="984"/>
      <c r="HQ16" s="984"/>
      <c r="HR16" s="984"/>
      <c r="HS16" s="984"/>
      <c r="HT16" s="984"/>
      <c r="HU16" s="984"/>
      <c r="HV16" s="984"/>
      <c r="HW16" s="984"/>
      <c r="HX16" s="984"/>
      <c r="HY16" s="984"/>
      <c r="HZ16" s="984"/>
      <c r="IA16" s="984"/>
      <c r="IB16" s="984"/>
      <c r="IC16" s="984"/>
      <c r="ID16" s="984"/>
      <c r="IE16" s="984"/>
    </row>
    <row r="17" spans="1:239" s="17" customFormat="1" ht="100.5" customHeight="1" thickBot="1" x14ac:dyDescent="0.25">
      <c r="A17" s="2389"/>
      <c r="B17" s="2390"/>
      <c r="C17" s="808" t="s">
        <v>411</v>
      </c>
      <c r="D17" s="808" t="s">
        <v>412</v>
      </c>
      <c r="E17" s="810" t="s">
        <v>252</v>
      </c>
      <c r="F17" s="2375" t="s">
        <v>230</v>
      </c>
      <c r="G17" s="2376"/>
      <c r="H17" s="808" t="s">
        <v>419</v>
      </c>
      <c r="I17" s="808" t="s">
        <v>413</v>
      </c>
      <c r="J17" s="808" t="s">
        <v>252</v>
      </c>
      <c r="K17" s="973" t="s">
        <v>230</v>
      </c>
      <c r="L17" s="993"/>
      <c r="M17" s="984"/>
      <c r="N17" s="2389"/>
      <c r="O17" s="2390"/>
      <c r="P17" s="808" t="s">
        <v>411</v>
      </c>
      <c r="Q17" s="808" t="s">
        <v>412</v>
      </c>
      <c r="R17" s="810" t="s">
        <v>252</v>
      </c>
      <c r="S17" s="2375" t="s">
        <v>230</v>
      </c>
      <c r="T17" s="2376"/>
      <c r="U17" s="808" t="s">
        <v>419</v>
      </c>
      <c r="V17" s="808" t="s">
        <v>413</v>
      </c>
      <c r="W17" s="808" t="s">
        <v>252</v>
      </c>
      <c r="X17" s="1045" t="s">
        <v>230</v>
      </c>
      <c r="Y17" s="984"/>
      <c r="Z17" s="984"/>
      <c r="AA17" s="984"/>
      <c r="AB17" s="984"/>
      <c r="AC17" s="984"/>
      <c r="AD17" s="984"/>
      <c r="AE17" s="984"/>
      <c r="AF17" s="984"/>
      <c r="AG17" s="984"/>
      <c r="AH17" s="984"/>
      <c r="AI17" s="984"/>
      <c r="AJ17" s="984"/>
      <c r="AK17" s="984"/>
      <c r="AL17" s="984"/>
      <c r="AM17" s="984"/>
      <c r="AN17" s="984"/>
      <c r="AO17" s="984"/>
      <c r="AP17" s="984"/>
      <c r="AQ17" s="984"/>
      <c r="AR17" s="984"/>
      <c r="AS17" s="984"/>
      <c r="AT17" s="984"/>
      <c r="AU17" s="984"/>
      <c r="AV17" s="984"/>
      <c r="AW17" s="984"/>
      <c r="AX17" s="984"/>
      <c r="AY17" s="984"/>
      <c r="AZ17" s="984"/>
      <c r="BA17" s="984"/>
      <c r="BB17" s="984"/>
      <c r="BC17" s="984"/>
      <c r="BD17" s="984"/>
      <c r="BE17" s="984"/>
      <c r="BF17" s="984"/>
      <c r="BG17" s="984"/>
      <c r="BH17" s="984"/>
      <c r="BI17" s="984"/>
      <c r="BJ17" s="984"/>
      <c r="BK17" s="984"/>
      <c r="BL17" s="984"/>
      <c r="BM17" s="984"/>
      <c r="BN17" s="984"/>
      <c r="BO17" s="984"/>
      <c r="BP17" s="984"/>
      <c r="BQ17" s="984"/>
      <c r="BR17" s="984"/>
      <c r="BS17" s="984"/>
      <c r="BT17" s="984"/>
      <c r="BU17" s="984"/>
      <c r="BV17" s="984"/>
      <c r="BW17" s="984"/>
      <c r="BX17" s="984"/>
      <c r="BY17" s="984"/>
      <c r="BZ17" s="984"/>
      <c r="CA17" s="984"/>
      <c r="CB17" s="984"/>
      <c r="CC17" s="984"/>
      <c r="CD17" s="984"/>
      <c r="CE17" s="984"/>
      <c r="CF17" s="984"/>
      <c r="CG17" s="984"/>
      <c r="CH17" s="984"/>
      <c r="CI17" s="984"/>
      <c r="CJ17" s="984"/>
      <c r="CK17" s="984"/>
      <c r="CL17" s="984"/>
      <c r="CM17" s="984"/>
      <c r="CN17" s="984"/>
      <c r="CO17" s="984"/>
      <c r="CP17" s="984"/>
      <c r="CQ17" s="984"/>
      <c r="CR17" s="984"/>
      <c r="CS17" s="984"/>
      <c r="CT17" s="984"/>
      <c r="CU17" s="984"/>
      <c r="CV17" s="984"/>
      <c r="CW17" s="984"/>
      <c r="CX17" s="984"/>
      <c r="CY17" s="984"/>
      <c r="CZ17" s="984"/>
      <c r="DA17" s="984"/>
      <c r="DB17" s="984"/>
      <c r="DC17" s="984"/>
      <c r="DD17" s="984"/>
      <c r="DE17" s="984"/>
      <c r="DF17" s="984"/>
      <c r="DG17" s="984"/>
      <c r="DH17" s="984"/>
      <c r="DI17" s="984"/>
      <c r="DJ17" s="984"/>
      <c r="DK17" s="984"/>
      <c r="DL17" s="984"/>
      <c r="DM17" s="984"/>
      <c r="DN17" s="984"/>
      <c r="DO17" s="984"/>
      <c r="DP17" s="984"/>
      <c r="DQ17" s="984"/>
      <c r="DR17" s="984"/>
      <c r="DS17" s="984"/>
      <c r="DT17" s="984"/>
      <c r="DU17" s="984"/>
      <c r="DV17" s="984"/>
      <c r="DW17" s="984"/>
      <c r="DX17" s="984"/>
      <c r="DY17" s="984"/>
      <c r="DZ17" s="984"/>
      <c r="EA17" s="984"/>
      <c r="EB17" s="984"/>
      <c r="EC17" s="984"/>
      <c r="ED17" s="984"/>
      <c r="EE17" s="984"/>
      <c r="EF17" s="984"/>
      <c r="EG17" s="984"/>
      <c r="EH17" s="984"/>
      <c r="EI17" s="984"/>
      <c r="EJ17" s="984"/>
      <c r="EK17" s="984"/>
      <c r="EL17" s="984"/>
      <c r="EM17" s="984"/>
      <c r="EN17" s="984"/>
      <c r="EO17" s="984"/>
      <c r="EP17" s="984"/>
      <c r="EQ17" s="984"/>
      <c r="ER17" s="984"/>
      <c r="ES17" s="984"/>
      <c r="ET17" s="984"/>
      <c r="EU17" s="984"/>
      <c r="EV17" s="984"/>
      <c r="EW17" s="984"/>
      <c r="EX17" s="984"/>
      <c r="EY17" s="984"/>
      <c r="EZ17" s="984"/>
      <c r="FA17" s="984"/>
      <c r="FB17" s="984"/>
      <c r="FC17" s="984"/>
      <c r="FD17" s="984"/>
      <c r="FE17" s="984"/>
      <c r="FF17" s="984"/>
      <c r="FG17" s="984"/>
      <c r="FH17" s="984"/>
      <c r="FI17" s="984"/>
      <c r="FJ17" s="984"/>
      <c r="FK17" s="984"/>
      <c r="FL17" s="984"/>
      <c r="FM17" s="984"/>
      <c r="FN17" s="984"/>
      <c r="FO17" s="984"/>
      <c r="FP17" s="984"/>
      <c r="FQ17" s="984"/>
      <c r="FR17" s="984"/>
      <c r="FS17" s="984"/>
      <c r="FT17" s="984"/>
      <c r="FU17" s="984"/>
      <c r="FV17" s="984"/>
      <c r="FW17" s="984"/>
      <c r="FX17" s="984"/>
      <c r="FY17" s="984"/>
      <c r="FZ17" s="984"/>
      <c r="GA17" s="984"/>
      <c r="GB17" s="984"/>
      <c r="GC17" s="984"/>
      <c r="GD17" s="984"/>
      <c r="GE17" s="984"/>
      <c r="GF17" s="984"/>
      <c r="GG17" s="984"/>
      <c r="GH17" s="984"/>
      <c r="GI17" s="984"/>
      <c r="GJ17" s="984"/>
      <c r="GK17" s="984"/>
      <c r="GL17" s="984"/>
      <c r="GM17" s="984"/>
      <c r="GN17" s="984"/>
      <c r="GO17" s="984"/>
      <c r="GP17" s="984"/>
      <c r="GQ17" s="984"/>
      <c r="GR17" s="984"/>
      <c r="GS17" s="984"/>
      <c r="GT17" s="984"/>
      <c r="GU17" s="984"/>
      <c r="GV17" s="984"/>
      <c r="GW17" s="984"/>
      <c r="GX17" s="984"/>
      <c r="GY17" s="984"/>
      <c r="GZ17" s="984"/>
      <c r="HA17" s="984"/>
      <c r="HB17" s="984"/>
      <c r="HC17" s="984"/>
      <c r="HD17" s="984"/>
      <c r="HE17" s="984"/>
      <c r="HF17" s="984"/>
      <c r="HG17" s="984"/>
      <c r="HH17" s="984"/>
      <c r="HI17" s="984"/>
      <c r="HJ17" s="984"/>
      <c r="HK17" s="984"/>
      <c r="HL17" s="984"/>
      <c r="HM17" s="984"/>
      <c r="HN17" s="984"/>
      <c r="HO17" s="984"/>
      <c r="HP17" s="984"/>
      <c r="HQ17" s="984"/>
      <c r="HR17" s="984"/>
      <c r="HS17" s="984"/>
      <c r="HT17" s="984"/>
      <c r="HU17" s="984"/>
      <c r="HV17" s="984"/>
      <c r="HW17" s="984"/>
      <c r="HX17" s="984"/>
      <c r="HY17" s="984"/>
      <c r="HZ17" s="984"/>
      <c r="IA17" s="984"/>
      <c r="IB17" s="984"/>
      <c r="IC17" s="984"/>
      <c r="ID17" s="984"/>
      <c r="IE17" s="984"/>
    </row>
    <row r="18" spans="1:239" s="17" customFormat="1" ht="37.5" customHeight="1" x14ac:dyDescent="0.2">
      <c r="A18" s="2397" t="s">
        <v>417</v>
      </c>
      <c r="B18" s="2398"/>
      <c r="C18" s="809">
        <f>C19+C20</f>
        <v>1300000</v>
      </c>
      <c r="D18" s="809">
        <f>D19+D20</f>
        <v>1350000</v>
      </c>
      <c r="E18" s="809">
        <f>IF(C18="",IF(D18="","",C18-D18),C18-D18)</f>
        <v>-50000</v>
      </c>
      <c r="F18" s="2403"/>
      <c r="G18" s="2403"/>
      <c r="H18" s="809">
        <f>H19+H20</f>
        <v>2500000</v>
      </c>
      <c r="I18" s="809">
        <f>I19+I20</f>
        <v>1950000</v>
      </c>
      <c r="J18" s="809">
        <f>IF(H18="",IF(I18="","",H18-I18),H18-I18)</f>
        <v>550000</v>
      </c>
      <c r="K18" s="1054"/>
      <c r="L18" s="993"/>
      <c r="M18" s="984"/>
      <c r="N18" s="2397" t="s">
        <v>417</v>
      </c>
      <c r="O18" s="2413"/>
      <c r="P18" s="1057">
        <f>P19+P20</f>
        <v>1300000</v>
      </c>
      <c r="Q18" s="809">
        <f>Q19+Q20</f>
        <v>1350000</v>
      </c>
      <c r="R18" s="809">
        <f>IF(P18="",IF(Q18="","",P18-Q18),P18-Q18)</f>
        <v>-50000</v>
      </c>
      <c r="S18" s="2403"/>
      <c r="T18" s="2403"/>
      <c r="U18" s="809">
        <f>U19+U20</f>
        <v>2500000</v>
      </c>
      <c r="V18" s="809">
        <f>V19+V20</f>
        <v>1950000</v>
      </c>
      <c r="W18" s="809">
        <f>IF(U18="",IF(V18="","",U18-V18),U18-V18)</f>
        <v>550000</v>
      </c>
      <c r="X18" s="1054"/>
      <c r="Y18" s="984"/>
      <c r="Z18" s="984"/>
      <c r="AA18" s="984"/>
      <c r="AB18" s="984"/>
      <c r="AC18" s="984"/>
      <c r="AD18" s="984"/>
      <c r="AE18" s="984"/>
      <c r="AF18" s="984"/>
      <c r="AG18" s="984"/>
      <c r="AH18" s="984"/>
      <c r="AI18" s="984"/>
      <c r="AJ18" s="984"/>
      <c r="AK18" s="984"/>
      <c r="AL18" s="984"/>
      <c r="AM18" s="984"/>
      <c r="AN18" s="984"/>
      <c r="AO18" s="984"/>
      <c r="AP18" s="984"/>
      <c r="AQ18" s="984"/>
      <c r="AR18" s="984"/>
      <c r="AS18" s="984"/>
      <c r="AT18" s="984"/>
      <c r="AU18" s="984"/>
      <c r="AV18" s="984"/>
      <c r="AW18" s="984"/>
      <c r="AX18" s="984"/>
      <c r="AY18" s="984"/>
      <c r="AZ18" s="984"/>
      <c r="BA18" s="984"/>
      <c r="BB18" s="984"/>
      <c r="BC18" s="984"/>
      <c r="BD18" s="984"/>
      <c r="BE18" s="984"/>
      <c r="BF18" s="984"/>
      <c r="BG18" s="984"/>
      <c r="BH18" s="984"/>
      <c r="BI18" s="984"/>
      <c r="BJ18" s="984"/>
      <c r="BK18" s="984"/>
      <c r="BL18" s="984"/>
      <c r="BM18" s="984"/>
      <c r="BN18" s="984"/>
      <c r="BO18" s="984"/>
      <c r="BP18" s="984"/>
      <c r="BQ18" s="984"/>
      <c r="BR18" s="984"/>
      <c r="BS18" s="984"/>
      <c r="BT18" s="984"/>
      <c r="BU18" s="984"/>
      <c r="BV18" s="984"/>
      <c r="BW18" s="984"/>
      <c r="BX18" s="984"/>
      <c r="BY18" s="984"/>
      <c r="BZ18" s="984"/>
      <c r="CA18" s="984"/>
      <c r="CB18" s="984"/>
      <c r="CC18" s="984"/>
      <c r="CD18" s="984"/>
      <c r="CE18" s="984"/>
      <c r="CF18" s="984"/>
      <c r="CG18" s="984"/>
      <c r="CH18" s="984"/>
      <c r="CI18" s="984"/>
      <c r="CJ18" s="984"/>
      <c r="CK18" s="984"/>
      <c r="CL18" s="984"/>
      <c r="CM18" s="984"/>
      <c r="CN18" s="984"/>
      <c r="CO18" s="984"/>
      <c r="CP18" s="984"/>
      <c r="CQ18" s="984"/>
      <c r="CR18" s="984"/>
      <c r="CS18" s="984"/>
      <c r="CT18" s="984"/>
      <c r="CU18" s="984"/>
      <c r="CV18" s="984"/>
      <c r="CW18" s="984"/>
      <c r="CX18" s="984"/>
      <c r="CY18" s="984"/>
      <c r="CZ18" s="984"/>
      <c r="DA18" s="984"/>
      <c r="DB18" s="984"/>
      <c r="DC18" s="984"/>
      <c r="DD18" s="984"/>
      <c r="DE18" s="984"/>
      <c r="DF18" s="984"/>
      <c r="DG18" s="984"/>
      <c r="DH18" s="984"/>
      <c r="DI18" s="984"/>
      <c r="DJ18" s="984"/>
      <c r="DK18" s="984"/>
      <c r="DL18" s="984"/>
      <c r="DM18" s="984"/>
      <c r="DN18" s="984"/>
      <c r="DO18" s="984"/>
      <c r="DP18" s="984"/>
      <c r="DQ18" s="984"/>
      <c r="DR18" s="984"/>
      <c r="DS18" s="984"/>
      <c r="DT18" s="984"/>
      <c r="DU18" s="984"/>
      <c r="DV18" s="984"/>
      <c r="DW18" s="984"/>
      <c r="DX18" s="984"/>
      <c r="DY18" s="984"/>
      <c r="DZ18" s="984"/>
      <c r="EA18" s="984"/>
      <c r="EB18" s="984"/>
      <c r="EC18" s="984"/>
      <c r="ED18" s="984"/>
      <c r="EE18" s="984"/>
      <c r="EF18" s="984"/>
      <c r="EG18" s="984"/>
      <c r="EH18" s="984"/>
      <c r="EI18" s="984"/>
      <c r="EJ18" s="984"/>
      <c r="EK18" s="984"/>
      <c r="EL18" s="984"/>
      <c r="EM18" s="984"/>
      <c r="EN18" s="984"/>
      <c r="EO18" s="984"/>
      <c r="EP18" s="984"/>
      <c r="EQ18" s="984"/>
      <c r="ER18" s="984"/>
      <c r="ES18" s="984"/>
      <c r="ET18" s="984"/>
      <c r="EU18" s="984"/>
      <c r="EV18" s="984"/>
      <c r="EW18" s="984"/>
      <c r="EX18" s="984"/>
      <c r="EY18" s="984"/>
      <c r="EZ18" s="984"/>
      <c r="FA18" s="984"/>
      <c r="FB18" s="984"/>
      <c r="FC18" s="984"/>
      <c r="FD18" s="984"/>
      <c r="FE18" s="984"/>
      <c r="FF18" s="984"/>
      <c r="FG18" s="984"/>
      <c r="FH18" s="984"/>
      <c r="FI18" s="984"/>
      <c r="FJ18" s="984"/>
      <c r="FK18" s="984"/>
      <c r="FL18" s="984"/>
      <c r="FM18" s="984"/>
      <c r="FN18" s="984"/>
      <c r="FO18" s="984"/>
      <c r="FP18" s="984"/>
      <c r="FQ18" s="984"/>
      <c r="FR18" s="984"/>
      <c r="FS18" s="984"/>
      <c r="FT18" s="984"/>
      <c r="FU18" s="984"/>
      <c r="FV18" s="984"/>
      <c r="FW18" s="984"/>
      <c r="FX18" s="984"/>
      <c r="FY18" s="984"/>
      <c r="FZ18" s="984"/>
      <c r="GA18" s="984"/>
      <c r="GB18" s="984"/>
      <c r="GC18" s="984"/>
      <c r="GD18" s="984"/>
      <c r="GE18" s="984"/>
      <c r="GF18" s="984"/>
      <c r="GG18" s="984"/>
      <c r="GH18" s="984"/>
      <c r="GI18" s="984"/>
      <c r="GJ18" s="984"/>
      <c r="GK18" s="984"/>
      <c r="GL18" s="984"/>
      <c r="GM18" s="984"/>
      <c r="GN18" s="984"/>
      <c r="GO18" s="984"/>
      <c r="GP18" s="984"/>
      <c r="GQ18" s="984"/>
      <c r="GR18" s="984"/>
      <c r="GS18" s="984"/>
      <c r="GT18" s="984"/>
      <c r="GU18" s="984"/>
      <c r="GV18" s="984"/>
      <c r="GW18" s="984"/>
      <c r="GX18" s="984"/>
      <c r="GY18" s="984"/>
      <c r="GZ18" s="984"/>
      <c r="HA18" s="984"/>
      <c r="HB18" s="984"/>
      <c r="HC18" s="984"/>
      <c r="HD18" s="984"/>
      <c r="HE18" s="984"/>
      <c r="HF18" s="984"/>
      <c r="HG18" s="984"/>
      <c r="HH18" s="984"/>
      <c r="HI18" s="984"/>
      <c r="HJ18" s="984"/>
      <c r="HK18" s="984"/>
      <c r="HL18" s="984"/>
      <c r="HM18" s="984"/>
      <c r="HN18" s="984"/>
      <c r="HO18" s="984"/>
      <c r="HP18" s="984"/>
      <c r="HQ18" s="984"/>
      <c r="HR18" s="984"/>
      <c r="HS18" s="984"/>
      <c r="HT18" s="984"/>
      <c r="HU18" s="984"/>
      <c r="HV18" s="984"/>
      <c r="HW18" s="984"/>
      <c r="HX18" s="984"/>
      <c r="HY18" s="984"/>
      <c r="HZ18" s="984"/>
      <c r="IA18" s="984"/>
      <c r="IB18" s="984"/>
      <c r="IC18" s="984"/>
      <c r="ID18" s="984"/>
      <c r="IE18" s="984"/>
    </row>
    <row r="19" spans="1:239" s="17" customFormat="1" ht="42" customHeight="1" x14ac:dyDescent="0.2">
      <c r="A19" s="2401" t="s">
        <v>40</v>
      </c>
      <c r="B19" s="2402"/>
      <c r="C19" s="827">
        <f>P19</f>
        <v>600000</v>
      </c>
      <c r="D19" s="827">
        <f>Q19</f>
        <v>550000</v>
      </c>
      <c r="E19" s="451">
        <f>IF(C19="",IF(D19="",0,C19-D19),C19-D19)</f>
        <v>50000</v>
      </c>
      <c r="F19" s="2226"/>
      <c r="G19" s="2404"/>
      <c r="H19" s="827">
        <f>U19</f>
        <v>1000000</v>
      </c>
      <c r="I19" s="827">
        <f>V19</f>
        <v>850000</v>
      </c>
      <c r="J19" s="451">
        <f>IF(H19="",IF(I19="",0,H19-I19),H19-I19)</f>
        <v>150000</v>
      </c>
      <c r="K19" s="1055"/>
      <c r="L19" s="993"/>
      <c r="M19" s="984"/>
      <c r="N19" s="1863" t="s">
        <v>40</v>
      </c>
      <c r="O19" s="2407"/>
      <c r="P19" s="1058">
        <f>'PR_Total PR Cash Outflow_3A'!C18</f>
        <v>600000</v>
      </c>
      <c r="Q19" s="1056">
        <f>'PR_Total PR Cash Outflow_3A'!D18</f>
        <v>550000</v>
      </c>
      <c r="R19" s="451">
        <f>IF(P19="",IF(Q19="",0,P19-Q19),P19-Q19)</f>
        <v>50000</v>
      </c>
      <c r="S19" s="2226"/>
      <c r="T19" s="2404"/>
      <c r="U19" s="1056">
        <f>'PR_Total PR Cash Outflow_3A'!H18</f>
        <v>1000000</v>
      </c>
      <c r="V19" s="1056">
        <f>'PR_Total PR Cash Outflow_3A'!I18</f>
        <v>850000</v>
      </c>
      <c r="W19" s="451">
        <f>IF(U19="",IF(V19="",0,U19-V19),U19-V19)</f>
        <v>150000</v>
      </c>
      <c r="X19" s="1055"/>
      <c r="Y19" s="984"/>
      <c r="Z19" s="984"/>
      <c r="AA19" s="984"/>
      <c r="AB19" s="984"/>
      <c r="AC19" s="984"/>
      <c r="AD19" s="984"/>
      <c r="AE19" s="984"/>
      <c r="AF19" s="984"/>
      <c r="AG19" s="984"/>
      <c r="AH19" s="984"/>
      <c r="AI19" s="984"/>
      <c r="AJ19" s="984"/>
      <c r="AK19" s="984"/>
      <c r="AL19" s="984"/>
      <c r="AM19" s="984"/>
      <c r="AN19" s="984"/>
      <c r="AO19" s="984"/>
      <c r="AP19" s="984"/>
      <c r="AQ19" s="984"/>
      <c r="AR19" s="984"/>
      <c r="AS19" s="984"/>
      <c r="AT19" s="984"/>
      <c r="AU19" s="984"/>
      <c r="AV19" s="984"/>
      <c r="AW19" s="984"/>
      <c r="AX19" s="984"/>
      <c r="AY19" s="984"/>
      <c r="AZ19" s="984"/>
      <c r="BA19" s="984"/>
      <c r="BB19" s="984"/>
      <c r="BC19" s="984"/>
      <c r="BD19" s="984"/>
      <c r="BE19" s="984"/>
      <c r="BF19" s="984"/>
      <c r="BG19" s="984"/>
      <c r="BH19" s="984"/>
      <c r="BI19" s="984"/>
      <c r="BJ19" s="984"/>
      <c r="BK19" s="984"/>
      <c r="BL19" s="984"/>
      <c r="BM19" s="984"/>
      <c r="BN19" s="984"/>
      <c r="BO19" s="984"/>
      <c r="BP19" s="984"/>
      <c r="BQ19" s="984"/>
      <c r="BR19" s="984"/>
      <c r="BS19" s="984"/>
      <c r="BT19" s="984"/>
      <c r="BU19" s="984"/>
      <c r="BV19" s="984"/>
      <c r="BW19" s="984"/>
      <c r="BX19" s="984"/>
      <c r="BY19" s="984"/>
      <c r="BZ19" s="984"/>
      <c r="CA19" s="984"/>
      <c r="CB19" s="984"/>
      <c r="CC19" s="984"/>
      <c r="CD19" s="984"/>
      <c r="CE19" s="984"/>
      <c r="CF19" s="984"/>
      <c r="CG19" s="984"/>
      <c r="CH19" s="984"/>
      <c r="CI19" s="984"/>
      <c r="CJ19" s="984"/>
      <c r="CK19" s="984"/>
      <c r="CL19" s="984"/>
      <c r="CM19" s="984"/>
      <c r="CN19" s="984"/>
      <c r="CO19" s="984"/>
      <c r="CP19" s="984"/>
      <c r="CQ19" s="984"/>
      <c r="CR19" s="984"/>
      <c r="CS19" s="984"/>
      <c r="CT19" s="984"/>
      <c r="CU19" s="984"/>
      <c r="CV19" s="984"/>
      <c r="CW19" s="984"/>
      <c r="CX19" s="984"/>
      <c r="CY19" s="984"/>
      <c r="CZ19" s="984"/>
      <c r="DA19" s="984"/>
      <c r="DB19" s="984"/>
      <c r="DC19" s="984"/>
      <c r="DD19" s="984"/>
      <c r="DE19" s="984"/>
      <c r="DF19" s="984"/>
      <c r="DG19" s="984"/>
      <c r="DH19" s="984"/>
      <c r="DI19" s="984"/>
      <c r="DJ19" s="984"/>
      <c r="DK19" s="984"/>
      <c r="DL19" s="984"/>
      <c r="DM19" s="984"/>
      <c r="DN19" s="984"/>
      <c r="DO19" s="984"/>
      <c r="DP19" s="984"/>
      <c r="DQ19" s="984"/>
      <c r="DR19" s="984"/>
      <c r="DS19" s="984"/>
      <c r="DT19" s="984"/>
      <c r="DU19" s="984"/>
      <c r="DV19" s="984"/>
      <c r="DW19" s="984"/>
      <c r="DX19" s="984"/>
      <c r="DY19" s="984"/>
      <c r="DZ19" s="984"/>
      <c r="EA19" s="984"/>
      <c r="EB19" s="984"/>
      <c r="EC19" s="984"/>
      <c r="ED19" s="984"/>
      <c r="EE19" s="984"/>
      <c r="EF19" s="984"/>
      <c r="EG19" s="984"/>
      <c r="EH19" s="984"/>
      <c r="EI19" s="984"/>
      <c r="EJ19" s="984"/>
      <c r="EK19" s="984"/>
      <c r="EL19" s="984"/>
      <c r="EM19" s="984"/>
      <c r="EN19" s="984"/>
      <c r="EO19" s="984"/>
      <c r="EP19" s="984"/>
      <c r="EQ19" s="984"/>
      <c r="ER19" s="984"/>
      <c r="ES19" s="984"/>
      <c r="ET19" s="984"/>
      <c r="EU19" s="984"/>
      <c r="EV19" s="984"/>
      <c r="EW19" s="984"/>
      <c r="EX19" s="984"/>
      <c r="EY19" s="984"/>
      <c r="EZ19" s="984"/>
      <c r="FA19" s="984"/>
      <c r="FB19" s="984"/>
      <c r="FC19" s="984"/>
      <c r="FD19" s="984"/>
      <c r="FE19" s="984"/>
      <c r="FF19" s="984"/>
      <c r="FG19" s="984"/>
      <c r="FH19" s="984"/>
      <c r="FI19" s="984"/>
      <c r="FJ19" s="984"/>
      <c r="FK19" s="984"/>
      <c r="FL19" s="984"/>
      <c r="FM19" s="984"/>
      <c r="FN19" s="984"/>
      <c r="FO19" s="984"/>
      <c r="FP19" s="984"/>
      <c r="FQ19" s="984"/>
      <c r="FR19" s="984"/>
      <c r="FS19" s="984"/>
      <c r="FT19" s="984"/>
      <c r="FU19" s="984"/>
      <c r="FV19" s="984"/>
      <c r="FW19" s="984"/>
      <c r="FX19" s="984"/>
      <c r="FY19" s="984"/>
      <c r="FZ19" s="984"/>
      <c r="GA19" s="984"/>
      <c r="GB19" s="984"/>
      <c r="GC19" s="984"/>
      <c r="GD19" s="984"/>
      <c r="GE19" s="984"/>
      <c r="GF19" s="984"/>
      <c r="GG19" s="984"/>
      <c r="GH19" s="984"/>
      <c r="GI19" s="984"/>
      <c r="GJ19" s="984"/>
      <c r="GK19" s="984"/>
      <c r="GL19" s="984"/>
      <c r="GM19" s="984"/>
      <c r="GN19" s="984"/>
      <c r="GO19" s="984"/>
      <c r="GP19" s="984"/>
      <c r="GQ19" s="984"/>
      <c r="GR19" s="984"/>
      <c r="GS19" s="984"/>
      <c r="GT19" s="984"/>
      <c r="GU19" s="984"/>
      <c r="GV19" s="984"/>
      <c r="GW19" s="984"/>
      <c r="GX19" s="984"/>
      <c r="GY19" s="984"/>
      <c r="GZ19" s="984"/>
      <c r="HA19" s="984"/>
      <c r="HB19" s="984"/>
      <c r="HC19" s="984"/>
      <c r="HD19" s="984"/>
      <c r="HE19" s="984"/>
      <c r="HF19" s="984"/>
      <c r="HG19" s="984"/>
      <c r="HH19" s="984"/>
      <c r="HI19" s="984"/>
      <c r="HJ19" s="984"/>
      <c r="HK19" s="984"/>
      <c r="HL19" s="984"/>
      <c r="HM19" s="984"/>
      <c r="HN19" s="984"/>
      <c r="HO19" s="984"/>
      <c r="HP19" s="984"/>
      <c r="HQ19" s="984"/>
      <c r="HR19" s="984"/>
      <c r="HS19" s="984"/>
      <c r="HT19" s="984"/>
      <c r="HU19" s="984"/>
      <c r="HV19" s="984"/>
      <c r="HW19" s="984"/>
      <c r="HX19" s="984"/>
      <c r="HY19" s="984"/>
      <c r="HZ19" s="984"/>
      <c r="IA19" s="984"/>
      <c r="IB19" s="984"/>
      <c r="IC19" s="984"/>
      <c r="ID19" s="984"/>
      <c r="IE19" s="984"/>
    </row>
    <row r="20" spans="1:239" s="17" customFormat="1" ht="112.5" customHeight="1" thickBot="1" x14ac:dyDescent="0.25">
      <c r="A20" s="2399" t="s">
        <v>41</v>
      </c>
      <c r="B20" s="2400"/>
      <c r="C20" s="693">
        <f>P20</f>
        <v>700000</v>
      </c>
      <c r="D20" s="693">
        <f>Q20</f>
        <v>800000</v>
      </c>
      <c r="E20" s="694">
        <f>IF(C20="",IF(D20="",0,C20-D20),C20-D20)</f>
        <v>-100000</v>
      </c>
      <c r="F20" s="2373" t="s">
        <v>734</v>
      </c>
      <c r="G20" s="2374"/>
      <c r="H20" s="693">
        <f>U20</f>
        <v>1500000</v>
      </c>
      <c r="I20" s="693">
        <f>V20</f>
        <v>1100000</v>
      </c>
      <c r="J20" s="694">
        <f>IF(H20="",IF(I20="",0,H20-I20),H20-I20)</f>
        <v>400000</v>
      </c>
      <c r="K20" s="1544" t="s">
        <v>715</v>
      </c>
      <c r="L20" s="993"/>
      <c r="M20" s="984"/>
      <c r="N20" s="2399" t="s">
        <v>41</v>
      </c>
      <c r="O20" s="2408"/>
      <c r="P20" s="1059">
        <f>'PR_Total PR Cash Outflow_3A'!C19</f>
        <v>700000</v>
      </c>
      <c r="Q20" s="693">
        <f>'PR_Total PR Cash Outflow_3A'!D19</f>
        <v>800000</v>
      </c>
      <c r="R20" s="694">
        <f>IF(P20="",IF(Q20="",0,P20-Q20),P20-Q20)</f>
        <v>-100000</v>
      </c>
      <c r="S20" s="2409"/>
      <c r="T20" s="2410"/>
      <c r="U20" s="693">
        <f>'PR_Total PR Cash Outflow_3A'!H19</f>
        <v>1500000</v>
      </c>
      <c r="V20" s="693">
        <f>'PR_Total PR Cash Outflow_3A'!I19</f>
        <v>1100000</v>
      </c>
      <c r="W20" s="694">
        <f>IF(U20="",IF(V20="",0,U20-V20),U20-V20)</f>
        <v>400000</v>
      </c>
      <c r="X20" s="1051"/>
      <c r="Y20" s="984"/>
      <c r="Z20" s="984"/>
      <c r="AA20" s="984"/>
      <c r="AB20" s="984"/>
      <c r="AC20" s="984"/>
      <c r="AD20" s="984"/>
      <c r="AE20" s="984"/>
      <c r="AF20" s="984"/>
      <c r="AG20" s="984"/>
      <c r="AH20" s="984"/>
      <c r="AI20" s="984"/>
      <c r="AJ20" s="984"/>
      <c r="AK20" s="984"/>
      <c r="AL20" s="984"/>
      <c r="AM20" s="984"/>
      <c r="AN20" s="984"/>
      <c r="AO20" s="984"/>
      <c r="AP20" s="984"/>
      <c r="AQ20" s="984"/>
      <c r="AR20" s="984"/>
      <c r="AS20" s="984"/>
      <c r="AT20" s="984"/>
      <c r="AU20" s="984"/>
      <c r="AV20" s="984"/>
      <c r="AW20" s="984"/>
      <c r="AX20" s="984"/>
      <c r="AY20" s="984"/>
      <c r="AZ20" s="984"/>
      <c r="BA20" s="984"/>
      <c r="BB20" s="984"/>
      <c r="BC20" s="984"/>
      <c r="BD20" s="984"/>
      <c r="BE20" s="984"/>
      <c r="BF20" s="984"/>
      <c r="BG20" s="984"/>
      <c r="BH20" s="984"/>
      <c r="BI20" s="984"/>
      <c r="BJ20" s="984"/>
      <c r="BK20" s="984"/>
      <c r="BL20" s="984"/>
      <c r="BM20" s="984"/>
      <c r="BN20" s="984"/>
      <c r="BO20" s="984"/>
      <c r="BP20" s="984"/>
      <c r="BQ20" s="984"/>
      <c r="BR20" s="984"/>
      <c r="BS20" s="984"/>
      <c r="BT20" s="984"/>
      <c r="BU20" s="984"/>
      <c r="BV20" s="984"/>
      <c r="BW20" s="984"/>
      <c r="BX20" s="984"/>
      <c r="BY20" s="984"/>
      <c r="BZ20" s="984"/>
      <c r="CA20" s="984"/>
      <c r="CB20" s="984"/>
      <c r="CC20" s="984"/>
      <c r="CD20" s="984"/>
      <c r="CE20" s="984"/>
      <c r="CF20" s="984"/>
      <c r="CG20" s="984"/>
      <c r="CH20" s="984"/>
      <c r="CI20" s="984"/>
      <c r="CJ20" s="984"/>
      <c r="CK20" s="984"/>
      <c r="CL20" s="984"/>
      <c r="CM20" s="984"/>
      <c r="CN20" s="984"/>
      <c r="CO20" s="984"/>
      <c r="CP20" s="984"/>
      <c r="CQ20" s="984"/>
      <c r="CR20" s="984"/>
      <c r="CS20" s="984"/>
      <c r="CT20" s="984"/>
      <c r="CU20" s="984"/>
      <c r="CV20" s="984"/>
      <c r="CW20" s="984"/>
      <c r="CX20" s="984"/>
      <c r="CY20" s="984"/>
      <c r="CZ20" s="984"/>
      <c r="DA20" s="984"/>
      <c r="DB20" s="984"/>
      <c r="DC20" s="984"/>
      <c r="DD20" s="984"/>
      <c r="DE20" s="984"/>
      <c r="DF20" s="984"/>
      <c r="DG20" s="984"/>
      <c r="DH20" s="984"/>
      <c r="DI20" s="984"/>
      <c r="DJ20" s="984"/>
      <c r="DK20" s="984"/>
      <c r="DL20" s="984"/>
      <c r="DM20" s="984"/>
      <c r="DN20" s="984"/>
      <c r="DO20" s="984"/>
      <c r="DP20" s="984"/>
      <c r="DQ20" s="984"/>
      <c r="DR20" s="984"/>
      <c r="DS20" s="984"/>
      <c r="DT20" s="984"/>
      <c r="DU20" s="984"/>
      <c r="DV20" s="984"/>
      <c r="DW20" s="984"/>
      <c r="DX20" s="984"/>
      <c r="DY20" s="984"/>
      <c r="DZ20" s="984"/>
      <c r="EA20" s="984"/>
      <c r="EB20" s="984"/>
      <c r="EC20" s="984"/>
      <c r="ED20" s="984"/>
      <c r="EE20" s="984"/>
      <c r="EF20" s="984"/>
      <c r="EG20" s="984"/>
      <c r="EH20" s="984"/>
      <c r="EI20" s="984"/>
      <c r="EJ20" s="984"/>
      <c r="EK20" s="984"/>
      <c r="EL20" s="984"/>
      <c r="EM20" s="984"/>
      <c r="EN20" s="984"/>
      <c r="EO20" s="984"/>
      <c r="EP20" s="984"/>
      <c r="EQ20" s="984"/>
      <c r="ER20" s="984"/>
      <c r="ES20" s="984"/>
      <c r="ET20" s="984"/>
      <c r="EU20" s="984"/>
      <c r="EV20" s="984"/>
      <c r="EW20" s="984"/>
      <c r="EX20" s="984"/>
      <c r="EY20" s="984"/>
      <c r="EZ20" s="984"/>
      <c r="FA20" s="984"/>
      <c r="FB20" s="984"/>
      <c r="FC20" s="984"/>
      <c r="FD20" s="984"/>
      <c r="FE20" s="984"/>
      <c r="FF20" s="984"/>
      <c r="FG20" s="984"/>
      <c r="FH20" s="984"/>
      <c r="FI20" s="984"/>
      <c r="FJ20" s="984"/>
      <c r="FK20" s="984"/>
      <c r="FL20" s="984"/>
      <c r="FM20" s="984"/>
      <c r="FN20" s="984"/>
      <c r="FO20" s="984"/>
      <c r="FP20" s="984"/>
      <c r="FQ20" s="984"/>
      <c r="FR20" s="984"/>
      <c r="FS20" s="984"/>
      <c r="FT20" s="984"/>
      <c r="FU20" s="984"/>
      <c r="FV20" s="984"/>
      <c r="FW20" s="984"/>
      <c r="FX20" s="984"/>
      <c r="FY20" s="984"/>
      <c r="FZ20" s="984"/>
      <c r="GA20" s="984"/>
      <c r="GB20" s="984"/>
      <c r="GC20" s="984"/>
      <c r="GD20" s="984"/>
      <c r="GE20" s="984"/>
      <c r="GF20" s="984"/>
      <c r="GG20" s="984"/>
      <c r="GH20" s="984"/>
      <c r="GI20" s="984"/>
      <c r="GJ20" s="984"/>
      <c r="GK20" s="984"/>
      <c r="GL20" s="984"/>
      <c r="GM20" s="984"/>
      <c r="GN20" s="984"/>
      <c r="GO20" s="984"/>
      <c r="GP20" s="984"/>
      <c r="GQ20" s="984"/>
      <c r="GR20" s="984"/>
      <c r="GS20" s="984"/>
      <c r="GT20" s="984"/>
      <c r="GU20" s="984"/>
      <c r="GV20" s="984"/>
      <c r="GW20" s="984"/>
      <c r="GX20" s="984"/>
      <c r="GY20" s="984"/>
      <c r="GZ20" s="984"/>
      <c r="HA20" s="984"/>
      <c r="HB20" s="984"/>
      <c r="HC20" s="984"/>
      <c r="HD20" s="984"/>
      <c r="HE20" s="984"/>
      <c r="HF20" s="984"/>
      <c r="HG20" s="984"/>
      <c r="HH20" s="984"/>
      <c r="HI20" s="984"/>
      <c r="HJ20" s="984"/>
      <c r="HK20" s="984"/>
      <c r="HL20" s="984"/>
      <c r="HM20" s="984"/>
      <c r="HN20" s="984"/>
      <c r="HO20" s="984"/>
      <c r="HP20" s="984"/>
      <c r="HQ20" s="984"/>
      <c r="HR20" s="984"/>
      <c r="HS20" s="984"/>
      <c r="HT20" s="984"/>
      <c r="HU20" s="984"/>
      <c r="HV20" s="984"/>
      <c r="HW20" s="984"/>
      <c r="HX20" s="984"/>
      <c r="HY20" s="984"/>
      <c r="HZ20" s="984"/>
      <c r="IA20" s="984"/>
      <c r="IB20" s="984"/>
      <c r="IC20" s="984"/>
      <c r="ID20" s="984"/>
      <c r="IE20" s="984"/>
    </row>
    <row r="21" spans="1:239" s="17" customFormat="1" ht="9.75" customHeight="1" x14ac:dyDescent="0.2">
      <c r="A21" s="212"/>
      <c r="B21" s="213"/>
      <c r="C21" s="211"/>
      <c r="D21" s="210"/>
      <c r="E21" s="210"/>
      <c r="F21" s="210"/>
      <c r="G21" s="210"/>
      <c r="H21" s="210"/>
      <c r="I21" s="210"/>
      <c r="J21" s="210"/>
      <c r="K21" s="988"/>
      <c r="L21" s="993"/>
      <c r="M21" s="997"/>
      <c r="N21" s="997"/>
      <c r="O21" s="997"/>
      <c r="P21" s="997"/>
      <c r="Q21" s="997"/>
      <c r="R21" s="997"/>
      <c r="S21" s="997"/>
      <c r="T21" s="997"/>
      <c r="U21" s="997"/>
      <c r="V21" s="997"/>
      <c r="W21" s="997"/>
      <c r="X21" s="997"/>
      <c r="Y21" s="997"/>
      <c r="Z21" s="997"/>
      <c r="AA21" s="997"/>
      <c r="AB21" s="997"/>
      <c r="AC21" s="997"/>
      <c r="AD21" s="984"/>
      <c r="AE21" s="984"/>
      <c r="AF21" s="984"/>
      <c r="AG21" s="984"/>
      <c r="AH21" s="984"/>
      <c r="AI21" s="984"/>
      <c r="AJ21" s="984"/>
      <c r="AK21" s="984"/>
      <c r="AL21" s="984"/>
      <c r="AM21" s="984"/>
      <c r="AN21" s="984"/>
      <c r="AO21" s="984"/>
      <c r="AP21" s="984"/>
      <c r="AQ21" s="984"/>
      <c r="AR21" s="984"/>
      <c r="AS21" s="984"/>
      <c r="AT21" s="984"/>
      <c r="AU21" s="984"/>
      <c r="AV21" s="984"/>
      <c r="AW21" s="984"/>
      <c r="AX21" s="984"/>
      <c r="AY21" s="984"/>
      <c r="AZ21" s="984"/>
      <c r="BA21" s="984"/>
      <c r="BB21" s="984"/>
      <c r="BC21" s="984"/>
      <c r="BD21" s="984"/>
      <c r="BE21" s="984"/>
      <c r="BF21" s="984"/>
      <c r="BG21" s="984"/>
      <c r="BH21" s="984"/>
      <c r="BI21" s="984"/>
      <c r="BJ21" s="984"/>
      <c r="BK21" s="984"/>
      <c r="BL21" s="984"/>
      <c r="BM21" s="984"/>
      <c r="BN21" s="984"/>
      <c r="BO21" s="984"/>
      <c r="BP21" s="984"/>
      <c r="BQ21" s="984"/>
      <c r="BR21" s="984"/>
      <c r="BS21" s="984"/>
      <c r="BT21" s="984"/>
      <c r="BU21" s="984"/>
      <c r="BV21" s="984"/>
      <c r="BW21" s="984"/>
      <c r="BX21" s="984"/>
      <c r="BY21" s="984"/>
      <c r="BZ21" s="984"/>
      <c r="CA21" s="984"/>
      <c r="CB21" s="984"/>
      <c r="CC21" s="984"/>
      <c r="CD21" s="984"/>
      <c r="CE21" s="984"/>
      <c r="CF21" s="984"/>
      <c r="CG21" s="984"/>
      <c r="CH21" s="984"/>
      <c r="CI21" s="984"/>
      <c r="CJ21" s="984"/>
      <c r="CK21" s="984"/>
      <c r="CL21" s="984"/>
      <c r="CM21" s="984"/>
      <c r="CN21" s="984"/>
      <c r="CO21" s="984"/>
      <c r="CP21" s="984"/>
      <c r="CQ21" s="984"/>
      <c r="CR21" s="984"/>
      <c r="CS21" s="984"/>
      <c r="CT21" s="984"/>
      <c r="CU21" s="984"/>
      <c r="CV21" s="984"/>
      <c r="CW21" s="984"/>
      <c r="CX21" s="984"/>
      <c r="CY21" s="984"/>
      <c r="CZ21" s="984"/>
      <c r="DA21" s="984"/>
      <c r="DB21" s="984"/>
      <c r="DC21" s="984"/>
      <c r="DD21" s="984"/>
      <c r="DE21" s="984"/>
      <c r="DF21" s="984"/>
      <c r="DG21" s="984"/>
      <c r="DH21" s="984"/>
      <c r="DI21" s="984"/>
      <c r="DJ21" s="984"/>
      <c r="DK21" s="984"/>
      <c r="DL21" s="984"/>
      <c r="DM21" s="984"/>
      <c r="DN21" s="984"/>
      <c r="DO21" s="984"/>
      <c r="DP21" s="984"/>
      <c r="DQ21" s="984"/>
      <c r="DR21" s="984"/>
      <c r="DS21" s="984"/>
      <c r="DT21" s="984"/>
      <c r="DU21" s="984"/>
      <c r="DV21" s="984"/>
      <c r="DW21" s="984"/>
      <c r="DX21" s="984"/>
      <c r="DY21" s="984"/>
      <c r="DZ21" s="984"/>
      <c r="EA21" s="984"/>
      <c r="EB21" s="984"/>
      <c r="EC21" s="984"/>
      <c r="ED21" s="984"/>
      <c r="EE21" s="984"/>
      <c r="EF21" s="984"/>
      <c r="EG21" s="984"/>
      <c r="EH21" s="984"/>
      <c r="EI21" s="984"/>
      <c r="EJ21" s="984"/>
      <c r="EK21" s="984"/>
      <c r="EL21" s="984"/>
      <c r="EM21" s="984"/>
      <c r="EN21" s="984"/>
      <c r="EO21" s="984"/>
      <c r="EP21" s="984"/>
      <c r="EQ21" s="984"/>
      <c r="ER21" s="984"/>
      <c r="ES21" s="984"/>
      <c r="ET21" s="984"/>
      <c r="EU21" s="984"/>
      <c r="EV21" s="984"/>
      <c r="EW21" s="984"/>
      <c r="EX21" s="984"/>
      <c r="EY21" s="984"/>
      <c r="EZ21" s="984"/>
      <c r="FA21" s="984"/>
      <c r="FB21" s="984"/>
      <c r="FC21" s="984"/>
      <c r="FD21" s="984"/>
      <c r="FE21" s="984"/>
      <c r="FF21" s="984"/>
      <c r="FG21" s="984"/>
      <c r="FH21" s="984"/>
      <c r="FI21" s="984"/>
      <c r="FJ21" s="984"/>
      <c r="FK21" s="984"/>
      <c r="FL21" s="984"/>
      <c r="FM21" s="984"/>
      <c r="FN21" s="984"/>
      <c r="FO21" s="984"/>
      <c r="FP21" s="984"/>
      <c r="FQ21" s="984"/>
      <c r="FR21" s="984"/>
      <c r="FS21" s="984"/>
      <c r="FT21" s="984"/>
      <c r="FU21" s="984"/>
      <c r="FV21" s="984"/>
      <c r="FW21" s="984"/>
      <c r="FX21" s="984"/>
      <c r="FY21" s="984"/>
      <c r="FZ21" s="984"/>
      <c r="GA21" s="984"/>
      <c r="GB21" s="984"/>
      <c r="GC21" s="984"/>
      <c r="GD21" s="984"/>
      <c r="GE21" s="984"/>
      <c r="GF21" s="984"/>
      <c r="GG21" s="984"/>
      <c r="GH21" s="984"/>
      <c r="GI21" s="984"/>
      <c r="GJ21" s="984"/>
      <c r="GK21" s="984"/>
      <c r="GL21" s="984"/>
      <c r="GM21" s="984"/>
      <c r="GN21" s="984"/>
      <c r="GO21" s="984"/>
      <c r="GP21" s="984"/>
      <c r="GQ21" s="984"/>
      <c r="GR21" s="984"/>
      <c r="GS21" s="984"/>
      <c r="GT21" s="984"/>
      <c r="GU21" s="984"/>
      <c r="GV21" s="984"/>
      <c r="GW21" s="984"/>
      <c r="GX21" s="984"/>
      <c r="GY21" s="984"/>
      <c r="GZ21" s="984"/>
      <c r="HA21" s="984"/>
      <c r="HB21" s="984"/>
      <c r="HC21" s="984"/>
      <c r="HD21" s="984"/>
      <c r="HE21" s="984"/>
      <c r="HF21" s="984"/>
      <c r="HG21" s="984"/>
      <c r="HH21" s="984"/>
      <c r="HI21" s="984"/>
      <c r="HJ21" s="984"/>
      <c r="HK21" s="984"/>
      <c r="HL21" s="984"/>
      <c r="HM21" s="984"/>
      <c r="HN21" s="984"/>
      <c r="HO21" s="984"/>
      <c r="HP21" s="984"/>
      <c r="HQ21" s="984"/>
      <c r="HR21" s="984"/>
      <c r="HS21" s="984"/>
      <c r="HT21" s="984"/>
      <c r="HU21" s="984"/>
      <c r="HV21" s="984"/>
      <c r="HW21" s="984"/>
      <c r="HX21" s="984"/>
      <c r="HY21" s="984"/>
      <c r="HZ21" s="984"/>
      <c r="IA21" s="984"/>
      <c r="IB21" s="984"/>
      <c r="IC21" s="984"/>
      <c r="ID21" s="984"/>
      <c r="IE21" s="984"/>
    </row>
    <row r="22" spans="1:239" s="74" customFormat="1" ht="20.25" customHeight="1" x14ac:dyDescent="0.2">
      <c r="A22" s="326" t="s">
        <v>60</v>
      </c>
      <c r="B22" s="449"/>
      <c r="C22" s="449"/>
      <c r="D22" s="450"/>
      <c r="E22" s="350"/>
      <c r="F22" s="350"/>
      <c r="G22" s="350"/>
      <c r="H22" s="350"/>
      <c r="I22" s="350"/>
      <c r="J22" s="350"/>
      <c r="K22" s="989"/>
      <c r="L22" s="348"/>
      <c r="M22" s="999"/>
      <c r="N22" s="999"/>
      <c r="O22" s="999"/>
      <c r="P22" s="999"/>
      <c r="Q22" s="999"/>
      <c r="R22" s="999"/>
      <c r="S22" s="999"/>
      <c r="T22" s="999"/>
      <c r="U22" s="999"/>
      <c r="V22" s="999"/>
      <c r="W22" s="999"/>
      <c r="X22" s="999"/>
      <c r="Y22" s="999"/>
      <c r="Z22" s="999"/>
      <c r="AA22" s="999"/>
      <c r="AB22" s="999"/>
      <c r="AC22" s="999"/>
      <c r="AD22" s="984"/>
      <c r="AE22" s="984"/>
      <c r="AF22" s="984"/>
      <c r="AG22" s="984"/>
      <c r="AH22" s="984"/>
      <c r="AI22" s="984"/>
      <c r="AJ22" s="984"/>
      <c r="AK22" s="984"/>
      <c r="AL22" s="984"/>
      <c r="AM22" s="984"/>
      <c r="AN22" s="984"/>
      <c r="AO22" s="984"/>
      <c r="AP22" s="984"/>
      <c r="AQ22" s="984"/>
      <c r="AR22" s="984"/>
      <c r="AS22" s="984"/>
      <c r="AT22" s="984"/>
      <c r="AU22" s="984"/>
      <c r="AV22" s="984"/>
      <c r="AW22" s="984"/>
      <c r="AX22" s="984"/>
      <c r="AY22" s="984"/>
      <c r="AZ22" s="984"/>
      <c r="BA22" s="984"/>
      <c r="BB22" s="984"/>
      <c r="BC22" s="984"/>
      <c r="BD22" s="984"/>
      <c r="BE22" s="984"/>
      <c r="BF22" s="984"/>
      <c r="BG22" s="984"/>
      <c r="BH22" s="984"/>
      <c r="BI22" s="984"/>
      <c r="BJ22" s="984"/>
      <c r="BK22" s="984"/>
      <c r="BL22" s="984"/>
      <c r="BM22" s="984"/>
      <c r="BN22" s="984"/>
      <c r="BO22" s="984"/>
      <c r="BP22" s="984"/>
      <c r="BQ22" s="984"/>
      <c r="BR22" s="984"/>
      <c r="BS22" s="984"/>
      <c r="BT22" s="984"/>
      <c r="BU22" s="984"/>
      <c r="BV22" s="984"/>
      <c r="BW22" s="984"/>
      <c r="BX22" s="984"/>
      <c r="BY22" s="984"/>
      <c r="BZ22" s="984"/>
      <c r="CA22" s="984"/>
      <c r="CB22" s="984"/>
      <c r="CC22" s="984"/>
      <c r="CD22" s="984"/>
      <c r="CE22" s="984"/>
      <c r="CF22" s="984"/>
      <c r="CG22" s="984"/>
      <c r="CH22" s="984"/>
      <c r="CI22" s="984"/>
      <c r="CJ22" s="984"/>
      <c r="CK22" s="984"/>
      <c r="CL22" s="984"/>
      <c r="CM22" s="984"/>
      <c r="CN22" s="984"/>
      <c r="CO22" s="984"/>
      <c r="CP22" s="984"/>
      <c r="CQ22" s="984"/>
      <c r="CR22" s="984"/>
      <c r="CS22" s="984"/>
      <c r="CT22" s="984"/>
      <c r="CU22" s="984"/>
      <c r="CV22" s="984"/>
      <c r="CW22" s="984"/>
      <c r="CX22" s="984"/>
      <c r="CY22" s="984"/>
      <c r="CZ22" s="984"/>
      <c r="DA22" s="984"/>
      <c r="DB22" s="984"/>
      <c r="DC22" s="984"/>
      <c r="DD22" s="984"/>
      <c r="DE22" s="984"/>
      <c r="DF22" s="984"/>
      <c r="DG22" s="984"/>
      <c r="DH22" s="984"/>
      <c r="DI22" s="984"/>
      <c r="DJ22" s="984"/>
      <c r="DK22" s="984"/>
      <c r="DL22" s="984"/>
      <c r="DM22" s="984"/>
      <c r="DN22" s="984"/>
      <c r="DO22" s="984"/>
      <c r="DP22" s="984"/>
      <c r="DQ22" s="984"/>
      <c r="DR22" s="984"/>
      <c r="DS22" s="984"/>
      <c r="DT22" s="984"/>
      <c r="DU22" s="984"/>
      <c r="DV22" s="984"/>
      <c r="DW22" s="984"/>
      <c r="DX22" s="984"/>
      <c r="DY22" s="984"/>
      <c r="DZ22" s="984"/>
      <c r="EA22" s="984"/>
      <c r="EB22" s="984"/>
      <c r="EC22" s="984"/>
      <c r="ED22" s="984"/>
      <c r="EE22" s="984"/>
      <c r="EF22" s="984"/>
      <c r="EG22" s="984"/>
      <c r="EH22" s="984"/>
      <c r="EI22" s="984"/>
      <c r="EJ22" s="984"/>
      <c r="EK22" s="984"/>
      <c r="EL22" s="984"/>
      <c r="EM22" s="984"/>
      <c r="EN22" s="984"/>
      <c r="EO22" s="984"/>
      <c r="EP22" s="984"/>
      <c r="EQ22" s="984"/>
      <c r="ER22" s="984"/>
      <c r="ES22" s="984"/>
      <c r="ET22" s="984"/>
      <c r="EU22" s="984"/>
      <c r="EV22" s="984"/>
      <c r="EW22" s="984"/>
      <c r="EX22" s="984"/>
      <c r="EY22" s="984"/>
      <c r="EZ22" s="984"/>
      <c r="FA22" s="984"/>
      <c r="FB22" s="984"/>
      <c r="FC22" s="984"/>
      <c r="FD22" s="984"/>
      <c r="FE22" s="984"/>
      <c r="FF22" s="984"/>
      <c r="FG22" s="984"/>
      <c r="FH22" s="984"/>
      <c r="FI22" s="984"/>
      <c r="FJ22" s="984"/>
      <c r="FK22" s="984"/>
      <c r="FL22" s="984"/>
      <c r="FM22" s="984"/>
      <c r="FN22" s="984"/>
      <c r="FO22" s="984"/>
      <c r="FP22" s="984"/>
      <c r="FQ22" s="984"/>
      <c r="FR22" s="984"/>
      <c r="FS22" s="984"/>
      <c r="FT22" s="984"/>
      <c r="FU22" s="984"/>
      <c r="FV22" s="984"/>
      <c r="FW22" s="984"/>
      <c r="FX22" s="984"/>
      <c r="FY22" s="984"/>
      <c r="FZ22" s="984"/>
      <c r="GA22" s="984"/>
      <c r="GB22" s="984"/>
      <c r="GC22" s="984"/>
      <c r="GD22" s="984"/>
      <c r="GE22" s="984"/>
      <c r="GF22" s="984"/>
      <c r="GG22" s="984"/>
      <c r="GH22" s="984"/>
      <c r="GI22" s="984"/>
      <c r="GJ22" s="984"/>
      <c r="GK22" s="984"/>
      <c r="GL22" s="984"/>
      <c r="GM22" s="984"/>
      <c r="GN22" s="984"/>
      <c r="GO22" s="984"/>
      <c r="GP22" s="984"/>
      <c r="GQ22" s="984"/>
      <c r="GR22" s="984"/>
      <c r="GS22" s="984"/>
      <c r="GT22" s="984"/>
      <c r="GU22" s="984"/>
      <c r="GV22" s="984"/>
      <c r="GW22" s="984"/>
      <c r="GX22" s="984"/>
      <c r="GY22" s="984"/>
      <c r="GZ22" s="984"/>
      <c r="HA22" s="984"/>
      <c r="HB22" s="984"/>
      <c r="HC22" s="984"/>
      <c r="HD22" s="984"/>
      <c r="HE22" s="984"/>
      <c r="HF22" s="984"/>
      <c r="HG22" s="984"/>
      <c r="HH22" s="984"/>
      <c r="HI22" s="984"/>
      <c r="HJ22" s="984"/>
      <c r="HK22" s="984"/>
      <c r="HL22" s="984"/>
      <c r="HM22" s="984"/>
      <c r="HN22" s="984"/>
      <c r="HO22" s="984"/>
      <c r="HP22" s="984"/>
      <c r="HQ22" s="984"/>
      <c r="HR22" s="984"/>
      <c r="HS22" s="984"/>
      <c r="HT22" s="984"/>
      <c r="HU22" s="984"/>
      <c r="HV22" s="984"/>
      <c r="HW22" s="984"/>
      <c r="HX22" s="984"/>
      <c r="HY22" s="984"/>
      <c r="HZ22" s="984"/>
      <c r="IA22" s="984"/>
      <c r="IB22" s="984"/>
      <c r="IC22" s="984"/>
      <c r="ID22" s="984"/>
      <c r="IE22" s="984"/>
    </row>
    <row r="23" spans="1:239" s="74" customFormat="1" ht="20.25" customHeight="1" thickBot="1" x14ac:dyDescent="0.25">
      <c r="A23" s="346"/>
      <c r="B23" s="347"/>
      <c r="C23" s="348"/>
      <c r="D23" s="349"/>
      <c r="E23" s="350"/>
      <c r="F23" s="350"/>
      <c r="G23" s="350"/>
      <c r="H23" s="350"/>
      <c r="I23" s="350"/>
      <c r="J23" s="350"/>
      <c r="K23" s="990"/>
      <c r="L23" s="348"/>
      <c r="M23" s="999"/>
      <c r="N23" s="999"/>
      <c r="O23" s="999"/>
      <c r="P23" s="999"/>
      <c r="Q23" s="999"/>
      <c r="R23" s="999"/>
      <c r="S23" s="999"/>
      <c r="T23" s="999"/>
      <c r="U23" s="999"/>
      <c r="V23" s="999"/>
      <c r="W23" s="999"/>
      <c r="X23" s="999"/>
      <c r="Y23" s="999"/>
      <c r="Z23" s="999"/>
      <c r="AA23" s="999"/>
      <c r="AB23" s="999"/>
      <c r="AC23" s="999"/>
      <c r="AD23" s="984"/>
      <c r="AE23" s="984"/>
      <c r="AF23" s="984"/>
      <c r="AG23" s="984"/>
      <c r="AH23" s="984"/>
      <c r="AI23" s="984"/>
      <c r="AJ23" s="984"/>
      <c r="AK23" s="984"/>
      <c r="AL23" s="984"/>
      <c r="AM23" s="984"/>
      <c r="AN23" s="984"/>
      <c r="AO23" s="984"/>
      <c r="AP23" s="984"/>
      <c r="AQ23" s="984"/>
      <c r="AR23" s="984"/>
      <c r="AS23" s="984"/>
      <c r="AT23" s="984"/>
      <c r="AU23" s="984"/>
      <c r="AV23" s="984"/>
      <c r="AW23" s="984"/>
      <c r="AX23" s="984"/>
      <c r="AY23" s="984"/>
      <c r="AZ23" s="984"/>
      <c r="BA23" s="984"/>
      <c r="BB23" s="984"/>
      <c r="BC23" s="984"/>
      <c r="BD23" s="984"/>
      <c r="BE23" s="984"/>
      <c r="BF23" s="984"/>
      <c r="BG23" s="984"/>
      <c r="BH23" s="984"/>
      <c r="BI23" s="984"/>
      <c r="BJ23" s="984"/>
      <c r="BK23" s="984"/>
      <c r="BL23" s="984"/>
      <c r="BM23" s="984"/>
      <c r="BN23" s="984"/>
      <c r="BO23" s="984"/>
      <c r="BP23" s="984"/>
      <c r="BQ23" s="984"/>
      <c r="BR23" s="984"/>
      <c r="BS23" s="984"/>
      <c r="BT23" s="984"/>
      <c r="BU23" s="984"/>
      <c r="BV23" s="984"/>
      <c r="BW23" s="984"/>
      <c r="BX23" s="984"/>
      <c r="BY23" s="984"/>
      <c r="BZ23" s="984"/>
      <c r="CA23" s="984"/>
      <c r="CB23" s="984"/>
      <c r="CC23" s="984"/>
      <c r="CD23" s="984"/>
      <c r="CE23" s="984"/>
      <c r="CF23" s="984"/>
      <c r="CG23" s="984"/>
      <c r="CH23" s="984"/>
      <c r="CI23" s="984"/>
      <c r="CJ23" s="984"/>
      <c r="CK23" s="984"/>
      <c r="CL23" s="984"/>
      <c r="CM23" s="984"/>
      <c r="CN23" s="984"/>
      <c r="CO23" s="984"/>
      <c r="CP23" s="984"/>
      <c r="CQ23" s="984"/>
      <c r="CR23" s="984"/>
      <c r="CS23" s="984"/>
      <c r="CT23" s="984"/>
      <c r="CU23" s="984"/>
      <c r="CV23" s="984"/>
      <c r="CW23" s="984"/>
      <c r="CX23" s="984"/>
      <c r="CY23" s="984"/>
      <c r="CZ23" s="984"/>
      <c r="DA23" s="984"/>
      <c r="DB23" s="984"/>
      <c r="DC23" s="984"/>
      <c r="DD23" s="984"/>
      <c r="DE23" s="984"/>
      <c r="DF23" s="984"/>
      <c r="DG23" s="984"/>
      <c r="DH23" s="984"/>
      <c r="DI23" s="984"/>
      <c r="DJ23" s="984"/>
      <c r="DK23" s="984"/>
      <c r="DL23" s="984"/>
      <c r="DM23" s="984"/>
      <c r="DN23" s="984"/>
      <c r="DO23" s="984"/>
      <c r="DP23" s="984"/>
      <c r="DQ23" s="984"/>
      <c r="DR23" s="984"/>
      <c r="DS23" s="984"/>
      <c r="DT23" s="984"/>
      <c r="DU23" s="984"/>
      <c r="DV23" s="984"/>
      <c r="DW23" s="984"/>
      <c r="DX23" s="984"/>
      <c r="DY23" s="984"/>
      <c r="DZ23" s="984"/>
      <c r="EA23" s="984"/>
      <c r="EB23" s="984"/>
      <c r="EC23" s="984"/>
      <c r="ED23" s="984"/>
      <c r="EE23" s="984"/>
      <c r="EF23" s="984"/>
      <c r="EG23" s="984"/>
      <c r="EH23" s="984"/>
      <c r="EI23" s="984"/>
      <c r="EJ23" s="984"/>
      <c r="EK23" s="984"/>
      <c r="EL23" s="984"/>
      <c r="EM23" s="984"/>
      <c r="EN23" s="984"/>
      <c r="EO23" s="984"/>
      <c r="EP23" s="984"/>
      <c r="EQ23" s="984"/>
      <c r="ER23" s="984"/>
      <c r="ES23" s="984"/>
      <c r="ET23" s="984"/>
      <c r="EU23" s="984"/>
      <c r="EV23" s="984"/>
      <c r="EW23" s="984"/>
      <c r="EX23" s="984"/>
      <c r="EY23" s="984"/>
      <c r="EZ23" s="984"/>
      <c r="FA23" s="984"/>
      <c r="FB23" s="984"/>
      <c r="FC23" s="984"/>
      <c r="FD23" s="984"/>
      <c r="FE23" s="984"/>
      <c r="FF23" s="984"/>
      <c r="FG23" s="984"/>
      <c r="FH23" s="984"/>
      <c r="FI23" s="984"/>
      <c r="FJ23" s="984"/>
      <c r="FK23" s="984"/>
      <c r="FL23" s="984"/>
      <c r="FM23" s="984"/>
      <c r="FN23" s="984"/>
      <c r="FO23" s="984"/>
      <c r="FP23" s="984"/>
      <c r="FQ23" s="984"/>
      <c r="FR23" s="984"/>
      <c r="FS23" s="984"/>
      <c r="FT23" s="984"/>
      <c r="FU23" s="984"/>
      <c r="FV23" s="984"/>
      <c r="FW23" s="984"/>
      <c r="FX23" s="984"/>
      <c r="FY23" s="984"/>
      <c r="FZ23" s="984"/>
      <c r="GA23" s="984"/>
      <c r="GB23" s="984"/>
      <c r="GC23" s="984"/>
      <c r="GD23" s="984"/>
      <c r="GE23" s="984"/>
      <c r="GF23" s="984"/>
      <c r="GG23" s="984"/>
      <c r="GH23" s="984"/>
      <c r="GI23" s="984"/>
      <c r="GJ23" s="984"/>
      <c r="GK23" s="984"/>
      <c r="GL23" s="984"/>
      <c r="GM23" s="984"/>
      <c r="GN23" s="984"/>
      <c r="GO23" s="984"/>
      <c r="GP23" s="984"/>
      <c r="GQ23" s="984"/>
      <c r="GR23" s="984"/>
      <c r="GS23" s="984"/>
      <c r="GT23" s="984"/>
      <c r="GU23" s="984"/>
      <c r="GV23" s="984"/>
      <c r="GW23" s="984"/>
      <c r="GX23" s="984"/>
      <c r="GY23" s="984"/>
      <c r="GZ23" s="984"/>
      <c r="HA23" s="984"/>
      <c r="HB23" s="984"/>
      <c r="HC23" s="984"/>
      <c r="HD23" s="984"/>
      <c r="HE23" s="984"/>
      <c r="HF23" s="984"/>
      <c r="HG23" s="984"/>
      <c r="HH23" s="984"/>
      <c r="HI23" s="984"/>
      <c r="HJ23" s="984"/>
      <c r="HK23" s="984"/>
      <c r="HL23" s="984"/>
      <c r="HM23" s="984"/>
      <c r="HN23" s="984"/>
      <c r="HO23" s="984"/>
      <c r="HP23" s="984"/>
      <c r="HQ23" s="984"/>
      <c r="HR23" s="984"/>
      <c r="HS23" s="984"/>
      <c r="HT23" s="984"/>
      <c r="HU23" s="984"/>
      <c r="HV23" s="984"/>
      <c r="HW23" s="984"/>
      <c r="HX23" s="984"/>
      <c r="HY23" s="984"/>
      <c r="HZ23" s="984"/>
      <c r="IA23" s="984"/>
      <c r="IB23" s="984"/>
      <c r="IC23" s="984"/>
      <c r="ID23" s="984"/>
      <c r="IE23" s="984"/>
    </row>
    <row r="24" spans="1:239" s="3" customFormat="1" ht="24.75" customHeight="1" thickBot="1" x14ac:dyDescent="0.3">
      <c r="A24" s="2394" t="s">
        <v>115</v>
      </c>
      <c r="B24" s="2395"/>
      <c r="C24" s="2395"/>
      <c r="D24" s="2395"/>
      <c r="E24" s="2395"/>
      <c r="F24" s="2395"/>
      <c r="G24" s="2395"/>
      <c r="H24" s="2395"/>
      <c r="I24" s="2395"/>
      <c r="J24" s="2395"/>
      <c r="K24" s="2396"/>
      <c r="L24" s="994"/>
      <c r="M24" s="999"/>
      <c r="N24" s="999"/>
      <c r="O24" s="999"/>
      <c r="P24" s="999"/>
      <c r="Q24" s="999"/>
      <c r="R24" s="999"/>
      <c r="S24" s="999"/>
      <c r="T24" s="999"/>
      <c r="U24" s="999"/>
      <c r="V24" s="999"/>
      <c r="W24" s="999"/>
      <c r="X24" s="999"/>
      <c r="Y24" s="999"/>
      <c r="Z24" s="999"/>
      <c r="AA24" s="999"/>
      <c r="AB24" s="999"/>
      <c r="AC24" s="999"/>
      <c r="AD24" s="69"/>
      <c r="AE24" s="69"/>
      <c r="AF24" s="69"/>
      <c r="AG24" s="69"/>
      <c r="AH24" s="69"/>
      <c r="AI24" s="69"/>
      <c r="AJ24" s="69"/>
      <c r="AK24" s="69"/>
      <c r="AL24" s="69"/>
      <c r="AM24" s="69"/>
      <c r="AN24" s="69"/>
      <c r="AO24" s="69"/>
      <c r="AP24" s="69"/>
      <c r="AQ24" s="69"/>
      <c r="AR24" s="69"/>
      <c r="AS24" s="69"/>
      <c r="AT24" s="69"/>
      <c r="AU24" s="69"/>
      <c r="AV24" s="69"/>
      <c r="AW24" s="69"/>
      <c r="AX24" s="69"/>
      <c r="AY24" s="69"/>
      <c r="AZ24" s="69"/>
      <c r="BA24" s="69"/>
      <c r="BB24" s="69"/>
      <c r="BC24" s="69"/>
      <c r="BD24" s="69"/>
      <c r="BE24" s="69"/>
      <c r="BF24" s="69"/>
      <c r="BG24" s="69"/>
      <c r="BH24" s="69"/>
      <c r="BI24" s="69"/>
      <c r="BJ24" s="69"/>
      <c r="BK24" s="69"/>
      <c r="BL24" s="69"/>
      <c r="BM24" s="69"/>
      <c r="BN24" s="69"/>
      <c r="BO24" s="69"/>
      <c r="BP24" s="69"/>
      <c r="BQ24" s="69"/>
      <c r="BR24" s="69"/>
      <c r="BS24" s="69"/>
      <c r="BT24" s="69"/>
      <c r="BU24" s="69"/>
      <c r="BV24" s="69"/>
      <c r="BW24" s="69"/>
      <c r="BX24" s="69"/>
      <c r="BY24" s="69"/>
      <c r="BZ24" s="69"/>
      <c r="CA24" s="69"/>
      <c r="CB24" s="69"/>
      <c r="CC24" s="69"/>
      <c r="CD24" s="69"/>
      <c r="CE24" s="69"/>
      <c r="CF24" s="69"/>
      <c r="CG24" s="69"/>
      <c r="CH24" s="69"/>
      <c r="CI24" s="69"/>
      <c r="CJ24" s="69"/>
      <c r="CK24" s="69"/>
      <c r="CL24" s="69"/>
      <c r="CM24" s="69"/>
      <c r="CN24" s="69"/>
      <c r="CO24" s="69"/>
      <c r="CP24" s="69"/>
      <c r="CQ24" s="69"/>
      <c r="CR24" s="69"/>
      <c r="CS24" s="69"/>
      <c r="CT24" s="69"/>
      <c r="CU24" s="69"/>
      <c r="CV24" s="69"/>
      <c r="CW24" s="69"/>
      <c r="CX24" s="69"/>
      <c r="CY24" s="69"/>
      <c r="CZ24" s="69"/>
      <c r="DA24" s="69"/>
      <c r="DB24" s="69"/>
      <c r="DC24" s="69"/>
      <c r="DD24" s="69"/>
      <c r="DE24" s="69"/>
      <c r="DF24" s="69"/>
      <c r="DG24" s="69"/>
      <c r="DH24" s="69"/>
      <c r="DI24" s="69"/>
      <c r="DJ24" s="69"/>
      <c r="DK24" s="69"/>
      <c r="DL24" s="69"/>
      <c r="DM24" s="69"/>
      <c r="DN24" s="69"/>
      <c r="DO24" s="69"/>
      <c r="DP24" s="69"/>
      <c r="DQ24" s="69"/>
      <c r="DR24" s="69"/>
      <c r="DS24" s="69"/>
      <c r="DT24" s="69"/>
      <c r="DU24" s="69"/>
      <c r="DV24" s="69"/>
      <c r="DW24" s="69"/>
      <c r="DX24" s="69"/>
      <c r="DY24" s="69"/>
      <c r="DZ24" s="69"/>
      <c r="EA24" s="69"/>
      <c r="EB24" s="69"/>
      <c r="EC24" s="69"/>
      <c r="ED24" s="69"/>
      <c r="EE24" s="69"/>
      <c r="EF24" s="69"/>
      <c r="EG24" s="69"/>
      <c r="EH24" s="69"/>
      <c r="EI24" s="69"/>
      <c r="EJ24" s="69"/>
      <c r="EK24" s="69"/>
      <c r="EL24" s="69"/>
      <c r="EM24" s="69"/>
      <c r="EN24" s="69"/>
      <c r="EO24" s="69"/>
      <c r="EP24" s="69"/>
      <c r="EQ24" s="69"/>
      <c r="ER24" s="69"/>
      <c r="ES24" s="69"/>
      <c r="ET24" s="69"/>
      <c r="EU24" s="69"/>
      <c r="EV24" s="69"/>
      <c r="EW24" s="69"/>
      <c r="EX24" s="69"/>
      <c r="EY24" s="69"/>
      <c r="EZ24" s="69"/>
      <c r="FA24" s="69"/>
      <c r="FB24" s="69"/>
      <c r="FC24" s="69"/>
      <c r="FD24" s="69"/>
      <c r="FE24" s="69"/>
      <c r="FF24" s="69"/>
      <c r="FG24" s="69"/>
      <c r="FH24" s="69"/>
      <c r="FI24" s="69"/>
      <c r="FJ24" s="69"/>
      <c r="FK24" s="69"/>
      <c r="FL24" s="69"/>
      <c r="FM24" s="69"/>
      <c r="FN24" s="69"/>
      <c r="FO24" s="69"/>
      <c r="FP24" s="69"/>
      <c r="FQ24" s="69"/>
      <c r="FR24" s="69"/>
      <c r="FS24" s="69"/>
      <c r="FT24" s="69"/>
      <c r="FU24" s="69"/>
      <c r="FV24" s="69"/>
      <c r="FW24" s="69"/>
      <c r="FX24" s="69"/>
      <c r="FY24" s="69"/>
      <c r="FZ24" s="69"/>
      <c r="GA24" s="69"/>
      <c r="GB24" s="69"/>
      <c r="GC24" s="69"/>
      <c r="GD24" s="69"/>
      <c r="GE24" s="69"/>
      <c r="GF24" s="69"/>
      <c r="GG24" s="69"/>
      <c r="GH24" s="69"/>
      <c r="GI24" s="69"/>
      <c r="GJ24" s="69"/>
      <c r="GK24" s="69"/>
      <c r="GL24" s="69"/>
      <c r="GM24" s="69"/>
      <c r="GN24" s="69"/>
      <c r="GO24" s="69"/>
      <c r="GP24" s="69"/>
      <c r="GQ24" s="69"/>
      <c r="GR24" s="69"/>
      <c r="GS24" s="69"/>
      <c r="GT24" s="69"/>
      <c r="GU24" s="69"/>
      <c r="GV24" s="69"/>
      <c r="GW24" s="69"/>
      <c r="GX24" s="69"/>
      <c r="GY24" s="69"/>
      <c r="GZ24" s="69"/>
      <c r="HA24" s="69"/>
      <c r="HB24" s="69"/>
      <c r="HC24" s="69"/>
      <c r="HD24" s="69"/>
      <c r="HE24" s="69"/>
      <c r="HF24" s="69"/>
      <c r="HG24" s="69"/>
      <c r="HH24" s="69"/>
      <c r="HI24" s="69"/>
      <c r="HJ24" s="69"/>
      <c r="HK24" s="69"/>
      <c r="HL24" s="69"/>
      <c r="HM24" s="69"/>
      <c r="HN24" s="69"/>
      <c r="HO24" s="69"/>
      <c r="HP24" s="69"/>
      <c r="HQ24" s="69"/>
      <c r="HR24" s="69"/>
      <c r="HS24" s="69"/>
      <c r="HT24" s="69"/>
      <c r="HU24" s="69"/>
      <c r="HV24" s="69"/>
      <c r="HW24" s="69"/>
      <c r="HX24" s="69"/>
      <c r="HY24" s="69"/>
      <c r="HZ24" s="69"/>
      <c r="IA24" s="69"/>
      <c r="IB24" s="69"/>
      <c r="IC24" s="69"/>
      <c r="ID24" s="69"/>
      <c r="IE24" s="69"/>
    </row>
    <row r="25" spans="1:239" s="3" customFormat="1" ht="53.25" customHeight="1" thickBot="1" x14ac:dyDescent="0.25">
      <c r="A25" s="2391" t="s">
        <v>737</v>
      </c>
      <c r="B25" s="2392"/>
      <c r="C25" s="2392"/>
      <c r="D25" s="2392"/>
      <c r="E25" s="2392"/>
      <c r="F25" s="2392"/>
      <c r="G25" s="2392"/>
      <c r="H25" s="2392"/>
      <c r="I25" s="2392"/>
      <c r="J25" s="2392"/>
      <c r="K25" s="2393"/>
      <c r="L25" s="994"/>
      <c r="M25" s="999"/>
      <c r="N25" s="999"/>
      <c r="O25" s="999"/>
      <c r="P25" s="999"/>
      <c r="Q25" s="999"/>
      <c r="R25" s="999"/>
      <c r="S25" s="999"/>
      <c r="T25" s="999"/>
      <c r="U25" s="999"/>
      <c r="V25" s="999"/>
      <c r="W25" s="999"/>
      <c r="X25" s="999"/>
      <c r="Y25" s="999"/>
      <c r="Z25" s="999"/>
      <c r="AA25" s="999"/>
      <c r="AB25" s="999"/>
      <c r="AC25" s="999"/>
      <c r="AD25" s="69"/>
      <c r="AE25" s="69"/>
      <c r="AF25" s="69"/>
      <c r="AG25" s="69"/>
      <c r="AH25" s="69"/>
      <c r="AI25" s="69"/>
      <c r="AJ25" s="69"/>
      <c r="AK25" s="69"/>
      <c r="AL25" s="69"/>
      <c r="AM25" s="69"/>
      <c r="AN25" s="69"/>
      <c r="AO25" s="69"/>
      <c r="AP25" s="69"/>
      <c r="AQ25" s="69"/>
      <c r="AR25" s="69"/>
      <c r="AS25" s="69"/>
      <c r="AT25" s="69"/>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c r="BW25" s="69"/>
      <c r="BX25" s="69"/>
      <c r="BY25" s="69"/>
      <c r="BZ25" s="69"/>
      <c r="CA25" s="69"/>
      <c r="CB25" s="69"/>
      <c r="CC25" s="69"/>
      <c r="CD25" s="69"/>
      <c r="CE25" s="69"/>
      <c r="CF25" s="69"/>
      <c r="CG25" s="69"/>
      <c r="CH25" s="69"/>
      <c r="CI25" s="69"/>
      <c r="CJ25" s="69"/>
      <c r="CK25" s="69"/>
      <c r="CL25" s="69"/>
      <c r="CM25" s="69"/>
      <c r="CN25" s="69"/>
      <c r="CO25" s="69"/>
      <c r="CP25" s="69"/>
      <c r="CQ25" s="69"/>
      <c r="CR25" s="69"/>
      <c r="CS25" s="69"/>
      <c r="CT25" s="69"/>
      <c r="CU25" s="69"/>
      <c r="CV25" s="69"/>
      <c r="CW25" s="69"/>
      <c r="CX25" s="69"/>
      <c r="CY25" s="69"/>
      <c r="CZ25" s="69"/>
      <c r="DA25" s="69"/>
      <c r="DB25" s="69"/>
      <c r="DC25" s="69"/>
      <c r="DD25" s="69"/>
      <c r="DE25" s="69"/>
      <c r="DF25" s="69"/>
      <c r="DG25" s="69"/>
      <c r="DH25" s="69"/>
      <c r="DI25" s="69"/>
      <c r="DJ25" s="69"/>
      <c r="DK25" s="69"/>
      <c r="DL25" s="69"/>
      <c r="DM25" s="69"/>
      <c r="DN25" s="69"/>
      <c r="DO25" s="69"/>
      <c r="DP25" s="69"/>
      <c r="DQ25" s="69"/>
      <c r="DR25" s="69"/>
      <c r="DS25" s="69"/>
      <c r="DT25" s="69"/>
      <c r="DU25" s="69"/>
      <c r="DV25" s="69"/>
      <c r="DW25" s="69"/>
      <c r="DX25" s="69"/>
      <c r="DY25" s="69"/>
      <c r="DZ25" s="69"/>
      <c r="EA25" s="69"/>
      <c r="EB25" s="69"/>
      <c r="EC25" s="69"/>
      <c r="ED25" s="69"/>
      <c r="EE25" s="69"/>
      <c r="EF25" s="69"/>
      <c r="EG25" s="69"/>
      <c r="EH25" s="69"/>
      <c r="EI25" s="69"/>
      <c r="EJ25" s="69"/>
      <c r="EK25" s="69"/>
      <c r="EL25" s="69"/>
      <c r="EM25" s="69"/>
      <c r="EN25" s="69"/>
      <c r="EO25" s="69"/>
      <c r="EP25" s="69"/>
      <c r="EQ25" s="69"/>
      <c r="ER25" s="69"/>
      <c r="ES25" s="69"/>
      <c r="ET25" s="69"/>
      <c r="EU25" s="69"/>
      <c r="EV25" s="69"/>
      <c r="EW25" s="69"/>
      <c r="EX25" s="69"/>
      <c r="EY25" s="69"/>
      <c r="EZ25" s="69"/>
      <c r="FA25" s="69"/>
      <c r="FB25" s="69"/>
      <c r="FC25" s="69"/>
      <c r="FD25" s="69"/>
      <c r="FE25" s="69"/>
      <c r="FF25" s="69"/>
      <c r="FG25" s="69"/>
      <c r="FH25" s="69"/>
      <c r="FI25" s="69"/>
      <c r="FJ25" s="69"/>
      <c r="FK25" s="69"/>
      <c r="FL25" s="69"/>
      <c r="FM25" s="69"/>
      <c r="FN25" s="69"/>
      <c r="FO25" s="69"/>
      <c r="FP25" s="69"/>
      <c r="FQ25" s="69"/>
      <c r="FR25" s="69"/>
      <c r="FS25" s="69"/>
      <c r="FT25" s="69"/>
      <c r="FU25" s="69"/>
      <c r="FV25" s="69"/>
      <c r="FW25" s="69"/>
      <c r="FX25" s="69"/>
      <c r="FY25" s="69"/>
      <c r="FZ25" s="69"/>
      <c r="GA25" s="69"/>
      <c r="GB25" s="69"/>
      <c r="GC25" s="69"/>
      <c r="GD25" s="69"/>
      <c r="GE25" s="69"/>
      <c r="GF25" s="69"/>
      <c r="GG25" s="69"/>
      <c r="GH25" s="69"/>
      <c r="GI25" s="69"/>
      <c r="GJ25" s="69"/>
      <c r="GK25" s="69"/>
      <c r="GL25" s="69"/>
      <c r="GM25" s="69"/>
      <c r="GN25" s="69"/>
      <c r="GO25" s="69"/>
      <c r="GP25" s="69"/>
      <c r="GQ25" s="69"/>
      <c r="GR25" s="69"/>
      <c r="GS25" s="69"/>
      <c r="GT25" s="69"/>
      <c r="GU25" s="69"/>
      <c r="GV25" s="69"/>
      <c r="GW25" s="69"/>
      <c r="GX25" s="69"/>
      <c r="GY25" s="69"/>
      <c r="GZ25" s="69"/>
      <c r="HA25" s="69"/>
      <c r="HB25" s="69"/>
      <c r="HC25" s="69"/>
      <c r="HD25" s="69"/>
      <c r="HE25" s="69"/>
      <c r="HF25" s="69"/>
      <c r="HG25" s="69"/>
      <c r="HH25" s="69"/>
      <c r="HI25" s="69"/>
      <c r="HJ25" s="69"/>
      <c r="HK25" s="69"/>
      <c r="HL25" s="69"/>
      <c r="HM25" s="69"/>
      <c r="HN25" s="69"/>
      <c r="HO25" s="69"/>
      <c r="HP25" s="69"/>
      <c r="HQ25" s="69"/>
      <c r="HR25" s="69"/>
      <c r="HS25" s="69"/>
      <c r="HT25" s="69"/>
      <c r="HU25" s="69"/>
      <c r="HV25" s="69"/>
      <c r="HW25" s="69"/>
      <c r="HX25" s="69"/>
      <c r="HY25" s="69"/>
      <c r="HZ25" s="69"/>
      <c r="IA25" s="69"/>
      <c r="IB25" s="69"/>
      <c r="IC25" s="69"/>
      <c r="ID25" s="69"/>
      <c r="IE25" s="69"/>
    </row>
    <row r="26" spans="1:239" s="997" customFormat="1" ht="13.5" customHeight="1" x14ac:dyDescent="0.2">
      <c r="A26" s="1002"/>
      <c r="B26" s="1003"/>
      <c r="C26" s="996"/>
      <c r="D26" s="996"/>
      <c r="E26" s="996"/>
      <c r="F26" s="996"/>
      <c r="G26" s="996"/>
      <c r="H26" s="996"/>
      <c r="I26" s="996"/>
      <c r="J26" s="996"/>
      <c r="K26" s="996"/>
      <c r="L26" s="996"/>
      <c r="M26" s="999"/>
      <c r="N26" s="999"/>
      <c r="O26" s="999"/>
      <c r="P26" s="999"/>
      <c r="Q26" s="999"/>
      <c r="R26" s="999"/>
      <c r="S26" s="999"/>
      <c r="T26" s="999"/>
      <c r="U26" s="999"/>
      <c r="V26" s="999"/>
      <c r="W26" s="999"/>
      <c r="X26" s="999"/>
      <c r="Y26" s="999"/>
      <c r="Z26" s="999"/>
      <c r="AA26" s="999"/>
      <c r="AB26" s="999"/>
      <c r="AC26" s="999"/>
    </row>
    <row r="27" spans="1:239" s="999" customFormat="1" ht="14.25" x14ac:dyDescent="0.2">
      <c r="L27" s="998"/>
    </row>
    <row r="28" spans="1:239" s="999" customFormat="1" ht="14.25" x14ac:dyDescent="0.2">
      <c r="L28" s="998"/>
    </row>
    <row r="29" spans="1:239" s="999" customFormat="1" ht="14.25" x14ac:dyDescent="0.2">
      <c r="L29" s="998"/>
    </row>
    <row r="30" spans="1:239" s="999" customFormat="1" ht="14.25" x14ac:dyDescent="0.2">
      <c r="L30" s="998"/>
    </row>
    <row r="31" spans="1:239" s="999" customFormat="1" ht="14.25" x14ac:dyDescent="0.2">
      <c r="L31" s="998"/>
    </row>
    <row r="32" spans="1:239" s="999" customFormat="1" ht="14.25" x14ac:dyDescent="0.2">
      <c r="L32" s="998"/>
    </row>
    <row r="33" spans="12:12" s="999" customFormat="1" ht="14.25" x14ac:dyDescent="0.2">
      <c r="L33" s="998"/>
    </row>
    <row r="34" spans="12:12" s="999" customFormat="1" ht="14.25" x14ac:dyDescent="0.2">
      <c r="L34" s="998"/>
    </row>
    <row r="35" spans="12:12" s="999" customFormat="1" ht="14.25" x14ac:dyDescent="0.2">
      <c r="L35" s="998"/>
    </row>
    <row r="36" spans="12:12" s="999" customFormat="1" ht="14.25" x14ac:dyDescent="0.2">
      <c r="L36" s="998"/>
    </row>
    <row r="37" spans="12:12" s="999" customFormat="1" ht="14.25" x14ac:dyDescent="0.2">
      <c r="L37" s="998"/>
    </row>
    <row r="38" spans="12:12" s="999" customFormat="1" ht="14.25" x14ac:dyDescent="0.2">
      <c r="L38" s="998"/>
    </row>
    <row r="39" spans="12:12" s="999" customFormat="1" ht="14.25" x14ac:dyDescent="0.2">
      <c r="L39" s="998"/>
    </row>
    <row r="40" spans="12:12" s="999" customFormat="1" ht="14.25" x14ac:dyDescent="0.2">
      <c r="L40" s="998"/>
    </row>
    <row r="41" spans="12:12" s="999" customFormat="1" ht="14.25" x14ac:dyDescent="0.2">
      <c r="L41" s="998"/>
    </row>
    <row r="42" spans="12:12" s="999" customFormat="1" ht="14.25" x14ac:dyDescent="0.2">
      <c r="L42" s="998"/>
    </row>
    <row r="43" spans="12:12" s="999" customFormat="1" ht="14.25" x14ac:dyDescent="0.2">
      <c r="L43" s="998"/>
    </row>
    <row r="44" spans="12:12" s="999" customFormat="1" ht="14.25" x14ac:dyDescent="0.2">
      <c r="L44" s="998"/>
    </row>
    <row r="45" spans="12:12" s="999" customFormat="1" ht="14.25" x14ac:dyDescent="0.2">
      <c r="L45" s="998"/>
    </row>
    <row r="46" spans="12:12" s="999" customFormat="1" ht="14.25" x14ac:dyDescent="0.2">
      <c r="L46" s="998"/>
    </row>
    <row r="47" spans="12:12" s="999" customFormat="1" ht="14.25" x14ac:dyDescent="0.2">
      <c r="L47" s="998"/>
    </row>
    <row r="48" spans="12:12" s="999" customFormat="1" ht="14.25" x14ac:dyDescent="0.2">
      <c r="L48" s="998"/>
    </row>
    <row r="49" spans="12:12" s="999" customFormat="1" ht="14.25" x14ac:dyDescent="0.2">
      <c r="L49" s="998"/>
    </row>
    <row r="50" spans="12:12" s="999" customFormat="1" ht="14.25" x14ac:dyDescent="0.2">
      <c r="L50" s="998"/>
    </row>
    <row r="51" spans="12:12" s="999" customFormat="1" ht="14.25" x14ac:dyDescent="0.2">
      <c r="L51" s="998"/>
    </row>
    <row r="52" spans="12:12" s="999" customFormat="1" ht="14.25" x14ac:dyDescent="0.2">
      <c r="L52" s="998"/>
    </row>
    <row r="53" spans="12:12" s="999" customFormat="1" ht="14.25" x14ac:dyDescent="0.2">
      <c r="L53" s="998"/>
    </row>
    <row r="54" spans="12:12" s="999" customFormat="1" ht="14.25" x14ac:dyDescent="0.2">
      <c r="L54" s="998"/>
    </row>
    <row r="55" spans="12:12" s="999" customFormat="1" ht="14.25" x14ac:dyDescent="0.2">
      <c r="L55" s="998"/>
    </row>
    <row r="56" spans="12:12" s="999" customFormat="1" ht="14.25" x14ac:dyDescent="0.2">
      <c r="L56" s="998"/>
    </row>
    <row r="57" spans="12:12" s="999" customFormat="1" ht="14.25" x14ac:dyDescent="0.2">
      <c r="L57" s="998"/>
    </row>
    <row r="58" spans="12:12" s="999" customFormat="1" ht="14.25" x14ac:dyDescent="0.2">
      <c r="L58" s="998"/>
    </row>
    <row r="59" spans="12:12" s="999" customFormat="1" ht="14.25" x14ac:dyDescent="0.2">
      <c r="L59" s="998"/>
    </row>
    <row r="60" spans="12:12" s="999" customFormat="1" ht="14.25" x14ac:dyDescent="0.2">
      <c r="L60" s="998"/>
    </row>
    <row r="61" spans="12:12" s="999" customFormat="1" ht="14.25" x14ac:dyDescent="0.2">
      <c r="L61" s="998"/>
    </row>
    <row r="62" spans="12:12" s="999" customFormat="1" ht="14.25" x14ac:dyDescent="0.2">
      <c r="L62" s="998"/>
    </row>
    <row r="63" spans="12:12" s="999" customFormat="1" ht="14.25" x14ac:dyDescent="0.2">
      <c r="L63" s="998"/>
    </row>
    <row r="64" spans="12:12" s="999" customFormat="1" ht="14.25" x14ac:dyDescent="0.2">
      <c r="L64" s="998"/>
    </row>
    <row r="65" spans="12:29" s="999" customFormat="1" ht="14.25" x14ac:dyDescent="0.2">
      <c r="L65" s="998"/>
    </row>
    <row r="66" spans="12:29" s="999" customFormat="1" ht="14.25" x14ac:dyDescent="0.2">
      <c r="L66" s="998"/>
    </row>
    <row r="67" spans="12:29" s="999" customFormat="1" ht="14.25" x14ac:dyDescent="0.2">
      <c r="L67" s="998"/>
    </row>
    <row r="68" spans="12:29" s="999" customFormat="1" ht="14.25" x14ac:dyDescent="0.2">
      <c r="L68" s="998"/>
    </row>
    <row r="69" spans="12:29" s="999" customFormat="1" ht="14.25" x14ac:dyDescent="0.2">
      <c r="L69" s="998"/>
    </row>
    <row r="70" spans="12:29" s="999" customFormat="1" ht="14.25" x14ac:dyDescent="0.2">
      <c r="L70" s="998"/>
    </row>
    <row r="71" spans="12:29" s="999" customFormat="1" ht="14.25" x14ac:dyDescent="0.2">
      <c r="L71" s="998"/>
    </row>
    <row r="72" spans="12:29" s="999" customFormat="1" ht="14.25" x14ac:dyDescent="0.2">
      <c r="L72" s="998"/>
      <c r="M72" s="1001"/>
      <c r="N72" s="1001"/>
      <c r="O72" s="1001"/>
      <c r="P72" s="1001"/>
      <c r="Q72" s="1001"/>
      <c r="R72" s="1001"/>
      <c r="S72" s="1001"/>
      <c r="T72" s="1001"/>
      <c r="U72" s="1001"/>
      <c r="V72" s="1001"/>
      <c r="W72" s="1001"/>
      <c r="X72" s="1001"/>
      <c r="Y72" s="1001"/>
      <c r="Z72" s="1001"/>
      <c r="AA72" s="1001"/>
      <c r="AB72" s="1001"/>
      <c r="AC72" s="1001"/>
    </row>
    <row r="73" spans="12:29" s="999" customFormat="1" ht="14.25" x14ac:dyDescent="0.2">
      <c r="L73" s="998"/>
      <c r="M73" s="1001"/>
      <c r="N73" s="1001"/>
      <c r="O73" s="1001"/>
      <c r="P73" s="1001"/>
      <c r="Q73" s="1001"/>
      <c r="R73" s="1001"/>
      <c r="S73" s="1001"/>
      <c r="T73" s="1001"/>
      <c r="U73" s="1001"/>
      <c r="V73" s="1001"/>
      <c r="W73" s="1001"/>
      <c r="X73" s="1001"/>
      <c r="Y73" s="1001"/>
      <c r="Z73" s="1001"/>
      <c r="AA73" s="1001"/>
      <c r="AB73" s="1001"/>
      <c r="AC73" s="1001"/>
    </row>
    <row r="74" spans="12:29" s="999" customFormat="1" ht="14.25" x14ac:dyDescent="0.2">
      <c r="L74" s="998"/>
      <c r="M74" s="1001"/>
      <c r="N74" s="1001"/>
      <c r="O74" s="1001"/>
      <c r="P74" s="1001"/>
      <c r="Q74" s="1001"/>
      <c r="R74" s="1001"/>
      <c r="S74" s="1001"/>
      <c r="T74" s="1001"/>
      <c r="U74" s="1001"/>
      <c r="V74" s="1001"/>
      <c r="W74" s="1001"/>
      <c r="X74" s="1001"/>
      <c r="Y74" s="1001"/>
      <c r="Z74" s="1001"/>
      <c r="AA74" s="1001"/>
      <c r="AB74" s="1001"/>
      <c r="AC74" s="1001"/>
    </row>
    <row r="75" spans="12:29" s="999" customFormat="1" ht="14.25" x14ac:dyDescent="0.2">
      <c r="L75" s="998"/>
      <c r="M75" s="1001"/>
      <c r="N75" s="1001"/>
      <c r="O75" s="1001"/>
      <c r="P75" s="1001"/>
      <c r="Q75" s="1001"/>
      <c r="R75" s="1001"/>
      <c r="S75" s="1001"/>
      <c r="T75" s="1001"/>
      <c r="U75" s="1001"/>
      <c r="V75" s="1001"/>
      <c r="W75" s="1001"/>
      <c r="X75" s="1001"/>
      <c r="Y75" s="1001"/>
      <c r="Z75" s="1001"/>
      <c r="AA75" s="1001"/>
      <c r="AB75" s="1001"/>
      <c r="AC75" s="1001"/>
    </row>
    <row r="76" spans="12:29" s="999" customFormat="1" ht="14.25" x14ac:dyDescent="0.2">
      <c r="L76" s="998"/>
      <c r="M76" s="1001"/>
      <c r="N76" s="1001"/>
      <c r="O76" s="1001"/>
      <c r="P76" s="1001"/>
      <c r="Q76" s="1001"/>
      <c r="R76" s="1001"/>
      <c r="S76" s="1001"/>
      <c r="T76" s="1001"/>
      <c r="U76" s="1001"/>
      <c r="V76" s="1001"/>
      <c r="W76" s="1001"/>
      <c r="X76" s="1001"/>
      <c r="Y76" s="1001"/>
      <c r="Z76" s="1001"/>
      <c r="AA76" s="1001"/>
      <c r="AB76" s="1001"/>
      <c r="AC76" s="1001"/>
    </row>
  </sheetData>
  <sheetProtection password="92D1" sheet="1" formatCells="0" formatColumns="0" formatRows="0"/>
  <customSheetViews>
    <customSheetView guid="{E26F941C-F347-432D-B4B3-73B25F002075}" scale="70" fitToPage="1" hiddenColumns="1" topLeftCell="C1">
      <selection activeCell="G10" sqref="G10:H10"/>
      <pageMargins left="0.39" right="0.31" top="0.77" bottom="0.98425196850393704" header="0.51181102362204722" footer="0.51181102362204722"/>
      <printOptions horizontalCentered="1"/>
      <pageSetup paperSize="9" scale="49" orientation="landscape" cellComments="asDisplayed" r:id="rId1"/>
      <headerFooter alignWithMargins="0">
        <oddFooter>&amp;L&amp;9SD 3.1A - Form, Ongoing DR/PU and LFA Review and Recommendation_v2.1 February 2006&amp;R&amp;9Page &amp;P of &amp;N</oddFooter>
      </headerFooter>
    </customSheetView>
  </customSheetViews>
  <mergeCells count="42">
    <mergeCell ref="N19:O19"/>
    <mergeCell ref="S19:T19"/>
    <mergeCell ref="N20:O20"/>
    <mergeCell ref="S20:T20"/>
    <mergeCell ref="N15:O15"/>
    <mergeCell ref="S15:T15"/>
    <mergeCell ref="N17:O17"/>
    <mergeCell ref="S17:T17"/>
    <mergeCell ref="N18:O18"/>
    <mergeCell ref="S18:T18"/>
    <mergeCell ref="N12:O12"/>
    <mergeCell ref="S12:T12"/>
    <mergeCell ref="N13:O13"/>
    <mergeCell ref="S13:T13"/>
    <mergeCell ref="N14:O14"/>
    <mergeCell ref="S14:T14"/>
    <mergeCell ref="F17:G17"/>
    <mergeCell ref="A17:B17"/>
    <mergeCell ref="A25:K25"/>
    <mergeCell ref="A24:K24"/>
    <mergeCell ref="A18:B18"/>
    <mergeCell ref="A20:B20"/>
    <mergeCell ref="A19:B19"/>
    <mergeCell ref="F18:G18"/>
    <mergeCell ref="F19:G19"/>
    <mergeCell ref="F20:G20"/>
    <mergeCell ref="A1:K1"/>
    <mergeCell ref="A3:B3"/>
    <mergeCell ref="D4:E4"/>
    <mergeCell ref="D5:E5"/>
    <mergeCell ref="C3:G3"/>
    <mergeCell ref="F13:G13"/>
    <mergeCell ref="C7:G7"/>
    <mergeCell ref="F14:G14"/>
    <mergeCell ref="C6:G6"/>
    <mergeCell ref="F15:G15"/>
    <mergeCell ref="F12:G12"/>
    <mergeCell ref="A10:K10"/>
    <mergeCell ref="A12:B12"/>
    <mergeCell ref="A13:B13"/>
    <mergeCell ref="A14:B14"/>
    <mergeCell ref="A15:B15"/>
  </mergeCells>
  <phoneticPr fontId="29" type="noConversion"/>
  <conditionalFormatting sqref="C26:L26 C23:D23 E21:E23 E12 L12:L23 G19:G23 H12 C21:D21 F12:G15 F16:F23 C16:E17 K17:K23 G16:J17 H21:J23">
    <cfRule type="cellIs" dxfId="26" priority="47" stopIfTrue="1" operator="lessThan">
      <formula>0</formula>
    </cfRule>
  </conditionalFormatting>
  <conditionalFormatting sqref="H26:L26 C26:E26 C23:D23 H12 E21:E23 F13:G17 C21:D21 E12 L12:L23 C16:E17 K17:K23 H16:J17 H21:J23">
    <cfRule type="cellIs" dxfId="25" priority="48" stopIfTrue="1" operator="lessThan">
      <formula>0</formula>
    </cfRule>
  </conditionalFormatting>
  <conditionalFormatting sqref="R12 T19:T20 U12 S12:T15 S16:S20 P16:R17 X17:X20 T16:W17">
    <cfRule type="cellIs" dxfId="24" priority="8" stopIfTrue="1" operator="lessThan">
      <formula>0</formula>
    </cfRule>
  </conditionalFormatting>
  <conditionalFormatting sqref="U12 S13:T17 R12 P16:R17 X17:X20 U16:W17">
    <cfRule type="cellIs" dxfId="23" priority="9" stopIfTrue="1" operator="lessThan">
      <formula>0</formula>
    </cfRule>
  </conditionalFormatting>
  <conditionalFormatting sqref="C13:E15 H13:J15 C18:E20 H18:J20">
    <cfRule type="cellIs" dxfId="22" priority="6" operator="notEqual">
      <formula>P13</formula>
    </cfRule>
  </conditionalFormatting>
  <conditionalFormatting sqref="F14:G15">
    <cfRule type="cellIs" dxfId="21" priority="5" stopIfTrue="1" operator="lessThan">
      <formula>0</formula>
    </cfRule>
  </conditionalFormatting>
  <conditionalFormatting sqref="F14:G15">
    <cfRule type="cellIs" dxfId="20" priority="4" stopIfTrue="1" operator="lessThan">
      <formula>0</formula>
    </cfRule>
  </conditionalFormatting>
  <conditionalFormatting sqref="F20:G20">
    <cfRule type="cellIs" dxfId="19" priority="3" stopIfTrue="1" operator="lessThan">
      <formula>0</formula>
    </cfRule>
  </conditionalFormatting>
  <conditionalFormatting sqref="K20">
    <cfRule type="cellIs" dxfId="18" priority="2" stopIfTrue="1" operator="lessThan">
      <formula>0</formula>
    </cfRule>
  </conditionalFormatting>
  <conditionalFormatting sqref="K20">
    <cfRule type="cellIs" dxfId="17" priority="1" stopIfTrue="1" operator="lessThan">
      <formula>0</formula>
    </cfRule>
  </conditionalFormatting>
  <printOptions horizontalCentered="1"/>
  <pageMargins left="0.74803149606299213" right="0.74803149606299213" top="0.39370078740157483" bottom="0.59055118110236227" header="0.51181102362204722" footer="0.51181102362204722"/>
  <pageSetup paperSize="9" scale="41" fitToHeight="0" orientation="landscape" cellComments="asDisplayed" r:id="rId2"/>
  <headerFooter alignWithMargins="0">
    <oddFooter>&amp;L&amp;9&amp;F&amp;C&amp;A&amp;R&amp;9Page &amp;P of &amp;N</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40"/>
    <pageSetUpPr fitToPage="1"/>
  </sheetPr>
  <dimension ref="A1:IT76"/>
  <sheetViews>
    <sheetView showGridLines="0" view="pageBreakPreview" topLeftCell="A13" zoomScale="70" zoomScaleNormal="75" zoomScaleSheetLayoutView="70" workbookViewId="0">
      <selection activeCell="A37" sqref="A37:J40"/>
    </sheetView>
  </sheetViews>
  <sheetFormatPr defaultColWidth="0" defaultRowHeight="12.75" x14ac:dyDescent="0.2"/>
  <cols>
    <col min="1" max="1" width="3.85546875" style="644" customWidth="1"/>
    <col min="2" max="2" width="14.7109375" style="644" customWidth="1"/>
    <col min="3" max="3" width="33.140625" style="644" customWidth="1"/>
    <col min="4" max="4" width="27.5703125" style="644" customWidth="1"/>
    <col min="5" max="5" width="20.85546875" style="644" customWidth="1"/>
    <col min="6" max="6" width="18.5703125" style="644" customWidth="1"/>
    <col min="7" max="7" width="30.140625" style="784" customWidth="1"/>
    <col min="8" max="8" width="19.140625" style="674" customWidth="1"/>
    <col min="9" max="9" width="7" style="674" customWidth="1"/>
    <col min="10" max="10" width="86.5703125" style="674" customWidth="1"/>
    <col min="11" max="11" width="6.5703125" style="674" customWidth="1"/>
    <col min="12" max="22" width="9.140625" style="674" customWidth="1"/>
    <col min="23" max="255" width="9.140625" style="644" customWidth="1"/>
    <col min="256" max="16384" width="0" style="644" hidden="1"/>
  </cols>
  <sheetData>
    <row r="1" spans="1:254" s="674" customFormat="1" ht="25.5" customHeight="1" x14ac:dyDescent="0.35">
      <c r="A1" s="2430" t="s">
        <v>468</v>
      </c>
      <c r="B1" s="2430"/>
      <c r="C1" s="2430"/>
      <c r="D1" s="2430"/>
      <c r="E1" s="2430"/>
      <c r="F1" s="2430"/>
      <c r="G1" s="2430"/>
      <c r="H1" s="2430"/>
      <c r="I1" s="2430"/>
      <c r="J1" s="2430"/>
      <c r="K1" s="1264"/>
      <c r="L1" s="806"/>
      <c r="M1" s="806"/>
      <c r="R1" s="790"/>
      <c r="S1" s="790"/>
      <c r="T1" s="790"/>
      <c r="U1" s="790"/>
      <c r="V1" s="790"/>
      <c r="W1" s="790"/>
      <c r="X1" s="790"/>
      <c r="Y1" s="790"/>
      <c r="Z1" s="790"/>
      <c r="AA1" s="790"/>
      <c r="AB1" s="790"/>
      <c r="AC1" s="790"/>
      <c r="AD1" s="790"/>
      <c r="AE1" s="790"/>
      <c r="AF1" s="790"/>
      <c r="AG1" s="790"/>
      <c r="AH1" s="790"/>
      <c r="AI1" s="790"/>
      <c r="AJ1" s="790"/>
      <c r="AK1" s="790"/>
      <c r="AL1" s="790"/>
      <c r="AM1" s="790"/>
      <c r="AN1" s="790"/>
      <c r="AO1" s="790"/>
      <c r="AP1" s="790"/>
      <c r="AQ1" s="790"/>
      <c r="AR1" s="790"/>
      <c r="AS1" s="790"/>
      <c r="AT1" s="790"/>
      <c r="AU1" s="790"/>
      <c r="AV1" s="790"/>
      <c r="AW1" s="790"/>
      <c r="AX1" s="790"/>
      <c r="AY1" s="790"/>
      <c r="AZ1" s="790"/>
      <c r="BA1" s="790"/>
      <c r="BB1" s="790"/>
      <c r="BC1" s="790"/>
      <c r="BD1" s="790"/>
      <c r="BE1" s="790"/>
      <c r="BF1" s="790"/>
      <c r="BG1" s="790"/>
      <c r="BH1" s="790"/>
      <c r="BI1" s="790"/>
      <c r="BJ1" s="790"/>
      <c r="BK1" s="790"/>
      <c r="BL1" s="790"/>
      <c r="BM1" s="790"/>
      <c r="BN1" s="790"/>
      <c r="BO1" s="790"/>
      <c r="BP1" s="790"/>
      <c r="BQ1" s="790"/>
      <c r="BR1" s="790"/>
      <c r="BS1" s="790"/>
      <c r="BT1" s="790"/>
      <c r="BU1" s="790"/>
      <c r="BV1" s="790"/>
      <c r="BW1" s="790"/>
      <c r="BX1" s="790"/>
      <c r="BY1" s="790"/>
      <c r="BZ1" s="790"/>
      <c r="CA1" s="790"/>
      <c r="CB1" s="790"/>
      <c r="CC1" s="790"/>
      <c r="CD1" s="790"/>
      <c r="CE1" s="790"/>
      <c r="CF1" s="790"/>
      <c r="CG1" s="790"/>
      <c r="CH1" s="790"/>
      <c r="CI1" s="790"/>
      <c r="CJ1" s="790"/>
      <c r="CK1" s="790"/>
      <c r="CL1" s="790"/>
      <c r="CM1" s="790"/>
      <c r="CN1" s="790"/>
      <c r="CO1" s="790"/>
      <c r="CP1" s="790"/>
      <c r="CQ1" s="790"/>
      <c r="CR1" s="790"/>
      <c r="CS1" s="790"/>
      <c r="CT1" s="790"/>
      <c r="CU1" s="790"/>
      <c r="CV1" s="790"/>
      <c r="CW1" s="790"/>
      <c r="CX1" s="790"/>
      <c r="CY1" s="790"/>
      <c r="CZ1" s="790"/>
      <c r="DA1" s="790"/>
      <c r="DB1" s="790"/>
      <c r="DC1" s="790"/>
      <c r="DD1" s="790"/>
      <c r="DE1" s="790"/>
      <c r="DF1" s="790"/>
      <c r="DG1" s="790"/>
      <c r="DH1" s="790"/>
      <c r="DI1" s="790"/>
      <c r="DJ1" s="790"/>
      <c r="DK1" s="790"/>
      <c r="DL1" s="790"/>
      <c r="DM1" s="790"/>
      <c r="DN1" s="790"/>
      <c r="DO1" s="790"/>
      <c r="DP1" s="790"/>
      <c r="DQ1" s="790"/>
      <c r="DR1" s="790"/>
      <c r="DS1" s="790"/>
      <c r="DT1" s="790"/>
      <c r="DU1" s="790"/>
      <c r="DV1" s="790"/>
      <c r="DW1" s="790"/>
      <c r="DX1" s="790"/>
      <c r="DY1" s="790"/>
      <c r="DZ1" s="790"/>
      <c r="EA1" s="790"/>
      <c r="EB1" s="790"/>
      <c r="EC1" s="790"/>
      <c r="ED1" s="790"/>
      <c r="EE1" s="790"/>
      <c r="EF1" s="790"/>
      <c r="EG1" s="790"/>
      <c r="EH1" s="790"/>
      <c r="EI1" s="790"/>
      <c r="EJ1" s="790"/>
      <c r="EK1" s="790"/>
      <c r="EL1" s="790"/>
      <c r="EM1" s="790"/>
      <c r="EN1" s="790"/>
      <c r="EO1" s="790"/>
      <c r="EP1" s="790"/>
      <c r="EQ1" s="790"/>
      <c r="ER1" s="790"/>
      <c r="ES1" s="790"/>
      <c r="ET1" s="790"/>
      <c r="EU1" s="790"/>
      <c r="EV1" s="790"/>
      <c r="EW1" s="790"/>
      <c r="EX1" s="790"/>
      <c r="EY1" s="790"/>
      <c r="EZ1" s="790"/>
      <c r="FA1" s="790"/>
      <c r="FB1" s="790"/>
      <c r="FC1" s="790"/>
      <c r="FD1" s="790"/>
      <c r="FE1" s="790"/>
      <c r="FF1" s="790"/>
      <c r="FG1" s="790"/>
      <c r="FH1" s="790"/>
      <c r="FI1" s="790"/>
      <c r="FJ1" s="790"/>
      <c r="FK1" s="790"/>
      <c r="FL1" s="790"/>
      <c r="FM1" s="790"/>
      <c r="FN1" s="790"/>
      <c r="FO1" s="790"/>
      <c r="FP1" s="790"/>
      <c r="FQ1" s="790"/>
      <c r="FR1" s="790"/>
      <c r="FS1" s="790"/>
      <c r="FT1" s="790"/>
      <c r="FU1" s="790"/>
      <c r="FV1" s="790"/>
      <c r="FW1" s="790"/>
      <c r="FX1" s="790"/>
      <c r="FY1" s="790"/>
      <c r="FZ1" s="790"/>
      <c r="GA1" s="790"/>
      <c r="GB1" s="790"/>
      <c r="GC1" s="790"/>
      <c r="GD1" s="790"/>
      <c r="GE1" s="790"/>
      <c r="GF1" s="790"/>
      <c r="GG1" s="790"/>
      <c r="GH1" s="790"/>
      <c r="GI1" s="790"/>
      <c r="GJ1" s="790"/>
      <c r="GK1" s="790"/>
      <c r="GL1" s="790"/>
      <c r="GM1" s="790"/>
      <c r="GN1" s="790"/>
      <c r="GO1" s="790"/>
      <c r="GP1" s="790"/>
      <c r="GQ1" s="790"/>
      <c r="GR1" s="790"/>
      <c r="GS1" s="790"/>
      <c r="GT1" s="790"/>
      <c r="GU1" s="790"/>
      <c r="GV1" s="790"/>
      <c r="GW1" s="790"/>
      <c r="GX1" s="790"/>
      <c r="GY1" s="790"/>
      <c r="GZ1" s="790"/>
      <c r="HA1" s="790"/>
      <c r="HB1" s="790"/>
      <c r="HC1" s="790"/>
      <c r="HD1" s="790"/>
      <c r="HE1" s="790"/>
      <c r="HF1" s="790"/>
      <c r="HG1" s="790"/>
      <c r="HH1" s="790"/>
      <c r="HI1" s="790"/>
      <c r="HJ1" s="790"/>
      <c r="HK1" s="790"/>
      <c r="HL1" s="790"/>
      <c r="HM1" s="790"/>
      <c r="HN1" s="790"/>
      <c r="HO1" s="790"/>
      <c r="HP1" s="790"/>
      <c r="HQ1" s="790"/>
      <c r="HR1" s="790"/>
      <c r="HS1" s="790"/>
      <c r="HT1" s="790"/>
      <c r="HU1" s="790"/>
      <c r="HV1" s="790"/>
      <c r="HW1" s="790"/>
      <c r="HX1" s="790"/>
      <c r="HY1" s="790"/>
      <c r="HZ1" s="790"/>
      <c r="IA1" s="790"/>
      <c r="IB1" s="790"/>
      <c r="IC1" s="790"/>
      <c r="ID1" s="790"/>
      <c r="IE1" s="790"/>
      <c r="IF1" s="790"/>
      <c r="IG1" s="790"/>
      <c r="IH1" s="790"/>
      <c r="II1" s="790"/>
      <c r="IJ1" s="790"/>
      <c r="IK1" s="790"/>
      <c r="IL1" s="790"/>
      <c r="IM1" s="790"/>
      <c r="IN1" s="790"/>
      <c r="IO1" s="790"/>
      <c r="IP1" s="790"/>
      <c r="IQ1" s="790"/>
      <c r="IR1" s="790"/>
      <c r="IS1" s="790"/>
      <c r="IT1" s="790"/>
    </row>
    <row r="2" spans="1:254" s="674" customFormat="1" ht="14.25" customHeight="1" thickBot="1" x14ac:dyDescent="0.35">
      <c r="A2" s="69"/>
      <c r="B2" s="69"/>
      <c r="C2" s="69"/>
      <c r="D2" s="69"/>
      <c r="E2" s="69"/>
      <c r="F2" s="69"/>
      <c r="G2" s="69"/>
      <c r="H2" s="78"/>
      <c r="I2" s="807"/>
      <c r="J2" s="69"/>
      <c r="K2" s="806"/>
      <c r="L2" s="806"/>
      <c r="M2" s="806"/>
      <c r="R2" s="790"/>
      <c r="S2" s="790"/>
      <c r="T2" s="790"/>
      <c r="U2" s="790"/>
      <c r="V2" s="790"/>
      <c r="W2" s="790"/>
      <c r="X2" s="790"/>
      <c r="Y2" s="790"/>
      <c r="Z2" s="790"/>
      <c r="AA2" s="790"/>
      <c r="AB2" s="790"/>
      <c r="AC2" s="790"/>
      <c r="AD2" s="790"/>
      <c r="AE2" s="790"/>
      <c r="AF2" s="790"/>
      <c r="AG2" s="790"/>
      <c r="AH2" s="790"/>
      <c r="AI2" s="790"/>
      <c r="AJ2" s="790"/>
      <c r="AK2" s="790"/>
      <c r="AL2" s="790"/>
      <c r="AM2" s="790"/>
      <c r="AN2" s="790"/>
      <c r="AO2" s="790"/>
      <c r="AP2" s="790"/>
      <c r="AQ2" s="790"/>
      <c r="AR2" s="790"/>
      <c r="AS2" s="790"/>
      <c r="AT2" s="790"/>
      <c r="AU2" s="790"/>
      <c r="AV2" s="790"/>
      <c r="AW2" s="790"/>
      <c r="AX2" s="790"/>
      <c r="AY2" s="790"/>
      <c r="AZ2" s="790"/>
      <c r="BA2" s="790"/>
      <c r="BB2" s="790"/>
      <c r="BC2" s="790"/>
      <c r="BD2" s="790"/>
      <c r="BE2" s="790"/>
      <c r="BF2" s="790"/>
      <c r="BG2" s="790"/>
      <c r="BH2" s="790"/>
      <c r="BI2" s="790"/>
      <c r="BJ2" s="790"/>
      <c r="BK2" s="790"/>
      <c r="BL2" s="790"/>
      <c r="BM2" s="790"/>
      <c r="BN2" s="790"/>
      <c r="BO2" s="790"/>
      <c r="BP2" s="790"/>
      <c r="BQ2" s="790"/>
      <c r="BR2" s="790"/>
      <c r="BS2" s="790"/>
      <c r="BT2" s="790"/>
      <c r="BU2" s="790"/>
      <c r="BV2" s="790"/>
      <c r="BW2" s="790"/>
      <c r="BX2" s="790"/>
      <c r="BY2" s="790"/>
      <c r="BZ2" s="790"/>
      <c r="CA2" s="790"/>
      <c r="CB2" s="790"/>
      <c r="CC2" s="790"/>
      <c r="CD2" s="790"/>
      <c r="CE2" s="790"/>
      <c r="CF2" s="790"/>
      <c r="CG2" s="790"/>
      <c r="CH2" s="790"/>
      <c r="CI2" s="790"/>
      <c r="CJ2" s="790"/>
      <c r="CK2" s="790"/>
      <c r="CL2" s="790"/>
      <c r="CM2" s="790"/>
      <c r="CN2" s="790"/>
      <c r="CO2" s="790"/>
      <c r="CP2" s="790"/>
      <c r="CQ2" s="790"/>
      <c r="CR2" s="790"/>
      <c r="CS2" s="790"/>
      <c r="CT2" s="790"/>
      <c r="CU2" s="790"/>
      <c r="CV2" s="790"/>
      <c r="CW2" s="790"/>
      <c r="CX2" s="790"/>
      <c r="CY2" s="790"/>
      <c r="CZ2" s="790"/>
      <c r="DA2" s="790"/>
      <c r="DB2" s="790"/>
      <c r="DC2" s="790"/>
      <c r="DD2" s="790"/>
      <c r="DE2" s="790"/>
      <c r="DF2" s="790"/>
      <c r="DG2" s="790"/>
      <c r="DH2" s="790"/>
      <c r="DI2" s="790"/>
      <c r="DJ2" s="790"/>
      <c r="DK2" s="790"/>
      <c r="DL2" s="790"/>
      <c r="DM2" s="790"/>
      <c r="DN2" s="790"/>
      <c r="DO2" s="790"/>
      <c r="DP2" s="790"/>
      <c r="DQ2" s="790"/>
      <c r="DR2" s="790"/>
      <c r="DS2" s="790"/>
      <c r="DT2" s="790"/>
      <c r="DU2" s="790"/>
      <c r="DV2" s="790"/>
      <c r="DW2" s="790"/>
      <c r="DX2" s="790"/>
      <c r="DY2" s="790"/>
      <c r="DZ2" s="790"/>
      <c r="EA2" s="790"/>
      <c r="EB2" s="790"/>
      <c r="EC2" s="790"/>
      <c r="ED2" s="790"/>
      <c r="EE2" s="790"/>
      <c r="EF2" s="790"/>
      <c r="EG2" s="790"/>
      <c r="EH2" s="790"/>
      <c r="EI2" s="790"/>
      <c r="EJ2" s="790"/>
      <c r="EK2" s="790"/>
      <c r="EL2" s="790"/>
      <c r="EM2" s="790"/>
      <c r="EN2" s="790"/>
      <c r="EO2" s="790"/>
      <c r="EP2" s="790"/>
      <c r="EQ2" s="790"/>
      <c r="ER2" s="790"/>
      <c r="ES2" s="790"/>
      <c r="ET2" s="790"/>
      <c r="EU2" s="790"/>
      <c r="EV2" s="790"/>
      <c r="EW2" s="790"/>
      <c r="EX2" s="790"/>
      <c r="EY2" s="790"/>
      <c r="EZ2" s="790"/>
      <c r="FA2" s="790"/>
      <c r="FB2" s="790"/>
      <c r="FC2" s="790"/>
      <c r="FD2" s="790"/>
      <c r="FE2" s="790"/>
      <c r="FF2" s="790"/>
      <c r="FG2" s="790"/>
      <c r="FH2" s="790"/>
      <c r="FI2" s="790"/>
      <c r="FJ2" s="790"/>
      <c r="FK2" s="790"/>
      <c r="FL2" s="790"/>
      <c r="FM2" s="790"/>
      <c r="FN2" s="790"/>
      <c r="FO2" s="790"/>
      <c r="FP2" s="790"/>
      <c r="FQ2" s="790"/>
      <c r="FR2" s="790"/>
      <c r="FS2" s="790"/>
      <c r="FT2" s="790"/>
      <c r="FU2" s="790"/>
      <c r="FV2" s="790"/>
      <c r="FW2" s="790"/>
      <c r="FX2" s="790"/>
      <c r="FY2" s="790"/>
      <c r="FZ2" s="790"/>
      <c r="GA2" s="790"/>
      <c r="GB2" s="790"/>
      <c r="GC2" s="790"/>
      <c r="GD2" s="790"/>
      <c r="GE2" s="790"/>
      <c r="GF2" s="790"/>
      <c r="GG2" s="790"/>
      <c r="GH2" s="790"/>
      <c r="GI2" s="790"/>
      <c r="GJ2" s="790"/>
      <c r="GK2" s="790"/>
      <c r="GL2" s="790"/>
      <c r="GM2" s="790"/>
      <c r="GN2" s="790"/>
      <c r="GO2" s="790"/>
      <c r="GP2" s="790"/>
      <c r="GQ2" s="790"/>
      <c r="GR2" s="790"/>
      <c r="GS2" s="790"/>
      <c r="GT2" s="790"/>
      <c r="GU2" s="790"/>
      <c r="GV2" s="790"/>
      <c r="GW2" s="790"/>
      <c r="GX2" s="790"/>
      <c r="GY2" s="790"/>
      <c r="GZ2" s="790"/>
      <c r="HA2" s="790"/>
      <c r="HB2" s="790"/>
      <c r="HC2" s="790"/>
      <c r="HD2" s="790"/>
      <c r="HE2" s="790"/>
      <c r="HF2" s="790"/>
      <c r="HG2" s="790"/>
      <c r="HH2" s="790"/>
      <c r="HI2" s="790"/>
      <c r="HJ2" s="790"/>
      <c r="HK2" s="790"/>
      <c r="HL2" s="790"/>
      <c r="HM2" s="790"/>
      <c r="HN2" s="790"/>
      <c r="HO2" s="790"/>
      <c r="HP2" s="790"/>
      <c r="HQ2" s="790"/>
      <c r="HR2" s="790"/>
      <c r="HS2" s="790"/>
      <c r="HT2" s="790"/>
      <c r="HU2" s="790"/>
      <c r="HV2" s="790"/>
      <c r="HW2" s="790"/>
      <c r="HX2" s="790"/>
      <c r="HY2" s="790"/>
      <c r="HZ2" s="790"/>
      <c r="IA2" s="790"/>
      <c r="IB2" s="790"/>
      <c r="IC2" s="790"/>
      <c r="ID2" s="790"/>
      <c r="IE2" s="790"/>
      <c r="IF2" s="790"/>
      <c r="IG2" s="790"/>
      <c r="IH2" s="790"/>
      <c r="II2" s="790"/>
      <c r="IJ2" s="790"/>
      <c r="IK2" s="790"/>
      <c r="IL2" s="790"/>
      <c r="IM2" s="790"/>
      <c r="IN2" s="790"/>
      <c r="IO2" s="790"/>
      <c r="IP2" s="790"/>
      <c r="IQ2" s="790"/>
      <c r="IR2" s="790"/>
      <c r="IS2" s="790"/>
      <c r="IT2" s="790"/>
    </row>
    <row r="3" spans="1:254" s="798" customFormat="1" ht="15" customHeight="1" thickBot="1" x14ac:dyDescent="0.25">
      <c r="A3" s="2431" t="s">
        <v>140</v>
      </c>
      <c r="B3" s="2432"/>
      <c r="C3" s="2433"/>
      <c r="D3" s="2434" t="str">
        <f>IF('LFA_Programmatic Progress_1A'!C3=0,"",'LFA_Programmatic Progress_1A'!C3)</f>
        <v xml:space="preserve">PricewaterhouseCoopers (Ghana) Limited </v>
      </c>
      <c r="E3" s="2435"/>
      <c r="F3" s="2435"/>
      <c r="G3" s="2436"/>
      <c r="H3" s="800"/>
      <c r="I3" s="63"/>
      <c r="J3" s="63"/>
      <c r="K3" s="805"/>
      <c r="L3" s="799"/>
      <c r="M3" s="799"/>
      <c r="N3" s="799"/>
      <c r="O3" s="799"/>
      <c r="P3" s="799"/>
      <c r="Q3" s="799"/>
      <c r="R3" s="790"/>
      <c r="S3" s="790"/>
      <c r="T3" s="790"/>
      <c r="U3" s="790"/>
      <c r="V3" s="790"/>
      <c r="W3" s="790"/>
      <c r="X3" s="790"/>
      <c r="Y3" s="790"/>
      <c r="Z3" s="790"/>
      <c r="AA3" s="790"/>
      <c r="AB3" s="790"/>
      <c r="AC3" s="790"/>
      <c r="AD3" s="790"/>
      <c r="AE3" s="790"/>
      <c r="AF3" s="790"/>
      <c r="AG3" s="790"/>
      <c r="AH3" s="790"/>
      <c r="AI3" s="790"/>
      <c r="AJ3" s="790"/>
      <c r="AK3" s="790"/>
      <c r="AL3" s="790"/>
      <c r="AM3" s="790"/>
      <c r="AN3" s="790"/>
      <c r="AO3" s="790"/>
      <c r="AP3" s="790"/>
      <c r="AQ3" s="790"/>
      <c r="AR3" s="790"/>
      <c r="AS3" s="790"/>
      <c r="AT3" s="790"/>
      <c r="AU3" s="790"/>
      <c r="AV3" s="790"/>
      <c r="AW3" s="790"/>
      <c r="AX3" s="790"/>
      <c r="AY3" s="790"/>
      <c r="AZ3" s="790"/>
      <c r="BA3" s="790"/>
      <c r="BB3" s="790"/>
      <c r="BC3" s="790"/>
      <c r="BD3" s="790"/>
      <c r="BE3" s="790"/>
      <c r="BF3" s="790"/>
      <c r="BG3" s="790"/>
      <c r="BH3" s="790"/>
      <c r="BI3" s="790"/>
      <c r="BJ3" s="790"/>
      <c r="BK3" s="790"/>
      <c r="BL3" s="790"/>
      <c r="BM3" s="790"/>
      <c r="BN3" s="790"/>
      <c r="BO3" s="790"/>
      <c r="BP3" s="790"/>
      <c r="BQ3" s="790"/>
      <c r="BR3" s="790"/>
      <c r="BS3" s="790"/>
      <c r="BT3" s="790"/>
      <c r="BU3" s="790"/>
      <c r="BV3" s="790"/>
      <c r="BW3" s="790"/>
      <c r="BX3" s="790"/>
      <c r="BY3" s="790"/>
      <c r="BZ3" s="790"/>
      <c r="CA3" s="790"/>
      <c r="CB3" s="790"/>
      <c r="CC3" s="790"/>
      <c r="CD3" s="790"/>
      <c r="CE3" s="790"/>
      <c r="CF3" s="790"/>
      <c r="CG3" s="790"/>
      <c r="CH3" s="790"/>
      <c r="CI3" s="790"/>
      <c r="CJ3" s="790"/>
      <c r="CK3" s="790"/>
      <c r="CL3" s="790"/>
      <c r="CM3" s="790"/>
      <c r="CN3" s="790"/>
      <c r="CO3" s="790"/>
      <c r="CP3" s="790"/>
      <c r="CQ3" s="790"/>
      <c r="CR3" s="790"/>
      <c r="CS3" s="790"/>
      <c r="CT3" s="790"/>
      <c r="CU3" s="790"/>
      <c r="CV3" s="790"/>
      <c r="CW3" s="790"/>
      <c r="CX3" s="790"/>
      <c r="CY3" s="790"/>
      <c r="CZ3" s="790"/>
      <c r="DA3" s="790"/>
      <c r="DB3" s="790"/>
      <c r="DC3" s="790"/>
      <c r="DD3" s="790"/>
      <c r="DE3" s="790"/>
      <c r="DF3" s="790"/>
      <c r="DG3" s="790"/>
      <c r="DH3" s="790"/>
      <c r="DI3" s="790"/>
      <c r="DJ3" s="790"/>
      <c r="DK3" s="790"/>
      <c r="DL3" s="790"/>
      <c r="DM3" s="790"/>
      <c r="DN3" s="790"/>
      <c r="DO3" s="790"/>
      <c r="DP3" s="790"/>
      <c r="DQ3" s="790"/>
      <c r="DR3" s="790"/>
      <c r="DS3" s="790"/>
      <c r="DT3" s="790"/>
      <c r="DU3" s="790"/>
      <c r="DV3" s="790"/>
      <c r="DW3" s="790"/>
      <c r="DX3" s="790"/>
      <c r="DY3" s="790"/>
      <c r="DZ3" s="790"/>
      <c r="EA3" s="790"/>
      <c r="EB3" s="790"/>
      <c r="EC3" s="790"/>
      <c r="ED3" s="790"/>
      <c r="EE3" s="790"/>
      <c r="EF3" s="790"/>
      <c r="EG3" s="790"/>
      <c r="EH3" s="790"/>
      <c r="EI3" s="790"/>
      <c r="EJ3" s="790"/>
      <c r="EK3" s="790"/>
      <c r="EL3" s="790"/>
      <c r="EM3" s="790"/>
      <c r="EN3" s="790"/>
      <c r="EO3" s="790"/>
      <c r="EP3" s="790"/>
      <c r="EQ3" s="790"/>
      <c r="ER3" s="790"/>
      <c r="ES3" s="790"/>
      <c r="ET3" s="790"/>
      <c r="EU3" s="790"/>
      <c r="EV3" s="790"/>
      <c r="EW3" s="790"/>
      <c r="EX3" s="790"/>
      <c r="EY3" s="790"/>
      <c r="EZ3" s="790"/>
      <c r="FA3" s="790"/>
      <c r="FB3" s="790"/>
      <c r="FC3" s="790"/>
      <c r="FD3" s="790"/>
      <c r="FE3" s="790"/>
      <c r="FF3" s="790"/>
      <c r="FG3" s="790"/>
      <c r="FH3" s="790"/>
      <c r="FI3" s="790"/>
      <c r="FJ3" s="790"/>
      <c r="FK3" s="790"/>
      <c r="FL3" s="790"/>
      <c r="FM3" s="790"/>
      <c r="FN3" s="790"/>
      <c r="FO3" s="790"/>
      <c r="FP3" s="790"/>
      <c r="FQ3" s="790"/>
      <c r="FR3" s="790"/>
      <c r="FS3" s="790"/>
      <c r="FT3" s="790"/>
      <c r="FU3" s="790"/>
      <c r="FV3" s="790"/>
      <c r="FW3" s="790"/>
      <c r="FX3" s="790"/>
      <c r="FY3" s="790"/>
      <c r="FZ3" s="790"/>
      <c r="GA3" s="790"/>
      <c r="GB3" s="790"/>
      <c r="GC3" s="790"/>
      <c r="GD3" s="790"/>
      <c r="GE3" s="790"/>
      <c r="GF3" s="790"/>
      <c r="GG3" s="790"/>
      <c r="GH3" s="790"/>
      <c r="GI3" s="790"/>
      <c r="GJ3" s="790"/>
      <c r="GK3" s="790"/>
      <c r="GL3" s="790"/>
      <c r="GM3" s="790"/>
      <c r="GN3" s="790"/>
      <c r="GO3" s="790"/>
      <c r="GP3" s="790"/>
      <c r="GQ3" s="790"/>
      <c r="GR3" s="790"/>
      <c r="GS3" s="790"/>
      <c r="GT3" s="790"/>
      <c r="GU3" s="790"/>
      <c r="GV3" s="790"/>
      <c r="GW3" s="790"/>
      <c r="GX3" s="790"/>
      <c r="GY3" s="790"/>
      <c r="GZ3" s="790"/>
      <c r="HA3" s="790"/>
      <c r="HB3" s="790"/>
      <c r="HC3" s="790"/>
      <c r="HD3" s="790"/>
      <c r="HE3" s="790"/>
      <c r="HF3" s="790"/>
      <c r="HG3" s="790"/>
      <c r="HH3" s="790"/>
      <c r="HI3" s="790"/>
      <c r="HJ3" s="790"/>
      <c r="HK3" s="790"/>
      <c r="HL3" s="790"/>
      <c r="HM3" s="790"/>
      <c r="HN3" s="790"/>
      <c r="HO3" s="790"/>
      <c r="HP3" s="790"/>
      <c r="HQ3" s="790"/>
      <c r="HR3" s="790"/>
      <c r="HS3" s="790"/>
      <c r="HT3" s="790"/>
      <c r="HU3" s="790"/>
      <c r="HV3" s="790"/>
      <c r="HW3" s="790"/>
      <c r="HX3" s="790"/>
      <c r="HY3" s="790"/>
      <c r="HZ3" s="790"/>
      <c r="IA3" s="790"/>
      <c r="IB3" s="790"/>
      <c r="IC3" s="790"/>
      <c r="ID3" s="790"/>
      <c r="IE3" s="790"/>
      <c r="IF3" s="790"/>
      <c r="IG3" s="790"/>
      <c r="IH3" s="790"/>
      <c r="II3" s="790"/>
      <c r="IJ3" s="790"/>
      <c r="IK3" s="790"/>
      <c r="IL3" s="790"/>
      <c r="IM3" s="790"/>
      <c r="IN3" s="790"/>
      <c r="IO3" s="790"/>
      <c r="IP3" s="790"/>
      <c r="IQ3" s="790"/>
      <c r="IR3" s="790"/>
      <c r="IS3" s="790"/>
      <c r="IT3" s="790"/>
    </row>
    <row r="4" spans="1:254" s="798" customFormat="1" ht="27.75" customHeight="1" thickBot="1" x14ac:dyDescent="0.3">
      <c r="A4" s="99" t="s">
        <v>155</v>
      </c>
      <c r="B4" s="802"/>
      <c r="C4" s="802"/>
      <c r="D4" s="975"/>
      <c r="E4" s="975"/>
      <c r="F4" s="975"/>
      <c r="G4" s="975"/>
      <c r="H4" s="802"/>
      <c r="I4" s="802"/>
      <c r="J4" s="802"/>
      <c r="K4" s="674"/>
      <c r="L4" s="674"/>
      <c r="M4" s="674"/>
      <c r="N4" s="674"/>
      <c r="O4" s="674"/>
      <c r="P4" s="674"/>
      <c r="Q4" s="674"/>
      <c r="R4" s="674"/>
      <c r="S4" s="674"/>
      <c r="T4" s="674"/>
      <c r="U4" s="674"/>
      <c r="V4" s="674"/>
      <c r="W4" s="674"/>
      <c r="X4" s="674"/>
      <c r="Y4" s="674"/>
      <c r="Z4" s="674"/>
      <c r="AA4" s="674"/>
      <c r="AB4" s="674"/>
      <c r="AC4" s="674"/>
      <c r="AD4" s="674"/>
      <c r="AE4" s="674"/>
      <c r="AF4" s="674"/>
      <c r="AG4" s="674"/>
      <c r="AH4" s="674"/>
      <c r="AI4" s="674"/>
      <c r="AJ4" s="674"/>
      <c r="AK4" s="674"/>
      <c r="AL4" s="674"/>
      <c r="AM4" s="674"/>
      <c r="AN4" s="674"/>
      <c r="AO4" s="674"/>
      <c r="AP4" s="674"/>
      <c r="AQ4" s="674"/>
      <c r="AR4" s="674"/>
      <c r="AS4" s="674"/>
      <c r="AT4" s="674"/>
      <c r="AU4" s="674"/>
      <c r="AV4" s="674"/>
      <c r="AW4" s="674"/>
      <c r="AX4" s="674"/>
      <c r="AY4" s="674"/>
      <c r="AZ4" s="674"/>
      <c r="BA4" s="674"/>
      <c r="BB4" s="674"/>
      <c r="BC4" s="674"/>
      <c r="BD4" s="674"/>
      <c r="BE4" s="674"/>
      <c r="BF4" s="674"/>
      <c r="BG4" s="674"/>
      <c r="BH4" s="674"/>
      <c r="BI4" s="674"/>
      <c r="BJ4" s="674"/>
      <c r="BK4" s="674"/>
      <c r="BL4" s="674"/>
      <c r="BM4" s="674"/>
      <c r="BN4" s="674"/>
      <c r="BO4" s="674"/>
      <c r="BP4" s="674"/>
      <c r="BQ4" s="674"/>
      <c r="BR4" s="674"/>
      <c r="BS4" s="674"/>
      <c r="BT4" s="674"/>
      <c r="BU4" s="674"/>
      <c r="BV4" s="674"/>
      <c r="BW4" s="674"/>
      <c r="BX4" s="674"/>
      <c r="BY4" s="674"/>
      <c r="BZ4" s="674"/>
      <c r="CA4" s="674"/>
      <c r="CB4" s="674"/>
      <c r="CC4" s="674"/>
      <c r="CD4" s="674"/>
      <c r="CE4" s="674"/>
      <c r="CF4" s="674"/>
      <c r="CG4" s="674"/>
      <c r="CH4" s="674"/>
      <c r="CI4" s="674"/>
      <c r="CJ4" s="674"/>
      <c r="CK4" s="674"/>
      <c r="CL4" s="674"/>
      <c r="CM4" s="674"/>
      <c r="CN4" s="674"/>
      <c r="CO4" s="674"/>
      <c r="CP4" s="674"/>
      <c r="CQ4" s="674"/>
      <c r="CR4" s="674"/>
      <c r="CS4" s="674"/>
      <c r="CT4" s="674"/>
      <c r="CU4" s="674"/>
      <c r="CV4" s="674"/>
      <c r="CW4" s="674"/>
      <c r="CX4" s="674"/>
      <c r="CY4" s="674"/>
      <c r="CZ4" s="674"/>
      <c r="DA4" s="674"/>
      <c r="DB4" s="674"/>
      <c r="DC4" s="674"/>
      <c r="DD4" s="674"/>
      <c r="DE4" s="674"/>
      <c r="DF4" s="674"/>
      <c r="DG4" s="674"/>
      <c r="DH4" s="674"/>
      <c r="DI4" s="674"/>
      <c r="DJ4" s="674"/>
      <c r="DK4" s="674"/>
      <c r="DL4" s="674"/>
      <c r="DM4" s="674"/>
      <c r="DN4" s="674"/>
      <c r="DO4" s="674"/>
      <c r="DP4" s="674"/>
      <c r="DQ4" s="674"/>
      <c r="DR4" s="674"/>
      <c r="DS4" s="674"/>
      <c r="DT4" s="674"/>
      <c r="DU4" s="674"/>
      <c r="DV4" s="674"/>
      <c r="DW4" s="674"/>
      <c r="DX4" s="674"/>
      <c r="DY4" s="674"/>
      <c r="DZ4" s="674"/>
      <c r="EA4" s="674"/>
      <c r="EB4" s="674"/>
      <c r="EC4" s="674"/>
      <c r="ED4" s="674"/>
      <c r="EE4" s="674"/>
      <c r="EF4" s="674"/>
      <c r="EG4" s="674"/>
      <c r="EH4" s="674"/>
      <c r="EI4" s="674"/>
      <c r="EJ4" s="674"/>
      <c r="EK4" s="674"/>
      <c r="EL4" s="674"/>
      <c r="EM4" s="674"/>
      <c r="EN4" s="674"/>
      <c r="EO4" s="674"/>
      <c r="EP4" s="674"/>
      <c r="EQ4" s="674"/>
      <c r="ER4" s="674"/>
      <c r="ES4" s="674"/>
      <c r="ET4" s="674"/>
      <c r="EU4" s="674"/>
      <c r="EV4" s="674"/>
      <c r="EW4" s="674"/>
      <c r="EX4" s="674"/>
      <c r="EY4" s="674"/>
      <c r="EZ4" s="674"/>
      <c r="FA4" s="674"/>
      <c r="FB4" s="674"/>
      <c r="FC4" s="674"/>
      <c r="FD4" s="674"/>
      <c r="FE4" s="674"/>
      <c r="FF4" s="674"/>
      <c r="FG4" s="674"/>
      <c r="FH4" s="674"/>
      <c r="FI4" s="674"/>
      <c r="FJ4" s="674"/>
      <c r="FK4" s="674"/>
      <c r="FL4" s="674"/>
      <c r="FM4" s="674"/>
      <c r="FN4" s="674"/>
      <c r="FO4" s="674"/>
      <c r="FP4" s="674"/>
      <c r="FQ4" s="674"/>
      <c r="FR4" s="674"/>
      <c r="FS4" s="674"/>
      <c r="FT4" s="674"/>
      <c r="FU4" s="674"/>
      <c r="FV4" s="674"/>
      <c r="FW4" s="674"/>
      <c r="FX4" s="674"/>
      <c r="FY4" s="674"/>
      <c r="FZ4" s="674"/>
      <c r="GA4" s="674"/>
      <c r="GB4" s="674"/>
      <c r="GC4" s="674"/>
      <c r="GD4" s="674"/>
      <c r="GE4" s="674"/>
      <c r="GF4" s="674"/>
      <c r="GG4" s="674"/>
      <c r="GH4" s="674"/>
      <c r="GI4" s="674"/>
      <c r="GJ4" s="674"/>
      <c r="GK4" s="674"/>
      <c r="GL4" s="674"/>
      <c r="GM4" s="674"/>
      <c r="GN4" s="674"/>
      <c r="GO4" s="674"/>
      <c r="GP4" s="674"/>
      <c r="GQ4" s="674"/>
      <c r="GR4" s="674"/>
      <c r="GS4" s="674"/>
      <c r="GT4" s="674"/>
      <c r="GU4" s="674"/>
      <c r="GV4" s="674"/>
      <c r="GW4" s="674"/>
      <c r="GX4" s="674"/>
      <c r="GY4" s="674"/>
      <c r="GZ4" s="674"/>
      <c r="HA4" s="674"/>
      <c r="HB4" s="674"/>
      <c r="HC4" s="674"/>
      <c r="HD4" s="674"/>
      <c r="HE4" s="674"/>
      <c r="HF4" s="674"/>
      <c r="HG4" s="674"/>
      <c r="HH4" s="674"/>
      <c r="HI4" s="674"/>
      <c r="HJ4" s="674"/>
      <c r="HK4" s="674"/>
      <c r="HL4" s="674"/>
      <c r="HM4" s="674"/>
      <c r="HN4" s="674"/>
      <c r="HO4" s="674"/>
      <c r="HP4" s="674"/>
      <c r="HQ4" s="674"/>
      <c r="HR4" s="674"/>
      <c r="HS4" s="674"/>
      <c r="HT4" s="674"/>
      <c r="HU4" s="674"/>
      <c r="HV4" s="674"/>
      <c r="HW4" s="674"/>
      <c r="HX4" s="674"/>
      <c r="HY4" s="674"/>
      <c r="HZ4" s="674"/>
      <c r="IA4" s="674"/>
      <c r="IB4" s="674"/>
      <c r="IC4" s="674"/>
      <c r="ID4" s="674"/>
      <c r="IE4" s="674"/>
      <c r="IF4" s="674"/>
      <c r="IG4" s="674"/>
      <c r="IH4" s="674"/>
      <c r="II4" s="674"/>
      <c r="IJ4" s="674"/>
      <c r="IK4" s="674"/>
      <c r="IL4" s="674"/>
      <c r="IM4" s="674"/>
      <c r="IN4" s="674"/>
      <c r="IO4" s="674"/>
      <c r="IP4" s="674"/>
      <c r="IQ4" s="674"/>
      <c r="IR4" s="674"/>
    </row>
    <row r="5" spans="1:254" s="798" customFormat="1" ht="15" customHeight="1" x14ac:dyDescent="0.2">
      <c r="A5" s="1679" t="s">
        <v>68</v>
      </c>
      <c r="B5" s="1749"/>
      <c r="C5" s="1680"/>
      <c r="D5" s="2437" t="str">
        <f>IF('PR_Programmatic Progress_1A'!C5="","",'PR_Programmatic Progress_1A'!C5)</f>
        <v>Monrovia</v>
      </c>
      <c r="E5" s="2438"/>
      <c r="F5" s="2438"/>
      <c r="G5" s="2439"/>
      <c r="H5" s="800"/>
      <c r="I5" s="63"/>
      <c r="J5" s="63"/>
      <c r="K5" s="805"/>
      <c r="L5" s="799"/>
      <c r="M5" s="799"/>
      <c r="N5" s="799"/>
      <c r="O5" s="799"/>
      <c r="P5" s="799"/>
      <c r="Q5" s="799"/>
      <c r="R5" s="790"/>
      <c r="S5" s="790"/>
      <c r="T5" s="790"/>
      <c r="U5" s="790"/>
      <c r="V5" s="790"/>
      <c r="W5" s="790"/>
      <c r="X5" s="790"/>
      <c r="Y5" s="790"/>
      <c r="Z5" s="790"/>
      <c r="AA5" s="790"/>
      <c r="AB5" s="790"/>
      <c r="AC5" s="790"/>
      <c r="AD5" s="790"/>
      <c r="AE5" s="790"/>
      <c r="AF5" s="790"/>
      <c r="AG5" s="790"/>
      <c r="AH5" s="790"/>
      <c r="AI5" s="790"/>
      <c r="AJ5" s="790"/>
      <c r="AK5" s="790"/>
      <c r="AL5" s="790"/>
      <c r="AM5" s="790"/>
      <c r="AN5" s="790"/>
      <c r="AO5" s="790"/>
      <c r="AP5" s="790"/>
      <c r="AQ5" s="790"/>
      <c r="AR5" s="790"/>
      <c r="AS5" s="790"/>
      <c r="AT5" s="790"/>
      <c r="AU5" s="790"/>
      <c r="AV5" s="790"/>
      <c r="AW5" s="790"/>
      <c r="AX5" s="790"/>
      <c r="AY5" s="790"/>
      <c r="AZ5" s="790"/>
      <c r="BA5" s="790"/>
      <c r="BB5" s="790"/>
      <c r="BC5" s="790"/>
      <c r="BD5" s="790"/>
      <c r="BE5" s="790"/>
      <c r="BF5" s="790"/>
      <c r="BG5" s="790"/>
      <c r="BH5" s="790"/>
      <c r="BI5" s="790"/>
      <c r="BJ5" s="790"/>
      <c r="BK5" s="790"/>
      <c r="BL5" s="790"/>
      <c r="BM5" s="790"/>
      <c r="BN5" s="790"/>
      <c r="BO5" s="790"/>
      <c r="BP5" s="790"/>
      <c r="BQ5" s="790"/>
      <c r="BR5" s="790"/>
      <c r="BS5" s="790"/>
      <c r="BT5" s="790"/>
      <c r="BU5" s="790"/>
      <c r="BV5" s="790"/>
      <c r="BW5" s="790"/>
      <c r="BX5" s="790"/>
      <c r="BY5" s="790"/>
      <c r="BZ5" s="790"/>
      <c r="CA5" s="790"/>
      <c r="CB5" s="790"/>
      <c r="CC5" s="790"/>
      <c r="CD5" s="790"/>
      <c r="CE5" s="790"/>
      <c r="CF5" s="790"/>
      <c r="CG5" s="790"/>
      <c r="CH5" s="790"/>
      <c r="CI5" s="790"/>
      <c r="CJ5" s="790"/>
      <c r="CK5" s="790"/>
      <c r="CL5" s="790"/>
      <c r="CM5" s="790"/>
      <c r="CN5" s="790"/>
      <c r="CO5" s="790"/>
      <c r="CP5" s="790"/>
      <c r="CQ5" s="790"/>
      <c r="CR5" s="790"/>
      <c r="CS5" s="790"/>
      <c r="CT5" s="790"/>
      <c r="CU5" s="790"/>
      <c r="CV5" s="790"/>
      <c r="CW5" s="790"/>
      <c r="CX5" s="790"/>
      <c r="CY5" s="790"/>
      <c r="CZ5" s="790"/>
      <c r="DA5" s="790"/>
      <c r="DB5" s="790"/>
      <c r="DC5" s="790"/>
      <c r="DD5" s="790"/>
      <c r="DE5" s="790"/>
      <c r="DF5" s="790"/>
      <c r="DG5" s="790"/>
      <c r="DH5" s="790"/>
      <c r="DI5" s="790"/>
      <c r="DJ5" s="790"/>
      <c r="DK5" s="790"/>
      <c r="DL5" s="790"/>
      <c r="DM5" s="790"/>
      <c r="DN5" s="790"/>
      <c r="DO5" s="790"/>
      <c r="DP5" s="790"/>
      <c r="DQ5" s="790"/>
      <c r="DR5" s="790"/>
      <c r="DS5" s="790"/>
      <c r="DT5" s="790"/>
      <c r="DU5" s="790"/>
      <c r="DV5" s="790"/>
      <c r="DW5" s="790"/>
      <c r="DX5" s="790"/>
      <c r="DY5" s="790"/>
      <c r="DZ5" s="790"/>
      <c r="EA5" s="790"/>
      <c r="EB5" s="790"/>
      <c r="EC5" s="790"/>
      <c r="ED5" s="790"/>
      <c r="EE5" s="790"/>
      <c r="EF5" s="790"/>
      <c r="EG5" s="790"/>
      <c r="EH5" s="790"/>
      <c r="EI5" s="790"/>
      <c r="EJ5" s="790"/>
      <c r="EK5" s="790"/>
      <c r="EL5" s="790"/>
      <c r="EM5" s="790"/>
      <c r="EN5" s="790"/>
      <c r="EO5" s="790"/>
      <c r="EP5" s="790"/>
      <c r="EQ5" s="790"/>
      <c r="ER5" s="790"/>
      <c r="ES5" s="790"/>
      <c r="ET5" s="790"/>
      <c r="EU5" s="790"/>
      <c r="EV5" s="790"/>
      <c r="EW5" s="790"/>
      <c r="EX5" s="790"/>
      <c r="EY5" s="790"/>
      <c r="EZ5" s="790"/>
      <c r="FA5" s="790"/>
      <c r="FB5" s="790"/>
      <c r="FC5" s="790"/>
      <c r="FD5" s="790"/>
      <c r="FE5" s="790"/>
      <c r="FF5" s="790"/>
      <c r="FG5" s="790"/>
      <c r="FH5" s="790"/>
      <c r="FI5" s="790"/>
      <c r="FJ5" s="790"/>
      <c r="FK5" s="790"/>
      <c r="FL5" s="790"/>
      <c r="FM5" s="790"/>
      <c r="FN5" s="790"/>
      <c r="FO5" s="790"/>
      <c r="FP5" s="790"/>
      <c r="FQ5" s="790"/>
      <c r="FR5" s="790"/>
      <c r="FS5" s="790"/>
      <c r="FT5" s="790"/>
      <c r="FU5" s="790"/>
      <c r="FV5" s="790"/>
      <c r="FW5" s="790"/>
      <c r="FX5" s="790"/>
      <c r="FY5" s="790"/>
      <c r="FZ5" s="790"/>
      <c r="GA5" s="790"/>
      <c r="GB5" s="790"/>
      <c r="GC5" s="790"/>
      <c r="GD5" s="790"/>
      <c r="GE5" s="790"/>
      <c r="GF5" s="790"/>
      <c r="GG5" s="790"/>
      <c r="GH5" s="790"/>
      <c r="GI5" s="790"/>
      <c r="GJ5" s="790"/>
      <c r="GK5" s="790"/>
      <c r="GL5" s="790"/>
      <c r="GM5" s="790"/>
      <c r="GN5" s="790"/>
      <c r="GO5" s="790"/>
      <c r="GP5" s="790"/>
      <c r="GQ5" s="790"/>
      <c r="GR5" s="790"/>
      <c r="GS5" s="790"/>
      <c r="GT5" s="790"/>
      <c r="GU5" s="790"/>
      <c r="GV5" s="790"/>
      <c r="GW5" s="790"/>
      <c r="GX5" s="790"/>
      <c r="GY5" s="790"/>
      <c r="GZ5" s="790"/>
      <c r="HA5" s="790"/>
      <c r="HB5" s="790"/>
      <c r="HC5" s="790"/>
      <c r="HD5" s="790"/>
      <c r="HE5" s="790"/>
      <c r="HF5" s="790"/>
      <c r="HG5" s="790"/>
      <c r="HH5" s="790"/>
      <c r="HI5" s="790"/>
      <c r="HJ5" s="790"/>
      <c r="HK5" s="790"/>
      <c r="HL5" s="790"/>
      <c r="HM5" s="790"/>
      <c r="HN5" s="790"/>
      <c r="HO5" s="790"/>
      <c r="HP5" s="790"/>
      <c r="HQ5" s="790"/>
      <c r="HR5" s="790"/>
      <c r="HS5" s="790"/>
      <c r="HT5" s="790"/>
      <c r="HU5" s="790"/>
      <c r="HV5" s="790"/>
      <c r="HW5" s="790"/>
      <c r="HX5" s="790"/>
      <c r="HY5" s="790"/>
      <c r="HZ5" s="790"/>
      <c r="IA5" s="790"/>
      <c r="IB5" s="790"/>
      <c r="IC5" s="790"/>
      <c r="ID5" s="790"/>
      <c r="IE5" s="790"/>
      <c r="IF5" s="790"/>
      <c r="IG5" s="790"/>
      <c r="IH5" s="790"/>
      <c r="II5" s="790"/>
      <c r="IJ5" s="790"/>
      <c r="IK5" s="790"/>
      <c r="IL5" s="790"/>
      <c r="IM5" s="790"/>
      <c r="IN5" s="790"/>
      <c r="IO5" s="790"/>
      <c r="IP5" s="790"/>
      <c r="IQ5" s="790"/>
      <c r="IR5" s="790"/>
      <c r="IS5" s="790"/>
      <c r="IT5" s="790"/>
    </row>
    <row r="6" spans="1:254" s="798" customFormat="1" ht="15" customHeight="1" x14ac:dyDescent="0.2">
      <c r="A6" s="1687" t="s">
        <v>69</v>
      </c>
      <c r="B6" s="2234"/>
      <c r="C6" s="1688"/>
      <c r="D6" s="2414" t="str">
        <f>IF('PR_Programmatic Progress_1A'!C6="","",'PR_Programmatic Progress_1A'!C6)</f>
        <v>HIV/AIDS</v>
      </c>
      <c r="E6" s="2415"/>
      <c r="F6" s="2415"/>
      <c r="G6" s="2416"/>
      <c r="H6" s="800"/>
      <c r="I6" s="63"/>
      <c r="J6" s="63"/>
      <c r="K6" s="799"/>
      <c r="L6" s="799"/>
      <c r="M6" s="799"/>
      <c r="N6" s="799"/>
      <c r="O6" s="799"/>
      <c r="P6" s="799"/>
      <c r="Q6" s="799"/>
      <c r="R6" s="790"/>
      <c r="S6" s="790"/>
      <c r="T6" s="790"/>
      <c r="U6" s="790"/>
      <c r="V6" s="790"/>
      <c r="W6" s="790"/>
      <c r="X6" s="790"/>
      <c r="Y6" s="790"/>
      <c r="Z6" s="790"/>
      <c r="AA6" s="790"/>
      <c r="AB6" s="790"/>
      <c r="AC6" s="790"/>
      <c r="AD6" s="790"/>
      <c r="AE6" s="790"/>
      <c r="AF6" s="790"/>
      <c r="AG6" s="790"/>
      <c r="AH6" s="790"/>
      <c r="AI6" s="790"/>
      <c r="AJ6" s="790"/>
      <c r="AK6" s="790"/>
      <c r="AL6" s="790"/>
      <c r="AM6" s="790"/>
      <c r="AN6" s="790"/>
      <c r="AO6" s="790"/>
      <c r="AP6" s="790"/>
      <c r="AQ6" s="790"/>
      <c r="AR6" s="790"/>
      <c r="AS6" s="790"/>
      <c r="AT6" s="790"/>
      <c r="AU6" s="790"/>
      <c r="AV6" s="790"/>
      <c r="AW6" s="790"/>
      <c r="AX6" s="790"/>
      <c r="AY6" s="790"/>
      <c r="AZ6" s="790"/>
      <c r="BA6" s="790"/>
      <c r="BB6" s="790"/>
      <c r="BC6" s="790"/>
      <c r="BD6" s="790"/>
      <c r="BE6" s="790"/>
      <c r="BF6" s="790"/>
      <c r="BG6" s="790"/>
      <c r="BH6" s="790"/>
      <c r="BI6" s="790"/>
      <c r="BJ6" s="790"/>
      <c r="BK6" s="790"/>
      <c r="BL6" s="790"/>
      <c r="BM6" s="790"/>
      <c r="BN6" s="790"/>
      <c r="BO6" s="790"/>
      <c r="BP6" s="790"/>
      <c r="BQ6" s="790"/>
      <c r="BR6" s="790"/>
      <c r="BS6" s="790"/>
      <c r="BT6" s="790"/>
      <c r="BU6" s="790"/>
      <c r="BV6" s="790"/>
      <c r="BW6" s="790"/>
      <c r="BX6" s="790"/>
      <c r="BY6" s="790"/>
      <c r="BZ6" s="790"/>
      <c r="CA6" s="790"/>
      <c r="CB6" s="790"/>
      <c r="CC6" s="790"/>
      <c r="CD6" s="790"/>
      <c r="CE6" s="790"/>
      <c r="CF6" s="790"/>
      <c r="CG6" s="790"/>
      <c r="CH6" s="790"/>
      <c r="CI6" s="790"/>
      <c r="CJ6" s="790"/>
      <c r="CK6" s="790"/>
      <c r="CL6" s="790"/>
      <c r="CM6" s="790"/>
      <c r="CN6" s="790"/>
      <c r="CO6" s="790"/>
      <c r="CP6" s="790"/>
      <c r="CQ6" s="790"/>
      <c r="CR6" s="790"/>
      <c r="CS6" s="790"/>
      <c r="CT6" s="790"/>
      <c r="CU6" s="790"/>
      <c r="CV6" s="790"/>
      <c r="CW6" s="790"/>
      <c r="CX6" s="790"/>
      <c r="CY6" s="790"/>
      <c r="CZ6" s="790"/>
      <c r="DA6" s="790"/>
      <c r="DB6" s="790"/>
      <c r="DC6" s="790"/>
      <c r="DD6" s="790"/>
      <c r="DE6" s="790"/>
      <c r="DF6" s="790"/>
      <c r="DG6" s="790"/>
      <c r="DH6" s="790"/>
      <c r="DI6" s="790"/>
      <c r="DJ6" s="790"/>
      <c r="DK6" s="790"/>
      <c r="DL6" s="790"/>
      <c r="DM6" s="790"/>
      <c r="DN6" s="790"/>
      <c r="DO6" s="790"/>
      <c r="DP6" s="790"/>
      <c r="DQ6" s="790"/>
      <c r="DR6" s="790"/>
      <c r="DS6" s="790"/>
      <c r="DT6" s="790"/>
      <c r="DU6" s="790"/>
      <c r="DV6" s="790"/>
      <c r="DW6" s="790"/>
      <c r="DX6" s="790"/>
      <c r="DY6" s="790"/>
      <c r="DZ6" s="790"/>
      <c r="EA6" s="790"/>
      <c r="EB6" s="790"/>
      <c r="EC6" s="790"/>
      <c r="ED6" s="790"/>
      <c r="EE6" s="790"/>
      <c r="EF6" s="790"/>
      <c r="EG6" s="790"/>
      <c r="EH6" s="790"/>
      <c r="EI6" s="790"/>
      <c r="EJ6" s="790"/>
      <c r="EK6" s="790"/>
      <c r="EL6" s="790"/>
      <c r="EM6" s="790"/>
      <c r="EN6" s="790"/>
      <c r="EO6" s="790"/>
      <c r="EP6" s="790"/>
      <c r="EQ6" s="790"/>
      <c r="ER6" s="790"/>
      <c r="ES6" s="790"/>
      <c r="ET6" s="790"/>
      <c r="EU6" s="790"/>
      <c r="EV6" s="790"/>
      <c r="EW6" s="790"/>
      <c r="EX6" s="790"/>
      <c r="EY6" s="790"/>
      <c r="EZ6" s="790"/>
      <c r="FA6" s="790"/>
      <c r="FB6" s="790"/>
      <c r="FC6" s="790"/>
      <c r="FD6" s="790"/>
      <c r="FE6" s="790"/>
      <c r="FF6" s="790"/>
      <c r="FG6" s="790"/>
      <c r="FH6" s="790"/>
      <c r="FI6" s="790"/>
      <c r="FJ6" s="790"/>
      <c r="FK6" s="790"/>
      <c r="FL6" s="790"/>
      <c r="FM6" s="790"/>
      <c r="FN6" s="790"/>
      <c r="FO6" s="790"/>
      <c r="FP6" s="790"/>
      <c r="FQ6" s="790"/>
      <c r="FR6" s="790"/>
      <c r="FS6" s="790"/>
      <c r="FT6" s="790"/>
      <c r="FU6" s="790"/>
      <c r="FV6" s="790"/>
      <c r="FW6" s="790"/>
      <c r="FX6" s="790"/>
      <c r="FY6" s="790"/>
      <c r="FZ6" s="790"/>
      <c r="GA6" s="790"/>
      <c r="GB6" s="790"/>
      <c r="GC6" s="790"/>
      <c r="GD6" s="790"/>
      <c r="GE6" s="790"/>
      <c r="GF6" s="790"/>
      <c r="GG6" s="790"/>
      <c r="GH6" s="790"/>
      <c r="GI6" s="790"/>
      <c r="GJ6" s="790"/>
      <c r="GK6" s="790"/>
      <c r="GL6" s="790"/>
      <c r="GM6" s="790"/>
      <c r="GN6" s="790"/>
      <c r="GO6" s="790"/>
      <c r="GP6" s="790"/>
      <c r="GQ6" s="790"/>
      <c r="GR6" s="790"/>
      <c r="GS6" s="790"/>
      <c r="GT6" s="790"/>
      <c r="GU6" s="790"/>
      <c r="GV6" s="790"/>
      <c r="GW6" s="790"/>
      <c r="GX6" s="790"/>
      <c r="GY6" s="790"/>
      <c r="GZ6" s="790"/>
      <c r="HA6" s="790"/>
      <c r="HB6" s="790"/>
      <c r="HC6" s="790"/>
      <c r="HD6" s="790"/>
      <c r="HE6" s="790"/>
      <c r="HF6" s="790"/>
      <c r="HG6" s="790"/>
      <c r="HH6" s="790"/>
      <c r="HI6" s="790"/>
      <c r="HJ6" s="790"/>
      <c r="HK6" s="790"/>
      <c r="HL6" s="790"/>
      <c r="HM6" s="790"/>
      <c r="HN6" s="790"/>
      <c r="HO6" s="790"/>
      <c r="HP6" s="790"/>
      <c r="HQ6" s="790"/>
      <c r="HR6" s="790"/>
      <c r="HS6" s="790"/>
      <c r="HT6" s="790"/>
      <c r="HU6" s="790"/>
      <c r="HV6" s="790"/>
      <c r="HW6" s="790"/>
      <c r="HX6" s="790"/>
      <c r="HY6" s="790"/>
      <c r="HZ6" s="790"/>
      <c r="IA6" s="790"/>
      <c r="IB6" s="790"/>
      <c r="IC6" s="790"/>
      <c r="ID6" s="790"/>
      <c r="IE6" s="790"/>
      <c r="IF6" s="790"/>
      <c r="IG6" s="790"/>
      <c r="IH6" s="790"/>
      <c r="II6" s="790"/>
      <c r="IJ6" s="790"/>
      <c r="IK6" s="790"/>
      <c r="IL6" s="790"/>
      <c r="IM6" s="790"/>
      <c r="IN6" s="790"/>
      <c r="IO6" s="790"/>
      <c r="IP6" s="790"/>
      <c r="IQ6" s="790"/>
      <c r="IR6" s="790"/>
      <c r="IS6" s="790"/>
      <c r="IT6" s="790"/>
    </row>
    <row r="7" spans="1:254" s="798" customFormat="1" ht="15" customHeight="1" x14ac:dyDescent="0.2">
      <c r="A7" s="1687" t="s">
        <v>271</v>
      </c>
      <c r="B7" s="2234"/>
      <c r="C7" s="1688"/>
      <c r="D7" s="2444" t="str">
        <f>IF('PR_Programmatic Progress_1A'!C7="","",'PR_Programmatic Progress_1A'!C7)</f>
        <v>MNR-809-G04-H</v>
      </c>
      <c r="E7" s="2445"/>
      <c r="F7" s="2445"/>
      <c r="G7" s="2446"/>
      <c r="H7" s="85"/>
      <c r="I7" s="63"/>
      <c r="J7" s="697"/>
      <c r="K7" s="799"/>
      <c r="L7" s="799"/>
      <c r="M7" s="799"/>
      <c r="N7" s="799"/>
      <c r="O7" s="799"/>
      <c r="P7" s="799"/>
      <c r="Q7" s="799"/>
      <c r="R7" s="790"/>
      <c r="S7" s="790"/>
      <c r="T7" s="790"/>
      <c r="U7" s="790"/>
      <c r="V7" s="790"/>
      <c r="W7" s="790"/>
      <c r="X7" s="790"/>
      <c r="Y7" s="790"/>
      <c r="Z7" s="790"/>
      <c r="AA7" s="790"/>
      <c r="AB7" s="790"/>
      <c r="AC7" s="790"/>
      <c r="AD7" s="790"/>
      <c r="AE7" s="790"/>
      <c r="AF7" s="790"/>
      <c r="AG7" s="790"/>
      <c r="AH7" s="790"/>
      <c r="AI7" s="790"/>
      <c r="AJ7" s="790"/>
      <c r="AK7" s="790"/>
      <c r="AL7" s="790"/>
      <c r="AM7" s="790"/>
      <c r="AN7" s="790"/>
      <c r="AO7" s="790"/>
      <c r="AP7" s="790"/>
      <c r="AQ7" s="790"/>
      <c r="AR7" s="790"/>
      <c r="AS7" s="790"/>
      <c r="AT7" s="790"/>
      <c r="AU7" s="790"/>
      <c r="AV7" s="790"/>
      <c r="AW7" s="790"/>
      <c r="AX7" s="790"/>
      <c r="AY7" s="790"/>
      <c r="AZ7" s="790"/>
      <c r="BA7" s="790"/>
      <c r="BB7" s="790"/>
      <c r="BC7" s="790"/>
      <c r="BD7" s="790"/>
      <c r="BE7" s="790"/>
      <c r="BF7" s="790"/>
      <c r="BG7" s="790"/>
      <c r="BH7" s="790"/>
      <c r="BI7" s="790"/>
      <c r="BJ7" s="790"/>
      <c r="BK7" s="790"/>
      <c r="BL7" s="790"/>
      <c r="BM7" s="790"/>
      <c r="BN7" s="790"/>
      <c r="BO7" s="790"/>
      <c r="BP7" s="790"/>
      <c r="BQ7" s="790"/>
      <c r="BR7" s="790"/>
      <c r="BS7" s="790"/>
      <c r="BT7" s="790"/>
      <c r="BU7" s="790"/>
      <c r="BV7" s="790"/>
      <c r="BW7" s="790"/>
      <c r="BX7" s="790"/>
      <c r="BY7" s="790"/>
      <c r="BZ7" s="790"/>
      <c r="CA7" s="790"/>
      <c r="CB7" s="790"/>
      <c r="CC7" s="790"/>
      <c r="CD7" s="790"/>
      <c r="CE7" s="790"/>
      <c r="CF7" s="790"/>
      <c r="CG7" s="790"/>
      <c r="CH7" s="790"/>
      <c r="CI7" s="790"/>
      <c r="CJ7" s="790"/>
      <c r="CK7" s="790"/>
      <c r="CL7" s="790"/>
      <c r="CM7" s="790"/>
      <c r="CN7" s="790"/>
      <c r="CO7" s="790"/>
      <c r="CP7" s="790"/>
      <c r="CQ7" s="790"/>
      <c r="CR7" s="790"/>
      <c r="CS7" s="790"/>
      <c r="CT7" s="790"/>
      <c r="CU7" s="790"/>
      <c r="CV7" s="790"/>
      <c r="CW7" s="790"/>
      <c r="CX7" s="790"/>
      <c r="CY7" s="790"/>
      <c r="CZ7" s="790"/>
      <c r="DA7" s="790"/>
      <c r="DB7" s="790"/>
      <c r="DC7" s="790"/>
      <c r="DD7" s="790"/>
      <c r="DE7" s="790"/>
      <c r="DF7" s="790"/>
      <c r="DG7" s="790"/>
      <c r="DH7" s="790"/>
      <c r="DI7" s="790"/>
      <c r="DJ7" s="790"/>
      <c r="DK7" s="790"/>
      <c r="DL7" s="790"/>
      <c r="DM7" s="790"/>
      <c r="DN7" s="790"/>
      <c r="DO7" s="790"/>
      <c r="DP7" s="790"/>
      <c r="DQ7" s="790"/>
      <c r="DR7" s="790"/>
      <c r="DS7" s="790"/>
      <c r="DT7" s="790"/>
      <c r="DU7" s="790"/>
      <c r="DV7" s="790"/>
      <c r="DW7" s="790"/>
      <c r="DX7" s="790"/>
      <c r="DY7" s="790"/>
      <c r="DZ7" s="790"/>
      <c r="EA7" s="790"/>
      <c r="EB7" s="790"/>
      <c r="EC7" s="790"/>
      <c r="ED7" s="790"/>
      <c r="EE7" s="790"/>
      <c r="EF7" s="790"/>
      <c r="EG7" s="790"/>
      <c r="EH7" s="790"/>
      <c r="EI7" s="790"/>
      <c r="EJ7" s="790"/>
      <c r="EK7" s="790"/>
      <c r="EL7" s="790"/>
      <c r="EM7" s="790"/>
      <c r="EN7" s="790"/>
      <c r="EO7" s="790"/>
      <c r="EP7" s="790"/>
      <c r="EQ7" s="790"/>
      <c r="ER7" s="790"/>
      <c r="ES7" s="790"/>
      <c r="ET7" s="790"/>
      <c r="EU7" s="790"/>
      <c r="EV7" s="790"/>
      <c r="EW7" s="790"/>
      <c r="EX7" s="790"/>
      <c r="EY7" s="790"/>
      <c r="EZ7" s="790"/>
      <c r="FA7" s="790"/>
      <c r="FB7" s="790"/>
      <c r="FC7" s="790"/>
      <c r="FD7" s="790"/>
      <c r="FE7" s="790"/>
      <c r="FF7" s="790"/>
      <c r="FG7" s="790"/>
      <c r="FH7" s="790"/>
      <c r="FI7" s="790"/>
      <c r="FJ7" s="790"/>
      <c r="FK7" s="790"/>
      <c r="FL7" s="790"/>
      <c r="FM7" s="790"/>
      <c r="FN7" s="790"/>
      <c r="FO7" s="790"/>
      <c r="FP7" s="790"/>
      <c r="FQ7" s="790"/>
      <c r="FR7" s="790"/>
      <c r="FS7" s="790"/>
      <c r="FT7" s="790"/>
      <c r="FU7" s="790"/>
      <c r="FV7" s="790"/>
      <c r="FW7" s="790"/>
      <c r="FX7" s="790"/>
      <c r="FY7" s="790"/>
      <c r="FZ7" s="790"/>
      <c r="GA7" s="790"/>
      <c r="GB7" s="790"/>
      <c r="GC7" s="790"/>
      <c r="GD7" s="790"/>
      <c r="GE7" s="790"/>
      <c r="GF7" s="790"/>
      <c r="GG7" s="790"/>
      <c r="GH7" s="790"/>
      <c r="GI7" s="790"/>
      <c r="GJ7" s="790"/>
      <c r="GK7" s="790"/>
      <c r="GL7" s="790"/>
      <c r="GM7" s="790"/>
      <c r="GN7" s="790"/>
      <c r="GO7" s="790"/>
      <c r="GP7" s="790"/>
      <c r="GQ7" s="790"/>
      <c r="GR7" s="790"/>
      <c r="GS7" s="790"/>
      <c r="GT7" s="790"/>
      <c r="GU7" s="790"/>
      <c r="GV7" s="790"/>
      <c r="GW7" s="790"/>
      <c r="GX7" s="790"/>
      <c r="GY7" s="790"/>
      <c r="GZ7" s="790"/>
      <c r="HA7" s="790"/>
      <c r="HB7" s="790"/>
      <c r="HC7" s="790"/>
      <c r="HD7" s="790"/>
      <c r="HE7" s="790"/>
      <c r="HF7" s="790"/>
      <c r="HG7" s="790"/>
      <c r="HH7" s="790"/>
      <c r="HI7" s="790"/>
      <c r="HJ7" s="790"/>
      <c r="HK7" s="790"/>
      <c r="HL7" s="790"/>
      <c r="HM7" s="790"/>
      <c r="HN7" s="790"/>
      <c r="HO7" s="790"/>
      <c r="HP7" s="790"/>
      <c r="HQ7" s="790"/>
      <c r="HR7" s="790"/>
      <c r="HS7" s="790"/>
      <c r="HT7" s="790"/>
      <c r="HU7" s="790"/>
      <c r="HV7" s="790"/>
      <c r="HW7" s="790"/>
      <c r="HX7" s="790"/>
      <c r="HY7" s="790"/>
      <c r="HZ7" s="790"/>
      <c r="IA7" s="790"/>
      <c r="IB7" s="790"/>
      <c r="IC7" s="790"/>
      <c r="ID7" s="790"/>
      <c r="IE7" s="790"/>
      <c r="IF7" s="790"/>
      <c r="IG7" s="790"/>
      <c r="IH7" s="790"/>
      <c r="II7" s="790"/>
      <c r="IJ7" s="790"/>
      <c r="IK7" s="790"/>
      <c r="IL7" s="790"/>
      <c r="IM7" s="790"/>
      <c r="IN7" s="790"/>
      <c r="IO7" s="790"/>
      <c r="IP7" s="790"/>
      <c r="IQ7" s="790"/>
      <c r="IR7" s="790"/>
      <c r="IS7" s="790"/>
      <c r="IT7" s="790"/>
    </row>
    <row r="8" spans="1:254" s="798" customFormat="1" ht="15" customHeight="1" x14ac:dyDescent="0.2">
      <c r="A8" s="1687" t="s">
        <v>244</v>
      </c>
      <c r="B8" s="2234"/>
      <c r="C8" s="1688"/>
      <c r="D8" s="2414" t="str">
        <f>IF('PR_Programmatic Progress_1A'!C8="","",'PR_Programmatic Progress_1A'!C8)</f>
        <v>Ministry of Health</v>
      </c>
      <c r="E8" s="2415"/>
      <c r="F8" s="2415"/>
      <c r="G8" s="2416"/>
      <c r="H8" s="800"/>
      <c r="I8" s="63"/>
      <c r="J8" s="63"/>
      <c r="K8" s="799"/>
      <c r="L8" s="799"/>
      <c r="M8" s="799"/>
      <c r="N8" s="799"/>
      <c r="O8" s="799"/>
      <c r="P8" s="799"/>
      <c r="Q8" s="799"/>
      <c r="R8" s="790"/>
      <c r="S8" s="790"/>
      <c r="T8" s="790"/>
      <c r="U8" s="790"/>
      <c r="V8" s="790"/>
      <c r="W8" s="790"/>
      <c r="X8" s="790"/>
      <c r="Y8" s="790"/>
      <c r="Z8" s="790"/>
      <c r="AA8" s="790"/>
      <c r="AB8" s="790"/>
      <c r="AC8" s="790"/>
      <c r="AD8" s="790"/>
      <c r="AE8" s="790"/>
      <c r="AF8" s="790"/>
      <c r="AG8" s="790"/>
      <c r="AH8" s="790"/>
      <c r="AI8" s="790"/>
      <c r="AJ8" s="790"/>
      <c r="AK8" s="790"/>
      <c r="AL8" s="790"/>
      <c r="AM8" s="790"/>
      <c r="AN8" s="790"/>
      <c r="AO8" s="790"/>
      <c r="AP8" s="790"/>
      <c r="AQ8" s="790"/>
      <c r="AR8" s="790"/>
      <c r="AS8" s="790"/>
      <c r="AT8" s="790"/>
      <c r="AU8" s="790"/>
      <c r="AV8" s="790"/>
      <c r="AW8" s="790"/>
      <c r="AX8" s="790"/>
      <c r="AY8" s="790"/>
      <c r="AZ8" s="790"/>
      <c r="BA8" s="790"/>
      <c r="BB8" s="790"/>
      <c r="BC8" s="790"/>
      <c r="BD8" s="790"/>
      <c r="BE8" s="790"/>
      <c r="BF8" s="790"/>
      <c r="BG8" s="790"/>
      <c r="BH8" s="790"/>
      <c r="BI8" s="790"/>
      <c r="BJ8" s="790"/>
      <c r="BK8" s="790"/>
      <c r="BL8" s="790"/>
      <c r="BM8" s="790"/>
      <c r="BN8" s="790"/>
      <c r="BO8" s="790"/>
      <c r="BP8" s="790"/>
      <c r="BQ8" s="790"/>
      <c r="BR8" s="790"/>
      <c r="BS8" s="790"/>
      <c r="BT8" s="790"/>
      <c r="BU8" s="790"/>
      <c r="BV8" s="790"/>
      <c r="BW8" s="790"/>
      <c r="BX8" s="790"/>
      <c r="BY8" s="790"/>
      <c r="BZ8" s="790"/>
      <c r="CA8" s="790"/>
      <c r="CB8" s="790"/>
      <c r="CC8" s="790"/>
      <c r="CD8" s="790"/>
      <c r="CE8" s="790"/>
      <c r="CF8" s="790"/>
      <c r="CG8" s="790"/>
      <c r="CH8" s="790"/>
      <c r="CI8" s="790"/>
      <c r="CJ8" s="790"/>
      <c r="CK8" s="790"/>
      <c r="CL8" s="790"/>
      <c r="CM8" s="790"/>
      <c r="CN8" s="790"/>
      <c r="CO8" s="790"/>
      <c r="CP8" s="790"/>
      <c r="CQ8" s="790"/>
      <c r="CR8" s="790"/>
      <c r="CS8" s="790"/>
      <c r="CT8" s="790"/>
      <c r="CU8" s="790"/>
      <c r="CV8" s="790"/>
      <c r="CW8" s="790"/>
      <c r="CX8" s="790"/>
      <c r="CY8" s="790"/>
      <c r="CZ8" s="790"/>
      <c r="DA8" s="790"/>
      <c r="DB8" s="790"/>
      <c r="DC8" s="790"/>
      <c r="DD8" s="790"/>
      <c r="DE8" s="790"/>
      <c r="DF8" s="790"/>
      <c r="DG8" s="790"/>
      <c r="DH8" s="790"/>
      <c r="DI8" s="790"/>
      <c r="DJ8" s="790"/>
      <c r="DK8" s="790"/>
      <c r="DL8" s="790"/>
      <c r="DM8" s="790"/>
      <c r="DN8" s="790"/>
      <c r="DO8" s="790"/>
      <c r="DP8" s="790"/>
      <c r="DQ8" s="790"/>
      <c r="DR8" s="790"/>
      <c r="DS8" s="790"/>
      <c r="DT8" s="790"/>
      <c r="DU8" s="790"/>
      <c r="DV8" s="790"/>
      <c r="DW8" s="790"/>
      <c r="DX8" s="790"/>
      <c r="DY8" s="790"/>
      <c r="DZ8" s="790"/>
      <c r="EA8" s="790"/>
      <c r="EB8" s="790"/>
      <c r="EC8" s="790"/>
      <c r="ED8" s="790"/>
      <c r="EE8" s="790"/>
      <c r="EF8" s="790"/>
      <c r="EG8" s="790"/>
      <c r="EH8" s="790"/>
      <c r="EI8" s="790"/>
      <c r="EJ8" s="790"/>
      <c r="EK8" s="790"/>
      <c r="EL8" s="790"/>
      <c r="EM8" s="790"/>
      <c r="EN8" s="790"/>
      <c r="EO8" s="790"/>
      <c r="EP8" s="790"/>
      <c r="EQ8" s="790"/>
      <c r="ER8" s="790"/>
      <c r="ES8" s="790"/>
      <c r="ET8" s="790"/>
      <c r="EU8" s="790"/>
      <c r="EV8" s="790"/>
      <c r="EW8" s="790"/>
      <c r="EX8" s="790"/>
      <c r="EY8" s="790"/>
      <c r="EZ8" s="790"/>
      <c r="FA8" s="790"/>
      <c r="FB8" s="790"/>
      <c r="FC8" s="790"/>
      <c r="FD8" s="790"/>
      <c r="FE8" s="790"/>
      <c r="FF8" s="790"/>
      <c r="FG8" s="790"/>
      <c r="FH8" s="790"/>
      <c r="FI8" s="790"/>
      <c r="FJ8" s="790"/>
      <c r="FK8" s="790"/>
      <c r="FL8" s="790"/>
      <c r="FM8" s="790"/>
      <c r="FN8" s="790"/>
      <c r="FO8" s="790"/>
      <c r="FP8" s="790"/>
      <c r="FQ8" s="790"/>
      <c r="FR8" s="790"/>
      <c r="FS8" s="790"/>
      <c r="FT8" s="790"/>
      <c r="FU8" s="790"/>
      <c r="FV8" s="790"/>
      <c r="FW8" s="790"/>
      <c r="FX8" s="790"/>
      <c r="FY8" s="790"/>
      <c r="FZ8" s="790"/>
      <c r="GA8" s="790"/>
      <c r="GB8" s="790"/>
      <c r="GC8" s="790"/>
      <c r="GD8" s="790"/>
      <c r="GE8" s="790"/>
      <c r="GF8" s="790"/>
      <c r="GG8" s="790"/>
      <c r="GH8" s="790"/>
      <c r="GI8" s="790"/>
      <c r="GJ8" s="790"/>
      <c r="GK8" s="790"/>
      <c r="GL8" s="790"/>
      <c r="GM8" s="790"/>
      <c r="GN8" s="790"/>
      <c r="GO8" s="790"/>
      <c r="GP8" s="790"/>
      <c r="GQ8" s="790"/>
      <c r="GR8" s="790"/>
      <c r="GS8" s="790"/>
      <c r="GT8" s="790"/>
      <c r="GU8" s="790"/>
      <c r="GV8" s="790"/>
      <c r="GW8" s="790"/>
      <c r="GX8" s="790"/>
      <c r="GY8" s="790"/>
      <c r="GZ8" s="790"/>
      <c r="HA8" s="790"/>
      <c r="HB8" s="790"/>
      <c r="HC8" s="790"/>
      <c r="HD8" s="790"/>
      <c r="HE8" s="790"/>
      <c r="HF8" s="790"/>
      <c r="HG8" s="790"/>
      <c r="HH8" s="790"/>
      <c r="HI8" s="790"/>
      <c r="HJ8" s="790"/>
      <c r="HK8" s="790"/>
      <c r="HL8" s="790"/>
      <c r="HM8" s="790"/>
      <c r="HN8" s="790"/>
      <c r="HO8" s="790"/>
      <c r="HP8" s="790"/>
      <c r="HQ8" s="790"/>
      <c r="HR8" s="790"/>
      <c r="HS8" s="790"/>
      <c r="HT8" s="790"/>
      <c r="HU8" s="790"/>
      <c r="HV8" s="790"/>
      <c r="HW8" s="790"/>
      <c r="HX8" s="790"/>
      <c r="HY8" s="790"/>
      <c r="HZ8" s="790"/>
      <c r="IA8" s="790"/>
      <c r="IB8" s="790"/>
      <c r="IC8" s="790"/>
      <c r="ID8" s="790"/>
      <c r="IE8" s="790"/>
      <c r="IF8" s="790"/>
      <c r="IG8" s="790"/>
      <c r="IH8" s="790"/>
      <c r="II8" s="790"/>
      <c r="IJ8" s="790"/>
      <c r="IK8" s="790"/>
      <c r="IL8" s="790"/>
      <c r="IM8" s="790"/>
      <c r="IN8" s="790"/>
      <c r="IO8" s="790"/>
      <c r="IP8" s="790"/>
      <c r="IQ8" s="790"/>
      <c r="IR8" s="790"/>
      <c r="IS8" s="790"/>
      <c r="IT8" s="790"/>
    </row>
    <row r="9" spans="1:254" s="798" customFormat="1" ht="15" customHeight="1" x14ac:dyDescent="0.2">
      <c r="A9" s="1687" t="s">
        <v>269</v>
      </c>
      <c r="B9" s="2234"/>
      <c r="C9" s="1688"/>
      <c r="D9" s="2441">
        <f>IF('PR_Programmatic Progress_1A'!C9="","",'PR_Programmatic Progress_1A'!C9)</f>
        <v>40087</v>
      </c>
      <c r="E9" s="2442"/>
      <c r="F9" s="2442"/>
      <c r="G9" s="2443"/>
      <c r="H9" s="801"/>
      <c r="I9" s="63"/>
      <c r="J9" s="63"/>
      <c r="K9" s="799"/>
      <c r="L9" s="799"/>
      <c r="M9" s="799"/>
      <c r="N9" s="799"/>
      <c r="O9" s="799"/>
      <c r="P9" s="799"/>
      <c r="Q9" s="799"/>
      <c r="R9" s="790"/>
      <c r="S9" s="790"/>
      <c r="T9" s="790"/>
      <c r="U9" s="790"/>
      <c r="V9" s="790"/>
      <c r="W9" s="790"/>
      <c r="X9" s="790"/>
      <c r="Y9" s="790"/>
      <c r="Z9" s="790"/>
      <c r="AA9" s="790"/>
      <c r="AB9" s="790"/>
      <c r="AC9" s="790"/>
      <c r="AD9" s="790"/>
      <c r="AE9" s="790"/>
      <c r="AF9" s="790"/>
      <c r="AG9" s="790"/>
      <c r="AH9" s="790"/>
      <c r="AI9" s="790"/>
      <c r="AJ9" s="790"/>
      <c r="AK9" s="790"/>
      <c r="AL9" s="790"/>
      <c r="AM9" s="790"/>
      <c r="AN9" s="790"/>
      <c r="AO9" s="790"/>
      <c r="AP9" s="790"/>
      <c r="AQ9" s="790"/>
      <c r="AR9" s="790"/>
      <c r="AS9" s="790"/>
      <c r="AT9" s="790"/>
      <c r="AU9" s="790"/>
      <c r="AV9" s="790"/>
      <c r="AW9" s="790"/>
      <c r="AX9" s="790"/>
      <c r="AY9" s="790"/>
      <c r="AZ9" s="790"/>
      <c r="BA9" s="790"/>
      <c r="BB9" s="790"/>
      <c r="BC9" s="790"/>
      <c r="BD9" s="790"/>
      <c r="BE9" s="790"/>
      <c r="BF9" s="790"/>
      <c r="BG9" s="790"/>
      <c r="BH9" s="790"/>
      <c r="BI9" s="790"/>
      <c r="BJ9" s="790"/>
      <c r="BK9" s="790"/>
      <c r="BL9" s="790"/>
      <c r="BM9" s="790"/>
      <c r="BN9" s="790"/>
      <c r="BO9" s="790"/>
      <c r="BP9" s="790"/>
      <c r="BQ9" s="790"/>
      <c r="BR9" s="790"/>
      <c r="BS9" s="790"/>
      <c r="BT9" s="790"/>
      <c r="BU9" s="790"/>
      <c r="BV9" s="790"/>
      <c r="BW9" s="790"/>
      <c r="BX9" s="790"/>
      <c r="BY9" s="790"/>
      <c r="BZ9" s="790"/>
      <c r="CA9" s="790"/>
      <c r="CB9" s="790"/>
      <c r="CC9" s="790"/>
      <c r="CD9" s="790"/>
      <c r="CE9" s="790"/>
      <c r="CF9" s="790"/>
      <c r="CG9" s="790"/>
      <c r="CH9" s="790"/>
      <c r="CI9" s="790"/>
      <c r="CJ9" s="790"/>
      <c r="CK9" s="790"/>
      <c r="CL9" s="790"/>
      <c r="CM9" s="790"/>
      <c r="CN9" s="790"/>
      <c r="CO9" s="790"/>
      <c r="CP9" s="790"/>
      <c r="CQ9" s="790"/>
      <c r="CR9" s="790"/>
      <c r="CS9" s="790"/>
      <c r="CT9" s="790"/>
      <c r="CU9" s="790"/>
      <c r="CV9" s="790"/>
      <c r="CW9" s="790"/>
      <c r="CX9" s="790"/>
      <c r="CY9" s="790"/>
      <c r="CZ9" s="790"/>
      <c r="DA9" s="790"/>
      <c r="DB9" s="790"/>
      <c r="DC9" s="790"/>
      <c r="DD9" s="790"/>
      <c r="DE9" s="790"/>
      <c r="DF9" s="790"/>
      <c r="DG9" s="790"/>
      <c r="DH9" s="790"/>
      <c r="DI9" s="790"/>
      <c r="DJ9" s="790"/>
      <c r="DK9" s="790"/>
      <c r="DL9" s="790"/>
      <c r="DM9" s="790"/>
      <c r="DN9" s="790"/>
      <c r="DO9" s="790"/>
      <c r="DP9" s="790"/>
      <c r="DQ9" s="790"/>
      <c r="DR9" s="790"/>
      <c r="DS9" s="790"/>
      <c r="DT9" s="790"/>
      <c r="DU9" s="790"/>
      <c r="DV9" s="790"/>
      <c r="DW9" s="790"/>
      <c r="DX9" s="790"/>
      <c r="DY9" s="790"/>
      <c r="DZ9" s="790"/>
      <c r="EA9" s="790"/>
      <c r="EB9" s="790"/>
      <c r="EC9" s="790"/>
      <c r="ED9" s="790"/>
      <c r="EE9" s="790"/>
      <c r="EF9" s="790"/>
      <c r="EG9" s="790"/>
      <c r="EH9" s="790"/>
      <c r="EI9" s="790"/>
      <c r="EJ9" s="790"/>
      <c r="EK9" s="790"/>
      <c r="EL9" s="790"/>
      <c r="EM9" s="790"/>
      <c r="EN9" s="790"/>
      <c r="EO9" s="790"/>
      <c r="EP9" s="790"/>
      <c r="EQ9" s="790"/>
      <c r="ER9" s="790"/>
      <c r="ES9" s="790"/>
      <c r="ET9" s="790"/>
      <c r="EU9" s="790"/>
      <c r="EV9" s="790"/>
      <c r="EW9" s="790"/>
      <c r="EX9" s="790"/>
      <c r="EY9" s="790"/>
      <c r="EZ9" s="790"/>
      <c r="FA9" s="790"/>
      <c r="FB9" s="790"/>
      <c r="FC9" s="790"/>
      <c r="FD9" s="790"/>
      <c r="FE9" s="790"/>
      <c r="FF9" s="790"/>
      <c r="FG9" s="790"/>
      <c r="FH9" s="790"/>
      <c r="FI9" s="790"/>
      <c r="FJ9" s="790"/>
      <c r="FK9" s="790"/>
      <c r="FL9" s="790"/>
      <c r="FM9" s="790"/>
      <c r="FN9" s="790"/>
      <c r="FO9" s="790"/>
      <c r="FP9" s="790"/>
      <c r="FQ9" s="790"/>
      <c r="FR9" s="790"/>
      <c r="FS9" s="790"/>
      <c r="FT9" s="790"/>
      <c r="FU9" s="790"/>
      <c r="FV9" s="790"/>
      <c r="FW9" s="790"/>
      <c r="FX9" s="790"/>
      <c r="FY9" s="790"/>
      <c r="FZ9" s="790"/>
      <c r="GA9" s="790"/>
      <c r="GB9" s="790"/>
      <c r="GC9" s="790"/>
      <c r="GD9" s="790"/>
      <c r="GE9" s="790"/>
      <c r="GF9" s="790"/>
      <c r="GG9" s="790"/>
      <c r="GH9" s="790"/>
      <c r="GI9" s="790"/>
      <c r="GJ9" s="790"/>
      <c r="GK9" s="790"/>
      <c r="GL9" s="790"/>
      <c r="GM9" s="790"/>
      <c r="GN9" s="790"/>
      <c r="GO9" s="790"/>
      <c r="GP9" s="790"/>
      <c r="GQ9" s="790"/>
      <c r="GR9" s="790"/>
      <c r="GS9" s="790"/>
      <c r="GT9" s="790"/>
      <c r="GU9" s="790"/>
      <c r="GV9" s="790"/>
      <c r="GW9" s="790"/>
      <c r="GX9" s="790"/>
      <c r="GY9" s="790"/>
      <c r="GZ9" s="790"/>
      <c r="HA9" s="790"/>
      <c r="HB9" s="790"/>
      <c r="HC9" s="790"/>
      <c r="HD9" s="790"/>
      <c r="HE9" s="790"/>
      <c r="HF9" s="790"/>
      <c r="HG9" s="790"/>
      <c r="HH9" s="790"/>
      <c r="HI9" s="790"/>
      <c r="HJ9" s="790"/>
      <c r="HK9" s="790"/>
      <c r="HL9" s="790"/>
      <c r="HM9" s="790"/>
      <c r="HN9" s="790"/>
      <c r="HO9" s="790"/>
      <c r="HP9" s="790"/>
      <c r="HQ9" s="790"/>
      <c r="HR9" s="790"/>
      <c r="HS9" s="790"/>
      <c r="HT9" s="790"/>
      <c r="HU9" s="790"/>
      <c r="HV9" s="790"/>
      <c r="HW9" s="790"/>
      <c r="HX9" s="790"/>
      <c r="HY9" s="790"/>
      <c r="HZ9" s="790"/>
      <c r="IA9" s="790"/>
      <c r="IB9" s="790"/>
      <c r="IC9" s="790"/>
      <c r="ID9" s="790"/>
      <c r="IE9" s="790"/>
      <c r="IF9" s="790"/>
      <c r="IG9" s="790"/>
      <c r="IH9" s="790"/>
      <c r="II9" s="790"/>
      <c r="IJ9" s="790"/>
      <c r="IK9" s="790"/>
      <c r="IL9" s="790"/>
      <c r="IM9" s="790"/>
      <c r="IN9" s="790"/>
      <c r="IO9" s="790"/>
      <c r="IP9" s="790"/>
      <c r="IQ9" s="790"/>
      <c r="IR9" s="790"/>
      <c r="IS9" s="790"/>
      <c r="IT9" s="790"/>
    </row>
    <row r="10" spans="1:254" s="798" customFormat="1" ht="15" customHeight="1" thickBot="1" x14ac:dyDescent="0.25">
      <c r="A10" s="1705" t="s">
        <v>245</v>
      </c>
      <c r="B10" s="2440"/>
      <c r="C10" s="1706"/>
      <c r="D10" s="2003" t="str">
        <f>IF('PR_Programmatic Progress_1A'!C10="","",'PR_Programmatic Progress_1A'!C10)</f>
        <v>EUR</v>
      </c>
      <c r="E10" s="2004"/>
      <c r="F10" s="2004"/>
      <c r="G10" s="2005"/>
      <c r="H10" s="802"/>
      <c r="I10" s="63"/>
      <c r="J10" s="63"/>
      <c r="K10" s="1095"/>
      <c r="L10" s="799"/>
      <c r="M10" s="799"/>
      <c r="N10" s="799"/>
      <c r="O10" s="799"/>
      <c r="P10" s="799"/>
      <c r="Q10" s="799"/>
      <c r="R10" s="790"/>
      <c r="S10" s="790"/>
      <c r="T10" s="790"/>
      <c r="U10" s="790"/>
      <c r="V10" s="790"/>
      <c r="W10" s="790"/>
      <c r="X10" s="790"/>
      <c r="Y10" s="790"/>
      <c r="Z10" s="790"/>
      <c r="AA10" s="790"/>
      <c r="AB10" s="790"/>
      <c r="AC10" s="790"/>
      <c r="AD10" s="790"/>
      <c r="AE10" s="790"/>
      <c r="AF10" s="790"/>
      <c r="AG10" s="790"/>
      <c r="AH10" s="790"/>
      <c r="AI10" s="790"/>
      <c r="AJ10" s="790"/>
      <c r="AK10" s="790"/>
      <c r="AL10" s="790"/>
      <c r="AM10" s="790"/>
      <c r="AN10" s="790"/>
      <c r="AO10" s="790"/>
      <c r="AP10" s="790"/>
      <c r="AQ10" s="790"/>
      <c r="AR10" s="790"/>
      <c r="AS10" s="790"/>
      <c r="AT10" s="790"/>
      <c r="AU10" s="790"/>
      <c r="AV10" s="790"/>
      <c r="AW10" s="790"/>
      <c r="AX10" s="790"/>
      <c r="AY10" s="790"/>
      <c r="AZ10" s="790"/>
      <c r="BA10" s="790"/>
      <c r="BB10" s="790"/>
      <c r="BC10" s="790"/>
      <c r="BD10" s="790"/>
      <c r="BE10" s="790"/>
      <c r="BF10" s="790"/>
      <c r="BG10" s="790"/>
      <c r="BH10" s="790"/>
      <c r="BI10" s="790"/>
      <c r="BJ10" s="790"/>
      <c r="BK10" s="790"/>
      <c r="BL10" s="790"/>
      <c r="BM10" s="790"/>
      <c r="BN10" s="790"/>
      <c r="BO10" s="790"/>
      <c r="BP10" s="790"/>
      <c r="BQ10" s="790"/>
      <c r="BR10" s="790"/>
      <c r="BS10" s="790"/>
      <c r="BT10" s="790"/>
      <c r="BU10" s="790"/>
      <c r="BV10" s="790"/>
      <c r="BW10" s="790"/>
      <c r="BX10" s="790"/>
      <c r="BY10" s="790"/>
      <c r="BZ10" s="790"/>
      <c r="CA10" s="790"/>
      <c r="CB10" s="790"/>
      <c r="CC10" s="790"/>
      <c r="CD10" s="790"/>
      <c r="CE10" s="790"/>
      <c r="CF10" s="790"/>
      <c r="CG10" s="790"/>
      <c r="CH10" s="790"/>
      <c r="CI10" s="790"/>
      <c r="CJ10" s="790"/>
      <c r="CK10" s="790"/>
      <c r="CL10" s="790"/>
      <c r="CM10" s="790"/>
      <c r="CN10" s="790"/>
      <c r="CO10" s="790"/>
      <c r="CP10" s="790"/>
      <c r="CQ10" s="790"/>
      <c r="CR10" s="790"/>
      <c r="CS10" s="790"/>
      <c r="CT10" s="790"/>
      <c r="CU10" s="790"/>
      <c r="CV10" s="790"/>
      <c r="CW10" s="790"/>
      <c r="CX10" s="790"/>
      <c r="CY10" s="790"/>
      <c r="CZ10" s="790"/>
      <c r="DA10" s="790"/>
      <c r="DB10" s="790"/>
      <c r="DC10" s="790"/>
      <c r="DD10" s="790"/>
      <c r="DE10" s="790"/>
      <c r="DF10" s="790"/>
      <c r="DG10" s="790"/>
      <c r="DH10" s="790"/>
      <c r="DI10" s="790"/>
      <c r="DJ10" s="790"/>
      <c r="DK10" s="790"/>
      <c r="DL10" s="790"/>
      <c r="DM10" s="790"/>
      <c r="DN10" s="790"/>
      <c r="DO10" s="790"/>
      <c r="DP10" s="790"/>
      <c r="DQ10" s="790"/>
      <c r="DR10" s="790"/>
      <c r="DS10" s="790"/>
      <c r="DT10" s="790"/>
      <c r="DU10" s="790"/>
      <c r="DV10" s="790"/>
      <c r="DW10" s="790"/>
      <c r="DX10" s="790"/>
      <c r="DY10" s="790"/>
      <c r="DZ10" s="790"/>
      <c r="EA10" s="790"/>
      <c r="EB10" s="790"/>
      <c r="EC10" s="790"/>
      <c r="ED10" s="790"/>
      <c r="EE10" s="790"/>
      <c r="EF10" s="790"/>
      <c r="EG10" s="790"/>
      <c r="EH10" s="790"/>
      <c r="EI10" s="790"/>
      <c r="EJ10" s="790"/>
      <c r="EK10" s="790"/>
      <c r="EL10" s="790"/>
      <c r="EM10" s="790"/>
      <c r="EN10" s="790"/>
      <c r="EO10" s="790"/>
      <c r="EP10" s="790"/>
      <c r="EQ10" s="790"/>
      <c r="ER10" s="790"/>
      <c r="ES10" s="790"/>
      <c r="ET10" s="790"/>
      <c r="EU10" s="790"/>
      <c r="EV10" s="790"/>
      <c r="EW10" s="790"/>
      <c r="EX10" s="790"/>
      <c r="EY10" s="790"/>
      <c r="EZ10" s="790"/>
      <c r="FA10" s="790"/>
      <c r="FB10" s="790"/>
      <c r="FC10" s="790"/>
      <c r="FD10" s="790"/>
      <c r="FE10" s="790"/>
      <c r="FF10" s="790"/>
      <c r="FG10" s="790"/>
      <c r="FH10" s="790"/>
      <c r="FI10" s="790"/>
      <c r="FJ10" s="790"/>
      <c r="FK10" s="790"/>
      <c r="FL10" s="790"/>
      <c r="FM10" s="790"/>
      <c r="FN10" s="790"/>
      <c r="FO10" s="790"/>
      <c r="FP10" s="790"/>
      <c r="FQ10" s="790"/>
      <c r="FR10" s="790"/>
      <c r="FS10" s="790"/>
      <c r="FT10" s="790"/>
      <c r="FU10" s="790"/>
      <c r="FV10" s="790"/>
      <c r="FW10" s="790"/>
      <c r="FX10" s="790"/>
      <c r="FY10" s="790"/>
      <c r="FZ10" s="790"/>
      <c r="GA10" s="790"/>
      <c r="GB10" s="790"/>
      <c r="GC10" s="790"/>
      <c r="GD10" s="790"/>
      <c r="GE10" s="790"/>
      <c r="GF10" s="790"/>
      <c r="GG10" s="790"/>
      <c r="GH10" s="790"/>
      <c r="GI10" s="790"/>
      <c r="GJ10" s="790"/>
      <c r="GK10" s="790"/>
      <c r="GL10" s="790"/>
      <c r="GM10" s="790"/>
      <c r="GN10" s="790"/>
      <c r="GO10" s="790"/>
      <c r="GP10" s="790"/>
      <c r="GQ10" s="790"/>
      <c r="GR10" s="790"/>
      <c r="GS10" s="790"/>
      <c r="GT10" s="790"/>
      <c r="GU10" s="790"/>
      <c r="GV10" s="790"/>
      <c r="GW10" s="790"/>
      <c r="GX10" s="790"/>
      <c r="GY10" s="790"/>
      <c r="GZ10" s="790"/>
      <c r="HA10" s="790"/>
      <c r="HB10" s="790"/>
      <c r="HC10" s="790"/>
      <c r="HD10" s="790"/>
      <c r="HE10" s="790"/>
      <c r="HF10" s="790"/>
      <c r="HG10" s="790"/>
      <c r="HH10" s="790"/>
      <c r="HI10" s="790"/>
      <c r="HJ10" s="790"/>
      <c r="HK10" s="790"/>
      <c r="HL10" s="790"/>
      <c r="HM10" s="790"/>
      <c r="HN10" s="790"/>
      <c r="HO10" s="790"/>
      <c r="HP10" s="790"/>
      <c r="HQ10" s="790"/>
      <c r="HR10" s="790"/>
      <c r="HS10" s="790"/>
      <c r="HT10" s="790"/>
      <c r="HU10" s="790"/>
      <c r="HV10" s="790"/>
      <c r="HW10" s="790"/>
      <c r="HX10" s="790"/>
      <c r="HY10" s="790"/>
      <c r="HZ10" s="790"/>
      <c r="IA10" s="790"/>
      <c r="IB10" s="790"/>
      <c r="IC10" s="790"/>
      <c r="ID10" s="790"/>
      <c r="IE10" s="790"/>
      <c r="IF10" s="790"/>
      <c r="IG10" s="790"/>
      <c r="IH10" s="790"/>
      <c r="II10" s="790"/>
      <c r="IJ10" s="790"/>
      <c r="IK10" s="790"/>
      <c r="IL10" s="790"/>
      <c r="IM10" s="790"/>
      <c r="IN10" s="790"/>
      <c r="IO10" s="790"/>
      <c r="IP10" s="790"/>
      <c r="IQ10" s="790"/>
      <c r="IR10" s="790"/>
      <c r="IS10" s="790"/>
      <c r="IT10" s="790"/>
    </row>
    <row r="11" spans="1:254" s="798" customFormat="1" ht="21.75" customHeight="1" x14ac:dyDescent="0.2">
      <c r="A11" s="804"/>
      <c r="B11" s="804"/>
      <c r="C11" s="804"/>
      <c r="D11" s="803"/>
      <c r="E11" s="803"/>
      <c r="F11" s="803"/>
      <c r="G11" s="803"/>
      <c r="H11" s="802"/>
      <c r="I11" s="63"/>
      <c r="J11" s="63"/>
      <c r="K11" s="799"/>
      <c r="L11" s="799"/>
      <c r="M11" s="799"/>
      <c r="N11" s="799"/>
      <c r="O11" s="799"/>
      <c r="P11" s="799"/>
      <c r="Q11" s="799"/>
      <c r="R11" s="790"/>
      <c r="S11" s="790"/>
      <c r="T11" s="790"/>
      <c r="U11" s="790"/>
      <c r="V11" s="790"/>
      <c r="W11" s="790"/>
      <c r="X11" s="790"/>
      <c r="Y11" s="790"/>
      <c r="Z11" s="790"/>
      <c r="AA11" s="790"/>
      <c r="AB11" s="790"/>
      <c r="AC11" s="790"/>
      <c r="AD11" s="790"/>
      <c r="AE11" s="790"/>
      <c r="AF11" s="790"/>
      <c r="AG11" s="790"/>
      <c r="AH11" s="790"/>
      <c r="AI11" s="790"/>
      <c r="AJ11" s="790"/>
      <c r="AK11" s="790"/>
      <c r="AL11" s="790"/>
      <c r="AM11" s="790"/>
      <c r="AN11" s="790"/>
      <c r="AO11" s="790"/>
      <c r="AP11" s="790"/>
      <c r="AQ11" s="790"/>
      <c r="AR11" s="790"/>
      <c r="AS11" s="790"/>
      <c r="AT11" s="790"/>
      <c r="AU11" s="790"/>
      <c r="AV11" s="790"/>
      <c r="AW11" s="790"/>
      <c r="AX11" s="790"/>
      <c r="AY11" s="790"/>
      <c r="AZ11" s="790"/>
      <c r="BA11" s="790"/>
      <c r="BB11" s="790"/>
      <c r="BC11" s="790"/>
      <c r="BD11" s="790"/>
      <c r="BE11" s="790"/>
      <c r="BF11" s="790"/>
      <c r="BG11" s="790"/>
      <c r="BH11" s="790"/>
      <c r="BI11" s="790"/>
      <c r="BJ11" s="790"/>
      <c r="BK11" s="790"/>
      <c r="BL11" s="790"/>
      <c r="BM11" s="790"/>
      <c r="BN11" s="790"/>
      <c r="BO11" s="790"/>
      <c r="BP11" s="790"/>
      <c r="BQ11" s="790"/>
      <c r="BR11" s="790"/>
      <c r="BS11" s="790"/>
      <c r="BT11" s="790"/>
      <c r="BU11" s="790"/>
      <c r="BV11" s="790"/>
      <c r="BW11" s="790"/>
      <c r="BX11" s="790"/>
      <c r="BY11" s="790"/>
      <c r="BZ11" s="790"/>
      <c r="CA11" s="790"/>
      <c r="CB11" s="790"/>
      <c r="CC11" s="790"/>
      <c r="CD11" s="790"/>
      <c r="CE11" s="790"/>
      <c r="CF11" s="790"/>
      <c r="CG11" s="790"/>
      <c r="CH11" s="790"/>
      <c r="CI11" s="790"/>
      <c r="CJ11" s="790"/>
      <c r="CK11" s="790"/>
      <c r="CL11" s="790"/>
      <c r="CM11" s="790"/>
      <c r="CN11" s="790"/>
      <c r="CO11" s="790"/>
      <c r="CP11" s="790"/>
      <c r="CQ11" s="790"/>
      <c r="CR11" s="790"/>
      <c r="CS11" s="790"/>
      <c r="CT11" s="790"/>
      <c r="CU11" s="790"/>
      <c r="CV11" s="790"/>
      <c r="CW11" s="790"/>
      <c r="CX11" s="790"/>
      <c r="CY11" s="790"/>
      <c r="CZ11" s="790"/>
      <c r="DA11" s="790"/>
      <c r="DB11" s="790"/>
      <c r="DC11" s="790"/>
      <c r="DD11" s="790"/>
      <c r="DE11" s="790"/>
      <c r="DF11" s="790"/>
      <c r="DG11" s="790"/>
      <c r="DH11" s="790"/>
      <c r="DI11" s="790"/>
      <c r="DJ11" s="790"/>
      <c r="DK11" s="790"/>
      <c r="DL11" s="790"/>
      <c r="DM11" s="790"/>
      <c r="DN11" s="790"/>
      <c r="DO11" s="790"/>
      <c r="DP11" s="790"/>
      <c r="DQ11" s="790"/>
      <c r="DR11" s="790"/>
      <c r="DS11" s="790"/>
      <c r="DT11" s="790"/>
      <c r="DU11" s="790"/>
      <c r="DV11" s="790"/>
      <c r="DW11" s="790"/>
      <c r="DX11" s="790"/>
      <c r="DY11" s="790"/>
      <c r="DZ11" s="790"/>
      <c r="EA11" s="790"/>
      <c r="EB11" s="790"/>
      <c r="EC11" s="790"/>
      <c r="ED11" s="790"/>
      <c r="EE11" s="790"/>
      <c r="EF11" s="790"/>
      <c r="EG11" s="790"/>
      <c r="EH11" s="790"/>
      <c r="EI11" s="790"/>
      <c r="EJ11" s="790"/>
      <c r="EK11" s="790"/>
      <c r="EL11" s="790"/>
      <c r="EM11" s="790"/>
      <c r="EN11" s="790"/>
      <c r="EO11" s="790"/>
      <c r="EP11" s="790"/>
      <c r="EQ11" s="790"/>
      <c r="ER11" s="790"/>
      <c r="ES11" s="790"/>
      <c r="ET11" s="790"/>
      <c r="EU11" s="790"/>
      <c r="EV11" s="790"/>
      <c r="EW11" s="790"/>
      <c r="EX11" s="790"/>
      <c r="EY11" s="790"/>
      <c r="EZ11" s="790"/>
      <c r="FA11" s="790"/>
      <c r="FB11" s="790"/>
      <c r="FC11" s="790"/>
      <c r="FD11" s="790"/>
      <c r="FE11" s="790"/>
      <c r="FF11" s="790"/>
      <c r="FG11" s="790"/>
      <c r="FH11" s="790"/>
      <c r="FI11" s="790"/>
      <c r="FJ11" s="790"/>
      <c r="FK11" s="790"/>
      <c r="FL11" s="790"/>
      <c r="FM11" s="790"/>
      <c r="FN11" s="790"/>
      <c r="FO11" s="790"/>
      <c r="FP11" s="790"/>
      <c r="FQ11" s="790"/>
      <c r="FR11" s="790"/>
      <c r="FS11" s="790"/>
      <c r="FT11" s="790"/>
      <c r="FU11" s="790"/>
      <c r="FV11" s="790"/>
      <c r="FW11" s="790"/>
      <c r="FX11" s="790"/>
      <c r="FY11" s="790"/>
      <c r="FZ11" s="790"/>
      <c r="GA11" s="790"/>
      <c r="GB11" s="790"/>
      <c r="GC11" s="790"/>
      <c r="GD11" s="790"/>
      <c r="GE11" s="790"/>
      <c r="GF11" s="790"/>
      <c r="GG11" s="790"/>
      <c r="GH11" s="790"/>
      <c r="GI11" s="790"/>
      <c r="GJ11" s="790"/>
      <c r="GK11" s="790"/>
      <c r="GL11" s="790"/>
      <c r="GM11" s="790"/>
      <c r="GN11" s="790"/>
      <c r="GO11" s="790"/>
      <c r="GP11" s="790"/>
      <c r="GQ11" s="790"/>
      <c r="GR11" s="790"/>
      <c r="GS11" s="790"/>
      <c r="GT11" s="790"/>
      <c r="GU11" s="790"/>
      <c r="GV11" s="790"/>
      <c r="GW11" s="790"/>
      <c r="GX11" s="790"/>
      <c r="GY11" s="790"/>
      <c r="GZ11" s="790"/>
      <c r="HA11" s="790"/>
      <c r="HB11" s="790"/>
      <c r="HC11" s="790"/>
      <c r="HD11" s="790"/>
      <c r="HE11" s="790"/>
      <c r="HF11" s="790"/>
      <c r="HG11" s="790"/>
      <c r="HH11" s="790"/>
      <c r="HI11" s="790"/>
      <c r="HJ11" s="790"/>
      <c r="HK11" s="790"/>
      <c r="HL11" s="790"/>
      <c r="HM11" s="790"/>
      <c r="HN11" s="790"/>
      <c r="HO11" s="790"/>
      <c r="HP11" s="790"/>
      <c r="HQ11" s="790"/>
      <c r="HR11" s="790"/>
      <c r="HS11" s="790"/>
      <c r="HT11" s="790"/>
      <c r="HU11" s="790"/>
      <c r="HV11" s="790"/>
      <c r="HW11" s="790"/>
      <c r="HX11" s="790"/>
      <c r="HY11" s="790"/>
      <c r="HZ11" s="790"/>
      <c r="IA11" s="790"/>
      <c r="IB11" s="790"/>
      <c r="IC11" s="790"/>
      <c r="ID11" s="790"/>
      <c r="IE11" s="790"/>
      <c r="IF11" s="790"/>
      <c r="IG11" s="790"/>
      <c r="IH11" s="790"/>
      <c r="II11" s="790"/>
      <c r="IJ11" s="790"/>
      <c r="IK11" s="790"/>
      <c r="IL11" s="790"/>
      <c r="IM11" s="790"/>
      <c r="IN11" s="790"/>
      <c r="IO11" s="790"/>
      <c r="IP11" s="790"/>
      <c r="IQ11" s="790"/>
      <c r="IR11" s="790"/>
      <c r="IS11" s="790"/>
      <c r="IT11" s="790"/>
    </row>
    <row r="12" spans="1:254" s="798" customFormat="1" ht="18" customHeight="1" x14ac:dyDescent="0.25">
      <c r="A12" s="98" t="s">
        <v>509</v>
      </c>
      <c r="B12" s="802"/>
      <c r="C12" s="802"/>
      <c r="D12" s="802"/>
      <c r="E12" s="802"/>
      <c r="F12" s="802"/>
      <c r="G12" s="802"/>
      <c r="H12" s="802"/>
      <c r="I12" s="802"/>
      <c r="J12" s="802"/>
      <c r="K12" s="674"/>
      <c r="L12" s="674"/>
      <c r="M12" s="674"/>
      <c r="N12" s="674"/>
      <c r="O12" s="674"/>
      <c r="P12" s="674"/>
      <c r="Q12" s="674"/>
      <c r="R12" s="674"/>
      <c r="S12" s="674"/>
      <c r="T12" s="674"/>
      <c r="U12" s="674"/>
      <c r="V12" s="674"/>
      <c r="W12" s="674"/>
      <c r="X12" s="674"/>
      <c r="Y12" s="674"/>
      <c r="Z12" s="674"/>
      <c r="AA12" s="674"/>
      <c r="AB12" s="674"/>
      <c r="AC12" s="674"/>
      <c r="AD12" s="674"/>
      <c r="AE12" s="674"/>
      <c r="AF12" s="674"/>
      <c r="AG12" s="674"/>
      <c r="AH12" s="674"/>
      <c r="AI12" s="674"/>
      <c r="AJ12" s="674"/>
      <c r="AK12" s="674"/>
      <c r="AL12" s="674"/>
      <c r="AM12" s="674"/>
      <c r="AN12" s="674"/>
      <c r="AO12" s="674"/>
      <c r="AP12" s="674"/>
      <c r="AQ12" s="674"/>
      <c r="AR12" s="674"/>
      <c r="AS12" s="674"/>
      <c r="AT12" s="674"/>
      <c r="AU12" s="674"/>
      <c r="AV12" s="674"/>
      <c r="AW12" s="674"/>
      <c r="AX12" s="674"/>
      <c r="AY12" s="674"/>
      <c r="AZ12" s="674"/>
      <c r="BA12" s="674"/>
      <c r="BB12" s="674"/>
      <c r="BC12" s="674"/>
      <c r="BD12" s="674"/>
      <c r="BE12" s="674"/>
      <c r="BF12" s="674"/>
      <c r="BG12" s="674"/>
      <c r="BH12" s="674"/>
      <c r="BI12" s="674"/>
      <c r="BJ12" s="674"/>
      <c r="BK12" s="674"/>
      <c r="BL12" s="674"/>
      <c r="BM12" s="674"/>
      <c r="BN12" s="674"/>
      <c r="BO12" s="674"/>
      <c r="BP12" s="674"/>
      <c r="BQ12" s="674"/>
      <c r="BR12" s="674"/>
      <c r="BS12" s="674"/>
      <c r="BT12" s="674"/>
      <c r="BU12" s="674"/>
      <c r="BV12" s="674"/>
      <c r="BW12" s="674"/>
      <c r="BX12" s="674"/>
      <c r="BY12" s="674"/>
      <c r="BZ12" s="674"/>
      <c r="CA12" s="674"/>
      <c r="CB12" s="674"/>
      <c r="CC12" s="674"/>
      <c r="CD12" s="674"/>
      <c r="CE12" s="674"/>
      <c r="CF12" s="674"/>
      <c r="CG12" s="674"/>
      <c r="CH12" s="674"/>
      <c r="CI12" s="674"/>
      <c r="CJ12" s="674"/>
      <c r="CK12" s="674"/>
      <c r="CL12" s="674"/>
      <c r="CM12" s="674"/>
      <c r="CN12" s="674"/>
      <c r="CO12" s="674"/>
      <c r="CP12" s="674"/>
      <c r="CQ12" s="674"/>
      <c r="CR12" s="674"/>
      <c r="CS12" s="674"/>
      <c r="CT12" s="674"/>
      <c r="CU12" s="674"/>
      <c r="CV12" s="674"/>
      <c r="CW12" s="674"/>
      <c r="CX12" s="674"/>
      <c r="CY12" s="674"/>
      <c r="CZ12" s="674"/>
      <c r="DA12" s="674"/>
      <c r="DB12" s="674"/>
      <c r="DC12" s="674"/>
      <c r="DD12" s="674"/>
      <c r="DE12" s="674"/>
      <c r="DF12" s="674"/>
      <c r="DG12" s="674"/>
      <c r="DH12" s="674"/>
      <c r="DI12" s="674"/>
      <c r="DJ12" s="674"/>
      <c r="DK12" s="674"/>
      <c r="DL12" s="674"/>
      <c r="DM12" s="674"/>
      <c r="DN12" s="674"/>
      <c r="DO12" s="674"/>
      <c r="DP12" s="674"/>
      <c r="DQ12" s="674"/>
      <c r="DR12" s="674"/>
      <c r="DS12" s="674"/>
      <c r="DT12" s="674"/>
      <c r="DU12" s="674"/>
      <c r="DV12" s="674"/>
      <c r="DW12" s="674"/>
      <c r="DX12" s="674"/>
      <c r="DY12" s="674"/>
      <c r="DZ12" s="674"/>
      <c r="EA12" s="674"/>
      <c r="EB12" s="674"/>
      <c r="EC12" s="674"/>
      <c r="ED12" s="674"/>
      <c r="EE12" s="674"/>
      <c r="EF12" s="674"/>
      <c r="EG12" s="674"/>
      <c r="EH12" s="674"/>
      <c r="EI12" s="674"/>
      <c r="EJ12" s="674"/>
      <c r="EK12" s="674"/>
      <c r="EL12" s="674"/>
      <c r="EM12" s="674"/>
      <c r="EN12" s="674"/>
      <c r="EO12" s="674"/>
      <c r="EP12" s="674"/>
      <c r="EQ12" s="674"/>
      <c r="ER12" s="674"/>
      <c r="ES12" s="674"/>
      <c r="ET12" s="674"/>
      <c r="EU12" s="674"/>
      <c r="EV12" s="674"/>
      <c r="EW12" s="674"/>
      <c r="EX12" s="674"/>
      <c r="EY12" s="674"/>
      <c r="EZ12" s="674"/>
      <c r="FA12" s="674"/>
      <c r="FB12" s="674"/>
      <c r="FC12" s="674"/>
      <c r="FD12" s="674"/>
      <c r="FE12" s="674"/>
      <c r="FF12" s="674"/>
      <c r="FG12" s="674"/>
      <c r="FH12" s="674"/>
      <c r="FI12" s="674"/>
      <c r="FJ12" s="674"/>
      <c r="FK12" s="674"/>
      <c r="FL12" s="674"/>
      <c r="FM12" s="674"/>
      <c r="FN12" s="674"/>
      <c r="FO12" s="674"/>
      <c r="FP12" s="674"/>
      <c r="FQ12" s="674"/>
      <c r="FR12" s="674"/>
      <c r="FS12" s="674"/>
      <c r="FT12" s="674"/>
      <c r="FU12" s="674"/>
      <c r="FV12" s="674"/>
      <c r="FW12" s="674"/>
      <c r="FX12" s="674"/>
      <c r="FY12" s="674"/>
      <c r="FZ12" s="674"/>
      <c r="GA12" s="674"/>
      <c r="GB12" s="674"/>
      <c r="GC12" s="674"/>
      <c r="GD12" s="674"/>
      <c r="GE12" s="674"/>
      <c r="GF12" s="674"/>
      <c r="GG12" s="674"/>
      <c r="GH12" s="674"/>
      <c r="GI12" s="674"/>
      <c r="GJ12" s="674"/>
      <c r="GK12" s="674"/>
      <c r="GL12" s="674"/>
      <c r="GM12" s="674"/>
      <c r="GN12" s="674"/>
      <c r="GO12" s="674"/>
      <c r="GP12" s="674"/>
      <c r="GQ12" s="674"/>
      <c r="GR12" s="674"/>
      <c r="GS12" s="674"/>
      <c r="GT12" s="674"/>
      <c r="GU12" s="674"/>
      <c r="GV12" s="674"/>
      <c r="GW12" s="674"/>
      <c r="GX12" s="674"/>
      <c r="GY12" s="674"/>
      <c r="GZ12" s="674"/>
      <c r="HA12" s="674"/>
      <c r="HB12" s="674"/>
      <c r="HC12" s="674"/>
      <c r="HD12" s="674"/>
      <c r="HE12" s="674"/>
      <c r="HF12" s="674"/>
      <c r="HG12" s="674"/>
      <c r="HH12" s="674"/>
      <c r="HI12" s="674"/>
      <c r="HJ12" s="674"/>
      <c r="HK12" s="674"/>
      <c r="HL12" s="674"/>
      <c r="HM12" s="674"/>
      <c r="HN12" s="674"/>
      <c r="HO12" s="674"/>
      <c r="HP12" s="674"/>
      <c r="HQ12" s="674"/>
      <c r="HR12" s="674"/>
      <c r="HS12" s="674"/>
      <c r="HT12" s="674"/>
      <c r="HU12" s="674"/>
      <c r="HV12" s="674"/>
      <c r="HW12" s="674"/>
      <c r="HX12" s="674"/>
      <c r="HY12" s="674"/>
      <c r="HZ12" s="674"/>
      <c r="IA12" s="674"/>
      <c r="IB12" s="674"/>
      <c r="IC12" s="674"/>
      <c r="ID12" s="674"/>
      <c r="IE12" s="674"/>
      <c r="IF12" s="674"/>
      <c r="IG12" s="674"/>
      <c r="IH12" s="674"/>
      <c r="II12" s="674"/>
      <c r="IJ12" s="674"/>
      <c r="IK12" s="674"/>
      <c r="IL12" s="674"/>
      <c r="IM12" s="674"/>
      <c r="IN12" s="674"/>
      <c r="IO12" s="674"/>
      <c r="IP12" s="674"/>
      <c r="IQ12" s="674"/>
      <c r="IR12" s="674"/>
    </row>
    <row r="13" spans="1:254" s="798" customFormat="1" ht="15" customHeight="1" x14ac:dyDescent="0.2">
      <c r="A13" s="2424" t="s">
        <v>605</v>
      </c>
      <c r="B13" s="2121"/>
      <c r="C13" s="2120"/>
      <c r="D13" s="54" t="s">
        <v>246</v>
      </c>
      <c r="E13" s="1032">
        <v>40148</v>
      </c>
      <c r="F13" s="5" t="s">
        <v>264</v>
      </c>
      <c r="G13" s="1033">
        <v>40543</v>
      </c>
      <c r="H13" s="801"/>
      <c r="I13" s="63"/>
      <c r="J13" s="63"/>
      <c r="K13" s="799"/>
      <c r="L13" s="799"/>
      <c r="M13" s="799"/>
      <c r="N13" s="799"/>
      <c r="O13" s="799"/>
      <c r="P13" s="799"/>
      <c r="Q13" s="799"/>
      <c r="R13" s="790"/>
      <c r="S13" s="790"/>
      <c r="T13" s="790"/>
      <c r="U13" s="790"/>
      <c r="V13" s="790"/>
      <c r="W13" s="790"/>
      <c r="X13" s="790"/>
      <c r="Y13" s="790"/>
      <c r="Z13" s="790"/>
      <c r="AA13" s="790"/>
      <c r="AB13" s="790"/>
      <c r="AC13" s="790"/>
      <c r="AD13" s="790"/>
      <c r="AE13" s="790"/>
      <c r="AF13" s="790"/>
      <c r="AG13" s="790"/>
      <c r="AH13" s="790"/>
      <c r="AI13" s="790"/>
      <c r="AJ13" s="790"/>
      <c r="AK13" s="790"/>
      <c r="AL13" s="790"/>
      <c r="AM13" s="790"/>
      <c r="AN13" s="790"/>
      <c r="AO13" s="790"/>
      <c r="AP13" s="790"/>
      <c r="AQ13" s="790"/>
      <c r="AR13" s="790"/>
      <c r="AS13" s="790"/>
      <c r="AT13" s="790"/>
      <c r="AU13" s="790"/>
      <c r="AV13" s="790"/>
      <c r="AW13" s="790"/>
      <c r="AX13" s="790"/>
      <c r="AY13" s="790"/>
      <c r="AZ13" s="790"/>
      <c r="BA13" s="790"/>
      <c r="BB13" s="790"/>
      <c r="BC13" s="790"/>
      <c r="BD13" s="790"/>
      <c r="BE13" s="790"/>
      <c r="BF13" s="790"/>
      <c r="BG13" s="790"/>
      <c r="BH13" s="790"/>
      <c r="BI13" s="790"/>
      <c r="BJ13" s="790"/>
      <c r="BK13" s="790"/>
      <c r="BL13" s="790"/>
      <c r="BM13" s="790"/>
      <c r="BN13" s="790"/>
      <c r="BO13" s="790"/>
      <c r="BP13" s="790"/>
      <c r="BQ13" s="790"/>
      <c r="BR13" s="790"/>
      <c r="BS13" s="790"/>
      <c r="BT13" s="790"/>
      <c r="BU13" s="790"/>
      <c r="BV13" s="790"/>
      <c r="BW13" s="790"/>
      <c r="BX13" s="790"/>
      <c r="BY13" s="790"/>
      <c r="BZ13" s="790"/>
      <c r="CA13" s="790"/>
      <c r="CB13" s="790"/>
      <c r="CC13" s="790"/>
      <c r="CD13" s="790"/>
      <c r="CE13" s="790"/>
      <c r="CF13" s="790"/>
      <c r="CG13" s="790"/>
      <c r="CH13" s="790"/>
      <c r="CI13" s="790"/>
      <c r="CJ13" s="790"/>
      <c r="CK13" s="790"/>
      <c r="CL13" s="790"/>
      <c r="CM13" s="790"/>
      <c r="CN13" s="790"/>
      <c r="CO13" s="790"/>
      <c r="CP13" s="790"/>
      <c r="CQ13" s="790"/>
      <c r="CR13" s="790"/>
      <c r="CS13" s="790"/>
      <c r="CT13" s="790"/>
      <c r="CU13" s="790"/>
      <c r="CV13" s="790"/>
      <c r="CW13" s="790"/>
      <c r="CX13" s="790"/>
      <c r="CY13" s="790"/>
      <c r="CZ13" s="790"/>
      <c r="DA13" s="790"/>
      <c r="DB13" s="790"/>
      <c r="DC13" s="790"/>
      <c r="DD13" s="790"/>
      <c r="DE13" s="790"/>
      <c r="DF13" s="790"/>
      <c r="DG13" s="790"/>
      <c r="DH13" s="790"/>
      <c r="DI13" s="790"/>
      <c r="DJ13" s="790"/>
      <c r="DK13" s="790"/>
      <c r="DL13" s="790"/>
      <c r="DM13" s="790"/>
      <c r="DN13" s="790"/>
      <c r="DO13" s="790"/>
      <c r="DP13" s="790"/>
      <c r="DQ13" s="790"/>
      <c r="DR13" s="790"/>
      <c r="DS13" s="790"/>
      <c r="DT13" s="790"/>
      <c r="DU13" s="790"/>
      <c r="DV13" s="790"/>
      <c r="DW13" s="790"/>
      <c r="DX13" s="790"/>
      <c r="DY13" s="790"/>
      <c r="DZ13" s="790"/>
      <c r="EA13" s="790"/>
      <c r="EB13" s="790"/>
      <c r="EC13" s="790"/>
      <c r="ED13" s="790"/>
      <c r="EE13" s="790"/>
      <c r="EF13" s="790"/>
      <c r="EG13" s="790"/>
      <c r="EH13" s="790"/>
      <c r="EI13" s="790"/>
      <c r="EJ13" s="790"/>
      <c r="EK13" s="790"/>
      <c r="EL13" s="790"/>
      <c r="EM13" s="790"/>
      <c r="EN13" s="790"/>
      <c r="EO13" s="790"/>
      <c r="EP13" s="790"/>
      <c r="EQ13" s="790"/>
      <c r="ER13" s="790"/>
      <c r="ES13" s="790"/>
      <c r="ET13" s="790"/>
      <c r="EU13" s="790"/>
      <c r="EV13" s="790"/>
      <c r="EW13" s="790"/>
      <c r="EX13" s="790"/>
      <c r="EY13" s="790"/>
      <c r="EZ13" s="790"/>
      <c r="FA13" s="790"/>
      <c r="FB13" s="790"/>
      <c r="FC13" s="790"/>
      <c r="FD13" s="790"/>
      <c r="FE13" s="790"/>
      <c r="FF13" s="790"/>
      <c r="FG13" s="790"/>
      <c r="FH13" s="790"/>
      <c r="FI13" s="790"/>
      <c r="FJ13" s="790"/>
      <c r="FK13" s="790"/>
      <c r="FL13" s="790"/>
      <c r="FM13" s="790"/>
      <c r="FN13" s="790"/>
      <c r="FO13" s="790"/>
      <c r="FP13" s="790"/>
      <c r="FQ13" s="790"/>
      <c r="FR13" s="790"/>
      <c r="FS13" s="790"/>
      <c r="FT13" s="790"/>
      <c r="FU13" s="790"/>
      <c r="FV13" s="790"/>
      <c r="FW13" s="790"/>
      <c r="FX13" s="790"/>
      <c r="FY13" s="790"/>
      <c r="FZ13" s="790"/>
      <c r="GA13" s="790"/>
      <c r="GB13" s="790"/>
      <c r="GC13" s="790"/>
      <c r="GD13" s="790"/>
      <c r="GE13" s="790"/>
      <c r="GF13" s="790"/>
      <c r="GG13" s="790"/>
      <c r="GH13" s="790"/>
      <c r="GI13" s="790"/>
      <c r="GJ13" s="790"/>
      <c r="GK13" s="790"/>
      <c r="GL13" s="790"/>
      <c r="GM13" s="790"/>
      <c r="GN13" s="790"/>
      <c r="GO13" s="790"/>
      <c r="GP13" s="790"/>
      <c r="GQ13" s="790"/>
      <c r="GR13" s="790"/>
      <c r="GS13" s="790"/>
      <c r="GT13" s="790"/>
      <c r="GU13" s="790"/>
      <c r="GV13" s="790"/>
      <c r="GW13" s="790"/>
      <c r="GX13" s="790"/>
      <c r="GY13" s="790"/>
      <c r="GZ13" s="790"/>
      <c r="HA13" s="790"/>
      <c r="HB13" s="790"/>
      <c r="HC13" s="790"/>
      <c r="HD13" s="790"/>
      <c r="HE13" s="790"/>
      <c r="HF13" s="790"/>
      <c r="HG13" s="790"/>
      <c r="HH13" s="790"/>
      <c r="HI13" s="790"/>
      <c r="HJ13" s="790"/>
      <c r="HK13" s="790"/>
      <c r="HL13" s="790"/>
      <c r="HM13" s="790"/>
      <c r="HN13" s="790"/>
      <c r="HO13" s="790"/>
      <c r="HP13" s="790"/>
      <c r="HQ13" s="790"/>
      <c r="HR13" s="790"/>
      <c r="HS13" s="790"/>
      <c r="HT13" s="790"/>
      <c r="HU13" s="790"/>
      <c r="HV13" s="790"/>
      <c r="HW13" s="790"/>
      <c r="HX13" s="790"/>
      <c r="HY13" s="790"/>
      <c r="HZ13" s="790"/>
      <c r="IA13" s="790"/>
      <c r="IB13" s="790"/>
      <c r="IC13" s="790"/>
      <c r="ID13" s="790"/>
      <c r="IE13" s="790"/>
      <c r="IF13" s="790"/>
      <c r="IG13" s="790"/>
      <c r="IH13" s="790"/>
      <c r="II13" s="790"/>
      <c r="IJ13" s="790"/>
      <c r="IK13" s="790"/>
      <c r="IL13" s="790"/>
      <c r="IM13" s="790"/>
      <c r="IN13" s="790"/>
      <c r="IO13" s="790"/>
      <c r="IP13" s="790"/>
      <c r="IQ13" s="790"/>
      <c r="IR13" s="790"/>
      <c r="IS13" s="790"/>
      <c r="IT13" s="790"/>
    </row>
    <row r="14" spans="1:254" s="798" customFormat="1" ht="15" customHeight="1" thickBot="1" x14ac:dyDescent="0.25">
      <c r="A14" s="2425" t="s">
        <v>490</v>
      </c>
      <c r="B14" s="2426"/>
      <c r="C14" s="2427"/>
      <c r="D14" s="54" t="s">
        <v>246</v>
      </c>
      <c r="E14" s="1032">
        <v>40148</v>
      </c>
      <c r="F14" s="5" t="s">
        <v>264</v>
      </c>
      <c r="G14" s="1033">
        <v>40543</v>
      </c>
      <c r="H14" s="800"/>
      <c r="I14" s="63"/>
      <c r="J14" s="63"/>
      <c r="K14" s="799"/>
      <c r="L14" s="799"/>
      <c r="M14" s="799"/>
      <c r="N14" s="799"/>
      <c r="O14" s="799"/>
      <c r="P14" s="799"/>
      <c r="Q14" s="799"/>
      <c r="R14" s="790"/>
      <c r="S14" s="790"/>
      <c r="T14" s="790"/>
      <c r="U14" s="790"/>
      <c r="V14" s="790"/>
      <c r="W14" s="790"/>
      <c r="X14" s="790"/>
      <c r="Y14" s="790"/>
      <c r="Z14" s="790"/>
      <c r="AA14" s="790"/>
      <c r="AB14" s="790"/>
      <c r="AC14" s="790"/>
      <c r="AD14" s="790"/>
      <c r="AE14" s="790"/>
      <c r="AF14" s="790"/>
      <c r="AG14" s="790"/>
      <c r="AH14" s="790"/>
      <c r="AI14" s="790"/>
      <c r="AJ14" s="790"/>
      <c r="AK14" s="790"/>
      <c r="AL14" s="790"/>
      <c r="AM14" s="790"/>
      <c r="AN14" s="790"/>
      <c r="AO14" s="790"/>
      <c r="AP14" s="790"/>
      <c r="AQ14" s="790"/>
      <c r="AR14" s="790"/>
      <c r="AS14" s="790"/>
      <c r="AT14" s="790"/>
      <c r="AU14" s="790"/>
      <c r="AV14" s="790"/>
      <c r="AW14" s="790"/>
      <c r="AX14" s="790"/>
      <c r="AY14" s="790"/>
      <c r="AZ14" s="790"/>
      <c r="BA14" s="790"/>
      <c r="BB14" s="790"/>
      <c r="BC14" s="790"/>
      <c r="BD14" s="790"/>
      <c r="BE14" s="790"/>
      <c r="BF14" s="790"/>
      <c r="BG14" s="790"/>
      <c r="BH14" s="790"/>
      <c r="BI14" s="790"/>
      <c r="BJ14" s="790"/>
      <c r="BK14" s="790"/>
      <c r="BL14" s="790"/>
      <c r="BM14" s="790"/>
      <c r="BN14" s="790"/>
      <c r="BO14" s="790"/>
      <c r="BP14" s="790"/>
      <c r="BQ14" s="790"/>
      <c r="BR14" s="790"/>
      <c r="BS14" s="790"/>
      <c r="BT14" s="790"/>
      <c r="BU14" s="790"/>
      <c r="BV14" s="790"/>
      <c r="BW14" s="790"/>
      <c r="BX14" s="790"/>
      <c r="BY14" s="790"/>
      <c r="BZ14" s="790"/>
      <c r="CA14" s="790"/>
      <c r="CB14" s="790"/>
      <c r="CC14" s="790"/>
      <c r="CD14" s="790"/>
      <c r="CE14" s="790"/>
      <c r="CF14" s="790"/>
      <c r="CG14" s="790"/>
      <c r="CH14" s="790"/>
      <c r="CI14" s="790"/>
      <c r="CJ14" s="790"/>
      <c r="CK14" s="790"/>
      <c r="CL14" s="790"/>
      <c r="CM14" s="790"/>
      <c r="CN14" s="790"/>
      <c r="CO14" s="790"/>
      <c r="CP14" s="790"/>
      <c r="CQ14" s="790"/>
      <c r="CR14" s="790"/>
      <c r="CS14" s="790"/>
      <c r="CT14" s="790"/>
      <c r="CU14" s="790"/>
      <c r="CV14" s="790"/>
      <c r="CW14" s="790"/>
      <c r="CX14" s="790"/>
      <c r="CY14" s="790"/>
      <c r="CZ14" s="790"/>
      <c r="DA14" s="790"/>
      <c r="DB14" s="790"/>
      <c r="DC14" s="790"/>
      <c r="DD14" s="790"/>
      <c r="DE14" s="790"/>
      <c r="DF14" s="790"/>
      <c r="DG14" s="790"/>
      <c r="DH14" s="790"/>
      <c r="DI14" s="790"/>
      <c r="DJ14" s="790"/>
      <c r="DK14" s="790"/>
      <c r="DL14" s="790"/>
      <c r="DM14" s="790"/>
      <c r="DN14" s="790"/>
      <c r="DO14" s="790"/>
      <c r="DP14" s="790"/>
      <c r="DQ14" s="790"/>
      <c r="DR14" s="790"/>
      <c r="DS14" s="790"/>
      <c r="DT14" s="790"/>
      <c r="DU14" s="790"/>
      <c r="DV14" s="790"/>
      <c r="DW14" s="790"/>
      <c r="DX14" s="790"/>
      <c r="DY14" s="790"/>
      <c r="DZ14" s="790"/>
      <c r="EA14" s="790"/>
      <c r="EB14" s="790"/>
      <c r="EC14" s="790"/>
      <c r="ED14" s="790"/>
      <c r="EE14" s="790"/>
      <c r="EF14" s="790"/>
      <c r="EG14" s="790"/>
      <c r="EH14" s="790"/>
      <c r="EI14" s="790"/>
      <c r="EJ14" s="790"/>
      <c r="EK14" s="790"/>
      <c r="EL14" s="790"/>
      <c r="EM14" s="790"/>
      <c r="EN14" s="790"/>
      <c r="EO14" s="790"/>
      <c r="EP14" s="790"/>
      <c r="EQ14" s="790"/>
      <c r="ER14" s="790"/>
      <c r="ES14" s="790"/>
      <c r="ET14" s="790"/>
      <c r="EU14" s="790"/>
      <c r="EV14" s="790"/>
      <c r="EW14" s="790"/>
      <c r="EX14" s="790"/>
      <c r="EY14" s="790"/>
      <c r="EZ14" s="790"/>
      <c r="FA14" s="790"/>
      <c r="FB14" s="790"/>
      <c r="FC14" s="790"/>
      <c r="FD14" s="790"/>
      <c r="FE14" s="790"/>
      <c r="FF14" s="790"/>
      <c r="FG14" s="790"/>
      <c r="FH14" s="790"/>
      <c r="FI14" s="790"/>
      <c r="FJ14" s="790"/>
      <c r="FK14" s="790"/>
      <c r="FL14" s="790"/>
      <c r="FM14" s="790"/>
      <c r="FN14" s="790"/>
      <c r="FO14" s="790"/>
      <c r="FP14" s="790"/>
      <c r="FQ14" s="790"/>
      <c r="FR14" s="790"/>
      <c r="FS14" s="790"/>
      <c r="FT14" s="790"/>
      <c r="FU14" s="790"/>
      <c r="FV14" s="790"/>
      <c r="FW14" s="790"/>
      <c r="FX14" s="790"/>
      <c r="FY14" s="790"/>
      <c r="FZ14" s="790"/>
      <c r="GA14" s="790"/>
      <c r="GB14" s="790"/>
      <c r="GC14" s="790"/>
      <c r="GD14" s="790"/>
      <c r="GE14" s="790"/>
      <c r="GF14" s="790"/>
      <c r="GG14" s="790"/>
      <c r="GH14" s="790"/>
      <c r="GI14" s="790"/>
      <c r="GJ14" s="790"/>
      <c r="GK14" s="790"/>
      <c r="GL14" s="790"/>
      <c r="GM14" s="790"/>
      <c r="GN14" s="790"/>
      <c r="GO14" s="790"/>
      <c r="GP14" s="790"/>
      <c r="GQ14" s="790"/>
      <c r="GR14" s="790"/>
      <c r="GS14" s="790"/>
      <c r="GT14" s="790"/>
      <c r="GU14" s="790"/>
      <c r="GV14" s="790"/>
      <c r="GW14" s="790"/>
      <c r="GX14" s="790"/>
      <c r="GY14" s="790"/>
      <c r="GZ14" s="790"/>
      <c r="HA14" s="790"/>
      <c r="HB14" s="790"/>
      <c r="HC14" s="790"/>
      <c r="HD14" s="790"/>
      <c r="HE14" s="790"/>
      <c r="HF14" s="790"/>
      <c r="HG14" s="790"/>
      <c r="HH14" s="790"/>
      <c r="HI14" s="790"/>
      <c r="HJ14" s="790"/>
      <c r="HK14" s="790"/>
      <c r="HL14" s="790"/>
      <c r="HM14" s="790"/>
      <c r="HN14" s="790"/>
      <c r="HO14" s="790"/>
      <c r="HP14" s="790"/>
      <c r="HQ14" s="790"/>
      <c r="HR14" s="790"/>
      <c r="HS14" s="790"/>
      <c r="HT14" s="790"/>
      <c r="HU14" s="790"/>
      <c r="HV14" s="790"/>
      <c r="HW14" s="790"/>
      <c r="HX14" s="790"/>
      <c r="HY14" s="790"/>
      <c r="HZ14" s="790"/>
      <c r="IA14" s="790"/>
      <c r="IB14" s="790"/>
      <c r="IC14" s="790"/>
      <c r="ID14" s="790"/>
      <c r="IE14" s="790"/>
      <c r="IF14" s="790"/>
      <c r="IG14" s="790"/>
      <c r="IH14" s="790"/>
      <c r="II14" s="790"/>
      <c r="IJ14" s="790"/>
      <c r="IK14" s="790"/>
      <c r="IL14" s="790"/>
      <c r="IM14" s="790"/>
      <c r="IN14" s="790"/>
      <c r="IO14" s="790"/>
      <c r="IP14" s="790"/>
      <c r="IQ14" s="790"/>
      <c r="IR14" s="790"/>
      <c r="IS14" s="790"/>
      <c r="IT14" s="790"/>
    </row>
    <row r="15" spans="1:254" ht="21" customHeight="1" x14ac:dyDescent="0.2">
      <c r="A15" s="72"/>
      <c r="B15" s="72"/>
      <c r="C15" s="72"/>
      <c r="D15" s="72"/>
      <c r="E15" s="72"/>
      <c r="F15" s="72"/>
      <c r="G15" s="72"/>
      <c r="H15" s="72"/>
      <c r="I15" s="72"/>
      <c r="J15" s="72"/>
      <c r="R15" s="790"/>
      <c r="S15" s="790"/>
      <c r="T15" s="790"/>
      <c r="U15" s="790"/>
      <c r="V15" s="790"/>
      <c r="W15" s="790"/>
      <c r="X15" s="790"/>
      <c r="Y15" s="790"/>
      <c r="Z15" s="790"/>
      <c r="AA15" s="790"/>
      <c r="AB15" s="790"/>
      <c r="AC15" s="790"/>
      <c r="AD15" s="790"/>
      <c r="AE15" s="790"/>
      <c r="AF15" s="790"/>
      <c r="AG15" s="790"/>
      <c r="AH15" s="790"/>
      <c r="AI15" s="790"/>
      <c r="AJ15" s="790"/>
      <c r="AK15" s="790"/>
      <c r="AL15" s="790"/>
      <c r="AM15" s="790"/>
      <c r="AN15" s="790"/>
      <c r="AO15" s="790"/>
      <c r="AP15" s="790"/>
      <c r="AQ15" s="790"/>
      <c r="AR15" s="790"/>
      <c r="AS15" s="790"/>
      <c r="AT15" s="790"/>
      <c r="AU15" s="790"/>
      <c r="AV15" s="790"/>
      <c r="AW15" s="790"/>
      <c r="AX15" s="790"/>
      <c r="AY15" s="790"/>
      <c r="AZ15" s="790"/>
      <c r="BA15" s="790"/>
      <c r="BB15" s="790"/>
      <c r="BC15" s="790"/>
      <c r="BD15" s="790"/>
      <c r="BE15" s="790"/>
      <c r="BF15" s="790"/>
      <c r="BG15" s="790"/>
      <c r="BH15" s="790"/>
      <c r="BI15" s="790"/>
      <c r="BJ15" s="790"/>
      <c r="BK15" s="790"/>
      <c r="BL15" s="790"/>
      <c r="BM15" s="790"/>
      <c r="BN15" s="790"/>
      <c r="BO15" s="790"/>
      <c r="BP15" s="790"/>
      <c r="BQ15" s="790"/>
      <c r="BR15" s="790"/>
      <c r="BS15" s="790"/>
      <c r="BT15" s="790"/>
      <c r="BU15" s="790"/>
      <c r="BV15" s="790"/>
      <c r="BW15" s="790"/>
      <c r="BX15" s="790"/>
      <c r="BY15" s="790"/>
      <c r="BZ15" s="790"/>
      <c r="CA15" s="790"/>
      <c r="CB15" s="790"/>
      <c r="CC15" s="790"/>
      <c r="CD15" s="790"/>
      <c r="CE15" s="790"/>
      <c r="CF15" s="790"/>
      <c r="CG15" s="790"/>
      <c r="CH15" s="790"/>
      <c r="CI15" s="790"/>
      <c r="CJ15" s="790"/>
      <c r="CK15" s="790"/>
      <c r="CL15" s="790"/>
      <c r="CM15" s="790"/>
      <c r="CN15" s="790"/>
      <c r="CO15" s="790"/>
      <c r="CP15" s="790"/>
      <c r="CQ15" s="790"/>
      <c r="CR15" s="790"/>
      <c r="CS15" s="790"/>
      <c r="CT15" s="790"/>
      <c r="CU15" s="790"/>
      <c r="CV15" s="790"/>
      <c r="CW15" s="790"/>
      <c r="CX15" s="790"/>
      <c r="CY15" s="790"/>
      <c r="CZ15" s="790"/>
      <c r="DA15" s="790"/>
      <c r="DB15" s="790"/>
      <c r="DC15" s="790"/>
      <c r="DD15" s="790"/>
      <c r="DE15" s="790"/>
      <c r="DF15" s="790"/>
      <c r="DG15" s="790"/>
      <c r="DH15" s="790"/>
      <c r="DI15" s="790"/>
      <c r="DJ15" s="790"/>
      <c r="DK15" s="790"/>
      <c r="DL15" s="790"/>
      <c r="DM15" s="790"/>
      <c r="DN15" s="790"/>
      <c r="DO15" s="790"/>
      <c r="DP15" s="790"/>
      <c r="DQ15" s="790"/>
      <c r="DR15" s="790"/>
      <c r="DS15" s="790"/>
      <c r="DT15" s="790"/>
      <c r="DU15" s="790"/>
      <c r="DV15" s="790"/>
      <c r="DW15" s="790"/>
      <c r="DX15" s="790"/>
      <c r="DY15" s="790"/>
      <c r="DZ15" s="790"/>
      <c r="EA15" s="790"/>
      <c r="EB15" s="790"/>
      <c r="EC15" s="790"/>
      <c r="ED15" s="790"/>
      <c r="EE15" s="790"/>
      <c r="EF15" s="790"/>
      <c r="EG15" s="790"/>
      <c r="EH15" s="790"/>
      <c r="EI15" s="790"/>
      <c r="EJ15" s="790"/>
      <c r="EK15" s="790"/>
      <c r="EL15" s="790"/>
      <c r="EM15" s="790"/>
      <c r="EN15" s="790"/>
      <c r="EO15" s="790"/>
      <c r="EP15" s="790"/>
      <c r="EQ15" s="790"/>
      <c r="ER15" s="790"/>
      <c r="ES15" s="790"/>
      <c r="ET15" s="790"/>
      <c r="EU15" s="790"/>
      <c r="EV15" s="790"/>
      <c r="EW15" s="790"/>
      <c r="EX15" s="790"/>
      <c r="EY15" s="790"/>
      <c r="EZ15" s="790"/>
      <c r="FA15" s="790"/>
      <c r="FB15" s="790"/>
      <c r="FC15" s="790"/>
      <c r="FD15" s="790"/>
      <c r="FE15" s="790"/>
      <c r="FF15" s="790"/>
      <c r="FG15" s="790"/>
      <c r="FH15" s="790"/>
      <c r="FI15" s="790"/>
      <c r="FJ15" s="790"/>
      <c r="FK15" s="790"/>
      <c r="FL15" s="790"/>
      <c r="FM15" s="790"/>
      <c r="FN15" s="790"/>
      <c r="FO15" s="790"/>
      <c r="FP15" s="790"/>
      <c r="FQ15" s="790"/>
      <c r="FR15" s="790"/>
      <c r="FS15" s="790"/>
      <c r="FT15" s="790"/>
      <c r="FU15" s="790"/>
      <c r="FV15" s="790"/>
      <c r="FW15" s="790"/>
      <c r="FX15" s="790"/>
      <c r="FY15" s="790"/>
      <c r="FZ15" s="790"/>
      <c r="GA15" s="790"/>
      <c r="GB15" s="790"/>
      <c r="GC15" s="790"/>
      <c r="GD15" s="790"/>
      <c r="GE15" s="790"/>
      <c r="GF15" s="790"/>
      <c r="GG15" s="790"/>
      <c r="GH15" s="790"/>
      <c r="GI15" s="790"/>
      <c r="GJ15" s="790"/>
      <c r="GK15" s="790"/>
      <c r="GL15" s="790"/>
      <c r="GM15" s="790"/>
      <c r="GN15" s="790"/>
      <c r="GO15" s="790"/>
      <c r="GP15" s="790"/>
      <c r="GQ15" s="790"/>
      <c r="GR15" s="790"/>
      <c r="GS15" s="790"/>
      <c r="GT15" s="790"/>
      <c r="GU15" s="790"/>
      <c r="GV15" s="790"/>
      <c r="GW15" s="790"/>
      <c r="GX15" s="790"/>
      <c r="GY15" s="790"/>
      <c r="GZ15" s="790"/>
      <c r="HA15" s="790"/>
      <c r="HB15" s="790"/>
      <c r="HC15" s="790"/>
      <c r="HD15" s="790"/>
      <c r="HE15" s="790"/>
      <c r="HF15" s="790"/>
      <c r="HG15" s="790"/>
      <c r="HH15" s="790"/>
      <c r="HI15" s="790"/>
      <c r="HJ15" s="790"/>
      <c r="HK15" s="790"/>
      <c r="HL15" s="790"/>
      <c r="HM15" s="790"/>
      <c r="HN15" s="790"/>
      <c r="HO15" s="790"/>
      <c r="HP15" s="790"/>
      <c r="HQ15" s="790"/>
      <c r="HR15" s="790"/>
      <c r="HS15" s="790"/>
      <c r="HT15" s="790"/>
      <c r="HU15" s="790"/>
      <c r="HV15" s="790"/>
      <c r="HW15" s="790"/>
      <c r="HX15" s="790"/>
      <c r="HY15" s="790"/>
      <c r="HZ15" s="790"/>
      <c r="IA15" s="790"/>
      <c r="IB15" s="790"/>
      <c r="IC15" s="790"/>
      <c r="ID15" s="790"/>
      <c r="IE15" s="790"/>
      <c r="IF15" s="790"/>
      <c r="IG15" s="790"/>
      <c r="IH15" s="790"/>
      <c r="II15" s="790"/>
      <c r="IJ15" s="790"/>
      <c r="IK15" s="790"/>
      <c r="IL15" s="790"/>
      <c r="IM15" s="790"/>
      <c r="IN15" s="790"/>
      <c r="IO15" s="790"/>
      <c r="IP15" s="790"/>
      <c r="IQ15" s="790"/>
      <c r="IR15" s="790"/>
      <c r="IS15" s="790"/>
      <c r="IT15" s="790"/>
    </row>
    <row r="16" spans="1:254" s="789" customFormat="1" ht="18" x14ac:dyDescent="0.25">
      <c r="A16" s="2076" t="s">
        <v>510</v>
      </c>
      <c r="B16" s="2077"/>
      <c r="C16" s="2077"/>
      <c r="D16" s="2077"/>
      <c r="E16" s="2077"/>
      <c r="F16" s="2077"/>
      <c r="G16" s="2077"/>
      <c r="H16" s="2077"/>
      <c r="I16" s="2077"/>
      <c r="J16" s="2077"/>
      <c r="K16" s="790"/>
      <c r="L16" s="790"/>
      <c r="M16" s="790"/>
      <c r="N16" s="790"/>
      <c r="O16" s="790"/>
      <c r="P16" s="790"/>
      <c r="Q16" s="790"/>
      <c r="R16" s="790"/>
      <c r="S16" s="790"/>
      <c r="T16" s="790"/>
      <c r="U16" s="790"/>
      <c r="V16" s="790"/>
      <c r="W16" s="790"/>
      <c r="X16" s="790"/>
      <c r="Y16" s="790"/>
      <c r="Z16" s="790"/>
      <c r="AA16" s="790"/>
      <c r="AB16" s="790"/>
      <c r="AC16" s="790"/>
      <c r="AD16" s="790"/>
      <c r="AE16" s="790"/>
      <c r="AF16" s="790"/>
      <c r="AG16" s="790"/>
      <c r="AH16" s="790"/>
      <c r="AI16" s="790"/>
      <c r="AJ16" s="790"/>
      <c r="AK16" s="790"/>
      <c r="AL16" s="790"/>
      <c r="AM16" s="790"/>
      <c r="AN16" s="790"/>
      <c r="AO16" s="790"/>
      <c r="AP16" s="790"/>
      <c r="AQ16" s="790"/>
      <c r="AR16" s="790"/>
      <c r="AS16" s="790"/>
      <c r="AT16" s="790"/>
      <c r="AU16" s="790"/>
      <c r="AV16" s="790"/>
      <c r="AW16" s="790"/>
      <c r="AX16" s="790"/>
      <c r="AY16" s="790"/>
      <c r="AZ16" s="790"/>
      <c r="BA16" s="790"/>
      <c r="BB16" s="790"/>
      <c r="BC16" s="790"/>
      <c r="BD16" s="790"/>
      <c r="BE16" s="790"/>
      <c r="BF16" s="790"/>
      <c r="BG16" s="790"/>
      <c r="BH16" s="790"/>
      <c r="BI16" s="790"/>
      <c r="BJ16" s="790"/>
      <c r="BK16" s="790"/>
      <c r="BL16" s="790"/>
      <c r="BM16" s="790"/>
      <c r="BN16" s="790"/>
      <c r="BO16" s="790"/>
      <c r="BP16" s="790"/>
      <c r="BQ16" s="790"/>
      <c r="BR16" s="790"/>
      <c r="BS16" s="790"/>
      <c r="BT16" s="790"/>
      <c r="BU16" s="790"/>
      <c r="BV16" s="790"/>
      <c r="BW16" s="790"/>
      <c r="BX16" s="790"/>
      <c r="BY16" s="790"/>
      <c r="BZ16" s="790"/>
      <c r="CA16" s="790"/>
      <c r="CB16" s="790"/>
      <c r="CC16" s="790"/>
      <c r="CD16" s="790"/>
      <c r="CE16" s="790"/>
      <c r="CF16" s="790"/>
      <c r="CG16" s="790"/>
      <c r="CH16" s="790"/>
      <c r="CI16" s="790"/>
      <c r="CJ16" s="790"/>
      <c r="CK16" s="790"/>
      <c r="CL16" s="790"/>
      <c r="CM16" s="790"/>
      <c r="CN16" s="790"/>
      <c r="CO16" s="790"/>
      <c r="CP16" s="790"/>
      <c r="CQ16" s="790"/>
      <c r="CR16" s="790"/>
      <c r="CS16" s="790"/>
      <c r="CT16" s="790"/>
      <c r="CU16" s="790"/>
      <c r="CV16" s="790"/>
      <c r="CW16" s="790"/>
      <c r="CX16" s="790"/>
      <c r="CY16" s="790"/>
      <c r="CZ16" s="790"/>
      <c r="DA16" s="790"/>
      <c r="DB16" s="790"/>
      <c r="DC16" s="790"/>
      <c r="DD16" s="790"/>
      <c r="DE16" s="790"/>
      <c r="DF16" s="790"/>
      <c r="DG16" s="790"/>
      <c r="DH16" s="790"/>
      <c r="DI16" s="790"/>
      <c r="DJ16" s="790"/>
      <c r="DK16" s="790"/>
      <c r="DL16" s="790"/>
      <c r="DM16" s="790"/>
      <c r="DN16" s="790"/>
      <c r="DO16" s="790"/>
      <c r="DP16" s="790"/>
      <c r="DQ16" s="790"/>
      <c r="DR16" s="790"/>
      <c r="DS16" s="790"/>
      <c r="DT16" s="790"/>
      <c r="DU16" s="790"/>
      <c r="DV16" s="790"/>
      <c r="DW16" s="790"/>
      <c r="DX16" s="790"/>
      <c r="DY16" s="790"/>
      <c r="DZ16" s="790"/>
      <c r="EA16" s="790"/>
      <c r="EB16" s="790"/>
      <c r="EC16" s="790"/>
      <c r="ED16" s="790"/>
      <c r="EE16" s="790"/>
      <c r="EF16" s="790"/>
      <c r="EG16" s="790"/>
      <c r="EH16" s="790"/>
      <c r="EI16" s="790"/>
      <c r="EJ16" s="790"/>
      <c r="EK16" s="790"/>
      <c r="EL16" s="790"/>
      <c r="EM16" s="790"/>
      <c r="EN16" s="790"/>
      <c r="EO16" s="790"/>
      <c r="EP16" s="790"/>
      <c r="EQ16" s="790"/>
      <c r="ER16" s="790"/>
      <c r="ES16" s="790"/>
      <c r="ET16" s="790"/>
      <c r="EU16" s="790"/>
      <c r="EV16" s="790"/>
      <c r="EW16" s="790"/>
      <c r="EX16" s="790"/>
      <c r="EY16" s="790"/>
      <c r="EZ16" s="790"/>
      <c r="FA16" s="790"/>
      <c r="FB16" s="790"/>
      <c r="FC16" s="790"/>
      <c r="FD16" s="790"/>
      <c r="FE16" s="790"/>
      <c r="FF16" s="790"/>
      <c r="FG16" s="790"/>
      <c r="FH16" s="790"/>
      <c r="FI16" s="790"/>
      <c r="FJ16" s="790"/>
      <c r="FK16" s="790"/>
      <c r="FL16" s="790"/>
      <c r="FM16" s="790"/>
      <c r="FN16" s="790"/>
      <c r="FO16" s="790"/>
      <c r="FP16" s="790"/>
      <c r="FQ16" s="790"/>
      <c r="FR16" s="790"/>
      <c r="FS16" s="790"/>
      <c r="FT16" s="790"/>
      <c r="FU16" s="790"/>
      <c r="FV16" s="790"/>
      <c r="FW16" s="790"/>
      <c r="FX16" s="790"/>
      <c r="FY16" s="790"/>
      <c r="FZ16" s="790"/>
      <c r="GA16" s="790"/>
      <c r="GB16" s="790"/>
      <c r="GC16" s="790"/>
      <c r="GD16" s="790"/>
      <c r="GE16" s="790"/>
      <c r="GF16" s="790"/>
      <c r="GG16" s="790"/>
      <c r="GH16" s="790"/>
      <c r="GI16" s="790"/>
      <c r="GJ16" s="790"/>
      <c r="GK16" s="790"/>
      <c r="GL16" s="790"/>
      <c r="GM16" s="790"/>
      <c r="GN16" s="790"/>
      <c r="GO16" s="790"/>
      <c r="GP16" s="790"/>
      <c r="GQ16" s="790"/>
      <c r="GR16" s="790"/>
      <c r="GS16" s="790"/>
      <c r="GT16" s="790"/>
      <c r="GU16" s="790"/>
      <c r="GV16" s="790"/>
      <c r="GW16" s="790"/>
      <c r="GX16" s="790"/>
      <c r="GY16" s="790"/>
      <c r="GZ16" s="790"/>
      <c r="HA16" s="790"/>
      <c r="HB16" s="790"/>
      <c r="HC16" s="790"/>
      <c r="HD16" s="790"/>
      <c r="HE16" s="790"/>
      <c r="HF16" s="790"/>
      <c r="HG16" s="790"/>
      <c r="HH16" s="790"/>
      <c r="HI16" s="790"/>
      <c r="HJ16" s="790"/>
      <c r="HK16" s="790"/>
      <c r="HL16" s="790"/>
      <c r="HM16" s="790"/>
      <c r="HN16" s="790"/>
      <c r="HO16" s="790"/>
      <c r="HP16" s="790"/>
      <c r="HQ16" s="790"/>
      <c r="HR16" s="790"/>
      <c r="HS16" s="790"/>
      <c r="HT16" s="790"/>
      <c r="HU16" s="790"/>
      <c r="HV16" s="790"/>
      <c r="HW16" s="790"/>
      <c r="HX16" s="790"/>
      <c r="HY16" s="790"/>
      <c r="HZ16" s="790"/>
      <c r="IA16" s="790"/>
      <c r="IB16" s="790"/>
      <c r="IC16" s="790"/>
      <c r="ID16" s="790"/>
      <c r="IE16" s="790"/>
      <c r="IF16" s="790"/>
      <c r="IG16" s="790"/>
      <c r="IH16" s="790"/>
      <c r="II16" s="790"/>
      <c r="IJ16" s="790"/>
      <c r="IK16" s="790"/>
      <c r="IL16" s="790"/>
      <c r="IM16" s="790"/>
      <c r="IN16" s="790"/>
      <c r="IO16" s="790"/>
      <c r="IP16" s="790"/>
      <c r="IQ16" s="790"/>
      <c r="IR16" s="790"/>
      <c r="IS16" s="790"/>
      <c r="IT16" s="790"/>
    </row>
    <row r="17" spans="1:10" s="785" customFormat="1" ht="22.5" customHeight="1" x14ac:dyDescent="0.2">
      <c r="A17" s="75" t="s">
        <v>467</v>
      </c>
      <c r="B17" s="786"/>
      <c r="C17" s="786"/>
      <c r="D17" s="786"/>
      <c r="E17" s="786"/>
      <c r="F17" s="786"/>
      <c r="G17" s="786"/>
      <c r="H17" s="786"/>
      <c r="I17" s="786"/>
      <c r="J17" s="797" t="s">
        <v>466</v>
      </c>
    </row>
    <row r="18" spans="1:10" s="785" customFormat="1" ht="22.5" customHeight="1" x14ac:dyDescent="0.2">
      <c r="A18" s="75"/>
      <c r="B18" s="786"/>
      <c r="C18" s="786"/>
      <c r="D18" s="786"/>
      <c r="E18" s="786"/>
      <c r="F18" s="786"/>
      <c r="G18" s="786"/>
      <c r="H18" s="786"/>
      <c r="I18" s="786"/>
      <c r="J18" s="797"/>
    </row>
    <row r="19" spans="1:10" s="785" customFormat="1" ht="14.25" x14ac:dyDescent="0.2">
      <c r="A19" s="75"/>
      <c r="B19" s="2421" t="s">
        <v>17</v>
      </c>
      <c r="C19" s="2422" t="s">
        <v>465</v>
      </c>
      <c r="D19" s="2423"/>
      <c r="E19" s="2423"/>
      <c r="F19" s="2423"/>
      <c r="G19" s="2423"/>
      <c r="H19" s="2423"/>
      <c r="I19" s="2423"/>
      <c r="J19" s="2428" t="s">
        <v>691</v>
      </c>
    </row>
    <row r="20" spans="1:10" s="785" customFormat="1" ht="14.25" x14ac:dyDescent="0.2">
      <c r="A20" s="794">
        <v>1</v>
      </c>
      <c r="B20" s="2418"/>
      <c r="C20" s="2423"/>
      <c r="D20" s="2423"/>
      <c r="E20" s="2423"/>
      <c r="F20" s="2423"/>
      <c r="G20" s="2423"/>
      <c r="H20" s="2423"/>
      <c r="I20" s="2423"/>
      <c r="J20" s="2429"/>
    </row>
    <row r="21" spans="1:10" s="785" customFormat="1" ht="14.25" x14ac:dyDescent="0.2">
      <c r="A21" s="794"/>
      <c r="B21" s="2417" t="s">
        <v>17</v>
      </c>
      <c r="C21" s="2422" t="s">
        <v>464</v>
      </c>
      <c r="D21" s="2423"/>
      <c r="E21" s="2423"/>
      <c r="F21" s="2423"/>
      <c r="G21" s="2423"/>
      <c r="H21" s="2423"/>
      <c r="I21" s="2423"/>
      <c r="J21" s="2447" t="s">
        <v>691</v>
      </c>
    </row>
    <row r="22" spans="1:10" s="785" customFormat="1" ht="14.25" x14ac:dyDescent="0.2">
      <c r="A22" s="794">
        <v>2</v>
      </c>
      <c r="B22" s="2418"/>
      <c r="C22" s="2423"/>
      <c r="D22" s="2423"/>
      <c r="E22" s="2423"/>
      <c r="F22" s="2423"/>
      <c r="G22" s="2423"/>
      <c r="H22" s="2423"/>
      <c r="I22" s="2423"/>
      <c r="J22" s="2429"/>
    </row>
    <row r="23" spans="1:10" s="785" customFormat="1" ht="14.25" x14ac:dyDescent="0.2">
      <c r="A23" s="794"/>
      <c r="B23" s="2417" t="s">
        <v>17</v>
      </c>
      <c r="C23" s="2419" t="s">
        <v>463</v>
      </c>
      <c r="D23" s="2423"/>
      <c r="E23" s="2423"/>
      <c r="F23" s="2423"/>
      <c r="G23" s="2423"/>
      <c r="H23" s="2423"/>
      <c r="I23" s="795"/>
      <c r="J23" s="2447" t="s">
        <v>691</v>
      </c>
    </row>
    <row r="24" spans="1:10" s="785" customFormat="1" ht="14.25" x14ac:dyDescent="0.2">
      <c r="A24" s="794">
        <v>3</v>
      </c>
      <c r="B24" s="2418"/>
      <c r="C24" s="2423"/>
      <c r="D24" s="2423"/>
      <c r="E24" s="2423"/>
      <c r="F24" s="2423"/>
      <c r="G24" s="2423"/>
      <c r="H24" s="2423"/>
      <c r="I24" s="795"/>
      <c r="J24" s="2429"/>
    </row>
    <row r="25" spans="1:10" s="785" customFormat="1" ht="14.25" x14ac:dyDescent="0.2">
      <c r="A25" s="794"/>
      <c r="B25" s="2417" t="s">
        <v>18</v>
      </c>
      <c r="C25" s="2419" t="s">
        <v>462</v>
      </c>
      <c r="D25" s="2420"/>
      <c r="E25" s="2420"/>
      <c r="F25" s="2420"/>
      <c r="G25" s="2420"/>
      <c r="H25" s="2420"/>
      <c r="I25" s="795"/>
      <c r="J25" s="2447" t="s">
        <v>692</v>
      </c>
    </row>
    <row r="26" spans="1:10" s="785" customFormat="1" ht="33.75" customHeight="1" x14ac:dyDescent="0.2">
      <c r="A26" s="794">
        <v>4</v>
      </c>
      <c r="B26" s="2418"/>
      <c r="C26" s="2420"/>
      <c r="D26" s="2420"/>
      <c r="E26" s="2420"/>
      <c r="F26" s="2420"/>
      <c r="G26" s="2420"/>
      <c r="H26" s="2420"/>
      <c r="I26" s="796"/>
      <c r="J26" s="2429"/>
    </row>
    <row r="27" spans="1:10" s="785" customFormat="1" ht="34.5" customHeight="1" x14ac:dyDescent="0.2">
      <c r="A27" s="794"/>
      <c r="B27" s="2417" t="s">
        <v>18</v>
      </c>
      <c r="C27" s="2448" t="s">
        <v>606</v>
      </c>
      <c r="D27" s="2420"/>
      <c r="E27" s="2420"/>
      <c r="F27" s="2420"/>
      <c r="G27" s="2420"/>
      <c r="H27" s="2420"/>
      <c r="I27" s="796"/>
      <c r="J27" s="2447" t="s">
        <v>738</v>
      </c>
    </row>
    <row r="28" spans="1:10" s="785" customFormat="1" ht="14.25" x14ac:dyDescent="0.2">
      <c r="A28" s="794">
        <v>5</v>
      </c>
      <c r="B28" s="2418"/>
      <c r="C28" s="2420"/>
      <c r="D28" s="2420"/>
      <c r="E28" s="2420"/>
      <c r="F28" s="2420"/>
      <c r="G28" s="2420"/>
      <c r="H28" s="2420"/>
      <c r="I28" s="795"/>
      <c r="J28" s="2429"/>
    </row>
    <row r="29" spans="1:10" s="785" customFormat="1" ht="14.25" x14ac:dyDescent="0.2">
      <c r="A29" s="794"/>
      <c r="B29" s="2417" t="s">
        <v>17</v>
      </c>
      <c r="C29" s="2448" t="s">
        <v>607</v>
      </c>
      <c r="D29" s="2420"/>
      <c r="E29" s="2420"/>
      <c r="F29" s="2420"/>
      <c r="G29" s="2420"/>
      <c r="H29" s="2420"/>
      <c r="I29" s="2420"/>
      <c r="J29" s="2447" t="s">
        <v>691</v>
      </c>
    </row>
    <row r="30" spans="1:10" s="785" customFormat="1" ht="14.25" x14ac:dyDescent="0.2">
      <c r="A30" s="794">
        <v>6</v>
      </c>
      <c r="B30" s="2418"/>
      <c r="C30" s="2420"/>
      <c r="D30" s="2420"/>
      <c r="E30" s="2420"/>
      <c r="F30" s="2420"/>
      <c r="G30" s="2420"/>
      <c r="H30" s="2420"/>
      <c r="I30" s="2420"/>
      <c r="J30" s="2458"/>
    </row>
    <row r="31" spans="1:10" s="785" customFormat="1" ht="27" customHeight="1" x14ac:dyDescent="0.25">
      <c r="A31" s="786"/>
      <c r="B31" s="77"/>
      <c r="C31" s="791"/>
      <c r="D31" s="786"/>
      <c r="E31" s="786"/>
      <c r="F31" s="786"/>
      <c r="G31" s="786"/>
      <c r="H31" s="786"/>
      <c r="I31" s="793"/>
      <c r="J31" s="1096"/>
    </row>
    <row r="32" spans="1:10" s="785" customFormat="1" ht="7.5" hidden="1" customHeight="1" x14ac:dyDescent="0.25">
      <c r="A32" s="786"/>
      <c r="B32" s="747"/>
      <c r="C32" s="791"/>
      <c r="D32" s="786"/>
      <c r="E32" s="786"/>
      <c r="F32" s="786"/>
      <c r="G32" s="786"/>
      <c r="H32" s="786"/>
      <c r="I32" s="793"/>
      <c r="J32" s="792"/>
    </row>
    <row r="33" spans="1:254" s="789" customFormat="1" ht="18" x14ac:dyDescent="0.25">
      <c r="A33" s="2449" t="s">
        <v>511</v>
      </c>
      <c r="B33" s="2450"/>
      <c r="C33" s="2450"/>
      <c r="D33" s="2450"/>
      <c r="E33" s="2450"/>
      <c r="F33" s="2450"/>
      <c r="G33" s="2450"/>
      <c r="H33" s="2450"/>
      <c r="I33" s="2450"/>
      <c r="J33" s="2450"/>
      <c r="K33" s="790"/>
      <c r="L33" s="790"/>
      <c r="M33" s="790"/>
      <c r="N33" s="790"/>
      <c r="O33" s="790"/>
      <c r="P33" s="790"/>
      <c r="Q33" s="790"/>
      <c r="R33" s="790"/>
      <c r="S33" s="790"/>
      <c r="T33" s="790"/>
      <c r="U33" s="790"/>
      <c r="V33" s="790"/>
      <c r="W33" s="790"/>
      <c r="X33" s="790"/>
      <c r="Y33" s="790"/>
      <c r="Z33" s="790"/>
      <c r="AA33" s="790"/>
      <c r="AB33" s="790"/>
      <c r="AC33" s="790"/>
      <c r="AD33" s="790"/>
      <c r="AE33" s="790"/>
      <c r="AF33" s="790"/>
      <c r="AG33" s="790"/>
      <c r="AH33" s="790"/>
      <c r="AI33" s="790"/>
      <c r="AJ33" s="790"/>
      <c r="AK33" s="790"/>
      <c r="AL33" s="790"/>
      <c r="AM33" s="790"/>
      <c r="AN33" s="790"/>
      <c r="AO33" s="790"/>
      <c r="AP33" s="790"/>
      <c r="AQ33" s="790"/>
      <c r="AR33" s="790"/>
      <c r="AS33" s="790"/>
      <c r="AT33" s="790"/>
      <c r="AU33" s="790"/>
      <c r="AV33" s="790"/>
      <c r="AW33" s="790"/>
      <c r="AX33" s="790"/>
      <c r="AY33" s="790"/>
      <c r="AZ33" s="790"/>
      <c r="BA33" s="790"/>
      <c r="BB33" s="790"/>
      <c r="BC33" s="790"/>
      <c r="BD33" s="790"/>
      <c r="BE33" s="790"/>
      <c r="BF33" s="790"/>
      <c r="BG33" s="790"/>
      <c r="BH33" s="790"/>
      <c r="BI33" s="790"/>
      <c r="BJ33" s="790"/>
      <c r="BK33" s="790"/>
      <c r="BL33" s="790"/>
      <c r="BM33" s="790"/>
      <c r="BN33" s="790"/>
      <c r="BO33" s="790"/>
      <c r="BP33" s="790"/>
      <c r="BQ33" s="790"/>
      <c r="BR33" s="790"/>
      <c r="BS33" s="790"/>
      <c r="BT33" s="790"/>
      <c r="BU33" s="790"/>
      <c r="BV33" s="790"/>
      <c r="BW33" s="790"/>
      <c r="BX33" s="790"/>
      <c r="BY33" s="790"/>
      <c r="BZ33" s="790"/>
      <c r="CA33" s="790"/>
      <c r="CB33" s="790"/>
      <c r="CC33" s="790"/>
      <c r="CD33" s="790"/>
      <c r="CE33" s="790"/>
      <c r="CF33" s="790"/>
      <c r="CG33" s="790"/>
      <c r="CH33" s="790"/>
      <c r="CI33" s="790"/>
      <c r="CJ33" s="790"/>
      <c r="CK33" s="790"/>
      <c r="CL33" s="790"/>
      <c r="CM33" s="790"/>
      <c r="CN33" s="790"/>
      <c r="CO33" s="790"/>
      <c r="CP33" s="790"/>
      <c r="CQ33" s="790"/>
      <c r="CR33" s="790"/>
      <c r="CS33" s="790"/>
      <c r="CT33" s="790"/>
      <c r="CU33" s="790"/>
      <c r="CV33" s="790"/>
      <c r="CW33" s="790"/>
      <c r="CX33" s="790"/>
      <c r="CY33" s="790"/>
      <c r="CZ33" s="790"/>
      <c r="DA33" s="790"/>
      <c r="DB33" s="790"/>
      <c r="DC33" s="790"/>
      <c r="DD33" s="790"/>
      <c r="DE33" s="790"/>
      <c r="DF33" s="790"/>
      <c r="DG33" s="790"/>
      <c r="DH33" s="790"/>
      <c r="DI33" s="790"/>
      <c r="DJ33" s="790"/>
      <c r="DK33" s="790"/>
      <c r="DL33" s="790"/>
      <c r="DM33" s="790"/>
      <c r="DN33" s="790"/>
      <c r="DO33" s="790"/>
      <c r="DP33" s="790"/>
      <c r="DQ33" s="790"/>
      <c r="DR33" s="790"/>
      <c r="DS33" s="790"/>
      <c r="DT33" s="790"/>
      <c r="DU33" s="790"/>
      <c r="DV33" s="790"/>
      <c r="DW33" s="790"/>
      <c r="DX33" s="790"/>
      <c r="DY33" s="790"/>
      <c r="DZ33" s="790"/>
      <c r="EA33" s="790"/>
      <c r="EB33" s="790"/>
      <c r="EC33" s="790"/>
      <c r="ED33" s="790"/>
      <c r="EE33" s="790"/>
      <c r="EF33" s="790"/>
      <c r="EG33" s="790"/>
      <c r="EH33" s="790"/>
      <c r="EI33" s="790"/>
      <c r="EJ33" s="790"/>
      <c r="EK33" s="790"/>
      <c r="EL33" s="790"/>
      <c r="EM33" s="790"/>
      <c r="EN33" s="790"/>
      <c r="EO33" s="790"/>
      <c r="EP33" s="790"/>
      <c r="EQ33" s="790"/>
      <c r="ER33" s="790"/>
      <c r="ES33" s="790"/>
      <c r="ET33" s="790"/>
      <c r="EU33" s="790"/>
      <c r="EV33" s="790"/>
      <c r="EW33" s="790"/>
      <c r="EX33" s="790"/>
      <c r="EY33" s="790"/>
      <c r="EZ33" s="790"/>
      <c r="FA33" s="790"/>
      <c r="FB33" s="790"/>
      <c r="FC33" s="790"/>
      <c r="FD33" s="790"/>
      <c r="FE33" s="790"/>
      <c r="FF33" s="790"/>
      <c r="FG33" s="790"/>
      <c r="FH33" s="790"/>
      <c r="FI33" s="790"/>
      <c r="FJ33" s="790"/>
      <c r="FK33" s="790"/>
      <c r="FL33" s="790"/>
      <c r="FM33" s="790"/>
      <c r="FN33" s="790"/>
      <c r="FO33" s="790"/>
      <c r="FP33" s="790"/>
      <c r="FQ33" s="790"/>
      <c r="FR33" s="790"/>
      <c r="FS33" s="790"/>
      <c r="FT33" s="790"/>
      <c r="FU33" s="790"/>
      <c r="FV33" s="790"/>
      <c r="FW33" s="790"/>
      <c r="FX33" s="790"/>
      <c r="FY33" s="790"/>
      <c r="FZ33" s="790"/>
      <c r="GA33" s="790"/>
      <c r="GB33" s="790"/>
      <c r="GC33" s="790"/>
      <c r="GD33" s="790"/>
      <c r="GE33" s="790"/>
      <c r="GF33" s="790"/>
      <c r="GG33" s="790"/>
      <c r="GH33" s="790"/>
      <c r="GI33" s="790"/>
      <c r="GJ33" s="790"/>
      <c r="GK33" s="790"/>
      <c r="GL33" s="790"/>
      <c r="GM33" s="790"/>
      <c r="GN33" s="790"/>
      <c r="GO33" s="790"/>
      <c r="GP33" s="790"/>
      <c r="GQ33" s="790"/>
      <c r="GR33" s="790"/>
      <c r="GS33" s="790"/>
      <c r="GT33" s="790"/>
      <c r="GU33" s="790"/>
      <c r="GV33" s="790"/>
      <c r="GW33" s="790"/>
      <c r="GX33" s="790"/>
      <c r="GY33" s="790"/>
      <c r="GZ33" s="790"/>
      <c r="HA33" s="790"/>
      <c r="HB33" s="790"/>
      <c r="HC33" s="790"/>
      <c r="HD33" s="790"/>
      <c r="HE33" s="790"/>
      <c r="HF33" s="790"/>
      <c r="HG33" s="790"/>
      <c r="HH33" s="790"/>
      <c r="HI33" s="790"/>
      <c r="HJ33" s="790"/>
      <c r="HK33" s="790"/>
      <c r="HL33" s="790"/>
      <c r="HM33" s="790"/>
      <c r="HN33" s="790"/>
      <c r="HO33" s="790"/>
      <c r="HP33" s="790"/>
      <c r="HQ33" s="790"/>
      <c r="HR33" s="790"/>
      <c r="HS33" s="790"/>
      <c r="HT33" s="790"/>
      <c r="HU33" s="790"/>
      <c r="HV33" s="790"/>
      <c r="HW33" s="790"/>
      <c r="HX33" s="790"/>
      <c r="HY33" s="790"/>
      <c r="HZ33" s="790"/>
      <c r="IA33" s="790"/>
      <c r="IB33" s="790"/>
      <c r="IC33" s="790"/>
      <c r="ID33" s="790"/>
      <c r="IE33" s="790"/>
      <c r="IF33" s="790"/>
      <c r="IG33" s="790"/>
      <c r="IH33" s="790"/>
      <c r="II33" s="790"/>
      <c r="IJ33" s="790"/>
      <c r="IK33" s="790"/>
      <c r="IL33" s="790"/>
      <c r="IM33" s="790"/>
      <c r="IN33" s="790"/>
      <c r="IO33" s="790"/>
      <c r="IP33" s="790"/>
      <c r="IQ33" s="790"/>
      <c r="IR33" s="790"/>
      <c r="IS33" s="790"/>
      <c r="IT33" s="790"/>
    </row>
    <row r="34" spans="1:254" s="789" customFormat="1" ht="8.25" customHeight="1" x14ac:dyDescent="0.25">
      <c r="A34" s="77"/>
      <c r="B34" s="77"/>
      <c r="C34" s="77"/>
      <c r="D34" s="77"/>
      <c r="E34" s="77"/>
      <c r="F34" s="77"/>
      <c r="G34" s="77"/>
      <c r="H34" s="77"/>
      <c r="I34" s="77"/>
      <c r="J34" s="77"/>
      <c r="K34" s="790"/>
      <c r="L34" s="790"/>
      <c r="M34" s="790"/>
      <c r="N34" s="790"/>
      <c r="O34" s="790"/>
      <c r="P34" s="790"/>
      <c r="Q34" s="790"/>
      <c r="R34" s="790"/>
      <c r="S34" s="790"/>
      <c r="T34" s="790"/>
      <c r="U34" s="790"/>
      <c r="V34" s="790"/>
      <c r="W34" s="790"/>
      <c r="X34" s="790"/>
      <c r="Y34" s="790"/>
      <c r="Z34" s="790"/>
      <c r="AA34" s="790"/>
      <c r="AB34" s="790"/>
      <c r="AC34" s="790"/>
      <c r="AD34" s="790"/>
      <c r="AE34" s="790"/>
      <c r="AF34" s="790"/>
      <c r="AG34" s="790"/>
      <c r="AH34" s="790"/>
      <c r="AI34" s="790"/>
      <c r="AJ34" s="790"/>
      <c r="AK34" s="790"/>
      <c r="AL34" s="790"/>
      <c r="AM34" s="790"/>
      <c r="AN34" s="790"/>
      <c r="AO34" s="790"/>
      <c r="AP34" s="790"/>
      <c r="AQ34" s="790"/>
      <c r="AR34" s="790"/>
      <c r="AS34" s="790"/>
      <c r="AT34" s="790"/>
      <c r="AU34" s="790"/>
      <c r="AV34" s="790"/>
      <c r="AW34" s="790"/>
      <c r="AX34" s="790"/>
      <c r="AY34" s="790"/>
      <c r="AZ34" s="790"/>
      <c r="BA34" s="790"/>
      <c r="BB34" s="790"/>
      <c r="BC34" s="790"/>
      <c r="BD34" s="790"/>
      <c r="BE34" s="790"/>
      <c r="BF34" s="790"/>
      <c r="BG34" s="790"/>
      <c r="BH34" s="790"/>
      <c r="BI34" s="790"/>
      <c r="BJ34" s="790"/>
      <c r="BK34" s="790"/>
      <c r="BL34" s="790"/>
      <c r="BM34" s="790"/>
      <c r="BN34" s="790"/>
      <c r="BO34" s="790"/>
      <c r="BP34" s="790"/>
      <c r="BQ34" s="790"/>
      <c r="BR34" s="790"/>
      <c r="BS34" s="790"/>
      <c r="BT34" s="790"/>
      <c r="BU34" s="790"/>
      <c r="BV34" s="790"/>
      <c r="BW34" s="790"/>
      <c r="BX34" s="790"/>
      <c r="BY34" s="790"/>
      <c r="BZ34" s="790"/>
      <c r="CA34" s="790"/>
      <c r="CB34" s="790"/>
      <c r="CC34" s="790"/>
      <c r="CD34" s="790"/>
      <c r="CE34" s="790"/>
      <c r="CF34" s="790"/>
      <c r="CG34" s="790"/>
      <c r="CH34" s="790"/>
      <c r="CI34" s="790"/>
      <c r="CJ34" s="790"/>
      <c r="CK34" s="790"/>
      <c r="CL34" s="790"/>
      <c r="CM34" s="790"/>
      <c r="CN34" s="790"/>
      <c r="CO34" s="790"/>
      <c r="CP34" s="790"/>
      <c r="CQ34" s="790"/>
      <c r="CR34" s="790"/>
      <c r="CS34" s="790"/>
      <c r="CT34" s="790"/>
      <c r="CU34" s="790"/>
      <c r="CV34" s="790"/>
      <c r="CW34" s="790"/>
      <c r="CX34" s="790"/>
      <c r="CY34" s="790"/>
      <c r="CZ34" s="790"/>
      <c r="DA34" s="790"/>
      <c r="DB34" s="790"/>
      <c r="DC34" s="790"/>
      <c r="DD34" s="790"/>
      <c r="DE34" s="790"/>
      <c r="DF34" s="790"/>
      <c r="DG34" s="790"/>
      <c r="DH34" s="790"/>
      <c r="DI34" s="790"/>
      <c r="DJ34" s="790"/>
      <c r="DK34" s="790"/>
      <c r="DL34" s="790"/>
      <c r="DM34" s="790"/>
      <c r="DN34" s="790"/>
      <c r="DO34" s="790"/>
      <c r="DP34" s="790"/>
      <c r="DQ34" s="790"/>
      <c r="DR34" s="790"/>
      <c r="DS34" s="790"/>
      <c r="DT34" s="790"/>
      <c r="DU34" s="790"/>
      <c r="DV34" s="790"/>
      <c r="DW34" s="790"/>
      <c r="DX34" s="790"/>
      <c r="DY34" s="790"/>
      <c r="DZ34" s="790"/>
      <c r="EA34" s="790"/>
      <c r="EB34" s="790"/>
      <c r="EC34" s="790"/>
      <c r="ED34" s="790"/>
      <c r="EE34" s="790"/>
      <c r="EF34" s="790"/>
      <c r="EG34" s="790"/>
      <c r="EH34" s="790"/>
      <c r="EI34" s="790"/>
      <c r="EJ34" s="790"/>
      <c r="EK34" s="790"/>
      <c r="EL34" s="790"/>
      <c r="EM34" s="790"/>
      <c r="EN34" s="790"/>
      <c r="EO34" s="790"/>
      <c r="EP34" s="790"/>
      <c r="EQ34" s="790"/>
      <c r="ER34" s="790"/>
      <c r="ES34" s="790"/>
      <c r="ET34" s="790"/>
      <c r="EU34" s="790"/>
      <c r="EV34" s="790"/>
      <c r="EW34" s="790"/>
      <c r="EX34" s="790"/>
      <c r="EY34" s="790"/>
      <c r="EZ34" s="790"/>
      <c r="FA34" s="790"/>
      <c r="FB34" s="790"/>
      <c r="FC34" s="790"/>
      <c r="FD34" s="790"/>
      <c r="FE34" s="790"/>
      <c r="FF34" s="790"/>
      <c r="FG34" s="790"/>
      <c r="FH34" s="790"/>
      <c r="FI34" s="790"/>
      <c r="FJ34" s="790"/>
      <c r="FK34" s="790"/>
      <c r="FL34" s="790"/>
      <c r="FM34" s="790"/>
      <c r="FN34" s="790"/>
      <c r="FO34" s="790"/>
      <c r="FP34" s="790"/>
      <c r="FQ34" s="790"/>
      <c r="FR34" s="790"/>
      <c r="FS34" s="790"/>
      <c r="FT34" s="790"/>
      <c r="FU34" s="790"/>
      <c r="FV34" s="790"/>
      <c r="FW34" s="790"/>
      <c r="FX34" s="790"/>
      <c r="FY34" s="790"/>
      <c r="FZ34" s="790"/>
      <c r="GA34" s="790"/>
      <c r="GB34" s="790"/>
      <c r="GC34" s="790"/>
      <c r="GD34" s="790"/>
      <c r="GE34" s="790"/>
      <c r="GF34" s="790"/>
      <c r="GG34" s="790"/>
      <c r="GH34" s="790"/>
      <c r="GI34" s="790"/>
      <c r="GJ34" s="790"/>
      <c r="GK34" s="790"/>
      <c r="GL34" s="790"/>
      <c r="GM34" s="790"/>
      <c r="GN34" s="790"/>
      <c r="GO34" s="790"/>
      <c r="GP34" s="790"/>
      <c r="GQ34" s="790"/>
      <c r="GR34" s="790"/>
      <c r="GS34" s="790"/>
      <c r="GT34" s="790"/>
      <c r="GU34" s="790"/>
      <c r="GV34" s="790"/>
      <c r="GW34" s="790"/>
      <c r="GX34" s="790"/>
      <c r="GY34" s="790"/>
      <c r="GZ34" s="790"/>
      <c r="HA34" s="790"/>
      <c r="HB34" s="790"/>
      <c r="HC34" s="790"/>
      <c r="HD34" s="790"/>
      <c r="HE34" s="790"/>
      <c r="HF34" s="790"/>
      <c r="HG34" s="790"/>
      <c r="HH34" s="790"/>
      <c r="HI34" s="790"/>
      <c r="HJ34" s="790"/>
      <c r="HK34" s="790"/>
      <c r="HL34" s="790"/>
      <c r="HM34" s="790"/>
      <c r="HN34" s="790"/>
      <c r="HO34" s="790"/>
      <c r="HP34" s="790"/>
      <c r="HQ34" s="790"/>
      <c r="HR34" s="790"/>
      <c r="HS34" s="790"/>
      <c r="HT34" s="790"/>
      <c r="HU34" s="790"/>
      <c r="HV34" s="790"/>
      <c r="HW34" s="790"/>
      <c r="HX34" s="790"/>
      <c r="HY34" s="790"/>
      <c r="HZ34" s="790"/>
      <c r="IA34" s="790"/>
      <c r="IB34" s="790"/>
      <c r="IC34" s="790"/>
      <c r="ID34" s="790"/>
      <c r="IE34" s="790"/>
      <c r="IF34" s="790"/>
      <c r="IG34" s="790"/>
      <c r="IH34" s="790"/>
      <c r="II34" s="790"/>
      <c r="IJ34" s="790"/>
      <c r="IK34" s="790"/>
      <c r="IL34" s="790"/>
      <c r="IM34" s="790"/>
      <c r="IN34" s="790"/>
      <c r="IO34" s="790"/>
      <c r="IP34" s="790"/>
      <c r="IQ34" s="790"/>
      <c r="IR34" s="790"/>
      <c r="IS34" s="790"/>
      <c r="IT34" s="790"/>
    </row>
    <row r="35" spans="1:254" s="789" customFormat="1" ht="24" customHeight="1" x14ac:dyDescent="0.25">
      <c r="A35" s="791" t="s">
        <v>461</v>
      </c>
      <c r="B35" s="77"/>
      <c r="C35" s="77"/>
      <c r="D35" s="77"/>
      <c r="E35" s="77"/>
      <c r="F35" s="77"/>
      <c r="G35" s="77"/>
      <c r="H35" s="77"/>
      <c r="I35" s="77"/>
      <c r="J35" s="77"/>
      <c r="K35" s="790"/>
      <c r="L35" s="790"/>
      <c r="M35" s="790"/>
      <c r="N35" s="790"/>
      <c r="O35" s="790"/>
      <c r="P35" s="790"/>
      <c r="Q35" s="790"/>
      <c r="R35" s="790"/>
      <c r="S35" s="790"/>
      <c r="T35" s="790"/>
      <c r="U35" s="790"/>
      <c r="V35" s="790"/>
      <c r="W35" s="790"/>
      <c r="X35" s="790"/>
      <c r="Y35" s="790"/>
      <c r="Z35" s="790"/>
      <c r="AA35" s="790"/>
      <c r="AB35" s="790"/>
      <c r="AC35" s="790"/>
      <c r="AD35" s="790"/>
      <c r="AE35" s="790"/>
      <c r="AF35" s="790"/>
      <c r="AG35" s="790"/>
      <c r="AH35" s="790"/>
      <c r="AI35" s="790"/>
      <c r="AJ35" s="790"/>
      <c r="AK35" s="790"/>
      <c r="AL35" s="790"/>
      <c r="AM35" s="790"/>
      <c r="AN35" s="790"/>
      <c r="AO35" s="790"/>
      <c r="AP35" s="790"/>
      <c r="AQ35" s="790"/>
      <c r="AR35" s="790"/>
      <c r="AS35" s="790"/>
      <c r="AT35" s="790"/>
      <c r="AU35" s="790"/>
      <c r="AV35" s="790"/>
      <c r="AW35" s="790"/>
      <c r="AX35" s="790"/>
      <c r="AY35" s="790"/>
      <c r="AZ35" s="790"/>
      <c r="BA35" s="790"/>
      <c r="BB35" s="790"/>
      <c r="BC35" s="790"/>
      <c r="BD35" s="790"/>
      <c r="BE35" s="790"/>
      <c r="BF35" s="790"/>
      <c r="BG35" s="790"/>
      <c r="BH35" s="790"/>
      <c r="BI35" s="790"/>
      <c r="BJ35" s="790"/>
      <c r="BK35" s="790"/>
      <c r="BL35" s="790"/>
      <c r="BM35" s="790"/>
      <c r="BN35" s="790"/>
      <c r="BO35" s="790"/>
      <c r="BP35" s="790"/>
      <c r="BQ35" s="790"/>
      <c r="BR35" s="790"/>
      <c r="BS35" s="790"/>
      <c r="BT35" s="790"/>
      <c r="BU35" s="790"/>
      <c r="BV35" s="790"/>
      <c r="BW35" s="790"/>
      <c r="BX35" s="790"/>
      <c r="BY35" s="790"/>
      <c r="BZ35" s="790"/>
      <c r="CA35" s="790"/>
      <c r="CB35" s="790"/>
      <c r="CC35" s="790"/>
      <c r="CD35" s="790"/>
      <c r="CE35" s="790"/>
      <c r="CF35" s="790"/>
      <c r="CG35" s="790"/>
      <c r="CH35" s="790"/>
      <c r="CI35" s="790"/>
      <c r="CJ35" s="790"/>
      <c r="CK35" s="790"/>
      <c r="CL35" s="790"/>
      <c r="CM35" s="790"/>
      <c r="CN35" s="790"/>
      <c r="CO35" s="790"/>
      <c r="CP35" s="790"/>
      <c r="CQ35" s="790"/>
      <c r="CR35" s="790"/>
      <c r="CS35" s="790"/>
      <c r="CT35" s="790"/>
      <c r="CU35" s="790"/>
      <c r="CV35" s="790"/>
      <c r="CW35" s="790"/>
      <c r="CX35" s="790"/>
      <c r="CY35" s="790"/>
      <c r="CZ35" s="790"/>
      <c r="DA35" s="790"/>
      <c r="DB35" s="790"/>
      <c r="DC35" s="790"/>
      <c r="DD35" s="790"/>
      <c r="DE35" s="790"/>
      <c r="DF35" s="790"/>
      <c r="DG35" s="790"/>
      <c r="DH35" s="790"/>
      <c r="DI35" s="790"/>
      <c r="DJ35" s="790"/>
      <c r="DK35" s="790"/>
      <c r="DL35" s="790"/>
      <c r="DM35" s="790"/>
      <c r="DN35" s="790"/>
      <c r="DO35" s="790"/>
      <c r="DP35" s="790"/>
      <c r="DQ35" s="790"/>
      <c r="DR35" s="790"/>
      <c r="DS35" s="790"/>
      <c r="DT35" s="790"/>
      <c r="DU35" s="790"/>
      <c r="DV35" s="790"/>
      <c r="DW35" s="790"/>
      <c r="DX35" s="790"/>
      <c r="DY35" s="790"/>
      <c r="DZ35" s="790"/>
      <c r="EA35" s="790"/>
      <c r="EB35" s="790"/>
      <c r="EC35" s="790"/>
      <c r="ED35" s="790"/>
      <c r="EE35" s="790"/>
      <c r="EF35" s="790"/>
      <c r="EG35" s="790"/>
      <c r="EH35" s="790"/>
      <c r="EI35" s="790"/>
      <c r="EJ35" s="790"/>
      <c r="EK35" s="790"/>
      <c r="EL35" s="790"/>
      <c r="EM35" s="790"/>
      <c r="EN35" s="790"/>
      <c r="EO35" s="790"/>
      <c r="EP35" s="790"/>
      <c r="EQ35" s="790"/>
      <c r="ER35" s="790"/>
      <c r="ES35" s="790"/>
      <c r="ET35" s="790"/>
      <c r="EU35" s="790"/>
      <c r="EV35" s="790"/>
      <c r="EW35" s="790"/>
      <c r="EX35" s="790"/>
      <c r="EY35" s="790"/>
      <c r="EZ35" s="790"/>
      <c r="FA35" s="790"/>
      <c r="FB35" s="790"/>
      <c r="FC35" s="790"/>
      <c r="FD35" s="790"/>
      <c r="FE35" s="790"/>
      <c r="FF35" s="790"/>
      <c r="FG35" s="790"/>
      <c r="FH35" s="790"/>
      <c r="FI35" s="790"/>
      <c r="FJ35" s="790"/>
      <c r="FK35" s="790"/>
      <c r="FL35" s="790"/>
      <c r="FM35" s="790"/>
      <c r="FN35" s="790"/>
      <c r="FO35" s="790"/>
      <c r="FP35" s="790"/>
      <c r="FQ35" s="790"/>
      <c r="FR35" s="790"/>
      <c r="FS35" s="790"/>
      <c r="FT35" s="790"/>
      <c r="FU35" s="790"/>
      <c r="FV35" s="790"/>
      <c r="FW35" s="790"/>
      <c r="FX35" s="790"/>
      <c r="FY35" s="790"/>
      <c r="FZ35" s="790"/>
      <c r="GA35" s="790"/>
      <c r="GB35" s="790"/>
      <c r="GC35" s="790"/>
      <c r="GD35" s="790"/>
      <c r="GE35" s="790"/>
      <c r="GF35" s="790"/>
      <c r="GG35" s="790"/>
      <c r="GH35" s="790"/>
      <c r="GI35" s="790"/>
      <c r="GJ35" s="790"/>
      <c r="GK35" s="790"/>
      <c r="GL35" s="790"/>
      <c r="GM35" s="790"/>
      <c r="GN35" s="790"/>
      <c r="GO35" s="790"/>
      <c r="GP35" s="790"/>
      <c r="GQ35" s="790"/>
      <c r="GR35" s="790"/>
      <c r="GS35" s="790"/>
      <c r="GT35" s="790"/>
      <c r="GU35" s="790"/>
      <c r="GV35" s="790"/>
      <c r="GW35" s="790"/>
      <c r="GX35" s="790"/>
      <c r="GY35" s="790"/>
      <c r="GZ35" s="790"/>
      <c r="HA35" s="790"/>
      <c r="HB35" s="790"/>
      <c r="HC35" s="790"/>
      <c r="HD35" s="790"/>
      <c r="HE35" s="790"/>
      <c r="HF35" s="790"/>
      <c r="HG35" s="790"/>
      <c r="HH35" s="790"/>
      <c r="HI35" s="790"/>
      <c r="HJ35" s="790"/>
      <c r="HK35" s="790"/>
      <c r="HL35" s="790"/>
      <c r="HM35" s="790"/>
      <c r="HN35" s="790"/>
      <c r="HO35" s="790"/>
      <c r="HP35" s="790"/>
      <c r="HQ35" s="790"/>
      <c r="HR35" s="790"/>
      <c r="HS35" s="790"/>
      <c r="HT35" s="790"/>
      <c r="HU35" s="790"/>
      <c r="HV35" s="790"/>
      <c r="HW35" s="790"/>
      <c r="HX35" s="790"/>
      <c r="HY35" s="790"/>
      <c r="HZ35" s="790"/>
      <c r="IA35" s="790"/>
      <c r="IB35" s="790"/>
      <c r="IC35" s="790"/>
      <c r="ID35" s="790"/>
      <c r="IE35" s="790"/>
      <c r="IF35" s="790"/>
      <c r="IG35" s="790"/>
      <c r="IH35" s="790"/>
      <c r="II35" s="790"/>
      <c r="IJ35" s="790"/>
      <c r="IK35" s="790"/>
      <c r="IL35" s="790"/>
      <c r="IM35" s="790"/>
      <c r="IN35" s="790"/>
      <c r="IO35" s="790"/>
      <c r="IP35" s="790"/>
      <c r="IQ35" s="790"/>
      <c r="IR35" s="790"/>
      <c r="IS35" s="790"/>
      <c r="IT35" s="790"/>
    </row>
    <row r="36" spans="1:254" s="789" customFormat="1" ht="4.5" customHeight="1" x14ac:dyDescent="0.25">
      <c r="A36" s="77"/>
      <c r="B36" s="77"/>
      <c r="C36" s="77"/>
      <c r="D36" s="77"/>
      <c r="E36" s="77"/>
      <c r="F36" s="77"/>
      <c r="G36" s="77"/>
      <c r="H36" s="77"/>
      <c r="I36" s="77"/>
      <c r="J36" s="77"/>
      <c r="K36" s="790"/>
      <c r="L36" s="790"/>
      <c r="M36" s="790"/>
      <c r="N36" s="790"/>
      <c r="O36" s="790"/>
      <c r="P36" s="790"/>
      <c r="Q36" s="790"/>
      <c r="R36" s="790"/>
      <c r="S36" s="790"/>
      <c r="T36" s="790"/>
      <c r="U36" s="790"/>
      <c r="V36" s="790"/>
      <c r="W36" s="790"/>
      <c r="X36" s="790"/>
      <c r="Y36" s="790"/>
      <c r="Z36" s="790"/>
      <c r="AA36" s="790"/>
      <c r="AB36" s="790"/>
      <c r="AC36" s="790"/>
      <c r="AD36" s="790"/>
      <c r="AE36" s="790"/>
      <c r="AF36" s="790"/>
      <c r="AG36" s="790"/>
      <c r="AH36" s="790"/>
      <c r="AI36" s="790"/>
      <c r="AJ36" s="790"/>
      <c r="AK36" s="790"/>
      <c r="AL36" s="790"/>
      <c r="AM36" s="790"/>
      <c r="AN36" s="790"/>
      <c r="AO36" s="790"/>
      <c r="AP36" s="790"/>
      <c r="AQ36" s="790"/>
      <c r="AR36" s="790"/>
      <c r="AS36" s="790"/>
      <c r="AT36" s="790"/>
      <c r="AU36" s="790"/>
      <c r="AV36" s="790"/>
      <c r="AW36" s="790"/>
      <c r="AX36" s="790"/>
      <c r="AY36" s="790"/>
      <c r="AZ36" s="790"/>
      <c r="BA36" s="790"/>
      <c r="BB36" s="790"/>
      <c r="BC36" s="790"/>
      <c r="BD36" s="790"/>
      <c r="BE36" s="790"/>
      <c r="BF36" s="790"/>
      <c r="BG36" s="790"/>
      <c r="BH36" s="790"/>
      <c r="BI36" s="790"/>
      <c r="BJ36" s="790"/>
      <c r="BK36" s="790"/>
      <c r="BL36" s="790"/>
      <c r="BM36" s="790"/>
      <c r="BN36" s="790"/>
      <c r="BO36" s="790"/>
      <c r="BP36" s="790"/>
      <c r="BQ36" s="790"/>
      <c r="BR36" s="790"/>
      <c r="BS36" s="790"/>
      <c r="BT36" s="790"/>
      <c r="BU36" s="790"/>
      <c r="BV36" s="790"/>
      <c r="BW36" s="790"/>
      <c r="BX36" s="790"/>
      <c r="BY36" s="790"/>
      <c r="BZ36" s="790"/>
      <c r="CA36" s="790"/>
      <c r="CB36" s="790"/>
      <c r="CC36" s="790"/>
      <c r="CD36" s="790"/>
      <c r="CE36" s="790"/>
      <c r="CF36" s="790"/>
      <c r="CG36" s="790"/>
      <c r="CH36" s="790"/>
      <c r="CI36" s="790"/>
      <c r="CJ36" s="790"/>
      <c r="CK36" s="790"/>
      <c r="CL36" s="790"/>
      <c r="CM36" s="790"/>
      <c r="CN36" s="790"/>
      <c r="CO36" s="790"/>
      <c r="CP36" s="790"/>
      <c r="CQ36" s="790"/>
      <c r="CR36" s="790"/>
      <c r="CS36" s="790"/>
      <c r="CT36" s="790"/>
      <c r="CU36" s="790"/>
      <c r="CV36" s="790"/>
      <c r="CW36" s="790"/>
      <c r="CX36" s="790"/>
      <c r="CY36" s="790"/>
      <c r="CZ36" s="790"/>
      <c r="DA36" s="790"/>
      <c r="DB36" s="790"/>
      <c r="DC36" s="790"/>
      <c r="DD36" s="790"/>
      <c r="DE36" s="790"/>
      <c r="DF36" s="790"/>
      <c r="DG36" s="790"/>
      <c r="DH36" s="790"/>
      <c r="DI36" s="790"/>
      <c r="DJ36" s="790"/>
      <c r="DK36" s="790"/>
      <c r="DL36" s="790"/>
      <c r="DM36" s="790"/>
      <c r="DN36" s="790"/>
      <c r="DO36" s="790"/>
      <c r="DP36" s="790"/>
      <c r="DQ36" s="790"/>
      <c r="DR36" s="790"/>
      <c r="DS36" s="790"/>
      <c r="DT36" s="790"/>
      <c r="DU36" s="790"/>
      <c r="DV36" s="790"/>
      <c r="DW36" s="790"/>
      <c r="DX36" s="790"/>
      <c r="DY36" s="790"/>
      <c r="DZ36" s="790"/>
      <c r="EA36" s="790"/>
      <c r="EB36" s="790"/>
      <c r="EC36" s="790"/>
      <c r="ED36" s="790"/>
      <c r="EE36" s="790"/>
      <c r="EF36" s="790"/>
      <c r="EG36" s="790"/>
      <c r="EH36" s="790"/>
      <c r="EI36" s="790"/>
      <c r="EJ36" s="790"/>
      <c r="EK36" s="790"/>
      <c r="EL36" s="790"/>
      <c r="EM36" s="790"/>
      <c r="EN36" s="790"/>
      <c r="EO36" s="790"/>
      <c r="EP36" s="790"/>
      <c r="EQ36" s="790"/>
      <c r="ER36" s="790"/>
      <c r="ES36" s="790"/>
      <c r="ET36" s="790"/>
      <c r="EU36" s="790"/>
      <c r="EV36" s="790"/>
      <c r="EW36" s="790"/>
      <c r="EX36" s="790"/>
      <c r="EY36" s="790"/>
      <c r="EZ36" s="790"/>
      <c r="FA36" s="790"/>
      <c r="FB36" s="790"/>
      <c r="FC36" s="790"/>
      <c r="FD36" s="790"/>
      <c r="FE36" s="790"/>
      <c r="FF36" s="790"/>
      <c r="FG36" s="790"/>
      <c r="FH36" s="790"/>
      <c r="FI36" s="790"/>
      <c r="FJ36" s="790"/>
      <c r="FK36" s="790"/>
      <c r="FL36" s="790"/>
      <c r="FM36" s="790"/>
      <c r="FN36" s="790"/>
      <c r="FO36" s="790"/>
      <c r="FP36" s="790"/>
      <c r="FQ36" s="790"/>
      <c r="FR36" s="790"/>
      <c r="FS36" s="790"/>
      <c r="FT36" s="790"/>
      <c r="FU36" s="790"/>
      <c r="FV36" s="790"/>
      <c r="FW36" s="790"/>
      <c r="FX36" s="790"/>
      <c r="FY36" s="790"/>
      <c r="FZ36" s="790"/>
      <c r="GA36" s="790"/>
      <c r="GB36" s="790"/>
      <c r="GC36" s="790"/>
      <c r="GD36" s="790"/>
      <c r="GE36" s="790"/>
      <c r="GF36" s="790"/>
      <c r="GG36" s="790"/>
      <c r="GH36" s="790"/>
      <c r="GI36" s="790"/>
      <c r="GJ36" s="790"/>
      <c r="GK36" s="790"/>
      <c r="GL36" s="790"/>
      <c r="GM36" s="790"/>
      <c r="GN36" s="790"/>
      <c r="GO36" s="790"/>
      <c r="GP36" s="790"/>
      <c r="GQ36" s="790"/>
      <c r="GR36" s="790"/>
      <c r="GS36" s="790"/>
      <c r="GT36" s="790"/>
      <c r="GU36" s="790"/>
      <c r="GV36" s="790"/>
      <c r="GW36" s="790"/>
      <c r="GX36" s="790"/>
      <c r="GY36" s="790"/>
      <c r="GZ36" s="790"/>
      <c r="HA36" s="790"/>
      <c r="HB36" s="790"/>
      <c r="HC36" s="790"/>
      <c r="HD36" s="790"/>
      <c r="HE36" s="790"/>
      <c r="HF36" s="790"/>
      <c r="HG36" s="790"/>
      <c r="HH36" s="790"/>
      <c r="HI36" s="790"/>
      <c r="HJ36" s="790"/>
      <c r="HK36" s="790"/>
      <c r="HL36" s="790"/>
      <c r="HM36" s="790"/>
      <c r="HN36" s="790"/>
      <c r="HO36" s="790"/>
      <c r="HP36" s="790"/>
      <c r="HQ36" s="790"/>
      <c r="HR36" s="790"/>
      <c r="HS36" s="790"/>
      <c r="HT36" s="790"/>
      <c r="HU36" s="790"/>
      <c r="HV36" s="790"/>
      <c r="HW36" s="790"/>
      <c r="HX36" s="790"/>
      <c r="HY36" s="790"/>
      <c r="HZ36" s="790"/>
      <c r="IA36" s="790"/>
      <c r="IB36" s="790"/>
      <c r="IC36" s="790"/>
      <c r="ID36" s="790"/>
      <c r="IE36" s="790"/>
      <c r="IF36" s="790"/>
      <c r="IG36" s="790"/>
      <c r="IH36" s="790"/>
      <c r="II36" s="790"/>
      <c r="IJ36" s="790"/>
      <c r="IK36" s="790"/>
      <c r="IL36" s="790"/>
      <c r="IM36" s="790"/>
      <c r="IN36" s="790"/>
      <c r="IO36" s="790"/>
      <c r="IP36" s="790"/>
      <c r="IQ36" s="790"/>
      <c r="IR36" s="790"/>
      <c r="IS36" s="790"/>
      <c r="IT36" s="790"/>
    </row>
    <row r="37" spans="1:254" s="674" customFormat="1" ht="19.5" customHeight="1" x14ac:dyDescent="0.2">
      <c r="A37" s="2459" t="s">
        <v>739</v>
      </c>
      <c r="B37" s="2460"/>
      <c r="C37" s="2460"/>
      <c r="D37" s="2460"/>
      <c r="E37" s="2460"/>
      <c r="F37" s="2460"/>
      <c r="G37" s="2460"/>
      <c r="H37" s="2460"/>
      <c r="I37" s="2460"/>
      <c r="J37" s="2461"/>
      <c r="R37" s="790"/>
      <c r="S37" s="790"/>
      <c r="T37" s="790"/>
      <c r="U37" s="790"/>
      <c r="V37" s="790"/>
      <c r="W37" s="790"/>
      <c r="X37" s="790"/>
      <c r="Y37" s="790"/>
      <c r="Z37" s="790"/>
      <c r="AA37" s="790"/>
      <c r="AB37" s="790"/>
      <c r="AC37" s="790"/>
      <c r="AD37" s="790"/>
      <c r="AE37" s="790"/>
      <c r="AF37" s="790"/>
      <c r="AG37" s="790"/>
      <c r="AH37" s="790"/>
      <c r="AI37" s="790"/>
      <c r="AJ37" s="790"/>
      <c r="AK37" s="790"/>
      <c r="AL37" s="790"/>
      <c r="AM37" s="790"/>
      <c r="AN37" s="790"/>
      <c r="AO37" s="790"/>
      <c r="AP37" s="790"/>
      <c r="AQ37" s="790"/>
      <c r="AR37" s="790"/>
      <c r="AS37" s="790"/>
      <c r="AT37" s="790"/>
      <c r="AU37" s="790"/>
      <c r="AV37" s="790"/>
      <c r="AW37" s="790"/>
      <c r="AX37" s="790"/>
      <c r="AY37" s="790"/>
      <c r="AZ37" s="790"/>
      <c r="BA37" s="790"/>
      <c r="BB37" s="790"/>
      <c r="BC37" s="790"/>
      <c r="BD37" s="790"/>
      <c r="BE37" s="790"/>
      <c r="BF37" s="790"/>
      <c r="BG37" s="790"/>
      <c r="BH37" s="790"/>
      <c r="BI37" s="790"/>
      <c r="BJ37" s="790"/>
      <c r="BK37" s="790"/>
      <c r="BL37" s="790"/>
      <c r="BM37" s="790"/>
      <c r="BN37" s="790"/>
      <c r="BO37" s="790"/>
      <c r="BP37" s="790"/>
      <c r="BQ37" s="790"/>
      <c r="BR37" s="790"/>
      <c r="BS37" s="790"/>
      <c r="BT37" s="790"/>
      <c r="BU37" s="790"/>
      <c r="BV37" s="790"/>
      <c r="BW37" s="790"/>
      <c r="BX37" s="790"/>
      <c r="BY37" s="790"/>
      <c r="BZ37" s="790"/>
      <c r="CA37" s="790"/>
      <c r="CB37" s="790"/>
      <c r="CC37" s="790"/>
      <c r="CD37" s="790"/>
      <c r="CE37" s="790"/>
      <c r="CF37" s="790"/>
      <c r="CG37" s="790"/>
      <c r="CH37" s="790"/>
      <c r="CI37" s="790"/>
      <c r="CJ37" s="790"/>
      <c r="CK37" s="790"/>
      <c r="CL37" s="790"/>
      <c r="CM37" s="790"/>
      <c r="CN37" s="790"/>
      <c r="CO37" s="790"/>
      <c r="CP37" s="790"/>
      <c r="CQ37" s="790"/>
      <c r="CR37" s="790"/>
      <c r="CS37" s="790"/>
      <c r="CT37" s="790"/>
      <c r="CU37" s="790"/>
      <c r="CV37" s="790"/>
      <c r="CW37" s="790"/>
      <c r="CX37" s="790"/>
      <c r="CY37" s="790"/>
      <c r="CZ37" s="790"/>
      <c r="DA37" s="790"/>
      <c r="DB37" s="790"/>
      <c r="DC37" s="790"/>
      <c r="DD37" s="790"/>
      <c r="DE37" s="790"/>
      <c r="DF37" s="790"/>
      <c r="DG37" s="790"/>
      <c r="DH37" s="790"/>
      <c r="DI37" s="790"/>
      <c r="DJ37" s="790"/>
      <c r="DK37" s="790"/>
      <c r="DL37" s="790"/>
      <c r="DM37" s="790"/>
      <c r="DN37" s="790"/>
      <c r="DO37" s="790"/>
      <c r="DP37" s="790"/>
      <c r="DQ37" s="790"/>
      <c r="DR37" s="790"/>
      <c r="DS37" s="790"/>
      <c r="DT37" s="790"/>
      <c r="DU37" s="790"/>
      <c r="DV37" s="790"/>
      <c r="DW37" s="790"/>
      <c r="DX37" s="790"/>
      <c r="DY37" s="790"/>
      <c r="DZ37" s="790"/>
      <c r="EA37" s="790"/>
      <c r="EB37" s="790"/>
      <c r="EC37" s="790"/>
      <c r="ED37" s="790"/>
      <c r="EE37" s="790"/>
      <c r="EF37" s="790"/>
      <c r="EG37" s="790"/>
      <c r="EH37" s="790"/>
      <c r="EI37" s="790"/>
      <c r="EJ37" s="790"/>
      <c r="EK37" s="790"/>
      <c r="EL37" s="790"/>
      <c r="EM37" s="790"/>
      <c r="EN37" s="790"/>
      <c r="EO37" s="790"/>
      <c r="EP37" s="790"/>
      <c r="EQ37" s="790"/>
      <c r="ER37" s="790"/>
      <c r="ES37" s="790"/>
      <c r="ET37" s="790"/>
      <c r="EU37" s="790"/>
      <c r="EV37" s="790"/>
      <c r="EW37" s="790"/>
      <c r="EX37" s="790"/>
      <c r="EY37" s="790"/>
      <c r="EZ37" s="790"/>
      <c r="FA37" s="790"/>
      <c r="FB37" s="790"/>
      <c r="FC37" s="790"/>
      <c r="FD37" s="790"/>
      <c r="FE37" s="790"/>
      <c r="FF37" s="790"/>
      <c r="FG37" s="790"/>
      <c r="FH37" s="790"/>
      <c r="FI37" s="790"/>
      <c r="FJ37" s="790"/>
      <c r="FK37" s="790"/>
      <c r="FL37" s="790"/>
      <c r="FM37" s="790"/>
      <c r="FN37" s="790"/>
      <c r="FO37" s="790"/>
      <c r="FP37" s="790"/>
      <c r="FQ37" s="790"/>
      <c r="FR37" s="790"/>
      <c r="FS37" s="790"/>
      <c r="FT37" s="790"/>
      <c r="FU37" s="790"/>
      <c r="FV37" s="790"/>
      <c r="FW37" s="790"/>
      <c r="FX37" s="790"/>
      <c r="FY37" s="790"/>
      <c r="FZ37" s="790"/>
      <c r="GA37" s="790"/>
      <c r="GB37" s="790"/>
      <c r="GC37" s="790"/>
      <c r="GD37" s="790"/>
      <c r="GE37" s="790"/>
      <c r="GF37" s="790"/>
      <c r="GG37" s="790"/>
      <c r="GH37" s="790"/>
      <c r="GI37" s="790"/>
      <c r="GJ37" s="790"/>
      <c r="GK37" s="790"/>
      <c r="GL37" s="790"/>
      <c r="GM37" s="790"/>
      <c r="GN37" s="790"/>
      <c r="GO37" s="790"/>
      <c r="GP37" s="790"/>
      <c r="GQ37" s="790"/>
      <c r="GR37" s="790"/>
      <c r="GS37" s="790"/>
      <c r="GT37" s="790"/>
      <c r="GU37" s="790"/>
      <c r="GV37" s="790"/>
      <c r="GW37" s="790"/>
      <c r="GX37" s="790"/>
      <c r="GY37" s="790"/>
      <c r="GZ37" s="790"/>
      <c r="HA37" s="790"/>
      <c r="HB37" s="790"/>
      <c r="HC37" s="790"/>
      <c r="HD37" s="790"/>
      <c r="HE37" s="790"/>
      <c r="HF37" s="790"/>
      <c r="HG37" s="790"/>
      <c r="HH37" s="790"/>
      <c r="HI37" s="790"/>
      <c r="HJ37" s="790"/>
      <c r="HK37" s="790"/>
      <c r="HL37" s="790"/>
      <c r="HM37" s="790"/>
      <c r="HN37" s="790"/>
      <c r="HO37" s="790"/>
      <c r="HP37" s="790"/>
      <c r="HQ37" s="790"/>
      <c r="HR37" s="790"/>
      <c r="HS37" s="790"/>
      <c r="HT37" s="790"/>
      <c r="HU37" s="790"/>
      <c r="HV37" s="790"/>
      <c r="HW37" s="790"/>
      <c r="HX37" s="790"/>
      <c r="HY37" s="790"/>
      <c r="HZ37" s="790"/>
      <c r="IA37" s="790"/>
      <c r="IB37" s="790"/>
      <c r="IC37" s="790"/>
      <c r="ID37" s="790"/>
      <c r="IE37" s="790"/>
      <c r="IF37" s="790"/>
      <c r="IG37" s="790"/>
      <c r="IH37" s="790"/>
      <c r="II37" s="790"/>
      <c r="IJ37" s="790"/>
      <c r="IK37" s="790"/>
      <c r="IL37" s="790"/>
      <c r="IM37" s="790"/>
      <c r="IN37" s="790"/>
      <c r="IO37" s="790"/>
      <c r="IP37" s="790"/>
      <c r="IQ37" s="790"/>
      <c r="IR37" s="790"/>
      <c r="IS37" s="790"/>
      <c r="IT37" s="790"/>
    </row>
    <row r="38" spans="1:254" s="674" customFormat="1" ht="19.5" customHeight="1" x14ac:dyDescent="0.2">
      <c r="A38" s="2462"/>
      <c r="B38" s="2463"/>
      <c r="C38" s="2463"/>
      <c r="D38" s="2463"/>
      <c r="E38" s="2463"/>
      <c r="F38" s="2463"/>
      <c r="G38" s="2463"/>
      <c r="H38" s="2463"/>
      <c r="I38" s="2463"/>
      <c r="J38" s="2464"/>
      <c r="R38" s="790"/>
      <c r="S38" s="790"/>
      <c r="T38" s="790"/>
      <c r="U38" s="790"/>
      <c r="V38" s="790"/>
      <c r="W38" s="790"/>
      <c r="X38" s="790"/>
      <c r="Y38" s="790"/>
      <c r="Z38" s="790"/>
      <c r="AA38" s="790"/>
      <c r="AB38" s="790"/>
      <c r="AC38" s="790"/>
      <c r="AD38" s="790"/>
      <c r="AE38" s="790"/>
      <c r="AF38" s="790"/>
      <c r="AG38" s="790"/>
      <c r="AH38" s="790"/>
      <c r="AI38" s="790"/>
      <c r="AJ38" s="790"/>
      <c r="AK38" s="790"/>
      <c r="AL38" s="790"/>
      <c r="AM38" s="790"/>
      <c r="AN38" s="790"/>
      <c r="AO38" s="790"/>
      <c r="AP38" s="790"/>
      <c r="AQ38" s="790"/>
      <c r="AR38" s="790"/>
      <c r="AS38" s="790"/>
      <c r="AT38" s="790"/>
      <c r="AU38" s="790"/>
      <c r="AV38" s="790"/>
      <c r="AW38" s="790"/>
      <c r="AX38" s="790"/>
      <c r="AY38" s="790"/>
      <c r="AZ38" s="790"/>
      <c r="BA38" s="790"/>
      <c r="BB38" s="790"/>
      <c r="BC38" s="790"/>
      <c r="BD38" s="790"/>
      <c r="BE38" s="790"/>
      <c r="BF38" s="790"/>
      <c r="BG38" s="790"/>
      <c r="BH38" s="790"/>
      <c r="BI38" s="790"/>
      <c r="BJ38" s="790"/>
      <c r="BK38" s="790"/>
      <c r="BL38" s="790"/>
      <c r="BM38" s="790"/>
      <c r="BN38" s="790"/>
      <c r="BO38" s="790"/>
      <c r="BP38" s="790"/>
      <c r="BQ38" s="790"/>
      <c r="BR38" s="790"/>
      <c r="BS38" s="790"/>
      <c r="BT38" s="790"/>
      <c r="BU38" s="790"/>
      <c r="BV38" s="790"/>
      <c r="BW38" s="790"/>
      <c r="BX38" s="790"/>
      <c r="BY38" s="790"/>
      <c r="BZ38" s="790"/>
      <c r="CA38" s="790"/>
      <c r="CB38" s="790"/>
      <c r="CC38" s="790"/>
      <c r="CD38" s="790"/>
      <c r="CE38" s="790"/>
      <c r="CF38" s="790"/>
      <c r="CG38" s="790"/>
      <c r="CH38" s="790"/>
      <c r="CI38" s="790"/>
      <c r="CJ38" s="790"/>
      <c r="CK38" s="790"/>
      <c r="CL38" s="790"/>
      <c r="CM38" s="790"/>
      <c r="CN38" s="790"/>
      <c r="CO38" s="790"/>
      <c r="CP38" s="790"/>
      <c r="CQ38" s="790"/>
      <c r="CR38" s="790"/>
      <c r="CS38" s="790"/>
      <c r="CT38" s="790"/>
      <c r="CU38" s="790"/>
      <c r="CV38" s="790"/>
      <c r="CW38" s="790"/>
      <c r="CX38" s="790"/>
      <c r="CY38" s="790"/>
      <c r="CZ38" s="790"/>
      <c r="DA38" s="790"/>
      <c r="DB38" s="790"/>
      <c r="DC38" s="790"/>
      <c r="DD38" s="790"/>
      <c r="DE38" s="790"/>
      <c r="DF38" s="790"/>
      <c r="DG38" s="790"/>
      <c r="DH38" s="790"/>
      <c r="DI38" s="790"/>
      <c r="DJ38" s="790"/>
      <c r="DK38" s="790"/>
      <c r="DL38" s="790"/>
      <c r="DM38" s="790"/>
      <c r="DN38" s="790"/>
      <c r="DO38" s="790"/>
      <c r="DP38" s="790"/>
      <c r="DQ38" s="790"/>
      <c r="DR38" s="790"/>
      <c r="DS38" s="790"/>
      <c r="DT38" s="790"/>
      <c r="DU38" s="790"/>
      <c r="DV38" s="790"/>
      <c r="DW38" s="790"/>
      <c r="DX38" s="790"/>
      <c r="DY38" s="790"/>
      <c r="DZ38" s="790"/>
      <c r="EA38" s="790"/>
      <c r="EB38" s="790"/>
      <c r="EC38" s="790"/>
      <c r="ED38" s="790"/>
      <c r="EE38" s="790"/>
      <c r="EF38" s="790"/>
      <c r="EG38" s="790"/>
      <c r="EH38" s="790"/>
      <c r="EI38" s="790"/>
      <c r="EJ38" s="790"/>
      <c r="EK38" s="790"/>
      <c r="EL38" s="790"/>
      <c r="EM38" s="790"/>
      <c r="EN38" s="790"/>
      <c r="EO38" s="790"/>
      <c r="EP38" s="790"/>
      <c r="EQ38" s="790"/>
      <c r="ER38" s="790"/>
      <c r="ES38" s="790"/>
      <c r="ET38" s="790"/>
      <c r="EU38" s="790"/>
      <c r="EV38" s="790"/>
      <c r="EW38" s="790"/>
      <c r="EX38" s="790"/>
      <c r="EY38" s="790"/>
      <c r="EZ38" s="790"/>
      <c r="FA38" s="790"/>
      <c r="FB38" s="790"/>
      <c r="FC38" s="790"/>
      <c r="FD38" s="790"/>
      <c r="FE38" s="790"/>
      <c r="FF38" s="790"/>
      <c r="FG38" s="790"/>
      <c r="FH38" s="790"/>
      <c r="FI38" s="790"/>
      <c r="FJ38" s="790"/>
      <c r="FK38" s="790"/>
      <c r="FL38" s="790"/>
      <c r="FM38" s="790"/>
      <c r="FN38" s="790"/>
      <c r="FO38" s="790"/>
      <c r="FP38" s="790"/>
      <c r="FQ38" s="790"/>
      <c r="FR38" s="790"/>
      <c r="FS38" s="790"/>
      <c r="FT38" s="790"/>
      <c r="FU38" s="790"/>
      <c r="FV38" s="790"/>
      <c r="FW38" s="790"/>
      <c r="FX38" s="790"/>
      <c r="FY38" s="790"/>
      <c r="FZ38" s="790"/>
      <c r="GA38" s="790"/>
      <c r="GB38" s="790"/>
      <c r="GC38" s="790"/>
      <c r="GD38" s="790"/>
      <c r="GE38" s="790"/>
      <c r="GF38" s="790"/>
      <c r="GG38" s="790"/>
      <c r="GH38" s="790"/>
      <c r="GI38" s="790"/>
      <c r="GJ38" s="790"/>
      <c r="GK38" s="790"/>
      <c r="GL38" s="790"/>
      <c r="GM38" s="790"/>
      <c r="GN38" s="790"/>
      <c r="GO38" s="790"/>
      <c r="GP38" s="790"/>
      <c r="GQ38" s="790"/>
      <c r="GR38" s="790"/>
      <c r="GS38" s="790"/>
      <c r="GT38" s="790"/>
      <c r="GU38" s="790"/>
      <c r="GV38" s="790"/>
      <c r="GW38" s="790"/>
      <c r="GX38" s="790"/>
      <c r="GY38" s="790"/>
      <c r="GZ38" s="790"/>
      <c r="HA38" s="790"/>
      <c r="HB38" s="790"/>
      <c r="HC38" s="790"/>
      <c r="HD38" s="790"/>
      <c r="HE38" s="790"/>
      <c r="HF38" s="790"/>
      <c r="HG38" s="790"/>
      <c r="HH38" s="790"/>
      <c r="HI38" s="790"/>
      <c r="HJ38" s="790"/>
      <c r="HK38" s="790"/>
      <c r="HL38" s="790"/>
      <c r="HM38" s="790"/>
      <c r="HN38" s="790"/>
      <c r="HO38" s="790"/>
      <c r="HP38" s="790"/>
      <c r="HQ38" s="790"/>
      <c r="HR38" s="790"/>
      <c r="HS38" s="790"/>
      <c r="HT38" s="790"/>
      <c r="HU38" s="790"/>
      <c r="HV38" s="790"/>
      <c r="HW38" s="790"/>
      <c r="HX38" s="790"/>
      <c r="HY38" s="790"/>
      <c r="HZ38" s="790"/>
      <c r="IA38" s="790"/>
      <c r="IB38" s="790"/>
      <c r="IC38" s="790"/>
      <c r="ID38" s="790"/>
      <c r="IE38" s="790"/>
      <c r="IF38" s="790"/>
      <c r="IG38" s="790"/>
      <c r="IH38" s="790"/>
      <c r="II38" s="790"/>
      <c r="IJ38" s="790"/>
      <c r="IK38" s="790"/>
      <c r="IL38" s="790"/>
      <c r="IM38" s="790"/>
      <c r="IN38" s="790"/>
      <c r="IO38" s="790"/>
      <c r="IP38" s="790"/>
      <c r="IQ38" s="790"/>
      <c r="IR38" s="790"/>
      <c r="IS38" s="790"/>
      <c r="IT38" s="790"/>
    </row>
    <row r="39" spans="1:254" s="674" customFormat="1" ht="21.75" customHeight="1" x14ac:dyDescent="0.2">
      <c r="A39" s="2462"/>
      <c r="B39" s="2463"/>
      <c r="C39" s="2463"/>
      <c r="D39" s="2463"/>
      <c r="E39" s="2463"/>
      <c r="F39" s="2463"/>
      <c r="G39" s="2463"/>
      <c r="H39" s="2463"/>
      <c r="I39" s="2463"/>
      <c r="J39" s="2464"/>
      <c r="R39" s="790"/>
      <c r="S39" s="790"/>
      <c r="T39" s="790"/>
      <c r="U39" s="790"/>
      <c r="V39" s="790"/>
      <c r="W39" s="790"/>
      <c r="X39" s="790"/>
      <c r="Y39" s="790"/>
      <c r="Z39" s="790"/>
      <c r="AA39" s="790"/>
      <c r="AB39" s="790"/>
      <c r="AC39" s="790"/>
      <c r="AD39" s="790"/>
      <c r="AE39" s="790"/>
      <c r="AF39" s="790"/>
      <c r="AG39" s="790"/>
      <c r="AH39" s="790"/>
      <c r="AI39" s="790"/>
      <c r="AJ39" s="790"/>
      <c r="AK39" s="790"/>
      <c r="AL39" s="790"/>
      <c r="AM39" s="790"/>
      <c r="AN39" s="790"/>
      <c r="AO39" s="790"/>
      <c r="AP39" s="790"/>
      <c r="AQ39" s="790"/>
      <c r="AR39" s="790"/>
      <c r="AS39" s="790"/>
      <c r="AT39" s="790"/>
      <c r="AU39" s="790"/>
      <c r="AV39" s="790"/>
      <c r="AW39" s="790"/>
      <c r="AX39" s="790"/>
      <c r="AY39" s="790"/>
      <c r="AZ39" s="790"/>
      <c r="BA39" s="790"/>
      <c r="BB39" s="790"/>
      <c r="BC39" s="790"/>
      <c r="BD39" s="790"/>
      <c r="BE39" s="790"/>
      <c r="BF39" s="790"/>
      <c r="BG39" s="790"/>
      <c r="BH39" s="790"/>
      <c r="BI39" s="790"/>
      <c r="BJ39" s="790"/>
      <c r="BK39" s="790"/>
      <c r="BL39" s="790"/>
      <c r="BM39" s="790"/>
      <c r="BN39" s="790"/>
      <c r="BO39" s="790"/>
      <c r="BP39" s="790"/>
      <c r="BQ39" s="790"/>
      <c r="BR39" s="790"/>
      <c r="BS39" s="790"/>
      <c r="BT39" s="790"/>
      <c r="BU39" s="790"/>
      <c r="BV39" s="790"/>
      <c r="BW39" s="790"/>
      <c r="BX39" s="790"/>
      <c r="BY39" s="790"/>
      <c r="BZ39" s="790"/>
      <c r="CA39" s="790"/>
      <c r="CB39" s="790"/>
      <c r="CC39" s="790"/>
      <c r="CD39" s="790"/>
      <c r="CE39" s="790"/>
      <c r="CF39" s="790"/>
      <c r="CG39" s="790"/>
      <c r="CH39" s="790"/>
      <c r="CI39" s="790"/>
      <c r="CJ39" s="790"/>
      <c r="CK39" s="790"/>
      <c r="CL39" s="790"/>
      <c r="CM39" s="790"/>
      <c r="CN39" s="790"/>
      <c r="CO39" s="790"/>
      <c r="CP39" s="790"/>
      <c r="CQ39" s="790"/>
      <c r="CR39" s="790"/>
      <c r="CS39" s="790"/>
      <c r="CT39" s="790"/>
      <c r="CU39" s="790"/>
      <c r="CV39" s="790"/>
      <c r="CW39" s="790"/>
      <c r="CX39" s="790"/>
      <c r="CY39" s="790"/>
      <c r="CZ39" s="790"/>
      <c r="DA39" s="790"/>
      <c r="DB39" s="790"/>
      <c r="DC39" s="790"/>
      <c r="DD39" s="790"/>
      <c r="DE39" s="790"/>
      <c r="DF39" s="790"/>
      <c r="DG39" s="790"/>
      <c r="DH39" s="790"/>
      <c r="DI39" s="790"/>
      <c r="DJ39" s="790"/>
      <c r="DK39" s="790"/>
      <c r="DL39" s="790"/>
      <c r="DM39" s="790"/>
      <c r="DN39" s="790"/>
      <c r="DO39" s="790"/>
      <c r="DP39" s="790"/>
      <c r="DQ39" s="790"/>
      <c r="DR39" s="790"/>
      <c r="DS39" s="790"/>
      <c r="DT39" s="790"/>
      <c r="DU39" s="790"/>
      <c r="DV39" s="790"/>
      <c r="DW39" s="790"/>
      <c r="DX39" s="790"/>
      <c r="DY39" s="790"/>
      <c r="DZ39" s="790"/>
      <c r="EA39" s="790"/>
      <c r="EB39" s="790"/>
      <c r="EC39" s="790"/>
      <c r="ED39" s="790"/>
      <c r="EE39" s="790"/>
      <c r="EF39" s="790"/>
      <c r="EG39" s="790"/>
      <c r="EH39" s="790"/>
      <c r="EI39" s="790"/>
      <c r="EJ39" s="790"/>
      <c r="EK39" s="790"/>
      <c r="EL39" s="790"/>
      <c r="EM39" s="790"/>
      <c r="EN39" s="790"/>
      <c r="EO39" s="790"/>
      <c r="EP39" s="790"/>
      <c r="EQ39" s="790"/>
      <c r="ER39" s="790"/>
      <c r="ES39" s="790"/>
      <c r="ET39" s="790"/>
      <c r="EU39" s="790"/>
      <c r="EV39" s="790"/>
      <c r="EW39" s="790"/>
      <c r="EX39" s="790"/>
      <c r="EY39" s="790"/>
      <c r="EZ39" s="790"/>
      <c r="FA39" s="790"/>
      <c r="FB39" s="790"/>
      <c r="FC39" s="790"/>
      <c r="FD39" s="790"/>
      <c r="FE39" s="790"/>
      <c r="FF39" s="790"/>
      <c r="FG39" s="790"/>
      <c r="FH39" s="790"/>
      <c r="FI39" s="790"/>
      <c r="FJ39" s="790"/>
      <c r="FK39" s="790"/>
      <c r="FL39" s="790"/>
      <c r="FM39" s="790"/>
      <c r="FN39" s="790"/>
      <c r="FO39" s="790"/>
      <c r="FP39" s="790"/>
      <c r="FQ39" s="790"/>
      <c r="FR39" s="790"/>
      <c r="FS39" s="790"/>
      <c r="FT39" s="790"/>
      <c r="FU39" s="790"/>
      <c r="FV39" s="790"/>
      <c r="FW39" s="790"/>
      <c r="FX39" s="790"/>
      <c r="FY39" s="790"/>
      <c r="FZ39" s="790"/>
      <c r="GA39" s="790"/>
      <c r="GB39" s="790"/>
      <c r="GC39" s="790"/>
      <c r="GD39" s="790"/>
      <c r="GE39" s="790"/>
      <c r="GF39" s="790"/>
      <c r="GG39" s="790"/>
      <c r="GH39" s="790"/>
      <c r="GI39" s="790"/>
      <c r="GJ39" s="790"/>
      <c r="GK39" s="790"/>
      <c r="GL39" s="790"/>
      <c r="GM39" s="790"/>
      <c r="GN39" s="790"/>
      <c r="GO39" s="790"/>
      <c r="GP39" s="790"/>
      <c r="GQ39" s="790"/>
      <c r="GR39" s="790"/>
      <c r="GS39" s="790"/>
      <c r="GT39" s="790"/>
      <c r="GU39" s="790"/>
      <c r="GV39" s="790"/>
      <c r="GW39" s="790"/>
      <c r="GX39" s="790"/>
      <c r="GY39" s="790"/>
      <c r="GZ39" s="790"/>
      <c r="HA39" s="790"/>
      <c r="HB39" s="790"/>
      <c r="HC39" s="790"/>
      <c r="HD39" s="790"/>
      <c r="HE39" s="790"/>
      <c r="HF39" s="790"/>
      <c r="HG39" s="790"/>
      <c r="HH39" s="790"/>
      <c r="HI39" s="790"/>
      <c r="HJ39" s="790"/>
      <c r="HK39" s="790"/>
      <c r="HL39" s="790"/>
      <c r="HM39" s="790"/>
      <c r="HN39" s="790"/>
      <c r="HO39" s="790"/>
      <c r="HP39" s="790"/>
      <c r="HQ39" s="790"/>
      <c r="HR39" s="790"/>
      <c r="HS39" s="790"/>
      <c r="HT39" s="790"/>
      <c r="HU39" s="790"/>
      <c r="HV39" s="790"/>
      <c r="HW39" s="790"/>
      <c r="HX39" s="790"/>
      <c r="HY39" s="790"/>
      <c r="HZ39" s="790"/>
      <c r="IA39" s="790"/>
      <c r="IB39" s="790"/>
      <c r="IC39" s="790"/>
      <c r="ID39" s="790"/>
      <c r="IE39" s="790"/>
      <c r="IF39" s="790"/>
      <c r="IG39" s="790"/>
      <c r="IH39" s="790"/>
      <c r="II39" s="790"/>
      <c r="IJ39" s="790"/>
      <c r="IK39" s="790"/>
      <c r="IL39" s="790"/>
      <c r="IM39" s="790"/>
      <c r="IN39" s="790"/>
      <c r="IO39" s="790"/>
      <c r="IP39" s="790"/>
      <c r="IQ39" s="790"/>
      <c r="IR39" s="790"/>
      <c r="IS39" s="790"/>
      <c r="IT39" s="790"/>
    </row>
    <row r="40" spans="1:254" s="674" customFormat="1" ht="32.25" customHeight="1" x14ac:dyDescent="0.2">
      <c r="A40" s="2465"/>
      <c r="B40" s="2466"/>
      <c r="C40" s="2466"/>
      <c r="D40" s="2466"/>
      <c r="E40" s="2466"/>
      <c r="F40" s="2466"/>
      <c r="G40" s="2466"/>
      <c r="H40" s="2466"/>
      <c r="I40" s="2466"/>
      <c r="J40" s="2467"/>
      <c r="R40" s="790"/>
      <c r="S40" s="790"/>
      <c r="T40" s="790"/>
      <c r="U40" s="790"/>
      <c r="V40" s="790"/>
      <c r="W40" s="790"/>
      <c r="X40" s="790"/>
      <c r="Y40" s="790"/>
      <c r="Z40" s="790"/>
      <c r="AA40" s="790"/>
      <c r="AB40" s="790"/>
      <c r="AC40" s="790"/>
      <c r="AD40" s="790"/>
      <c r="AE40" s="790"/>
      <c r="AF40" s="790"/>
      <c r="AG40" s="790"/>
      <c r="AH40" s="790"/>
      <c r="AI40" s="790"/>
      <c r="AJ40" s="790"/>
      <c r="AK40" s="790"/>
      <c r="AL40" s="790"/>
      <c r="AM40" s="790"/>
      <c r="AN40" s="790"/>
      <c r="AO40" s="790"/>
      <c r="AP40" s="790"/>
      <c r="AQ40" s="790"/>
      <c r="AR40" s="790"/>
      <c r="AS40" s="790"/>
      <c r="AT40" s="790"/>
      <c r="AU40" s="790"/>
      <c r="AV40" s="790"/>
      <c r="AW40" s="790"/>
      <c r="AX40" s="790"/>
      <c r="AY40" s="790"/>
      <c r="AZ40" s="790"/>
      <c r="BA40" s="790"/>
      <c r="BB40" s="790"/>
      <c r="BC40" s="790"/>
      <c r="BD40" s="790"/>
      <c r="BE40" s="790"/>
      <c r="BF40" s="790"/>
      <c r="BG40" s="790"/>
      <c r="BH40" s="790"/>
      <c r="BI40" s="790"/>
      <c r="BJ40" s="790"/>
      <c r="BK40" s="790"/>
      <c r="BL40" s="790"/>
      <c r="BM40" s="790"/>
      <c r="BN40" s="790"/>
      <c r="BO40" s="790"/>
      <c r="BP40" s="790"/>
      <c r="BQ40" s="790"/>
      <c r="BR40" s="790"/>
      <c r="BS40" s="790"/>
      <c r="BT40" s="790"/>
      <c r="BU40" s="790"/>
      <c r="BV40" s="790"/>
      <c r="BW40" s="790"/>
      <c r="BX40" s="790"/>
      <c r="BY40" s="790"/>
      <c r="BZ40" s="790"/>
      <c r="CA40" s="790"/>
      <c r="CB40" s="790"/>
      <c r="CC40" s="790"/>
      <c r="CD40" s="790"/>
      <c r="CE40" s="790"/>
      <c r="CF40" s="790"/>
      <c r="CG40" s="790"/>
      <c r="CH40" s="790"/>
      <c r="CI40" s="790"/>
      <c r="CJ40" s="790"/>
      <c r="CK40" s="790"/>
      <c r="CL40" s="790"/>
      <c r="CM40" s="790"/>
      <c r="CN40" s="790"/>
      <c r="CO40" s="790"/>
      <c r="CP40" s="790"/>
      <c r="CQ40" s="790"/>
      <c r="CR40" s="790"/>
      <c r="CS40" s="790"/>
      <c r="CT40" s="790"/>
      <c r="CU40" s="790"/>
      <c r="CV40" s="790"/>
      <c r="CW40" s="790"/>
      <c r="CX40" s="790"/>
      <c r="CY40" s="790"/>
      <c r="CZ40" s="790"/>
      <c r="DA40" s="790"/>
      <c r="DB40" s="790"/>
      <c r="DC40" s="790"/>
      <c r="DD40" s="790"/>
      <c r="DE40" s="790"/>
      <c r="DF40" s="790"/>
      <c r="DG40" s="790"/>
      <c r="DH40" s="790"/>
      <c r="DI40" s="790"/>
      <c r="DJ40" s="790"/>
      <c r="DK40" s="790"/>
      <c r="DL40" s="790"/>
      <c r="DM40" s="790"/>
      <c r="DN40" s="790"/>
      <c r="DO40" s="790"/>
      <c r="DP40" s="790"/>
      <c r="DQ40" s="790"/>
      <c r="DR40" s="790"/>
      <c r="DS40" s="790"/>
      <c r="DT40" s="790"/>
      <c r="DU40" s="790"/>
      <c r="DV40" s="790"/>
      <c r="DW40" s="790"/>
      <c r="DX40" s="790"/>
      <c r="DY40" s="790"/>
      <c r="DZ40" s="790"/>
      <c r="EA40" s="790"/>
      <c r="EB40" s="790"/>
      <c r="EC40" s="790"/>
      <c r="ED40" s="790"/>
      <c r="EE40" s="790"/>
      <c r="EF40" s="790"/>
      <c r="EG40" s="790"/>
      <c r="EH40" s="790"/>
      <c r="EI40" s="790"/>
      <c r="EJ40" s="790"/>
      <c r="EK40" s="790"/>
      <c r="EL40" s="790"/>
      <c r="EM40" s="790"/>
      <c r="EN40" s="790"/>
      <c r="EO40" s="790"/>
      <c r="EP40" s="790"/>
      <c r="EQ40" s="790"/>
      <c r="ER40" s="790"/>
      <c r="ES40" s="790"/>
      <c r="ET40" s="790"/>
      <c r="EU40" s="790"/>
      <c r="EV40" s="790"/>
      <c r="EW40" s="790"/>
      <c r="EX40" s="790"/>
      <c r="EY40" s="790"/>
      <c r="EZ40" s="790"/>
      <c r="FA40" s="790"/>
      <c r="FB40" s="790"/>
      <c r="FC40" s="790"/>
      <c r="FD40" s="790"/>
      <c r="FE40" s="790"/>
      <c r="FF40" s="790"/>
      <c r="FG40" s="790"/>
      <c r="FH40" s="790"/>
      <c r="FI40" s="790"/>
      <c r="FJ40" s="790"/>
      <c r="FK40" s="790"/>
      <c r="FL40" s="790"/>
      <c r="FM40" s="790"/>
      <c r="FN40" s="790"/>
      <c r="FO40" s="790"/>
      <c r="FP40" s="790"/>
      <c r="FQ40" s="790"/>
      <c r="FR40" s="790"/>
      <c r="FS40" s="790"/>
      <c r="FT40" s="790"/>
      <c r="FU40" s="790"/>
      <c r="FV40" s="790"/>
      <c r="FW40" s="790"/>
      <c r="FX40" s="790"/>
      <c r="FY40" s="790"/>
      <c r="FZ40" s="790"/>
      <c r="GA40" s="790"/>
      <c r="GB40" s="790"/>
      <c r="GC40" s="790"/>
      <c r="GD40" s="790"/>
      <c r="GE40" s="790"/>
      <c r="GF40" s="790"/>
      <c r="GG40" s="790"/>
      <c r="GH40" s="790"/>
      <c r="GI40" s="790"/>
      <c r="GJ40" s="790"/>
      <c r="GK40" s="790"/>
      <c r="GL40" s="790"/>
      <c r="GM40" s="790"/>
      <c r="GN40" s="790"/>
      <c r="GO40" s="790"/>
      <c r="GP40" s="790"/>
      <c r="GQ40" s="790"/>
      <c r="GR40" s="790"/>
      <c r="GS40" s="790"/>
      <c r="GT40" s="790"/>
      <c r="GU40" s="790"/>
      <c r="GV40" s="790"/>
      <c r="GW40" s="790"/>
      <c r="GX40" s="790"/>
      <c r="GY40" s="790"/>
      <c r="GZ40" s="790"/>
      <c r="HA40" s="790"/>
      <c r="HB40" s="790"/>
      <c r="HC40" s="790"/>
      <c r="HD40" s="790"/>
      <c r="HE40" s="790"/>
      <c r="HF40" s="790"/>
      <c r="HG40" s="790"/>
      <c r="HH40" s="790"/>
      <c r="HI40" s="790"/>
      <c r="HJ40" s="790"/>
      <c r="HK40" s="790"/>
      <c r="HL40" s="790"/>
      <c r="HM40" s="790"/>
      <c r="HN40" s="790"/>
      <c r="HO40" s="790"/>
      <c r="HP40" s="790"/>
      <c r="HQ40" s="790"/>
      <c r="HR40" s="790"/>
      <c r="HS40" s="790"/>
      <c r="HT40" s="790"/>
      <c r="HU40" s="790"/>
      <c r="HV40" s="790"/>
      <c r="HW40" s="790"/>
      <c r="HX40" s="790"/>
      <c r="HY40" s="790"/>
      <c r="HZ40" s="790"/>
      <c r="IA40" s="790"/>
      <c r="IB40" s="790"/>
      <c r="IC40" s="790"/>
      <c r="ID40" s="790"/>
      <c r="IE40" s="790"/>
      <c r="IF40" s="790"/>
      <c r="IG40" s="790"/>
      <c r="IH40" s="790"/>
      <c r="II40" s="790"/>
      <c r="IJ40" s="790"/>
      <c r="IK40" s="790"/>
      <c r="IL40" s="790"/>
      <c r="IM40" s="790"/>
      <c r="IN40" s="790"/>
      <c r="IO40" s="790"/>
      <c r="IP40" s="790"/>
      <c r="IQ40" s="790"/>
      <c r="IR40" s="790"/>
      <c r="IS40" s="790"/>
      <c r="IT40" s="790"/>
    </row>
    <row r="41" spans="1:254" s="674" customFormat="1" ht="26.25" customHeight="1" x14ac:dyDescent="0.2">
      <c r="A41" s="72"/>
      <c r="B41" s="72"/>
      <c r="C41" s="72"/>
      <c r="D41" s="72"/>
      <c r="E41" s="72"/>
      <c r="F41" s="72"/>
      <c r="G41" s="72"/>
      <c r="H41" s="72"/>
      <c r="I41" s="72"/>
      <c r="J41" s="72"/>
      <c r="R41" s="790"/>
      <c r="S41" s="790"/>
      <c r="T41" s="790"/>
      <c r="U41" s="790"/>
      <c r="V41" s="790"/>
      <c r="W41" s="790"/>
      <c r="X41" s="790"/>
      <c r="Y41" s="790"/>
      <c r="Z41" s="790"/>
      <c r="AA41" s="790"/>
      <c r="AB41" s="790"/>
      <c r="AC41" s="790"/>
      <c r="AD41" s="790"/>
      <c r="AE41" s="790"/>
      <c r="AF41" s="790"/>
      <c r="AG41" s="790"/>
      <c r="AH41" s="790"/>
      <c r="AI41" s="790"/>
      <c r="AJ41" s="790"/>
      <c r="AK41" s="790"/>
      <c r="AL41" s="790"/>
      <c r="AM41" s="790"/>
      <c r="AN41" s="790"/>
      <c r="AO41" s="790"/>
      <c r="AP41" s="790"/>
      <c r="AQ41" s="790"/>
      <c r="AR41" s="790"/>
      <c r="AS41" s="790"/>
      <c r="AT41" s="790"/>
      <c r="AU41" s="790"/>
      <c r="AV41" s="790"/>
      <c r="AW41" s="790"/>
      <c r="AX41" s="790"/>
      <c r="AY41" s="790"/>
      <c r="AZ41" s="790"/>
      <c r="BA41" s="790"/>
      <c r="BB41" s="790"/>
      <c r="BC41" s="790"/>
      <c r="BD41" s="790"/>
      <c r="BE41" s="790"/>
      <c r="BF41" s="790"/>
      <c r="BG41" s="790"/>
      <c r="BH41" s="790"/>
      <c r="BI41" s="790"/>
      <c r="BJ41" s="790"/>
      <c r="BK41" s="790"/>
      <c r="BL41" s="790"/>
      <c r="BM41" s="790"/>
      <c r="BN41" s="790"/>
      <c r="BO41" s="790"/>
      <c r="BP41" s="790"/>
      <c r="BQ41" s="790"/>
      <c r="BR41" s="790"/>
      <c r="BS41" s="790"/>
      <c r="BT41" s="790"/>
      <c r="BU41" s="790"/>
      <c r="BV41" s="790"/>
      <c r="BW41" s="790"/>
      <c r="BX41" s="790"/>
      <c r="BY41" s="790"/>
      <c r="BZ41" s="790"/>
      <c r="CA41" s="790"/>
      <c r="CB41" s="790"/>
      <c r="CC41" s="790"/>
      <c r="CD41" s="790"/>
      <c r="CE41" s="790"/>
      <c r="CF41" s="790"/>
      <c r="CG41" s="790"/>
      <c r="CH41" s="790"/>
      <c r="CI41" s="790"/>
      <c r="CJ41" s="790"/>
      <c r="CK41" s="790"/>
      <c r="CL41" s="790"/>
      <c r="CM41" s="790"/>
      <c r="CN41" s="790"/>
      <c r="CO41" s="790"/>
      <c r="CP41" s="790"/>
      <c r="CQ41" s="790"/>
      <c r="CR41" s="790"/>
      <c r="CS41" s="790"/>
      <c r="CT41" s="790"/>
      <c r="CU41" s="790"/>
      <c r="CV41" s="790"/>
      <c r="CW41" s="790"/>
      <c r="CX41" s="790"/>
      <c r="CY41" s="790"/>
      <c r="CZ41" s="790"/>
      <c r="DA41" s="790"/>
      <c r="DB41" s="790"/>
      <c r="DC41" s="790"/>
      <c r="DD41" s="790"/>
      <c r="DE41" s="790"/>
      <c r="DF41" s="790"/>
      <c r="DG41" s="790"/>
      <c r="DH41" s="790"/>
      <c r="DI41" s="790"/>
      <c r="DJ41" s="790"/>
      <c r="DK41" s="790"/>
      <c r="DL41" s="790"/>
      <c r="DM41" s="790"/>
      <c r="DN41" s="790"/>
      <c r="DO41" s="790"/>
      <c r="DP41" s="790"/>
      <c r="DQ41" s="790"/>
      <c r="DR41" s="790"/>
      <c r="DS41" s="790"/>
      <c r="DT41" s="790"/>
      <c r="DU41" s="790"/>
      <c r="DV41" s="790"/>
      <c r="DW41" s="790"/>
      <c r="DX41" s="790"/>
      <c r="DY41" s="790"/>
      <c r="DZ41" s="790"/>
      <c r="EA41" s="790"/>
      <c r="EB41" s="790"/>
      <c r="EC41" s="790"/>
      <c r="ED41" s="790"/>
      <c r="EE41" s="790"/>
      <c r="EF41" s="790"/>
      <c r="EG41" s="790"/>
      <c r="EH41" s="790"/>
      <c r="EI41" s="790"/>
      <c r="EJ41" s="790"/>
      <c r="EK41" s="790"/>
      <c r="EL41" s="790"/>
      <c r="EM41" s="790"/>
      <c r="EN41" s="790"/>
      <c r="EO41" s="790"/>
      <c r="EP41" s="790"/>
      <c r="EQ41" s="790"/>
      <c r="ER41" s="790"/>
      <c r="ES41" s="790"/>
      <c r="ET41" s="790"/>
      <c r="EU41" s="790"/>
      <c r="EV41" s="790"/>
      <c r="EW41" s="790"/>
      <c r="EX41" s="790"/>
      <c r="EY41" s="790"/>
      <c r="EZ41" s="790"/>
      <c r="FA41" s="790"/>
      <c r="FB41" s="790"/>
      <c r="FC41" s="790"/>
      <c r="FD41" s="790"/>
      <c r="FE41" s="790"/>
      <c r="FF41" s="790"/>
      <c r="FG41" s="790"/>
      <c r="FH41" s="790"/>
      <c r="FI41" s="790"/>
      <c r="FJ41" s="790"/>
      <c r="FK41" s="790"/>
      <c r="FL41" s="790"/>
      <c r="FM41" s="790"/>
      <c r="FN41" s="790"/>
      <c r="FO41" s="790"/>
      <c r="FP41" s="790"/>
      <c r="FQ41" s="790"/>
      <c r="FR41" s="790"/>
      <c r="FS41" s="790"/>
      <c r="FT41" s="790"/>
      <c r="FU41" s="790"/>
      <c r="FV41" s="790"/>
      <c r="FW41" s="790"/>
      <c r="FX41" s="790"/>
      <c r="FY41" s="790"/>
      <c r="FZ41" s="790"/>
      <c r="GA41" s="790"/>
      <c r="GB41" s="790"/>
      <c r="GC41" s="790"/>
      <c r="GD41" s="790"/>
      <c r="GE41" s="790"/>
      <c r="GF41" s="790"/>
      <c r="GG41" s="790"/>
      <c r="GH41" s="790"/>
      <c r="GI41" s="790"/>
      <c r="GJ41" s="790"/>
      <c r="GK41" s="790"/>
      <c r="GL41" s="790"/>
      <c r="GM41" s="790"/>
      <c r="GN41" s="790"/>
      <c r="GO41" s="790"/>
      <c r="GP41" s="790"/>
      <c r="GQ41" s="790"/>
      <c r="GR41" s="790"/>
      <c r="GS41" s="790"/>
      <c r="GT41" s="790"/>
      <c r="GU41" s="790"/>
      <c r="GV41" s="790"/>
      <c r="GW41" s="790"/>
      <c r="GX41" s="790"/>
      <c r="GY41" s="790"/>
      <c r="GZ41" s="790"/>
      <c r="HA41" s="790"/>
      <c r="HB41" s="790"/>
      <c r="HC41" s="790"/>
      <c r="HD41" s="790"/>
      <c r="HE41" s="790"/>
      <c r="HF41" s="790"/>
      <c r="HG41" s="790"/>
      <c r="HH41" s="790"/>
      <c r="HI41" s="790"/>
      <c r="HJ41" s="790"/>
      <c r="HK41" s="790"/>
      <c r="HL41" s="790"/>
      <c r="HM41" s="790"/>
      <c r="HN41" s="790"/>
      <c r="HO41" s="790"/>
      <c r="HP41" s="790"/>
      <c r="HQ41" s="790"/>
      <c r="HR41" s="790"/>
      <c r="HS41" s="790"/>
      <c r="HT41" s="790"/>
      <c r="HU41" s="790"/>
      <c r="HV41" s="790"/>
      <c r="HW41" s="790"/>
      <c r="HX41" s="790"/>
      <c r="HY41" s="790"/>
      <c r="HZ41" s="790"/>
      <c r="IA41" s="790"/>
      <c r="IB41" s="790"/>
      <c r="IC41" s="790"/>
      <c r="ID41" s="790"/>
      <c r="IE41" s="790"/>
      <c r="IF41" s="790"/>
      <c r="IG41" s="790"/>
      <c r="IH41" s="790"/>
      <c r="II41" s="790"/>
      <c r="IJ41" s="790"/>
      <c r="IK41" s="790"/>
      <c r="IL41" s="790"/>
      <c r="IM41" s="790"/>
      <c r="IN41" s="790"/>
      <c r="IO41" s="790"/>
      <c r="IP41" s="790"/>
      <c r="IQ41" s="790"/>
      <c r="IR41" s="790"/>
      <c r="IS41" s="790"/>
      <c r="IT41" s="790"/>
    </row>
    <row r="42" spans="1:254" s="789" customFormat="1" ht="18" x14ac:dyDescent="0.25">
      <c r="A42" s="2076" t="s">
        <v>512</v>
      </c>
      <c r="B42" s="2077"/>
      <c r="C42" s="2077"/>
      <c r="D42" s="2077"/>
      <c r="E42" s="2077"/>
      <c r="F42" s="2077"/>
      <c r="G42" s="2077"/>
      <c r="H42" s="2077"/>
      <c r="I42" s="2077"/>
      <c r="J42" s="2077"/>
      <c r="K42" s="790"/>
      <c r="L42" s="790"/>
      <c r="M42" s="790"/>
      <c r="N42" s="790"/>
      <c r="O42" s="790"/>
      <c r="P42" s="790"/>
      <c r="Q42" s="790"/>
      <c r="R42" s="790"/>
      <c r="S42" s="790"/>
      <c r="T42" s="790"/>
      <c r="U42" s="790"/>
      <c r="V42" s="790"/>
      <c r="W42" s="790"/>
      <c r="X42" s="790"/>
      <c r="Y42" s="790"/>
      <c r="Z42" s="790"/>
      <c r="AA42" s="790"/>
      <c r="AB42" s="790"/>
      <c r="AC42" s="790"/>
      <c r="AD42" s="790"/>
      <c r="AE42" s="790"/>
      <c r="AF42" s="790"/>
      <c r="AG42" s="790"/>
      <c r="AH42" s="790"/>
      <c r="AI42" s="790"/>
      <c r="AJ42" s="790"/>
      <c r="AK42" s="790"/>
      <c r="AL42" s="790"/>
      <c r="AM42" s="790"/>
      <c r="AN42" s="790"/>
      <c r="AO42" s="790"/>
      <c r="AP42" s="790"/>
      <c r="AQ42" s="790"/>
      <c r="AR42" s="790"/>
      <c r="AS42" s="790"/>
      <c r="AT42" s="790"/>
      <c r="AU42" s="790"/>
      <c r="AV42" s="790"/>
      <c r="AW42" s="790"/>
      <c r="AX42" s="790"/>
      <c r="AY42" s="790"/>
      <c r="AZ42" s="790"/>
      <c r="BA42" s="790"/>
      <c r="BB42" s="790"/>
      <c r="BC42" s="790"/>
      <c r="BD42" s="790"/>
      <c r="BE42" s="790"/>
      <c r="BF42" s="790"/>
      <c r="BG42" s="790"/>
      <c r="BH42" s="790"/>
      <c r="BI42" s="790"/>
      <c r="BJ42" s="790"/>
      <c r="BK42" s="790"/>
      <c r="BL42" s="790"/>
      <c r="BM42" s="790"/>
      <c r="BN42" s="790"/>
      <c r="BO42" s="790"/>
      <c r="BP42" s="790"/>
      <c r="BQ42" s="790"/>
      <c r="BR42" s="790"/>
      <c r="BS42" s="790"/>
      <c r="BT42" s="790"/>
      <c r="BU42" s="790"/>
      <c r="BV42" s="790"/>
      <c r="BW42" s="790"/>
      <c r="BX42" s="790"/>
      <c r="BY42" s="790"/>
      <c r="BZ42" s="790"/>
      <c r="CA42" s="790"/>
      <c r="CB42" s="790"/>
      <c r="CC42" s="790"/>
      <c r="CD42" s="790"/>
      <c r="CE42" s="790"/>
      <c r="CF42" s="790"/>
      <c r="CG42" s="790"/>
      <c r="CH42" s="790"/>
      <c r="CI42" s="790"/>
      <c r="CJ42" s="790"/>
      <c r="CK42" s="790"/>
      <c r="CL42" s="790"/>
      <c r="CM42" s="790"/>
      <c r="CN42" s="790"/>
      <c r="CO42" s="790"/>
      <c r="CP42" s="790"/>
      <c r="CQ42" s="790"/>
      <c r="CR42" s="790"/>
      <c r="CS42" s="790"/>
      <c r="CT42" s="790"/>
      <c r="CU42" s="790"/>
      <c r="CV42" s="790"/>
      <c r="CW42" s="790"/>
      <c r="CX42" s="790"/>
      <c r="CY42" s="790"/>
      <c r="CZ42" s="790"/>
      <c r="DA42" s="790"/>
      <c r="DB42" s="790"/>
      <c r="DC42" s="790"/>
      <c r="DD42" s="790"/>
      <c r="DE42" s="790"/>
      <c r="DF42" s="790"/>
      <c r="DG42" s="790"/>
      <c r="DH42" s="790"/>
      <c r="DI42" s="790"/>
      <c r="DJ42" s="790"/>
      <c r="DK42" s="790"/>
      <c r="DL42" s="790"/>
      <c r="DM42" s="790"/>
      <c r="DN42" s="790"/>
      <c r="DO42" s="790"/>
      <c r="DP42" s="790"/>
      <c r="DQ42" s="790"/>
      <c r="DR42" s="790"/>
      <c r="DS42" s="790"/>
      <c r="DT42" s="790"/>
      <c r="DU42" s="790"/>
      <c r="DV42" s="790"/>
      <c r="DW42" s="790"/>
      <c r="DX42" s="790"/>
      <c r="DY42" s="790"/>
      <c r="DZ42" s="790"/>
      <c r="EA42" s="790"/>
      <c r="EB42" s="790"/>
      <c r="EC42" s="790"/>
      <c r="ED42" s="790"/>
      <c r="EE42" s="790"/>
      <c r="EF42" s="790"/>
      <c r="EG42" s="790"/>
      <c r="EH42" s="790"/>
      <c r="EI42" s="790"/>
      <c r="EJ42" s="790"/>
      <c r="EK42" s="790"/>
      <c r="EL42" s="790"/>
      <c r="EM42" s="790"/>
      <c r="EN42" s="790"/>
      <c r="EO42" s="790"/>
      <c r="EP42" s="790"/>
      <c r="EQ42" s="790"/>
      <c r="ER42" s="790"/>
      <c r="ES42" s="790"/>
      <c r="ET42" s="790"/>
      <c r="EU42" s="790"/>
      <c r="EV42" s="790"/>
      <c r="EW42" s="790"/>
      <c r="EX42" s="790"/>
      <c r="EY42" s="790"/>
      <c r="EZ42" s="790"/>
      <c r="FA42" s="790"/>
      <c r="FB42" s="790"/>
      <c r="FC42" s="790"/>
      <c r="FD42" s="790"/>
      <c r="FE42" s="790"/>
      <c r="FF42" s="790"/>
      <c r="FG42" s="790"/>
      <c r="FH42" s="790"/>
      <c r="FI42" s="790"/>
      <c r="FJ42" s="790"/>
      <c r="FK42" s="790"/>
      <c r="FL42" s="790"/>
      <c r="FM42" s="790"/>
      <c r="FN42" s="790"/>
      <c r="FO42" s="790"/>
      <c r="FP42" s="790"/>
      <c r="FQ42" s="790"/>
      <c r="FR42" s="790"/>
      <c r="FS42" s="790"/>
      <c r="FT42" s="790"/>
      <c r="FU42" s="790"/>
      <c r="FV42" s="790"/>
      <c r="FW42" s="790"/>
      <c r="FX42" s="790"/>
      <c r="FY42" s="790"/>
      <c r="FZ42" s="790"/>
      <c r="GA42" s="790"/>
      <c r="GB42" s="790"/>
      <c r="GC42" s="790"/>
      <c r="GD42" s="790"/>
      <c r="GE42" s="790"/>
      <c r="GF42" s="790"/>
      <c r="GG42" s="790"/>
      <c r="GH42" s="790"/>
      <c r="GI42" s="790"/>
      <c r="GJ42" s="790"/>
      <c r="GK42" s="790"/>
      <c r="GL42" s="790"/>
      <c r="GM42" s="790"/>
      <c r="GN42" s="790"/>
      <c r="GO42" s="790"/>
      <c r="GP42" s="790"/>
      <c r="GQ42" s="790"/>
      <c r="GR42" s="790"/>
      <c r="GS42" s="790"/>
      <c r="GT42" s="790"/>
      <c r="GU42" s="790"/>
      <c r="GV42" s="790"/>
      <c r="GW42" s="790"/>
      <c r="GX42" s="790"/>
      <c r="GY42" s="790"/>
      <c r="GZ42" s="790"/>
      <c r="HA42" s="790"/>
      <c r="HB42" s="790"/>
      <c r="HC42" s="790"/>
      <c r="HD42" s="790"/>
      <c r="HE42" s="790"/>
      <c r="HF42" s="790"/>
      <c r="HG42" s="790"/>
      <c r="HH42" s="790"/>
      <c r="HI42" s="790"/>
      <c r="HJ42" s="790"/>
      <c r="HK42" s="790"/>
      <c r="HL42" s="790"/>
      <c r="HM42" s="790"/>
      <c r="HN42" s="790"/>
      <c r="HO42" s="790"/>
      <c r="HP42" s="790"/>
      <c r="HQ42" s="790"/>
      <c r="HR42" s="790"/>
      <c r="HS42" s="790"/>
      <c r="HT42" s="790"/>
      <c r="HU42" s="790"/>
      <c r="HV42" s="790"/>
      <c r="HW42" s="790"/>
      <c r="HX42" s="790"/>
      <c r="HY42" s="790"/>
      <c r="HZ42" s="790"/>
      <c r="IA42" s="790"/>
      <c r="IB42" s="790"/>
      <c r="IC42" s="790"/>
      <c r="ID42" s="790"/>
      <c r="IE42" s="790"/>
      <c r="IF42" s="790"/>
      <c r="IG42" s="790"/>
      <c r="IH42" s="790"/>
      <c r="II42" s="790"/>
      <c r="IJ42" s="790"/>
      <c r="IK42" s="790"/>
      <c r="IL42" s="790"/>
      <c r="IM42" s="790"/>
      <c r="IN42" s="790"/>
      <c r="IO42" s="790"/>
      <c r="IP42" s="790"/>
      <c r="IQ42" s="790"/>
      <c r="IR42" s="790"/>
      <c r="IS42" s="790"/>
      <c r="IT42" s="790"/>
    </row>
    <row r="43" spans="1:254" x14ac:dyDescent="0.2">
      <c r="A43" s="72"/>
      <c r="B43" s="72"/>
      <c r="C43" s="72"/>
      <c r="D43" s="72"/>
      <c r="E43" s="72"/>
      <c r="F43" s="72"/>
      <c r="G43" s="72"/>
      <c r="H43" s="72"/>
      <c r="I43" s="72"/>
      <c r="J43" s="72"/>
      <c r="R43" s="790"/>
      <c r="S43" s="790"/>
      <c r="T43" s="790"/>
      <c r="U43" s="790"/>
      <c r="V43" s="790"/>
      <c r="W43" s="790"/>
      <c r="X43" s="790"/>
      <c r="Y43" s="790"/>
      <c r="Z43" s="790"/>
      <c r="AA43" s="790"/>
      <c r="AB43" s="790"/>
      <c r="AC43" s="790"/>
      <c r="AD43" s="790"/>
      <c r="AE43" s="790"/>
      <c r="AF43" s="790"/>
      <c r="AG43" s="790"/>
      <c r="AH43" s="790"/>
      <c r="AI43" s="790"/>
      <c r="AJ43" s="790"/>
      <c r="AK43" s="790"/>
      <c r="AL43" s="790"/>
      <c r="AM43" s="790"/>
      <c r="AN43" s="790"/>
      <c r="AO43" s="790"/>
      <c r="AP43" s="790"/>
      <c r="AQ43" s="790"/>
      <c r="AR43" s="790"/>
      <c r="AS43" s="790"/>
      <c r="AT43" s="790"/>
      <c r="AU43" s="790"/>
      <c r="AV43" s="790"/>
      <c r="AW43" s="790"/>
      <c r="AX43" s="790"/>
      <c r="AY43" s="790"/>
      <c r="AZ43" s="790"/>
      <c r="BA43" s="790"/>
      <c r="BB43" s="790"/>
      <c r="BC43" s="790"/>
      <c r="BD43" s="790"/>
      <c r="BE43" s="790"/>
      <c r="BF43" s="790"/>
      <c r="BG43" s="790"/>
      <c r="BH43" s="790"/>
      <c r="BI43" s="790"/>
      <c r="BJ43" s="790"/>
      <c r="BK43" s="790"/>
      <c r="BL43" s="790"/>
      <c r="BM43" s="790"/>
      <c r="BN43" s="790"/>
      <c r="BO43" s="790"/>
      <c r="BP43" s="790"/>
      <c r="BQ43" s="790"/>
      <c r="BR43" s="790"/>
      <c r="BS43" s="790"/>
      <c r="BT43" s="790"/>
      <c r="BU43" s="790"/>
      <c r="BV43" s="790"/>
      <c r="BW43" s="790"/>
      <c r="BX43" s="790"/>
      <c r="BY43" s="790"/>
      <c r="BZ43" s="790"/>
      <c r="CA43" s="790"/>
      <c r="CB43" s="790"/>
      <c r="CC43" s="790"/>
      <c r="CD43" s="790"/>
      <c r="CE43" s="790"/>
      <c r="CF43" s="790"/>
      <c r="CG43" s="790"/>
      <c r="CH43" s="790"/>
      <c r="CI43" s="790"/>
      <c r="CJ43" s="790"/>
      <c r="CK43" s="790"/>
      <c r="CL43" s="790"/>
      <c r="CM43" s="790"/>
      <c r="CN43" s="790"/>
      <c r="CO43" s="790"/>
      <c r="CP43" s="790"/>
      <c r="CQ43" s="790"/>
      <c r="CR43" s="790"/>
      <c r="CS43" s="790"/>
      <c r="CT43" s="790"/>
      <c r="CU43" s="790"/>
      <c r="CV43" s="790"/>
      <c r="CW43" s="790"/>
      <c r="CX43" s="790"/>
      <c r="CY43" s="790"/>
      <c r="CZ43" s="790"/>
      <c r="DA43" s="790"/>
      <c r="DB43" s="790"/>
      <c r="DC43" s="790"/>
      <c r="DD43" s="790"/>
      <c r="DE43" s="790"/>
      <c r="DF43" s="790"/>
      <c r="DG43" s="790"/>
      <c r="DH43" s="790"/>
      <c r="DI43" s="790"/>
      <c r="DJ43" s="790"/>
      <c r="DK43" s="790"/>
      <c r="DL43" s="790"/>
      <c r="DM43" s="790"/>
      <c r="DN43" s="790"/>
      <c r="DO43" s="790"/>
      <c r="DP43" s="790"/>
      <c r="DQ43" s="790"/>
      <c r="DR43" s="790"/>
      <c r="DS43" s="790"/>
      <c r="DT43" s="790"/>
      <c r="DU43" s="790"/>
      <c r="DV43" s="790"/>
      <c r="DW43" s="790"/>
      <c r="DX43" s="790"/>
      <c r="DY43" s="790"/>
      <c r="DZ43" s="790"/>
      <c r="EA43" s="790"/>
      <c r="EB43" s="790"/>
      <c r="EC43" s="790"/>
      <c r="ED43" s="790"/>
      <c r="EE43" s="790"/>
      <c r="EF43" s="790"/>
      <c r="EG43" s="790"/>
      <c r="EH43" s="790"/>
      <c r="EI43" s="790"/>
      <c r="EJ43" s="790"/>
      <c r="EK43" s="790"/>
      <c r="EL43" s="790"/>
      <c r="EM43" s="790"/>
      <c r="EN43" s="790"/>
      <c r="EO43" s="790"/>
      <c r="EP43" s="790"/>
      <c r="EQ43" s="790"/>
      <c r="ER43" s="790"/>
      <c r="ES43" s="790"/>
      <c r="ET43" s="790"/>
      <c r="EU43" s="790"/>
      <c r="EV43" s="790"/>
      <c r="EW43" s="790"/>
      <c r="EX43" s="790"/>
      <c r="EY43" s="790"/>
      <c r="EZ43" s="790"/>
      <c r="FA43" s="790"/>
      <c r="FB43" s="790"/>
      <c r="FC43" s="790"/>
      <c r="FD43" s="790"/>
      <c r="FE43" s="790"/>
      <c r="FF43" s="790"/>
      <c r="FG43" s="790"/>
      <c r="FH43" s="790"/>
      <c r="FI43" s="790"/>
      <c r="FJ43" s="790"/>
      <c r="FK43" s="790"/>
      <c r="FL43" s="790"/>
      <c r="FM43" s="790"/>
      <c r="FN43" s="790"/>
      <c r="FO43" s="790"/>
      <c r="FP43" s="790"/>
      <c r="FQ43" s="790"/>
      <c r="FR43" s="790"/>
      <c r="FS43" s="790"/>
      <c r="FT43" s="790"/>
      <c r="FU43" s="790"/>
      <c r="FV43" s="790"/>
      <c r="FW43" s="790"/>
      <c r="FX43" s="790"/>
      <c r="FY43" s="790"/>
      <c r="FZ43" s="790"/>
      <c r="GA43" s="790"/>
      <c r="GB43" s="790"/>
      <c r="GC43" s="790"/>
      <c r="GD43" s="790"/>
      <c r="GE43" s="790"/>
      <c r="GF43" s="790"/>
      <c r="GG43" s="790"/>
      <c r="GH43" s="790"/>
      <c r="GI43" s="790"/>
      <c r="GJ43" s="790"/>
      <c r="GK43" s="790"/>
      <c r="GL43" s="790"/>
      <c r="GM43" s="790"/>
      <c r="GN43" s="790"/>
      <c r="GO43" s="790"/>
      <c r="GP43" s="790"/>
      <c r="GQ43" s="790"/>
      <c r="GR43" s="790"/>
      <c r="GS43" s="790"/>
      <c r="GT43" s="790"/>
      <c r="GU43" s="790"/>
      <c r="GV43" s="790"/>
      <c r="GW43" s="790"/>
      <c r="GX43" s="790"/>
      <c r="GY43" s="790"/>
      <c r="GZ43" s="790"/>
      <c r="HA43" s="790"/>
      <c r="HB43" s="790"/>
      <c r="HC43" s="790"/>
      <c r="HD43" s="790"/>
      <c r="HE43" s="790"/>
      <c r="HF43" s="790"/>
      <c r="HG43" s="790"/>
      <c r="HH43" s="790"/>
      <c r="HI43" s="790"/>
      <c r="HJ43" s="790"/>
      <c r="HK43" s="790"/>
      <c r="HL43" s="790"/>
      <c r="HM43" s="790"/>
      <c r="HN43" s="790"/>
      <c r="HO43" s="790"/>
      <c r="HP43" s="790"/>
      <c r="HQ43" s="790"/>
      <c r="HR43" s="790"/>
      <c r="HS43" s="790"/>
      <c r="HT43" s="790"/>
      <c r="HU43" s="790"/>
      <c r="HV43" s="790"/>
      <c r="HW43" s="790"/>
      <c r="HX43" s="790"/>
      <c r="HY43" s="790"/>
      <c r="HZ43" s="790"/>
      <c r="IA43" s="790"/>
      <c r="IB43" s="790"/>
      <c r="IC43" s="790"/>
      <c r="ID43" s="790"/>
      <c r="IE43" s="790"/>
      <c r="IF43" s="790"/>
      <c r="IG43" s="790"/>
      <c r="IH43" s="790"/>
      <c r="II43" s="790"/>
      <c r="IJ43" s="790"/>
      <c r="IK43" s="790"/>
      <c r="IL43" s="790"/>
      <c r="IM43" s="790"/>
      <c r="IN43" s="790"/>
      <c r="IO43" s="790"/>
      <c r="IP43" s="790"/>
      <c r="IQ43" s="790"/>
      <c r="IR43" s="790"/>
      <c r="IS43" s="790"/>
      <c r="IT43" s="790"/>
    </row>
    <row r="44" spans="1:254" s="789" customFormat="1" ht="13.5" customHeight="1" x14ac:dyDescent="0.25">
      <c r="A44" s="791" t="s">
        <v>460</v>
      </c>
      <c r="B44" s="77"/>
      <c r="C44" s="77"/>
      <c r="D44" s="77"/>
      <c r="E44" s="77"/>
      <c r="F44" s="77"/>
      <c r="G44" s="77"/>
      <c r="H44" s="77"/>
      <c r="I44" s="77"/>
      <c r="J44" s="77"/>
      <c r="K44" s="790"/>
      <c r="L44" s="790"/>
      <c r="M44" s="790"/>
      <c r="N44" s="790"/>
      <c r="O44" s="790"/>
      <c r="P44" s="790"/>
      <c r="Q44" s="790"/>
      <c r="R44" s="790"/>
      <c r="S44" s="790"/>
      <c r="T44" s="790"/>
      <c r="U44" s="790"/>
      <c r="V44" s="790"/>
      <c r="W44" s="790"/>
      <c r="X44" s="790"/>
      <c r="Y44" s="790"/>
      <c r="Z44" s="790"/>
      <c r="AA44" s="790"/>
      <c r="AB44" s="790"/>
      <c r="AC44" s="790"/>
      <c r="AD44" s="790"/>
      <c r="AE44" s="790"/>
      <c r="AF44" s="790"/>
      <c r="AG44" s="790"/>
      <c r="AH44" s="790"/>
      <c r="AI44" s="790"/>
      <c r="AJ44" s="790"/>
      <c r="AK44" s="790"/>
      <c r="AL44" s="790"/>
      <c r="AM44" s="790"/>
      <c r="AN44" s="790"/>
      <c r="AO44" s="790"/>
      <c r="AP44" s="790"/>
      <c r="AQ44" s="790"/>
      <c r="AR44" s="790"/>
      <c r="AS44" s="790"/>
      <c r="AT44" s="790"/>
      <c r="AU44" s="790"/>
      <c r="AV44" s="790"/>
      <c r="AW44" s="790"/>
      <c r="AX44" s="790"/>
      <c r="AY44" s="790"/>
      <c r="AZ44" s="790"/>
      <c r="BA44" s="790"/>
      <c r="BB44" s="790"/>
      <c r="BC44" s="790"/>
      <c r="BD44" s="790"/>
      <c r="BE44" s="790"/>
      <c r="BF44" s="790"/>
      <c r="BG44" s="790"/>
      <c r="BH44" s="790"/>
      <c r="BI44" s="790"/>
      <c r="BJ44" s="790"/>
      <c r="BK44" s="790"/>
      <c r="BL44" s="790"/>
      <c r="BM44" s="790"/>
      <c r="BN44" s="790"/>
      <c r="BO44" s="790"/>
      <c r="BP44" s="790"/>
      <c r="BQ44" s="790"/>
      <c r="BR44" s="790"/>
      <c r="BS44" s="790"/>
      <c r="BT44" s="790"/>
      <c r="BU44" s="790"/>
      <c r="BV44" s="790"/>
      <c r="BW44" s="790"/>
      <c r="BX44" s="790"/>
      <c r="BY44" s="790"/>
      <c r="BZ44" s="790"/>
      <c r="CA44" s="790"/>
      <c r="CB44" s="790"/>
      <c r="CC44" s="790"/>
      <c r="CD44" s="790"/>
      <c r="CE44" s="790"/>
      <c r="CF44" s="790"/>
      <c r="CG44" s="790"/>
      <c r="CH44" s="790"/>
      <c r="CI44" s="790"/>
      <c r="CJ44" s="790"/>
      <c r="CK44" s="790"/>
      <c r="CL44" s="790"/>
      <c r="CM44" s="790"/>
      <c r="CN44" s="790"/>
      <c r="CO44" s="790"/>
      <c r="CP44" s="790"/>
      <c r="CQ44" s="790"/>
      <c r="CR44" s="790"/>
      <c r="CS44" s="790"/>
      <c r="CT44" s="790"/>
      <c r="CU44" s="790"/>
      <c r="CV44" s="790"/>
      <c r="CW44" s="790"/>
      <c r="CX44" s="790"/>
      <c r="CY44" s="790"/>
      <c r="CZ44" s="790"/>
      <c r="DA44" s="790"/>
      <c r="DB44" s="790"/>
      <c r="DC44" s="790"/>
      <c r="DD44" s="790"/>
      <c r="DE44" s="790"/>
      <c r="DF44" s="790"/>
      <c r="DG44" s="790"/>
      <c r="DH44" s="790"/>
      <c r="DI44" s="790"/>
      <c r="DJ44" s="790"/>
      <c r="DK44" s="790"/>
      <c r="DL44" s="790"/>
      <c r="DM44" s="790"/>
      <c r="DN44" s="790"/>
      <c r="DO44" s="790"/>
      <c r="DP44" s="790"/>
      <c r="DQ44" s="790"/>
      <c r="DR44" s="790"/>
      <c r="DS44" s="790"/>
      <c r="DT44" s="790"/>
      <c r="DU44" s="790"/>
      <c r="DV44" s="790"/>
      <c r="DW44" s="790"/>
      <c r="DX44" s="790"/>
      <c r="DY44" s="790"/>
      <c r="DZ44" s="790"/>
      <c r="EA44" s="790"/>
      <c r="EB44" s="790"/>
      <c r="EC44" s="790"/>
      <c r="ED44" s="790"/>
      <c r="EE44" s="790"/>
      <c r="EF44" s="790"/>
      <c r="EG44" s="790"/>
      <c r="EH44" s="790"/>
      <c r="EI44" s="790"/>
      <c r="EJ44" s="790"/>
      <c r="EK44" s="790"/>
      <c r="EL44" s="790"/>
      <c r="EM44" s="790"/>
      <c r="EN44" s="790"/>
      <c r="EO44" s="790"/>
      <c r="EP44" s="790"/>
      <c r="EQ44" s="790"/>
      <c r="ER44" s="790"/>
      <c r="ES44" s="790"/>
      <c r="ET44" s="790"/>
      <c r="EU44" s="790"/>
      <c r="EV44" s="790"/>
      <c r="EW44" s="790"/>
      <c r="EX44" s="790"/>
      <c r="EY44" s="790"/>
      <c r="EZ44" s="790"/>
      <c r="FA44" s="790"/>
      <c r="FB44" s="790"/>
      <c r="FC44" s="790"/>
      <c r="FD44" s="790"/>
      <c r="FE44" s="790"/>
      <c r="FF44" s="790"/>
      <c r="FG44" s="790"/>
      <c r="FH44" s="790"/>
      <c r="FI44" s="790"/>
      <c r="FJ44" s="790"/>
      <c r="FK44" s="790"/>
      <c r="FL44" s="790"/>
      <c r="FM44" s="790"/>
      <c r="FN44" s="790"/>
      <c r="FO44" s="790"/>
      <c r="FP44" s="790"/>
      <c r="FQ44" s="790"/>
      <c r="FR44" s="790"/>
      <c r="FS44" s="790"/>
      <c r="FT44" s="790"/>
      <c r="FU44" s="790"/>
      <c r="FV44" s="790"/>
      <c r="FW44" s="790"/>
      <c r="FX44" s="790"/>
      <c r="FY44" s="790"/>
      <c r="FZ44" s="790"/>
      <c r="GA44" s="790"/>
      <c r="GB44" s="790"/>
      <c r="GC44" s="790"/>
      <c r="GD44" s="790"/>
      <c r="GE44" s="790"/>
      <c r="GF44" s="790"/>
      <c r="GG44" s="790"/>
      <c r="GH44" s="790"/>
      <c r="GI44" s="790"/>
      <c r="GJ44" s="790"/>
      <c r="GK44" s="790"/>
      <c r="GL44" s="790"/>
      <c r="GM44" s="790"/>
      <c r="GN44" s="790"/>
      <c r="GO44" s="790"/>
      <c r="GP44" s="790"/>
      <c r="GQ44" s="790"/>
      <c r="GR44" s="790"/>
      <c r="GS44" s="790"/>
      <c r="GT44" s="790"/>
      <c r="GU44" s="790"/>
      <c r="GV44" s="790"/>
      <c r="GW44" s="790"/>
      <c r="GX44" s="790"/>
      <c r="GY44" s="790"/>
      <c r="GZ44" s="790"/>
      <c r="HA44" s="790"/>
      <c r="HB44" s="790"/>
      <c r="HC44" s="790"/>
      <c r="HD44" s="790"/>
      <c r="HE44" s="790"/>
      <c r="HF44" s="790"/>
      <c r="HG44" s="790"/>
      <c r="HH44" s="790"/>
      <c r="HI44" s="790"/>
      <c r="HJ44" s="790"/>
      <c r="HK44" s="790"/>
      <c r="HL44" s="790"/>
      <c r="HM44" s="790"/>
      <c r="HN44" s="790"/>
      <c r="HO44" s="790"/>
      <c r="HP44" s="790"/>
      <c r="HQ44" s="790"/>
      <c r="HR44" s="790"/>
      <c r="HS44" s="790"/>
      <c r="HT44" s="790"/>
      <c r="HU44" s="790"/>
      <c r="HV44" s="790"/>
      <c r="HW44" s="790"/>
      <c r="HX44" s="790"/>
      <c r="HY44" s="790"/>
      <c r="HZ44" s="790"/>
      <c r="IA44" s="790"/>
      <c r="IB44" s="790"/>
      <c r="IC44" s="790"/>
      <c r="ID44" s="790"/>
      <c r="IE44" s="790"/>
      <c r="IF44" s="790"/>
      <c r="IG44" s="790"/>
      <c r="IH44" s="790"/>
      <c r="II44" s="790"/>
      <c r="IJ44" s="790"/>
      <c r="IK44" s="790"/>
      <c r="IL44" s="790"/>
      <c r="IM44" s="790"/>
      <c r="IN44" s="790"/>
      <c r="IO44" s="790"/>
      <c r="IP44" s="790"/>
      <c r="IQ44" s="790"/>
      <c r="IR44" s="790"/>
      <c r="IS44" s="790"/>
      <c r="IT44" s="790"/>
    </row>
    <row r="45" spans="1:254" s="789" customFormat="1" ht="108" customHeight="1" x14ac:dyDescent="0.2">
      <c r="A45" s="2453" t="s">
        <v>740</v>
      </c>
      <c r="B45" s="2454"/>
      <c r="C45" s="2454"/>
      <c r="D45" s="2454"/>
      <c r="E45" s="2454"/>
      <c r="F45" s="2454"/>
      <c r="G45" s="2454"/>
      <c r="H45" s="2454"/>
      <c r="I45" s="2454"/>
      <c r="J45" s="2455"/>
      <c r="K45" s="790"/>
      <c r="L45" s="790"/>
      <c r="M45" s="790"/>
      <c r="N45" s="790"/>
      <c r="O45" s="790"/>
      <c r="P45" s="790"/>
      <c r="Q45" s="790"/>
      <c r="R45" s="790"/>
      <c r="S45" s="790"/>
      <c r="T45" s="790"/>
      <c r="U45" s="790"/>
      <c r="V45" s="790"/>
      <c r="W45" s="790"/>
      <c r="X45" s="790"/>
      <c r="Y45" s="790"/>
      <c r="Z45" s="790"/>
      <c r="AA45" s="790"/>
      <c r="AB45" s="790"/>
      <c r="AC45" s="790"/>
      <c r="AD45" s="790"/>
      <c r="AE45" s="790"/>
      <c r="AF45" s="790"/>
      <c r="AG45" s="790"/>
      <c r="AH45" s="790"/>
      <c r="AI45" s="790"/>
      <c r="AJ45" s="790"/>
      <c r="AK45" s="790"/>
      <c r="AL45" s="790"/>
      <c r="AM45" s="790"/>
      <c r="AN45" s="790"/>
      <c r="AO45" s="790"/>
      <c r="AP45" s="790"/>
      <c r="AQ45" s="790"/>
      <c r="AR45" s="790"/>
      <c r="AS45" s="790"/>
      <c r="AT45" s="790"/>
      <c r="AU45" s="790"/>
      <c r="AV45" s="790"/>
      <c r="AW45" s="790"/>
      <c r="AX45" s="790"/>
      <c r="AY45" s="790"/>
      <c r="AZ45" s="790"/>
      <c r="BA45" s="790"/>
      <c r="BB45" s="790"/>
      <c r="BC45" s="790"/>
      <c r="BD45" s="790"/>
      <c r="BE45" s="790"/>
      <c r="BF45" s="790"/>
      <c r="BG45" s="790"/>
      <c r="BH45" s="790"/>
      <c r="BI45" s="790"/>
      <c r="BJ45" s="790"/>
      <c r="BK45" s="790"/>
      <c r="BL45" s="790"/>
      <c r="BM45" s="790"/>
      <c r="BN45" s="790"/>
      <c r="BO45" s="790"/>
      <c r="BP45" s="790"/>
      <c r="BQ45" s="790"/>
      <c r="BR45" s="790"/>
      <c r="BS45" s="790"/>
      <c r="BT45" s="790"/>
      <c r="BU45" s="790"/>
      <c r="BV45" s="790"/>
      <c r="BW45" s="790"/>
      <c r="BX45" s="790"/>
      <c r="BY45" s="790"/>
      <c r="BZ45" s="790"/>
      <c r="CA45" s="790"/>
      <c r="CB45" s="790"/>
      <c r="CC45" s="790"/>
      <c r="CD45" s="790"/>
      <c r="CE45" s="790"/>
      <c r="CF45" s="790"/>
      <c r="CG45" s="790"/>
      <c r="CH45" s="790"/>
      <c r="CI45" s="790"/>
      <c r="CJ45" s="790"/>
      <c r="CK45" s="790"/>
      <c r="CL45" s="790"/>
      <c r="CM45" s="790"/>
      <c r="CN45" s="790"/>
      <c r="CO45" s="790"/>
      <c r="CP45" s="790"/>
      <c r="CQ45" s="790"/>
      <c r="CR45" s="790"/>
      <c r="CS45" s="790"/>
      <c r="CT45" s="790"/>
      <c r="CU45" s="790"/>
      <c r="CV45" s="790"/>
      <c r="CW45" s="790"/>
      <c r="CX45" s="790"/>
      <c r="CY45" s="790"/>
      <c r="CZ45" s="790"/>
      <c r="DA45" s="790"/>
      <c r="DB45" s="790"/>
      <c r="DC45" s="790"/>
      <c r="DD45" s="790"/>
      <c r="DE45" s="790"/>
      <c r="DF45" s="790"/>
      <c r="DG45" s="790"/>
      <c r="DH45" s="790"/>
      <c r="DI45" s="790"/>
      <c r="DJ45" s="790"/>
      <c r="DK45" s="790"/>
      <c r="DL45" s="790"/>
      <c r="DM45" s="790"/>
      <c r="DN45" s="790"/>
      <c r="DO45" s="790"/>
      <c r="DP45" s="790"/>
      <c r="DQ45" s="790"/>
      <c r="DR45" s="790"/>
      <c r="DS45" s="790"/>
      <c r="DT45" s="790"/>
      <c r="DU45" s="790"/>
      <c r="DV45" s="790"/>
      <c r="DW45" s="790"/>
      <c r="DX45" s="790"/>
      <c r="DY45" s="790"/>
      <c r="DZ45" s="790"/>
      <c r="EA45" s="790"/>
      <c r="EB45" s="790"/>
      <c r="EC45" s="790"/>
      <c r="ED45" s="790"/>
      <c r="EE45" s="790"/>
      <c r="EF45" s="790"/>
      <c r="EG45" s="790"/>
      <c r="EH45" s="790"/>
      <c r="EI45" s="790"/>
      <c r="EJ45" s="790"/>
      <c r="EK45" s="790"/>
      <c r="EL45" s="790"/>
      <c r="EM45" s="790"/>
      <c r="EN45" s="790"/>
      <c r="EO45" s="790"/>
      <c r="EP45" s="790"/>
      <c r="EQ45" s="790"/>
      <c r="ER45" s="790"/>
      <c r="ES45" s="790"/>
      <c r="ET45" s="790"/>
      <c r="EU45" s="790"/>
      <c r="EV45" s="790"/>
      <c r="EW45" s="790"/>
      <c r="EX45" s="790"/>
      <c r="EY45" s="790"/>
      <c r="EZ45" s="790"/>
      <c r="FA45" s="790"/>
      <c r="FB45" s="790"/>
      <c r="FC45" s="790"/>
      <c r="FD45" s="790"/>
      <c r="FE45" s="790"/>
      <c r="FF45" s="790"/>
      <c r="FG45" s="790"/>
      <c r="FH45" s="790"/>
      <c r="FI45" s="790"/>
      <c r="FJ45" s="790"/>
      <c r="FK45" s="790"/>
      <c r="FL45" s="790"/>
      <c r="FM45" s="790"/>
      <c r="FN45" s="790"/>
      <c r="FO45" s="790"/>
      <c r="FP45" s="790"/>
      <c r="FQ45" s="790"/>
      <c r="FR45" s="790"/>
      <c r="FS45" s="790"/>
      <c r="FT45" s="790"/>
      <c r="FU45" s="790"/>
      <c r="FV45" s="790"/>
      <c r="FW45" s="790"/>
      <c r="FX45" s="790"/>
      <c r="FY45" s="790"/>
      <c r="FZ45" s="790"/>
      <c r="GA45" s="790"/>
      <c r="GB45" s="790"/>
      <c r="GC45" s="790"/>
      <c r="GD45" s="790"/>
      <c r="GE45" s="790"/>
      <c r="GF45" s="790"/>
      <c r="GG45" s="790"/>
      <c r="GH45" s="790"/>
      <c r="GI45" s="790"/>
      <c r="GJ45" s="790"/>
      <c r="GK45" s="790"/>
      <c r="GL45" s="790"/>
      <c r="GM45" s="790"/>
      <c r="GN45" s="790"/>
      <c r="GO45" s="790"/>
      <c r="GP45" s="790"/>
      <c r="GQ45" s="790"/>
      <c r="GR45" s="790"/>
      <c r="GS45" s="790"/>
      <c r="GT45" s="790"/>
      <c r="GU45" s="790"/>
      <c r="GV45" s="790"/>
      <c r="GW45" s="790"/>
      <c r="GX45" s="790"/>
      <c r="GY45" s="790"/>
      <c r="GZ45" s="790"/>
      <c r="HA45" s="790"/>
      <c r="HB45" s="790"/>
      <c r="HC45" s="790"/>
      <c r="HD45" s="790"/>
      <c r="HE45" s="790"/>
      <c r="HF45" s="790"/>
      <c r="HG45" s="790"/>
      <c r="HH45" s="790"/>
      <c r="HI45" s="790"/>
      <c r="HJ45" s="790"/>
      <c r="HK45" s="790"/>
      <c r="HL45" s="790"/>
      <c r="HM45" s="790"/>
      <c r="HN45" s="790"/>
      <c r="HO45" s="790"/>
      <c r="HP45" s="790"/>
      <c r="HQ45" s="790"/>
      <c r="HR45" s="790"/>
      <c r="HS45" s="790"/>
      <c r="HT45" s="790"/>
      <c r="HU45" s="790"/>
      <c r="HV45" s="790"/>
      <c r="HW45" s="790"/>
      <c r="HX45" s="790"/>
      <c r="HY45" s="790"/>
      <c r="HZ45" s="790"/>
      <c r="IA45" s="790"/>
      <c r="IB45" s="790"/>
      <c r="IC45" s="790"/>
      <c r="ID45" s="790"/>
      <c r="IE45" s="790"/>
      <c r="IF45" s="790"/>
      <c r="IG45" s="790"/>
      <c r="IH45" s="790"/>
      <c r="II45" s="790"/>
      <c r="IJ45" s="790"/>
      <c r="IK45" s="790"/>
      <c r="IL45" s="790"/>
      <c r="IM45" s="790"/>
      <c r="IN45" s="790"/>
      <c r="IO45" s="790"/>
      <c r="IP45" s="790"/>
      <c r="IQ45" s="790"/>
      <c r="IR45" s="790"/>
      <c r="IS45" s="790"/>
      <c r="IT45" s="790"/>
    </row>
    <row r="46" spans="1:254" s="785" customFormat="1" ht="47.25" customHeight="1" x14ac:dyDescent="0.2">
      <c r="A46" s="788" t="s">
        <v>145</v>
      </c>
      <c r="B46" s="788"/>
      <c r="C46" s="788"/>
      <c r="D46" s="2452"/>
      <c r="E46" s="2452"/>
      <c r="F46" s="2452"/>
      <c r="G46" s="787"/>
      <c r="H46" s="787"/>
      <c r="I46" s="787"/>
      <c r="J46" s="786"/>
    </row>
    <row r="47" spans="1:254" s="785" customFormat="1" ht="27" customHeight="1" x14ac:dyDescent="0.2">
      <c r="A47" s="788" t="s">
        <v>146</v>
      </c>
      <c r="B47" s="788"/>
      <c r="C47" s="788"/>
      <c r="D47" s="2456" t="s">
        <v>707</v>
      </c>
      <c r="E47" s="2457"/>
      <c r="F47" s="2457"/>
      <c r="G47" s="787"/>
      <c r="H47" s="787"/>
      <c r="I47" s="787"/>
      <c r="J47" s="786"/>
    </row>
    <row r="48" spans="1:254" s="785" customFormat="1" ht="27" customHeight="1" x14ac:dyDescent="0.2">
      <c r="A48" s="788" t="s">
        <v>147</v>
      </c>
      <c r="B48" s="788"/>
      <c r="C48" s="788"/>
      <c r="D48" s="2456" t="s">
        <v>719</v>
      </c>
      <c r="E48" s="2457"/>
      <c r="F48" s="2457"/>
      <c r="G48" s="787"/>
      <c r="H48" s="787"/>
      <c r="I48" s="787"/>
      <c r="J48" s="786"/>
    </row>
    <row r="49" spans="1:254" s="785" customFormat="1" ht="27" customHeight="1" x14ac:dyDescent="0.2">
      <c r="A49" s="788" t="s">
        <v>148</v>
      </c>
      <c r="B49" s="788"/>
      <c r="C49" s="788"/>
      <c r="D49" s="2451" t="s">
        <v>759</v>
      </c>
      <c r="E49" s="2452"/>
      <c r="F49" s="2452"/>
      <c r="G49" s="787"/>
      <c r="H49" s="787"/>
      <c r="I49" s="787"/>
      <c r="J49" s="786"/>
    </row>
    <row r="50" spans="1:254" s="674" customFormat="1" x14ac:dyDescent="0.2">
      <c r="W50" s="644"/>
      <c r="X50" s="644"/>
      <c r="Y50" s="644"/>
      <c r="Z50" s="644"/>
      <c r="AA50" s="644"/>
      <c r="AB50" s="644"/>
      <c r="AC50" s="644"/>
      <c r="AD50" s="644"/>
      <c r="AE50" s="644"/>
      <c r="AF50" s="644"/>
      <c r="AG50" s="644"/>
      <c r="AH50" s="644"/>
      <c r="AI50" s="644"/>
      <c r="AJ50" s="644"/>
      <c r="AK50" s="644"/>
      <c r="AL50" s="644"/>
      <c r="AM50" s="644"/>
      <c r="AN50" s="644"/>
      <c r="AO50" s="644"/>
      <c r="AP50" s="644"/>
      <c r="AQ50" s="644"/>
      <c r="AR50" s="644"/>
      <c r="AS50" s="644"/>
      <c r="AT50" s="644"/>
      <c r="AU50" s="644"/>
      <c r="AV50" s="644"/>
      <c r="AW50" s="644"/>
      <c r="AX50" s="644"/>
      <c r="AY50" s="644"/>
      <c r="AZ50" s="644"/>
      <c r="BA50" s="644"/>
      <c r="BB50" s="644"/>
      <c r="BC50" s="644"/>
      <c r="BD50" s="644"/>
      <c r="BE50" s="644"/>
      <c r="BF50" s="644"/>
      <c r="BG50" s="644"/>
      <c r="BH50" s="644"/>
      <c r="BI50" s="644"/>
      <c r="BJ50" s="644"/>
      <c r="BK50" s="644"/>
      <c r="BL50" s="644"/>
      <c r="BM50" s="644"/>
      <c r="BN50" s="644"/>
      <c r="BO50" s="644"/>
      <c r="BP50" s="644"/>
      <c r="BQ50" s="644"/>
      <c r="BR50" s="644"/>
      <c r="BS50" s="644"/>
      <c r="BT50" s="644"/>
      <c r="BU50" s="644"/>
      <c r="BV50" s="644"/>
      <c r="BW50" s="644"/>
      <c r="BX50" s="644"/>
      <c r="BY50" s="644"/>
      <c r="BZ50" s="644"/>
      <c r="CA50" s="644"/>
      <c r="CB50" s="644"/>
      <c r="CC50" s="644"/>
      <c r="CD50" s="644"/>
      <c r="CE50" s="644"/>
      <c r="CF50" s="644"/>
      <c r="CG50" s="644"/>
      <c r="CH50" s="644"/>
      <c r="CI50" s="644"/>
      <c r="CJ50" s="644"/>
      <c r="CK50" s="644"/>
      <c r="CL50" s="644"/>
      <c r="CM50" s="644"/>
      <c r="CN50" s="644"/>
      <c r="CO50" s="644"/>
      <c r="CP50" s="644"/>
      <c r="CQ50" s="644"/>
      <c r="CR50" s="644"/>
      <c r="CS50" s="644"/>
      <c r="CT50" s="644"/>
      <c r="CU50" s="644"/>
      <c r="CV50" s="644"/>
      <c r="CW50" s="644"/>
      <c r="CX50" s="644"/>
      <c r="CY50" s="644"/>
      <c r="CZ50" s="644"/>
      <c r="DA50" s="644"/>
      <c r="DB50" s="644"/>
      <c r="DC50" s="644"/>
      <c r="DD50" s="644"/>
      <c r="DE50" s="644"/>
      <c r="DF50" s="644"/>
      <c r="DG50" s="644"/>
      <c r="DH50" s="644"/>
      <c r="DI50" s="644"/>
      <c r="DJ50" s="644"/>
      <c r="DK50" s="644"/>
      <c r="DL50" s="644"/>
      <c r="DM50" s="644"/>
      <c r="DN50" s="644"/>
      <c r="DO50" s="644"/>
      <c r="DP50" s="644"/>
      <c r="DQ50" s="644"/>
      <c r="DR50" s="644"/>
      <c r="DS50" s="644"/>
      <c r="DT50" s="644"/>
      <c r="DU50" s="644"/>
      <c r="DV50" s="644"/>
      <c r="DW50" s="644"/>
      <c r="DX50" s="644"/>
      <c r="DY50" s="644"/>
      <c r="DZ50" s="644"/>
      <c r="EA50" s="644"/>
      <c r="EB50" s="644"/>
      <c r="EC50" s="644"/>
      <c r="ED50" s="644"/>
      <c r="EE50" s="644"/>
      <c r="EF50" s="644"/>
      <c r="EG50" s="644"/>
      <c r="EH50" s="644"/>
      <c r="EI50" s="644"/>
      <c r="EJ50" s="644"/>
      <c r="EK50" s="644"/>
      <c r="EL50" s="644"/>
      <c r="EM50" s="644"/>
      <c r="EN50" s="644"/>
      <c r="EO50" s="644"/>
      <c r="EP50" s="644"/>
      <c r="EQ50" s="644"/>
      <c r="ER50" s="644"/>
      <c r="ES50" s="644"/>
      <c r="ET50" s="644"/>
      <c r="EU50" s="644"/>
      <c r="EV50" s="644"/>
      <c r="EW50" s="644"/>
      <c r="EX50" s="644"/>
      <c r="EY50" s="644"/>
      <c r="EZ50" s="644"/>
      <c r="FA50" s="644"/>
      <c r="FB50" s="644"/>
      <c r="FC50" s="644"/>
      <c r="FD50" s="644"/>
      <c r="FE50" s="644"/>
      <c r="FF50" s="644"/>
      <c r="FG50" s="644"/>
      <c r="FH50" s="644"/>
      <c r="FI50" s="644"/>
      <c r="FJ50" s="644"/>
      <c r="FK50" s="644"/>
      <c r="FL50" s="644"/>
      <c r="FM50" s="644"/>
      <c r="FN50" s="644"/>
      <c r="FO50" s="644"/>
      <c r="FP50" s="644"/>
      <c r="FQ50" s="644"/>
      <c r="FR50" s="644"/>
      <c r="FS50" s="644"/>
      <c r="FT50" s="644"/>
      <c r="FU50" s="644"/>
      <c r="FV50" s="644"/>
      <c r="FW50" s="644"/>
      <c r="FX50" s="644"/>
      <c r="FY50" s="644"/>
      <c r="FZ50" s="644"/>
      <c r="GA50" s="644"/>
      <c r="GB50" s="644"/>
      <c r="GC50" s="644"/>
      <c r="GD50" s="644"/>
      <c r="GE50" s="644"/>
      <c r="GF50" s="644"/>
      <c r="GG50" s="644"/>
      <c r="GH50" s="644"/>
      <c r="GI50" s="644"/>
      <c r="GJ50" s="644"/>
      <c r="GK50" s="644"/>
      <c r="GL50" s="644"/>
      <c r="GM50" s="644"/>
      <c r="GN50" s="644"/>
      <c r="GO50" s="644"/>
      <c r="GP50" s="644"/>
      <c r="GQ50" s="644"/>
      <c r="GR50" s="644"/>
      <c r="GS50" s="644"/>
      <c r="GT50" s="644"/>
      <c r="GU50" s="644"/>
      <c r="GV50" s="644"/>
      <c r="GW50" s="644"/>
      <c r="GX50" s="644"/>
      <c r="GY50" s="644"/>
      <c r="GZ50" s="644"/>
      <c r="HA50" s="644"/>
      <c r="HB50" s="644"/>
      <c r="HC50" s="644"/>
      <c r="HD50" s="644"/>
      <c r="HE50" s="644"/>
      <c r="HF50" s="644"/>
      <c r="HG50" s="644"/>
      <c r="HH50" s="644"/>
      <c r="HI50" s="644"/>
      <c r="HJ50" s="644"/>
      <c r="HK50" s="644"/>
      <c r="HL50" s="644"/>
      <c r="HM50" s="644"/>
      <c r="HN50" s="644"/>
      <c r="HO50" s="644"/>
      <c r="HP50" s="644"/>
      <c r="HQ50" s="644"/>
      <c r="HR50" s="644"/>
      <c r="HS50" s="644"/>
      <c r="HT50" s="644"/>
      <c r="HU50" s="644"/>
      <c r="HV50" s="644"/>
      <c r="HW50" s="644"/>
      <c r="HX50" s="644"/>
      <c r="HY50" s="644"/>
      <c r="HZ50" s="644"/>
      <c r="IA50" s="644"/>
      <c r="IB50" s="644"/>
      <c r="IC50" s="644"/>
      <c r="ID50" s="644"/>
      <c r="IE50" s="644"/>
      <c r="IF50" s="644"/>
      <c r="IG50" s="644"/>
      <c r="IH50" s="644"/>
      <c r="II50" s="644"/>
      <c r="IJ50" s="644"/>
      <c r="IK50" s="644"/>
      <c r="IL50" s="644"/>
      <c r="IM50" s="644"/>
      <c r="IN50" s="644"/>
      <c r="IO50" s="644"/>
      <c r="IP50" s="644"/>
      <c r="IQ50" s="644"/>
      <c r="IR50" s="644"/>
      <c r="IS50" s="644"/>
      <c r="IT50" s="644"/>
    </row>
    <row r="51" spans="1:254" s="674" customFormat="1" x14ac:dyDescent="0.2">
      <c r="W51" s="644"/>
      <c r="X51" s="644"/>
      <c r="Y51" s="644"/>
      <c r="Z51" s="644"/>
      <c r="AA51" s="644"/>
      <c r="AB51" s="644"/>
      <c r="AC51" s="644"/>
      <c r="AD51" s="644"/>
      <c r="AE51" s="644"/>
      <c r="AF51" s="644"/>
      <c r="AG51" s="644"/>
      <c r="AH51" s="644"/>
      <c r="AI51" s="644"/>
      <c r="AJ51" s="644"/>
      <c r="AK51" s="644"/>
      <c r="AL51" s="644"/>
      <c r="AM51" s="644"/>
      <c r="AN51" s="644"/>
      <c r="AO51" s="644"/>
      <c r="AP51" s="644"/>
      <c r="AQ51" s="644"/>
      <c r="AR51" s="644"/>
      <c r="AS51" s="644"/>
      <c r="AT51" s="644"/>
      <c r="AU51" s="644"/>
      <c r="AV51" s="644"/>
      <c r="AW51" s="644"/>
      <c r="AX51" s="644"/>
      <c r="AY51" s="644"/>
      <c r="AZ51" s="644"/>
      <c r="BA51" s="644"/>
      <c r="BB51" s="644"/>
      <c r="BC51" s="644"/>
      <c r="BD51" s="644"/>
      <c r="BE51" s="644"/>
      <c r="BF51" s="644"/>
      <c r="BG51" s="644"/>
      <c r="BH51" s="644"/>
      <c r="BI51" s="644"/>
      <c r="BJ51" s="644"/>
      <c r="BK51" s="644"/>
      <c r="BL51" s="644"/>
      <c r="BM51" s="644"/>
      <c r="BN51" s="644"/>
      <c r="BO51" s="644"/>
      <c r="BP51" s="644"/>
      <c r="BQ51" s="644"/>
      <c r="BR51" s="644"/>
      <c r="BS51" s="644"/>
      <c r="BT51" s="644"/>
      <c r="BU51" s="644"/>
      <c r="BV51" s="644"/>
      <c r="BW51" s="644"/>
      <c r="BX51" s="644"/>
      <c r="BY51" s="644"/>
      <c r="BZ51" s="644"/>
      <c r="CA51" s="644"/>
      <c r="CB51" s="644"/>
      <c r="CC51" s="644"/>
      <c r="CD51" s="644"/>
      <c r="CE51" s="644"/>
      <c r="CF51" s="644"/>
      <c r="CG51" s="644"/>
      <c r="CH51" s="644"/>
      <c r="CI51" s="644"/>
      <c r="CJ51" s="644"/>
      <c r="CK51" s="644"/>
      <c r="CL51" s="644"/>
      <c r="CM51" s="644"/>
      <c r="CN51" s="644"/>
      <c r="CO51" s="644"/>
      <c r="CP51" s="644"/>
      <c r="CQ51" s="644"/>
      <c r="CR51" s="644"/>
      <c r="CS51" s="644"/>
      <c r="CT51" s="644"/>
      <c r="CU51" s="644"/>
      <c r="CV51" s="644"/>
      <c r="CW51" s="644"/>
      <c r="CX51" s="644"/>
      <c r="CY51" s="644"/>
      <c r="CZ51" s="644"/>
      <c r="DA51" s="644"/>
      <c r="DB51" s="644"/>
      <c r="DC51" s="644"/>
      <c r="DD51" s="644"/>
      <c r="DE51" s="644"/>
      <c r="DF51" s="644"/>
      <c r="DG51" s="644"/>
      <c r="DH51" s="644"/>
      <c r="DI51" s="644"/>
      <c r="DJ51" s="644"/>
      <c r="DK51" s="644"/>
      <c r="DL51" s="644"/>
      <c r="DM51" s="644"/>
      <c r="DN51" s="644"/>
      <c r="DO51" s="644"/>
      <c r="DP51" s="644"/>
      <c r="DQ51" s="644"/>
      <c r="DR51" s="644"/>
      <c r="DS51" s="644"/>
      <c r="DT51" s="644"/>
      <c r="DU51" s="644"/>
      <c r="DV51" s="644"/>
      <c r="DW51" s="644"/>
      <c r="DX51" s="644"/>
      <c r="DY51" s="644"/>
      <c r="DZ51" s="644"/>
      <c r="EA51" s="644"/>
      <c r="EB51" s="644"/>
      <c r="EC51" s="644"/>
      <c r="ED51" s="644"/>
      <c r="EE51" s="644"/>
      <c r="EF51" s="644"/>
      <c r="EG51" s="644"/>
      <c r="EH51" s="644"/>
      <c r="EI51" s="644"/>
      <c r="EJ51" s="644"/>
      <c r="EK51" s="644"/>
      <c r="EL51" s="644"/>
      <c r="EM51" s="644"/>
      <c r="EN51" s="644"/>
      <c r="EO51" s="644"/>
      <c r="EP51" s="644"/>
      <c r="EQ51" s="644"/>
      <c r="ER51" s="644"/>
      <c r="ES51" s="644"/>
      <c r="ET51" s="644"/>
      <c r="EU51" s="644"/>
      <c r="EV51" s="644"/>
      <c r="EW51" s="644"/>
      <c r="EX51" s="644"/>
      <c r="EY51" s="644"/>
      <c r="EZ51" s="644"/>
      <c r="FA51" s="644"/>
      <c r="FB51" s="644"/>
      <c r="FC51" s="644"/>
      <c r="FD51" s="644"/>
      <c r="FE51" s="644"/>
      <c r="FF51" s="644"/>
      <c r="FG51" s="644"/>
      <c r="FH51" s="644"/>
      <c r="FI51" s="644"/>
      <c r="FJ51" s="644"/>
      <c r="FK51" s="644"/>
      <c r="FL51" s="644"/>
      <c r="FM51" s="644"/>
      <c r="FN51" s="644"/>
      <c r="FO51" s="644"/>
      <c r="FP51" s="644"/>
      <c r="FQ51" s="644"/>
      <c r="FR51" s="644"/>
      <c r="FS51" s="644"/>
      <c r="FT51" s="644"/>
      <c r="FU51" s="644"/>
      <c r="FV51" s="644"/>
      <c r="FW51" s="644"/>
      <c r="FX51" s="644"/>
      <c r="FY51" s="644"/>
      <c r="FZ51" s="644"/>
      <c r="GA51" s="644"/>
      <c r="GB51" s="644"/>
      <c r="GC51" s="644"/>
      <c r="GD51" s="644"/>
      <c r="GE51" s="644"/>
      <c r="GF51" s="644"/>
      <c r="GG51" s="644"/>
      <c r="GH51" s="644"/>
      <c r="GI51" s="644"/>
      <c r="GJ51" s="644"/>
      <c r="GK51" s="644"/>
      <c r="GL51" s="644"/>
      <c r="GM51" s="644"/>
      <c r="GN51" s="644"/>
      <c r="GO51" s="644"/>
      <c r="GP51" s="644"/>
      <c r="GQ51" s="644"/>
      <c r="GR51" s="644"/>
      <c r="GS51" s="644"/>
      <c r="GT51" s="644"/>
      <c r="GU51" s="644"/>
      <c r="GV51" s="644"/>
      <c r="GW51" s="644"/>
      <c r="GX51" s="644"/>
      <c r="GY51" s="644"/>
      <c r="GZ51" s="644"/>
      <c r="HA51" s="644"/>
      <c r="HB51" s="644"/>
      <c r="HC51" s="644"/>
      <c r="HD51" s="644"/>
      <c r="HE51" s="644"/>
      <c r="HF51" s="644"/>
      <c r="HG51" s="644"/>
      <c r="HH51" s="644"/>
      <c r="HI51" s="644"/>
      <c r="HJ51" s="644"/>
      <c r="HK51" s="644"/>
      <c r="HL51" s="644"/>
      <c r="HM51" s="644"/>
      <c r="HN51" s="644"/>
      <c r="HO51" s="644"/>
      <c r="HP51" s="644"/>
      <c r="HQ51" s="644"/>
      <c r="HR51" s="644"/>
      <c r="HS51" s="644"/>
      <c r="HT51" s="644"/>
      <c r="HU51" s="644"/>
      <c r="HV51" s="644"/>
      <c r="HW51" s="644"/>
      <c r="HX51" s="644"/>
      <c r="HY51" s="644"/>
      <c r="HZ51" s="644"/>
      <c r="IA51" s="644"/>
      <c r="IB51" s="644"/>
      <c r="IC51" s="644"/>
      <c r="ID51" s="644"/>
      <c r="IE51" s="644"/>
      <c r="IF51" s="644"/>
      <c r="IG51" s="644"/>
      <c r="IH51" s="644"/>
      <c r="II51" s="644"/>
      <c r="IJ51" s="644"/>
      <c r="IK51" s="644"/>
      <c r="IL51" s="644"/>
      <c r="IM51" s="644"/>
      <c r="IN51" s="644"/>
      <c r="IO51" s="644"/>
      <c r="IP51" s="644"/>
      <c r="IQ51" s="644"/>
      <c r="IR51" s="644"/>
      <c r="IS51" s="644"/>
      <c r="IT51" s="644"/>
    </row>
    <row r="52" spans="1:254" s="674" customFormat="1" x14ac:dyDescent="0.2">
      <c r="W52" s="644"/>
      <c r="X52" s="644"/>
      <c r="Y52" s="644"/>
      <c r="Z52" s="644"/>
      <c r="AA52" s="644"/>
      <c r="AB52" s="644"/>
      <c r="AC52" s="644"/>
      <c r="AD52" s="644"/>
      <c r="AE52" s="644"/>
      <c r="AF52" s="644"/>
      <c r="AG52" s="644"/>
      <c r="AH52" s="644"/>
      <c r="AI52" s="644"/>
      <c r="AJ52" s="644"/>
      <c r="AK52" s="644"/>
      <c r="AL52" s="644"/>
      <c r="AM52" s="644"/>
      <c r="AN52" s="644"/>
      <c r="AO52" s="644"/>
      <c r="AP52" s="644"/>
      <c r="AQ52" s="644"/>
      <c r="AR52" s="644"/>
      <c r="AS52" s="644"/>
      <c r="AT52" s="644"/>
      <c r="AU52" s="644"/>
      <c r="AV52" s="644"/>
      <c r="AW52" s="644"/>
      <c r="AX52" s="644"/>
      <c r="AY52" s="644"/>
      <c r="AZ52" s="644"/>
      <c r="BA52" s="644"/>
      <c r="BB52" s="644"/>
      <c r="BC52" s="644"/>
      <c r="BD52" s="644"/>
      <c r="BE52" s="644"/>
      <c r="BF52" s="644"/>
      <c r="BG52" s="644"/>
      <c r="BH52" s="644"/>
      <c r="BI52" s="644"/>
      <c r="BJ52" s="644"/>
      <c r="BK52" s="644"/>
      <c r="BL52" s="644"/>
      <c r="BM52" s="644"/>
      <c r="BN52" s="644"/>
      <c r="BO52" s="644"/>
      <c r="BP52" s="644"/>
      <c r="BQ52" s="644"/>
      <c r="BR52" s="644"/>
      <c r="BS52" s="644"/>
      <c r="BT52" s="644"/>
      <c r="BU52" s="644"/>
      <c r="BV52" s="644"/>
      <c r="BW52" s="644"/>
      <c r="BX52" s="644"/>
      <c r="BY52" s="644"/>
      <c r="BZ52" s="644"/>
      <c r="CA52" s="644"/>
      <c r="CB52" s="644"/>
      <c r="CC52" s="644"/>
      <c r="CD52" s="644"/>
      <c r="CE52" s="644"/>
      <c r="CF52" s="644"/>
      <c r="CG52" s="644"/>
      <c r="CH52" s="644"/>
      <c r="CI52" s="644"/>
      <c r="CJ52" s="644"/>
      <c r="CK52" s="644"/>
      <c r="CL52" s="644"/>
      <c r="CM52" s="644"/>
      <c r="CN52" s="644"/>
      <c r="CO52" s="644"/>
      <c r="CP52" s="644"/>
      <c r="CQ52" s="644"/>
      <c r="CR52" s="644"/>
      <c r="CS52" s="644"/>
      <c r="CT52" s="644"/>
      <c r="CU52" s="644"/>
      <c r="CV52" s="644"/>
      <c r="CW52" s="644"/>
      <c r="CX52" s="644"/>
      <c r="CY52" s="644"/>
      <c r="CZ52" s="644"/>
      <c r="DA52" s="644"/>
      <c r="DB52" s="644"/>
      <c r="DC52" s="644"/>
      <c r="DD52" s="644"/>
      <c r="DE52" s="644"/>
      <c r="DF52" s="644"/>
      <c r="DG52" s="644"/>
      <c r="DH52" s="644"/>
      <c r="DI52" s="644"/>
      <c r="DJ52" s="644"/>
      <c r="DK52" s="644"/>
      <c r="DL52" s="644"/>
      <c r="DM52" s="644"/>
      <c r="DN52" s="644"/>
      <c r="DO52" s="644"/>
      <c r="DP52" s="644"/>
      <c r="DQ52" s="644"/>
      <c r="DR52" s="644"/>
      <c r="DS52" s="644"/>
      <c r="DT52" s="644"/>
      <c r="DU52" s="644"/>
      <c r="DV52" s="644"/>
      <c r="DW52" s="644"/>
      <c r="DX52" s="644"/>
      <c r="DY52" s="644"/>
      <c r="DZ52" s="644"/>
      <c r="EA52" s="644"/>
      <c r="EB52" s="644"/>
      <c r="EC52" s="644"/>
      <c r="ED52" s="644"/>
      <c r="EE52" s="644"/>
      <c r="EF52" s="644"/>
      <c r="EG52" s="644"/>
      <c r="EH52" s="644"/>
      <c r="EI52" s="644"/>
      <c r="EJ52" s="644"/>
      <c r="EK52" s="644"/>
      <c r="EL52" s="644"/>
      <c r="EM52" s="644"/>
      <c r="EN52" s="644"/>
      <c r="EO52" s="644"/>
      <c r="EP52" s="644"/>
      <c r="EQ52" s="644"/>
      <c r="ER52" s="644"/>
      <c r="ES52" s="644"/>
      <c r="ET52" s="644"/>
      <c r="EU52" s="644"/>
      <c r="EV52" s="644"/>
      <c r="EW52" s="644"/>
      <c r="EX52" s="644"/>
      <c r="EY52" s="644"/>
      <c r="EZ52" s="644"/>
      <c r="FA52" s="644"/>
      <c r="FB52" s="644"/>
      <c r="FC52" s="644"/>
      <c r="FD52" s="644"/>
      <c r="FE52" s="644"/>
      <c r="FF52" s="644"/>
      <c r="FG52" s="644"/>
      <c r="FH52" s="644"/>
      <c r="FI52" s="644"/>
      <c r="FJ52" s="644"/>
      <c r="FK52" s="644"/>
      <c r="FL52" s="644"/>
      <c r="FM52" s="644"/>
      <c r="FN52" s="644"/>
      <c r="FO52" s="644"/>
      <c r="FP52" s="644"/>
      <c r="FQ52" s="644"/>
      <c r="FR52" s="644"/>
      <c r="FS52" s="644"/>
      <c r="FT52" s="644"/>
      <c r="FU52" s="644"/>
      <c r="FV52" s="644"/>
      <c r="FW52" s="644"/>
      <c r="FX52" s="644"/>
      <c r="FY52" s="644"/>
      <c r="FZ52" s="644"/>
      <c r="GA52" s="644"/>
      <c r="GB52" s="644"/>
      <c r="GC52" s="644"/>
      <c r="GD52" s="644"/>
      <c r="GE52" s="644"/>
      <c r="GF52" s="644"/>
      <c r="GG52" s="644"/>
      <c r="GH52" s="644"/>
      <c r="GI52" s="644"/>
      <c r="GJ52" s="644"/>
      <c r="GK52" s="644"/>
      <c r="GL52" s="644"/>
      <c r="GM52" s="644"/>
      <c r="GN52" s="644"/>
      <c r="GO52" s="644"/>
      <c r="GP52" s="644"/>
      <c r="GQ52" s="644"/>
      <c r="GR52" s="644"/>
      <c r="GS52" s="644"/>
      <c r="GT52" s="644"/>
      <c r="GU52" s="644"/>
      <c r="GV52" s="644"/>
      <c r="GW52" s="644"/>
      <c r="GX52" s="644"/>
      <c r="GY52" s="644"/>
      <c r="GZ52" s="644"/>
      <c r="HA52" s="644"/>
      <c r="HB52" s="644"/>
      <c r="HC52" s="644"/>
      <c r="HD52" s="644"/>
      <c r="HE52" s="644"/>
      <c r="HF52" s="644"/>
      <c r="HG52" s="644"/>
      <c r="HH52" s="644"/>
      <c r="HI52" s="644"/>
      <c r="HJ52" s="644"/>
      <c r="HK52" s="644"/>
      <c r="HL52" s="644"/>
      <c r="HM52" s="644"/>
      <c r="HN52" s="644"/>
      <c r="HO52" s="644"/>
      <c r="HP52" s="644"/>
      <c r="HQ52" s="644"/>
      <c r="HR52" s="644"/>
      <c r="HS52" s="644"/>
      <c r="HT52" s="644"/>
      <c r="HU52" s="644"/>
      <c r="HV52" s="644"/>
      <c r="HW52" s="644"/>
      <c r="HX52" s="644"/>
      <c r="HY52" s="644"/>
      <c r="HZ52" s="644"/>
      <c r="IA52" s="644"/>
      <c r="IB52" s="644"/>
      <c r="IC52" s="644"/>
      <c r="ID52" s="644"/>
      <c r="IE52" s="644"/>
      <c r="IF52" s="644"/>
      <c r="IG52" s="644"/>
      <c r="IH52" s="644"/>
      <c r="II52" s="644"/>
      <c r="IJ52" s="644"/>
      <c r="IK52" s="644"/>
      <c r="IL52" s="644"/>
      <c r="IM52" s="644"/>
      <c r="IN52" s="644"/>
      <c r="IO52" s="644"/>
      <c r="IP52" s="644"/>
      <c r="IQ52" s="644"/>
      <c r="IR52" s="644"/>
      <c r="IS52" s="644"/>
      <c r="IT52" s="644"/>
    </row>
    <row r="53" spans="1:254" s="674" customFormat="1" x14ac:dyDescent="0.2">
      <c r="W53" s="644"/>
      <c r="X53" s="644"/>
      <c r="Y53" s="644"/>
      <c r="Z53" s="644"/>
      <c r="AA53" s="644"/>
      <c r="AB53" s="644"/>
      <c r="AC53" s="644"/>
      <c r="AD53" s="644"/>
      <c r="AE53" s="644"/>
      <c r="AF53" s="644"/>
      <c r="AG53" s="644"/>
      <c r="AH53" s="644"/>
      <c r="AI53" s="644"/>
      <c r="AJ53" s="644"/>
      <c r="AK53" s="644"/>
      <c r="AL53" s="644"/>
      <c r="AM53" s="644"/>
      <c r="AN53" s="644"/>
      <c r="AO53" s="644"/>
      <c r="AP53" s="644"/>
      <c r="AQ53" s="644"/>
      <c r="AR53" s="644"/>
      <c r="AS53" s="644"/>
      <c r="AT53" s="644"/>
      <c r="AU53" s="644"/>
      <c r="AV53" s="644"/>
      <c r="AW53" s="644"/>
      <c r="AX53" s="644"/>
      <c r="AY53" s="644"/>
      <c r="AZ53" s="644"/>
      <c r="BA53" s="644"/>
      <c r="BB53" s="644"/>
      <c r="BC53" s="644"/>
      <c r="BD53" s="644"/>
      <c r="BE53" s="644"/>
      <c r="BF53" s="644"/>
      <c r="BG53" s="644"/>
      <c r="BH53" s="644"/>
      <c r="BI53" s="644"/>
      <c r="BJ53" s="644"/>
      <c r="BK53" s="644"/>
      <c r="BL53" s="644"/>
      <c r="BM53" s="644"/>
      <c r="BN53" s="644"/>
      <c r="BO53" s="644"/>
      <c r="BP53" s="644"/>
      <c r="BQ53" s="644"/>
      <c r="BR53" s="644"/>
      <c r="BS53" s="644"/>
      <c r="BT53" s="644"/>
      <c r="BU53" s="644"/>
      <c r="BV53" s="644"/>
      <c r="BW53" s="644"/>
      <c r="BX53" s="644"/>
      <c r="BY53" s="644"/>
      <c r="BZ53" s="644"/>
      <c r="CA53" s="644"/>
      <c r="CB53" s="644"/>
      <c r="CC53" s="644"/>
      <c r="CD53" s="644"/>
      <c r="CE53" s="644"/>
      <c r="CF53" s="644"/>
      <c r="CG53" s="644"/>
      <c r="CH53" s="644"/>
      <c r="CI53" s="644"/>
      <c r="CJ53" s="644"/>
      <c r="CK53" s="644"/>
      <c r="CL53" s="644"/>
      <c r="CM53" s="644"/>
      <c r="CN53" s="644"/>
      <c r="CO53" s="644"/>
      <c r="CP53" s="644"/>
      <c r="CQ53" s="644"/>
      <c r="CR53" s="644"/>
      <c r="CS53" s="644"/>
      <c r="CT53" s="644"/>
      <c r="CU53" s="644"/>
      <c r="CV53" s="644"/>
      <c r="CW53" s="644"/>
      <c r="CX53" s="644"/>
      <c r="CY53" s="644"/>
      <c r="CZ53" s="644"/>
      <c r="DA53" s="644"/>
      <c r="DB53" s="644"/>
      <c r="DC53" s="644"/>
      <c r="DD53" s="644"/>
      <c r="DE53" s="644"/>
      <c r="DF53" s="644"/>
      <c r="DG53" s="644"/>
      <c r="DH53" s="644"/>
      <c r="DI53" s="644"/>
      <c r="DJ53" s="644"/>
      <c r="DK53" s="644"/>
      <c r="DL53" s="644"/>
      <c r="DM53" s="644"/>
      <c r="DN53" s="644"/>
      <c r="DO53" s="644"/>
      <c r="DP53" s="644"/>
      <c r="DQ53" s="644"/>
      <c r="DR53" s="644"/>
      <c r="DS53" s="644"/>
      <c r="DT53" s="644"/>
      <c r="DU53" s="644"/>
      <c r="DV53" s="644"/>
      <c r="DW53" s="644"/>
      <c r="DX53" s="644"/>
      <c r="DY53" s="644"/>
      <c r="DZ53" s="644"/>
      <c r="EA53" s="644"/>
      <c r="EB53" s="644"/>
      <c r="EC53" s="644"/>
      <c r="ED53" s="644"/>
      <c r="EE53" s="644"/>
      <c r="EF53" s="644"/>
      <c r="EG53" s="644"/>
      <c r="EH53" s="644"/>
      <c r="EI53" s="644"/>
      <c r="EJ53" s="644"/>
      <c r="EK53" s="644"/>
      <c r="EL53" s="644"/>
      <c r="EM53" s="644"/>
      <c r="EN53" s="644"/>
      <c r="EO53" s="644"/>
      <c r="EP53" s="644"/>
      <c r="EQ53" s="644"/>
      <c r="ER53" s="644"/>
      <c r="ES53" s="644"/>
      <c r="ET53" s="644"/>
      <c r="EU53" s="644"/>
      <c r="EV53" s="644"/>
      <c r="EW53" s="644"/>
      <c r="EX53" s="644"/>
      <c r="EY53" s="644"/>
      <c r="EZ53" s="644"/>
      <c r="FA53" s="644"/>
      <c r="FB53" s="644"/>
      <c r="FC53" s="644"/>
      <c r="FD53" s="644"/>
      <c r="FE53" s="644"/>
      <c r="FF53" s="644"/>
      <c r="FG53" s="644"/>
      <c r="FH53" s="644"/>
      <c r="FI53" s="644"/>
      <c r="FJ53" s="644"/>
      <c r="FK53" s="644"/>
      <c r="FL53" s="644"/>
      <c r="FM53" s="644"/>
      <c r="FN53" s="644"/>
      <c r="FO53" s="644"/>
      <c r="FP53" s="644"/>
      <c r="FQ53" s="644"/>
      <c r="FR53" s="644"/>
      <c r="FS53" s="644"/>
      <c r="FT53" s="644"/>
      <c r="FU53" s="644"/>
      <c r="FV53" s="644"/>
      <c r="FW53" s="644"/>
      <c r="FX53" s="644"/>
      <c r="FY53" s="644"/>
      <c r="FZ53" s="644"/>
      <c r="GA53" s="644"/>
      <c r="GB53" s="644"/>
      <c r="GC53" s="644"/>
      <c r="GD53" s="644"/>
      <c r="GE53" s="644"/>
      <c r="GF53" s="644"/>
      <c r="GG53" s="644"/>
      <c r="GH53" s="644"/>
      <c r="GI53" s="644"/>
      <c r="GJ53" s="644"/>
      <c r="GK53" s="644"/>
      <c r="GL53" s="644"/>
      <c r="GM53" s="644"/>
      <c r="GN53" s="644"/>
      <c r="GO53" s="644"/>
      <c r="GP53" s="644"/>
      <c r="GQ53" s="644"/>
      <c r="GR53" s="644"/>
      <c r="GS53" s="644"/>
      <c r="GT53" s="644"/>
      <c r="GU53" s="644"/>
      <c r="GV53" s="644"/>
      <c r="GW53" s="644"/>
      <c r="GX53" s="644"/>
      <c r="GY53" s="644"/>
      <c r="GZ53" s="644"/>
      <c r="HA53" s="644"/>
      <c r="HB53" s="644"/>
      <c r="HC53" s="644"/>
      <c r="HD53" s="644"/>
      <c r="HE53" s="644"/>
      <c r="HF53" s="644"/>
      <c r="HG53" s="644"/>
      <c r="HH53" s="644"/>
      <c r="HI53" s="644"/>
      <c r="HJ53" s="644"/>
      <c r="HK53" s="644"/>
      <c r="HL53" s="644"/>
      <c r="HM53" s="644"/>
      <c r="HN53" s="644"/>
      <c r="HO53" s="644"/>
      <c r="HP53" s="644"/>
      <c r="HQ53" s="644"/>
      <c r="HR53" s="644"/>
      <c r="HS53" s="644"/>
      <c r="HT53" s="644"/>
      <c r="HU53" s="644"/>
      <c r="HV53" s="644"/>
      <c r="HW53" s="644"/>
      <c r="HX53" s="644"/>
      <c r="HY53" s="644"/>
      <c r="HZ53" s="644"/>
      <c r="IA53" s="644"/>
      <c r="IB53" s="644"/>
      <c r="IC53" s="644"/>
      <c r="ID53" s="644"/>
      <c r="IE53" s="644"/>
      <c r="IF53" s="644"/>
      <c r="IG53" s="644"/>
      <c r="IH53" s="644"/>
      <c r="II53" s="644"/>
      <c r="IJ53" s="644"/>
      <c r="IK53" s="644"/>
      <c r="IL53" s="644"/>
      <c r="IM53" s="644"/>
      <c r="IN53" s="644"/>
      <c r="IO53" s="644"/>
      <c r="IP53" s="644"/>
      <c r="IQ53" s="644"/>
      <c r="IR53" s="644"/>
      <c r="IS53" s="644"/>
      <c r="IT53" s="644"/>
    </row>
    <row r="54" spans="1:254" s="674" customFormat="1" x14ac:dyDescent="0.2">
      <c r="W54" s="644"/>
      <c r="X54" s="644"/>
      <c r="Y54" s="644"/>
      <c r="Z54" s="644"/>
      <c r="AA54" s="644"/>
      <c r="AB54" s="644"/>
      <c r="AC54" s="644"/>
      <c r="AD54" s="644"/>
      <c r="AE54" s="644"/>
      <c r="AF54" s="644"/>
      <c r="AG54" s="644"/>
      <c r="AH54" s="644"/>
      <c r="AI54" s="644"/>
      <c r="AJ54" s="644"/>
      <c r="AK54" s="644"/>
      <c r="AL54" s="644"/>
      <c r="AM54" s="644"/>
      <c r="AN54" s="644"/>
      <c r="AO54" s="644"/>
      <c r="AP54" s="644"/>
      <c r="AQ54" s="644"/>
      <c r="AR54" s="644"/>
      <c r="AS54" s="644"/>
      <c r="AT54" s="644"/>
      <c r="AU54" s="644"/>
      <c r="AV54" s="644"/>
      <c r="AW54" s="644"/>
      <c r="AX54" s="644"/>
      <c r="AY54" s="644"/>
      <c r="AZ54" s="644"/>
      <c r="BA54" s="644"/>
      <c r="BB54" s="644"/>
      <c r="BC54" s="644"/>
      <c r="BD54" s="644"/>
      <c r="BE54" s="644"/>
      <c r="BF54" s="644"/>
      <c r="BG54" s="644"/>
      <c r="BH54" s="644"/>
      <c r="BI54" s="644"/>
      <c r="BJ54" s="644"/>
      <c r="BK54" s="644"/>
      <c r="BL54" s="644"/>
      <c r="BM54" s="644"/>
      <c r="BN54" s="644"/>
      <c r="BO54" s="644"/>
      <c r="BP54" s="644"/>
      <c r="BQ54" s="644"/>
      <c r="BR54" s="644"/>
      <c r="BS54" s="644"/>
      <c r="BT54" s="644"/>
      <c r="BU54" s="644"/>
      <c r="BV54" s="644"/>
      <c r="BW54" s="644"/>
      <c r="BX54" s="644"/>
      <c r="BY54" s="644"/>
      <c r="BZ54" s="644"/>
      <c r="CA54" s="644"/>
      <c r="CB54" s="644"/>
      <c r="CC54" s="644"/>
      <c r="CD54" s="644"/>
      <c r="CE54" s="644"/>
      <c r="CF54" s="644"/>
      <c r="CG54" s="644"/>
      <c r="CH54" s="644"/>
      <c r="CI54" s="644"/>
      <c r="CJ54" s="644"/>
      <c r="CK54" s="644"/>
      <c r="CL54" s="644"/>
      <c r="CM54" s="644"/>
      <c r="CN54" s="644"/>
      <c r="CO54" s="644"/>
      <c r="CP54" s="644"/>
      <c r="CQ54" s="644"/>
      <c r="CR54" s="644"/>
      <c r="CS54" s="644"/>
      <c r="CT54" s="644"/>
      <c r="CU54" s="644"/>
      <c r="CV54" s="644"/>
      <c r="CW54" s="644"/>
      <c r="CX54" s="644"/>
      <c r="CY54" s="644"/>
      <c r="CZ54" s="644"/>
      <c r="DA54" s="644"/>
      <c r="DB54" s="644"/>
      <c r="DC54" s="644"/>
      <c r="DD54" s="644"/>
      <c r="DE54" s="644"/>
      <c r="DF54" s="644"/>
      <c r="DG54" s="644"/>
      <c r="DH54" s="644"/>
      <c r="DI54" s="644"/>
      <c r="DJ54" s="644"/>
      <c r="DK54" s="644"/>
      <c r="DL54" s="644"/>
      <c r="DM54" s="644"/>
      <c r="DN54" s="644"/>
      <c r="DO54" s="644"/>
      <c r="DP54" s="644"/>
      <c r="DQ54" s="644"/>
      <c r="DR54" s="644"/>
      <c r="DS54" s="644"/>
      <c r="DT54" s="644"/>
      <c r="DU54" s="644"/>
      <c r="DV54" s="644"/>
      <c r="DW54" s="644"/>
      <c r="DX54" s="644"/>
      <c r="DY54" s="644"/>
      <c r="DZ54" s="644"/>
      <c r="EA54" s="644"/>
      <c r="EB54" s="644"/>
      <c r="EC54" s="644"/>
      <c r="ED54" s="644"/>
      <c r="EE54" s="644"/>
      <c r="EF54" s="644"/>
      <c r="EG54" s="644"/>
      <c r="EH54" s="644"/>
      <c r="EI54" s="644"/>
      <c r="EJ54" s="644"/>
      <c r="EK54" s="644"/>
      <c r="EL54" s="644"/>
      <c r="EM54" s="644"/>
      <c r="EN54" s="644"/>
      <c r="EO54" s="644"/>
      <c r="EP54" s="644"/>
      <c r="EQ54" s="644"/>
      <c r="ER54" s="644"/>
      <c r="ES54" s="644"/>
      <c r="ET54" s="644"/>
      <c r="EU54" s="644"/>
      <c r="EV54" s="644"/>
      <c r="EW54" s="644"/>
      <c r="EX54" s="644"/>
      <c r="EY54" s="644"/>
      <c r="EZ54" s="644"/>
      <c r="FA54" s="644"/>
      <c r="FB54" s="644"/>
      <c r="FC54" s="644"/>
      <c r="FD54" s="644"/>
      <c r="FE54" s="644"/>
      <c r="FF54" s="644"/>
      <c r="FG54" s="644"/>
      <c r="FH54" s="644"/>
      <c r="FI54" s="644"/>
      <c r="FJ54" s="644"/>
      <c r="FK54" s="644"/>
      <c r="FL54" s="644"/>
      <c r="FM54" s="644"/>
      <c r="FN54" s="644"/>
      <c r="FO54" s="644"/>
      <c r="FP54" s="644"/>
      <c r="FQ54" s="644"/>
      <c r="FR54" s="644"/>
      <c r="FS54" s="644"/>
      <c r="FT54" s="644"/>
      <c r="FU54" s="644"/>
      <c r="FV54" s="644"/>
      <c r="FW54" s="644"/>
      <c r="FX54" s="644"/>
      <c r="FY54" s="644"/>
      <c r="FZ54" s="644"/>
      <c r="GA54" s="644"/>
      <c r="GB54" s="644"/>
      <c r="GC54" s="644"/>
      <c r="GD54" s="644"/>
      <c r="GE54" s="644"/>
      <c r="GF54" s="644"/>
      <c r="GG54" s="644"/>
      <c r="GH54" s="644"/>
      <c r="GI54" s="644"/>
      <c r="GJ54" s="644"/>
      <c r="GK54" s="644"/>
      <c r="GL54" s="644"/>
      <c r="GM54" s="644"/>
      <c r="GN54" s="644"/>
      <c r="GO54" s="644"/>
      <c r="GP54" s="644"/>
      <c r="GQ54" s="644"/>
      <c r="GR54" s="644"/>
      <c r="GS54" s="644"/>
      <c r="GT54" s="644"/>
      <c r="GU54" s="644"/>
      <c r="GV54" s="644"/>
      <c r="GW54" s="644"/>
      <c r="GX54" s="644"/>
      <c r="GY54" s="644"/>
      <c r="GZ54" s="644"/>
      <c r="HA54" s="644"/>
      <c r="HB54" s="644"/>
      <c r="HC54" s="644"/>
      <c r="HD54" s="644"/>
      <c r="HE54" s="644"/>
      <c r="HF54" s="644"/>
      <c r="HG54" s="644"/>
      <c r="HH54" s="644"/>
      <c r="HI54" s="644"/>
      <c r="HJ54" s="644"/>
      <c r="HK54" s="644"/>
      <c r="HL54" s="644"/>
      <c r="HM54" s="644"/>
      <c r="HN54" s="644"/>
      <c r="HO54" s="644"/>
      <c r="HP54" s="644"/>
      <c r="HQ54" s="644"/>
      <c r="HR54" s="644"/>
      <c r="HS54" s="644"/>
      <c r="HT54" s="644"/>
      <c r="HU54" s="644"/>
      <c r="HV54" s="644"/>
      <c r="HW54" s="644"/>
      <c r="HX54" s="644"/>
      <c r="HY54" s="644"/>
      <c r="HZ54" s="644"/>
      <c r="IA54" s="644"/>
      <c r="IB54" s="644"/>
      <c r="IC54" s="644"/>
      <c r="ID54" s="644"/>
      <c r="IE54" s="644"/>
      <c r="IF54" s="644"/>
      <c r="IG54" s="644"/>
      <c r="IH54" s="644"/>
      <c r="II54" s="644"/>
      <c r="IJ54" s="644"/>
      <c r="IK54" s="644"/>
      <c r="IL54" s="644"/>
      <c r="IM54" s="644"/>
      <c r="IN54" s="644"/>
      <c r="IO54" s="644"/>
      <c r="IP54" s="644"/>
      <c r="IQ54" s="644"/>
      <c r="IR54" s="644"/>
      <c r="IS54" s="644"/>
      <c r="IT54" s="644"/>
    </row>
    <row r="55" spans="1:254" s="674" customFormat="1" x14ac:dyDescent="0.2">
      <c r="W55" s="644"/>
      <c r="X55" s="644"/>
      <c r="Y55" s="644"/>
      <c r="Z55" s="644"/>
      <c r="AA55" s="644"/>
      <c r="AB55" s="644"/>
      <c r="AC55" s="644"/>
      <c r="AD55" s="644"/>
      <c r="AE55" s="644"/>
      <c r="AF55" s="644"/>
      <c r="AG55" s="644"/>
      <c r="AH55" s="644"/>
      <c r="AI55" s="644"/>
      <c r="AJ55" s="644"/>
      <c r="AK55" s="644"/>
      <c r="AL55" s="644"/>
      <c r="AM55" s="644"/>
      <c r="AN55" s="644"/>
      <c r="AO55" s="644"/>
      <c r="AP55" s="644"/>
      <c r="AQ55" s="644"/>
      <c r="AR55" s="644"/>
      <c r="AS55" s="644"/>
      <c r="AT55" s="644"/>
      <c r="AU55" s="644"/>
      <c r="AV55" s="644"/>
      <c r="AW55" s="644"/>
      <c r="AX55" s="644"/>
      <c r="AY55" s="644"/>
      <c r="AZ55" s="644"/>
      <c r="BA55" s="644"/>
      <c r="BB55" s="644"/>
      <c r="BC55" s="644"/>
      <c r="BD55" s="644"/>
      <c r="BE55" s="644"/>
      <c r="BF55" s="644"/>
      <c r="BG55" s="644"/>
      <c r="BH55" s="644"/>
      <c r="BI55" s="644"/>
      <c r="BJ55" s="644"/>
      <c r="BK55" s="644"/>
      <c r="BL55" s="644"/>
      <c r="BM55" s="644"/>
      <c r="BN55" s="644"/>
      <c r="BO55" s="644"/>
      <c r="BP55" s="644"/>
      <c r="BQ55" s="644"/>
      <c r="BR55" s="644"/>
      <c r="BS55" s="644"/>
      <c r="BT55" s="644"/>
      <c r="BU55" s="644"/>
      <c r="BV55" s="644"/>
      <c r="BW55" s="644"/>
      <c r="BX55" s="644"/>
      <c r="BY55" s="644"/>
      <c r="BZ55" s="644"/>
      <c r="CA55" s="644"/>
      <c r="CB55" s="644"/>
      <c r="CC55" s="644"/>
      <c r="CD55" s="644"/>
      <c r="CE55" s="644"/>
      <c r="CF55" s="644"/>
      <c r="CG55" s="644"/>
      <c r="CH55" s="644"/>
      <c r="CI55" s="644"/>
      <c r="CJ55" s="644"/>
      <c r="CK55" s="644"/>
      <c r="CL55" s="644"/>
      <c r="CM55" s="644"/>
      <c r="CN55" s="644"/>
      <c r="CO55" s="644"/>
      <c r="CP55" s="644"/>
      <c r="CQ55" s="644"/>
      <c r="CR55" s="644"/>
      <c r="CS55" s="644"/>
      <c r="CT55" s="644"/>
      <c r="CU55" s="644"/>
      <c r="CV55" s="644"/>
      <c r="CW55" s="644"/>
      <c r="CX55" s="644"/>
      <c r="CY55" s="644"/>
      <c r="CZ55" s="644"/>
      <c r="DA55" s="644"/>
      <c r="DB55" s="644"/>
      <c r="DC55" s="644"/>
      <c r="DD55" s="644"/>
      <c r="DE55" s="644"/>
      <c r="DF55" s="644"/>
      <c r="DG55" s="644"/>
      <c r="DH55" s="644"/>
      <c r="DI55" s="644"/>
      <c r="DJ55" s="644"/>
      <c r="DK55" s="644"/>
      <c r="DL55" s="644"/>
      <c r="DM55" s="644"/>
      <c r="DN55" s="644"/>
      <c r="DO55" s="644"/>
      <c r="DP55" s="644"/>
      <c r="DQ55" s="644"/>
      <c r="DR55" s="644"/>
      <c r="DS55" s="644"/>
      <c r="DT55" s="644"/>
      <c r="DU55" s="644"/>
      <c r="DV55" s="644"/>
      <c r="DW55" s="644"/>
      <c r="DX55" s="644"/>
      <c r="DY55" s="644"/>
      <c r="DZ55" s="644"/>
      <c r="EA55" s="644"/>
      <c r="EB55" s="644"/>
      <c r="EC55" s="644"/>
      <c r="ED55" s="644"/>
      <c r="EE55" s="644"/>
      <c r="EF55" s="644"/>
      <c r="EG55" s="644"/>
      <c r="EH55" s="644"/>
      <c r="EI55" s="644"/>
      <c r="EJ55" s="644"/>
      <c r="EK55" s="644"/>
      <c r="EL55" s="644"/>
      <c r="EM55" s="644"/>
      <c r="EN55" s="644"/>
      <c r="EO55" s="644"/>
      <c r="EP55" s="644"/>
      <c r="EQ55" s="644"/>
      <c r="ER55" s="644"/>
      <c r="ES55" s="644"/>
      <c r="ET55" s="644"/>
      <c r="EU55" s="644"/>
      <c r="EV55" s="644"/>
      <c r="EW55" s="644"/>
      <c r="EX55" s="644"/>
      <c r="EY55" s="644"/>
      <c r="EZ55" s="644"/>
      <c r="FA55" s="644"/>
      <c r="FB55" s="644"/>
      <c r="FC55" s="644"/>
      <c r="FD55" s="644"/>
      <c r="FE55" s="644"/>
      <c r="FF55" s="644"/>
      <c r="FG55" s="644"/>
      <c r="FH55" s="644"/>
      <c r="FI55" s="644"/>
      <c r="FJ55" s="644"/>
      <c r="FK55" s="644"/>
      <c r="FL55" s="644"/>
      <c r="FM55" s="644"/>
      <c r="FN55" s="644"/>
      <c r="FO55" s="644"/>
      <c r="FP55" s="644"/>
      <c r="FQ55" s="644"/>
      <c r="FR55" s="644"/>
      <c r="FS55" s="644"/>
      <c r="FT55" s="644"/>
      <c r="FU55" s="644"/>
      <c r="FV55" s="644"/>
      <c r="FW55" s="644"/>
      <c r="FX55" s="644"/>
      <c r="FY55" s="644"/>
      <c r="FZ55" s="644"/>
      <c r="GA55" s="644"/>
      <c r="GB55" s="644"/>
      <c r="GC55" s="644"/>
      <c r="GD55" s="644"/>
      <c r="GE55" s="644"/>
      <c r="GF55" s="644"/>
      <c r="GG55" s="644"/>
      <c r="GH55" s="644"/>
      <c r="GI55" s="644"/>
      <c r="GJ55" s="644"/>
      <c r="GK55" s="644"/>
      <c r="GL55" s="644"/>
      <c r="GM55" s="644"/>
      <c r="GN55" s="644"/>
      <c r="GO55" s="644"/>
      <c r="GP55" s="644"/>
      <c r="GQ55" s="644"/>
      <c r="GR55" s="644"/>
      <c r="GS55" s="644"/>
      <c r="GT55" s="644"/>
      <c r="GU55" s="644"/>
      <c r="GV55" s="644"/>
      <c r="GW55" s="644"/>
      <c r="GX55" s="644"/>
      <c r="GY55" s="644"/>
      <c r="GZ55" s="644"/>
      <c r="HA55" s="644"/>
      <c r="HB55" s="644"/>
      <c r="HC55" s="644"/>
      <c r="HD55" s="644"/>
      <c r="HE55" s="644"/>
      <c r="HF55" s="644"/>
      <c r="HG55" s="644"/>
      <c r="HH55" s="644"/>
      <c r="HI55" s="644"/>
      <c r="HJ55" s="644"/>
      <c r="HK55" s="644"/>
      <c r="HL55" s="644"/>
      <c r="HM55" s="644"/>
      <c r="HN55" s="644"/>
      <c r="HO55" s="644"/>
      <c r="HP55" s="644"/>
      <c r="HQ55" s="644"/>
      <c r="HR55" s="644"/>
      <c r="HS55" s="644"/>
      <c r="HT55" s="644"/>
      <c r="HU55" s="644"/>
      <c r="HV55" s="644"/>
      <c r="HW55" s="644"/>
      <c r="HX55" s="644"/>
      <c r="HY55" s="644"/>
      <c r="HZ55" s="644"/>
      <c r="IA55" s="644"/>
      <c r="IB55" s="644"/>
      <c r="IC55" s="644"/>
      <c r="ID55" s="644"/>
      <c r="IE55" s="644"/>
      <c r="IF55" s="644"/>
      <c r="IG55" s="644"/>
      <c r="IH55" s="644"/>
      <c r="II55" s="644"/>
      <c r="IJ55" s="644"/>
      <c r="IK55" s="644"/>
      <c r="IL55" s="644"/>
      <c r="IM55" s="644"/>
      <c r="IN55" s="644"/>
      <c r="IO55" s="644"/>
      <c r="IP55" s="644"/>
      <c r="IQ55" s="644"/>
      <c r="IR55" s="644"/>
      <c r="IS55" s="644"/>
      <c r="IT55" s="644"/>
    </row>
    <row r="56" spans="1:254" s="674" customFormat="1" x14ac:dyDescent="0.2">
      <c r="W56" s="644"/>
      <c r="X56" s="644"/>
      <c r="Y56" s="644"/>
      <c r="Z56" s="644"/>
      <c r="AA56" s="644"/>
      <c r="AB56" s="644"/>
      <c r="AC56" s="644"/>
      <c r="AD56" s="644"/>
      <c r="AE56" s="644"/>
      <c r="AF56" s="644"/>
      <c r="AG56" s="644"/>
      <c r="AH56" s="644"/>
      <c r="AI56" s="644"/>
      <c r="AJ56" s="644"/>
      <c r="AK56" s="644"/>
      <c r="AL56" s="644"/>
      <c r="AM56" s="644"/>
      <c r="AN56" s="644"/>
      <c r="AO56" s="644"/>
      <c r="AP56" s="644"/>
      <c r="AQ56" s="644"/>
      <c r="AR56" s="644"/>
      <c r="AS56" s="644"/>
      <c r="AT56" s="644"/>
      <c r="AU56" s="644"/>
      <c r="AV56" s="644"/>
      <c r="AW56" s="644"/>
      <c r="AX56" s="644"/>
      <c r="AY56" s="644"/>
      <c r="AZ56" s="644"/>
      <c r="BA56" s="644"/>
      <c r="BB56" s="644"/>
      <c r="BC56" s="644"/>
      <c r="BD56" s="644"/>
      <c r="BE56" s="644"/>
      <c r="BF56" s="644"/>
      <c r="BG56" s="644"/>
      <c r="BH56" s="644"/>
      <c r="BI56" s="644"/>
      <c r="BJ56" s="644"/>
      <c r="BK56" s="644"/>
      <c r="BL56" s="644"/>
      <c r="BM56" s="644"/>
      <c r="BN56" s="644"/>
      <c r="BO56" s="644"/>
      <c r="BP56" s="644"/>
      <c r="BQ56" s="644"/>
      <c r="BR56" s="644"/>
      <c r="BS56" s="644"/>
      <c r="BT56" s="644"/>
      <c r="BU56" s="644"/>
      <c r="BV56" s="644"/>
      <c r="BW56" s="644"/>
      <c r="BX56" s="644"/>
      <c r="BY56" s="644"/>
      <c r="BZ56" s="644"/>
      <c r="CA56" s="644"/>
      <c r="CB56" s="644"/>
      <c r="CC56" s="644"/>
      <c r="CD56" s="644"/>
      <c r="CE56" s="644"/>
      <c r="CF56" s="644"/>
      <c r="CG56" s="644"/>
      <c r="CH56" s="644"/>
      <c r="CI56" s="644"/>
      <c r="CJ56" s="644"/>
      <c r="CK56" s="644"/>
      <c r="CL56" s="644"/>
      <c r="CM56" s="644"/>
      <c r="CN56" s="644"/>
      <c r="CO56" s="644"/>
      <c r="CP56" s="644"/>
      <c r="CQ56" s="644"/>
      <c r="CR56" s="644"/>
      <c r="CS56" s="644"/>
      <c r="CT56" s="644"/>
      <c r="CU56" s="644"/>
      <c r="CV56" s="644"/>
      <c r="CW56" s="644"/>
      <c r="CX56" s="644"/>
      <c r="CY56" s="644"/>
      <c r="CZ56" s="644"/>
      <c r="DA56" s="644"/>
      <c r="DB56" s="644"/>
      <c r="DC56" s="644"/>
      <c r="DD56" s="644"/>
      <c r="DE56" s="644"/>
      <c r="DF56" s="644"/>
      <c r="DG56" s="644"/>
      <c r="DH56" s="644"/>
      <c r="DI56" s="644"/>
      <c r="DJ56" s="644"/>
      <c r="DK56" s="644"/>
      <c r="DL56" s="644"/>
      <c r="DM56" s="644"/>
      <c r="DN56" s="644"/>
      <c r="DO56" s="644"/>
      <c r="DP56" s="644"/>
      <c r="DQ56" s="644"/>
      <c r="DR56" s="644"/>
      <c r="DS56" s="644"/>
      <c r="DT56" s="644"/>
      <c r="DU56" s="644"/>
      <c r="DV56" s="644"/>
      <c r="DW56" s="644"/>
      <c r="DX56" s="644"/>
      <c r="DY56" s="644"/>
      <c r="DZ56" s="644"/>
      <c r="EA56" s="644"/>
      <c r="EB56" s="644"/>
      <c r="EC56" s="644"/>
      <c r="ED56" s="644"/>
      <c r="EE56" s="644"/>
      <c r="EF56" s="644"/>
      <c r="EG56" s="644"/>
      <c r="EH56" s="644"/>
      <c r="EI56" s="644"/>
      <c r="EJ56" s="644"/>
      <c r="EK56" s="644"/>
      <c r="EL56" s="644"/>
      <c r="EM56" s="644"/>
      <c r="EN56" s="644"/>
      <c r="EO56" s="644"/>
      <c r="EP56" s="644"/>
      <c r="EQ56" s="644"/>
      <c r="ER56" s="644"/>
      <c r="ES56" s="644"/>
      <c r="ET56" s="644"/>
      <c r="EU56" s="644"/>
      <c r="EV56" s="644"/>
      <c r="EW56" s="644"/>
      <c r="EX56" s="644"/>
      <c r="EY56" s="644"/>
      <c r="EZ56" s="644"/>
      <c r="FA56" s="644"/>
      <c r="FB56" s="644"/>
      <c r="FC56" s="644"/>
      <c r="FD56" s="644"/>
      <c r="FE56" s="644"/>
      <c r="FF56" s="644"/>
      <c r="FG56" s="644"/>
      <c r="FH56" s="644"/>
      <c r="FI56" s="644"/>
      <c r="FJ56" s="644"/>
      <c r="FK56" s="644"/>
      <c r="FL56" s="644"/>
      <c r="FM56" s="644"/>
      <c r="FN56" s="644"/>
      <c r="FO56" s="644"/>
      <c r="FP56" s="644"/>
      <c r="FQ56" s="644"/>
      <c r="FR56" s="644"/>
      <c r="FS56" s="644"/>
      <c r="FT56" s="644"/>
      <c r="FU56" s="644"/>
      <c r="FV56" s="644"/>
      <c r="FW56" s="644"/>
      <c r="FX56" s="644"/>
      <c r="FY56" s="644"/>
      <c r="FZ56" s="644"/>
      <c r="GA56" s="644"/>
      <c r="GB56" s="644"/>
      <c r="GC56" s="644"/>
      <c r="GD56" s="644"/>
      <c r="GE56" s="644"/>
      <c r="GF56" s="644"/>
      <c r="GG56" s="644"/>
      <c r="GH56" s="644"/>
      <c r="GI56" s="644"/>
      <c r="GJ56" s="644"/>
      <c r="GK56" s="644"/>
      <c r="GL56" s="644"/>
      <c r="GM56" s="644"/>
      <c r="GN56" s="644"/>
      <c r="GO56" s="644"/>
      <c r="GP56" s="644"/>
      <c r="GQ56" s="644"/>
      <c r="GR56" s="644"/>
      <c r="GS56" s="644"/>
      <c r="GT56" s="644"/>
      <c r="GU56" s="644"/>
      <c r="GV56" s="644"/>
      <c r="GW56" s="644"/>
      <c r="GX56" s="644"/>
      <c r="GY56" s="644"/>
      <c r="GZ56" s="644"/>
      <c r="HA56" s="644"/>
      <c r="HB56" s="644"/>
      <c r="HC56" s="644"/>
      <c r="HD56" s="644"/>
      <c r="HE56" s="644"/>
      <c r="HF56" s="644"/>
      <c r="HG56" s="644"/>
      <c r="HH56" s="644"/>
      <c r="HI56" s="644"/>
      <c r="HJ56" s="644"/>
      <c r="HK56" s="644"/>
      <c r="HL56" s="644"/>
      <c r="HM56" s="644"/>
      <c r="HN56" s="644"/>
      <c r="HO56" s="644"/>
      <c r="HP56" s="644"/>
      <c r="HQ56" s="644"/>
      <c r="HR56" s="644"/>
      <c r="HS56" s="644"/>
      <c r="HT56" s="644"/>
      <c r="HU56" s="644"/>
      <c r="HV56" s="644"/>
      <c r="HW56" s="644"/>
      <c r="HX56" s="644"/>
      <c r="HY56" s="644"/>
      <c r="HZ56" s="644"/>
      <c r="IA56" s="644"/>
      <c r="IB56" s="644"/>
      <c r="IC56" s="644"/>
      <c r="ID56" s="644"/>
      <c r="IE56" s="644"/>
      <c r="IF56" s="644"/>
      <c r="IG56" s="644"/>
      <c r="IH56" s="644"/>
      <c r="II56" s="644"/>
      <c r="IJ56" s="644"/>
      <c r="IK56" s="644"/>
      <c r="IL56" s="644"/>
      <c r="IM56" s="644"/>
      <c r="IN56" s="644"/>
      <c r="IO56" s="644"/>
      <c r="IP56" s="644"/>
      <c r="IQ56" s="644"/>
      <c r="IR56" s="644"/>
      <c r="IS56" s="644"/>
      <c r="IT56" s="644"/>
    </row>
    <row r="57" spans="1:254" s="674" customFormat="1" x14ac:dyDescent="0.2">
      <c r="W57" s="644"/>
      <c r="X57" s="644"/>
      <c r="Y57" s="644"/>
      <c r="Z57" s="644"/>
      <c r="AA57" s="644"/>
      <c r="AB57" s="644"/>
      <c r="AC57" s="644"/>
      <c r="AD57" s="644"/>
      <c r="AE57" s="644"/>
      <c r="AF57" s="644"/>
      <c r="AG57" s="644"/>
      <c r="AH57" s="644"/>
      <c r="AI57" s="644"/>
      <c r="AJ57" s="644"/>
      <c r="AK57" s="644"/>
      <c r="AL57" s="644"/>
      <c r="AM57" s="644"/>
      <c r="AN57" s="644"/>
      <c r="AO57" s="644"/>
      <c r="AP57" s="644"/>
      <c r="AQ57" s="644"/>
      <c r="AR57" s="644"/>
      <c r="AS57" s="644"/>
      <c r="AT57" s="644"/>
      <c r="AU57" s="644"/>
      <c r="AV57" s="644"/>
      <c r="AW57" s="644"/>
      <c r="AX57" s="644"/>
      <c r="AY57" s="644"/>
      <c r="AZ57" s="644"/>
      <c r="BA57" s="644"/>
      <c r="BB57" s="644"/>
      <c r="BC57" s="644"/>
      <c r="BD57" s="644"/>
      <c r="BE57" s="644"/>
      <c r="BF57" s="644"/>
      <c r="BG57" s="644"/>
      <c r="BH57" s="644"/>
      <c r="BI57" s="644"/>
      <c r="BJ57" s="644"/>
      <c r="BK57" s="644"/>
      <c r="BL57" s="644"/>
      <c r="BM57" s="644"/>
      <c r="BN57" s="644"/>
      <c r="BO57" s="644"/>
      <c r="BP57" s="644"/>
      <c r="BQ57" s="644"/>
      <c r="BR57" s="644"/>
      <c r="BS57" s="644"/>
      <c r="BT57" s="644"/>
      <c r="BU57" s="644"/>
      <c r="BV57" s="644"/>
      <c r="BW57" s="644"/>
      <c r="BX57" s="644"/>
      <c r="BY57" s="644"/>
      <c r="BZ57" s="644"/>
      <c r="CA57" s="644"/>
      <c r="CB57" s="644"/>
      <c r="CC57" s="644"/>
      <c r="CD57" s="644"/>
      <c r="CE57" s="644"/>
      <c r="CF57" s="644"/>
      <c r="CG57" s="644"/>
      <c r="CH57" s="644"/>
      <c r="CI57" s="644"/>
      <c r="CJ57" s="644"/>
      <c r="CK57" s="644"/>
      <c r="CL57" s="644"/>
      <c r="CM57" s="644"/>
      <c r="CN57" s="644"/>
      <c r="CO57" s="644"/>
      <c r="CP57" s="644"/>
      <c r="CQ57" s="644"/>
      <c r="CR57" s="644"/>
      <c r="CS57" s="644"/>
      <c r="CT57" s="644"/>
      <c r="CU57" s="644"/>
      <c r="CV57" s="644"/>
      <c r="CW57" s="644"/>
      <c r="CX57" s="644"/>
      <c r="CY57" s="644"/>
      <c r="CZ57" s="644"/>
      <c r="DA57" s="644"/>
      <c r="DB57" s="644"/>
      <c r="DC57" s="644"/>
      <c r="DD57" s="644"/>
      <c r="DE57" s="644"/>
      <c r="DF57" s="644"/>
      <c r="DG57" s="644"/>
      <c r="DH57" s="644"/>
      <c r="DI57" s="644"/>
      <c r="DJ57" s="644"/>
      <c r="DK57" s="644"/>
      <c r="DL57" s="644"/>
      <c r="DM57" s="644"/>
      <c r="DN57" s="644"/>
      <c r="DO57" s="644"/>
      <c r="DP57" s="644"/>
      <c r="DQ57" s="644"/>
      <c r="DR57" s="644"/>
      <c r="DS57" s="644"/>
      <c r="DT57" s="644"/>
      <c r="DU57" s="644"/>
      <c r="DV57" s="644"/>
      <c r="DW57" s="644"/>
      <c r="DX57" s="644"/>
      <c r="DY57" s="644"/>
      <c r="DZ57" s="644"/>
      <c r="EA57" s="644"/>
      <c r="EB57" s="644"/>
      <c r="EC57" s="644"/>
      <c r="ED57" s="644"/>
      <c r="EE57" s="644"/>
      <c r="EF57" s="644"/>
      <c r="EG57" s="644"/>
      <c r="EH57" s="644"/>
      <c r="EI57" s="644"/>
      <c r="EJ57" s="644"/>
      <c r="EK57" s="644"/>
      <c r="EL57" s="644"/>
      <c r="EM57" s="644"/>
      <c r="EN57" s="644"/>
      <c r="EO57" s="644"/>
      <c r="EP57" s="644"/>
      <c r="EQ57" s="644"/>
      <c r="ER57" s="644"/>
      <c r="ES57" s="644"/>
      <c r="ET57" s="644"/>
      <c r="EU57" s="644"/>
      <c r="EV57" s="644"/>
      <c r="EW57" s="644"/>
      <c r="EX57" s="644"/>
      <c r="EY57" s="644"/>
      <c r="EZ57" s="644"/>
      <c r="FA57" s="644"/>
      <c r="FB57" s="644"/>
      <c r="FC57" s="644"/>
      <c r="FD57" s="644"/>
      <c r="FE57" s="644"/>
      <c r="FF57" s="644"/>
      <c r="FG57" s="644"/>
      <c r="FH57" s="644"/>
      <c r="FI57" s="644"/>
      <c r="FJ57" s="644"/>
      <c r="FK57" s="644"/>
      <c r="FL57" s="644"/>
      <c r="FM57" s="644"/>
      <c r="FN57" s="644"/>
      <c r="FO57" s="644"/>
      <c r="FP57" s="644"/>
      <c r="FQ57" s="644"/>
      <c r="FR57" s="644"/>
      <c r="FS57" s="644"/>
      <c r="FT57" s="644"/>
      <c r="FU57" s="644"/>
      <c r="FV57" s="644"/>
      <c r="FW57" s="644"/>
      <c r="FX57" s="644"/>
      <c r="FY57" s="644"/>
      <c r="FZ57" s="644"/>
      <c r="GA57" s="644"/>
      <c r="GB57" s="644"/>
      <c r="GC57" s="644"/>
      <c r="GD57" s="644"/>
      <c r="GE57" s="644"/>
      <c r="GF57" s="644"/>
      <c r="GG57" s="644"/>
      <c r="GH57" s="644"/>
      <c r="GI57" s="644"/>
      <c r="GJ57" s="644"/>
      <c r="GK57" s="644"/>
      <c r="GL57" s="644"/>
      <c r="GM57" s="644"/>
      <c r="GN57" s="644"/>
      <c r="GO57" s="644"/>
      <c r="GP57" s="644"/>
      <c r="GQ57" s="644"/>
      <c r="GR57" s="644"/>
      <c r="GS57" s="644"/>
      <c r="GT57" s="644"/>
      <c r="GU57" s="644"/>
      <c r="GV57" s="644"/>
      <c r="GW57" s="644"/>
      <c r="GX57" s="644"/>
      <c r="GY57" s="644"/>
      <c r="GZ57" s="644"/>
      <c r="HA57" s="644"/>
      <c r="HB57" s="644"/>
      <c r="HC57" s="644"/>
      <c r="HD57" s="644"/>
      <c r="HE57" s="644"/>
      <c r="HF57" s="644"/>
      <c r="HG57" s="644"/>
      <c r="HH57" s="644"/>
      <c r="HI57" s="644"/>
      <c r="HJ57" s="644"/>
      <c r="HK57" s="644"/>
      <c r="HL57" s="644"/>
      <c r="HM57" s="644"/>
      <c r="HN57" s="644"/>
      <c r="HO57" s="644"/>
      <c r="HP57" s="644"/>
      <c r="HQ57" s="644"/>
      <c r="HR57" s="644"/>
      <c r="HS57" s="644"/>
      <c r="HT57" s="644"/>
      <c r="HU57" s="644"/>
      <c r="HV57" s="644"/>
      <c r="HW57" s="644"/>
      <c r="HX57" s="644"/>
      <c r="HY57" s="644"/>
      <c r="HZ57" s="644"/>
      <c r="IA57" s="644"/>
      <c r="IB57" s="644"/>
      <c r="IC57" s="644"/>
      <c r="ID57" s="644"/>
      <c r="IE57" s="644"/>
      <c r="IF57" s="644"/>
      <c r="IG57" s="644"/>
      <c r="IH57" s="644"/>
      <c r="II57" s="644"/>
      <c r="IJ57" s="644"/>
      <c r="IK57" s="644"/>
      <c r="IL57" s="644"/>
      <c r="IM57" s="644"/>
      <c r="IN57" s="644"/>
      <c r="IO57" s="644"/>
      <c r="IP57" s="644"/>
      <c r="IQ57" s="644"/>
      <c r="IR57" s="644"/>
      <c r="IS57" s="644"/>
      <c r="IT57" s="644"/>
    </row>
    <row r="58" spans="1:254" s="674" customFormat="1" x14ac:dyDescent="0.2">
      <c r="W58" s="644"/>
      <c r="X58" s="644"/>
      <c r="Y58" s="644"/>
      <c r="Z58" s="644"/>
      <c r="AA58" s="644"/>
      <c r="AB58" s="644"/>
      <c r="AC58" s="644"/>
      <c r="AD58" s="644"/>
      <c r="AE58" s="644"/>
      <c r="AF58" s="644"/>
      <c r="AG58" s="644"/>
      <c r="AH58" s="644"/>
      <c r="AI58" s="644"/>
      <c r="AJ58" s="644"/>
      <c r="AK58" s="644"/>
      <c r="AL58" s="644"/>
      <c r="AM58" s="644"/>
      <c r="AN58" s="644"/>
      <c r="AO58" s="644"/>
      <c r="AP58" s="644"/>
      <c r="AQ58" s="644"/>
      <c r="AR58" s="644"/>
      <c r="AS58" s="644"/>
      <c r="AT58" s="644"/>
      <c r="AU58" s="644"/>
      <c r="AV58" s="644"/>
      <c r="AW58" s="644"/>
      <c r="AX58" s="644"/>
      <c r="AY58" s="644"/>
      <c r="AZ58" s="644"/>
      <c r="BA58" s="644"/>
      <c r="BB58" s="644"/>
      <c r="BC58" s="644"/>
      <c r="BD58" s="644"/>
      <c r="BE58" s="644"/>
      <c r="BF58" s="644"/>
      <c r="BG58" s="644"/>
      <c r="BH58" s="644"/>
      <c r="BI58" s="644"/>
      <c r="BJ58" s="644"/>
      <c r="BK58" s="644"/>
      <c r="BL58" s="644"/>
      <c r="BM58" s="644"/>
      <c r="BN58" s="644"/>
      <c r="BO58" s="644"/>
      <c r="BP58" s="644"/>
      <c r="BQ58" s="644"/>
      <c r="BR58" s="644"/>
      <c r="BS58" s="644"/>
      <c r="BT58" s="644"/>
      <c r="BU58" s="644"/>
      <c r="BV58" s="644"/>
      <c r="BW58" s="644"/>
      <c r="BX58" s="644"/>
      <c r="BY58" s="644"/>
      <c r="BZ58" s="644"/>
      <c r="CA58" s="644"/>
      <c r="CB58" s="644"/>
      <c r="CC58" s="644"/>
      <c r="CD58" s="644"/>
      <c r="CE58" s="644"/>
      <c r="CF58" s="644"/>
      <c r="CG58" s="644"/>
      <c r="CH58" s="644"/>
      <c r="CI58" s="644"/>
      <c r="CJ58" s="644"/>
      <c r="CK58" s="644"/>
      <c r="CL58" s="644"/>
      <c r="CM58" s="644"/>
      <c r="CN58" s="644"/>
      <c r="CO58" s="644"/>
      <c r="CP58" s="644"/>
      <c r="CQ58" s="644"/>
      <c r="CR58" s="644"/>
      <c r="CS58" s="644"/>
      <c r="CT58" s="644"/>
      <c r="CU58" s="644"/>
      <c r="CV58" s="644"/>
      <c r="CW58" s="644"/>
      <c r="CX58" s="644"/>
      <c r="CY58" s="644"/>
      <c r="CZ58" s="644"/>
      <c r="DA58" s="644"/>
      <c r="DB58" s="644"/>
      <c r="DC58" s="644"/>
      <c r="DD58" s="644"/>
      <c r="DE58" s="644"/>
      <c r="DF58" s="644"/>
      <c r="DG58" s="644"/>
      <c r="DH58" s="644"/>
      <c r="DI58" s="644"/>
      <c r="DJ58" s="644"/>
      <c r="DK58" s="644"/>
      <c r="DL58" s="644"/>
      <c r="DM58" s="644"/>
      <c r="DN58" s="644"/>
      <c r="DO58" s="644"/>
      <c r="DP58" s="644"/>
      <c r="DQ58" s="644"/>
      <c r="DR58" s="644"/>
      <c r="DS58" s="644"/>
      <c r="DT58" s="644"/>
      <c r="DU58" s="644"/>
      <c r="DV58" s="644"/>
      <c r="DW58" s="644"/>
      <c r="DX58" s="644"/>
      <c r="DY58" s="644"/>
      <c r="DZ58" s="644"/>
      <c r="EA58" s="644"/>
      <c r="EB58" s="644"/>
      <c r="EC58" s="644"/>
      <c r="ED58" s="644"/>
      <c r="EE58" s="644"/>
      <c r="EF58" s="644"/>
      <c r="EG58" s="644"/>
      <c r="EH58" s="644"/>
      <c r="EI58" s="644"/>
      <c r="EJ58" s="644"/>
      <c r="EK58" s="644"/>
      <c r="EL58" s="644"/>
      <c r="EM58" s="644"/>
      <c r="EN58" s="644"/>
      <c r="EO58" s="644"/>
      <c r="EP58" s="644"/>
      <c r="EQ58" s="644"/>
      <c r="ER58" s="644"/>
      <c r="ES58" s="644"/>
      <c r="ET58" s="644"/>
      <c r="EU58" s="644"/>
      <c r="EV58" s="644"/>
      <c r="EW58" s="644"/>
      <c r="EX58" s="644"/>
      <c r="EY58" s="644"/>
      <c r="EZ58" s="644"/>
      <c r="FA58" s="644"/>
      <c r="FB58" s="644"/>
      <c r="FC58" s="644"/>
      <c r="FD58" s="644"/>
      <c r="FE58" s="644"/>
      <c r="FF58" s="644"/>
      <c r="FG58" s="644"/>
      <c r="FH58" s="644"/>
      <c r="FI58" s="644"/>
      <c r="FJ58" s="644"/>
      <c r="FK58" s="644"/>
      <c r="FL58" s="644"/>
      <c r="FM58" s="644"/>
      <c r="FN58" s="644"/>
      <c r="FO58" s="644"/>
      <c r="FP58" s="644"/>
      <c r="FQ58" s="644"/>
      <c r="FR58" s="644"/>
      <c r="FS58" s="644"/>
      <c r="FT58" s="644"/>
      <c r="FU58" s="644"/>
      <c r="FV58" s="644"/>
      <c r="FW58" s="644"/>
      <c r="FX58" s="644"/>
      <c r="FY58" s="644"/>
      <c r="FZ58" s="644"/>
      <c r="GA58" s="644"/>
      <c r="GB58" s="644"/>
      <c r="GC58" s="644"/>
      <c r="GD58" s="644"/>
      <c r="GE58" s="644"/>
      <c r="GF58" s="644"/>
      <c r="GG58" s="644"/>
      <c r="GH58" s="644"/>
      <c r="GI58" s="644"/>
      <c r="GJ58" s="644"/>
      <c r="GK58" s="644"/>
      <c r="GL58" s="644"/>
      <c r="GM58" s="644"/>
      <c r="GN58" s="644"/>
      <c r="GO58" s="644"/>
      <c r="GP58" s="644"/>
      <c r="GQ58" s="644"/>
      <c r="GR58" s="644"/>
      <c r="GS58" s="644"/>
      <c r="GT58" s="644"/>
      <c r="GU58" s="644"/>
      <c r="GV58" s="644"/>
      <c r="GW58" s="644"/>
      <c r="GX58" s="644"/>
      <c r="GY58" s="644"/>
      <c r="GZ58" s="644"/>
      <c r="HA58" s="644"/>
      <c r="HB58" s="644"/>
      <c r="HC58" s="644"/>
      <c r="HD58" s="644"/>
      <c r="HE58" s="644"/>
      <c r="HF58" s="644"/>
      <c r="HG58" s="644"/>
      <c r="HH58" s="644"/>
      <c r="HI58" s="644"/>
      <c r="HJ58" s="644"/>
      <c r="HK58" s="644"/>
      <c r="HL58" s="644"/>
      <c r="HM58" s="644"/>
      <c r="HN58" s="644"/>
      <c r="HO58" s="644"/>
      <c r="HP58" s="644"/>
      <c r="HQ58" s="644"/>
      <c r="HR58" s="644"/>
      <c r="HS58" s="644"/>
      <c r="HT58" s="644"/>
      <c r="HU58" s="644"/>
      <c r="HV58" s="644"/>
      <c r="HW58" s="644"/>
      <c r="HX58" s="644"/>
      <c r="HY58" s="644"/>
      <c r="HZ58" s="644"/>
      <c r="IA58" s="644"/>
      <c r="IB58" s="644"/>
      <c r="IC58" s="644"/>
      <c r="ID58" s="644"/>
      <c r="IE58" s="644"/>
      <c r="IF58" s="644"/>
      <c r="IG58" s="644"/>
      <c r="IH58" s="644"/>
      <c r="II58" s="644"/>
      <c r="IJ58" s="644"/>
      <c r="IK58" s="644"/>
      <c r="IL58" s="644"/>
      <c r="IM58" s="644"/>
      <c r="IN58" s="644"/>
      <c r="IO58" s="644"/>
      <c r="IP58" s="644"/>
      <c r="IQ58" s="644"/>
      <c r="IR58" s="644"/>
      <c r="IS58" s="644"/>
      <c r="IT58" s="644"/>
    </row>
    <row r="59" spans="1:254" s="674" customFormat="1" x14ac:dyDescent="0.2">
      <c r="W59" s="644"/>
      <c r="X59" s="644"/>
      <c r="Y59" s="644"/>
      <c r="Z59" s="644"/>
      <c r="AA59" s="644"/>
      <c r="AB59" s="644"/>
      <c r="AC59" s="644"/>
      <c r="AD59" s="644"/>
      <c r="AE59" s="644"/>
      <c r="AF59" s="644"/>
      <c r="AG59" s="644"/>
      <c r="AH59" s="644"/>
      <c r="AI59" s="644"/>
      <c r="AJ59" s="644"/>
      <c r="AK59" s="644"/>
      <c r="AL59" s="644"/>
      <c r="AM59" s="644"/>
      <c r="AN59" s="644"/>
      <c r="AO59" s="644"/>
      <c r="AP59" s="644"/>
      <c r="AQ59" s="644"/>
      <c r="AR59" s="644"/>
      <c r="AS59" s="644"/>
      <c r="AT59" s="644"/>
      <c r="AU59" s="644"/>
      <c r="AV59" s="644"/>
      <c r="AW59" s="644"/>
      <c r="AX59" s="644"/>
      <c r="AY59" s="644"/>
      <c r="AZ59" s="644"/>
      <c r="BA59" s="644"/>
      <c r="BB59" s="644"/>
      <c r="BC59" s="644"/>
      <c r="BD59" s="644"/>
      <c r="BE59" s="644"/>
      <c r="BF59" s="644"/>
      <c r="BG59" s="644"/>
      <c r="BH59" s="644"/>
      <c r="BI59" s="644"/>
      <c r="BJ59" s="644"/>
      <c r="BK59" s="644"/>
      <c r="BL59" s="644"/>
      <c r="BM59" s="644"/>
      <c r="BN59" s="644"/>
      <c r="BO59" s="644"/>
      <c r="BP59" s="644"/>
      <c r="BQ59" s="644"/>
      <c r="BR59" s="644"/>
      <c r="BS59" s="644"/>
      <c r="BT59" s="644"/>
      <c r="BU59" s="644"/>
      <c r="BV59" s="644"/>
      <c r="BW59" s="644"/>
      <c r="BX59" s="644"/>
      <c r="BY59" s="644"/>
      <c r="BZ59" s="644"/>
      <c r="CA59" s="644"/>
      <c r="CB59" s="644"/>
      <c r="CC59" s="644"/>
      <c r="CD59" s="644"/>
      <c r="CE59" s="644"/>
      <c r="CF59" s="644"/>
      <c r="CG59" s="644"/>
      <c r="CH59" s="644"/>
      <c r="CI59" s="644"/>
      <c r="CJ59" s="644"/>
      <c r="CK59" s="644"/>
      <c r="CL59" s="644"/>
      <c r="CM59" s="644"/>
      <c r="CN59" s="644"/>
      <c r="CO59" s="644"/>
      <c r="CP59" s="644"/>
      <c r="CQ59" s="644"/>
      <c r="CR59" s="644"/>
      <c r="CS59" s="644"/>
      <c r="CT59" s="644"/>
      <c r="CU59" s="644"/>
      <c r="CV59" s="644"/>
      <c r="CW59" s="644"/>
      <c r="CX59" s="644"/>
      <c r="CY59" s="644"/>
      <c r="CZ59" s="644"/>
      <c r="DA59" s="644"/>
      <c r="DB59" s="644"/>
      <c r="DC59" s="644"/>
      <c r="DD59" s="644"/>
      <c r="DE59" s="644"/>
      <c r="DF59" s="644"/>
      <c r="DG59" s="644"/>
      <c r="DH59" s="644"/>
      <c r="DI59" s="644"/>
      <c r="DJ59" s="644"/>
      <c r="DK59" s="644"/>
      <c r="DL59" s="644"/>
      <c r="DM59" s="644"/>
      <c r="DN59" s="644"/>
      <c r="DO59" s="644"/>
      <c r="DP59" s="644"/>
      <c r="DQ59" s="644"/>
      <c r="DR59" s="644"/>
      <c r="DS59" s="644"/>
      <c r="DT59" s="644"/>
      <c r="DU59" s="644"/>
      <c r="DV59" s="644"/>
      <c r="DW59" s="644"/>
      <c r="DX59" s="644"/>
      <c r="DY59" s="644"/>
      <c r="DZ59" s="644"/>
      <c r="EA59" s="644"/>
      <c r="EB59" s="644"/>
      <c r="EC59" s="644"/>
      <c r="ED59" s="644"/>
      <c r="EE59" s="644"/>
      <c r="EF59" s="644"/>
      <c r="EG59" s="644"/>
      <c r="EH59" s="644"/>
      <c r="EI59" s="644"/>
      <c r="EJ59" s="644"/>
      <c r="EK59" s="644"/>
      <c r="EL59" s="644"/>
      <c r="EM59" s="644"/>
      <c r="EN59" s="644"/>
      <c r="EO59" s="644"/>
      <c r="EP59" s="644"/>
      <c r="EQ59" s="644"/>
      <c r="ER59" s="644"/>
      <c r="ES59" s="644"/>
      <c r="ET59" s="644"/>
      <c r="EU59" s="644"/>
      <c r="EV59" s="644"/>
      <c r="EW59" s="644"/>
      <c r="EX59" s="644"/>
      <c r="EY59" s="644"/>
      <c r="EZ59" s="644"/>
      <c r="FA59" s="644"/>
      <c r="FB59" s="644"/>
      <c r="FC59" s="644"/>
      <c r="FD59" s="644"/>
      <c r="FE59" s="644"/>
      <c r="FF59" s="644"/>
      <c r="FG59" s="644"/>
      <c r="FH59" s="644"/>
      <c r="FI59" s="644"/>
      <c r="FJ59" s="644"/>
      <c r="FK59" s="644"/>
      <c r="FL59" s="644"/>
      <c r="FM59" s="644"/>
      <c r="FN59" s="644"/>
      <c r="FO59" s="644"/>
      <c r="FP59" s="644"/>
      <c r="FQ59" s="644"/>
      <c r="FR59" s="644"/>
      <c r="FS59" s="644"/>
      <c r="FT59" s="644"/>
      <c r="FU59" s="644"/>
      <c r="FV59" s="644"/>
      <c r="FW59" s="644"/>
      <c r="FX59" s="644"/>
      <c r="FY59" s="644"/>
      <c r="FZ59" s="644"/>
      <c r="GA59" s="644"/>
      <c r="GB59" s="644"/>
      <c r="GC59" s="644"/>
      <c r="GD59" s="644"/>
      <c r="GE59" s="644"/>
      <c r="GF59" s="644"/>
      <c r="GG59" s="644"/>
      <c r="GH59" s="644"/>
      <c r="GI59" s="644"/>
      <c r="GJ59" s="644"/>
      <c r="GK59" s="644"/>
      <c r="GL59" s="644"/>
      <c r="GM59" s="644"/>
      <c r="GN59" s="644"/>
      <c r="GO59" s="644"/>
      <c r="GP59" s="644"/>
      <c r="GQ59" s="644"/>
      <c r="GR59" s="644"/>
      <c r="GS59" s="644"/>
      <c r="GT59" s="644"/>
      <c r="GU59" s="644"/>
      <c r="GV59" s="644"/>
      <c r="GW59" s="644"/>
      <c r="GX59" s="644"/>
      <c r="GY59" s="644"/>
      <c r="GZ59" s="644"/>
      <c r="HA59" s="644"/>
      <c r="HB59" s="644"/>
      <c r="HC59" s="644"/>
      <c r="HD59" s="644"/>
      <c r="HE59" s="644"/>
      <c r="HF59" s="644"/>
      <c r="HG59" s="644"/>
      <c r="HH59" s="644"/>
      <c r="HI59" s="644"/>
      <c r="HJ59" s="644"/>
      <c r="HK59" s="644"/>
      <c r="HL59" s="644"/>
      <c r="HM59" s="644"/>
      <c r="HN59" s="644"/>
      <c r="HO59" s="644"/>
      <c r="HP59" s="644"/>
      <c r="HQ59" s="644"/>
      <c r="HR59" s="644"/>
      <c r="HS59" s="644"/>
      <c r="HT59" s="644"/>
      <c r="HU59" s="644"/>
      <c r="HV59" s="644"/>
      <c r="HW59" s="644"/>
      <c r="HX59" s="644"/>
      <c r="HY59" s="644"/>
      <c r="HZ59" s="644"/>
      <c r="IA59" s="644"/>
      <c r="IB59" s="644"/>
      <c r="IC59" s="644"/>
      <c r="ID59" s="644"/>
      <c r="IE59" s="644"/>
      <c r="IF59" s="644"/>
      <c r="IG59" s="644"/>
      <c r="IH59" s="644"/>
      <c r="II59" s="644"/>
      <c r="IJ59" s="644"/>
      <c r="IK59" s="644"/>
      <c r="IL59" s="644"/>
      <c r="IM59" s="644"/>
      <c r="IN59" s="644"/>
      <c r="IO59" s="644"/>
      <c r="IP59" s="644"/>
      <c r="IQ59" s="644"/>
      <c r="IR59" s="644"/>
      <c r="IS59" s="644"/>
      <c r="IT59" s="644"/>
    </row>
    <row r="60" spans="1:254" s="674" customFormat="1" x14ac:dyDescent="0.2">
      <c r="W60" s="644"/>
      <c r="X60" s="644"/>
      <c r="Y60" s="644"/>
      <c r="Z60" s="644"/>
      <c r="AA60" s="644"/>
      <c r="AB60" s="644"/>
      <c r="AC60" s="644"/>
      <c r="AD60" s="644"/>
      <c r="AE60" s="644"/>
      <c r="AF60" s="644"/>
      <c r="AG60" s="644"/>
      <c r="AH60" s="644"/>
      <c r="AI60" s="644"/>
      <c r="AJ60" s="644"/>
      <c r="AK60" s="644"/>
      <c r="AL60" s="644"/>
      <c r="AM60" s="644"/>
      <c r="AN60" s="644"/>
      <c r="AO60" s="644"/>
      <c r="AP60" s="644"/>
      <c r="AQ60" s="644"/>
      <c r="AR60" s="644"/>
      <c r="AS60" s="644"/>
      <c r="AT60" s="644"/>
      <c r="AU60" s="644"/>
      <c r="AV60" s="644"/>
      <c r="AW60" s="644"/>
      <c r="AX60" s="644"/>
      <c r="AY60" s="644"/>
      <c r="AZ60" s="644"/>
      <c r="BA60" s="644"/>
      <c r="BB60" s="644"/>
      <c r="BC60" s="644"/>
      <c r="BD60" s="644"/>
      <c r="BE60" s="644"/>
      <c r="BF60" s="644"/>
      <c r="BG60" s="644"/>
      <c r="BH60" s="644"/>
      <c r="BI60" s="644"/>
      <c r="BJ60" s="644"/>
      <c r="BK60" s="644"/>
      <c r="BL60" s="644"/>
      <c r="BM60" s="644"/>
      <c r="BN60" s="644"/>
      <c r="BO60" s="644"/>
      <c r="BP60" s="644"/>
      <c r="BQ60" s="644"/>
      <c r="BR60" s="644"/>
      <c r="BS60" s="644"/>
      <c r="BT60" s="644"/>
      <c r="BU60" s="644"/>
      <c r="BV60" s="644"/>
      <c r="BW60" s="644"/>
      <c r="BX60" s="644"/>
      <c r="BY60" s="644"/>
      <c r="BZ60" s="644"/>
      <c r="CA60" s="644"/>
      <c r="CB60" s="644"/>
      <c r="CC60" s="644"/>
      <c r="CD60" s="644"/>
      <c r="CE60" s="644"/>
      <c r="CF60" s="644"/>
      <c r="CG60" s="644"/>
      <c r="CH60" s="644"/>
      <c r="CI60" s="644"/>
      <c r="CJ60" s="644"/>
      <c r="CK60" s="644"/>
      <c r="CL60" s="644"/>
      <c r="CM60" s="644"/>
      <c r="CN60" s="644"/>
      <c r="CO60" s="644"/>
      <c r="CP60" s="644"/>
      <c r="CQ60" s="644"/>
      <c r="CR60" s="644"/>
      <c r="CS60" s="644"/>
      <c r="CT60" s="644"/>
      <c r="CU60" s="644"/>
      <c r="CV60" s="644"/>
      <c r="CW60" s="644"/>
      <c r="CX60" s="644"/>
      <c r="CY60" s="644"/>
      <c r="CZ60" s="644"/>
      <c r="DA60" s="644"/>
      <c r="DB60" s="644"/>
      <c r="DC60" s="644"/>
      <c r="DD60" s="644"/>
      <c r="DE60" s="644"/>
      <c r="DF60" s="644"/>
      <c r="DG60" s="644"/>
      <c r="DH60" s="644"/>
      <c r="DI60" s="644"/>
      <c r="DJ60" s="644"/>
      <c r="DK60" s="644"/>
      <c r="DL60" s="644"/>
      <c r="DM60" s="644"/>
      <c r="DN60" s="644"/>
      <c r="DO60" s="644"/>
      <c r="DP60" s="644"/>
      <c r="DQ60" s="644"/>
      <c r="DR60" s="644"/>
      <c r="DS60" s="644"/>
      <c r="DT60" s="644"/>
      <c r="DU60" s="644"/>
      <c r="DV60" s="644"/>
      <c r="DW60" s="644"/>
      <c r="DX60" s="644"/>
      <c r="DY60" s="644"/>
      <c r="DZ60" s="644"/>
      <c r="EA60" s="644"/>
      <c r="EB60" s="644"/>
      <c r="EC60" s="644"/>
      <c r="ED60" s="644"/>
      <c r="EE60" s="644"/>
      <c r="EF60" s="644"/>
      <c r="EG60" s="644"/>
      <c r="EH60" s="644"/>
      <c r="EI60" s="644"/>
      <c r="EJ60" s="644"/>
      <c r="EK60" s="644"/>
      <c r="EL60" s="644"/>
      <c r="EM60" s="644"/>
      <c r="EN60" s="644"/>
      <c r="EO60" s="644"/>
      <c r="EP60" s="644"/>
      <c r="EQ60" s="644"/>
      <c r="ER60" s="644"/>
      <c r="ES60" s="644"/>
      <c r="ET60" s="644"/>
      <c r="EU60" s="644"/>
      <c r="EV60" s="644"/>
      <c r="EW60" s="644"/>
      <c r="EX60" s="644"/>
      <c r="EY60" s="644"/>
      <c r="EZ60" s="644"/>
      <c r="FA60" s="644"/>
      <c r="FB60" s="644"/>
      <c r="FC60" s="644"/>
      <c r="FD60" s="644"/>
      <c r="FE60" s="644"/>
      <c r="FF60" s="644"/>
      <c r="FG60" s="644"/>
      <c r="FH60" s="644"/>
      <c r="FI60" s="644"/>
      <c r="FJ60" s="644"/>
      <c r="FK60" s="644"/>
      <c r="FL60" s="644"/>
      <c r="FM60" s="644"/>
      <c r="FN60" s="644"/>
      <c r="FO60" s="644"/>
      <c r="FP60" s="644"/>
      <c r="FQ60" s="644"/>
      <c r="FR60" s="644"/>
      <c r="FS60" s="644"/>
      <c r="FT60" s="644"/>
      <c r="FU60" s="644"/>
      <c r="FV60" s="644"/>
      <c r="FW60" s="644"/>
      <c r="FX60" s="644"/>
      <c r="FY60" s="644"/>
      <c r="FZ60" s="644"/>
      <c r="GA60" s="644"/>
      <c r="GB60" s="644"/>
      <c r="GC60" s="644"/>
      <c r="GD60" s="644"/>
      <c r="GE60" s="644"/>
      <c r="GF60" s="644"/>
      <c r="GG60" s="644"/>
      <c r="GH60" s="644"/>
      <c r="GI60" s="644"/>
      <c r="GJ60" s="644"/>
      <c r="GK60" s="644"/>
      <c r="GL60" s="644"/>
      <c r="GM60" s="644"/>
      <c r="GN60" s="644"/>
      <c r="GO60" s="644"/>
      <c r="GP60" s="644"/>
      <c r="GQ60" s="644"/>
      <c r="GR60" s="644"/>
      <c r="GS60" s="644"/>
      <c r="GT60" s="644"/>
      <c r="GU60" s="644"/>
      <c r="GV60" s="644"/>
      <c r="GW60" s="644"/>
      <c r="GX60" s="644"/>
      <c r="GY60" s="644"/>
      <c r="GZ60" s="644"/>
      <c r="HA60" s="644"/>
      <c r="HB60" s="644"/>
      <c r="HC60" s="644"/>
      <c r="HD60" s="644"/>
      <c r="HE60" s="644"/>
      <c r="HF60" s="644"/>
      <c r="HG60" s="644"/>
      <c r="HH60" s="644"/>
      <c r="HI60" s="644"/>
      <c r="HJ60" s="644"/>
      <c r="HK60" s="644"/>
      <c r="HL60" s="644"/>
      <c r="HM60" s="644"/>
      <c r="HN60" s="644"/>
      <c r="HO60" s="644"/>
      <c r="HP60" s="644"/>
      <c r="HQ60" s="644"/>
      <c r="HR60" s="644"/>
      <c r="HS60" s="644"/>
      <c r="HT60" s="644"/>
      <c r="HU60" s="644"/>
      <c r="HV60" s="644"/>
      <c r="HW60" s="644"/>
      <c r="HX60" s="644"/>
      <c r="HY60" s="644"/>
      <c r="HZ60" s="644"/>
      <c r="IA60" s="644"/>
      <c r="IB60" s="644"/>
      <c r="IC60" s="644"/>
      <c r="ID60" s="644"/>
      <c r="IE60" s="644"/>
      <c r="IF60" s="644"/>
      <c r="IG60" s="644"/>
      <c r="IH60" s="644"/>
      <c r="II60" s="644"/>
      <c r="IJ60" s="644"/>
      <c r="IK60" s="644"/>
      <c r="IL60" s="644"/>
      <c r="IM60" s="644"/>
      <c r="IN60" s="644"/>
      <c r="IO60" s="644"/>
      <c r="IP60" s="644"/>
      <c r="IQ60" s="644"/>
      <c r="IR60" s="644"/>
      <c r="IS60" s="644"/>
      <c r="IT60" s="644"/>
    </row>
    <row r="61" spans="1:254" s="674" customFormat="1" x14ac:dyDescent="0.2">
      <c r="W61" s="644"/>
      <c r="X61" s="644"/>
      <c r="Y61" s="644"/>
      <c r="Z61" s="644"/>
      <c r="AA61" s="644"/>
      <c r="AB61" s="644"/>
      <c r="AC61" s="644"/>
      <c r="AD61" s="644"/>
      <c r="AE61" s="644"/>
      <c r="AF61" s="644"/>
      <c r="AG61" s="644"/>
      <c r="AH61" s="644"/>
      <c r="AI61" s="644"/>
      <c r="AJ61" s="644"/>
      <c r="AK61" s="644"/>
      <c r="AL61" s="644"/>
      <c r="AM61" s="644"/>
      <c r="AN61" s="644"/>
      <c r="AO61" s="644"/>
      <c r="AP61" s="644"/>
      <c r="AQ61" s="644"/>
      <c r="AR61" s="644"/>
      <c r="AS61" s="644"/>
      <c r="AT61" s="644"/>
      <c r="AU61" s="644"/>
      <c r="AV61" s="644"/>
      <c r="AW61" s="644"/>
      <c r="AX61" s="644"/>
      <c r="AY61" s="644"/>
      <c r="AZ61" s="644"/>
      <c r="BA61" s="644"/>
      <c r="BB61" s="644"/>
      <c r="BC61" s="644"/>
      <c r="BD61" s="644"/>
      <c r="BE61" s="644"/>
      <c r="BF61" s="644"/>
      <c r="BG61" s="644"/>
      <c r="BH61" s="644"/>
      <c r="BI61" s="644"/>
      <c r="BJ61" s="644"/>
      <c r="BK61" s="644"/>
      <c r="BL61" s="644"/>
      <c r="BM61" s="644"/>
      <c r="BN61" s="644"/>
      <c r="BO61" s="644"/>
      <c r="BP61" s="644"/>
      <c r="BQ61" s="644"/>
      <c r="BR61" s="644"/>
      <c r="BS61" s="644"/>
      <c r="BT61" s="644"/>
      <c r="BU61" s="644"/>
      <c r="BV61" s="644"/>
      <c r="BW61" s="644"/>
      <c r="BX61" s="644"/>
      <c r="BY61" s="644"/>
      <c r="BZ61" s="644"/>
      <c r="CA61" s="644"/>
      <c r="CB61" s="644"/>
      <c r="CC61" s="644"/>
      <c r="CD61" s="644"/>
      <c r="CE61" s="644"/>
      <c r="CF61" s="644"/>
      <c r="CG61" s="644"/>
      <c r="CH61" s="644"/>
      <c r="CI61" s="644"/>
      <c r="CJ61" s="644"/>
      <c r="CK61" s="644"/>
      <c r="CL61" s="644"/>
      <c r="CM61" s="644"/>
      <c r="CN61" s="644"/>
      <c r="CO61" s="644"/>
      <c r="CP61" s="644"/>
      <c r="CQ61" s="644"/>
      <c r="CR61" s="644"/>
      <c r="CS61" s="644"/>
      <c r="CT61" s="644"/>
      <c r="CU61" s="644"/>
      <c r="CV61" s="644"/>
      <c r="CW61" s="644"/>
      <c r="CX61" s="644"/>
      <c r="CY61" s="644"/>
      <c r="CZ61" s="644"/>
      <c r="DA61" s="644"/>
      <c r="DB61" s="644"/>
      <c r="DC61" s="644"/>
      <c r="DD61" s="644"/>
      <c r="DE61" s="644"/>
      <c r="DF61" s="644"/>
      <c r="DG61" s="644"/>
      <c r="DH61" s="644"/>
      <c r="DI61" s="644"/>
      <c r="DJ61" s="644"/>
      <c r="DK61" s="644"/>
      <c r="DL61" s="644"/>
      <c r="DM61" s="644"/>
      <c r="DN61" s="644"/>
      <c r="DO61" s="644"/>
      <c r="DP61" s="644"/>
      <c r="DQ61" s="644"/>
      <c r="DR61" s="644"/>
      <c r="DS61" s="644"/>
      <c r="DT61" s="644"/>
      <c r="DU61" s="644"/>
      <c r="DV61" s="644"/>
      <c r="DW61" s="644"/>
      <c r="DX61" s="644"/>
      <c r="DY61" s="644"/>
      <c r="DZ61" s="644"/>
      <c r="EA61" s="644"/>
      <c r="EB61" s="644"/>
      <c r="EC61" s="644"/>
      <c r="ED61" s="644"/>
      <c r="EE61" s="644"/>
      <c r="EF61" s="644"/>
      <c r="EG61" s="644"/>
      <c r="EH61" s="644"/>
      <c r="EI61" s="644"/>
      <c r="EJ61" s="644"/>
      <c r="EK61" s="644"/>
      <c r="EL61" s="644"/>
      <c r="EM61" s="644"/>
      <c r="EN61" s="644"/>
      <c r="EO61" s="644"/>
      <c r="EP61" s="644"/>
      <c r="EQ61" s="644"/>
      <c r="ER61" s="644"/>
      <c r="ES61" s="644"/>
      <c r="ET61" s="644"/>
      <c r="EU61" s="644"/>
      <c r="EV61" s="644"/>
      <c r="EW61" s="644"/>
      <c r="EX61" s="644"/>
      <c r="EY61" s="644"/>
      <c r="EZ61" s="644"/>
      <c r="FA61" s="644"/>
      <c r="FB61" s="644"/>
      <c r="FC61" s="644"/>
      <c r="FD61" s="644"/>
      <c r="FE61" s="644"/>
      <c r="FF61" s="644"/>
      <c r="FG61" s="644"/>
      <c r="FH61" s="644"/>
      <c r="FI61" s="644"/>
      <c r="FJ61" s="644"/>
      <c r="FK61" s="644"/>
      <c r="FL61" s="644"/>
      <c r="FM61" s="644"/>
      <c r="FN61" s="644"/>
      <c r="FO61" s="644"/>
      <c r="FP61" s="644"/>
      <c r="FQ61" s="644"/>
      <c r="FR61" s="644"/>
      <c r="FS61" s="644"/>
      <c r="FT61" s="644"/>
      <c r="FU61" s="644"/>
      <c r="FV61" s="644"/>
      <c r="FW61" s="644"/>
      <c r="FX61" s="644"/>
      <c r="FY61" s="644"/>
      <c r="FZ61" s="644"/>
      <c r="GA61" s="644"/>
      <c r="GB61" s="644"/>
      <c r="GC61" s="644"/>
      <c r="GD61" s="644"/>
      <c r="GE61" s="644"/>
      <c r="GF61" s="644"/>
      <c r="GG61" s="644"/>
      <c r="GH61" s="644"/>
      <c r="GI61" s="644"/>
      <c r="GJ61" s="644"/>
      <c r="GK61" s="644"/>
      <c r="GL61" s="644"/>
      <c r="GM61" s="644"/>
      <c r="GN61" s="644"/>
      <c r="GO61" s="644"/>
      <c r="GP61" s="644"/>
      <c r="GQ61" s="644"/>
      <c r="GR61" s="644"/>
      <c r="GS61" s="644"/>
      <c r="GT61" s="644"/>
      <c r="GU61" s="644"/>
      <c r="GV61" s="644"/>
      <c r="GW61" s="644"/>
      <c r="GX61" s="644"/>
      <c r="GY61" s="644"/>
      <c r="GZ61" s="644"/>
      <c r="HA61" s="644"/>
      <c r="HB61" s="644"/>
      <c r="HC61" s="644"/>
      <c r="HD61" s="644"/>
      <c r="HE61" s="644"/>
      <c r="HF61" s="644"/>
      <c r="HG61" s="644"/>
      <c r="HH61" s="644"/>
      <c r="HI61" s="644"/>
      <c r="HJ61" s="644"/>
      <c r="HK61" s="644"/>
      <c r="HL61" s="644"/>
      <c r="HM61" s="644"/>
      <c r="HN61" s="644"/>
      <c r="HO61" s="644"/>
      <c r="HP61" s="644"/>
      <c r="HQ61" s="644"/>
      <c r="HR61" s="644"/>
      <c r="HS61" s="644"/>
      <c r="HT61" s="644"/>
      <c r="HU61" s="644"/>
      <c r="HV61" s="644"/>
      <c r="HW61" s="644"/>
      <c r="HX61" s="644"/>
      <c r="HY61" s="644"/>
      <c r="HZ61" s="644"/>
      <c r="IA61" s="644"/>
      <c r="IB61" s="644"/>
      <c r="IC61" s="644"/>
      <c r="ID61" s="644"/>
      <c r="IE61" s="644"/>
      <c r="IF61" s="644"/>
      <c r="IG61" s="644"/>
      <c r="IH61" s="644"/>
      <c r="II61" s="644"/>
      <c r="IJ61" s="644"/>
      <c r="IK61" s="644"/>
      <c r="IL61" s="644"/>
      <c r="IM61" s="644"/>
      <c r="IN61" s="644"/>
      <c r="IO61" s="644"/>
      <c r="IP61" s="644"/>
      <c r="IQ61" s="644"/>
      <c r="IR61" s="644"/>
      <c r="IS61" s="644"/>
      <c r="IT61" s="644"/>
    </row>
    <row r="62" spans="1:254" s="674" customFormat="1" x14ac:dyDescent="0.2">
      <c r="W62" s="644"/>
      <c r="X62" s="644"/>
      <c r="Y62" s="644"/>
      <c r="Z62" s="644"/>
      <c r="AA62" s="644"/>
      <c r="AB62" s="644"/>
      <c r="AC62" s="644"/>
      <c r="AD62" s="644"/>
      <c r="AE62" s="644"/>
      <c r="AF62" s="644"/>
      <c r="AG62" s="644"/>
      <c r="AH62" s="644"/>
      <c r="AI62" s="644"/>
      <c r="AJ62" s="644"/>
      <c r="AK62" s="644"/>
      <c r="AL62" s="644"/>
      <c r="AM62" s="644"/>
      <c r="AN62" s="644"/>
      <c r="AO62" s="644"/>
      <c r="AP62" s="644"/>
      <c r="AQ62" s="644"/>
      <c r="AR62" s="644"/>
      <c r="AS62" s="644"/>
      <c r="AT62" s="644"/>
      <c r="AU62" s="644"/>
      <c r="AV62" s="644"/>
      <c r="AW62" s="644"/>
      <c r="AX62" s="644"/>
      <c r="AY62" s="644"/>
      <c r="AZ62" s="644"/>
      <c r="BA62" s="644"/>
      <c r="BB62" s="644"/>
      <c r="BC62" s="644"/>
      <c r="BD62" s="644"/>
      <c r="BE62" s="644"/>
      <c r="BF62" s="644"/>
      <c r="BG62" s="644"/>
      <c r="BH62" s="644"/>
      <c r="BI62" s="644"/>
      <c r="BJ62" s="644"/>
      <c r="BK62" s="644"/>
      <c r="BL62" s="644"/>
      <c r="BM62" s="644"/>
      <c r="BN62" s="644"/>
      <c r="BO62" s="644"/>
      <c r="BP62" s="644"/>
      <c r="BQ62" s="644"/>
      <c r="BR62" s="644"/>
      <c r="BS62" s="644"/>
      <c r="BT62" s="644"/>
      <c r="BU62" s="644"/>
      <c r="BV62" s="644"/>
      <c r="BW62" s="644"/>
      <c r="BX62" s="644"/>
      <c r="BY62" s="644"/>
      <c r="BZ62" s="644"/>
      <c r="CA62" s="644"/>
      <c r="CB62" s="644"/>
      <c r="CC62" s="644"/>
      <c r="CD62" s="644"/>
      <c r="CE62" s="644"/>
      <c r="CF62" s="644"/>
      <c r="CG62" s="644"/>
      <c r="CH62" s="644"/>
      <c r="CI62" s="644"/>
      <c r="CJ62" s="644"/>
      <c r="CK62" s="644"/>
      <c r="CL62" s="644"/>
      <c r="CM62" s="644"/>
      <c r="CN62" s="644"/>
      <c r="CO62" s="644"/>
      <c r="CP62" s="644"/>
      <c r="CQ62" s="644"/>
      <c r="CR62" s="644"/>
      <c r="CS62" s="644"/>
      <c r="CT62" s="644"/>
      <c r="CU62" s="644"/>
      <c r="CV62" s="644"/>
      <c r="CW62" s="644"/>
      <c r="CX62" s="644"/>
      <c r="CY62" s="644"/>
      <c r="CZ62" s="644"/>
      <c r="DA62" s="644"/>
      <c r="DB62" s="644"/>
      <c r="DC62" s="644"/>
      <c r="DD62" s="644"/>
      <c r="DE62" s="644"/>
      <c r="DF62" s="644"/>
      <c r="DG62" s="644"/>
      <c r="DH62" s="644"/>
      <c r="DI62" s="644"/>
      <c r="DJ62" s="644"/>
      <c r="DK62" s="644"/>
      <c r="DL62" s="644"/>
      <c r="DM62" s="644"/>
      <c r="DN62" s="644"/>
      <c r="DO62" s="644"/>
      <c r="DP62" s="644"/>
      <c r="DQ62" s="644"/>
      <c r="DR62" s="644"/>
      <c r="DS62" s="644"/>
      <c r="DT62" s="644"/>
      <c r="DU62" s="644"/>
      <c r="DV62" s="644"/>
      <c r="DW62" s="644"/>
      <c r="DX62" s="644"/>
      <c r="DY62" s="644"/>
      <c r="DZ62" s="644"/>
      <c r="EA62" s="644"/>
      <c r="EB62" s="644"/>
      <c r="EC62" s="644"/>
      <c r="ED62" s="644"/>
      <c r="EE62" s="644"/>
      <c r="EF62" s="644"/>
      <c r="EG62" s="644"/>
      <c r="EH62" s="644"/>
      <c r="EI62" s="644"/>
      <c r="EJ62" s="644"/>
      <c r="EK62" s="644"/>
      <c r="EL62" s="644"/>
      <c r="EM62" s="644"/>
      <c r="EN62" s="644"/>
      <c r="EO62" s="644"/>
      <c r="EP62" s="644"/>
      <c r="EQ62" s="644"/>
      <c r="ER62" s="644"/>
      <c r="ES62" s="644"/>
      <c r="ET62" s="644"/>
      <c r="EU62" s="644"/>
      <c r="EV62" s="644"/>
      <c r="EW62" s="644"/>
      <c r="EX62" s="644"/>
      <c r="EY62" s="644"/>
      <c r="EZ62" s="644"/>
      <c r="FA62" s="644"/>
      <c r="FB62" s="644"/>
      <c r="FC62" s="644"/>
      <c r="FD62" s="644"/>
      <c r="FE62" s="644"/>
      <c r="FF62" s="644"/>
      <c r="FG62" s="644"/>
      <c r="FH62" s="644"/>
      <c r="FI62" s="644"/>
      <c r="FJ62" s="644"/>
      <c r="FK62" s="644"/>
      <c r="FL62" s="644"/>
      <c r="FM62" s="644"/>
      <c r="FN62" s="644"/>
      <c r="FO62" s="644"/>
      <c r="FP62" s="644"/>
      <c r="FQ62" s="644"/>
      <c r="FR62" s="644"/>
      <c r="FS62" s="644"/>
      <c r="FT62" s="644"/>
      <c r="FU62" s="644"/>
      <c r="FV62" s="644"/>
      <c r="FW62" s="644"/>
      <c r="FX62" s="644"/>
      <c r="FY62" s="644"/>
      <c r="FZ62" s="644"/>
      <c r="GA62" s="644"/>
      <c r="GB62" s="644"/>
      <c r="GC62" s="644"/>
      <c r="GD62" s="644"/>
      <c r="GE62" s="644"/>
      <c r="GF62" s="644"/>
      <c r="GG62" s="644"/>
      <c r="GH62" s="644"/>
      <c r="GI62" s="644"/>
      <c r="GJ62" s="644"/>
      <c r="GK62" s="644"/>
      <c r="GL62" s="644"/>
      <c r="GM62" s="644"/>
      <c r="GN62" s="644"/>
      <c r="GO62" s="644"/>
      <c r="GP62" s="644"/>
      <c r="GQ62" s="644"/>
      <c r="GR62" s="644"/>
      <c r="GS62" s="644"/>
      <c r="GT62" s="644"/>
      <c r="GU62" s="644"/>
      <c r="GV62" s="644"/>
      <c r="GW62" s="644"/>
      <c r="GX62" s="644"/>
      <c r="GY62" s="644"/>
      <c r="GZ62" s="644"/>
      <c r="HA62" s="644"/>
      <c r="HB62" s="644"/>
      <c r="HC62" s="644"/>
      <c r="HD62" s="644"/>
      <c r="HE62" s="644"/>
      <c r="HF62" s="644"/>
      <c r="HG62" s="644"/>
      <c r="HH62" s="644"/>
      <c r="HI62" s="644"/>
      <c r="HJ62" s="644"/>
      <c r="HK62" s="644"/>
      <c r="HL62" s="644"/>
      <c r="HM62" s="644"/>
      <c r="HN62" s="644"/>
      <c r="HO62" s="644"/>
      <c r="HP62" s="644"/>
      <c r="HQ62" s="644"/>
      <c r="HR62" s="644"/>
      <c r="HS62" s="644"/>
      <c r="HT62" s="644"/>
      <c r="HU62" s="644"/>
      <c r="HV62" s="644"/>
      <c r="HW62" s="644"/>
      <c r="HX62" s="644"/>
      <c r="HY62" s="644"/>
      <c r="HZ62" s="644"/>
      <c r="IA62" s="644"/>
      <c r="IB62" s="644"/>
      <c r="IC62" s="644"/>
      <c r="ID62" s="644"/>
      <c r="IE62" s="644"/>
      <c r="IF62" s="644"/>
      <c r="IG62" s="644"/>
      <c r="IH62" s="644"/>
      <c r="II62" s="644"/>
      <c r="IJ62" s="644"/>
      <c r="IK62" s="644"/>
      <c r="IL62" s="644"/>
      <c r="IM62" s="644"/>
      <c r="IN62" s="644"/>
      <c r="IO62" s="644"/>
      <c r="IP62" s="644"/>
      <c r="IQ62" s="644"/>
      <c r="IR62" s="644"/>
      <c r="IS62" s="644"/>
      <c r="IT62" s="644"/>
    </row>
    <row r="63" spans="1:254" s="674" customFormat="1" x14ac:dyDescent="0.2">
      <c r="W63" s="644"/>
      <c r="X63" s="644"/>
      <c r="Y63" s="644"/>
      <c r="Z63" s="644"/>
      <c r="AA63" s="644"/>
      <c r="AB63" s="644"/>
      <c r="AC63" s="644"/>
      <c r="AD63" s="644"/>
      <c r="AE63" s="644"/>
      <c r="AF63" s="644"/>
      <c r="AG63" s="644"/>
      <c r="AH63" s="644"/>
      <c r="AI63" s="644"/>
      <c r="AJ63" s="644"/>
      <c r="AK63" s="644"/>
      <c r="AL63" s="644"/>
      <c r="AM63" s="644"/>
      <c r="AN63" s="644"/>
      <c r="AO63" s="644"/>
      <c r="AP63" s="644"/>
      <c r="AQ63" s="644"/>
      <c r="AR63" s="644"/>
      <c r="AS63" s="644"/>
      <c r="AT63" s="644"/>
      <c r="AU63" s="644"/>
      <c r="AV63" s="644"/>
      <c r="AW63" s="644"/>
      <c r="AX63" s="644"/>
      <c r="AY63" s="644"/>
      <c r="AZ63" s="644"/>
      <c r="BA63" s="644"/>
      <c r="BB63" s="644"/>
      <c r="BC63" s="644"/>
      <c r="BD63" s="644"/>
      <c r="BE63" s="644"/>
      <c r="BF63" s="644"/>
      <c r="BG63" s="644"/>
      <c r="BH63" s="644"/>
      <c r="BI63" s="644"/>
      <c r="BJ63" s="644"/>
      <c r="BK63" s="644"/>
      <c r="BL63" s="644"/>
      <c r="BM63" s="644"/>
      <c r="BN63" s="644"/>
      <c r="BO63" s="644"/>
      <c r="BP63" s="644"/>
      <c r="BQ63" s="644"/>
      <c r="BR63" s="644"/>
      <c r="BS63" s="644"/>
      <c r="BT63" s="644"/>
      <c r="BU63" s="644"/>
      <c r="BV63" s="644"/>
      <c r="BW63" s="644"/>
      <c r="BX63" s="644"/>
      <c r="BY63" s="644"/>
      <c r="BZ63" s="644"/>
      <c r="CA63" s="644"/>
      <c r="CB63" s="644"/>
      <c r="CC63" s="644"/>
      <c r="CD63" s="644"/>
      <c r="CE63" s="644"/>
      <c r="CF63" s="644"/>
      <c r="CG63" s="644"/>
      <c r="CH63" s="644"/>
      <c r="CI63" s="644"/>
      <c r="CJ63" s="644"/>
      <c r="CK63" s="644"/>
      <c r="CL63" s="644"/>
      <c r="CM63" s="644"/>
      <c r="CN63" s="644"/>
      <c r="CO63" s="644"/>
      <c r="CP63" s="644"/>
      <c r="CQ63" s="644"/>
      <c r="CR63" s="644"/>
      <c r="CS63" s="644"/>
      <c r="CT63" s="644"/>
      <c r="CU63" s="644"/>
      <c r="CV63" s="644"/>
      <c r="CW63" s="644"/>
      <c r="CX63" s="644"/>
      <c r="CY63" s="644"/>
      <c r="CZ63" s="644"/>
      <c r="DA63" s="644"/>
      <c r="DB63" s="644"/>
      <c r="DC63" s="644"/>
      <c r="DD63" s="644"/>
      <c r="DE63" s="644"/>
      <c r="DF63" s="644"/>
      <c r="DG63" s="644"/>
      <c r="DH63" s="644"/>
      <c r="DI63" s="644"/>
      <c r="DJ63" s="644"/>
      <c r="DK63" s="644"/>
      <c r="DL63" s="644"/>
      <c r="DM63" s="644"/>
      <c r="DN63" s="644"/>
      <c r="DO63" s="644"/>
      <c r="DP63" s="644"/>
      <c r="DQ63" s="644"/>
      <c r="DR63" s="644"/>
      <c r="DS63" s="644"/>
      <c r="DT63" s="644"/>
      <c r="DU63" s="644"/>
      <c r="DV63" s="644"/>
      <c r="DW63" s="644"/>
      <c r="DX63" s="644"/>
      <c r="DY63" s="644"/>
      <c r="DZ63" s="644"/>
      <c r="EA63" s="644"/>
      <c r="EB63" s="644"/>
      <c r="EC63" s="644"/>
      <c r="ED63" s="644"/>
      <c r="EE63" s="644"/>
      <c r="EF63" s="644"/>
      <c r="EG63" s="644"/>
      <c r="EH63" s="644"/>
      <c r="EI63" s="644"/>
      <c r="EJ63" s="644"/>
      <c r="EK63" s="644"/>
      <c r="EL63" s="644"/>
      <c r="EM63" s="644"/>
      <c r="EN63" s="644"/>
      <c r="EO63" s="644"/>
      <c r="EP63" s="644"/>
      <c r="EQ63" s="644"/>
      <c r="ER63" s="644"/>
      <c r="ES63" s="644"/>
      <c r="ET63" s="644"/>
      <c r="EU63" s="644"/>
      <c r="EV63" s="644"/>
      <c r="EW63" s="644"/>
      <c r="EX63" s="644"/>
      <c r="EY63" s="644"/>
      <c r="EZ63" s="644"/>
      <c r="FA63" s="644"/>
      <c r="FB63" s="644"/>
      <c r="FC63" s="644"/>
      <c r="FD63" s="644"/>
      <c r="FE63" s="644"/>
      <c r="FF63" s="644"/>
      <c r="FG63" s="644"/>
      <c r="FH63" s="644"/>
      <c r="FI63" s="644"/>
      <c r="FJ63" s="644"/>
      <c r="FK63" s="644"/>
      <c r="FL63" s="644"/>
      <c r="FM63" s="644"/>
      <c r="FN63" s="644"/>
      <c r="FO63" s="644"/>
      <c r="FP63" s="644"/>
      <c r="FQ63" s="644"/>
      <c r="FR63" s="644"/>
      <c r="FS63" s="644"/>
      <c r="FT63" s="644"/>
      <c r="FU63" s="644"/>
      <c r="FV63" s="644"/>
      <c r="FW63" s="644"/>
      <c r="FX63" s="644"/>
      <c r="FY63" s="644"/>
      <c r="FZ63" s="644"/>
      <c r="GA63" s="644"/>
      <c r="GB63" s="644"/>
      <c r="GC63" s="644"/>
      <c r="GD63" s="644"/>
      <c r="GE63" s="644"/>
      <c r="GF63" s="644"/>
      <c r="GG63" s="644"/>
      <c r="GH63" s="644"/>
      <c r="GI63" s="644"/>
      <c r="GJ63" s="644"/>
      <c r="GK63" s="644"/>
      <c r="GL63" s="644"/>
      <c r="GM63" s="644"/>
      <c r="GN63" s="644"/>
      <c r="GO63" s="644"/>
      <c r="GP63" s="644"/>
      <c r="GQ63" s="644"/>
      <c r="GR63" s="644"/>
      <c r="GS63" s="644"/>
      <c r="GT63" s="644"/>
      <c r="GU63" s="644"/>
      <c r="GV63" s="644"/>
      <c r="GW63" s="644"/>
      <c r="GX63" s="644"/>
      <c r="GY63" s="644"/>
      <c r="GZ63" s="644"/>
      <c r="HA63" s="644"/>
      <c r="HB63" s="644"/>
      <c r="HC63" s="644"/>
      <c r="HD63" s="644"/>
      <c r="HE63" s="644"/>
      <c r="HF63" s="644"/>
      <c r="HG63" s="644"/>
      <c r="HH63" s="644"/>
      <c r="HI63" s="644"/>
      <c r="HJ63" s="644"/>
      <c r="HK63" s="644"/>
      <c r="HL63" s="644"/>
      <c r="HM63" s="644"/>
      <c r="HN63" s="644"/>
      <c r="HO63" s="644"/>
      <c r="HP63" s="644"/>
      <c r="HQ63" s="644"/>
      <c r="HR63" s="644"/>
      <c r="HS63" s="644"/>
      <c r="HT63" s="644"/>
      <c r="HU63" s="644"/>
      <c r="HV63" s="644"/>
      <c r="HW63" s="644"/>
      <c r="HX63" s="644"/>
      <c r="HY63" s="644"/>
      <c r="HZ63" s="644"/>
      <c r="IA63" s="644"/>
      <c r="IB63" s="644"/>
      <c r="IC63" s="644"/>
      <c r="ID63" s="644"/>
      <c r="IE63" s="644"/>
      <c r="IF63" s="644"/>
      <c r="IG63" s="644"/>
      <c r="IH63" s="644"/>
      <c r="II63" s="644"/>
      <c r="IJ63" s="644"/>
      <c r="IK63" s="644"/>
      <c r="IL63" s="644"/>
      <c r="IM63" s="644"/>
      <c r="IN63" s="644"/>
      <c r="IO63" s="644"/>
      <c r="IP63" s="644"/>
      <c r="IQ63" s="644"/>
      <c r="IR63" s="644"/>
      <c r="IS63" s="644"/>
      <c r="IT63" s="644"/>
    </row>
    <row r="64" spans="1:254" s="674" customFormat="1" x14ac:dyDescent="0.2">
      <c r="W64" s="644"/>
      <c r="X64" s="644"/>
      <c r="Y64" s="644"/>
      <c r="Z64" s="644"/>
      <c r="AA64" s="644"/>
      <c r="AB64" s="644"/>
      <c r="AC64" s="644"/>
      <c r="AD64" s="644"/>
      <c r="AE64" s="644"/>
      <c r="AF64" s="644"/>
      <c r="AG64" s="644"/>
      <c r="AH64" s="644"/>
      <c r="AI64" s="644"/>
      <c r="AJ64" s="644"/>
      <c r="AK64" s="644"/>
      <c r="AL64" s="644"/>
      <c r="AM64" s="644"/>
      <c r="AN64" s="644"/>
      <c r="AO64" s="644"/>
      <c r="AP64" s="644"/>
      <c r="AQ64" s="644"/>
      <c r="AR64" s="644"/>
      <c r="AS64" s="644"/>
      <c r="AT64" s="644"/>
      <c r="AU64" s="644"/>
      <c r="AV64" s="644"/>
      <c r="AW64" s="644"/>
      <c r="AX64" s="644"/>
      <c r="AY64" s="644"/>
      <c r="AZ64" s="644"/>
      <c r="BA64" s="644"/>
      <c r="BB64" s="644"/>
      <c r="BC64" s="644"/>
      <c r="BD64" s="644"/>
      <c r="BE64" s="644"/>
      <c r="BF64" s="644"/>
      <c r="BG64" s="644"/>
      <c r="BH64" s="644"/>
      <c r="BI64" s="644"/>
      <c r="BJ64" s="644"/>
      <c r="BK64" s="644"/>
      <c r="BL64" s="644"/>
      <c r="BM64" s="644"/>
      <c r="BN64" s="644"/>
      <c r="BO64" s="644"/>
      <c r="BP64" s="644"/>
      <c r="BQ64" s="644"/>
      <c r="BR64" s="644"/>
      <c r="BS64" s="644"/>
      <c r="BT64" s="644"/>
      <c r="BU64" s="644"/>
      <c r="BV64" s="644"/>
      <c r="BW64" s="644"/>
      <c r="BX64" s="644"/>
      <c r="BY64" s="644"/>
      <c r="BZ64" s="644"/>
      <c r="CA64" s="644"/>
      <c r="CB64" s="644"/>
      <c r="CC64" s="644"/>
      <c r="CD64" s="644"/>
      <c r="CE64" s="644"/>
      <c r="CF64" s="644"/>
      <c r="CG64" s="644"/>
      <c r="CH64" s="644"/>
      <c r="CI64" s="644"/>
      <c r="CJ64" s="644"/>
      <c r="CK64" s="644"/>
      <c r="CL64" s="644"/>
      <c r="CM64" s="644"/>
      <c r="CN64" s="644"/>
      <c r="CO64" s="644"/>
      <c r="CP64" s="644"/>
      <c r="CQ64" s="644"/>
      <c r="CR64" s="644"/>
      <c r="CS64" s="644"/>
      <c r="CT64" s="644"/>
      <c r="CU64" s="644"/>
      <c r="CV64" s="644"/>
      <c r="CW64" s="644"/>
      <c r="CX64" s="644"/>
      <c r="CY64" s="644"/>
      <c r="CZ64" s="644"/>
      <c r="DA64" s="644"/>
      <c r="DB64" s="644"/>
      <c r="DC64" s="644"/>
      <c r="DD64" s="644"/>
      <c r="DE64" s="644"/>
      <c r="DF64" s="644"/>
      <c r="DG64" s="644"/>
      <c r="DH64" s="644"/>
      <c r="DI64" s="644"/>
      <c r="DJ64" s="644"/>
      <c r="DK64" s="644"/>
      <c r="DL64" s="644"/>
      <c r="DM64" s="644"/>
      <c r="DN64" s="644"/>
      <c r="DO64" s="644"/>
      <c r="DP64" s="644"/>
      <c r="DQ64" s="644"/>
      <c r="DR64" s="644"/>
      <c r="DS64" s="644"/>
      <c r="DT64" s="644"/>
      <c r="DU64" s="644"/>
      <c r="DV64" s="644"/>
      <c r="DW64" s="644"/>
      <c r="DX64" s="644"/>
      <c r="DY64" s="644"/>
      <c r="DZ64" s="644"/>
      <c r="EA64" s="644"/>
      <c r="EB64" s="644"/>
      <c r="EC64" s="644"/>
      <c r="ED64" s="644"/>
      <c r="EE64" s="644"/>
      <c r="EF64" s="644"/>
      <c r="EG64" s="644"/>
      <c r="EH64" s="644"/>
      <c r="EI64" s="644"/>
      <c r="EJ64" s="644"/>
      <c r="EK64" s="644"/>
      <c r="EL64" s="644"/>
      <c r="EM64" s="644"/>
      <c r="EN64" s="644"/>
      <c r="EO64" s="644"/>
      <c r="EP64" s="644"/>
      <c r="EQ64" s="644"/>
      <c r="ER64" s="644"/>
      <c r="ES64" s="644"/>
      <c r="ET64" s="644"/>
      <c r="EU64" s="644"/>
      <c r="EV64" s="644"/>
      <c r="EW64" s="644"/>
      <c r="EX64" s="644"/>
      <c r="EY64" s="644"/>
      <c r="EZ64" s="644"/>
      <c r="FA64" s="644"/>
      <c r="FB64" s="644"/>
      <c r="FC64" s="644"/>
      <c r="FD64" s="644"/>
      <c r="FE64" s="644"/>
      <c r="FF64" s="644"/>
      <c r="FG64" s="644"/>
      <c r="FH64" s="644"/>
      <c r="FI64" s="644"/>
      <c r="FJ64" s="644"/>
      <c r="FK64" s="644"/>
      <c r="FL64" s="644"/>
      <c r="FM64" s="644"/>
      <c r="FN64" s="644"/>
      <c r="FO64" s="644"/>
      <c r="FP64" s="644"/>
      <c r="FQ64" s="644"/>
      <c r="FR64" s="644"/>
      <c r="FS64" s="644"/>
      <c r="FT64" s="644"/>
      <c r="FU64" s="644"/>
      <c r="FV64" s="644"/>
      <c r="FW64" s="644"/>
      <c r="FX64" s="644"/>
      <c r="FY64" s="644"/>
      <c r="FZ64" s="644"/>
      <c r="GA64" s="644"/>
      <c r="GB64" s="644"/>
      <c r="GC64" s="644"/>
      <c r="GD64" s="644"/>
      <c r="GE64" s="644"/>
      <c r="GF64" s="644"/>
      <c r="GG64" s="644"/>
      <c r="GH64" s="644"/>
      <c r="GI64" s="644"/>
      <c r="GJ64" s="644"/>
      <c r="GK64" s="644"/>
      <c r="GL64" s="644"/>
      <c r="GM64" s="644"/>
      <c r="GN64" s="644"/>
      <c r="GO64" s="644"/>
      <c r="GP64" s="644"/>
      <c r="GQ64" s="644"/>
      <c r="GR64" s="644"/>
      <c r="GS64" s="644"/>
      <c r="GT64" s="644"/>
      <c r="GU64" s="644"/>
      <c r="GV64" s="644"/>
      <c r="GW64" s="644"/>
      <c r="GX64" s="644"/>
      <c r="GY64" s="644"/>
      <c r="GZ64" s="644"/>
      <c r="HA64" s="644"/>
      <c r="HB64" s="644"/>
      <c r="HC64" s="644"/>
      <c r="HD64" s="644"/>
      <c r="HE64" s="644"/>
      <c r="HF64" s="644"/>
      <c r="HG64" s="644"/>
      <c r="HH64" s="644"/>
      <c r="HI64" s="644"/>
      <c r="HJ64" s="644"/>
      <c r="HK64" s="644"/>
      <c r="HL64" s="644"/>
      <c r="HM64" s="644"/>
      <c r="HN64" s="644"/>
      <c r="HO64" s="644"/>
      <c r="HP64" s="644"/>
      <c r="HQ64" s="644"/>
      <c r="HR64" s="644"/>
      <c r="HS64" s="644"/>
      <c r="HT64" s="644"/>
      <c r="HU64" s="644"/>
      <c r="HV64" s="644"/>
      <c r="HW64" s="644"/>
      <c r="HX64" s="644"/>
      <c r="HY64" s="644"/>
      <c r="HZ64" s="644"/>
      <c r="IA64" s="644"/>
      <c r="IB64" s="644"/>
      <c r="IC64" s="644"/>
      <c r="ID64" s="644"/>
      <c r="IE64" s="644"/>
      <c r="IF64" s="644"/>
      <c r="IG64" s="644"/>
      <c r="IH64" s="644"/>
      <c r="II64" s="644"/>
      <c r="IJ64" s="644"/>
      <c r="IK64" s="644"/>
      <c r="IL64" s="644"/>
      <c r="IM64" s="644"/>
      <c r="IN64" s="644"/>
      <c r="IO64" s="644"/>
      <c r="IP64" s="644"/>
      <c r="IQ64" s="644"/>
      <c r="IR64" s="644"/>
      <c r="IS64" s="644"/>
      <c r="IT64" s="644"/>
    </row>
    <row r="65" s="674" customFormat="1" x14ac:dyDescent="0.2"/>
    <row r="66" s="674" customFormat="1" x14ac:dyDescent="0.2"/>
    <row r="67" s="674" customFormat="1" x14ac:dyDescent="0.2"/>
    <row r="68" s="674" customFormat="1" x14ac:dyDescent="0.2"/>
    <row r="69" s="674" customFormat="1" x14ac:dyDescent="0.2"/>
    <row r="70" s="674" customFormat="1" x14ac:dyDescent="0.2"/>
    <row r="71" s="674" customFormat="1" x14ac:dyDescent="0.2"/>
    <row r="72" s="674" customFormat="1" x14ac:dyDescent="0.2"/>
    <row r="73" s="674" customFormat="1" x14ac:dyDescent="0.2"/>
    <row r="74" s="674" customFormat="1" x14ac:dyDescent="0.2"/>
    <row r="75" s="674" customFormat="1" x14ac:dyDescent="0.2"/>
    <row r="76" s="674" customFormat="1" x14ac:dyDescent="0.2"/>
  </sheetData>
  <sheetProtection password="92D1" sheet="1" formatCells="0" formatColumns="0" formatRows="0" selectLockedCells="1"/>
  <mergeCells count="44">
    <mergeCell ref="D49:F49"/>
    <mergeCell ref="A42:J42"/>
    <mergeCell ref="J25:J26"/>
    <mergeCell ref="B27:B28"/>
    <mergeCell ref="A45:J45"/>
    <mergeCell ref="C27:H28"/>
    <mergeCell ref="D46:F46"/>
    <mergeCell ref="D47:F47"/>
    <mergeCell ref="D48:F48"/>
    <mergeCell ref="J29:J30"/>
    <mergeCell ref="A37:J40"/>
    <mergeCell ref="J21:J22"/>
    <mergeCell ref="C29:I30"/>
    <mergeCell ref="A33:J33"/>
    <mergeCell ref="B29:B30"/>
    <mergeCell ref="J23:J24"/>
    <mergeCell ref="J27:J28"/>
    <mergeCell ref="C23:H24"/>
    <mergeCell ref="J19:J20"/>
    <mergeCell ref="D10:G10"/>
    <mergeCell ref="B23:B24"/>
    <mergeCell ref="A16:J16"/>
    <mergeCell ref="A1:J1"/>
    <mergeCell ref="A3:C3"/>
    <mergeCell ref="D3:G3"/>
    <mergeCell ref="A5:C5"/>
    <mergeCell ref="D5:G5"/>
    <mergeCell ref="A10:C10"/>
    <mergeCell ref="A9:C9"/>
    <mergeCell ref="D9:G9"/>
    <mergeCell ref="D7:G7"/>
    <mergeCell ref="A8:C8"/>
    <mergeCell ref="D8:G8"/>
    <mergeCell ref="A6:C6"/>
    <mergeCell ref="D6:G6"/>
    <mergeCell ref="A7:C7"/>
    <mergeCell ref="B25:B26"/>
    <mergeCell ref="C25:H26"/>
    <mergeCell ref="B19:B20"/>
    <mergeCell ref="C19:I20"/>
    <mergeCell ref="A13:C13"/>
    <mergeCell ref="A14:C14"/>
    <mergeCell ref="B21:B22"/>
    <mergeCell ref="C21:I22"/>
  </mergeCells>
  <dataValidations count="4">
    <dataValidation type="list" allowBlank="1" showInputMessage="1" showErrorMessage="1" sqref="B29 B32 B19 B25">
      <formula1>"Select,Yes,No,Partially"</formula1>
    </dataValidation>
    <dataValidation type="list" allowBlank="1" showInputMessage="1" showErrorMessage="1" sqref="B27 B23 B21">
      <formula1>"Select,Yes,No"</formula1>
    </dataValidation>
    <dataValidation type="list" allowBlank="1" showInputMessage="1" showErrorMessage="1" sqref="H14">
      <formula1>"Select,N/A,1,2,3,4,5,6,7,8,9,10,11,12,13,14,15,16,17,18,19,20"</formula1>
    </dataValidation>
    <dataValidation type="list" allowBlank="1" showInputMessage="1" showErrorMessage="1" sqref="H6">
      <formula1>"Select,Health Systems Strengthening,HIV/AIDS,HIV/TB,Integrated,Malaria,Tuberculosis"</formula1>
    </dataValidation>
  </dataValidations>
  <printOptions horizontalCentered="1"/>
  <pageMargins left="0.43307086614173229" right="0.35433070866141736" top="0.43307086614173229" bottom="0.55118110236220474" header="0.31496062992125984" footer="0.35433070866141736"/>
  <pageSetup paperSize="9" scale="52" fitToHeight="0" orientation="landscape" r:id="rId1"/>
  <headerFooter alignWithMargins="0">
    <oddFooter>&amp;R&amp;9Page &amp;P of &amp;N</oddFooter>
  </headerFooter>
  <drawing r:id="rId2"/>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0"/>
    <pageSetUpPr fitToPage="1"/>
  </sheetPr>
  <dimension ref="A1:IU37"/>
  <sheetViews>
    <sheetView view="pageBreakPreview" topLeftCell="A17" zoomScale="70" zoomScaleNormal="40" zoomScaleSheetLayoutView="70" zoomScalePageLayoutView="55" workbookViewId="0">
      <selection activeCell="K20" sqref="K20"/>
    </sheetView>
  </sheetViews>
  <sheetFormatPr defaultColWidth="0" defaultRowHeight="12.75" x14ac:dyDescent="0.2"/>
  <cols>
    <col min="1" max="1" width="23.140625" style="72" customWidth="1"/>
    <col min="2" max="2" width="32.28515625" style="72" customWidth="1"/>
    <col min="3" max="3" width="18.7109375" style="72" customWidth="1"/>
    <col min="4" max="4" width="23.140625" style="72" customWidth="1"/>
    <col min="5" max="8" width="18.7109375" style="72" customWidth="1"/>
    <col min="9" max="9" width="23.7109375" style="72" customWidth="1"/>
    <col min="10" max="10" width="12.85546875" style="72" customWidth="1"/>
    <col min="11" max="11" width="30.28515625" style="72" customWidth="1"/>
    <col min="12" max="12" width="4.85546875" style="83" customWidth="1"/>
    <col min="13" max="14" width="18.5703125" style="69" customWidth="1"/>
    <col min="15" max="255" width="0" style="72" hidden="1" customWidth="1"/>
    <col min="256" max="16384" width="9.140625" style="72" hidden="1"/>
  </cols>
  <sheetData>
    <row r="1" spans="1:14" s="3" customFormat="1" ht="25.5" customHeight="1" x14ac:dyDescent="0.35">
      <c r="A1" s="2114" t="s">
        <v>285</v>
      </c>
      <c r="B1" s="2114"/>
      <c r="C1" s="2114"/>
      <c r="D1" s="2114"/>
      <c r="E1" s="2114"/>
      <c r="F1" s="2114"/>
      <c r="G1" s="2114"/>
      <c r="H1" s="2114"/>
      <c r="I1" s="2114"/>
      <c r="J1" s="2114"/>
      <c r="K1" s="2114"/>
      <c r="L1" s="991"/>
      <c r="M1" s="991"/>
      <c r="N1" s="991"/>
    </row>
    <row r="2" spans="1:14" s="13" customFormat="1" ht="27" customHeight="1" thickBot="1" x14ac:dyDescent="0.3">
      <c r="A2" s="98" t="s">
        <v>156</v>
      </c>
      <c r="B2" s="72"/>
      <c r="C2" s="72"/>
      <c r="D2" s="72"/>
      <c r="E2" s="72"/>
      <c r="F2" s="72"/>
      <c r="G2" s="72"/>
      <c r="H2" s="72"/>
      <c r="I2" s="72"/>
      <c r="J2" s="72"/>
      <c r="K2" s="72"/>
      <c r="L2" s="69"/>
      <c r="M2" s="69"/>
      <c r="N2" s="69"/>
    </row>
    <row r="3" spans="1:14" s="4" customFormat="1" ht="18" customHeight="1" thickBot="1" x14ac:dyDescent="0.25">
      <c r="A3" s="1679" t="s">
        <v>70</v>
      </c>
      <c r="B3" s="1680"/>
      <c r="C3" s="2506" t="str">
        <f>IF('LFA_Programmatic Progress_1A'!C7="","",'LFA_Programmatic Progress_1A'!C7)</f>
        <v>MNR-809-G04-H</v>
      </c>
      <c r="D3" s="2507"/>
      <c r="E3" s="2507"/>
      <c r="F3" s="2507"/>
      <c r="G3" s="2507"/>
      <c r="H3" s="2507"/>
      <c r="I3" s="2508"/>
      <c r="J3" s="73"/>
      <c r="K3" s="73"/>
      <c r="L3" s="208"/>
      <c r="M3" s="208"/>
      <c r="N3" s="208"/>
    </row>
    <row r="4" spans="1:14" s="4" customFormat="1" ht="15" customHeight="1" x14ac:dyDescent="0.2">
      <c r="A4" s="465" t="s">
        <v>277</v>
      </c>
      <c r="B4" s="483"/>
      <c r="C4" s="53" t="s">
        <v>283</v>
      </c>
      <c r="D4" s="2104" t="str">
        <f>IF('LFA_Programmatic Progress_1A'!D12="Select","",'LFA_Programmatic Progress_1A'!D12)</f>
        <v>Quarter</v>
      </c>
      <c r="E4" s="2383"/>
      <c r="F4" s="5" t="s">
        <v>284</v>
      </c>
      <c r="G4" s="480"/>
      <c r="H4" s="480"/>
      <c r="I4" s="47">
        <f>IF('LFA_Programmatic Progress_1A'!F12="Select","",'LFA_Programmatic Progress_1A'!F12)</f>
        <v>7</v>
      </c>
      <c r="J4" s="73"/>
      <c r="K4" s="208"/>
      <c r="L4" s="208"/>
      <c r="M4" s="208"/>
      <c r="N4" s="208"/>
    </row>
    <row r="5" spans="1:14" s="4" customFormat="1" ht="15" customHeight="1" x14ac:dyDescent="0.2">
      <c r="A5" s="484" t="s">
        <v>278</v>
      </c>
      <c r="B5" s="40"/>
      <c r="C5" s="54" t="s">
        <v>246</v>
      </c>
      <c r="D5" s="2384">
        <f>IF('LFA_Programmatic Progress_1A'!D13="","",'LFA_Programmatic Progress_1A'!D13)</f>
        <v>40452</v>
      </c>
      <c r="E5" s="2385"/>
      <c r="F5" s="5" t="s">
        <v>264</v>
      </c>
      <c r="G5" s="481"/>
      <c r="H5" s="481"/>
      <c r="I5" s="491">
        <f>IF('LFA_Programmatic Progress_1A'!F13="","",'LFA_Programmatic Progress_1A'!F13)</f>
        <v>40543</v>
      </c>
      <c r="J5" s="73"/>
      <c r="K5" s="209"/>
      <c r="L5" s="208"/>
      <c r="M5" s="208"/>
      <c r="N5" s="208"/>
    </row>
    <row r="6" spans="1:14" s="4" customFormat="1" ht="15" customHeight="1" thickBot="1" x14ac:dyDescent="0.25">
      <c r="A6" s="55" t="s">
        <v>279</v>
      </c>
      <c r="B6" s="41"/>
      <c r="C6" s="1764">
        <f>IF('LFA_Programmatic Progress_1A'!C14="Select","",'LFA_Programmatic Progress_1A'!C14)</f>
        <v>5</v>
      </c>
      <c r="D6" s="1765"/>
      <c r="E6" s="1765"/>
      <c r="F6" s="1765"/>
      <c r="G6" s="1765"/>
      <c r="H6" s="1765"/>
      <c r="I6" s="1766"/>
      <c r="J6" s="73"/>
      <c r="K6" s="73"/>
      <c r="L6" s="208"/>
      <c r="M6" s="208"/>
      <c r="N6" s="208"/>
    </row>
    <row r="7" spans="1:14" s="3" customFormat="1" ht="16.5" customHeight="1" x14ac:dyDescent="0.2">
      <c r="A7" s="70"/>
      <c r="B7" s="70"/>
      <c r="C7" s="70"/>
      <c r="D7" s="70"/>
      <c r="E7" s="70"/>
      <c r="F7" s="70"/>
      <c r="G7" s="70"/>
      <c r="H7" s="70"/>
      <c r="I7" s="70"/>
      <c r="J7" s="71"/>
      <c r="K7" s="69"/>
      <c r="L7" s="69"/>
      <c r="M7" s="69"/>
      <c r="N7" s="69"/>
    </row>
    <row r="8" spans="1:14" s="17" customFormat="1" ht="20.25" customHeight="1" x14ac:dyDescent="0.3">
      <c r="A8" s="1265" t="s">
        <v>516</v>
      </c>
      <c r="B8" s="1266"/>
      <c r="C8" s="1266"/>
      <c r="D8" s="1267"/>
      <c r="E8" s="1161"/>
      <c r="F8" s="1161"/>
      <c r="G8" s="1161"/>
      <c r="H8" s="1161"/>
      <c r="I8" s="1161"/>
      <c r="J8" s="1161"/>
      <c r="K8" s="1161"/>
      <c r="L8" s="77"/>
      <c r="M8" s="77"/>
      <c r="N8" s="77"/>
    </row>
    <row r="9" spans="1:14" s="74" customFormat="1" ht="15" customHeight="1" x14ac:dyDescent="0.3">
      <c r="A9" s="709"/>
      <c r="B9" s="710"/>
      <c r="C9" s="710"/>
      <c r="D9" s="710"/>
      <c r="E9" s="1192"/>
      <c r="F9" s="1192"/>
      <c r="G9" s="1192"/>
      <c r="H9" s="1192"/>
      <c r="I9" s="1192"/>
      <c r="J9" s="1192"/>
      <c r="K9" s="1193"/>
      <c r="L9" s="77"/>
      <c r="M9" s="77"/>
      <c r="N9" s="77"/>
    </row>
    <row r="10" spans="1:14" s="74" customFormat="1" ht="13.5" customHeight="1" thickBot="1" x14ac:dyDescent="0.25">
      <c r="A10" s="711"/>
      <c r="B10" s="712"/>
      <c r="C10" s="350"/>
      <c r="D10" s="350"/>
      <c r="E10" s="350"/>
      <c r="F10" s="350"/>
      <c r="G10" s="350"/>
      <c r="H10" s="350"/>
      <c r="I10" s="350"/>
      <c r="J10" s="350"/>
      <c r="K10" s="989"/>
      <c r="L10" s="348"/>
      <c r="M10" s="14"/>
      <c r="N10" s="82"/>
    </row>
    <row r="11" spans="1:14" s="13" customFormat="1" ht="22.5" customHeight="1" thickBot="1" x14ac:dyDescent="0.25">
      <c r="A11" s="214"/>
      <c r="B11" s="215"/>
      <c r="C11" s="576" t="s">
        <v>237</v>
      </c>
      <c r="D11" s="577" t="s">
        <v>238</v>
      </c>
      <c r="E11" s="2515" t="s">
        <v>11</v>
      </c>
      <c r="F11" s="2516"/>
      <c r="G11" s="2516"/>
      <c r="H11" s="2516"/>
      <c r="I11" s="2517"/>
      <c r="J11" s="2517"/>
      <c r="K11" s="2518"/>
      <c r="L11" s="14"/>
      <c r="M11" s="14"/>
      <c r="N11" s="14"/>
    </row>
    <row r="12" spans="1:14" s="13" customFormat="1" ht="135" customHeight="1" thickBot="1" x14ac:dyDescent="0.25">
      <c r="A12" s="2472" t="s">
        <v>530</v>
      </c>
      <c r="B12" s="2473"/>
      <c r="C12" s="1339" t="str">
        <f>'PR_Procurement Info_4'!F10</f>
        <v>Yes</v>
      </c>
      <c r="D12" s="1326" t="s">
        <v>673</v>
      </c>
      <c r="E12" s="2511" t="s">
        <v>749</v>
      </c>
      <c r="F12" s="2512"/>
      <c r="G12" s="2512"/>
      <c r="H12" s="2512"/>
      <c r="I12" s="2513"/>
      <c r="J12" s="2513"/>
      <c r="K12" s="2514"/>
      <c r="L12" s="14"/>
      <c r="M12" s="14"/>
      <c r="N12" s="14"/>
    </row>
    <row r="13" spans="1:14" s="574" customFormat="1" ht="12" customHeight="1" x14ac:dyDescent="0.2">
      <c r="A13" s="217"/>
      <c r="B13" s="578"/>
      <c r="C13" s="579"/>
      <c r="D13" s="218"/>
      <c r="E13" s="580"/>
      <c r="F13" s="580"/>
      <c r="G13" s="581"/>
      <c r="H13" s="582"/>
      <c r="I13" s="583"/>
      <c r="J13" s="583"/>
      <c r="K13" s="1004"/>
      <c r="L13" s="945"/>
      <c r="M13" s="945"/>
      <c r="N13" s="945"/>
    </row>
    <row r="14" spans="1:14" s="506" customFormat="1" ht="22.5" customHeight="1" x14ac:dyDescent="0.2">
      <c r="A14" s="2474" t="s">
        <v>513</v>
      </c>
      <c r="B14" s="2475"/>
      <c r="C14" s="2475"/>
      <c r="D14" s="2475"/>
      <c r="E14" s="584"/>
      <c r="F14" s="585"/>
      <c r="G14" s="585"/>
      <c r="H14" s="216"/>
      <c r="I14" s="586"/>
      <c r="J14" s="216"/>
      <c r="K14" s="1005"/>
      <c r="L14" s="588"/>
      <c r="M14" s="945"/>
      <c r="N14" s="945"/>
    </row>
    <row r="15" spans="1:14" s="506" customFormat="1" ht="44.25" customHeight="1" thickBot="1" x14ac:dyDescent="0.25">
      <c r="A15" s="2476" t="s">
        <v>632</v>
      </c>
      <c r="B15" s="2477"/>
      <c r="C15" s="2477"/>
      <c r="D15" s="2477"/>
      <c r="E15" s="2477"/>
      <c r="F15" s="2477"/>
      <c r="G15" s="2477"/>
      <c r="H15" s="2477"/>
      <c r="I15" s="2477"/>
      <c r="J15" s="2477"/>
      <c r="K15" s="2478"/>
      <c r="L15" s="588"/>
      <c r="M15" s="945"/>
      <c r="N15" s="945"/>
    </row>
    <row r="16" spans="1:14" s="91" customFormat="1" ht="22.5" customHeight="1" thickBot="1" x14ac:dyDescent="0.25">
      <c r="A16" s="2519" t="s">
        <v>239</v>
      </c>
      <c r="B16" s="2520"/>
      <c r="C16" s="591"/>
      <c r="D16" s="587"/>
      <c r="E16" s="587"/>
      <c r="F16" s="587"/>
      <c r="G16" s="587"/>
      <c r="H16" s="14"/>
      <c r="I16" s="522"/>
      <c r="J16" s="14"/>
      <c r="K16" s="588"/>
      <c r="L16" s="588"/>
      <c r="M16" s="945"/>
      <c r="N16" s="945"/>
    </row>
    <row r="17" spans="1:14" s="37" customFormat="1" ht="113.25" customHeight="1" thickBot="1" x14ac:dyDescent="0.25">
      <c r="A17" s="2521" t="s">
        <v>240</v>
      </c>
      <c r="B17" s="2509"/>
      <c r="C17" s="1308" t="s">
        <v>531</v>
      </c>
      <c r="D17" s="1308" t="s">
        <v>613</v>
      </c>
      <c r="E17" s="1268" t="s">
        <v>252</v>
      </c>
      <c r="F17" s="2509" t="s">
        <v>253</v>
      </c>
      <c r="G17" s="2510"/>
      <c r="H17" s="1308" t="s">
        <v>532</v>
      </c>
      <c r="I17" s="1308" t="s">
        <v>533</v>
      </c>
      <c r="J17" s="1308" t="s">
        <v>252</v>
      </c>
      <c r="K17" s="1327" t="s">
        <v>253</v>
      </c>
      <c r="L17" s="14"/>
      <c r="M17" s="14"/>
      <c r="N17" s="14"/>
    </row>
    <row r="18" spans="1:14" s="589" customFormat="1" ht="47.25" customHeight="1" x14ac:dyDescent="0.2">
      <c r="A18" s="2479" t="s">
        <v>12</v>
      </c>
      <c r="B18" s="2480"/>
      <c r="C18" s="592"/>
      <c r="D18" s="592"/>
      <c r="E18" s="384" t="str">
        <f t="shared" ref="E18:E23" si="0">IF(C18="",IF(D18="","",C18-D18),C18-D18)</f>
        <v/>
      </c>
      <c r="F18" s="2481"/>
      <c r="G18" s="2482"/>
      <c r="H18" s="592"/>
      <c r="I18" s="592"/>
      <c r="J18" s="384" t="str">
        <f t="shared" ref="J18:J23" si="1">IF(H18="",IF(I18="","",H18-I18),H18-I18)</f>
        <v/>
      </c>
      <c r="K18" s="1328"/>
      <c r="L18" s="946"/>
      <c r="M18" s="946"/>
      <c r="N18" s="946"/>
    </row>
    <row r="19" spans="1:14" s="3" customFormat="1" ht="47.25" customHeight="1" x14ac:dyDescent="0.2">
      <c r="A19" s="2468" t="s">
        <v>24</v>
      </c>
      <c r="B19" s="2469"/>
      <c r="C19" s="593"/>
      <c r="D19" s="593"/>
      <c r="E19" s="189" t="str">
        <f t="shared" si="0"/>
        <v/>
      </c>
      <c r="F19" s="2470"/>
      <c r="G19" s="2471"/>
      <c r="H19" s="593"/>
      <c r="I19" s="593"/>
      <c r="J19" s="189" t="str">
        <f t="shared" si="1"/>
        <v/>
      </c>
      <c r="K19" s="1329"/>
      <c r="L19" s="83"/>
      <c r="M19" s="69"/>
      <c r="N19" s="69"/>
    </row>
    <row r="20" spans="1:14" s="75" customFormat="1" ht="47.25" customHeight="1" x14ac:dyDescent="0.2">
      <c r="A20" s="2468" t="s">
        <v>13</v>
      </c>
      <c r="B20" s="2469"/>
      <c r="C20" s="593"/>
      <c r="D20" s="593"/>
      <c r="E20" s="189" t="str">
        <f t="shared" si="0"/>
        <v/>
      </c>
      <c r="F20" s="2470"/>
      <c r="G20" s="2471"/>
      <c r="H20" s="593"/>
      <c r="I20" s="593"/>
      <c r="J20" s="189" t="str">
        <f t="shared" si="1"/>
        <v/>
      </c>
      <c r="K20" s="1330"/>
      <c r="L20" s="995"/>
      <c r="M20" s="88"/>
      <c r="N20" s="88"/>
    </row>
    <row r="21" spans="1:14" s="75" customFormat="1" ht="47.25" customHeight="1" x14ac:dyDescent="0.2">
      <c r="A21" s="2468" t="s">
        <v>14</v>
      </c>
      <c r="B21" s="2469"/>
      <c r="C21" s="593"/>
      <c r="D21" s="593"/>
      <c r="E21" s="189" t="str">
        <f t="shared" si="0"/>
        <v/>
      </c>
      <c r="F21" s="2470"/>
      <c r="G21" s="2471"/>
      <c r="H21" s="593"/>
      <c r="I21" s="593"/>
      <c r="J21" s="189" t="str">
        <f t="shared" si="1"/>
        <v/>
      </c>
      <c r="K21" s="1330"/>
      <c r="L21" s="995"/>
      <c r="M21" s="88"/>
      <c r="N21" s="88"/>
    </row>
    <row r="22" spans="1:14" s="75" customFormat="1" ht="47.25" customHeight="1" x14ac:dyDescent="0.2">
      <c r="A22" s="2468" t="s">
        <v>15</v>
      </c>
      <c r="B22" s="2469"/>
      <c r="C22" s="593"/>
      <c r="D22" s="593"/>
      <c r="E22" s="189" t="str">
        <f t="shared" si="0"/>
        <v/>
      </c>
      <c r="F22" s="2470"/>
      <c r="G22" s="2471"/>
      <c r="H22" s="593"/>
      <c r="I22" s="593"/>
      <c r="J22" s="189" t="str">
        <f t="shared" si="1"/>
        <v/>
      </c>
      <c r="K22" s="1330"/>
      <c r="L22" s="995"/>
      <c r="M22" s="88"/>
      <c r="N22" s="88"/>
    </row>
    <row r="23" spans="1:14" s="75" customFormat="1" ht="47.25" customHeight="1" thickBot="1" x14ac:dyDescent="0.25">
      <c r="A23" s="2500" t="s">
        <v>16</v>
      </c>
      <c r="B23" s="2501"/>
      <c r="C23" s="594"/>
      <c r="D23" s="594"/>
      <c r="E23" s="379" t="str">
        <f t="shared" si="0"/>
        <v/>
      </c>
      <c r="F23" s="2483"/>
      <c r="G23" s="2484"/>
      <c r="H23" s="594"/>
      <c r="I23" s="594"/>
      <c r="J23" s="379" t="str">
        <f t="shared" si="1"/>
        <v/>
      </c>
      <c r="K23" s="1331"/>
      <c r="L23" s="995"/>
      <c r="M23" s="88"/>
      <c r="N23" s="88"/>
    </row>
    <row r="24" spans="1:14" s="75" customFormat="1" ht="47.25" customHeight="1" thickBot="1" x14ac:dyDescent="0.25">
      <c r="A24" s="2502" t="s">
        <v>471</v>
      </c>
      <c r="B24" s="2503"/>
      <c r="C24" s="837">
        <f>SUM(C18:C23)</f>
        <v>0</v>
      </c>
      <c r="D24" s="837">
        <f>SUM(D18:D23)</f>
        <v>0</v>
      </c>
      <c r="E24" s="836">
        <f>SUM(E18:E23)</f>
        <v>0</v>
      </c>
      <c r="F24" s="2504"/>
      <c r="G24" s="2505"/>
      <c r="H24" s="837">
        <f>SUM(H18:H23)</f>
        <v>0</v>
      </c>
      <c r="I24" s="837">
        <f>SUM(I18:I23)</f>
        <v>0</v>
      </c>
      <c r="J24" s="836">
        <f>SUM(J18:J23)</f>
        <v>0</v>
      </c>
      <c r="K24" s="1332"/>
      <c r="L24" s="995"/>
      <c r="M24" s="88"/>
      <c r="N24" s="88"/>
    </row>
    <row r="25" spans="1:14" s="75" customFormat="1" ht="32.25" customHeight="1" x14ac:dyDescent="0.2">
      <c r="A25" s="1340"/>
      <c r="B25" s="1340"/>
      <c r="C25" s="1341"/>
      <c r="D25" s="1341"/>
      <c r="E25" s="1341"/>
      <c r="F25" s="1342"/>
      <c r="G25" s="1343"/>
      <c r="H25" s="1341"/>
      <c r="I25" s="1341"/>
      <c r="J25" s="1341"/>
      <c r="K25" s="1342"/>
      <c r="L25" s="995"/>
      <c r="M25" s="88"/>
      <c r="N25" s="88"/>
    </row>
    <row r="26" spans="1:14" s="75" customFormat="1" ht="28.5" customHeight="1" thickBot="1" x14ac:dyDescent="0.25">
      <c r="A26" s="1344"/>
      <c r="B26" s="1344"/>
      <c r="C26" s="1341"/>
      <c r="D26" s="1341"/>
      <c r="E26" s="1341"/>
      <c r="F26" s="1342"/>
      <c r="G26" s="1345"/>
      <c r="H26" s="1341"/>
      <c r="I26" s="1341"/>
      <c r="J26" s="1341"/>
      <c r="K26" s="1342"/>
      <c r="L26" s="995"/>
      <c r="M26" s="88"/>
      <c r="N26" s="88"/>
    </row>
    <row r="27" spans="1:14" s="506" customFormat="1" ht="171.75" customHeight="1" thickBot="1" x14ac:dyDescent="0.25">
      <c r="A27" s="2488" t="s">
        <v>514</v>
      </c>
      <c r="B27" s="2489"/>
      <c r="C27" s="1346" t="str">
        <f>'PR_Procurement Info_4'!F11</f>
        <v>No</v>
      </c>
      <c r="D27" s="1347" t="s">
        <v>17</v>
      </c>
      <c r="E27" s="2490" t="s">
        <v>760</v>
      </c>
      <c r="F27" s="2491"/>
      <c r="G27" s="2491"/>
      <c r="H27" s="2491"/>
      <c r="I27" s="2492"/>
      <c r="J27" s="2492"/>
      <c r="K27" s="2493"/>
      <c r="L27" s="945"/>
      <c r="M27" s="945"/>
      <c r="N27" s="945"/>
    </row>
    <row r="28" spans="1:14" s="75" customFormat="1" ht="24.75" customHeight="1" thickBot="1" x14ac:dyDescent="0.25">
      <c r="A28" s="217"/>
      <c r="B28" s="590"/>
      <c r="C28" s="590"/>
      <c r="D28" s="590"/>
      <c r="E28" s="590"/>
      <c r="F28" s="579"/>
      <c r="G28" s="219"/>
      <c r="H28" s="367"/>
      <c r="I28" s="368"/>
      <c r="J28" s="368"/>
      <c r="K28" s="1006"/>
      <c r="L28" s="995"/>
      <c r="M28" s="88"/>
      <c r="N28" s="88"/>
    </row>
    <row r="29" spans="1:14" s="75" customFormat="1" ht="38.25" customHeight="1" x14ac:dyDescent="0.2">
      <c r="A29" s="1794" t="s">
        <v>515</v>
      </c>
      <c r="B29" s="2494"/>
      <c r="C29" s="2494"/>
      <c r="D29" s="2494"/>
      <c r="E29" s="2495"/>
      <c r="F29" s="1833" t="s">
        <v>451</v>
      </c>
      <c r="G29" s="1837"/>
      <c r="H29" s="1837"/>
      <c r="I29" s="1837"/>
      <c r="J29" s="1837"/>
      <c r="K29" s="2499"/>
      <c r="L29" s="995"/>
      <c r="M29" s="88"/>
      <c r="N29" s="88"/>
    </row>
    <row r="30" spans="1:14" s="75" customFormat="1" ht="126.75" customHeight="1" thickBot="1" x14ac:dyDescent="0.25">
      <c r="A30" s="2485" t="str">
        <f>IF('PR_Procurement Info_4'!A14:J14="","",'PR_Procurement Info_4'!A14:J14)</f>
        <v/>
      </c>
      <c r="B30" s="2486"/>
      <c r="C30" s="2486"/>
      <c r="D30" s="2486"/>
      <c r="E30" s="2487"/>
      <c r="F30" s="2496" t="s">
        <v>751</v>
      </c>
      <c r="G30" s="2497"/>
      <c r="H30" s="2497"/>
      <c r="I30" s="2497"/>
      <c r="J30" s="2497"/>
      <c r="K30" s="2498"/>
      <c r="L30" s="995"/>
      <c r="M30" s="88"/>
      <c r="N30" s="88"/>
    </row>
    <row r="31" spans="1:14" s="88" customFormat="1" ht="14.25" x14ac:dyDescent="0.2">
      <c r="A31" s="1001"/>
      <c r="B31" s="1001"/>
      <c r="C31" s="1001"/>
      <c r="D31" s="1001"/>
      <c r="E31" s="1001"/>
      <c r="F31" s="1001"/>
      <c r="G31" s="1001"/>
      <c r="H31" s="1001"/>
      <c r="I31" s="1001"/>
      <c r="J31" s="1001"/>
      <c r="K31" s="1001"/>
      <c r="L31" s="998"/>
    </row>
    <row r="32" spans="1:14" s="88" customFormat="1" ht="14.25" x14ac:dyDescent="0.2">
      <c r="L32" s="995"/>
    </row>
    <row r="33" spans="12:12" s="88" customFormat="1" ht="14.25" x14ac:dyDescent="0.2">
      <c r="L33" s="995"/>
    </row>
    <row r="34" spans="12:12" s="88" customFormat="1" ht="14.25" x14ac:dyDescent="0.2">
      <c r="L34" s="995"/>
    </row>
    <row r="35" spans="12:12" s="88" customFormat="1" ht="14.25" x14ac:dyDescent="0.2">
      <c r="L35" s="995"/>
    </row>
    <row r="36" spans="12:12" s="69" customFormat="1" x14ac:dyDescent="0.2">
      <c r="L36" s="83"/>
    </row>
    <row r="37" spans="12:12" s="69" customFormat="1" x14ac:dyDescent="0.2">
      <c r="L37" s="83"/>
    </row>
  </sheetData>
  <sheetProtection password="92D1" sheet="1" formatCells="0" formatColumns="0" formatRows="0" selectLockedCells="1"/>
  <mergeCells count="34">
    <mergeCell ref="A1:K1"/>
    <mergeCell ref="A3:B3"/>
    <mergeCell ref="C3:I3"/>
    <mergeCell ref="D4:E4"/>
    <mergeCell ref="F17:G17"/>
    <mergeCell ref="D5:E5"/>
    <mergeCell ref="C6:I6"/>
    <mergeCell ref="E12:K12"/>
    <mergeCell ref="E11:K11"/>
    <mergeCell ref="A16:B16"/>
    <mergeCell ref="A17:B17"/>
    <mergeCell ref="F23:G23"/>
    <mergeCell ref="A30:E30"/>
    <mergeCell ref="A27:B27"/>
    <mergeCell ref="E27:K27"/>
    <mergeCell ref="A29:E29"/>
    <mergeCell ref="F30:K30"/>
    <mergeCell ref="F29:K29"/>
    <mergeCell ref="A23:B23"/>
    <mergeCell ref="A24:B24"/>
    <mergeCell ref="F24:G24"/>
    <mergeCell ref="A19:B19"/>
    <mergeCell ref="F21:G21"/>
    <mergeCell ref="A22:B22"/>
    <mergeCell ref="A12:B12"/>
    <mergeCell ref="A14:D14"/>
    <mergeCell ref="F20:G20"/>
    <mergeCell ref="A20:B20"/>
    <mergeCell ref="F19:G19"/>
    <mergeCell ref="F22:G22"/>
    <mergeCell ref="A15:K15"/>
    <mergeCell ref="A21:B21"/>
    <mergeCell ref="A18:B18"/>
    <mergeCell ref="F18:G18"/>
  </mergeCells>
  <phoneticPr fontId="36" type="noConversion"/>
  <conditionalFormatting sqref="F20:G22 F23 E17:F17 F18:F19 K18:K23 C18:D23 C10:L10 H18:I23 H26:I26 C26:D26 K26 F26">
    <cfRule type="cellIs" dxfId="16" priority="5" stopIfTrue="1" operator="lessThan">
      <formula>0</formula>
    </cfRule>
  </conditionalFormatting>
  <conditionalFormatting sqref="F20:G22 F23 J17 E17:F17 K18:K23 F18:F19 C10:E10 H10:L10 H18:I23 H26:I26 K26 F26">
    <cfRule type="cellIs" dxfId="15" priority="6" stopIfTrue="1" operator="lessThan">
      <formula>0</formula>
    </cfRule>
  </conditionalFormatting>
  <conditionalFormatting sqref="F24:F25 K24:K25 C24:D25 H24:I25">
    <cfRule type="cellIs" dxfId="14" priority="1" stopIfTrue="1" operator="lessThan">
      <formula>0</formula>
    </cfRule>
  </conditionalFormatting>
  <conditionalFormatting sqref="F24:F25 K24:K25 H24:I25">
    <cfRule type="cellIs" dxfId="13" priority="2" stopIfTrue="1" operator="lessThan">
      <formula>0</formula>
    </cfRule>
  </conditionalFormatting>
  <dataValidations count="2">
    <dataValidation type="list" allowBlank="1" showInputMessage="1" showErrorMessage="1" sqref="F28 F13:G13 C13 D12 D27">
      <formula1>"Select,Yes,No,N/A"</formula1>
    </dataValidation>
    <dataValidation type="list" allowBlank="1" showInputMessage="1" showErrorMessage="1" sqref="I14 I16">
      <formula1>"Select,Yes,No,Partially,N/A"</formula1>
    </dataValidation>
  </dataValidations>
  <printOptions horizontalCentered="1"/>
  <pageMargins left="0.74803149606299213" right="0.74803149606299213" top="0.19685039370078741" bottom="0.35433070866141736" header="0.15748031496062992" footer="0.15748031496062992"/>
  <pageSetup paperSize="9" scale="55" fitToHeight="0" orientation="landscape" cellComments="asDisplayed" r:id="rId1"/>
  <headerFooter alignWithMargins="0">
    <oddFooter>&amp;L&amp;9&amp;F&amp;C&amp;A&amp;R&amp;9Page &amp;P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0"/>
    <pageSetUpPr fitToPage="1"/>
  </sheetPr>
  <dimension ref="A1:U40"/>
  <sheetViews>
    <sheetView view="pageBreakPreview" topLeftCell="DT4" zoomScale="60" zoomScaleNormal="70" zoomScalePageLayoutView="55" workbookViewId="0">
      <selection activeCell="C18" sqref="C18:E18"/>
    </sheetView>
  </sheetViews>
  <sheetFormatPr defaultRowHeight="12.75" x14ac:dyDescent="0.2"/>
  <cols>
    <col min="1" max="1" width="15.42578125" style="69" customWidth="1"/>
    <col min="2" max="2" width="33.140625" style="69" customWidth="1"/>
    <col min="3" max="3" width="25" style="69" customWidth="1"/>
    <col min="4" max="4" width="22.28515625" style="69" customWidth="1"/>
    <col min="5" max="5" width="29.5703125" style="69" customWidth="1"/>
    <col min="6" max="6" width="21.7109375" style="69" customWidth="1"/>
    <col min="7" max="7" width="27.5703125" style="69" customWidth="1"/>
    <col min="8" max="8" width="18.5703125" style="69" customWidth="1"/>
    <col min="9" max="9" width="16.42578125" style="69" customWidth="1"/>
    <col min="10" max="10" width="63" style="1011" customWidth="1"/>
    <col min="11" max="11" width="2.7109375" style="69" customWidth="1"/>
    <col min="12" max="12" width="10" style="69" customWidth="1"/>
    <col min="13" max="16384" width="9.140625" style="69"/>
  </cols>
  <sheetData>
    <row r="1" spans="1:21" ht="23.25" customHeight="1" x14ac:dyDescent="0.35">
      <c r="A1" s="2114" t="s">
        <v>285</v>
      </c>
      <c r="B1" s="2114"/>
      <c r="C1" s="2114"/>
      <c r="D1" s="2114"/>
      <c r="E1" s="2114"/>
      <c r="F1" s="2114"/>
      <c r="G1" s="2114"/>
      <c r="H1" s="2114"/>
      <c r="I1" s="2114"/>
      <c r="J1" s="2114"/>
    </row>
    <row r="2" spans="1:21" ht="18" customHeight="1" thickBot="1" x14ac:dyDescent="0.3">
      <c r="A2" s="98" t="s">
        <v>157</v>
      </c>
      <c r="B2" s="72"/>
      <c r="C2" s="72"/>
      <c r="D2" s="72"/>
      <c r="E2" s="72"/>
      <c r="F2" s="72"/>
      <c r="G2" s="72"/>
      <c r="H2" s="72"/>
      <c r="I2" s="72"/>
      <c r="J2" s="428"/>
    </row>
    <row r="3" spans="1:21" s="208" customFormat="1" ht="27.75" customHeight="1" thickBot="1" x14ac:dyDescent="0.25">
      <c r="A3" s="1679" t="s">
        <v>70</v>
      </c>
      <c r="B3" s="1680"/>
      <c r="C3" s="1751" t="str">
        <f>IF('LFA_Programmatic Progress_1A'!C7="","",'LFA_Programmatic Progress_1A'!C7)</f>
        <v>MNR-809-G04-H</v>
      </c>
      <c r="D3" s="1752"/>
      <c r="E3" s="1752"/>
      <c r="F3" s="1753"/>
      <c r="G3" s="73"/>
      <c r="H3" s="73"/>
      <c r="I3" s="73"/>
      <c r="J3" s="427"/>
    </row>
    <row r="4" spans="1:21" s="208" customFormat="1" ht="15" customHeight="1" x14ac:dyDescent="0.2">
      <c r="A4" s="465" t="s">
        <v>277</v>
      </c>
      <c r="B4" s="483"/>
      <c r="C4" s="53" t="s">
        <v>283</v>
      </c>
      <c r="D4" s="477" t="str">
        <f>IF('LFA_Programmatic Progress_1A'!D12="Select","",'LFA_Programmatic Progress_1A'!D12)</f>
        <v>Quarter</v>
      </c>
      <c r="E4" s="5" t="s">
        <v>284</v>
      </c>
      <c r="F4" s="47">
        <f>IF('LFA_Programmatic Progress_1A'!F12="Select","",'LFA_Programmatic Progress_1A'!F12)</f>
        <v>7</v>
      </c>
      <c r="G4" s="73"/>
      <c r="H4" s="73"/>
      <c r="I4" s="73"/>
      <c r="J4" s="427"/>
    </row>
    <row r="5" spans="1:21" s="208" customFormat="1" ht="15" customHeight="1" x14ac:dyDescent="0.2">
      <c r="A5" s="484" t="s">
        <v>278</v>
      </c>
      <c r="B5" s="40"/>
      <c r="C5" s="54" t="s">
        <v>246</v>
      </c>
      <c r="D5" s="490">
        <f>IF('LFA_Programmatic Progress_1A'!D13="","",'LFA_Programmatic Progress_1A'!D13)</f>
        <v>40452</v>
      </c>
      <c r="E5" s="5" t="s">
        <v>264</v>
      </c>
      <c r="F5" s="491">
        <f>IF('LFA_Programmatic Progress_1A'!F13="","",'LFA_Programmatic Progress_1A'!F13)</f>
        <v>40543</v>
      </c>
      <c r="G5" s="73"/>
      <c r="H5" s="73"/>
      <c r="I5" s="73"/>
      <c r="J5" s="427"/>
    </row>
    <row r="6" spans="1:21" s="208" customFormat="1" ht="15" customHeight="1" thickBot="1" x14ac:dyDescent="0.25">
      <c r="A6" s="55" t="s">
        <v>279</v>
      </c>
      <c r="B6" s="41"/>
      <c r="C6" s="1764">
        <f>IF('LFA_Programmatic Progress_1A'!C14="Select","",'LFA_Programmatic Progress_1A'!C14)</f>
        <v>5</v>
      </c>
      <c r="D6" s="1765"/>
      <c r="E6" s="1765"/>
      <c r="F6" s="1766"/>
      <c r="G6" s="73"/>
      <c r="H6" s="73"/>
      <c r="I6" s="73"/>
      <c r="J6" s="427"/>
    </row>
    <row r="7" spans="1:21" x14ac:dyDescent="0.2">
      <c r="A7" s="72"/>
      <c r="B7" s="72"/>
      <c r="C7" s="72"/>
      <c r="D7" s="72"/>
      <c r="E7" s="72"/>
      <c r="F7" s="72"/>
      <c r="G7" s="72"/>
      <c r="H7" s="72"/>
      <c r="I7" s="72"/>
      <c r="J7" s="428"/>
    </row>
    <row r="8" spans="1:21" ht="15" x14ac:dyDescent="0.2">
      <c r="A8" s="220"/>
      <c r="B8" s="220"/>
      <c r="C8" s="220"/>
      <c r="D8" s="1194"/>
      <c r="E8" s="1194"/>
      <c r="F8" s="1194"/>
      <c r="G8" s="1195"/>
      <c r="H8" s="1195"/>
      <c r="I8" s="595"/>
      <c r="J8" s="1196"/>
    </row>
    <row r="9" spans="1:21" ht="20.25" x14ac:dyDescent="0.3">
      <c r="A9" s="1269" t="s">
        <v>517</v>
      </c>
      <c r="B9" s="1270"/>
      <c r="C9" s="1271"/>
      <c r="D9" s="1223"/>
      <c r="E9" s="1223"/>
      <c r="F9" s="1224"/>
      <c r="G9" s="1223"/>
      <c r="H9" s="1223"/>
      <c r="I9" s="1001"/>
      <c r="J9" s="1272"/>
    </row>
    <row r="10" spans="1:21" ht="9" customHeight="1" x14ac:dyDescent="0.25">
      <c r="A10" s="206"/>
      <c r="B10" s="206"/>
      <c r="C10" s="206"/>
      <c r="D10" s="1197"/>
      <c r="E10" s="1197"/>
      <c r="F10" s="1197"/>
      <c r="G10" s="1197"/>
      <c r="H10" s="1197"/>
      <c r="I10" s="1197"/>
      <c r="J10" s="1198"/>
      <c r="K10" s="77"/>
      <c r="L10" s="698"/>
      <c r="M10" s="698"/>
      <c r="N10" s="698"/>
      <c r="O10" s="698"/>
      <c r="P10" s="698"/>
      <c r="Q10" s="698"/>
      <c r="R10" s="698"/>
      <c r="S10" s="698"/>
      <c r="T10" s="698"/>
      <c r="U10" s="698"/>
    </row>
    <row r="11" spans="1:21" ht="69" customHeight="1" x14ac:dyDescent="0.2">
      <c r="A11" s="2552" t="s">
        <v>617</v>
      </c>
      <c r="B11" s="2553"/>
      <c r="C11" s="2553"/>
      <c r="D11" s="2553"/>
      <c r="E11" s="2553"/>
      <c r="F11" s="2553"/>
      <c r="G11" s="2553"/>
      <c r="H11" s="2553"/>
      <c r="I11" s="2553"/>
      <c r="J11" s="2553"/>
      <c r="K11" s="1008"/>
      <c r="L11" s="698"/>
      <c r="M11" s="698"/>
      <c r="N11" s="698"/>
      <c r="O11" s="698"/>
      <c r="P11" s="698"/>
      <c r="Q11" s="698"/>
      <c r="R11" s="698"/>
      <c r="S11" s="698"/>
      <c r="T11" s="698"/>
      <c r="U11" s="698"/>
    </row>
    <row r="12" spans="1:21" ht="9.75" customHeight="1" thickBot="1" x14ac:dyDescent="0.25">
      <c r="A12" s="595"/>
      <c r="B12" s="595"/>
      <c r="C12" s="595"/>
      <c r="D12" s="595"/>
      <c r="E12" s="595"/>
      <c r="F12" s="595"/>
      <c r="G12" s="595"/>
      <c r="H12" s="595"/>
      <c r="I12" s="595"/>
      <c r="J12" s="1007"/>
      <c r="M12" s="698"/>
      <c r="N12" s="698"/>
      <c r="O12" s="698"/>
      <c r="P12" s="698"/>
      <c r="Q12" s="698"/>
      <c r="R12" s="698"/>
    </row>
    <row r="13" spans="1:21" ht="45" customHeight="1" thickBot="1" x14ac:dyDescent="0.25">
      <c r="A13" s="2531" t="s">
        <v>438</v>
      </c>
      <c r="B13" s="2532"/>
      <c r="C13" s="2531" t="s">
        <v>4</v>
      </c>
      <c r="D13" s="2531"/>
      <c r="E13" s="2531"/>
      <c r="F13" s="2531" t="s">
        <v>5</v>
      </c>
      <c r="G13" s="2531"/>
      <c r="H13" s="2531"/>
      <c r="I13" s="2531"/>
      <c r="J13" s="1297" t="s">
        <v>193</v>
      </c>
      <c r="K13" s="208"/>
      <c r="L13" s="698"/>
      <c r="M13" s="698"/>
      <c r="N13" s="698"/>
      <c r="O13" s="698"/>
      <c r="P13" s="698"/>
      <c r="Q13" s="14"/>
      <c r="R13" s="14"/>
      <c r="S13" s="14"/>
    </row>
    <row r="14" spans="1:21" ht="194.25" customHeight="1" x14ac:dyDescent="0.2">
      <c r="A14" s="2525" t="s">
        <v>20</v>
      </c>
      <c r="B14" s="2526"/>
      <c r="C14" s="2533" t="s">
        <v>755</v>
      </c>
      <c r="D14" s="2534"/>
      <c r="E14" s="2535"/>
      <c r="F14" s="2533" t="s">
        <v>756</v>
      </c>
      <c r="G14" s="2534"/>
      <c r="H14" s="2534"/>
      <c r="I14" s="2535"/>
      <c r="J14" s="1298"/>
      <c r="K14" s="698"/>
      <c r="L14" s="698"/>
      <c r="M14" s="698"/>
      <c r="N14" s="698"/>
      <c r="O14" s="698"/>
    </row>
    <row r="15" spans="1:21" ht="221.25" customHeight="1" x14ac:dyDescent="0.2">
      <c r="A15" s="2525" t="s">
        <v>20</v>
      </c>
      <c r="B15" s="2526"/>
      <c r="C15" s="2536" t="s">
        <v>757</v>
      </c>
      <c r="D15" s="2537"/>
      <c r="E15" s="2538"/>
      <c r="F15" s="2539" t="s">
        <v>758</v>
      </c>
      <c r="G15" s="2537"/>
      <c r="H15" s="2537"/>
      <c r="I15" s="2538"/>
      <c r="J15" s="1298"/>
    </row>
    <row r="16" spans="1:21" ht="276" customHeight="1" x14ac:dyDescent="0.2">
      <c r="A16" s="2525" t="s">
        <v>20</v>
      </c>
      <c r="B16" s="2526"/>
      <c r="C16" s="2540" t="s">
        <v>761</v>
      </c>
      <c r="D16" s="2541"/>
      <c r="E16" s="2542"/>
      <c r="F16" s="2543" t="s">
        <v>754</v>
      </c>
      <c r="G16" s="2541"/>
      <c r="H16" s="2541"/>
      <c r="I16" s="2542"/>
      <c r="J16" s="1299"/>
      <c r="K16" s="208"/>
    </row>
    <row r="17" spans="1:11" ht="234.75" customHeight="1" x14ac:dyDescent="0.2">
      <c r="A17" s="2525" t="s">
        <v>22</v>
      </c>
      <c r="B17" s="2526"/>
      <c r="C17" s="2544" t="s">
        <v>753</v>
      </c>
      <c r="D17" s="2545"/>
      <c r="E17" s="2546"/>
      <c r="F17" s="2549" t="s">
        <v>752</v>
      </c>
      <c r="G17" s="2550"/>
      <c r="H17" s="2550"/>
      <c r="I17" s="2551"/>
      <c r="J17" s="1299"/>
      <c r="K17" s="208"/>
    </row>
    <row r="18" spans="1:11" ht="76.5" customHeight="1" x14ac:dyDescent="0.2">
      <c r="A18" s="2525" t="s">
        <v>263</v>
      </c>
      <c r="B18" s="2526"/>
      <c r="C18" s="2522"/>
      <c r="D18" s="2523"/>
      <c r="E18" s="2524"/>
      <c r="F18" s="2522"/>
      <c r="G18" s="2523"/>
      <c r="H18" s="2523"/>
      <c r="I18" s="2524"/>
      <c r="J18" s="1299"/>
    </row>
    <row r="19" spans="1:11" ht="76.5" customHeight="1" x14ac:dyDescent="0.2">
      <c r="A19" s="2525" t="s">
        <v>263</v>
      </c>
      <c r="B19" s="2526"/>
      <c r="C19" s="2522"/>
      <c r="D19" s="2523"/>
      <c r="E19" s="2524"/>
      <c r="F19" s="2522"/>
      <c r="G19" s="2523"/>
      <c r="H19" s="2523"/>
      <c r="I19" s="2524"/>
      <c r="J19" s="1299"/>
    </row>
    <row r="20" spans="1:11" ht="76.5" customHeight="1" x14ac:dyDescent="0.2">
      <c r="A20" s="2525" t="s">
        <v>263</v>
      </c>
      <c r="B20" s="2526"/>
      <c r="C20" s="2522"/>
      <c r="D20" s="2523"/>
      <c r="E20" s="2524"/>
      <c r="F20" s="2522"/>
      <c r="G20" s="2523"/>
      <c r="H20" s="2523"/>
      <c r="I20" s="2524"/>
      <c r="J20" s="1299"/>
    </row>
    <row r="21" spans="1:11" ht="76.5" customHeight="1" x14ac:dyDescent="0.2">
      <c r="A21" s="2525" t="s">
        <v>263</v>
      </c>
      <c r="B21" s="2526"/>
      <c r="C21" s="2522"/>
      <c r="D21" s="2523"/>
      <c r="E21" s="2524"/>
      <c r="F21" s="2522"/>
      <c r="G21" s="2523"/>
      <c r="H21" s="2523"/>
      <c r="I21" s="2524"/>
      <c r="J21" s="1299"/>
    </row>
    <row r="22" spans="1:11" ht="76.5" customHeight="1" x14ac:dyDescent="0.2">
      <c r="A22" s="2525" t="s">
        <v>263</v>
      </c>
      <c r="B22" s="2526"/>
      <c r="C22" s="2522"/>
      <c r="D22" s="2523"/>
      <c r="E22" s="2524"/>
      <c r="F22" s="2522"/>
      <c r="G22" s="2523"/>
      <c r="H22" s="2523"/>
      <c r="I22" s="2524"/>
      <c r="J22" s="1299"/>
    </row>
    <row r="23" spans="1:11" ht="76.5" customHeight="1" thickBot="1" x14ac:dyDescent="0.25">
      <c r="A23" s="2525" t="s">
        <v>263</v>
      </c>
      <c r="B23" s="2526"/>
      <c r="C23" s="2522"/>
      <c r="D23" s="2523"/>
      <c r="E23" s="2524"/>
      <c r="F23" s="2522"/>
      <c r="G23" s="2523"/>
      <c r="H23" s="2523"/>
      <c r="I23" s="2524"/>
      <c r="J23" s="1299"/>
    </row>
    <row r="24" spans="1:11" ht="76.5" customHeight="1" x14ac:dyDescent="0.2">
      <c r="A24" s="2525" t="s">
        <v>263</v>
      </c>
      <c r="B24" s="2526"/>
      <c r="C24" s="2522"/>
      <c r="D24" s="2527"/>
      <c r="E24" s="2524"/>
      <c r="F24" s="2522"/>
      <c r="G24" s="2523"/>
      <c r="H24" s="2523"/>
      <c r="I24" s="2524"/>
      <c r="J24" s="1299"/>
    </row>
    <row r="25" spans="1:11" ht="76.5" customHeight="1" x14ac:dyDescent="0.2">
      <c r="A25" s="2525" t="s">
        <v>263</v>
      </c>
      <c r="B25" s="2526"/>
      <c r="C25" s="2522"/>
      <c r="D25" s="2523"/>
      <c r="E25" s="2524"/>
      <c r="F25" s="2522"/>
      <c r="G25" s="2523"/>
      <c r="H25" s="2523"/>
      <c r="I25" s="2524"/>
      <c r="J25" s="1299"/>
    </row>
    <row r="26" spans="1:11" ht="76.5" customHeight="1" x14ac:dyDescent="0.2">
      <c r="A26" s="2525" t="s">
        <v>263</v>
      </c>
      <c r="B26" s="2526"/>
      <c r="C26" s="2522"/>
      <c r="D26" s="2523"/>
      <c r="E26" s="2524"/>
      <c r="F26" s="2522"/>
      <c r="G26" s="2523"/>
      <c r="H26" s="2523"/>
      <c r="I26" s="2524"/>
      <c r="J26" s="1299"/>
    </row>
    <row r="27" spans="1:11" ht="76.5" customHeight="1" thickBot="1" x14ac:dyDescent="0.25">
      <c r="A27" s="2547" t="s">
        <v>263</v>
      </c>
      <c r="B27" s="2548"/>
      <c r="C27" s="2528"/>
      <c r="D27" s="2529"/>
      <c r="E27" s="2530"/>
      <c r="F27" s="2528"/>
      <c r="G27" s="2529"/>
      <c r="H27" s="2529"/>
      <c r="I27" s="2530"/>
      <c r="J27" s="1300"/>
    </row>
    <row r="28" spans="1:11" x14ac:dyDescent="0.2">
      <c r="J28" s="1009"/>
    </row>
    <row r="29" spans="1:11" x14ac:dyDescent="0.2">
      <c r="E29" s="698" t="s">
        <v>572</v>
      </c>
      <c r="J29" s="1009"/>
    </row>
    <row r="30" spans="1:11" hidden="1" x14ac:dyDescent="0.2">
      <c r="A30" s="1010" t="s">
        <v>263</v>
      </c>
      <c r="J30" s="1009"/>
    </row>
    <row r="31" spans="1:11" hidden="1" x14ac:dyDescent="0.2">
      <c r="A31" s="1010" t="s">
        <v>17</v>
      </c>
      <c r="J31" s="1009"/>
    </row>
    <row r="32" spans="1:11" hidden="1" x14ac:dyDescent="0.2">
      <c r="A32" s="1010" t="s">
        <v>18</v>
      </c>
      <c r="J32" s="1009"/>
    </row>
    <row r="33" spans="1:10" hidden="1" x14ac:dyDescent="0.2">
      <c r="J33" s="1009"/>
    </row>
    <row r="34" spans="1:10" hidden="1" x14ac:dyDescent="0.2">
      <c r="A34" s="1010" t="s">
        <v>263</v>
      </c>
      <c r="J34" s="1009"/>
    </row>
    <row r="35" spans="1:10" hidden="1" x14ac:dyDescent="0.2">
      <c r="A35" s="1010" t="s">
        <v>19</v>
      </c>
    </row>
    <row r="36" spans="1:10" hidden="1" x14ac:dyDescent="0.2">
      <c r="A36" s="1010" t="s">
        <v>20</v>
      </c>
    </row>
    <row r="37" spans="1:10" hidden="1" x14ac:dyDescent="0.2">
      <c r="A37" s="1010" t="s">
        <v>21</v>
      </c>
    </row>
    <row r="38" spans="1:10" hidden="1" x14ac:dyDescent="0.2">
      <c r="A38" s="1010" t="s">
        <v>22</v>
      </c>
    </row>
    <row r="39" spans="1:10" hidden="1" x14ac:dyDescent="0.2">
      <c r="A39" s="1010" t="s">
        <v>23</v>
      </c>
    </row>
    <row r="40" spans="1:10" hidden="1" x14ac:dyDescent="0.2"/>
  </sheetData>
  <sheetProtection formatCells="0" formatColumns="0" formatRows="0" insertRows="0"/>
  <mergeCells count="50">
    <mergeCell ref="A1:J1"/>
    <mergeCell ref="A3:B3"/>
    <mergeCell ref="C3:F3"/>
    <mergeCell ref="C6:F6"/>
    <mergeCell ref="A27:B27"/>
    <mergeCell ref="A25:B25"/>
    <mergeCell ref="C14:E14"/>
    <mergeCell ref="A26:B26"/>
    <mergeCell ref="C18:E18"/>
    <mergeCell ref="A24:B24"/>
    <mergeCell ref="F19:I19"/>
    <mergeCell ref="F17:I17"/>
    <mergeCell ref="A11:J11"/>
    <mergeCell ref="F13:I13"/>
    <mergeCell ref="C13:E13"/>
    <mergeCell ref="A17:B17"/>
    <mergeCell ref="A18:B18"/>
    <mergeCell ref="A15:B15"/>
    <mergeCell ref="A16:B16"/>
    <mergeCell ref="F18:I18"/>
    <mergeCell ref="A13:B13"/>
    <mergeCell ref="F14:I14"/>
    <mergeCell ref="C15:E15"/>
    <mergeCell ref="F15:I15"/>
    <mergeCell ref="A14:B14"/>
    <mergeCell ref="C16:E16"/>
    <mergeCell ref="F16:I16"/>
    <mergeCell ref="C17:E17"/>
    <mergeCell ref="F25:I25"/>
    <mergeCell ref="C24:E24"/>
    <mergeCell ref="C25:E25"/>
    <mergeCell ref="C27:E27"/>
    <mergeCell ref="F27:I27"/>
    <mergeCell ref="C26:E26"/>
    <mergeCell ref="F26:I26"/>
    <mergeCell ref="F24:I24"/>
    <mergeCell ref="A20:B20"/>
    <mergeCell ref="A21:B21"/>
    <mergeCell ref="A22:B22"/>
    <mergeCell ref="A23:B23"/>
    <mergeCell ref="C19:E19"/>
    <mergeCell ref="A19:B19"/>
    <mergeCell ref="F20:I20"/>
    <mergeCell ref="F21:I21"/>
    <mergeCell ref="F22:I22"/>
    <mergeCell ref="F23:I23"/>
    <mergeCell ref="C20:E20"/>
    <mergeCell ref="C21:E21"/>
    <mergeCell ref="C22:E22"/>
    <mergeCell ref="C23:E23"/>
  </mergeCells>
  <phoneticPr fontId="36" type="noConversion"/>
  <dataValidations count="1">
    <dataValidation type="list" allowBlank="1" showInputMessage="1" showErrorMessage="1" sqref="A14:B27">
      <formula1>$A$34:$A$39</formula1>
    </dataValidation>
  </dataValidations>
  <printOptions horizontalCentered="1"/>
  <pageMargins left="0.74803149606299213" right="0.74803149606299213" top="0.59055118110236227" bottom="0.59055118110236227" header="0.51181102362204722" footer="0.51181102362204722"/>
  <pageSetup paperSize="9" scale="48" fitToHeight="0" orientation="landscape" cellComments="asDisplayed" r:id="rId1"/>
  <headerFooter>
    <oddFooter>&amp;L&amp;9&amp;F&amp;C&amp;A&amp;R&amp;9Page &amp;P of &amp;N</oddFooter>
  </headerFooter>
  <rowBreaks count="1" manualBreakCount="1">
    <brk id="19" max="10"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0"/>
    <pageSetUpPr fitToPage="1"/>
  </sheetPr>
  <dimension ref="A1:K25"/>
  <sheetViews>
    <sheetView view="pageBreakPreview" zoomScale="70" zoomScaleNormal="85" zoomScaleSheetLayoutView="70" workbookViewId="0">
      <selection activeCell="H24" sqref="H24:J24"/>
    </sheetView>
  </sheetViews>
  <sheetFormatPr defaultRowHeight="12.75" x14ac:dyDescent="0.2"/>
  <cols>
    <col min="1" max="1" width="9.140625" style="69"/>
    <col min="2" max="2" width="22.140625" style="69" customWidth="1"/>
    <col min="3" max="3" width="27" style="69" customWidth="1"/>
    <col min="4" max="4" width="21.140625" style="69" customWidth="1"/>
    <col min="5" max="5" width="17" style="69" customWidth="1"/>
    <col min="6" max="6" width="15.42578125" style="69" customWidth="1"/>
    <col min="7" max="7" width="16.28515625" style="1011" customWidth="1"/>
    <col min="8" max="8" width="17.28515625" style="69" customWidth="1"/>
    <col min="9" max="9" width="17.85546875" style="69" customWidth="1"/>
    <col min="10" max="10" width="58.85546875" style="69" customWidth="1"/>
    <col min="11" max="11" width="2" style="1001" customWidth="1"/>
    <col min="12" max="16384" width="9.140625" style="69"/>
  </cols>
  <sheetData>
    <row r="1" spans="1:11" ht="24" customHeight="1" x14ac:dyDescent="0.35">
      <c r="A1" s="2114" t="s">
        <v>285</v>
      </c>
      <c r="B1" s="2114"/>
      <c r="C1" s="2114"/>
      <c r="D1" s="2114"/>
      <c r="E1" s="2114"/>
      <c r="F1" s="2114"/>
      <c r="G1" s="2114"/>
      <c r="H1" s="2114"/>
      <c r="I1" s="2114"/>
      <c r="J1" s="524"/>
    </row>
    <row r="2" spans="1:11" ht="27" customHeight="1" thickBot="1" x14ac:dyDescent="0.3">
      <c r="A2" s="98" t="s">
        <v>157</v>
      </c>
      <c r="B2" s="72"/>
      <c r="C2" s="72"/>
      <c r="D2" s="72"/>
      <c r="E2" s="72"/>
      <c r="F2" s="72"/>
      <c r="G2" s="428"/>
      <c r="H2" s="72"/>
      <c r="I2" s="72"/>
      <c r="J2" s="524"/>
    </row>
    <row r="3" spans="1:11" ht="15.75" thickBot="1" x14ac:dyDescent="0.3">
      <c r="A3" s="2081" t="s">
        <v>70</v>
      </c>
      <c r="B3" s="2556"/>
      <c r="C3" s="2082"/>
      <c r="D3" s="2557" t="str">
        <f>IF('LFA_Programmatic Progress_1A'!C7="","",'LFA_Programmatic Progress_1A'!C7)</f>
        <v>MNR-809-G04-H</v>
      </c>
      <c r="E3" s="2558"/>
      <c r="F3" s="2558"/>
      <c r="G3" s="2559"/>
      <c r="H3" s="80"/>
      <c r="I3" s="80"/>
      <c r="J3" s="524"/>
    </row>
    <row r="4" spans="1:11" ht="15" x14ac:dyDescent="0.2">
      <c r="A4" s="466" t="s">
        <v>282</v>
      </c>
      <c r="B4" s="58"/>
      <c r="C4" s="58"/>
      <c r="D4" s="53" t="s">
        <v>283</v>
      </c>
      <c r="E4" s="89" t="str">
        <f>IF('LFA_Programmatic Progress_1A'!D16="Select","",'LFA_Programmatic Progress_1A'!D16)</f>
        <v>Quarter</v>
      </c>
      <c r="F4" s="5" t="s">
        <v>284</v>
      </c>
      <c r="G4" s="1556">
        <f>IF('LFA_Programmatic Progress_1A'!F16="Select","",'LFA_Programmatic Progress_1A'!F16)</f>
        <v>8</v>
      </c>
      <c r="H4" s="80"/>
      <c r="I4" s="80"/>
      <c r="J4" s="524"/>
    </row>
    <row r="5" spans="1:11" ht="15" x14ac:dyDescent="0.2">
      <c r="A5" s="484" t="s">
        <v>280</v>
      </c>
      <c r="B5" s="58"/>
      <c r="C5" s="59"/>
      <c r="D5" s="54" t="s">
        <v>246</v>
      </c>
      <c r="E5" s="93">
        <f>IF('LFA_Programmatic Progress_1A'!D17="Select","",'LFA_Programmatic Progress_1A'!D17)</f>
        <v>40544</v>
      </c>
      <c r="F5" s="5" t="s">
        <v>264</v>
      </c>
      <c r="G5" s="1557">
        <f>IF('LFA_Programmatic Progress_1A'!F17="Select","",'LFA_Programmatic Progress_1A'!F17)</f>
        <v>40633</v>
      </c>
      <c r="H5" s="80"/>
      <c r="I5" s="80"/>
      <c r="J5" s="524"/>
    </row>
    <row r="6" spans="1:11" ht="15.75" thickBot="1" x14ac:dyDescent="0.25">
      <c r="A6" s="55" t="s">
        <v>281</v>
      </c>
      <c r="B6" s="60"/>
      <c r="C6" s="61"/>
      <c r="D6" s="2560">
        <f>IF('LFA_Programmatic Progress_1A'!C18="Select","",'LFA_Programmatic Progress_1A'!C18)</f>
        <v>6</v>
      </c>
      <c r="E6" s="2561"/>
      <c r="F6" s="2561"/>
      <c r="G6" s="2562"/>
      <c r="H6" s="80"/>
      <c r="I6" s="80"/>
      <c r="J6" s="524"/>
    </row>
    <row r="7" spans="1:11" s="698" customFormat="1" ht="15" x14ac:dyDescent="0.2">
      <c r="A7" s="224"/>
      <c r="B7" s="225"/>
      <c r="C7" s="230"/>
      <c r="D7" s="233"/>
      <c r="E7" s="223"/>
      <c r="F7" s="234"/>
      <c r="G7" s="1558"/>
      <c r="H7" s="178"/>
      <c r="I7" s="238"/>
      <c r="J7" s="596"/>
      <c r="K7" s="1302"/>
    </row>
    <row r="8" spans="1:11" s="698" customFormat="1" ht="20.25" x14ac:dyDescent="0.2">
      <c r="A8" s="166" t="s">
        <v>234</v>
      </c>
      <c r="B8" s="226"/>
      <c r="C8" s="181"/>
      <c r="D8" s="229"/>
      <c r="E8" s="229"/>
      <c r="F8" s="231"/>
      <c r="G8" s="1559"/>
      <c r="H8" s="236"/>
      <c r="I8" s="236"/>
      <c r="J8" s="596"/>
      <c r="K8" s="1302"/>
    </row>
    <row r="9" spans="1:11" s="698" customFormat="1" ht="15" x14ac:dyDescent="0.2">
      <c r="A9" s="227"/>
      <c r="B9" s="181"/>
      <c r="C9" s="228"/>
      <c r="D9" s="177"/>
      <c r="E9" s="232"/>
      <c r="F9" s="232"/>
      <c r="G9" s="1560"/>
      <c r="H9" s="236"/>
      <c r="I9" s="241"/>
      <c r="J9" s="596"/>
      <c r="K9" s="1302"/>
    </row>
    <row r="10" spans="1:11" ht="5.25" customHeight="1" x14ac:dyDescent="0.2">
      <c r="A10" s="597"/>
      <c r="B10" s="526"/>
      <c r="C10" s="527"/>
      <c r="D10" s="527"/>
      <c r="E10" s="527"/>
      <c r="F10" s="526"/>
      <c r="G10" s="1561"/>
      <c r="H10" s="526"/>
      <c r="I10" s="527"/>
      <c r="J10" s="527"/>
    </row>
    <row r="11" spans="1:11" ht="18" customHeight="1" x14ac:dyDescent="0.25">
      <c r="A11" s="2554" t="s">
        <v>455</v>
      </c>
      <c r="B11" s="2555"/>
      <c r="C11" s="2555"/>
      <c r="D11" s="2555"/>
      <c r="E11" s="2555"/>
      <c r="F11" s="2555"/>
      <c r="G11" s="2555"/>
      <c r="H11" s="2555"/>
      <c r="I11" s="2555"/>
      <c r="J11" s="2555"/>
      <c r="K11" s="945"/>
    </row>
    <row r="12" spans="1:11" ht="13.5" thickBot="1" x14ac:dyDescent="0.25">
      <c r="A12" s="598"/>
      <c r="B12" s="31"/>
      <c r="C12" s="599"/>
      <c r="D12" s="599"/>
      <c r="E12" s="599"/>
      <c r="F12" s="600"/>
      <c r="G12" s="1562"/>
      <c r="H12" s="600"/>
      <c r="I12" s="600"/>
      <c r="J12" s="599"/>
    </row>
    <row r="13" spans="1:11" ht="26.25" customHeight="1" x14ac:dyDescent="0.25">
      <c r="A13" s="429"/>
      <c r="B13" s="430"/>
      <c r="C13" s="430"/>
      <c r="D13" s="431"/>
      <c r="E13" s="432"/>
      <c r="F13" s="485" t="s">
        <v>388</v>
      </c>
      <c r="G13" s="1541" t="s">
        <v>389</v>
      </c>
      <c r="H13" s="2572" t="s">
        <v>136</v>
      </c>
      <c r="I13" s="2573"/>
      <c r="J13" s="2574"/>
    </row>
    <row r="14" spans="1:11" ht="51" customHeight="1" x14ac:dyDescent="0.2">
      <c r="A14" s="2581" t="s">
        <v>525</v>
      </c>
      <c r="B14" s="2582"/>
      <c r="C14" s="2582"/>
      <c r="D14" s="2582"/>
      <c r="E14" s="2583"/>
      <c r="F14" s="713">
        <f>+'PR_Cash Reconciliation_5A'!M13</f>
        <v>1700000</v>
      </c>
      <c r="G14" s="1542">
        <v>7588</v>
      </c>
      <c r="H14" s="2566"/>
      <c r="I14" s="2575"/>
      <c r="J14" s="2576"/>
    </row>
    <row r="15" spans="1:11" ht="39" customHeight="1" x14ac:dyDescent="0.2">
      <c r="A15" s="2592" t="s">
        <v>257</v>
      </c>
      <c r="B15" s="2593"/>
      <c r="C15" s="2593"/>
      <c r="D15" s="2593"/>
      <c r="E15" s="2593"/>
      <c r="F15" s="2590">
        <f>+'PR_Cash Reconciliation_5A'!K15</f>
        <v>1000000</v>
      </c>
      <c r="G15" s="2594">
        <v>984665</v>
      </c>
      <c r="H15" s="2566"/>
      <c r="I15" s="2575"/>
      <c r="J15" s="2576"/>
    </row>
    <row r="16" spans="1:11" ht="39" customHeight="1" x14ac:dyDescent="0.2">
      <c r="A16" s="601"/>
      <c r="B16" s="2584" t="s">
        <v>8</v>
      </c>
      <c r="C16" s="2585"/>
      <c r="D16" s="2585"/>
      <c r="E16" s="2586"/>
      <c r="F16" s="2591"/>
      <c r="G16" s="2595"/>
      <c r="H16" s="2577"/>
      <c r="I16" s="2578"/>
      <c r="J16" s="2579"/>
    </row>
    <row r="17" spans="1:11" s="698" customFormat="1" ht="39" customHeight="1" x14ac:dyDescent="0.2">
      <c r="A17" s="601"/>
      <c r="B17" s="2587" t="s">
        <v>44</v>
      </c>
      <c r="C17" s="2588"/>
      <c r="D17" s="2588"/>
      <c r="E17" s="2589"/>
      <c r="F17" s="459">
        <f>+'PR_Cash Reconciliation_5A'!K16</f>
        <v>250000</v>
      </c>
      <c r="G17" s="714">
        <v>64081</v>
      </c>
      <c r="H17" s="2563"/>
      <c r="I17" s="2564"/>
      <c r="J17" s="2565"/>
      <c r="K17" s="1302"/>
    </row>
    <row r="18" spans="1:11" s="698" customFormat="1" ht="39" customHeight="1" x14ac:dyDescent="0.2">
      <c r="A18" s="601"/>
      <c r="B18" s="2569" t="s">
        <v>452</v>
      </c>
      <c r="C18" s="2569"/>
      <c r="D18" s="2569"/>
      <c r="E18" s="2580"/>
      <c r="F18" s="459">
        <f>+'PR_Cash Reconciliation_5A'!K17</f>
        <v>20000</v>
      </c>
      <c r="G18" s="714">
        <v>0</v>
      </c>
      <c r="H18" s="2566"/>
      <c r="I18" s="2567"/>
      <c r="J18" s="2568"/>
      <c r="K18" s="1302"/>
    </row>
    <row r="19" spans="1:11" ht="39" customHeight="1" x14ac:dyDescent="0.2">
      <c r="A19" s="601"/>
      <c r="B19" s="2569" t="s">
        <v>453</v>
      </c>
      <c r="C19" s="2570"/>
      <c r="D19" s="2570"/>
      <c r="E19" s="2571"/>
      <c r="F19" s="459">
        <f>+'PR_Cash Reconciliation_5A'!K18</f>
        <v>0</v>
      </c>
      <c r="G19" s="714">
        <v>0</v>
      </c>
      <c r="H19" s="2563"/>
      <c r="I19" s="2564"/>
      <c r="J19" s="2565"/>
    </row>
    <row r="20" spans="1:11" ht="39" customHeight="1" x14ac:dyDescent="0.2">
      <c r="A20" s="601"/>
      <c r="B20" s="2602" t="s">
        <v>46</v>
      </c>
      <c r="C20" s="2603"/>
      <c r="D20" s="2603"/>
      <c r="E20" s="2603"/>
      <c r="F20" s="715">
        <f>+'PR_Cash Reconciliation_5A'!K19</f>
        <v>0</v>
      </c>
      <c r="G20" s="1543">
        <v>0</v>
      </c>
      <c r="H20" s="2563"/>
      <c r="I20" s="2564"/>
      <c r="J20" s="2565"/>
    </row>
    <row r="21" spans="1:11" ht="201.75" customHeight="1" x14ac:dyDescent="0.2">
      <c r="A21" s="602" t="s">
        <v>258</v>
      </c>
      <c r="B21" s="2604" t="s">
        <v>526</v>
      </c>
      <c r="C21" s="2605"/>
      <c r="D21" s="2605"/>
      <c r="E21" s="2606"/>
      <c r="F21" s="716">
        <f>+'PR_Cash Reconciliation_5A'!K22</f>
        <v>2235000</v>
      </c>
      <c r="G21" s="718">
        <v>535804</v>
      </c>
      <c r="H21" s="2607" t="s">
        <v>741</v>
      </c>
      <c r="I21" s="2608"/>
      <c r="J21" s="2609"/>
    </row>
    <row r="22" spans="1:11" ht="41.25" customHeight="1" x14ac:dyDescent="0.2">
      <c r="A22" s="601"/>
      <c r="B22" s="2599" t="s">
        <v>48</v>
      </c>
      <c r="C22" s="2600"/>
      <c r="D22" s="2600"/>
      <c r="E22" s="2601"/>
      <c r="F22" s="717">
        <f>+'PR_Cash Reconciliation_5A'!K23</f>
        <v>-100000</v>
      </c>
      <c r="G22" s="718">
        <v>217</v>
      </c>
      <c r="H22" s="2563" t="s">
        <v>689</v>
      </c>
      <c r="I22" s="2564"/>
      <c r="J22" s="2565"/>
    </row>
    <row r="23" spans="1:11" ht="116.25" customHeight="1" x14ac:dyDescent="0.2">
      <c r="A23" s="601"/>
      <c r="B23" s="2613" t="s">
        <v>132</v>
      </c>
      <c r="C23" s="2614"/>
      <c r="D23" s="2614"/>
      <c r="E23" s="2615"/>
      <c r="F23" s="717">
        <f>+'PR_Cash Reconciliation_5A'!K24</f>
        <v>0</v>
      </c>
      <c r="G23" s="719">
        <v>-12509</v>
      </c>
      <c r="H23" s="2563" t="s">
        <v>742</v>
      </c>
      <c r="I23" s="2564"/>
      <c r="J23" s="2565"/>
    </row>
    <row r="24" spans="1:11" ht="65.25" customHeight="1" thickBot="1" x14ac:dyDescent="0.25">
      <c r="A24" s="2610" t="s">
        <v>134</v>
      </c>
      <c r="B24" s="2611"/>
      <c r="C24" s="2611"/>
      <c r="D24" s="2611"/>
      <c r="E24" s="2612"/>
      <c r="F24" s="1301">
        <f>+F14+F15+F17+F18+F19+F20-F21-F22-F23</f>
        <v>835000</v>
      </c>
      <c r="G24" s="458">
        <f>+G14+G15+G17+G18+G19+G20-G21-G22-G23</f>
        <v>532822</v>
      </c>
      <c r="H24" s="2596" t="s">
        <v>762</v>
      </c>
      <c r="I24" s="2597"/>
      <c r="J24" s="2598"/>
    </row>
    <row r="25" spans="1:11" ht="49.5" customHeight="1" x14ac:dyDescent="0.25">
      <c r="A25" s="88"/>
      <c r="B25" s="544"/>
      <c r="C25" s="544"/>
      <c r="D25" s="544"/>
      <c r="E25" s="544"/>
      <c r="F25" s="544"/>
      <c r="G25" s="1563"/>
      <c r="H25" s="544"/>
      <c r="I25" s="544"/>
      <c r="J25" s="1012"/>
    </row>
  </sheetData>
  <sheetProtection password="92D1" sheet="1" formatCells="0" formatColumns="0" formatRows="0"/>
  <mergeCells count="29">
    <mergeCell ref="H22:J22"/>
    <mergeCell ref="H24:J24"/>
    <mergeCell ref="B22:E22"/>
    <mergeCell ref="B20:E20"/>
    <mergeCell ref="B21:E21"/>
    <mergeCell ref="H21:J21"/>
    <mergeCell ref="A24:E24"/>
    <mergeCell ref="H20:J20"/>
    <mergeCell ref="B23:E23"/>
    <mergeCell ref="H23:J23"/>
    <mergeCell ref="H19:J19"/>
    <mergeCell ref="H18:J18"/>
    <mergeCell ref="B19:E19"/>
    <mergeCell ref="H13:J13"/>
    <mergeCell ref="H15:J16"/>
    <mergeCell ref="H14:J14"/>
    <mergeCell ref="B18:E18"/>
    <mergeCell ref="H17:J17"/>
    <mergeCell ref="A14:E14"/>
    <mergeCell ref="B16:E16"/>
    <mergeCell ref="B17:E17"/>
    <mergeCell ref="F15:F16"/>
    <mergeCell ref="A15:E15"/>
    <mergeCell ref="G15:G16"/>
    <mergeCell ref="A11:J11"/>
    <mergeCell ref="A1:I1"/>
    <mergeCell ref="A3:C3"/>
    <mergeCell ref="D3:G3"/>
    <mergeCell ref="D6:G6"/>
  </mergeCells>
  <phoneticPr fontId="36" type="noConversion"/>
  <dataValidations count="1">
    <dataValidation type="list" allowBlank="1" showInputMessage="1" showErrorMessage="1" sqref="E4:E5">
      <formula1>"Select,Quarter,Semester"</formula1>
    </dataValidation>
  </dataValidations>
  <printOptions horizontalCentered="1"/>
  <pageMargins left="0.74803149606299213" right="0.74803149606299213" top="0.59055118110236227" bottom="0.59055118110236227" header="0.51181102362204722" footer="0.51181102362204722"/>
  <pageSetup paperSize="9" scale="59" fitToHeight="0" orientation="landscape" cellComments="asDisplayed" r:id="rId1"/>
  <headerFooter alignWithMargins="0">
    <oddFooter>&amp;L&amp;9&amp;F&amp;C&amp;A&amp;R&amp;9Page &amp;P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0"/>
    <pageSetUpPr fitToPage="1"/>
  </sheetPr>
  <dimension ref="A1:IT56"/>
  <sheetViews>
    <sheetView view="pageBreakPreview" zoomScale="70" zoomScaleNormal="60" zoomScaleSheetLayoutView="70" zoomScalePageLayoutView="55" workbookViewId="0">
      <selection activeCell="I54" sqref="I54"/>
    </sheetView>
  </sheetViews>
  <sheetFormatPr defaultRowHeight="12.75" x14ac:dyDescent="0.2"/>
  <cols>
    <col min="1" max="1" width="9.140625" style="69"/>
    <col min="2" max="2" width="34.42578125" style="69" customWidth="1"/>
    <col min="3" max="3" width="10.85546875" style="69" customWidth="1"/>
    <col min="4" max="4" width="8.28515625" style="69" bestFit="1" customWidth="1"/>
    <col min="5" max="5" width="6.140625" style="69" customWidth="1"/>
    <col min="6" max="6" width="16.140625" style="69" customWidth="1"/>
    <col min="7" max="7" width="4.85546875" style="69" customWidth="1"/>
    <col min="8" max="8" width="17" style="69" customWidth="1"/>
    <col min="9" max="9" width="15.42578125" style="69" customWidth="1"/>
    <col min="10" max="10" width="22.7109375" style="69" customWidth="1"/>
    <col min="11" max="11" width="26" style="69" customWidth="1"/>
    <col min="12" max="12" width="3.42578125" style="69" customWidth="1"/>
    <col min="13" max="13" width="19.7109375" style="69" customWidth="1"/>
    <col min="14" max="14" width="2.42578125" style="69" customWidth="1"/>
    <col min="15" max="15" width="23.85546875" style="69" customWidth="1"/>
    <col min="16" max="16" width="17.5703125" style="69" customWidth="1"/>
    <col min="17" max="17" width="7" style="69" customWidth="1"/>
    <col min="18" max="18" width="28.7109375" style="69" customWidth="1"/>
    <col min="19" max="19" width="3.85546875" style="69" customWidth="1"/>
    <col min="20" max="16384" width="9.140625" style="69"/>
  </cols>
  <sheetData>
    <row r="1" spans="1:254" ht="24" customHeight="1" x14ac:dyDescent="0.35">
      <c r="A1" s="2114" t="s">
        <v>285</v>
      </c>
      <c r="B1" s="2114"/>
      <c r="C1" s="2114"/>
      <c r="D1" s="2114"/>
      <c r="E1" s="2114"/>
      <c r="F1" s="2114"/>
      <c r="G1" s="2114"/>
      <c r="H1" s="2114"/>
      <c r="I1" s="2114"/>
      <c r="J1" s="2114"/>
      <c r="K1" s="2114"/>
      <c r="L1" s="2114"/>
      <c r="M1" s="2114"/>
      <c r="N1" s="2114"/>
      <c r="O1" s="2114"/>
      <c r="P1" s="289"/>
      <c r="Q1" s="289"/>
      <c r="R1" s="524"/>
    </row>
    <row r="2" spans="1:254" ht="27" customHeight="1" thickBot="1" x14ac:dyDescent="0.3">
      <c r="A2" s="98" t="s">
        <v>157</v>
      </c>
      <c r="B2" s="72"/>
      <c r="C2" s="72"/>
      <c r="D2" s="72"/>
      <c r="E2" s="72"/>
      <c r="F2" s="72"/>
      <c r="G2" s="72"/>
      <c r="H2" s="72"/>
      <c r="I2" s="72"/>
      <c r="J2" s="72"/>
      <c r="K2" s="72"/>
      <c r="L2" s="72"/>
      <c r="M2" s="72"/>
      <c r="N2" s="72"/>
      <c r="O2" s="72"/>
      <c r="P2" s="289"/>
      <c r="Q2" s="289"/>
      <c r="R2" s="524"/>
    </row>
    <row r="3" spans="1:254" ht="15.75" thickBot="1" x14ac:dyDescent="0.3">
      <c r="A3" s="2081" t="s">
        <v>70</v>
      </c>
      <c r="B3" s="2556"/>
      <c r="C3" s="2556"/>
      <c r="D3" s="2556"/>
      <c r="E3" s="2556"/>
      <c r="F3" s="2557" t="str">
        <f>'LFA_Programmatic Progress_1A'!C7</f>
        <v>MNR-809-G04-H</v>
      </c>
      <c r="G3" s="2558"/>
      <c r="H3" s="2558"/>
      <c r="I3" s="2558"/>
      <c r="J3" s="2559"/>
      <c r="K3" s="80"/>
      <c r="L3" s="80"/>
      <c r="M3" s="75"/>
      <c r="N3" s="80"/>
      <c r="O3" s="80"/>
      <c r="P3" s="289"/>
      <c r="Q3" s="289"/>
      <c r="R3" s="524"/>
    </row>
    <row r="4" spans="1:254" ht="15" x14ac:dyDescent="0.2">
      <c r="A4" s="466" t="s">
        <v>282</v>
      </c>
      <c r="B4" s="58"/>
      <c r="C4" s="58"/>
      <c r="D4" s="58"/>
      <c r="E4" s="58"/>
      <c r="F4" s="54" t="s">
        <v>283</v>
      </c>
      <c r="G4" s="355"/>
      <c r="H4" s="89" t="str">
        <f>IF('LFA_Programmatic Progress_1A'!D16="Select","",'LFA_Programmatic Progress_1A'!D16)</f>
        <v>Quarter</v>
      </c>
      <c r="I4" s="5" t="s">
        <v>284</v>
      </c>
      <c r="J4" s="479">
        <f>IF('LFA_Programmatic Progress_1A'!F16="Select","",'LFA_Programmatic Progress_1A'!F16)</f>
        <v>8</v>
      </c>
      <c r="K4" s="80"/>
      <c r="L4" s="80"/>
      <c r="M4" s="80"/>
      <c r="N4" s="80"/>
      <c r="O4" s="80"/>
      <c r="P4" s="289"/>
      <c r="Q4" s="289"/>
      <c r="R4" s="524"/>
    </row>
    <row r="5" spans="1:254" ht="15" x14ac:dyDescent="0.2">
      <c r="A5" s="484" t="s">
        <v>280</v>
      </c>
      <c r="B5" s="58"/>
      <c r="C5" s="58"/>
      <c r="D5" s="58"/>
      <c r="E5" s="58"/>
      <c r="F5" s="54" t="s">
        <v>246</v>
      </c>
      <c r="G5" s="356"/>
      <c r="H5" s="93">
        <f>IF('LFA_Programmatic Progress_1A'!D17="Select","",'LFA_Programmatic Progress_1A'!D17)</f>
        <v>40544</v>
      </c>
      <c r="I5" s="5" t="s">
        <v>264</v>
      </c>
      <c r="J5" s="478">
        <f>IF('LFA_Programmatic Progress_1A'!F17="Select","",'LFA_Programmatic Progress_1A'!F17)</f>
        <v>40633</v>
      </c>
      <c r="K5" s="80"/>
      <c r="L5" s="80"/>
      <c r="M5" s="80"/>
      <c r="N5" s="80"/>
      <c r="O5" s="80"/>
      <c r="P5" s="289"/>
      <c r="Q5" s="289"/>
      <c r="R5" s="524"/>
    </row>
    <row r="6" spans="1:254" ht="15.75" thickBot="1" x14ac:dyDescent="0.25">
      <c r="A6" s="55" t="s">
        <v>281</v>
      </c>
      <c r="B6" s="60"/>
      <c r="C6" s="60"/>
      <c r="D6" s="60"/>
      <c r="E6" s="60"/>
      <c r="F6" s="2560">
        <f>IF('LFA_Programmatic Progress_1A'!C18="Select","",'LFA_Programmatic Progress_1A'!C18)</f>
        <v>6</v>
      </c>
      <c r="G6" s="2561"/>
      <c r="H6" s="2561"/>
      <c r="I6" s="2561"/>
      <c r="J6" s="2562"/>
      <c r="K6" s="80"/>
      <c r="L6" s="80"/>
      <c r="M6" s="80"/>
      <c r="N6" s="80"/>
      <c r="O6" s="80"/>
      <c r="P6" s="289"/>
      <c r="Q6" s="289"/>
      <c r="R6" s="524"/>
    </row>
    <row r="7" spans="1:254" s="798" customFormat="1" ht="15" customHeight="1" thickBot="1" x14ac:dyDescent="0.25">
      <c r="A7" s="2431" t="s">
        <v>245</v>
      </c>
      <c r="B7" s="2432"/>
      <c r="C7" s="2432"/>
      <c r="D7" s="2432"/>
      <c r="E7" s="2433"/>
      <c r="F7" s="2685" t="str">
        <f>IF('PR_Programmatic Progress_1A'!C10="","",'PR_Programmatic Progress_1A'!C10)</f>
        <v>EUR</v>
      </c>
      <c r="G7" s="1991"/>
      <c r="H7" s="1991"/>
      <c r="I7" s="1991"/>
      <c r="J7" s="1991"/>
      <c r="K7" s="1095"/>
      <c r="L7" s="799"/>
      <c r="M7" s="799"/>
      <c r="N7" s="799"/>
      <c r="O7" s="799"/>
      <c r="P7" s="799"/>
      <c r="Q7" s="799"/>
      <c r="R7" s="790"/>
      <c r="S7" s="790"/>
      <c r="T7" s="790"/>
      <c r="U7" s="790"/>
      <c r="V7" s="790"/>
      <c r="W7" s="790"/>
      <c r="X7" s="790"/>
      <c r="Y7" s="790"/>
      <c r="Z7" s="790"/>
      <c r="AA7" s="790"/>
      <c r="AB7" s="790"/>
      <c r="AC7" s="790"/>
      <c r="AD7" s="790"/>
      <c r="AE7" s="790"/>
      <c r="AF7" s="790"/>
      <c r="AG7" s="790"/>
      <c r="AH7" s="790"/>
      <c r="AI7" s="790"/>
      <c r="AJ7" s="790"/>
      <c r="AK7" s="790"/>
      <c r="AL7" s="790"/>
      <c r="AM7" s="790"/>
      <c r="AN7" s="790"/>
      <c r="AO7" s="790"/>
      <c r="AP7" s="790"/>
      <c r="AQ7" s="790"/>
      <c r="AR7" s="790"/>
      <c r="AS7" s="790"/>
      <c r="AT7" s="790"/>
      <c r="AU7" s="790"/>
      <c r="AV7" s="790"/>
      <c r="AW7" s="790"/>
      <c r="AX7" s="790"/>
      <c r="AY7" s="790"/>
      <c r="AZ7" s="790"/>
      <c r="BA7" s="790"/>
      <c r="BB7" s="790"/>
      <c r="BC7" s="790"/>
      <c r="BD7" s="790"/>
      <c r="BE7" s="790"/>
      <c r="BF7" s="790"/>
      <c r="BG7" s="790"/>
      <c r="BH7" s="790"/>
      <c r="BI7" s="790"/>
      <c r="BJ7" s="790"/>
      <c r="BK7" s="790"/>
      <c r="BL7" s="790"/>
      <c r="BM7" s="790"/>
      <c r="BN7" s="790"/>
      <c r="BO7" s="790"/>
      <c r="BP7" s="790"/>
      <c r="BQ7" s="790"/>
      <c r="BR7" s="790"/>
      <c r="BS7" s="790"/>
      <c r="BT7" s="790"/>
      <c r="BU7" s="790"/>
      <c r="BV7" s="790"/>
      <c r="BW7" s="790"/>
      <c r="BX7" s="790"/>
      <c r="BY7" s="790"/>
      <c r="BZ7" s="790"/>
      <c r="CA7" s="790"/>
      <c r="CB7" s="790"/>
      <c r="CC7" s="790"/>
      <c r="CD7" s="790"/>
      <c r="CE7" s="790"/>
      <c r="CF7" s="790"/>
      <c r="CG7" s="790"/>
      <c r="CH7" s="790"/>
      <c r="CI7" s="790"/>
      <c r="CJ7" s="790"/>
      <c r="CK7" s="790"/>
      <c r="CL7" s="790"/>
      <c r="CM7" s="790"/>
      <c r="CN7" s="790"/>
      <c r="CO7" s="790"/>
      <c r="CP7" s="790"/>
      <c r="CQ7" s="790"/>
      <c r="CR7" s="790"/>
      <c r="CS7" s="790"/>
      <c r="CT7" s="790"/>
      <c r="CU7" s="790"/>
      <c r="CV7" s="790"/>
      <c r="CW7" s="790"/>
      <c r="CX7" s="790"/>
      <c r="CY7" s="790"/>
      <c r="CZ7" s="790"/>
      <c r="DA7" s="790"/>
      <c r="DB7" s="790"/>
      <c r="DC7" s="790"/>
      <c r="DD7" s="790"/>
      <c r="DE7" s="790"/>
      <c r="DF7" s="790"/>
      <c r="DG7" s="790"/>
      <c r="DH7" s="790"/>
      <c r="DI7" s="790"/>
      <c r="DJ7" s="790"/>
      <c r="DK7" s="790"/>
      <c r="DL7" s="790"/>
      <c r="DM7" s="790"/>
      <c r="DN7" s="790"/>
      <c r="DO7" s="790"/>
      <c r="DP7" s="790"/>
      <c r="DQ7" s="790"/>
      <c r="DR7" s="790"/>
      <c r="DS7" s="790"/>
      <c r="DT7" s="790"/>
      <c r="DU7" s="790"/>
      <c r="DV7" s="790"/>
      <c r="DW7" s="790"/>
      <c r="DX7" s="790"/>
      <c r="DY7" s="790"/>
      <c r="DZ7" s="790"/>
      <c r="EA7" s="790"/>
      <c r="EB7" s="790"/>
      <c r="EC7" s="790"/>
      <c r="ED7" s="790"/>
      <c r="EE7" s="790"/>
      <c r="EF7" s="790"/>
      <c r="EG7" s="790"/>
      <c r="EH7" s="790"/>
      <c r="EI7" s="790"/>
      <c r="EJ7" s="790"/>
      <c r="EK7" s="790"/>
      <c r="EL7" s="790"/>
      <c r="EM7" s="790"/>
      <c r="EN7" s="790"/>
      <c r="EO7" s="790"/>
      <c r="EP7" s="790"/>
      <c r="EQ7" s="790"/>
      <c r="ER7" s="790"/>
      <c r="ES7" s="790"/>
      <c r="ET7" s="790"/>
      <c r="EU7" s="790"/>
      <c r="EV7" s="790"/>
      <c r="EW7" s="790"/>
      <c r="EX7" s="790"/>
      <c r="EY7" s="790"/>
      <c r="EZ7" s="790"/>
      <c r="FA7" s="790"/>
      <c r="FB7" s="790"/>
      <c r="FC7" s="790"/>
      <c r="FD7" s="790"/>
      <c r="FE7" s="790"/>
      <c r="FF7" s="790"/>
      <c r="FG7" s="790"/>
      <c r="FH7" s="790"/>
      <c r="FI7" s="790"/>
      <c r="FJ7" s="790"/>
      <c r="FK7" s="790"/>
      <c r="FL7" s="790"/>
      <c r="FM7" s="790"/>
      <c r="FN7" s="790"/>
      <c r="FO7" s="790"/>
      <c r="FP7" s="790"/>
      <c r="FQ7" s="790"/>
      <c r="FR7" s="790"/>
      <c r="FS7" s="790"/>
      <c r="FT7" s="790"/>
      <c r="FU7" s="790"/>
      <c r="FV7" s="790"/>
      <c r="FW7" s="790"/>
      <c r="FX7" s="790"/>
      <c r="FY7" s="790"/>
      <c r="FZ7" s="790"/>
      <c r="GA7" s="790"/>
      <c r="GB7" s="790"/>
      <c r="GC7" s="790"/>
      <c r="GD7" s="790"/>
      <c r="GE7" s="790"/>
      <c r="GF7" s="790"/>
      <c r="GG7" s="790"/>
      <c r="GH7" s="790"/>
      <c r="GI7" s="790"/>
      <c r="GJ7" s="790"/>
      <c r="GK7" s="790"/>
      <c r="GL7" s="790"/>
      <c r="GM7" s="790"/>
      <c r="GN7" s="790"/>
      <c r="GO7" s="790"/>
      <c r="GP7" s="790"/>
      <c r="GQ7" s="790"/>
      <c r="GR7" s="790"/>
      <c r="GS7" s="790"/>
      <c r="GT7" s="790"/>
      <c r="GU7" s="790"/>
      <c r="GV7" s="790"/>
      <c r="GW7" s="790"/>
      <c r="GX7" s="790"/>
      <c r="GY7" s="790"/>
      <c r="GZ7" s="790"/>
      <c r="HA7" s="790"/>
      <c r="HB7" s="790"/>
      <c r="HC7" s="790"/>
      <c r="HD7" s="790"/>
      <c r="HE7" s="790"/>
      <c r="HF7" s="790"/>
      <c r="HG7" s="790"/>
      <c r="HH7" s="790"/>
      <c r="HI7" s="790"/>
      <c r="HJ7" s="790"/>
      <c r="HK7" s="790"/>
      <c r="HL7" s="790"/>
      <c r="HM7" s="790"/>
      <c r="HN7" s="790"/>
      <c r="HO7" s="790"/>
      <c r="HP7" s="790"/>
      <c r="HQ7" s="790"/>
      <c r="HR7" s="790"/>
      <c r="HS7" s="790"/>
      <c r="HT7" s="790"/>
      <c r="HU7" s="790"/>
      <c r="HV7" s="790"/>
      <c r="HW7" s="790"/>
      <c r="HX7" s="790"/>
      <c r="HY7" s="790"/>
      <c r="HZ7" s="790"/>
      <c r="IA7" s="790"/>
      <c r="IB7" s="790"/>
      <c r="IC7" s="790"/>
      <c r="ID7" s="790"/>
      <c r="IE7" s="790"/>
      <c r="IF7" s="790"/>
      <c r="IG7" s="790"/>
      <c r="IH7" s="790"/>
      <c r="II7" s="790"/>
      <c r="IJ7" s="790"/>
      <c r="IK7" s="790"/>
      <c r="IL7" s="790"/>
      <c r="IM7" s="790"/>
      <c r="IN7" s="790"/>
      <c r="IO7" s="790"/>
      <c r="IP7" s="790"/>
      <c r="IQ7" s="790"/>
      <c r="IR7" s="790"/>
      <c r="IS7" s="790"/>
      <c r="IT7" s="790"/>
    </row>
    <row r="8" spans="1:254" s="698" customFormat="1" ht="15" x14ac:dyDescent="0.2">
      <c r="A8" s="733"/>
      <c r="B8" s="734"/>
      <c r="C8" s="734"/>
      <c r="D8" s="734"/>
      <c r="E8" s="734"/>
      <c r="F8" s="735"/>
      <c r="G8" s="736"/>
      <c r="H8" s="736"/>
      <c r="I8" s="737"/>
      <c r="J8" s="735"/>
      <c r="K8" s="75"/>
      <c r="L8" s="738"/>
      <c r="M8" s="738"/>
      <c r="N8" s="738"/>
      <c r="O8" s="739"/>
      <c r="P8" s="525"/>
      <c r="Q8" s="525"/>
      <c r="R8" s="976"/>
    </row>
    <row r="9" spans="1:254" s="698" customFormat="1" ht="20.25" x14ac:dyDescent="0.2">
      <c r="A9" s="66" t="s">
        <v>234</v>
      </c>
      <c r="B9" s="740"/>
      <c r="C9" s="741"/>
      <c r="D9" s="741"/>
      <c r="E9" s="741"/>
      <c r="F9" s="742"/>
      <c r="G9" s="742"/>
      <c r="H9" s="742"/>
      <c r="I9" s="743"/>
      <c r="J9" s="744"/>
      <c r="K9" s="745"/>
      <c r="L9" s="745"/>
      <c r="M9" s="575"/>
      <c r="N9" s="745"/>
      <c r="O9" s="745"/>
      <c r="P9" s="525"/>
      <c r="Q9" s="525"/>
      <c r="R9" s="976"/>
    </row>
    <row r="10" spans="1:254" s="698" customFormat="1" ht="7.5" customHeight="1" x14ac:dyDescent="0.2">
      <c r="A10" s="66"/>
      <c r="B10" s="776"/>
      <c r="C10" s="741"/>
      <c r="D10" s="741"/>
      <c r="E10" s="741"/>
      <c r="F10" s="778"/>
      <c r="G10" s="778"/>
      <c r="H10" s="777"/>
      <c r="I10" s="777"/>
      <c r="J10" s="778"/>
      <c r="K10" s="779"/>
      <c r="L10" s="779"/>
      <c r="M10" s="779"/>
      <c r="N10" s="779"/>
      <c r="O10" s="88"/>
      <c r="P10" s="525"/>
      <c r="Q10" s="525"/>
      <c r="R10" s="976"/>
    </row>
    <row r="11" spans="1:254" x14ac:dyDescent="0.2">
      <c r="A11" s="704"/>
      <c r="B11" s="595"/>
      <c r="C11" s="595"/>
      <c r="D11" s="595"/>
      <c r="E11" s="595"/>
      <c r="F11" s="72"/>
      <c r="G11" s="72"/>
      <c r="H11" s="780"/>
      <c r="I11" s="595"/>
      <c r="J11" s="595"/>
      <c r="K11" s="595"/>
      <c r="L11" s="72"/>
      <c r="M11" s="703"/>
      <c r="N11" s="72"/>
      <c r="O11" s="703"/>
      <c r="P11" s="746"/>
      <c r="Q11" s="595"/>
      <c r="R11" s="72"/>
    </row>
    <row r="12" spans="1:254" ht="21.75" customHeight="1" x14ac:dyDescent="0.25">
      <c r="A12" s="829" t="s">
        <v>67</v>
      </c>
      <c r="B12" s="476"/>
      <c r="C12" s="476"/>
      <c r="D12" s="476"/>
      <c r="E12" s="476"/>
      <c r="F12" s="476"/>
      <c r="G12" s="476"/>
      <c r="H12" s="476"/>
      <c r="I12" s="476"/>
      <c r="J12" s="476"/>
      <c r="K12" s="476"/>
      <c r="L12" s="476"/>
      <c r="M12" s="476"/>
      <c r="N12" s="476"/>
      <c r="O12" s="476"/>
      <c r="P12" s="476"/>
      <c r="Q12" s="476"/>
      <c r="R12" s="476"/>
    </row>
    <row r="13" spans="1:254" ht="15" x14ac:dyDescent="0.25">
      <c r="A13" s="2671"/>
      <c r="B13" s="2671"/>
      <c r="C13" s="2671"/>
      <c r="D13" s="2671"/>
      <c r="E13" s="2671"/>
      <c r="F13" s="2671"/>
      <c r="G13" s="2671"/>
      <c r="H13" s="2671"/>
      <c r="I13" s="2671"/>
      <c r="J13" s="2671"/>
      <c r="K13" s="2671"/>
      <c r="L13" s="2671"/>
      <c r="M13" s="2671"/>
      <c r="N13" s="2671"/>
      <c r="O13" s="2671"/>
      <c r="P13" s="2671"/>
      <c r="Q13" s="2671"/>
      <c r="R13" s="2671"/>
    </row>
    <row r="14" spans="1:254" ht="15" x14ac:dyDescent="0.25">
      <c r="A14" s="253" t="s">
        <v>265</v>
      </c>
      <c r="B14" s="486"/>
      <c r="C14" s="486"/>
      <c r="D14" s="486"/>
      <c r="E14" s="486"/>
      <c r="F14" s="486"/>
      <c r="G14" s="357"/>
      <c r="H14" s="486"/>
      <c r="I14" s="486"/>
      <c r="J14" s="486"/>
      <c r="K14" s="486"/>
      <c r="L14" s="486"/>
      <c r="M14" s="486"/>
      <c r="N14" s="486"/>
      <c r="O14" s="486"/>
      <c r="P14" s="486"/>
      <c r="Q14" s="486"/>
      <c r="R14" s="322"/>
    </row>
    <row r="15" spans="1:254" ht="15" x14ac:dyDescent="0.25">
      <c r="A15" s="254" t="s">
        <v>9</v>
      </c>
      <c r="B15" s="249"/>
      <c r="C15" s="249"/>
      <c r="D15" s="249"/>
      <c r="E15" s="249"/>
      <c r="F15" s="249"/>
      <c r="G15" s="358"/>
      <c r="H15" s="249"/>
      <c r="I15" s="249"/>
      <c r="J15" s="249"/>
      <c r="K15" s="249"/>
      <c r="L15" s="249"/>
      <c r="M15" s="249"/>
      <c r="N15" s="249"/>
      <c r="O15" s="249"/>
      <c r="P15" s="249"/>
      <c r="Q15" s="249"/>
      <c r="R15" s="1013"/>
    </row>
    <row r="16" spans="1:254" ht="29.25" customHeight="1" x14ac:dyDescent="0.2">
      <c r="A16" s="245" t="s">
        <v>497</v>
      </c>
      <c r="B16" s="264"/>
      <c r="C16" s="1129"/>
      <c r="D16" s="1129"/>
      <c r="E16" s="1129"/>
      <c r="F16" s="255">
        <f>IF('PR_Programmatic Progress_1A'!D17="","",'PR_Programmatic Progress_1A'!D17)</f>
        <v>40544</v>
      </c>
      <c r="G16" s="359"/>
      <c r="H16" s="260" t="s">
        <v>260</v>
      </c>
      <c r="I16" s="255">
        <f>IF('PR_Programmatic Progress_1A'!F17="","",'PR_Programmatic Progress_1A'!F17)</f>
        <v>40633</v>
      </c>
      <c r="J16" s="256"/>
      <c r="K16" s="627" t="s">
        <v>38</v>
      </c>
      <c r="L16" s="603"/>
      <c r="M16" s="412">
        <f>+'PR_Disbursement Request_5B'!K16</f>
        <v>500000</v>
      </c>
      <c r="N16" s="603"/>
      <c r="O16" s="626" t="s">
        <v>391</v>
      </c>
      <c r="P16" s="417">
        <f>+'PR_Disbursement Request_5B'!N16</f>
        <v>1370000</v>
      </c>
      <c r="Q16" s="418"/>
      <c r="R16" s="1014"/>
    </row>
    <row r="17" spans="1:18" ht="10.5" customHeight="1" x14ac:dyDescent="0.2">
      <c r="A17" s="341"/>
      <c r="B17" s="341"/>
      <c r="C17" s="1129"/>
      <c r="D17" s="1129"/>
      <c r="E17" s="1129"/>
      <c r="F17" s="1146"/>
      <c r="G17" s="359"/>
      <c r="H17" s="359"/>
      <c r="I17" s="376"/>
      <c r="J17" s="340"/>
      <c r="K17" s="627"/>
      <c r="L17" s="604"/>
      <c r="M17" s="413"/>
      <c r="N17" s="604"/>
      <c r="O17" s="370"/>
      <c r="P17" s="419"/>
      <c r="Q17" s="420"/>
      <c r="R17" s="1015"/>
    </row>
    <row r="18" spans="1:18" ht="29.25" customHeight="1" x14ac:dyDescent="0.2">
      <c r="A18" s="264"/>
      <c r="B18" s="264"/>
      <c r="C18" s="1129"/>
      <c r="D18" s="1129"/>
      <c r="E18" s="1129"/>
      <c r="F18" s="1146"/>
      <c r="G18" s="360"/>
      <c r="H18" s="261"/>
      <c r="I18" s="375"/>
      <c r="J18" s="256"/>
      <c r="K18" s="1141" t="s">
        <v>43</v>
      </c>
      <c r="L18" s="604"/>
      <c r="M18" s="393">
        <v>499774</v>
      </c>
      <c r="N18" s="604"/>
      <c r="O18" s="1144" t="s">
        <v>392</v>
      </c>
      <c r="P18" s="1538">
        <v>856891.72</v>
      </c>
      <c r="Q18" s="418"/>
      <c r="R18" s="426"/>
    </row>
    <row r="19" spans="1:18" ht="14.25" x14ac:dyDescent="0.2">
      <c r="A19" s="245" t="s">
        <v>566</v>
      </c>
      <c r="B19" s="264"/>
      <c r="C19" s="1147"/>
      <c r="D19" s="1147"/>
      <c r="E19" s="1147"/>
      <c r="F19" s="263"/>
      <c r="G19" s="361"/>
      <c r="H19" s="251"/>
      <c r="I19" s="262"/>
      <c r="J19" s="256"/>
      <c r="K19" s="1273"/>
      <c r="L19" s="258"/>
      <c r="M19" s="415"/>
      <c r="N19" s="258"/>
      <c r="O19" s="1274"/>
      <c r="P19" s="421"/>
      <c r="Q19" s="422"/>
    </row>
    <row r="20" spans="1:18" ht="28.5" customHeight="1" x14ac:dyDescent="0.2">
      <c r="A20" s="1172" t="s">
        <v>557</v>
      </c>
      <c r="B20" s="264"/>
      <c r="C20" s="1129"/>
      <c r="D20" s="1129"/>
      <c r="E20" s="1129"/>
      <c r="F20" s="255">
        <f>IF(I16="","",I16+1)</f>
        <v>40634</v>
      </c>
      <c r="G20" s="361"/>
      <c r="H20" s="259" t="s">
        <v>260</v>
      </c>
      <c r="I20" s="255">
        <f>IF(F20="","",DATE(YEAR(F20),MONTH(F20)+3,DAY(F20)-1))</f>
        <v>40724</v>
      </c>
      <c r="J20" s="256"/>
      <c r="K20" s="1141" t="s">
        <v>38</v>
      </c>
      <c r="L20" s="605"/>
      <c r="M20" s="416">
        <f>+'PR_Disbursement Request_5B'!K18</f>
        <v>600000</v>
      </c>
      <c r="N20" s="605"/>
      <c r="O20" s="1275" t="s">
        <v>391</v>
      </c>
      <c r="P20" s="416">
        <f>+'PR_Disbursement Request_5B'!N18</f>
        <v>500000</v>
      </c>
      <c r="Q20" s="423"/>
    </row>
    <row r="21" spans="1:18" ht="19.5" customHeight="1" x14ac:dyDescent="0.2">
      <c r="A21" s="1128"/>
      <c r="B21" s="340"/>
      <c r="C21" s="1140"/>
      <c r="D21" s="1140"/>
      <c r="E21" s="1140"/>
      <c r="F21" s="362"/>
      <c r="G21" s="359"/>
      <c r="H21" s="359"/>
      <c r="I21" s="376"/>
      <c r="J21" s="340"/>
      <c r="K21" s="1141"/>
      <c r="L21" s="604"/>
      <c r="M21" s="413"/>
      <c r="N21" s="604"/>
      <c r="O21" s="1144"/>
      <c r="P21" s="419"/>
      <c r="Q21" s="424"/>
      <c r="R21" s="1160" t="s">
        <v>205</v>
      </c>
    </row>
    <row r="22" spans="1:18" ht="32.25" customHeight="1" x14ac:dyDescent="0.25">
      <c r="B22" s="256"/>
      <c r="C22" s="1148"/>
      <c r="D22" s="1148"/>
      <c r="E22" s="1148"/>
      <c r="F22" s="256"/>
      <c r="G22" s="256"/>
      <c r="H22" s="256"/>
      <c r="I22" s="256"/>
      <c r="J22" s="256"/>
      <c r="K22" s="1141" t="s">
        <v>43</v>
      </c>
      <c r="L22" s="604"/>
      <c r="M22" s="393">
        <v>578147</v>
      </c>
      <c r="N22" s="604"/>
      <c r="O22" s="1144" t="s">
        <v>392</v>
      </c>
      <c r="P22" s="1538">
        <v>542393.68000000005</v>
      </c>
      <c r="Q22" s="425"/>
      <c r="R22" s="1156">
        <f>P16+P20+P26</f>
        <v>1870000</v>
      </c>
    </row>
    <row r="23" spans="1:18" s="1136" customFormat="1" ht="33" customHeight="1" x14ac:dyDescent="0.25">
      <c r="A23" s="245" t="s">
        <v>574</v>
      </c>
      <c r="B23" s="1129"/>
      <c r="C23" s="1129"/>
      <c r="D23" s="1129"/>
      <c r="E23" s="1129"/>
      <c r="G23" s="1129"/>
      <c r="H23" s="1129"/>
      <c r="I23" s="1130"/>
      <c r="J23" s="1129"/>
      <c r="K23" s="1129"/>
      <c r="L23" s="1131"/>
      <c r="M23" s="1132"/>
      <c r="N23" s="1133"/>
      <c r="O23" s="1131"/>
      <c r="P23" s="1134"/>
      <c r="Q23" s="1135"/>
      <c r="R23" s="1276" t="s">
        <v>206</v>
      </c>
    </row>
    <row r="24" spans="1:18" s="1136" customFormat="1" ht="31.5" customHeight="1" x14ac:dyDescent="0.25">
      <c r="A24" s="232"/>
      <c r="B24" s="1129"/>
      <c r="C24" s="1169"/>
      <c r="D24" s="1150"/>
      <c r="E24" s="1150"/>
      <c r="F24" s="1130"/>
      <c r="G24" s="1130"/>
      <c r="H24" s="1129"/>
      <c r="I24" s="1129"/>
      <c r="J24" s="1131"/>
      <c r="K24" s="1132"/>
      <c r="L24" s="1133"/>
      <c r="M24" s="1131"/>
      <c r="N24" s="1134"/>
      <c r="O24" s="1135"/>
      <c r="R24" s="1156">
        <f>P18+P22+P28</f>
        <v>1399285.4</v>
      </c>
    </row>
    <row r="25" spans="1:18" s="1136" customFormat="1" ht="12.75" customHeight="1" x14ac:dyDescent="0.25">
      <c r="A25" s="1128"/>
      <c r="B25" s="1129"/>
      <c r="C25" s="1129"/>
      <c r="D25" s="1168"/>
      <c r="E25" s="1150"/>
      <c r="F25" s="1130"/>
      <c r="G25" s="1130"/>
      <c r="H25" s="1129"/>
      <c r="I25" s="1129"/>
      <c r="J25" s="1131"/>
      <c r="K25" s="1132"/>
      <c r="L25" s="1133"/>
      <c r="M25" s="1131"/>
      <c r="N25" s="1134"/>
      <c r="O25" s="1135"/>
      <c r="R25" s="1135"/>
    </row>
    <row r="26" spans="1:18" s="1136" customFormat="1" ht="27.75" customHeight="1" x14ac:dyDescent="0.25">
      <c r="A26" s="1128" t="s">
        <v>558</v>
      </c>
      <c r="B26" s="1129"/>
      <c r="C26" s="1129"/>
      <c r="D26" s="1129"/>
      <c r="E26" s="1129"/>
      <c r="F26" s="321">
        <f>IF(I20="","",I20+1)</f>
        <v>40725</v>
      </c>
      <c r="G26" s="1129"/>
      <c r="H26" s="1149" t="s">
        <v>260</v>
      </c>
      <c r="I26" s="1138" t="str">
        <f>'PR_Disbursement Request_5B'!H22</f>
        <v/>
      </c>
      <c r="J26" s="1129"/>
      <c r="K26" s="1129" t="s">
        <v>42</v>
      </c>
      <c r="L26" s="1129"/>
      <c r="M26" s="1157">
        <f>'PR_Disbursement Request_5B'!K22</f>
        <v>0</v>
      </c>
      <c r="N26" s="1131"/>
      <c r="O26" s="1132" t="s">
        <v>276</v>
      </c>
      <c r="P26" s="1158">
        <f>'PR_Disbursement Request_5B'!N22</f>
        <v>0</v>
      </c>
      <c r="Q26" s="1134"/>
      <c r="R26" s="1135"/>
    </row>
    <row r="27" spans="1:18" s="1001" customFormat="1" ht="12" customHeight="1" x14ac:dyDescent="0.25">
      <c r="A27" s="1137"/>
      <c r="B27" s="1140"/>
      <c r="C27" s="1140"/>
      <c r="D27" s="1140"/>
      <c r="E27" s="1140"/>
      <c r="F27" s="1140"/>
      <c r="G27" s="1140"/>
      <c r="H27" s="1140"/>
      <c r="I27" s="1141"/>
      <c r="J27" s="1142"/>
      <c r="K27" s="1143"/>
      <c r="L27" s="1142"/>
      <c r="M27" s="1144"/>
      <c r="N27" s="1143"/>
      <c r="O27" s="1145"/>
      <c r="P27" s="1135"/>
    </row>
    <row r="28" spans="1:18" s="1001" customFormat="1" ht="32.25" customHeight="1" x14ac:dyDescent="0.25">
      <c r="A28" s="1128"/>
      <c r="B28" s="1140"/>
      <c r="C28" s="1140"/>
      <c r="D28" s="1140"/>
      <c r="E28" s="1140"/>
      <c r="F28" s="1140"/>
      <c r="G28" s="1140"/>
      <c r="H28" s="1140"/>
      <c r="I28" s="1140"/>
      <c r="J28" s="1140"/>
      <c r="K28" s="1141" t="s">
        <v>43</v>
      </c>
      <c r="L28" s="604"/>
      <c r="M28" s="414"/>
      <c r="N28" s="604"/>
      <c r="O28" s="1144" t="s">
        <v>392</v>
      </c>
      <c r="P28" s="414"/>
      <c r="Q28" s="1145"/>
      <c r="R28" s="1135"/>
    </row>
    <row r="29" spans="1:18" s="1001" customFormat="1" ht="9.75" customHeight="1" x14ac:dyDescent="0.25">
      <c r="A29" s="1128"/>
      <c r="B29" s="1140"/>
      <c r="C29" s="1140"/>
      <c r="D29" s="1140"/>
      <c r="E29" s="1140"/>
      <c r="F29" s="1140"/>
      <c r="G29" s="1140"/>
      <c r="H29" s="1140"/>
      <c r="I29" s="1140"/>
      <c r="J29" s="1140"/>
      <c r="K29" s="1141"/>
      <c r="L29" s="1142"/>
      <c r="M29" s="1143"/>
      <c r="N29" s="1142"/>
      <c r="O29" s="1144"/>
      <c r="P29" s="1143"/>
      <c r="Q29" s="1145"/>
      <c r="R29" s="1135"/>
    </row>
    <row r="30" spans="1:18" s="1155" customFormat="1" ht="31.5" customHeight="1" x14ac:dyDescent="0.25">
      <c r="A30" s="2680" t="s">
        <v>575</v>
      </c>
      <c r="B30" s="2680"/>
      <c r="C30" s="2680"/>
      <c r="D30" s="2680"/>
      <c r="E30" s="2680"/>
      <c r="F30" s="2680"/>
      <c r="G30" s="2680"/>
      <c r="H30" s="2680"/>
      <c r="I30" s="2680"/>
      <c r="J30" s="2680"/>
      <c r="K30" s="2680"/>
      <c r="L30" s="2680"/>
      <c r="M30" s="2680"/>
      <c r="N30" s="2680"/>
      <c r="O30" s="2680"/>
      <c r="P30" s="2680"/>
      <c r="Q30" s="2681"/>
      <c r="R30" s="1154"/>
    </row>
    <row r="31" spans="1:18" s="1155" customFormat="1" ht="33" customHeight="1" x14ac:dyDescent="0.25">
      <c r="A31" s="2680" t="s">
        <v>559</v>
      </c>
      <c r="B31" s="2680"/>
      <c r="C31" s="2680"/>
      <c r="D31" s="2680"/>
      <c r="E31" s="2680"/>
      <c r="F31" s="2680"/>
      <c r="G31" s="2680"/>
      <c r="H31" s="2680"/>
      <c r="I31" s="2680"/>
      <c r="J31" s="2680"/>
      <c r="K31" s="2680"/>
      <c r="L31" s="2680"/>
      <c r="M31" s="2680"/>
      <c r="N31" s="2680"/>
      <c r="O31" s="2680"/>
      <c r="P31" s="2680"/>
      <c r="Q31" s="2680"/>
      <c r="R31" s="1154"/>
    </row>
    <row r="32" spans="1:18" s="1001" customFormat="1" ht="14.25" x14ac:dyDescent="0.2">
      <c r="A32" s="1151"/>
      <c r="B32" s="1140"/>
      <c r="C32" s="1140"/>
      <c r="D32" s="1140"/>
      <c r="E32" s="1140"/>
      <c r="F32" s="1140"/>
      <c r="G32" s="1140"/>
      <c r="H32" s="1152"/>
      <c r="I32" s="1152"/>
      <c r="J32" s="1152"/>
      <c r="K32" s="1140"/>
      <c r="L32" s="1153"/>
      <c r="M32" s="1153"/>
      <c r="N32" s="1153"/>
      <c r="O32" s="1153"/>
      <c r="P32" s="1153"/>
      <c r="Q32" s="1153"/>
      <c r="R32" s="1153"/>
    </row>
    <row r="33" spans="1:18" ht="20.25" customHeight="1" x14ac:dyDescent="0.2">
      <c r="A33" s="2674" t="s">
        <v>151</v>
      </c>
      <c r="B33" s="2675"/>
      <c r="C33" s="2675"/>
      <c r="D33" s="2675"/>
      <c r="E33" s="2675"/>
      <c r="F33" s="2675"/>
      <c r="G33" s="2676"/>
      <c r="H33" s="2619" t="str">
        <f>IF('PR_Disbursement Request_5B'!I27="","",'PR_Disbursement Request_5B'!I27)</f>
        <v xml:space="preserve">Please see the attached spreadsheet named "Cash Forecast Detail Top Down" .  
The forecast for the next reporting period is based on the Q6 budget adjusted down for the following: 
Less $100,000 for savings from late staff recruitment (see Section 3A) 
Less $50,000 – TA for labs to be funded by another donor (see Section 3A)
Less $80,000 – Unused SR cash balance not offset by commitments
The budget for the buffer quarter is adjusted down for the following: 
Less $100,00 – advance payment for test systems
</v>
      </c>
      <c r="I33" s="2620"/>
      <c r="J33" s="2620"/>
      <c r="K33" s="2620"/>
      <c r="L33" s="2620"/>
      <c r="M33" s="2620"/>
      <c r="N33" s="2620"/>
      <c r="O33" s="2620"/>
      <c r="P33" s="2620"/>
      <c r="Q33" s="2620"/>
      <c r="R33" s="2621"/>
    </row>
    <row r="34" spans="1:18" ht="93" customHeight="1" x14ac:dyDescent="0.2">
      <c r="A34" s="2677"/>
      <c r="B34" s="2678"/>
      <c r="C34" s="2678"/>
      <c r="D34" s="2678"/>
      <c r="E34" s="2678"/>
      <c r="F34" s="2678"/>
      <c r="G34" s="2679"/>
      <c r="H34" s="2622"/>
      <c r="I34" s="2623"/>
      <c r="J34" s="2623"/>
      <c r="K34" s="2623"/>
      <c r="L34" s="2623"/>
      <c r="M34" s="2623"/>
      <c r="N34" s="2623"/>
      <c r="O34" s="2623"/>
      <c r="P34" s="2623"/>
      <c r="Q34" s="2623"/>
      <c r="R34" s="2624"/>
    </row>
    <row r="35" spans="1:18" ht="152.25" customHeight="1" x14ac:dyDescent="0.2">
      <c r="A35" s="2660" t="s">
        <v>614</v>
      </c>
      <c r="B35" s="2661"/>
      <c r="C35" s="2661"/>
      <c r="D35" s="2661"/>
      <c r="E35" s="2661"/>
      <c r="F35" s="2661"/>
      <c r="G35" s="2662"/>
      <c r="H35" s="2645" t="s">
        <v>743</v>
      </c>
      <c r="I35" s="2646"/>
      <c r="J35" s="2646"/>
      <c r="K35" s="2646"/>
      <c r="L35" s="2646"/>
      <c r="M35" s="2646"/>
      <c r="N35" s="2646"/>
      <c r="O35" s="2646"/>
      <c r="P35" s="2646"/>
      <c r="Q35" s="2646"/>
      <c r="R35" s="2647"/>
    </row>
    <row r="36" spans="1:18" ht="97.5" customHeight="1" x14ac:dyDescent="0.2">
      <c r="A36" s="2663"/>
      <c r="B36" s="2664"/>
      <c r="C36" s="2664"/>
      <c r="D36" s="2664"/>
      <c r="E36" s="2664"/>
      <c r="F36" s="2664"/>
      <c r="G36" s="2665"/>
      <c r="H36" s="2648"/>
      <c r="I36" s="2649"/>
      <c r="J36" s="2649"/>
      <c r="K36" s="2649"/>
      <c r="L36" s="2649"/>
      <c r="M36" s="2649"/>
      <c r="N36" s="2649"/>
      <c r="O36" s="2649"/>
      <c r="P36" s="2649"/>
      <c r="Q36" s="2649"/>
      <c r="R36" s="2650"/>
    </row>
    <row r="37" spans="1:18" ht="14.25" x14ac:dyDescent="0.2">
      <c r="A37" s="269"/>
      <c r="B37" s="269"/>
      <c r="C37" s="269"/>
      <c r="D37" s="269"/>
      <c r="E37" s="269"/>
      <c r="F37" s="269"/>
      <c r="G37" s="269"/>
      <c r="H37" s="269"/>
      <c r="I37" s="269"/>
      <c r="J37" s="269"/>
      <c r="K37" s="269"/>
      <c r="L37" s="269"/>
      <c r="M37" s="1303"/>
      <c r="N37" s="269"/>
      <c r="O37" s="269"/>
      <c r="P37" s="1305"/>
      <c r="Q37" s="1303"/>
      <c r="R37" s="1306"/>
    </row>
    <row r="38" spans="1:18" s="1001" customFormat="1" ht="14.25" x14ac:dyDescent="0.2">
      <c r="A38" s="1140"/>
      <c r="B38" s="1140"/>
      <c r="C38" s="1140"/>
      <c r="D38" s="1140"/>
      <c r="E38" s="1140"/>
      <c r="F38" s="1140"/>
      <c r="G38" s="1140"/>
      <c r="H38" s="1140"/>
      <c r="I38" s="1140"/>
      <c r="J38" s="1304"/>
      <c r="K38" s="1304"/>
      <c r="L38" s="1304"/>
      <c r="M38" s="1304"/>
      <c r="N38" s="1304"/>
      <c r="O38" s="1304"/>
      <c r="P38" s="1304"/>
      <c r="Q38" s="1304"/>
      <c r="R38" s="1304"/>
    </row>
    <row r="39" spans="1:18" ht="27.75" customHeight="1" x14ac:dyDescent="0.2">
      <c r="A39" s="2666" t="s">
        <v>258</v>
      </c>
      <c r="B39" s="2639" t="s">
        <v>537</v>
      </c>
      <c r="C39" s="2640"/>
      <c r="D39" s="2640"/>
      <c r="E39" s="2640"/>
      <c r="F39" s="2640"/>
      <c r="G39" s="2640"/>
      <c r="H39" s="2640"/>
      <c r="I39" s="2641"/>
      <c r="J39" s="434" t="s">
        <v>388</v>
      </c>
      <c r="K39" s="1277" t="s">
        <v>389</v>
      </c>
      <c r="L39" s="2682" t="s">
        <v>228</v>
      </c>
      <c r="M39" s="2683"/>
      <c r="N39" s="2683"/>
      <c r="O39" s="2683"/>
      <c r="P39" s="2683"/>
      <c r="Q39" s="2683"/>
      <c r="R39" s="2684"/>
    </row>
    <row r="40" spans="1:18" ht="42" customHeight="1" x14ac:dyDescent="0.2">
      <c r="A40" s="2667"/>
      <c r="B40" s="2642"/>
      <c r="C40" s="2643"/>
      <c r="D40" s="2643"/>
      <c r="E40" s="2643"/>
      <c r="F40" s="2643"/>
      <c r="G40" s="2643"/>
      <c r="H40" s="2643"/>
      <c r="I40" s="2644"/>
      <c r="J40" s="728">
        <f>+'LFA_Cash Reconciliation_5A'!F24</f>
        <v>835000</v>
      </c>
      <c r="K40" s="728">
        <f>+'LFA_Cash Reconciliation_5A'!G24</f>
        <v>532822</v>
      </c>
      <c r="L40" s="2625" t="s">
        <v>718</v>
      </c>
      <c r="M40" s="2626"/>
      <c r="N40" s="2626"/>
      <c r="O40" s="2626"/>
      <c r="P40" s="2626"/>
      <c r="Q40" s="2626"/>
      <c r="R40" s="2627"/>
    </row>
    <row r="41" spans="1:18" ht="39" customHeight="1" x14ac:dyDescent="0.2">
      <c r="A41" s="2667"/>
      <c r="B41" s="2672" t="s">
        <v>518</v>
      </c>
      <c r="C41" s="2673"/>
      <c r="D41" s="2673"/>
      <c r="E41" s="2673"/>
      <c r="F41" s="2673"/>
      <c r="G41" s="2673"/>
      <c r="H41" s="2673"/>
      <c r="I41" s="2673"/>
      <c r="J41" s="729">
        <f>+'PR_Disbursement Request_5B'!N33</f>
        <v>0</v>
      </c>
      <c r="K41" s="730"/>
      <c r="L41" s="2657"/>
      <c r="M41" s="2658"/>
      <c r="N41" s="2658"/>
      <c r="O41" s="2658"/>
      <c r="P41" s="2658"/>
      <c r="Q41" s="2658"/>
      <c r="R41" s="2659"/>
    </row>
    <row r="42" spans="1:18" ht="39" customHeight="1" x14ac:dyDescent="0.2">
      <c r="A42" s="2668"/>
      <c r="B42" s="2669" t="s">
        <v>519</v>
      </c>
      <c r="C42" s="2670"/>
      <c r="D42" s="2670"/>
      <c r="E42" s="2670"/>
      <c r="F42" s="2670"/>
      <c r="G42" s="2670"/>
      <c r="H42" s="2670"/>
      <c r="I42" s="2670"/>
      <c r="J42" s="731">
        <f>+'PR_Disbursement Request_5B'!N34</f>
        <v>0</v>
      </c>
      <c r="K42" s="732"/>
      <c r="L42" s="2657"/>
      <c r="M42" s="2658"/>
      <c r="N42" s="2658"/>
      <c r="O42" s="2658"/>
      <c r="P42" s="2658"/>
      <c r="Q42" s="2658"/>
      <c r="R42" s="2659"/>
    </row>
    <row r="43" spans="1:18" ht="29.25" customHeight="1" x14ac:dyDescent="0.2">
      <c r="A43" s="435"/>
      <c r="B43" s="433"/>
      <c r="C43" s="433"/>
      <c r="D43" s="433"/>
      <c r="E43" s="433"/>
      <c r="F43" s="433"/>
      <c r="G43" s="433"/>
      <c r="H43" s="433"/>
      <c r="I43" s="433"/>
      <c r="J43" s="434" t="s">
        <v>393</v>
      </c>
      <c r="K43" s="1277" t="s">
        <v>394</v>
      </c>
      <c r="L43" s="2616"/>
      <c r="M43" s="2617"/>
      <c r="N43" s="2617"/>
      <c r="O43" s="2617"/>
      <c r="P43" s="2617"/>
      <c r="Q43" s="2617"/>
      <c r="R43" s="2618"/>
    </row>
    <row r="44" spans="1:18" ht="65.25" customHeight="1" x14ac:dyDescent="0.2">
      <c r="A44" s="2628" t="s">
        <v>520</v>
      </c>
      <c r="B44" s="2629"/>
      <c r="C44" s="2629"/>
      <c r="D44" s="2629"/>
      <c r="E44" s="2629"/>
      <c r="F44" s="2629"/>
      <c r="G44" s="2629"/>
      <c r="H44" s="2629"/>
      <c r="I44" s="2629"/>
      <c r="J44" s="457">
        <f>IF(R22=0,0,IF(R22-J40-J41-J42&lt;0,0,R22-J40-J41-J42))</f>
        <v>1035000</v>
      </c>
      <c r="K44" s="457">
        <f>IF(R24=0,0,IF(R24-K40-K41-K42&lt;0,0,R24-K40-K41-K42))</f>
        <v>866463.39999999991</v>
      </c>
      <c r="L44" s="2651"/>
      <c r="M44" s="2652"/>
      <c r="N44" s="2652"/>
      <c r="O44" s="2652"/>
      <c r="P44" s="2652"/>
      <c r="Q44" s="2652"/>
      <c r="R44" s="2653"/>
    </row>
    <row r="45" spans="1:18" ht="7.5" customHeight="1" x14ac:dyDescent="0.2">
      <c r="A45" s="657"/>
      <c r="B45" s="625"/>
      <c r="C45" s="628"/>
      <c r="D45" s="628"/>
      <c r="E45" s="628"/>
      <c r="F45" s="625"/>
      <c r="G45" s="658"/>
      <c r="H45" s="625"/>
      <c r="I45" s="628"/>
      <c r="J45" s="265"/>
      <c r="K45" s="266"/>
      <c r="L45" s="25"/>
      <c r="M45" s="363"/>
      <c r="N45" s="25"/>
      <c r="O45" s="257"/>
      <c r="P45" s="268"/>
      <c r="Q45" s="25"/>
      <c r="R45" s="257"/>
    </row>
    <row r="46" spans="1:18" ht="26.25" customHeight="1" x14ac:dyDescent="0.25">
      <c r="A46" s="659" t="s">
        <v>501</v>
      </c>
      <c r="B46" s="660"/>
      <c r="C46" s="660"/>
      <c r="D46" s="660"/>
      <c r="E46" s="660"/>
      <c r="F46" s="304"/>
      <c r="G46" s="661"/>
      <c r="H46" s="312"/>
      <c r="I46" s="319"/>
      <c r="J46" s="1024" t="s">
        <v>17</v>
      </c>
      <c r="K46" s="378"/>
      <c r="L46" s="243"/>
      <c r="M46" s="378"/>
      <c r="N46" s="243"/>
      <c r="O46" s="243"/>
      <c r="P46" s="242"/>
      <c r="Q46" s="243"/>
      <c r="R46" s="1016"/>
    </row>
    <row r="47" spans="1:18" ht="26.25" customHeight="1" x14ac:dyDescent="0.2">
      <c r="A47" s="1282" t="s">
        <v>602</v>
      </c>
      <c r="B47" s="657"/>
      <c r="C47" s="657"/>
      <c r="D47" s="1129"/>
      <c r="E47" s="1129"/>
      <c r="F47" s="1173"/>
      <c r="G47" s="338"/>
      <c r="H47" s="663"/>
      <c r="I47" s="664"/>
      <c r="J47" s="1035"/>
      <c r="K47" s="3"/>
      <c r="L47" s="243"/>
      <c r="M47" s="243"/>
      <c r="N47" s="243"/>
      <c r="O47" s="243"/>
      <c r="P47" s="242"/>
      <c r="Q47" s="243"/>
      <c r="R47" s="1016"/>
    </row>
    <row r="48" spans="1:18" ht="27" customHeight="1" x14ac:dyDescent="0.2">
      <c r="A48" s="336"/>
      <c r="B48" s="337"/>
      <c r="C48" s="337"/>
      <c r="D48" s="337"/>
      <c r="E48" s="337"/>
      <c r="F48" s="1174" t="s">
        <v>49</v>
      </c>
      <c r="G48" s="338"/>
      <c r="H48" s="1278" t="s">
        <v>50</v>
      </c>
      <c r="I48" s="1253"/>
      <c r="J48" s="2654" t="s">
        <v>604</v>
      </c>
      <c r="K48" s="2655"/>
      <c r="L48" s="2655"/>
      <c r="M48" s="2655"/>
      <c r="N48" s="2655"/>
      <c r="O48" s="2656"/>
      <c r="P48" s="242"/>
      <c r="Q48" s="243"/>
      <c r="R48" s="1016"/>
    </row>
    <row r="49" spans="1:18" ht="10.5" customHeight="1" thickBot="1" x14ac:dyDescent="0.25">
      <c r="A49" s="336"/>
      <c r="B49" s="337"/>
      <c r="C49" s="337"/>
      <c r="D49" s="337"/>
      <c r="E49" s="337"/>
      <c r="F49" s="338"/>
      <c r="G49" s="338"/>
      <c r="H49" s="606"/>
      <c r="I49" s="339"/>
      <c r="J49" s="270"/>
      <c r="K49" s="72"/>
      <c r="L49" s="345"/>
      <c r="M49" s="345"/>
      <c r="N49" s="345"/>
      <c r="O49" s="345"/>
      <c r="P49" s="335"/>
      <c r="Q49" s="340"/>
      <c r="R49" s="1017"/>
    </row>
    <row r="50" spans="1:18" ht="26.25" customHeight="1" thickBot="1" x14ac:dyDescent="0.25">
      <c r="A50" s="252"/>
      <c r="B50" s="1279" t="s">
        <v>226</v>
      </c>
      <c r="C50" s="1279"/>
      <c r="D50" s="1279"/>
      <c r="E50" s="1279"/>
      <c r="F50" s="720">
        <f>+'PR_Disbursement Request_5B'!G41</f>
        <v>46</v>
      </c>
      <c r="G50" s="721"/>
      <c r="H50" s="1034">
        <v>37</v>
      </c>
      <c r="I50" s="342"/>
      <c r="J50" s="2630" t="s">
        <v>748</v>
      </c>
      <c r="K50" s="2631"/>
      <c r="L50" s="2631"/>
      <c r="M50" s="2631"/>
      <c r="N50" s="2631"/>
      <c r="O50" s="2632"/>
      <c r="P50" s="250"/>
      <c r="Q50" s="242"/>
      <c r="R50" s="1018"/>
    </row>
    <row r="51" spans="1:18" ht="8.25" customHeight="1" thickBot="1" x14ac:dyDescent="0.25">
      <c r="A51" s="333"/>
      <c r="B51" s="1280"/>
      <c r="C51" s="1280"/>
      <c r="D51" s="1280"/>
      <c r="E51" s="1280"/>
      <c r="F51" s="722"/>
      <c r="G51" s="722"/>
      <c r="H51" s="723"/>
      <c r="I51" s="482"/>
      <c r="J51" s="2633"/>
      <c r="K51" s="2634"/>
      <c r="L51" s="2634"/>
      <c r="M51" s="2634"/>
      <c r="N51" s="2634"/>
      <c r="O51" s="2635"/>
      <c r="P51" s="344"/>
      <c r="Q51" s="335"/>
      <c r="R51" s="1019"/>
    </row>
    <row r="52" spans="1:18" ht="26.25" customHeight="1" thickBot="1" x14ac:dyDescent="0.25">
      <c r="A52" s="201"/>
      <c r="B52" s="1279" t="s">
        <v>227</v>
      </c>
      <c r="C52" s="1279"/>
      <c r="D52" s="1279"/>
      <c r="E52" s="1279"/>
      <c r="F52" s="724">
        <f>+'PR_Disbursement Request_5B'!G43</f>
        <v>46</v>
      </c>
      <c r="G52" s="721"/>
      <c r="H52" s="1034">
        <v>37.46</v>
      </c>
      <c r="I52" s="343"/>
      <c r="J52" s="2633"/>
      <c r="K52" s="2634"/>
      <c r="L52" s="2634"/>
      <c r="M52" s="2634"/>
      <c r="N52" s="2634"/>
      <c r="O52" s="2635"/>
      <c r="P52" s="250"/>
      <c r="Q52" s="242"/>
      <c r="R52" s="1018"/>
    </row>
    <row r="53" spans="1:18" ht="8.25" customHeight="1" thickBot="1" x14ac:dyDescent="0.25">
      <c r="A53" s="21"/>
      <c r="B53" s="1281"/>
      <c r="C53" s="1281"/>
      <c r="D53" s="1281"/>
      <c r="E53" s="1281"/>
      <c r="F53" s="725"/>
      <c r="G53" s="726"/>
      <c r="H53" s="723"/>
      <c r="I53" s="371"/>
      <c r="J53" s="2633"/>
      <c r="K53" s="2634"/>
      <c r="L53" s="2634"/>
      <c r="M53" s="2634"/>
      <c r="N53" s="2634"/>
      <c r="O53" s="2635"/>
      <c r="P53" s="250"/>
      <c r="Q53" s="242"/>
      <c r="R53" s="1018"/>
    </row>
    <row r="54" spans="1:18" ht="51.75" customHeight="1" thickBot="1" x14ac:dyDescent="0.25">
      <c r="A54" s="1020"/>
      <c r="B54" s="2045" t="s">
        <v>45</v>
      </c>
      <c r="C54" s="2046"/>
      <c r="D54" s="2046"/>
      <c r="E54" s="2046"/>
      <c r="F54" s="724">
        <f>+'PR_Disbursement Request_5B'!G45</f>
        <v>0</v>
      </c>
      <c r="G54" s="727"/>
      <c r="H54" s="1564" t="s">
        <v>763</v>
      </c>
      <c r="I54" s="1021"/>
      <c r="J54" s="2636"/>
      <c r="K54" s="2637"/>
      <c r="L54" s="2637"/>
      <c r="M54" s="2637"/>
      <c r="N54" s="2637"/>
      <c r="O54" s="2638"/>
      <c r="P54" s="1022"/>
      <c r="Q54" s="270"/>
      <c r="R54" s="1023"/>
    </row>
    <row r="55" spans="1:18" ht="12" customHeight="1" x14ac:dyDescent="0.2">
      <c r="A55" s="208"/>
      <c r="B55" s="208"/>
      <c r="C55" s="208"/>
      <c r="D55" s="208"/>
      <c r="E55" s="208"/>
      <c r="F55" s="208"/>
      <c r="G55" s="208"/>
      <c r="H55" s="208"/>
      <c r="I55" s="334"/>
      <c r="J55" s="334"/>
      <c r="K55" s="334"/>
      <c r="L55" s="334"/>
      <c r="M55" s="334"/>
      <c r="N55" s="334"/>
      <c r="O55" s="334"/>
      <c r="P55" s="334"/>
      <c r="Q55" s="334"/>
      <c r="R55" s="334"/>
    </row>
    <row r="56" spans="1:18" ht="20.25" customHeight="1" x14ac:dyDescent="0.2"/>
  </sheetData>
  <sheetProtection password="92D1" sheet="1" formatCells="0" formatColumns="0" formatRows="0"/>
  <mergeCells count="27">
    <mergeCell ref="A7:E7"/>
    <mergeCell ref="F7:J7"/>
    <mergeCell ref="A1:O1"/>
    <mergeCell ref="A3:E3"/>
    <mergeCell ref="F3:J3"/>
    <mergeCell ref="F6:J6"/>
    <mergeCell ref="A13:R13"/>
    <mergeCell ref="B41:I41"/>
    <mergeCell ref="A33:G34"/>
    <mergeCell ref="A30:Q30"/>
    <mergeCell ref="A31:Q31"/>
    <mergeCell ref="L41:R41"/>
    <mergeCell ref="L39:R39"/>
    <mergeCell ref="L43:R43"/>
    <mergeCell ref="H33:R34"/>
    <mergeCell ref="L40:R40"/>
    <mergeCell ref="A44:I44"/>
    <mergeCell ref="B54:E54"/>
    <mergeCell ref="J50:O54"/>
    <mergeCell ref="B39:I40"/>
    <mergeCell ref="H35:R36"/>
    <mergeCell ref="L44:R44"/>
    <mergeCell ref="J48:O48"/>
    <mergeCell ref="L42:R42"/>
    <mergeCell ref="A35:G36"/>
    <mergeCell ref="A39:A42"/>
    <mergeCell ref="B42:I42"/>
  </mergeCells>
  <phoneticPr fontId="36" type="noConversion"/>
  <conditionalFormatting sqref="F16:F18 F21">
    <cfRule type="cellIs" dxfId="12" priority="3" stopIfTrue="1" operator="equal">
      <formula>$R$5</formula>
    </cfRule>
  </conditionalFormatting>
  <conditionalFormatting sqref="I16">
    <cfRule type="cellIs" dxfId="11" priority="2" stopIfTrue="1" operator="equal">
      <formula>$R$5</formula>
    </cfRule>
  </conditionalFormatting>
  <conditionalFormatting sqref="F20">
    <cfRule type="cellIs" dxfId="10" priority="1" stopIfTrue="1" operator="equal">
      <formula>$R$5</formula>
    </cfRule>
  </conditionalFormatting>
  <dataValidations count="3">
    <dataValidation type="list" allowBlank="1" showInputMessage="1" showErrorMessage="1" sqref="J47 J49">
      <formula1>"Select,Yes,No"</formula1>
    </dataValidation>
    <dataValidation type="list" allowBlank="1" showInputMessage="1" showErrorMessage="1" sqref="J46">
      <formula1>"Select,Yes,No,N/A"</formula1>
    </dataValidation>
    <dataValidation type="list" allowBlank="1" showInputMessage="1" showErrorMessage="1" sqref="H4:H5">
      <formula1>"Select,Quarter,Semester"</formula1>
    </dataValidation>
  </dataValidations>
  <printOptions horizontalCentered="1"/>
  <pageMargins left="0.74803149606299213" right="0.74803149606299213" top="0.59055118110236227" bottom="0.59055118110236227" header="0.51181102362204722" footer="0.51181102362204722"/>
  <pageSetup paperSize="9" scale="47" fitToHeight="0" orientation="landscape" cellComments="asDisplayed" r:id="rId1"/>
  <headerFooter alignWithMargins="0">
    <oddFooter>&amp;L&amp;9&amp;F&amp;C&amp;A&amp;R&amp;9Page &amp;P of &amp;N</oddFooter>
  </headerFooter>
  <rowBreaks count="1" manualBreakCount="1">
    <brk id="37" max="18"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0"/>
  </sheetPr>
  <dimension ref="A1"/>
  <sheetViews>
    <sheetView workbookViewId="0">
      <selection sqref="A1:N24"/>
    </sheetView>
  </sheetViews>
  <sheetFormatPr defaultRowHeight="12.75" x14ac:dyDescent="0.2"/>
  <sheetData/>
  <customSheetViews>
    <customSheetView guid="{E26F941C-F347-432D-B4B3-73B25F002075}" state="hidden">
      <selection sqref="A1:N24"/>
      <pageMargins left="0.7" right="0.7" top="0.75" bottom="0.75" header="0.3" footer="0.3"/>
    </customSheetView>
  </customSheetViews>
  <phoneticPr fontId="34" type="noConversion"/>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0"/>
    <pageSetUpPr fitToPage="1"/>
  </sheetPr>
  <dimension ref="A1:X41"/>
  <sheetViews>
    <sheetView view="pageBreakPreview" zoomScale="60" zoomScaleNormal="75" workbookViewId="0">
      <selection activeCell="A23" sqref="A23:K24"/>
    </sheetView>
  </sheetViews>
  <sheetFormatPr defaultRowHeight="12.75" x14ac:dyDescent="0.2"/>
  <cols>
    <col min="1" max="1" width="21.5703125" style="69" customWidth="1"/>
    <col min="2" max="2" width="20.85546875" style="69" customWidth="1"/>
    <col min="3" max="3" width="20.5703125" style="69" customWidth="1"/>
    <col min="4" max="4" width="29.5703125" style="69" customWidth="1"/>
    <col min="5" max="5" width="18.7109375" style="69" customWidth="1"/>
    <col min="6" max="6" width="22" style="69" customWidth="1"/>
    <col min="7" max="7" width="20" style="69" customWidth="1"/>
    <col min="8" max="8" width="21.28515625" style="69" customWidth="1"/>
    <col min="9" max="9" width="6.5703125" style="69" customWidth="1"/>
    <col min="10" max="10" width="6.85546875" style="69" customWidth="1"/>
    <col min="11" max="11" width="11.42578125" style="69" customWidth="1"/>
    <col min="12" max="16384" width="9.140625" style="69"/>
  </cols>
  <sheetData>
    <row r="1" spans="1:23" ht="25.5" customHeight="1" x14ac:dyDescent="0.35">
      <c r="A1" s="2114" t="s">
        <v>285</v>
      </c>
      <c r="B1" s="2114"/>
      <c r="C1" s="2114"/>
      <c r="D1" s="2114"/>
      <c r="E1" s="2114"/>
      <c r="F1" s="2114"/>
      <c r="G1" s="2114"/>
      <c r="H1" s="2114"/>
      <c r="I1" s="2114"/>
      <c r="J1" s="2114"/>
    </row>
    <row r="2" spans="1:23" s="14" customFormat="1" ht="27" customHeight="1" thickBot="1" x14ac:dyDescent="0.3">
      <c r="A2" s="98" t="s">
        <v>156</v>
      </c>
      <c r="B2" s="72"/>
      <c r="C2" s="72"/>
      <c r="D2" s="72"/>
      <c r="E2" s="72"/>
      <c r="F2" s="72"/>
      <c r="G2" s="72"/>
      <c r="H2" s="72"/>
      <c r="I2" s="72"/>
      <c r="J2" s="72"/>
      <c r="K2" s="72"/>
      <c r="L2" s="69"/>
      <c r="M2" s="69"/>
      <c r="N2" s="69"/>
      <c r="O2" s="69"/>
      <c r="P2" s="69"/>
      <c r="Q2" s="69"/>
      <c r="R2" s="69"/>
      <c r="S2" s="69"/>
      <c r="T2" s="69"/>
      <c r="U2" s="69"/>
      <c r="V2" s="69"/>
      <c r="W2" s="69"/>
    </row>
    <row r="3" spans="1:23" s="208" customFormat="1" ht="18.75" customHeight="1" thickBot="1" x14ac:dyDescent="0.25">
      <c r="A3" s="1679" t="s">
        <v>70</v>
      </c>
      <c r="B3" s="1680"/>
      <c r="C3" s="1751" t="str">
        <f>IF('LFA_Programmatic Progress_1A'!C7="","",'LFA_Programmatic Progress_1A'!C7)</f>
        <v>MNR-809-G04-H</v>
      </c>
      <c r="D3" s="1752"/>
      <c r="E3" s="1752"/>
      <c r="F3" s="1753"/>
      <c r="G3" s="73"/>
      <c r="H3" s="73"/>
      <c r="I3" s="73"/>
      <c r="J3" s="73"/>
      <c r="K3" s="73"/>
    </row>
    <row r="4" spans="1:23" s="208" customFormat="1" ht="15" customHeight="1" x14ac:dyDescent="0.2">
      <c r="A4" s="465" t="s">
        <v>277</v>
      </c>
      <c r="B4" s="483"/>
      <c r="C4" s="53" t="s">
        <v>283</v>
      </c>
      <c r="D4" s="477" t="str">
        <f>IF('LFA_Programmatic Progress_1A'!D12="Select","",'LFA_Programmatic Progress_1A'!D12)</f>
        <v>Quarter</v>
      </c>
      <c r="E4" s="5" t="s">
        <v>284</v>
      </c>
      <c r="F4" s="47">
        <f>IF('LFA_Programmatic Progress_1A'!F12="Select","",'LFA_Programmatic Progress_1A'!F12)</f>
        <v>7</v>
      </c>
      <c r="G4" s="73"/>
      <c r="H4" s="73"/>
      <c r="I4" s="73"/>
      <c r="J4" s="73"/>
      <c r="K4" s="73"/>
    </row>
    <row r="5" spans="1:23" s="208" customFormat="1" ht="15" customHeight="1" x14ac:dyDescent="0.2">
      <c r="A5" s="484" t="s">
        <v>278</v>
      </c>
      <c r="B5" s="40"/>
      <c r="C5" s="54" t="s">
        <v>246</v>
      </c>
      <c r="D5" s="490">
        <f>IF('LFA_Programmatic Progress_1A'!D13="","",'LFA_Programmatic Progress_1A'!D13)</f>
        <v>40452</v>
      </c>
      <c r="E5" s="5" t="s">
        <v>264</v>
      </c>
      <c r="F5" s="491">
        <f>IF('LFA_Programmatic Progress_1A'!F13="","",'LFA_Programmatic Progress_1A'!F13)</f>
        <v>40543</v>
      </c>
      <c r="G5" s="73"/>
      <c r="H5" s="73"/>
      <c r="I5" s="73"/>
      <c r="J5" s="73"/>
      <c r="K5" s="73"/>
    </row>
    <row r="6" spans="1:23" s="208" customFormat="1" ht="15" customHeight="1" thickBot="1" x14ac:dyDescent="0.25">
      <c r="A6" s="55" t="s">
        <v>279</v>
      </c>
      <c r="B6" s="41"/>
      <c r="C6" s="1764">
        <f>IF('LFA_Programmatic Progress_1A'!C14="Select","",'LFA_Programmatic Progress_1A'!C14)</f>
        <v>5</v>
      </c>
      <c r="D6" s="1765"/>
      <c r="E6" s="1765"/>
      <c r="F6" s="1766"/>
      <c r="G6" s="73"/>
      <c r="H6" s="73"/>
      <c r="I6" s="73"/>
      <c r="J6" s="73"/>
      <c r="K6" s="73"/>
    </row>
    <row r="7" spans="1:23" ht="21" customHeight="1" x14ac:dyDescent="0.2">
      <c r="A7" s="72"/>
      <c r="B7" s="72"/>
      <c r="C7" s="72"/>
      <c r="D7" s="72"/>
      <c r="E7" s="72"/>
      <c r="F7" s="72"/>
      <c r="G7" s="72"/>
      <c r="H7" s="72"/>
      <c r="I7" s="72"/>
      <c r="J7" s="72"/>
      <c r="K7" s="72"/>
    </row>
    <row r="8" spans="1:23" s="984" customFormat="1" ht="28.5" customHeight="1" x14ac:dyDescent="0.3">
      <c r="A8" s="2703" t="s">
        <v>439</v>
      </c>
      <c r="B8" s="2703"/>
      <c r="C8" s="2703"/>
      <c r="D8" s="2703"/>
      <c r="E8" s="2703"/>
      <c r="F8" s="2704"/>
      <c r="G8" s="222"/>
      <c r="H8" s="205"/>
      <c r="I8" s="205"/>
      <c r="J8" s="205"/>
      <c r="K8" s="1182"/>
    </row>
    <row r="9" spans="1:23" s="984" customFormat="1" ht="4.5" customHeight="1" thickBot="1" x14ac:dyDescent="0.35">
      <c r="A9" s="221"/>
      <c r="B9" s="221"/>
      <c r="C9" s="221"/>
      <c r="D9" s="221"/>
      <c r="E9" s="221"/>
      <c r="F9" s="221"/>
      <c r="G9" s="207"/>
      <c r="H9" s="207"/>
      <c r="I9" s="207"/>
      <c r="J9" s="207"/>
      <c r="K9" s="1183"/>
    </row>
    <row r="10" spans="1:23" s="984" customFormat="1" ht="23.25" customHeight="1" x14ac:dyDescent="0.25">
      <c r="A10" s="2700" t="s">
        <v>579</v>
      </c>
      <c r="B10" s="2701"/>
      <c r="C10" s="2701"/>
      <c r="D10" s="2701"/>
      <c r="E10" s="2701"/>
      <c r="F10" s="2701"/>
      <c r="G10" s="2701"/>
      <c r="H10" s="2701"/>
      <c r="I10" s="2701"/>
      <c r="J10" s="2701"/>
      <c r="K10" s="2702"/>
    </row>
    <row r="11" spans="1:23" s="984" customFormat="1" ht="64.5" customHeight="1" x14ac:dyDescent="0.2">
      <c r="A11" s="2705" t="s">
        <v>580</v>
      </c>
      <c r="B11" s="2706"/>
      <c r="C11" s="2706"/>
      <c r="D11" s="2706"/>
      <c r="E11" s="2706"/>
      <c r="F11" s="2706"/>
      <c r="G11" s="2706"/>
      <c r="H11" s="2706"/>
      <c r="I11" s="2706"/>
      <c r="J11" s="2706"/>
      <c r="K11" s="2706"/>
    </row>
    <row r="12" spans="1:23" s="984" customFormat="1" ht="15" customHeight="1" x14ac:dyDescent="0.25">
      <c r="A12" s="1175"/>
      <c r="B12" s="1203"/>
      <c r="C12" s="1203"/>
      <c r="D12" s="1203"/>
      <c r="E12" s="1203"/>
      <c r="F12" s="1203"/>
      <c r="G12" s="1203"/>
      <c r="H12" s="1203"/>
      <c r="I12" s="1203"/>
      <c r="J12" s="1203"/>
      <c r="K12" s="1203"/>
    </row>
    <row r="13" spans="1:23" s="984" customFormat="1" ht="28.5" customHeight="1" x14ac:dyDescent="0.2">
      <c r="A13" s="1204" t="s">
        <v>576</v>
      </c>
      <c r="B13" s="1177" t="s">
        <v>540</v>
      </c>
      <c r="C13" s="1205"/>
      <c r="D13" s="1206" t="s">
        <v>577</v>
      </c>
      <c r="E13" s="1177" t="s">
        <v>18</v>
      </c>
      <c r="F13" s="1205"/>
      <c r="G13" s="1206" t="s">
        <v>578</v>
      </c>
      <c r="H13" s="1177" t="s">
        <v>540</v>
      </c>
      <c r="I13" s="1205"/>
      <c r="J13" s="1205"/>
      <c r="K13" s="1205"/>
    </row>
    <row r="14" spans="1:23" s="984" customFormat="1" ht="18.75" customHeight="1" thickBot="1" x14ac:dyDescent="0.25">
      <c r="A14" s="1204"/>
      <c r="B14" s="1207"/>
      <c r="C14" s="1205"/>
      <c r="D14" s="1206"/>
      <c r="E14" s="1207"/>
      <c r="F14" s="1205"/>
      <c r="G14" s="1205"/>
      <c r="H14" s="1207"/>
      <c r="I14" s="1205"/>
      <c r="J14" s="1205"/>
      <c r="K14" s="1205"/>
    </row>
    <row r="15" spans="1:23" s="984" customFormat="1" ht="79.5" customHeight="1" x14ac:dyDescent="0.2">
      <c r="A15" s="2707" t="s">
        <v>744</v>
      </c>
      <c r="B15" s="2708"/>
      <c r="C15" s="2708"/>
      <c r="D15" s="2708"/>
      <c r="E15" s="2708"/>
      <c r="F15" s="2708"/>
      <c r="G15" s="2708"/>
      <c r="H15" s="2708"/>
      <c r="I15" s="2708"/>
      <c r="J15" s="2708"/>
      <c r="K15" s="2709"/>
    </row>
    <row r="16" spans="1:23" s="984" customFormat="1" ht="155.25" customHeight="1" thickBot="1" x14ac:dyDescent="0.25">
      <c r="A16" s="2689"/>
      <c r="B16" s="2690"/>
      <c r="C16" s="2690"/>
      <c r="D16" s="2690"/>
      <c r="E16" s="2690"/>
      <c r="F16" s="2690"/>
      <c r="G16" s="2690"/>
      <c r="H16" s="2690"/>
      <c r="I16" s="2690"/>
      <c r="J16" s="2690"/>
      <c r="K16" s="2691"/>
    </row>
    <row r="17" spans="1:16" ht="27" customHeight="1" thickBot="1" x14ac:dyDescent="0.25">
      <c r="A17" s="608"/>
      <c r="B17" s="608"/>
      <c r="C17" s="608"/>
      <c r="D17" s="608"/>
      <c r="E17" s="608"/>
      <c r="F17" s="608"/>
      <c r="G17" s="608"/>
      <c r="H17" s="608"/>
      <c r="I17" s="608"/>
      <c r="J17" s="608"/>
      <c r="K17" s="1184"/>
    </row>
    <row r="18" spans="1:16" s="88" customFormat="1" ht="21.75" customHeight="1" x14ac:dyDescent="0.2">
      <c r="A18" s="2694" t="s">
        <v>290</v>
      </c>
      <c r="B18" s="2695"/>
      <c r="C18" s="2695"/>
      <c r="D18" s="2695"/>
      <c r="E18" s="2695"/>
      <c r="F18" s="2695"/>
      <c r="G18" s="2695"/>
      <c r="H18" s="2695"/>
      <c r="I18" s="2695"/>
      <c r="J18" s="2695"/>
      <c r="K18" s="2696"/>
    </row>
    <row r="19" spans="1:16" s="984" customFormat="1" ht="35.25" customHeight="1" x14ac:dyDescent="0.2">
      <c r="A19" s="2686" t="s">
        <v>690</v>
      </c>
      <c r="B19" s="2687"/>
      <c r="C19" s="2687"/>
      <c r="D19" s="2687"/>
      <c r="E19" s="2687"/>
      <c r="F19" s="2687"/>
      <c r="G19" s="2687"/>
      <c r="H19" s="2687"/>
      <c r="I19" s="2687"/>
      <c r="J19" s="2687"/>
      <c r="K19" s="2688"/>
    </row>
    <row r="20" spans="1:16" s="88" customFormat="1" ht="18.75" customHeight="1" thickBot="1" x14ac:dyDescent="0.25">
      <c r="A20" s="2689"/>
      <c r="B20" s="2690"/>
      <c r="C20" s="2690"/>
      <c r="D20" s="2690"/>
      <c r="E20" s="2690"/>
      <c r="F20" s="2690"/>
      <c r="G20" s="2690"/>
      <c r="H20" s="2690"/>
      <c r="I20" s="2690"/>
      <c r="J20" s="2690"/>
      <c r="K20" s="2691"/>
    </row>
    <row r="21" spans="1:16" s="88" customFormat="1" ht="30.75" customHeight="1" thickBot="1" x14ac:dyDescent="0.25">
      <c r="A21" s="607"/>
      <c r="B21" s="607"/>
      <c r="C21" s="607"/>
      <c r="D21" s="607"/>
      <c r="E21" s="607"/>
      <c r="F21" s="607"/>
      <c r="G21" s="607"/>
      <c r="H21" s="607"/>
      <c r="I21" s="607"/>
      <c r="J21" s="607"/>
      <c r="K21" s="1185"/>
    </row>
    <row r="22" spans="1:16" s="88" customFormat="1" ht="24.75" customHeight="1" x14ac:dyDescent="0.2">
      <c r="A22" s="2697" t="s">
        <v>291</v>
      </c>
      <c r="B22" s="2698"/>
      <c r="C22" s="2698"/>
      <c r="D22" s="2698"/>
      <c r="E22" s="2698"/>
      <c r="F22" s="2698"/>
      <c r="G22" s="2698"/>
      <c r="H22" s="2698"/>
      <c r="I22" s="2698"/>
      <c r="J22" s="2698"/>
      <c r="K22" s="2699"/>
    </row>
    <row r="23" spans="1:16" s="984" customFormat="1" ht="23.25" customHeight="1" x14ac:dyDescent="0.2">
      <c r="A23" s="2686" t="s">
        <v>745</v>
      </c>
      <c r="B23" s="2687"/>
      <c r="C23" s="2687"/>
      <c r="D23" s="2687"/>
      <c r="E23" s="2687"/>
      <c r="F23" s="2687"/>
      <c r="G23" s="2687"/>
      <c r="H23" s="2687"/>
      <c r="I23" s="2687"/>
      <c r="J23" s="2687"/>
      <c r="K23" s="2688"/>
    </row>
    <row r="24" spans="1:16" s="88" customFormat="1" ht="42.75" customHeight="1" thickBot="1" x14ac:dyDescent="0.25">
      <c r="A24" s="2689"/>
      <c r="B24" s="2690"/>
      <c r="C24" s="2690"/>
      <c r="D24" s="2690"/>
      <c r="E24" s="2690"/>
      <c r="F24" s="2690"/>
      <c r="G24" s="2690"/>
      <c r="H24" s="2690"/>
      <c r="I24" s="2690"/>
      <c r="J24" s="2690"/>
      <c r="K24" s="2691"/>
    </row>
    <row r="25" spans="1:16" hidden="1" x14ac:dyDescent="0.2">
      <c r="A25" s="780"/>
      <c r="B25" s="780"/>
      <c r="C25" s="780"/>
      <c r="D25" s="780"/>
      <c r="E25" s="780"/>
      <c r="F25" s="780"/>
      <c r="G25" s="780"/>
      <c r="H25" s="780"/>
      <c r="I25" s="780"/>
      <c r="J25" s="780"/>
      <c r="K25" s="746"/>
    </row>
    <row r="26" spans="1:16" s="88" customFormat="1" ht="18.75" customHeight="1" x14ac:dyDescent="0.2">
      <c r="A26" s="2692"/>
      <c r="B26" s="2693"/>
      <c r="C26" s="2693"/>
      <c r="D26" s="2693"/>
      <c r="E26" s="2693"/>
      <c r="F26" s="2693"/>
      <c r="G26" s="2693"/>
      <c r="H26" s="2693"/>
      <c r="I26" s="2693"/>
      <c r="J26" s="2693"/>
      <c r="K26" s="2693"/>
    </row>
    <row r="27" spans="1:16" s="999" customFormat="1" ht="18.75" customHeight="1" x14ac:dyDescent="0.25">
      <c r="A27" s="1175"/>
      <c r="B27" s="1175"/>
      <c r="C27" s="1175"/>
      <c r="E27" s="1176"/>
      <c r="F27" s="1176"/>
      <c r="G27" s="1176"/>
      <c r="H27" s="1176"/>
      <c r="I27" s="1176"/>
      <c r="J27" s="1176"/>
      <c r="K27" s="1175"/>
      <c r="L27" s="1175"/>
      <c r="M27" s="1175"/>
      <c r="N27" s="1175"/>
      <c r="O27" s="1175"/>
      <c r="P27" s="1175"/>
    </row>
    <row r="28" spans="1:16" s="88" customFormat="1" ht="25.5" customHeight="1" x14ac:dyDescent="0.25">
      <c r="A28" s="1175"/>
      <c r="B28" s="1150"/>
      <c r="C28" s="1207"/>
      <c r="E28" s="92"/>
      <c r="F28" s="92"/>
      <c r="G28" s="92"/>
      <c r="H28" s="92"/>
      <c r="I28" s="92"/>
      <c r="J28" s="92"/>
      <c r="K28" s="92"/>
      <c r="L28" s="92"/>
      <c r="M28" s="92"/>
      <c r="N28" s="92"/>
    </row>
    <row r="29" spans="1:16" s="88" customFormat="1" ht="6" customHeight="1" x14ac:dyDescent="0.25">
      <c r="A29" s="488"/>
      <c r="C29" s="488"/>
      <c r="D29" s="1163"/>
      <c r="E29" s="92"/>
      <c r="F29" s="92"/>
      <c r="G29" s="92"/>
      <c r="H29" s="92"/>
      <c r="I29" s="92"/>
      <c r="J29" s="92"/>
      <c r="K29" s="92"/>
      <c r="L29" s="92"/>
      <c r="M29" s="92"/>
      <c r="N29" s="92"/>
    </row>
    <row r="30" spans="1:16" s="88" customFormat="1" ht="30" customHeight="1" x14ac:dyDescent="0.25">
      <c r="A30" s="1175"/>
      <c r="B30" s="1178"/>
      <c r="C30" s="1207"/>
      <c r="D30" s="1163"/>
      <c r="E30" s="92"/>
      <c r="F30" s="92"/>
      <c r="G30" s="92"/>
      <c r="H30" s="92"/>
      <c r="I30" s="92"/>
      <c r="J30" s="92"/>
      <c r="K30" s="92"/>
      <c r="L30" s="92"/>
      <c r="M30" s="92"/>
      <c r="N30" s="92"/>
    </row>
    <row r="31" spans="1:16" s="88" customFormat="1" ht="6" customHeight="1" x14ac:dyDescent="0.25">
      <c r="A31" s="488"/>
      <c r="C31" s="488"/>
      <c r="D31" s="1163"/>
      <c r="E31" s="92"/>
      <c r="F31" s="92"/>
      <c r="G31" s="92"/>
      <c r="H31" s="92"/>
      <c r="I31" s="92"/>
      <c r="J31" s="92"/>
      <c r="K31" s="92"/>
      <c r="L31" s="92"/>
      <c r="M31" s="92"/>
      <c r="N31" s="92"/>
    </row>
    <row r="32" spans="1:16" s="88" customFormat="1" ht="25.5" customHeight="1" x14ac:dyDescent="0.25">
      <c r="A32" s="1175"/>
      <c r="B32" s="1150"/>
      <c r="C32" s="1207"/>
      <c r="D32" s="1163"/>
      <c r="E32" s="92"/>
      <c r="F32" s="1129"/>
      <c r="G32" s="1129"/>
      <c r="H32" s="1129"/>
      <c r="I32" s="1129"/>
      <c r="J32" s="1129"/>
      <c r="K32" s="1129"/>
      <c r="L32" s="1129"/>
      <c r="M32" s="1129"/>
      <c r="N32" s="92"/>
    </row>
    <row r="33" spans="1:24" s="88" customFormat="1" ht="6" customHeight="1" x14ac:dyDescent="0.25">
      <c r="A33" s="488"/>
      <c r="C33" s="488"/>
      <c r="D33" s="1163"/>
      <c r="E33" s="92"/>
      <c r="F33" s="92"/>
      <c r="G33" s="92"/>
      <c r="H33" s="92"/>
      <c r="I33" s="92"/>
      <c r="J33" s="92"/>
      <c r="K33" s="92"/>
      <c r="L33" s="92"/>
      <c r="M33" s="92"/>
      <c r="N33" s="92"/>
    </row>
    <row r="34" spans="1:24" s="88" customFormat="1" ht="15.75" customHeight="1" x14ac:dyDescent="0.25">
      <c r="A34" s="1179"/>
      <c r="B34" s="1180"/>
      <c r="C34" s="1180"/>
      <c r="D34" s="1180"/>
      <c r="E34" s="1181"/>
      <c r="F34" s="1181"/>
      <c r="G34" s="1181"/>
      <c r="H34" s="1181"/>
      <c r="I34" s="1181"/>
      <c r="J34" s="1181"/>
      <c r="K34" s="1181"/>
      <c r="L34" s="1181"/>
      <c r="M34" s="1181"/>
      <c r="N34" s="1181"/>
    </row>
    <row r="35" spans="1:24" ht="15.75" customHeight="1" x14ac:dyDescent="0.3">
      <c r="A35" s="66"/>
      <c r="B35" s="78"/>
      <c r="C35" s="78"/>
      <c r="D35" s="78"/>
      <c r="E35" s="70"/>
      <c r="F35" s="70"/>
      <c r="G35" s="70"/>
      <c r="H35" s="70"/>
      <c r="I35" s="70"/>
      <c r="K35" s="609"/>
      <c r="L35" s="609"/>
      <c r="M35" s="609"/>
      <c r="R35" s="984"/>
      <c r="S35" s="984"/>
      <c r="T35" s="984"/>
      <c r="U35" s="984"/>
      <c r="V35" s="984"/>
      <c r="W35" s="984"/>
      <c r="X35" s="984"/>
    </row>
    <row r="41" spans="1:24" ht="12" customHeight="1" x14ac:dyDescent="0.2"/>
  </sheetData>
  <sheetProtection password="92D1" sheet="1" formatRows="0"/>
  <customSheetViews>
    <customSheetView guid="{E26F941C-F347-432D-B4B3-73B25F002075}" scale="75" fitToPage="1" topLeftCell="A4">
      <selection activeCell="C10" sqref="C10"/>
      <pageMargins left="0.48" right="0.51" top="0.71" bottom="0.78" header="0.51181102362204722" footer="0.51181102362204722"/>
      <printOptions horizontalCentered="1"/>
      <pageSetup paperSize="9" scale="64" orientation="landscape" cellComments="asDisplayed" r:id="rId1"/>
      <headerFooter alignWithMargins="0">
        <oddFooter>&amp;L&amp;9SD 3.1A - Form, Ongoing DR/PU and LFA Review and Recommendation_v2.1 February 2006&amp;R&amp;9Page &amp;P of &amp;N</oddFooter>
      </headerFooter>
    </customSheetView>
  </customSheetViews>
  <mergeCells count="13">
    <mergeCell ref="A23:K24"/>
    <mergeCell ref="A26:K26"/>
    <mergeCell ref="A1:J1"/>
    <mergeCell ref="A3:B3"/>
    <mergeCell ref="C3:F3"/>
    <mergeCell ref="C6:F6"/>
    <mergeCell ref="A18:K18"/>
    <mergeCell ref="A22:K22"/>
    <mergeCell ref="A10:K10"/>
    <mergeCell ref="A8:F8"/>
    <mergeCell ref="A11:K11"/>
    <mergeCell ref="A15:K16"/>
    <mergeCell ref="A19:K20"/>
  </mergeCells>
  <phoneticPr fontId="29" type="noConversion"/>
  <conditionalFormatting sqref="D29">
    <cfRule type="cellIs" dxfId="9" priority="3" stopIfTrue="1" operator="notEqual">
      <formula>#REF!</formula>
    </cfRule>
  </conditionalFormatting>
  <conditionalFormatting sqref="D31">
    <cfRule type="cellIs" dxfId="8" priority="2" stopIfTrue="1" operator="notEqual">
      <formula>#REF!</formula>
    </cfRule>
  </conditionalFormatting>
  <conditionalFormatting sqref="D33">
    <cfRule type="cellIs" dxfId="7" priority="1" stopIfTrue="1" operator="notEqual">
      <formula>#REF!</formula>
    </cfRule>
  </conditionalFormatting>
  <dataValidations count="2">
    <dataValidation type="list" allowBlank="1" showInputMessage="1" showErrorMessage="1" sqref="C28 C32 B13:B14 H13:H14">
      <formula1>"Select, A1, A2, B1, B2, C"</formula1>
    </dataValidation>
    <dataValidation type="list" allowBlank="1" showInputMessage="1" showErrorMessage="1" sqref="C30 E13:E14">
      <formula1>"Select, Yes, No"</formula1>
    </dataValidation>
  </dataValidations>
  <printOptions horizontalCentered="1"/>
  <pageMargins left="0.74803149606299213" right="0.74803149606299213" top="0.59055118110236227" bottom="0.59055118110236227" header="0.51181102362204722" footer="0.51181102362204722"/>
  <pageSetup paperSize="9" scale="66" fitToHeight="0" orientation="landscape" cellComments="asDisplayed" r:id="rId2"/>
  <headerFooter alignWithMargins="0">
    <oddFooter>&amp;L&amp;9&amp;F&amp;C&amp;A&amp;R&amp;9Page &amp;P of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0"/>
    <pageSetUpPr fitToPage="1"/>
  </sheetPr>
  <dimension ref="A1:X69"/>
  <sheetViews>
    <sheetView view="pageBreakPreview" topLeftCell="B1" zoomScale="79" zoomScaleNormal="70" zoomScaleSheetLayoutView="79" workbookViewId="0">
      <selection activeCell="A57" sqref="A57:J57"/>
    </sheetView>
  </sheetViews>
  <sheetFormatPr defaultColWidth="0" defaultRowHeight="12.75" x14ac:dyDescent="0.2"/>
  <cols>
    <col min="1" max="1" width="3.85546875" style="69" customWidth="1"/>
    <col min="2" max="2" width="23" style="69" customWidth="1"/>
    <col min="3" max="3" width="26" style="69" customWidth="1"/>
    <col min="4" max="4" width="22.7109375" style="69" customWidth="1"/>
    <col min="5" max="5" width="18.7109375" style="69" customWidth="1"/>
    <col min="6" max="6" width="25.7109375" style="69" customWidth="1"/>
    <col min="7" max="7" width="18.5703125" style="69" customWidth="1"/>
    <col min="8" max="8" width="18.140625" style="69" customWidth="1"/>
    <col min="9" max="9" width="13.42578125" style="69" customWidth="1"/>
    <col min="10" max="10" width="34.42578125" style="69" customWidth="1"/>
    <col min="11" max="11" width="3" style="69" customWidth="1"/>
    <col min="12" max="12" width="21.5703125" style="69" bestFit="1" customWidth="1"/>
    <col min="13" max="13" width="18.5703125" style="69" customWidth="1"/>
    <col min="14" max="14" width="13.7109375" style="69" bestFit="1" customWidth="1"/>
    <col min="15" max="15" width="18.5703125" style="69" customWidth="1"/>
    <col min="16" max="16" width="2.7109375" style="69" customWidth="1"/>
    <col min="17" max="23" width="9.140625" style="69" customWidth="1"/>
    <col min="24" max="24" width="8.7109375" style="69" customWidth="1"/>
    <col min="25" max="16384" width="0" style="69" hidden="1"/>
  </cols>
  <sheetData>
    <row r="1" spans="1:24" s="72" customFormat="1" ht="25.5" customHeight="1" x14ac:dyDescent="0.35">
      <c r="A1" s="2114" t="s">
        <v>285</v>
      </c>
      <c r="B1" s="2114"/>
      <c r="C1" s="2114"/>
      <c r="D1" s="2114"/>
      <c r="E1" s="2114"/>
      <c r="F1" s="2114"/>
      <c r="G1" s="2114"/>
      <c r="H1" s="2114"/>
      <c r="I1" s="2114"/>
      <c r="J1" s="2114"/>
      <c r="K1" s="69"/>
      <c r="L1" s="69"/>
      <c r="M1" s="69"/>
      <c r="R1" s="74"/>
      <c r="S1" s="984"/>
      <c r="T1" s="984"/>
      <c r="U1" s="984"/>
      <c r="V1" s="984"/>
      <c r="W1" s="984"/>
      <c r="X1" s="984"/>
    </row>
    <row r="2" spans="1:24" s="72" customFormat="1" ht="14.25" customHeight="1" thickBot="1" x14ac:dyDescent="0.35">
      <c r="A2" s="69"/>
      <c r="B2" s="69"/>
      <c r="C2" s="69"/>
      <c r="D2" s="69"/>
      <c r="E2" s="69"/>
      <c r="F2" s="69"/>
      <c r="G2" s="69"/>
      <c r="H2" s="78"/>
      <c r="I2" s="83"/>
      <c r="J2" s="69"/>
      <c r="K2" s="69"/>
      <c r="L2" s="69"/>
      <c r="M2" s="69"/>
      <c r="R2" s="74"/>
      <c r="S2" s="984"/>
      <c r="T2" s="984"/>
      <c r="U2" s="984"/>
      <c r="V2" s="984"/>
      <c r="W2" s="984"/>
      <c r="X2" s="984"/>
    </row>
    <row r="3" spans="1:24" s="13" customFormat="1" ht="15" customHeight="1" thickBot="1" x14ac:dyDescent="0.25">
      <c r="A3" s="2431" t="s">
        <v>140</v>
      </c>
      <c r="B3" s="2432"/>
      <c r="C3" s="2433"/>
      <c r="D3" s="2724" t="str">
        <f>IF('LFA_Programmatic Progress_1A'!C3="","",'LFA_Programmatic Progress_1A'!C3)</f>
        <v xml:space="preserve">PricewaterhouseCoopers (Ghana) Limited </v>
      </c>
      <c r="E3" s="2725"/>
      <c r="F3" s="2725"/>
      <c r="G3" s="2726"/>
      <c r="H3" s="82"/>
      <c r="I3" s="63"/>
      <c r="J3" s="63"/>
      <c r="K3" s="84"/>
      <c r="L3" s="63"/>
      <c r="M3" s="63"/>
      <c r="N3" s="63"/>
      <c r="O3" s="63"/>
      <c r="P3" s="63"/>
      <c r="Q3" s="63"/>
      <c r="R3" s="74"/>
      <c r="S3" s="984"/>
      <c r="T3" s="984"/>
      <c r="U3" s="984"/>
      <c r="V3" s="984"/>
      <c r="W3" s="984"/>
      <c r="X3" s="984"/>
    </row>
    <row r="4" spans="1:24" s="13" customFormat="1" ht="27.75" customHeight="1" thickBot="1" x14ac:dyDescent="0.3">
      <c r="A4" s="99" t="s">
        <v>155</v>
      </c>
      <c r="B4" s="72"/>
      <c r="C4" s="72"/>
      <c r="D4" s="72"/>
      <c r="E4" s="72"/>
      <c r="F4" s="72"/>
      <c r="G4" s="72"/>
      <c r="H4" s="72"/>
      <c r="I4" s="72"/>
      <c r="J4" s="72"/>
      <c r="K4" s="72"/>
      <c r="L4" s="72"/>
      <c r="M4" s="72"/>
      <c r="N4" s="72"/>
      <c r="O4" s="72"/>
      <c r="P4" s="72"/>
      <c r="Q4" s="72"/>
      <c r="R4" s="72"/>
      <c r="S4" s="69"/>
      <c r="T4" s="69"/>
      <c r="U4" s="69"/>
      <c r="V4" s="69"/>
      <c r="W4" s="69"/>
      <c r="X4" s="69"/>
    </row>
    <row r="5" spans="1:24" s="13" customFormat="1" ht="15" customHeight="1" x14ac:dyDescent="0.2">
      <c r="A5" s="1679" t="s">
        <v>68</v>
      </c>
      <c r="B5" s="1749"/>
      <c r="C5" s="1680"/>
      <c r="D5" s="2727" t="str">
        <f>IF('LFA_Programmatic Progress_1A'!C5="","",'LFA_Programmatic Progress_1A'!C5)</f>
        <v>Monrovia</v>
      </c>
      <c r="E5" s="2728"/>
      <c r="F5" s="2728"/>
      <c r="G5" s="2729"/>
      <c r="H5" s="82"/>
      <c r="I5" s="63"/>
      <c r="J5" s="63"/>
      <c r="K5" s="84"/>
      <c r="L5" s="63"/>
      <c r="M5" s="63"/>
      <c r="N5" s="63"/>
      <c r="O5" s="63"/>
      <c r="P5" s="63"/>
      <c r="Q5" s="63"/>
      <c r="R5" s="74"/>
      <c r="S5" s="984"/>
      <c r="T5" s="984"/>
      <c r="U5" s="984"/>
      <c r="V5" s="984"/>
      <c r="W5" s="984"/>
      <c r="X5" s="984"/>
    </row>
    <row r="6" spans="1:24" s="13" customFormat="1" ht="15" customHeight="1" x14ac:dyDescent="0.2">
      <c r="A6" s="1687" t="s">
        <v>69</v>
      </c>
      <c r="B6" s="2234"/>
      <c r="C6" s="1688"/>
      <c r="D6" s="2104" t="str">
        <f>IF('LFA_Programmatic Progress_1A'!C6="","",'LFA_Programmatic Progress_1A'!C6)</f>
        <v>HIV/AIDS</v>
      </c>
      <c r="E6" s="2105"/>
      <c r="F6" s="2105"/>
      <c r="G6" s="2106"/>
      <c r="H6" s="82"/>
      <c r="I6" s="2710"/>
      <c r="J6" s="2710"/>
      <c r="K6" s="2710"/>
      <c r="L6" s="2710"/>
      <c r="M6" s="2710"/>
      <c r="N6" s="63"/>
      <c r="O6" s="63"/>
      <c r="P6" s="63"/>
      <c r="Q6" s="63"/>
      <c r="R6" s="74"/>
      <c r="S6" s="984"/>
      <c r="T6" s="984"/>
      <c r="U6" s="984"/>
      <c r="V6" s="984"/>
      <c r="W6" s="984"/>
      <c r="X6" s="984"/>
    </row>
    <row r="7" spans="1:24" s="13" customFormat="1" ht="27.75" customHeight="1" x14ac:dyDescent="0.2">
      <c r="A7" s="1687" t="s">
        <v>271</v>
      </c>
      <c r="B7" s="2234"/>
      <c r="C7" s="1688"/>
      <c r="D7" s="2721" t="str">
        <f>IF('LFA_Programmatic Progress_1A'!C7="","",'LFA_Programmatic Progress_1A'!C7)</f>
        <v>MNR-809-G04-H</v>
      </c>
      <c r="E7" s="2722"/>
      <c r="F7" s="2722"/>
      <c r="G7" s="2723"/>
      <c r="H7" s="85"/>
      <c r="I7" s="2710"/>
      <c r="J7" s="2710"/>
      <c r="K7" s="2710"/>
      <c r="L7" s="2710"/>
      <c r="M7" s="2710"/>
      <c r="N7" s="63"/>
      <c r="O7" s="63"/>
      <c r="P7" s="63"/>
      <c r="Q7" s="63"/>
      <c r="R7" s="74"/>
      <c r="S7" s="984"/>
      <c r="T7" s="984"/>
      <c r="U7" s="984"/>
      <c r="V7" s="984"/>
      <c r="W7" s="984"/>
      <c r="X7" s="984"/>
    </row>
    <row r="8" spans="1:24" s="13" customFormat="1" ht="15" customHeight="1" x14ac:dyDescent="0.2">
      <c r="A8" s="1687" t="s">
        <v>244</v>
      </c>
      <c r="B8" s="2234"/>
      <c r="C8" s="1688"/>
      <c r="D8" s="2104" t="str">
        <f>IF('LFA_Programmatic Progress_1A'!C8="","",'LFA_Programmatic Progress_1A'!C8)</f>
        <v>Ministry of Health</v>
      </c>
      <c r="E8" s="2105"/>
      <c r="F8" s="2105"/>
      <c r="G8" s="2106"/>
      <c r="H8" s="82"/>
      <c r="I8" s="2710"/>
      <c r="J8" s="2710"/>
      <c r="K8" s="2710"/>
      <c r="L8" s="2710"/>
      <c r="M8" s="2710"/>
      <c r="N8" s="63"/>
      <c r="O8" s="63"/>
      <c r="P8" s="63"/>
      <c r="Q8" s="63"/>
      <c r="R8" s="74"/>
      <c r="S8" s="984"/>
      <c r="T8" s="984"/>
      <c r="U8" s="984"/>
      <c r="V8" s="984"/>
      <c r="W8" s="984"/>
      <c r="X8" s="984"/>
    </row>
    <row r="9" spans="1:24" s="13" customFormat="1" ht="15" customHeight="1" x14ac:dyDescent="0.2">
      <c r="A9" s="1687" t="s">
        <v>269</v>
      </c>
      <c r="B9" s="2234"/>
      <c r="C9" s="1688"/>
      <c r="D9" s="2384">
        <f>IF('LFA_Programmatic Progress_1A'!C9="","",'LFA_Programmatic Progress_1A'!C9)</f>
        <v>40087</v>
      </c>
      <c r="E9" s="2733"/>
      <c r="F9" s="2733"/>
      <c r="G9" s="2734"/>
      <c r="H9" s="62"/>
      <c r="I9" s="63"/>
      <c r="J9" s="63"/>
      <c r="K9" s="63"/>
      <c r="L9" s="63"/>
      <c r="M9" s="63"/>
      <c r="N9" s="63"/>
      <c r="O9" s="63"/>
      <c r="P9" s="63"/>
      <c r="Q9" s="63"/>
      <c r="R9" s="74"/>
      <c r="S9" s="984"/>
      <c r="T9" s="984"/>
      <c r="U9" s="984"/>
      <c r="V9" s="984"/>
      <c r="W9" s="984"/>
      <c r="X9" s="984"/>
    </row>
    <row r="10" spans="1:24" s="13" customFormat="1" ht="15" customHeight="1" thickBot="1" x14ac:dyDescent="0.25">
      <c r="A10" s="1705" t="s">
        <v>245</v>
      </c>
      <c r="B10" s="2440"/>
      <c r="C10" s="1706"/>
      <c r="D10" s="1764" t="str">
        <f>IF('LFA_Programmatic Progress_1A'!C10="","",'LFA_Programmatic Progress_1A'!C10)</f>
        <v>EUR</v>
      </c>
      <c r="E10" s="1765"/>
      <c r="F10" s="1765"/>
      <c r="G10" s="1766"/>
      <c r="H10" s="82"/>
      <c r="I10" s="63"/>
      <c r="J10" s="63"/>
      <c r="K10" s="63"/>
      <c r="L10" s="63"/>
      <c r="M10" s="63"/>
      <c r="N10" s="63"/>
      <c r="O10" s="63"/>
      <c r="P10" s="63"/>
      <c r="Q10" s="63"/>
      <c r="R10" s="74"/>
      <c r="S10" s="984"/>
      <c r="T10" s="984"/>
      <c r="U10" s="984"/>
      <c r="V10" s="984"/>
      <c r="W10" s="984"/>
      <c r="X10" s="984"/>
    </row>
    <row r="11" spans="1:24" s="13" customFormat="1" ht="27" customHeight="1" thickBot="1" x14ac:dyDescent="0.3">
      <c r="A11" s="98" t="s">
        <v>156</v>
      </c>
      <c r="B11" s="72"/>
      <c r="C11" s="72"/>
      <c r="D11" s="72"/>
      <c r="E11" s="72"/>
      <c r="F11" s="72"/>
      <c r="G11" s="72"/>
      <c r="H11" s="72"/>
      <c r="I11" s="98" t="s">
        <v>157</v>
      </c>
      <c r="J11" s="72"/>
      <c r="K11" s="72"/>
      <c r="L11" s="72"/>
      <c r="M11" s="72"/>
      <c r="N11" s="72"/>
      <c r="O11" s="72"/>
      <c r="P11" s="72"/>
      <c r="Q11" s="72"/>
      <c r="R11" s="72"/>
      <c r="S11" s="69"/>
      <c r="T11" s="69"/>
      <c r="U11" s="69"/>
      <c r="V11" s="69"/>
      <c r="W11" s="69"/>
      <c r="X11" s="69"/>
    </row>
    <row r="12" spans="1:24" s="13" customFormat="1" ht="15" customHeight="1" x14ac:dyDescent="0.2">
      <c r="A12" s="2713" t="s">
        <v>277</v>
      </c>
      <c r="B12" s="2714"/>
      <c r="C12" s="2715"/>
      <c r="D12" s="53" t="s">
        <v>283</v>
      </c>
      <c r="E12" s="94" t="str">
        <f>IF('LFA_Programmatic Progress_1A'!D12="Select","",'LFA_Programmatic Progress_1A'!D12)</f>
        <v>Quarter</v>
      </c>
      <c r="F12" s="43" t="s">
        <v>284</v>
      </c>
      <c r="G12" s="96">
        <f>IF('LFA_Programmatic Progress_1A'!F12="Select","",'LFA_Programmatic Progress_1A'!F12)</f>
        <v>7</v>
      </c>
      <c r="H12" s="82"/>
      <c r="I12" s="2713" t="s">
        <v>282</v>
      </c>
      <c r="J12" s="2714"/>
      <c r="K12" s="2715"/>
      <c r="L12" s="53" t="s">
        <v>283</v>
      </c>
      <c r="M12" s="94" t="str">
        <f>IF('LFA_Programmatic Progress_1A'!D16="Select","",'LFA_Programmatic Progress_1A'!D16)</f>
        <v>Quarter</v>
      </c>
      <c r="N12" s="43" t="s">
        <v>284</v>
      </c>
      <c r="O12" s="96">
        <f>IF('LFA_Programmatic Progress_1A'!F16="Select","",'LFA_Programmatic Progress_1A'!F16)</f>
        <v>8</v>
      </c>
      <c r="P12" s="63"/>
      <c r="Q12" s="63"/>
      <c r="R12" s="74"/>
      <c r="S12" s="984"/>
      <c r="T12" s="984"/>
      <c r="U12" s="984"/>
      <c r="V12" s="984"/>
      <c r="W12" s="984"/>
      <c r="X12" s="984"/>
    </row>
    <row r="13" spans="1:24" s="13" customFormat="1" ht="15" customHeight="1" x14ac:dyDescent="0.2">
      <c r="A13" s="2424" t="s">
        <v>278</v>
      </c>
      <c r="B13" s="2121"/>
      <c r="C13" s="2120"/>
      <c r="D13" s="54" t="s">
        <v>246</v>
      </c>
      <c r="E13" s="95">
        <f>IF('LFA_Programmatic Progress_1A'!D13="Select","",'LFA_Programmatic Progress_1A'!D13)</f>
        <v>40452</v>
      </c>
      <c r="F13" s="5" t="s">
        <v>264</v>
      </c>
      <c r="G13" s="97">
        <f>IF('LFA_Programmatic Progress_1A'!F13="Select","",'LFA_Programmatic Progress_1A'!F13)</f>
        <v>40543</v>
      </c>
      <c r="H13" s="62"/>
      <c r="I13" s="2424" t="s">
        <v>280</v>
      </c>
      <c r="J13" s="2121"/>
      <c r="K13" s="2120"/>
      <c r="L13" s="54" t="s">
        <v>246</v>
      </c>
      <c r="M13" s="95">
        <f>IF('LFA_Programmatic Progress_1A'!D17="Select","",'LFA_Programmatic Progress_1A'!D17)</f>
        <v>40544</v>
      </c>
      <c r="N13" s="5" t="s">
        <v>264</v>
      </c>
      <c r="O13" s="97">
        <f>IF('LFA_Programmatic Progress_1A'!F17="Select","",'LFA_Programmatic Progress_1A'!F17)</f>
        <v>40633</v>
      </c>
      <c r="P13" s="63"/>
      <c r="Q13" s="63"/>
      <c r="R13" s="74"/>
      <c r="S13" s="984"/>
      <c r="T13" s="984"/>
      <c r="U13" s="984"/>
      <c r="V13" s="984"/>
      <c r="W13" s="984"/>
      <c r="X13" s="984"/>
    </row>
    <row r="14" spans="1:24" s="13" customFormat="1" ht="15" customHeight="1" thickBot="1" x14ac:dyDescent="0.25">
      <c r="A14" s="2425" t="s">
        <v>279</v>
      </c>
      <c r="B14" s="2426"/>
      <c r="C14" s="2427"/>
      <c r="D14" s="1765">
        <f>IF('LFA_Programmatic Progress_1A'!C14="Select","",'LFA_Programmatic Progress_1A'!C14)</f>
        <v>5</v>
      </c>
      <c r="E14" s="1765"/>
      <c r="F14" s="1765"/>
      <c r="G14" s="1766"/>
      <c r="H14" s="82"/>
      <c r="I14" s="2425" t="s">
        <v>281</v>
      </c>
      <c r="J14" s="2426"/>
      <c r="K14" s="2427"/>
      <c r="L14" s="1764">
        <f>IF('LFA_Programmatic Progress_1A'!C18="Select","",'LFA_Programmatic Progress_1A'!C18)</f>
        <v>6</v>
      </c>
      <c r="M14" s="1765"/>
      <c r="N14" s="1765"/>
      <c r="O14" s="1766"/>
      <c r="P14" s="63"/>
      <c r="Q14" s="63"/>
      <c r="R14" s="74"/>
      <c r="S14" s="984"/>
      <c r="T14" s="984"/>
      <c r="U14" s="984"/>
      <c r="V14" s="984"/>
      <c r="W14" s="984"/>
      <c r="X14" s="984"/>
    </row>
    <row r="15" spans="1:24" s="72" customFormat="1" ht="21" customHeight="1" x14ac:dyDescent="0.2">
      <c r="A15" s="70"/>
      <c r="B15" s="70"/>
      <c r="C15" s="70"/>
      <c r="D15" s="70"/>
      <c r="E15" s="70"/>
      <c r="F15" s="70"/>
      <c r="G15" s="70"/>
      <c r="H15" s="70"/>
      <c r="I15" s="70"/>
      <c r="J15" s="69"/>
      <c r="K15" s="69"/>
      <c r="L15" s="69"/>
      <c r="R15" s="74"/>
      <c r="S15" s="984"/>
      <c r="T15" s="984"/>
      <c r="U15" s="984"/>
      <c r="V15" s="984"/>
      <c r="W15" s="984"/>
      <c r="X15" s="984"/>
    </row>
    <row r="16" spans="1:24" s="72" customFormat="1" ht="28.5" customHeight="1" x14ac:dyDescent="0.3">
      <c r="A16" s="66" t="s">
        <v>440</v>
      </c>
      <c r="B16" s="78"/>
      <c r="C16" s="78"/>
      <c r="D16" s="78"/>
      <c r="E16" s="70"/>
      <c r="F16" s="70"/>
      <c r="G16" s="70"/>
      <c r="H16" s="70"/>
      <c r="I16" s="70"/>
      <c r="J16" s="69"/>
      <c r="R16" s="74"/>
      <c r="S16" s="984"/>
      <c r="T16" s="984"/>
      <c r="U16" s="984"/>
      <c r="V16" s="984"/>
      <c r="W16" s="984"/>
      <c r="X16" s="984"/>
    </row>
    <row r="17" spans="1:24" s="72" customFormat="1" ht="27.75" customHeight="1" x14ac:dyDescent="0.25">
      <c r="A17" s="2076" t="s">
        <v>563</v>
      </c>
      <c r="B17" s="2077"/>
      <c r="C17" s="2077"/>
      <c r="D17" s="2077"/>
      <c r="E17" s="2077"/>
      <c r="F17" s="2077"/>
      <c r="G17" s="2077"/>
      <c r="H17" s="2077"/>
      <c r="I17" s="2077"/>
      <c r="J17" s="2077"/>
      <c r="K17" s="2077"/>
      <c r="L17" s="2077"/>
      <c r="M17" s="2077"/>
      <c r="N17" s="2077"/>
      <c r="O17" s="2077"/>
      <c r="P17" s="2077"/>
      <c r="R17" s="74"/>
      <c r="S17" s="984"/>
      <c r="T17" s="984"/>
      <c r="U17" s="984"/>
      <c r="V17" s="984"/>
      <c r="W17" s="984"/>
      <c r="X17" s="984"/>
    </row>
    <row r="18" spans="1:24" s="934" customFormat="1" ht="12.75" customHeight="1" x14ac:dyDescent="0.25">
      <c r="A18" s="1161"/>
      <c r="B18" s="1161"/>
      <c r="C18" s="1161"/>
      <c r="D18" s="1161"/>
      <c r="E18" s="1161"/>
      <c r="F18" s="1161"/>
      <c r="G18" s="1161"/>
      <c r="H18" s="1161"/>
      <c r="I18" s="1161"/>
      <c r="J18" s="1161"/>
      <c r="K18" s="1161"/>
      <c r="L18" s="1161"/>
      <c r="M18" s="1161"/>
      <c r="N18" s="1161"/>
      <c r="O18" s="1161"/>
      <c r="P18" s="1161"/>
      <c r="R18" s="1162"/>
      <c r="S18" s="997"/>
      <c r="T18" s="997"/>
      <c r="U18" s="997"/>
      <c r="V18" s="997"/>
      <c r="W18" s="997"/>
      <c r="X18" s="997"/>
    </row>
    <row r="19" spans="1:24" s="934" customFormat="1" ht="27.75" customHeight="1" x14ac:dyDescent="0.25">
      <c r="A19" s="1161"/>
      <c r="B19" s="1187" t="s">
        <v>581</v>
      </c>
      <c r="C19" s="1202" t="str">
        <f>'LFA_Overall Performance_6'!H13</f>
        <v>B1</v>
      </c>
      <c r="D19" s="1186"/>
      <c r="E19" s="1161"/>
      <c r="F19" s="1161"/>
      <c r="G19" s="1161"/>
      <c r="H19" s="1161"/>
      <c r="I19" s="1161"/>
      <c r="J19" s="1161"/>
      <c r="K19" s="1161"/>
      <c r="L19" s="1161"/>
      <c r="M19" s="1161"/>
      <c r="N19" s="1161"/>
      <c r="O19" s="1161"/>
      <c r="P19" s="1161"/>
      <c r="R19" s="1162"/>
      <c r="S19" s="997"/>
      <c r="T19" s="997"/>
      <c r="U19" s="997"/>
      <c r="V19" s="997"/>
      <c r="W19" s="997"/>
      <c r="X19" s="997"/>
    </row>
    <row r="20" spans="1:24" s="934" customFormat="1" ht="27.75" customHeight="1" x14ac:dyDescent="0.25">
      <c r="A20" s="1161"/>
      <c r="B20" s="1161"/>
      <c r="C20" s="1161"/>
      <c r="D20" s="1161"/>
      <c r="E20" s="1161"/>
      <c r="F20" s="1161"/>
      <c r="G20" s="1161"/>
      <c r="H20" s="1161"/>
      <c r="I20" s="1161"/>
      <c r="J20" s="1161"/>
      <c r="K20" s="1161"/>
      <c r="L20" s="1161"/>
      <c r="M20" s="1161"/>
      <c r="N20" s="1161"/>
      <c r="O20" s="1161"/>
      <c r="P20" s="1161"/>
      <c r="R20" s="1162"/>
      <c r="S20" s="997"/>
      <c r="T20" s="997"/>
      <c r="U20" s="997"/>
      <c r="V20" s="997"/>
      <c r="W20" s="997"/>
      <c r="X20" s="997"/>
    </row>
    <row r="21" spans="1:24" s="72" customFormat="1" ht="24" customHeight="1" x14ac:dyDescent="0.25">
      <c r="A21" s="1116" t="s">
        <v>569</v>
      </c>
      <c r="B21" s="77"/>
      <c r="C21" s="77"/>
      <c r="D21" s="77"/>
      <c r="E21" s="77"/>
      <c r="F21" s="77"/>
      <c r="G21" s="77"/>
      <c r="H21" s="77"/>
      <c r="I21" s="77"/>
      <c r="J21" s="77"/>
      <c r="R21" s="74"/>
      <c r="S21" s="984"/>
      <c r="T21" s="984"/>
      <c r="U21" s="984"/>
      <c r="V21" s="984"/>
      <c r="W21" s="984"/>
      <c r="X21" s="984"/>
    </row>
    <row r="22" spans="1:24" s="72" customFormat="1" ht="18" x14ac:dyDescent="0.25">
      <c r="A22" s="2712" t="s">
        <v>545</v>
      </c>
      <c r="B22" s="2712"/>
      <c r="C22" s="2712"/>
      <c r="D22" s="2712" t="s">
        <v>546</v>
      </c>
      <c r="E22" s="2712"/>
      <c r="F22" s="2712"/>
      <c r="G22" s="2712"/>
      <c r="H22" s="2712"/>
      <c r="I22" s="2712"/>
      <c r="J22" s="77"/>
      <c r="R22" s="74"/>
      <c r="S22" s="984"/>
      <c r="T22" s="984"/>
      <c r="U22" s="984"/>
      <c r="V22" s="984"/>
      <c r="W22" s="984"/>
      <c r="X22" s="984"/>
    </row>
    <row r="23" spans="1:24" s="72" customFormat="1" ht="18" x14ac:dyDescent="0.25">
      <c r="A23" s="1119" t="s">
        <v>538</v>
      </c>
      <c r="B23" s="1126" t="s">
        <v>543</v>
      </c>
      <c r="C23" s="1127"/>
      <c r="D23" s="2716" t="s">
        <v>547</v>
      </c>
      <c r="E23" s="2717"/>
      <c r="F23" s="2717"/>
      <c r="G23" s="2717"/>
      <c r="H23" s="2717"/>
      <c r="I23" s="2718"/>
      <c r="J23" s="77"/>
      <c r="R23" s="74"/>
      <c r="S23" s="984"/>
      <c r="T23" s="984"/>
      <c r="U23" s="984"/>
      <c r="V23" s="984"/>
      <c r="W23" s="984"/>
      <c r="X23" s="984"/>
    </row>
    <row r="24" spans="1:24" s="72" customFormat="1" ht="18" x14ac:dyDescent="0.25">
      <c r="A24" s="1120" t="s">
        <v>539</v>
      </c>
      <c r="B24" s="1126" t="s">
        <v>544</v>
      </c>
      <c r="C24" s="1127"/>
      <c r="D24" s="2716" t="s">
        <v>548</v>
      </c>
      <c r="E24" s="2717"/>
      <c r="F24" s="2717"/>
      <c r="G24" s="2717"/>
      <c r="H24" s="2717"/>
      <c r="I24" s="2718"/>
      <c r="J24" s="77"/>
      <c r="R24" s="74"/>
      <c r="S24" s="984"/>
      <c r="T24" s="984"/>
      <c r="U24" s="984"/>
      <c r="V24" s="984"/>
      <c r="W24" s="984"/>
      <c r="X24" s="984"/>
    </row>
    <row r="25" spans="1:24" s="72" customFormat="1" ht="18" x14ac:dyDescent="0.25">
      <c r="A25" s="1121" t="s">
        <v>540</v>
      </c>
      <c r="B25" s="1126" t="s">
        <v>554</v>
      </c>
      <c r="C25" s="1127"/>
      <c r="D25" s="2716" t="s">
        <v>549</v>
      </c>
      <c r="E25" s="2717"/>
      <c r="F25" s="2717"/>
      <c r="G25" s="2717"/>
      <c r="H25" s="2717"/>
      <c r="I25" s="2718"/>
      <c r="J25" s="77"/>
      <c r="R25" s="74"/>
      <c r="S25" s="984"/>
      <c r="T25" s="984"/>
      <c r="U25" s="984"/>
      <c r="V25" s="984"/>
      <c r="W25" s="984"/>
      <c r="X25" s="984"/>
    </row>
    <row r="26" spans="1:24" s="72" customFormat="1" ht="18" x14ac:dyDescent="0.25">
      <c r="A26" s="1122" t="s">
        <v>541</v>
      </c>
      <c r="B26" s="1126" t="s">
        <v>553</v>
      </c>
      <c r="C26" s="1127"/>
      <c r="D26" s="2716" t="s">
        <v>550</v>
      </c>
      <c r="E26" s="2717"/>
      <c r="F26" s="2717"/>
      <c r="G26" s="2717"/>
      <c r="H26" s="2717"/>
      <c r="I26" s="2718"/>
      <c r="J26" s="77"/>
      <c r="R26" s="74"/>
      <c r="S26" s="984"/>
      <c r="T26" s="984"/>
      <c r="U26" s="984"/>
      <c r="V26" s="984"/>
      <c r="W26" s="984"/>
      <c r="X26" s="984"/>
    </row>
    <row r="27" spans="1:24" s="72" customFormat="1" ht="18" x14ac:dyDescent="0.25">
      <c r="A27" s="1123" t="s">
        <v>542</v>
      </c>
      <c r="B27" s="1126" t="s">
        <v>555</v>
      </c>
      <c r="C27" s="1127"/>
      <c r="D27" s="2716" t="s">
        <v>551</v>
      </c>
      <c r="E27" s="2717"/>
      <c r="F27" s="2717"/>
      <c r="G27" s="2717"/>
      <c r="H27" s="2717"/>
      <c r="I27" s="2718"/>
      <c r="J27" s="77"/>
      <c r="R27" s="74"/>
      <c r="S27" s="984"/>
      <c r="T27" s="984"/>
      <c r="U27" s="984"/>
      <c r="V27" s="984"/>
      <c r="W27" s="984"/>
      <c r="X27" s="984"/>
    </row>
    <row r="28" spans="1:24" s="72" customFormat="1" ht="18" x14ac:dyDescent="0.25">
      <c r="A28" s="1115"/>
      <c r="B28" s="1117"/>
      <c r="C28" s="1118"/>
      <c r="D28" s="1114"/>
      <c r="E28" s="1114"/>
      <c r="F28" s="1114"/>
      <c r="G28" s="1114"/>
      <c r="H28" s="1124"/>
      <c r="I28" s="1114"/>
      <c r="J28" s="77"/>
      <c r="R28" s="74"/>
      <c r="S28" s="984"/>
      <c r="T28" s="984"/>
      <c r="U28" s="984"/>
      <c r="V28" s="984"/>
      <c r="W28" s="984"/>
      <c r="X28" s="984"/>
    </row>
    <row r="29" spans="1:24" s="72" customFormat="1" ht="31.5" customHeight="1" x14ac:dyDescent="0.25">
      <c r="A29" s="2719" t="str">
        <f>"1.  Cash amount requested by the Principal Recipient from the Global Fund for next disbursement period plus one additional quarter (amount in: "&amp;IF(D10="","please select currency in 'PR_Section 1A')",D10&amp;"):")</f>
        <v>1.  Cash amount requested by the Principal Recipient from the Global Fund for next disbursement period plus one additional quarter (amount in: EUR):</v>
      </c>
      <c r="B29" s="2719"/>
      <c r="C29" s="2719"/>
      <c r="D29" s="2719"/>
      <c r="E29" s="2719"/>
      <c r="F29" s="2719"/>
      <c r="G29" s="2719"/>
      <c r="H29" s="758">
        <f>+'PR_Cash Request_7A&amp;B'!D23</f>
        <v>1035000</v>
      </c>
      <c r="J29" s="366" t="str">
        <f>+IF('PR_Cash Request_7A&amp;B'!D25="","",'PR_Cash Request_7A&amp;B'!D25)</f>
        <v>One million thirty-five thousand US dollars</v>
      </c>
      <c r="R29" s="74"/>
      <c r="S29" s="984"/>
      <c r="T29" s="984"/>
      <c r="U29" s="984"/>
      <c r="V29" s="984"/>
      <c r="W29" s="984"/>
      <c r="X29" s="984"/>
    </row>
    <row r="30" spans="1:24" s="72" customFormat="1" ht="14.25" customHeight="1" x14ac:dyDescent="0.25">
      <c r="A30" s="488"/>
      <c r="B30" s="488"/>
      <c r="C30" s="488"/>
      <c r="D30" s="488"/>
      <c r="E30" s="488"/>
      <c r="F30" s="488"/>
      <c r="G30" s="488"/>
      <c r="H30" s="610"/>
      <c r="J30" s="354"/>
      <c r="R30" s="74"/>
      <c r="S30" s="984"/>
      <c r="T30" s="984"/>
      <c r="U30" s="984"/>
      <c r="V30" s="984"/>
      <c r="W30" s="984"/>
      <c r="X30" s="984"/>
    </row>
    <row r="31" spans="1:24" s="72" customFormat="1" ht="72.75" customHeight="1" x14ac:dyDescent="0.25">
      <c r="A31" s="2719" t="str">
        <f>"2.  LFA disbursement recommendation (amount in: "&amp;IF(D10="","please select currency in 'PR_Section1A')",D10&amp;"):")</f>
        <v>2.  LFA disbursement recommendation (amount in: EUR):</v>
      </c>
      <c r="B31" s="2719"/>
      <c r="C31" s="2719"/>
      <c r="D31" s="2719"/>
      <c r="E31" s="2719"/>
      <c r="F31" s="2719"/>
      <c r="G31" s="2719"/>
      <c r="H31" s="758">
        <f>'LFA_Disbursement Recommend_5B'!K44</f>
        <v>866463.39999999991</v>
      </c>
      <c r="J31" s="365" t="s">
        <v>708</v>
      </c>
      <c r="L31" s="1539"/>
      <c r="R31" s="74"/>
      <c r="S31" s="984"/>
      <c r="T31" s="984"/>
      <c r="U31" s="984"/>
      <c r="V31" s="984"/>
      <c r="W31" s="984"/>
      <c r="X31" s="984"/>
    </row>
    <row r="32" spans="1:24" s="72" customFormat="1" ht="14.25" x14ac:dyDescent="0.2">
      <c r="A32" s="86"/>
      <c r="B32" s="86"/>
      <c r="C32" s="86"/>
      <c r="D32" s="86"/>
      <c r="E32" s="86"/>
      <c r="F32" s="86"/>
      <c r="G32" s="86"/>
      <c r="H32" s="86"/>
      <c r="I32" s="86"/>
      <c r="J32" s="72" t="s">
        <v>59</v>
      </c>
      <c r="R32" s="74"/>
      <c r="S32" s="984"/>
      <c r="T32" s="984"/>
      <c r="U32" s="984"/>
      <c r="V32" s="984"/>
      <c r="W32" s="984"/>
      <c r="X32" s="984"/>
    </row>
    <row r="33" spans="1:24" s="72" customFormat="1" ht="60" customHeight="1" x14ac:dyDescent="0.25">
      <c r="A33" s="2731" t="s">
        <v>567</v>
      </c>
      <c r="B33" s="2731"/>
      <c r="C33" s="934"/>
      <c r="D33" s="1283" t="s">
        <v>561</v>
      </c>
      <c r="E33" s="1284"/>
      <c r="F33" s="1283" t="s">
        <v>568</v>
      </c>
      <c r="G33" s="1284"/>
      <c r="H33" s="1285" t="s">
        <v>584</v>
      </c>
      <c r="I33" s="1284"/>
      <c r="J33" s="1284" t="s">
        <v>552</v>
      </c>
      <c r="R33" s="74"/>
      <c r="S33" s="984"/>
      <c r="T33" s="984"/>
      <c r="U33" s="984"/>
      <c r="V33" s="984"/>
      <c r="W33" s="984"/>
      <c r="X33" s="984"/>
    </row>
    <row r="34" spans="1:24" s="72" customFormat="1" ht="46.5" customHeight="1" x14ac:dyDescent="0.2">
      <c r="A34" s="1125"/>
      <c r="B34" s="1200">
        <f>'LFA_Total PR Cash Outflow_3A'!H13+'LFA_Disbursement Recommend_5B'!M18+'LFA_Disbursement Recommend_5B'!M22+'LFA_Disbursement Recommend_5B'!M28</f>
        <v>6677921</v>
      </c>
      <c r="C34" s="86"/>
      <c r="D34" s="1364">
        <f>958963+984665.49+64081.06+32734.99</f>
        <v>2040444.54</v>
      </c>
      <c r="E34" s="86"/>
      <c r="F34" s="1540">
        <f>H31+D34</f>
        <v>2906907.94</v>
      </c>
      <c r="G34" s="86"/>
      <c r="H34" s="1199">
        <f>IF(B34=0, "", F34/B34)</f>
        <v>0.43530133704786267</v>
      </c>
      <c r="I34" s="86"/>
      <c r="J34" s="1201" t="s">
        <v>18</v>
      </c>
      <c r="M34" s="1365"/>
      <c r="R34" s="74"/>
      <c r="S34" s="984"/>
      <c r="T34" s="984"/>
      <c r="U34" s="984"/>
      <c r="V34" s="984"/>
      <c r="W34" s="984"/>
      <c r="X34" s="984"/>
    </row>
    <row r="35" spans="1:24" s="91" customFormat="1" ht="27" customHeight="1" x14ac:dyDescent="0.25">
      <c r="A35" s="92" t="s">
        <v>562</v>
      </c>
      <c r="B35" s="92"/>
      <c r="C35" s="92"/>
      <c r="D35" s="92"/>
      <c r="E35" s="92"/>
      <c r="F35" s="92"/>
      <c r="G35" s="92"/>
      <c r="H35" s="1164"/>
      <c r="I35" s="86"/>
      <c r="R35" s="482"/>
      <c r="S35" s="334"/>
      <c r="T35" s="334"/>
      <c r="U35" s="334"/>
      <c r="V35" s="334"/>
      <c r="W35" s="334"/>
      <c r="X35" s="334"/>
    </row>
    <row r="36" spans="1:24" s="72" customFormat="1" ht="14.25" x14ac:dyDescent="0.2">
      <c r="A36" s="86"/>
      <c r="B36" s="86"/>
      <c r="C36" s="86"/>
      <c r="D36" s="86"/>
      <c r="E36" s="86"/>
      <c r="F36" s="86"/>
      <c r="G36" s="86"/>
      <c r="H36" s="86"/>
      <c r="I36" s="86"/>
      <c r="R36" s="74"/>
      <c r="S36" s="984"/>
      <c r="T36" s="984"/>
      <c r="U36" s="984"/>
      <c r="V36" s="984"/>
      <c r="W36" s="984"/>
      <c r="X36" s="984"/>
    </row>
    <row r="37" spans="1:24" s="17" customFormat="1" ht="14.25" x14ac:dyDescent="0.2">
      <c r="A37" s="2753" t="s">
        <v>570</v>
      </c>
      <c r="B37" s="2753"/>
      <c r="C37" s="2753"/>
      <c r="D37" s="2753"/>
      <c r="E37" s="2753"/>
      <c r="F37" s="2753"/>
      <c r="G37" s="2753"/>
      <c r="H37" s="69"/>
      <c r="I37" s="69"/>
      <c r="J37" s="72"/>
      <c r="K37" s="74"/>
      <c r="L37" s="74"/>
      <c r="M37" s="74"/>
      <c r="N37" s="74"/>
      <c r="O37" s="74"/>
      <c r="P37" s="74"/>
      <c r="Q37" s="74"/>
      <c r="R37" s="74"/>
      <c r="S37" s="984"/>
      <c r="T37" s="984"/>
      <c r="U37" s="984"/>
      <c r="V37" s="984"/>
      <c r="W37" s="984"/>
      <c r="X37" s="984"/>
    </row>
    <row r="38" spans="1:24" s="75" customFormat="1" ht="22.5" customHeight="1" x14ac:dyDescent="0.2">
      <c r="A38" s="2739" t="s">
        <v>764</v>
      </c>
      <c r="B38" s="2740"/>
      <c r="C38" s="2740"/>
      <c r="D38" s="2740"/>
      <c r="E38" s="2740"/>
      <c r="F38" s="2740"/>
      <c r="G38" s="2740"/>
      <c r="H38" s="2740"/>
      <c r="I38" s="2740"/>
      <c r="J38" s="2741"/>
      <c r="S38" s="88"/>
      <c r="T38" s="88"/>
      <c r="U38" s="88"/>
      <c r="V38" s="88"/>
      <c r="W38" s="88"/>
      <c r="X38" s="88"/>
    </row>
    <row r="39" spans="1:24" s="75" customFormat="1" ht="141.75" customHeight="1" x14ac:dyDescent="0.2">
      <c r="A39" s="2742"/>
      <c r="B39" s="2743"/>
      <c r="C39" s="2743"/>
      <c r="D39" s="2743"/>
      <c r="E39" s="2743"/>
      <c r="F39" s="2743"/>
      <c r="G39" s="2743"/>
      <c r="H39" s="2743"/>
      <c r="I39" s="2743"/>
      <c r="J39" s="2744"/>
      <c r="S39" s="88"/>
      <c r="T39" s="88"/>
      <c r="U39" s="88"/>
      <c r="V39" s="88"/>
      <c r="W39" s="88"/>
      <c r="X39" s="88"/>
    </row>
    <row r="40" spans="1:24" s="75" customFormat="1" ht="31.5" customHeight="1" x14ac:dyDescent="0.2">
      <c r="A40" s="72"/>
      <c r="B40" s="72"/>
      <c r="C40" s="72"/>
      <c r="D40" s="72"/>
      <c r="E40" s="72"/>
      <c r="F40" s="72"/>
      <c r="G40" s="72"/>
      <c r="H40" s="72"/>
      <c r="I40" s="72"/>
      <c r="J40" s="72"/>
      <c r="S40" s="88"/>
      <c r="T40" s="88"/>
      <c r="U40" s="88"/>
      <c r="V40" s="88"/>
      <c r="W40" s="88"/>
      <c r="X40" s="88"/>
    </row>
    <row r="41" spans="1:24" s="75" customFormat="1" ht="31.5" customHeight="1" x14ac:dyDescent="0.25">
      <c r="A41" s="2076" t="s">
        <v>564</v>
      </c>
      <c r="B41" s="2077"/>
      <c r="C41" s="2077"/>
      <c r="D41" s="2077"/>
      <c r="E41" s="2077"/>
      <c r="F41" s="2077"/>
      <c r="G41" s="2077"/>
      <c r="H41" s="2077"/>
      <c r="I41" s="2077"/>
      <c r="J41" s="2077"/>
      <c r="K41" s="2077"/>
      <c r="L41" s="2077"/>
      <c r="M41" s="2077"/>
      <c r="N41" s="2077"/>
      <c r="O41" s="2077"/>
      <c r="P41" s="2077"/>
      <c r="S41" s="88"/>
      <c r="T41" s="88"/>
      <c r="U41" s="88"/>
      <c r="V41" s="88"/>
      <c r="W41" s="88"/>
      <c r="X41" s="88"/>
    </row>
    <row r="42" spans="1:24" s="75" customFormat="1" ht="41.25" customHeight="1" x14ac:dyDescent="0.2">
      <c r="A42" s="1170" t="s">
        <v>152</v>
      </c>
      <c r="J42" s="1171" t="s">
        <v>154</v>
      </c>
      <c r="S42" s="88"/>
      <c r="T42" s="88"/>
      <c r="U42" s="88"/>
      <c r="V42" s="88"/>
      <c r="W42" s="88"/>
      <c r="X42" s="88"/>
    </row>
    <row r="43" spans="1:24" s="75" customFormat="1" ht="36" customHeight="1" x14ac:dyDescent="0.25">
      <c r="B43" s="489" t="s">
        <v>17</v>
      </c>
      <c r="C43" s="87" t="s">
        <v>141</v>
      </c>
      <c r="I43" s="76"/>
      <c r="J43" s="2578" t="s">
        <v>682</v>
      </c>
      <c r="K43" s="2578"/>
      <c r="L43" s="2578"/>
      <c r="M43" s="2578"/>
      <c r="S43" s="88"/>
      <c r="T43" s="88"/>
      <c r="U43" s="88"/>
      <c r="V43" s="88"/>
      <c r="W43" s="88"/>
      <c r="X43" s="88"/>
    </row>
    <row r="44" spans="1:24" s="75" customFormat="1" ht="30.75" customHeight="1" x14ac:dyDescent="0.25">
      <c r="B44" s="489" t="s">
        <v>746</v>
      </c>
      <c r="C44" s="87" t="s">
        <v>142</v>
      </c>
      <c r="I44" s="76"/>
      <c r="J44" s="2578" t="s">
        <v>683</v>
      </c>
      <c r="K44" s="2578"/>
      <c r="L44" s="2578"/>
      <c r="M44" s="2578"/>
      <c r="S44" s="88"/>
      <c r="T44" s="88"/>
      <c r="U44" s="88"/>
      <c r="V44" s="88"/>
      <c r="W44" s="88"/>
      <c r="X44" s="88"/>
    </row>
    <row r="45" spans="1:24" s="75" customFormat="1" ht="53.25" customHeight="1" x14ac:dyDescent="0.25">
      <c r="B45" s="489" t="s">
        <v>17</v>
      </c>
      <c r="C45" s="2735" t="s">
        <v>153</v>
      </c>
      <c r="D45" s="2735"/>
      <c r="E45" s="2735"/>
      <c r="F45" s="2735"/>
      <c r="G45" s="2735"/>
      <c r="H45" s="2735"/>
      <c r="I45" s="76"/>
      <c r="J45" s="2578" t="s">
        <v>705</v>
      </c>
      <c r="K45" s="2578"/>
      <c r="L45" s="2578"/>
      <c r="M45" s="2578"/>
      <c r="S45" s="88"/>
      <c r="T45" s="88"/>
      <c r="U45" s="88"/>
      <c r="V45" s="88"/>
      <c r="W45" s="88"/>
      <c r="X45" s="88"/>
    </row>
    <row r="46" spans="1:24" s="75" customFormat="1" ht="42" customHeight="1" x14ac:dyDescent="0.25">
      <c r="B46" s="489" t="s">
        <v>17</v>
      </c>
      <c r="C46" s="2735" t="s">
        <v>143</v>
      </c>
      <c r="D46" s="2735"/>
      <c r="E46" s="2735"/>
      <c r="F46" s="2735"/>
      <c r="G46" s="2735"/>
      <c r="H46" s="2735"/>
      <c r="J46" s="2711" t="s">
        <v>684</v>
      </c>
      <c r="K46" s="2711"/>
      <c r="L46" s="2711"/>
      <c r="M46" s="2711"/>
      <c r="S46" s="88"/>
      <c r="T46" s="88"/>
      <c r="U46" s="88"/>
      <c r="V46" s="88"/>
      <c r="W46" s="88"/>
      <c r="X46" s="88"/>
    </row>
    <row r="47" spans="1:24" s="75" customFormat="1" ht="30.75" customHeight="1" x14ac:dyDescent="0.25">
      <c r="B47" s="489" t="s">
        <v>17</v>
      </c>
      <c r="C47" s="87" t="s">
        <v>144</v>
      </c>
      <c r="I47" s="76"/>
      <c r="J47" s="2711" t="s">
        <v>685</v>
      </c>
      <c r="K47" s="2711"/>
      <c r="L47" s="2711"/>
      <c r="M47" s="2711"/>
      <c r="S47" s="88"/>
      <c r="T47" s="88"/>
      <c r="U47" s="88"/>
      <c r="V47" s="88"/>
      <c r="W47" s="88"/>
      <c r="X47" s="88"/>
    </row>
    <row r="48" spans="1:24" s="75" customFormat="1" ht="32.25" customHeight="1" x14ac:dyDescent="0.25">
      <c r="B48" s="489" t="s">
        <v>17</v>
      </c>
      <c r="C48" s="1208" t="s">
        <v>583</v>
      </c>
      <c r="D48" s="1208"/>
      <c r="E48" s="1208"/>
      <c r="F48" s="1208"/>
      <c r="G48" s="1208"/>
      <c r="H48" s="1208"/>
      <c r="I48" s="487"/>
      <c r="J48" s="2578" t="s">
        <v>686</v>
      </c>
      <c r="K48" s="2578"/>
      <c r="L48" s="2578"/>
      <c r="M48" s="2578"/>
      <c r="S48" s="88"/>
      <c r="T48" s="88"/>
      <c r="U48" s="88"/>
      <c r="V48" s="88"/>
      <c r="W48" s="88"/>
      <c r="X48" s="88"/>
    </row>
    <row r="49" spans="1:24" s="75" customFormat="1" ht="55.5" customHeight="1" x14ac:dyDescent="0.25">
      <c r="B49" s="489" t="s">
        <v>17</v>
      </c>
      <c r="C49" s="1209" t="s">
        <v>565</v>
      </c>
      <c r="D49" s="627"/>
      <c r="E49" s="627"/>
      <c r="F49" s="627"/>
      <c r="G49" s="627"/>
      <c r="H49" s="627"/>
      <c r="I49" s="627"/>
      <c r="J49" s="2711" t="s">
        <v>771</v>
      </c>
      <c r="K49" s="2711"/>
      <c r="L49" s="2711"/>
      <c r="M49" s="2711"/>
      <c r="S49" s="88"/>
      <c r="T49" s="88"/>
      <c r="U49" s="88"/>
      <c r="V49" s="88"/>
      <c r="W49" s="88"/>
      <c r="X49" s="88"/>
    </row>
    <row r="50" spans="1:24" s="72" customFormat="1" ht="38.25" customHeight="1" x14ac:dyDescent="0.25">
      <c r="A50" s="75"/>
      <c r="B50" s="489" t="s">
        <v>17</v>
      </c>
      <c r="C50" s="1286" t="s">
        <v>3</v>
      </c>
      <c r="D50" s="966"/>
      <c r="E50" s="966"/>
      <c r="F50" s="966"/>
      <c r="G50" s="966"/>
      <c r="H50" s="966"/>
      <c r="I50" s="1287"/>
      <c r="J50" s="2752" t="s">
        <v>747</v>
      </c>
      <c r="K50" s="2752"/>
      <c r="L50" s="2752"/>
      <c r="M50" s="2752"/>
      <c r="R50" s="74"/>
      <c r="S50" s="984"/>
      <c r="T50" s="984"/>
      <c r="U50" s="984"/>
      <c r="V50" s="984"/>
      <c r="W50" s="984"/>
      <c r="X50" s="984"/>
    </row>
    <row r="51" spans="1:24" s="72" customFormat="1" ht="49.5" customHeight="1" x14ac:dyDescent="0.25">
      <c r="A51" s="2720" t="s">
        <v>523</v>
      </c>
      <c r="B51" s="2720"/>
      <c r="C51" s="2720"/>
      <c r="D51" s="2720"/>
      <c r="E51" s="2720"/>
      <c r="F51" s="2720"/>
      <c r="G51" s="2720"/>
      <c r="H51" s="2720"/>
      <c r="I51" s="2720"/>
      <c r="J51" s="2720"/>
      <c r="K51" s="2720"/>
      <c r="L51" s="2720"/>
      <c r="M51" s="2720"/>
      <c r="R51" s="74"/>
      <c r="S51" s="984"/>
      <c r="T51" s="984"/>
      <c r="U51" s="984"/>
      <c r="V51" s="984"/>
      <c r="W51" s="984"/>
      <c r="X51" s="984"/>
    </row>
    <row r="52" spans="1:24" s="72" customFormat="1" ht="25.5" customHeight="1" x14ac:dyDescent="0.25">
      <c r="A52" s="75"/>
      <c r="B52" s="611"/>
      <c r="C52" s="87"/>
      <c r="D52" s="75"/>
      <c r="E52" s="75"/>
      <c r="F52" s="75"/>
      <c r="G52" s="75"/>
      <c r="H52" s="75"/>
      <c r="I52" s="76"/>
      <c r="J52" s="530"/>
      <c r="R52" s="74"/>
      <c r="S52" s="984"/>
      <c r="T52" s="984"/>
      <c r="U52" s="984"/>
      <c r="V52" s="984"/>
      <c r="W52" s="984"/>
      <c r="X52" s="984"/>
    </row>
    <row r="53" spans="1:24" s="75" customFormat="1" ht="43.5" customHeight="1" x14ac:dyDescent="0.25">
      <c r="A53" s="2730" t="s">
        <v>582</v>
      </c>
      <c r="B53" s="2730"/>
      <c r="C53" s="2730"/>
      <c r="D53" s="2730"/>
      <c r="E53" s="2730"/>
      <c r="F53" s="2730"/>
      <c r="G53" s="2730"/>
      <c r="H53" s="2730"/>
      <c r="I53" s="2730"/>
      <c r="J53" s="2730"/>
      <c r="S53" s="88"/>
      <c r="T53" s="88"/>
      <c r="U53" s="88"/>
      <c r="V53" s="88"/>
      <c r="W53" s="88"/>
      <c r="X53" s="88"/>
    </row>
    <row r="54" spans="1:24" s="75" customFormat="1" ht="51.75" customHeight="1" x14ac:dyDescent="0.2">
      <c r="A54" s="2737" t="s">
        <v>287</v>
      </c>
      <c r="B54" s="2738"/>
      <c r="C54" s="2738"/>
      <c r="D54" s="2738"/>
      <c r="E54" s="2738"/>
      <c r="F54" s="2738"/>
      <c r="G54" s="2738"/>
      <c r="H54" s="2738"/>
      <c r="I54" s="2738"/>
      <c r="J54" s="2738"/>
      <c r="S54" s="88"/>
      <c r="T54" s="88"/>
      <c r="U54" s="88"/>
      <c r="V54" s="88"/>
      <c r="W54" s="88"/>
      <c r="X54" s="88"/>
    </row>
    <row r="55" spans="1:24" s="75" customFormat="1" ht="49.5" customHeight="1" x14ac:dyDescent="0.2">
      <c r="A55" s="2745" t="s">
        <v>750</v>
      </c>
      <c r="B55" s="2746"/>
      <c r="C55" s="2746"/>
      <c r="D55" s="2746"/>
      <c r="E55" s="2746"/>
      <c r="F55" s="2746"/>
      <c r="G55" s="2746"/>
      <c r="H55" s="2746"/>
      <c r="I55" s="2746"/>
      <c r="J55" s="2746"/>
      <c r="K55" s="2746"/>
      <c r="L55" s="2746"/>
      <c r="M55" s="2747"/>
      <c r="S55" s="88"/>
      <c r="T55" s="88"/>
      <c r="U55" s="88"/>
      <c r="V55" s="88"/>
      <c r="W55" s="88"/>
      <c r="X55" s="88"/>
    </row>
    <row r="56" spans="1:24" s="75" customFormat="1" ht="195" customHeight="1" x14ac:dyDescent="0.2">
      <c r="A56" s="2748"/>
      <c r="B56" s="2749"/>
      <c r="C56" s="2749"/>
      <c r="D56" s="2749"/>
      <c r="E56" s="2749"/>
      <c r="F56" s="2749"/>
      <c r="G56" s="2749"/>
      <c r="H56" s="2749"/>
      <c r="I56" s="2749"/>
      <c r="J56" s="2749"/>
      <c r="K56" s="2749"/>
      <c r="L56" s="2749"/>
      <c r="M56" s="2750"/>
      <c r="S56" s="88"/>
      <c r="T56" s="88"/>
      <c r="U56" s="88"/>
      <c r="V56" s="88"/>
      <c r="W56" s="88"/>
      <c r="X56" s="88"/>
    </row>
    <row r="57" spans="1:24" s="1351" customFormat="1" ht="66.75" customHeight="1" x14ac:dyDescent="0.25">
      <c r="A57" s="2751" t="s">
        <v>637</v>
      </c>
      <c r="B57" s="2751"/>
      <c r="C57" s="2751"/>
      <c r="D57" s="2751"/>
      <c r="E57" s="2751"/>
      <c r="F57" s="2751"/>
      <c r="G57" s="2751"/>
      <c r="H57" s="2751"/>
      <c r="I57" s="2751"/>
      <c r="J57" s="2751"/>
      <c r="K57" s="1350"/>
      <c r="L57" s="1350"/>
      <c r="M57" s="1350"/>
      <c r="S57" s="447"/>
      <c r="T57" s="447"/>
      <c r="U57" s="447"/>
      <c r="V57" s="447"/>
      <c r="W57" s="447"/>
      <c r="X57" s="447"/>
    </row>
    <row r="58" spans="1:24" s="72" customFormat="1" ht="30" customHeight="1" x14ac:dyDescent="0.25">
      <c r="A58" s="1348" t="s">
        <v>145</v>
      </c>
      <c r="B58" s="1348"/>
      <c r="C58" s="1348"/>
      <c r="D58" s="2732"/>
      <c r="E58" s="2732"/>
      <c r="F58" s="2732"/>
      <c r="G58" s="1352"/>
      <c r="H58" s="1352"/>
      <c r="I58" s="1352"/>
      <c r="J58" s="1349"/>
      <c r="S58" s="69"/>
      <c r="T58" s="69"/>
      <c r="U58" s="69"/>
      <c r="V58" s="69"/>
      <c r="W58" s="2"/>
      <c r="X58" s="2"/>
    </row>
    <row r="59" spans="1:24" s="72" customFormat="1" ht="36" customHeight="1" x14ac:dyDescent="0.25">
      <c r="A59" s="1348" t="s">
        <v>146</v>
      </c>
      <c r="B59" s="1348"/>
      <c r="C59" s="1348"/>
      <c r="D59" s="2732" t="s">
        <v>707</v>
      </c>
      <c r="E59" s="2732"/>
      <c r="F59" s="2732"/>
      <c r="G59" s="1352"/>
      <c r="H59" s="1352"/>
      <c r="I59" s="1352"/>
      <c r="J59" s="1349"/>
      <c r="S59" s="69"/>
      <c r="T59" s="69"/>
      <c r="U59" s="69"/>
      <c r="V59" s="69"/>
      <c r="W59" s="2"/>
      <c r="X59" s="2"/>
    </row>
    <row r="60" spans="1:24" s="72" customFormat="1" ht="36" customHeight="1" x14ac:dyDescent="0.25">
      <c r="A60" s="1348" t="s">
        <v>147</v>
      </c>
      <c r="B60" s="1348"/>
      <c r="C60" s="1348"/>
      <c r="D60" s="2736" t="s">
        <v>719</v>
      </c>
      <c r="E60" s="2732"/>
      <c r="F60" s="2732"/>
      <c r="G60" s="1352"/>
      <c r="H60" s="1352"/>
      <c r="I60" s="1352"/>
      <c r="J60" s="1349"/>
      <c r="S60" s="69"/>
      <c r="T60" s="69"/>
      <c r="U60" s="69"/>
      <c r="V60" s="69"/>
      <c r="W60" s="2"/>
      <c r="X60" s="2"/>
    </row>
    <row r="61" spans="1:24" s="72" customFormat="1" ht="37.5" customHeight="1" x14ac:dyDescent="0.25">
      <c r="A61" s="1348" t="s">
        <v>148</v>
      </c>
      <c r="B61" s="1348"/>
      <c r="C61" s="1348"/>
      <c r="D61" s="2732" t="s">
        <v>759</v>
      </c>
      <c r="E61" s="2732"/>
      <c r="F61" s="2732"/>
      <c r="G61" s="1352"/>
      <c r="H61" s="1352"/>
      <c r="I61" s="1352"/>
      <c r="J61" s="1349"/>
      <c r="S61" s="69"/>
      <c r="T61" s="69"/>
      <c r="U61" s="69"/>
      <c r="V61" s="69"/>
      <c r="W61" s="2"/>
      <c r="X61" s="2"/>
    </row>
    <row r="62" spans="1:24" s="72" customFormat="1" ht="18" x14ac:dyDescent="0.25">
      <c r="A62" s="1349"/>
      <c r="B62" s="1349"/>
      <c r="S62" s="69"/>
      <c r="T62" s="69"/>
      <c r="U62" s="69"/>
      <c r="V62" s="69"/>
      <c r="W62" s="2"/>
      <c r="X62" s="2"/>
    </row>
    <row r="63" spans="1:24" s="72" customFormat="1" ht="15" x14ac:dyDescent="0.25">
      <c r="A63" s="612"/>
      <c r="S63" s="69"/>
      <c r="T63" s="69"/>
      <c r="U63" s="69"/>
      <c r="V63" s="69"/>
      <c r="W63" s="69"/>
      <c r="X63" s="69"/>
    </row>
    <row r="64" spans="1:24" s="72" customFormat="1" ht="15.75" x14ac:dyDescent="0.25">
      <c r="A64" s="2720"/>
      <c r="B64" s="2720"/>
      <c r="C64" s="2720"/>
      <c r="D64" s="2720"/>
      <c r="E64" s="2720"/>
      <c r="F64" s="2720"/>
      <c r="G64" s="2720"/>
      <c r="H64" s="2720"/>
      <c r="I64" s="2720"/>
      <c r="J64" s="2720"/>
      <c r="S64" s="69"/>
      <c r="T64" s="69"/>
      <c r="U64" s="69"/>
      <c r="V64" s="69"/>
      <c r="W64" s="69"/>
      <c r="X64" s="69"/>
    </row>
    <row r="65" spans="1:24" s="72" customFormat="1" x14ac:dyDescent="0.2">
      <c r="S65" s="69"/>
      <c r="T65" s="69"/>
      <c r="U65" s="69"/>
      <c r="V65" s="69"/>
      <c r="W65" s="69"/>
      <c r="X65" s="69"/>
    </row>
    <row r="66" spans="1:24" x14ac:dyDescent="0.2">
      <c r="A66" s="72"/>
      <c r="B66" s="72"/>
      <c r="C66" s="72"/>
      <c r="D66" s="72"/>
      <c r="E66" s="72"/>
      <c r="F66" s="72"/>
      <c r="G66" s="72"/>
      <c r="H66" s="72"/>
      <c r="I66" s="72"/>
      <c r="J66" s="72"/>
    </row>
    <row r="67" spans="1:24" x14ac:dyDescent="0.2">
      <c r="A67" s="72"/>
      <c r="B67" s="72"/>
      <c r="C67" s="72"/>
      <c r="D67" s="72"/>
      <c r="E67" s="72"/>
      <c r="F67" s="72"/>
      <c r="G67" s="72"/>
      <c r="H67" s="72"/>
      <c r="I67" s="72"/>
      <c r="J67" s="72"/>
    </row>
    <row r="68" spans="1:24" x14ac:dyDescent="0.2">
      <c r="A68" s="72"/>
      <c r="B68" s="72"/>
      <c r="C68" s="72"/>
      <c r="D68" s="72"/>
      <c r="E68" s="72"/>
      <c r="F68" s="72"/>
      <c r="G68" s="72"/>
      <c r="H68" s="72"/>
      <c r="I68" s="72"/>
      <c r="J68" s="72"/>
    </row>
    <row r="69" spans="1:24" x14ac:dyDescent="0.2">
      <c r="A69" s="72"/>
      <c r="B69" s="72"/>
      <c r="C69" s="72"/>
      <c r="D69" s="72"/>
      <c r="E69" s="72"/>
      <c r="F69" s="72"/>
      <c r="G69" s="72"/>
      <c r="H69" s="72"/>
      <c r="I69" s="72"/>
      <c r="J69" s="72"/>
    </row>
  </sheetData>
  <sheetProtection formatCells="0" formatColumns="0" formatRows="0"/>
  <customSheetViews>
    <customSheetView guid="{E26F941C-F347-432D-B4B3-73B25F002075}" scale="75" fitToPage="1" hiddenColumns="1" topLeftCell="A19">
      <pane xSplit="9.7868131868131876" topLeftCell="J1"/>
      <selection activeCell="J34" sqref="J34"/>
      <pageMargins left="0.42" right="0.37" top="0.42" bottom="0.54" header="0.33" footer="0.36"/>
      <printOptions horizontalCentered="1"/>
      <pageSetup paperSize="9" scale="49" orientation="landscape" cellComments="asDisplayed" r:id="rId1"/>
      <headerFooter alignWithMargins="0">
        <oddFooter>&amp;L&amp;9SD 3.1A - Form, Ongoing DR/PU and LFA Review and Recommendation_v2.1 February 2006&amp;R&amp;9Page &amp;P of &amp;N</oddFooter>
      </headerFooter>
    </customSheetView>
  </customSheetViews>
  <mergeCells count="58">
    <mergeCell ref="D61:F61"/>
    <mergeCell ref="A31:G31"/>
    <mergeCell ref="A14:C14"/>
    <mergeCell ref="C45:H45"/>
    <mergeCell ref="D60:F60"/>
    <mergeCell ref="C46:H46"/>
    <mergeCell ref="A54:J54"/>
    <mergeCell ref="A38:J39"/>
    <mergeCell ref="D59:F59"/>
    <mergeCell ref="J47:M47"/>
    <mergeCell ref="A51:M51"/>
    <mergeCell ref="A55:M56"/>
    <mergeCell ref="A57:J57"/>
    <mergeCell ref="J49:M49"/>
    <mergeCell ref="J50:M50"/>
    <mergeCell ref="A37:G37"/>
    <mergeCell ref="A7:C7"/>
    <mergeCell ref="D10:G10"/>
    <mergeCell ref="D14:G14"/>
    <mergeCell ref="D8:G8"/>
    <mergeCell ref="A9:C9"/>
    <mergeCell ref="A8:C8"/>
    <mergeCell ref="A10:C10"/>
    <mergeCell ref="A12:C12"/>
    <mergeCell ref="D9:G9"/>
    <mergeCell ref="A13:C13"/>
    <mergeCell ref="D25:I25"/>
    <mergeCell ref="D26:I26"/>
    <mergeCell ref="D27:I27"/>
    <mergeCell ref="A64:J64"/>
    <mergeCell ref="A1:J1"/>
    <mergeCell ref="D6:G6"/>
    <mergeCell ref="D7:G7"/>
    <mergeCell ref="D3:G3"/>
    <mergeCell ref="D5:G5"/>
    <mergeCell ref="A53:J53"/>
    <mergeCell ref="A3:C3"/>
    <mergeCell ref="A5:C5"/>
    <mergeCell ref="A6:C6"/>
    <mergeCell ref="A33:B33"/>
    <mergeCell ref="D58:F58"/>
    <mergeCell ref="J48:M48"/>
    <mergeCell ref="I6:M8"/>
    <mergeCell ref="J43:M43"/>
    <mergeCell ref="J44:M44"/>
    <mergeCell ref="J45:M45"/>
    <mergeCell ref="J46:M46"/>
    <mergeCell ref="L14:O14"/>
    <mergeCell ref="A17:P17"/>
    <mergeCell ref="A41:P41"/>
    <mergeCell ref="A22:C22"/>
    <mergeCell ref="I12:K12"/>
    <mergeCell ref="I13:K13"/>
    <mergeCell ref="I14:K14"/>
    <mergeCell ref="D22:I22"/>
    <mergeCell ref="D23:I23"/>
    <mergeCell ref="A29:G29"/>
    <mergeCell ref="D24:I24"/>
  </mergeCells>
  <phoneticPr fontId="29" type="noConversion"/>
  <conditionalFormatting sqref="H29:H30">
    <cfRule type="cellIs" dxfId="6" priority="7" stopIfTrue="1" operator="notEqual">
      <formula>#REF!</formula>
    </cfRule>
  </conditionalFormatting>
  <conditionalFormatting sqref="H31">
    <cfRule type="cellIs" dxfId="5" priority="6" stopIfTrue="1" operator="notEqual">
      <formula>#REF!</formula>
    </cfRule>
  </conditionalFormatting>
  <dataValidations count="9">
    <dataValidation type="list" allowBlank="1" showInputMessage="1" showErrorMessage="1" sqref="B46 B52 B50">
      <formula1>"Select,Yes,No,Partially"</formula1>
    </dataValidation>
    <dataValidation type="list" allowBlank="1" showInputMessage="1" showErrorMessage="1" sqref="B44">
      <formula1>"Select,Yes,No,Partially,N/A"</formula1>
    </dataValidation>
    <dataValidation type="list" allowBlank="1" showInputMessage="1" showErrorMessage="1" sqref="B43 B45 B49">
      <formula1>"Select,Yes,No"</formula1>
    </dataValidation>
    <dataValidation type="list" allowBlank="1" showInputMessage="1" showErrorMessage="1" sqref="B47">
      <formula1>"Select,Yes,No,N/A"</formula1>
    </dataValidation>
    <dataValidation type="list" allowBlank="1" showInputMessage="1" showErrorMessage="1" sqref="H14">
      <formula1>"Select,N/A,1,2,3,4,5,6,7,8,9,10,11,12,13,14,15,16,17,18,19,20"</formula1>
    </dataValidation>
    <dataValidation type="list" allowBlank="1" showInputMessage="1" showErrorMessage="1" sqref="H6">
      <formula1>"Select,Health Systems Strengthening,HIV/AIDS,HIV/TB,Integrated,Malaria,Tuberculosis"</formula1>
    </dataValidation>
    <dataValidation type="list" allowBlank="1" showInputMessage="1" showErrorMessage="1" sqref="H10">
      <formula1>"Select,USD,EUR"</formula1>
    </dataValidation>
    <dataValidation type="list" allowBlank="1" showInputMessage="1" showErrorMessage="1" sqref="H12">
      <formula1>"Select,1,2,3,4,5,6,7,8,9,10,11,12,13,14,15,16,17,18,19,20"</formula1>
    </dataValidation>
    <dataValidation type="list" allowBlank="1" showInputMessage="1" showErrorMessage="1" sqref="B48 J34 H35">
      <formula1>"Select, Yes, No"</formula1>
    </dataValidation>
  </dataValidations>
  <printOptions horizontalCentered="1"/>
  <pageMargins left="0.74803149606299213" right="0.74803149606299213" top="0.59055118110236227" bottom="0.59055118110236227" header="0.51181102362204722" footer="0.51181102362204722"/>
  <pageSetup paperSize="9" scale="47" fitToHeight="0" orientation="landscape" cellComments="asDisplayed" r:id="rId2"/>
  <headerFooter alignWithMargins="0">
    <oddFooter>&amp;L&amp;9&amp;F&amp;C&amp;A&amp;R&amp;9Page &amp;P of &amp;N</oddFooter>
  </headerFooter>
  <rowBreaks count="1" manualBreakCount="1">
    <brk id="40" max="15" man="1"/>
  </rowBreaks>
  <ignoredErrors>
    <ignoredError sqref="D12:D13 E5:G5 G14 E14 F12:F14" unlocked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0"/>
    <pageSetUpPr fitToPage="1"/>
  </sheetPr>
  <dimension ref="A1:P82"/>
  <sheetViews>
    <sheetView view="pageBreakPreview" topLeftCell="A12" zoomScale="60" zoomScaleNormal="75" workbookViewId="0">
      <selection activeCell="I26" sqref="I26"/>
    </sheetView>
  </sheetViews>
  <sheetFormatPr defaultColWidth="13.28515625" defaultRowHeight="12.75" x14ac:dyDescent="0.2"/>
  <cols>
    <col min="1" max="1" width="2.42578125" style="705" customWidth="1"/>
    <col min="2" max="2" width="50" style="705" customWidth="1"/>
    <col min="3" max="3" width="50.140625" style="705" customWidth="1"/>
    <col min="4" max="4" width="20.85546875" style="705" customWidth="1"/>
    <col min="5" max="5" width="25.28515625" style="705" customWidth="1"/>
    <col min="6" max="6" width="36" style="705" customWidth="1"/>
    <col min="7" max="7" width="9.140625" style="705" customWidth="1"/>
    <col min="8" max="8" width="10.140625" style="705" customWidth="1"/>
    <col min="9" max="9" width="9.140625" style="705" customWidth="1"/>
    <col min="10" max="10" width="4.42578125" style="705" hidden="1" customWidth="1"/>
    <col min="11" max="11" width="60.85546875" style="705" hidden="1" customWidth="1"/>
    <col min="12" max="15" width="22" style="705" hidden="1" customWidth="1"/>
    <col min="16" max="16" width="9.140625" style="705" hidden="1" customWidth="1"/>
    <col min="17" max="224" width="9.140625" style="705" customWidth="1"/>
    <col min="225" max="225" width="2.42578125" style="705" customWidth="1"/>
    <col min="226" max="226" width="1.7109375" style="705" customWidth="1"/>
    <col min="227" max="227" width="7" style="705" customWidth="1"/>
    <col min="228" max="228" width="10.140625" style="705" customWidth="1"/>
    <col min="229" max="229" width="15" style="705" customWidth="1"/>
    <col min="230" max="233" width="5.42578125" style="705" customWidth="1"/>
    <col min="234" max="250" width="4.140625" style="705" customWidth="1"/>
    <col min="251" max="251" width="1.7109375" style="705" customWidth="1"/>
    <col min="252" max="16384" width="13.28515625" style="705"/>
  </cols>
  <sheetData>
    <row r="1" spans="1:15" ht="23.25" customHeight="1" x14ac:dyDescent="0.35">
      <c r="A1" s="2107" t="s">
        <v>285</v>
      </c>
      <c r="B1" s="2107"/>
      <c r="C1" s="2107"/>
      <c r="D1" s="967"/>
    </row>
    <row r="2" spans="1:15" ht="9.75" customHeight="1" x14ac:dyDescent="0.35">
      <c r="A2" s="967"/>
      <c r="B2" s="967"/>
      <c r="C2" s="967"/>
      <c r="D2" s="967"/>
    </row>
    <row r="3" spans="1:15" ht="75" customHeight="1" x14ac:dyDescent="0.25">
      <c r="A3" s="974"/>
      <c r="B3" s="2754" t="s">
        <v>489</v>
      </c>
      <c r="C3" s="2754"/>
      <c r="D3" s="2754"/>
      <c r="E3" s="2754"/>
      <c r="F3" s="974"/>
    </row>
    <row r="5" spans="1:15" ht="18" x14ac:dyDescent="0.25">
      <c r="B5" s="1259" t="s">
        <v>521</v>
      </c>
      <c r="C5" s="1259"/>
      <c r="D5" s="1259"/>
      <c r="E5" s="1259"/>
      <c r="F5" s="1259"/>
    </row>
    <row r="7" spans="1:15" ht="15.75" x14ac:dyDescent="0.2">
      <c r="B7" s="531" t="s">
        <v>423</v>
      </c>
      <c r="C7" s="812">
        <f>'PR_Bank Details_7C'!C7</f>
        <v>0</v>
      </c>
    </row>
    <row r="9" spans="1:15" ht="15" x14ac:dyDescent="0.2">
      <c r="B9" s="968" t="s">
        <v>424</v>
      </c>
      <c r="C9" s="968"/>
      <c r="D9" s="968"/>
      <c r="E9" s="968"/>
      <c r="F9" s="968"/>
      <c r="K9" s="968" t="s">
        <v>424</v>
      </c>
      <c r="L9" s="968"/>
      <c r="M9" s="968"/>
      <c r="N9" s="968"/>
      <c r="O9" s="968"/>
    </row>
    <row r="10" spans="1:15" s="706" customFormat="1" ht="15" thickBot="1" x14ac:dyDescent="0.25">
      <c r="A10" s="705"/>
      <c r="B10" s="705"/>
      <c r="C10" s="705"/>
      <c r="D10" s="705"/>
      <c r="E10" s="705"/>
      <c r="F10" s="705"/>
      <c r="J10" s="705"/>
      <c r="K10" s="705"/>
      <c r="L10" s="705"/>
      <c r="M10" s="705"/>
      <c r="N10" s="705"/>
      <c r="O10" s="705"/>
    </row>
    <row r="11" spans="1:15" s="706" customFormat="1" ht="30" x14ac:dyDescent="0.25">
      <c r="B11" s="533"/>
      <c r="C11" s="534" t="s">
        <v>425</v>
      </c>
      <c r="D11" s="838" t="s">
        <v>473</v>
      </c>
      <c r="K11" s="533"/>
      <c r="L11" s="534" t="s">
        <v>425</v>
      </c>
      <c r="M11" s="838" t="s">
        <v>473</v>
      </c>
    </row>
    <row r="12" spans="1:15" s="706" customFormat="1" ht="30.75" customHeight="1" x14ac:dyDescent="0.2">
      <c r="B12" s="535" t="s">
        <v>474</v>
      </c>
      <c r="C12" s="813" t="str">
        <f>IF(C20="","",C20)</f>
        <v>ACTION AID , THE GAMBIA</v>
      </c>
      <c r="D12" s="815">
        <f>IF(C30="",C24,C30)</f>
        <v>826062</v>
      </c>
      <c r="K12" s="535" t="s">
        <v>474</v>
      </c>
      <c r="L12" s="813" t="str">
        <f>IF(L20="","",L20)</f>
        <v/>
      </c>
      <c r="M12" s="815" t="str">
        <f>IF(L30="",L24,L30)</f>
        <v/>
      </c>
    </row>
    <row r="13" spans="1:15" s="706" customFormat="1" ht="30.75" customHeight="1" x14ac:dyDescent="0.2">
      <c r="B13" s="535" t="s">
        <v>427</v>
      </c>
      <c r="C13" s="813" t="str">
        <f>IF(C36="","",C36)</f>
        <v>VPP</v>
      </c>
      <c r="D13" s="815">
        <f>IF(C46="",C40,C46)</f>
        <v>40401</v>
      </c>
      <c r="K13" s="535" t="s">
        <v>427</v>
      </c>
      <c r="L13" s="813" t="str">
        <f>IF(L36="","",L36)</f>
        <v/>
      </c>
      <c r="M13" s="815" t="str">
        <f>IF(L46="",L40,L46)</f>
        <v/>
      </c>
    </row>
    <row r="14" spans="1:15" s="706" customFormat="1" ht="30.75" customHeight="1" x14ac:dyDescent="0.2">
      <c r="B14" s="535" t="s">
        <v>428</v>
      </c>
      <c r="C14" s="813" t="str">
        <f>IF(C53="","",C53)</f>
        <v/>
      </c>
      <c r="D14" s="815" t="str">
        <f>IF(C63="",C57,C63)</f>
        <v/>
      </c>
      <c r="K14" s="535" t="s">
        <v>428</v>
      </c>
      <c r="L14" s="813" t="str">
        <f>IF(L53="","",L53)</f>
        <v/>
      </c>
      <c r="M14" s="815" t="str">
        <f>IF(L63="",L57,L63)</f>
        <v/>
      </c>
    </row>
    <row r="15" spans="1:15" s="706" customFormat="1" ht="30.75" customHeight="1" thickBot="1" x14ac:dyDescent="0.25">
      <c r="B15" s="536" t="s">
        <v>429</v>
      </c>
      <c r="C15" s="643" t="str">
        <f>IF(C69="","",C69)</f>
        <v/>
      </c>
      <c r="D15" s="816" t="str">
        <f>IF(C79="",C73,C79)</f>
        <v/>
      </c>
      <c r="G15" s="811"/>
      <c r="H15" s="840"/>
      <c r="K15" s="536" t="s">
        <v>429</v>
      </c>
      <c r="L15" s="643" t="str">
        <f>IF(L69="","",L69)</f>
        <v/>
      </c>
      <c r="M15" s="816" t="str">
        <f>IF(L79="",L73,L79)</f>
        <v/>
      </c>
    </row>
    <row r="16" spans="1:15" s="706" customFormat="1" ht="33" customHeight="1" thickBot="1" x14ac:dyDescent="0.3">
      <c r="B16" s="839" t="s">
        <v>471</v>
      </c>
      <c r="D16" s="817">
        <f>SUM(D12:D15)</f>
        <v>866463</v>
      </c>
      <c r="E16" s="2109" t="str">
        <f>IF(D16&lt;&gt;'PR_Cash Request_7A&amp;B'!D23,"The total does not match requested amount on PR signature page","")</f>
        <v>The total does not match requested amount on PR signature page</v>
      </c>
      <c r="F16" s="2110"/>
      <c r="K16" s="839" t="s">
        <v>471</v>
      </c>
      <c r="M16" s="817">
        <f>SUM(M12:M15)</f>
        <v>0</v>
      </c>
      <c r="N16" s="2109" t="str">
        <f>IF(M16&lt;&gt;'PR_Cash Request_7A&amp;B'!M23,"The total does not match requested amount on PR signature page","")</f>
        <v/>
      </c>
      <c r="O16" s="2110"/>
    </row>
    <row r="17" spans="1:15" s="706" customFormat="1" ht="6.75" customHeight="1" x14ac:dyDescent="0.2">
      <c r="G17" s="707"/>
      <c r="H17" s="707"/>
      <c r="I17" s="707"/>
    </row>
    <row r="18" spans="1:15" ht="15" x14ac:dyDescent="0.25">
      <c r="A18" s="706"/>
      <c r="B18" s="969" t="s">
        <v>426</v>
      </c>
      <c r="C18" s="969"/>
      <c r="D18" s="969"/>
      <c r="E18" s="969"/>
      <c r="F18" s="969"/>
      <c r="J18" s="706"/>
      <c r="K18" s="969" t="s">
        <v>426</v>
      </c>
      <c r="L18" s="969"/>
      <c r="M18" s="969"/>
      <c r="N18" s="969"/>
      <c r="O18" s="969"/>
    </row>
    <row r="19" spans="1:15" s="706" customFormat="1" ht="14.25" x14ac:dyDescent="0.2">
      <c r="A19" s="705"/>
      <c r="B19" s="705"/>
      <c r="C19" s="705"/>
      <c r="D19" s="705"/>
      <c r="E19" s="705"/>
      <c r="F19" s="705"/>
      <c r="J19" s="705"/>
      <c r="K19" s="705"/>
      <c r="L19" s="705"/>
      <c r="M19" s="705"/>
      <c r="N19" s="705"/>
      <c r="O19" s="705"/>
    </row>
    <row r="20" spans="1:15" s="706" customFormat="1" ht="33" customHeight="1" x14ac:dyDescent="0.2">
      <c r="B20" s="436" t="s">
        <v>430</v>
      </c>
      <c r="C20" s="1062" t="s">
        <v>687</v>
      </c>
      <c r="E20" s="844" t="s">
        <v>274</v>
      </c>
      <c r="F20" s="1062" t="s">
        <v>639</v>
      </c>
      <c r="K20" s="436" t="s">
        <v>430</v>
      </c>
      <c r="L20" s="1062" t="str">
        <f>IF('PR_Bank Details_7C'!C20="","",'PR_Bank Details_7C'!C20)</f>
        <v/>
      </c>
      <c r="N20" s="844" t="s">
        <v>274</v>
      </c>
      <c r="O20" s="1062" t="str">
        <f>IF('PR_Bank Details_7C'!F20="","",'PR_Bank Details_7C'!F20)</f>
        <v/>
      </c>
    </row>
    <row r="21" spans="1:15" s="706" customFormat="1" ht="14.25" x14ac:dyDescent="0.2">
      <c r="C21" s="1063"/>
      <c r="E21" s="842"/>
      <c r="F21" s="1069"/>
      <c r="L21" s="1063"/>
      <c r="N21" s="842"/>
      <c r="O21" s="1069"/>
    </row>
    <row r="22" spans="1:15" s="706" customFormat="1" ht="27.75" x14ac:dyDescent="0.2">
      <c r="B22" s="841" t="s">
        <v>478</v>
      </c>
      <c r="C22" s="1076" t="s">
        <v>688</v>
      </c>
      <c r="E22" s="844" t="s">
        <v>274</v>
      </c>
      <c r="F22" s="1062" t="s">
        <v>639</v>
      </c>
      <c r="K22" s="841" t="s">
        <v>478</v>
      </c>
      <c r="L22" s="1062" t="str">
        <f>IF('PR_Bank Details_7C'!C22="","",'PR_Bank Details_7C'!C22)</f>
        <v/>
      </c>
      <c r="N22" s="844" t="s">
        <v>274</v>
      </c>
      <c r="O22" s="1062" t="str">
        <f>IF('PR_Bank Details_7C'!F22="","",'PR_Bank Details_7C'!F22)</f>
        <v/>
      </c>
    </row>
    <row r="23" spans="1:15" s="706" customFormat="1" ht="14.25" x14ac:dyDescent="0.2">
      <c r="C23" s="1063"/>
      <c r="E23" s="842"/>
      <c r="F23" s="1069"/>
      <c r="L23" s="1063"/>
      <c r="N23" s="842"/>
      <c r="O23" s="1069"/>
    </row>
    <row r="24" spans="1:15" s="706" customFormat="1" ht="30" x14ac:dyDescent="0.2">
      <c r="B24" s="437" t="s">
        <v>475</v>
      </c>
      <c r="C24" s="1072">
        <v>826062</v>
      </c>
      <c r="D24" s="532"/>
      <c r="E24" s="844" t="s">
        <v>432</v>
      </c>
      <c r="F24" s="1565" t="s">
        <v>770</v>
      </c>
      <c r="K24" s="437" t="s">
        <v>475</v>
      </c>
      <c r="L24" s="1062" t="str">
        <f>IF('PR_Bank Details_7C'!C24="","",'PR_Bank Details_7C'!C24)</f>
        <v/>
      </c>
      <c r="M24" s="532"/>
      <c r="N24" s="844" t="s">
        <v>432</v>
      </c>
      <c r="O24" s="1062" t="str">
        <f>IF('PR_Bank Details_7C'!F24="","",'PR_Bank Details_7C'!F24)</f>
        <v/>
      </c>
    </row>
    <row r="25" spans="1:15" s="706" customFormat="1" ht="14.25" x14ac:dyDescent="0.2">
      <c r="C25" s="1063"/>
      <c r="E25" s="842"/>
      <c r="F25" s="1069"/>
      <c r="L25" s="1063"/>
      <c r="N25" s="842"/>
      <c r="O25" s="1069"/>
    </row>
    <row r="26" spans="1:15" s="706" customFormat="1" ht="71.25" x14ac:dyDescent="0.2">
      <c r="B26" s="437" t="s">
        <v>431</v>
      </c>
      <c r="C26" s="1062" t="s">
        <v>765</v>
      </c>
      <c r="E26" s="844" t="s">
        <v>479</v>
      </c>
      <c r="F26" s="1062" t="s">
        <v>769</v>
      </c>
      <c r="K26" s="437" t="s">
        <v>431</v>
      </c>
      <c r="L26" s="1062" t="str">
        <f>IF('PR_Bank Details_7C'!C26="","",'PR_Bank Details_7C'!C26)</f>
        <v/>
      </c>
      <c r="N26" s="844" t="s">
        <v>479</v>
      </c>
      <c r="O26" s="1062" t="str">
        <f>IF('PR_Bank Details_7C'!F26="","",'PR_Bank Details_7C'!F26)</f>
        <v/>
      </c>
    </row>
    <row r="27" spans="1:15" s="706" customFormat="1" ht="14.25" x14ac:dyDescent="0.2">
      <c r="C27" s="1063"/>
      <c r="E27" s="842"/>
      <c r="F27" s="1069"/>
      <c r="L27" s="1063"/>
      <c r="N27" s="842"/>
      <c r="O27" s="1069"/>
    </row>
    <row r="28" spans="1:15" ht="40.5" x14ac:dyDescent="0.2">
      <c r="A28" s="706"/>
      <c r="B28" s="437" t="s">
        <v>476</v>
      </c>
      <c r="C28" s="1076" t="str">
        <f>L28</f>
        <v/>
      </c>
      <c r="D28" s="706"/>
      <c r="E28" s="844" t="s">
        <v>275</v>
      </c>
      <c r="F28" s="1062" t="str">
        <f>O28</f>
        <v/>
      </c>
      <c r="J28" s="706"/>
      <c r="K28" s="437" t="s">
        <v>476</v>
      </c>
      <c r="L28" s="1062" t="str">
        <f>IF('PR_Bank Details_7C'!C28="","",'PR_Bank Details_7C'!C28)</f>
        <v/>
      </c>
      <c r="M28" s="706"/>
      <c r="N28" s="844" t="s">
        <v>275</v>
      </c>
      <c r="O28" s="1062" t="str">
        <f>IF('PR_Bank Details_7C'!F28="","",'PR_Bank Details_7C'!F28)</f>
        <v/>
      </c>
    </row>
    <row r="29" spans="1:15" s="706" customFormat="1" ht="14.25" x14ac:dyDescent="0.2">
      <c r="A29" s="705"/>
      <c r="B29" s="705"/>
      <c r="C29" s="1064"/>
      <c r="D29" s="705"/>
      <c r="E29" s="843"/>
      <c r="F29" s="1069"/>
      <c r="J29" s="705"/>
      <c r="K29" s="705"/>
      <c r="L29" s="1064"/>
      <c r="M29" s="705"/>
      <c r="N29" s="843"/>
      <c r="O29" s="1069"/>
    </row>
    <row r="30" spans="1:15" ht="27.75" x14ac:dyDescent="0.2">
      <c r="A30" s="706"/>
      <c r="B30" s="437" t="s">
        <v>477</v>
      </c>
      <c r="C30" s="1072" t="str">
        <f>L30</f>
        <v/>
      </c>
      <c r="D30" s="706"/>
      <c r="E30" s="844" t="s">
        <v>433</v>
      </c>
      <c r="F30" s="1062" t="str">
        <f>O30</f>
        <v/>
      </c>
      <c r="J30" s="706"/>
      <c r="K30" s="437" t="s">
        <v>477</v>
      </c>
      <c r="L30" s="1062" t="str">
        <f>IF('PR_Bank Details_7C'!C30="","",'PR_Bank Details_7C'!C30)</f>
        <v/>
      </c>
      <c r="M30" s="706"/>
      <c r="N30" s="844" t="s">
        <v>433</v>
      </c>
      <c r="O30" s="1062" t="str">
        <f>IF('PR_Bank Details_7C'!F30="","",'PR_Bank Details_7C'!F30)</f>
        <v/>
      </c>
    </row>
    <row r="31" spans="1:15" s="706" customFormat="1" ht="14.25" x14ac:dyDescent="0.2">
      <c r="A31" s="705"/>
      <c r="B31" s="705"/>
      <c r="C31" s="1064"/>
      <c r="D31" s="705"/>
      <c r="E31" s="843"/>
      <c r="F31" s="1070"/>
      <c r="J31" s="705"/>
      <c r="K31" s="705"/>
      <c r="L31" s="1064"/>
      <c r="M31" s="705"/>
      <c r="N31" s="843"/>
      <c r="O31" s="1070"/>
    </row>
    <row r="32" spans="1:15" s="706" customFormat="1" ht="25.5" customHeight="1" x14ac:dyDescent="0.2">
      <c r="B32" s="846"/>
      <c r="C32" s="1065"/>
      <c r="E32" s="844" t="s">
        <v>434</v>
      </c>
      <c r="F32" s="1062" t="str">
        <f>O32</f>
        <v/>
      </c>
      <c r="K32" s="846"/>
      <c r="L32" s="1065"/>
      <c r="N32" s="844" t="s">
        <v>434</v>
      </c>
      <c r="O32" s="1062" t="str">
        <f>IF('PR_Bank Details_7C'!F32="","",'PR_Bank Details_7C'!F32)</f>
        <v/>
      </c>
    </row>
    <row r="33" spans="1:15" s="706" customFormat="1" ht="5.25" customHeight="1" x14ac:dyDescent="0.2">
      <c r="B33" s="532"/>
      <c r="C33" s="1066"/>
      <c r="F33" s="1068"/>
      <c r="G33" s="707"/>
      <c r="H33" s="707"/>
      <c r="I33" s="707"/>
      <c r="K33" s="532"/>
      <c r="L33" s="1066"/>
      <c r="O33" s="1068"/>
    </row>
    <row r="34" spans="1:15" ht="15" x14ac:dyDescent="0.25">
      <c r="A34" s="706"/>
      <c r="B34" s="969" t="s">
        <v>427</v>
      </c>
      <c r="C34" s="1067"/>
      <c r="D34" s="969"/>
      <c r="E34" s="969"/>
      <c r="F34" s="1067"/>
      <c r="J34" s="706"/>
      <c r="K34" s="969" t="s">
        <v>427</v>
      </c>
      <c r="L34" s="1067"/>
      <c r="M34" s="969"/>
      <c r="N34" s="969"/>
      <c r="O34" s="1067"/>
    </row>
    <row r="35" spans="1:15" s="706" customFormat="1" ht="14.25" x14ac:dyDescent="0.2">
      <c r="A35" s="705"/>
      <c r="B35" s="705"/>
      <c r="C35" s="1064"/>
      <c r="D35" s="705"/>
      <c r="E35" s="705"/>
      <c r="F35" s="1064"/>
      <c r="J35" s="705"/>
      <c r="K35" s="705"/>
      <c r="L35" s="1064"/>
      <c r="M35" s="705"/>
      <c r="N35" s="705"/>
      <c r="O35" s="1064"/>
    </row>
    <row r="36" spans="1:15" s="706" customFormat="1" ht="33" customHeight="1" x14ac:dyDescent="0.2">
      <c r="B36" s="436" t="s">
        <v>430</v>
      </c>
      <c r="C36" s="1062" t="s">
        <v>766</v>
      </c>
      <c r="E36" s="844" t="s">
        <v>274</v>
      </c>
      <c r="F36" s="1062" t="str">
        <f>O36</f>
        <v/>
      </c>
      <c r="K36" s="436" t="s">
        <v>430</v>
      </c>
      <c r="L36" s="1062" t="str">
        <f>IF('PR_Bank Details_7C'!C36="","",'PR_Bank Details_7C'!C36)</f>
        <v/>
      </c>
      <c r="N36" s="844" t="s">
        <v>274</v>
      </c>
      <c r="O36" s="1062" t="str">
        <f>IF('PR_Bank Details_7C'!F36="","",'PR_Bank Details_7C'!F36)</f>
        <v/>
      </c>
    </row>
    <row r="37" spans="1:15" s="706" customFormat="1" ht="14.25" x14ac:dyDescent="0.2">
      <c r="C37" s="1063"/>
      <c r="E37" s="842"/>
      <c r="F37" s="1069"/>
      <c r="L37" s="1063"/>
      <c r="N37" s="842"/>
      <c r="O37" s="1069"/>
    </row>
    <row r="38" spans="1:15" s="706" customFormat="1" ht="27.75" x14ac:dyDescent="0.2">
      <c r="B38" s="841" t="s">
        <v>478</v>
      </c>
      <c r="C38" s="1062" t="s">
        <v>767</v>
      </c>
      <c r="E38" s="844" t="s">
        <v>274</v>
      </c>
      <c r="F38" s="1062" t="str">
        <f>O38</f>
        <v/>
      </c>
      <c r="K38" s="841" t="s">
        <v>478</v>
      </c>
      <c r="L38" s="1062" t="str">
        <f>IF('PR_Bank Details_7C'!C38="","",'PR_Bank Details_7C'!C38)</f>
        <v/>
      </c>
      <c r="N38" s="844" t="s">
        <v>274</v>
      </c>
      <c r="O38" s="1062" t="str">
        <f>IF('PR_Bank Details_7C'!F38="","",'PR_Bank Details_7C'!F38)</f>
        <v/>
      </c>
    </row>
    <row r="39" spans="1:15" s="706" customFormat="1" ht="14.25" x14ac:dyDescent="0.2">
      <c r="C39" s="1063"/>
      <c r="E39" s="842"/>
      <c r="F39" s="1069"/>
      <c r="L39" s="1063"/>
      <c r="N39" s="842"/>
      <c r="O39" s="1069"/>
    </row>
    <row r="40" spans="1:15" s="706" customFormat="1" ht="30" x14ac:dyDescent="0.2">
      <c r="B40" s="437" t="s">
        <v>475</v>
      </c>
      <c r="C40" s="1072">
        <v>40401</v>
      </c>
      <c r="D40" s="532"/>
      <c r="E40" s="844" t="s">
        <v>432</v>
      </c>
      <c r="F40" s="1062" t="str">
        <f>O40</f>
        <v/>
      </c>
      <c r="K40" s="437" t="s">
        <v>475</v>
      </c>
      <c r="L40" s="1062" t="str">
        <f>IF('PR_Bank Details_7C'!C40="","",'PR_Bank Details_7C'!C40)</f>
        <v/>
      </c>
      <c r="M40" s="532"/>
      <c r="N40" s="844" t="s">
        <v>432</v>
      </c>
      <c r="O40" s="1062" t="str">
        <f>IF('PR_Bank Details_7C'!F40="","",'PR_Bank Details_7C'!F40)</f>
        <v/>
      </c>
    </row>
    <row r="41" spans="1:15" s="706" customFormat="1" ht="14.25" x14ac:dyDescent="0.2">
      <c r="C41" s="1063"/>
      <c r="E41" s="842"/>
      <c r="F41" s="1069"/>
      <c r="L41" s="1063"/>
      <c r="N41" s="842"/>
      <c r="O41" s="1069"/>
    </row>
    <row r="42" spans="1:15" s="706" customFormat="1" ht="15" x14ac:dyDescent="0.2">
      <c r="B42" s="437" t="s">
        <v>431</v>
      </c>
      <c r="C42" s="1062" t="s">
        <v>768</v>
      </c>
      <c r="E42" s="844" t="s">
        <v>479</v>
      </c>
      <c r="F42" s="1062" t="str">
        <f>O42</f>
        <v/>
      </c>
      <c r="K42" s="437" t="s">
        <v>431</v>
      </c>
      <c r="L42" s="1062" t="str">
        <f>IF('PR_Bank Details_7C'!C42="","",'PR_Bank Details_7C'!C42)</f>
        <v/>
      </c>
      <c r="N42" s="844" t="s">
        <v>479</v>
      </c>
      <c r="O42" s="1062" t="str">
        <f>IF('PR_Bank Details_7C'!F42="","",'PR_Bank Details_7C'!F42)</f>
        <v/>
      </c>
    </row>
    <row r="43" spans="1:15" s="706" customFormat="1" ht="14.25" x14ac:dyDescent="0.2">
      <c r="C43" s="1063"/>
      <c r="E43" s="842"/>
      <c r="F43" s="1069"/>
      <c r="L43" s="1063"/>
      <c r="N43" s="842"/>
      <c r="O43" s="1069"/>
    </row>
    <row r="44" spans="1:15" ht="40.5" x14ac:dyDescent="0.2">
      <c r="A44" s="706"/>
      <c r="B44" s="437" t="s">
        <v>476</v>
      </c>
      <c r="C44" s="1075" t="str">
        <f>L44</f>
        <v/>
      </c>
      <c r="D44" s="706"/>
      <c r="E44" s="844" t="s">
        <v>275</v>
      </c>
      <c r="F44" s="1062" t="str">
        <f>O44</f>
        <v/>
      </c>
      <c r="J44" s="706"/>
      <c r="K44" s="437" t="s">
        <v>476</v>
      </c>
      <c r="L44" s="1062" t="str">
        <f>IF('PR_Bank Details_7C'!C44="","",'PR_Bank Details_7C'!C44)</f>
        <v/>
      </c>
      <c r="M44" s="706"/>
      <c r="N44" s="844" t="s">
        <v>275</v>
      </c>
      <c r="O44" s="1062" t="str">
        <f>IF('PR_Bank Details_7C'!F44="","",'PR_Bank Details_7C'!F44)</f>
        <v/>
      </c>
    </row>
    <row r="45" spans="1:15" s="706" customFormat="1" ht="14.25" x14ac:dyDescent="0.2">
      <c r="A45" s="705"/>
      <c r="B45" s="705"/>
      <c r="C45" s="1064"/>
      <c r="D45" s="705"/>
      <c r="E45" s="843"/>
      <c r="F45" s="1069"/>
      <c r="J45" s="705"/>
      <c r="K45" s="705"/>
      <c r="L45" s="1064"/>
      <c r="M45" s="705"/>
      <c r="N45" s="843"/>
      <c r="O45" s="1069"/>
    </row>
    <row r="46" spans="1:15" ht="27.75" x14ac:dyDescent="0.2">
      <c r="A46" s="706"/>
      <c r="B46" s="437" t="s">
        <v>477</v>
      </c>
      <c r="C46" s="1072" t="str">
        <f>L46</f>
        <v/>
      </c>
      <c r="D46" s="706"/>
      <c r="E46" s="844" t="s">
        <v>433</v>
      </c>
      <c r="F46" s="1062" t="str">
        <f>O46</f>
        <v/>
      </c>
      <c r="J46" s="706"/>
      <c r="K46" s="437" t="s">
        <v>477</v>
      </c>
      <c r="L46" s="1062" t="str">
        <f>IF('PR_Bank Details_7C'!C46="","",'PR_Bank Details_7C'!C46)</f>
        <v/>
      </c>
      <c r="M46" s="706"/>
      <c r="N46" s="844" t="s">
        <v>433</v>
      </c>
      <c r="O46" s="1062" t="str">
        <f>IF('PR_Bank Details_7C'!F46="","",'PR_Bank Details_7C'!F46)</f>
        <v/>
      </c>
    </row>
    <row r="47" spans="1:15" s="706" customFormat="1" ht="14.25" x14ac:dyDescent="0.2">
      <c r="A47" s="705"/>
      <c r="B47" s="705"/>
      <c r="C47" s="1064"/>
      <c r="D47" s="705"/>
      <c r="E47" s="843"/>
      <c r="F47" s="1070"/>
      <c r="J47" s="705"/>
      <c r="K47" s="705"/>
      <c r="L47" s="1064"/>
      <c r="M47" s="705"/>
      <c r="N47" s="843"/>
      <c r="O47" s="1070"/>
    </row>
    <row r="48" spans="1:15" s="706" customFormat="1" ht="25.5" customHeight="1" x14ac:dyDescent="0.2">
      <c r="B48" s="846"/>
      <c r="C48" s="1065"/>
      <c r="E48" s="844" t="s">
        <v>434</v>
      </c>
      <c r="F48" s="1062" t="str">
        <f>O48</f>
        <v/>
      </c>
      <c r="K48" s="846"/>
      <c r="L48" s="1065"/>
      <c r="N48" s="844" t="s">
        <v>434</v>
      </c>
      <c r="O48" s="1062" t="str">
        <f>IF('PR_Bank Details_7C'!F48="","",'PR_Bank Details_7C'!F48)</f>
        <v/>
      </c>
    </row>
    <row r="49" spans="1:15" s="706" customFormat="1" ht="6.75" customHeight="1" x14ac:dyDescent="0.2">
      <c r="B49" s="532"/>
      <c r="C49" s="1066"/>
      <c r="F49" s="1068"/>
      <c r="K49" s="532"/>
      <c r="L49" s="1066"/>
      <c r="O49" s="1068"/>
    </row>
    <row r="50" spans="1:15" s="706" customFormat="1" ht="8.25" customHeight="1" x14ac:dyDescent="0.2">
      <c r="C50" s="1068"/>
      <c r="F50" s="1068"/>
      <c r="G50" s="707"/>
      <c r="H50" s="707"/>
      <c r="I50" s="707"/>
      <c r="L50" s="1068"/>
      <c r="O50" s="1068"/>
    </row>
    <row r="51" spans="1:15" ht="15" x14ac:dyDescent="0.25">
      <c r="A51" s="706"/>
      <c r="B51" s="969" t="s">
        <v>428</v>
      </c>
      <c r="C51" s="1067"/>
      <c r="D51" s="969"/>
      <c r="E51" s="969"/>
      <c r="F51" s="1067"/>
      <c r="J51" s="706"/>
      <c r="K51" s="969" t="s">
        <v>428</v>
      </c>
      <c r="L51" s="1067"/>
      <c r="M51" s="969"/>
      <c r="N51" s="969"/>
      <c r="O51" s="1067"/>
    </row>
    <row r="52" spans="1:15" s="706" customFormat="1" ht="14.25" x14ac:dyDescent="0.2">
      <c r="A52" s="705"/>
      <c r="B52" s="705"/>
      <c r="C52" s="1064"/>
      <c r="D52" s="705"/>
      <c r="E52" s="705"/>
      <c r="F52" s="1064"/>
      <c r="J52" s="705"/>
      <c r="K52" s="705"/>
      <c r="L52" s="1064"/>
      <c r="M52" s="705"/>
      <c r="N52" s="705"/>
      <c r="O52" s="1064"/>
    </row>
    <row r="53" spans="1:15" s="706" customFormat="1" ht="33" customHeight="1" x14ac:dyDescent="0.2">
      <c r="B53" s="436" t="s">
        <v>430</v>
      </c>
      <c r="C53" s="1062" t="str">
        <f>L53</f>
        <v/>
      </c>
      <c r="E53" s="844" t="s">
        <v>274</v>
      </c>
      <c r="F53" s="1062" t="str">
        <f>O53</f>
        <v/>
      </c>
      <c r="K53" s="436" t="s">
        <v>430</v>
      </c>
      <c r="L53" s="1062" t="str">
        <f>IF('PR_Bank Details_7C'!C53="","",'PR_Bank Details_7C'!C53)</f>
        <v/>
      </c>
      <c r="N53" s="844" t="s">
        <v>274</v>
      </c>
      <c r="O53" s="1062" t="str">
        <f>IF('PR_Bank Details_7C'!F53="","",'PR_Bank Details_7C'!F53)</f>
        <v/>
      </c>
    </row>
    <row r="54" spans="1:15" s="706" customFormat="1" ht="14.25" x14ac:dyDescent="0.2">
      <c r="C54" s="1063"/>
      <c r="E54" s="842"/>
      <c r="F54" s="1069"/>
      <c r="L54" s="1063"/>
      <c r="N54" s="842"/>
      <c r="O54" s="1069"/>
    </row>
    <row r="55" spans="1:15" s="706" customFormat="1" ht="27.75" x14ac:dyDescent="0.2">
      <c r="B55" s="841" t="s">
        <v>478</v>
      </c>
      <c r="C55" s="1062" t="str">
        <f>L55</f>
        <v/>
      </c>
      <c r="E55" s="844" t="s">
        <v>274</v>
      </c>
      <c r="F55" s="1062" t="str">
        <f>O55</f>
        <v/>
      </c>
      <c r="K55" s="841" t="s">
        <v>478</v>
      </c>
      <c r="L55" s="1062" t="str">
        <f>IF('PR_Bank Details_7C'!C55="","",'PR_Bank Details_7C'!C55)</f>
        <v/>
      </c>
      <c r="N55" s="844" t="s">
        <v>274</v>
      </c>
      <c r="O55" s="1062" t="str">
        <f>IF('PR_Bank Details_7C'!F55="","",'PR_Bank Details_7C'!F55)</f>
        <v/>
      </c>
    </row>
    <row r="56" spans="1:15" s="706" customFormat="1" ht="14.25" x14ac:dyDescent="0.2">
      <c r="C56" s="1063"/>
      <c r="E56" s="842"/>
      <c r="F56" s="1069"/>
      <c r="L56" s="1063"/>
      <c r="N56" s="842"/>
      <c r="O56" s="1069"/>
    </row>
    <row r="57" spans="1:15" s="706" customFormat="1" ht="30" x14ac:dyDescent="0.2">
      <c r="B57" s="437" t="s">
        <v>475</v>
      </c>
      <c r="C57" s="1071" t="str">
        <f>L57</f>
        <v/>
      </c>
      <c r="D57" s="532"/>
      <c r="E57" s="844" t="s">
        <v>432</v>
      </c>
      <c r="F57" s="1062" t="str">
        <f>O57</f>
        <v/>
      </c>
      <c r="K57" s="437" t="s">
        <v>475</v>
      </c>
      <c r="L57" s="1062" t="str">
        <f>IF('PR_Bank Details_7C'!C57="","",'PR_Bank Details_7C'!C57)</f>
        <v/>
      </c>
      <c r="M57" s="532"/>
      <c r="N57" s="844" t="s">
        <v>432</v>
      </c>
      <c r="O57" s="1062" t="str">
        <f>IF('PR_Bank Details_7C'!F57="","",'PR_Bank Details_7C'!F57)</f>
        <v/>
      </c>
    </row>
    <row r="58" spans="1:15" s="706" customFormat="1" ht="14.25" x14ac:dyDescent="0.2">
      <c r="C58" s="1063"/>
      <c r="E58" s="842"/>
      <c r="F58" s="1069"/>
      <c r="L58" s="1063"/>
      <c r="N58" s="842"/>
      <c r="O58" s="1069"/>
    </row>
    <row r="59" spans="1:15" s="706" customFormat="1" ht="15" x14ac:dyDescent="0.2">
      <c r="B59" s="437" t="s">
        <v>431</v>
      </c>
      <c r="C59" s="1062" t="str">
        <f>L59</f>
        <v/>
      </c>
      <c r="E59" s="844" t="s">
        <v>479</v>
      </c>
      <c r="F59" s="1062" t="str">
        <f>O59</f>
        <v/>
      </c>
      <c r="K59" s="437" t="s">
        <v>431</v>
      </c>
      <c r="L59" s="1062" t="str">
        <f>IF('PR_Bank Details_7C'!C59="","",'PR_Bank Details_7C'!C59)</f>
        <v/>
      </c>
      <c r="N59" s="844" t="s">
        <v>479</v>
      </c>
      <c r="O59" s="1062" t="str">
        <f>IF('PR_Bank Details_7C'!F59="","",'PR_Bank Details_7C'!F59)</f>
        <v/>
      </c>
    </row>
    <row r="60" spans="1:15" s="706" customFormat="1" ht="14.25" x14ac:dyDescent="0.2">
      <c r="C60" s="1063"/>
      <c r="E60" s="842"/>
      <c r="F60" s="1069"/>
      <c r="L60" s="1063"/>
      <c r="N60" s="842"/>
      <c r="O60" s="1069"/>
    </row>
    <row r="61" spans="1:15" ht="40.5" x14ac:dyDescent="0.2">
      <c r="A61" s="706"/>
      <c r="B61" s="437" t="s">
        <v>476</v>
      </c>
      <c r="C61" s="1071" t="str">
        <f>L61</f>
        <v/>
      </c>
      <c r="D61" s="706"/>
      <c r="E61" s="844" t="s">
        <v>275</v>
      </c>
      <c r="F61" s="1062" t="str">
        <f>O61</f>
        <v/>
      </c>
      <c r="J61" s="706"/>
      <c r="K61" s="437" t="s">
        <v>476</v>
      </c>
      <c r="L61" s="1062" t="str">
        <f>IF('PR_Bank Details_7C'!C61="","",'PR_Bank Details_7C'!C61)</f>
        <v/>
      </c>
      <c r="M61" s="706"/>
      <c r="N61" s="844" t="s">
        <v>275</v>
      </c>
      <c r="O61" s="1062" t="str">
        <f>IF('PR_Bank Details_7C'!F61="","",'PR_Bank Details_7C'!F61)</f>
        <v/>
      </c>
    </row>
    <row r="62" spans="1:15" s="706" customFormat="1" ht="14.25" x14ac:dyDescent="0.2">
      <c r="A62" s="705"/>
      <c r="B62" s="705"/>
      <c r="C62" s="1064"/>
      <c r="D62" s="705"/>
      <c r="E62" s="843"/>
      <c r="F62" s="1069"/>
      <c r="J62" s="705"/>
      <c r="K62" s="705"/>
      <c r="L62" s="1064"/>
      <c r="M62" s="705"/>
      <c r="N62" s="843"/>
      <c r="O62" s="1069"/>
    </row>
    <row r="63" spans="1:15" ht="27.75" x14ac:dyDescent="0.2">
      <c r="A63" s="706"/>
      <c r="B63" s="437" t="s">
        <v>477</v>
      </c>
      <c r="C63" s="1071" t="str">
        <f>L63</f>
        <v/>
      </c>
      <c r="D63" s="706"/>
      <c r="E63" s="844" t="s">
        <v>433</v>
      </c>
      <c r="F63" s="1062" t="str">
        <f>O63</f>
        <v/>
      </c>
      <c r="J63" s="706"/>
      <c r="K63" s="437" t="s">
        <v>477</v>
      </c>
      <c r="L63" s="1062" t="str">
        <f>IF('PR_Bank Details_7C'!C63="","",'PR_Bank Details_7C'!C63)</f>
        <v/>
      </c>
      <c r="M63" s="706"/>
      <c r="N63" s="844" t="s">
        <v>433</v>
      </c>
      <c r="O63" s="1062" t="str">
        <f>IF('PR_Bank Details_7C'!F63="","",'PR_Bank Details_7C'!F63)</f>
        <v/>
      </c>
    </row>
    <row r="64" spans="1:15" s="706" customFormat="1" ht="14.25" x14ac:dyDescent="0.2">
      <c r="A64" s="705"/>
      <c r="B64" s="705"/>
      <c r="C64" s="1064"/>
      <c r="D64" s="705"/>
      <c r="E64" s="843"/>
      <c r="F64" s="1070"/>
      <c r="J64" s="705"/>
      <c r="K64" s="705"/>
      <c r="L64" s="1064"/>
      <c r="M64" s="705"/>
      <c r="N64" s="843"/>
      <c r="O64" s="1070"/>
    </row>
    <row r="65" spans="1:15" s="706" customFormat="1" ht="25.5" customHeight="1" x14ac:dyDescent="0.2">
      <c r="B65" s="846"/>
      <c r="C65" s="1065"/>
      <c r="E65" s="844" t="s">
        <v>434</v>
      </c>
      <c r="F65" s="1062" t="str">
        <f>O65</f>
        <v/>
      </c>
      <c r="K65" s="846"/>
      <c r="L65" s="1065"/>
      <c r="N65" s="844" t="s">
        <v>434</v>
      </c>
      <c r="O65" s="1062" t="str">
        <f>IF('PR_Bank Details_7C'!F65="","",'PR_Bank Details_7C'!F65)</f>
        <v/>
      </c>
    </row>
    <row r="66" spans="1:15" s="706" customFormat="1" ht="6.75" customHeight="1" x14ac:dyDescent="0.2">
      <c r="B66" s="532"/>
      <c r="C66" s="1066"/>
      <c r="F66" s="1068"/>
      <c r="G66" s="707"/>
      <c r="H66" s="707"/>
      <c r="I66" s="707"/>
      <c r="K66" s="532"/>
      <c r="L66" s="1066"/>
      <c r="O66" s="1068"/>
    </row>
    <row r="67" spans="1:15" ht="15" x14ac:dyDescent="0.25">
      <c r="A67" s="706"/>
      <c r="B67" s="969" t="s">
        <v>429</v>
      </c>
      <c r="C67" s="1067"/>
      <c r="D67" s="969"/>
      <c r="E67" s="969"/>
      <c r="F67" s="1067"/>
      <c r="J67" s="706"/>
      <c r="K67" s="969" t="s">
        <v>429</v>
      </c>
      <c r="L67" s="1067"/>
      <c r="M67" s="969"/>
      <c r="N67" s="969"/>
      <c r="O67" s="1067"/>
    </row>
    <row r="68" spans="1:15" s="706" customFormat="1" ht="14.25" x14ac:dyDescent="0.2">
      <c r="A68" s="705"/>
      <c r="B68" s="705"/>
      <c r="C68" s="1064"/>
      <c r="D68" s="705"/>
      <c r="E68" s="705"/>
      <c r="F68" s="1064"/>
      <c r="J68" s="705"/>
      <c r="K68" s="705"/>
      <c r="L68" s="1064"/>
      <c r="M68" s="705"/>
      <c r="N68" s="705"/>
      <c r="O68" s="1064"/>
    </row>
    <row r="69" spans="1:15" s="706" customFormat="1" ht="33" customHeight="1" x14ac:dyDescent="0.2">
      <c r="B69" s="436" t="s">
        <v>430</v>
      </c>
      <c r="C69" s="1062" t="str">
        <f>L69</f>
        <v/>
      </c>
      <c r="E69" s="844" t="s">
        <v>274</v>
      </c>
      <c r="F69" s="1062" t="str">
        <f>O69</f>
        <v/>
      </c>
      <c r="K69" s="436" t="s">
        <v>430</v>
      </c>
      <c r="L69" s="1062" t="str">
        <f>IF('PR_Bank Details_7C'!C69="","",'PR_Bank Details_7C'!C69)</f>
        <v/>
      </c>
      <c r="N69" s="844" t="s">
        <v>274</v>
      </c>
      <c r="O69" s="1062" t="str">
        <f>IF('PR_Bank Details_7C'!F69="","",'PR_Bank Details_7C'!F69)</f>
        <v/>
      </c>
    </row>
    <row r="70" spans="1:15" s="706" customFormat="1" ht="14.25" x14ac:dyDescent="0.2">
      <c r="C70" s="1063"/>
      <c r="E70" s="842"/>
      <c r="F70" s="1069"/>
      <c r="L70" s="1063"/>
      <c r="N70" s="842"/>
      <c r="O70" s="1069"/>
    </row>
    <row r="71" spans="1:15" s="706" customFormat="1" ht="27.75" x14ac:dyDescent="0.2">
      <c r="B71" s="841" t="s">
        <v>478</v>
      </c>
      <c r="C71" s="1062" t="str">
        <f>L71</f>
        <v/>
      </c>
      <c r="E71" s="844" t="s">
        <v>274</v>
      </c>
      <c r="F71" s="1062" t="str">
        <f>O71</f>
        <v/>
      </c>
      <c r="K71" s="841" t="s">
        <v>478</v>
      </c>
      <c r="L71" s="1062" t="str">
        <f>IF('PR_Bank Details_7C'!C71="","",'PR_Bank Details_7C'!C71)</f>
        <v/>
      </c>
      <c r="N71" s="844" t="s">
        <v>274</v>
      </c>
      <c r="O71" s="1062" t="str">
        <f>IF('PR_Bank Details_7C'!F71="","",'PR_Bank Details_7C'!F71)</f>
        <v/>
      </c>
    </row>
    <row r="72" spans="1:15" s="706" customFormat="1" ht="14.25" x14ac:dyDescent="0.2">
      <c r="C72" s="1063"/>
      <c r="E72" s="842"/>
      <c r="F72" s="1069"/>
      <c r="L72" s="1063"/>
      <c r="N72" s="842"/>
      <c r="O72" s="1069"/>
    </row>
    <row r="73" spans="1:15" s="706" customFormat="1" ht="30" x14ac:dyDescent="0.2">
      <c r="B73" s="437" t="s">
        <v>475</v>
      </c>
      <c r="C73" s="1073" t="str">
        <f>L73</f>
        <v/>
      </c>
      <c r="D73" s="532"/>
      <c r="E73" s="844" t="s">
        <v>432</v>
      </c>
      <c r="F73" s="1062" t="str">
        <f>O73</f>
        <v/>
      </c>
      <c r="K73" s="437" t="s">
        <v>475</v>
      </c>
      <c r="L73" s="1062" t="str">
        <f>IF('PR_Bank Details_7C'!C73="","",'PR_Bank Details_7C'!C73)</f>
        <v/>
      </c>
      <c r="M73" s="532"/>
      <c r="N73" s="844" t="s">
        <v>432</v>
      </c>
      <c r="O73" s="1062" t="str">
        <f>IF('PR_Bank Details_7C'!F73="","",'PR_Bank Details_7C'!F73)</f>
        <v/>
      </c>
    </row>
    <row r="74" spans="1:15" s="706" customFormat="1" ht="14.25" x14ac:dyDescent="0.2">
      <c r="C74" s="1063"/>
      <c r="E74" s="842"/>
      <c r="F74" s="1069"/>
      <c r="L74" s="1063"/>
      <c r="N74" s="842"/>
      <c r="O74" s="1069"/>
    </row>
    <row r="75" spans="1:15" s="706" customFormat="1" ht="15" x14ac:dyDescent="0.2">
      <c r="B75" s="437" t="s">
        <v>431</v>
      </c>
      <c r="C75" s="1062" t="str">
        <f>L75</f>
        <v/>
      </c>
      <c r="E75" s="844" t="s">
        <v>479</v>
      </c>
      <c r="F75" s="1062" t="str">
        <f>O75</f>
        <v/>
      </c>
      <c r="K75" s="437" t="s">
        <v>431</v>
      </c>
      <c r="L75" s="1062" t="str">
        <f>IF('PR_Bank Details_7C'!C75="","",'PR_Bank Details_7C'!C75)</f>
        <v/>
      </c>
      <c r="N75" s="844" t="s">
        <v>479</v>
      </c>
      <c r="O75" s="1062" t="str">
        <f>IF('PR_Bank Details_7C'!F75="","",'PR_Bank Details_7C'!F75)</f>
        <v/>
      </c>
    </row>
    <row r="76" spans="1:15" s="706" customFormat="1" ht="14.25" x14ac:dyDescent="0.2">
      <c r="C76" s="1063"/>
      <c r="E76" s="842"/>
      <c r="F76" s="1069"/>
      <c r="L76" s="1063"/>
      <c r="N76" s="842"/>
      <c r="O76" s="1069"/>
    </row>
    <row r="77" spans="1:15" ht="40.5" x14ac:dyDescent="0.2">
      <c r="A77" s="706"/>
      <c r="B77" s="437" t="s">
        <v>476</v>
      </c>
      <c r="C77" s="1074" t="str">
        <f>L77</f>
        <v/>
      </c>
      <c r="D77" s="706"/>
      <c r="E77" s="844" t="s">
        <v>275</v>
      </c>
      <c r="F77" s="1062" t="str">
        <f>O77</f>
        <v/>
      </c>
      <c r="J77" s="706"/>
      <c r="K77" s="437" t="s">
        <v>476</v>
      </c>
      <c r="L77" s="1062" t="str">
        <f>IF('PR_Bank Details_7C'!C77="","",'PR_Bank Details_7C'!C77)</f>
        <v/>
      </c>
      <c r="M77" s="706"/>
      <c r="N77" s="844" t="s">
        <v>275</v>
      </c>
      <c r="O77" s="1062" t="str">
        <f>IF('PR_Bank Details_7C'!F77="","",'PR_Bank Details_7C'!F77)</f>
        <v/>
      </c>
    </row>
    <row r="78" spans="1:15" s="706" customFormat="1" ht="14.25" x14ac:dyDescent="0.2">
      <c r="A78" s="705"/>
      <c r="B78" s="705"/>
      <c r="C78" s="1064"/>
      <c r="D78" s="705"/>
      <c r="E78" s="843"/>
      <c r="F78" s="1069"/>
      <c r="J78" s="705"/>
      <c r="K78" s="705"/>
      <c r="L78" s="1064"/>
      <c r="M78" s="705"/>
      <c r="N78" s="843"/>
      <c r="O78" s="1069"/>
    </row>
    <row r="79" spans="1:15" ht="27.75" x14ac:dyDescent="0.2">
      <c r="A79" s="706"/>
      <c r="B79" s="437" t="s">
        <v>477</v>
      </c>
      <c r="C79" s="1073" t="str">
        <f>L79</f>
        <v/>
      </c>
      <c r="D79" s="706"/>
      <c r="E79" s="844" t="s">
        <v>433</v>
      </c>
      <c r="F79" s="1062" t="str">
        <f>O79</f>
        <v/>
      </c>
      <c r="J79" s="706"/>
      <c r="K79" s="437" t="s">
        <v>477</v>
      </c>
      <c r="L79" s="1062" t="str">
        <f>IF('PR_Bank Details_7C'!C79="","",'PR_Bank Details_7C'!C79)</f>
        <v/>
      </c>
      <c r="M79" s="706"/>
      <c r="N79" s="844" t="s">
        <v>433</v>
      </c>
      <c r="O79" s="1062" t="str">
        <f>IF('PR_Bank Details_7C'!F79="","",'PR_Bank Details_7C'!F79)</f>
        <v/>
      </c>
    </row>
    <row r="80" spans="1:15" s="706" customFormat="1" ht="14.25" x14ac:dyDescent="0.2">
      <c r="A80" s="705"/>
      <c r="B80" s="705"/>
      <c r="C80" s="705"/>
      <c r="D80" s="705"/>
      <c r="E80" s="843"/>
      <c r="F80" s="1070"/>
      <c r="J80" s="705"/>
      <c r="K80" s="705"/>
      <c r="L80" s="705"/>
      <c r="M80" s="705"/>
      <c r="N80" s="843"/>
      <c r="O80" s="1070"/>
    </row>
    <row r="81" spans="1:15" s="706" customFormat="1" ht="25.5" customHeight="1" x14ac:dyDescent="0.2">
      <c r="B81" s="846"/>
      <c r="C81" s="847"/>
      <c r="E81" s="844" t="s">
        <v>434</v>
      </c>
      <c r="F81" s="1062" t="str">
        <f>O81</f>
        <v/>
      </c>
      <c r="K81" s="846"/>
      <c r="L81" s="847"/>
      <c r="N81" s="844" t="s">
        <v>434</v>
      </c>
      <c r="O81" s="1062" t="str">
        <f>IF('PR_Bank Details_7C'!F81="","",'PR_Bank Details_7C'!F81)</f>
        <v/>
      </c>
    </row>
    <row r="82" spans="1:15" ht="4.5" customHeight="1" x14ac:dyDescent="0.2">
      <c r="A82" s="706"/>
      <c r="B82" s="532"/>
      <c r="C82" s="532"/>
      <c r="D82" s="706"/>
      <c r="E82" s="706"/>
      <c r="F82" s="706"/>
    </row>
  </sheetData>
  <sheetProtection password="92D1" sheet="1"/>
  <mergeCells count="4">
    <mergeCell ref="B3:E3"/>
    <mergeCell ref="A1:C1"/>
    <mergeCell ref="E16:F16"/>
    <mergeCell ref="N16:O16"/>
  </mergeCells>
  <conditionalFormatting sqref="E16">
    <cfRule type="cellIs" dxfId="4" priority="10" operator="equal">
      <formula>""</formula>
    </cfRule>
  </conditionalFormatting>
  <conditionalFormatting sqref="N16">
    <cfRule type="cellIs" dxfId="3" priority="3" operator="equal">
      <formula>""</formula>
    </cfRule>
  </conditionalFormatting>
  <conditionalFormatting sqref="C12:D16 C20 C24 C26 C28 F20 F22 F24 F26 F28 F30 F32 C36 C38 C42 C44 F36 F38 F40 F42 F44 F46:F48 C53 C55 C59 F53 F55 F57 F59 F61 F63 F65 C69 C75 F69 F71 F73 F75 F77 F79 F81 C40 C46 C57 C61 C63 C71:C73 C77 C79 C22 C30">
    <cfRule type="cellIs" dxfId="2" priority="2" operator="notEqual">
      <formula>L12</formula>
    </cfRule>
  </conditionalFormatting>
  <conditionalFormatting sqref="C20">
    <cfRule type="cellIs" dxfId="1" priority="1" operator="notEqual">
      <formula>L20</formula>
    </cfRule>
  </conditionalFormatting>
  <pageMargins left="0.70866141732283472" right="0.70866141732283472" top="0.74803149606299213" bottom="0.74803149606299213" header="0.31496062992125984" footer="0.31496062992125984"/>
  <pageSetup paperSize="9" scale="48" fitToHeight="0" orientation="portrait" r:id="rId1"/>
  <rowBreaks count="1" manualBreakCount="1">
    <brk id="49" max="5"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0"/>
    <pageSetUpPr fitToPage="1"/>
  </sheetPr>
  <dimension ref="B1:AJ40"/>
  <sheetViews>
    <sheetView view="pageBreakPreview" zoomScale="65" zoomScaleNormal="70" zoomScaleSheetLayoutView="65" zoomScalePageLayoutView="70" workbookViewId="0">
      <selection activeCell="N17" sqref="N17"/>
    </sheetView>
  </sheetViews>
  <sheetFormatPr defaultRowHeight="12.75" x14ac:dyDescent="0.2"/>
  <cols>
    <col min="1" max="1" width="2" style="72" customWidth="1"/>
    <col min="2" max="2" width="20.42578125" style="72" customWidth="1"/>
    <col min="3" max="3" width="17.5703125" style="72" hidden="1" customWidth="1"/>
    <col min="4" max="4" width="19" style="72" customWidth="1"/>
    <col min="5" max="5" width="2.28515625" style="72" customWidth="1"/>
    <col min="6" max="6" width="15.85546875" style="72" customWidth="1"/>
    <col min="7" max="7" width="20.5703125" style="72" customWidth="1"/>
    <col min="8" max="8" width="2.42578125" style="72" customWidth="1"/>
    <col min="9" max="9" width="16.5703125" style="72" customWidth="1"/>
    <col min="10" max="10" width="15" style="72" customWidth="1"/>
    <col min="11" max="11" width="2.5703125" style="72" customWidth="1"/>
    <col min="12" max="12" width="18.28515625" style="72" customWidth="1"/>
    <col min="13" max="13" width="19.42578125" style="72" customWidth="1"/>
    <col min="14" max="14" width="20.42578125" style="428" customWidth="1"/>
    <col min="15" max="15" width="26.28515625" style="72" hidden="1" customWidth="1"/>
    <col min="16" max="16" width="46.28515625" style="72" customWidth="1"/>
    <col min="17" max="17" width="38.5703125" style="72" customWidth="1"/>
    <col min="18" max="18" width="7.5703125" style="72" customWidth="1"/>
    <col min="19" max="19" width="9.140625" style="72"/>
    <col min="20" max="32" width="9.140625" style="72" hidden="1" customWidth="1"/>
    <col min="33" max="33" width="14.140625" style="72" hidden="1" customWidth="1"/>
    <col min="34" max="36" width="9.140625" style="72" hidden="1" customWidth="1"/>
    <col min="37" max="16384" width="9.140625" style="72"/>
  </cols>
  <sheetData>
    <row r="1" spans="2:35" ht="25.5" customHeight="1" x14ac:dyDescent="0.35">
      <c r="B1" s="2114" t="s">
        <v>285</v>
      </c>
      <c r="C1" s="2114"/>
      <c r="D1" s="2114"/>
      <c r="E1" s="2114"/>
      <c r="F1" s="2114"/>
      <c r="G1" s="2114"/>
      <c r="H1" s="2114"/>
      <c r="I1" s="2114"/>
      <c r="J1" s="2114"/>
      <c r="K1" s="2114"/>
      <c r="L1" s="2114"/>
      <c r="M1" s="2114"/>
      <c r="N1" s="2114"/>
      <c r="O1" s="2114"/>
      <c r="P1" s="2114"/>
      <c r="Q1" s="2114"/>
      <c r="R1" s="374"/>
    </row>
    <row r="2" spans="2:35" ht="6" customHeight="1" thickBot="1" x14ac:dyDescent="0.35">
      <c r="B2" s="69"/>
      <c r="C2" s="69"/>
      <c r="D2" s="69"/>
      <c r="E2" s="69"/>
      <c r="F2" s="69"/>
      <c r="G2" s="69"/>
      <c r="H2" s="69"/>
      <c r="I2" s="78"/>
      <c r="J2" s="83"/>
      <c r="K2" s="69"/>
      <c r="L2" s="69"/>
      <c r="M2" s="69"/>
      <c r="N2" s="69"/>
    </row>
    <row r="3" spans="2:35" s="699" customFormat="1" ht="45.75" customHeight="1" thickBot="1" x14ac:dyDescent="0.3">
      <c r="B3" s="2757" t="s">
        <v>635</v>
      </c>
      <c r="C3" s="2758"/>
      <c r="D3" s="2758"/>
      <c r="E3" s="2758"/>
      <c r="F3" s="2758"/>
      <c r="G3" s="2758"/>
      <c r="H3" s="2758"/>
      <c r="I3" s="2758"/>
      <c r="J3" s="2758"/>
      <c r="K3" s="2758"/>
      <c r="L3" s="2758"/>
      <c r="M3" s="2758"/>
      <c r="N3" s="2758"/>
      <c r="O3" s="2758"/>
      <c r="P3" s="2758"/>
      <c r="Q3" s="2759"/>
      <c r="R3" s="1079"/>
    </row>
    <row r="4" spans="2:35" ht="13.5" thickBot="1" x14ac:dyDescent="0.25"/>
    <row r="5" spans="2:35" ht="15.75" thickBot="1" x14ac:dyDescent="0.25">
      <c r="B5" s="466" t="s">
        <v>70</v>
      </c>
      <c r="C5" s="469"/>
      <c r="D5" s="469"/>
      <c r="E5" s="469"/>
      <c r="F5" s="469"/>
      <c r="G5" s="613" t="str">
        <f>'LFA_Programmatic Progress_1A'!C7</f>
        <v>MNR-809-G04-H</v>
      </c>
      <c r="H5" s="462"/>
      <c r="I5" s="462"/>
      <c r="J5" s="462"/>
      <c r="K5" s="460"/>
      <c r="L5" s="461"/>
      <c r="N5" s="631"/>
      <c r="O5" s="614"/>
    </row>
    <row r="6" spans="2:35" ht="15" x14ac:dyDescent="0.2">
      <c r="B6" s="465" t="s">
        <v>277</v>
      </c>
      <c r="C6" s="483"/>
      <c r="D6" s="483"/>
      <c r="E6" s="483"/>
      <c r="F6" s="483"/>
      <c r="G6" s="53" t="s">
        <v>283</v>
      </c>
      <c r="H6" s="2115" t="str">
        <f>'PR_Programmatic Progress_1A'!D12</f>
        <v>Quarter</v>
      </c>
      <c r="I6" s="2116"/>
      <c r="J6" s="5" t="s">
        <v>284</v>
      </c>
      <c r="K6" s="480"/>
      <c r="L6" s="372">
        <f>'PR_Programmatic Progress_1A'!F12</f>
        <v>7</v>
      </c>
      <c r="O6" s="614"/>
    </row>
    <row r="7" spans="2:35" ht="15" x14ac:dyDescent="0.2">
      <c r="B7" s="484" t="s">
        <v>278</v>
      </c>
      <c r="C7" s="40"/>
      <c r="D7" s="40"/>
      <c r="E7" s="40"/>
      <c r="F7" s="40"/>
      <c r="G7" s="54" t="s">
        <v>246</v>
      </c>
      <c r="H7" s="2117">
        <f>'PR_Programmatic Progress_1A'!D13</f>
        <v>40452</v>
      </c>
      <c r="I7" s="2118"/>
      <c r="J7" s="5" t="s">
        <v>264</v>
      </c>
      <c r="K7" s="480"/>
      <c r="L7" s="373">
        <f>'PR_Programmatic Progress_1A'!F13</f>
        <v>40543</v>
      </c>
      <c r="O7" s="614"/>
    </row>
    <row r="8" spans="2:35" ht="15.75" thickBot="1" x14ac:dyDescent="0.25">
      <c r="B8" s="55" t="s">
        <v>279</v>
      </c>
      <c r="C8" s="168"/>
      <c r="D8" s="168"/>
      <c r="E8" s="168"/>
      <c r="F8" s="41"/>
      <c r="G8" s="2003">
        <f>'LFA_Programmatic Progress_1A'!C14</f>
        <v>5</v>
      </c>
      <c r="H8" s="2004"/>
      <c r="I8" s="2004"/>
      <c r="J8" s="2004"/>
      <c r="K8" s="2004"/>
      <c r="L8" s="2005"/>
      <c r="O8" s="463"/>
    </row>
    <row r="9" spans="2:35" ht="15.75" thickBot="1" x14ac:dyDescent="0.25">
      <c r="B9" s="2431" t="s">
        <v>245</v>
      </c>
      <c r="C9" s="2432"/>
      <c r="D9" s="2432"/>
      <c r="E9" s="2432"/>
      <c r="F9" s="2760"/>
      <c r="G9" s="2111" t="str">
        <f>IF('LFA_Programmatic Progress_1A'!C10="","",'LFA_Programmatic Progress_1A'!C10)</f>
        <v>EUR</v>
      </c>
      <c r="H9" s="2112"/>
      <c r="I9" s="2112"/>
      <c r="J9" s="2112"/>
      <c r="K9" s="2112"/>
      <c r="L9" s="2113"/>
      <c r="N9" s="537"/>
    </row>
    <row r="10" spans="2:35" x14ac:dyDescent="0.2">
      <c r="N10" s="537"/>
    </row>
    <row r="11" spans="2:35" ht="15.75" customHeight="1" x14ac:dyDescent="0.25">
      <c r="B11" s="2755" t="s">
        <v>534</v>
      </c>
      <c r="C11" s="2756"/>
      <c r="D11" s="2756"/>
      <c r="E11" s="2756"/>
      <c r="F11" s="2756"/>
      <c r="G11" s="2756"/>
      <c r="H11" s="2756"/>
      <c r="I11" s="2756"/>
      <c r="J11" s="2756"/>
      <c r="K11" s="2756"/>
      <c r="L11" s="2756"/>
      <c r="M11" s="2756"/>
      <c r="N11" s="2756"/>
      <c r="O11" s="2756"/>
      <c r="P11" s="2756"/>
      <c r="Q11" s="2756"/>
      <c r="R11" s="493"/>
    </row>
    <row r="12" spans="2:35" s="934" customFormat="1" ht="12" customHeight="1" x14ac:dyDescent="0.25">
      <c r="B12" s="1225"/>
      <c r="C12" s="1226"/>
      <c r="D12" s="1226"/>
      <c r="E12" s="1226"/>
      <c r="F12" s="1226"/>
      <c r="G12" s="1226"/>
      <c r="H12" s="1226"/>
      <c r="I12" s="1226"/>
      <c r="J12" s="1226"/>
      <c r="K12" s="1226"/>
      <c r="L12" s="1226"/>
      <c r="M12" s="1226"/>
      <c r="N12" s="1226"/>
      <c r="O12" s="1226"/>
      <c r="P12" s="1226"/>
      <c r="Q12" s="1226"/>
      <c r="R12" s="1226"/>
    </row>
    <row r="13" spans="2:35" ht="15.75" x14ac:dyDescent="0.25">
      <c r="B13" s="629"/>
      <c r="C13" s="90"/>
      <c r="D13" s="90"/>
      <c r="E13" s="70"/>
      <c r="F13" s="90"/>
      <c r="G13" s="90"/>
      <c r="H13" s="70"/>
      <c r="I13" s="90"/>
      <c r="J13" s="90"/>
      <c r="K13" s="70"/>
      <c r="L13" s="90"/>
      <c r="M13" s="90"/>
      <c r="N13" s="630"/>
      <c r="O13" s="90"/>
      <c r="P13" s="90"/>
      <c r="Q13" s="90"/>
    </row>
    <row r="14" spans="2:35" s="543" customFormat="1" ht="120" customHeight="1" x14ac:dyDescent="0.2">
      <c r="B14" s="538" t="s">
        <v>29</v>
      </c>
      <c r="C14" s="539" t="s">
        <v>30</v>
      </c>
      <c r="D14" s="540" t="s">
        <v>31</v>
      </c>
      <c r="E14" s="818"/>
      <c r="F14" s="541" t="s">
        <v>418</v>
      </c>
      <c r="G14" s="540" t="s">
        <v>32</v>
      </c>
      <c r="H14" s="818"/>
      <c r="I14" s="541" t="s">
        <v>457</v>
      </c>
      <c r="J14" s="540" t="s">
        <v>33</v>
      </c>
      <c r="K14" s="818"/>
      <c r="L14" s="541" t="s">
        <v>636</v>
      </c>
      <c r="M14" s="540" t="s">
        <v>630</v>
      </c>
      <c r="N14" s="540" t="s">
        <v>0</v>
      </c>
      <c r="O14" s="542" t="s">
        <v>36</v>
      </c>
      <c r="P14" s="540" t="s">
        <v>615</v>
      </c>
      <c r="Q14" s="540" t="s">
        <v>608</v>
      </c>
      <c r="U14" s="538" t="s">
        <v>29</v>
      </c>
      <c r="V14" s="539" t="s">
        <v>30</v>
      </c>
      <c r="W14" s="540" t="s">
        <v>31</v>
      </c>
      <c r="X14" s="818"/>
      <c r="Y14" s="541" t="s">
        <v>418</v>
      </c>
      <c r="Z14" s="540" t="s">
        <v>32</v>
      </c>
      <c r="AA14" s="818"/>
      <c r="AB14" s="541" t="s">
        <v>457</v>
      </c>
      <c r="AC14" s="540" t="s">
        <v>33</v>
      </c>
      <c r="AD14" s="818"/>
      <c r="AE14" s="541" t="s">
        <v>34</v>
      </c>
      <c r="AF14" s="540" t="s">
        <v>35</v>
      </c>
      <c r="AG14" s="540" t="s">
        <v>0</v>
      </c>
      <c r="AH14" s="542" t="s">
        <v>36</v>
      </c>
      <c r="AI14" s="541" t="s">
        <v>66</v>
      </c>
    </row>
    <row r="15" spans="2:35" ht="49.5" customHeight="1" x14ac:dyDescent="0.2">
      <c r="B15" s="820" t="str">
        <f>U15</f>
        <v/>
      </c>
      <c r="C15" s="820">
        <f t="shared" ref="C15:D30" si="0">V15</f>
        <v>0</v>
      </c>
      <c r="D15" s="820" t="str">
        <f t="shared" si="0"/>
        <v/>
      </c>
      <c r="E15" s="819"/>
      <c r="F15" s="820">
        <f>Y15</f>
        <v>0</v>
      </c>
      <c r="G15" s="820">
        <f>Z15</f>
        <v>0</v>
      </c>
      <c r="H15" s="819"/>
      <c r="I15" s="820">
        <f>AB15</f>
        <v>0</v>
      </c>
      <c r="J15" s="820">
        <f>AC15</f>
        <v>0</v>
      </c>
      <c r="K15" s="819"/>
      <c r="L15" s="820">
        <f>AE15</f>
        <v>0</v>
      </c>
      <c r="M15" s="820"/>
      <c r="N15" s="1092">
        <f>IF(I15="",IF(L15="",0,SUM(I15-L15)),SUM(I15-L15))</f>
        <v>0</v>
      </c>
      <c r="O15" s="825">
        <v>0</v>
      </c>
      <c r="P15" s="820" t="str">
        <f>AI15</f>
        <v/>
      </c>
      <c r="Q15" s="773"/>
      <c r="U15" s="820" t="str">
        <f>IF('PR_Annex_SR-Financials'!B15="","",'PR_Annex_SR-Financials'!B15)</f>
        <v/>
      </c>
      <c r="V15" s="820">
        <f>IF('PR_Annex_SR-Financials'!C15="","",'PR_Annex_SR-Financials'!C15)</f>
        <v>0</v>
      </c>
      <c r="W15" s="820" t="str">
        <f>IF('PR_Annex_SR-Financials'!D15="","",'PR_Annex_SR-Financials'!D15)</f>
        <v/>
      </c>
      <c r="X15" s="819"/>
      <c r="Y15" s="820">
        <f>IF('PR_Annex_SR-Financials'!F15="","",'PR_Annex_SR-Financials'!F15)</f>
        <v>0</v>
      </c>
      <c r="Z15" s="820">
        <f>IF('PR_Annex_SR-Financials'!G15="","",'PR_Annex_SR-Financials'!G15)</f>
        <v>0</v>
      </c>
      <c r="AA15" s="819"/>
      <c r="AB15" s="820">
        <f>IF('PR_Annex_SR-Financials'!I15="","",'PR_Annex_SR-Financials'!I15)</f>
        <v>0</v>
      </c>
      <c r="AC15" s="820">
        <f>IF('PR_Annex_SR-Financials'!J15="","",'PR_Annex_SR-Financials'!J15)</f>
        <v>0</v>
      </c>
      <c r="AD15" s="819"/>
      <c r="AE15" s="820">
        <f>IF('PR_Annex_SR-Financials'!L15="","",'PR_Annex_SR-Financials'!L15)</f>
        <v>0</v>
      </c>
      <c r="AF15" s="820" t="str">
        <f>IF('PR_Annex_SR-Financials'!M15="","",'PR_Annex_SR-Financials'!M15)</f>
        <v/>
      </c>
      <c r="AG15" s="820">
        <f>IF(AB15="",IF(AE15="",0,SUM(AB15-AE15)),SUM(AB15-AE15))</f>
        <v>0</v>
      </c>
      <c r="AH15" s="820"/>
      <c r="AI15" s="822" t="str">
        <f>IF('PR_Annex_SR-Financials'!P15="","",'PR_Annex_SR-Financials'!P15)</f>
        <v/>
      </c>
    </row>
    <row r="16" spans="2:35" ht="49.5" customHeight="1" x14ac:dyDescent="0.2">
      <c r="B16" s="820" t="str">
        <f t="shared" ref="B16:B34" si="1">U16</f>
        <v/>
      </c>
      <c r="C16" s="825">
        <f>IF('PR_Annex_SR-Financials'!C16="","",'PR_Annex_SR-Financials'!C16)</f>
        <v>0</v>
      </c>
      <c r="D16" s="820" t="str">
        <f t="shared" si="0"/>
        <v/>
      </c>
      <c r="E16" s="819"/>
      <c r="F16" s="820">
        <f t="shared" ref="F16:F33" si="2">Y16</f>
        <v>0</v>
      </c>
      <c r="G16" s="820">
        <f t="shared" ref="G16:G33" si="3">Z16</f>
        <v>0</v>
      </c>
      <c r="H16" s="819"/>
      <c r="I16" s="820">
        <f t="shared" ref="I16:I34" si="4">AB16</f>
        <v>0</v>
      </c>
      <c r="J16" s="820">
        <f t="shared" ref="J16:J34" si="5">AC16</f>
        <v>0</v>
      </c>
      <c r="K16" s="819"/>
      <c r="L16" s="820">
        <f t="shared" ref="L16:L33" si="6">AE16</f>
        <v>0</v>
      </c>
      <c r="M16" s="820"/>
      <c r="N16" s="1092">
        <f t="shared" ref="N16:N34" si="7">IF(I16="",IF(L16="",0,SUM(I16-L16)),SUM(I16-L16))</f>
        <v>0</v>
      </c>
      <c r="O16" s="825">
        <v>0</v>
      </c>
      <c r="P16" s="820" t="str">
        <f t="shared" ref="P16:P34" si="8">AI16</f>
        <v/>
      </c>
      <c r="Q16" s="773"/>
      <c r="U16" s="820" t="str">
        <f>IF('PR_Annex_SR-Financials'!B16="","",'PR_Annex_SR-Financials'!B16)</f>
        <v/>
      </c>
      <c r="V16" s="820">
        <f>IF('PR_Annex_SR-Financials'!C16="","",'PR_Annex_SR-Financials'!C16)</f>
        <v>0</v>
      </c>
      <c r="W16" s="820" t="str">
        <f>IF('PR_Annex_SR-Financials'!D16="","",'PR_Annex_SR-Financials'!D16)</f>
        <v/>
      </c>
      <c r="X16" s="819"/>
      <c r="Y16" s="820">
        <f>IF('PR_Annex_SR-Financials'!F16="","",'PR_Annex_SR-Financials'!F16)</f>
        <v>0</v>
      </c>
      <c r="Z16" s="820">
        <f>IF('PR_Annex_SR-Financials'!G16="","",'PR_Annex_SR-Financials'!G16)</f>
        <v>0</v>
      </c>
      <c r="AA16" s="819"/>
      <c r="AB16" s="820">
        <f>IF('PR_Annex_SR-Financials'!I16="","",'PR_Annex_SR-Financials'!I16)</f>
        <v>0</v>
      </c>
      <c r="AC16" s="820">
        <f>IF('PR_Annex_SR-Financials'!J16="","",'PR_Annex_SR-Financials'!J16)</f>
        <v>0</v>
      </c>
      <c r="AD16" s="819"/>
      <c r="AE16" s="820">
        <f>IF('PR_Annex_SR-Financials'!L16="","",'PR_Annex_SR-Financials'!L16)</f>
        <v>0</v>
      </c>
      <c r="AF16" s="820" t="str">
        <f>IF('PR_Annex_SR-Financials'!M16="","",'PR_Annex_SR-Financials'!M16)</f>
        <v/>
      </c>
      <c r="AG16" s="820">
        <f t="shared" ref="AG16:AG34" si="9">IF(AB16="",IF(AE16="",0,SUM(AB16-AE16)),SUM(AB16-AE16))</f>
        <v>0</v>
      </c>
      <c r="AH16" s="825"/>
      <c r="AI16" s="822" t="str">
        <f>IF('PR_Annex_SR-Financials'!P16="","",'PR_Annex_SR-Financials'!P16)</f>
        <v/>
      </c>
    </row>
    <row r="17" spans="2:35" ht="49.5" customHeight="1" x14ac:dyDescent="0.2">
      <c r="B17" s="820" t="str">
        <f t="shared" si="1"/>
        <v/>
      </c>
      <c r="C17" s="825">
        <f>IF('PR_Annex_SR-Financials'!C17="","",'PR_Annex_SR-Financials'!C17)</f>
        <v>0</v>
      </c>
      <c r="D17" s="820" t="str">
        <f t="shared" si="0"/>
        <v/>
      </c>
      <c r="E17" s="819"/>
      <c r="F17" s="820">
        <f t="shared" si="2"/>
        <v>0</v>
      </c>
      <c r="G17" s="820">
        <f t="shared" si="3"/>
        <v>0</v>
      </c>
      <c r="H17" s="819"/>
      <c r="I17" s="820">
        <f t="shared" si="4"/>
        <v>0</v>
      </c>
      <c r="J17" s="820">
        <f t="shared" si="5"/>
        <v>0</v>
      </c>
      <c r="K17" s="819"/>
      <c r="L17" s="820">
        <f t="shared" si="6"/>
        <v>0</v>
      </c>
      <c r="M17" s="820" t="str">
        <f t="shared" ref="M17:M34" si="10">AF17</f>
        <v/>
      </c>
      <c r="N17" s="1092">
        <f t="shared" si="7"/>
        <v>0</v>
      </c>
      <c r="O17" s="825">
        <v>0</v>
      </c>
      <c r="P17" s="820" t="str">
        <f t="shared" si="8"/>
        <v/>
      </c>
      <c r="Q17" s="773"/>
      <c r="U17" s="820" t="str">
        <f>IF('PR_Annex_SR-Financials'!B17="","",'PR_Annex_SR-Financials'!B17)</f>
        <v/>
      </c>
      <c r="V17" s="820">
        <f>IF('PR_Annex_SR-Financials'!C17="","",'PR_Annex_SR-Financials'!C17)</f>
        <v>0</v>
      </c>
      <c r="W17" s="820" t="str">
        <f>IF('PR_Annex_SR-Financials'!D17="","",'PR_Annex_SR-Financials'!D17)</f>
        <v/>
      </c>
      <c r="X17" s="819"/>
      <c r="Y17" s="820">
        <f>IF('PR_Annex_SR-Financials'!F17="","",'PR_Annex_SR-Financials'!F17)</f>
        <v>0</v>
      </c>
      <c r="Z17" s="820">
        <f>IF('PR_Annex_SR-Financials'!G17="","",'PR_Annex_SR-Financials'!G17)</f>
        <v>0</v>
      </c>
      <c r="AA17" s="819"/>
      <c r="AB17" s="820">
        <f>IF('PR_Annex_SR-Financials'!I17="","",'PR_Annex_SR-Financials'!I17)</f>
        <v>0</v>
      </c>
      <c r="AC17" s="820">
        <f>IF('PR_Annex_SR-Financials'!J17="","",'PR_Annex_SR-Financials'!J17)</f>
        <v>0</v>
      </c>
      <c r="AD17" s="819"/>
      <c r="AE17" s="820">
        <f>IF('PR_Annex_SR-Financials'!L17="","",'PR_Annex_SR-Financials'!L17)</f>
        <v>0</v>
      </c>
      <c r="AF17" s="820" t="str">
        <f>IF('PR_Annex_SR-Financials'!M17="","",'PR_Annex_SR-Financials'!M17)</f>
        <v/>
      </c>
      <c r="AG17" s="820">
        <f t="shared" si="9"/>
        <v>0</v>
      </c>
      <c r="AH17" s="825"/>
      <c r="AI17" s="822" t="str">
        <f>IF('PR_Annex_SR-Financials'!P17="","",'PR_Annex_SR-Financials'!P17)</f>
        <v/>
      </c>
    </row>
    <row r="18" spans="2:35" ht="49.5" customHeight="1" x14ac:dyDescent="0.2">
      <c r="B18" s="820" t="str">
        <f t="shared" si="1"/>
        <v/>
      </c>
      <c r="C18" s="825">
        <f>IF('PR_Annex_SR-Financials'!C18="","",'PR_Annex_SR-Financials'!C18)</f>
        <v>0</v>
      </c>
      <c r="D18" s="820" t="str">
        <f t="shared" si="0"/>
        <v/>
      </c>
      <c r="E18" s="819"/>
      <c r="F18" s="820">
        <f t="shared" si="2"/>
        <v>0</v>
      </c>
      <c r="G18" s="820">
        <f t="shared" si="3"/>
        <v>0</v>
      </c>
      <c r="H18" s="819"/>
      <c r="I18" s="820">
        <f t="shared" si="4"/>
        <v>0</v>
      </c>
      <c r="J18" s="820">
        <f t="shared" si="5"/>
        <v>0</v>
      </c>
      <c r="K18" s="819"/>
      <c r="L18" s="820">
        <f t="shared" si="6"/>
        <v>0</v>
      </c>
      <c r="M18" s="820" t="str">
        <f t="shared" si="10"/>
        <v/>
      </c>
      <c r="N18" s="1092">
        <f t="shared" si="7"/>
        <v>0</v>
      </c>
      <c r="O18" s="825">
        <v>0</v>
      </c>
      <c r="P18" s="820" t="str">
        <f t="shared" si="8"/>
        <v/>
      </c>
      <c r="Q18" s="773"/>
      <c r="U18" s="820" t="str">
        <f>IF('PR_Annex_SR-Financials'!B18="","",'PR_Annex_SR-Financials'!B18)</f>
        <v/>
      </c>
      <c r="V18" s="820">
        <f>IF('PR_Annex_SR-Financials'!C18="","",'PR_Annex_SR-Financials'!C18)</f>
        <v>0</v>
      </c>
      <c r="W18" s="820" t="str">
        <f>IF('PR_Annex_SR-Financials'!D18="","",'PR_Annex_SR-Financials'!D18)</f>
        <v/>
      </c>
      <c r="X18" s="819"/>
      <c r="Y18" s="820">
        <f>IF('PR_Annex_SR-Financials'!F18="","",'PR_Annex_SR-Financials'!F18)</f>
        <v>0</v>
      </c>
      <c r="Z18" s="820">
        <f>IF('PR_Annex_SR-Financials'!G18="","",'PR_Annex_SR-Financials'!G18)</f>
        <v>0</v>
      </c>
      <c r="AA18" s="819"/>
      <c r="AB18" s="820">
        <f>IF('PR_Annex_SR-Financials'!I18="","",'PR_Annex_SR-Financials'!I18)</f>
        <v>0</v>
      </c>
      <c r="AC18" s="820">
        <f>IF('PR_Annex_SR-Financials'!J18="","",'PR_Annex_SR-Financials'!J18)</f>
        <v>0</v>
      </c>
      <c r="AD18" s="819"/>
      <c r="AE18" s="820">
        <f>IF('PR_Annex_SR-Financials'!L18="","",'PR_Annex_SR-Financials'!L18)</f>
        <v>0</v>
      </c>
      <c r="AF18" s="820" t="str">
        <f>IF('PR_Annex_SR-Financials'!M18="","",'PR_Annex_SR-Financials'!M18)</f>
        <v/>
      </c>
      <c r="AG18" s="820">
        <f t="shared" si="9"/>
        <v>0</v>
      </c>
      <c r="AH18" s="825"/>
      <c r="AI18" s="822" t="str">
        <f>IF('PR_Annex_SR-Financials'!P18="","",'PR_Annex_SR-Financials'!P18)</f>
        <v/>
      </c>
    </row>
    <row r="19" spans="2:35" ht="49.5" customHeight="1" x14ac:dyDescent="0.2">
      <c r="B19" s="820" t="str">
        <f t="shared" si="1"/>
        <v/>
      </c>
      <c r="C19" s="825">
        <f>IF('PR_Annex_SR-Financials'!C19="","",'PR_Annex_SR-Financials'!C19)</f>
        <v>0</v>
      </c>
      <c r="D19" s="820" t="str">
        <f t="shared" si="0"/>
        <v/>
      </c>
      <c r="E19" s="819"/>
      <c r="F19" s="820">
        <f t="shared" si="2"/>
        <v>0</v>
      </c>
      <c r="G19" s="820">
        <f t="shared" si="3"/>
        <v>0</v>
      </c>
      <c r="H19" s="819"/>
      <c r="I19" s="820">
        <f t="shared" si="4"/>
        <v>0</v>
      </c>
      <c r="J19" s="820">
        <f t="shared" si="5"/>
        <v>0</v>
      </c>
      <c r="K19" s="819"/>
      <c r="L19" s="820">
        <f t="shared" si="6"/>
        <v>0</v>
      </c>
      <c r="M19" s="820" t="str">
        <f t="shared" si="10"/>
        <v/>
      </c>
      <c r="N19" s="1092">
        <f t="shared" si="7"/>
        <v>0</v>
      </c>
      <c r="O19" s="825">
        <v>0</v>
      </c>
      <c r="P19" s="820" t="str">
        <f t="shared" si="8"/>
        <v/>
      </c>
      <c r="Q19" s="773"/>
      <c r="U19" s="820" t="str">
        <f>IF('PR_Annex_SR-Financials'!B19="","",'PR_Annex_SR-Financials'!B19)</f>
        <v/>
      </c>
      <c r="V19" s="820">
        <f>IF('PR_Annex_SR-Financials'!C19="","",'PR_Annex_SR-Financials'!C19)</f>
        <v>0</v>
      </c>
      <c r="W19" s="820" t="str">
        <f>IF('PR_Annex_SR-Financials'!D19="","",'PR_Annex_SR-Financials'!D19)</f>
        <v/>
      </c>
      <c r="X19" s="819"/>
      <c r="Y19" s="820">
        <f>IF('PR_Annex_SR-Financials'!F19="","",'PR_Annex_SR-Financials'!F19)</f>
        <v>0</v>
      </c>
      <c r="Z19" s="820">
        <f>IF('PR_Annex_SR-Financials'!G19="","",'PR_Annex_SR-Financials'!G19)</f>
        <v>0</v>
      </c>
      <c r="AA19" s="819"/>
      <c r="AB19" s="820">
        <f>IF('PR_Annex_SR-Financials'!I19="","",'PR_Annex_SR-Financials'!I19)</f>
        <v>0</v>
      </c>
      <c r="AC19" s="820">
        <f>IF('PR_Annex_SR-Financials'!J19="","",'PR_Annex_SR-Financials'!J19)</f>
        <v>0</v>
      </c>
      <c r="AD19" s="819"/>
      <c r="AE19" s="820">
        <f>IF('PR_Annex_SR-Financials'!L19="","",'PR_Annex_SR-Financials'!L19)</f>
        <v>0</v>
      </c>
      <c r="AF19" s="820" t="str">
        <f>IF('PR_Annex_SR-Financials'!M19="","",'PR_Annex_SR-Financials'!M19)</f>
        <v/>
      </c>
      <c r="AG19" s="820">
        <f t="shared" si="9"/>
        <v>0</v>
      </c>
      <c r="AH19" s="825"/>
      <c r="AI19" s="822" t="str">
        <f>IF('PR_Annex_SR-Financials'!P19="","",'PR_Annex_SR-Financials'!P19)</f>
        <v/>
      </c>
    </row>
    <row r="20" spans="2:35" ht="49.5" customHeight="1" x14ac:dyDescent="0.2">
      <c r="B20" s="820" t="str">
        <f t="shared" si="1"/>
        <v/>
      </c>
      <c r="C20" s="825">
        <f>IF('PR_Annex_SR-Financials'!C20="","",'PR_Annex_SR-Financials'!C20)</f>
        <v>0</v>
      </c>
      <c r="D20" s="820" t="str">
        <f t="shared" si="0"/>
        <v/>
      </c>
      <c r="E20" s="819"/>
      <c r="F20" s="820">
        <f t="shared" si="2"/>
        <v>0</v>
      </c>
      <c r="G20" s="820">
        <f t="shared" si="3"/>
        <v>0</v>
      </c>
      <c r="H20" s="819"/>
      <c r="I20" s="820">
        <f t="shared" si="4"/>
        <v>0</v>
      </c>
      <c r="J20" s="820">
        <f t="shared" si="5"/>
        <v>0</v>
      </c>
      <c r="K20" s="819"/>
      <c r="L20" s="820">
        <f t="shared" si="6"/>
        <v>0</v>
      </c>
      <c r="M20" s="820" t="str">
        <f t="shared" si="10"/>
        <v/>
      </c>
      <c r="N20" s="1092">
        <f t="shared" si="7"/>
        <v>0</v>
      </c>
      <c r="O20" s="825">
        <v>0</v>
      </c>
      <c r="P20" s="820" t="str">
        <f t="shared" si="8"/>
        <v/>
      </c>
      <c r="Q20" s="773"/>
      <c r="U20" s="820" t="str">
        <f>IF('PR_Annex_SR-Financials'!B20="","",'PR_Annex_SR-Financials'!B20)</f>
        <v/>
      </c>
      <c r="V20" s="820">
        <f>IF('PR_Annex_SR-Financials'!C20="","",'PR_Annex_SR-Financials'!C20)</f>
        <v>0</v>
      </c>
      <c r="W20" s="820" t="str">
        <f>IF('PR_Annex_SR-Financials'!D20="","",'PR_Annex_SR-Financials'!D20)</f>
        <v/>
      </c>
      <c r="X20" s="819"/>
      <c r="Y20" s="820">
        <f>IF('PR_Annex_SR-Financials'!F20="","",'PR_Annex_SR-Financials'!F20)</f>
        <v>0</v>
      </c>
      <c r="Z20" s="820">
        <f>IF('PR_Annex_SR-Financials'!G20="","",'PR_Annex_SR-Financials'!G20)</f>
        <v>0</v>
      </c>
      <c r="AA20" s="819"/>
      <c r="AB20" s="820">
        <f>IF('PR_Annex_SR-Financials'!I20="","",'PR_Annex_SR-Financials'!I20)</f>
        <v>0</v>
      </c>
      <c r="AC20" s="820">
        <f>IF('PR_Annex_SR-Financials'!J20="","",'PR_Annex_SR-Financials'!J20)</f>
        <v>0</v>
      </c>
      <c r="AD20" s="819"/>
      <c r="AE20" s="820">
        <f>IF('PR_Annex_SR-Financials'!L20="","",'PR_Annex_SR-Financials'!L20)</f>
        <v>0</v>
      </c>
      <c r="AF20" s="820" t="str">
        <f>IF('PR_Annex_SR-Financials'!M20="","",'PR_Annex_SR-Financials'!M20)</f>
        <v/>
      </c>
      <c r="AG20" s="820">
        <f t="shared" si="9"/>
        <v>0</v>
      </c>
      <c r="AH20" s="825"/>
      <c r="AI20" s="822" t="str">
        <f>IF('PR_Annex_SR-Financials'!P20="","",'PR_Annex_SR-Financials'!P20)</f>
        <v/>
      </c>
    </row>
    <row r="21" spans="2:35" ht="49.5" customHeight="1" x14ac:dyDescent="0.2">
      <c r="B21" s="820" t="str">
        <f t="shared" si="1"/>
        <v/>
      </c>
      <c r="C21" s="825">
        <f>IF('PR_Annex_SR-Financials'!C21="","",'PR_Annex_SR-Financials'!C21)</f>
        <v>0</v>
      </c>
      <c r="D21" s="820" t="str">
        <f t="shared" si="0"/>
        <v/>
      </c>
      <c r="E21" s="819"/>
      <c r="F21" s="820">
        <f t="shared" si="2"/>
        <v>0</v>
      </c>
      <c r="G21" s="820">
        <f t="shared" si="3"/>
        <v>0</v>
      </c>
      <c r="H21" s="819"/>
      <c r="I21" s="820">
        <f t="shared" si="4"/>
        <v>0</v>
      </c>
      <c r="J21" s="820">
        <f t="shared" si="5"/>
        <v>0</v>
      </c>
      <c r="K21" s="819"/>
      <c r="L21" s="820">
        <f t="shared" si="6"/>
        <v>0</v>
      </c>
      <c r="M21" s="820" t="str">
        <f t="shared" si="10"/>
        <v/>
      </c>
      <c r="N21" s="1092">
        <f t="shared" si="7"/>
        <v>0</v>
      </c>
      <c r="O21" s="825">
        <v>0</v>
      </c>
      <c r="P21" s="820" t="str">
        <f t="shared" si="8"/>
        <v/>
      </c>
      <c r="Q21" s="774"/>
      <c r="U21" s="820" t="str">
        <f>IF('PR_Annex_SR-Financials'!B21="","",'PR_Annex_SR-Financials'!B21)</f>
        <v/>
      </c>
      <c r="V21" s="820">
        <f>IF('PR_Annex_SR-Financials'!C21="","",'PR_Annex_SR-Financials'!C21)</f>
        <v>0</v>
      </c>
      <c r="W21" s="820" t="str">
        <f>IF('PR_Annex_SR-Financials'!D21="","",'PR_Annex_SR-Financials'!D21)</f>
        <v/>
      </c>
      <c r="X21" s="819"/>
      <c r="Y21" s="820">
        <f>IF('PR_Annex_SR-Financials'!F21="","",'PR_Annex_SR-Financials'!F21)</f>
        <v>0</v>
      </c>
      <c r="Z21" s="820">
        <f>IF('PR_Annex_SR-Financials'!G21="","",'PR_Annex_SR-Financials'!G21)</f>
        <v>0</v>
      </c>
      <c r="AA21" s="819"/>
      <c r="AB21" s="820">
        <f>IF('PR_Annex_SR-Financials'!I21="","",'PR_Annex_SR-Financials'!I21)</f>
        <v>0</v>
      </c>
      <c r="AC21" s="820">
        <f>IF('PR_Annex_SR-Financials'!J21="","",'PR_Annex_SR-Financials'!J21)</f>
        <v>0</v>
      </c>
      <c r="AD21" s="819"/>
      <c r="AE21" s="820">
        <f>IF('PR_Annex_SR-Financials'!L21="","",'PR_Annex_SR-Financials'!L21)</f>
        <v>0</v>
      </c>
      <c r="AF21" s="820" t="str">
        <f>IF('PR_Annex_SR-Financials'!M21="","",'PR_Annex_SR-Financials'!M21)</f>
        <v/>
      </c>
      <c r="AG21" s="820">
        <f t="shared" si="9"/>
        <v>0</v>
      </c>
      <c r="AH21" s="825"/>
      <c r="AI21" s="822" t="str">
        <f>IF('PR_Annex_SR-Financials'!P21="","",'PR_Annex_SR-Financials'!P21)</f>
        <v/>
      </c>
    </row>
    <row r="22" spans="2:35" ht="49.5" customHeight="1" x14ac:dyDescent="0.2">
      <c r="B22" s="820" t="str">
        <f t="shared" si="1"/>
        <v/>
      </c>
      <c r="C22" s="825">
        <f>IF('PR_Annex_SR-Financials'!C22="","",'PR_Annex_SR-Financials'!C22)</f>
        <v>0</v>
      </c>
      <c r="D22" s="820" t="str">
        <f t="shared" si="0"/>
        <v/>
      </c>
      <c r="E22" s="819"/>
      <c r="F22" s="820">
        <f t="shared" si="2"/>
        <v>0</v>
      </c>
      <c r="G22" s="820">
        <f t="shared" si="3"/>
        <v>0</v>
      </c>
      <c r="H22" s="819"/>
      <c r="I22" s="820">
        <f t="shared" si="4"/>
        <v>0</v>
      </c>
      <c r="J22" s="820">
        <f t="shared" si="5"/>
        <v>0</v>
      </c>
      <c r="K22" s="819"/>
      <c r="L22" s="820">
        <f t="shared" si="6"/>
        <v>0</v>
      </c>
      <c r="M22" s="820" t="str">
        <f t="shared" si="10"/>
        <v/>
      </c>
      <c r="N22" s="1092">
        <f t="shared" si="7"/>
        <v>0</v>
      </c>
      <c r="O22" s="825">
        <v>0</v>
      </c>
      <c r="P22" s="820" t="str">
        <f t="shared" si="8"/>
        <v/>
      </c>
      <c r="Q22" s="774"/>
      <c r="U22" s="820" t="str">
        <f>IF('PR_Annex_SR-Financials'!B22="","",'PR_Annex_SR-Financials'!B22)</f>
        <v/>
      </c>
      <c r="V22" s="820">
        <f>IF('PR_Annex_SR-Financials'!C22="","",'PR_Annex_SR-Financials'!C22)</f>
        <v>0</v>
      </c>
      <c r="W22" s="820" t="str">
        <f>IF('PR_Annex_SR-Financials'!D22="","",'PR_Annex_SR-Financials'!D22)</f>
        <v/>
      </c>
      <c r="X22" s="819"/>
      <c r="Y22" s="820">
        <f>IF('PR_Annex_SR-Financials'!F22="","",'PR_Annex_SR-Financials'!F22)</f>
        <v>0</v>
      </c>
      <c r="Z22" s="820">
        <f>IF('PR_Annex_SR-Financials'!G22="","",'PR_Annex_SR-Financials'!G22)</f>
        <v>0</v>
      </c>
      <c r="AA22" s="819"/>
      <c r="AB22" s="820">
        <f>IF('PR_Annex_SR-Financials'!I22="","",'PR_Annex_SR-Financials'!I22)</f>
        <v>0</v>
      </c>
      <c r="AC22" s="820">
        <f>IF('PR_Annex_SR-Financials'!J22="","",'PR_Annex_SR-Financials'!J22)</f>
        <v>0</v>
      </c>
      <c r="AD22" s="819"/>
      <c r="AE22" s="820">
        <f>IF('PR_Annex_SR-Financials'!L22="","",'PR_Annex_SR-Financials'!L22)</f>
        <v>0</v>
      </c>
      <c r="AF22" s="820" t="str">
        <f>IF('PR_Annex_SR-Financials'!M22="","",'PR_Annex_SR-Financials'!M22)</f>
        <v/>
      </c>
      <c r="AG22" s="820">
        <f t="shared" si="9"/>
        <v>0</v>
      </c>
      <c r="AH22" s="825"/>
      <c r="AI22" s="822" t="str">
        <f>IF('PR_Annex_SR-Financials'!P22="","",'PR_Annex_SR-Financials'!P22)</f>
        <v/>
      </c>
    </row>
    <row r="23" spans="2:35" ht="49.5" customHeight="1" x14ac:dyDescent="0.2">
      <c r="B23" s="820" t="str">
        <f t="shared" si="1"/>
        <v/>
      </c>
      <c r="C23" s="825">
        <f>IF('PR_Annex_SR-Financials'!C23="","",'PR_Annex_SR-Financials'!C23)</f>
        <v>0</v>
      </c>
      <c r="D23" s="820" t="str">
        <f t="shared" si="0"/>
        <v/>
      </c>
      <c r="E23" s="819"/>
      <c r="F23" s="820">
        <f t="shared" si="2"/>
        <v>0</v>
      </c>
      <c r="G23" s="820">
        <f t="shared" si="3"/>
        <v>0</v>
      </c>
      <c r="H23" s="819"/>
      <c r="I23" s="820">
        <f t="shared" si="4"/>
        <v>0</v>
      </c>
      <c r="J23" s="820">
        <f t="shared" si="5"/>
        <v>0</v>
      </c>
      <c r="K23" s="819"/>
      <c r="L23" s="820">
        <f t="shared" si="6"/>
        <v>0</v>
      </c>
      <c r="M23" s="820" t="str">
        <f t="shared" si="10"/>
        <v/>
      </c>
      <c r="N23" s="1092">
        <f t="shared" si="7"/>
        <v>0</v>
      </c>
      <c r="O23" s="825">
        <v>0</v>
      </c>
      <c r="P23" s="820" t="str">
        <f t="shared" si="8"/>
        <v/>
      </c>
      <c r="Q23" s="774"/>
      <c r="U23" s="820" t="str">
        <f>IF('PR_Annex_SR-Financials'!B23="","",'PR_Annex_SR-Financials'!B23)</f>
        <v/>
      </c>
      <c r="V23" s="820">
        <f>IF('PR_Annex_SR-Financials'!C23="","",'PR_Annex_SR-Financials'!C23)</f>
        <v>0</v>
      </c>
      <c r="W23" s="820" t="str">
        <f>IF('PR_Annex_SR-Financials'!D23="","",'PR_Annex_SR-Financials'!D23)</f>
        <v/>
      </c>
      <c r="X23" s="819"/>
      <c r="Y23" s="820">
        <f>IF('PR_Annex_SR-Financials'!F23="","",'PR_Annex_SR-Financials'!F23)</f>
        <v>0</v>
      </c>
      <c r="Z23" s="820">
        <f>IF('PR_Annex_SR-Financials'!G23="","",'PR_Annex_SR-Financials'!G23)</f>
        <v>0</v>
      </c>
      <c r="AA23" s="819"/>
      <c r="AB23" s="820">
        <f>IF('PR_Annex_SR-Financials'!I23="","",'PR_Annex_SR-Financials'!I23)</f>
        <v>0</v>
      </c>
      <c r="AC23" s="820">
        <f>IF('PR_Annex_SR-Financials'!J23="","",'PR_Annex_SR-Financials'!J23)</f>
        <v>0</v>
      </c>
      <c r="AD23" s="819"/>
      <c r="AE23" s="820">
        <f>IF('PR_Annex_SR-Financials'!L23="","",'PR_Annex_SR-Financials'!L23)</f>
        <v>0</v>
      </c>
      <c r="AF23" s="820" t="str">
        <f>IF('PR_Annex_SR-Financials'!M23="","",'PR_Annex_SR-Financials'!M23)</f>
        <v/>
      </c>
      <c r="AG23" s="820">
        <f t="shared" si="9"/>
        <v>0</v>
      </c>
      <c r="AH23" s="825"/>
      <c r="AI23" s="822" t="str">
        <f>IF('PR_Annex_SR-Financials'!P23="","",'PR_Annex_SR-Financials'!P23)</f>
        <v/>
      </c>
    </row>
    <row r="24" spans="2:35" ht="49.5" customHeight="1" x14ac:dyDescent="0.2">
      <c r="B24" s="820" t="str">
        <f t="shared" si="1"/>
        <v/>
      </c>
      <c r="C24" s="825">
        <f>IF('PR_Annex_SR-Financials'!C24="","",'PR_Annex_SR-Financials'!C24)</f>
        <v>0</v>
      </c>
      <c r="D24" s="820" t="str">
        <f t="shared" si="0"/>
        <v/>
      </c>
      <c r="E24" s="819"/>
      <c r="F24" s="820">
        <f t="shared" si="2"/>
        <v>0</v>
      </c>
      <c r="G24" s="820">
        <f t="shared" si="3"/>
        <v>0</v>
      </c>
      <c r="H24" s="819"/>
      <c r="I24" s="820">
        <f t="shared" si="4"/>
        <v>0</v>
      </c>
      <c r="J24" s="820">
        <f t="shared" si="5"/>
        <v>0</v>
      </c>
      <c r="K24" s="819"/>
      <c r="L24" s="820">
        <f t="shared" si="6"/>
        <v>0</v>
      </c>
      <c r="M24" s="820" t="str">
        <f t="shared" si="10"/>
        <v/>
      </c>
      <c r="N24" s="1092">
        <f t="shared" si="7"/>
        <v>0</v>
      </c>
      <c r="O24" s="825">
        <v>0</v>
      </c>
      <c r="P24" s="820" t="str">
        <f t="shared" si="8"/>
        <v/>
      </c>
      <c r="Q24" s="774"/>
      <c r="U24" s="820" t="str">
        <f>IF('PR_Annex_SR-Financials'!B24="","",'PR_Annex_SR-Financials'!B24)</f>
        <v/>
      </c>
      <c r="V24" s="820">
        <f>IF('PR_Annex_SR-Financials'!C24="","",'PR_Annex_SR-Financials'!C24)</f>
        <v>0</v>
      </c>
      <c r="W24" s="820" t="str">
        <f>IF('PR_Annex_SR-Financials'!D24="","",'PR_Annex_SR-Financials'!D24)</f>
        <v/>
      </c>
      <c r="X24" s="819"/>
      <c r="Y24" s="820">
        <f>IF('PR_Annex_SR-Financials'!F24="","",'PR_Annex_SR-Financials'!F24)</f>
        <v>0</v>
      </c>
      <c r="Z24" s="820">
        <f>IF('PR_Annex_SR-Financials'!G24="","",'PR_Annex_SR-Financials'!G24)</f>
        <v>0</v>
      </c>
      <c r="AA24" s="819"/>
      <c r="AB24" s="820">
        <f>IF('PR_Annex_SR-Financials'!I24="","",'PR_Annex_SR-Financials'!I24)</f>
        <v>0</v>
      </c>
      <c r="AC24" s="820">
        <f>IF('PR_Annex_SR-Financials'!J24="","",'PR_Annex_SR-Financials'!J24)</f>
        <v>0</v>
      </c>
      <c r="AD24" s="819"/>
      <c r="AE24" s="820">
        <f>IF('PR_Annex_SR-Financials'!L24="","",'PR_Annex_SR-Financials'!L24)</f>
        <v>0</v>
      </c>
      <c r="AF24" s="820" t="str">
        <f>IF('PR_Annex_SR-Financials'!M24="","",'PR_Annex_SR-Financials'!M24)</f>
        <v/>
      </c>
      <c r="AG24" s="820">
        <f t="shared" si="9"/>
        <v>0</v>
      </c>
      <c r="AH24" s="825"/>
      <c r="AI24" s="822" t="str">
        <f>IF('PR_Annex_SR-Financials'!P24="","",'PR_Annex_SR-Financials'!P24)</f>
        <v/>
      </c>
    </row>
    <row r="25" spans="2:35" ht="49.5" customHeight="1" x14ac:dyDescent="0.2">
      <c r="B25" s="820" t="str">
        <f t="shared" si="1"/>
        <v/>
      </c>
      <c r="C25" s="825">
        <f>IF('PR_Annex_SR-Financials'!C25="","",'PR_Annex_SR-Financials'!C25)</f>
        <v>0</v>
      </c>
      <c r="D25" s="820" t="str">
        <f t="shared" si="0"/>
        <v/>
      </c>
      <c r="E25" s="819"/>
      <c r="F25" s="820">
        <f t="shared" si="2"/>
        <v>0</v>
      </c>
      <c r="G25" s="820">
        <f t="shared" si="3"/>
        <v>0</v>
      </c>
      <c r="H25" s="819"/>
      <c r="I25" s="820">
        <f t="shared" si="4"/>
        <v>0</v>
      </c>
      <c r="J25" s="820">
        <f t="shared" si="5"/>
        <v>0</v>
      </c>
      <c r="K25" s="819"/>
      <c r="L25" s="820">
        <f t="shared" si="6"/>
        <v>0</v>
      </c>
      <c r="M25" s="820" t="str">
        <f t="shared" si="10"/>
        <v/>
      </c>
      <c r="N25" s="1092">
        <f t="shared" si="7"/>
        <v>0</v>
      </c>
      <c r="O25" s="825">
        <v>0</v>
      </c>
      <c r="P25" s="820" t="str">
        <f t="shared" si="8"/>
        <v/>
      </c>
      <c r="Q25" s="774"/>
      <c r="U25" s="820" t="str">
        <f>IF('PR_Annex_SR-Financials'!B25="","",'PR_Annex_SR-Financials'!B25)</f>
        <v/>
      </c>
      <c r="V25" s="820">
        <f>IF('PR_Annex_SR-Financials'!C25="","",'PR_Annex_SR-Financials'!C25)</f>
        <v>0</v>
      </c>
      <c r="W25" s="820" t="str">
        <f>IF('PR_Annex_SR-Financials'!D25="","",'PR_Annex_SR-Financials'!D25)</f>
        <v/>
      </c>
      <c r="X25" s="819"/>
      <c r="Y25" s="820">
        <f>IF('PR_Annex_SR-Financials'!F25="","",'PR_Annex_SR-Financials'!F25)</f>
        <v>0</v>
      </c>
      <c r="Z25" s="820">
        <f>IF('PR_Annex_SR-Financials'!G25="","",'PR_Annex_SR-Financials'!G25)</f>
        <v>0</v>
      </c>
      <c r="AA25" s="819"/>
      <c r="AB25" s="820">
        <f>IF('PR_Annex_SR-Financials'!I25="","",'PR_Annex_SR-Financials'!I25)</f>
        <v>0</v>
      </c>
      <c r="AC25" s="820">
        <f>IF('PR_Annex_SR-Financials'!J25="","",'PR_Annex_SR-Financials'!J25)</f>
        <v>0</v>
      </c>
      <c r="AD25" s="819"/>
      <c r="AE25" s="820">
        <f>IF('PR_Annex_SR-Financials'!L25="","",'PR_Annex_SR-Financials'!L25)</f>
        <v>0</v>
      </c>
      <c r="AF25" s="820" t="str">
        <f>IF('PR_Annex_SR-Financials'!M25="","",'PR_Annex_SR-Financials'!M25)</f>
        <v/>
      </c>
      <c r="AG25" s="820">
        <f t="shared" si="9"/>
        <v>0</v>
      </c>
      <c r="AH25" s="825"/>
      <c r="AI25" s="822" t="str">
        <f>IF('PR_Annex_SR-Financials'!P25="","",'PR_Annex_SR-Financials'!P25)</f>
        <v/>
      </c>
    </row>
    <row r="26" spans="2:35" ht="49.5" customHeight="1" x14ac:dyDescent="0.2">
      <c r="B26" s="820" t="str">
        <f t="shared" si="1"/>
        <v/>
      </c>
      <c r="C26" s="825">
        <f>IF('PR_Annex_SR-Financials'!C26="","",'PR_Annex_SR-Financials'!C26)</f>
        <v>0</v>
      </c>
      <c r="D26" s="820" t="str">
        <f t="shared" si="0"/>
        <v/>
      </c>
      <c r="E26" s="819"/>
      <c r="F26" s="820">
        <f t="shared" si="2"/>
        <v>0</v>
      </c>
      <c r="G26" s="820">
        <f t="shared" si="3"/>
        <v>0</v>
      </c>
      <c r="H26" s="819"/>
      <c r="I26" s="820">
        <f t="shared" si="4"/>
        <v>0</v>
      </c>
      <c r="J26" s="820">
        <f t="shared" si="5"/>
        <v>0</v>
      </c>
      <c r="K26" s="819"/>
      <c r="L26" s="820">
        <f t="shared" si="6"/>
        <v>0</v>
      </c>
      <c r="M26" s="820" t="str">
        <f t="shared" si="10"/>
        <v/>
      </c>
      <c r="N26" s="1092">
        <f t="shared" si="7"/>
        <v>0</v>
      </c>
      <c r="O26" s="825">
        <v>0</v>
      </c>
      <c r="P26" s="820" t="str">
        <f t="shared" si="8"/>
        <v/>
      </c>
      <c r="Q26" s="774"/>
      <c r="U26" s="820" t="str">
        <f>IF('PR_Annex_SR-Financials'!B26="","",'PR_Annex_SR-Financials'!B26)</f>
        <v/>
      </c>
      <c r="V26" s="820">
        <f>IF('PR_Annex_SR-Financials'!C26="","",'PR_Annex_SR-Financials'!C26)</f>
        <v>0</v>
      </c>
      <c r="W26" s="820" t="str">
        <f>IF('PR_Annex_SR-Financials'!D26="","",'PR_Annex_SR-Financials'!D26)</f>
        <v/>
      </c>
      <c r="X26" s="819"/>
      <c r="Y26" s="820">
        <f>IF('PR_Annex_SR-Financials'!F26="","",'PR_Annex_SR-Financials'!F26)</f>
        <v>0</v>
      </c>
      <c r="Z26" s="820">
        <f>IF('PR_Annex_SR-Financials'!G26="","",'PR_Annex_SR-Financials'!G26)</f>
        <v>0</v>
      </c>
      <c r="AA26" s="819"/>
      <c r="AB26" s="820">
        <f>IF('PR_Annex_SR-Financials'!I26="","",'PR_Annex_SR-Financials'!I26)</f>
        <v>0</v>
      </c>
      <c r="AC26" s="820">
        <f>IF('PR_Annex_SR-Financials'!J26="","",'PR_Annex_SR-Financials'!J26)</f>
        <v>0</v>
      </c>
      <c r="AD26" s="819"/>
      <c r="AE26" s="820">
        <f>IF('PR_Annex_SR-Financials'!L26="","",'PR_Annex_SR-Financials'!L26)</f>
        <v>0</v>
      </c>
      <c r="AF26" s="820" t="str">
        <f>IF('PR_Annex_SR-Financials'!M26="","",'PR_Annex_SR-Financials'!M26)</f>
        <v/>
      </c>
      <c r="AG26" s="820">
        <f t="shared" si="9"/>
        <v>0</v>
      </c>
      <c r="AH26" s="825"/>
      <c r="AI26" s="822" t="str">
        <f>IF('PR_Annex_SR-Financials'!P26="","",'PR_Annex_SR-Financials'!P26)</f>
        <v/>
      </c>
    </row>
    <row r="27" spans="2:35" ht="49.5" customHeight="1" x14ac:dyDescent="0.2">
      <c r="B27" s="820" t="str">
        <f t="shared" si="1"/>
        <v/>
      </c>
      <c r="C27" s="825">
        <f>IF('PR_Annex_SR-Financials'!C27="","",'PR_Annex_SR-Financials'!C27)</f>
        <v>0</v>
      </c>
      <c r="D27" s="820" t="str">
        <f t="shared" si="0"/>
        <v/>
      </c>
      <c r="E27" s="819"/>
      <c r="F27" s="820">
        <f t="shared" si="2"/>
        <v>0</v>
      </c>
      <c r="G27" s="820">
        <f t="shared" si="3"/>
        <v>0</v>
      </c>
      <c r="H27" s="819"/>
      <c r="I27" s="820">
        <f t="shared" si="4"/>
        <v>0</v>
      </c>
      <c r="J27" s="820">
        <f t="shared" si="5"/>
        <v>0</v>
      </c>
      <c r="K27" s="819"/>
      <c r="L27" s="820">
        <f t="shared" si="6"/>
        <v>0</v>
      </c>
      <c r="M27" s="820" t="str">
        <f t="shared" si="10"/>
        <v/>
      </c>
      <c r="N27" s="1092">
        <f t="shared" si="7"/>
        <v>0</v>
      </c>
      <c r="O27" s="825">
        <v>0</v>
      </c>
      <c r="P27" s="820" t="str">
        <f t="shared" si="8"/>
        <v/>
      </c>
      <c r="Q27" s="774"/>
      <c r="U27" s="820" t="str">
        <f>IF('PR_Annex_SR-Financials'!B27="","",'PR_Annex_SR-Financials'!B27)</f>
        <v/>
      </c>
      <c r="V27" s="820">
        <f>IF('PR_Annex_SR-Financials'!C27="","",'PR_Annex_SR-Financials'!C27)</f>
        <v>0</v>
      </c>
      <c r="W27" s="820" t="str">
        <f>IF('PR_Annex_SR-Financials'!D27="","",'PR_Annex_SR-Financials'!D27)</f>
        <v/>
      </c>
      <c r="X27" s="819"/>
      <c r="Y27" s="820">
        <f>IF('PR_Annex_SR-Financials'!F27="","",'PR_Annex_SR-Financials'!F27)</f>
        <v>0</v>
      </c>
      <c r="Z27" s="820">
        <f>IF('PR_Annex_SR-Financials'!G27="","",'PR_Annex_SR-Financials'!G27)</f>
        <v>0</v>
      </c>
      <c r="AA27" s="819"/>
      <c r="AB27" s="820">
        <f>IF('PR_Annex_SR-Financials'!I27="","",'PR_Annex_SR-Financials'!I27)</f>
        <v>0</v>
      </c>
      <c r="AC27" s="820">
        <f>IF('PR_Annex_SR-Financials'!J27="","",'PR_Annex_SR-Financials'!J27)</f>
        <v>0</v>
      </c>
      <c r="AD27" s="819"/>
      <c r="AE27" s="820">
        <f>IF('PR_Annex_SR-Financials'!L27="","",'PR_Annex_SR-Financials'!L27)</f>
        <v>0</v>
      </c>
      <c r="AF27" s="820" t="str">
        <f>IF('PR_Annex_SR-Financials'!M27="","",'PR_Annex_SR-Financials'!M27)</f>
        <v/>
      </c>
      <c r="AG27" s="820">
        <f t="shared" si="9"/>
        <v>0</v>
      </c>
      <c r="AH27" s="825"/>
      <c r="AI27" s="822" t="str">
        <f>IF('PR_Annex_SR-Financials'!P27="","",'PR_Annex_SR-Financials'!P27)</f>
        <v/>
      </c>
    </row>
    <row r="28" spans="2:35" ht="49.5" customHeight="1" x14ac:dyDescent="0.2">
      <c r="B28" s="820" t="str">
        <f t="shared" si="1"/>
        <v/>
      </c>
      <c r="C28" s="825">
        <f>IF('PR_Annex_SR-Financials'!C28="","",'PR_Annex_SR-Financials'!C28)</f>
        <v>0</v>
      </c>
      <c r="D28" s="820" t="str">
        <f t="shared" si="0"/>
        <v/>
      </c>
      <c r="E28" s="819"/>
      <c r="F28" s="820">
        <f t="shared" si="2"/>
        <v>0</v>
      </c>
      <c r="G28" s="820">
        <f t="shared" si="3"/>
        <v>0</v>
      </c>
      <c r="H28" s="819"/>
      <c r="I28" s="820">
        <f t="shared" si="4"/>
        <v>0</v>
      </c>
      <c r="J28" s="820">
        <f t="shared" si="5"/>
        <v>0</v>
      </c>
      <c r="K28" s="819"/>
      <c r="L28" s="820">
        <f t="shared" si="6"/>
        <v>0</v>
      </c>
      <c r="M28" s="820" t="str">
        <f t="shared" si="10"/>
        <v/>
      </c>
      <c r="N28" s="1092">
        <f t="shared" si="7"/>
        <v>0</v>
      </c>
      <c r="O28" s="825">
        <v>0</v>
      </c>
      <c r="P28" s="820" t="str">
        <f t="shared" si="8"/>
        <v/>
      </c>
      <c r="Q28" s="774"/>
      <c r="U28" s="820" t="str">
        <f>IF('PR_Annex_SR-Financials'!B28="","",'PR_Annex_SR-Financials'!B28)</f>
        <v/>
      </c>
      <c r="V28" s="820">
        <f>IF('PR_Annex_SR-Financials'!C28="","",'PR_Annex_SR-Financials'!C28)</f>
        <v>0</v>
      </c>
      <c r="W28" s="820" t="str">
        <f>IF('PR_Annex_SR-Financials'!D28="","",'PR_Annex_SR-Financials'!D28)</f>
        <v/>
      </c>
      <c r="X28" s="819"/>
      <c r="Y28" s="820">
        <f>IF('PR_Annex_SR-Financials'!F28="","",'PR_Annex_SR-Financials'!F28)</f>
        <v>0</v>
      </c>
      <c r="Z28" s="820">
        <f>IF('PR_Annex_SR-Financials'!G28="","",'PR_Annex_SR-Financials'!G28)</f>
        <v>0</v>
      </c>
      <c r="AA28" s="819"/>
      <c r="AB28" s="820">
        <f>IF('PR_Annex_SR-Financials'!I28="","",'PR_Annex_SR-Financials'!I28)</f>
        <v>0</v>
      </c>
      <c r="AC28" s="820">
        <f>IF('PR_Annex_SR-Financials'!J28="","",'PR_Annex_SR-Financials'!J28)</f>
        <v>0</v>
      </c>
      <c r="AD28" s="819"/>
      <c r="AE28" s="820">
        <f>IF('PR_Annex_SR-Financials'!L28="","",'PR_Annex_SR-Financials'!L28)</f>
        <v>0</v>
      </c>
      <c r="AF28" s="820" t="str">
        <f>IF('PR_Annex_SR-Financials'!M28="","",'PR_Annex_SR-Financials'!M28)</f>
        <v/>
      </c>
      <c r="AG28" s="820">
        <f t="shared" si="9"/>
        <v>0</v>
      </c>
      <c r="AH28" s="825"/>
      <c r="AI28" s="822" t="str">
        <f>IF('PR_Annex_SR-Financials'!P28="","",'PR_Annex_SR-Financials'!P28)</f>
        <v/>
      </c>
    </row>
    <row r="29" spans="2:35" ht="49.5" customHeight="1" x14ac:dyDescent="0.2">
      <c r="B29" s="820" t="str">
        <f t="shared" si="1"/>
        <v/>
      </c>
      <c r="C29" s="825">
        <f>IF('PR_Annex_SR-Financials'!C29="","",'PR_Annex_SR-Financials'!C29)</f>
        <v>0</v>
      </c>
      <c r="D29" s="820" t="str">
        <f t="shared" si="0"/>
        <v/>
      </c>
      <c r="E29" s="819"/>
      <c r="F29" s="820">
        <f t="shared" si="2"/>
        <v>0</v>
      </c>
      <c r="G29" s="820">
        <f t="shared" si="3"/>
        <v>0</v>
      </c>
      <c r="H29" s="819"/>
      <c r="I29" s="820">
        <f t="shared" si="4"/>
        <v>0</v>
      </c>
      <c r="J29" s="820">
        <f t="shared" si="5"/>
        <v>0</v>
      </c>
      <c r="K29" s="819"/>
      <c r="L29" s="820">
        <f t="shared" si="6"/>
        <v>0</v>
      </c>
      <c r="M29" s="820" t="str">
        <f t="shared" si="10"/>
        <v/>
      </c>
      <c r="N29" s="1092">
        <f t="shared" si="7"/>
        <v>0</v>
      </c>
      <c r="O29" s="825">
        <v>0</v>
      </c>
      <c r="P29" s="820" t="str">
        <f t="shared" si="8"/>
        <v/>
      </c>
      <c r="Q29" s="774"/>
      <c r="U29" s="820" t="str">
        <f>IF('PR_Annex_SR-Financials'!B29="","",'PR_Annex_SR-Financials'!B29)</f>
        <v/>
      </c>
      <c r="V29" s="820">
        <f>IF('PR_Annex_SR-Financials'!C29="","",'PR_Annex_SR-Financials'!C29)</f>
        <v>0</v>
      </c>
      <c r="W29" s="820" t="str">
        <f>IF('PR_Annex_SR-Financials'!D29="","",'PR_Annex_SR-Financials'!D29)</f>
        <v/>
      </c>
      <c r="X29" s="819"/>
      <c r="Y29" s="820">
        <f>IF('PR_Annex_SR-Financials'!F29="","",'PR_Annex_SR-Financials'!F29)</f>
        <v>0</v>
      </c>
      <c r="Z29" s="820">
        <f>IF('PR_Annex_SR-Financials'!G29="","",'PR_Annex_SR-Financials'!G29)</f>
        <v>0</v>
      </c>
      <c r="AA29" s="819"/>
      <c r="AB29" s="820">
        <f>IF('PR_Annex_SR-Financials'!I29="","",'PR_Annex_SR-Financials'!I29)</f>
        <v>0</v>
      </c>
      <c r="AC29" s="820">
        <f>IF('PR_Annex_SR-Financials'!J29="","",'PR_Annex_SR-Financials'!J29)</f>
        <v>0</v>
      </c>
      <c r="AD29" s="819"/>
      <c r="AE29" s="820">
        <f>IF('PR_Annex_SR-Financials'!L29="","",'PR_Annex_SR-Financials'!L29)</f>
        <v>0</v>
      </c>
      <c r="AF29" s="820" t="str">
        <f>IF('PR_Annex_SR-Financials'!M29="","",'PR_Annex_SR-Financials'!M29)</f>
        <v/>
      </c>
      <c r="AG29" s="820">
        <f t="shared" si="9"/>
        <v>0</v>
      </c>
      <c r="AH29" s="825"/>
      <c r="AI29" s="822" t="str">
        <f>IF('PR_Annex_SR-Financials'!P29="","",'PR_Annex_SR-Financials'!P29)</f>
        <v/>
      </c>
    </row>
    <row r="30" spans="2:35" ht="49.5" customHeight="1" x14ac:dyDescent="0.2">
      <c r="B30" s="820" t="str">
        <f t="shared" si="1"/>
        <v/>
      </c>
      <c r="C30" s="825">
        <f>IF('PR_Annex_SR-Financials'!C30="","",'PR_Annex_SR-Financials'!C30)</f>
        <v>0</v>
      </c>
      <c r="D30" s="820" t="str">
        <f t="shared" si="0"/>
        <v/>
      </c>
      <c r="E30" s="819"/>
      <c r="F30" s="820">
        <f t="shared" si="2"/>
        <v>0</v>
      </c>
      <c r="G30" s="820">
        <f t="shared" si="3"/>
        <v>0</v>
      </c>
      <c r="H30" s="819"/>
      <c r="I30" s="820">
        <f t="shared" si="4"/>
        <v>0</v>
      </c>
      <c r="J30" s="820">
        <f t="shared" si="5"/>
        <v>0</v>
      </c>
      <c r="K30" s="819"/>
      <c r="L30" s="820">
        <f t="shared" si="6"/>
        <v>0</v>
      </c>
      <c r="M30" s="820" t="str">
        <f t="shared" si="10"/>
        <v/>
      </c>
      <c r="N30" s="1092">
        <f t="shared" si="7"/>
        <v>0</v>
      </c>
      <c r="O30" s="825">
        <v>0</v>
      </c>
      <c r="P30" s="820" t="str">
        <f t="shared" si="8"/>
        <v/>
      </c>
      <c r="Q30" s="774"/>
      <c r="U30" s="820" t="str">
        <f>IF('PR_Annex_SR-Financials'!B30="","",'PR_Annex_SR-Financials'!B30)</f>
        <v/>
      </c>
      <c r="V30" s="820">
        <f>IF('PR_Annex_SR-Financials'!C30="","",'PR_Annex_SR-Financials'!C30)</f>
        <v>0</v>
      </c>
      <c r="W30" s="820" t="str">
        <f>IF('PR_Annex_SR-Financials'!D30="","",'PR_Annex_SR-Financials'!D30)</f>
        <v/>
      </c>
      <c r="X30" s="819"/>
      <c r="Y30" s="820">
        <f>IF('PR_Annex_SR-Financials'!F30="","",'PR_Annex_SR-Financials'!F30)</f>
        <v>0</v>
      </c>
      <c r="Z30" s="820">
        <f>IF('PR_Annex_SR-Financials'!G30="","",'PR_Annex_SR-Financials'!G30)</f>
        <v>0</v>
      </c>
      <c r="AA30" s="819"/>
      <c r="AB30" s="820">
        <f>IF('PR_Annex_SR-Financials'!I30="","",'PR_Annex_SR-Financials'!I30)</f>
        <v>0</v>
      </c>
      <c r="AC30" s="820">
        <f>IF('PR_Annex_SR-Financials'!J30="","",'PR_Annex_SR-Financials'!J30)</f>
        <v>0</v>
      </c>
      <c r="AD30" s="819"/>
      <c r="AE30" s="820">
        <f>IF('PR_Annex_SR-Financials'!L30="","",'PR_Annex_SR-Financials'!L30)</f>
        <v>0</v>
      </c>
      <c r="AF30" s="820" t="str">
        <f>IF('PR_Annex_SR-Financials'!M30="","",'PR_Annex_SR-Financials'!M30)</f>
        <v/>
      </c>
      <c r="AG30" s="820">
        <f t="shared" si="9"/>
        <v>0</v>
      </c>
      <c r="AH30" s="825"/>
      <c r="AI30" s="822" t="str">
        <f>IF('PR_Annex_SR-Financials'!P30="","",'PR_Annex_SR-Financials'!P30)</f>
        <v/>
      </c>
    </row>
    <row r="31" spans="2:35" ht="49.5" customHeight="1" x14ac:dyDescent="0.2">
      <c r="B31" s="820" t="str">
        <f t="shared" si="1"/>
        <v/>
      </c>
      <c r="C31" s="825">
        <f>IF('PR_Annex_SR-Financials'!C31="","",'PR_Annex_SR-Financials'!C31)</f>
        <v>0</v>
      </c>
      <c r="D31" s="820" t="str">
        <f>W31</f>
        <v/>
      </c>
      <c r="E31" s="819"/>
      <c r="F31" s="820">
        <f t="shared" si="2"/>
        <v>0</v>
      </c>
      <c r="G31" s="820">
        <f t="shared" si="3"/>
        <v>0</v>
      </c>
      <c r="H31" s="819"/>
      <c r="I31" s="820">
        <f t="shared" si="4"/>
        <v>0</v>
      </c>
      <c r="J31" s="820">
        <f t="shared" si="5"/>
        <v>0</v>
      </c>
      <c r="K31" s="819"/>
      <c r="L31" s="820">
        <f t="shared" si="6"/>
        <v>0</v>
      </c>
      <c r="M31" s="820" t="str">
        <f t="shared" si="10"/>
        <v/>
      </c>
      <c r="N31" s="1092">
        <f t="shared" si="7"/>
        <v>0</v>
      </c>
      <c r="O31" s="825">
        <v>0</v>
      </c>
      <c r="P31" s="820" t="str">
        <f t="shared" si="8"/>
        <v/>
      </c>
      <c r="Q31" s="774"/>
      <c r="U31" s="820" t="str">
        <f>IF('PR_Annex_SR-Financials'!B31="","",'PR_Annex_SR-Financials'!B31)</f>
        <v/>
      </c>
      <c r="V31" s="820">
        <f>IF('PR_Annex_SR-Financials'!C31="","",'PR_Annex_SR-Financials'!C31)</f>
        <v>0</v>
      </c>
      <c r="W31" s="820" t="str">
        <f>IF('PR_Annex_SR-Financials'!D31="","",'PR_Annex_SR-Financials'!D31)</f>
        <v/>
      </c>
      <c r="X31" s="819"/>
      <c r="Y31" s="820">
        <f>IF('PR_Annex_SR-Financials'!F31="","",'PR_Annex_SR-Financials'!F31)</f>
        <v>0</v>
      </c>
      <c r="Z31" s="820">
        <f>IF('PR_Annex_SR-Financials'!G31="","",'PR_Annex_SR-Financials'!G31)</f>
        <v>0</v>
      </c>
      <c r="AA31" s="819"/>
      <c r="AB31" s="820">
        <f>IF('PR_Annex_SR-Financials'!I31="","",'PR_Annex_SR-Financials'!I31)</f>
        <v>0</v>
      </c>
      <c r="AC31" s="820">
        <f>IF('PR_Annex_SR-Financials'!J31="","",'PR_Annex_SR-Financials'!J31)</f>
        <v>0</v>
      </c>
      <c r="AD31" s="819"/>
      <c r="AE31" s="820">
        <f>IF('PR_Annex_SR-Financials'!L31="","",'PR_Annex_SR-Financials'!L31)</f>
        <v>0</v>
      </c>
      <c r="AF31" s="820" t="str">
        <f>IF('PR_Annex_SR-Financials'!M31="","",'PR_Annex_SR-Financials'!M31)</f>
        <v/>
      </c>
      <c r="AG31" s="820">
        <f t="shared" si="9"/>
        <v>0</v>
      </c>
      <c r="AH31" s="825"/>
      <c r="AI31" s="822" t="str">
        <f>IF('PR_Annex_SR-Financials'!P31="","",'PR_Annex_SR-Financials'!P31)</f>
        <v/>
      </c>
    </row>
    <row r="32" spans="2:35" ht="49.5" customHeight="1" x14ac:dyDescent="0.2">
      <c r="B32" s="820" t="str">
        <f t="shared" si="1"/>
        <v/>
      </c>
      <c r="C32" s="825">
        <f>IF('PR_Annex_SR-Financials'!C32="","",'PR_Annex_SR-Financials'!C32)</f>
        <v>0</v>
      </c>
      <c r="D32" s="820" t="str">
        <f>W32</f>
        <v/>
      </c>
      <c r="E32" s="819"/>
      <c r="F32" s="820">
        <f t="shared" si="2"/>
        <v>0</v>
      </c>
      <c r="G32" s="820">
        <f t="shared" si="3"/>
        <v>0</v>
      </c>
      <c r="H32" s="819"/>
      <c r="I32" s="820">
        <f t="shared" si="4"/>
        <v>0</v>
      </c>
      <c r="J32" s="820">
        <f t="shared" si="5"/>
        <v>0</v>
      </c>
      <c r="K32" s="819"/>
      <c r="L32" s="820">
        <f t="shared" si="6"/>
        <v>0</v>
      </c>
      <c r="M32" s="820" t="str">
        <f t="shared" si="10"/>
        <v/>
      </c>
      <c r="N32" s="1092">
        <f t="shared" si="7"/>
        <v>0</v>
      </c>
      <c r="O32" s="825">
        <v>0</v>
      </c>
      <c r="P32" s="820" t="str">
        <f t="shared" si="8"/>
        <v/>
      </c>
      <c r="Q32" s="774"/>
      <c r="U32" s="820" t="str">
        <f>IF('PR_Annex_SR-Financials'!B32="","",'PR_Annex_SR-Financials'!B32)</f>
        <v/>
      </c>
      <c r="V32" s="820">
        <f>IF('PR_Annex_SR-Financials'!C32="","",'PR_Annex_SR-Financials'!C32)</f>
        <v>0</v>
      </c>
      <c r="W32" s="820" t="str">
        <f>IF('PR_Annex_SR-Financials'!D32="","",'PR_Annex_SR-Financials'!D32)</f>
        <v/>
      </c>
      <c r="X32" s="819"/>
      <c r="Y32" s="820">
        <f>IF('PR_Annex_SR-Financials'!F32="","",'PR_Annex_SR-Financials'!F32)</f>
        <v>0</v>
      </c>
      <c r="Z32" s="820">
        <f>IF('PR_Annex_SR-Financials'!G32="","",'PR_Annex_SR-Financials'!G32)</f>
        <v>0</v>
      </c>
      <c r="AA32" s="819"/>
      <c r="AB32" s="820">
        <f>IF('PR_Annex_SR-Financials'!I32="","",'PR_Annex_SR-Financials'!I32)</f>
        <v>0</v>
      </c>
      <c r="AC32" s="820">
        <f>IF('PR_Annex_SR-Financials'!J32="","",'PR_Annex_SR-Financials'!J32)</f>
        <v>0</v>
      </c>
      <c r="AD32" s="819"/>
      <c r="AE32" s="820">
        <f>IF('PR_Annex_SR-Financials'!L32="","",'PR_Annex_SR-Financials'!L32)</f>
        <v>0</v>
      </c>
      <c r="AF32" s="820" t="str">
        <f>IF('PR_Annex_SR-Financials'!M32="","",'PR_Annex_SR-Financials'!M32)</f>
        <v/>
      </c>
      <c r="AG32" s="820">
        <f t="shared" si="9"/>
        <v>0</v>
      </c>
      <c r="AH32" s="825"/>
      <c r="AI32" s="822" t="str">
        <f>IF('PR_Annex_SR-Financials'!P32="","",'PR_Annex_SR-Financials'!P32)</f>
        <v/>
      </c>
    </row>
    <row r="33" spans="2:35" ht="49.5" customHeight="1" x14ac:dyDescent="0.2">
      <c r="B33" s="820" t="str">
        <f t="shared" si="1"/>
        <v/>
      </c>
      <c r="C33" s="825">
        <f>IF('PR_Annex_SR-Financials'!C33="","",'PR_Annex_SR-Financials'!C33)</f>
        <v>0</v>
      </c>
      <c r="D33" s="820" t="str">
        <f>W33</f>
        <v/>
      </c>
      <c r="E33" s="819"/>
      <c r="F33" s="820">
        <f t="shared" si="2"/>
        <v>0</v>
      </c>
      <c r="G33" s="820">
        <f t="shared" si="3"/>
        <v>0</v>
      </c>
      <c r="H33" s="819"/>
      <c r="I33" s="820">
        <f t="shared" si="4"/>
        <v>0</v>
      </c>
      <c r="J33" s="820">
        <f t="shared" si="5"/>
        <v>0</v>
      </c>
      <c r="K33" s="819"/>
      <c r="L33" s="820">
        <f t="shared" si="6"/>
        <v>0</v>
      </c>
      <c r="M33" s="820" t="str">
        <f t="shared" si="10"/>
        <v/>
      </c>
      <c r="N33" s="1092">
        <f t="shared" si="7"/>
        <v>0</v>
      </c>
      <c r="O33" s="825">
        <v>0</v>
      </c>
      <c r="P33" s="820" t="str">
        <f t="shared" si="8"/>
        <v/>
      </c>
      <c r="Q33" s="774"/>
      <c r="U33" s="820" t="str">
        <f>IF('PR_Annex_SR-Financials'!B33="","",'PR_Annex_SR-Financials'!B33)</f>
        <v/>
      </c>
      <c r="V33" s="820">
        <f>IF('PR_Annex_SR-Financials'!C33="","",'PR_Annex_SR-Financials'!C33)</f>
        <v>0</v>
      </c>
      <c r="W33" s="820" t="str">
        <f>IF('PR_Annex_SR-Financials'!D33="","",'PR_Annex_SR-Financials'!D33)</f>
        <v/>
      </c>
      <c r="X33" s="819"/>
      <c r="Y33" s="820">
        <f>IF('PR_Annex_SR-Financials'!F33="","",'PR_Annex_SR-Financials'!F33)</f>
        <v>0</v>
      </c>
      <c r="Z33" s="820">
        <f>IF('PR_Annex_SR-Financials'!G33="","",'PR_Annex_SR-Financials'!G33)</f>
        <v>0</v>
      </c>
      <c r="AA33" s="819"/>
      <c r="AB33" s="820">
        <f>IF('PR_Annex_SR-Financials'!I33="","",'PR_Annex_SR-Financials'!I33)</f>
        <v>0</v>
      </c>
      <c r="AC33" s="820">
        <f>IF('PR_Annex_SR-Financials'!J33="","",'PR_Annex_SR-Financials'!J33)</f>
        <v>0</v>
      </c>
      <c r="AD33" s="819"/>
      <c r="AE33" s="820">
        <f>IF('PR_Annex_SR-Financials'!L33="","",'PR_Annex_SR-Financials'!L33)</f>
        <v>0</v>
      </c>
      <c r="AF33" s="820" t="str">
        <f>IF('PR_Annex_SR-Financials'!M33="","",'PR_Annex_SR-Financials'!M33)</f>
        <v/>
      </c>
      <c r="AG33" s="820">
        <f t="shared" si="9"/>
        <v>0</v>
      </c>
      <c r="AH33" s="825"/>
      <c r="AI33" s="822" t="str">
        <f>IF('PR_Annex_SR-Financials'!P33="","",'PR_Annex_SR-Financials'!P33)</f>
        <v/>
      </c>
    </row>
    <row r="34" spans="2:35" ht="49.5" customHeight="1" x14ac:dyDescent="0.2">
      <c r="B34" s="820" t="str">
        <f t="shared" si="1"/>
        <v/>
      </c>
      <c r="C34" s="825">
        <f>IF('PR_Annex_SR-Financials'!C34="","",'PR_Annex_SR-Financials'!C34)</f>
        <v>0</v>
      </c>
      <c r="D34" s="820" t="str">
        <f>W34</f>
        <v/>
      </c>
      <c r="E34" s="819"/>
      <c r="F34" s="820">
        <f>Y34</f>
        <v>0</v>
      </c>
      <c r="G34" s="820">
        <f>Z34</f>
        <v>0</v>
      </c>
      <c r="H34" s="819"/>
      <c r="I34" s="820">
        <f t="shared" si="4"/>
        <v>0</v>
      </c>
      <c r="J34" s="820">
        <f t="shared" si="5"/>
        <v>0</v>
      </c>
      <c r="K34" s="819"/>
      <c r="L34" s="820"/>
      <c r="M34" s="820" t="str">
        <f t="shared" si="10"/>
        <v/>
      </c>
      <c r="N34" s="1092">
        <f t="shared" si="7"/>
        <v>0</v>
      </c>
      <c r="O34" s="825">
        <v>0</v>
      </c>
      <c r="P34" s="820" t="str">
        <f t="shared" si="8"/>
        <v/>
      </c>
      <c r="Q34" s="774"/>
      <c r="U34" s="820" t="str">
        <f>IF('PR_Annex_SR-Financials'!B34="","",'PR_Annex_SR-Financials'!B34)</f>
        <v/>
      </c>
      <c r="V34" s="820">
        <f>IF('PR_Annex_SR-Financials'!C34="","",'PR_Annex_SR-Financials'!C34)</f>
        <v>0</v>
      </c>
      <c r="W34" s="820" t="str">
        <f>IF('PR_Annex_SR-Financials'!D34="","",'PR_Annex_SR-Financials'!D34)</f>
        <v/>
      </c>
      <c r="X34" s="819"/>
      <c r="Y34" s="820">
        <f>IF('PR_Annex_SR-Financials'!F34="","",'PR_Annex_SR-Financials'!F34)</f>
        <v>0</v>
      </c>
      <c r="Z34" s="820">
        <f>IF('PR_Annex_SR-Financials'!G34="","",'PR_Annex_SR-Financials'!G34)</f>
        <v>0</v>
      </c>
      <c r="AA34" s="819"/>
      <c r="AB34" s="820">
        <f>IF('PR_Annex_SR-Financials'!I34="","",'PR_Annex_SR-Financials'!I34)</f>
        <v>0</v>
      </c>
      <c r="AC34" s="820">
        <f>IF('PR_Annex_SR-Financials'!J34="","",'PR_Annex_SR-Financials'!J34)</f>
        <v>0</v>
      </c>
      <c r="AD34" s="819"/>
      <c r="AE34" s="820">
        <f>IF('PR_Annex_SR-Financials'!L34="","",'PR_Annex_SR-Financials'!L34)</f>
        <v>0</v>
      </c>
      <c r="AF34" s="820" t="str">
        <f>IF('PR_Annex_SR-Financials'!M34="","",'PR_Annex_SR-Financials'!M34)</f>
        <v/>
      </c>
      <c r="AG34" s="820">
        <f t="shared" si="9"/>
        <v>0</v>
      </c>
      <c r="AH34" s="825"/>
      <c r="AI34" s="822" t="str">
        <f>IF('PR_Annex_SR-Financials'!P34="","",'PR_Annex_SR-Financials'!P34)</f>
        <v/>
      </c>
    </row>
    <row r="35" spans="2:35" ht="12.75" customHeight="1" x14ac:dyDescent="0.2">
      <c r="B35" s="544"/>
      <c r="C35" s="545"/>
      <c r="D35" s="544"/>
      <c r="E35" s="337"/>
      <c r="F35" s="615"/>
      <c r="G35" s="615"/>
      <c r="H35" s="337"/>
      <c r="I35" s="615"/>
      <c r="J35" s="615"/>
      <c r="K35" s="337"/>
      <c r="L35" s="615"/>
      <c r="M35" s="617"/>
      <c r="N35" s="615"/>
      <c r="O35" s="616"/>
      <c r="P35" s="617"/>
      <c r="Q35" s="544"/>
    </row>
    <row r="36" spans="2:35" ht="15" x14ac:dyDescent="0.25">
      <c r="B36" s="544" t="s">
        <v>37</v>
      </c>
      <c r="C36" s="545"/>
      <c r="D36" s="544"/>
      <c r="E36" s="337"/>
      <c r="F36" s="1080">
        <f>SUM(F15:F34)</f>
        <v>0</v>
      </c>
      <c r="G36" s="1080">
        <f>SUM(G15:G34)</f>
        <v>0</v>
      </c>
      <c r="H36" s="1081"/>
      <c r="I36" s="1080">
        <f>SUM(I15:I34)</f>
        <v>0</v>
      </c>
      <c r="J36" s="1080">
        <f>SUM(J15:J34)</f>
        <v>0</v>
      </c>
      <c r="K36" s="1081"/>
      <c r="L36" s="1080">
        <f>SUM(L15:L34)</f>
        <v>0</v>
      </c>
      <c r="M36" s="1082"/>
      <c r="N36" s="1080">
        <f>SUM(N15:N34)</f>
        <v>0</v>
      </c>
      <c r="O36" s="616"/>
      <c r="P36" s="618"/>
      <c r="Q36" s="88"/>
      <c r="U36" s="544" t="s">
        <v>37</v>
      </c>
      <c r="V36" s="545"/>
      <c r="W36" s="544"/>
      <c r="X36" s="337"/>
      <c r="Y36" s="668">
        <f>SUM(Y15:Y34)</f>
        <v>0</v>
      </c>
      <c r="Z36" s="668">
        <f>SUM(Z15:Z34)</f>
        <v>0</v>
      </c>
      <c r="AA36" s="337"/>
      <c r="AB36" s="668">
        <f>SUM(AB15:AB34)</f>
        <v>0</v>
      </c>
      <c r="AC36" s="668">
        <f>SUM(AC15:AC34)</f>
        <v>0</v>
      </c>
      <c r="AD36" s="337"/>
      <c r="AE36" s="668">
        <f>SUM(AE15:AE34)</f>
        <v>0</v>
      </c>
      <c r="AF36" s="669"/>
      <c r="AG36" s="668">
        <f>SUM(AG15:AG34)</f>
        <v>0</v>
      </c>
    </row>
    <row r="37" spans="2:35" ht="14.25" x14ac:dyDescent="0.2">
      <c r="B37" s="75"/>
      <c r="C37" s="75"/>
      <c r="D37" s="75"/>
      <c r="E37" s="75"/>
      <c r="F37" s="75"/>
      <c r="G37" s="75"/>
      <c r="H37" s="75"/>
      <c r="I37" s="75"/>
      <c r="J37" s="75"/>
      <c r="K37" s="75"/>
      <c r="L37" s="75"/>
      <c r="M37" s="75"/>
      <c r="N37" s="547"/>
      <c r="O37" s="75"/>
      <c r="P37" s="75"/>
      <c r="Q37" s="75"/>
    </row>
    <row r="38" spans="2:35" ht="14.25" x14ac:dyDescent="0.2">
      <c r="B38" s="75" t="s">
        <v>458</v>
      </c>
      <c r="C38" s="75"/>
      <c r="D38" s="75"/>
      <c r="E38" s="75"/>
      <c r="F38" s="75"/>
      <c r="G38" s="75"/>
      <c r="H38" s="75"/>
      <c r="I38" s="75"/>
      <c r="J38" s="75"/>
      <c r="K38" s="75"/>
      <c r="L38" s="75"/>
      <c r="M38" s="75"/>
      <c r="N38" s="547"/>
      <c r="O38" s="75"/>
      <c r="P38" s="75"/>
      <c r="Q38" s="75"/>
    </row>
    <row r="39" spans="2:35" ht="14.25" x14ac:dyDescent="0.2">
      <c r="B39" s="75" t="s">
        <v>616</v>
      </c>
      <c r="C39" s="75"/>
      <c r="D39" s="75"/>
      <c r="E39" s="75"/>
      <c r="F39" s="75"/>
      <c r="G39" s="75"/>
      <c r="H39" s="75"/>
      <c r="I39" s="75"/>
      <c r="J39" s="75"/>
      <c r="K39" s="75"/>
      <c r="L39" s="75"/>
      <c r="M39" s="75"/>
      <c r="N39" s="547"/>
      <c r="O39" s="75"/>
      <c r="P39" s="75"/>
      <c r="Q39" s="75"/>
    </row>
    <row r="40" spans="2:35" ht="14.25" x14ac:dyDescent="0.2">
      <c r="B40" s="3"/>
      <c r="C40" s="75"/>
      <c r="D40" s="75"/>
      <c r="E40" s="75"/>
      <c r="F40" s="75"/>
      <c r="G40" s="75"/>
      <c r="H40" s="75"/>
      <c r="I40" s="75"/>
      <c r="J40" s="75"/>
      <c r="K40" s="75"/>
      <c r="L40" s="75"/>
      <c r="M40" s="75"/>
      <c r="N40" s="547"/>
      <c r="O40" s="75"/>
      <c r="P40" s="75"/>
      <c r="Q40" s="75"/>
    </row>
  </sheetData>
  <sheetProtection formatCells="0" formatColumns="0" formatRows="0"/>
  <mergeCells count="8">
    <mergeCell ref="B11:Q11"/>
    <mergeCell ref="B3:Q3"/>
    <mergeCell ref="B1:Q1"/>
    <mergeCell ref="G8:L8"/>
    <mergeCell ref="H6:I6"/>
    <mergeCell ref="H7:I7"/>
    <mergeCell ref="B9:F9"/>
    <mergeCell ref="G9:L9"/>
  </mergeCells>
  <phoneticPr fontId="36" type="noConversion"/>
  <conditionalFormatting sqref="F36:N36 B15:P34">
    <cfRule type="cellIs" dxfId="0" priority="1" operator="notEqual">
      <formula>U15</formula>
    </cfRule>
  </conditionalFormatting>
  <printOptions horizontalCentered="1"/>
  <pageMargins left="0.31496062992125984" right="0.31496062992125984" top="0.59055118110236227" bottom="0.59055118110236227" header="0.51181102362204722" footer="0.51181102362204722"/>
  <pageSetup paperSize="9" scale="53" fitToHeight="0" orientation="landscape" cellComments="asDisplayed" r:id="rId1"/>
  <headerFooter alignWithMargins="0">
    <oddFooter>&amp;L&amp;9&amp;F&amp;C&amp;A&amp;R&amp;9Page &amp;P of &amp;N</oddFooter>
  </headerFooter>
  <rowBreaks count="1" manualBreakCount="1">
    <brk id="26" max="17" man="1"/>
  </rowBreak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2:L17"/>
  <sheetViews>
    <sheetView view="pageBreakPreview" topLeftCell="A13" zoomScaleNormal="100" zoomScaleSheetLayoutView="100" workbookViewId="0">
      <selection activeCell="E17" sqref="A3:E17"/>
    </sheetView>
  </sheetViews>
  <sheetFormatPr defaultRowHeight="12.75" x14ac:dyDescent="0.2"/>
  <cols>
    <col min="1" max="1" width="45.140625" customWidth="1"/>
    <col min="2" max="2" width="18.7109375" customWidth="1"/>
    <col min="3" max="3" width="13.7109375" customWidth="1"/>
    <col min="4" max="4" width="13.85546875" customWidth="1"/>
    <col min="5" max="5" width="33.7109375" customWidth="1"/>
    <col min="6" max="6" width="13.140625" customWidth="1"/>
  </cols>
  <sheetData>
    <row r="2" spans="1:12" ht="39" customHeight="1" x14ac:dyDescent="0.2">
      <c r="A2" s="1369" t="s">
        <v>129</v>
      </c>
      <c r="B2" s="1370" t="s">
        <v>130</v>
      </c>
      <c r="C2" s="1371"/>
      <c r="D2" s="1371"/>
      <c r="E2" s="1371"/>
      <c r="F2" s="781"/>
      <c r="G2" s="781"/>
      <c r="H2" s="781"/>
      <c r="I2" s="781"/>
      <c r="J2" s="781"/>
      <c r="K2" s="781"/>
      <c r="L2" s="781"/>
    </row>
    <row r="3" spans="1:12" ht="13.5" thickBot="1" x14ac:dyDescent="0.25">
      <c r="A3" s="1375"/>
      <c r="B3" s="1376"/>
      <c r="C3" s="1376"/>
      <c r="D3" s="1376"/>
      <c r="E3" s="1375"/>
    </row>
    <row r="4" spans="1:12" x14ac:dyDescent="0.2">
      <c r="A4" s="1372"/>
      <c r="B4" s="1377"/>
      <c r="C4" s="1378"/>
      <c r="D4" s="1378"/>
      <c r="E4" s="879"/>
    </row>
    <row r="5" spans="1:12" x14ac:dyDescent="0.2">
      <c r="A5" s="1372"/>
      <c r="B5" s="1377"/>
      <c r="C5" s="1378"/>
      <c r="D5" s="1378"/>
      <c r="E5" s="886"/>
    </row>
    <row r="6" spans="1:12" x14ac:dyDescent="0.2">
      <c r="A6" s="1372"/>
      <c r="B6" s="1377"/>
      <c r="C6" s="1378"/>
      <c r="D6" s="1378"/>
      <c r="E6" s="886"/>
    </row>
    <row r="7" spans="1:12" x14ac:dyDescent="0.2">
      <c r="A7" s="1372"/>
      <c r="B7" s="1377"/>
      <c r="C7" s="1378"/>
      <c r="D7" s="1378"/>
      <c r="E7" s="886"/>
    </row>
    <row r="8" spans="1:12" x14ac:dyDescent="0.2">
      <c r="A8" s="1372"/>
      <c r="B8" s="1377"/>
      <c r="C8" s="1378"/>
      <c r="D8" s="1378"/>
      <c r="E8" s="886"/>
    </row>
    <row r="9" spans="1:12" x14ac:dyDescent="0.2">
      <c r="A9" s="1373"/>
      <c r="B9" s="1377"/>
      <c r="C9" s="1378"/>
      <c r="D9" s="1378"/>
      <c r="E9" s="886"/>
    </row>
    <row r="10" spans="1:12" x14ac:dyDescent="0.2">
      <c r="A10" s="1373"/>
      <c r="B10" s="1377"/>
      <c r="C10" s="1378"/>
      <c r="D10" s="1378"/>
      <c r="E10" s="886"/>
    </row>
    <row r="11" spans="1:12" x14ac:dyDescent="0.2">
      <c r="A11" s="1373"/>
      <c r="B11" s="1377"/>
      <c r="C11" s="1378"/>
      <c r="D11" s="1378"/>
      <c r="E11" s="894"/>
    </row>
    <row r="12" spans="1:12" x14ac:dyDescent="0.2">
      <c r="A12" s="1373"/>
      <c r="B12" s="1377"/>
      <c r="C12" s="1378"/>
      <c r="D12" s="1378"/>
      <c r="E12" s="894"/>
    </row>
    <row r="13" spans="1:12" x14ac:dyDescent="0.2">
      <c r="A13" s="1373"/>
      <c r="B13" s="1377"/>
      <c r="C13" s="1378"/>
      <c r="D13" s="1378"/>
      <c r="E13" s="894"/>
    </row>
    <row r="14" spans="1:12" x14ac:dyDescent="0.2">
      <c r="A14" s="1373"/>
      <c r="B14" s="1377"/>
      <c r="C14" s="1378"/>
      <c r="D14" s="1378"/>
      <c r="E14" s="894"/>
    </row>
    <row r="15" spans="1:12" x14ac:dyDescent="0.2">
      <c r="A15" s="1373"/>
      <c r="B15" s="1377"/>
      <c r="C15" s="1378"/>
      <c r="D15" s="1378"/>
      <c r="E15" s="894"/>
    </row>
    <row r="16" spans="1:12" x14ac:dyDescent="0.2">
      <c r="A16" s="1372"/>
      <c r="B16" s="1379"/>
      <c r="C16" s="1379"/>
      <c r="D16" s="1379"/>
      <c r="E16" s="1380"/>
    </row>
    <row r="17" spans="1:5" x14ac:dyDescent="0.2">
      <c r="A17" s="1374"/>
      <c r="B17" s="1381"/>
      <c r="C17" s="1381"/>
      <c r="D17" s="1380"/>
      <c r="E17" s="1380"/>
    </row>
  </sheetData>
  <phoneticPr fontId="62" type="noConversion"/>
  <dataValidations count="1">
    <dataValidation type="decimal" allowBlank="1" showInputMessage="1" showErrorMessage="1" sqref="B4:C15">
      <formula1>-1000000000000</formula1>
      <formula2>99999999999999.9</formula2>
    </dataValidation>
  </dataValidations>
  <pageMargins left="0.74803149606299213" right="0.74803149606299213" top="0.98425196850393704" bottom="0.98425196850393704" header="0.51181102362204722" footer="0.51181102362204722"/>
  <pageSetup paperSize="9" scale="70" fitToHeight="0" orientation="portrait" r:id="rId1"/>
  <headerFooter alignWithMargins="0"/>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0"/>
  <sheetViews>
    <sheetView zoomScale="70" workbookViewId="0">
      <selection activeCell="E33" sqref="E33"/>
    </sheetView>
  </sheetViews>
  <sheetFormatPr defaultRowHeight="14.25" x14ac:dyDescent="0.2"/>
  <cols>
    <col min="1" max="1" width="61.85546875" style="135" customWidth="1"/>
    <col min="2" max="2" width="61.140625" style="113" customWidth="1"/>
    <col min="3" max="3" width="28.28515625" style="113" hidden="1" customWidth="1"/>
    <col min="4" max="4" width="49.85546875" style="15" customWidth="1"/>
    <col min="5" max="5" width="42.42578125" style="15" customWidth="1"/>
    <col min="6" max="6" width="33.28515625" hidden="1" customWidth="1"/>
    <col min="7" max="7" width="12.5703125" customWidth="1"/>
    <col min="8" max="8" width="74.5703125" style="131" customWidth="1"/>
    <col min="10" max="10" width="43" bestFit="1" customWidth="1"/>
  </cols>
  <sheetData>
    <row r="1" spans="1:10" ht="15" x14ac:dyDescent="0.25">
      <c r="A1" s="100" t="s">
        <v>159</v>
      </c>
      <c r="B1" s="100" t="s">
        <v>160</v>
      </c>
      <c r="C1" s="101" t="s">
        <v>161</v>
      </c>
      <c r="D1" s="102" t="s">
        <v>162</v>
      </c>
      <c r="E1" s="103" t="s">
        <v>163</v>
      </c>
      <c r="F1" s="104"/>
      <c r="G1" s="105"/>
      <c r="H1" s="106"/>
      <c r="J1" s="107"/>
    </row>
    <row r="2" spans="1:10" x14ac:dyDescent="0.2">
      <c r="A2" s="108" t="s">
        <v>164</v>
      </c>
      <c r="B2" s="108" t="s">
        <v>164</v>
      </c>
      <c r="C2" s="108" t="s">
        <v>164</v>
      </c>
      <c r="D2" s="108" t="s">
        <v>164</v>
      </c>
      <c r="E2" s="108" t="s">
        <v>164</v>
      </c>
      <c r="F2" s="104"/>
      <c r="G2" s="105"/>
      <c r="H2" s="106"/>
      <c r="J2" s="108" t="s">
        <v>164</v>
      </c>
    </row>
    <row r="3" spans="1:10" ht="28.5" x14ac:dyDescent="0.2">
      <c r="A3" s="108" t="s">
        <v>165</v>
      </c>
      <c r="B3" s="109" t="s">
        <v>166</v>
      </c>
      <c r="C3" s="110" t="s">
        <v>167</v>
      </c>
      <c r="D3" s="111" t="s">
        <v>168</v>
      </c>
      <c r="E3" s="112" t="s">
        <v>169</v>
      </c>
      <c r="F3" s="113" t="s">
        <v>170</v>
      </c>
      <c r="G3" s="105"/>
      <c r="H3" s="106"/>
      <c r="J3" s="108" t="s">
        <v>221</v>
      </c>
    </row>
    <row r="4" spans="1:10" ht="28.5" x14ac:dyDescent="0.25">
      <c r="A4" s="114" t="s">
        <v>171</v>
      </c>
      <c r="B4" s="115" t="s">
        <v>172</v>
      </c>
      <c r="C4" s="110" t="s">
        <v>173</v>
      </c>
      <c r="D4" s="116" t="s">
        <v>174</v>
      </c>
      <c r="E4" s="117" t="s">
        <v>175</v>
      </c>
      <c r="F4" s="113" t="s">
        <v>176</v>
      </c>
      <c r="G4" s="118"/>
      <c r="H4" s="119"/>
      <c r="J4" s="120"/>
    </row>
    <row r="5" spans="1:10" ht="42.75" x14ac:dyDescent="0.25">
      <c r="A5" s="114" t="s">
        <v>177</v>
      </c>
      <c r="B5" s="115" t="s">
        <v>178</v>
      </c>
      <c r="C5" s="15"/>
      <c r="D5" s="116" t="s">
        <v>179</v>
      </c>
      <c r="E5" s="117" t="s">
        <v>180</v>
      </c>
      <c r="F5" s="113" t="s">
        <v>181</v>
      </c>
      <c r="G5" s="118"/>
      <c r="H5" s="119"/>
      <c r="J5" s="120"/>
    </row>
    <row r="6" spans="1:10" ht="42.75" x14ac:dyDescent="0.25">
      <c r="A6" s="114" t="s">
        <v>182</v>
      </c>
      <c r="B6" s="115" t="s">
        <v>183</v>
      </c>
      <c r="C6" s="15"/>
      <c r="D6" s="116" t="s">
        <v>184</v>
      </c>
      <c r="E6" s="117" t="s">
        <v>185</v>
      </c>
      <c r="G6" s="118"/>
      <c r="H6" s="119"/>
      <c r="J6" s="120"/>
    </row>
    <row r="7" spans="1:10" ht="42.75" x14ac:dyDescent="0.25">
      <c r="A7" s="114" t="s">
        <v>186</v>
      </c>
      <c r="B7" s="115" t="s">
        <v>187</v>
      </c>
      <c r="C7" s="15"/>
      <c r="D7" s="116" t="s">
        <v>188</v>
      </c>
      <c r="E7" s="117" t="s">
        <v>189</v>
      </c>
      <c r="G7" s="118"/>
      <c r="H7" s="119"/>
      <c r="J7" s="120"/>
    </row>
    <row r="8" spans="1:10" ht="42.75" x14ac:dyDescent="0.25">
      <c r="A8" s="114" t="s">
        <v>293</v>
      </c>
      <c r="B8" s="121" t="s">
        <v>294</v>
      </c>
      <c r="C8" s="15"/>
      <c r="D8" s="116" t="s">
        <v>295</v>
      </c>
      <c r="E8" s="117" t="s">
        <v>296</v>
      </c>
      <c r="G8" s="118"/>
      <c r="H8" s="119"/>
      <c r="J8" s="120"/>
    </row>
    <row r="9" spans="1:10" ht="28.5" x14ac:dyDescent="0.25">
      <c r="A9" s="114" t="s">
        <v>297</v>
      </c>
      <c r="B9" s="122"/>
      <c r="C9" s="15"/>
      <c r="D9" s="116" t="s">
        <v>298</v>
      </c>
      <c r="E9" s="117" t="s">
        <v>299</v>
      </c>
      <c r="G9" s="118"/>
      <c r="H9" s="119"/>
      <c r="J9" s="120"/>
    </row>
    <row r="10" spans="1:10" ht="42.75" x14ac:dyDescent="0.25">
      <c r="A10" s="115" t="s">
        <v>300</v>
      </c>
      <c r="C10" s="15"/>
      <c r="D10" s="116" t="s">
        <v>301</v>
      </c>
      <c r="E10" s="117" t="s">
        <v>302</v>
      </c>
      <c r="G10" s="118"/>
      <c r="H10" s="119"/>
      <c r="J10" s="120"/>
    </row>
    <row r="11" spans="1:10" ht="42.75" x14ac:dyDescent="0.25">
      <c r="A11" s="114" t="s">
        <v>303</v>
      </c>
      <c r="C11" s="15"/>
      <c r="D11" s="116" t="s">
        <v>304</v>
      </c>
      <c r="E11" s="117" t="s">
        <v>305</v>
      </c>
      <c r="G11" s="118"/>
      <c r="H11" s="119"/>
      <c r="J11" s="120"/>
    </row>
    <row r="12" spans="1:10" ht="28.5" x14ac:dyDescent="0.25">
      <c r="A12" s="114" t="s">
        <v>306</v>
      </c>
      <c r="C12" s="15"/>
      <c r="D12" s="116" t="s">
        <v>307</v>
      </c>
      <c r="E12" s="117" t="s">
        <v>308</v>
      </c>
      <c r="G12" s="118"/>
      <c r="H12" s="119"/>
      <c r="J12" s="120"/>
    </row>
    <row r="13" spans="1:10" ht="28.5" x14ac:dyDescent="0.25">
      <c r="A13" s="114" t="s">
        <v>243</v>
      </c>
      <c r="C13" s="15"/>
      <c r="D13" s="116" t="s">
        <v>312</v>
      </c>
      <c r="E13" s="117" t="s">
        <v>313</v>
      </c>
      <c r="G13" s="118"/>
      <c r="H13" s="119"/>
      <c r="J13" s="120"/>
    </row>
    <row r="14" spans="1:10" ht="28.5" x14ac:dyDescent="0.25">
      <c r="A14" s="114" t="s">
        <v>314</v>
      </c>
      <c r="C14" s="15"/>
      <c r="D14" s="116" t="s">
        <v>315</v>
      </c>
      <c r="E14" s="117" t="s">
        <v>316</v>
      </c>
      <c r="G14" s="118"/>
      <c r="H14" s="119"/>
      <c r="J14" s="120"/>
    </row>
    <row r="15" spans="1:10" ht="42.75" x14ac:dyDescent="0.25">
      <c r="A15" s="115" t="s">
        <v>317</v>
      </c>
      <c r="C15" s="15"/>
      <c r="D15" s="123" t="s">
        <v>318</v>
      </c>
      <c r="E15" s="117" t="s">
        <v>319</v>
      </c>
      <c r="G15" s="118"/>
      <c r="H15" s="119"/>
      <c r="J15" s="120"/>
    </row>
    <row r="16" spans="1:10" ht="28.5" x14ac:dyDescent="0.2">
      <c r="A16" s="115" t="s">
        <v>320</v>
      </c>
      <c r="C16" s="15"/>
      <c r="D16" s="124"/>
      <c r="E16" s="117" t="s">
        <v>321</v>
      </c>
      <c r="G16" s="118"/>
      <c r="H16" s="119"/>
      <c r="J16" s="125"/>
    </row>
    <row r="17" spans="1:10" ht="15.75" x14ac:dyDescent="0.25">
      <c r="A17" s="115" t="s">
        <v>322</v>
      </c>
      <c r="C17" s="15"/>
      <c r="D17" s="126"/>
      <c r="E17" s="117" t="s">
        <v>323</v>
      </c>
      <c r="G17" s="118"/>
      <c r="H17" s="119"/>
      <c r="J17" s="120"/>
    </row>
    <row r="18" spans="1:10" ht="28.5" x14ac:dyDescent="0.25">
      <c r="A18" s="115" t="s">
        <v>324</v>
      </c>
      <c r="C18" s="15"/>
      <c r="D18" s="127"/>
      <c r="E18" s="117" t="s">
        <v>325</v>
      </c>
      <c r="G18" s="118"/>
      <c r="H18" s="119"/>
      <c r="J18" s="120"/>
    </row>
    <row r="19" spans="1:10" ht="28.5" x14ac:dyDescent="0.2">
      <c r="A19" s="115" t="s">
        <v>326</v>
      </c>
      <c r="C19" s="15"/>
      <c r="E19" s="117" t="s">
        <v>327</v>
      </c>
      <c r="G19" s="118"/>
      <c r="H19" s="119"/>
    </row>
    <row r="20" spans="1:10" ht="28.5" x14ac:dyDescent="0.2">
      <c r="A20" s="115" t="s">
        <v>328</v>
      </c>
      <c r="C20" s="15"/>
      <c r="E20" s="117" t="s">
        <v>329</v>
      </c>
      <c r="G20" s="118"/>
      <c r="H20" s="119"/>
    </row>
    <row r="21" spans="1:10" ht="42.75" x14ac:dyDescent="0.2">
      <c r="A21" s="115" t="s">
        <v>330</v>
      </c>
      <c r="C21" s="15"/>
      <c r="E21" s="117" t="s">
        <v>331</v>
      </c>
      <c r="G21" s="118"/>
      <c r="H21" s="119"/>
    </row>
    <row r="22" spans="1:10" ht="28.5" x14ac:dyDescent="0.2">
      <c r="A22" s="115" t="s">
        <v>332</v>
      </c>
      <c r="C22" s="15"/>
      <c r="E22" s="128" t="s">
        <v>333</v>
      </c>
      <c r="G22" s="118"/>
      <c r="H22" s="119"/>
    </row>
    <row r="23" spans="1:10" x14ac:dyDescent="0.2">
      <c r="A23" s="115" t="s">
        <v>334</v>
      </c>
      <c r="C23" s="15"/>
      <c r="E23" s="129"/>
      <c r="G23" s="105"/>
      <c r="H23" s="130"/>
    </row>
    <row r="24" spans="1:10" x14ac:dyDescent="0.2">
      <c r="A24" s="114" t="s">
        <v>335</v>
      </c>
      <c r="C24" s="15"/>
      <c r="G24" s="105"/>
      <c r="H24" s="130"/>
    </row>
    <row r="25" spans="1:10" x14ac:dyDescent="0.2">
      <c r="A25" s="114" t="s">
        <v>336</v>
      </c>
      <c r="C25" s="15"/>
      <c r="G25" s="105"/>
      <c r="H25" s="130"/>
    </row>
    <row r="26" spans="1:10" x14ac:dyDescent="0.2">
      <c r="A26" s="114" t="s">
        <v>337</v>
      </c>
      <c r="C26" s="15"/>
    </row>
    <row r="27" spans="1:10" x14ac:dyDescent="0.2">
      <c r="A27" s="114" t="s">
        <v>338</v>
      </c>
      <c r="C27" s="15"/>
    </row>
    <row r="28" spans="1:10" x14ac:dyDescent="0.2">
      <c r="A28" s="114" t="s">
        <v>339</v>
      </c>
      <c r="C28" s="15"/>
      <c r="J28" s="132"/>
    </row>
    <row r="29" spans="1:10" x14ac:dyDescent="0.2">
      <c r="A29" s="114" t="s">
        <v>340</v>
      </c>
      <c r="C29" s="15"/>
      <c r="J29" s="132"/>
    </row>
    <row r="30" spans="1:10" x14ac:dyDescent="0.2">
      <c r="A30" s="133" t="s">
        <v>341</v>
      </c>
      <c r="C30" s="15"/>
      <c r="J30" s="132"/>
    </row>
    <row r="31" spans="1:10" x14ac:dyDescent="0.2">
      <c r="A31" s="134"/>
      <c r="C31" s="15"/>
      <c r="J31" s="132"/>
    </row>
    <row r="32" spans="1:10" x14ac:dyDescent="0.2">
      <c r="C32" s="15"/>
      <c r="J32" s="132"/>
    </row>
    <row r="33" spans="3:10" x14ac:dyDescent="0.2">
      <c r="C33" s="15"/>
      <c r="J33" s="132"/>
    </row>
    <row r="34" spans="3:10" x14ac:dyDescent="0.2">
      <c r="C34" s="15"/>
      <c r="J34" s="132"/>
    </row>
    <row r="35" spans="3:10" x14ac:dyDescent="0.2">
      <c r="C35" s="15"/>
    </row>
    <row r="36" spans="3:10" x14ac:dyDescent="0.2">
      <c r="C36" s="15"/>
    </row>
    <row r="37" spans="3:10" x14ac:dyDescent="0.2">
      <c r="C37" s="15"/>
    </row>
    <row r="38" spans="3:10" x14ac:dyDescent="0.2">
      <c r="C38" s="15"/>
      <c r="E38" s="136"/>
    </row>
    <row r="39" spans="3:10" x14ac:dyDescent="0.2">
      <c r="C39" s="15"/>
    </row>
    <row r="40" spans="3:10" x14ac:dyDescent="0.2">
      <c r="C40" s="15"/>
    </row>
    <row r="41" spans="3:10" x14ac:dyDescent="0.2">
      <c r="C41" s="15"/>
      <c r="E41" s="137"/>
    </row>
    <row r="42" spans="3:10" x14ac:dyDescent="0.2">
      <c r="C42" s="15"/>
    </row>
    <row r="43" spans="3:10" x14ac:dyDescent="0.2">
      <c r="C43" s="15"/>
    </row>
    <row r="44" spans="3:10" x14ac:dyDescent="0.2">
      <c r="C44" s="15"/>
    </row>
    <row r="45" spans="3:10" x14ac:dyDescent="0.2">
      <c r="C45" s="15"/>
    </row>
    <row r="46" spans="3:10" x14ac:dyDescent="0.2">
      <c r="C46" s="15"/>
    </row>
    <row r="47" spans="3:10" x14ac:dyDescent="0.2">
      <c r="C47" s="15"/>
    </row>
    <row r="48" spans="3:10" x14ac:dyDescent="0.2">
      <c r="C48" s="15"/>
    </row>
    <row r="49" spans="3:5" x14ac:dyDescent="0.2">
      <c r="C49" s="15"/>
    </row>
    <row r="50" spans="3:5" x14ac:dyDescent="0.2">
      <c r="C50" s="15"/>
    </row>
    <row r="51" spans="3:5" x14ac:dyDescent="0.2">
      <c r="C51" s="15"/>
    </row>
    <row r="52" spans="3:5" x14ac:dyDescent="0.2">
      <c r="C52" s="15"/>
    </row>
    <row r="53" spans="3:5" x14ac:dyDescent="0.2">
      <c r="C53" s="15"/>
      <c r="E53" s="137"/>
    </row>
    <row r="54" spans="3:5" x14ac:dyDescent="0.2">
      <c r="C54" s="15"/>
      <c r="E54" s="137"/>
    </row>
    <row r="55" spans="3:5" x14ac:dyDescent="0.2">
      <c r="C55" s="15"/>
    </row>
    <row r="56" spans="3:5" x14ac:dyDescent="0.2">
      <c r="C56" s="15"/>
    </row>
    <row r="60" spans="3:5" x14ac:dyDescent="0.2">
      <c r="E60" s="138"/>
    </row>
  </sheetData>
  <customSheetViews>
    <customSheetView guid="{E26F941C-F347-432D-B4B3-73B25F002075}" scale="70" hiddenColumns="1" state="hidden">
      <selection activeCell="E33" sqref="E33"/>
      <pageMargins left="0.17" right="0.16" top="0.19" bottom="0.17" header="0.17" footer="0.17"/>
      <pageSetup paperSize="9" scale="70" orientation="landscape" r:id="rId1"/>
      <headerFooter alignWithMargins="0"/>
    </customSheetView>
  </customSheetViews>
  <phoneticPr fontId="29" type="noConversion"/>
  <pageMargins left="0.17" right="0.16" top="0.19" bottom="0.17" header="0.17" footer="0.17"/>
  <pageSetup paperSize="9" scale="70" orientation="landscape" r:id="rId2"/>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topLeftCell="B1" zoomScale="85" workbookViewId="0">
      <selection activeCell="E3" sqref="E3:E25"/>
    </sheetView>
  </sheetViews>
  <sheetFormatPr defaultRowHeight="14.25" x14ac:dyDescent="0.2"/>
  <cols>
    <col min="1" max="1" width="69.28515625" style="151" customWidth="1"/>
    <col min="2" max="2" width="74" style="151" customWidth="1"/>
    <col min="3" max="3" width="0" style="137" hidden="1" customWidth="1"/>
    <col min="4" max="4" width="29.5703125" style="137" customWidth="1"/>
    <col min="5" max="5" width="40.140625" style="151" customWidth="1"/>
    <col min="6" max="6" width="41.7109375" customWidth="1"/>
  </cols>
  <sheetData>
    <row r="1" spans="1:7" ht="15" x14ac:dyDescent="0.25">
      <c r="A1" s="100" t="s">
        <v>159</v>
      </c>
      <c r="B1" s="100" t="s">
        <v>160</v>
      </c>
      <c r="C1" s="103" t="s">
        <v>161</v>
      </c>
      <c r="D1" s="102" t="s">
        <v>162</v>
      </c>
      <c r="E1" s="139" t="s">
        <v>163</v>
      </c>
      <c r="G1" s="3"/>
    </row>
    <row r="2" spans="1:7" ht="28.5" hidden="1" x14ac:dyDescent="0.2">
      <c r="A2" s="140" t="s">
        <v>342</v>
      </c>
      <c r="B2" s="140" t="s">
        <v>342</v>
      </c>
      <c r="C2" s="140" t="s">
        <v>342</v>
      </c>
      <c r="D2" s="140" t="s">
        <v>342</v>
      </c>
      <c r="E2" s="140" t="s">
        <v>342</v>
      </c>
      <c r="G2" s="3"/>
    </row>
    <row r="3" spans="1:7" x14ac:dyDescent="0.2">
      <c r="A3" s="140" t="s">
        <v>343</v>
      </c>
      <c r="B3" s="140" t="s">
        <v>344</v>
      </c>
      <c r="C3" s="110" t="s">
        <v>167</v>
      </c>
      <c r="D3" s="141" t="s">
        <v>345</v>
      </c>
      <c r="E3" s="112" t="s">
        <v>169</v>
      </c>
      <c r="G3" s="20"/>
    </row>
    <row r="4" spans="1:7" ht="28.5" x14ac:dyDescent="0.2">
      <c r="A4" s="142" t="s">
        <v>346</v>
      </c>
      <c r="B4" s="142" t="s">
        <v>347</v>
      </c>
      <c r="C4" s="110" t="s">
        <v>173</v>
      </c>
      <c r="D4" s="143" t="s">
        <v>348</v>
      </c>
      <c r="E4" s="117" t="s">
        <v>175</v>
      </c>
      <c r="G4" s="20"/>
    </row>
    <row r="5" spans="1:7" x14ac:dyDescent="0.2">
      <c r="A5" s="142" t="s">
        <v>379</v>
      </c>
      <c r="B5" s="144" t="s">
        <v>380</v>
      </c>
      <c r="C5" s="15"/>
      <c r="D5" s="145" t="s">
        <v>381</v>
      </c>
      <c r="E5" s="117" t="s">
        <v>180</v>
      </c>
      <c r="G5" s="20"/>
    </row>
    <row r="6" spans="1:7" x14ac:dyDescent="0.2">
      <c r="A6" s="142" t="s">
        <v>382</v>
      </c>
      <c r="B6" s="146"/>
      <c r="C6" s="15"/>
      <c r="D6" s="15"/>
      <c r="E6" s="117" t="s">
        <v>185</v>
      </c>
      <c r="G6" s="20"/>
    </row>
    <row r="7" spans="1:7" ht="28.5" x14ac:dyDescent="0.2">
      <c r="A7" s="142" t="s">
        <v>383</v>
      </c>
      <c r="B7" s="146"/>
      <c r="C7" s="15"/>
      <c r="D7" s="15"/>
      <c r="E7" s="117" t="s">
        <v>189</v>
      </c>
      <c r="G7" s="20"/>
    </row>
    <row r="8" spans="1:7" ht="28.5" x14ac:dyDescent="0.2">
      <c r="A8" s="142" t="s">
        <v>384</v>
      </c>
      <c r="B8" s="146"/>
      <c r="C8" s="15"/>
      <c r="D8" s="15"/>
      <c r="E8" s="117" t="s">
        <v>296</v>
      </c>
      <c r="G8" s="20"/>
    </row>
    <row r="9" spans="1:7" x14ac:dyDescent="0.2">
      <c r="A9" s="142" t="s">
        <v>385</v>
      </c>
      <c r="B9" s="147"/>
      <c r="C9" s="15"/>
      <c r="D9" s="15"/>
      <c r="E9" s="117" t="s">
        <v>299</v>
      </c>
      <c r="G9" s="20"/>
    </row>
    <row r="10" spans="1:7" x14ac:dyDescent="0.2">
      <c r="A10" s="142" t="s">
        <v>386</v>
      </c>
      <c r="B10" s="147"/>
      <c r="C10" s="15"/>
      <c r="D10" s="15"/>
      <c r="E10" s="117" t="s">
        <v>302</v>
      </c>
      <c r="G10" s="20"/>
    </row>
    <row r="11" spans="1:7" x14ac:dyDescent="0.2">
      <c r="A11" s="142" t="s">
        <v>387</v>
      </c>
      <c r="B11" s="147"/>
      <c r="C11" s="15"/>
      <c r="D11" s="15"/>
      <c r="E11" s="117" t="s">
        <v>305</v>
      </c>
      <c r="G11" s="20"/>
    </row>
    <row r="12" spans="1:7" ht="28.5" x14ac:dyDescent="0.2">
      <c r="A12" s="142" t="s">
        <v>395</v>
      </c>
      <c r="B12" s="147"/>
      <c r="C12" s="15"/>
      <c r="D12" s="15"/>
      <c r="E12" s="117" t="s">
        <v>308</v>
      </c>
      <c r="G12" s="20"/>
    </row>
    <row r="13" spans="1:7" x14ac:dyDescent="0.2">
      <c r="A13" s="142" t="s">
        <v>396</v>
      </c>
      <c r="B13" s="147"/>
      <c r="C13" s="15"/>
      <c r="D13" s="15"/>
      <c r="E13" s="117" t="s">
        <v>313</v>
      </c>
      <c r="G13" s="20"/>
    </row>
    <row r="14" spans="1:7" x14ac:dyDescent="0.2">
      <c r="A14" s="142" t="s">
        <v>397</v>
      </c>
      <c r="B14" s="147"/>
      <c r="C14" s="15"/>
      <c r="D14" s="15"/>
      <c r="E14" s="117" t="s">
        <v>316</v>
      </c>
      <c r="G14" s="20"/>
    </row>
    <row r="15" spans="1:7" ht="28.5" x14ac:dyDescent="0.2">
      <c r="A15" s="128" t="s">
        <v>398</v>
      </c>
      <c r="B15" s="147"/>
      <c r="C15" s="15"/>
      <c r="D15" s="15"/>
      <c r="E15" s="117" t="s">
        <v>319</v>
      </c>
      <c r="G15" s="20"/>
    </row>
    <row r="16" spans="1:7" x14ac:dyDescent="0.2">
      <c r="A16" s="147"/>
      <c r="B16" s="147"/>
      <c r="C16" s="15"/>
      <c r="D16" s="15"/>
      <c r="E16" s="117" t="s">
        <v>321</v>
      </c>
      <c r="G16" s="20"/>
    </row>
    <row r="17" spans="1:7" x14ac:dyDescent="0.2">
      <c r="A17" s="147"/>
      <c r="B17" s="147"/>
      <c r="C17" s="15"/>
      <c r="D17" s="15"/>
      <c r="E17" s="117" t="s">
        <v>323</v>
      </c>
      <c r="G17" s="20"/>
    </row>
    <row r="18" spans="1:7" x14ac:dyDescent="0.2">
      <c r="A18" s="147"/>
      <c r="B18" s="147"/>
      <c r="C18" s="15"/>
      <c r="D18" s="15"/>
      <c r="E18" s="117" t="s">
        <v>325</v>
      </c>
    </row>
    <row r="19" spans="1:7" x14ac:dyDescent="0.2">
      <c r="A19" s="147"/>
      <c r="B19" s="147"/>
      <c r="C19" s="15"/>
      <c r="D19" s="15"/>
      <c r="E19" s="117" t="s">
        <v>327</v>
      </c>
    </row>
    <row r="20" spans="1:7" x14ac:dyDescent="0.2">
      <c r="A20" s="147"/>
      <c r="B20" s="147"/>
      <c r="C20" s="15"/>
      <c r="D20" s="15"/>
      <c r="E20" s="117" t="s">
        <v>329</v>
      </c>
    </row>
    <row r="21" spans="1:7" ht="42.75" x14ac:dyDescent="0.2">
      <c r="A21" s="147"/>
      <c r="B21" s="147"/>
      <c r="C21" s="15"/>
      <c r="D21" s="15"/>
      <c r="E21" s="117" t="s">
        <v>331</v>
      </c>
    </row>
    <row r="22" spans="1:7" x14ac:dyDescent="0.2">
      <c r="A22" s="147"/>
      <c r="B22" s="113"/>
      <c r="C22" s="15"/>
      <c r="D22" s="15"/>
      <c r="E22" s="117" t="s">
        <v>333</v>
      </c>
    </row>
    <row r="23" spans="1:7" x14ac:dyDescent="0.2">
      <c r="A23" s="147"/>
      <c r="B23" s="113"/>
      <c r="C23" s="15"/>
      <c r="D23" s="15"/>
      <c r="E23" s="117" t="s">
        <v>399</v>
      </c>
    </row>
    <row r="24" spans="1:7" ht="28.5" x14ac:dyDescent="0.2">
      <c r="A24" s="113"/>
      <c r="B24" s="113"/>
      <c r="C24" s="15"/>
      <c r="D24" s="15"/>
      <c r="E24" s="117" t="s">
        <v>400</v>
      </c>
    </row>
    <row r="25" spans="1:7" x14ac:dyDescent="0.2">
      <c r="A25" s="113"/>
      <c r="B25" s="113"/>
      <c r="C25" s="15"/>
      <c r="D25" s="15"/>
      <c r="E25" s="148" t="s">
        <v>401</v>
      </c>
    </row>
    <row r="26" spans="1:7" x14ac:dyDescent="0.2">
      <c r="A26" s="113"/>
      <c r="B26" s="113"/>
      <c r="C26" s="15"/>
      <c r="D26" s="15"/>
      <c r="E26" s="149"/>
    </row>
    <row r="27" spans="1:7" x14ac:dyDescent="0.2">
      <c r="A27" s="113"/>
      <c r="B27" s="113"/>
      <c r="C27" s="15"/>
      <c r="D27" s="15"/>
      <c r="E27" s="150"/>
    </row>
    <row r="28" spans="1:7" x14ac:dyDescent="0.2">
      <c r="A28" s="113"/>
      <c r="B28" s="113"/>
      <c r="C28" s="15"/>
      <c r="D28" s="15"/>
    </row>
    <row r="29" spans="1:7" x14ac:dyDescent="0.2">
      <c r="A29" s="113"/>
      <c r="B29" s="113"/>
      <c r="C29" s="15"/>
      <c r="D29" s="15"/>
    </row>
    <row r="30" spans="1:7" x14ac:dyDescent="0.2">
      <c r="A30" s="113"/>
      <c r="B30" s="113"/>
      <c r="C30" s="15"/>
      <c r="D30" s="15"/>
    </row>
    <row r="31" spans="1:7" x14ac:dyDescent="0.2">
      <c r="A31" s="135"/>
      <c r="B31" s="113"/>
      <c r="C31" s="15"/>
      <c r="D31" s="15"/>
    </row>
    <row r="32" spans="1:7" x14ac:dyDescent="0.2">
      <c r="A32" s="135"/>
      <c r="B32" s="113"/>
      <c r="C32" s="15"/>
      <c r="D32" s="15"/>
    </row>
    <row r="33" spans="1:5" x14ac:dyDescent="0.2">
      <c r="A33" s="135"/>
      <c r="B33" s="113"/>
      <c r="C33" s="15"/>
      <c r="D33" s="15"/>
    </row>
    <row r="34" spans="1:5" x14ac:dyDescent="0.2">
      <c r="A34" s="135"/>
      <c r="B34" s="113"/>
      <c r="C34" s="15"/>
      <c r="D34" s="15"/>
    </row>
    <row r="35" spans="1:5" x14ac:dyDescent="0.2">
      <c r="A35" s="135"/>
      <c r="B35" s="113"/>
      <c r="C35" s="15"/>
      <c r="D35" s="15"/>
      <c r="E35" s="113"/>
    </row>
    <row r="36" spans="1:5" x14ac:dyDescent="0.2">
      <c r="A36" s="135"/>
      <c r="B36" s="113"/>
      <c r="C36" s="15"/>
      <c r="D36" s="15"/>
      <c r="E36" s="113"/>
    </row>
    <row r="37" spans="1:5" x14ac:dyDescent="0.2">
      <c r="A37" s="135"/>
      <c r="B37" s="113"/>
      <c r="C37" s="15"/>
      <c r="D37" s="15"/>
      <c r="E37" s="113"/>
    </row>
    <row r="38" spans="1:5" x14ac:dyDescent="0.2">
      <c r="A38" s="135"/>
      <c r="B38" s="113"/>
      <c r="C38" s="15"/>
      <c r="D38" s="15"/>
      <c r="E38" s="113"/>
    </row>
  </sheetData>
  <customSheetViews>
    <customSheetView guid="{E26F941C-F347-432D-B4B3-73B25F002075}" scale="85" hiddenRows="1" hiddenColumns="1" state="hidden" topLeftCell="B1">
      <selection activeCell="E3" sqref="E3:E25"/>
      <pageMargins left="0.17" right="0.16" top="0.17" bottom="1" header="0.17" footer="0.5"/>
      <pageSetup paperSize="9" scale="60" orientation="landscape" r:id="rId1"/>
      <headerFooter alignWithMargins="0"/>
    </customSheetView>
  </customSheetViews>
  <phoneticPr fontId="29" type="noConversion"/>
  <pageMargins left="0.17" right="0.16" top="0.17" bottom="1" header="0.17" footer="0.5"/>
  <pageSetup paperSize="9" scale="60" orientation="landscape" r:id="rId2"/>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topLeftCell="E1" workbookViewId="0">
      <selection activeCell="L29" sqref="L29"/>
    </sheetView>
  </sheetViews>
  <sheetFormatPr defaultRowHeight="12.75" x14ac:dyDescent="0.2"/>
  <cols>
    <col min="1" max="1" width="51" style="164" customWidth="1"/>
    <col min="2" max="2" width="72.140625" style="165" customWidth="1"/>
    <col min="3" max="3" width="0" hidden="1" customWidth="1"/>
    <col min="4" max="4" width="50.5703125" customWidth="1"/>
    <col min="5" max="5" width="49.42578125" customWidth="1"/>
    <col min="6" max="6" width="50.42578125" customWidth="1"/>
  </cols>
  <sheetData>
    <row r="1" spans="1:12" x14ac:dyDescent="0.2">
      <c r="A1" s="152" t="s">
        <v>159</v>
      </c>
      <c r="B1" s="152" t="s">
        <v>160</v>
      </c>
      <c r="C1" s="153" t="s">
        <v>161</v>
      </c>
      <c r="D1" s="154" t="s">
        <v>162</v>
      </c>
      <c r="E1" s="154" t="s">
        <v>163</v>
      </c>
      <c r="G1" s="3"/>
      <c r="H1" s="3"/>
      <c r="I1" s="3"/>
      <c r="J1" s="3"/>
    </row>
    <row r="2" spans="1:12" ht="28.5" hidden="1" x14ac:dyDescent="0.2">
      <c r="A2" s="155" t="s">
        <v>342</v>
      </c>
      <c r="B2" s="155" t="s">
        <v>342</v>
      </c>
      <c r="C2" s="155" t="s">
        <v>342</v>
      </c>
      <c r="D2" s="155" t="s">
        <v>342</v>
      </c>
      <c r="E2" s="155" t="s">
        <v>342</v>
      </c>
      <c r="G2" s="3"/>
      <c r="H2" s="3"/>
      <c r="I2" s="3"/>
      <c r="J2" s="3"/>
    </row>
    <row r="3" spans="1:12" ht="42.75" x14ac:dyDescent="0.2">
      <c r="A3" s="155" t="s">
        <v>165</v>
      </c>
      <c r="B3" s="140" t="s">
        <v>402</v>
      </c>
      <c r="C3" s="156" t="s">
        <v>167</v>
      </c>
      <c r="D3" s="141" t="s">
        <v>403</v>
      </c>
      <c r="E3" s="112" t="s">
        <v>169</v>
      </c>
      <c r="G3" s="20"/>
      <c r="H3" s="20"/>
      <c r="I3" s="20"/>
      <c r="J3" s="20"/>
    </row>
    <row r="4" spans="1:12" ht="42.75" x14ac:dyDescent="0.2">
      <c r="A4" s="157" t="s">
        <v>171</v>
      </c>
      <c r="B4" s="142" t="s">
        <v>404</v>
      </c>
      <c r="C4" s="156" t="s">
        <v>173</v>
      </c>
      <c r="D4" s="143" t="s">
        <v>405</v>
      </c>
      <c r="E4" s="117" t="s">
        <v>175</v>
      </c>
      <c r="G4" s="20"/>
      <c r="H4" s="20"/>
      <c r="I4" s="20"/>
      <c r="J4" s="20"/>
      <c r="K4" s="158"/>
      <c r="L4" s="158"/>
    </row>
    <row r="5" spans="1:12" ht="42.75" x14ac:dyDescent="0.2">
      <c r="A5" s="159" t="s">
        <v>406</v>
      </c>
      <c r="B5" s="142" t="s">
        <v>407</v>
      </c>
      <c r="C5" s="3"/>
      <c r="D5" s="143" t="s">
        <v>408</v>
      </c>
      <c r="E5" s="117" t="s">
        <v>180</v>
      </c>
      <c r="G5" s="20"/>
      <c r="H5" s="20"/>
      <c r="I5" s="20"/>
      <c r="J5" s="20"/>
      <c r="K5" s="158"/>
      <c r="L5" s="158"/>
    </row>
    <row r="6" spans="1:12" ht="28.5" x14ac:dyDescent="0.2">
      <c r="A6" s="159" t="s">
        <v>409</v>
      </c>
      <c r="B6" s="142" t="s">
        <v>410</v>
      </c>
      <c r="C6" s="3"/>
      <c r="D6" s="143" t="s">
        <v>194</v>
      </c>
      <c r="E6" s="117" t="s">
        <v>195</v>
      </c>
      <c r="G6" s="20"/>
      <c r="H6" s="20"/>
      <c r="I6" s="20"/>
      <c r="J6" s="20"/>
      <c r="K6" s="158"/>
      <c r="L6" s="158"/>
    </row>
    <row r="7" spans="1:12" ht="14.25" x14ac:dyDescent="0.2">
      <c r="A7" s="159" t="s">
        <v>196</v>
      </c>
      <c r="B7" s="142" t="s">
        <v>197</v>
      </c>
      <c r="C7" s="3"/>
      <c r="D7" s="143" t="s">
        <v>198</v>
      </c>
      <c r="E7" s="117" t="s">
        <v>189</v>
      </c>
      <c r="G7" s="20"/>
      <c r="H7" s="20"/>
      <c r="I7" s="20"/>
      <c r="J7" s="20"/>
      <c r="K7" s="158"/>
      <c r="L7" s="158"/>
    </row>
    <row r="8" spans="1:12" ht="28.5" x14ac:dyDescent="0.2">
      <c r="A8" s="157" t="s">
        <v>199</v>
      </c>
      <c r="B8" s="142" t="s">
        <v>200</v>
      </c>
      <c r="C8" s="3"/>
      <c r="D8" s="143" t="s">
        <v>201</v>
      </c>
      <c r="E8" s="117" t="s">
        <v>296</v>
      </c>
      <c r="G8" s="20"/>
      <c r="H8" s="20"/>
      <c r="I8" s="20"/>
      <c r="J8" s="20"/>
      <c r="K8" s="158"/>
      <c r="L8" s="158"/>
    </row>
    <row r="9" spans="1:12" ht="42.75" x14ac:dyDescent="0.2">
      <c r="A9" s="157" t="s">
        <v>202</v>
      </c>
      <c r="B9" s="142" t="s">
        <v>203</v>
      </c>
      <c r="C9" s="3"/>
      <c r="D9" s="143" t="s">
        <v>204</v>
      </c>
      <c r="E9" s="117" t="s">
        <v>299</v>
      </c>
      <c r="G9" s="20"/>
      <c r="H9" s="20"/>
      <c r="I9" s="20"/>
      <c r="J9" s="20"/>
      <c r="K9" s="158"/>
      <c r="L9" s="158"/>
    </row>
    <row r="10" spans="1:12" ht="14.25" x14ac:dyDescent="0.2">
      <c r="A10" s="157" t="s">
        <v>207</v>
      </c>
      <c r="B10" s="128" t="s">
        <v>208</v>
      </c>
      <c r="C10" s="3"/>
      <c r="D10" s="145" t="s">
        <v>209</v>
      </c>
      <c r="E10" s="117" t="s">
        <v>210</v>
      </c>
      <c r="G10" s="20"/>
      <c r="H10" s="20"/>
      <c r="I10" s="20"/>
      <c r="J10" s="20"/>
      <c r="K10" s="158"/>
      <c r="L10" s="158"/>
    </row>
    <row r="11" spans="1:12" ht="14.25" x14ac:dyDescent="0.2">
      <c r="A11" s="157" t="s">
        <v>211</v>
      </c>
      <c r="B11" s="113"/>
      <c r="C11" s="3"/>
      <c r="D11" s="15"/>
      <c r="E11" s="117" t="s">
        <v>212</v>
      </c>
      <c r="G11" s="20"/>
      <c r="H11" s="20"/>
      <c r="I11" s="20"/>
      <c r="J11" s="20"/>
      <c r="K11" s="158"/>
      <c r="L11" s="158"/>
    </row>
    <row r="12" spans="1:12" ht="14.25" x14ac:dyDescent="0.2">
      <c r="A12" s="157" t="s">
        <v>213</v>
      </c>
      <c r="B12" s="113"/>
      <c r="C12" s="3"/>
      <c r="D12" s="15"/>
      <c r="E12" s="117" t="s">
        <v>302</v>
      </c>
      <c r="G12" s="20"/>
      <c r="H12" s="20"/>
      <c r="I12" s="20"/>
      <c r="J12" s="20"/>
      <c r="K12" s="158"/>
      <c r="L12" s="158"/>
    </row>
    <row r="13" spans="1:12" ht="14.25" x14ac:dyDescent="0.2">
      <c r="A13" s="157" t="s">
        <v>214</v>
      </c>
      <c r="B13" s="113"/>
      <c r="C13" s="3"/>
      <c r="D13" s="15"/>
      <c r="E13" s="117" t="s">
        <v>305</v>
      </c>
      <c r="G13" s="20"/>
      <c r="H13" s="20"/>
      <c r="I13" s="20"/>
      <c r="J13" s="20"/>
      <c r="K13" s="158"/>
      <c r="L13" s="158"/>
    </row>
    <row r="14" spans="1:12" ht="28.5" x14ac:dyDescent="0.2">
      <c r="A14" s="157" t="s">
        <v>215</v>
      </c>
      <c r="B14" s="113"/>
      <c r="C14" s="3"/>
      <c r="D14" s="15"/>
      <c r="E14" s="117" t="s">
        <v>308</v>
      </c>
      <c r="G14" s="20"/>
      <c r="H14" s="20"/>
      <c r="I14" s="20"/>
      <c r="J14" s="20"/>
      <c r="K14" s="158"/>
      <c r="L14" s="158"/>
    </row>
    <row r="15" spans="1:12" ht="42.75" x14ac:dyDescent="0.2">
      <c r="A15" s="157" t="s">
        <v>216</v>
      </c>
      <c r="B15" s="113"/>
      <c r="C15" s="3"/>
      <c r="D15" s="15"/>
      <c r="E15" s="117" t="s">
        <v>313</v>
      </c>
      <c r="G15" s="20"/>
      <c r="H15" s="20"/>
      <c r="I15" s="20"/>
      <c r="J15" s="20"/>
      <c r="K15" s="158"/>
      <c r="L15" s="158"/>
    </row>
    <row r="16" spans="1:12" ht="14.25" x14ac:dyDescent="0.2">
      <c r="A16" s="157" t="s">
        <v>217</v>
      </c>
      <c r="B16" s="113"/>
      <c r="C16" s="3"/>
      <c r="D16" s="15"/>
      <c r="E16" s="117" t="s">
        <v>316</v>
      </c>
      <c r="G16" s="20"/>
      <c r="H16" s="20"/>
      <c r="I16" s="20"/>
      <c r="J16" s="20"/>
      <c r="K16" s="158"/>
      <c r="L16" s="158"/>
    </row>
    <row r="17" spans="1:12" ht="28.5" x14ac:dyDescent="0.2">
      <c r="A17" s="157" t="s">
        <v>218</v>
      </c>
      <c r="B17" s="113"/>
      <c r="C17" s="3"/>
      <c r="D17" s="15"/>
      <c r="E17" s="117" t="s">
        <v>319</v>
      </c>
      <c r="G17" s="20"/>
      <c r="H17" s="20"/>
      <c r="I17" s="20"/>
      <c r="J17" s="20"/>
      <c r="K17" s="158"/>
      <c r="L17" s="158"/>
    </row>
    <row r="18" spans="1:12" ht="14.25" x14ac:dyDescent="0.2">
      <c r="A18" s="157" t="s">
        <v>337</v>
      </c>
      <c r="B18" s="113"/>
      <c r="C18" s="3"/>
      <c r="D18" s="15"/>
      <c r="E18" s="117" t="s">
        <v>321</v>
      </c>
      <c r="G18" s="3"/>
      <c r="H18" s="3"/>
      <c r="I18" s="3"/>
      <c r="J18" s="3"/>
      <c r="K18" s="158"/>
      <c r="L18" s="158"/>
    </row>
    <row r="19" spans="1:12" ht="14.25" x14ac:dyDescent="0.2">
      <c r="A19" s="157" t="s">
        <v>338</v>
      </c>
      <c r="B19" s="160"/>
      <c r="C19" s="3"/>
      <c r="D19" s="15"/>
      <c r="E19" s="117" t="s">
        <v>323</v>
      </c>
      <c r="G19" s="3"/>
      <c r="H19" s="3"/>
      <c r="I19" s="3"/>
      <c r="J19" s="3"/>
    </row>
    <row r="20" spans="1:12" ht="14.25" x14ac:dyDescent="0.2">
      <c r="A20" s="157" t="s">
        <v>339</v>
      </c>
      <c r="B20" s="160"/>
      <c r="C20" s="3"/>
      <c r="D20" s="15"/>
      <c r="E20" s="117" t="s">
        <v>325</v>
      </c>
      <c r="G20" s="3"/>
      <c r="H20" s="3"/>
      <c r="I20" s="3"/>
      <c r="J20" s="3"/>
    </row>
    <row r="21" spans="1:12" ht="14.25" x14ac:dyDescent="0.2">
      <c r="A21" s="157" t="s">
        <v>340</v>
      </c>
      <c r="B21" s="160"/>
      <c r="C21" s="3"/>
      <c r="D21" s="15"/>
      <c r="E21" s="117" t="s">
        <v>327</v>
      </c>
      <c r="G21" s="3"/>
      <c r="H21" s="3"/>
      <c r="I21" s="3"/>
      <c r="J21" s="3"/>
    </row>
    <row r="22" spans="1:12" ht="14.25" x14ac:dyDescent="0.2">
      <c r="A22" s="157" t="s">
        <v>341</v>
      </c>
      <c r="B22" s="113"/>
      <c r="C22" s="3"/>
      <c r="D22" s="15"/>
      <c r="E22" s="117" t="s">
        <v>329</v>
      </c>
      <c r="G22" s="3"/>
      <c r="H22" s="3"/>
      <c r="I22" s="3"/>
      <c r="J22" s="3"/>
    </row>
    <row r="23" spans="1:12" ht="28.5" x14ac:dyDescent="0.2">
      <c r="A23" s="161" t="s">
        <v>219</v>
      </c>
      <c r="B23" s="113"/>
      <c r="C23" s="3"/>
      <c r="D23" s="15"/>
      <c r="E23" s="117" t="s">
        <v>331</v>
      </c>
      <c r="G23" s="3"/>
      <c r="H23" s="3"/>
      <c r="I23" s="3"/>
      <c r="J23" s="3"/>
    </row>
    <row r="24" spans="1:12" ht="14.25" x14ac:dyDescent="0.2">
      <c r="A24" s="162"/>
      <c r="B24" s="113"/>
      <c r="C24" s="3"/>
      <c r="D24" s="15"/>
      <c r="E24" s="117" t="s">
        <v>333</v>
      </c>
      <c r="G24" s="3"/>
      <c r="H24" s="3"/>
      <c r="I24" s="3"/>
      <c r="J24" s="3"/>
    </row>
    <row r="25" spans="1:12" ht="14.25" x14ac:dyDescent="0.2">
      <c r="A25" s="162"/>
      <c r="B25" s="113"/>
      <c r="C25" s="3"/>
      <c r="D25" s="3"/>
      <c r="E25" s="161" t="s">
        <v>220</v>
      </c>
      <c r="G25" s="3"/>
      <c r="H25" s="3"/>
      <c r="I25" s="3"/>
      <c r="J25" s="3"/>
    </row>
    <row r="26" spans="1:12" ht="14.25" x14ac:dyDescent="0.2">
      <c r="A26" s="162"/>
      <c r="B26" s="113"/>
      <c r="C26" s="3"/>
      <c r="D26" s="3"/>
      <c r="E26" s="137"/>
      <c r="F26" s="3"/>
    </row>
    <row r="27" spans="1:12" ht="14.25" x14ac:dyDescent="0.2">
      <c r="A27" s="162"/>
      <c r="B27" s="113"/>
      <c r="C27" s="3"/>
      <c r="D27" s="3"/>
      <c r="E27" s="137"/>
    </row>
    <row r="28" spans="1:12" ht="14.25" x14ac:dyDescent="0.2">
      <c r="A28" s="162"/>
      <c r="B28" s="113"/>
      <c r="C28" s="3"/>
      <c r="D28" s="3"/>
      <c r="E28" s="15"/>
    </row>
    <row r="29" spans="1:12" ht="14.25" x14ac:dyDescent="0.2">
      <c r="A29" s="162"/>
      <c r="B29" s="113"/>
      <c r="C29" s="3"/>
      <c r="D29" s="3"/>
      <c r="E29" s="15"/>
    </row>
    <row r="30" spans="1:12" ht="14.25" x14ac:dyDescent="0.2">
      <c r="A30" s="162"/>
      <c r="B30" s="113"/>
      <c r="C30" s="3"/>
      <c r="D30" s="3"/>
      <c r="E30" s="15"/>
    </row>
    <row r="31" spans="1:12" ht="14.25" x14ac:dyDescent="0.2">
      <c r="A31" s="163"/>
      <c r="B31" s="113"/>
      <c r="C31" s="3"/>
      <c r="D31" s="3"/>
      <c r="E31" s="15"/>
    </row>
    <row r="32" spans="1:12" ht="14.25" x14ac:dyDescent="0.2">
      <c r="A32" s="163"/>
      <c r="B32" s="113"/>
      <c r="C32" s="3"/>
      <c r="D32" s="3"/>
      <c r="E32" s="15"/>
    </row>
    <row r="33" spans="1:5" ht="14.25" x14ac:dyDescent="0.2">
      <c r="A33" s="163"/>
      <c r="B33" s="113"/>
      <c r="C33" s="3"/>
      <c r="D33" s="3"/>
      <c r="E33" s="15"/>
    </row>
    <row r="34" spans="1:5" ht="14.25" x14ac:dyDescent="0.2">
      <c r="A34" s="163"/>
      <c r="B34" s="113"/>
      <c r="C34" s="3"/>
      <c r="D34" s="3"/>
      <c r="E34" s="15"/>
    </row>
    <row r="35" spans="1:5" ht="14.25" x14ac:dyDescent="0.2">
      <c r="A35" s="163"/>
      <c r="B35" s="113"/>
      <c r="C35" s="3"/>
      <c r="D35" s="3"/>
      <c r="E35" s="15"/>
    </row>
    <row r="36" spans="1:5" ht="14.25" x14ac:dyDescent="0.2">
      <c r="A36" s="163"/>
      <c r="B36" s="113"/>
      <c r="C36" s="3"/>
      <c r="D36" s="3"/>
      <c r="E36" s="15"/>
    </row>
    <row r="37" spans="1:5" ht="14.25" x14ac:dyDescent="0.2">
      <c r="A37" s="163"/>
      <c r="B37" s="113"/>
      <c r="C37" s="3"/>
      <c r="D37" s="3"/>
      <c r="E37" s="15"/>
    </row>
    <row r="38" spans="1:5" ht="14.25" x14ac:dyDescent="0.2">
      <c r="A38" s="163"/>
      <c r="B38" s="113"/>
      <c r="C38" s="3"/>
      <c r="D38" s="3"/>
      <c r="E38" s="15"/>
    </row>
    <row r="39" spans="1:5" ht="14.25" x14ac:dyDescent="0.2">
      <c r="A39" s="163"/>
      <c r="B39" s="113"/>
      <c r="C39" s="3"/>
      <c r="D39" s="3"/>
      <c r="E39" s="15"/>
    </row>
    <row r="40" spans="1:5" ht="14.25" x14ac:dyDescent="0.2">
      <c r="A40" s="163"/>
      <c r="B40" s="113"/>
      <c r="C40" s="3"/>
      <c r="D40" s="3"/>
      <c r="E40" s="15"/>
    </row>
    <row r="41" spans="1:5" ht="14.25" x14ac:dyDescent="0.2">
      <c r="A41" s="163"/>
      <c r="B41" s="113"/>
      <c r="C41" s="3"/>
      <c r="D41" s="3"/>
      <c r="E41" s="15"/>
    </row>
    <row r="42" spans="1:5" ht="14.25" x14ac:dyDescent="0.2">
      <c r="A42" s="163"/>
      <c r="B42" s="113"/>
      <c r="C42" s="3"/>
      <c r="D42" s="3"/>
      <c r="E42" s="15"/>
    </row>
  </sheetData>
  <customSheetViews>
    <customSheetView guid="{E26F941C-F347-432D-B4B3-73B25F002075}" hiddenRows="1" hiddenColumns="1" state="hidden" topLeftCell="E1">
      <selection activeCell="L29" sqref="L29"/>
      <pageMargins left="0.17" right="0.16" top="0.17" bottom="1" header="0.17" footer="0.5"/>
      <pageSetup paperSize="9" scale="65" orientation="landscape" r:id="rId1"/>
      <headerFooter alignWithMargins="0"/>
    </customSheetView>
  </customSheetViews>
  <phoneticPr fontId="29" type="noConversion"/>
  <pageMargins left="0.17" right="0.16" top="0.17" bottom="1" header="0.17" footer="0.5"/>
  <pageSetup paperSize="9" scale="65" orientation="landscape" r:id="rId2"/>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5"/>
  <sheetViews>
    <sheetView workbookViewId="0">
      <selection activeCell="M34" sqref="M34"/>
    </sheetView>
  </sheetViews>
  <sheetFormatPr defaultRowHeight="12.75" x14ac:dyDescent="0.2"/>
  <cols>
    <col min="1" max="1" width="27.28515625" customWidth="1"/>
  </cols>
  <sheetData>
    <row r="1" spans="1:1" x14ac:dyDescent="0.2">
      <c r="A1" t="s">
        <v>107</v>
      </c>
    </row>
    <row r="2" spans="1:1" x14ac:dyDescent="0.2">
      <c r="A2" t="s">
        <v>118</v>
      </c>
    </row>
    <row r="3" spans="1:1" x14ac:dyDescent="0.2">
      <c r="A3" t="s">
        <v>119</v>
      </c>
    </row>
    <row r="4" spans="1:1" x14ac:dyDescent="0.2">
      <c r="A4" t="s">
        <v>120</v>
      </c>
    </row>
    <row r="5" spans="1:1" x14ac:dyDescent="0.2">
      <c r="A5" t="s">
        <v>121</v>
      </c>
    </row>
    <row r="6" spans="1:1" x14ac:dyDescent="0.2">
      <c r="A6" t="s">
        <v>122</v>
      </c>
    </row>
    <row r="7" spans="1:1" x14ac:dyDescent="0.2">
      <c r="A7" t="s">
        <v>593</v>
      </c>
    </row>
    <row r="11" spans="1:1" x14ac:dyDescent="0.2">
      <c r="A11" t="s">
        <v>107</v>
      </c>
    </row>
    <row r="12" spans="1:1" x14ac:dyDescent="0.2">
      <c r="A12" t="s">
        <v>587</v>
      </c>
    </row>
    <row r="13" spans="1:1" x14ac:dyDescent="0.2">
      <c r="A13" t="s">
        <v>588</v>
      </c>
    </row>
    <row r="14" spans="1:1" x14ac:dyDescent="0.2">
      <c r="A14" t="s">
        <v>589</v>
      </c>
    </row>
    <row r="15" spans="1:1" x14ac:dyDescent="0.2">
      <c r="A15" t="s">
        <v>591</v>
      </c>
    </row>
    <row r="16" spans="1:1" x14ac:dyDescent="0.2">
      <c r="A16" t="s">
        <v>186</v>
      </c>
    </row>
    <row r="17" spans="1:1" x14ac:dyDescent="0.2">
      <c r="A17" t="s">
        <v>293</v>
      </c>
    </row>
    <row r="18" spans="1:1" x14ac:dyDescent="0.2">
      <c r="A18" t="s">
        <v>297</v>
      </c>
    </row>
    <row r="21" spans="1:1" x14ac:dyDescent="0.2">
      <c r="A21" t="s">
        <v>107</v>
      </c>
    </row>
    <row r="22" spans="1:1" x14ac:dyDescent="0.2">
      <c r="A22" t="s">
        <v>118</v>
      </c>
    </row>
    <row r="23" spans="1:1" x14ac:dyDescent="0.2">
      <c r="A23" t="s">
        <v>119</v>
      </c>
    </row>
    <row r="24" spans="1:1" x14ac:dyDescent="0.2">
      <c r="A24" t="s">
        <v>122</v>
      </c>
    </row>
    <row r="25" spans="1:1" x14ac:dyDescent="0.2">
      <c r="A25" t="s">
        <v>593</v>
      </c>
    </row>
    <row r="28" spans="1:1" x14ac:dyDescent="0.2">
      <c r="A28" t="s">
        <v>107</v>
      </c>
    </row>
    <row r="29" spans="1:1" x14ac:dyDescent="0.2">
      <c r="A29" t="s">
        <v>587</v>
      </c>
    </row>
    <row r="30" spans="1:1" x14ac:dyDescent="0.2">
      <c r="A30" t="s">
        <v>588</v>
      </c>
    </row>
    <row r="31" spans="1:1" x14ac:dyDescent="0.2">
      <c r="A31" t="s">
        <v>594</v>
      </c>
    </row>
    <row r="32" spans="1:1" x14ac:dyDescent="0.2">
      <c r="A32" t="s">
        <v>595</v>
      </c>
    </row>
    <row r="33" spans="1:1" x14ac:dyDescent="0.2">
      <c r="A33" t="s">
        <v>196</v>
      </c>
    </row>
    <row r="34" spans="1:1" x14ac:dyDescent="0.2">
      <c r="A34" t="s">
        <v>596</v>
      </c>
    </row>
    <row r="35" spans="1:1" x14ac:dyDescent="0.2">
      <c r="A35" t="s">
        <v>597</v>
      </c>
    </row>
    <row r="39" spans="1:1" x14ac:dyDescent="0.2">
      <c r="A39" t="s">
        <v>107</v>
      </c>
    </row>
    <row r="40" spans="1:1" x14ac:dyDescent="0.2">
      <c r="A40" t="s">
        <v>585</v>
      </c>
    </row>
    <row r="41" spans="1:1" x14ac:dyDescent="0.2">
      <c r="A41" t="s">
        <v>586</v>
      </c>
    </row>
    <row r="42" spans="1:1" x14ac:dyDescent="0.2">
      <c r="A42" t="s">
        <v>121</v>
      </c>
    </row>
    <row r="43" spans="1:1" x14ac:dyDescent="0.2">
      <c r="A43" t="s">
        <v>122</v>
      </c>
    </row>
    <row r="44" spans="1:1" x14ac:dyDescent="0.2">
      <c r="A44" t="s">
        <v>598</v>
      </c>
    </row>
    <row r="48" spans="1:1" x14ac:dyDescent="0.2">
      <c r="A48" t="s">
        <v>107</v>
      </c>
    </row>
    <row r="49" spans="1:1" x14ac:dyDescent="0.2">
      <c r="A49" t="s">
        <v>343</v>
      </c>
    </row>
    <row r="50" spans="1:1" x14ac:dyDescent="0.2">
      <c r="A50" t="s">
        <v>599</v>
      </c>
    </row>
    <row r="51" spans="1:1" x14ac:dyDescent="0.2">
      <c r="A51" t="s">
        <v>600</v>
      </c>
    </row>
    <row r="52" spans="1:1" x14ac:dyDescent="0.2">
      <c r="A52" t="s">
        <v>382</v>
      </c>
    </row>
    <row r="53" spans="1:1" x14ac:dyDescent="0.2">
      <c r="A53" t="s">
        <v>383</v>
      </c>
    </row>
    <row r="54" spans="1:1" x14ac:dyDescent="0.2">
      <c r="A54" t="s">
        <v>384</v>
      </c>
    </row>
    <row r="55" spans="1:1" x14ac:dyDescent="0.2">
      <c r="A55" t="s">
        <v>601</v>
      </c>
    </row>
    <row r="58" spans="1:1" x14ac:dyDescent="0.2">
      <c r="A58" t="s">
        <v>107</v>
      </c>
    </row>
    <row r="59" spans="1:1" x14ac:dyDescent="0.2">
      <c r="A59" t="s">
        <v>124</v>
      </c>
    </row>
    <row r="60" spans="1:1" x14ac:dyDescent="0.2">
      <c r="A60" t="s">
        <v>125</v>
      </c>
    </row>
    <row r="61" spans="1:1" x14ac:dyDescent="0.2">
      <c r="A61" t="s">
        <v>126</v>
      </c>
    </row>
    <row r="62" spans="1:1" x14ac:dyDescent="0.2">
      <c r="A62" t="s">
        <v>590</v>
      </c>
    </row>
    <row r="63" spans="1:1" x14ac:dyDescent="0.2">
      <c r="A63" t="s">
        <v>127</v>
      </c>
    </row>
    <row r="64" spans="1:1" x14ac:dyDescent="0.2">
      <c r="A64" t="s">
        <v>128</v>
      </c>
    </row>
    <row r="65" spans="1:1" x14ac:dyDescent="0.2">
      <c r="A65" t="s">
        <v>592</v>
      </c>
    </row>
  </sheetData>
  <sheetProtection password="92D1" sheet="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3F26F81C7359641ACEC16EDB060EA0C" ma:contentTypeVersion="6" ma:contentTypeDescription="Create a new document." ma:contentTypeScope="" ma:versionID="2f858a8b82ac5d7611c5da9981d877e7">
  <xsd:schema xmlns:xsd="http://www.w3.org/2001/XMLSchema" xmlns:p="http://schemas.microsoft.com/office/2006/metadata/properties" xmlns:ns1="http://schemas.microsoft.com/sharepoint/v3" xmlns:ns2="1eaefc63-d69c-4f51-988e-1b456dd93559" xmlns:ns3="816ff203-35c7-4196-acec-16edb060ea0c" targetNamespace="http://schemas.microsoft.com/office/2006/metadata/properties" ma:root="true" ma:fieldsID="0abdf84e03d6fb134dc25e471cbf22de" ns1:_="" ns2:_="" ns3:_="">
    <xsd:import namespace="http://schemas.microsoft.com/sharepoint/v3"/>
    <xsd:import namespace="1eaefc63-d69c-4f51-988e-1b456dd93559"/>
    <xsd:import namespace="816ff203-35c7-4196-acec-16edb060ea0c"/>
    <xsd:element name="properties">
      <xsd:complexType>
        <xsd:sequence>
          <xsd:element name="documentManagement">
            <xsd:complexType>
              <xsd:all>
                <xsd:element ref="ns2:gfGrant" minOccurs="0"/>
                <xsd:element ref="ns2:GrantDocType" minOccurs="0"/>
                <xsd:element ref="ns2:SubtType" minOccurs="0"/>
                <xsd:element ref="ns3:IsFinal" minOccurs="0"/>
                <xsd:element ref="ns1:_SourceUrl" minOccurs="0"/>
                <xsd:element ref="ns1:_SharedFileIndex" minOccurs="0"/>
                <xsd:element ref="ns1:_ModerationComments" minOccurs="0"/>
                <xsd:element ref="ns1:ContentTypeId" minOccurs="0"/>
                <xsd:element ref="ns1:TemplateUrl" minOccurs="0"/>
                <xsd:element ref="ns1:xd_ProgID" minOccurs="0"/>
                <xsd:element ref="ns1:xd_Signature" minOccurs="0"/>
                <xsd:element ref="ns1:ID" minOccurs="0"/>
                <xsd:element ref="ns1:Author" minOccurs="0"/>
                <xsd:element ref="ns1:Editor" minOccurs="0"/>
                <xsd:element ref="ns1:_HasCopyDestinations" minOccurs="0"/>
                <xsd:element ref="ns1:_CopySource" minOccurs="0"/>
                <xsd:element ref="ns1:_ModerationStatus" minOccurs="0"/>
                <xsd:element ref="ns1:FileRef" minOccurs="0"/>
                <xsd:element ref="ns1:FileDirRef" minOccurs="0"/>
                <xsd:element ref="ns1:Last_x0020_Modified" minOccurs="0"/>
                <xsd:element ref="ns1:Created_x0020_Date" minOccurs="0"/>
                <xsd:element ref="ns1:File_x0020_Size" minOccurs="0"/>
                <xsd:element ref="ns1:FSObjType" minOccurs="0"/>
                <xsd:element ref="ns1:CheckedOutUserId" minOccurs="0"/>
                <xsd:element ref="ns1:IsCheckedoutToLocal" minOccurs="0"/>
                <xsd:element ref="ns1:CheckoutUser" minOccurs="0"/>
                <xsd:element ref="ns1:UniqueId" minOccurs="0"/>
                <xsd:element ref="ns1:ProgId" minOccurs="0"/>
                <xsd:element ref="ns1:ScopeId" minOccurs="0"/>
                <xsd:element ref="ns1:VirusStatus" minOccurs="0"/>
                <xsd:element ref="ns1:CheckedOutTitle" minOccurs="0"/>
                <xsd:element ref="ns1:_CheckinComment" minOccurs="0"/>
                <xsd:element ref="ns1:MetaInfo" minOccurs="0"/>
                <xsd:element ref="ns1:_Level" minOccurs="0"/>
                <xsd:element ref="ns1:_IsCurrentVersion" minOccurs="0"/>
                <xsd:element ref="ns1:owshiddenversion" minOccurs="0"/>
                <xsd:element ref="ns1:_UIVersion" minOccurs="0"/>
                <xsd:element ref="ns1:_UIVersionString" minOccurs="0"/>
                <xsd:element ref="ns1:InstanceID" minOccurs="0"/>
                <xsd:element ref="ns1:Order" minOccurs="0"/>
                <xsd:element ref="ns1:GUID" minOccurs="0"/>
                <xsd:element ref="ns1:WorkflowVersion" minOccurs="0"/>
                <xsd:element ref="ns1:WorkflowInstanceID" minOccurs="0"/>
                <xsd:element ref="ns1:ParentVersionString" minOccurs="0"/>
                <xsd:element ref="ns1:ParentLeafName" minOccurs="0"/>
                <xsd:element ref="ns1:HTML_x0020_File_x0020_Type" minOccurs="0"/>
                <xsd:element ref="ns1:File_x0020_Type"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_SourceUrl" ma:index="6" nillable="true" ma:displayName="Source Url" ma:hidden="true" ma:internalName="_SourceUrl">
      <xsd:simpleType>
        <xsd:restriction base="dms:Text"/>
      </xsd:simpleType>
    </xsd:element>
    <xsd:element name="_SharedFileIndex" ma:index="7" nillable="true" ma:displayName="Shared File Index" ma:hidden="true" ma:internalName="_SharedFileIndex">
      <xsd:simpleType>
        <xsd:restriction base="dms:Text"/>
      </xsd:simpleType>
    </xsd:element>
    <xsd:element name="_ModerationComments" ma:index="8" nillable="true" ma:displayName="Approver Comments" ma:hidden="true" ma:internalName="_ModerationComments" ma:readOnly="true">
      <xsd:simpleType>
        <xsd:restriction base="dms:Note"/>
      </xsd:simpleType>
    </xsd:element>
    <xsd:element name="ContentTypeId" ma:index="9" nillable="true" ma:displayName="Content Type ID" ma:hidden="true" ma:internalName="ContentTypeId" ma:readOnly="true">
      <xsd:simpleType>
        <xsd:restriction base="dms:Unknown"/>
      </xsd:simpleType>
    </xsd:element>
    <xsd:element name="TemplateUrl" ma:index="10" nillable="true" ma:displayName="Template Link" ma:hidden="true" ma:internalName="TemplateUrl">
      <xsd:simpleType>
        <xsd:restriction base="dms:Text"/>
      </xsd:simpleType>
    </xsd:element>
    <xsd:element name="xd_ProgID" ma:index="11" nillable="true" ma:displayName="Html File Link" ma:hidden="true" ma:internalName="xd_ProgID">
      <xsd:simpleType>
        <xsd:restriction base="dms:Text"/>
      </xsd:simpleType>
    </xsd:element>
    <xsd:element name="xd_Signature" ma:index="12" nillable="true" ma:displayName="Is Signed" ma:hidden="true" ma:internalName="xd_Signature" ma:readOnly="true">
      <xsd:simpleType>
        <xsd:restriction base="dms:Boolean"/>
      </xsd:simpleType>
    </xsd:element>
    <xsd:element name="ID" ma:index="13" nillable="true" ma:displayName="ID" ma:internalName="ID" ma:readOnly="true">
      <xsd:simpleType>
        <xsd:restriction base="dms:Unknown"/>
      </xsd:simpleType>
    </xsd:element>
    <xsd:element name="Author" ma:index="16" nillable="true" ma:displayName="Created By" ma:list="UserInfo" ma:internalName="Auth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ditor" ma:index="18" nillable="true" ma:displayName="Modified By"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HasCopyDestinations" ma:index="19" nillable="true" ma:displayName="Has Copy Destinations" ma:hidden="true" ma:internalName="_HasCopyDestinations" ma:readOnly="true">
      <xsd:simpleType>
        <xsd:restriction base="dms:Boolean"/>
      </xsd:simpleType>
    </xsd:element>
    <xsd:element name="_CopySource" ma:index="20" nillable="true" ma:displayName="Copy Source" ma:internalName="_CopySource" ma:readOnly="true">
      <xsd:simpleType>
        <xsd:restriction base="dms:Text"/>
      </xsd:simpleType>
    </xsd:element>
    <xsd:element name="_ModerationStatus" ma:index="21" nillable="true" ma:displayName="Approval Status" ma:default="0" ma:hidden="true" ma:internalName="_ModerationStatus" ma:readOnly="true">
      <xsd:simpleType>
        <xsd:restriction base="dms:Unknown"/>
      </xsd:simpleType>
    </xsd:element>
    <xsd:element name="FileRef" ma:index="22" nillable="true" ma:displayName="URL Path" ma:hidden="true" ma:list="Docs" ma:internalName="FileRef" ma:readOnly="true" ma:showField="FullUrl">
      <xsd:simpleType>
        <xsd:restriction base="dms:Lookup"/>
      </xsd:simpleType>
    </xsd:element>
    <xsd:element name="FileDirRef" ma:index="23" nillable="true" ma:displayName="Path" ma:hidden="true" ma:list="Docs" ma:internalName="FileDirRef" ma:readOnly="true" ma:showField="DirName">
      <xsd:simpleType>
        <xsd:restriction base="dms:Lookup"/>
      </xsd:simpleType>
    </xsd:element>
    <xsd:element name="Last_x0020_Modified" ma:index="24" nillable="true" ma:displayName="Modified" ma:format="TRUE" ma:hidden="true" ma:list="Docs" ma:internalName="Last_x0020_Modified" ma:readOnly="true" ma:showField="TimeLastModified">
      <xsd:simpleType>
        <xsd:restriction base="dms:Lookup"/>
      </xsd:simpleType>
    </xsd:element>
    <xsd:element name="Created_x0020_Date" ma:index="25" nillable="true" ma:displayName="Created" ma:format="TRUE" ma:hidden="true" ma:list="Docs" ma:internalName="Created_x0020_Date" ma:readOnly="true" ma:showField="TimeCreated">
      <xsd:simpleType>
        <xsd:restriction base="dms:Lookup"/>
      </xsd:simpleType>
    </xsd:element>
    <xsd:element name="File_x0020_Size" ma:index="26" nillable="true" ma:displayName="File Size" ma:format="TRUE" ma:hidden="true" ma:list="Docs" ma:internalName="File_x0020_Size" ma:readOnly="true" ma:showField="SizeInKB">
      <xsd:simpleType>
        <xsd:restriction base="dms:Lookup"/>
      </xsd:simpleType>
    </xsd:element>
    <xsd:element name="FSObjType" ma:index="27" nillable="true" ma:displayName="Item Type" ma:hidden="true" ma:list="Docs" ma:internalName="FSObjType" ma:readOnly="true" ma:showField="FSType">
      <xsd:simpleType>
        <xsd:restriction base="dms:Lookup"/>
      </xsd:simpleType>
    </xsd:element>
    <xsd:element name="CheckedOutUserId" ma:index="29" nillable="true" ma:displayName="ID of the User who has the item Checked Out" ma:hidden="true" ma:list="Docs" ma:internalName="CheckedOutUserId" ma:readOnly="true" ma:showField="CheckoutUserId">
      <xsd:simpleType>
        <xsd:restriction base="dms:Lookup"/>
      </xsd:simpleType>
    </xsd:element>
    <xsd:element name="IsCheckedoutToLocal" ma:index="30" nillable="true" ma:displayName="Is Checked out to local" ma:hidden="true" ma:list="Docs" ma:internalName="IsCheckedoutToLocal" ma:readOnly="true" ma:showField="IsCheckoutToLocal">
      <xsd:simpleType>
        <xsd:restriction base="dms:Lookup"/>
      </xsd:simpleType>
    </xsd:element>
    <xsd:element name="CheckoutUser" ma:index="31" nillable="true" ma:displayName="Checked Out To" ma:list="UserInfo" ma:internalName="CheckoutUse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UniqueId" ma:index="32" nillable="true" ma:displayName="Unique Id" ma:hidden="true" ma:list="Docs" ma:internalName="UniqueId" ma:readOnly="true" ma:showField="UniqueId">
      <xsd:simpleType>
        <xsd:restriction base="dms:Lookup"/>
      </xsd:simpleType>
    </xsd:element>
    <xsd:element name="ProgId" ma:index="33" nillable="true" ma:displayName="ProgId" ma:hidden="true" ma:list="Docs" ma:internalName="ProgId" ma:readOnly="true" ma:showField="ProgId">
      <xsd:simpleType>
        <xsd:restriction base="dms:Lookup"/>
      </xsd:simpleType>
    </xsd:element>
    <xsd:element name="ScopeId" ma:index="34" nillable="true" ma:displayName="ScopeId" ma:hidden="true" ma:list="Docs" ma:internalName="ScopeId" ma:readOnly="true" ma:showField="ScopeId">
      <xsd:simpleType>
        <xsd:restriction base="dms:Lookup"/>
      </xsd:simpleType>
    </xsd:element>
    <xsd:element name="VirusStatus" ma:index="35" nillable="true" ma:displayName="Virus Status" ma:format="TRUE" ma:hidden="true" ma:list="Docs" ma:internalName="VirusStatus" ma:readOnly="true" ma:showField="Size">
      <xsd:simpleType>
        <xsd:restriction base="dms:Lookup"/>
      </xsd:simpleType>
    </xsd:element>
    <xsd:element name="CheckedOutTitle" ma:index="36" nillable="true" ma:displayName="Checked Out To" ma:format="TRUE" ma:hidden="true" ma:list="Docs" ma:internalName="CheckedOutTitle" ma:readOnly="true" ma:showField="CheckedOutTitle">
      <xsd:simpleType>
        <xsd:restriction base="dms:Lookup"/>
      </xsd:simpleType>
    </xsd:element>
    <xsd:element name="_CheckinComment" ma:index="37" nillable="true" ma:displayName="Check In Comment" ma:format="TRUE" ma:list="Docs" ma:internalName="_CheckinComment" ma:readOnly="true" ma:showField="CheckinComment">
      <xsd:simpleType>
        <xsd:restriction base="dms:Lookup"/>
      </xsd:simpleType>
    </xsd:element>
    <xsd:element name="MetaInfo" ma:index="48" nillable="true" ma:displayName="Property Bag" ma:hidden="true" ma:list="Docs" ma:internalName="MetaInfo" ma:showField="MetaInfo">
      <xsd:simpleType>
        <xsd:restriction base="dms:Lookup"/>
      </xsd:simpleType>
    </xsd:element>
    <xsd:element name="_Level" ma:index="49" nillable="true" ma:displayName="Level" ma:hidden="true" ma:internalName="_Level" ma:readOnly="true">
      <xsd:simpleType>
        <xsd:restriction base="dms:Unknown"/>
      </xsd:simpleType>
    </xsd:element>
    <xsd:element name="_IsCurrentVersion" ma:index="50" nillable="true" ma:displayName="Is Current Version" ma:hidden="true" ma:internalName="_IsCurrentVersion" ma:readOnly="true">
      <xsd:simpleType>
        <xsd:restriction base="dms:Boolean"/>
      </xsd:simpleType>
    </xsd:element>
    <xsd:element name="owshiddenversion" ma:index="54" nillable="true" ma:displayName="owshiddenversion" ma:hidden="true" ma:internalName="owshiddenversion" ma:readOnly="true">
      <xsd:simpleType>
        <xsd:restriction base="dms:Unknown"/>
      </xsd:simpleType>
    </xsd:element>
    <xsd:element name="_UIVersion" ma:index="55" nillable="true" ma:displayName="UI Version" ma:hidden="true" ma:internalName="_UIVersion" ma:readOnly="true">
      <xsd:simpleType>
        <xsd:restriction base="dms:Unknown"/>
      </xsd:simpleType>
    </xsd:element>
    <xsd:element name="_UIVersionString" ma:index="56" nillable="true" ma:displayName="Version" ma:internalName="_UIVersionString" ma:readOnly="true">
      <xsd:simpleType>
        <xsd:restriction base="dms:Text"/>
      </xsd:simpleType>
    </xsd:element>
    <xsd:element name="InstanceID" ma:index="57" nillable="true" ma:displayName="Instance ID" ma:hidden="true" ma:internalName="InstanceID" ma:readOnly="true">
      <xsd:simpleType>
        <xsd:restriction base="dms:Unknown"/>
      </xsd:simpleType>
    </xsd:element>
    <xsd:element name="Order" ma:index="58" nillable="true" ma:displayName="Order" ma:hidden="true" ma:internalName="Order">
      <xsd:simpleType>
        <xsd:restriction base="dms:Number"/>
      </xsd:simpleType>
    </xsd:element>
    <xsd:element name="GUID" ma:index="59" nillable="true" ma:displayName="GUID" ma:hidden="true" ma:internalName="GUID" ma:readOnly="true">
      <xsd:simpleType>
        <xsd:restriction base="dms:Unknown"/>
      </xsd:simpleType>
    </xsd:element>
    <xsd:element name="WorkflowVersion" ma:index="60" nillable="true" ma:displayName="Workflow Version" ma:hidden="true" ma:internalName="WorkflowVersion" ma:readOnly="true">
      <xsd:simpleType>
        <xsd:restriction base="dms:Unknown"/>
      </xsd:simpleType>
    </xsd:element>
    <xsd:element name="WorkflowInstanceID" ma:index="61" nillable="true" ma:displayName="Workflow Instance ID" ma:hidden="true" ma:internalName="WorkflowInstanceID" ma:readOnly="true">
      <xsd:simpleType>
        <xsd:restriction base="dms:Unknown"/>
      </xsd:simpleType>
    </xsd:element>
    <xsd:element name="ParentVersionString" ma:index="62" nillable="true" ma:displayName="Source Version (Converted Document)" ma:hidden="true" ma:list="Docs" ma:internalName="ParentVersionString" ma:readOnly="true" ma:showField="ParentVersionString">
      <xsd:simpleType>
        <xsd:restriction base="dms:Lookup"/>
      </xsd:simpleType>
    </xsd:element>
    <xsd:element name="ParentLeafName" ma:index="63" nillable="true" ma:displayName="Source Name (Converted Document)" ma:hidden="true" ma:list="Docs" ma:internalName="ParentLeafName" ma:readOnly="true" ma:showField="ParentLeafName">
      <xsd:simpleType>
        <xsd:restriction base="dms:Lookup"/>
      </xsd:simpleType>
    </xsd:element>
    <xsd:element name="HTML_x0020_File_x0020_Type" ma:index="68" nillable="true" ma:displayName="HTML File Type" ma:hidden="true" ma:internalName="HTML_x0020_File_x0020_Type" ma:readOnly="true">
      <xsd:simpleType>
        <xsd:restriction base="dms:Text"/>
      </xsd:simpleType>
    </xsd:element>
    <xsd:element name="File_x0020_Type" ma:index="69" nillable="true" ma:displayName="File Type" ma:hidden="true" ma:internalName="File_x0020_Type" ma:readOnly="true">
      <xsd:simpleType>
        <xsd:restriction base="dms:Text"/>
      </xsd:simpleType>
    </xsd:element>
  </xsd:schema>
  <xsd:schema xmlns:xsd="http://www.w3.org/2001/XMLSchema" xmlns:dms="http://schemas.microsoft.com/office/2006/documentManagement/types" targetNamespace="1eaefc63-d69c-4f51-988e-1b456dd93559" elementFormDefault="qualified">
    <xsd:import namespace="http://schemas.microsoft.com/office/2006/documentManagement/types"/>
    <xsd:element name="gfGrant" ma:index="2" nillable="true" ma:displayName="Grant" ma:list="{1149e032-0cc0-4c62-bd02-6853776f06e5}" ma:internalName="gfGrant" ma:showField="Title" ma:web="1eaefc63-d69c-4f51-988e-1b456dd93559">
      <xsd:simpleType>
        <xsd:restriction base="dms:Lookup"/>
      </xsd:simpleType>
    </xsd:element>
    <xsd:element name="GrantDocType" ma:index="3" nillable="true" ma:displayName="Document type" ma:description="Please select Grant Document Type" ma:list="{cf59afc2-f10b-4b65-8ef6-9a8ce10b0870}" ma:internalName="GrantDocType" ma:showField="Title" ma:web="1eaefc63-d69c-4f51-988e-1b456dd93559">
      <xsd:simpleType>
        <xsd:restriction base="dms:Lookup"/>
      </xsd:simpleType>
    </xsd:element>
    <xsd:element name="SubtType" ma:index="4" nillable="true" ma:displayName="Sub Type" ma:description="Subtype description, Maximum of 255 characters, e.g. IL1 , IL2" ma:internalName="SubtType">
      <xsd:simpleType>
        <xsd:restriction base="dms:Text">
          <xsd:maxLength value="255"/>
        </xsd:restriction>
      </xsd:simpleType>
    </xsd:element>
  </xsd:schema>
  <xsd:schema xmlns:xsd="http://www.w3.org/2001/XMLSchema" xmlns:dms="http://schemas.microsoft.com/office/2006/documentManagement/types" targetNamespace="816ff203-35c7-4196-acec-16edb060ea0c" elementFormDefault="qualified">
    <xsd:import namespace="http://schemas.microsoft.com/office/2006/documentManagement/types"/>
    <xsd:element name="IsFinal" ma:index="5" nillable="true" ma:displayName="IsFinal" ma:default="NO" ma:description="Please specify if this is the final version of the document" ma:format="RadioButtons" ma:internalName="IsFinal">
      <xsd:simpleType>
        <xsd:restriction base="dms:Choice">
          <xsd:enumeration value="NO"/>
          <xsd:enumeration value="YE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TemplateUrl xmlns="http://schemas.microsoft.com/sharepoint/v3" xsi:nil="true"/>
    <SubtType xmlns="1eaefc63-d69c-4f51-988e-1b456dd93559" xsi:nil="true"/>
    <gfGrant xmlns="1eaefc63-d69c-4f51-988e-1b456dd93559" xsi:nil="true"/>
    <_SourceUrl xmlns="http://schemas.microsoft.com/sharepoint/v3" xsi:nil="true"/>
    <GrantDocType xmlns="1eaefc63-d69c-4f51-988e-1b456dd93559" xsi:nil="true"/>
    <xd_ProgID xmlns="http://schemas.microsoft.com/sharepoint/v3" xsi:nil="true"/>
    <Order xmlns="http://schemas.microsoft.com/sharepoint/v3" xsi:nil="true"/>
    <_SharedFileIndex xmlns="http://schemas.microsoft.com/sharepoint/v3" xsi:nil="true"/>
    <MetaInfo xmlns="http://schemas.microsoft.com/sharepoint/v3" xsi:nil="true"/>
    <ContentTypeId xmlns="http://schemas.microsoft.com/sharepoint/v3">0x01010003F26F81C7359641ACEC16EDB060EA0C</ContentTypeId>
    <IsFinal xmlns="816ff203-35c7-4196-acec-16edb060ea0c">NO</IsFinal>
  </documentManagement>
</p:properties>
</file>

<file path=customXml/itemProps1.xml><?xml version="1.0" encoding="utf-8"?>
<ds:datastoreItem xmlns:ds="http://schemas.openxmlformats.org/officeDocument/2006/customXml" ds:itemID="{B49F897B-7EBC-4077-9671-C4A3702CAC8C}"/>
</file>

<file path=customXml/itemProps2.xml><?xml version="1.0" encoding="utf-8"?>
<ds:datastoreItem xmlns:ds="http://schemas.openxmlformats.org/officeDocument/2006/customXml" ds:itemID="{FB3447BD-A819-4037-9A2F-74E262F226A9}"/>
</file>

<file path=customXml/itemProps3.xml><?xml version="1.0" encoding="utf-8"?>
<ds:datastoreItem xmlns:ds="http://schemas.openxmlformats.org/officeDocument/2006/customXml" ds:itemID="{2CA4421C-8D6D-401D-9635-E088D13EE98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71</vt:i4>
      </vt:variant>
    </vt:vector>
  </HeadingPairs>
  <TitlesOfParts>
    <vt:vector size="107" baseType="lpstr">
      <vt:lpstr>Cover Sheet</vt:lpstr>
      <vt:lpstr>PR_Programmatic Progress_1A</vt:lpstr>
      <vt:lpstr>PR_Programmatic Progress_1B</vt:lpstr>
      <vt:lpstr>PR_Grant Management_2</vt:lpstr>
      <vt:lpstr>PR_Total PR Cash Outflow_3A</vt:lpstr>
      <vt:lpstr>EFR HIV AIDS Financial Data_3B</vt:lpstr>
      <vt:lpstr>PR_Procurement Info_4</vt:lpstr>
      <vt:lpstr>PR Cash Rec Answer</vt:lpstr>
      <vt:lpstr>PR_Cash Reconciliation_Answer</vt:lpstr>
      <vt:lpstr>PR_Cash Reconciliation_5A</vt:lpstr>
      <vt:lpstr>Cash Forecast Detail Top Down</vt:lpstr>
      <vt:lpstr>PR_Disbursement Request_5B</vt:lpstr>
      <vt:lpstr>PR_Overall Performance_6</vt:lpstr>
      <vt:lpstr>PR_Cash Request_7A&amp;B</vt:lpstr>
      <vt:lpstr>PR_Bank Details_7C</vt:lpstr>
      <vt:lpstr>PR_Annex_SR-Financials</vt:lpstr>
      <vt:lpstr>Checklist</vt:lpstr>
      <vt:lpstr>LFA_Programmatic Progress_1A</vt:lpstr>
      <vt:lpstr>LFA_Programmatic Progress_1B</vt:lpstr>
      <vt:lpstr>LFA_Grant Management_2</vt:lpstr>
      <vt:lpstr>LFA_Total PR Cash Outflow_3A</vt:lpstr>
      <vt:lpstr>LFA_EFR Review_3B</vt:lpstr>
      <vt:lpstr>LFA_Procurement Info_4</vt:lpstr>
      <vt:lpstr>LFA_Findings&amp;Recommendations</vt:lpstr>
      <vt:lpstr>LFA_Cash Reconciliation_5A</vt:lpstr>
      <vt:lpstr>LFA_Disbursement Recommend_5B</vt:lpstr>
      <vt:lpstr>Sheet1</vt:lpstr>
      <vt:lpstr>LFA_Overall Performance_6</vt:lpstr>
      <vt:lpstr>LFA_DisbursementRecommendation7</vt:lpstr>
      <vt:lpstr>LFA_Bank Details_7C</vt:lpstr>
      <vt:lpstr>LFA_Annex-SR Financials</vt:lpstr>
      <vt:lpstr>Annex for additional info</vt:lpstr>
      <vt:lpstr>Memo HIV</vt:lpstr>
      <vt:lpstr>Memo TB</vt:lpstr>
      <vt:lpstr>Memo Malaria</vt:lpstr>
      <vt:lpstr>Definitions-lists-EFR</vt:lpstr>
      <vt:lpstr>E</vt:lpstr>
      <vt:lpstr>ES</vt:lpstr>
      <vt:lpstr>HIVII</vt:lpstr>
      <vt:lpstr>HIVOI</vt:lpstr>
      <vt:lpstr>HIVSDA</vt:lpstr>
      <vt:lpstr>HIVSource</vt:lpstr>
      <vt:lpstr>List_IE</vt:lpstr>
      <vt:lpstr>ListHIV</vt:lpstr>
      <vt:lpstr>ListHIV_SDA</vt:lpstr>
      <vt:lpstr>ListMal</vt:lpstr>
      <vt:lpstr>ListMal_SDA</vt:lpstr>
      <vt:lpstr>ListTB</vt:lpstr>
      <vt:lpstr>ListTB_SDA</vt:lpstr>
      <vt:lpstr>MalariaII</vt:lpstr>
      <vt:lpstr>MalariaOI</vt:lpstr>
      <vt:lpstr>MalariaSDA</vt:lpstr>
      <vt:lpstr>MalariaSource</vt:lpstr>
      <vt:lpstr>Please_Select</vt:lpstr>
      <vt:lpstr>'PR_Programmatic Progress_1B'!PR_SDA</vt:lpstr>
      <vt:lpstr>'Annex for additional info'!Print_Area</vt:lpstr>
      <vt:lpstr>Checklist!Print_Area</vt:lpstr>
      <vt:lpstr>'Cover Sheet'!Print_Area</vt:lpstr>
      <vt:lpstr>'EFR HIV AIDS Financial Data_3B'!Print_Area</vt:lpstr>
      <vt:lpstr>'LFA_Annex-SR Financials'!Print_Area</vt:lpstr>
      <vt:lpstr>'LFA_Bank Details_7C'!Print_Area</vt:lpstr>
      <vt:lpstr>'LFA_Cash Reconciliation_5A'!Print_Area</vt:lpstr>
      <vt:lpstr>'LFA_Disbursement Recommend_5B'!Print_Area</vt:lpstr>
      <vt:lpstr>LFA_DisbursementRecommendation7!Print_Area</vt:lpstr>
      <vt:lpstr>'LFA_EFR Review_3B'!Print_Area</vt:lpstr>
      <vt:lpstr>'LFA_Findings&amp;Recommendations'!Print_Area</vt:lpstr>
      <vt:lpstr>'LFA_Grant Management_2'!Print_Area</vt:lpstr>
      <vt:lpstr>'LFA_Overall Performance_6'!Print_Area</vt:lpstr>
      <vt:lpstr>'LFA_Procurement Info_4'!Print_Area</vt:lpstr>
      <vt:lpstr>'LFA_Programmatic Progress_1A'!Print_Area</vt:lpstr>
      <vt:lpstr>'LFA_Programmatic Progress_1B'!Print_Area</vt:lpstr>
      <vt:lpstr>'LFA_Total PR Cash Outflow_3A'!Print_Area</vt:lpstr>
      <vt:lpstr>'Memo HIV'!Print_Area</vt:lpstr>
      <vt:lpstr>'Memo Malaria'!Print_Area</vt:lpstr>
      <vt:lpstr>'Memo TB'!Print_Area</vt:lpstr>
      <vt:lpstr>'PR_Annex_SR-Financials'!Print_Area</vt:lpstr>
      <vt:lpstr>'PR_Bank Details_7C'!Print_Area</vt:lpstr>
      <vt:lpstr>'PR_Cash Reconciliation_5A'!Print_Area</vt:lpstr>
      <vt:lpstr>'PR_Cash Request_7A&amp;B'!Print_Area</vt:lpstr>
      <vt:lpstr>'PR_Disbursement Request_5B'!Print_Area</vt:lpstr>
      <vt:lpstr>'PR_Grant Management_2'!Print_Area</vt:lpstr>
      <vt:lpstr>'PR_Overall Performance_6'!Print_Area</vt:lpstr>
      <vt:lpstr>'PR_Procurement Info_4'!Print_Area</vt:lpstr>
      <vt:lpstr>'PR_Programmatic Progress_1A'!Print_Area</vt:lpstr>
      <vt:lpstr>'PR_Programmatic Progress_1B'!Print_Area</vt:lpstr>
      <vt:lpstr>'PR_Total PR Cash Outflow_3A'!Print_Area</vt:lpstr>
      <vt:lpstr>'LFA_Annex-SR Financials'!Print_Titles</vt:lpstr>
      <vt:lpstr>'LFA_Cash Reconciliation_5A'!Print_Titles</vt:lpstr>
      <vt:lpstr>'LFA_Disbursement Recommend_5B'!Print_Titles</vt:lpstr>
      <vt:lpstr>LFA_DisbursementRecommendation7!Print_Titles</vt:lpstr>
      <vt:lpstr>'LFA_Findings&amp;Recommendations'!Print_Titles</vt:lpstr>
      <vt:lpstr>'LFA_Grant Management_2'!Print_Titles</vt:lpstr>
      <vt:lpstr>'LFA_Overall Performance_6'!Print_Titles</vt:lpstr>
      <vt:lpstr>'LFA_Procurement Info_4'!Print_Titles</vt:lpstr>
      <vt:lpstr>'LFA_Programmatic Progress_1A'!Print_Titles</vt:lpstr>
      <vt:lpstr>'PR_Annex_SR-Financials'!Print_Titles</vt:lpstr>
      <vt:lpstr>'PR_Grant Management_2'!Print_Titles</vt:lpstr>
      <vt:lpstr>'PR_Programmatic Progress_1A'!Print_Titles</vt:lpstr>
      <vt:lpstr>'PR_Total PR Cash Outflow_3A'!Print_Titles</vt:lpstr>
      <vt:lpstr>PS</vt:lpstr>
      <vt:lpstr>SDAList</vt:lpstr>
      <vt:lpstr>Select</vt:lpstr>
      <vt:lpstr>TBII</vt:lpstr>
      <vt:lpstr>TBOI</vt:lpstr>
      <vt:lpstr>TBSDA</vt:lpstr>
      <vt:lpstr>TBSource</vt:lpstr>
      <vt:lpstr>'PR_Programmatic Progress_1B'!TEST</vt:lpstr>
    </vt:vector>
  </TitlesOfParts>
  <Company>The Global Fund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Houtan Afkhami</dc:creator>
  <cp:lastModifiedBy>Maria Kirova</cp:lastModifiedBy>
  <cp:lastPrinted>2011-08-02T13:50:12Z</cp:lastPrinted>
  <dcterms:created xsi:type="dcterms:W3CDTF">2005-11-03T14:33:15Z</dcterms:created>
  <dcterms:modified xsi:type="dcterms:W3CDTF">2011-08-02T13:59:11Z</dcterms:modified>
  <cp:contentType>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0x0101005FBB0C72A9D87144A7B972E58A0B54D1</vt:lpwstr>
  </property>
</Properties>
</file>