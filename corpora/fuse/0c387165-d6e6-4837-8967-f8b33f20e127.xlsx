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19095" windowHeight="10785" firstSheet="2" activeTab="4"/>
  </bookViews>
  <sheets>
    <sheet name="Active Claims History-Combined" sheetId="1" r:id="rId1"/>
    <sheet name="Active Claims History by Plan" sheetId="2" r:id="rId2"/>
    <sheet name="Retiree Claims History-Combined" sheetId="3" r:id="rId3"/>
    <sheet name="Retiree Claims History by Plan" sheetId="4" r:id="rId4"/>
    <sheet name="Census" sheetId="5" r:id="rId5"/>
  </sheets>
  <calcPr calcId="125725"/>
</workbook>
</file>

<file path=xl/calcChain.xml><?xml version="1.0" encoding="utf-8"?>
<calcChain xmlns="http://schemas.openxmlformats.org/spreadsheetml/2006/main">
  <c r="E65" i="3"/>
  <c r="E63"/>
  <c r="E62"/>
  <c r="E61"/>
  <c r="E60"/>
  <c r="E59"/>
  <c r="E58"/>
  <c r="E57"/>
  <c r="E56"/>
  <c r="E55"/>
  <c r="E54"/>
  <c r="E65" i="1"/>
  <c r="E64"/>
  <c r="E63"/>
  <c r="E62"/>
  <c r="E61"/>
  <c r="E60"/>
  <c r="E59"/>
  <c r="E58"/>
  <c r="E57"/>
  <c r="E56"/>
  <c r="E55"/>
  <c r="E54"/>
  <c r="S66" i="4"/>
  <c r="R66"/>
  <c r="P66"/>
  <c r="O66"/>
  <c r="S50"/>
  <c r="R50"/>
  <c r="P50"/>
  <c r="O50"/>
  <c r="S34"/>
  <c r="R34"/>
  <c r="P34"/>
  <c r="O34"/>
  <c r="S18"/>
  <c r="R18"/>
  <c r="P18"/>
  <c r="O18"/>
  <c r="S66" i="2" l="1"/>
  <c r="R66"/>
  <c r="P66"/>
  <c r="O66"/>
  <c r="S50"/>
  <c r="R50"/>
  <c r="P50"/>
  <c r="O50"/>
  <c r="S34"/>
  <c r="R34"/>
  <c r="P34"/>
  <c r="O34"/>
  <c r="S18"/>
  <c r="R18"/>
  <c r="P18"/>
  <c r="O18"/>
  <c r="J57" i="1"/>
  <c r="J25"/>
  <c r="M66" i="4"/>
  <c r="L66"/>
  <c r="K66"/>
  <c r="I66"/>
  <c r="H66"/>
  <c r="G66"/>
  <c r="E66"/>
  <c r="D66"/>
  <c r="C66"/>
  <c r="M50"/>
  <c r="L50"/>
  <c r="K50"/>
  <c r="I50"/>
  <c r="H50"/>
  <c r="G50"/>
  <c r="E50"/>
  <c r="D50"/>
  <c r="C50"/>
  <c r="M34"/>
  <c r="L34"/>
  <c r="K34"/>
  <c r="I34"/>
  <c r="H34"/>
  <c r="G34"/>
  <c r="E34"/>
  <c r="D34"/>
  <c r="C34"/>
  <c r="E66" i="3"/>
  <c r="D66"/>
  <c r="C66"/>
  <c r="B66"/>
  <c r="E50"/>
  <c r="D50"/>
  <c r="C50"/>
  <c r="B50"/>
  <c r="E34"/>
  <c r="D34"/>
  <c r="C34"/>
  <c r="B34"/>
  <c r="M66" i="2"/>
  <c r="L66"/>
  <c r="K66"/>
  <c r="I66"/>
  <c r="H66"/>
  <c r="G66"/>
  <c r="E66"/>
  <c r="D66"/>
  <c r="C66"/>
  <c r="M50"/>
  <c r="L50"/>
  <c r="K50"/>
  <c r="I50"/>
  <c r="H50"/>
  <c r="G50"/>
  <c r="E50"/>
  <c r="D50"/>
  <c r="C50"/>
  <c r="M34"/>
  <c r="L34"/>
  <c r="K34"/>
  <c r="I34"/>
  <c r="H34"/>
  <c r="G34"/>
  <c r="E34"/>
  <c r="D34"/>
  <c r="C34"/>
  <c r="E66" i="1"/>
  <c r="D66"/>
  <c r="J59" s="1"/>
  <c r="C66"/>
  <c r="J55" s="1"/>
  <c r="B66"/>
  <c r="E50"/>
  <c r="J41" s="1"/>
  <c r="D50"/>
  <c r="J43" s="1"/>
  <c r="C50"/>
  <c r="J39" s="1"/>
  <c r="B50"/>
  <c r="E34"/>
  <c r="D34"/>
  <c r="J27" s="1"/>
  <c r="C34"/>
  <c r="J23" s="1"/>
  <c r="J29" s="1"/>
  <c r="B34"/>
  <c r="M18" i="4"/>
  <c r="L18"/>
  <c r="K18"/>
  <c r="I18"/>
  <c r="H18"/>
  <c r="G18"/>
  <c r="E18"/>
  <c r="D18"/>
  <c r="C18"/>
  <c r="E18" i="3"/>
  <c r="D18"/>
  <c r="C18"/>
  <c r="B18"/>
  <c r="M18" i="2"/>
  <c r="L18"/>
  <c r="K18"/>
  <c r="I18"/>
  <c r="H18"/>
  <c r="G18"/>
  <c r="E18"/>
  <c r="D18"/>
  <c r="C18"/>
  <c r="B18" i="1"/>
  <c r="C18"/>
  <c r="J7" s="1"/>
  <c r="D18"/>
  <c r="E18"/>
  <c r="J61" l="1"/>
  <c r="J45"/>
</calcChain>
</file>

<file path=xl/sharedStrings.xml><?xml version="1.0" encoding="utf-8"?>
<sst xmlns="http://schemas.openxmlformats.org/spreadsheetml/2006/main" count="482" uniqueCount="60">
  <si>
    <t>Period</t>
  </si>
  <si>
    <t xml:space="preserve"> Med EE</t>
  </si>
  <si>
    <t>Total</t>
  </si>
  <si>
    <t>City of Carrollton</t>
  </si>
  <si>
    <t>December 2012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</si>
  <si>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</si>
  <si>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</si>
  <si>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</si>
  <si>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</si>
  <si>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</si>
  <si>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</si>
  <si>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</si>
  <si>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</si>
  <si>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</si>
  <si>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</si>
  <si>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</si>
  <si>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 xml:space="preserve">December </t>
  </si>
  <si>
    <t>Dental Claims</t>
  </si>
  <si>
    <t>Active Claims History-Combined</t>
  </si>
  <si>
    <t>Prescription</t>
  </si>
  <si>
    <t>Medical</t>
  </si>
  <si>
    <t>Census</t>
  </si>
  <si>
    <t>2012</t>
  </si>
  <si>
    <t>Dental</t>
  </si>
  <si>
    <t>Active Claims History-By Plan</t>
  </si>
  <si>
    <t>Retiree Claims History-Combined</t>
  </si>
  <si>
    <t>Retiree Claims History-By Plan</t>
  </si>
  <si>
    <t>12 MONTH RECAP:</t>
  </si>
  <si>
    <t>January '12 - December '12</t>
  </si>
  <si>
    <t>MEDICAL</t>
  </si>
  <si>
    <t>DENTAL</t>
  </si>
  <si>
    <t>PRESCRIPTION DRUGS</t>
  </si>
  <si>
    <t>TOTALS:</t>
  </si>
  <si>
    <t>2011</t>
  </si>
  <si>
    <t>2010</t>
  </si>
  <si>
    <t>2009</t>
  </si>
  <si>
    <t>January '11 - December '11</t>
  </si>
  <si>
    <t>January '10 - December '10</t>
  </si>
  <si>
    <t>January '09 - December '09</t>
  </si>
  <si>
    <t>Red Plan ($500 Deductible)</t>
  </si>
  <si>
    <t>White Plan ($1000 Deductible)</t>
  </si>
  <si>
    <t>Blue Plan ($2500 Deductible)</t>
  </si>
  <si>
    <t>High Dental</t>
  </si>
  <si>
    <t>Low Dental</t>
  </si>
  <si>
    <t>Advantage Plan ($500 Deductible)</t>
  </si>
  <si>
    <t>Basic Plan ($1000 Deductible)</t>
  </si>
  <si>
    <t>HRA Plan ($2500 Deductible)</t>
  </si>
  <si>
    <t>Catastrophic Plan ($2500 Deductible)</t>
  </si>
  <si>
    <t>Medical-Red Plan</t>
  </si>
  <si>
    <t>Employee</t>
  </si>
  <si>
    <t>Employee + 1</t>
  </si>
  <si>
    <t>Employee + 2/more</t>
  </si>
  <si>
    <t>Medical-White Plan</t>
  </si>
  <si>
    <t>Medical-Blue Plan</t>
  </si>
  <si>
    <t>Dental-High</t>
  </si>
  <si>
    <t>Dental-Low</t>
  </si>
  <si>
    <t>Census-2012</t>
  </si>
  <si>
    <t>Active</t>
  </si>
  <si>
    <t>Retiree</t>
  </si>
  <si>
    <t>Advantage Plan ($0 Deductible)</t>
  </si>
</sst>
</file>

<file path=xl/styles.xml><?xml version="1.0" encoding="utf-8"?>
<styleSheet xmlns="http://schemas.openxmlformats.org/spreadsheetml/2006/main">
  <numFmts count="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_)"/>
    <numFmt numFmtId="165" formatCode="_(&quot;$&quot;* #,##0_);_(&quot;$&quot;* \(#,##0\);_(&quot;$&quot;* &quot;-&quot;??_);_(@_)"/>
  </numFmts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Book Antiqua"/>
      <family val="1"/>
    </font>
    <font>
      <sz val="11"/>
      <color indexed="8"/>
      <name val="Calibri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color indexed="12"/>
      <name val="Helv"/>
    </font>
    <font>
      <sz val="7"/>
      <name val="Small Fonts"/>
      <family val="2"/>
    </font>
    <font>
      <b/>
      <i/>
      <sz val="16"/>
      <name val="Helv"/>
    </font>
    <font>
      <sz val="9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</font>
    <font>
      <b/>
      <i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8"/>
      </top>
      <bottom style="double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56">
    <xf numFmtId="0" fontId="0" fillId="0" borderId="0"/>
    <xf numFmtId="37" fontId="2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4" fillId="0" borderId="0" applyFont="0" applyFill="0" applyBorder="0" applyAlignment="0" applyProtection="0"/>
    <xf numFmtId="38" fontId="5" fillId="2" borderId="0" applyNumberFormat="0" applyBorder="0" applyAlignment="0" applyProtection="0"/>
    <xf numFmtId="0" fontId="6" fillId="0" borderId="1" applyNumberFormat="0" applyAlignment="0" applyProtection="0">
      <alignment horizontal="left" vertical="center"/>
    </xf>
    <xf numFmtId="0" fontId="6" fillId="0" borderId="2">
      <alignment horizontal="left" vertical="center"/>
    </xf>
    <xf numFmtId="0" fontId="7" fillId="0" borderId="3"/>
    <xf numFmtId="10" fontId="5" fillId="3" borderId="4" applyNumberFormat="0" applyBorder="0" applyAlignment="0" applyProtection="0"/>
    <xf numFmtId="37" fontId="8" fillId="0" borderId="0"/>
    <xf numFmtId="164" fontId="9" fillId="0" borderId="0"/>
    <xf numFmtId="37" fontId="2" fillId="0" borderId="0"/>
    <xf numFmtId="0" fontId="12" fillId="0" borderId="0"/>
    <xf numFmtId="0" fontId="4" fillId="0" borderId="0"/>
    <xf numFmtId="9" fontId="2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37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37" fontId="2" fillId="0" borderId="0"/>
    <xf numFmtId="37" fontId="2" fillId="0" borderId="0"/>
    <xf numFmtId="9" fontId="2" fillId="0" borderId="0" applyFont="0" applyFill="0" applyBorder="0" applyAlignment="0" applyProtection="0"/>
    <xf numFmtId="37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" fillId="0" borderId="0"/>
    <xf numFmtId="37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37" fontId="2" fillId="0" borderId="0"/>
    <xf numFmtId="37" fontId="2" fillId="0" borderId="0"/>
    <xf numFmtId="9" fontId="2" fillId="0" borderId="0" applyFont="0" applyFill="0" applyBorder="0" applyAlignment="0" applyProtection="0"/>
    <xf numFmtId="37" fontId="2" fillId="0" borderId="0"/>
    <xf numFmtId="37" fontId="2" fillId="0" borderId="0"/>
    <xf numFmtId="37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37" fontId="2" fillId="0" borderId="0"/>
    <xf numFmtId="9" fontId="2" fillId="0" borderId="0" applyFont="0" applyFill="0" applyBorder="0" applyAlignment="0" applyProtection="0"/>
    <xf numFmtId="37" fontId="2" fillId="0" borderId="0"/>
    <xf numFmtId="9" fontId="2" fillId="0" borderId="0" applyFont="0" applyFill="0" applyBorder="0" applyAlignment="0" applyProtection="0"/>
    <xf numFmtId="37" fontId="2" fillId="0" borderId="0"/>
    <xf numFmtId="9" fontId="2" fillId="0" borderId="0" applyFont="0" applyFill="0" applyBorder="0" applyAlignment="0" applyProtection="0"/>
    <xf numFmtId="37" fontId="2" fillId="0" borderId="0"/>
    <xf numFmtId="9" fontId="2" fillId="0" borderId="0" applyFont="0" applyFill="0" applyBorder="0" applyAlignment="0" applyProtection="0"/>
    <xf numFmtId="37" fontId="2" fillId="0" borderId="0"/>
    <xf numFmtId="37" fontId="2" fillId="0" borderId="0"/>
    <xf numFmtId="37" fontId="2" fillId="0" borderId="0"/>
    <xf numFmtId="37" fontId="2" fillId="0" borderId="0"/>
  </cellStyleXfs>
  <cellXfs count="106">
    <xf numFmtId="0" fontId="0" fillId="0" borderId="0" xfId="0"/>
    <xf numFmtId="17" fontId="10" fillId="4" borderId="6" xfId="14" applyNumberFormat="1" applyFont="1" applyFill="1" applyBorder="1" applyAlignment="1">
      <alignment horizontal="center"/>
    </xf>
    <xf numFmtId="0" fontId="11" fillId="4" borderId="10" xfId="14" applyFont="1" applyFill="1" applyBorder="1" applyAlignment="1">
      <alignment horizontal="center"/>
    </xf>
    <xf numFmtId="3" fontId="11" fillId="4" borderId="10" xfId="14" applyNumberFormat="1" applyFont="1" applyFill="1" applyBorder="1" applyAlignment="1">
      <alignment horizontal="center"/>
    </xf>
    <xf numFmtId="6" fontId="11" fillId="4" borderId="10" xfId="14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11" fillId="6" borderId="9" xfId="14" applyFont="1" applyFill="1" applyBorder="1" applyAlignment="1">
      <alignment horizontal="center" wrapText="1"/>
    </xf>
    <xf numFmtId="3" fontId="11" fillId="6" borderId="9" xfId="14" applyNumberFormat="1" applyFont="1" applyFill="1" applyBorder="1" applyAlignment="1">
      <alignment horizontal="center" wrapText="1"/>
    </xf>
    <xf numFmtId="49" fontId="14" fillId="0" borderId="0" xfId="0" applyNumberFormat="1" applyFont="1" applyAlignment="1"/>
    <xf numFmtId="6" fontId="11" fillId="6" borderId="10" xfId="14" applyNumberFormat="1" applyFont="1" applyFill="1" applyBorder="1" applyAlignment="1">
      <alignment horizontal="center"/>
    </xf>
    <xf numFmtId="6" fontId="10" fillId="6" borderId="6" xfId="14" applyNumberFormat="1" applyFont="1" applyFill="1" applyBorder="1" applyAlignment="1">
      <alignment horizontal="center"/>
    </xf>
    <xf numFmtId="49" fontId="14" fillId="0" borderId="0" xfId="0" applyNumberFormat="1" applyFont="1" applyAlignment="1">
      <alignment horizontal="center"/>
    </xf>
    <xf numFmtId="3" fontId="10" fillId="4" borderId="6" xfId="14" applyNumberFormat="1" applyFont="1" applyFill="1" applyBorder="1" applyAlignment="1">
      <alignment horizontal="center"/>
    </xf>
    <xf numFmtId="6" fontId="10" fillId="4" borderId="6" xfId="14" applyNumberFormat="1" applyFont="1" applyFill="1" applyBorder="1" applyAlignment="1">
      <alignment horizontal="center"/>
    </xf>
    <xf numFmtId="6" fontId="10" fillId="4" borderId="9" xfId="14" applyNumberFormat="1" applyFont="1" applyFill="1" applyBorder="1" applyAlignment="1">
      <alignment horizontal="center"/>
    </xf>
    <xf numFmtId="3" fontId="11" fillId="4" borderId="10" xfId="14" applyNumberFormat="1" applyFont="1" applyFill="1" applyBorder="1" applyAlignment="1">
      <alignment horizontal="center"/>
    </xf>
    <xf numFmtId="6" fontId="11" fillId="4" borderId="10" xfId="14" applyNumberFormat="1" applyFont="1" applyFill="1" applyBorder="1" applyAlignment="1">
      <alignment horizontal="center"/>
    </xf>
    <xf numFmtId="0" fontId="11" fillId="6" borderId="10" xfId="14" applyFont="1" applyFill="1" applyBorder="1" applyAlignment="1">
      <alignment horizontal="center"/>
    </xf>
    <xf numFmtId="17" fontId="10" fillId="6" borderId="6" xfId="14" applyNumberFormat="1" applyFont="1" applyFill="1" applyBorder="1" applyAlignment="1">
      <alignment horizontal="center"/>
    </xf>
    <xf numFmtId="3" fontId="10" fillId="4" borderId="6" xfId="14" applyNumberFormat="1" applyFont="1" applyFill="1" applyBorder="1" applyAlignment="1">
      <alignment horizontal="center"/>
    </xf>
    <xf numFmtId="6" fontId="10" fillId="4" borderId="6" xfId="14" applyNumberFormat="1" applyFont="1" applyFill="1" applyBorder="1" applyAlignment="1">
      <alignment horizontal="center"/>
    </xf>
    <xf numFmtId="6" fontId="10" fillId="4" borderId="9" xfId="14" applyNumberFormat="1" applyFont="1" applyFill="1" applyBorder="1" applyAlignment="1">
      <alignment horizontal="center"/>
    </xf>
    <xf numFmtId="3" fontId="11" fillId="4" borderId="10" xfId="14" applyNumberFormat="1" applyFont="1" applyFill="1" applyBorder="1" applyAlignment="1">
      <alignment horizontal="center"/>
    </xf>
    <xf numFmtId="6" fontId="11" fillId="4" borderId="10" xfId="14" applyNumberFormat="1" applyFont="1" applyFill="1" applyBorder="1" applyAlignment="1">
      <alignment horizontal="center"/>
    </xf>
    <xf numFmtId="0" fontId="4" fillId="0" borderId="0" xfId="29" applyAlignment="1">
      <alignment horizontal="left"/>
    </xf>
    <xf numFmtId="0" fontId="4" fillId="0" borderId="0" xfId="29"/>
    <xf numFmtId="3" fontId="10" fillId="4" borderId="6" xfId="14" applyNumberFormat="1" applyFont="1" applyFill="1" applyBorder="1" applyAlignment="1">
      <alignment horizontal="center"/>
    </xf>
    <xf numFmtId="6" fontId="10" fillId="4" borderId="6" xfId="14" applyNumberFormat="1" applyFont="1" applyFill="1" applyBorder="1" applyAlignment="1">
      <alignment horizontal="center"/>
    </xf>
    <xf numFmtId="6" fontId="10" fillId="4" borderId="9" xfId="14" applyNumberFormat="1" applyFont="1" applyFill="1" applyBorder="1" applyAlignment="1">
      <alignment horizontal="center"/>
    </xf>
    <xf numFmtId="17" fontId="10" fillId="4" borderId="6" xfId="14" applyNumberFormat="1" applyFont="1" applyFill="1" applyBorder="1" applyAlignment="1">
      <alignment horizontal="center"/>
    </xf>
    <xf numFmtId="0" fontId="11" fillId="4" borderId="10" xfId="14" applyFont="1" applyFill="1" applyBorder="1" applyAlignment="1">
      <alignment horizontal="center"/>
    </xf>
    <xf numFmtId="3" fontId="11" fillId="4" borderId="10" xfId="14" applyNumberFormat="1" applyFont="1" applyFill="1" applyBorder="1" applyAlignment="1">
      <alignment horizontal="center"/>
    </xf>
    <xf numFmtId="6" fontId="11" fillId="4" borderId="10" xfId="14" applyNumberFormat="1" applyFont="1" applyFill="1" applyBorder="1" applyAlignment="1">
      <alignment horizontal="center"/>
    </xf>
    <xf numFmtId="3" fontId="10" fillId="4" borderId="6" xfId="14" applyNumberFormat="1" applyFont="1" applyFill="1" applyBorder="1" applyAlignment="1">
      <alignment horizontal="center"/>
    </xf>
    <xf numFmtId="6" fontId="10" fillId="4" borderId="6" xfId="14" applyNumberFormat="1" applyFont="1" applyFill="1" applyBorder="1" applyAlignment="1">
      <alignment horizontal="center"/>
    </xf>
    <xf numFmtId="6" fontId="10" fillId="4" borderId="9" xfId="14" applyNumberFormat="1" applyFont="1" applyFill="1" applyBorder="1" applyAlignment="1">
      <alignment horizontal="center"/>
    </xf>
    <xf numFmtId="3" fontId="10" fillId="4" borderId="6" xfId="14" applyNumberFormat="1" applyFont="1" applyFill="1" applyBorder="1" applyAlignment="1">
      <alignment horizontal="center"/>
    </xf>
    <xf numFmtId="6" fontId="10" fillId="4" borderId="6" xfId="14" applyNumberFormat="1" applyFont="1" applyFill="1" applyBorder="1" applyAlignment="1">
      <alignment horizontal="center"/>
    </xf>
    <xf numFmtId="6" fontId="10" fillId="4" borderId="7" xfId="14" applyNumberFormat="1" applyFont="1" applyFill="1" applyBorder="1" applyAlignment="1">
      <alignment horizontal="center"/>
    </xf>
    <xf numFmtId="6" fontId="10" fillId="4" borderId="0" xfId="14" applyNumberFormat="1" applyFont="1" applyFill="1" applyBorder="1" applyAlignment="1">
      <alignment horizontal="center"/>
    </xf>
    <xf numFmtId="6" fontId="10" fillId="4" borderId="9" xfId="14" applyNumberFormat="1" applyFont="1" applyFill="1" applyBorder="1" applyAlignment="1">
      <alignment horizontal="center"/>
    </xf>
    <xf numFmtId="3" fontId="11" fillId="4" borderId="10" xfId="14" applyNumberFormat="1" applyFont="1" applyFill="1" applyBorder="1" applyAlignment="1">
      <alignment horizontal="center"/>
    </xf>
    <xf numFmtId="6" fontId="11" fillId="4" borderId="10" xfId="14" applyNumberFormat="1" applyFont="1" applyFill="1" applyBorder="1" applyAlignment="1">
      <alignment horizontal="center"/>
    </xf>
    <xf numFmtId="3" fontId="10" fillId="4" borderId="6" xfId="14" applyNumberFormat="1" applyFont="1" applyFill="1" applyBorder="1" applyAlignment="1">
      <alignment horizontal="center"/>
    </xf>
    <xf numFmtId="6" fontId="10" fillId="4" borderId="6" xfId="14" applyNumberFormat="1" applyFont="1" applyFill="1" applyBorder="1" applyAlignment="1">
      <alignment horizontal="center"/>
    </xf>
    <xf numFmtId="6" fontId="10" fillId="4" borderId="9" xfId="14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7" fontId="10" fillId="4" borderId="6" xfId="14" applyNumberFormat="1" applyFont="1" applyFill="1" applyBorder="1" applyAlignment="1">
      <alignment horizontal="center"/>
    </xf>
    <xf numFmtId="3" fontId="10" fillId="4" borderId="6" xfId="14" applyNumberFormat="1" applyFont="1" applyFill="1" applyBorder="1" applyAlignment="1">
      <alignment horizontal="center"/>
    </xf>
    <xf numFmtId="6" fontId="10" fillId="4" borderId="6" xfId="14" applyNumberFormat="1" applyFont="1" applyFill="1" applyBorder="1" applyAlignment="1">
      <alignment horizontal="center"/>
    </xf>
    <xf numFmtId="6" fontId="10" fillId="4" borderId="9" xfId="14" applyNumberFormat="1" applyFont="1" applyFill="1" applyBorder="1" applyAlignment="1">
      <alignment horizontal="center"/>
    </xf>
    <xf numFmtId="0" fontId="11" fillId="4" borderId="10" xfId="14" applyFont="1" applyFill="1" applyBorder="1" applyAlignment="1">
      <alignment horizontal="center"/>
    </xf>
    <xf numFmtId="3" fontId="11" fillId="4" borderId="10" xfId="14" applyNumberFormat="1" applyFont="1" applyFill="1" applyBorder="1" applyAlignment="1">
      <alignment horizontal="center"/>
    </xf>
    <xf numFmtId="6" fontId="11" fillId="4" borderId="10" xfId="14" applyNumberFormat="1" applyFont="1" applyFill="1" applyBorder="1" applyAlignment="1">
      <alignment horizontal="center"/>
    </xf>
    <xf numFmtId="0" fontId="15" fillId="0" borderId="0" xfId="29" applyFont="1"/>
    <xf numFmtId="0" fontId="16" fillId="5" borderId="0" xfId="29" applyFont="1" applyFill="1"/>
    <xf numFmtId="0" fontId="15" fillId="5" borderId="0" xfId="29" applyFont="1" applyFill="1" applyAlignment="1">
      <alignment horizontal="center"/>
    </xf>
    <xf numFmtId="0" fontId="16" fillId="6" borderId="0" xfId="29" applyFont="1" applyFill="1"/>
    <xf numFmtId="0" fontId="15" fillId="5" borderId="5" xfId="29" applyFont="1" applyFill="1" applyBorder="1"/>
    <xf numFmtId="0" fontId="17" fillId="5" borderId="5" xfId="29" applyFont="1" applyFill="1" applyBorder="1"/>
    <xf numFmtId="0" fontId="18" fillId="5" borderId="5" xfId="29" applyFont="1" applyFill="1" applyBorder="1" applyAlignment="1">
      <alignment horizontal="center"/>
    </xf>
    <xf numFmtId="165" fontId="16" fillId="0" borderId="0" xfId="4" applyNumberFormat="1" applyFont="1"/>
    <xf numFmtId="165" fontId="16" fillId="0" borderId="0" xfId="4" applyNumberFormat="1" applyFont="1" applyBorder="1"/>
    <xf numFmtId="165" fontId="16" fillId="5" borderId="0" xfId="4" applyNumberFormat="1" applyFont="1" applyFill="1"/>
    <xf numFmtId="0" fontId="15" fillId="0" borderId="0" xfId="29" applyFont="1" applyAlignment="1">
      <alignment horizontal="left"/>
    </xf>
    <xf numFmtId="0" fontId="19" fillId="0" borderId="0" xfId="0" applyFont="1" applyAlignment="1">
      <alignment horizontal="center"/>
    </xf>
    <xf numFmtId="6" fontId="10" fillId="0" borderId="0" xfId="14" applyNumberFormat="1" applyFont="1" applyFill="1" applyBorder="1" applyAlignment="1">
      <alignment horizontal="center"/>
    </xf>
    <xf numFmtId="0" fontId="0" fillId="0" borderId="0" xfId="0" applyFill="1"/>
    <xf numFmtId="0" fontId="13" fillId="0" borderId="0" xfId="0" applyFont="1" applyAlignment="1">
      <alignment horizontal="center"/>
    </xf>
    <xf numFmtId="3" fontId="11" fillId="4" borderId="10" xfId="14" applyNumberFormat="1" applyFont="1" applyFill="1" applyBorder="1" applyAlignment="1">
      <alignment horizontal="center"/>
    </xf>
    <xf numFmtId="6" fontId="11" fillId="4" borderId="10" xfId="14" applyNumberFormat="1" applyFont="1" applyFill="1" applyBorder="1" applyAlignment="1">
      <alignment horizontal="center"/>
    </xf>
    <xf numFmtId="3" fontId="10" fillId="4" borderId="6" xfId="14" applyNumberFormat="1" applyFont="1" applyFill="1" applyBorder="1" applyAlignment="1">
      <alignment horizontal="center"/>
    </xf>
    <xf numFmtId="6" fontId="10" fillId="4" borderId="6" xfId="14" applyNumberFormat="1" applyFont="1" applyFill="1" applyBorder="1" applyAlignment="1">
      <alignment horizontal="center"/>
    </xf>
    <xf numFmtId="6" fontId="10" fillId="4" borderId="9" xfId="14" applyNumberFormat="1" applyFont="1" applyFill="1" applyBorder="1" applyAlignment="1">
      <alignment horizontal="center"/>
    </xf>
    <xf numFmtId="3" fontId="10" fillId="4" borderId="6" xfId="14" applyNumberFormat="1" applyFont="1" applyFill="1" applyBorder="1" applyAlignment="1">
      <alignment horizontal="center"/>
    </xf>
    <xf numFmtId="6" fontId="10" fillId="4" borderId="6" xfId="14" applyNumberFormat="1" applyFont="1" applyFill="1" applyBorder="1" applyAlignment="1">
      <alignment horizontal="center"/>
    </xf>
    <xf numFmtId="6" fontId="10" fillId="4" borderId="9" xfId="14" applyNumberFormat="1" applyFont="1" applyFill="1" applyBorder="1" applyAlignment="1">
      <alignment horizontal="center"/>
    </xf>
    <xf numFmtId="17" fontId="10" fillId="4" borderId="6" xfId="14" applyNumberFormat="1" applyFont="1" applyFill="1" applyBorder="1" applyAlignment="1">
      <alignment horizontal="center"/>
    </xf>
    <xf numFmtId="3" fontId="10" fillId="4" borderId="6" xfId="14" applyNumberFormat="1" applyFont="1" applyFill="1" applyBorder="1" applyAlignment="1">
      <alignment horizontal="center"/>
    </xf>
    <xf numFmtId="6" fontId="10" fillId="4" borderId="6" xfId="14" applyNumberFormat="1" applyFont="1" applyFill="1" applyBorder="1" applyAlignment="1">
      <alignment horizontal="center"/>
    </xf>
    <xf numFmtId="6" fontId="10" fillId="4" borderId="9" xfId="14" applyNumberFormat="1" applyFont="1" applyFill="1" applyBorder="1" applyAlignment="1">
      <alignment horizontal="center"/>
    </xf>
    <xf numFmtId="0" fontId="11" fillId="4" borderId="10" xfId="14" applyFont="1" applyFill="1" applyBorder="1" applyAlignment="1">
      <alignment horizontal="center"/>
    </xf>
    <xf numFmtId="3" fontId="11" fillId="4" borderId="10" xfId="14" applyNumberFormat="1" applyFont="1" applyFill="1" applyBorder="1" applyAlignment="1">
      <alignment horizontal="center"/>
    </xf>
    <xf numFmtId="6" fontId="11" fillId="4" borderId="10" xfId="14" applyNumberFormat="1" applyFont="1" applyFill="1" applyBorder="1" applyAlignment="1">
      <alignment horizontal="center"/>
    </xf>
    <xf numFmtId="3" fontId="10" fillId="4" borderId="6" xfId="14" applyNumberFormat="1" applyFont="1" applyFill="1" applyBorder="1" applyAlignment="1">
      <alignment horizontal="center"/>
    </xf>
    <xf numFmtId="6" fontId="10" fillId="4" borderId="6" xfId="14" applyNumberFormat="1" applyFont="1" applyFill="1" applyBorder="1" applyAlignment="1">
      <alignment horizontal="center"/>
    </xf>
    <xf numFmtId="6" fontId="10" fillId="4" borderId="9" xfId="14" applyNumberFormat="1" applyFont="1" applyFill="1" applyBorder="1" applyAlignment="1">
      <alignment horizontal="center"/>
    </xf>
    <xf numFmtId="6" fontId="10" fillId="4" borderId="7" xfId="14" applyNumberFormat="1" applyFont="1" applyFill="1" applyBorder="1" applyAlignment="1">
      <alignment horizontal="center"/>
    </xf>
    <xf numFmtId="6" fontId="10" fillId="4" borderId="0" xfId="14" applyNumberFormat="1" applyFont="1" applyFill="1" applyBorder="1" applyAlignment="1">
      <alignment horizontal="center"/>
    </xf>
    <xf numFmtId="3" fontId="10" fillId="4" borderId="6" xfId="14" applyNumberFormat="1" applyFont="1" applyFill="1" applyBorder="1" applyAlignment="1">
      <alignment horizontal="center"/>
    </xf>
    <xf numFmtId="6" fontId="10" fillId="4" borderId="6" xfId="14" applyNumberFormat="1" applyFont="1" applyFill="1" applyBorder="1" applyAlignment="1">
      <alignment horizontal="center"/>
    </xf>
    <xf numFmtId="6" fontId="10" fillId="4" borderId="9" xfId="14" applyNumberFormat="1" applyFont="1" applyFill="1" applyBorder="1" applyAlignment="1">
      <alignment horizontal="center"/>
    </xf>
    <xf numFmtId="0" fontId="0" fillId="6" borderId="0" xfId="0" applyFill="1"/>
    <xf numFmtId="17" fontId="10" fillId="4" borderId="6" xfId="14" applyNumberFormat="1" applyFont="1" applyFill="1" applyBorder="1" applyAlignment="1">
      <alignment horizontal="center"/>
    </xf>
    <xf numFmtId="3" fontId="10" fillId="4" borderId="6" xfId="14" applyNumberFormat="1" applyFont="1" applyFill="1" applyBorder="1" applyAlignment="1">
      <alignment horizontal="center"/>
    </xf>
    <xf numFmtId="6" fontId="10" fillId="4" borderId="6" xfId="14" applyNumberFormat="1" applyFont="1" applyFill="1" applyBorder="1" applyAlignment="1">
      <alignment horizontal="center"/>
    </xf>
    <xf numFmtId="6" fontId="10" fillId="4" borderId="7" xfId="14" applyNumberFormat="1" applyFont="1" applyFill="1" applyBorder="1" applyAlignment="1">
      <alignment horizontal="center"/>
    </xf>
    <xf numFmtId="6" fontId="10" fillId="4" borderId="8" xfId="14" applyNumberFormat="1" applyFont="1" applyFill="1" applyBorder="1" applyAlignment="1">
      <alignment horizontal="center"/>
    </xf>
    <xf numFmtId="6" fontId="10" fillId="4" borderId="0" xfId="14" applyNumberFormat="1" applyFont="1" applyFill="1" applyBorder="1" applyAlignment="1">
      <alignment horizontal="center"/>
    </xf>
    <xf numFmtId="6" fontId="10" fillId="4" borderId="9" xfId="14" applyNumberFormat="1" applyFont="1" applyFill="1" applyBorder="1" applyAlignment="1">
      <alignment horizontal="center"/>
    </xf>
    <xf numFmtId="0" fontId="11" fillId="4" borderId="10" xfId="14" applyFont="1" applyFill="1" applyBorder="1" applyAlignment="1">
      <alignment horizontal="center"/>
    </xf>
    <xf numFmtId="3" fontId="11" fillId="4" borderId="10" xfId="14" applyNumberFormat="1" applyFont="1" applyFill="1" applyBorder="1" applyAlignment="1">
      <alignment horizontal="center"/>
    </xf>
    <xf numFmtId="6" fontId="11" fillId="4" borderId="10" xfId="14" applyNumberFormat="1" applyFont="1" applyFill="1" applyBorder="1" applyAlignment="1">
      <alignment horizontal="center"/>
    </xf>
    <xf numFmtId="49" fontId="14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</cellXfs>
  <cellStyles count="56">
    <cellStyle name="Comma 2" xfId="2"/>
    <cellStyle name="Currency 2" xfId="4"/>
    <cellStyle name="Currency 3" xfId="3"/>
    <cellStyle name="Grey" xfId="5"/>
    <cellStyle name="Header1" xfId="6"/>
    <cellStyle name="Header2" xfId="7"/>
    <cellStyle name="Heading1" xfId="8"/>
    <cellStyle name="Input [yellow]" xfId="9"/>
    <cellStyle name="no dec" xfId="10"/>
    <cellStyle name="Normal" xfId="0" builtinId="0"/>
    <cellStyle name="Normal - Style1" xfId="11"/>
    <cellStyle name="Normal 10" xfId="34"/>
    <cellStyle name="Normal 11" xfId="36"/>
    <cellStyle name="Normal 12" xfId="37"/>
    <cellStyle name="Normal 13" xfId="38"/>
    <cellStyle name="Normal 14" xfId="29"/>
    <cellStyle name="Normal 15" xfId="30"/>
    <cellStyle name="Normal 16" xfId="44"/>
    <cellStyle name="Normal 17" xfId="46"/>
    <cellStyle name="Normal 18" xfId="48"/>
    <cellStyle name="Normal 19" xfId="50"/>
    <cellStyle name="Normal 2" xfId="12"/>
    <cellStyle name="Normal 20" xfId="52"/>
    <cellStyle name="Normal 21" xfId="53"/>
    <cellStyle name="Normal 22" xfId="54"/>
    <cellStyle name="Normal 23" xfId="55"/>
    <cellStyle name="Normal 3" xfId="13"/>
    <cellStyle name="Normal 4" xfId="1"/>
    <cellStyle name="Normal 5" xfId="19"/>
    <cellStyle name="Normal 6" xfId="24"/>
    <cellStyle name="Normal 7" xfId="26"/>
    <cellStyle name="Normal 8" xfId="23"/>
    <cellStyle name="Normal 9" xfId="33"/>
    <cellStyle name="Normal_MMFR Draft Database" xfId="14"/>
    <cellStyle name="Percent [2]" xfId="16"/>
    <cellStyle name="Percent 10" xfId="32"/>
    <cellStyle name="Percent 11" xfId="22"/>
    <cellStyle name="Percent 12" xfId="35"/>
    <cellStyle name="Percent 13" xfId="20"/>
    <cellStyle name="Percent 14" xfId="41"/>
    <cellStyle name="Percent 15" xfId="40"/>
    <cellStyle name="Percent 16" xfId="42"/>
    <cellStyle name="Percent 17" xfId="39"/>
    <cellStyle name="Percent 18" xfId="43"/>
    <cellStyle name="Percent 19" xfId="45"/>
    <cellStyle name="Percent 2" xfId="17"/>
    <cellStyle name="Percent 20" xfId="47"/>
    <cellStyle name="Percent 21" xfId="49"/>
    <cellStyle name="Percent 22" xfId="51"/>
    <cellStyle name="Percent 3" xfId="18"/>
    <cellStyle name="Percent 4" xfId="15"/>
    <cellStyle name="Percent 5" xfId="25"/>
    <cellStyle name="Percent 6" xfId="27"/>
    <cellStyle name="Percent 7" xfId="28"/>
    <cellStyle name="Percent 8" xfId="31"/>
    <cellStyle name="Percent 9" xfId="2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7"/>
  <sheetViews>
    <sheetView workbookViewId="0">
      <selection activeCell="E17" sqref="E17"/>
    </sheetView>
  </sheetViews>
  <sheetFormatPr defaultRowHeight="15"/>
  <cols>
    <col min="1" max="1" width="9.7109375" bestFit="1" customWidth="1"/>
    <col min="3" max="3" width="10.42578125" bestFit="1" customWidth="1"/>
    <col min="4" max="4" width="11" bestFit="1" customWidth="1"/>
    <col min="5" max="5" width="12.140625" bestFit="1" customWidth="1"/>
    <col min="10" max="10" width="11.5703125" bestFit="1" customWidth="1"/>
  </cols>
  <sheetData>
    <row r="1" spans="1:11">
      <c r="A1" s="104" t="s">
        <v>3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</row>
    <row r="2" spans="1:11">
      <c r="A2" s="104" t="s">
        <v>18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</row>
    <row r="3" spans="1:11">
      <c r="A3" s="105" t="s">
        <v>4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</row>
    <row r="4" spans="1:11">
      <c r="A4" s="103" t="s">
        <v>22</v>
      </c>
      <c r="B4" s="103"/>
      <c r="C4" s="103"/>
      <c r="D4" s="103"/>
      <c r="E4" s="103"/>
    </row>
    <row r="5" spans="1:11">
      <c r="A5" s="6" t="s">
        <v>0</v>
      </c>
      <c r="B5" s="7" t="s">
        <v>21</v>
      </c>
      <c r="C5" s="6" t="s">
        <v>20</v>
      </c>
      <c r="D5" s="6" t="s">
        <v>19</v>
      </c>
      <c r="E5" s="6" t="s">
        <v>17</v>
      </c>
      <c r="G5" s="58" t="s">
        <v>27</v>
      </c>
      <c r="H5" s="59"/>
      <c r="I5" s="59"/>
      <c r="J5" s="60" t="s">
        <v>28</v>
      </c>
      <c r="K5" s="59"/>
    </row>
    <row r="6" spans="1:11">
      <c r="A6" s="1" t="s">
        <v>5</v>
      </c>
      <c r="B6" s="94">
        <v>686</v>
      </c>
      <c r="C6" s="95">
        <v>489865.25</v>
      </c>
      <c r="D6" s="95">
        <v>90105.15</v>
      </c>
      <c r="E6" s="97">
        <v>39406.76</v>
      </c>
    </row>
    <row r="7" spans="1:11">
      <c r="A7" s="1" t="s">
        <v>6</v>
      </c>
      <c r="B7" s="94">
        <v>682</v>
      </c>
      <c r="C7" s="95">
        <v>452840.91</v>
      </c>
      <c r="D7" s="95">
        <v>86587.97</v>
      </c>
      <c r="E7" s="95">
        <v>49222.18</v>
      </c>
      <c r="G7" s="64" t="s">
        <v>29</v>
      </c>
      <c r="H7" s="25"/>
      <c r="I7" s="25"/>
      <c r="J7" s="61">
        <f>C18</f>
        <v>6227259.9000000004</v>
      </c>
      <c r="K7" s="25"/>
    </row>
    <row r="8" spans="1:11">
      <c r="A8" s="1" t="s">
        <v>7</v>
      </c>
      <c r="B8" s="94">
        <v>682</v>
      </c>
      <c r="C8" s="95">
        <v>958842.16</v>
      </c>
      <c r="D8" s="95">
        <v>125946.93</v>
      </c>
      <c r="E8" s="95">
        <v>60578.47</v>
      </c>
      <c r="G8" s="64"/>
      <c r="H8" s="25"/>
      <c r="I8" s="25"/>
      <c r="J8" s="61"/>
      <c r="K8" s="25"/>
    </row>
    <row r="9" spans="1:11">
      <c r="A9" s="1" t="s">
        <v>8</v>
      </c>
      <c r="B9" s="94">
        <v>684</v>
      </c>
      <c r="C9" s="95">
        <v>302832.56</v>
      </c>
      <c r="D9" s="95">
        <v>122116.36</v>
      </c>
      <c r="E9" s="95">
        <v>54068.38</v>
      </c>
      <c r="G9" s="64" t="s">
        <v>30</v>
      </c>
      <c r="H9" s="25"/>
      <c r="I9" s="25"/>
      <c r="J9" s="62">
        <v>546050</v>
      </c>
      <c r="K9" s="25"/>
    </row>
    <row r="10" spans="1:11">
      <c r="A10" s="1" t="s">
        <v>9</v>
      </c>
      <c r="B10" s="94">
        <v>679</v>
      </c>
      <c r="C10" s="95">
        <v>517916.95</v>
      </c>
      <c r="D10" s="95">
        <v>173763.25</v>
      </c>
      <c r="E10" s="95">
        <v>33892.81</v>
      </c>
      <c r="G10" s="24"/>
      <c r="H10" s="25"/>
      <c r="I10" s="25"/>
      <c r="J10" s="61"/>
      <c r="K10" s="25"/>
    </row>
    <row r="11" spans="1:11">
      <c r="A11" s="1" t="s">
        <v>10</v>
      </c>
      <c r="B11" s="94">
        <v>673</v>
      </c>
      <c r="C11" s="95">
        <v>692254.49</v>
      </c>
      <c r="D11" s="95">
        <v>124130.84</v>
      </c>
      <c r="E11" s="95">
        <v>35309.58</v>
      </c>
      <c r="G11" s="64" t="s">
        <v>31</v>
      </c>
      <c r="H11" s="54"/>
      <c r="I11" s="54"/>
      <c r="J11" s="61">
        <v>1608789</v>
      </c>
      <c r="K11" s="54"/>
    </row>
    <row r="12" spans="1:11">
      <c r="A12" s="1" t="s">
        <v>11</v>
      </c>
      <c r="B12" s="94">
        <v>678</v>
      </c>
      <c r="C12" s="95">
        <v>590456.5</v>
      </c>
      <c r="D12" s="95">
        <v>118616.52</v>
      </c>
      <c r="E12" s="95">
        <v>42955.14</v>
      </c>
      <c r="G12" s="54"/>
      <c r="H12" s="54"/>
      <c r="I12" s="54"/>
      <c r="J12" s="54"/>
      <c r="K12" s="54"/>
    </row>
    <row r="13" spans="1:11">
      <c r="A13" s="1" t="s">
        <v>12</v>
      </c>
      <c r="B13" s="94">
        <v>683</v>
      </c>
      <c r="C13" s="95">
        <v>409198.82</v>
      </c>
      <c r="D13" s="95">
        <v>115918.77</v>
      </c>
      <c r="E13" s="95">
        <v>43553.78</v>
      </c>
      <c r="G13" s="57"/>
      <c r="H13" s="55"/>
      <c r="I13" s="56" t="s">
        <v>32</v>
      </c>
      <c r="J13" s="63">
        <v>8712378</v>
      </c>
      <c r="K13" s="55"/>
    </row>
    <row r="14" spans="1:11">
      <c r="A14" s="1" t="s">
        <v>13</v>
      </c>
      <c r="B14" s="94">
        <v>679</v>
      </c>
      <c r="C14" s="95">
        <v>474061.76</v>
      </c>
      <c r="D14" s="95">
        <v>133871.32</v>
      </c>
      <c r="E14" s="95">
        <v>47863.28</v>
      </c>
    </row>
    <row r="15" spans="1:11">
      <c r="A15" s="1" t="s">
        <v>14</v>
      </c>
      <c r="B15" s="94">
        <v>676</v>
      </c>
      <c r="C15" s="95">
        <v>432575.61</v>
      </c>
      <c r="D15" s="95">
        <v>124764.99</v>
      </c>
      <c r="E15" s="95">
        <v>51573.5</v>
      </c>
    </row>
    <row r="16" spans="1:11">
      <c r="A16" s="1" t="s">
        <v>15</v>
      </c>
      <c r="B16" s="94">
        <v>668</v>
      </c>
      <c r="C16" s="95">
        <v>410612.05</v>
      </c>
      <c r="D16" s="95">
        <v>127475.8</v>
      </c>
      <c r="E16" s="95">
        <v>40622.47</v>
      </c>
    </row>
    <row r="17" spans="1:11">
      <c r="A17" s="1" t="s">
        <v>16</v>
      </c>
      <c r="B17" s="94">
        <v>662</v>
      </c>
      <c r="C17" s="95">
        <v>495802.84</v>
      </c>
      <c r="D17" s="99">
        <v>153533.1</v>
      </c>
      <c r="E17" s="99">
        <v>47004.06</v>
      </c>
    </row>
    <row r="18" spans="1:11" ht="15.75" thickBot="1">
      <c r="A18" s="2" t="s">
        <v>2</v>
      </c>
      <c r="B18" s="3">
        <f>SUM(B6:B17)</f>
        <v>8132</v>
      </c>
      <c r="C18" s="4">
        <f>SUM(C6:C17)</f>
        <v>6227259.9000000004</v>
      </c>
      <c r="D18" s="4">
        <f>SUM(D6:D17)</f>
        <v>1496831</v>
      </c>
      <c r="E18" s="4">
        <f>SUM(E6:E17)</f>
        <v>546050.40999999992</v>
      </c>
    </row>
    <row r="19" spans="1:11" ht="15.75" thickTop="1"/>
    <row r="20" spans="1:11">
      <c r="A20" s="103" t="s">
        <v>33</v>
      </c>
      <c r="B20" s="103"/>
      <c r="C20" s="103"/>
      <c r="D20" s="103"/>
      <c r="E20" s="103"/>
    </row>
    <row r="21" spans="1:11">
      <c r="A21" s="6" t="s">
        <v>0</v>
      </c>
      <c r="B21" s="7" t="s">
        <v>21</v>
      </c>
      <c r="C21" s="6" t="s">
        <v>20</v>
      </c>
      <c r="D21" s="6" t="s">
        <v>19</v>
      </c>
      <c r="E21" s="6" t="s">
        <v>17</v>
      </c>
      <c r="G21" s="58" t="s">
        <v>27</v>
      </c>
      <c r="H21" s="59"/>
      <c r="I21" s="59"/>
      <c r="J21" s="60" t="s">
        <v>36</v>
      </c>
      <c r="K21" s="59"/>
    </row>
    <row r="22" spans="1:11">
      <c r="A22" s="47" t="s">
        <v>5</v>
      </c>
      <c r="B22" s="94">
        <v>682</v>
      </c>
      <c r="C22" s="95">
        <v>404382.96</v>
      </c>
      <c r="D22" s="95">
        <v>56002.61</v>
      </c>
      <c r="E22" s="97">
        <v>51331.92</v>
      </c>
    </row>
    <row r="23" spans="1:11">
      <c r="A23" s="47" t="s">
        <v>6</v>
      </c>
      <c r="B23" s="94">
        <v>675</v>
      </c>
      <c r="C23" s="95">
        <v>310251.48</v>
      </c>
      <c r="D23" s="95">
        <v>67549.119999999995</v>
      </c>
      <c r="E23" s="95">
        <v>38407.519999999997</v>
      </c>
      <c r="G23" s="64" t="s">
        <v>29</v>
      </c>
      <c r="H23" s="25"/>
      <c r="I23" s="25"/>
      <c r="J23" s="61">
        <f>C34</f>
        <v>5221262.209999999</v>
      </c>
      <c r="K23" s="25"/>
    </row>
    <row r="24" spans="1:11">
      <c r="A24" s="47" t="s">
        <v>7</v>
      </c>
      <c r="B24" s="94">
        <v>679</v>
      </c>
      <c r="C24" s="95">
        <v>464003.9</v>
      </c>
      <c r="D24" s="95">
        <v>77718.59</v>
      </c>
      <c r="E24" s="95">
        <v>40998.639999999999</v>
      </c>
      <c r="G24" s="64"/>
      <c r="H24" s="25"/>
      <c r="I24" s="25"/>
      <c r="J24" s="61"/>
      <c r="K24" s="25"/>
    </row>
    <row r="25" spans="1:11">
      <c r="A25" s="47" t="s">
        <v>8</v>
      </c>
      <c r="B25" s="94">
        <v>672</v>
      </c>
      <c r="C25" s="95">
        <v>412301.66</v>
      </c>
      <c r="D25" s="95">
        <v>67128.91</v>
      </c>
      <c r="E25" s="95">
        <v>44472.03</v>
      </c>
      <c r="G25" s="64" t="s">
        <v>30</v>
      </c>
      <c r="H25" s="25"/>
      <c r="I25" s="25"/>
      <c r="J25" s="62">
        <f>E34</f>
        <v>490495.37999999995</v>
      </c>
      <c r="K25" s="25"/>
    </row>
    <row r="26" spans="1:11">
      <c r="A26" s="47" t="s">
        <v>9</v>
      </c>
      <c r="B26" s="94">
        <v>669</v>
      </c>
      <c r="C26" s="95">
        <v>360824.4</v>
      </c>
      <c r="D26" s="95">
        <v>76955.62</v>
      </c>
      <c r="E26" s="95">
        <v>47817.21</v>
      </c>
      <c r="G26" s="24"/>
      <c r="H26" s="25"/>
      <c r="I26" s="25"/>
      <c r="J26" s="61"/>
      <c r="K26" s="25"/>
    </row>
    <row r="27" spans="1:11">
      <c r="A27" s="47" t="s">
        <v>10</v>
      </c>
      <c r="B27" s="94">
        <v>676</v>
      </c>
      <c r="C27" s="95">
        <v>365582.6</v>
      </c>
      <c r="D27" s="95">
        <v>68984.45</v>
      </c>
      <c r="E27" s="95">
        <v>30190.799999999999</v>
      </c>
      <c r="G27" s="64" t="s">
        <v>31</v>
      </c>
      <c r="H27" s="54"/>
      <c r="I27" s="54"/>
      <c r="J27" s="61">
        <f>D34</f>
        <v>914588.81</v>
      </c>
      <c r="K27" s="54"/>
    </row>
    <row r="28" spans="1:11">
      <c r="A28" s="47" t="s">
        <v>11</v>
      </c>
      <c r="B28" s="94">
        <v>679</v>
      </c>
      <c r="C28" s="95">
        <v>314217.84000000003</v>
      </c>
      <c r="D28" s="95">
        <v>63965.67</v>
      </c>
      <c r="E28" s="95">
        <v>45137.13</v>
      </c>
      <c r="G28" s="54"/>
      <c r="H28" s="54"/>
      <c r="I28" s="54"/>
      <c r="J28" s="54"/>
      <c r="K28" s="54"/>
    </row>
    <row r="29" spans="1:11">
      <c r="A29" s="47" t="s">
        <v>12</v>
      </c>
      <c r="B29" s="94">
        <v>679</v>
      </c>
      <c r="C29" s="95">
        <v>601833.31999999995</v>
      </c>
      <c r="D29" s="95">
        <v>91599.97</v>
      </c>
      <c r="E29" s="95">
        <v>40529.07</v>
      </c>
      <c r="G29" s="57"/>
      <c r="H29" s="55"/>
      <c r="I29" s="56" t="s">
        <v>32</v>
      </c>
      <c r="J29" s="63">
        <f>SUM(J23:J28)</f>
        <v>6626346.3999999985</v>
      </c>
      <c r="K29" s="55"/>
    </row>
    <row r="30" spans="1:11">
      <c r="A30" s="47" t="s">
        <v>13</v>
      </c>
      <c r="B30" s="94">
        <v>677</v>
      </c>
      <c r="C30" s="95">
        <v>504431.9</v>
      </c>
      <c r="D30" s="95">
        <v>77874.53</v>
      </c>
      <c r="E30" s="95">
        <v>32537.67</v>
      </c>
    </row>
    <row r="31" spans="1:11">
      <c r="A31" s="47" t="s">
        <v>14</v>
      </c>
      <c r="B31" s="94">
        <v>675</v>
      </c>
      <c r="C31" s="95">
        <v>466052.84</v>
      </c>
      <c r="D31" s="95">
        <v>78266.06</v>
      </c>
      <c r="E31" s="95">
        <v>30481.97</v>
      </c>
    </row>
    <row r="32" spans="1:11">
      <c r="A32" s="47" t="s">
        <v>15</v>
      </c>
      <c r="B32" s="94">
        <v>678</v>
      </c>
      <c r="C32" s="95">
        <v>384158.67</v>
      </c>
      <c r="D32" s="95">
        <v>93975.49</v>
      </c>
      <c r="E32" s="95">
        <v>41191.69</v>
      </c>
    </row>
    <row r="33" spans="1:11">
      <c r="A33" s="47" t="s">
        <v>16</v>
      </c>
      <c r="B33" s="94">
        <v>679</v>
      </c>
      <c r="C33" s="95">
        <v>633220.64</v>
      </c>
      <c r="D33" s="99">
        <v>94567.79</v>
      </c>
      <c r="E33" s="99">
        <v>47399.73</v>
      </c>
    </row>
    <row r="34" spans="1:11" ht="15.75" thickBot="1">
      <c r="A34" s="51" t="s">
        <v>2</v>
      </c>
      <c r="B34" s="52">
        <f>SUM(B22:B33)</f>
        <v>8120</v>
      </c>
      <c r="C34" s="53">
        <f>SUM(C22:C33)</f>
        <v>5221262.209999999</v>
      </c>
      <c r="D34" s="53">
        <f>SUM(D22:D33)</f>
        <v>914588.81</v>
      </c>
      <c r="E34" s="53">
        <f>SUM(E22:E33)</f>
        <v>490495.37999999995</v>
      </c>
    </row>
    <row r="35" spans="1:11" ht="15.75" thickTop="1"/>
    <row r="36" spans="1:11">
      <c r="A36" s="103" t="s">
        <v>34</v>
      </c>
      <c r="B36" s="103"/>
      <c r="C36" s="103"/>
      <c r="D36" s="103"/>
      <c r="E36" s="103"/>
    </row>
    <row r="37" spans="1:11">
      <c r="A37" s="6" t="s">
        <v>0</v>
      </c>
      <c r="B37" s="7" t="s">
        <v>21</v>
      </c>
      <c r="C37" s="6" t="s">
        <v>20</v>
      </c>
      <c r="D37" s="6" t="s">
        <v>19</v>
      </c>
      <c r="E37" s="6" t="s">
        <v>17</v>
      </c>
      <c r="G37" s="58" t="s">
        <v>27</v>
      </c>
      <c r="H37" s="59"/>
      <c r="I37" s="59"/>
      <c r="J37" s="60" t="s">
        <v>37</v>
      </c>
      <c r="K37" s="59"/>
    </row>
    <row r="38" spans="1:11">
      <c r="A38" s="47" t="s">
        <v>5</v>
      </c>
      <c r="B38" s="94">
        <v>724</v>
      </c>
      <c r="C38" s="95">
        <v>308438.46000000002</v>
      </c>
      <c r="D38" s="95">
        <v>111906.35</v>
      </c>
      <c r="E38" s="97">
        <v>56259</v>
      </c>
    </row>
    <row r="39" spans="1:11">
      <c r="A39" s="47" t="s">
        <v>6</v>
      </c>
      <c r="B39" s="94">
        <v>716</v>
      </c>
      <c r="C39" s="95">
        <v>553936.49</v>
      </c>
      <c r="D39" s="95">
        <v>105754.34</v>
      </c>
      <c r="E39" s="95">
        <v>54836.14</v>
      </c>
      <c r="G39" s="64" t="s">
        <v>29</v>
      </c>
      <c r="H39" s="25"/>
      <c r="I39" s="25"/>
      <c r="J39" s="61">
        <f>C50</f>
        <v>3761291.37</v>
      </c>
      <c r="K39" s="25"/>
    </row>
    <row r="40" spans="1:11">
      <c r="A40" s="47" t="s">
        <v>7</v>
      </c>
      <c r="B40" s="94">
        <v>716</v>
      </c>
      <c r="C40" s="95">
        <v>330626.01</v>
      </c>
      <c r="D40" s="95">
        <v>109632.25</v>
      </c>
      <c r="E40" s="95">
        <v>55250.34</v>
      </c>
      <c r="G40" s="64"/>
      <c r="H40" s="25"/>
      <c r="I40" s="25"/>
      <c r="J40" s="61"/>
      <c r="K40" s="25"/>
    </row>
    <row r="41" spans="1:11">
      <c r="A41" s="47" t="s">
        <v>8</v>
      </c>
      <c r="B41" s="94">
        <v>719</v>
      </c>
      <c r="C41" s="95">
        <v>272719.61</v>
      </c>
      <c r="D41" s="95">
        <v>117522.78</v>
      </c>
      <c r="E41" s="95">
        <v>42997.71</v>
      </c>
      <c r="G41" s="64" t="s">
        <v>30</v>
      </c>
      <c r="H41" s="25"/>
      <c r="I41" s="25"/>
      <c r="J41" s="62">
        <f>E50</f>
        <v>533753.37</v>
      </c>
      <c r="K41" s="25"/>
    </row>
    <row r="42" spans="1:11">
      <c r="A42" s="47" t="s">
        <v>9</v>
      </c>
      <c r="B42" s="94">
        <v>716</v>
      </c>
      <c r="C42" s="95">
        <v>260064.38</v>
      </c>
      <c r="D42" s="95">
        <v>92575.99</v>
      </c>
      <c r="E42" s="95">
        <v>47337.21</v>
      </c>
      <c r="G42" s="24"/>
      <c r="H42" s="25"/>
      <c r="I42" s="25"/>
      <c r="J42" s="61"/>
      <c r="K42" s="25"/>
    </row>
    <row r="43" spans="1:11">
      <c r="A43" s="47" t="s">
        <v>10</v>
      </c>
      <c r="B43" s="94">
        <v>710</v>
      </c>
      <c r="C43" s="95">
        <v>332137.64</v>
      </c>
      <c r="D43" s="95">
        <v>88188.34</v>
      </c>
      <c r="E43" s="95">
        <v>40952</v>
      </c>
      <c r="G43" s="64" t="s">
        <v>31</v>
      </c>
      <c r="H43" s="54"/>
      <c r="I43" s="54"/>
      <c r="J43" s="61">
        <f>D50</f>
        <v>1198431.3899999999</v>
      </c>
      <c r="K43" s="54"/>
    </row>
    <row r="44" spans="1:11">
      <c r="A44" s="47" t="s">
        <v>11</v>
      </c>
      <c r="B44" s="94">
        <v>706</v>
      </c>
      <c r="C44" s="95">
        <v>365796.01</v>
      </c>
      <c r="D44" s="95">
        <v>96640.639999999999</v>
      </c>
      <c r="E44" s="95">
        <v>42396.33</v>
      </c>
      <c r="G44" s="54"/>
      <c r="H44" s="54"/>
      <c r="I44" s="54"/>
      <c r="J44" s="54"/>
      <c r="K44" s="54"/>
    </row>
    <row r="45" spans="1:11">
      <c r="A45" s="47" t="s">
        <v>12</v>
      </c>
      <c r="B45" s="94">
        <v>703</v>
      </c>
      <c r="C45" s="95">
        <v>269981.59999999998</v>
      </c>
      <c r="D45" s="95">
        <v>95509.38</v>
      </c>
      <c r="E45" s="95">
        <v>50381.919999999998</v>
      </c>
      <c r="G45" s="57"/>
      <c r="H45" s="55"/>
      <c r="I45" s="56" t="s">
        <v>32</v>
      </c>
      <c r="J45" s="63">
        <f>SUM(J39:J44)</f>
        <v>5493476.1299999999</v>
      </c>
      <c r="K45" s="55"/>
    </row>
    <row r="46" spans="1:11">
      <c r="A46" s="47" t="s">
        <v>13</v>
      </c>
      <c r="B46" s="94">
        <v>694</v>
      </c>
      <c r="C46" s="95">
        <v>293579.63</v>
      </c>
      <c r="D46" s="95">
        <v>101006.27</v>
      </c>
      <c r="E46" s="95">
        <v>33100.49</v>
      </c>
    </row>
    <row r="47" spans="1:11">
      <c r="A47" s="47" t="s">
        <v>14</v>
      </c>
      <c r="B47" s="94">
        <v>691</v>
      </c>
      <c r="C47" s="95">
        <v>250003.76</v>
      </c>
      <c r="D47" s="95">
        <v>87545.03</v>
      </c>
      <c r="E47" s="95">
        <v>42743.92</v>
      </c>
    </row>
    <row r="48" spans="1:11">
      <c r="A48" s="47" t="s">
        <v>15</v>
      </c>
      <c r="B48" s="94">
        <v>687</v>
      </c>
      <c r="C48" s="95">
        <v>215461.45</v>
      </c>
      <c r="D48" s="95">
        <v>90833.35</v>
      </c>
      <c r="E48" s="95">
        <v>30467.95</v>
      </c>
    </row>
    <row r="49" spans="1:11">
      <c r="A49" s="47" t="s">
        <v>16</v>
      </c>
      <c r="B49" s="94">
        <v>690</v>
      </c>
      <c r="C49" s="95">
        <v>308546.33</v>
      </c>
      <c r="D49" s="99">
        <v>101316.67</v>
      </c>
      <c r="E49" s="99">
        <v>37030.36</v>
      </c>
    </row>
    <row r="50" spans="1:11" ht="15.75" thickBot="1">
      <c r="A50" s="51" t="s">
        <v>2</v>
      </c>
      <c r="B50" s="52">
        <f>SUM(B38:B49)</f>
        <v>8472</v>
      </c>
      <c r="C50" s="53">
        <f>SUM(C38:C49)</f>
        <v>3761291.37</v>
      </c>
      <c r="D50" s="53">
        <f>SUM(D38:D49)</f>
        <v>1198431.3899999999</v>
      </c>
      <c r="E50" s="53">
        <f>SUM(E38:E49)</f>
        <v>533753.37</v>
      </c>
    </row>
    <row r="51" spans="1:11" ht="15.75" thickTop="1"/>
    <row r="52" spans="1:11">
      <c r="A52" s="103" t="s">
        <v>35</v>
      </c>
      <c r="B52" s="103"/>
      <c r="C52" s="103"/>
      <c r="D52" s="103"/>
      <c r="E52" s="103"/>
    </row>
    <row r="53" spans="1:11">
      <c r="A53" s="6" t="s">
        <v>0</v>
      </c>
      <c r="B53" s="7" t="s">
        <v>21</v>
      </c>
      <c r="C53" s="6" t="s">
        <v>20</v>
      </c>
      <c r="D53" s="6" t="s">
        <v>19</v>
      </c>
      <c r="E53" s="6" t="s">
        <v>17</v>
      </c>
      <c r="G53" s="58" t="s">
        <v>27</v>
      </c>
      <c r="H53" s="59"/>
      <c r="I53" s="59"/>
      <c r="J53" s="60" t="s">
        <v>38</v>
      </c>
      <c r="K53" s="59"/>
    </row>
    <row r="54" spans="1:11">
      <c r="A54" s="47" t="s">
        <v>5</v>
      </c>
      <c r="B54" s="94">
        <v>719</v>
      </c>
      <c r="C54" s="95">
        <v>181601.53</v>
      </c>
      <c r="D54" s="95">
        <v>92720.07</v>
      </c>
      <c r="E54" s="97">
        <f>36532.52+11350</f>
        <v>47882.52</v>
      </c>
      <c r="F54" s="98"/>
    </row>
    <row r="55" spans="1:11">
      <c r="A55" s="47" t="s">
        <v>6</v>
      </c>
      <c r="B55" s="94">
        <v>720</v>
      </c>
      <c r="C55" s="95">
        <v>371683.89</v>
      </c>
      <c r="D55" s="95">
        <v>81852.72</v>
      </c>
      <c r="E55" s="95">
        <f>31431.38+9182</f>
        <v>40613.380000000005</v>
      </c>
      <c r="F55" s="98"/>
      <c r="G55" s="64" t="s">
        <v>29</v>
      </c>
      <c r="H55" s="25"/>
      <c r="I55" s="25"/>
      <c r="J55" s="61">
        <f>C66</f>
        <v>3871678.0100000002</v>
      </c>
      <c r="K55" s="25"/>
    </row>
    <row r="56" spans="1:11">
      <c r="A56" s="47" t="s">
        <v>7</v>
      </c>
      <c r="B56" s="94">
        <v>724</v>
      </c>
      <c r="C56" s="95">
        <v>308119.71999999997</v>
      </c>
      <c r="D56" s="95">
        <v>90548.84</v>
      </c>
      <c r="E56" s="95">
        <f>29748.49+10691</f>
        <v>40439.490000000005</v>
      </c>
      <c r="F56" s="98"/>
      <c r="G56" s="64"/>
      <c r="H56" s="25"/>
      <c r="I56" s="25"/>
      <c r="J56" s="61"/>
      <c r="K56" s="25"/>
    </row>
    <row r="57" spans="1:11">
      <c r="A57" s="47" t="s">
        <v>8</v>
      </c>
      <c r="B57" s="94">
        <v>731</v>
      </c>
      <c r="C57" s="95">
        <v>516627.45</v>
      </c>
      <c r="D57" s="95">
        <v>96651.16</v>
      </c>
      <c r="E57" s="95">
        <f>29084.09+7027</f>
        <v>36111.089999999997</v>
      </c>
      <c r="F57" s="98"/>
      <c r="G57" s="64" t="s">
        <v>30</v>
      </c>
      <c r="H57" s="25"/>
      <c r="I57" s="25"/>
      <c r="J57" s="62">
        <f>E66</f>
        <v>453838.39999999997</v>
      </c>
      <c r="K57" s="25"/>
    </row>
    <row r="58" spans="1:11">
      <c r="A58" s="47" t="s">
        <v>9</v>
      </c>
      <c r="B58" s="94">
        <v>730</v>
      </c>
      <c r="C58" s="95">
        <v>322981.11</v>
      </c>
      <c r="D58" s="95">
        <v>83250.539999999994</v>
      </c>
      <c r="E58" s="95">
        <f>37583.66+10803</f>
        <v>48386.66</v>
      </c>
      <c r="F58" s="98"/>
      <c r="G58" s="24"/>
      <c r="H58" s="25"/>
      <c r="I58" s="25"/>
      <c r="J58" s="61"/>
      <c r="K58" s="25"/>
    </row>
    <row r="59" spans="1:11">
      <c r="A59" s="47" t="s">
        <v>10</v>
      </c>
      <c r="B59" s="94">
        <v>732</v>
      </c>
      <c r="C59" s="95">
        <v>297068.5</v>
      </c>
      <c r="D59" s="95">
        <v>92351.11</v>
      </c>
      <c r="E59" s="95">
        <f>25112.02+8509</f>
        <v>33621.020000000004</v>
      </c>
      <c r="F59" s="98"/>
      <c r="G59" s="64" t="s">
        <v>31</v>
      </c>
      <c r="H59" s="54"/>
      <c r="I59" s="54"/>
      <c r="J59" s="61">
        <f>D66</f>
        <v>1122670.21</v>
      </c>
      <c r="K59" s="54"/>
    </row>
    <row r="60" spans="1:11">
      <c r="A60" s="47" t="s">
        <v>11</v>
      </c>
      <c r="B60" s="94">
        <v>723</v>
      </c>
      <c r="C60" s="95">
        <v>295400.13</v>
      </c>
      <c r="D60" s="95">
        <v>85377.1</v>
      </c>
      <c r="E60" s="95">
        <f>29204.02+11596</f>
        <v>40800.020000000004</v>
      </c>
      <c r="F60" s="98"/>
      <c r="G60" s="54"/>
      <c r="H60" s="54"/>
      <c r="I60" s="54"/>
      <c r="J60" s="54"/>
      <c r="K60" s="54"/>
    </row>
    <row r="61" spans="1:11">
      <c r="A61" s="47" t="s">
        <v>12</v>
      </c>
      <c r="B61" s="94">
        <v>726</v>
      </c>
      <c r="C61" s="95">
        <v>256023.43</v>
      </c>
      <c r="D61" s="95">
        <v>84934.69</v>
      </c>
      <c r="E61" s="95">
        <f>22766.37+5969</f>
        <v>28735.37</v>
      </c>
      <c r="F61" s="98"/>
      <c r="G61" s="57"/>
      <c r="H61" s="55"/>
      <c r="I61" s="56" t="s">
        <v>32</v>
      </c>
      <c r="J61" s="63">
        <f>SUM(J55:J60)</f>
        <v>5448186.6200000001</v>
      </c>
      <c r="K61" s="55"/>
    </row>
    <row r="62" spans="1:11">
      <c r="A62" s="47" t="s">
        <v>13</v>
      </c>
      <c r="B62" s="94">
        <v>719</v>
      </c>
      <c r="C62" s="95">
        <v>363855.39</v>
      </c>
      <c r="D62" s="95">
        <v>105865.3</v>
      </c>
      <c r="E62" s="95">
        <f>26421.39+3561</f>
        <v>29982.39</v>
      </c>
      <c r="F62" s="98"/>
    </row>
    <row r="63" spans="1:11">
      <c r="A63" s="47" t="s">
        <v>14</v>
      </c>
      <c r="B63" s="94">
        <v>716</v>
      </c>
      <c r="C63" s="95">
        <v>278221.21999999997</v>
      </c>
      <c r="D63" s="95">
        <v>103530.69</v>
      </c>
      <c r="E63" s="95">
        <f>28848.29+7098</f>
        <v>35946.29</v>
      </c>
      <c r="F63" s="98"/>
    </row>
    <row r="64" spans="1:11">
      <c r="A64" s="47" t="s">
        <v>15</v>
      </c>
      <c r="B64" s="94">
        <v>716</v>
      </c>
      <c r="C64" s="95">
        <v>271039.06</v>
      </c>
      <c r="D64" s="95">
        <v>95128.38</v>
      </c>
      <c r="E64" s="95">
        <f>29081.12+9359</f>
        <v>38440.119999999995</v>
      </c>
      <c r="F64" s="98"/>
    </row>
    <row r="65" spans="1:6">
      <c r="A65" s="47" t="s">
        <v>16</v>
      </c>
      <c r="B65" s="94">
        <v>718</v>
      </c>
      <c r="C65" s="95">
        <v>409056.58</v>
      </c>
      <c r="D65" s="99">
        <v>110459.61</v>
      </c>
      <c r="E65" s="99">
        <f>27061.05+5819</f>
        <v>32880.050000000003</v>
      </c>
      <c r="F65" s="98"/>
    </row>
    <row r="66" spans="1:6" ht="15.75" thickBot="1">
      <c r="A66" s="51" t="s">
        <v>2</v>
      </c>
      <c r="B66" s="52">
        <f>SUM(B54:B65)</f>
        <v>8674</v>
      </c>
      <c r="C66" s="53">
        <f>SUM(C54:C65)</f>
        <v>3871678.0100000002</v>
      </c>
      <c r="D66" s="53">
        <f>SUM(D54:D65)</f>
        <v>1122670.21</v>
      </c>
      <c r="E66" s="53">
        <f>SUM(E54:E65)</f>
        <v>453838.39999999997</v>
      </c>
    </row>
    <row r="67" spans="1:6" ht="15.75" thickTop="1"/>
  </sheetData>
  <mergeCells count="7">
    <mergeCell ref="A36:E36"/>
    <mergeCell ref="A52:E52"/>
    <mergeCell ref="A1:K1"/>
    <mergeCell ref="A2:K2"/>
    <mergeCell ref="A3:K3"/>
    <mergeCell ref="A4:E4"/>
    <mergeCell ref="A20:E2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S67"/>
  <sheetViews>
    <sheetView workbookViewId="0">
      <selection activeCell="S54" sqref="S54:S65"/>
    </sheetView>
  </sheetViews>
  <sheetFormatPr defaultRowHeight="15"/>
  <cols>
    <col min="1" max="1" width="9.7109375" style="5" bestFit="1" customWidth="1"/>
    <col min="2" max="2" width="2.7109375" customWidth="1"/>
    <col min="3" max="3" width="8" customWidth="1"/>
    <col min="4" max="4" width="10.42578125" bestFit="1" customWidth="1"/>
    <col min="5" max="5" width="11.7109375" customWidth="1"/>
    <col min="6" max="6" width="2.7109375" customWidth="1"/>
    <col min="7" max="7" width="7.28515625" bestFit="1" customWidth="1"/>
    <col min="8" max="8" width="10.42578125" bestFit="1" customWidth="1"/>
    <col min="9" max="9" width="11.28515625" customWidth="1"/>
    <col min="10" max="10" width="2.7109375" customWidth="1"/>
    <col min="11" max="11" width="12.7109375" customWidth="1"/>
    <col min="13" max="13" width="11.28515625" customWidth="1"/>
    <col min="14" max="14" width="2.7109375" customWidth="1"/>
    <col min="15" max="15" width="7.140625" bestFit="1" customWidth="1"/>
    <col min="17" max="17" width="2.7109375" customWidth="1"/>
    <col min="18" max="18" width="7.140625" bestFit="1" customWidth="1"/>
  </cols>
  <sheetData>
    <row r="1" spans="1:19">
      <c r="A1" s="104" t="s">
        <v>3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</row>
    <row r="2" spans="1:19">
      <c r="A2" s="104" t="s">
        <v>24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</row>
    <row r="3" spans="1:19">
      <c r="A3" s="105" t="s">
        <v>4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</row>
    <row r="4" spans="1:19">
      <c r="A4" s="68">
        <v>2012</v>
      </c>
      <c r="B4" s="8"/>
      <c r="C4" s="103" t="s">
        <v>39</v>
      </c>
      <c r="D4" s="103"/>
      <c r="E4" s="103"/>
      <c r="F4" s="11"/>
      <c r="G4" s="103" t="s">
        <v>40</v>
      </c>
      <c r="H4" s="103"/>
      <c r="I4" s="103"/>
      <c r="J4" s="11"/>
      <c r="K4" s="103" t="s">
        <v>41</v>
      </c>
      <c r="L4" s="103"/>
      <c r="M4" s="103"/>
      <c r="O4" s="103" t="s">
        <v>42</v>
      </c>
      <c r="P4" s="103"/>
      <c r="R4" s="103" t="s">
        <v>43</v>
      </c>
      <c r="S4" s="103"/>
    </row>
    <row r="5" spans="1:19">
      <c r="A5" s="6" t="s">
        <v>0</v>
      </c>
      <c r="B5" s="6"/>
      <c r="C5" s="7" t="s">
        <v>21</v>
      </c>
      <c r="D5" s="6" t="s">
        <v>20</v>
      </c>
      <c r="E5" s="6" t="s">
        <v>19</v>
      </c>
      <c r="F5" s="6"/>
      <c r="G5" s="7" t="s">
        <v>21</v>
      </c>
      <c r="H5" s="6" t="s">
        <v>20</v>
      </c>
      <c r="I5" s="6" t="s">
        <v>19</v>
      </c>
      <c r="J5" s="6"/>
      <c r="K5" s="7" t="s">
        <v>21</v>
      </c>
      <c r="L5" s="6" t="s">
        <v>20</v>
      </c>
      <c r="M5" s="6" t="s">
        <v>19</v>
      </c>
      <c r="N5" s="92"/>
      <c r="O5" s="7" t="s">
        <v>21</v>
      </c>
      <c r="P5" s="6" t="s">
        <v>23</v>
      </c>
      <c r="Q5" s="92"/>
      <c r="R5" s="7" t="s">
        <v>21</v>
      </c>
      <c r="S5" s="6" t="s">
        <v>23</v>
      </c>
    </row>
    <row r="6" spans="1:19">
      <c r="A6" s="93" t="s">
        <v>5</v>
      </c>
      <c r="B6" s="18"/>
      <c r="C6" s="12">
        <v>283</v>
      </c>
      <c r="D6" s="13">
        <v>335378.65999999997</v>
      </c>
      <c r="E6" s="13">
        <v>57104.97</v>
      </c>
      <c r="F6" s="10"/>
      <c r="G6" s="19">
        <v>318</v>
      </c>
      <c r="H6" s="20">
        <v>149684.29999999999</v>
      </c>
      <c r="I6" s="20">
        <v>27083.13</v>
      </c>
      <c r="J6" s="10"/>
      <c r="K6" s="26">
        <v>85</v>
      </c>
      <c r="L6" s="27">
        <v>4802.29</v>
      </c>
      <c r="M6" s="27">
        <v>5917.05</v>
      </c>
      <c r="N6" s="92"/>
      <c r="O6" s="94">
        <v>588</v>
      </c>
      <c r="P6" s="96">
        <v>13186.03</v>
      </c>
      <c r="Q6" s="92"/>
      <c r="R6" s="94">
        <v>99</v>
      </c>
      <c r="S6" s="97">
        <v>18716.580000000002</v>
      </c>
    </row>
    <row r="7" spans="1:19">
      <c r="A7" s="93" t="s">
        <v>6</v>
      </c>
      <c r="B7" s="18"/>
      <c r="C7" s="12">
        <v>283</v>
      </c>
      <c r="D7" s="13">
        <v>336718.19</v>
      </c>
      <c r="E7" s="13">
        <v>56356.98</v>
      </c>
      <c r="F7" s="10"/>
      <c r="G7" s="19">
        <v>313</v>
      </c>
      <c r="H7" s="20">
        <v>102783.74</v>
      </c>
      <c r="I7" s="20">
        <v>24547.64</v>
      </c>
      <c r="J7" s="10"/>
      <c r="K7" s="26">
        <v>86</v>
      </c>
      <c r="L7" s="27">
        <v>13338.98</v>
      </c>
      <c r="M7" s="27">
        <v>5683.35</v>
      </c>
      <c r="N7" s="92"/>
      <c r="O7" s="94">
        <v>588</v>
      </c>
      <c r="P7" s="98">
        <v>20710.38</v>
      </c>
      <c r="Q7" s="92"/>
      <c r="R7" s="94">
        <v>97</v>
      </c>
      <c r="S7" s="95">
        <v>16977.78</v>
      </c>
    </row>
    <row r="8" spans="1:19">
      <c r="A8" s="93" t="s">
        <v>7</v>
      </c>
      <c r="B8" s="18"/>
      <c r="C8" s="12">
        <v>278</v>
      </c>
      <c r="D8" s="13">
        <v>645044.4</v>
      </c>
      <c r="E8" s="13">
        <v>51524.21</v>
      </c>
      <c r="F8" s="10"/>
      <c r="G8" s="19">
        <v>316</v>
      </c>
      <c r="H8" s="20">
        <v>291534.67</v>
      </c>
      <c r="I8" s="20">
        <v>67036.600000000006</v>
      </c>
      <c r="J8" s="10"/>
      <c r="K8" s="26">
        <v>88</v>
      </c>
      <c r="L8" s="27">
        <v>22263.09</v>
      </c>
      <c r="M8" s="27">
        <v>7386.12</v>
      </c>
      <c r="N8" s="92"/>
      <c r="O8" s="94">
        <v>582</v>
      </c>
      <c r="P8" s="98">
        <v>31052.2</v>
      </c>
      <c r="Q8" s="92"/>
      <c r="R8" s="94">
        <v>100</v>
      </c>
      <c r="S8" s="95">
        <v>20855.43</v>
      </c>
    </row>
    <row r="9" spans="1:19">
      <c r="A9" s="93" t="s">
        <v>8</v>
      </c>
      <c r="B9" s="18"/>
      <c r="C9" s="12">
        <v>280</v>
      </c>
      <c r="D9" s="13">
        <v>212587.01</v>
      </c>
      <c r="E9" s="13">
        <v>55285.88</v>
      </c>
      <c r="F9" s="10"/>
      <c r="G9" s="19">
        <v>317</v>
      </c>
      <c r="H9" s="20">
        <v>81671.25</v>
      </c>
      <c r="I9" s="20">
        <v>61355.97</v>
      </c>
      <c r="J9" s="10"/>
      <c r="K9" s="26">
        <v>87</v>
      </c>
      <c r="L9" s="27">
        <v>8574.2999999999993</v>
      </c>
      <c r="M9" s="27">
        <v>5474.51</v>
      </c>
      <c r="N9" s="92"/>
      <c r="O9" s="94">
        <v>581</v>
      </c>
      <c r="P9" s="98">
        <v>27097.7</v>
      </c>
      <c r="Q9" s="92"/>
      <c r="R9" s="94">
        <v>101</v>
      </c>
      <c r="S9" s="95">
        <v>17175.689999999999</v>
      </c>
    </row>
    <row r="10" spans="1:19">
      <c r="A10" s="93" t="s">
        <v>9</v>
      </c>
      <c r="B10" s="18"/>
      <c r="C10" s="12">
        <v>278</v>
      </c>
      <c r="D10" s="13">
        <v>402622.74</v>
      </c>
      <c r="E10" s="13">
        <v>58016.72</v>
      </c>
      <c r="F10" s="10"/>
      <c r="G10" s="19">
        <v>314</v>
      </c>
      <c r="H10" s="20">
        <v>110561.13</v>
      </c>
      <c r="I10" s="20">
        <v>109821.51</v>
      </c>
      <c r="J10" s="10"/>
      <c r="K10" s="26">
        <v>87</v>
      </c>
      <c r="L10" s="27">
        <v>4733.08</v>
      </c>
      <c r="M10" s="27">
        <v>5925.02</v>
      </c>
      <c r="N10" s="92"/>
      <c r="O10" s="94">
        <v>577</v>
      </c>
      <c r="P10" s="98">
        <v>14193.86</v>
      </c>
      <c r="Q10" s="92"/>
      <c r="R10" s="94">
        <v>101</v>
      </c>
      <c r="S10" s="95">
        <v>12243.51</v>
      </c>
    </row>
    <row r="11" spans="1:19">
      <c r="A11" s="93" t="s">
        <v>10</v>
      </c>
      <c r="B11" s="18"/>
      <c r="C11" s="12">
        <v>272</v>
      </c>
      <c r="D11" s="13">
        <v>536076.29</v>
      </c>
      <c r="E11" s="13">
        <v>56102.27</v>
      </c>
      <c r="F11" s="10"/>
      <c r="G11" s="19">
        <v>314</v>
      </c>
      <c r="H11" s="20">
        <v>103469.12</v>
      </c>
      <c r="I11" s="20">
        <v>63151.75</v>
      </c>
      <c r="J11" s="10"/>
      <c r="K11" s="26">
        <v>87</v>
      </c>
      <c r="L11" s="27">
        <v>52709.08</v>
      </c>
      <c r="M11" s="27">
        <v>4876.82</v>
      </c>
      <c r="N11" s="92"/>
      <c r="O11" s="94">
        <v>574</v>
      </c>
      <c r="P11" s="98">
        <v>14665.97</v>
      </c>
      <c r="Q11" s="92"/>
      <c r="R11" s="94">
        <v>98</v>
      </c>
      <c r="S11" s="95">
        <v>14616.22</v>
      </c>
    </row>
    <row r="12" spans="1:19">
      <c r="A12" s="93" t="s">
        <v>11</v>
      </c>
      <c r="B12" s="18"/>
      <c r="C12" s="12">
        <v>272</v>
      </c>
      <c r="D12" s="13">
        <v>445414.85</v>
      </c>
      <c r="E12" s="13">
        <v>49299.62</v>
      </c>
      <c r="F12" s="10"/>
      <c r="G12" s="19">
        <v>314</v>
      </c>
      <c r="H12" s="20">
        <v>129100.1</v>
      </c>
      <c r="I12" s="20">
        <v>64469.96</v>
      </c>
      <c r="J12" s="10"/>
      <c r="K12" s="26">
        <v>92</v>
      </c>
      <c r="L12" s="27">
        <v>15941.55</v>
      </c>
      <c r="M12" s="27">
        <v>4846.9399999999996</v>
      </c>
      <c r="N12" s="92"/>
      <c r="O12" s="94">
        <v>575</v>
      </c>
      <c r="P12" s="98">
        <v>19228.75</v>
      </c>
      <c r="Q12" s="92"/>
      <c r="R12" s="94">
        <v>100</v>
      </c>
      <c r="S12" s="95">
        <v>17772.939999999999</v>
      </c>
    </row>
    <row r="13" spans="1:19">
      <c r="A13" s="93" t="s">
        <v>12</v>
      </c>
      <c r="B13" s="18"/>
      <c r="C13" s="12">
        <v>271</v>
      </c>
      <c r="D13" s="13">
        <v>299134</v>
      </c>
      <c r="E13" s="13">
        <v>52289.84</v>
      </c>
      <c r="F13" s="10"/>
      <c r="G13" s="19">
        <v>320</v>
      </c>
      <c r="H13" s="20">
        <v>90753.83</v>
      </c>
      <c r="I13" s="20">
        <v>59715.47</v>
      </c>
      <c r="J13" s="10"/>
      <c r="K13" s="26">
        <v>92</v>
      </c>
      <c r="L13" s="27">
        <v>19310.990000000002</v>
      </c>
      <c r="M13" s="27">
        <v>3913.46</v>
      </c>
      <c r="N13" s="92"/>
      <c r="O13" s="94">
        <v>578</v>
      </c>
      <c r="P13" s="98">
        <v>19076.330000000002</v>
      </c>
      <c r="Q13" s="92"/>
      <c r="R13" s="94">
        <v>99</v>
      </c>
      <c r="S13" s="95">
        <v>15501.6</v>
      </c>
    </row>
    <row r="14" spans="1:19">
      <c r="A14" s="93" t="s">
        <v>13</v>
      </c>
      <c r="B14" s="18"/>
      <c r="C14" s="12">
        <v>270</v>
      </c>
      <c r="D14" s="13">
        <v>404704.81</v>
      </c>
      <c r="E14" s="13">
        <v>65664.83</v>
      </c>
      <c r="F14" s="10"/>
      <c r="G14" s="19">
        <v>318</v>
      </c>
      <c r="H14" s="20">
        <v>58724.4</v>
      </c>
      <c r="I14" s="20">
        <v>62684.63</v>
      </c>
      <c r="J14" s="10"/>
      <c r="K14" s="26">
        <v>91</v>
      </c>
      <c r="L14" s="27">
        <v>10632.55</v>
      </c>
      <c r="M14" s="27">
        <v>5521.86</v>
      </c>
      <c r="N14" s="92"/>
      <c r="O14" s="94">
        <v>576</v>
      </c>
      <c r="P14" s="98">
        <v>18715.689999999999</v>
      </c>
      <c r="Q14" s="92"/>
      <c r="R14" s="94">
        <v>98</v>
      </c>
      <c r="S14" s="95">
        <v>15963.09</v>
      </c>
    </row>
    <row r="15" spans="1:19">
      <c r="A15" s="93" t="s">
        <v>14</v>
      </c>
      <c r="B15" s="18"/>
      <c r="C15" s="12">
        <v>268</v>
      </c>
      <c r="D15" s="13">
        <v>291650.44</v>
      </c>
      <c r="E15" s="13">
        <v>53342.73</v>
      </c>
      <c r="F15" s="10"/>
      <c r="G15" s="19">
        <v>318</v>
      </c>
      <c r="H15" s="20">
        <v>113465.64</v>
      </c>
      <c r="I15" s="20">
        <v>65518.28</v>
      </c>
      <c r="J15" s="10"/>
      <c r="K15" s="26">
        <v>90</v>
      </c>
      <c r="L15" s="27">
        <v>27459.53</v>
      </c>
      <c r="M15" s="27">
        <v>5903.98</v>
      </c>
      <c r="N15" s="92"/>
      <c r="O15" s="94">
        <v>573</v>
      </c>
      <c r="P15" s="98">
        <v>25370.34</v>
      </c>
      <c r="Q15" s="92"/>
      <c r="R15" s="94">
        <v>97</v>
      </c>
      <c r="S15" s="95">
        <v>19182.55</v>
      </c>
    </row>
    <row r="16" spans="1:19">
      <c r="A16" s="93" t="s">
        <v>15</v>
      </c>
      <c r="B16" s="18"/>
      <c r="C16" s="12">
        <v>265</v>
      </c>
      <c r="D16" s="13">
        <v>236382.14</v>
      </c>
      <c r="E16" s="13">
        <v>52119.89</v>
      </c>
      <c r="F16" s="10"/>
      <c r="G16" s="19">
        <v>309</v>
      </c>
      <c r="H16" s="20">
        <v>160080.63</v>
      </c>
      <c r="I16" s="20">
        <v>65379.53</v>
      </c>
      <c r="J16" s="10"/>
      <c r="K16" s="26">
        <v>94</v>
      </c>
      <c r="L16" s="27">
        <v>14149.28</v>
      </c>
      <c r="M16" s="27">
        <v>9976.3799999999992</v>
      </c>
      <c r="N16" s="92"/>
      <c r="O16" s="94">
        <v>566</v>
      </c>
      <c r="P16" s="98">
        <v>20357.990000000002</v>
      </c>
      <c r="Q16" s="92"/>
      <c r="R16" s="94">
        <v>98</v>
      </c>
      <c r="S16" s="95">
        <v>10009.11</v>
      </c>
    </row>
    <row r="17" spans="1:19">
      <c r="A17" s="93" t="s">
        <v>16</v>
      </c>
      <c r="B17" s="18"/>
      <c r="C17" s="12">
        <v>260</v>
      </c>
      <c r="D17" s="13">
        <v>392089.45</v>
      </c>
      <c r="E17" s="14">
        <v>59315.76</v>
      </c>
      <c r="F17" s="10"/>
      <c r="G17" s="19">
        <v>308</v>
      </c>
      <c r="H17" s="20">
        <v>73435.820000000007</v>
      </c>
      <c r="I17" s="21">
        <v>89324.18</v>
      </c>
      <c r="J17" s="10"/>
      <c r="K17" s="26">
        <v>94</v>
      </c>
      <c r="L17" s="27">
        <v>30277.57</v>
      </c>
      <c r="M17" s="28">
        <v>4893.16</v>
      </c>
      <c r="N17" s="92"/>
      <c r="O17" s="94">
        <v>558</v>
      </c>
      <c r="P17" s="98">
        <v>27509.82</v>
      </c>
      <c r="Q17" s="92"/>
      <c r="R17" s="94">
        <v>98</v>
      </c>
      <c r="S17" s="99">
        <v>14102.34</v>
      </c>
    </row>
    <row r="18" spans="1:19" ht="15.75" thickBot="1">
      <c r="A18" s="100" t="s">
        <v>2</v>
      </c>
      <c r="B18" s="17"/>
      <c r="C18" s="15">
        <f>SUM(C6:C17)</f>
        <v>3280</v>
      </c>
      <c r="D18" s="16">
        <f>SUM(D6:D17)</f>
        <v>4537802.9800000004</v>
      </c>
      <c r="E18" s="16">
        <f>SUM(E6:E17)</f>
        <v>666423.70000000007</v>
      </c>
      <c r="F18" s="9"/>
      <c r="G18" s="15">
        <f>SUM(G6:G17)</f>
        <v>3779</v>
      </c>
      <c r="H18" s="16">
        <f>SUM(H6:H17)</f>
        <v>1465264.6299999997</v>
      </c>
      <c r="I18" s="16">
        <f>SUM(I6:I17)</f>
        <v>760088.65000000014</v>
      </c>
      <c r="J18" s="9"/>
      <c r="K18" s="22">
        <f>SUM(K6:K17)</f>
        <v>1073</v>
      </c>
      <c r="L18" s="23">
        <f>SUM(L6:L17)</f>
        <v>224192.29</v>
      </c>
      <c r="M18" s="23">
        <f>SUM(M6:M17)</f>
        <v>70318.649999999994</v>
      </c>
      <c r="N18" s="92"/>
      <c r="O18" s="101">
        <f>SUM(O6:O17)</f>
        <v>6916</v>
      </c>
      <c r="P18" s="102">
        <f>SUM(P6:P17)</f>
        <v>251165.06000000003</v>
      </c>
      <c r="Q18" s="92"/>
      <c r="R18" s="101">
        <f>SUM(R6:R17)</f>
        <v>1186</v>
      </c>
      <c r="S18" s="102">
        <f>SUM(S6:S17)</f>
        <v>193116.84</v>
      </c>
    </row>
    <row r="19" spans="1:19" ht="15.75" thickTop="1"/>
    <row r="20" spans="1:19">
      <c r="A20" s="68">
        <v>2011</v>
      </c>
      <c r="B20" s="8"/>
      <c r="C20" s="103" t="s">
        <v>44</v>
      </c>
      <c r="D20" s="103"/>
      <c r="E20" s="103"/>
      <c r="F20" s="11"/>
      <c r="G20" s="103" t="s">
        <v>45</v>
      </c>
      <c r="H20" s="103"/>
      <c r="I20" s="103"/>
      <c r="J20" s="11"/>
      <c r="K20" s="103" t="s">
        <v>46</v>
      </c>
      <c r="L20" s="103"/>
      <c r="M20" s="103"/>
      <c r="O20" s="103" t="s">
        <v>42</v>
      </c>
      <c r="P20" s="103"/>
      <c r="R20" s="103" t="s">
        <v>43</v>
      </c>
      <c r="S20" s="103"/>
    </row>
    <row r="21" spans="1:19">
      <c r="A21" s="6" t="s">
        <v>0</v>
      </c>
      <c r="B21" s="6"/>
      <c r="C21" s="7" t="s">
        <v>21</v>
      </c>
      <c r="D21" s="6" t="s">
        <v>20</v>
      </c>
      <c r="E21" s="6" t="s">
        <v>19</v>
      </c>
      <c r="F21" s="6"/>
      <c r="G21" s="7" t="s">
        <v>21</v>
      </c>
      <c r="H21" s="6" t="s">
        <v>20</v>
      </c>
      <c r="I21" s="6" t="s">
        <v>19</v>
      </c>
      <c r="J21" s="6"/>
      <c r="K21" s="7" t="s">
        <v>21</v>
      </c>
      <c r="L21" s="6" t="s">
        <v>20</v>
      </c>
      <c r="M21" s="6" t="s">
        <v>19</v>
      </c>
      <c r="N21" s="92"/>
      <c r="O21" s="7" t="s">
        <v>21</v>
      </c>
      <c r="P21" s="6" t="s">
        <v>23</v>
      </c>
      <c r="Q21" s="92"/>
      <c r="R21" s="7" t="s">
        <v>21</v>
      </c>
      <c r="S21" s="6" t="s">
        <v>23</v>
      </c>
    </row>
    <row r="22" spans="1:19">
      <c r="A22" s="93" t="s">
        <v>5</v>
      </c>
      <c r="B22" s="18"/>
      <c r="C22" s="71">
        <v>287</v>
      </c>
      <c r="D22" s="72">
        <v>340083.79</v>
      </c>
      <c r="E22" s="72">
        <v>33287.49</v>
      </c>
      <c r="F22" s="10"/>
      <c r="G22" s="74">
        <v>337</v>
      </c>
      <c r="H22" s="75">
        <v>60176.65</v>
      </c>
      <c r="I22" s="75">
        <v>19671.63</v>
      </c>
      <c r="J22" s="10"/>
      <c r="K22" s="78">
        <v>58</v>
      </c>
      <c r="L22" s="79">
        <v>4122.5200000000004</v>
      </c>
      <c r="M22" s="79">
        <v>3043.49</v>
      </c>
      <c r="N22" s="92"/>
      <c r="O22" s="94">
        <v>585</v>
      </c>
      <c r="P22" s="96">
        <v>35769.42</v>
      </c>
      <c r="Q22" s="92"/>
      <c r="R22" s="94">
        <v>105</v>
      </c>
      <c r="S22" s="97">
        <v>15562.5</v>
      </c>
    </row>
    <row r="23" spans="1:19">
      <c r="A23" s="93" t="s">
        <v>6</v>
      </c>
      <c r="B23" s="18"/>
      <c r="C23" s="71">
        <v>282</v>
      </c>
      <c r="D23" s="72">
        <v>227803.96</v>
      </c>
      <c r="E23" s="72">
        <v>32273.46</v>
      </c>
      <c r="F23" s="10"/>
      <c r="G23" s="74">
        <v>336</v>
      </c>
      <c r="H23" s="75">
        <v>81123.710000000006</v>
      </c>
      <c r="I23" s="75">
        <v>31659.79</v>
      </c>
      <c r="J23" s="10"/>
      <c r="K23" s="78">
        <v>57</v>
      </c>
      <c r="L23" s="79">
        <v>1323.81</v>
      </c>
      <c r="M23" s="79">
        <v>3615.87</v>
      </c>
      <c r="N23" s="92"/>
      <c r="O23" s="94">
        <v>580</v>
      </c>
      <c r="P23" s="98">
        <v>20408.93</v>
      </c>
      <c r="Q23" s="92"/>
      <c r="R23" s="94">
        <v>102</v>
      </c>
      <c r="S23" s="95">
        <v>14516.97</v>
      </c>
    </row>
    <row r="24" spans="1:19">
      <c r="A24" s="93" t="s">
        <v>7</v>
      </c>
      <c r="B24" s="18"/>
      <c r="C24" s="71">
        <v>284</v>
      </c>
      <c r="D24" s="72">
        <v>284240.96000000002</v>
      </c>
      <c r="E24" s="72">
        <v>48170.86</v>
      </c>
      <c r="F24" s="10"/>
      <c r="G24" s="74">
        <v>337</v>
      </c>
      <c r="H24" s="75">
        <v>171884.43</v>
      </c>
      <c r="I24" s="75">
        <v>24765.86</v>
      </c>
      <c r="J24" s="10"/>
      <c r="K24" s="78">
        <v>58</v>
      </c>
      <c r="L24" s="79">
        <v>7878.51</v>
      </c>
      <c r="M24" s="79">
        <v>4781.87</v>
      </c>
      <c r="N24" s="92"/>
      <c r="O24" s="94">
        <v>584</v>
      </c>
      <c r="P24" s="98">
        <v>21006.37</v>
      </c>
      <c r="Q24" s="92"/>
      <c r="R24" s="94">
        <v>103</v>
      </c>
      <c r="S24" s="95">
        <v>14021.45</v>
      </c>
    </row>
    <row r="25" spans="1:19">
      <c r="A25" s="93" t="s">
        <v>8</v>
      </c>
      <c r="B25" s="18"/>
      <c r="C25" s="71">
        <v>283</v>
      </c>
      <c r="D25" s="72">
        <v>154603.76</v>
      </c>
      <c r="E25" s="72">
        <v>40468.660000000003</v>
      </c>
      <c r="F25" s="10"/>
      <c r="G25" s="74">
        <v>334</v>
      </c>
      <c r="H25" s="75">
        <v>250998.5</v>
      </c>
      <c r="I25" s="75">
        <v>24082.51</v>
      </c>
      <c r="J25" s="10"/>
      <c r="K25" s="78">
        <v>55</v>
      </c>
      <c r="L25" s="79">
        <v>6699.4</v>
      </c>
      <c r="M25" s="79">
        <v>2577.7399999999998</v>
      </c>
      <c r="N25" s="92"/>
      <c r="O25" s="94">
        <v>580</v>
      </c>
      <c r="P25" s="98">
        <v>18982.29</v>
      </c>
      <c r="Q25" s="92"/>
      <c r="R25" s="94">
        <v>102</v>
      </c>
      <c r="S25" s="95">
        <v>23136.84</v>
      </c>
    </row>
    <row r="26" spans="1:19">
      <c r="A26" s="93" t="s">
        <v>9</v>
      </c>
      <c r="B26" s="18"/>
      <c r="C26" s="71">
        <v>281</v>
      </c>
      <c r="D26" s="72">
        <v>181877.04</v>
      </c>
      <c r="E26" s="72">
        <v>37276.839999999997</v>
      </c>
      <c r="F26" s="10"/>
      <c r="G26" s="74">
        <v>333</v>
      </c>
      <c r="H26" s="75">
        <v>161078.96</v>
      </c>
      <c r="I26" s="75">
        <v>35808.769999999997</v>
      </c>
      <c r="J26" s="10"/>
      <c r="K26" s="78">
        <v>55</v>
      </c>
      <c r="L26" s="79">
        <v>17868.400000000001</v>
      </c>
      <c r="M26" s="79">
        <v>3870.01</v>
      </c>
      <c r="N26" s="92"/>
      <c r="O26" s="94">
        <v>578</v>
      </c>
      <c r="P26" s="98">
        <v>21856.33</v>
      </c>
      <c r="Q26" s="92"/>
      <c r="R26" s="94">
        <v>100</v>
      </c>
      <c r="S26" s="95">
        <v>23804.26</v>
      </c>
    </row>
    <row r="27" spans="1:19">
      <c r="A27" s="93" t="s">
        <v>10</v>
      </c>
      <c r="B27" s="18"/>
      <c r="C27" s="71">
        <v>277</v>
      </c>
      <c r="D27" s="72">
        <v>234003.82</v>
      </c>
      <c r="E27" s="72">
        <v>43884.72</v>
      </c>
      <c r="F27" s="10"/>
      <c r="G27" s="74">
        <v>345</v>
      </c>
      <c r="H27" s="75">
        <v>123787.19</v>
      </c>
      <c r="I27" s="75">
        <v>22601.91</v>
      </c>
      <c r="J27" s="10"/>
      <c r="K27" s="78">
        <v>54</v>
      </c>
      <c r="L27" s="79">
        <v>7791.59</v>
      </c>
      <c r="M27" s="79">
        <v>2497.8200000000002</v>
      </c>
      <c r="N27" s="92"/>
      <c r="O27" s="94">
        <v>582</v>
      </c>
      <c r="P27" s="98">
        <v>17435.84</v>
      </c>
      <c r="Q27" s="92"/>
      <c r="R27" s="94">
        <v>105</v>
      </c>
      <c r="S27" s="95">
        <v>8616.7099999999991</v>
      </c>
    </row>
    <row r="28" spans="1:19">
      <c r="A28" s="93" t="s">
        <v>11</v>
      </c>
      <c r="B28" s="18"/>
      <c r="C28" s="71">
        <v>279</v>
      </c>
      <c r="D28" s="72">
        <v>197986.33</v>
      </c>
      <c r="E28" s="72">
        <v>34870.559999999998</v>
      </c>
      <c r="F28" s="10"/>
      <c r="G28" s="74">
        <v>346</v>
      </c>
      <c r="H28" s="75">
        <v>104302.93</v>
      </c>
      <c r="I28" s="75">
        <v>26875.54</v>
      </c>
      <c r="J28" s="10"/>
      <c r="K28" s="78">
        <v>54</v>
      </c>
      <c r="L28" s="79">
        <v>11928.58</v>
      </c>
      <c r="M28" s="79">
        <v>2219.5700000000002</v>
      </c>
      <c r="N28" s="92"/>
      <c r="O28" s="94">
        <v>582</v>
      </c>
      <c r="P28" s="98">
        <v>22006.52</v>
      </c>
      <c r="Q28" s="92"/>
      <c r="R28" s="94">
        <v>107</v>
      </c>
      <c r="S28" s="95">
        <v>17266.95</v>
      </c>
    </row>
    <row r="29" spans="1:19">
      <c r="A29" s="93" t="s">
        <v>12</v>
      </c>
      <c r="B29" s="18"/>
      <c r="C29" s="71">
        <v>277</v>
      </c>
      <c r="D29" s="72">
        <v>357804.48</v>
      </c>
      <c r="E29" s="72">
        <v>50640.46</v>
      </c>
      <c r="F29" s="10"/>
      <c r="G29" s="74">
        <v>348</v>
      </c>
      <c r="H29" s="75">
        <v>232850.09</v>
      </c>
      <c r="I29" s="75">
        <v>39278.85</v>
      </c>
      <c r="J29" s="10"/>
      <c r="K29" s="78">
        <v>54</v>
      </c>
      <c r="L29" s="79">
        <v>11178.75</v>
      </c>
      <c r="M29" s="79">
        <v>1680.66</v>
      </c>
      <c r="N29" s="92"/>
      <c r="O29" s="94">
        <v>580</v>
      </c>
      <c r="P29" s="98">
        <v>25359.74</v>
      </c>
      <c r="Q29" s="92"/>
      <c r="R29" s="94">
        <v>107</v>
      </c>
      <c r="S29" s="95">
        <v>12122.55</v>
      </c>
    </row>
    <row r="30" spans="1:19">
      <c r="A30" s="93" t="s">
        <v>13</v>
      </c>
      <c r="B30" s="18"/>
      <c r="C30" s="71">
        <v>274</v>
      </c>
      <c r="D30" s="72">
        <v>275164.17</v>
      </c>
      <c r="E30" s="72">
        <v>49377.83</v>
      </c>
      <c r="F30" s="10"/>
      <c r="G30" s="74">
        <v>349</v>
      </c>
      <c r="H30" s="75">
        <v>219967.72</v>
      </c>
      <c r="I30" s="75">
        <v>25707.03</v>
      </c>
      <c r="J30" s="10"/>
      <c r="K30" s="78">
        <v>54</v>
      </c>
      <c r="L30" s="79">
        <v>9300.01</v>
      </c>
      <c r="M30" s="79">
        <v>2789.67</v>
      </c>
      <c r="N30" s="92"/>
      <c r="O30" s="94">
        <v>572</v>
      </c>
      <c r="P30" s="98">
        <v>14467.71</v>
      </c>
      <c r="Q30" s="92"/>
      <c r="R30" s="94">
        <v>108</v>
      </c>
      <c r="S30" s="95">
        <v>16040.31</v>
      </c>
    </row>
    <row r="31" spans="1:19">
      <c r="A31" s="93" t="s">
        <v>14</v>
      </c>
      <c r="B31" s="18"/>
      <c r="C31" s="71">
        <v>272</v>
      </c>
      <c r="D31" s="72">
        <v>172667.11</v>
      </c>
      <c r="E31" s="72">
        <v>44924.6</v>
      </c>
      <c r="F31" s="10"/>
      <c r="G31" s="74">
        <v>349</v>
      </c>
      <c r="H31" s="75">
        <v>272651.40999999997</v>
      </c>
      <c r="I31" s="75">
        <v>30189.83</v>
      </c>
      <c r="J31" s="10"/>
      <c r="K31" s="78">
        <v>54</v>
      </c>
      <c r="L31" s="79">
        <v>20734.32</v>
      </c>
      <c r="M31" s="79">
        <v>3151.63</v>
      </c>
      <c r="N31" s="92"/>
      <c r="O31" s="94">
        <v>570</v>
      </c>
      <c r="P31" s="98">
        <v>16297.01</v>
      </c>
      <c r="Q31" s="92"/>
      <c r="R31" s="94">
        <v>109</v>
      </c>
      <c r="S31" s="95">
        <v>11337.65</v>
      </c>
    </row>
    <row r="32" spans="1:19">
      <c r="A32" s="93" t="s">
        <v>15</v>
      </c>
      <c r="B32" s="18"/>
      <c r="C32" s="71">
        <v>276</v>
      </c>
      <c r="D32" s="72">
        <v>175241.85</v>
      </c>
      <c r="E32" s="72">
        <v>48625.46</v>
      </c>
      <c r="F32" s="10"/>
      <c r="G32" s="74">
        <v>348</v>
      </c>
      <c r="H32" s="75">
        <v>194571.13</v>
      </c>
      <c r="I32" s="75">
        <v>42636.43</v>
      </c>
      <c r="J32" s="10"/>
      <c r="K32" s="78">
        <v>54</v>
      </c>
      <c r="L32" s="79">
        <v>14345.69</v>
      </c>
      <c r="M32" s="79">
        <v>2713.6</v>
      </c>
      <c r="N32" s="92"/>
      <c r="O32" s="94">
        <v>571</v>
      </c>
      <c r="P32" s="98">
        <v>12409.2</v>
      </c>
      <c r="Q32" s="92"/>
      <c r="R32" s="94">
        <v>110</v>
      </c>
      <c r="S32" s="95">
        <v>22075.81</v>
      </c>
    </row>
    <row r="33" spans="1:19">
      <c r="A33" s="93" t="s">
        <v>16</v>
      </c>
      <c r="B33" s="18"/>
      <c r="C33" s="71">
        <v>276</v>
      </c>
      <c r="D33" s="72">
        <v>421552.14</v>
      </c>
      <c r="E33" s="73">
        <v>55956.29</v>
      </c>
      <c r="F33" s="10"/>
      <c r="G33" s="74">
        <v>347</v>
      </c>
      <c r="H33" s="75">
        <v>195410.34</v>
      </c>
      <c r="I33" s="76">
        <v>35748.400000000001</v>
      </c>
      <c r="J33" s="10"/>
      <c r="K33" s="78">
        <v>56</v>
      </c>
      <c r="L33" s="79">
        <v>16258.16</v>
      </c>
      <c r="M33" s="80">
        <v>2863.1</v>
      </c>
      <c r="N33" s="92"/>
      <c r="O33" s="94">
        <v>572</v>
      </c>
      <c r="P33" s="98">
        <v>25810.49</v>
      </c>
      <c r="Q33" s="92"/>
      <c r="R33" s="94">
        <v>111</v>
      </c>
      <c r="S33" s="99">
        <v>18237.84</v>
      </c>
    </row>
    <row r="34" spans="1:19" ht="15.75" thickBot="1">
      <c r="A34" s="100" t="s">
        <v>2</v>
      </c>
      <c r="B34" s="17"/>
      <c r="C34" s="69">
        <f>SUM(C22:C33)</f>
        <v>3348</v>
      </c>
      <c r="D34" s="70">
        <f>SUM(D22:D33)</f>
        <v>3023029.41</v>
      </c>
      <c r="E34" s="70">
        <f>SUM(E22:E33)</f>
        <v>519757.23</v>
      </c>
      <c r="F34" s="9"/>
      <c r="G34" s="69">
        <f>SUM(G22:G33)</f>
        <v>4109</v>
      </c>
      <c r="H34" s="70">
        <f>SUM(H22:H33)</f>
        <v>2068803.0599999998</v>
      </c>
      <c r="I34" s="70">
        <f>SUM(I22:I33)</f>
        <v>359026.55000000005</v>
      </c>
      <c r="J34" s="9"/>
      <c r="K34" s="69">
        <f>SUM(K22:K33)</f>
        <v>663</v>
      </c>
      <c r="L34" s="70">
        <f>SUM(L22:L33)</f>
        <v>129429.73999999999</v>
      </c>
      <c r="M34" s="70">
        <f>SUM(M22:M33)</f>
        <v>35805.03</v>
      </c>
      <c r="N34" s="92"/>
      <c r="O34" s="101">
        <f>SUM(O22:O33)</f>
        <v>6936</v>
      </c>
      <c r="P34" s="102">
        <f>SUM(P22:P33)</f>
        <v>251809.85</v>
      </c>
      <c r="Q34" s="92"/>
      <c r="R34" s="101">
        <f>SUM(R22:R33)</f>
        <v>1269</v>
      </c>
      <c r="S34" s="102">
        <f>SUM(S22:S33)</f>
        <v>196739.83999999997</v>
      </c>
    </row>
    <row r="35" spans="1:19" ht="15.75" thickTop="1"/>
    <row r="36" spans="1:19">
      <c r="A36" s="68">
        <v>2010</v>
      </c>
      <c r="B36" s="8"/>
      <c r="C36" s="103" t="s">
        <v>59</v>
      </c>
      <c r="D36" s="103"/>
      <c r="E36" s="103"/>
      <c r="F36" s="11"/>
      <c r="G36" s="103" t="s">
        <v>45</v>
      </c>
      <c r="H36" s="103"/>
      <c r="I36" s="103"/>
      <c r="J36" s="11"/>
      <c r="K36" s="103" t="s">
        <v>47</v>
      </c>
      <c r="L36" s="103"/>
      <c r="M36" s="103"/>
      <c r="O36" s="103" t="s">
        <v>42</v>
      </c>
      <c r="P36" s="103"/>
      <c r="R36" s="103" t="s">
        <v>43</v>
      </c>
      <c r="S36" s="103"/>
    </row>
    <row r="37" spans="1:19">
      <c r="A37" s="6" t="s">
        <v>0</v>
      </c>
      <c r="B37" s="6"/>
      <c r="C37" s="7" t="s">
        <v>1</v>
      </c>
      <c r="D37" s="6" t="s">
        <v>20</v>
      </c>
      <c r="E37" s="6" t="s">
        <v>19</v>
      </c>
      <c r="F37" s="6"/>
      <c r="G37" s="7" t="s">
        <v>1</v>
      </c>
      <c r="H37" s="6" t="s">
        <v>20</v>
      </c>
      <c r="I37" s="6" t="s">
        <v>19</v>
      </c>
      <c r="J37" s="6"/>
      <c r="K37" s="7" t="s">
        <v>1</v>
      </c>
      <c r="L37" s="6" t="s">
        <v>20</v>
      </c>
      <c r="M37" s="6" t="s">
        <v>19</v>
      </c>
      <c r="N37" s="92"/>
      <c r="O37" s="7" t="s">
        <v>21</v>
      </c>
      <c r="P37" s="6" t="s">
        <v>23</v>
      </c>
      <c r="Q37" s="92"/>
      <c r="R37" s="7" t="s">
        <v>21</v>
      </c>
      <c r="S37" s="6" t="s">
        <v>23</v>
      </c>
    </row>
    <row r="38" spans="1:19">
      <c r="A38" s="93" t="s">
        <v>5</v>
      </c>
      <c r="B38" s="18"/>
      <c r="C38" s="94">
        <v>478</v>
      </c>
      <c r="D38" s="95">
        <v>249072.33</v>
      </c>
      <c r="E38" s="95">
        <v>95018.21</v>
      </c>
      <c r="F38" s="10"/>
      <c r="G38" s="94">
        <v>230</v>
      </c>
      <c r="H38" s="95">
        <v>47277.96</v>
      </c>
      <c r="I38" s="95">
        <v>16293.29</v>
      </c>
      <c r="J38" s="10"/>
      <c r="K38" s="94">
        <v>16</v>
      </c>
      <c r="L38" s="95">
        <v>12088.17</v>
      </c>
      <c r="M38" s="95">
        <v>594.85</v>
      </c>
      <c r="N38" s="92"/>
      <c r="O38" s="94">
        <v>613</v>
      </c>
      <c r="P38" s="96">
        <v>40007.599999999999</v>
      </c>
      <c r="Q38" s="92"/>
      <c r="R38" s="94">
        <v>108</v>
      </c>
      <c r="S38" s="97">
        <v>12832.06</v>
      </c>
    </row>
    <row r="39" spans="1:19">
      <c r="A39" s="93" t="s">
        <v>6</v>
      </c>
      <c r="B39" s="18"/>
      <c r="C39" s="94">
        <v>472</v>
      </c>
      <c r="D39" s="95">
        <v>503693.85</v>
      </c>
      <c r="E39" s="95">
        <v>87706.1</v>
      </c>
      <c r="F39" s="10"/>
      <c r="G39" s="94">
        <v>229</v>
      </c>
      <c r="H39" s="95">
        <v>48271.79</v>
      </c>
      <c r="I39" s="95">
        <v>16635.23</v>
      </c>
      <c r="J39" s="10"/>
      <c r="K39" s="94">
        <v>15</v>
      </c>
      <c r="L39" s="95">
        <v>1970.85</v>
      </c>
      <c r="M39" s="95">
        <v>1413.01</v>
      </c>
      <c r="N39" s="92"/>
      <c r="O39" s="94">
        <v>607</v>
      </c>
      <c r="P39" s="98">
        <v>40052.25</v>
      </c>
      <c r="Q39" s="92"/>
      <c r="R39" s="94">
        <v>108</v>
      </c>
      <c r="S39" s="95">
        <v>12203.45</v>
      </c>
    </row>
    <row r="40" spans="1:19">
      <c r="A40" s="93" t="s">
        <v>7</v>
      </c>
      <c r="B40" s="18"/>
      <c r="C40" s="94">
        <v>470</v>
      </c>
      <c r="D40" s="95">
        <v>303709.59000000003</v>
      </c>
      <c r="E40" s="95">
        <v>87153.75</v>
      </c>
      <c r="F40" s="10"/>
      <c r="G40" s="94">
        <v>230</v>
      </c>
      <c r="H40" s="95">
        <v>26905.360000000001</v>
      </c>
      <c r="I40" s="95">
        <v>21948.54</v>
      </c>
      <c r="J40" s="10"/>
      <c r="K40" s="94">
        <v>16</v>
      </c>
      <c r="L40" s="95">
        <v>11.06</v>
      </c>
      <c r="M40" s="95">
        <v>529.96</v>
      </c>
      <c r="N40" s="92"/>
      <c r="O40" s="94">
        <v>604</v>
      </c>
      <c r="P40" s="98">
        <v>41137.480000000003</v>
      </c>
      <c r="Q40" s="92"/>
      <c r="R40" s="94">
        <v>108</v>
      </c>
      <c r="S40" s="95">
        <v>10507.09</v>
      </c>
    </row>
    <row r="41" spans="1:19">
      <c r="A41" s="93" t="s">
        <v>8</v>
      </c>
      <c r="B41" s="18"/>
      <c r="C41" s="94">
        <v>471</v>
      </c>
      <c r="D41" s="95">
        <v>232632.75</v>
      </c>
      <c r="E41" s="95">
        <v>97659.12</v>
      </c>
      <c r="F41" s="10"/>
      <c r="G41" s="94">
        <v>232</v>
      </c>
      <c r="H41" s="95">
        <v>23782.87</v>
      </c>
      <c r="I41" s="95">
        <v>19095.8</v>
      </c>
      <c r="J41" s="10"/>
      <c r="K41" s="94">
        <v>16</v>
      </c>
      <c r="L41" s="95">
        <v>16303.99</v>
      </c>
      <c r="M41" s="95">
        <v>767.86</v>
      </c>
      <c r="N41" s="92"/>
      <c r="O41" s="94">
        <v>606</v>
      </c>
      <c r="P41" s="98">
        <v>22557.41</v>
      </c>
      <c r="Q41" s="92"/>
      <c r="R41" s="94">
        <v>109</v>
      </c>
      <c r="S41" s="95">
        <v>15607.74</v>
      </c>
    </row>
    <row r="42" spans="1:19">
      <c r="A42" s="93" t="s">
        <v>9</v>
      </c>
      <c r="B42" s="18"/>
      <c r="C42" s="94">
        <v>470</v>
      </c>
      <c r="D42" s="95">
        <v>229922.35</v>
      </c>
      <c r="E42" s="95">
        <v>77605.2</v>
      </c>
      <c r="F42" s="10"/>
      <c r="G42" s="94">
        <v>230</v>
      </c>
      <c r="H42" s="95">
        <v>29092.639999999999</v>
      </c>
      <c r="I42" s="95">
        <v>14715.19</v>
      </c>
      <c r="J42" s="10"/>
      <c r="K42" s="94">
        <v>16</v>
      </c>
      <c r="L42" s="95">
        <v>1049.3900000000001</v>
      </c>
      <c r="M42" s="95">
        <v>255.6</v>
      </c>
      <c r="N42" s="92"/>
      <c r="O42" s="94">
        <v>603</v>
      </c>
      <c r="P42" s="98">
        <v>28867.43</v>
      </c>
      <c r="Q42" s="92"/>
      <c r="R42" s="94">
        <v>108</v>
      </c>
      <c r="S42" s="95">
        <v>14196.48</v>
      </c>
    </row>
    <row r="43" spans="1:19">
      <c r="A43" s="93" t="s">
        <v>10</v>
      </c>
      <c r="B43" s="18"/>
      <c r="C43" s="94">
        <v>466</v>
      </c>
      <c r="D43" s="95">
        <v>298432.46999999997</v>
      </c>
      <c r="E43" s="95">
        <v>69088.59</v>
      </c>
      <c r="F43" s="10"/>
      <c r="G43" s="94">
        <v>229</v>
      </c>
      <c r="H43" s="95">
        <v>33705.17</v>
      </c>
      <c r="I43" s="95">
        <v>18270.82</v>
      </c>
      <c r="J43" s="10"/>
      <c r="K43" s="94">
        <v>15</v>
      </c>
      <c r="L43" s="95">
        <v>0</v>
      </c>
      <c r="M43" s="95">
        <v>828.93</v>
      </c>
      <c r="N43" s="92"/>
      <c r="O43" s="94">
        <v>599</v>
      </c>
      <c r="P43" s="98">
        <v>32585.279999999999</v>
      </c>
      <c r="Q43" s="92"/>
      <c r="R43" s="94">
        <v>108</v>
      </c>
      <c r="S43" s="95">
        <v>7416.45</v>
      </c>
    </row>
    <row r="44" spans="1:19">
      <c r="A44" s="93" t="s">
        <v>11</v>
      </c>
      <c r="B44" s="18"/>
      <c r="C44" s="94">
        <v>465</v>
      </c>
      <c r="D44" s="95">
        <v>318259.49</v>
      </c>
      <c r="E44" s="95">
        <v>79381.05</v>
      </c>
      <c r="F44" s="10"/>
      <c r="G44" s="94">
        <v>226</v>
      </c>
      <c r="H44" s="95">
        <v>36964.82</v>
      </c>
      <c r="I44" s="95">
        <v>16880.32</v>
      </c>
      <c r="J44" s="10"/>
      <c r="K44" s="94">
        <v>15</v>
      </c>
      <c r="L44" s="95">
        <v>10571.7</v>
      </c>
      <c r="M44" s="95">
        <v>379.27</v>
      </c>
      <c r="N44" s="92"/>
      <c r="O44" s="94">
        <v>602</v>
      </c>
      <c r="P44" s="98">
        <v>29995.02</v>
      </c>
      <c r="Q44" s="92"/>
      <c r="R44" s="94">
        <v>114</v>
      </c>
      <c r="S44" s="95">
        <v>9740.5499999999993</v>
      </c>
    </row>
    <row r="45" spans="1:19">
      <c r="A45" s="93" t="s">
        <v>12</v>
      </c>
      <c r="B45" s="18"/>
      <c r="C45" s="94">
        <v>462</v>
      </c>
      <c r="D45" s="95">
        <v>231923.75</v>
      </c>
      <c r="E45" s="95">
        <v>79861.42</v>
      </c>
      <c r="F45" s="10"/>
      <c r="G45" s="94">
        <v>226</v>
      </c>
      <c r="H45" s="95">
        <v>37454.94</v>
      </c>
      <c r="I45" s="95">
        <v>15452.01</v>
      </c>
      <c r="J45" s="10"/>
      <c r="K45" s="94">
        <v>15</v>
      </c>
      <c r="L45" s="95">
        <v>602.91</v>
      </c>
      <c r="M45" s="95">
        <v>195.95</v>
      </c>
      <c r="N45" s="92"/>
      <c r="O45" s="94">
        <v>600</v>
      </c>
      <c r="P45" s="98">
        <v>38589.269999999997</v>
      </c>
      <c r="Q45" s="92"/>
      <c r="R45" s="94">
        <v>114</v>
      </c>
      <c r="S45" s="95">
        <v>7524.63</v>
      </c>
    </row>
    <row r="46" spans="1:19">
      <c r="A46" s="93" t="s">
        <v>13</v>
      </c>
      <c r="B46" s="18"/>
      <c r="C46" s="94">
        <v>455</v>
      </c>
      <c r="D46" s="95">
        <v>223816.71</v>
      </c>
      <c r="E46" s="95">
        <v>79604.09</v>
      </c>
      <c r="F46" s="10"/>
      <c r="G46" s="94">
        <v>224</v>
      </c>
      <c r="H46" s="95">
        <v>65857.59</v>
      </c>
      <c r="I46" s="95">
        <v>21038.87</v>
      </c>
      <c r="J46" s="10"/>
      <c r="K46" s="94">
        <v>15</v>
      </c>
      <c r="L46" s="95">
        <v>3905.33</v>
      </c>
      <c r="M46" s="95">
        <v>363.31</v>
      </c>
      <c r="N46" s="92"/>
      <c r="O46" s="94">
        <v>591</v>
      </c>
      <c r="P46" s="98">
        <v>24453.200000000001</v>
      </c>
      <c r="Q46" s="92"/>
      <c r="R46" s="94">
        <v>113</v>
      </c>
      <c r="S46" s="95">
        <v>6906.3</v>
      </c>
    </row>
    <row r="47" spans="1:19">
      <c r="A47" s="93" t="s">
        <v>14</v>
      </c>
      <c r="B47" s="18"/>
      <c r="C47" s="94">
        <v>453</v>
      </c>
      <c r="D47" s="95">
        <v>215185.55</v>
      </c>
      <c r="E47" s="95">
        <v>75635.520000000004</v>
      </c>
      <c r="F47" s="10"/>
      <c r="G47" s="94">
        <v>222</v>
      </c>
      <c r="H47" s="95">
        <v>30228.69</v>
      </c>
      <c r="I47" s="95">
        <v>11627.12</v>
      </c>
      <c r="J47" s="10"/>
      <c r="K47" s="94">
        <v>16</v>
      </c>
      <c r="L47" s="95">
        <v>4589.5200000000004</v>
      </c>
      <c r="M47" s="95">
        <v>282.39</v>
      </c>
      <c r="N47" s="92"/>
      <c r="O47" s="94">
        <v>586</v>
      </c>
      <c r="P47" s="98">
        <v>25287.53</v>
      </c>
      <c r="Q47" s="92"/>
      <c r="R47" s="94">
        <v>115</v>
      </c>
      <c r="S47" s="95">
        <v>12796.51</v>
      </c>
    </row>
    <row r="48" spans="1:19">
      <c r="A48" s="93" t="s">
        <v>15</v>
      </c>
      <c r="B48" s="18"/>
      <c r="C48" s="94">
        <v>451</v>
      </c>
      <c r="D48" s="95">
        <v>163775.54</v>
      </c>
      <c r="E48" s="95">
        <v>82630.820000000007</v>
      </c>
      <c r="F48" s="10"/>
      <c r="G48" s="94">
        <v>220</v>
      </c>
      <c r="H48" s="95">
        <v>49873.55</v>
      </c>
      <c r="I48" s="95">
        <v>8144.44</v>
      </c>
      <c r="J48" s="10"/>
      <c r="K48" s="94">
        <v>16</v>
      </c>
      <c r="L48" s="95">
        <v>1812.36</v>
      </c>
      <c r="M48" s="95">
        <v>58.09</v>
      </c>
      <c r="N48" s="92"/>
      <c r="O48" s="94">
        <v>580</v>
      </c>
      <c r="P48" s="98">
        <v>22803.23</v>
      </c>
      <c r="Q48" s="92"/>
      <c r="R48" s="94">
        <v>115</v>
      </c>
      <c r="S48" s="95">
        <v>6383.43</v>
      </c>
    </row>
    <row r="49" spans="1:19">
      <c r="A49" s="93" t="s">
        <v>16</v>
      </c>
      <c r="B49" s="18"/>
      <c r="C49" s="94">
        <v>449</v>
      </c>
      <c r="D49" s="95">
        <v>258970.04</v>
      </c>
      <c r="E49" s="99">
        <v>82813.240000000005</v>
      </c>
      <c r="F49" s="10"/>
      <c r="G49" s="94">
        <v>224</v>
      </c>
      <c r="H49" s="95">
        <v>41889.160000000003</v>
      </c>
      <c r="I49" s="99">
        <v>18247.080000000002</v>
      </c>
      <c r="J49" s="10"/>
      <c r="K49" s="94">
        <v>17</v>
      </c>
      <c r="L49" s="95">
        <v>7687.13</v>
      </c>
      <c r="M49" s="99">
        <v>256.35000000000002</v>
      </c>
      <c r="N49" s="92"/>
      <c r="O49" s="94">
        <v>581</v>
      </c>
      <c r="P49" s="98">
        <v>28282.05</v>
      </c>
      <c r="Q49" s="92"/>
      <c r="R49" s="94">
        <v>118</v>
      </c>
      <c r="S49" s="99">
        <v>6124.49</v>
      </c>
    </row>
    <row r="50" spans="1:19" ht="15.75" thickBot="1">
      <c r="A50" s="100" t="s">
        <v>2</v>
      </c>
      <c r="B50" s="17"/>
      <c r="C50" s="69">
        <f>SUM(C38:C49)</f>
        <v>5562</v>
      </c>
      <c r="D50" s="70">
        <f>SUM(D38:D49)</f>
        <v>3229394.42</v>
      </c>
      <c r="E50" s="70">
        <f>SUM(E38:E49)</f>
        <v>994157.1100000001</v>
      </c>
      <c r="F50" s="9"/>
      <c r="G50" s="69">
        <f>SUM(G38:G49)</f>
        <v>2722</v>
      </c>
      <c r="H50" s="70">
        <f>SUM(H38:H49)</f>
        <v>471304.54000000004</v>
      </c>
      <c r="I50" s="70">
        <f>SUM(I38:I49)</f>
        <v>198348.71000000002</v>
      </c>
      <c r="J50" s="9"/>
      <c r="K50" s="69">
        <f>SUM(K38:K49)</f>
        <v>188</v>
      </c>
      <c r="L50" s="70">
        <f>SUM(L38:L49)</f>
        <v>60592.410000000011</v>
      </c>
      <c r="M50" s="70">
        <f>SUM(M38:M49)</f>
        <v>5925.5700000000006</v>
      </c>
      <c r="N50" s="92"/>
      <c r="O50" s="101">
        <f>SUM(O38:O49)</f>
        <v>7172</v>
      </c>
      <c r="P50" s="102">
        <f>SUM(P38:P49)</f>
        <v>374617.74999999994</v>
      </c>
      <c r="Q50" s="92"/>
      <c r="R50" s="101">
        <f>SUM(R38:R49)</f>
        <v>1338</v>
      </c>
      <c r="S50" s="102">
        <f>SUM(S38:S49)</f>
        <v>122239.18000000001</v>
      </c>
    </row>
    <row r="51" spans="1:19" ht="15.75" thickTop="1"/>
    <row r="52" spans="1:19">
      <c r="A52" s="68">
        <v>2009</v>
      </c>
      <c r="B52" s="8"/>
      <c r="C52" s="103" t="s">
        <v>59</v>
      </c>
      <c r="D52" s="103"/>
      <c r="E52" s="103"/>
      <c r="F52" s="11"/>
      <c r="G52" s="103" t="s">
        <v>45</v>
      </c>
      <c r="H52" s="103"/>
      <c r="I52" s="103"/>
      <c r="J52" s="11"/>
      <c r="K52" s="103" t="s">
        <v>47</v>
      </c>
      <c r="L52" s="103"/>
      <c r="M52" s="103"/>
      <c r="O52" s="103" t="s">
        <v>42</v>
      </c>
      <c r="P52" s="103"/>
      <c r="R52" s="103" t="s">
        <v>43</v>
      </c>
      <c r="S52" s="103"/>
    </row>
    <row r="53" spans="1:19">
      <c r="A53" s="6" t="s">
        <v>0</v>
      </c>
      <c r="B53" s="6"/>
      <c r="C53" s="7" t="s">
        <v>21</v>
      </c>
      <c r="D53" s="6" t="s">
        <v>20</v>
      </c>
      <c r="E53" s="6" t="s">
        <v>19</v>
      </c>
      <c r="F53" s="6"/>
      <c r="G53" s="7" t="s">
        <v>21</v>
      </c>
      <c r="H53" s="6" t="s">
        <v>20</v>
      </c>
      <c r="I53" s="6" t="s">
        <v>19</v>
      </c>
      <c r="J53" s="6"/>
      <c r="K53" s="7" t="s">
        <v>21</v>
      </c>
      <c r="L53" s="6" t="s">
        <v>20</v>
      </c>
      <c r="M53" s="6" t="s">
        <v>19</v>
      </c>
      <c r="N53" s="92"/>
      <c r="O53" s="7" t="s">
        <v>21</v>
      </c>
      <c r="P53" s="6" t="s">
        <v>23</v>
      </c>
      <c r="Q53" s="92"/>
      <c r="R53" s="7" t="s">
        <v>21</v>
      </c>
      <c r="S53" s="6" t="s">
        <v>23</v>
      </c>
    </row>
    <row r="54" spans="1:19">
      <c r="A54" s="93" t="s">
        <v>5</v>
      </c>
      <c r="B54" s="18"/>
      <c r="C54" s="94">
        <v>467</v>
      </c>
      <c r="D54" s="95">
        <v>144464.20000000001</v>
      </c>
      <c r="E54" s="95">
        <v>74746.23</v>
      </c>
      <c r="F54" s="10"/>
      <c r="G54" s="94">
        <v>240</v>
      </c>
      <c r="H54" s="95">
        <v>37137.33</v>
      </c>
      <c r="I54" s="95">
        <v>16970.47</v>
      </c>
      <c r="J54" s="10"/>
      <c r="K54" s="94">
        <v>12</v>
      </c>
      <c r="L54" s="95">
        <v>0</v>
      </c>
      <c r="M54" s="95">
        <v>1003.37</v>
      </c>
      <c r="N54" s="92"/>
      <c r="O54" s="94">
        <v>609</v>
      </c>
      <c r="P54" s="96">
        <v>36532.519999999997</v>
      </c>
      <c r="Q54" s="92"/>
      <c r="R54" s="94">
        <v>119</v>
      </c>
      <c r="S54" s="97">
        <v>11349.94</v>
      </c>
    </row>
    <row r="55" spans="1:19">
      <c r="A55" s="93" t="s">
        <v>6</v>
      </c>
      <c r="B55" s="18"/>
      <c r="C55" s="94">
        <v>468</v>
      </c>
      <c r="D55" s="95">
        <v>317533.81</v>
      </c>
      <c r="E55" s="95">
        <v>70116.429999999993</v>
      </c>
      <c r="F55" s="10"/>
      <c r="G55" s="94">
        <v>239</v>
      </c>
      <c r="H55" s="95">
        <v>53953.24</v>
      </c>
      <c r="I55" s="95">
        <v>10632.95</v>
      </c>
      <c r="J55" s="10"/>
      <c r="K55" s="94">
        <v>13</v>
      </c>
      <c r="L55" s="95">
        <v>196.84</v>
      </c>
      <c r="M55" s="95">
        <v>1103.3399999999999</v>
      </c>
      <c r="N55" s="92"/>
      <c r="O55" s="94">
        <v>611</v>
      </c>
      <c r="P55" s="98">
        <v>31431.38</v>
      </c>
      <c r="Q55" s="92"/>
      <c r="R55" s="94">
        <v>120</v>
      </c>
      <c r="S55" s="95">
        <v>9181.6299999999992</v>
      </c>
    </row>
    <row r="56" spans="1:19">
      <c r="A56" s="93" t="s">
        <v>7</v>
      </c>
      <c r="B56" s="18"/>
      <c r="C56" s="94">
        <v>470</v>
      </c>
      <c r="D56" s="95">
        <v>252595.6</v>
      </c>
      <c r="E56" s="95">
        <v>71956.649999999994</v>
      </c>
      <c r="F56" s="10"/>
      <c r="G56" s="94">
        <v>240</v>
      </c>
      <c r="H56" s="95">
        <v>54448.97</v>
      </c>
      <c r="I56" s="95">
        <v>16275.06</v>
      </c>
      <c r="J56" s="10"/>
      <c r="K56" s="94">
        <v>14</v>
      </c>
      <c r="L56" s="95">
        <v>1075.1500000000001</v>
      </c>
      <c r="M56" s="95">
        <v>2317.13</v>
      </c>
      <c r="N56" s="92"/>
      <c r="O56" s="94">
        <v>612</v>
      </c>
      <c r="P56" s="98">
        <v>29748.49</v>
      </c>
      <c r="Q56" s="92"/>
      <c r="R56" s="94">
        <v>121</v>
      </c>
      <c r="S56" s="95">
        <v>10690.89</v>
      </c>
    </row>
    <row r="57" spans="1:19">
      <c r="A57" s="93" t="s">
        <v>8</v>
      </c>
      <c r="B57" s="18"/>
      <c r="C57" s="94">
        <v>471</v>
      </c>
      <c r="D57" s="95">
        <v>320892.19</v>
      </c>
      <c r="E57" s="95">
        <v>82717.03</v>
      </c>
      <c r="F57" s="10"/>
      <c r="G57" s="94">
        <v>242</v>
      </c>
      <c r="H57" s="95">
        <v>193656.87</v>
      </c>
      <c r="I57" s="95">
        <v>12879.23</v>
      </c>
      <c r="J57" s="10"/>
      <c r="K57" s="94">
        <v>18</v>
      </c>
      <c r="L57" s="95">
        <v>2078.39</v>
      </c>
      <c r="M57" s="95">
        <v>1054.9000000000001</v>
      </c>
      <c r="N57" s="92"/>
      <c r="O57" s="94">
        <v>614</v>
      </c>
      <c r="P57" s="98">
        <v>29084.09</v>
      </c>
      <c r="Q57" s="92"/>
      <c r="R57" s="94">
        <v>126</v>
      </c>
      <c r="S57" s="95">
        <v>7026.96</v>
      </c>
    </row>
    <row r="58" spans="1:19">
      <c r="A58" s="93" t="s">
        <v>9</v>
      </c>
      <c r="B58" s="18"/>
      <c r="C58" s="94">
        <v>471</v>
      </c>
      <c r="D58" s="95">
        <v>189235.47</v>
      </c>
      <c r="E58" s="95">
        <v>69179.17</v>
      </c>
      <c r="F58" s="10"/>
      <c r="G58" s="94">
        <v>242</v>
      </c>
      <c r="H58" s="95">
        <v>132396.92000000001</v>
      </c>
      <c r="I58" s="95">
        <v>12342.32</v>
      </c>
      <c r="J58" s="10"/>
      <c r="K58" s="94">
        <v>17</v>
      </c>
      <c r="L58" s="95">
        <v>1348.72</v>
      </c>
      <c r="M58" s="95">
        <v>1729.05</v>
      </c>
      <c r="N58" s="92"/>
      <c r="O58" s="94">
        <v>613</v>
      </c>
      <c r="P58" s="98">
        <v>37583.660000000003</v>
      </c>
      <c r="Q58" s="92"/>
      <c r="R58" s="94">
        <v>126</v>
      </c>
      <c r="S58" s="95">
        <v>10802.5</v>
      </c>
    </row>
    <row r="59" spans="1:19">
      <c r="A59" s="93" t="s">
        <v>10</v>
      </c>
      <c r="B59" s="18"/>
      <c r="C59" s="94">
        <v>474</v>
      </c>
      <c r="D59" s="95">
        <v>267006.21000000002</v>
      </c>
      <c r="E59" s="95">
        <v>75992.5</v>
      </c>
      <c r="F59" s="10"/>
      <c r="G59" s="94">
        <v>240</v>
      </c>
      <c r="H59" s="95">
        <v>29845.46</v>
      </c>
      <c r="I59" s="95">
        <v>15695.17</v>
      </c>
      <c r="J59" s="10"/>
      <c r="K59" s="94">
        <v>18</v>
      </c>
      <c r="L59" s="95">
        <v>216.83</v>
      </c>
      <c r="M59" s="95">
        <v>663.44</v>
      </c>
      <c r="N59" s="92"/>
      <c r="O59" s="94">
        <v>615</v>
      </c>
      <c r="P59" s="98">
        <v>25112.02</v>
      </c>
      <c r="Q59" s="92"/>
      <c r="R59" s="94">
        <v>128</v>
      </c>
      <c r="S59" s="95">
        <v>8508.89</v>
      </c>
    </row>
    <row r="60" spans="1:19">
      <c r="A60" s="93" t="s">
        <v>11</v>
      </c>
      <c r="B60" s="18"/>
      <c r="C60" s="94">
        <v>469</v>
      </c>
      <c r="D60" s="95">
        <v>267755.92</v>
      </c>
      <c r="E60" s="95">
        <v>71348.52</v>
      </c>
      <c r="F60" s="10"/>
      <c r="G60" s="94">
        <v>236</v>
      </c>
      <c r="H60" s="95">
        <v>27057.18</v>
      </c>
      <c r="I60" s="95">
        <v>13367.46</v>
      </c>
      <c r="J60" s="10"/>
      <c r="K60" s="94">
        <v>18</v>
      </c>
      <c r="L60" s="95">
        <v>587.03</v>
      </c>
      <c r="M60" s="95">
        <v>661.12</v>
      </c>
      <c r="N60" s="92"/>
      <c r="O60" s="94">
        <v>608</v>
      </c>
      <c r="P60" s="98">
        <v>29204.02</v>
      </c>
      <c r="Q60" s="92"/>
      <c r="R60" s="94">
        <v>128</v>
      </c>
      <c r="S60" s="95">
        <v>11595.63</v>
      </c>
    </row>
    <row r="61" spans="1:19">
      <c r="A61" s="93" t="s">
        <v>12</v>
      </c>
      <c r="B61" s="18"/>
      <c r="C61" s="94">
        <v>471</v>
      </c>
      <c r="D61" s="95">
        <v>224696.19</v>
      </c>
      <c r="E61" s="95">
        <v>72597.5</v>
      </c>
      <c r="F61" s="10"/>
      <c r="G61" s="94">
        <v>237</v>
      </c>
      <c r="H61" s="95">
        <v>27898.75</v>
      </c>
      <c r="I61" s="95">
        <v>11626.42</v>
      </c>
      <c r="J61" s="10"/>
      <c r="K61" s="94">
        <v>18</v>
      </c>
      <c r="L61" s="95">
        <v>3428.49</v>
      </c>
      <c r="M61" s="95">
        <v>710.77</v>
      </c>
      <c r="N61" s="92"/>
      <c r="O61" s="94">
        <v>611</v>
      </c>
      <c r="P61" s="98">
        <v>22766.37</v>
      </c>
      <c r="Q61" s="92"/>
      <c r="R61" s="94">
        <v>128</v>
      </c>
      <c r="S61" s="95">
        <v>5969.2</v>
      </c>
    </row>
    <row r="62" spans="1:19">
      <c r="A62" s="93" t="s">
        <v>13</v>
      </c>
      <c r="B62" s="18"/>
      <c r="C62" s="94">
        <v>469</v>
      </c>
      <c r="D62" s="95">
        <v>316013.34000000003</v>
      </c>
      <c r="E62" s="95">
        <v>85452.7</v>
      </c>
      <c r="F62" s="10"/>
      <c r="G62" s="94">
        <v>232</v>
      </c>
      <c r="H62" s="95">
        <v>44536.18</v>
      </c>
      <c r="I62" s="95">
        <v>18423.07</v>
      </c>
      <c r="J62" s="10"/>
      <c r="K62" s="94">
        <v>18</v>
      </c>
      <c r="L62" s="95">
        <v>3305.87</v>
      </c>
      <c r="M62" s="95">
        <v>1989.53</v>
      </c>
      <c r="N62" s="92"/>
      <c r="O62" s="94">
        <v>606</v>
      </c>
      <c r="P62" s="98">
        <v>26421.39</v>
      </c>
      <c r="Q62" s="92"/>
      <c r="R62" s="94">
        <v>126</v>
      </c>
      <c r="S62" s="95">
        <v>3561.2</v>
      </c>
    </row>
    <row r="63" spans="1:19">
      <c r="A63" s="93" t="s">
        <v>14</v>
      </c>
      <c r="B63" s="18"/>
      <c r="C63" s="94">
        <v>465</v>
      </c>
      <c r="D63" s="95">
        <v>238312.03</v>
      </c>
      <c r="E63" s="95">
        <v>95635.95</v>
      </c>
      <c r="F63" s="10"/>
      <c r="G63" s="94">
        <v>233</v>
      </c>
      <c r="H63" s="95">
        <v>36100.78</v>
      </c>
      <c r="I63" s="95">
        <v>7661.83</v>
      </c>
      <c r="J63" s="10"/>
      <c r="K63" s="94">
        <v>18</v>
      </c>
      <c r="L63" s="95">
        <v>3808.41</v>
      </c>
      <c r="M63" s="95">
        <v>232.91</v>
      </c>
      <c r="N63" s="92"/>
      <c r="O63" s="94">
        <v>604</v>
      </c>
      <c r="P63" s="98">
        <v>28848.29</v>
      </c>
      <c r="Q63" s="92"/>
      <c r="R63" s="94">
        <v>126</v>
      </c>
      <c r="S63" s="95">
        <v>7097.57</v>
      </c>
    </row>
    <row r="64" spans="1:19">
      <c r="A64" s="93" t="s">
        <v>15</v>
      </c>
      <c r="B64" s="18"/>
      <c r="C64" s="94">
        <v>464</v>
      </c>
      <c r="D64" s="95">
        <v>196181.76000000001</v>
      </c>
      <c r="E64" s="95">
        <v>78279.240000000005</v>
      </c>
      <c r="F64" s="10"/>
      <c r="G64" s="94">
        <v>234</v>
      </c>
      <c r="H64" s="95">
        <v>72125.83</v>
      </c>
      <c r="I64" s="95">
        <v>15923.1</v>
      </c>
      <c r="J64" s="10"/>
      <c r="K64" s="94">
        <v>18</v>
      </c>
      <c r="L64" s="95">
        <v>2731.47</v>
      </c>
      <c r="M64" s="95">
        <v>926.04</v>
      </c>
      <c r="N64" s="92"/>
      <c r="O64" s="94">
        <v>603</v>
      </c>
      <c r="P64" s="98">
        <v>29081.119999999999</v>
      </c>
      <c r="Q64" s="92"/>
      <c r="R64" s="94">
        <v>125</v>
      </c>
      <c r="S64" s="95">
        <v>9359.42</v>
      </c>
    </row>
    <row r="65" spans="1:19">
      <c r="A65" s="93" t="s">
        <v>16</v>
      </c>
      <c r="B65" s="18"/>
      <c r="C65" s="94">
        <v>466</v>
      </c>
      <c r="D65" s="95">
        <v>361516.7</v>
      </c>
      <c r="E65" s="99">
        <v>90365.2</v>
      </c>
      <c r="F65" s="10"/>
      <c r="G65" s="94">
        <v>234</v>
      </c>
      <c r="H65" s="95">
        <v>46882.53</v>
      </c>
      <c r="I65" s="99">
        <v>17746.509999999998</v>
      </c>
      <c r="J65" s="10"/>
      <c r="K65" s="94">
        <v>18</v>
      </c>
      <c r="L65" s="95">
        <v>657.35</v>
      </c>
      <c r="M65" s="99">
        <v>2347.9</v>
      </c>
      <c r="N65" s="92"/>
      <c r="O65" s="94">
        <v>604</v>
      </c>
      <c r="P65" s="98">
        <v>27061.05</v>
      </c>
      <c r="Q65" s="92"/>
      <c r="R65" s="94">
        <v>125</v>
      </c>
      <c r="S65" s="99">
        <v>5818.83</v>
      </c>
    </row>
    <row r="66" spans="1:19" ht="15.75" thickBot="1">
      <c r="A66" s="100" t="s">
        <v>2</v>
      </c>
      <c r="B66" s="17"/>
      <c r="C66" s="69">
        <f>SUM(C54:C65)</f>
        <v>5625</v>
      </c>
      <c r="D66" s="70">
        <f>SUM(D54:D65)</f>
        <v>3096203.42</v>
      </c>
      <c r="E66" s="70">
        <f>SUM(E54:E65)</f>
        <v>938387.11999999988</v>
      </c>
      <c r="F66" s="9"/>
      <c r="G66" s="69">
        <f>SUM(G54:G65)</f>
        <v>2849</v>
      </c>
      <c r="H66" s="70">
        <f>SUM(H54:H65)</f>
        <v>756040.04000000015</v>
      </c>
      <c r="I66" s="70">
        <f>SUM(I54:I65)</f>
        <v>169543.59</v>
      </c>
      <c r="J66" s="9"/>
      <c r="K66" s="69">
        <f>SUM(K54:K65)</f>
        <v>200</v>
      </c>
      <c r="L66" s="70">
        <f>SUM(L54:L65)</f>
        <v>19434.55</v>
      </c>
      <c r="M66" s="70">
        <f>SUM(M54:M65)</f>
        <v>14739.500000000002</v>
      </c>
      <c r="N66" s="92"/>
      <c r="O66" s="101">
        <f>SUM(O54:O65)</f>
        <v>7310</v>
      </c>
      <c r="P66" s="102">
        <f>SUM(P54:P65)</f>
        <v>352874.39999999997</v>
      </c>
      <c r="Q66" s="92"/>
      <c r="R66" s="101">
        <f>SUM(R54:R65)</f>
        <v>1498</v>
      </c>
      <c r="S66" s="102">
        <f>SUM(S54:S65)</f>
        <v>100962.66</v>
      </c>
    </row>
    <row r="67" spans="1:19" ht="15.75" thickTop="1"/>
  </sheetData>
  <mergeCells count="23">
    <mergeCell ref="A1:M1"/>
    <mergeCell ref="A2:M2"/>
    <mergeCell ref="A3:M3"/>
    <mergeCell ref="C20:E20"/>
    <mergeCell ref="G20:I20"/>
    <mergeCell ref="K20:M20"/>
    <mergeCell ref="C36:E36"/>
    <mergeCell ref="G36:I36"/>
    <mergeCell ref="K36:M36"/>
    <mergeCell ref="C4:E4"/>
    <mergeCell ref="K4:M4"/>
    <mergeCell ref="G4:I4"/>
    <mergeCell ref="C52:E52"/>
    <mergeCell ref="G52:I52"/>
    <mergeCell ref="K52:M52"/>
    <mergeCell ref="O4:P4"/>
    <mergeCell ref="R4:S4"/>
    <mergeCell ref="O20:P20"/>
    <mergeCell ref="R20:S20"/>
    <mergeCell ref="O36:P36"/>
    <mergeCell ref="R36:S36"/>
    <mergeCell ref="O52:P52"/>
    <mergeCell ref="R52:S5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7"/>
  <sheetViews>
    <sheetView topLeftCell="A19" workbookViewId="0">
      <selection activeCell="I46" sqref="I46"/>
    </sheetView>
  </sheetViews>
  <sheetFormatPr defaultRowHeight="15"/>
  <cols>
    <col min="1" max="1" width="9.7109375" bestFit="1" customWidth="1"/>
    <col min="2" max="2" width="7.140625" bestFit="1" customWidth="1"/>
    <col min="3" max="3" width="10.42578125" bestFit="1" customWidth="1"/>
    <col min="4" max="4" width="11" bestFit="1" customWidth="1"/>
    <col min="5" max="5" width="12.140625" bestFit="1" customWidth="1"/>
  </cols>
  <sheetData>
    <row r="1" spans="1:5">
      <c r="A1" s="104" t="s">
        <v>3</v>
      </c>
      <c r="B1" s="104"/>
      <c r="C1" s="104"/>
      <c r="D1" s="104"/>
      <c r="E1" s="104"/>
    </row>
    <row r="2" spans="1:5">
      <c r="A2" s="104" t="s">
        <v>25</v>
      </c>
      <c r="B2" s="104"/>
      <c r="C2" s="104"/>
      <c r="D2" s="104"/>
      <c r="E2" s="104"/>
    </row>
    <row r="3" spans="1:5">
      <c r="A3" s="105" t="s">
        <v>4</v>
      </c>
      <c r="B3" s="105"/>
      <c r="C3" s="105"/>
      <c r="D3" s="105"/>
      <c r="E3" s="105"/>
    </row>
    <row r="4" spans="1:5">
      <c r="A4" s="103" t="s">
        <v>22</v>
      </c>
      <c r="B4" s="103"/>
      <c r="C4" s="103"/>
      <c r="D4" s="103"/>
      <c r="E4" s="103"/>
    </row>
    <row r="5" spans="1:5">
      <c r="A5" s="6" t="s">
        <v>0</v>
      </c>
      <c r="B5" s="7" t="s">
        <v>21</v>
      </c>
      <c r="C5" s="6" t="s">
        <v>20</v>
      </c>
      <c r="D5" s="6" t="s">
        <v>19</v>
      </c>
      <c r="E5" s="6" t="s">
        <v>17</v>
      </c>
    </row>
    <row r="6" spans="1:5">
      <c r="A6" s="29" t="s">
        <v>5</v>
      </c>
      <c r="B6" s="33">
        <v>38</v>
      </c>
      <c r="C6" s="34">
        <v>36547.949999999997</v>
      </c>
      <c r="D6" s="34">
        <v>5736.98</v>
      </c>
      <c r="E6" s="38">
        <v>4614.01</v>
      </c>
    </row>
    <row r="7" spans="1:5">
      <c r="A7" s="29" t="s">
        <v>6</v>
      </c>
      <c r="B7" s="33">
        <v>39</v>
      </c>
      <c r="C7" s="34">
        <v>27615.31</v>
      </c>
      <c r="D7" s="34">
        <v>7877.08</v>
      </c>
      <c r="E7" s="39">
        <v>3540.89</v>
      </c>
    </row>
    <row r="8" spans="1:5">
      <c r="A8" s="29" t="s">
        <v>7</v>
      </c>
      <c r="B8" s="33">
        <v>40</v>
      </c>
      <c r="C8" s="34">
        <v>15936.6</v>
      </c>
      <c r="D8" s="34">
        <v>8113.73</v>
      </c>
      <c r="E8" s="39">
        <v>273.11</v>
      </c>
    </row>
    <row r="9" spans="1:5">
      <c r="A9" s="29" t="s">
        <v>8</v>
      </c>
      <c r="B9" s="33">
        <v>41</v>
      </c>
      <c r="C9" s="34">
        <v>5651.84</v>
      </c>
      <c r="D9" s="34">
        <v>8911.68</v>
      </c>
      <c r="E9" s="39">
        <v>1594.86</v>
      </c>
    </row>
    <row r="10" spans="1:5">
      <c r="A10" s="29" t="s">
        <v>9</v>
      </c>
      <c r="B10" s="33">
        <v>43</v>
      </c>
      <c r="C10" s="34">
        <v>15063.72</v>
      </c>
      <c r="D10" s="34">
        <v>10868.12</v>
      </c>
      <c r="E10" s="39">
        <v>1289.05</v>
      </c>
    </row>
    <row r="11" spans="1:5">
      <c r="A11" s="29" t="s">
        <v>10</v>
      </c>
      <c r="B11" s="33">
        <v>41</v>
      </c>
      <c r="C11" s="34">
        <v>44923.91</v>
      </c>
      <c r="D11" s="34">
        <v>8138.23</v>
      </c>
      <c r="E11" s="39">
        <v>795.93</v>
      </c>
    </row>
    <row r="12" spans="1:5">
      <c r="A12" s="29" t="s">
        <v>11</v>
      </c>
      <c r="B12" s="33">
        <v>41</v>
      </c>
      <c r="C12" s="34">
        <v>11910.37</v>
      </c>
      <c r="D12" s="34">
        <v>9006.91</v>
      </c>
      <c r="E12" s="39">
        <v>1982.95</v>
      </c>
    </row>
    <row r="13" spans="1:5">
      <c r="A13" s="29" t="s">
        <v>12</v>
      </c>
      <c r="B13" s="33">
        <v>40</v>
      </c>
      <c r="C13" s="34">
        <v>15008.8</v>
      </c>
      <c r="D13" s="34">
        <v>8194.9500000000007</v>
      </c>
      <c r="E13" s="39">
        <v>3370.26</v>
      </c>
    </row>
    <row r="14" spans="1:5">
      <c r="A14" s="29" t="s">
        <v>13</v>
      </c>
      <c r="B14" s="33">
        <v>40</v>
      </c>
      <c r="C14" s="34">
        <v>19802.599999999999</v>
      </c>
      <c r="D14" s="34">
        <v>8399.31</v>
      </c>
      <c r="E14" s="39">
        <v>3241.3</v>
      </c>
    </row>
    <row r="15" spans="1:5">
      <c r="A15" s="29" t="s">
        <v>14</v>
      </c>
      <c r="B15" s="33">
        <v>41</v>
      </c>
      <c r="C15" s="34">
        <v>29638.99</v>
      </c>
      <c r="D15" s="34">
        <v>11246.16</v>
      </c>
      <c r="E15" s="39">
        <v>1944.66</v>
      </c>
    </row>
    <row r="16" spans="1:5">
      <c r="A16" s="29" t="s">
        <v>15</v>
      </c>
      <c r="B16" s="33">
        <v>40</v>
      </c>
      <c r="C16" s="34">
        <v>28709.61</v>
      </c>
      <c r="D16" s="34">
        <v>11084.18</v>
      </c>
      <c r="E16" s="39">
        <v>1346.57</v>
      </c>
    </row>
    <row r="17" spans="1:5">
      <c r="A17" s="29" t="s">
        <v>16</v>
      </c>
      <c r="B17" s="33">
        <v>40</v>
      </c>
      <c r="C17" s="34">
        <v>78946.899999999994</v>
      </c>
      <c r="D17" s="35">
        <v>14380.87</v>
      </c>
      <c r="E17" s="39">
        <v>831.2</v>
      </c>
    </row>
    <row r="18" spans="1:5" ht="15.75" thickBot="1">
      <c r="A18" s="30" t="s">
        <v>2</v>
      </c>
      <c r="B18" s="31">
        <f>SUM(B6:B17)</f>
        <v>484</v>
      </c>
      <c r="C18" s="32">
        <f>SUM(C6:C17)</f>
        <v>329756.59999999998</v>
      </c>
      <c r="D18" s="32">
        <f>SUM(D6:D17)</f>
        <v>111958.20000000001</v>
      </c>
      <c r="E18" s="32">
        <f>SUM(E6:E17)</f>
        <v>24824.79</v>
      </c>
    </row>
    <row r="19" spans="1:5" ht="15.75" thickTop="1"/>
    <row r="20" spans="1:5">
      <c r="A20" s="103" t="s">
        <v>33</v>
      </c>
      <c r="B20" s="103"/>
      <c r="C20" s="103"/>
      <c r="D20" s="103"/>
      <c r="E20" s="103"/>
    </row>
    <row r="21" spans="1:5">
      <c r="A21" s="6" t="s">
        <v>0</v>
      </c>
      <c r="B21" s="7" t="s">
        <v>21</v>
      </c>
      <c r="C21" s="6" t="s">
        <v>20</v>
      </c>
      <c r="D21" s="6" t="s">
        <v>19</v>
      </c>
      <c r="E21" s="6" t="s">
        <v>17</v>
      </c>
    </row>
    <row r="22" spans="1:5">
      <c r="A22" s="77" t="s">
        <v>5</v>
      </c>
      <c r="B22" s="84">
        <v>37</v>
      </c>
      <c r="C22" s="85">
        <v>15417.23</v>
      </c>
      <c r="D22" s="85">
        <v>5871.48</v>
      </c>
      <c r="E22" s="87">
        <v>0</v>
      </c>
    </row>
    <row r="23" spans="1:5">
      <c r="A23" s="77" t="s">
        <v>6</v>
      </c>
      <c r="B23" s="84">
        <v>38</v>
      </c>
      <c r="C23" s="85">
        <v>19911.669999999998</v>
      </c>
      <c r="D23" s="85">
        <v>5116.43</v>
      </c>
      <c r="E23" s="88">
        <v>3481.62</v>
      </c>
    </row>
    <row r="24" spans="1:5">
      <c r="A24" s="77" t="s">
        <v>7</v>
      </c>
      <c r="B24" s="84">
        <v>37</v>
      </c>
      <c r="C24" s="85">
        <v>12921.32</v>
      </c>
      <c r="D24" s="85">
        <v>6026.75</v>
      </c>
      <c r="E24" s="88">
        <v>3980.27</v>
      </c>
    </row>
    <row r="25" spans="1:5">
      <c r="A25" s="77" t="s">
        <v>8</v>
      </c>
      <c r="B25" s="84">
        <v>39</v>
      </c>
      <c r="C25" s="85">
        <v>9683.98</v>
      </c>
      <c r="D25" s="85">
        <v>6048.98</v>
      </c>
      <c r="E25" s="88">
        <v>1123.6400000000001</v>
      </c>
    </row>
    <row r="26" spans="1:5">
      <c r="A26" s="77" t="s">
        <v>9</v>
      </c>
      <c r="B26" s="84">
        <v>42</v>
      </c>
      <c r="C26" s="85">
        <v>38803.15</v>
      </c>
      <c r="D26" s="85">
        <v>6996.16</v>
      </c>
      <c r="E26" s="88">
        <v>2035.02</v>
      </c>
    </row>
    <row r="27" spans="1:5">
      <c r="A27" s="77" t="s">
        <v>10</v>
      </c>
      <c r="B27" s="84">
        <v>42</v>
      </c>
      <c r="C27" s="85">
        <v>34700.68</v>
      </c>
      <c r="D27" s="85">
        <v>6456.82</v>
      </c>
      <c r="E27" s="88">
        <v>3817.9</v>
      </c>
    </row>
    <row r="28" spans="1:5">
      <c r="A28" s="77" t="s">
        <v>11</v>
      </c>
      <c r="B28" s="84">
        <v>42</v>
      </c>
      <c r="C28" s="85">
        <v>50483.74</v>
      </c>
      <c r="D28" s="85">
        <v>4737.0600000000004</v>
      </c>
      <c r="E28" s="88">
        <v>5134.8599999999997</v>
      </c>
    </row>
    <row r="29" spans="1:5">
      <c r="A29" s="77" t="s">
        <v>12</v>
      </c>
      <c r="B29" s="84">
        <v>42</v>
      </c>
      <c r="C29" s="85">
        <v>82397.7</v>
      </c>
      <c r="D29" s="85">
        <v>7370.17</v>
      </c>
      <c r="E29" s="88">
        <v>1315.38</v>
      </c>
    </row>
    <row r="30" spans="1:5">
      <c r="A30" s="77" t="s">
        <v>13</v>
      </c>
      <c r="B30" s="84">
        <v>42</v>
      </c>
      <c r="C30" s="85">
        <v>32646.29</v>
      </c>
      <c r="D30" s="85">
        <v>8661.89</v>
      </c>
      <c r="E30" s="88">
        <v>1059.68</v>
      </c>
    </row>
    <row r="31" spans="1:5">
      <c r="A31" s="77" t="s">
        <v>14</v>
      </c>
      <c r="B31" s="84">
        <v>42</v>
      </c>
      <c r="C31" s="85">
        <v>36602.019999999997</v>
      </c>
      <c r="D31" s="85">
        <v>8213.5300000000007</v>
      </c>
      <c r="E31" s="88">
        <v>421.22</v>
      </c>
    </row>
    <row r="32" spans="1:5">
      <c r="A32" s="77" t="s">
        <v>15</v>
      </c>
      <c r="B32" s="84">
        <v>39</v>
      </c>
      <c r="C32" s="85">
        <v>25633.83</v>
      </c>
      <c r="D32" s="85">
        <v>9874.2999999999993</v>
      </c>
      <c r="E32" s="88">
        <v>3446.19</v>
      </c>
    </row>
    <row r="33" spans="1:5">
      <c r="A33" s="77" t="s">
        <v>16</v>
      </c>
      <c r="B33" s="84">
        <v>39</v>
      </c>
      <c r="C33" s="85">
        <v>24910.65</v>
      </c>
      <c r="D33" s="86">
        <v>11964.41</v>
      </c>
      <c r="E33" s="88">
        <v>958.07</v>
      </c>
    </row>
    <row r="34" spans="1:5" ht="15.75" thickBot="1">
      <c r="A34" s="81" t="s">
        <v>2</v>
      </c>
      <c r="B34" s="82">
        <f>SUM(B22:B33)</f>
        <v>481</v>
      </c>
      <c r="C34" s="83">
        <f>SUM(C22:C33)</f>
        <v>384112.26</v>
      </c>
      <c r="D34" s="83">
        <f>SUM(D22:D33)</f>
        <v>87337.98</v>
      </c>
      <c r="E34" s="83">
        <f>SUM(E22:E33)</f>
        <v>26773.85</v>
      </c>
    </row>
    <row r="35" spans="1:5" ht="15.75" thickTop="1"/>
    <row r="36" spans="1:5">
      <c r="A36" s="103" t="s">
        <v>34</v>
      </c>
      <c r="B36" s="103"/>
      <c r="C36" s="103"/>
      <c r="D36" s="103"/>
      <c r="E36" s="103"/>
    </row>
    <row r="37" spans="1:5">
      <c r="A37" s="6" t="s">
        <v>0</v>
      </c>
      <c r="B37" s="7" t="s">
        <v>21</v>
      </c>
      <c r="C37" s="6" t="s">
        <v>20</v>
      </c>
      <c r="D37" s="6" t="s">
        <v>19</v>
      </c>
      <c r="E37" s="6" t="s">
        <v>17</v>
      </c>
    </row>
    <row r="38" spans="1:5">
      <c r="A38" s="77" t="s">
        <v>5</v>
      </c>
      <c r="B38" s="94">
        <v>35</v>
      </c>
      <c r="C38" s="95">
        <v>0</v>
      </c>
      <c r="D38" s="95">
        <v>15138.67</v>
      </c>
      <c r="E38" s="96">
        <v>2916.94</v>
      </c>
    </row>
    <row r="39" spans="1:5">
      <c r="A39" s="77" t="s">
        <v>6</v>
      </c>
      <c r="B39" s="94">
        <v>39</v>
      </c>
      <c r="C39" s="95">
        <v>165349.56</v>
      </c>
      <c r="D39" s="95">
        <v>16198.75</v>
      </c>
      <c r="E39" s="98">
        <v>2580.44</v>
      </c>
    </row>
    <row r="40" spans="1:5">
      <c r="A40" s="77" t="s">
        <v>7</v>
      </c>
      <c r="B40" s="94">
        <v>39</v>
      </c>
      <c r="C40" s="95">
        <v>142077.35999999999</v>
      </c>
      <c r="D40" s="95">
        <v>11030.41</v>
      </c>
      <c r="E40" s="98">
        <v>2448.17</v>
      </c>
    </row>
    <row r="41" spans="1:5">
      <c r="A41" s="77" t="s">
        <v>8</v>
      </c>
      <c r="B41" s="94">
        <v>38</v>
      </c>
      <c r="C41" s="95">
        <v>17473.689999999999</v>
      </c>
      <c r="D41" s="95">
        <v>16491.93</v>
      </c>
      <c r="E41" s="98">
        <v>4182.96</v>
      </c>
    </row>
    <row r="42" spans="1:5">
      <c r="A42" s="77" t="s">
        <v>9</v>
      </c>
      <c r="B42" s="94">
        <v>38</v>
      </c>
      <c r="C42" s="95">
        <v>198134.53</v>
      </c>
      <c r="D42" s="95">
        <v>10874.48</v>
      </c>
      <c r="E42" s="98">
        <v>2997.3</v>
      </c>
    </row>
    <row r="43" spans="1:5">
      <c r="A43" s="77" t="s">
        <v>10</v>
      </c>
      <c r="B43" s="94">
        <v>38</v>
      </c>
      <c r="C43" s="95">
        <v>16942.89</v>
      </c>
      <c r="D43" s="95">
        <v>14247.23</v>
      </c>
      <c r="E43" s="98">
        <v>635.07000000000005</v>
      </c>
    </row>
    <row r="44" spans="1:5">
      <c r="A44" s="77" t="s">
        <v>11</v>
      </c>
      <c r="B44" s="94">
        <v>38</v>
      </c>
      <c r="C44" s="95">
        <v>59913.13</v>
      </c>
      <c r="D44" s="95">
        <v>15170.96</v>
      </c>
      <c r="E44" s="98">
        <v>2365.4699999999998</v>
      </c>
    </row>
    <row r="45" spans="1:5">
      <c r="A45" s="77" t="s">
        <v>12</v>
      </c>
      <c r="B45" s="94">
        <v>38</v>
      </c>
      <c r="C45" s="95">
        <v>16480.599999999999</v>
      </c>
      <c r="D45" s="95">
        <v>12766.46</v>
      </c>
      <c r="E45" s="98">
        <v>3153.6</v>
      </c>
    </row>
    <row r="46" spans="1:5">
      <c r="A46" s="77" t="s">
        <v>13</v>
      </c>
      <c r="B46" s="94">
        <v>37</v>
      </c>
      <c r="C46" s="95">
        <v>46471.38</v>
      </c>
      <c r="D46" s="95">
        <v>12115.81</v>
      </c>
      <c r="E46" s="98">
        <v>1508.3</v>
      </c>
    </row>
    <row r="47" spans="1:5">
      <c r="A47" s="77" t="s">
        <v>14</v>
      </c>
      <c r="B47" s="94">
        <v>37</v>
      </c>
      <c r="C47" s="95">
        <v>97123.28</v>
      </c>
      <c r="D47" s="95">
        <v>15816.32</v>
      </c>
      <c r="E47" s="98">
        <v>4447</v>
      </c>
    </row>
    <row r="48" spans="1:5">
      <c r="A48" s="77" t="s">
        <v>15</v>
      </c>
      <c r="B48" s="94">
        <v>38</v>
      </c>
      <c r="C48" s="95">
        <v>21224.6</v>
      </c>
      <c r="D48" s="95">
        <v>3502.14</v>
      </c>
      <c r="E48" s="98">
        <v>1161.29</v>
      </c>
    </row>
    <row r="49" spans="1:6">
      <c r="A49" s="77" t="s">
        <v>16</v>
      </c>
      <c r="B49" s="94">
        <v>38</v>
      </c>
      <c r="C49" s="95">
        <v>37541.65</v>
      </c>
      <c r="D49" s="99">
        <v>13786.86</v>
      </c>
      <c r="E49" s="98">
        <v>2534.2199999999998</v>
      </c>
    </row>
    <row r="50" spans="1:6" ht="15.75" thickBot="1">
      <c r="A50" s="81" t="s">
        <v>2</v>
      </c>
      <c r="B50" s="82">
        <f>SUM(B38:B49)</f>
        <v>453</v>
      </c>
      <c r="C50" s="83">
        <f>SUM(C38:C49)</f>
        <v>818732.67</v>
      </c>
      <c r="D50" s="83">
        <f>SUM(D38:D49)</f>
        <v>157140.02000000002</v>
      </c>
      <c r="E50" s="83">
        <f>SUM(E38:E49)</f>
        <v>30930.760000000002</v>
      </c>
    </row>
    <row r="51" spans="1:6" ht="15.75" thickTop="1"/>
    <row r="52" spans="1:6">
      <c r="A52" s="103" t="s">
        <v>35</v>
      </c>
      <c r="B52" s="103"/>
      <c r="C52" s="103"/>
      <c r="D52" s="103"/>
      <c r="E52" s="103"/>
    </row>
    <row r="53" spans="1:6">
      <c r="A53" s="6" t="s">
        <v>0</v>
      </c>
      <c r="B53" s="7" t="s">
        <v>21</v>
      </c>
      <c r="C53" s="6" t="s">
        <v>20</v>
      </c>
      <c r="D53" s="6" t="s">
        <v>19</v>
      </c>
      <c r="E53" s="6" t="s">
        <v>17</v>
      </c>
      <c r="F53" s="67"/>
    </row>
    <row r="54" spans="1:6">
      <c r="A54" s="77" t="s">
        <v>5</v>
      </c>
      <c r="B54" s="94">
        <v>43</v>
      </c>
      <c r="C54" s="95">
        <v>45750.35</v>
      </c>
      <c r="D54" s="95">
        <v>13818.68</v>
      </c>
      <c r="E54" s="97">
        <f>5643.65+59</f>
        <v>5702.65</v>
      </c>
      <c r="F54" s="66"/>
    </row>
    <row r="55" spans="1:6">
      <c r="A55" s="77" t="s">
        <v>6</v>
      </c>
      <c r="B55" s="94">
        <v>43</v>
      </c>
      <c r="C55" s="95">
        <v>63854.47</v>
      </c>
      <c r="D55" s="95">
        <v>12787.12</v>
      </c>
      <c r="E55" s="95">
        <f>7235.6+482</f>
        <v>7717.6</v>
      </c>
      <c r="F55" s="66"/>
    </row>
    <row r="56" spans="1:6">
      <c r="A56" s="77" t="s">
        <v>7</v>
      </c>
      <c r="B56" s="94">
        <v>42</v>
      </c>
      <c r="C56" s="95">
        <v>47171.37</v>
      </c>
      <c r="D56" s="95">
        <v>14954.04</v>
      </c>
      <c r="E56" s="95">
        <f>1112.4</f>
        <v>1112.4000000000001</v>
      </c>
      <c r="F56" s="66"/>
    </row>
    <row r="57" spans="1:6">
      <c r="A57" s="77" t="s">
        <v>8</v>
      </c>
      <c r="B57" s="94">
        <v>42</v>
      </c>
      <c r="C57" s="95">
        <v>126019.12</v>
      </c>
      <c r="D57" s="95">
        <v>14711.69</v>
      </c>
      <c r="E57" s="95">
        <f>2328.31+266</f>
        <v>2594.31</v>
      </c>
      <c r="F57" s="66"/>
    </row>
    <row r="58" spans="1:6">
      <c r="A58" s="77" t="s">
        <v>9</v>
      </c>
      <c r="B58" s="94">
        <v>40</v>
      </c>
      <c r="C58" s="95">
        <v>64849.39</v>
      </c>
      <c r="D58" s="95">
        <v>12835.13</v>
      </c>
      <c r="E58" s="95">
        <f>2911.88+146</f>
        <v>3057.88</v>
      </c>
      <c r="F58" s="66"/>
    </row>
    <row r="59" spans="1:6">
      <c r="A59" s="77" t="s">
        <v>10</v>
      </c>
      <c r="B59" s="94">
        <v>40</v>
      </c>
      <c r="C59" s="95">
        <v>17042.009999999998</v>
      </c>
      <c r="D59" s="95">
        <v>16822.689999999999</v>
      </c>
      <c r="E59" s="95">
        <f>536.34+200</f>
        <v>736.34</v>
      </c>
      <c r="F59" s="66"/>
    </row>
    <row r="60" spans="1:6">
      <c r="A60" s="77" t="s">
        <v>11</v>
      </c>
      <c r="B60" s="94">
        <v>39</v>
      </c>
      <c r="C60" s="95">
        <v>31816.78</v>
      </c>
      <c r="D60" s="95">
        <v>14524.26</v>
      </c>
      <c r="E60" s="95">
        <f>3256.35+99</f>
        <v>3355.35</v>
      </c>
      <c r="F60" s="66"/>
    </row>
    <row r="61" spans="1:6">
      <c r="A61" s="77" t="s">
        <v>12</v>
      </c>
      <c r="B61" s="94">
        <v>39</v>
      </c>
      <c r="C61" s="95">
        <v>65418.879999999997</v>
      </c>
      <c r="D61" s="95">
        <v>14373.64</v>
      </c>
      <c r="E61" s="95">
        <f>734.56+548</f>
        <v>1282.56</v>
      </c>
      <c r="F61" s="66"/>
    </row>
    <row r="62" spans="1:6">
      <c r="A62" s="77" t="s">
        <v>13</v>
      </c>
      <c r="B62" s="94">
        <v>38</v>
      </c>
      <c r="C62" s="95">
        <v>151006.25</v>
      </c>
      <c r="D62" s="95">
        <v>11639.96</v>
      </c>
      <c r="E62" s="95">
        <f>2146.29+74</f>
        <v>2220.29</v>
      </c>
      <c r="F62" s="66"/>
    </row>
    <row r="63" spans="1:6">
      <c r="A63" s="77" t="s">
        <v>14</v>
      </c>
      <c r="B63" s="94">
        <v>37</v>
      </c>
      <c r="C63" s="95">
        <v>108970.8</v>
      </c>
      <c r="D63" s="95">
        <v>10149.99</v>
      </c>
      <c r="E63" s="95">
        <f>2045.56+208</f>
        <v>2253.56</v>
      </c>
      <c r="F63" s="66"/>
    </row>
    <row r="64" spans="1:6">
      <c r="A64" s="77" t="s">
        <v>15</v>
      </c>
      <c r="B64" s="94">
        <v>37</v>
      </c>
      <c r="C64" s="95">
        <v>101596.14</v>
      </c>
      <c r="D64" s="95">
        <v>16570.43</v>
      </c>
      <c r="E64" s="95">
        <v>2132.8000000000002</v>
      </c>
      <c r="F64" s="66"/>
    </row>
    <row r="65" spans="1:6">
      <c r="A65" s="77" t="s">
        <v>16</v>
      </c>
      <c r="B65" s="94">
        <v>37</v>
      </c>
      <c r="C65" s="95">
        <v>214464.2</v>
      </c>
      <c r="D65" s="99">
        <v>12374.06</v>
      </c>
      <c r="E65" s="99">
        <f>1266.95+86</f>
        <v>1352.95</v>
      </c>
      <c r="F65" s="66"/>
    </row>
    <row r="66" spans="1:6" ht="15.75" thickBot="1">
      <c r="A66" s="81" t="s">
        <v>2</v>
      </c>
      <c r="B66" s="82">
        <f>SUM(B54:B65)</f>
        <v>477</v>
      </c>
      <c r="C66" s="83">
        <f>SUM(C54:C65)</f>
        <v>1037959.76</v>
      </c>
      <c r="D66" s="83">
        <f>SUM(D54:D65)</f>
        <v>165561.68999999997</v>
      </c>
      <c r="E66" s="83">
        <f>SUM(E54:E65)</f>
        <v>33518.69</v>
      </c>
      <c r="F66" s="67"/>
    </row>
    <row r="67" spans="1:6" ht="15.75" thickTop="1"/>
  </sheetData>
  <mergeCells count="7">
    <mergeCell ref="A1:E1"/>
    <mergeCell ref="A2:E2"/>
    <mergeCell ref="A20:E20"/>
    <mergeCell ref="A36:E36"/>
    <mergeCell ref="A52:E52"/>
    <mergeCell ref="A3:E3"/>
    <mergeCell ref="A4:E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67"/>
  <sheetViews>
    <sheetView topLeftCell="A43" workbookViewId="0">
      <selection activeCell="L12" sqref="L12"/>
    </sheetView>
  </sheetViews>
  <sheetFormatPr defaultRowHeight="15"/>
  <cols>
    <col min="1" max="1" width="26" style="5" customWidth="1"/>
    <col min="2" max="2" width="2.7109375" customWidth="1"/>
    <col min="3" max="3" width="7.28515625" bestFit="1" customWidth="1"/>
    <col min="4" max="4" width="10.42578125" bestFit="1" customWidth="1"/>
    <col min="5" max="5" width="10.7109375" customWidth="1"/>
    <col min="6" max="6" width="2.7109375" customWidth="1"/>
    <col min="7" max="7" width="7.28515625" bestFit="1" customWidth="1"/>
    <col min="8" max="8" width="10.42578125" bestFit="1" customWidth="1"/>
    <col min="9" max="9" width="11.28515625" customWidth="1"/>
    <col min="10" max="10" width="2.7109375" customWidth="1"/>
    <col min="11" max="12" width="7.28515625" bestFit="1" customWidth="1"/>
    <col min="13" max="13" width="11" bestFit="1" customWidth="1"/>
    <col min="14" max="14" width="2.7109375" customWidth="1"/>
    <col min="17" max="17" width="2.7109375" customWidth="1"/>
    <col min="18" max="18" width="7.140625" bestFit="1" customWidth="1"/>
    <col min="19" max="19" width="7" bestFit="1" customWidth="1"/>
  </cols>
  <sheetData>
    <row r="1" spans="1:19">
      <c r="A1" s="104" t="s">
        <v>3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</row>
    <row r="2" spans="1:19">
      <c r="A2" s="104" t="s">
        <v>26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</row>
    <row r="3" spans="1:19">
      <c r="A3" s="105" t="s">
        <v>4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</row>
    <row r="4" spans="1:19">
      <c r="A4" s="46">
        <v>2012</v>
      </c>
      <c r="B4" s="8"/>
      <c r="C4" s="103" t="s">
        <v>39</v>
      </c>
      <c r="D4" s="103"/>
      <c r="E4" s="103"/>
      <c r="F4" s="11"/>
      <c r="G4" s="103" t="s">
        <v>40</v>
      </c>
      <c r="H4" s="103"/>
      <c r="I4" s="103"/>
      <c r="J4" s="11"/>
      <c r="K4" s="103" t="s">
        <v>41</v>
      </c>
      <c r="L4" s="103"/>
      <c r="M4" s="103"/>
      <c r="O4" s="103" t="s">
        <v>42</v>
      </c>
      <c r="P4" s="103"/>
      <c r="R4" s="103" t="s">
        <v>43</v>
      </c>
      <c r="S4" s="103"/>
    </row>
    <row r="5" spans="1:19" ht="24.75">
      <c r="A5" s="6" t="s">
        <v>0</v>
      </c>
      <c r="B5" s="6"/>
      <c r="C5" s="7" t="s">
        <v>1</v>
      </c>
      <c r="D5" s="6" t="s">
        <v>20</v>
      </c>
      <c r="E5" s="6" t="s">
        <v>19</v>
      </c>
      <c r="F5" s="6"/>
      <c r="G5" s="7" t="s">
        <v>1</v>
      </c>
      <c r="H5" s="6" t="s">
        <v>20</v>
      </c>
      <c r="I5" s="6" t="s">
        <v>19</v>
      </c>
      <c r="J5" s="6"/>
      <c r="K5" s="7" t="s">
        <v>1</v>
      </c>
      <c r="L5" s="6" t="s">
        <v>20</v>
      </c>
      <c r="M5" s="6" t="s">
        <v>19</v>
      </c>
      <c r="N5" s="92"/>
      <c r="O5" s="7" t="s">
        <v>21</v>
      </c>
      <c r="P5" s="6" t="s">
        <v>23</v>
      </c>
      <c r="Q5" s="92"/>
      <c r="R5" s="7" t="s">
        <v>21</v>
      </c>
      <c r="S5" s="6" t="s">
        <v>23</v>
      </c>
    </row>
    <row r="6" spans="1:19">
      <c r="A6" s="93" t="s">
        <v>5</v>
      </c>
      <c r="B6" s="18"/>
      <c r="C6" s="43">
        <v>17</v>
      </c>
      <c r="D6" s="44">
        <v>9778.08</v>
      </c>
      <c r="E6" s="44">
        <v>3781.26</v>
      </c>
      <c r="F6" s="10"/>
      <c r="G6" s="48">
        <v>21</v>
      </c>
      <c r="H6" s="49">
        <v>26769.87</v>
      </c>
      <c r="I6" s="49">
        <v>1955.72</v>
      </c>
      <c r="J6" s="10"/>
      <c r="K6" s="36"/>
      <c r="L6" s="37"/>
      <c r="M6" s="37"/>
      <c r="N6" s="92"/>
      <c r="O6" s="94">
        <v>50</v>
      </c>
      <c r="P6" s="96">
        <v>4614.01</v>
      </c>
      <c r="Q6" s="92"/>
      <c r="R6" s="94"/>
      <c r="S6" s="96"/>
    </row>
    <row r="7" spans="1:19">
      <c r="A7" s="93" t="s">
        <v>6</v>
      </c>
      <c r="B7" s="18"/>
      <c r="C7" s="43">
        <v>16</v>
      </c>
      <c r="D7" s="44">
        <v>15667.31</v>
      </c>
      <c r="E7" s="44">
        <v>5916.04</v>
      </c>
      <c r="F7" s="10"/>
      <c r="G7" s="48">
        <v>22</v>
      </c>
      <c r="H7" s="49">
        <v>11948</v>
      </c>
      <c r="I7" s="49">
        <v>1961.04</v>
      </c>
      <c r="J7" s="10"/>
      <c r="K7" s="36"/>
      <c r="L7" s="37"/>
      <c r="M7" s="37"/>
      <c r="N7" s="92"/>
      <c r="O7" s="94">
        <v>50</v>
      </c>
      <c r="P7" s="98">
        <v>3540.89</v>
      </c>
      <c r="Q7" s="92"/>
      <c r="R7" s="94"/>
      <c r="S7" s="98"/>
    </row>
    <row r="8" spans="1:19">
      <c r="A8" s="93" t="s">
        <v>7</v>
      </c>
      <c r="B8" s="18"/>
      <c r="C8" s="43">
        <v>17</v>
      </c>
      <c r="D8" s="44">
        <v>12850.24</v>
      </c>
      <c r="E8" s="44">
        <v>5428.67</v>
      </c>
      <c r="F8" s="10"/>
      <c r="G8" s="48">
        <v>22</v>
      </c>
      <c r="H8" s="49">
        <v>3086.36</v>
      </c>
      <c r="I8" s="49">
        <v>2672.26</v>
      </c>
      <c r="J8" s="10"/>
      <c r="K8" s="36"/>
      <c r="L8" s="37"/>
      <c r="M8" s="37"/>
      <c r="N8" s="92"/>
      <c r="O8" s="94">
        <v>51</v>
      </c>
      <c r="P8" s="98">
        <v>273.11</v>
      </c>
      <c r="Q8" s="92"/>
      <c r="R8" s="94"/>
      <c r="S8" s="98"/>
    </row>
    <row r="9" spans="1:19">
      <c r="A9" s="93" t="s">
        <v>8</v>
      </c>
      <c r="B9" s="18"/>
      <c r="C9" s="43">
        <v>18</v>
      </c>
      <c r="D9" s="44">
        <v>4749.51</v>
      </c>
      <c r="E9" s="44">
        <v>5706.52</v>
      </c>
      <c r="F9" s="10"/>
      <c r="G9" s="48">
        <v>22</v>
      </c>
      <c r="H9" s="49">
        <v>902.33</v>
      </c>
      <c r="I9" s="49">
        <v>3205.16</v>
      </c>
      <c r="J9" s="10"/>
      <c r="K9" s="36"/>
      <c r="L9" s="37"/>
      <c r="M9" s="37"/>
      <c r="N9" s="92"/>
      <c r="O9" s="94">
        <v>51</v>
      </c>
      <c r="P9" s="98">
        <v>1594.86</v>
      </c>
      <c r="Q9" s="92"/>
      <c r="R9" s="94"/>
      <c r="S9" s="98"/>
    </row>
    <row r="10" spans="1:19">
      <c r="A10" s="93" t="s">
        <v>9</v>
      </c>
      <c r="B10" s="18"/>
      <c r="C10" s="43">
        <v>19</v>
      </c>
      <c r="D10" s="44">
        <v>11047.44</v>
      </c>
      <c r="E10" s="44">
        <v>8508.6200000000008</v>
      </c>
      <c r="F10" s="10"/>
      <c r="G10" s="48">
        <v>23</v>
      </c>
      <c r="H10" s="49">
        <v>4016.28</v>
      </c>
      <c r="I10" s="49">
        <v>2349.37</v>
      </c>
      <c r="J10" s="10"/>
      <c r="K10" s="36"/>
      <c r="L10" s="37"/>
      <c r="M10" s="37"/>
      <c r="N10" s="92"/>
      <c r="O10" s="94">
        <v>53</v>
      </c>
      <c r="P10" s="98">
        <v>1289.05</v>
      </c>
      <c r="Q10" s="92"/>
      <c r="R10" s="94"/>
      <c r="S10" s="98"/>
    </row>
    <row r="11" spans="1:19">
      <c r="A11" s="93" t="s">
        <v>10</v>
      </c>
      <c r="B11" s="18"/>
      <c r="C11" s="43">
        <v>18</v>
      </c>
      <c r="D11" s="44">
        <v>32696.49</v>
      </c>
      <c r="E11" s="44">
        <v>5581.43</v>
      </c>
      <c r="F11" s="10"/>
      <c r="G11" s="48">
        <v>22</v>
      </c>
      <c r="H11" s="49">
        <v>12227.42</v>
      </c>
      <c r="I11" s="49">
        <v>2556.8000000000002</v>
      </c>
      <c r="J11" s="10"/>
      <c r="K11" s="36"/>
      <c r="L11" s="37"/>
      <c r="M11" s="37"/>
      <c r="N11" s="92"/>
      <c r="O11" s="94">
        <v>53</v>
      </c>
      <c r="P11" s="98">
        <v>795.93</v>
      </c>
      <c r="Q11" s="92"/>
      <c r="R11" s="94"/>
      <c r="S11" s="98"/>
    </row>
    <row r="12" spans="1:19">
      <c r="A12" s="93" t="s">
        <v>11</v>
      </c>
      <c r="B12" s="18"/>
      <c r="C12" s="43">
        <v>19</v>
      </c>
      <c r="D12" s="44">
        <v>6710.17</v>
      </c>
      <c r="E12" s="44">
        <v>6215.17</v>
      </c>
      <c r="F12" s="10"/>
      <c r="G12" s="48">
        <v>21</v>
      </c>
      <c r="H12" s="49">
        <v>5200.2</v>
      </c>
      <c r="I12" s="49">
        <v>2781.61</v>
      </c>
      <c r="J12" s="10"/>
      <c r="K12" s="36"/>
      <c r="L12" s="37"/>
      <c r="M12" s="37"/>
      <c r="N12" s="92"/>
      <c r="O12" s="94">
        <v>54</v>
      </c>
      <c r="P12" s="98">
        <v>1982.95</v>
      </c>
      <c r="Q12" s="92"/>
      <c r="R12" s="94"/>
      <c r="S12" s="98"/>
    </row>
    <row r="13" spans="1:19">
      <c r="A13" s="93" t="s">
        <v>12</v>
      </c>
      <c r="B13" s="18"/>
      <c r="C13" s="43">
        <v>18</v>
      </c>
      <c r="D13" s="44">
        <v>11471.86</v>
      </c>
      <c r="E13" s="44">
        <v>5697.47</v>
      </c>
      <c r="F13" s="10"/>
      <c r="G13" s="48">
        <v>21</v>
      </c>
      <c r="H13" s="49">
        <v>3536.94</v>
      </c>
      <c r="I13" s="49">
        <v>2491.6</v>
      </c>
      <c r="J13" s="10"/>
      <c r="K13" s="36"/>
      <c r="L13" s="37"/>
      <c r="M13" s="37"/>
      <c r="N13" s="92"/>
      <c r="O13" s="94">
        <v>54</v>
      </c>
      <c r="P13" s="98">
        <v>3370.26</v>
      </c>
      <c r="Q13" s="92"/>
      <c r="R13" s="94"/>
      <c r="S13" s="98"/>
    </row>
    <row r="14" spans="1:19">
      <c r="A14" s="93" t="s">
        <v>13</v>
      </c>
      <c r="B14" s="18"/>
      <c r="C14" s="43">
        <v>18</v>
      </c>
      <c r="D14" s="44">
        <v>15839.64</v>
      </c>
      <c r="E14" s="44">
        <v>6403.75</v>
      </c>
      <c r="F14" s="10"/>
      <c r="G14" s="48">
        <v>21</v>
      </c>
      <c r="H14" s="49">
        <v>3962.96</v>
      </c>
      <c r="I14" s="49">
        <v>1995.56</v>
      </c>
      <c r="J14" s="10"/>
      <c r="K14" s="36"/>
      <c r="L14" s="37"/>
      <c r="M14" s="37"/>
      <c r="N14" s="92"/>
      <c r="O14" s="94">
        <v>54</v>
      </c>
      <c r="P14" s="98">
        <v>3241.3</v>
      </c>
      <c r="Q14" s="92"/>
      <c r="R14" s="94"/>
      <c r="S14" s="98"/>
    </row>
    <row r="15" spans="1:19">
      <c r="A15" s="93" t="s">
        <v>14</v>
      </c>
      <c r="B15" s="18"/>
      <c r="C15" s="43">
        <v>19</v>
      </c>
      <c r="D15" s="44">
        <v>27739.88</v>
      </c>
      <c r="E15" s="44">
        <v>8214.61</v>
      </c>
      <c r="F15" s="10"/>
      <c r="G15" s="48">
        <v>21</v>
      </c>
      <c r="H15" s="49">
        <v>1899.11</v>
      </c>
      <c r="I15" s="49">
        <v>2981.42</v>
      </c>
      <c r="J15" s="10"/>
      <c r="K15" s="36"/>
      <c r="L15" s="37"/>
      <c r="M15" s="37"/>
      <c r="N15" s="92"/>
      <c r="O15" s="94">
        <v>55</v>
      </c>
      <c r="P15" s="98">
        <v>1944.66</v>
      </c>
      <c r="Q15" s="92"/>
      <c r="R15" s="94"/>
      <c r="S15" s="98"/>
    </row>
    <row r="16" spans="1:19">
      <c r="A16" s="93" t="s">
        <v>15</v>
      </c>
      <c r="B16" s="18"/>
      <c r="C16" s="43">
        <v>18</v>
      </c>
      <c r="D16" s="44">
        <v>20100.63</v>
      </c>
      <c r="E16" s="44">
        <v>8091.82</v>
      </c>
      <c r="F16" s="10"/>
      <c r="G16" s="48">
        <v>21</v>
      </c>
      <c r="H16" s="49">
        <v>8608.98</v>
      </c>
      <c r="I16" s="49">
        <v>2978.35</v>
      </c>
      <c r="J16" s="10"/>
      <c r="K16" s="36"/>
      <c r="L16" s="37"/>
      <c r="M16" s="37"/>
      <c r="N16" s="92"/>
      <c r="O16" s="94">
        <v>55</v>
      </c>
      <c r="P16" s="98">
        <v>1346.57</v>
      </c>
      <c r="Q16" s="92"/>
      <c r="R16" s="94"/>
      <c r="S16" s="98"/>
    </row>
    <row r="17" spans="1:19">
      <c r="A17" s="93" t="s">
        <v>16</v>
      </c>
      <c r="B17" s="18"/>
      <c r="C17" s="43">
        <v>19</v>
      </c>
      <c r="D17" s="44">
        <v>77258.44</v>
      </c>
      <c r="E17" s="45">
        <v>10542.43</v>
      </c>
      <c r="F17" s="10"/>
      <c r="G17" s="48">
        <v>20</v>
      </c>
      <c r="H17" s="49">
        <v>1688.46</v>
      </c>
      <c r="I17" s="50">
        <v>3827.82</v>
      </c>
      <c r="J17" s="10"/>
      <c r="K17" s="36"/>
      <c r="L17" s="37"/>
      <c r="M17" s="40"/>
      <c r="N17" s="92"/>
      <c r="O17" s="94">
        <v>53</v>
      </c>
      <c r="P17" s="98">
        <v>831.2</v>
      </c>
      <c r="Q17" s="92"/>
      <c r="R17" s="94"/>
      <c r="S17" s="98"/>
    </row>
    <row r="18" spans="1:19" ht="15.75" thickBot="1">
      <c r="A18" s="100" t="s">
        <v>2</v>
      </c>
      <c r="B18" s="17"/>
      <c r="C18" s="41">
        <f>SUM(C6:C17)</f>
        <v>216</v>
      </c>
      <c r="D18" s="42">
        <f>SUM(D6:D17)</f>
        <v>245909.69</v>
      </c>
      <c r="E18" s="42">
        <f>SUM(E6:E17)</f>
        <v>80087.790000000008</v>
      </c>
      <c r="F18" s="9"/>
      <c r="G18" s="41">
        <f>SUM(G6:G17)</f>
        <v>257</v>
      </c>
      <c r="H18" s="42">
        <f>SUM(H6:H17)</f>
        <v>83846.91</v>
      </c>
      <c r="I18" s="42">
        <f>SUM(I6:I17)</f>
        <v>31756.71</v>
      </c>
      <c r="J18" s="9"/>
      <c r="K18" s="41">
        <f>SUM(K6:K17)</f>
        <v>0</v>
      </c>
      <c r="L18" s="42">
        <f>SUM(L6:L17)</f>
        <v>0</v>
      </c>
      <c r="M18" s="42">
        <f>SUM(M6:M17)</f>
        <v>0</v>
      </c>
      <c r="N18" s="92"/>
      <c r="O18" s="101">
        <f>SUM(O6:O17)</f>
        <v>633</v>
      </c>
      <c r="P18" s="102">
        <f>SUM(P6:P17)</f>
        <v>24824.79</v>
      </c>
      <c r="Q18" s="92"/>
      <c r="R18" s="101">
        <f>SUM(R6:R17)</f>
        <v>0</v>
      </c>
      <c r="S18" s="102">
        <f>SUM(S6:S17)</f>
        <v>0</v>
      </c>
    </row>
    <row r="19" spans="1:19" ht="15.75" thickTop="1"/>
    <row r="20" spans="1:19" ht="15.75">
      <c r="A20" s="65">
        <v>2011</v>
      </c>
      <c r="B20" s="8"/>
      <c r="C20" s="103" t="s">
        <v>44</v>
      </c>
      <c r="D20" s="103"/>
      <c r="E20" s="103"/>
      <c r="F20" s="11"/>
      <c r="G20" s="103" t="s">
        <v>45</v>
      </c>
      <c r="H20" s="103"/>
      <c r="I20" s="103"/>
      <c r="J20" s="11"/>
      <c r="K20" s="103" t="s">
        <v>46</v>
      </c>
      <c r="L20" s="103"/>
      <c r="M20" s="103"/>
      <c r="O20" s="103" t="s">
        <v>42</v>
      </c>
      <c r="P20" s="103"/>
      <c r="R20" s="103" t="s">
        <v>43</v>
      </c>
      <c r="S20" s="103"/>
    </row>
    <row r="21" spans="1:19" ht="24.75">
      <c r="A21" s="6" t="s">
        <v>0</v>
      </c>
      <c r="B21" s="6"/>
      <c r="C21" s="7" t="s">
        <v>1</v>
      </c>
      <c r="D21" s="6" t="s">
        <v>20</v>
      </c>
      <c r="E21" s="6" t="s">
        <v>19</v>
      </c>
      <c r="F21" s="6"/>
      <c r="G21" s="7" t="s">
        <v>1</v>
      </c>
      <c r="H21" s="6" t="s">
        <v>20</v>
      </c>
      <c r="I21" s="6" t="s">
        <v>19</v>
      </c>
      <c r="J21" s="6"/>
      <c r="K21" s="7" t="s">
        <v>1</v>
      </c>
      <c r="L21" s="6" t="s">
        <v>20</v>
      </c>
      <c r="M21" s="6" t="s">
        <v>19</v>
      </c>
      <c r="N21" s="92"/>
      <c r="O21" s="7" t="s">
        <v>21</v>
      </c>
      <c r="P21" s="6" t="s">
        <v>23</v>
      </c>
      <c r="Q21" s="92"/>
      <c r="R21" s="7" t="s">
        <v>21</v>
      </c>
      <c r="S21" s="6" t="s">
        <v>23</v>
      </c>
    </row>
    <row r="22" spans="1:19">
      <c r="A22" s="93" t="s">
        <v>5</v>
      </c>
      <c r="B22" s="18"/>
      <c r="C22" s="89">
        <v>15</v>
      </c>
      <c r="D22" s="90">
        <v>11062.81</v>
      </c>
      <c r="E22" s="90">
        <v>2238.08</v>
      </c>
      <c r="F22" s="10"/>
      <c r="G22" s="94">
        <v>22</v>
      </c>
      <c r="H22" s="95">
        <v>4354.42</v>
      </c>
      <c r="I22" s="95">
        <v>3633.4</v>
      </c>
      <c r="J22" s="10"/>
      <c r="K22" s="78"/>
      <c r="L22" s="79"/>
      <c r="M22" s="79"/>
      <c r="N22" s="92"/>
      <c r="O22" s="94">
        <v>46</v>
      </c>
      <c r="P22" s="96">
        <v>0</v>
      </c>
      <c r="Q22" s="92"/>
      <c r="R22" s="94"/>
      <c r="S22" s="96"/>
    </row>
    <row r="23" spans="1:19">
      <c r="A23" s="93" t="s">
        <v>6</v>
      </c>
      <c r="B23" s="18"/>
      <c r="C23" s="89">
        <v>15</v>
      </c>
      <c r="D23" s="90">
        <v>5634.5</v>
      </c>
      <c r="E23" s="90">
        <v>3215.6</v>
      </c>
      <c r="F23" s="10"/>
      <c r="G23" s="94">
        <v>23</v>
      </c>
      <c r="H23" s="95">
        <v>14277.17</v>
      </c>
      <c r="I23" s="95">
        <v>1900.83</v>
      </c>
      <c r="J23" s="10"/>
      <c r="K23" s="78"/>
      <c r="L23" s="79"/>
      <c r="M23" s="79"/>
      <c r="N23" s="92"/>
      <c r="O23" s="94">
        <v>48</v>
      </c>
      <c r="P23" s="98">
        <v>3481.62</v>
      </c>
      <c r="Q23" s="92"/>
      <c r="R23" s="94"/>
      <c r="S23" s="98"/>
    </row>
    <row r="24" spans="1:19">
      <c r="A24" s="93" t="s">
        <v>7</v>
      </c>
      <c r="B24" s="18"/>
      <c r="C24" s="89">
        <v>14</v>
      </c>
      <c r="D24" s="90">
        <v>5276.48</v>
      </c>
      <c r="E24" s="90">
        <v>2962.73</v>
      </c>
      <c r="F24" s="10"/>
      <c r="G24" s="94">
        <v>23</v>
      </c>
      <c r="H24" s="95">
        <v>7644.84</v>
      </c>
      <c r="I24" s="95">
        <v>3064.02</v>
      </c>
      <c r="J24" s="10"/>
      <c r="K24" s="78"/>
      <c r="L24" s="79"/>
      <c r="M24" s="79"/>
      <c r="N24" s="92"/>
      <c r="O24" s="94">
        <v>47</v>
      </c>
      <c r="P24" s="98">
        <v>3980.27</v>
      </c>
      <c r="Q24" s="92"/>
      <c r="R24" s="94"/>
      <c r="S24" s="98"/>
    </row>
    <row r="25" spans="1:19">
      <c r="A25" s="93" t="s">
        <v>8</v>
      </c>
      <c r="B25" s="18"/>
      <c r="C25" s="89">
        <v>15</v>
      </c>
      <c r="D25" s="90">
        <v>3762.59</v>
      </c>
      <c r="E25" s="90">
        <v>2484.42</v>
      </c>
      <c r="F25" s="10"/>
      <c r="G25" s="94">
        <v>24</v>
      </c>
      <c r="H25" s="95">
        <v>5921.39</v>
      </c>
      <c r="I25" s="95">
        <v>3564.56</v>
      </c>
      <c r="J25" s="10"/>
      <c r="K25" s="78"/>
      <c r="L25" s="79"/>
      <c r="M25" s="79"/>
      <c r="N25" s="92"/>
      <c r="O25" s="94">
        <v>49</v>
      </c>
      <c r="P25" s="98">
        <v>1123.6400000000001</v>
      </c>
      <c r="Q25" s="92"/>
      <c r="R25" s="94"/>
      <c r="S25" s="98"/>
    </row>
    <row r="26" spans="1:19">
      <c r="A26" s="93" t="s">
        <v>9</v>
      </c>
      <c r="B26" s="18"/>
      <c r="C26" s="89">
        <v>16</v>
      </c>
      <c r="D26" s="90">
        <v>34369.51</v>
      </c>
      <c r="E26" s="90">
        <v>4051.87</v>
      </c>
      <c r="F26" s="10"/>
      <c r="G26" s="94">
        <v>26</v>
      </c>
      <c r="H26" s="95">
        <v>4433.6400000000003</v>
      </c>
      <c r="I26" s="95">
        <v>2944.29</v>
      </c>
      <c r="J26" s="10"/>
      <c r="K26" s="78"/>
      <c r="L26" s="79"/>
      <c r="M26" s="79"/>
      <c r="N26" s="92"/>
      <c r="O26" s="94">
        <v>51</v>
      </c>
      <c r="P26" s="98">
        <v>2035.02</v>
      </c>
      <c r="Q26" s="92"/>
      <c r="R26" s="94"/>
      <c r="S26" s="98"/>
    </row>
    <row r="27" spans="1:19">
      <c r="A27" s="93" t="s">
        <v>10</v>
      </c>
      <c r="B27" s="18"/>
      <c r="C27" s="89">
        <v>16</v>
      </c>
      <c r="D27" s="90">
        <v>12582.14</v>
      </c>
      <c r="E27" s="90">
        <v>3857.55</v>
      </c>
      <c r="F27" s="10"/>
      <c r="G27" s="94">
        <v>26</v>
      </c>
      <c r="H27" s="95">
        <v>22118.54</v>
      </c>
      <c r="I27" s="95">
        <v>2599.27</v>
      </c>
      <c r="J27" s="10"/>
      <c r="K27" s="78"/>
      <c r="L27" s="79"/>
      <c r="M27" s="79"/>
      <c r="N27" s="92"/>
      <c r="O27" s="94">
        <v>52</v>
      </c>
      <c r="P27" s="98">
        <v>3817.9</v>
      </c>
      <c r="Q27" s="92"/>
      <c r="R27" s="94"/>
      <c r="S27" s="98"/>
    </row>
    <row r="28" spans="1:19">
      <c r="A28" s="93" t="s">
        <v>11</v>
      </c>
      <c r="B28" s="18"/>
      <c r="C28" s="89">
        <v>16</v>
      </c>
      <c r="D28" s="90">
        <v>21398.21</v>
      </c>
      <c r="E28" s="90">
        <v>3359.81</v>
      </c>
      <c r="F28" s="10"/>
      <c r="G28" s="94">
        <v>26</v>
      </c>
      <c r="H28" s="95">
        <v>29085.53</v>
      </c>
      <c r="I28" s="95">
        <v>1377.25</v>
      </c>
      <c r="J28" s="10"/>
      <c r="K28" s="78"/>
      <c r="L28" s="79"/>
      <c r="M28" s="79"/>
      <c r="N28" s="92"/>
      <c r="O28" s="94">
        <v>52</v>
      </c>
      <c r="P28" s="98">
        <v>5134.8599999999997</v>
      </c>
      <c r="Q28" s="92"/>
      <c r="R28" s="94"/>
      <c r="S28" s="98"/>
    </row>
    <row r="29" spans="1:19">
      <c r="A29" s="93" t="s">
        <v>12</v>
      </c>
      <c r="B29" s="18"/>
      <c r="C29" s="89">
        <v>16</v>
      </c>
      <c r="D29" s="90">
        <v>47715.64</v>
      </c>
      <c r="E29" s="90">
        <v>3749.41</v>
      </c>
      <c r="F29" s="10"/>
      <c r="G29" s="94">
        <v>26</v>
      </c>
      <c r="H29" s="95">
        <v>34682.06</v>
      </c>
      <c r="I29" s="95">
        <v>3620.76</v>
      </c>
      <c r="J29" s="10"/>
      <c r="K29" s="78"/>
      <c r="L29" s="79"/>
      <c r="M29" s="79"/>
      <c r="N29" s="92"/>
      <c r="O29" s="94">
        <v>52</v>
      </c>
      <c r="P29" s="98">
        <v>1315.38</v>
      </c>
      <c r="Q29" s="92"/>
      <c r="R29" s="94"/>
      <c r="S29" s="98"/>
    </row>
    <row r="30" spans="1:19">
      <c r="A30" s="93" t="s">
        <v>13</v>
      </c>
      <c r="B30" s="18"/>
      <c r="C30" s="89">
        <v>16</v>
      </c>
      <c r="D30" s="90">
        <v>9620.7099999999991</v>
      </c>
      <c r="E30" s="90">
        <v>5848.05</v>
      </c>
      <c r="F30" s="10"/>
      <c r="G30" s="94">
        <v>26</v>
      </c>
      <c r="H30" s="95">
        <v>23025.58</v>
      </c>
      <c r="I30" s="95">
        <v>2813.84</v>
      </c>
      <c r="J30" s="10"/>
      <c r="K30" s="78"/>
      <c r="L30" s="79"/>
      <c r="M30" s="79"/>
      <c r="N30" s="92"/>
      <c r="O30" s="94">
        <v>52</v>
      </c>
      <c r="P30" s="98">
        <v>1059.68</v>
      </c>
      <c r="Q30" s="92"/>
      <c r="R30" s="94"/>
      <c r="S30" s="98"/>
    </row>
    <row r="31" spans="1:19">
      <c r="A31" s="93" t="s">
        <v>14</v>
      </c>
      <c r="B31" s="18"/>
      <c r="C31" s="89">
        <v>16</v>
      </c>
      <c r="D31" s="90">
        <v>2366.5700000000002</v>
      </c>
      <c r="E31" s="90">
        <v>5503.17</v>
      </c>
      <c r="F31" s="10"/>
      <c r="G31" s="94">
        <v>26</v>
      </c>
      <c r="H31" s="95">
        <v>34235.449999999997</v>
      </c>
      <c r="I31" s="95">
        <v>2710.36</v>
      </c>
      <c r="J31" s="10"/>
      <c r="K31" s="78"/>
      <c r="L31" s="79"/>
      <c r="M31" s="79"/>
      <c r="N31" s="92"/>
      <c r="O31" s="94">
        <v>52</v>
      </c>
      <c r="P31" s="98">
        <v>421.22</v>
      </c>
      <c r="Q31" s="92"/>
      <c r="R31" s="94"/>
      <c r="S31" s="98"/>
    </row>
    <row r="32" spans="1:19">
      <c r="A32" s="93" t="s">
        <v>15</v>
      </c>
      <c r="B32" s="18"/>
      <c r="C32" s="89">
        <v>15</v>
      </c>
      <c r="D32" s="90">
        <v>15155.12</v>
      </c>
      <c r="E32" s="90">
        <v>5740.11</v>
      </c>
      <c r="F32" s="10"/>
      <c r="G32" s="94">
        <v>24</v>
      </c>
      <c r="H32" s="95">
        <v>10478.709999999999</v>
      </c>
      <c r="I32" s="95">
        <v>4134.1899999999996</v>
      </c>
      <c r="J32" s="10"/>
      <c r="K32" s="78"/>
      <c r="L32" s="79"/>
      <c r="M32" s="79"/>
      <c r="N32" s="92"/>
      <c r="O32" s="94">
        <v>52</v>
      </c>
      <c r="P32" s="98">
        <v>3446.19</v>
      </c>
      <c r="Q32" s="92"/>
      <c r="R32" s="94"/>
      <c r="S32" s="98"/>
    </row>
    <row r="33" spans="1:19">
      <c r="A33" s="93" t="s">
        <v>16</v>
      </c>
      <c r="B33" s="18"/>
      <c r="C33" s="89">
        <v>16</v>
      </c>
      <c r="D33" s="90">
        <v>18312.439999999999</v>
      </c>
      <c r="E33" s="91">
        <v>5990.47</v>
      </c>
      <c r="F33" s="10"/>
      <c r="G33" s="94">
        <v>23</v>
      </c>
      <c r="H33" s="95">
        <v>6598.21</v>
      </c>
      <c r="I33" s="99">
        <v>5973.94</v>
      </c>
      <c r="J33" s="10"/>
      <c r="K33" s="78"/>
      <c r="L33" s="79"/>
      <c r="M33" s="80"/>
      <c r="N33" s="92"/>
      <c r="O33" s="94">
        <v>52</v>
      </c>
      <c r="P33" s="98">
        <v>958.07</v>
      </c>
      <c r="Q33" s="92"/>
      <c r="R33" s="94"/>
      <c r="S33" s="98"/>
    </row>
    <row r="34" spans="1:19" ht="15.75" thickBot="1">
      <c r="A34" s="100" t="s">
        <v>2</v>
      </c>
      <c r="B34" s="17"/>
      <c r="C34" s="82">
        <f>SUM(C22:C33)</f>
        <v>186</v>
      </c>
      <c r="D34" s="83">
        <f>SUM(D22:D33)</f>
        <v>187256.72</v>
      </c>
      <c r="E34" s="83">
        <f>SUM(E22:E33)</f>
        <v>49001.270000000004</v>
      </c>
      <c r="F34" s="9"/>
      <c r="G34" s="82">
        <f>SUM(G22:G33)</f>
        <v>295</v>
      </c>
      <c r="H34" s="83">
        <f>SUM(H22:H33)</f>
        <v>196855.53999999998</v>
      </c>
      <c r="I34" s="83">
        <f>SUM(I22:I33)</f>
        <v>38336.71</v>
      </c>
      <c r="J34" s="9"/>
      <c r="K34" s="82">
        <f>SUM(K22:K33)</f>
        <v>0</v>
      </c>
      <c r="L34" s="83">
        <f>SUM(L22:L33)</f>
        <v>0</v>
      </c>
      <c r="M34" s="83">
        <f>SUM(M22:M33)</f>
        <v>0</v>
      </c>
      <c r="N34" s="92"/>
      <c r="O34" s="101">
        <f>SUM(O22:O33)</f>
        <v>605</v>
      </c>
      <c r="P34" s="102">
        <f>SUM(P22:P33)</f>
        <v>26773.85</v>
      </c>
      <c r="Q34" s="92"/>
      <c r="R34" s="101">
        <f>SUM(R22:R33)</f>
        <v>0</v>
      </c>
      <c r="S34" s="102">
        <f>SUM(S22:S33)</f>
        <v>0</v>
      </c>
    </row>
    <row r="35" spans="1:19" ht="15.75" thickTop="1"/>
    <row r="36" spans="1:19" ht="15.75">
      <c r="A36" s="65">
        <v>2010</v>
      </c>
      <c r="B36" s="8"/>
      <c r="C36" s="103" t="s">
        <v>59</v>
      </c>
      <c r="D36" s="103"/>
      <c r="E36" s="103"/>
      <c r="F36" s="11"/>
      <c r="G36" s="103" t="s">
        <v>45</v>
      </c>
      <c r="H36" s="103"/>
      <c r="I36" s="103"/>
      <c r="J36" s="11"/>
      <c r="K36" s="103" t="s">
        <v>47</v>
      </c>
      <c r="L36" s="103"/>
      <c r="M36" s="103"/>
      <c r="O36" s="103" t="s">
        <v>42</v>
      </c>
      <c r="P36" s="103"/>
      <c r="R36" s="103" t="s">
        <v>43</v>
      </c>
      <c r="S36" s="103"/>
    </row>
    <row r="37" spans="1:19" ht="24.75">
      <c r="A37" s="6" t="s">
        <v>0</v>
      </c>
      <c r="B37" s="6"/>
      <c r="C37" s="7" t="s">
        <v>1</v>
      </c>
      <c r="D37" s="6" t="s">
        <v>20</v>
      </c>
      <c r="E37" s="6" t="s">
        <v>19</v>
      </c>
      <c r="F37" s="6"/>
      <c r="G37" s="7" t="s">
        <v>1</v>
      </c>
      <c r="H37" s="6" t="s">
        <v>20</v>
      </c>
      <c r="I37" s="6" t="s">
        <v>19</v>
      </c>
      <c r="J37" s="6"/>
      <c r="K37" s="7" t="s">
        <v>1</v>
      </c>
      <c r="L37" s="6" t="s">
        <v>20</v>
      </c>
      <c r="M37" s="6" t="s">
        <v>19</v>
      </c>
      <c r="N37" s="92"/>
      <c r="O37" s="7" t="s">
        <v>21</v>
      </c>
      <c r="P37" s="6" t="s">
        <v>23</v>
      </c>
      <c r="Q37" s="92"/>
      <c r="R37" s="7" t="s">
        <v>21</v>
      </c>
      <c r="S37" s="6" t="s">
        <v>23</v>
      </c>
    </row>
    <row r="38" spans="1:19">
      <c r="A38" s="93" t="s">
        <v>5</v>
      </c>
      <c r="B38" s="18"/>
      <c r="C38" s="94">
        <v>23</v>
      </c>
      <c r="D38" s="95">
        <v>65340.66</v>
      </c>
      <c r="E38" s="95">
        <v>13629.78</v>
      </c>
      <c r="F38" s="10"/>
      <c r="G38" s="94">
        <v>12</v>
      </c>
      <c r="H38" s="95">
        <v>10535.18</v>
      </c>
      <c r="I38" s="95">
        <v>1508.89</v>
      </c>
      <c r="J38" s="10"/>
      <c r="K38" s="78"/>
      <c r="L38" s="79"/>
      <c r="M38" s="79"/>
      <c r="N38" s="92"/>
      <c r="O38" s="94">
        <v>40</v>
      </c>
      <c r="P38" s="96">
        <v>2916.94</v>
      </c>
      <c r="Q38" s="92"/>
      <c r="R38" s="94">
        <v>0</v>
      </c>
      <c r="S38" s="96">
        <v>502.4</v>
      </c>
    </row>
    <row r="39" spans="1:19">
      <c r="A39" s="93" t="s">
        <v>6</v>
      </c>
      <c r="B39" s="18"/>
      <c r="C39" s="94">
        <v>27</v>
      </c>
      <c r="D39" s="95">
        <v>159638.24</v>
      </c>
      <c r="E39" s="95">
        <v>14571.7</v>
      </c>
      <c r="F39" s="10"/>
      <c r="G39" s="94">
        <v>12</v>
      </c>
      <c r="H39" s="95">
        <v>5711.32</v>
      </c>
      <c r="I39" s="95">
        <v>1627.05</v>
      </c>
      <c r="J39" s="10"/>
      <c r="K39" s="78"/>
      <c r="L39" s="79"/>
      <c r="M39" s="79"/>
      <c r="N39" s="92"/>
      <c r="O39" s="94">
        <v>43</v>
      </c>
      <c r="P39" s="98">
        <v>2580.44</v>
      </c>
      <c r="Q39" s="92"/>
      <c r="R39" s="94">
        <v>1</v>
      </c>
      <c r="S39" s="98">
        <v>0</v>
      </c>
    </row>
    <row r="40" spans="1:19">
      <c r="A40" s="93" t="s">
        <v>7</v>
      </c>
      <c r="B40" s="18"/>
      <c r="C40" s="94">
        <v>27</v>
      </c>
      <c r="D40" s="95">
        <v>140264.59</v>
      </c>
      <c r="E40" s="95">
        <v>8266.86</v>
      </c>
      <c r="F40" s="10"/>
      <c r="G40" s="94">
        <v>12</v>
      </c>
      <c r="H40" s="95">
        <v>1812.77</v>
      </c>
      <c r="I40" s="95">
        <v>2763.55</v>
      </c>
      <c r="J40" s="10"/>
      <c r="K40" s="78"/>
      <c r="L40" s="79"/>
      <c r="M40" s="79"/>
      <c r="N40" s="92"/>
      <c r="O40" s="94">
        <v>42</v>
      </c>
      <c r="P40" s="98">
        <v>2448.17</v>
      </c>
      <c r="Q40" s="92"/>
      <c r="R40" s="94">
        <v>1</v>
      </c>
      <c r="S40" s="98">
        <v>1157.5999999999999</v>
      </c>
    </row>
    <row r="41" spans="1:19">
      <c r="A41" s="93" t="s">
        <v>8</v>
      </c>
      <c r="B41" s="18"/>
      <c r="C41" s="94">
        <v>26</v>
      </c>
      <c r="D41" s="95">
        <v>15279.2</v>
      </c>
      <c r="E41" s="95">
        <v>13417.39</v>
      </c>
      <c r="F41" s="10"/>
      <c r="G41" s="94">
        <v>12</v>
      </c>
      <c r="H41" s="95">
        <v>2194.4899999999998</v>
      </c>
      <c r="I41" s="95">
        <v>3074.54</v>
      </c>
      <c r="J41" s="10"/>
      <c r="K41" s="78"/>
      <c r="L41" s="79"/>
      <c r="M41" s="79"/>
      <c r="N41" s="92"/>
      <c r="O41" s="94">
        <v>42</v>
      </c>
      <c r="P41" s="98">
        <v>4182.96</v>
      </c>
      <c r="Q41" s="92"/>
      <c r="R41" s="94">
        <v>1</v>
      </c>
      <c r="S41" s="98">
        <v>649.6</v>
      </c>
    </row>
    <row r="42" spans="1:19">
      <c r="A42" s="93" t="s">
        <v>9</v>
      </c>
      <c r="B42" s="18"/>
      <c r="C42" s="94">
        <v>26</v>
      </c>
      <c r="D42" s="95">
        <v>197947.5</v>
      </c>
      <c r="E42" s="95">
        <v>9807.32</v>
      </c>
      <c r="F42" s="10"/>
      <c r="G42" s="94">
        <v>12</v>
      </c>
      <c r="H42" s="95">
        <v>187.03</v>
      </c>
      <c r="I42" s="95">
        <v>1067.1600000000001</v>
      </c>
      <c r="J42" s="10"/>
      <c r="K42" s="78"/>
      <c r="L42" s="79"/>
      <c r="M42" s="79"/>
      <c r="N42" s="92"/>
      <c r="O42" s="94">
        <v>45</v>
      </c>
      <c r="P42" s="98">
        <v>2997.3</v>
      </c>
      <c r="Q42" s="92"/>
      <c r="R42" s="94">
        <v>1</v>
      </c>
      <c r="S42" s="98">
        <v>500</v>
      </c>
    </row>
    <row r="43" spans="1:19">
      <c r="A43" s="93" t="s">
        <v>10</v>
      </c>
      <c r="B43" s="18"/>
      <c r="C43" s="94">
        <v>25</v>
      </c>
      <c r="D43" s="95">
        <v>16566.14</v>
      </c>
      <c r="E43" s="95">
        <v>9721.84</v>
      </c>
      <c r="F43" s="10"/>
      <c r="G43" s="94">
        <v>13</v>
      </c>
      <c r="H43" s="95">
        <v>376.75</v>
      </c>
      <c r="I43" s="95">
        <v>4525.3900000000003</v>
      </c>
      <c r="J43" s="10"/>
      <c r="K43" s="78"/>
      <c r="L43" s="79"/>
      <c r="M43" s="79"/>
      <c r="N43" s="92"/>
      <c r="O43" s="94">
        <v>46</v>
      </c>
      <c r="P43" s="98">
        <v>635.07000000000005</v>
      </c>
      <c r="Q43" s="92"/>
      <c r="R43" s="94">
        <v>1</v>
      </c>
      <c r="S43" s="98">
        <v>315.2</v>
      </c>
    </row>
    <row r="44" spans="1:19">
      <c r="A44" s="93" t="s">
        <v>11</v>
      </c>
      <c r="B44" s="18"/>
      <c r="C44" s="94">
        <v>25</v>
      </c>
      <c r="D44" s="95">
        <v>59594.84</v>
      </c>
      <c r="E44" s="95">
        <v>12459.67</v>
      </c>
      <c r="F44" s="10"/>
      <c r="G44" s="94">
        <v>13</v>
      </c>
      <c r="H44" s="95">
        <v>318.29000000000002</v>
      </c>
      <c r="I44" s="95">
        <v>2711.29</v>
      </c>
      <c r="J44" s="10"/>
      <c r="K44" s="78"/>
      <c r="L44" s="79"/>
      <c r="M44" s="79"/>
      <c r="N44" s="92"/>
      <c r="O44" s="94">
        <v>46</v>
      </c>
      <c r="P44" s="98">
        <v>2365.4699999999998</v>
      </c>
      <c r="Q44" s="92"/>
      <c r="R44" s="94">
        <v>1</v>
      </c>
      <c r="S44" s="98">
        <v>295.29000000000002</v>
      </c>
    </row>
    <row r="45" spans="1:19">
      <c r="A45" s="93" t="s">
        <v>12</v>
      </c>
      <c r="B45" s="18"/>
      <c r="C45" s="94">
        <v>25</v>
      </c>
      <c r="D45" s="95">
        <v>15948.19</v>
      </c>
      <c r="E45" s="95">
        <v>11536.42</v>
      </c>
      <c r="F45" s="10"/>
      <c r="G45" s="94">
        <v>13</v>
      </c>
      <c r="H45" s="95">
        <v>532.41</v>
      </c>
      <c r="I45" s="95">
        <v>1230.04</v>
      </c>
      <c r="J45" s="10"/>
      <c r="K45" s="78"/>
      <c r="L45" s="79"/>
      <c r="M45" s="79"/>
      <c r="N45" s="92"/>
      <c r="O45" s="94">
        <v>46</v>
      </c>
      <c r="P45" s="98">
        <v>3153.6</v>
      </c>
      <c r="Q45" s="92"/>
      <c r="R45" s="94">
        <v>1</v>
      </c>
      <c r="S45" s="98">
        <v>1114.42</v>
      </c>
    </row>
    <row r="46" spans="1:19">
      <c r="A46" s="93" t="s">
        <v>13</v>
      </c>
      <c r="B46" s="18"/>
      <c r="C46" s="94">
        <v>24</v>
      </c>
      <c r="D46" s="95">
        <v>46046.78</v>
      </c>
      <c r="E46" s="95">
        <v>10715.42</v>
      </c>
      <c r="F46" s="10"/>
      <c r="G46" s="94">
        <v>13</v>
      </c>
      <c r="H46" s="95">
        <v>424.6</v>
      </c>
      <c r="I46" s="95">
        <v>1400.39</v>
      </c>
      <c r="J46" s="10"/>
      <c r="K46" s="78"/>
      <c r="L46" s="79"/>
      <c r="M46" s="79"/>
      <c r="N46" s="92"/>
      <c r="O46" s="94">
        <v>45</v>
      </c>
      <c r="P46" s="98">
        <v>1508.3</v>
      </c>
      <c r="Q46" s="92"/>
      <c r="R46" s="94">
        <v>1</v>
      </c>
      <c r="S46" s="98">
        <v>232.69</v>
      </c>
    </row>
    <row r="47" spans="1:19">
      <c r="A47" s="93" t="s">
        <v>14</v>
      </c>
      <c r="B47" s="18"/>
      <c r="C47" s="94">
        <v>24</v>
      </c>
      <c r="D47" s="95">
        <v>95010.51</v>
      </c>
      <c r="E47" s="95">
        <v>12858.84</v>
      </c>
      <c r="F47" s="10"/>
      <c r="G47" s="94">
        <v>13</v>
      </c>
      <c r="H47" s="95">
        <v>2112.77</v>
      </c>
      <c r="I47" s="95">
        <v>2957.48</v>
      </c>
      <c r="J47" s="10"/>
      <c r="K47" s="78"/>
      <c r="L47" s="79"/>
      <c r="M47" s="79"/>
      <c r="N47" s="92"/>
      <c r="O47" s="94">
        <v>45</v>
      </c>
      <c r="P47" s="98">
        <v>4447</v>
      </c>
      <c r="Q47" s="92"/>
      <c r="R47" s="94">
        <v>1</v>
      </c>
      <c r="S47" s="98">
        <v>212.88</v>
      </c>
    </row>
    <row r="48" spans="1:19">
      <c r="A48" s="93" t="s">
        <v>15</v>
      </c>
      <c r="B48" s="18"/>
      <c r="C48" s="94">
        <v>24</v>
      </c>
      <c r="D48" s="95">
        <v>10741.37</v>
      </c>
      <c r="E48" s="95">
        <v>2407.56</v>
      </c>
      <c r="F48" s="10"/>
      <c r="G48" s="94">
        <v>14</v>
      </c>
      <c r="H48" s="95">
        <v>10483.23</v>
      </c>
      <c r="I48" s="95">
        <v>1094.58</v>
      </c>
      <c r="J48" s="10"/>
      <c r="K48" s="78"/>
      <c r="L48" s="79"/>
      <c r="M48" s="79"/>
      <c r="N48" s="92"/>
      <c r="O48" s="94">
        <v>45</v>
      </c>
      <c r="P48" s="98">
        <v>1161.29</v>
      </c>
      <c r="Q48" s="92"/>
      <c r="R48" s="94">
        <v>1</v>
      </c>
      <c r="S48" s="98">
        <v>120</v>
      </c>
    </row>
    <row r="49" spans="1:19">
      <c r="A49" s="93" t="s">
        <v>16</v>
      </c>
      <c r="B49" s="18"/>
      <c r="C49" s="94">
        <v>24</v>
      </c>
      <c r="D49" s="95">
        <v>37046.74</v>
      </c>
      <c r="E49" s="99">
        <v>12984.35</v>
      </c>
      <c r="F49" s="10"/>
      <c r="G49" s="94">
        <v>14</v>
      </c>
      <c r="H49" s="95">
        <v>494.91</v>
      </c>
      <c r="I49" s="99">
        <v>802.51</v>
      </c>
      <c r="J49" s="10"/>
      <c r="K49" s="78"/>
      <c r="L49" s="79"/>
      <c r="M49" s="80"/>
      <c r="N49" s="92"/>
      <c r="O49" s="94">
        <v>45</v>
      </c>
      <c r="P49" s="98">
        <v>2534.2199999999998</v>
      </c>
      <c r="Q49" s="92"/>
      <c r="R49" s="94">
        <v>1</v>
      </c>
      <c r="S49" s="98">
        <v>89.6</v>
      </c>
    </row>
    <row r="50" spans="1:19" ht="15.75" thickBot="1">
      <c r="A50" s="100" t="s">
        <v>2</v>
      </c>
      <c r="B50" s="17"/>
      <c r="C50" s="82">
        <f>SUM(C38:C49)</f>
        <v>300</v>
      </c>
      <c r="D50" s="83">
        <f>SUM(D38:D49)</f>
        <v>859424.75999999989</v>
      </c>
      <c r="E50" s="83">
        <f>SUM(E38:E49)</f>
        <v>132377.15</v>
      </c>
      <c r="F50" s="9"/>
      <c r="G50" s="82">
        <f>SUM(G38:G49)</f>
        <v>153</v>
      </c>
      <c r="H50" s="83">
        <f>SUM(H38:H49)</f>
        <v>35183.75</v>
      </c>
      <c r="I50" s="83">
        <f>SUM(I38:I49)</f>
        <v>24762.87</v>
      </c>
      <c r="J50" s="9"/>
      <c r="K50" s="82">
        <f>SUM(K38:K49)</f>
        <v>0</v>
      </c>
      <c r="L50" s="83">
        <f>SUM(L38:L49)</f>
        <v>0</v>
      </c>
      <c r="M50" s="83">
        <f>SUM(M38:M49)</f>
        <v>0</v>
      </c>
      <c r="N50" s="92"/>
      <c r="O50" s="101">
        <f>SUM(O38:O49)</f>
        <v>530</v>
      </c>
      <c r="P50" s="102">
        <f>SUM(P38:P49)</f>
        <v>30930.760000000002</v>
      </c>
      <c r="Q50" s="92"/>
      <c r="R50" s="101">
        <f>SUM(R38:R49)</f>
        <v>11</v>
      </c>
      <c r="S50" s="102">
        <f>SUM(S38:S49)</f>
        <v>5189.68</v>
      </c>
    </row>
    <row r="51" spans="1:19" ht="15.75" thickTop="1"/>
    <row r="52" spans="1:19">
      <c r="A52" s="46">
        <v>2009</v>
      </c>
      <c r="B52" s="8"/>
      <c r="C52" s="103" t="s">
        <v>59</v>
      </c>
      <c r="D52" s="103"/>
      <c r="E52" s="103"/>
      <c r="F52" s="11"/>
      <c r="G52" s="103" t="s">
        <v>45</v>
      </c>
      <c r="H52" s="103"/>
      <c r="I52" s="103"/>
      <c r="J52" s="11"/>
      <c r="K52" s="103" t="s">
        <v>47</v>
      </c>
      <c r="L52" s="103"/>
      <c r="M52" s="103"/>
      <c r="O52" s="103" t="s">
        <v>42</v>
      </c>
      <c r="P52" s="103"/>
      <c r="R52" s="103" t="s">
        <v>43</v>
      </c>
      <c r="S52" s="103"/>
    </row>
    <row r="53" spans="1:19" ht="24.75">
      <c r="A53" s="6" t="s">
        <v>0</v>
      </c>
      <c r="B53" s="6"/>
      <c r="C53" s="7" t="s">
        <v>1</v>
      </c>
      <c r="D53" s="6" t="s">
        <v>20</v>
      </c>
      <c r="E53" s="6" t="s">
        <v>19</v>
      </c>
      <c r="F53" s="6"/>
      <c r="G53" s="7" t="s">
        <v>1</v>
      </c>
      <c r="H53" s="6" t="s">
        <v>20</v>
      </c>
      <c r="I53" s="6" t="s">
        <v>19</v>
      </c>
      <c r="J53" s="6"/>
      <c r="K53" s="7" t="s">
        <v>1</v>
      </c>
      <c r="L53" s="6" t="s">
        <v>20</v>
      </c>
      <c r="M53" s="6" t="s">
        <v>19</v>
      </c>
      <c r="N53" s="92"/>
      <c r="O53" s="7" t="s">
        <v>21</v>
      </c>
      <c r="P53" s="6" t="s">
        <v>23</v>
      </c>
      <c r="Q53" s="92"/>
      <c r="R53" s="7" t="s">
        <v>21</v>
      </c>
      <c r="S53" s="6" t="s">
        <v>23</v>
      </c>
    </row>
    <row r="54" spans="1:19">
      <c r="A54" s="93" t="s">
        <v>5</v>
      </c>
      <c r="B54" s="18"/>
      <c r="C54" s="94">
        <v>28</v>
      </c>
      <c r="D54" s="95">
        <v>42245.05</v>
      </c>
      <c r="E54" s="95">
        <v>11506.79</v>
      </c>
      <c r="F54" s="10"/>
      <c r="G54" s="94">
        <v>15</v>
      </c>
      <c r="H54" s="95">
        <v>5806.43</v>
      </c>
      <c r="I54" s="95">
        <v>2311.89</v>
      </c>
      <c r="J54" s="10"/>
      <c r="K54" s="78"/>
      <c r="L54" s="79"/>
      <c r="M54" s="79"/>
      <c r="N54" s="92"/>
      <c r="O54" s="94">
        <v>42</v>
      </c>
      <c r="P54" s="96">
        <v>5643.65</v>
      </c>
      <c r="Q54" s="92"/>
      <c r="R54" s="94">
        <v>0</v>
      </c>
      <c r="S54" s="96">
        <v>59.2</v>
      </c>
    </row>
    <row r="55" spans="1:19">
      <c r="A55" s="93" t="s">
        <v>6</v>
      </c>
      <c r="B55" s="18"/>
      <c r="C55" s="94">
        <v>28</v>
      </c>
      <c r="D55" s="95">
        <v>64198.080000000002</v>
      </c>
      <c r="E55" s="95">
        <v>10759.77</v>
      </c>
      <c r="F55" s="10"/>
      <c r="G55" s="94">
        <v>15</v>
      </c>
      <c r="H55" s="95">
        <v>539.37</v>
      </c>
      <c r="I55" s="95">
        <v>2027.35</v>
      </c>
      <c r="J55" s="10"/>
      <c r="K55" s="78"/>
      <c r="L55" s="79"/>
      <c r="M55" s="79"/>
      <c r="N55" s="92"/>
      <c r="O55" s="94">
        <v>42</v>
      </c>
      <c r="P55" s="98">
        <v>7235.6</v>
      </c>
      <c r="Q55" s="92"/>
      <c r="R55" s="94">
        <v>0</v>
      </c>
      <c r="S55" s="98">
        <v>481.6</v>
      </c>
    </row>
    <row r="56" spans="1:19">
      <c r="A56" s="93" t="s">
        <v>7</v>
      </c>
      <c r="B56" s="18"/>
      <c r="C56" s="94">
        <v>28</v>
      </c>
      <c r="D56" s="95">
        <v>61962.92</v>
      </c>
      <c r="E56" s="95">
        <v>13075.08</v>
      </c>
      <c r="F56" s="10"/>
      <c r="G56" s="94">
        <v>14</v>
      </c>
      <c r="H56" s="95">
        <v>2227.44</v>
      </c>
      <c r="I56" s="95">
        <v>1878.96</v>
      </c>
      <c r="J56" s="10"/>
      <c r="K56" s="78"/>
      <c r="L56" s="79"/>
      <c r="M56" s="79"/>
      <c r="N56" s="92"/>
      <c r="O56" s="94">
        <v>41</v>
      </c>
      <c r="P56" s="98">
        <v>1112.4000000000001</v>
      </c>
      <c r="Q56" s="92"/>
      <c r="R56" s="94">
        <v>0</v>
      </c>
      <c r="S56" s="98">
        <v>0</v>
      </c>
    </row>
    <row r="57" spans="1:19">
      <c r="A57" s="93" t="s">
        <v>8</v>
      </c>
      <c r="B57" s="18"/>
      <c r="C57" s="94">
        <v>28</v>
      </c>
      <c r="D57" s="95">
        <v>127746.31</v>
      </c>
      <c r="E57" s="95">
        <v>10800.85</v>
      </c>
      <c r="F57" s="10"/>
      <c r="G57" s="94">
        <v>14</v>
      </c>
      <c r="H57" s="95">
        <v>4681.6099999999997</v>
      </c>
      <c r="I57" s="95">
        <v>3910.84</v>
      </c>
      <c r="J57" s="10"/>
      <c r="K57" s="78"/>
      <c r="L57" s="79"/>
      <c r="M57" s="79"/>
      <c r="N57" s="92"/>
      <c r="O57" s="94">
        <v>41</v>
      </c>
      <c r="P57" s="98">
        <v>2328.31</v>
      </c>
      <c r="Q57" s="92"/>
      <c r="R57" s="94">
        <v>0</v>
      </c>
      <c r="S57" s="98">
        <v>266.39999999999998</v>
      </c>
    </row>
    <row r="58" spans="1:19">
      <c r="A58" s="93" t="s">
        <v>9</v>
      </c>
      <c r="B58" s="18"/>
      <c r="C58" s="94">
        <v>28</v>
      </c>
      <c r="D58" s="95">
        <v>41673.97</v>
      </c>
      <c r="E58" s="95">
        <v>11747.37</v>
      </c>
      <c r="F58" s="10"/>
      <c r="G58" s="94">
        <v>12</v>
      </c>
      <c r="H58" s="95">
        <v>23773.81</v>
      </c>
      <c r="I58" s="95">
        <v>1087.76</v>
      </c>
      <c r="J58" s="10"/>
      <c r="K58" s="78"/>
      <c r="L58" s="79"/>
      <c r="M58" s="79"/>
      <c r="N58" s="92"/>
      <c r="O58" s="94">
        <v>40</v>
      </c>
      <c r="P58" s="98">
        <v>2911.88</v>
      </c>
      <c r="Q58" s="92"/>
      <c r="R58" s="94">
        <v>0</v>
      </c>
      <c r="S58" s="98">
        <v>145.6</v>
      </c>
    </row>
    <row r="59" spans="1:19">
      <c r="A59" s="93" t="s">
        <v>10</v>
      </c>
      <c r="B59" s="18"/>
      <c r="C59" s="94">
        <v>28</v>
      </c>
      <c r="D59" s="95">
        <v>16735.189999999999</v>
      </c>
      <c r="E59" s="95">
        <v>14728.2</v>
      </c>
      <c r="F59" s="10"/>
      <c r="G59" s="94">
        <v>12</v>
      </c>
      <c r="H59" s="95">
        <v>840.47</v>
      </c>
      <c r="I59" s="95">
        <v>2094.4899999999998</v>
      </c>
      <c r="J59" s="10"/>
      <c r="K59" s="78"/>
      <c r="L59" s="79"/>
      <c r="M59" s="79"/>
      <c r="N59" s="92"/>
      <c r="O59" s="94">
        <v>40</v>
      </c>
      <c r="P59" s="98">
        <v>536.34</v>
      </c>
      <c r="Q59" s="92"/>
      <c r="R59" s="94">
        <v>0</v>
      </c>
      <c r="S59" s="98">
        <v>200</v>
      </c>
    </row>
    <row r="60" spans="1:19">
      <c r="A60" s="93" t="s">
        <v>11</v>
      </c>
      <c r="B60" s="18"/>
      <c r="C60" s="94">
        <v>27</v>
      </c>
      <c r="D60" s="95">
        <v>32563.57</v>
      </c>
      <c r="E60" s="95">
        <v>12531.57</v>
      </c>
      <c r="F60" s="10"/>
      <c r="G60" s="94">
        <v>12</v>
      </c>
      <c r="H60" s="95">
        <v>493.58</v>
      </c>
      <c r="I60" s="95">
        <v>1992.69</v>
      </c>
      <c r="J60" s="10"/>
      <c r="K60" s="78"/>
      <c r="L60" s="79"/>
      <c r="M60" s="79"/>
      <c r="N60" s="92"/>
      <c r="O60" s="94">
        <v>40</v>
      </c>
      <c r="P60" s="98">
        <v>3256.35</v>
      </c>
      <c r="Q60" s="92"/>
      <c r="R60" s="94">
        <v>0</v>
      </c>
      <c r="S60" s="98">
        <v>99.2</v>
      </c>
    </row>
    <row r="61" spans="1:19">
      <c r="A61" s="93" t="s">
        <v>12</v>
      </c>
      <c r="B61" s="18"/>
      <c r="C61" s="94">
        <v>27</v>
      </c>
      <c r="D61" s="95">
        <v>63682.42</v>
      </c>
      <c r="E61" s="95">
        <v>12439.97</v>
      </c>
      <c r="F61" s="10"/>
      <c r="G61" s="94">
        <v>12</v>
      </c>
      <c r="H61" s="95">
        <v>1736.46</v>
      </c>
      <c r="I61" s="95">
        <v>1933.67</v>
      </c>
      <c r="J61" s="10"/>
      <c r="K61" s="78"/>
      <c r="L61" s="79"/>
      <c r="M61" s="79"/>
      <c r="N61" s="92"/>
      <c r="O61" s="94">
        <v>40</v>
      </c>
      <c r="P61" s="98">
        <v>734.56</v>
      </c>
      <c r="Q61" s="92"/>
      <c r="R61" s="94">
        <v>0</v>
      </c>
      <c r="S61" s="98">
        <v>548</v>
      </c>
    </row>
    <row r="62" spans="1:19">
      <c r="A62" s="93" t="s">
        <v>13</v>
      </c>
      <c r="B62" s="18"/>
      <c r="C62" s="94">
        <v>26</v>
      </c>
      <c r="D62" s="95">
        <v>146894.82</v>
      </c>
      <c r="E62" s="95">
        <v>9831.6200000000008</v>
      </c>
      <c r="F62" s="10"/>
      <c r="G62" s="94">
        <v>12</v>
      </c>
      <c r="H62" s="95">
        <v>4131.2299999999996</v>
      </c>
      <c r="I62" s="95">
        <v>1808.34</v>
      </c>
      <c r="J62" s="10"/>
      <c r="K62" s="78"/>
      <c r="L62" s="79"/>
      <c r="M62" s="79"/>
      <c r="N62" s="92"/>
      <c r="O62" s="94">
        <v>39</v>
      </c>
      <c r="P62" s="98">
        <v>2146.29</v>
      </c>
      <c r="Q62" s="92"/>
      <c r="R62" s="94">
        <v>0</v>
      </c>
      <c r="S62" s="98">
        <v>73.599999999999994</v>
      </c>
    </row>
    <row r="63" spans="1:19">
      <c r="A63" s="93" t="s">
        <v>14</v>
      </c>
      <c r="B63" s="18"/>
      <c r="C63" s="94">
        <v>25</v>
      </c>
      <c r="D63" s="95">
        <v>107353.42</v>
      </c>
      <c r="E63" s="95">
        <v>9466.67</v>
      </c>
      <c r="F63" s="10"/>
      <c r="G63" s="94">
        <v>12</v>
      </c>
      <c r="H63" s="95">
        <v>1662.88</v>
      </c>
      <c r="I63" s="95">
        <v>683.32</v>
      </c>
      <c r="J63" s="10"/>
      <c r="K63" s="78"/>
      <c r="L63" s="79"/>
      <c r="M63" s="79"/>
      <c r="N63" s="92"/>
      <c r="O63" s="94">
        <v>40</v>
      </c>
      <c r="P63" s="98">
        <v>2045.56</v>
      </c>
      <c r="Q63" s="92"/>
      <c r="R63" s="94">
        <v>0</v>
      </c>
      <c r="S63" s="98">
        <v>208</v>
      </c>
    </row>
    <row r="64" spans="1:19">
      <c r="A64" s="93" t="s">
        <v>15</v>
      </c>
      <c r="B64" s="18"/>
      <c r="C64" s="94">
        <v>25</v>
      </c>
      <c r="D64" s="95">
        <v>102426.65</v>
      </c>
      <c r="E64" s="95">
        <v>14922.99</v>
      </c>
      <c r="F64" s="10"/>
      <c r="G64" s="94">
        <v>12</v>
      </c>
      <c r="H64" s="95">
        <v>1282.69</v>
      </c>
      <c r="I64" s="95">
        <v>1647.44</v>
      </c>
      <c r="J64" s="10"/>
      <c r="K64" s="78"/>
      <c r="L64" s="79"/>
      <c r="M64" s="79"/>
      <c r="N64" s="92"/>
      <c r="O64" s="94">
        <v>40</v>
      </c>
      <c r="P64" s="98">
        <v>2132.8000000000002</v>
      </c>
      <c r="Q64" s="92"/>
      <c r="R64" s="94">
        <v>0</v>
      </c>
      <c r="S64" s="98">
        <v>0</v>
      </c>
    </row>
    <row r="65" spans="1:19">
      <c r="A65" s="93" t="s">
        <v>16</v>
      </c>
      <c r="B65" s="18"/>
      <c r="C65" s="94">
        <v>25</v>
      </c>
      <c r="D65" s="95">
        <v>210488.06</v>
      </c>
      <c r="E65" s="99">
        <v>8388.85</v>
      </c>
      <c r="F65" s="10"/>
      <c r="G65" s="94">
        <v>12</v>
      </c>
      <c r="H65" s="95">
        <v>5256.83</v>
      </c>
      <c r="I65" s="99">
        <v>3985.21</v>
      </c>
      <c r="J65" s="10"/>
      <c r="K65" s="78"/>
      <c r="L65" s="79"/>
      <c r="M65" s="80"/>
      <c r="N65" s="92"/>
      <c r="O65" s="94">
        <v>40</v>
      </c>
      <c r="P65" s="98">
        <v>1266.95</v>
      </c>
      <c r="Q65" s="92"/>
      <c r="R65" s="94">
        <v>0</v>
      </c>
      <c r="S65" s="98">
        <v>85.6</v>
      </c>
    </row>
    <row r="66" spans="1:19" ht="15.75" thickBot="1">
      <c r="A66" s="100" t="s">
        <v>2</v>
      </c>
      <c r="B66" s="17"/>
      <c r="C66" s="82">
        <f>SUM(C54:C65)</f>
        <v>323</v>
      </c>
      <c r="D66" s="83">
        <f>SUM(D54:D65)</f>
        <v>1017970.46</v>
      </c>
      <c r="E66" s="83">
        <f>SUM(E54:E65)</f>
        <v>140199.73000000001</v>
      </c>
      <c r="F66" s="9"/>
      <c r="G66" s="82">
        <f>SUM(G54:G65)</f>
        <v>154</v>
      </c>
      <c r="H66" s="83">
        <f>SUM(H54:H65)</f>
        <v>52432.80000000001</v>
      </c>
      <c r="I66" s="83">
        <f>SUM(I54:I65)</f>
        <v>25361.96</v>
      </c>
      <c r="J66" s="9"/>
      <c r="K66" s="82">
        <f>SUM(K54:K65)</f>
        <v>0</v>
      </c>
      <c r="L66" s="83">
        <f>SUM(L54:L65)</f>
        <v>0</v>
      </c>
      <c r="M66" s="83">
        <f>SUM(M54:M65)</f>
        <v>0</v>
      </c>
      <c r="N66" s="92"/>
      <c r="O66" s="101">
        <f>SUM(O54:O65)</f>
        <v>485</v>
      </c>
      <c r="P66" s="102">
        <f>SUM(P54:P65)</f>
        <v>31350.690000000002</v>
      </c>
      <c r="Q66" s="92"/>
      <c r="R66" s="101">
        <f>SUM(R54:R65)</f>
        <v>0</v>
      </c>
      <c r="S66" s="102">
        <f>SUM(S54:S65)</f>
        <v>2167.2000000000003</v>
      </c>
    </row>
    <row r="67" spans="1:19" ht="15.75" thickTop="1"/>
  </sheetData>
  <mergeCells count="23">
    <mergeCell ref="A1:M1"/>
    <mergeCell ref="A2:M2"/>
    <mergeCell ref="K36:M36"/>
    <mergeCell ref="C4:E4"/>
    <mergeCell ref="G4:I4"/>
    <mergeCell ref="K4:M4"/>
    <mergeCell ref="A3:M3"/>
    <mergeCell ref="R52:S52"/>
    <mergeCell ref="C52:E52"/>
    <mergeCell ref="G52:I52"/>
    <mergeCell ref="K52:M52"/>
    <mergeCell ref="O4:P4"/>
    <mergeCell ref="R4:S4"/>
    <mergeCell ref="O20:P20"/>
    <mergeCell ref="R20:S20"/>
    <mergeCell ref="O36:P36"/>
    <mergeCell ref="R36:S36"/>
    <mergeCell ref="O52:P52"/>
    <mergeCell ref="C20:E20"/>
    <mergeCell ref="G20:I20"/>
    <mergeCell ref="K20:M20"/>
    <mergeCell ref="C36:E36"/>
    <mergeCell ref="G36:I3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5"/>
  <sheetViews>
    <sheetView tabSelected="1" topLeftCell="A25" workbookViewId="0">
      <selection activeCell="A47" sqref="A47:D55"/>
    </sheetView>
  </sheetViews>
  <sheetFormatPr defaultRowHeight="15"/>
  <cols>
    <col min="1" max="2" width="18.5703125" bestFit="1" customWidth="1"/>
  </cols>
  <sheetData>
    <row r="1" spans="1:3">
      <c r="A1" s="104" t="s">
        <v>3</v>
      </c>
      <c r="B1" s="104"/>
      <c r="C1" s="104"/>
    </row>
    <row r="2" spans="1:3">
      <c r="A2" s="104" t="s">
        <v>56</v>
      </c>
      <c r="B2" s="104"/>
      <c r="C2" s="104"/>
    </row>
    <row r="3" spans="1:3">
      <c r="A3" s="104" t="s">
        <v>57</v>
      </c>
      <c r="B3" s="104"/>
      <c r="C3" s="104"/>
    </row>
    <row r="4" spans="1:3">
      <c r="A4" t="s">
        <v>48</v>
      </c>
    </row>
    <row r="5" spans="1:3">
      <c r="B5" t="s">
        <v>49</v>
      </c>
      <c r="C5">
        <v>86</v>
      </c>
    </row>
    <row r="6" spans="1:3">
      <c r="B6" t="s">
        <v>50</v>
      </c>
      <c r="C6">
        <v>60</v>
      </c>
    </row>
    <row r="7" spans="1:3">
      <c r="B7" t="s">
        <v>51</v>
      </c>
      <c r="C7">
        <v>115</v>
      </c>
    </row>
    <row r="9" spans="1:3">
      <c r="A9" t="s">
        <v>52</v>
      </c>
    </row>
    <row r="10" spans="1:3">
      <c r="B10" t="s">
        <v>49</v>
      </c>
      <c r="C10">
        <v>156</v>
      </c>
    </row>
    <row r="11" spans="1:3">
      <c r="B11" t="s">
        <v>50</v>
      </c>
      <c r="C11">
        <v>64</v>
      </c>
    </row>
    <row r="12" spans="1:3">
      <c r="B12" t="s">
        <v>51</v>
      </c>
      <c r="C12">
        <v>91</v>
      </c>
    </row>
    <row r="14" spans="1:3">
      <c r="A14" t="s">
        <v>53</v>
      </c>
    </row>
    <row r="15" spans="1:3">
      <c r="B15" t="s">
        <v>49</v>
      </c>
      <c r="C15">
        <v>42</v>
      </c>
    </row>
    <row r="16" spans="1:3">
      <c r="B16" t="s">
        <v>50</v>
      </c>
      <c r="C16">
        <v>16</v>
      </c>
    </row>
    <row r="17" spans="1:3">
      <c r="B17" t="s">
        <v>51</v>
      </c>
      <c r="C17">
        <v>40</v>
      </c>
    </row>
    <row r="19" spans="1:3">
      <c r="A19" t="s">
        <v>54</v>
      </c>
    </row>
    <row r="20" spans="1:3">
      <c r="B20" t="s">
        <v>49</v>
      </c>
      <c r="C20">
        <v>219</v>
      </c>
    </row>
    <row r="21" spans="1:3">
      <c r="B21" t="s">
        <v>50</v>
      </c>
      <c r="C21">
        <v>128</v>
      </c>
    </row>
    <row r="22" spans="1:3">
      <c r="B22" t="s">
        <v>51</v>
      </c>
      <c r="C22">
        <v>218</v>
      </c>
    </row>
    <row r="24" spans="1:3">
      <c r="A24" t="s">
        <v>55</v>
      </c>
    </row>
    <row r="25" spans="1:3">
      <c r="B25" t="s">
        <v>49</v>
      </c>
      <c r="C25">
        <v>57</v>
      </c>
    </row>
    <row r="26" spans="1:3">
      <c r="B26" t="s">
        <v>50</v>
      </c>
      <c r="C26">
        <v>20</v>
      </c>
    </row>
    <row r="27" spans="1:3">
      <c r="B27" t="s">
        <v>51</v>
      </c>
      <c r="C27">
        <v>24</v>
      </c>
    </row>
    <row r="29" spans="1:3">
      <c r="A29" s="104" t="s">
        <v>3</v>
      </c>
      <c r="B29" s="104"/>
      <c r="C29" s="104"/>
    </row>
    <row r="30" spans="1:3">
      <c r="A30" s="104" t="s">
        <v>56</v>
      </c>
      <c r="B30" s="104"/>
      <c r="C30" s="104"/>
    </row>
    <row r="31" spans="1:3">
      <c r="A31" s="104" t="s">
        <v>58</v>
      </c>
      <c r="B31" s="104"/>
      <c r="C31" s="104"/>
    </row>
    <row r="32" spans="1:3">
      <c r="A32" t="s">
        <v>48</v>
      </c>
    </row>
    <row r="33" spans="1:3">
      <c r="B33" t="s">
        <v>49</v>
      </c>
      <c r="C33">
        <v>12</v>
      </c>
    </row>
    <row r="34" spans="1:3">
      <c r="B34" t="s">
        <v>50</v>
      </c>
      <c r="C34">
        <v>13</v>
      </c>
    </row>
    <row r="35" spans="1:3">
      <c r="B35" t="s">
        <v>51</v>
      </c>
      <c r="C35">
        <v>2</v>
      </c>
    </row>
    <row r="37" spans="1:3">
      <c r="A37" t="s">
        <v>52</v>
      </c>
    </row>
    <row r="38" spans="1:3">
      <c r="B38" t="s">
        <v>49</v>
      </c>
      <c r="C38">
        <v>15</v>
      </c>
    </row>
    <row r="39" spans="1:3">
      <c r="B39" t="s">
        <v>50</v>
      </c>
      <c r="C39">
        <v>5</v>
      </c>
    </row>
    <row r="40" spans="1:3">
      <c r="B40" t="s">
        <v>51</v>
      </c>
      <c r="C40">
        <v>2</v>
      </c>
    </row>
    <row r="42" spans="1:3">
      <c r="A42" t="s">
        <v>53</v>
      </c>
    </row>
    <row r="43" spans="1:3">
      <c r="B43" t="s">
        <v>49</v>
      </c>
      <c r="C43">
        <v>0</v>
      </c>
    </row>
    <row r="44" spans="1:3">
      <c r="B44" t="s">
        <v>50</v>
      </c>
      <c r="C44">
        <v>0</v>
      </c>
    </row>
    <row r="45" spans="1:3">
      <c r="B45" t="s">
        <v>51</v>
      </c>
      <c r="C45">
        <v>1</v>
      </c>
    </row>
  </sheetData>
  <mergeCells count="6">
    <mergeCell ref="A31:C31"/>
    <mergeCell ref="A1:C1"/>
    <mergeCell ref="A2:C2"/>
    <mergeCell ref="A3:C3"/>
    <mergeCell ref="A29:C29"/>
    <mergeCell ref="A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Active Claims History-Combined</vt:lpstr>
      <vt:lpstr>Active Claims History by Plan</vt:lpstr>
      <vt:lpstr>Retiree Claims History-Combined</vt:lpstr>
      <vt:lpstr>Retiree Claims History by Plan</vt:lpstr>
      <vt:lpstr>Census</vt:lpstr>
    </vt:vector>
  </TitlesOfParts>
  <Company>Test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Doshier</dc:creator>
  <cp:lastModifiedBy>Jennifer Doshier</cp:lastModifiedBy>
  <dcterms:created xsi:type="dcterms:W3CDTF">2013-04-23T20:14:23Z</dcterms:created>
  <dcterms:modified xsi:type="dcterms:W3CDTF">2013-04-25T14:33:10Z</dcterms:modified>
</cp:coreProperties>
</file>