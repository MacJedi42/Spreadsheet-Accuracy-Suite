
<file path=[Content_Types].xml><?xml version="1.0" encoding="utf-8"?>
<Types xmlns="http://schemas.openxmlformats.org/package/2006/content-types">
  <Override PartName="/docProps/app.xml" ContentType="application/vnd.openxmlformats-officedocument.extended-properties+xml"/>
  <Override PartName="/xl/sharedStrings.xml" ContentType="application/vnd.openxmlformats-officedocument.spreadsheetml.sharedString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calcChain.xml" ContentType="application/vnd.openxmlformats-officedocument.spreadsheetml.calcChain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Default Extension="rels" ContentType="application/vnd.openxmlformats-package.relationship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40" yWindow="760" windowWidth="31200" windowHeight="18680" tabRatio="500"/>
  </bookViews>
  <sheets>
    <sheet name="Dataset" sheetId="1" r:id="rId1"/>
    <sheet name="Reference list" sheetId="2" r:id="rId2"/>
    <sheet name="Hoja1" sheetId="4" r:id="rId3"/>
  </sheets>
  <calcPr calcId="130404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K36" i="4"/>
  <c r="J36"/>
  <c r="K35"/>
  <c r="J35"/>
  <c r="K34"/>
  <c r="J34"/>
  <c r="K33"/>
  <c r="J33"/>
  <c r="K32"/>
  <c r="C23"/>
  <c r="B23"/>
</calcChain>
</file>

<file path=xl/comments1.xml><?xml version="1.0" encoding="utf-8"?>
<comments xmlns="http://schemas.openxmlformats.org/spreadsheetml/2006/main">
  <authors>
    <author>Bernat Vila</author>
    <author>Bernis</author>
  </authors>
  <commentList>
    <comment ref="E4" authorId="0">
      <text>
        <r>
          <rPr>
            <b/>
            <sz val="9"/>
            <color indexed="81"/>
            <rFont val="Verdana"/>
          </rPr>
          <t>digit II or IV</t>
        </r>
      </text>
    </comment>
    <comment ref="H4" authorId="0">
      <text>
        <r>
          <rPr>
            <b/>
            <sz val="9"/>
            <color indexed="81"/>
            <rFont val="Verdana"/>
          </rPr>
          <t>digit II or IV</t>
        </r>
      </text>
    </comment>
    <comment ref="E5" authorId="0">
      <text>
        <r>
          <rPr>
            <b/>
            <sz val="9"/>
            <color indexed="81"/>
            <rFont val="Verdana"/>
          </rPr>
          <t>digit II or IV</t>
        </r>
      </text>
    </comment>
    <comment ref="H5" authorId="0">
      <text>
        <r>
          <rPr>
            <b/>
            <sz val="9"/>
            <color indexed="81"/>
            <rFont val="Verdana"/>
          </rPr>
          <t>digit II or IV</t>
        </r>
      </text>
    </comment>
    <comment ref="G31" authorId="1">
      <text>
        <r>
          <rPr>
            <b/>
            <sz val="9"/>
            <color indexed="81"/>
            <rFont val="Tahoma"/>
          </rPr>
          <t>SL for pes</t>
        </r>
        <r>
          <rPr>
            <sz val="9"/>
            <color indexed="81"/>
            <rFont val="Tahoma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<sst xmlns="http://schemas.openxmlformats.org/spreadsheetml/2006/main" count="1726" uniqueCount="519">
  <si>
    <t>Tremp Fm., Iscles-5</t>
    <phoneticPr fontId="6" type="noConversion"/>
  </si>
  <si>
    <t>I5-1</t>
    <phoneticPr fontId="6" type="noConversion"/>
  </si>
  <si>
    <t>Unknown formation, Sierra de los Gavilanes</t>
    <phoneticPr fontId="6" type="noConversion"/>
  </si>
  <si>
    <t>Indet. Fig. 11D,a</t>
    <phoneticPr fontId="6" type="noConversion"/>
  </si>
  <si>
    <t>EU</t>
    <phoneticPr fontId="6" type="noConversion"/>
  </si>
  <si>
    <t>Judith River Fm.</t>
    <phoneticPr fontId="6" type="noConversion"/>
  </si>
  <si>
    <t>TMP 81.34.1</t>
    <phoneticPr fontId="6" type="noConversion"/>
  </si>
  <si>
    <t>NA</t>
    <phoneticPr fontId="6" type="noConversion"/>
  </si>
  <si>
    <t>Ca</t>
    <phoneticPr fontId="6" type="noConversion"/>
  </si>
  <si>
    <t>Fruitland Fm.</t>
    <phoneticPr fontId="6" type="noConversion"/>
  </si>
  <si>
    <t>Fruitland Fm.</t>
    <phoneticPr fontId="6" type="noConversion"/>
  </si>
  <si>
    <t>Xing et al. 2009</t>
    <phoneticPr fontId="6" type="noConversion"/>
  </si>
  <si>
    <t>Currie et al. 1991; Nadon 1993</t>
  </si>
  <si>
    <t>St. Mary River Fm.</t>
  </si>
  <si>
    <t>TMP 87.76.7</t>
  </si>
  <si>
    <t>QJGM-T41-6b</t>
    <phoneticPr fontId="6" type="noConversion"/>
  </si>
  <si>
    <t>-</t>
    <phoneticPr fontId="6" type="noConversion"/>
  </si>
  <si>
    <t>Lockley et al. 2003</t>
    <phoneticPr fontId="6" type="noConversion"/>
  </si>
  <si>
    <t>11b</t>
    <phoneticPr fontId="6" type="noConversion"/>
  </si>
  <si>
    <t>Langston, 1960</t>
  </si>
  <si>
    <t>Tremp Fm., La Llau de la Costa</t>
    <phoneticPr fontId="6" type="noConversion"/>
  </si>
  <si>
    <t>SAP-2.02</t>
    <phoneticPr fontId="6" type="noConversion"/>
  </si>
  <si>
    <t>31c</t>
    <phoneticPr fontId="6" type="noConversion"/>
  </si>
  <si>
    <t>32a</t>
    <phoneticPr fontId="6" type="noConversion"/>
  </si>
  <si>
    <t>32b</t>
    <phoneticPr fontId="6" type="noConversion"/>
  </si>
  <si>
    <t>35a</t>
    <phoneticPr fontId="6" type="noConversion"/>
  </si>
  <si>
    <t>35b</t>
    <phoneticPr fontId="6" type="noConversion"/>
  </si>
  <si>
    <t>IPS-63661/CB-1</t>
    <phoneticPr fontId="6" type="noConversion"/>
  </si>
  <si>
    <t>IPS-63661/CB-2</t>
    <phoneticPr fontId="6" type="noConversion"/>
  </si>
  <si>
    <t>IPS-63661/CB-3</t>
    <phoneticPr fontId="6" type="noConversion"/>
  </si>
  <si>
    <t>IPS-63661/CB-5</t>
    <phoneticPr fontId="6" type="noConversion"/>
  </si>
  <si>
    <t>ICP</t>
    <phoneticPr fontId="6" type="noConversion"/>
  </si>
  <si>
    <t>NMMNH</t>
    <phoneticPr fontId="6" type="noConversion"/>
  </si>
  <si>
    <t>-</t>
    <phoneticPr fontId="6" type="noConversion"/>
  </si>
  <si>
    <t>indet. (7 trackways)</t>
    <phoneticPr fontId="6" type="noConversion"/>
  </si>
  <si>
    <t>This study</t>
    <phoneticPr fontId="6" type="noConversion"/>
  </si>
  <si>
    <t>AS</t>
    <phoneticPr fontId="6" type="noConversion"/>
  </si>
  <si>
    <t>BG2-1</t>
    <phoneticPr fontId="6" type="noConversion"/>
  </si>
  <si>
    <t>Tremp Fm., Barranc de Guixers-2</t>
    <phoneticPr fontId="6" type="noConversion"/>
  </si>
  <si>
    <t>Tremp Fm. Masia de Ramon Petjades</t>
    <phoneticPr fontId="6" type="noConversion"/>
  </si>
  <si>
    <t>MRP-1</t>
    <phoneticPr fontId="6" type="noConversion"/>
  </si>
  <si>
    <t>MRP-2</t>
    <phoneticPr fontId="6" type="noConversion"/>
  </si>
  <si>
    <t>MRP-4</t>
    <phoneticPr fontId="6" type="noConversion"/>
  </si>
  <si>
    <t>MRP-6</t>
    <phoneticPr fontId="6" type="noConversion"/>
  </si>
  <si>
    <t>MRP-8</t>
    <phoneticPr fontId="6" type="noConversion"/>
  </si>
  <si>
    <t>MRP-9</t>
    <phoneticPr fontId="6" type="noConversion"/>
  </si>
  <si>
    <t>MRP-10</t>
    <phoneticPr fontId="6" type="noConversion"/>
  </si>
  <si>
    <t>MRP-13</t>
    <phoneticPr fontId="6" type="noConversion"/>
  </si>
  <si>
    <t>MRP-14</t>
    <phoneticPr fontId="6" type="noConversion"/>
  </si>
  <si>
    <t>Therrien, F., Zelenitsky, D.K., Tanaka, K., Sloboda, W., 2011. First hadrosaur trackway from the Upper Cretaceous (late Campanian) Oldman Formation and Symposium, Upper Cretaceous (late Campanian) OldmanFormation, southeastern Alberta. In: Braman, D.R., Eberth, D.A., Evans, D.C., Taylor, W. (Eds.), Hadrosaur Symposium, Royal Tyrrell Museum of Palaeontology, Sept. 22e23, Drumheller, Alberta, Canada, p. 148.</t>
    <phoneticPr fontId="6" type="noConversion"/>
  </si>
  <si>
    <t>2.2</t>
    <phoneticPr fontId="6" type="noConversion"/>
  </si>
  <si>
    <t>2.3</t>
    <phoneticPr fontId="6" type="noConversion"/>
  </si>
  <si>
    <t>31a</t>
    <phoneticPr fontId="6" type="noConversion"/>
  </si>
  <si>
    <t>31b</t>
    <phoneticPr fontId="6" type="noConversion"/>
  </si>
  <si>
    <t xml:space="preserve">Rodríguez-de la Rosa R A. 2007. Hadrosaurian footprints from the Late Cretaceous Cerro del Pueblo Formation of Coahuila, Mexico. In: Díaz-Martínez E &amp; Rábano I eds. 4th European Meeting on the Palaeontology and Stratigraphy of Latin America. Madrid: Instituto Geológico y Minero de España. 339-343. </t>
  </si>
  <si>
    <t>MV-10</t>
    <phoneticPr fontId="6" type="noConversion"/>
  </si>
  <si>
    <t>MCD-5140</t>
    <phoneticPr fontId="6" type="noConversion"/>
  </si>
  <si>
    <t>TMP</t>
    <phoneticPr fontId="6" type="noConversion"/>
  </si>
  <si>
    <t>UALVP</t>
    <phoneticPr fontId="6" type="noConversion"/>
  </si>
  <si>
    <t>2.1</t>
    <phoneticPr fontId="6" type="noConversion"/>
  </si>
  <si>
    <t>Lockley M G, Nadon G &amp; Currie P J. 2004. A diverse dinosaur-bird footprint assemblage from the Lance Formation, Upper Cretaceous, eastern Wyoming: implications for ichnotaxonomy ichnotaxonomy. In: Pemberton S G, McCrea R T &amp; Lockley M G eds. William Antony Swithin Sarjeant (1935–2002): a celebration of his life and ichnological contributions, Volume 3. Ichnos, 11: 229-249.</t>
    <phoneticPr fontId="6" type="noConversion"/>
  </si>
  <si>
    <t>10a</t>
    <phoneticPr fontId="6" type="noConversion"/>
  </si>
  <si>
    <t>11a</t>
    <phoneticPr fontId="6" type="noConversion"/>
  </si>
  <si>
    <t>NA</t>
    <phoneticPr fontId="6" type="noConversion"/>
  </si>
  <si>
    <t>Ca</t>
    <phoneticPr fontId="6" type="noConversion"/>
  </si>
  <si>
    <t>Blackhawk Fm.</t>
    <phoneticPr fontId="6" type="noConversion"/>
  </si>
  <si>
    <t>This study</t>
    <phoneticPr fontId="6" type="noConversion"/>
  </si>
  <si>
    <t>EU</t>
    <phoneticPr fontId="6" type="noConversion"/>
  </si>
  <si>
    <t>Ma</t>
    <phoneticPr fontId="6" type="noConversion"/>
  </si>
  <si>
    <t>Gierlinski, G.D., Ploch, I., Gawor-Biedowa, E., and Niedźwiedzki, G. 2008. The first evidence of dinosaur tracks in the Upper Cretaceous of Poland. In: Le Loeuff J, Vila B, Marmi J, Galobart A &amp; Oms O eds. International Symposium on Dinosaurs and Other Vertebrates Palaeoichnology Abstracts. Fumanya. 107-113.</t>
    <phoneticPr fontId="6" type="noConversion"/>
  </si>
  <si>
    <t>Lockley et al. 1983</t>
    <phoneticPr fontId="6" type="noConversion"/>
  </si>
  <si>
    <t>Tremp Fm., Barranc de Guixers-1</t>
    <phoneticPr fontId="6" type="noConversion"/>
  </si>
  <si>
    <t>Tremp Fm., Barranc de Guixers-3</t>
    <phoneticPr fontId="6" type="noConversion"/>
  </si>
  <si>
    <t>Tremp Fm., Barranc de Torrebilles 6</t>
    <phoneticPr fontId="6" type="noConversion"/>
  </si>
  <si>
    <t>12b</t>
    <phoneticPr fontId="6" type="noConversion"/>
  </si>
  <si>
    <t>NA</t>
  </si>
  <si>
    <t>Ca</t>
  </si>
  <si>
    <t>UALVP 53500</t>
  </si>
  <si>
    <t>Fanti et al. 2013</t>
    <phoneticPr fontId="6" type="noConversion"/>
  </si>
  <si>
    <t>Fanti, F., Bell, P.R., and Sissons, R.L. 2013. A diverse, high-latitude ichnofauna from the Late Cretaceous Wapiti Formation, Alberta, Canada. Cretaceous Research, http://dx.doi.org/10.1016/j.cretres.2012.12.010</t>
    <phoneticPr fontId="6" type="noConversion"/>
  </si>
  <si>
    <t>Brown. 1938.</t>
    <phoneticPr fontId="6" type="noConversion"/>
  </si>
  <si>
    <t>Indet. (Fig. 4D)</t>
    <phoneticPr fontId="6" type="noConversion"/>
  </si>
  <si>
    <t>Indet. (Fig. 4E)</t>
    <phoneticPr fontId="6" type="noConversion"/>
  </si>
  <si>
    <t>Zhutian Fm.</t>
    <phoneticPr fontId="6" type="noConversion"/>
  </si>
  <si>
    <t>NDM.F1</t>
    <phoneticPr fontId="6" type="noConversion"/>
  </si>
  <si>
    <t>36b</t>
    <phoneticPr fontId="6" type="noConversion"/>
  </si>
  <si>
    <t>38n</t>
    <phoneticPr fontId="6" type="noConversion"/>
  </si>
  <si>
    <t>38s</t>
    <phoneticPr fontId="6" type="noConversion"/>
  </si>
  <si>
    <t>38w</t>
    <phoneticPr fontId="6" type="noConversion"/>
  </si>
  <si>
    <t>38a</t>
    <phoneticPr fontId="6" type="noConversion"/>
  </si>
  <si>
    <t>38a,n</t>
    <phoneticPr fontId="6" type="noConversion"/>
  </si>
  <si>
    <t>39a</t>
    <phoneticPr fontId="6" type="noConversion"/>
  </si>
  <si>
    <t>39b</t>
    <phoneticPr fontId="6" type="noConversion"/>
  </si>
  <si>
    <t>40a</t>
    <phoneticPr fontId="6" type="noConversion"/>
  </si>
  <si>
    <t>40b</t>
    <phoneticPr fontId="6" type="noConversion"/>
  </si>
  <si>
    <t>41a</t>
    <phoneticPr fontId="6" type="noConversion"/>
  </si>
  <si>
    <t>41b</t>
    <phoneticPr fontId="6" type="noConversion"/>
  </si>
  <si>
    <t>41c</t>
    <phoneticPr fontId="6" type="noConversion"/>
  </si>
  <si>
    <t>43a</t>
    <phoneticPr fontId="6" type="noConversion"/>
  </si>
  <si>
    <t>43b</t>
    <phoneticPr fontId="6" type="noConversion"/>
  </si>
  <si>
    <t>EU</t>
    <phoneticPr fontId="6" type="noConversion"/>
  </si>
  <si>
    <t>This study</t>
    <phoneticPr fontId="6" type="noConversion"/>
  </si>
  <si>
    <t>Currie, 1989</t>
    <phoneticPr fontId="6" type="noConversion"/>
  </si>
  <si>
    <t>AS</t>
    <phoneticPr fontId="6" type="noConversion"/>
  </si>
  <si>
    <t>Raton Fm.</t>
    <phoneticPr fontId="6" type="noConversion"/>
  </si>
  <si>
    <t>Currie, 1989</t>
    <phoneticPr fontId="6" type="noConversion"/>
  </si>
  <si>
    <t>Kaiparowits Fm.</t>
    <phoneticPr fontId="6" type="noConversion"/>
  </si>
  <si>
    <t>TMP</t>
    <phoneticPr fontId="6" type="noConversion"/>
  </si>
  <si>
    <t>Hamblin and Foster, 2000</t>
    <phoneticPr fontId="6" type="noConversion"/>
  </si>
  <si>
    <t>Tremp Fm., Cingles Boixader</t>
    <phoneticPr fontId="6" type="noConversion"/>
  </si>
  <si>
    <t>Cerro del Pueblo Fm., Las Aguilas</t>
    <phoneticPr fontId="6" type="noConversion"/>
  </si>
  <si>
    <t>Mexacala Fm.</t>
    <phoneticPr fontId="6" type="noConversion"/>
  </si>
  <si>
    <t>Mexacala Fm.</t>
    <phoneticPr fontId="6" type="noConversion"/>
  </si>
  <si>
    <t>indet. (7 trackways)</t>
    <phoneticPr fontId="6" type="noConversion"/>
  </si>
  <si>
    <t>-</t>
    <phoneticPr fontId="6" type="noConversion"/>
  </si>
  <si>
    <t>Nadon, 1993</t>
    <phoneticPr fontId="6" type="noConversion"/>
  </si>
  <si>
    <t>Ma</t>
    <phoneticPr fontId="6" type="noConversion"/>
  </si>
  <si>
    <t>Nemegt Fm.</t>
    <phoneticPr fontId="6" type="noConversion"/>
  </si>
  <si>
    <t>Currie et al. 2003</t>
    <phoneticPr fontId="6" type="noConversion"/>
  </si>
  <si>
    <t>EU</t>
    <phoneticPr fontId="6" type="noConversion"/>
  </si>
  <si>
    <t>Ma</t>
    <phoneticPr fontId="6" type="noConversion"/>
  </si>
  <si>
    <t>This study</t>
    <phoneticPr fontId="6" type="noConversion"/>
  </si>
  <si>
    <t>Brown, B. 1938. The dinosaur mystery. Natural History, 41: 190-202, 235.</t>
    <phoneticPr fontId="6" type="noConversion"/>
  </si>
  <si>
    <t>Ca-Ma</t>
    <phoneticPr fontId="6" type="noConversion"/>
  </si>
  <si>
    <t>Mesa Verde Fm.</t>
    <phoneticPr fontId="6" type="noConversion"/>
  </si>
  <si>
    <t>FS16</t>
    <phoneticPr fontId="6" type="noConversion"/>
  </si>
  <si>
    <t>FS18</t>
    <phoneticPr fontId="6" type="noConversion"/>
  </si>
  <si>
    <t>Currie et al. 2003</t>
    <phoneticPr fontId="6" type="noConversion"/>
  </si>
  <si>
    <t>Nemegt Fm.</t>
    <phoneticPr fontId="6" type="noConversion"/>
  </si>
  <si>
    <t>Wolberg et al. 1988</t>
    <phoneticPr fontId="6" type="noConversion"/>
  </si>
  <si>
    <t>8a</t>
    <phoneticPr fontId="6" type="noConversion"/>
  </si>
  <si>
    <t>9a</t>
    <phoneticPr fontId="6" type="noConversion"/>
  </si>
  <si>
    <t>TMP 93.36.282</t>
    <phoneticPr fontId="6" type="noConversion"/>
  </si>
  <si>
    <t>DPP (unrecovered)</t>
    <phoneticPr fontId="6" type="noConversion"/>
  </si>
  <si>
    <t>Ma</t>
    <phoneticPr fontId="6" type="noConversion"/>
  </si>
  <si>
    <t>Jiaguan Fm.</t>
    <phoneticPr fontId="6" type="noConversion"/>
  </si>
  <si>
    <t>QJGM-T37-3</t>
    <phoneticPr fontId="6" type="noConversion"/>
  </si>
  <si>
    <t>Lucas et al. 2011</t>
    <phoneticPr fontId="6" type="noConversion"/>
  </si>
  <si>
    <t>Hunt and Lucas, 2003</t>
    <phoneticPr fontId="6" type="noConversion"/>
  </si>
  <si>
    <t xml:space="preserve">Yeosu sites </t>
    <phoneticPr fontId="6" type="noConversion"/>
  </si>
  <si>
    <t>C6.1</t>
    <phoneticPr fontId="6" type="noConversion"/>
  </si>
  <si>
    <t>Tremp Fm., Basturs Poble</t>
    <phoneticPr fontId="6" type="noConversion"/>
  </si>
  <si>
    <t>MCD-5160</t>
    <phoneticPr fontId="6" type="noConversion"/>
  </si>
  <si>
    <t>MCD-5158</t>
    <phoneticPr fontId="6" type="noConversion"/>
  </si>
  <si>
    <t>MCD-5161</t>
    <phoneticPr fontId="6" type="noConversion"/>
  </si>
  <si>
    <t>MCD-5162</t>
    <phoneticPr fontId="6" type="noConversion"/>
  </si>
  <si>
    <t>Tremp Fm., Iscles-1</t>
    <phoneticPr fontId="6" type="noConversion"/>
  </si>
  <si>
    <t>I1-1</t>
    <phoneticPr fontId="6" type="noConversion"/>
  </si>
  <si>
    <t>This study</t>
    <phoneticPr fontId="6" type="noConversion"/>
  </si>
  <si>
    <t>EU</t>
    <phoneticPr fontId="6" type="noConversion"/>
  </si>
  <si>
    <t>Ma</t>
    <phoneticPr fontId="6" type="noConversion"/>
  </si>
  <si>
    <t>This study</t>
    <phoneticPr fontId="6" type="noConversion"/>
  </si>
  <si>
    <t>Ma</t>
    <phoneticPr fontId="6" type="noConversion"/>
  </si>
  <si>
    <t>7b</t>
    <phoneticPr fontId="6" type="noConversion"/>
  </si>
  <si>
    <t>S3.5</t>
    <phoneticPr fontId="6" type="noConversion"/>
  </si>
  <si>
    <t>S3.6</t>
    <phoneticPr fontId="6" type="noConversion"/>
  </si>
  <si>
    <t>S3.7</t>
    <phoneticPr fontId="6" type="noConversion"/>
  </si>
  <si>
    <t>S3.8</t>
    <phoneticPr fontId="6" type="noConversion"/>
  </si>
  <si>
    <t>S3.9</t>
    <phoneticPr fontId="6" type="noConversion"/>
  </si>
  <si>
    <t>S3.10</t>
    <phoneticPr fontId="6" type="noConversion"/>
  </si>
  <si>
    <t>S3.11</t>
    <phoneticPr fontId="6" type="noConversion"/>
  </si>
  <si>
    <t>S3.12</t>
    <phoneticPr fontId="6" type="noConversion"/>
  </si>
  <si>
    <t>S8.1</t>
    <phoneticPr fontId="6" type="noConversion"/>
  </si>
  <si>
    <t>Paik et al. 2006</t>
    <phoneticPr fontId="6" type="noConversion"/>
  </si>
  <si>
    <t>N12.2</t>
    <phoneticPr fontId="6" type="noConversion"/>
  </si>
  <si>
    <t>N12.3</t>
    <phoneticPr fontId="6" type="noConversion"/>
  </si>
  <si>
    <t>N12.5</t>
    <phoneticPr fontId="6" type="noConversion"/>
  </si>
  <si>
    <t>Paik et al. 2006</t>
    <phoneticPr fontId="6" type="noConversion"/>
  </si>
  <si>
    <t>AS</t>
    <phoneticPr fontId="6" type="noConversion"/>
  </si>
  <si>
    <t>Ca-Ma</t>
    <phoneticPr fontId="6" type="noConversion"/>
  </si>
  <si>
    <t>TC-1</t>
    <phoneticPr fontId="6" type="noConversion"/>
  </si>
  <si>
    <t>Zhutian Fm.</t>
    <phoneticPr fontId="6" type="noConversion"/>
  </si>
  <si>
    <t>Ishigaki et al. 2009</t>
    <phoneticPr fontId="6" type="noConversion"/>
  </si>
  <si>
    <t>Indet. (Fig. 4B)</t>
    <phoneticPr fontId="6" type="noConversion"/>
  </si>
  <si>
    <t>Xing L D, Harris J D, Dong Z M, Lin Y L, Chen W, Guo S B &amp; Ji Q. 2009. Ornithopod (Dinosauria: Ornithischia) tracks from the Upper Cretaceous Zhutian Formation in the Nanxiong Basin, Guangdong, China and general observation on large Chinese ornithopod footprints. Geological Bulletin of China, 28: 829-843.</t>
    <phoneticPr fontId="6" type="noConversion"/>
  </si>
  <si>
    <t>MV-12</t>
    <phoneticPr fontId="6" type="noConversion"/>
  </si>
  <si>
    <t>1.4</t>
    <phoneticPr fontId="6" type="noConversion"/>
  </si>
  <si>
    <t>26d</t>
    <phoneticPr fontId="6" type="noConversion"/>
  </si>
  <si>
    <t>Xing et al. 2007</t>
    <phoneticPr fontId="6" type="noConversion"/>
  </si>
  <si>
    <t>Divaric II-IV</t>
    <phoneticPr fontId="6" type="noConversion"/>
  </si>
  <si>
    <t>MPZ 2012/829</t>
    <phoneticPr fontId="6" type="noConversion"/>
  </si>
  <si>
    <t>-</t>
    <phoneticPr fontId="6" type="noConversion"/>
  </si>
  <si>
    <t>-</t>
    <phoneticPr fontId="6" type="noConversion"/>
  </si>
  <si>
    <t>F</t>
    <phoneticPr fontId="6" type="noConversion"/>
  </si>
  <si>
    <t>MPZ 2012/828</t>
    <phoneticPr fontId="6" type="noConversion"/>
  </si>
  <si>
    <t>F</t>
    <phoneticPr fontId="6" type="noConversion"/>
  </si>
  <si>
    <t>MPZ 2012/826</t>
    <phoneticPr fontId="6" type="noConversion"/>
  </si>
  <si>
    <t>MPZ 2012/827</t>
    <phoneticPr fontId="6" type="noConversion"/>
  </si>
  <si>
    <t>* could be referred to digit IV</t>
    <phoneticPr fontId="6" type="noConversion"/>
  </si>
  <si>
    <t>I3-17</t>
    <phoneticPr fontId="6" type="noConversion"/>
  </si>
  <si>
    <t>I3-20</t>
    <phoneticPr fontId="6" type="noConversion"/>
  </si>
  <si>
    <t>I3-24</t>
    <phoneticPr fontId="6" type="noConversion"/>
  </si>
  <si>
    <t>I3-25</t>
    <phoneticPr fontId="6" type="noConversion"/>
  </si>
  <si>
    <t>I3-26</t>
    <phoneticPr fontId="6" type="noConversion"/>
  </si>
  <si>
    <t>I3-28</t>
    <phoneticPr fontId="6" type="noConversion"/>
  </si>
  <si>
    <t>I3-29</t>
    <phoneticPr fontId="6" type="noConversion"/>
  </si>
  <si>
    <t>I3-32</t>
    <phoneticPr fontId="6" type="noConversion"/>
  </si>
  <si>
    <t>MCD-5144</t>
    <phoneticPr fontId="6" type="noConversion"/>
  </si>
  <si>
    <t>Rodríguez de la Rosa. 2007</t>
    <phoneticPr fontId="6" type="noConversion"/>
  </si>
  <si>
    <t>Ca-Ma</t>
    <phoneticPr fontId="6" type="noConversion"/>
  </si>
  <si>
    <t>Wapiti Fm.</t>
    <phoneticPr fontId="6" type="noConversion"/>
  </si>
  <si>
    <t>Barco et al. 2001</t>
    <phoneticPr fontId="6" type="noConversion"/>
  </si>
  <si>
    <t>Lucas et al. 2011</t>
    <phoneticPr fontId="6" type="noConversion"/>
  </si>
  <si>
    <t>L III</t>
    <phoneticPr fontId="6" type="noConversion"/>
  </si>
  <si>
    <t>L IV</t>
    <phoneticPr fontId="6" type="noConversion"/>
  </si>
  <si>
    <t>W II</t>
    <phoneticPr fontId="6" type="noConversion"/>
  </si>
  <si>
    <t>W III</t>
    <phoneticPr fontId="6" type="noConversion"/>
  </si>
  <si>
    <t>W IV</t>
    <phoneticPr fontId="6" type="noConversion"/>
  </si>
  <si>
    <t>Indet. Fig.40.7</t>
    <phoneticPr fontId="6" type="noConversion"/>
  </si>
  <si>
    <t>Parker and Rowley, 1989</t>
    <phoneticPr fontId="6" type="noConversion"/>
  </si>
  <si>
    <t>MPZ 2012/826</t>
    <phoneticPr fontId="6" type="noConversion"/>
  </si>
  <si>
    <t>MPZ 2012/831</t>
    <phoneticPr fontId="6" type="noConversion"/>
  </si>
  <si>
    <t>MPZ 2012/830</t>
    <phoneticPr fontId="6" type="noConversion"/>
  </si>
  <si>
    <t>3.1</t>
    <phoneticPr fontId="6" type="noConversion"/>
  </si>
  <si>
    <t>3.2</t>
    <phoneticPr fontId="6" type="noConversion"/>
  </si>
  <si>
    <t>Tremp Fm., Moror B</t>
    <phoneticPr fontId="6" type="noConversion"/>
  </si>
  <si>
    <t>MB1</t>
    <phoneticPr fontId="6" type="noConversion"/>
  </si>
  <si>
    <t>Ca</t>
    <phoneticPr fontId="6" type="noConversion"/>
  </si>
  <si>
    <t>Mesa Verde Fm.</t>
    <phoneticPr fontId="6" type="noConversion"/>
  </si>
  <si>
    <t>Tremp Fm., Serrat de Sanguin</t>
    <phoneticPr fontId="6" type="noConversion"/>
  </si>
  <si>
    <t>MCD-5159</t>
    <phoneticPr fontId="6" type="noConversion"/>
  </si>
  <si>
    <t>MV-2</t>
    <phoneticPr fontId="6" type="noConversion"/>
  </si>
  <si>
    <t>MV-4</t>
    <phoneticPr fontId="6" type="noConversion"/>
  </si>
  <si>
    <t xml:space="preserve">Yeosu sites </t>
    <phoneticPr fontId="6" type="noConversion"/>
  </si>
  <si>
    <t>S3.3</t>
    <phoneticPr fontId="6" type="noConversion"/>
  </si>
  <si>
    <t>MPZ 2012/827</t>
    <phoneticPr fontId="6" type="noConversion"/>
  </si>
  <si>
    <t>MPZ 2012/829</t>
    <phoneticPr fontId="6" type="noConversion"/>
  </si>
  <si>
    <t>MB3</t>
    <phoneticPr fontId="6" type="noConversion"/>
  </si>
  <si>
    <t>MB4</t>
    <phoneticPr fontId="6" type="noConversion"/>
  </si>
  <si>
    <t>MB5</t>
    <phoneticPr fontId="6" type="noConversion"/>
  </si>
  <si>
    <t>Llompart, 2006</t>
    <phoneticPr fontId="6" type="noConversion"/>
  </si>
  <si>
    <t>MB2</t>
    <phoneticPr fontId="6" type="noConversion"/>
  </si>
  <si>
    <t>Tremp Fm., Mata del Viudà</t>
    <phoneticPr fontId="6" type="noConversion"/>
  </si>
  <si>
    <t>MV-1</t>
    <phoneticPr fontId="6" type="noConversion"/>
  </si>
  <si>
    <t>This study</t>
    <phoneticPr fontId="6" type="noConversion"/>
  </si>
  <si>
    <t>Indet. (Fig. 4C)</t>
    <phoneticPr fontId="6" type="noConversion"/>
  </si>
  <si>
    <t>Alonso R N &amp; Marquillas R A. 1986. Nueva localidad con huellas de dinosaurios y primer hallazgo de huellas de Aves en la Formacion Yacoraite (Maastrichtiano) del norte Argentino. Actas IV Congreso Argentino de Paleontología y Bioestratigrafía, Mendoza, 2: 33-41</t>
    <phoneticPr fontId="6" type="noConversion"/>
  </si>
  <si>
    <t>Indet. Fig.40.9</t>
    <phoneticPr fontId="6" type="noConversion"/>
  </si>
  <si>
    <t>Indet. Fig.40.11</t>
    <phoneticPr fontId="6" type="noConversion"/>
  </si>
  <si>
    <t>Indet. Fig.40.12</t>
    <phoneticPr fontId="6" type="noConversion"/>
  </si>
  <si>
    <t>Indet. Fig.40.13</t>
    <phoneticPr fontId="6" type="noConversion"/>
  </si>
  <si>
    <t>I3-4</t>
    <phoneticPr fontId="6" type="noConversion"/>
  </si>
  <si>
    <t>Tremp Fm., Iscles-3</t>
    <phoneticPr fontId="6" type="noConversion"/>
  </si>
  <si>
    <t>I3-8</t>
    <phoneticPr fontId="6" type="noConversion"/>
  </si>
  <si>
    <t>I3-9</t>
    <phoneticPr fontId="6" type="noConversion"/>
  </si>
  <si>
    <t>I3-11</t>
    <phoneticPr fontId="6" type="noConversion"/>
  </si>
  <si>
    <t>I3-16</t>
    <phoneticPr fontId="6" type="noConversion"/>
  </si>
  <si>
    <t>35c</t>
    <phoneticPr fontId="6" type="noConversion"/>
  </si>
  <si>
    <t>Indet. Fig. 11D,b</t>
    <phoneticPr fontId="6" type="noConversion"/>
  </si>
  <si>
    <t>Tremp Fm., Orcau-4</t>
    <phoneticPr fontId="6" type="noConversion"/>
  </si>
  <si>
    <t>MCD-5155</t>
    <phoneticPr fontId="6" type="noConversion"/>
  </si>
  <si>
    <t>Tremp Fm., Serraduy Norte</t>
    <phoneticPr fontId="6" type="noConversion"/>
  </si>
  <si>
    <t>Tremp Fm., Serraduy Sur</t>
    <phoneticPr fontId="6" type="noConversion"/>
  </si>
  <si>
    <t>Indet. Fig.40.18</t>
  </si>
  <si>
    <t>Tremp Fm., Camí de les Planes</t>
    <phoneticPr fontId="6" type="noConversion"/>
  </si>
  <si>
    <t>Ma</t>
  </si>
  <si>
    <t>-</t>
    <phoneticPr fontId="6" type="noConversion"/>
  </si>
  <si>
    <t>Xing et al. 2010</t>
    <phoneticPr fontId="6" type="noConversion"/>
  </si>
  <si>
    <t>QJGM-T100-1</t>
    <phoneticPr fontId="6" type="noConversion"/>
  </si>
  <si>
    <t>QJGM-C1</t>
    <phoneticPr fontId="6" type="noConversion"/>
  </si>
  <si>
    <t>QJGM-C2.8</t>
    <phoneticPr fontId="6" type="noConversion"/>
  </si>
  <si>
    <t>Barco J L, Ardèvol L &amp; Canudo J I. 2001. Descripción de los primeros rastros asignados a Hadrosauridae (Ornithopoda, Dinosauria) del Maatrichtiense de la Península Ibérica (Areny, Huesca). Geogaceta, 30: 235-238.</t>
    <phoneticPr fontId="6" type="noConversion"/>
  </si>
  <si>
    <t>Langston W Jr. 1960. A hadrosaurian ichnite. National Museum of Canada Natural History Papers, 4: 1-9.</t>
  </si>
  <si>
    <t>Paik I S, Huh M, Park K H, Hwang K G, Kim K S &amp; Kim H J. 2006. Yeosu dinosaur track sites of Korea: the youngest dinosaur track records in Asia. Journal of Asian Earth Sciences, 28: 457-468.</t>
  </si>
  <si>
    <t>Alonso and Marquillas, 1986</t>
    <phoneticPr fontId="6" type="noConversion"/>
  </si>
  <si>
    <t>Vilquechico Group</t>
    <phoneticPr fontId="6" type="noConversion"/>
  </si>
  <si>
    <t>Jaillard et al. 1993</t>
    <phoneticPr fontId="6" type="noConversion"/>
  </si>
  <si>
    <t>CR-1</t>
    <phoneticPr fontId="6" type="noConversion"/>
  </si>
  <si>
    <t>BG1-1</t>
    <phoneticPr fontId="6" type="noConversion"/>
  </si>
  <si>
    <t>BG1-2</t>
    <phoneticPr fontId="6" type="noConversion"/>
  </si>
  <si>
    <t>NDM.F2</t>
    <phoneticPr fontId="6" type="noConversion"/>
  </si>
  <si>
    <t>NCBLR.F.M1</t>
    <phoneticPr fontId="6" type="noConversion"/>
  </si>
  <si>
    <t>Tremp Fm., Iscles-1</t>
    <phoneticPr fontId="6" type="noConversion"/>
  </si>
  <si>
    <t>Tremp Fm., Iscles-3</t>
    <phoneticPr fontId="6" type="noConversion"/>
  </si>
  <si>
    <t>I3-1</t>
    <phoneticPr fontId="6" type="noConversion"/>
  </si>
  <si>
    <t>MCD-5157</t>
    <phoneticPr fontId="6" type="noConversion"/>
  </si>
  <si>
    <t>FS19</t>
    <phoneticPr fontId="6" type="noConversion"/>
  </si>
  <si>
    <t>Indet. (Fig. 4A)</t>
    <phoneticPr fontId="6" type="noConversion"/>
  </si>
  <si>
    <t>MCD-5156</t>
    <phoneticPr fontId="6" type="noConversion"/>
  </si>
  <si>
    <t>MPD 100F/13</t>
    <phoneticPr fontId="6" type="noConversion"/>
  </si>
  <si>
    <t>MPD 2002.41</t>
    <phoneticPr fontId="6" type="noConversion"/>
  </si>
  <si>
    <t>FS10</t>
    <phoneticPr fontId="6" type="noConversion"/>
  </si>
  <si>
    <t>FS13</t>
    <phoneticPr fontId="6" type="noConversion"/>
  </si>
  <si>
    <t>EU</t>
    <phoneticPr fontId="6" type="noConversion"/>
  </si>
  <si>
    <t>SA</t>
    <phoneticPr fontId="6" type="noConversion"/>
  </si>
  <si>
    <t>Yacoraite Fm.</t>
    <phoneticPr fontId="6" type="noConversion"/>
  </si>
  <si>
    <t>Taponichnus dottoi</t>
    <phoneticPr fontId="6" type="noConversion"/>
  </si>
  <si>
    <t>EU</t>
    <phoneticPr fontId="6" type="noConversion"/>
  </si>
  <si>
    <t>Ma</t>
    <phoneticPr fontId="6" type="noConversion"/>
  </si>
  <si>
    <t>Herrero-Santos, 2008</t>
    <phoneticPr fontId="6" type="noConversion"/>
  </si>
  <si>
    <t>El Molino Fm.</t>
    <phoneticPr fontId="6" type="noConversion"/>
  </si>
  <si>
    <t>Lockley et al. 2002</t>
    <phoneticPr fontId="6" type="noConversion"/>
  </si>
  <si>
    <t>Tremp Fm., La Pleta Nord</t>
    <phoneticPr fontId="6" type="noConversion"/>
  </si>
  <si>
    <t>LPN-1</t>
    <phoneticPr fontId="6" type="noConversion"/>
  </si>
  <si>
    <t>Tremp Fm., Tossal del Gassó</t>
    <phoneticPr fontId="6" type="noConversion"/>
  </si>
  <si>
    <t>Gaizes</t>
    <phoneticPr fontId="6" type="noConversion"/>
  </si>
  <si>
    <t>Gierlinski et al. 2008</t>
    <phoneticPr fontId="6" type="noConversion"/>
  </si>
  <si>
    <t>1.1</t>
    <phoneticPr fontId="6" type="noConversion"/>
  </si>
  <si>
    <t>Tremp Fm., Costa Roia</t>
    <phoneticPr fontId="6" type="noConversion"/>
  </si>
  <si>
    <t>MCD-5153</t>
    <phoneticPr fontId="6" type="noConversion"/>
  </si>
  <si>
    <t>Tremp Fm., Sapeira-1</t>
    <phoneticPr fontId="6" type="noConversion"/>
  </si>
  <si>
    <t>Tremp Fm., Sapeira-2</t>
    <phoneticPr fontId="6" type="noConversion"/>
  </si>
  <si>
    <t>24d</t>
    <phoneticPr fontId="6" type="noConversion"/>
  </si>
  <si>
    <t>25w</t>
    <phoneticPr fontId="6" type="noConversion"/>
  </si>
  <si>
    <t>25e</t>
    <phoneticPr fontId="6" type="noConversion"/>
  </si>
  <si>
    <t>26a</t>
    <phoneticPr fontId="6" type="noConversion"/>
  </si>
  <si>
    <t>26b</t>
    <phoneticPr fontId="6" type="noConversion"/>
  </si>
  <si>
    <t>26c</t>
    <phoneticPr fontId="6" type="noConversion"/>
  </si>
  <si>
    <t>1.2</t>
    <phoneticPr fontId="6" type="noConversion"/>
  </si>
  <si>
    <t>1.3</t>
    <phoneticPr fontId="6" type="noConversion"/>
  </si>
  <si>
    <t>Xing L.D., Bell, O.R., Harris, J.D., Currie, P.J. 2010. An unusual, three-dimensionally preserved, large hadrosauriform pes track from the “Mid”-Cretaceous Jiaguan Formation of Chongqing, China. Acta Geologica Sinica, 86 (2): 304-312.</t>
    <phoneticPr fontId="6" type="noConversion"/>
  </si>
  <si>
    <t>MCD-5151</t>
  </si>
  <si>
    <t>MCD-5141</t>
  </si>
  <si>
    <t>MCD-5142</t>
  </si>
  <si>
    <t>MCD-5143</t>
  </si>
  <si>
    <t>Ca</t>
    <phoneticPr fontId="6" type="noConversion"/>
  </si>
  <si>
    <t>Mesa Verde Fm.</t>
    <phoneticPr fontId="6" type="noConversion"/>
  </si>
  <si>
    <t>12c</t>
    <phoneticPr fontId="6" type="noConversion"/>
  </si>
  <si>
    <t>Lockley et al. 1983</t>
    <phoneticPr fontId="6" type="noConversion"/>
  </si>
  <si>
    <t>NA</t>
    <phoneticPr fontId="6" type="noConversion"/>
  </si>
  <si>
    <t>Ca</t>
    <phoneticPr fontId="6" type="noConversion"/>
  </si>
  <si>
    <t>Mesa Verde Fm.</t>
    <phoneticPr fontId="6" type="noConversion"/>
  </si>
  <si>
    <t>15s</t>
    <phoneticPr fontId="6" type="noConversion"/>
  </si>
  <si>
    <t>DMNH 12143</t>
  </si>
  <si>
    <t>I3-5</t>
  </si>
  <si>
    <t>Indet. Fig.40.8</t>
    <phoneticPr fontId="6" type="noConversion"/>
  </si>
  <si>
    <t>indet.</t>
    <phoneticPr fontId="6" type="noConversion"/>
  </si>
  <si>
    <t>Lockley et al. 1983</t>
    <phoneticPr fontId="6" type="noConversion"/>
  </si>
  <si>
    <t>15n</t>
    <phoneticPr fontId="6" type="noConversion"/>
  </si>
  <si>
    <t>17a</t>
    <phoneticPr fontId="6" type="noConversion"/>
  </si>
  <si>
    <t>NA</t>
    <phoneticPr fontId="6" type="noConversion"/>
  </si>
  <si>
    <t>Track</t>
    <phoneticPr fontId="6" type="noConversion"/>
  </si>
  <si>
    <t>TL</t>
    <phoneticPr fontId="6" type="noConversion"/>
  </si>
  <si>
    <t>Lucas S G, Sullivan R M, Jasinoski S E &amp; Ford T L. 2011. Hadrosaur footprints from the Upper Cretaceous Fruitland Formation, San Juan Basin, New Mexico, and the ichnotaxonomy of large ornithopod footprints. In: Sullivan R.M., Lucas S G &amp; Spielmann J A eds. Fossil Record 3. New Mexico Museum of Natural History and Science Bulletin, 53: 357-362.</t>
    <phoneticPr fontId="6" type="noConversion"/>
  </si>
  <si>
    <t>TW</t>
    <phoneticPr fontId="6" type="noConversion"/>
  </si>
  <si>
    <t>L II-IV</t>
    <phoneticPr fontId="6" type="noConversion"/>
  </si>
  <si>
    <t>L II</t>
    <phoneticPr fontId="6" type="noConversion"/>
  </si>
  <si>
    <t>Tremp Fm., unnamed level</t>
    <phoneticPr fontId="6" type="noConversion"/>
  </si>
  <si>
    <t>MR_bloc-1</t>
    <phoneticPr fontId="6" type="noConversion"/>
  </si>
  <si>
    <t>MR_bloc-2</t>
  </si>
  <si>
    <t>Lockley et al. 1983</t>
    <phoneticPr fontId="6" type="noConversion"/>
  </si>
  <si>
    <t>NA</t>
    <phoneticPr fontId="6" type="noConversion"/>
  </si>
  <si>
    <t>Ca</t>
    <phoneticPr fontId="6" type="noConversion"/>
  </si>
  <si>
    <t>indet. (Fig.5e)</t>
    <phoneticPr fontId="6" type="noConversion"/>
  </si>
  <si>
    <t>Tremp Fm., Iscles-3</t>
    <phoneticPr fontId="6" type="noConversion"/>
  </si>
  <si>
    <t xml:space="preserve">Rodríguez-de la Rosa R A, Aguillón-Martínez M C &amp; López-Espinoza J. 2004. The fossil record of vertebrate tracks in Mexico. In: Pemberton S G, McCrea R T &amp; Lockley M G eds. William Antony Swithin Sarjeant (1935–2002): a celebration of his life and ichnological contributions, Volume 2. Ichnos, 11: 27–37. </t>
  </si>
  <si>
    <t>44a</t>
    <phoneticPr fontId="6" type="noConversion"/>
  </si>
  <si>
    <t>44b</t>
    <phoneticPr fontId="6" type="noConversion"/>
  </si>
  <si>
    <t>45a</t>
    <phoneticPr fontId="6" type="noConversion"/>
  </si>
  <si>
    <t>45b</t>
    <phoneticPr fontId="6" type="noConversion"/>
  </si>
  <si>
    <t>45c</t>
    <phoneticPr fontId="6" type="noConversion"/>
  </si>
  <si>
    <t>Lance Fm.</t>
    <phoneticPr fontId="6" type="noConversion"/>
  </si>
  <si>
    <t>Rodríguez de la Rosa et al. 2004</t>
    <phoneticPr fontId="6" type="noConversion"/>
  </si>
  <si>
    <t>NA</t>
    <phoneticPr fontId="6" type="noConversion"/>
  </si>
  <si>
    <t>Ca</t>
    <phoneticPr fontId="6" type="noConversion"/>
  </si>
  <si>
    <t>indet. (Fig.5f)</t>
    <phoneticPr fontId="6" type="noConversion"/>
  </si>
  <si>
    <t>Raton Fm.</t>
    <phoneticPr fontId="6" type="noConversion"/>
  </si>
  <si>
    <t>Tanke, 2004</t>
    <phoneticPr fontId="6" type="noConversion"/>
  </si>
  <si>
    <t>Fiorillo and Parrish. 2004</t>
    <phoneticPr fontId="6" type="noConversion"/>
  </si>
  <si>
    <t>Ma</t>
    <phoneticPr fontId="6" type="noConversion"/>
  </si>
  <si>
    <t>12a</t>
    <phoneticPr fontId="6" type="noConversion"/>
  </si>
  <si>
    <t>MCD-5154</t>
    <phoneticPr fontId="6" type="noConversion"/>
  </si>
  <si>
    <t>36a</t>
    <phoneticPr fontId="6" type="noConversion"/>
  </si>
  <si>
    <t>Currie P J, Nadon G C &amp; Lockley M G. 1991. Dinosaur footprints with skin impressions from the Cretaceous of Alberta and Colorado. Canadian Journal of Earth Sciences, 28: 102-115.</t>
    <phoneticPr fontId="6" type="noConversion"/>
  </si>
  <si>
    <t>manus</t>
    <phoneticPr fontId="6" type="noConversion"/>
  </si>
  <si>
    <t>MCD-5166</t>
    <phoneticPr fontId="6" type="noConversion"/>
  </si>
  <si>
    <t>Tanke D H. 2004. Mosquitos and mud: the 2003 Royal Tyrrell Museum of Palaeontology expedition to the Grande Prairie region (northwestern Alberta, Canada). Alberta Palaeontological Society Bulletin, 19: 3-31.</t>
  </si>
  <si>
    <t>Ishigaki, 1999</t>
    <phoneticPr fontId="6" type="noConversion"/>
  </si>
  <si>
    <t>Ishigaki, S. 1999. Abundant dinosaur footprints from the Upper Cretaceous of Gobi Desert, Mongolia. Journal of Vertebrate Paleontology, 19: 54A.</t>
    <phoneticPr fontId="6" type="noConversion"/>
  </si>
  <si>
    <t>Lockley M G, Young B H &amp; Carpenter K. 1983. Hadrosaur locomotion and herding behavior: evidence from footprints in the Mesaverde Formation, Grand Mesa coal field, Colorado. Mountain Geologist, 20: 5-14.</t>
  </si>
  <si>
    <t>TL</t>
    <phoneticPr fontId="6" type="noConversion"/>
  </si>
  <si>
    <t>SL</t>
  </si>
  <si>
    <t>Pla</t>
    <phoneticPr fontId="6" type="noConversion"/>
  </si>
  <si>
    <t>PLb</t>
    <phoneticPr fontId="6" type="noConversion"/>
  </si>
  <si>
    <t>ANG</t>
    <phoneticPr fontId="6" type="noConversion"/>
  </si>
  <si>
    <t>SL/TL</t>
    <phoneticPr fontId="6" type="noConversion"/>
  </si>
  <si>
    <t>aren-1</t>
    <phoneticPr fontId="6" type="noConversion"/>
  </si>
  <si>
    <t>mororB</t>
    <phoneticPr fontId="6" type="noConversion"/>
  </si>
  <si>
    <t>Gavilanes</t>
    <phoneticPr fontId="6" type="noConversion"/>
  </si>
  <si>
    <t>Mviudà</t>
    <phoneticPr fontId="6" type="noConversion"/>
  </si>
  <si>
    <t>Currie</t>
    <phoneticPr fontId="6" type="noConversion"/>
  </si>
  <si>
    <t>N12.6</t>
  </si>
  <si>
    <t>N12.7</t>
  </si>
  <si>
    <t>IPS 63272</t>
    <phoneticPr fontId="6" type="noConversion"/>
  </si>
  <si>
    <t>Lockley M G, Schulp A S, Meyer C A, Leonardi G &amp; Mamani D K. 2002a. Titanosaurid trackways from the Upper Cretaceous of Bolivia: evidence for large manus, wide-gauge locomotion and gregarious behaviour. Cretaceous Research, 23: 383-400.</t>
  </si>
  <si>
    <t>Barco et al. 2001</t>
    <phoneticPr fontId="6" type="noConversion"/>
  </si>
  <si>
    <t>Mesa Verde Fm.</t>
    <phoneticPr fontId="6" type="noConversion"/>
  </si>
  <si>
    <t>24a</t>
    <phoneticPr fontId="6" type="noConversion"/>
  </si>
  <si>
    <t>NMMNH P-63034</t>
  </si>
  <si>
    <t>NMMNH P-63035</t>
  </si>
  <si>
    <t>NMMNH P-7145</t>
    <phoneticPr fontId="6" type="noConversion"/>
  </si>
  <si>
    <t>NA</t>
    <phoneticPr fontId="6" type="noConversion"/>
  </si>
  <si>
    <t>28a</t>
    <phoneticPr fontId="6" type="noConversion"/>
  </si>
  <si>
    <t>28b</t>
    <phoneticPr fontId="6" type="noConversion"/>
  </si>
  <si>
    <t>Lockley et al. 1983</t>
    <phoneticPr fontId="6" type="noConversion"/>
  </si>
  <si>
    <t>24b</t>
    <phoneticPr fontId="6" type="noConversion"/>
  </si>
  <si>
    <t>24c</t>
    <phoneticPr fontId="6" type="noConversion"/>
  </si>
  <si>
    <t>MPD 100F/11</t>
  </si>
  <si>
    <t>I1-2</t>
  </si>
  <si>
    <t>MCD-5145</t>
  </si>
  <si>
    <t>MCD-5146</t>
  </si>
  <si>
    <t>MCD-5147</t>
  </si>
  <si>
    <t>MCD-5148</t>
  </si>
  <si>
    <t>MCD-5149</t>
  </si>
  <si>
    <t>MCD-5150</t>
  </si>
  <si>
    <t>N.M. C. No. 9487</t>
  </si>
  <si>
    <t>Tremp Fm., Torrent de Carant</t>
    <phoneticPr fontId="6" type="noConversion"/>
  </si>
  <si>
    <t>Currie P J , Badamgarav D &amp; Koppelhus E B. 2003. The first Late Cretaceous footprints from the Nemegt locality in the Gobi of Mongolia. In: Pemberton S G, McCrea R T &amp; Lockley M G eds.William Antony Swithin Sarjeant (1935–2002): a celebration of his life and ichnological contributions Volume 1. Ichnos, 10: 1-13.</t>
    <phoneticPr fontId="6" type="noConversion"/>
  </si>
  <si>
    <t>NA</t>
    <phoneticPr fontId="6" type="noConversion"/>
  </si>
  <si>
    <t>Ca</t>
    <phoneticPr fontId="6" type="noConversion"/>
  </si>
  <si>
    <t>Oldman Fm.</t>
    <phoneticPr fontId="6" type="noConversion"/>
  </si>
  <si>
    <t>Indet.</t>
    <phoneticPr fontId="6" type="noConversion"/>
  </si>
  <si>
    <t>Therrien et al. 2011</t>
    <phoneticPr fontId="6" type="noConversion"/>
  </si>
  <si>
    <t>uncollected</t>
    <phoneticPr fontId="6" type="noConversion"/>
  </si>
  <si>
    <t>Fiorillo A R &amp; Parrish J T. 2004. The first record of a Cretaceous dinosaur from southwestern Alaska. Cretaceous Research, 25: 453-458.</t>
  </si>
  <si>
    <t>Hunt A P &amp; Lucas S G. 2003. A new hadrosaur track from the Upper Cretaceous Fruitland Formation of northwestern New Mexico. In: Lucas, S.G., Semken S C, Berglof W R &amp; Ulmer-Scholle D eds. Geology of the Zuni Plateau. New Mexico Geological Society Guidebook, 54: 379-381.</t>
  </si>
  <si>
    <t>Tremp Fm., Serrat de Sanguin</t>
    <phoneticPr fontId="6" type="noConversion"/>
  </si>
  <si>
    <t>Tremp Fm., Serrat de Santó</t>
    <phoneticPr fontId="6" type="noConversion"/>
  </si>
  <si>
    <t>MPZ 2012/828</t>
    <phoneticPr fontId="6" type="noConversion"/>
  </si>
  <si>
    <t>Cerro del Pueblo Fm., La Parrita</t>
    <phoneticPr fontId="6" type="noConversion"/>
  </si>
  <si>
    <t>DMNH</t>
    <phoneticPr fontId="6" type="noConversion"/>
  </si>
  <si>
    <t>-</t>
    <phoneticPr fontId="6" type="noConversion"/>
  </si>
  <si>
    <t>Parker L R &amp; Rowley R L Jr. 1989. Dinosaur footprints from a coal mine in east-central Utah. In: Gillette D D &amp; Lockley M G eds. Dinosaur tracks and traces. Cambridge: Cambridge University Press. 361-366.</t>
  </si>
  <si>
    <t>Lockley et al. 2000</t>
    <phoneticPr fontId="6" type="noConversion"/>
  </si>
  <si>
    <t>Indet. Fig.40.16</t>
  </si>
  <si>
    <t>Indet. Fig.40.17</t>
  </si>
  <si>
    <t>Herreo-Santos. 2008. Nuevo yacimiento de icnitas de dinosaurio de la Sierra de Los Gavilanes (Yecla, Murcia). Abstracts book of XIX Jornadas de Patrimonio Cultural de la Region de Murcia, 37-38.</t>
    <phoneticPr fontId="6" type="noConversion"/>
  </si>
  <si>
    <t>Jaillard E, Cappetta H, Ellenberger P, Feist M, Grambast-Fessard N, Lefranc J P &amp; Sigé B. 1993. Sedimentology, palaeontology, biostratigraphy and correlation of the Late Cretaceous Vilquechico Group of southern Peru. Cretaceous Research, 14: 623-661.</t>
  </si>
  <si>
    <t>Chignik Fm.</t>
    <phoneticPr fontId="6" type="noConversion"/>
  </si>
  <si>
    <t>Indet. Fig.40.15</t>
  </si>
  <si>
    <t>ICP: Institut Català de Paleontologia Miquel Crusafont</t>
    <phoneticPr fontId="6" type="noConversion"/>
  </si>
  <si>
    <t>MPZ: Museo de Paleontología de Zaragoza (Universidad de Zaragoza)</t>
    <phoneticPr fontId="6" type="noConversion"/>
  </si>
  <si>
    <t>Muz. PIG</t>
    <phoneticPr fontId="6" type="noConversion"/>
  </si>
  <si>
    <t>Muz. PIG: Geological Museum of the Polish Geological Institute</t>
    <phoneticPr fontId="6" type="noConversion"/>
  </si>
  <si>
    <t>MPD: Paleontological Center of the Mongolian Academy of Sciences</t>
    <phoneticPr fontId="6" type="noConversion"/>
  </si>
  <si>
    <t>UALVP: University of Alberta</t>
    <phoneticPr fontId="6" type="noConversion"/>
  </si>
  <si>
    <t>DMNH: Dallas Museum of Natural History</t>
    <phoneticPr fontId="6" type="noConversion"/>
  </si>
  <si>
    <t>TMP: Tyrrell Museum of Palaeontology</t>
    <phoneticPr fontId="6" type="noConversion"/>
  </si>
  <si>
    <t>Institutional abbreviations</t>
    <phoneticPr fontId="6" type="noConversion"/>
  </si>
  <si>
    <t>Region</t>
    <phoneticPr fontId="6" type="noConversion"/>
  </si>
  <si>
    <t>Age</t>
    <phoneticPr fontId="6" type="noConversion"/>
  </si>
  <si>
    <t>Formation/Locality</t>
    <phoneticPr fontId="6" type="noConversion"/>
  </si>
  <si>
    <t>Track reference</t>
    <phoneticPr fontId="6" type="noConversion"/>
  </si>
  <si>
    <t>TL</t>
    <phoneticPr fontId="6" type="noConversion"/>
  </si>
  <si>
    <t>TW</t>
    <phoneticPr fontId="6" type="noConversion"/>
  </si>
  <si>
    <t>Reference</t>
    <phoneticPr fontId="6" type="noConversion"/>
  </si>
  <si>
    <t>Repository</t>
    <phoneticPr fontId="6" type="noConversion"/>
  </si>
  <si>
    <t>TC-2</t>
    <phoneticPr fontId="6" type="noConversion"/>
  </si>
  <si>
    <t>Indet.</t>
    <phoneticPr fontId="6" type="noConversion"/>
  </si>
  <si>
    <t>Indet. (Fig.7a)</t>
    <phoneticPr fontId="6" type="noConversion"/>
  </si>
  <si>
    <t>Indet. (Fig.7b)</t>
    <phoneticPr fontId="6" type="noConversion"/>
  </si>
  <si>
    <t>Indet.</t>
    <phoneticPr fontId="6" type="noConversion"/>
  </si>
  <si>
    <t>Tremp Fm., Areny 1</t>
    <phoneticPr fontId="6" type="noConversion"/>
  </si>
  <si>
    <t>Indet. (Fig. 1, "a")</t>
    <phoneticPr fontId="6" type="noConversion"/>
  </si>
  <si>
    <t>Indet. (Fig. 1, "b")</t>
    <phoneticPr fontId="6" type="noConversion"/>
  </si>
  <si>
    <t>Indet. (Fig. 1, "c")</t>
    <phoneticPr fontId="6" type="noConversion"/>
  </si>
  <si>
    <t>Indet. (Fig. 1, "d")</t>
    <phoneticPr fontId="6" type="noConversion"/>
  </si>
  <si>
    <t>Muz. PIG 1704.II.1</t>
    <phoneticPr fontId="6" type="noConversion"/>
  </si>
  <si>
    <t>Indet. (Fig. B)</t>
    <phoneticPr fontId="6" type="noConversion"/>
  </si>
  <si>
    <t>Indet. (Fig. B')</t>
    <phoneticPr fontId="6" type="noConversion"/>
  </si>
  <si>
    <t>NCBLR</t>
    <phoneticPr fontId="6" type="noConversion"/>
  </si>
  <si>
    <t>NDM: Nanxiong Dinosaur Museum</t>
    <phoneticPr fontId="6" type="noConversion"/>
  </si>
  <si>
    <t>NCBLR: Nanxiong County Burear of Land Resources</t>
    <phoneticPr fontId="6" type="noConversion"/>
  </si>
  <si>
    <t>NDM</t>
    <phoneticPr fontId="6" type="noConversion"/>
  </si>
  <si>
    <t>QJGM-T54-2</t>
    <phoneticPr fontId="6" type="noConversion"/>
  </si>
  <si>
    <t>QJGM</t>
    <phoneticPr fontId="6" type="noConversion"/>
  </si>
  <si>
    <t>Indet. (Fig. 3a1)</t>
    <phoneticPr fontId="6" type="noConversion"/>
  </si>
  <si>
    <t>Indet. (Fig. 3a2)</t>
    <phoneticPr fontId="6" type="noConversion"/>
  </si>
  <si>
    <t>Indet. (Fig. 3a3)</t>
    <phoneticPr fontId="6" type="noConversion"/>
  </si>
  <si>
    <t xml:space="preserve">Indet. </t>
    <phoneticPr fontId="6" type="noConversion"/>
  </si>
  <si>
    <t>Indet.</t>
    <phoneticPr fontId="6" type="noConversion"/>
  </si>
  <si>
    <t>Ishigaki S, Watabe M, Tsogtbaatar K &amp; Saneyoshi M. 2009. Dinosaur footprints from the Upper Cretaceous of Mongolia. In: Pieńkowski G, Martin A J &amp; Meyer C A eds. Second International Congress on Ichnology (Ichnia 2008). Geological Quarterly, 53: 449-460.</t>
    <phoneticPr fontId="6" type="noConversion"/>
  </si>
  <si>
    <t>N12.8</t>
  </si>
  <si>
    <t>Paik et al. 2006</t>
  </si>
  <si>
    <t>NMMNH P-63031</t>
  </si>
  <si>
    <t>-</t>
  </si>
  <si>
    <t>-</t>
    <phoneticPr fontId="6" type="noConversion"/>
  </si>
  <si>
    <t>Lockley M G, Lucas S G &amp; Hunt A P. 2000. Dinosaur tracksites in New Mexico: a review. In: Lucas S G &amp; Heckert A B eds. Dinosaurs of New Mexico. New Mexico Museum of Natural History and Science Bulletin, 17: 9-16.</t>
  </si>
  <si>
    <t>NMMNH P-63033</t>
  </si>
  <si>
    <t>NMMNH P-63032</t>
  </si>
  <si>
    <t>Xing, L., Wang, F., Pan, S., and Chen, W. 2007. The discovery of dinosaur footprints from the Middle Cretaceous Jiaguan Formation of Qijiang County, Chongqing City. Acta Geologica Sinica 8 (11): 1591-1602.</t>
    <phoneticPr fontId="6" type="noConversion"/>
  </si>
  <si>
    <t>Indet. (Fig. 9B)</t>
    <phoneticPr fontId="6" type="noConversion"/>
  </si>
  <si>
    <t>Indet. (Fig. 9D)</t>
    <phoneticPr fontId="6" type="noConversion"/>
  </si>
  <si>
    <t>CU</t>
    <phoneticPr fontId="6" type="noConversion"/>
  </si>
  <si>
    <t>CU: Colorado University</t>
    <phoneticPr fontId="6" type="noConversion"/>
  </si>
  <si>
    <t>Blackhawk Fm.</t>
  </si>
  <si>
    <t>Indet. Fig.40.19</t>
  </si>
  <si>
    <t>Parker and Rowley, 1989</t>
  </si>
  <si>
    <t>NMMNH: New Mexico Museum of Natural History and Science</t>
    <phoneticPr fontId="6" type="noConversion"/>
  </si>
  <si>
    <t>MCD: Museu de la Conca Dellà</t>
    <phoneticPr fontId="6" type="noConversion"/>
  </si>
  <si>
    <t>Horseshoe Canyon Fm.</t>
    <phoneticPr fontId="6" type="noConversion"/>
  </si>
  <si>
    <t>Currie P J. 1989. Dinosaur footprints of western Canada. In: Gillette D D &amp; Lockley M G eds. Dinosaur tracks and traces. Cambridge: Cambridge University Press. 293-307</t>
    <phoneticPr fontId="6" type="noConversion"/>
  </si>
  <si>
    <t>McCrea et al. 2005</t>
    <phoneticPr fontId="6" type="noConversion"/>
  </si>
  <si>
    <t>-</t>
    <phoneticPr fontId="6" type="noConversion"/>
  </si>
  <si>
    <t>-</t>
    <phoneticPr fontId="6" type="noConversion"/>
  </si>
  <si>
    <t>McCrea, R.T., Currie, P.J, and Pemberton, S.G. 2005. In: Dinosaur Provincial Park, a Spectacular Ancient Ecosystem Revealed, Editors PJ Currie and EB Koppelhus. Indiana University Press: 405-416.</t>
    <phoneticPr fontId="6" type="noConversion"/>
  </si>
  <si>
    <t>Wolberg, D. L, Hall, J.P. and Bellis, D., 1988b, First record of dinosaur footprints from the Fruitland Formation, San Juan Basin, San Juan County, New Mexico: New Mexico Bureau of Mines and Mineral Resources, Bulletin 122, p. 33-34.</t>
    <phoneticPr fontId="6" type="noConversion"/>
  </si>
  <si>
    <t>DDFM</t>
    <phoneticPr fontId="6" type="noConversion"/>
  </si>
  <si>
    <t>DDFM: Drumheller and District Fossil Museum</t>
    <phoneticPr fontId="6" type="noConversion"/>
  </si>
  <si>
    <t>TMP 79.9.2</t>
    <phoneticPr fontId="6" type="noConversion"/>
  </si>
  <si>
    <t>-</t>
    <phoneticPr fontId="6" type="noConversion"/>
  </si>
  <si>
    <t>-</t>
    <phoneticPr fontId="6" type="noConversion"/>
  </si>
  <si>
    <t>CU-MWC 224.1</t>
    <phoneticPr fontId="6" type="noConversion"/>
  </si>
  <si>
    <t>MPD</t>
    <phoneticPr fontId="6" type="noConversion"/>
  </si>
  <si>
    <t>Indet. (Fig 6A)</t>
    <phoneticPr fontId="6" type="noConversion"/>
  </si>
  <si>
    <t>Indet. (Fig 6B)</t>
    <phoneticPr fontId="6" type="noConversion"/>
  </si>
  <si>
    <t>Indet. (Fig 6C)</t>
    <phoneticPr fontId="6" type="noConversion"/>
  </si>
  <si>
    <t>Indet. (Fig 6G)</t>
    <phoneticPr fontId="6" type="noConversion"/>
  </si>
  <si>
    <t>Llompart C. 2006. Presencia de icnitas de dinosaurios en el Cretácico Superior del margen sur del sinclinal de Tremp (Prov. de Lleida, Cataluña, España). Revista Española de Paleontología, 21: 1-14.</t>
    <phoneticPr fontId="6" type="noConversion"/>
  </si>
  <si>
    <t>uncollected</t>
    <phoneticPr fontId="6" type="noConversion"/>
  </si>
  <si>
    <t>MCD</t>
    <phoneticPr fontId="6" type="noConversion"/>
  </si>
  <si>
    <t>MCD</t>
    <phoneticPr fontId="6" type="noConversion"/>
  </si>
  <si>
    <t>uncollected</t>
    <phoneticPr fontId="6" type="noConversion"/>
  </si>
  <si>
    <t>uncollected</t>
    <phoneticPr fontId="6" type="noConversion"/>
  </si>
  <si>
    <t>ICP</t>
    <phoneticPr fontId="6" type="noConversion"/>
  </si>
  <si>
    <t>MPZ</t>
    <phoneticPr fontId="6" type="noConversion"/>
  </si>
  <si>
    <t>MPZ</t>
    <phoneticPr fontId="6" type="noConversion"/>
  </si>
  <si>
    <t>MCD</t>
    <phoneticPr fontId="6" type="noConversion"/>
  </si>
  <si>
    <t>Indet. Fig.40.14</t>
  </si>
</sst>
</file>

<file path=xl/styles.xml><?xml version="1.0" encoding="utf-8"?>
<styleSheet xmlns="http://schemas.openxmlformats.org/spreadsheetml/2006/main">
  <numFmts count="1">
    <numFmt numFmtId="164" formatCode="0.0"/>
  </numFmts>
  <fonts count="19">
    <font>
      <sz val="10"/>
      <name val="Verdana"/>
    </font>
    <font>
      <sz val="10"/>
      <name val="Verdana"/>
    </font>
    <font>
      <sz val="10"/>
      <name val="Verdana"/>
    </font>
    <font>
      <b/>
      <sz val="10"/>
      <name val="Verdana"/>
    </font>
    <font>
      <i/>
      <sz val="10"/>
      <name val="Verdana"/>
    </font>
    <font>
      <sz val="10"/>
      <name val="Verdana"/>
    </font>
    <font>
      <sz val="8"/>
      <name val="Verdana"/>
    </font>
    <font>
      <sz val="10"/>
      <color indexed="12"/>
      <name val="Verdana"/>
    </font>
    <font>
      <sz val="10"/>
      <color indexed="207"/>
      <name val="Verdana"/>
    </font>
    <font>
      <sz val="10"/>
      <color indexed="17"/>
      <name val="Verdana"/>
    </font>
    <font>
      <b/>
      <sz val="9"/>
      <color indexed="81"/>
      <name val="Verdana"/>
    </font>
    <font>
      <sz val="10"/>
      <name val="Verdana"/>
    </font>
    <font>
      <sz val="11"/>
      <name val="Times New Roman"/>
    </font>
    <font>
      <sz val="11"/>
      <name val="Verdana"/>
    </font>
    <font>
      <b/>
      <sz val="10"/>
      <name val="Arial"/>
      <family val="2"/>
    </font>
    <font>
      <sz val="10"/>
      <name val="Arial"/>
    </font>
    <font>
      <b/>
      <sz val="9"/>
      <color indexed="81"/>
      <name val="Tahoma"/>
    </font>
    <font>
      <sz val="9"/>
      <color indexed="81"/>
      <name val="Tahoma"/>
    </font>
    <font>
      <b/>
      <sz val="12"/>
      <name val="Times New Roman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7" fillId="0" borderId="0" xfId="0" applyFont="1" applyAlignment="1">
      <alignment horizontal="left"/>
    </xf>
    <xf numFmtId="0" fontId="8" fillId="0" borderId="0" xfId="0" applyFont="1" applyBorder="1" applyAlignment="1">
      <alignment horizontal="left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Border="1" applyAlignment="1">
      <alignment horizontal="left"/>
    </xf>
    <xf numFmtId="49" fontId="11" fillId="0" borderId="0" xfId="0" applyNumberFormat="1" applyFont="1" applyBorder="1" applyAlignment="1">
      <alignment horizontal="left"/>
    </xf>
    <xf numFmtId="0" fontId="0" fillId="0" borderId="0" xfId="0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1" xfId="0" applyFont="1" applyFill="1" applyBorder="1" applyAlignment="1">
      <alignment horizontal="center"/>
    </xf>
    <xf numFmtId="0" fontId="14" fillId="0" borderId="2" xfId="0" applyFont="1" applyFill="1" applyBorder="1" applyAlignment="1">
      <alignment horizontal="center"/>
    </xf>
    <xf numFmtId="164" fontId="15" fillId="0" borderId="0" xfId="0" applyNumberFormat="1" applyFont="1" applyBorder="1" applyAlignment="1">
      <alignment horizontal="center"/>
    </xf>
    <xf numFmtId="1" fontId="0" fillId="0" borderId="0" xfId="0" applyNumberFormat="1"/>
    <xf numFmtId="164" fontId="15" fillId="0" borderId="0" xfId="0" applyNumberFormat="1" applyFont="1" applyFill="1" applyBorder="1" applyAlignment="1">
      <alignment horizontal="center"/>
    </xf>
    <xf numFmtId="164" fontId="14" fillId="0" borderId="0" xfId="0" applyNumberFormat="1" applyFont="1" applyAlignment="1">
      <alignment horizontal="center"/>
    </xf>
    <xf numFmtId="0" fontId="18" fillId="0" borderId="0" xfId="0" applyFont="1"/>
    <xf numFmtId="0" fontId="0" fillId="0" borderId="0" xfId="0" applyAlignment="1">
      <alignment horizontal="left"/>
    </xf>
    <xf numFmtId="0" fontId="11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2" fontId="11" fillId="0" borderId="0" xfId="0" applyNumberFormat="1" applyFont="1" applyAlignment="1">
      <alignment horizontal="left"/>
    </xf>
    <xf numFmtId="0" fontId="5" fillId="0" borderId="0" xfId="0" applyFont="1" applyBorder="1" applyAlignment="1">
      <alignment horizontal="left"/>
    </xf>
    <xf numFmtId="49" fontId="5" fillId="0" borderId="0" xfId="0" applyNumberFormat="1" applyFont="1" applyBorder="1" applyAlignment="1">
      <alignment horizontal="left"/>
    </xf>
    <xf numFmtId="164" fontId="11" fillId="0" borderId="0" xfId="0" applyNumberFormat="1" applyFont="1" applyBorder="1" applyAlignment="1">
      <alignment horizontal="left"/>
    </xf>
    <xf numFmtId="10" fontId="8" fillId="0" borderId="0" xfId="0" applyNumberFormat="1" applyFont="1" applyBorder="1" applyAlignment="1">
      <alignment horizontal="left"/>
    </xf>
    <xf numFmtId="0" fontId="9" fillId="0" borderId="0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AB1048576"/>
  <sheetViews>
    <sheetView tabSelected="1" view="pageLayout" topLeftCell="A215" zoomScale="150" workbookViewId="0">
      <selection activeCell="A233" sqref="A233:H233"/>
    </sheetView>
  </sheetViews>
  <sheetFormatPr baseColWidth="10" defaultRowHeight="13"/>
  <cols>
    <col min="1" max="1" width="5.85546875" style="8" customWidth="1"/>
    <col min="2" max="2" width="5.28515625" style="8" customWidth="1"/>
    <col min="3" max="3" width="32.85546875" style="8" customWidth="1"/>
    <col min="4" max="4" width="15.140625" style="8" customWidth="1"/>
    <col min="5" max="6" width="5" style="8" customWidth="1"/>
    <col min="7" max="7" width="24.7109375" style="8" customWidth="1"/>
    <col min="8" max="8" width="10.7109375" style="8"/>
    <col min="9" max="9" width="4.140625" style="8" customWidth="1"/>
    <col min="10" max="10" width="7.140625" style="8" customWidth="1"/>
    <col min="11" max="12" width="10.7109375" style="8"/>
    <col min="13" max="13" width="6.85546875" style="8" customWidth="1"/>
    <col min="14" max="16384" width="10.7109375" style="8"/>
  </cols>
  <sheetData>
    <row r="1" spans="1:28" s="7" customFormat="1">
      <c r="A1" s="22" t="s">
        <v>439</v>
      </c>
      <c r="B1" s="22" t="s">
        <v>440</v>
      </c>
      <c r="C1" s="22" t="s">
        <v>441</v>
      </c>
      <c r="D1" s="22" t="s">
        <v>442</v>
      </c>
      <c r="E1" s="22" t="s">
        <v>443</v>
      </c>
      <c r="F1" s="22" t="s">
        <v>444</v>
      </c>
      <c r="G1" s="22" t="s">
        <v>445</v>
      </c>
      <c r="H1" s="22" t="s">
        <v>446</v>
      </c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</row>
    <row r="2" spans="1:28" s="7" customFormat="1">
      <c r="A2" s="7" t="s">
        <v>391</v>
      </c>
      <c r="B2" s="7" t="s">
        <v>315</v>
      </c>
      <c r="C2" s="7" t="s">
        <v>106</v>
      </c>
      <c r="D2" s="7" t="s">
        <v>248</v>
      </c>
      <c r="E2" s="7">
        <v>50</v>
      </c>
      <c r="F2" s="7">
        <v>41</v>
      </c>
      <c r="G2" s="7" t="s">
        <v>108</v>
      </c>
      <c r="H2" s="7" t="s">
        <v>493</v>
      </c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</row>
    <row r="3" spans="1:28" s="7" customFormat="1">
      <c r="A3" s="7" t="s">
        <v>391</v>
      </c>
      <c r="B3" s="7" t="s">
        <v>315</v>
      </c>
      <c r="C3" s="7" t="s">
        <v>106</v>
      </c>
      <c r="D3" s="7" t="s">
        <v>3</v>
      </c>
      <c r="E3" s="7">
        <v>42.79</v>
      </c>
      <c r="F3" s="7">
        <v>44</v>
      </c>
      <c r="G3" s="7" t="s">
        <v>108</v>
      </c>
      <c r="H3" s="7" t="s">
        <v>494</v>
      </c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</row>
    <row r="4" spans="1:28">
      <c r="A4" s="7" t="s">
        <v>391</v>
      </c>
      <c r="B4" s="7" t="s">
        <v>315</v>
      </c>
      <c r="C4" s="7" t="s">
        <v>5</v>
      </c>
      <c r="D4" s="7" t="s">
        <v>6</v>
      </c>
      <c r="E4" s="7">
        <v>56.2</v>
      </c>
      <c r="F4" s="7">
        <v>56.8</v>
      </c>
      <c r="G4" s="7" t="s">
        <v>492</v>
      </c>
      <c r="H4" s="7" t="s">
        <v>57</v>
      </c>
      <c r="I4" s="7"/>
      <c r="J4" s="9"/>
      <c r="K4" s="24"/>
      <c r="L4" s="24"/>
      <c r="M4" s="9"/>
      <c r="N4" s="25"/>
      <c r="O4" s="2"/>
      <c r="P4" s="2"/>
      <c r="Q4" s="2"/>
      <c r="R4" s="2"/>
      <c r="S4" s="9"/>
      <c r="T4" s="9"/>
      <c r="U4" s="9"/>
      <c r="V4" s="9"/>
      <c r="W4" s="9"/>
      <c r="X4" s="9"/>
      <c r="Y4" s="9"/>
      <c r="Z4" s="9"/>
      <c r="AA4" s="9"/>
      <c r="AB4" s="9"/>
    </row>
    <row r="5" spans="1:28">
      <c r="A5" s="8" t="s">
        <v>391</v>
      </c>
      <c r="B5" s="8" t="s">
        <v>315</v>
      </c>
      <c r="C5" s="8" t="s">
        <v>5</v>
      </c>
      <c r="D5" s="8" t="s">
        <v>132</v>
      </c>
      <c r="E5" s="8">
        <v>51.9</v>
      </c>
      <c r="F5" s="8">
        <v>50.5</v>
      </c>
      <c r="G5" s="7" t="s">
        <v>492</v>
      </c>
      <c r="H5" s="7" t="s">
        <v>57</v>
      </c>
      <c r="J5" s="9"/>
      <c r="K5" s="9"/>
      <c r="L5" s="9"/>
      <c r="M5" s="9"/>
      <c r="N5" s="10"/>
      <c r="O5" s="2"/>
      <c r="P5" s="2"/>
      <c r="Q5" s="2"/>
      <c r="R5" s="2"/>
      <c r="S5" s="9"/>
      <c r="T5" s="9"/>
      <c r="U5" s="9"/>
      <c r="V5" s="9"/>
      <c r="W5" s="9"/>
      <c r="X5" s="9"/>
      <c r="Y5" s="9"/>
      <c r="Z5" s="9"/>
      <c r="AA5" s="9"/>
      <c r="AB5" s="9"/>
    </row>
    <row r="6" spans="1:28">
      <c r="A6" s="8" t="s">
        <v>391</v>
      </c>
      <c r="B6" s="8" t="s">
        <v>315</v>
      </c>
      <c r="C6" s="8" t="s">
        <v>5</v>
      </c>
      <c r="D6" s="8" t="s">
        <v>133</v>
      </c>
      <c r="E6" s="8">
        <v>52</v>
      </c>
      <c r="F6" s="8">
        <v>54</v>
      </c>
      <c r="G6" s="7" t="s">
        <v>492</v>
      </c>
      <c r="H6" s="8" t="s">
        <v>33</v>
      </c>
      <c r="J6" s="9"/>
      <c r="K6" s="9"/>
      <c r="L6" s="9"/>
      <c r="M6" s="9"/>
      <c r="N6" s="10"/>
      <c r="O6" s="2"/>
      <c r="P6" s="2"/>
      <c r="Q6" s="2"/>
      <c r="R6" s="2"/>
      <c r="S6" s="9"/>
      <c r="T6" s="9"/>
      <c r="U6" s="9"/>
      <c r="V6" s="9"/>
      <c r="W6" s="9"/>
      <c r="X6" s="9"/>
      <c r="Y6" s="9"/>
      <c r="Z6" s="9"/>
      <c r="AA6" s="9"/>
      <c r="AB6" s="9"/>
    </row>
    <row r="7" spans="1:28">
      <c r="A7" s="8" t="s">
        <v>391</v>
      </c>
      <c r="B7" s="8" t="s">
        <v>315</v>
      </c>
      <c r="C7" s="8" t="s">
        <v>5</v>
      </c>
      <c r="D7" s="8" t="s">
        <v>34</v>
      </c>
      <c r="E7" s="8">
        <v>40</v>
      </c>
      <c r="F7" s="8">
        <v>44</v>
      </c>
      <c r="G7" s="8" t="s">
        <v>105</v>
      </c>
      <c r="H7" s="8" t="s">
        <v>493</v>
      </c>
      <c r="J7" s="9"/>
      <c r="K7" s="9"/>
      <c r="L7" s="9"/>
      <c r="M7" s="9"/>
      <c r="N7" s="10"/>
      <c r="O7" s="2"/>
      <c r="P7" s="2"/>
      <c r="Q7" s="2"/>
      <c r="R7" s="2"/>
      <c r="S7" s="9"/>
      <c r="T7" s="9"/>
      <c r="U7" s="9"/>
      <c r="V7" s="9"/>
      <c r="W7" s="9"/>
      <c r="X7" s="9"/>
      <c r="Y7" s="9"/>
      <c r="Z7" s="9"/>
      <c r="AA7" s="9"/>
      <c r="AB7" s="9"/>
    </row>
    <row r="8" spans="1:28">
      <c r="A8" s="8" t="s">
        <v>391</v>
      </c>
      <c r="B8" s="8" t="s">
        <v>315</v>
      </c>
      <c r="C8" s="8" t="s">
        <v>5</v>
      </c>
      <c r="D8" s="8" t="s">
        <v>113</v>
      </c>
      <c r="E8" s="8">
        <v>64</v>
      </c>
      <c r="F8" s="8">
        <v>66</v>
      </c>
      <c r="G8" s="8" t="s">
        <v>105</v>
      </c>
      <c r="H8" s="8" t="s">
        <v>493</v>
      </c>
      <c r="J8" s="9"/>
      <c r="K8" s="9"/>
      <c r="L8" s="9"/>
      <c r="M8" s="9"/>
      <c r="N8" s="10"/>
      <c r="O8" s="2"/>
      <c r="P8" s="2"/>
      <c r="Q8" s="2"/>
      <c r="R8" s="2"/>
      <c r="S8" s="9"/>
      <c r="T8" s="9"/>
      <c r="U8" s="9"/>
      <c r="V8" s="9"/>
      <c r="W8" s="9"/>
      <c r="X8" s="9"/>
      <c r="Y8" s="9"/>
      <c r="Z8" s="9"/>
      <c r="AA8" s="9"/>
      <c r="AB8" s="9"/>
    </row>
    <row r="9" spans="1:28">
      <c r="A9" s="8" t="s">
        <v>391</v>
      </c>
      <c r="B9" s="8" t="s">
        <v>315</v>
      </c>
      <c r="C9" s="8" t="s">
        <v>5</v>
      </c>
      <c r="D9" s="8" t="s">
        <v>499</v>
      </c>
      <c r="E9" s="8" t="s">
        <v>476</v>
      </c>
      <c r="F9" s="8">
        <v>33</v>
      </c>
      <c r="G9" s="8" t="s">
        <v>102</v>
      </c>
      <c r="H9" s="8" t="s">
        <v>493</v>
      </c>
      <c r="J9" s="9"/>
      <c r="K9" s="9"/>
      <c r="L9" s="9"/>
      <c r="M9" s="9"/>
      <c r="N9" s="10"/>
      <c r="O9" s="2"/>
      <c r="P9" s="2"/>
      <c r="Q9" s="2"/>
      <c r="R9" s="2"/>
      <c r="S9" s="9"/>
      <c r="T9" s="9"/>
      <c r="U9" s="9"/>
      <c r="V9" s="9"/>
      <c r="W9" s="9"/>
      <c r="X9" s="9"/>
      <c r="Y9" s="9"/>
      <c r="Z9" s="9"/>
      <c r="AA9" s="9"/>
      <c r="AB9" s="9"/>
    </row>
    <row r="10" spans="1:28">
      <c r="A10" s="8" t="s">
        <v>7</v>
      </c>
      <c r="B10" s="8" t="s">
        <v>8</v>
      </c>
      <c r="C10" s="29" t="s">
        <v>490</v>
      </c>
      <c r="D10" s="8" t="s">
        <v>448</v>
      </c>
      <c r="E10" s="8">
        <v>67</v>
      </c>
      <c r="F10" s="8">
        <v>70</v>
      </c>
      <c r="G10" s="8" t="s">
        <v>102</v>
      </c>
      <c r="H10" s="8" t="s">
        <v>497</v>
      </c>
      <c r="J10" s="9"/>
      <c r="K10" s="9"/>
      <c r="L10" s="9"/>
      <c r="M10" s="9"/>
      <c r="N10" s="10"/>
      <c r="O10" s="2"/>
      <c r="P10" s="2"/>
      <c r="Q10" s="2"/>
      <c r="R10" s="2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1:28">
      <c r="A11" s="8" t="s">
        <v>7</v>
      </c>
      <c r="B11" s="8" t="s">
        <v>8</v>
      </c>
      <c r="C11" s="8" t="s">
        <v>9</v>
      </c>
      <c r="D11" s="8" t="s">
        <v>474</v>
      </c>
      <c r="E11" s="8">
        <v>59</v>
      </c>
      <c r="F11" s="8">
        <v>53</v>
      </c>
      <c r="G11" s="8" t="s">
        <v>202</v>
      </c>
      <c r="H11" s="8" t="s">
        <v>32</v>
      </c>
      <c r="J11" s="9"/>
      <c r="K11" s="9"/>
      <c r="L11" s="9"/>
      <c r="M11" s="9"/>
      <c r="N11" s="10"/>
      <c r="O11" s="2"/>
      <c r="P11" s="2"/>
      <c r="Q11" s="2"/>
      <c r="R11" s="2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spans="1:28">
      <c r="A12" s="8" t="s">
        <v>391</v>
      </c>
      <c r="B12" s="8" t="s">
        <v>315</v>
      </c>
      <c r="C12" s="8" t="s">
        <v>10</v>
      </c>
      <c r="D12" s="8" t="s">
        <v>478</v>
      </c>
      <c r="E12" s="8">
        <v>94</v>
      </c>
      <c r="F12" s="8">
        <v>68</v>
      </c>
      <c r="G12" s="8" t="s">
        <v>137</v>
      </c>
      <c r="H12" s="8" t="s">
        <v>32</v>
      </c>
      <c r="J12" s="9"/>
      <c r="K12" s="9"/>
      <c r="L12" s="9"/>
      <c r="M12" s="9"/>
      <c r="N12" s="10"/>
      <c r="O12" s="2"/>
      <c r="P12" s="2"/>
      <c r="Q12" s="2"/>
      <c r="R12" s="2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1:28">
      <c r="A13" s="8" t="s">
        <v>391</v>
      </c>
      <c r="B13" s="8" t="s">
        <v>315</v>
      </c>
      <c r="C13" s="8" t="s">
        <v>10</v>
      </c>
      <c r="D13" s="8" t="s">
        <v>479</v>
      </c>
      <c r="E13" s="8">
        <v>87</v>
      </c>
      <c r="F13" s="8">
        <v>87</v>
      </c>
      <c r="G13" s="8" t="s">
        <v>137</v>
      </c>
      <c r="H13" s="8" t="s">
        <v>32</v>
      </c>
      <c r="J13" s="9"/>
      <c r="K13" s="9"/>
      <c r="L13" s="9"/>
      <c r="M13" s="9"/>
      <c r="N13" s="10"/>
      <c r="O13" s="2"/>
      <c r="P13" s="2"/>
      <c r="Q13" s="2"/>
      <c r="R13" s="2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1:28">
      <c r="A14" s="8" t="s">
        <v>391</v>
      </c>
      <c r="B14" s="8" t="s">
        <v>315</v>
      </c>
      <c r="C14" s="8" t="s">
        <v>10</v>
      </c>
      <c r="D14" s="8" t="s">
        <v>388</v>
      </c>
      <c r="E14" s="8">
        <v>73</v>
      </c>
      <c r="F14" s="8">
        <v>77</v>
      </c>
      <c r="G14" s="8" t="s">
        <v>137</v>
      </c>
      <c r="H14" s="8" t="s">
        <v>32</v>
      </c>
      <c r="J14" s="9"/>
      <c r="K14" s="9"/>
      <c r="L14" s="9"/>
      <c r="M14" s="9"/>
      <c r="N14" s="9"/>
      <c r="O14" s="2"/>
      <c r="P14" s="2"/>
      <c r="Q14" s="2"/>
      <c r="R14" s="2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28">
      <c r="A15" s="8" t="s">
        <v>391</v>
      </c>
      <c r="B15" s="8" t="s">
        <v>315</v>
      </c>
      <c r="C15" s="8" t="s">
        <v>10</v>
      </c>
      <c r="D15" s="8" t="s">
        <v>389</v>
      </c>
      <c r="E15" s="8">
        <v>70.7</v>
      </c>
      <c r="F15" s="8">
        <v>81.7</v>
      </c>
      <c r="G15" s="8" t="s">
        <v>137</v>
      </c>
      <c r="H15" s="8" t="s">
        <v>32</v>
      </c>
      <c r="J15" s="9"/>
      <c r="K15" s="9"/>
      <c r="L15" s="9"/>
      <c r="M15" s="9"/>
      <c r="N15" s="9"/>
      <c r="O15" s="2"/>
      <c r="P15" s="2"/>
      <c r="Q15" s="2"/>
      <c r="R15" s="2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28">
      <c r="A16" s="8" t="s">
        <v>391</v>
      </c>
      <c r="B16" s="8" t="s">
        <v>315</v>
      </c>
      <c r="C16" s="8" t="s">
        <v>10</v>
      </c>
      <c r="D16" s="8" t="s">
        <v>390</v>
      </c>
      <c r="E16" s="8">
        <v>80</v>
      </c>
      <c r="F16" s="8">
        <v>87</v>
      </c>
      <c r="G16" s="8" t="s">
        <v>138</v>
      </c>
      <c r="H16" s="8" t="s">
        <v>32</v>
      </c>
      <c r="J16" s="9"/>
      <c r="K16" s="9"/>
      <c r="L16" s="9"/>
      <c r="M16" s="9"/>
      <c r="N16" s="9"/>
      <c r="O16" s="2"/>
      <c r="P16" s="2"/>
      <c r="Q16" s="2"/>
      <c r="R16" s="2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1:28">
      <c r="A17" s="8" t="s">
        <v>391</v>
      </c>
      <c r="B17" s="8" t="s">
        <v>315</v>
      </c>
      <c r="C17" s="8" t="s">
        <v>10</v>
      </c>
      <c r="D17" s="8" t="s">
        <v>448</v>
      </c>
      <c r="E17" s="8">
        <v>71</v>
      </c>
      <c r="F17" s="8" t="s">
        <v>476</v>
      </c>
      <c r="G17" s="8" t="s">
        <v>129</v>
      </c>
      <c r="H17" s="8" t="s">
        <v>32</v>
      </c>
      <c r="J17" s="9"/>
      <c r="K17" s="9"/>
      <c r="L17" s="9"/>
      <c r="M17" s="9"/>
      <c r="N17" s="9"/>
      <c r="O17" s="26"/>
      <c r="P17" s="26"/>
      <c r="Q17" s="26"/>
      <c r="R17" s="26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spans="1:28">
      <c r="A18" s="8" t="s">
        <v>7</v>
      </c>
      <c r="B18" s="8" t="s">
        <v>8</v>
      </c>
      <c r="C18" s="8" t="s">
        <v>124</v>
      </c>
      <c r="D18" s="8">
        <v>1</v>
      </c>
      <c r="E18" s="8">
        <v>80</v>
      </c>
      <c r="F18" s="8">
        <v>75</v>
      </c>
      <c r="G18" s="8" t="s">
        <v>70</v>
      </c>
      <c r="H18" s="8" t="s">
        <v>513</v>
      </c>
      <c r="J18" s="9"/>
      <c r="K18" s="9"/>
      <c r="L18" s="9"/>
      <c r="M18" s="9"/>
      <c r="N18" s="9"/>
      <c r="O18" s="26"/>
      <c r="P18" s="26"/>
      <c r="Q18" s="26"/>
      <c r="R18" s="26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spans="1:28">
      <c r="A19" s="8" t="s">
        <v>7</v>
      </c>
      <c r="B19" s="8" t="s">
        <v>8</v>
      </c>
      <c r="C19" s="8" t="s">
        <v>124</v>
      </c>
      <c r="D19" s="8">
        <v>2</v>
      </c>
      <c r="E19" s="8">
        <v>75</v>
      </c>
      <c r="F19" s="8">
        <v>85</v>
      </c>
      <c r="G19" s="8" t="s">
        <v>70</v>
      </c>
      <c r="H19" s="8" t="s">
        <v>513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spans="1:28">
      <c r="A20" s="8" t="s">
        <v>7</v>
      </c>
      <c r="B20" s="8" t="s">
        <v>8</v>
      </c>
      <c r="C20" s="8" t="s">
        <v>124</v>
      </c>
      <c r="D20" s="8">
        <v>3</v>
      </c>
      <c r="E20" s="8">
        <v>100</v>
      </c>
      <c r="F20" s="8">
        <v>75</v>
      </c>
      <c r="G20" s="8" t="s">
        <v>70</v>
      </c>
      <c r="H20" s="8" t="s">
        <v>513</v>
      </c>
      <c r="J20" s="9"/>
      <c r="K20" s="9"/>
      <c r="L20" s="9"/>
      <c r="M20" s="9"/>
      <c r="N20" s="9"/>
      <c r="O20" s="9"/>
      <c r="P20" s="9"/>
      <c r="Q20" s="9"/>
      <c r="R20" s="24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spans="1:28">
      <c r="A21" s="8" t="s">
        <v>7</v>
      </c>
      <c r="B21" s="8" t="s">
        <v>8</v>
      </c>
      <c r="C21" s="8" t="s">
        <v>124</v>
      </c>
      <c r="D21" s="8">
        <v>4</v>
      </c>
      <c r="E21" s="8">
        <v>75</v>
      </c>
      <c r="F21" s="8">
        <v>85</v>
      </c>
      <c r="G21" s="8" t="s">
        <v>70</v>
      </c>
      <c r="H21" s="8" t="s">
        <v>513</v>
      </c>
      <c r="J21" s="9"/>
      <c r="K21" s="9"/>
      <c r="L21" s="9"/>
      <c r="M21" s="9"/>
      <c r="N21" s="10"/>
      <c r="O21" s="27"/>
      <c r="P21" s="27"/>
      <c r="Q21" s="27"/>
      <c r="R21" s="27"/>
      <c r="S21" s="27"/>
      <c r="T21" s="9"/>
      <c r="U21" s="9"/>
      <c r="V21" s="9"/>
      <c r="W21" s="9"/>
      <c r="X21" s="9"/>
      <c r="Y21" s="9"/>
      <c r="Z21" s="9"/>
      <c r="AA21" s="9"/>
      <c r="AB21" s="9"/>
    </row>
    <row r="22" spans="1:28">
      <c r="A22" s="8" t="s">
        <v>7</v>
      </c>
      <c r="B22" s="8" t="s">
        <v>8</v>
      </c>
      <c r="C22" s="8" t="s">
        <v>124</v>
      </c>
      <c r="D22" s="8">
        <v>5</v>
      </c>
      <c r="E22" s="8">
        <v>82.5</v>
      </c>
      <c r="F22" s="8">
        <v>77.5</v>
      </c>
      <c r="G22" s="8" t="s">
        <v>70</v>
      </c>
      <c r="H22" s="8" t="s">
        <v>513</v>
      </c>
      <c r="J22" s="9"/>
      <c r="K22" s="9"/>
      <c r="L22" s="9"/>
      <c r="M22" s="9"/>
      <c r="N22" s="10"/>
      <c r="O22" s="27"/>
      <c r="P22" s="27"/>
      <c r="Q22" s="27"/>
      <c r="R22" s="27"/>
      <c r="S22" s="27"/>
      <c r="T22" s="9"/>
      <c r="U22" s="9"/>
      <c r="V22" s="9"/>
      <c r="W22" s="9"/>
      <c r="X22" s="9"/>
      <c r="Y22" s="9"/>
      <c r="Z22" s="9"/>
      <c r="AA22" s="9"/>
      <c r="AB22" s="9"/>
    </row>
    <row r="23" spans="1:28">
      <c r="A23" s="8" t="s">
        <v>7</v>
      </c>
      <c r="B23" s="8" t="s">
        <v>8</v>
      </c>
      <c r="C23" s="8" t="s">
        <v>124</v>
      </c>
      <c r="D23" s="8">
        <v>6</v>
      </c>
      <c r="E23" s="8">
        <v>85</v>
      </c>
      <c r="F23" s="8">
        <v>80</v>
      </c>
      <c r="G23" s="8" t="s">
        <v>70</v>
      </c>
      <c r="H23" s="8" t="s">
        <v>513</v>
      </c>
      <c r="J23" s="9"/>
      <c r="K23" s="9"/>
      <c r="L23" s="9"/>
      <c r="M23" s="9"/>
      <c r="N23" s="10"/>
      <c r="O23" s="27"/>
      <c r="P23" s="27"/>
      <c r="Q23" s="27"/>
      <c r="R23" s="27"/>
      <c r="S23" s="27"/>
      <c r="T23" s="9"/>
      <c r="U23" s="9"/>
      <c r="V23" s="9"/>
      <c r="W23" s="9"/>
      <c r="X23" s="9"/>
      <c r="Y23" s="9"/>
      <c r="Z23" s="9"/>
      <c r="AA23" s="9"/>
      <c r="AB23" s="9"/>
    </row>
    <row r="24" spans="1:28">
      <c r="A24" s="8" t="s">
        <v>7</v>
      </c>
      <c r="B24" s="8" t="s">
        <v>8</v>
      </c>
      <c r="C24" s="8" t="s">
        <v>124</v>
      </c>
      <c r="D24" s="8">
        <v>7</v>
      </c>
      <c r="E24" s="8">
        <v>70</v>
      </c>
      <c r="F24" s="8">
        <v>80</v>
      </c>
      <c r="G24" s="8" t="s">
        <v>70</v>
      </c>
      <c r="H24" s="8" t="s">
        <v>513</v>
      </c>
      <c r="J24" s="9"/>
      <c r="K24" s="9"/>
      <c r="L24" s="9"/>
      <c r="M24" s="9"/>
      <c r="N24" s="10"/>
      <c r="O24" s="27"/>
      <c r="P24" s="27"/>
      <c r="Q24" s="27"/>
      <c r="R24" s="27"/>
      <c r="S24" s="27"/>
      <c r="T24" s="9"/>
      <c r="U24" s="9"/>
      <c r="V24" s="9"/>
      <c r="W24" s="9"/>
      <c r="X24" s="9"/>
      <c r="Y24" s="9"/>
      <c r="Z24" s="9"/>
      <c r="AA24" s="9"/>
      <c r="AB24" s="9"/>
    </row>
    <row r="25" spans="1:28">
      <c r="A25" s="8" t="s">
        <v>7</v>
      </c>
      <c r="B25" s="8" t="s">
        <v>8</v>
      </c>
      <c r="C25" s="8" t="s">
        <v>124</v>
      </c>
      <c r="D25" s="8" t="s">
        <v>153</v>
      </c>
      <c r="E25" s="8">
        <v>80</v>
      </c>
      <c r="F25" s="8">
        <v>85</v>
      </c>
      <c r="G25" s="8" t="s">
        <v>70</v>
      </c>
      <c r="H25" s="8" t="s">
        <v>513</v>
      </c>
      <c r="J25" s="9"/>
      <c r="K25" s="9"/>
      <c r="L25" s="9"/>
      <c r="M25" s="9"/>
      <c r="N25" s="10"/>
      <c r="O25" s="27"/>
      <c r="P25" s="27"/>
      <c r="Q25" s="27"/>
      <c r="R25" s="27"/>
      <c r="S25" s="27"/>
      <c r="T25" s="9"/>
      <c r="U25" s="9"/>
      <c r="V25" s="9"/>
      <c r="W25" s="9"/>
      <c r="X25" s="9"/>
      <c r="Y25" s="9"/>
      <c r="Z25" s="9"/>
      <c r="AA25" s="9"/>
      <c r="AB25" s="9"/>
    </row>
    <row r="26" spans="1:28">
      <c r="A26" s="8" t="s">
        <v>7</v>
      </c>
      <c r="B26" s="8" t="s">
        <v>8</v>
      </c>
      <c r="C26" s="8" t="s">
        <v>124</v>
      </c>
      <c r="D26" s="8">
        <v>8</v>
      </c>
      <c r="E26" s="8">
        <v>75</v>
      </c>
      <c r="F26" s="8">
        <v>80</v>
      </c>
      <c r="G26" s="8" t="s">
        <v>70</v>
      </c>
      <c r="H26" s="8" t="s">
        <v>513</v>
      </c>
      <c r="J26" s="9"/>
      <c r="K26" s="9"/>
      <c r="L26" s="9"/>
      <c r="M26" s="9"/>
      <c r="N26" s="10"/>
      <c r="O26" s="27"/>
      <c r="P26" s="27"/>
      <c r="Q26" s="27"/>
      <c r="R26" s="27"/>
      <c r="S26" s="27"/>
      <c r="T26" s="9"/>
      <c r="U26" s="9"/>
      <c r="V26" s="9"/>
      <c r="W26" s="9"/>
      <c r="X26" s="9"/>
      <c r="Y26" s="9"/>
      <c r="Z26" s="9"/>
      <c r="AA26" s="9"/>
      <c r="AB26" s="9"/>
    </row>
    <row r="27" spans="1:28">
      <c r="A27" s="8" t="s">
        <v>7</v>
      </c>
      <c r="B27" s="8" t="s">
        <v>8</v>
      </c>
      <c r="C27" s="8" t="s">
        <v>124</v>
      </c>
      <c r="D27" s="8" t="s">
        <v>130</v>
      </c>
      <c r="E27" s="8">
        <v>70</v>
      </c>
      <c r="F27" s="8">
        <v>62.5</v>
      </c>
      <c r="G27" s="8" t="s">
        <v>70</v>
      </c>
      <c r="H27" s="8" t="s">
        <v>513</v>
      </c>
      <c r="J27" s="9"/>
      <c r="K27" s="9"/>
      <c r="L27" s="9"/>
      <c r="M27" s="9"/>
      <c r="N27" s="10"/>
      <c r="O27" s="27"/>
      <c r="P27" s="27"/>
      <c r="Q27" s="27"/>
      <c r="R27" s="27"/>
      <c r="S27" s="27"/>
      <c r="T27" s="9"/>
      <c r="U27" s="9"/>
      <c r="V27" s="9"/>
      <c r="W27" s="9"/>
      <c r="X27" s="9"/>
      <c r="Y27" s="9"/>
      <c r="Z27" s="9"/>
      <c r="AA27" s="9"/>
      <c r="AB27" s="9"/>
    </row>
    <row r="28" spans="1:28">
      <c r="A28" s="8" t="s">
        <v>7</v>
      </c>
      <c r="B28" s="8" t="s">
        <v>8</v>
      </c>
      <c r="C28" s="8" t="s">
        <v>124</v>
      </c>
      <c r="D28" s="8">
        <v>9</v>
      </c>
      <c r="E28" s="8">
        <v>80</v>
      </c>
      <c r="F28" s="8">
        <v>77.5</v>
      </c>
      <c r="G28" s="8" t="s">
        <v>70</v>
      </c>
      <c r="H28" s="8" t="s">
        <v>513</v>
      </c>
      <c r="J28" s="9"/>
      <c r="K28" s="9"/>
      <c r="L28" s="9"/>
      <c r="M28" s="9"/>
      <c r="N28" s="10"/>
      <c r="O28" s="27"/>
      <c r="P28" s="27"/>
      <c r="Q28" s="27"/>
      <c r="R28" s="27"/>
      <c r="S28" s="27"/>
      <c r="T28" s="9"/>
      <c r="U28" s="9"/>
      <c r="V28" s="9"/>
      <c r="W28" s="9"/>
      <c r="X28" s="9"/>
      <c r="Y28" s="9"/>
      <c r="Z28" s="9"/>
      <c r="AA28" s="9"/>
      <c r="AB28" s="9"/>
    </row>
    <row r="29" spans="1:28">
      <c r="A29" s="8" t="s">
        <v>7</v>
      </c>
      <c r="B29" s="8" t="s">
        <v>8</v>
      </c>
      <c r="C29" s="8" t="s">
        <v>124</v>
      </c>
      <c r="D29" s="8" t="s">
        <v>131</v>
      </c>
      <c r="E29" s="8">
        <v>62.5</v>
      </c>
      <c r="F29" s="8">
        <v>52.5</v>
      </c>
      <c r="G29" s="8" t="s">
        <v>70</v>
      </c>
      <c r="H29" s="8" t="s">
        <v>513</v>
      </c>
      <c r="J29" s="9"/>
      <c r="K29" s="9"/>
      <c r="L29" s="9"/>
      <c r="M29" s="9"/>
      <c r="N29" s="10"/>
      <c r="O29" s="27"/>
      <c r="P29" s="27"/>
      <c r="Q29" s="27"/>
      <c r="R29" s="27"/>
      <c r="S29" s="27"/>
      <c r="T29" s="9"/>
      <c r="U29" s="9"/>
      <c r="V29" s="9"/>
      <c r="W29" s="9"/>
      <c r="X29" s="9"/>
      <c r="Y29" s="9"/>
      <c r="Z29" s="9"/>
      <c r="AA29" s="9"/>
      <c r="AB29" s="9"/>
    </row>
    <row r="30" spans="1:28">
      <c r="A30" s="8" t="s">
        <v>7</v>
      </c>
      <c r="B30" s="8" t="s">
        <v>8</v>
      </c>
      <c r="C30" s="8" t="s">
        <v>124</v>
      </c>
      <c r="D30" s="8">
        <v>10</v>
      </c>
      <c r="E30" s="8">
        <v>70</v>
      </c>
      <c r="F30" s="8">
        <v>72.5</v>
      </c>
      <c r="G30" s="8" t="s">
        <v>70</v>
      </c>
      <c r="H30" s="8" t="s">
        <v>513</v>
      </c>
      <c r="J30" s="9"/>
      <c r="K30" s="9"/>
      <c r="L30" s="9"/>
      <c r="M30" s="9"/>
      <c r="N30" s="10"/>
      <c r="O30" s="27"/>
      <c r="P30" s="27"/>
      <c r="Q30" s="27"/>
      <c r="R30" s="27"/>
      <c r="S30" s="27"/>
      <c r="T30" s="9"/>
      <c r="U30" s="9"/>
      <c r="V30" s="9"/>
      <c r="W30" s="9"/>
      <c r="X30" s="9"/>
      <c r="Y30" s="9"/>
      <c r="Z30" s="9"/>
      <c r="AA30" s="9"/>
      <c r="AB30" s="9"/>
    </row>
    <row r="31" spans="1:28">
      <c r="A31" s="8" t="s">
        <v>7</v>
      </c>
      <c r="B31" s="8" t="s">
        <v>8</v>
      </c>
      <c r="C31" s="8" t="s">
        <v>124</v>
      </c>
      <c r="D31" s="8" t="s">
        <v>61</v>
      </c>
      <c r="E31" s="8">
        <v>47.5</v>
      </c>
      <c r="F31" s="8">
        <v>65</v>
      </c>
      <c r="G31" s="8" t="s">
        <v>70</v>
      </c>
      <c r="H31" s="8" t="s">
        <v>513</v>
      </c>
      <c r="J31" s="9"/>
      <c r="K31" s="9"/>
      <c r="L31" s="9"/>
      <c r="M31" s="9"/>
      <c r="N31" s="9"/>
      <c r="O31" s="27"/>
      <c r="P31" s="27"/>
      <c r="Q31" s="27"/>
      <c r="R31" s="27"/>
      <c r="S31" s="27"/>
      <c r="T31" s="9"/>
      <c r="U31" s="9"/>
      <c r="V31" s="9"/>
      <c r="W31" s="9"/>
      <c r="X31" s="9"/>
      <c r="Y31" s="9"/>
      <c r="Z31" s="9"/>
      <c r="AA31" s="9"/>
      <c r="AB31" s="9"/>
    </row>
    <row r="32" spans="1:28">
      <c r="A32" s="8" t="s">
        <v>7</v>
      </c>
      <c r="B32" s="8" t="s">
        <v>8</v>
      </c>
      <c r="C32" s="8" t="s">
        <v>124</v>
      </c>
      <c r="D32" s="8">
        <v>11</v>
      </c>
      <c r="E32" s="8">
        <v>67.5</v>
      </c>
      <c r="F32" s="8">
        <v>75</v>
      </c>
      <c r="G32" s="8" t="s">
        <v>70</v>
      </c>
      <c r="H32" s="8" t="s">
        <v>513</v>
      </c>
      <c r="J32" s="9"/>
      <c r="K32" s="9"/>
      <c r="L32" s="9"/>
      <c r="M32" s="9"/>
      <c r="N32" s="9"/>
      <c r="O32" s="27"/>
      <c r="P32" s="27"/>
      <c r="Q32" s="27"/>
      <c r="R32" s="27"/>
      <c r="S32" s="27"/>
      <c r="T32" s="9"/>
      <c r="U32" s="9"/>
      <c r="V32" s="9"/>
      <c r="W32" s="9"/>
      <c r="X32" s="9"/>
      <c r="Y32" s="9"/>
      <c r="Z32" s="9"/>
      <c r="AA32" s="9"/>
      <c r="AB32" s="9"/>
    </row>
    <row r="33" spans="1:28">
      <c r="A33" s="8" t="s">
        <v>7</v>
      </c>
      <c r="B33" s="8" t="s">
        <v>8</v>
      </c>
      <c r="C33" s="8" t="s">
        <v>124</v>
      </c>
      <c r="D33" s="8" t="s">
        <v>62</v>
      </c>
      <c r="E33" s="8">
        <v>62.5</v>
      </c>
      <c r="F33" s="8">
        <v>70</v>
      </c>
      <c r="G33" s="8" t="s">
        <v>70</v>
      </c>
      <c r="H33" s="8" t="s">
        <v>513</v>
      </c>
      <c r="J33" s="9"/>
      <c r="K33" s="9"/>
      <c r="L33" s="9"/>
      <c r="M33" s="9"/>
      <c r="N33" s="9"/>
      <c r="O33" s="27"/>
      <c r="P33" s="27"/>
      <c r="Q33" s="27"/>
      <c r="R33" s="27"/>
      <c r="S33" s="27"/>
      <c r="T33" s="9"/>
      <c r="U33" s="9"/>
      <c r="V33" s="9"/>
      <c r="W33" s="9"/>
      <c r="X33" s="9"/>
      <c r="Y33" s="9"/>
      <c r="Z33" s="9"/>
      <c r="AA33" s="9"/>
      <c r="AB33" s="9"/>
    </row>
    <row r="34" spans="1:28">
      <c r="A34" s="8" t="s">
        <v>7</v>
      </c>
      <c r="B34" s="8" t="s">
        <v>8</v>
      </c>
      <c r="C34" s="8" t="s">
        <v>124</v>
      </c>
      <c r="D34" s="8" t="s">
        <v>18</v>
      </c>
      <c r="E34" s="8">
        <v>50</v>
      </c>
      <c r="F34" s="8">
        <v>52.5</v>
      </c>
      <c r="G34" s="8" t="s">
        <v>70</v>
      </c>
      <c r="H34" s="8" t="s">
        <v>513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 spans="1:28">
      <c r="A35" s="8" t="s">
        <v>7</v>
      </c>
      <c r="B35" s="8" t="s">
        <v>8</v>
      </c>
      <c r="C35" s="8" t="s">
        <v>124</v>
      </c>
      <c r="D35" s="8">
        <v>12</v>
      </c>
      <c r="E35" s="8">
        <v>67.5</v>
      </c>
      <c r="F35" s="8">
        <v>75</v>
      </c>
      <c r="G35" s="8" t="s">
        <v>70</v>
      </c>
      <c r="H35" s="8" t="s">
        <v>513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 spans="1:28">
      <c r="A36" s="8" t="s">
        <v>7</v>
      </c>
      <c r="B36" s="8" t="s">
        <v>8</v>
      </c>
      <c r="C36" s="8" t="s">
        <v>124</v>
      </c>
      <c r="D36" s="8" t="s">
        <v>360</v>
      </c>
      <c r="E36" s="8">
        <v>70</v>
      </c>
      <c r="F36" s="8">
        <v>70</v>
      </c>
      <c r="G36" s="8" t="s">
        <v>70</v>
      </c>
      <c r="H36" s="8" t="s">
        <v>513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 spans="1:28">
      <c r="A37" s="8" t="s">
        <v>7</v>
      </c>
      <c r="B37" s="8" t="s">
        <v>8</v>
      </c>
      <c r="C37" s="8" t="s">
        <v>124</v>
      </c>
      <c r="D37" s="8" t="s">
        <v>74</v>
      </c>
      <c r="E37" s="8">
        <v>55</v>
      </c>
      <c r="F37" s="8">
        <v>55</v>
      </c>
      <c r="G37" s="8" t="s">
        <v>70</v>
      </c>
      <c r="H37" s="8" t="s">
        <v>513</v>
      </c>
      <c r="J37" s="9"/>
      <c r="K37" s="9"/>
      <c r="L37" s="9"/>
      <c r="M37" s="9"/>
      <c r="N37" s="10"/>
      <c r="O37" s="2"/>
      <c r="P37" s="2"/>
      <c r="Q37" s="2"/>
      <c r="R37" s="9"/>
      <c r="S37" s="9"/>
      <c r="T37" s="2"/>
      <c r="U37" s="9"/>
      <c r="V37" s="9"/>
      <c r="W37" s="9"/>
      <c r="X37" s="9"/>
      <c r="Y37" s="9"/>
      <c r="Z37" s="9"/>
      <c r="AA37" s="9"/>
      <c r="AB37" s="9"/>
    </row>
    <row r="38" spans="1:28">
      <c r="A38" s="8" t="s">
        <v>63</v>
      </c>
      <c r="B38" s="8" t="s">
        <v>64</v>
      </c>
      <c r="C38" s="8" t="s">
        <v>316</v>
      </c>
      <c r="D38" s="8" t="s">
        <v>317</v>
      </c>
      <c r="E38" s="8">
        <v>65</v>
      </c>
      <c r="F38" s="8">
        <v>65</v>
      </c>
      <c r="G38" s="8" t="s">
        <v>318</v>
      </c>
      <c r="H38" s="8" t="s">
        <v>513</v>
      </c>
      <c r="J38" s="9"/>
      <c r="K38" s="9"/>
      <c r="L38" s="9"/>
      <c r="M38" s="9"/>
      <c r="N38" s="10"/>
      <c r="O38" s="2"/>
      <c r="P38" s="2"/>
      <c r="Q38" s="2"/>
      <c r="R38" s="9"/>
      <c r="S38" s="9"/>
      <c r="T38" s="2"/>
      <c r="U38" s="9"/>
      <c r="V38" s="9"/>
      <c r="W38" s="9"/>
      <c r="X38" s="9"/>
      <c r="Y38" s="9"/>
      <c r="Z38" s="9"/>
      <c r="AA38" s="9"/>
      <c r="AB38" s="9"/>
    </row>
    <row r="39" spans="1:28">
      <c r="A39" s="8" t="s">
        <v>319</v>
      </c>
      <c r="B39" s="8" t="s">
        <v>320</v>
      </c>
      <c r="C39" s="8" t="s">
        <v>321</v>
      </c>
      <c r="D39" s="8" t="s">
        <v>322</v>
      </c>
      <c r="E39" s="8" t="s">
        <v>475</v>
      </c>
      <c r="F39" s="8">
        <v>75</v>
      </c>
      <c r="G39" s="8" t="s">
        <v>327</v>
      </c>
      <c r="H39" s="8" t="s">
        <v>513</v>
      </c>
      <c r="J39" s="9"/>
      <c r="K39" s="9"/>
      <c r="L39" s="9"/>
      <c r="M39" s="9"/>
      <c r="N39" s="10"/>
      <c r="O39" s="2"/>
      <c r="P39" s="2"/>
      <c r="Q39" s="2"/>
      <c r="R39" s="9"/>
      <c r="S39" s="9"/>
      <c r="T39" s="2"/>
      <c r="U39" s="9"/>
      <c r="V39" s="9"/>
      <c r="W39" s="9"/>
      <c r="X39" s="9"/>
      <c r="Y39" s="9"/>
      <c r="Z39" s="9"/>
      <c r="AA39" s="9"/>
      <c r="AB39" s="9"/>
    </row>
    <row r="40" spans="1:28">
      <c r="A40" s="8" t="s">
        <v>319</v>
      </c>
      <c r="B40" s="8" t="s">
        <v>320</v>
      </c>
      <c r="C40" s="8" t="s">
        <v>321</v>
      </c>
      <c r="D40" s="8" t="s">
        <v>328</v>
      </c>
      <c r="E40" s="8" t="s">
        <v>475</v>
      </c>
      <c r="F40" s="8">
        <v>75</v>
      </c>
      <c r="G40" s="8" t="s">
        <v>327</v>
      </c>
      <c r="H40" s="8" t="s">
        <v>513</v>
      </c>
      <c r="J40" s="9"/>
      <c r="K40" s="9"/>
      <c r="L40" s="9"/>
      <c r="M40" s="9"/>
      <c r="N40" s="10"/>
      <c r="O40" s="2"/>
      <c r="P40" s="2"/>
      <c r="Q40" s="2"/>
      <c r="R40" s="9"/>
      <c r="S40" s="9"/>
      <c r="T40" s="2"/>
      <c r="U40" s="9"/>
      <c r="V40" s="9"/>
      <c r="W40" s="9"/>
      <c r="X40" s="9"/>
      <c r="Y40" s="9"/>
      <c r="Z40" s="9"/>
      <c r="AA40" s="9"/>
      <c r="AB40" s="9"/>
    </row>
    <row r="41" spans="1:28">
      <c r="A41" s="8" t="s">
        <v>319</v>
      </c>
      <c r="B41" s="8" t="s">
        <v>320</v>
      </c>
      <c r="C41" s="8" t="s">
        <v>321</v>
      </c>
      <c r="D41" s="8">
        <v>16</v>
      </c>
      <c r="E41" s="8">
        <v>85</v>
      </c>
      <c r="F41" s="8">
        <v>72.5</v>
      </c>
      <c r="G41" s="8" t="s">
        <v>327</v>
      </c>
      <c r="H41" s="8" t="s">
        <v>513</v>
      </c>
      <c r="J41" s="9"/>
      <c r="K41" s="9"/>
      <c r="L41" s="9"/>
      <c r="M41" s="9"/>
      <c r="N41" s="10"/>
      <c r="O41" s="2"/>
      <c r="P41" s="2"/>
      <c r="Q41" s="2"/>
      <c r="R41" s="9"/>
      <c r="S41" s="9"/>
      <c r="T41" s="2"/>
      <c r="U41" s="9"/>
      <c r="V41" s="9"/>
      <c r="W41" s="9"/>
      <c r="X41" s="9"/>
      <c r="Y41" s="9"/>
      <c r="Z41" s="9"/>
      <c r="AA41" s="9"/>
      <c r="AB41" s="9"/>
    </row>
    <row r="42" spans="1:28">
      <c r="A42" s="8" t="s">
        <v>319</v>
      </c>
      <c r="B42" s="8" t="s">
        <v>320</v>
      </c>
      <c r="C42" s="8" t="s">
        <v>321</v>
      </c>
      <c r="D42" s="8">
        <v>17</v>
      </c>
      <c r="E42" s="8">
        <v>75</v>
      </c>
      <c r="F42" s="8">
        <v>72.5</v>
      </c>
      <c r="G42" s="8" t="s">
        <v>327</v>
      </c>
      <c r="H42" s="8" t="s">
        <v>513</v>
      </c>
      <c r="J42" s="9"/>
      <c r="K42" s="9"/>
      <c r="L42" s="9"/>
      <c r="M42" s="9"/>
      <c r="N42" s="10"/>
      <c r="O42" s="2"/>
      <c r="P42" s="2"/>
      <c r="Q42" s="2"/>
      <c r="R42" s="9"/>
      <c r="S42" s="9"/>
      <c r="T42" s="2"/>
      <c r="U42" s="9"/>
      <c r="V42" s="9"/>
      <c r="W42" s="9"/>
      <c r="X42" s="9"/>
      <c r="Y42" s="9"/>
      <c r="Z42" s="9"/>
      <c r="AA42" s="9"/>
      <c r="AB42" s="9"/>
    </row>
    <row r="43" spans="1:28">
      <c r="A43" s="8" t="s">
        <v>319</v>
      </c>
      <c r="B43" s="8" t="s">
        <v>320</v>
      </c>
      <c r="C43" s="8" t="s">
        <v>321</v>
      </c>
      <c r="D43" s="8" t="s">
        <v>329</v>
      </c>
      <c r="E43" s="8">
        <v>72.5</v>
      </c>
      <c r="F43" s="8">
        <v>62.5</v>
      </c>
      <c r="G43" s="8" t="s">
        <v>327</v>
      </c>
      <c r="H43" s="8" t="s">
        <v>513</v>
      </c>
      <c r="J43" s="9"/>
      <c r="K43" s="9"/>
      <c r="L43" s="9"/>
      <c r="M43" s="9"/>
      <c r="N43" s="10"/>
      <c r="O43" s="2"/>
      <c r="P43" s="2"/>
      <c r="Q43" s="2"/>
      <c r="R43" s="9"/>
      <c r="S43" s="9"/>
      <c r="T43" s="2"/>
      <c r="U43" s="9"/>
      <c r="V43" s="9"/>
      <c r="W43" s="9"/>
      <c r="X43" s="9"/>
      <c r="Y43" s="9"/>
      <c r="Z43" s="9"/>
      <c r="AA43" s="9"/>
      <c r="AB43" s="9"/>
    </row>
    <row r="44" spans="1:28">
      <c r="A44" s="8" t="s">
        <v>319</v>
      </c>
      <c r="B44" s="8" t="s">
        <v>320</v>
      </c>
      <c r="C44" s="8" t="s">
        <v>321</v>
      </c>
      <c r="D44" s="8">
        <v>18</v>
      </c>
      <c r="E44" s="8">
        <v>67.5</v>
      </c>
      <c r="F44" s="8">
        <v>75</v>
      </c>
      <c r="G44" s="8" t="s">
        <v>327</v>
      </c>
      <c r="H44" s="8" t="s">
        <v>513</v>
      </c>
      <c r="J44" s="9"/>
      <c r="K44" s="9"/>
      <c r="L44" s="9"/>
      <c r="M44" s="9"/>
      <c r="N44" s="10"/>
      <c r="O44" s="2"/>
      <c r="P44" s="2"/>
      <c r="Q44" s="2"/>
      <c r="R44" s="9"/>
      <c r="S44" s="9"/>
      <c r="T44" s="2"/>
      <c r="U44" s="9"/>
      <c r="V44" s="9"/>
      <c r="W44" s="9"/>
      <c r="X44" s="9"/>
      <c r="Y44" s="9"/>
      <c r="Z44" s="9"/>
      <c r="AA44" s="9"/>
      <c r="AB44" s="9"/>
    </row>
    <row r="45" spans="1:28">
      <c r="A45" s="8" t="s">
        <v>319</v>
      </c>
      <c r="B45" s="8" t="s">
        <v>320</v>
      </c>
      <c r="C45" s="8" t="s">
        <v>321</v>
      </c>
      <c r="D45" s="8">
        <v>19</v>
      </c>
      <c r="E45" s="8">
        <v>70</v>
      </c>
      <c r="F45" s="8">
        <v>70</v>
      </c>
      <c r="G45" s="8" t="s">
        <v>327</v>
      </c>
      <c r="H45" s="8" t="s">
        <v>513</v>
      </c>
      <c r="J45" s="9"/>
      <c r="K45" s="9"/>
      <c r="L45" s="9"/>
      <c r="M45" s="9"/>
      <c r="N45" s="10"/>
      <c r="O45" s="2"/>
      <c r="P45" s="2"/>
      <c r="Q45" s="2"/>
      <c r="R45" s="9"/>
      <c r="S45" s="9"/>
      <c r="T45" s="2"/>
      <c r="U45" s="9"/>
      <c r="V45" s="9"/>
      <c r="W45" s="9"/>
      <c r="X45" s="9"/>
      <c r="Y45" s="9"/>
      <c r="Z45" s="9"/>
      <c r="AA45" s="9"/>
      <c r="AB45" s="9"/>
    </row>
    <row r="46" spans="1:28">
      <c r="A46" s="8" t="s">
        <v>319</v>
      </c>
      <c r="B46" s="8" t="s">
        <v>320</v>
      </c>
      <c r="C46" s="8" t="s">
        <v>321</v>
      </c>
      <c r="D46" s="8">
        <v>20</v>
      </c>
      <c r="E46" s="8">
        <v>82.5</v>
      </c>
      <c r="F46" s="8">
        <v>70</v>
      </c>
      <c r="G46" s="8" t="s">
        <v>327</v>
      </c>
      <c r="H46" s="8" t="s">
        <v>513</v>
      </c>
      <c r="J46" s="9"/>
      <c r="K46" s="9"/>
      <c r="L46" s="9"/>
      <c r="M46" s="9"/>
      <c r="N46" s="10"/>
      <c r="O46" s="2"/>
      <c r="P46" s="2"/>
      <c r="Q46" s="2"/>
      <c r="R46" s="9"/>
      <c r="S46" s="9"/>
      <c r="T46" s="2"/>
      <c r="U46" s="9"/>
      <c r="V46" s="9"/>
      <c r="W46" s="9"/>
      <c r="X46" s="9"/>
      <c r="Y46" s="9"/>
      <c r="Z46" s="9"/>
      <c r="AA46" s="9"/>
      <c r="AB46" s="9"/>
    </row>
    <row r="47" spans="1:28">
      <c r="A47" s="8" t="s">
        <v>319</v>
      </c>
      <c r="B47" s="8" t="s">
        <v>320</v>
      </c>
      <c r="C47" s="8" t="s">
        <v>321</v>
      </c>
      <c r="D47" s="8">
        <v>22</v>
      </c>
      <c r="E47" s="8">
        <v>72.5</v>
      </c>
      <c r="F47" s="8">
        <v>77.5</v>
      </c>
      <c r="G47" s="8" t="s">
        <v>327</v>
      </c>
      <c r="H47" s="8" t="s">
        <v>513</v>
      </c>
      <c r="J47" s="9"/>
      <c r="K47" s="9"/>
      <c r="L47" s="9"/>
      <c r="M47" s="9"/>
      <c r="N47" s="9"/>
      <c r="O47" s="2"/>
      <c r="P47" s="2"/>
      <c r="Q47" s="2"/>
      <c r="R47" s="9"/>
      <c r="S47" s="9"/>
      <c r="T47" s="2"/>
      <c r="U47" s="9"/>
      <c r="V47" s="9"/>
      <c r="W47" s="9"/>
      <c r="X47" s="9"/>
      <c r="Y47" s="9"/>
      <c r="Z47" s="9"/>
      <c r="AA47" s="9"/>
      <c r="AB47" s="9"/>
    </row>
    <row r="48" spans="1:28">
      <c r="A48" s="8" t="s">
        <v>330</v>
      </c>
      <c r="B48" s="8" t="s">
        <v>217</v>
      </c>
      <c r="C48" s="8" t="s">
        <v>218</v>
      </c>
      <c r="D48" s="8">
        <v>23</v>
      </c>
      <c r="E48" s="8">
        <v>70</v>
      </c>
      <c r="F48" s="8">
        <v>70</v>
      </c>
      <c r="G48" s="8" t="s">
        <v>340</v>
      </c>
      <c r="H48" s="8" t="s">
        <v>513</v>
      </c>
      <c r="J48" s="9"/>
      <c r="K48" s="9"/>
      <c r="L48" s="9"/>
      <c r="M48" s="9"/>
      <c r="N48" s="9"/>
      <c r="O48" s="28"/>
      <c r="P48" s="28"/>
      <c r="Q48" s="28"/>
      <c r="R48" s="9"/>
      <c r="S48" s="9"/>
      <c r="T48" s="28"/>
      <c r="U48" s="9"/>
      <c r="V48" s="9"/>
      <c r="W48" s="9"/>
      <c r="X48" s="9"/>
      <c r="Y48" s="9"/>
      <c r="Z48" s="9"/>
      <c r="AA48" s="9"/>
      <c r="AB48" s="9"/>
    </row>
    <row r="49" spans="1:28">
      <c r="A49" s="8" t="s">
        <v>341</v>
      </c>
      <c r="B49" s="8" t="s">
        <v>342</v>
      </c>
      <c r="C49" s="8" t="s">
        <v>386</v>
      </c>
      <c r="D49" s="8" t="s">
        <v>387</v>
      </c>
      <c r="E49" s="8">
        <v>67.5</v>
      </c>
      <c r="F49" s="8">
        <v>82.5</v>
      </c>
      <c r="G49" s="8" t="s">
        <v>394</v>
      </c>
      <c r="H49" s="8" t="s">
        <v>513</v>
      </c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 spans="1:28">
      <c r="A50" s="8" t="s">
        <v>341</v>
      </c>
      <c r="B50" s="8" t="s">
        <v>342</v>
      </c>
      <c r="C50" s="8" t="s">
        <v>386</v>
      </c>
      <c r="D50" s="8" t="s">
        <v>395</v>
      </c>
      <c r="E50" s="8">
        <v>72.5</v>
      </c>
      <c r="F50" s="8">
        <v>80</v>
      </c>
      <c r="G50" s="8" t="s">
        <v>394</v>
      </c>
      <c r="H50" s="8" t="s">
        <v>513</v>
      </c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 spans="1:28">
      <c r="A51" s="8" t="s">
        <v>341</v>
      </c>
      <c r="B51" s="8" t="s">
        <v>342</v>
      </c>
      <c r="C51" s="8" t="s">
        <v>386</v>
      </c>
      <c r="D51" s="8" t="s">
        <v>396</v>
      </c>
      <c r="E51" s="8">
        <v>82.5</v>
      </c>
      <c r="F51" s="8">
        <v>75</v>
      </c>
      <c r="G51" s="8" t="s">
        <v>394</v>
      </c>
      <c r="H51" s="8" t="s">
        <v>513</v>
      </c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 spans="1:28">
      <c r="A52" s="8" t="s">
        <v>341</v>
      </c>
      <c r="B52" s="8" t="s">
        <v>342</v>
      </c>
      <c r="C52" s="8" t="s">
        <v>386</v>
      </c>
      <c r="D52" s="8" t="s">
        <v>302</v>
      </c>
      <c r="E52" s="8">
        <v>72.5</v>
      </c>
      <c r="F52" s="8">
        <v>75</v>
      </c>
      <c r="G52" s="8" t="s">
        <v>394</v>
      </c>
      <c r="H52" s="8" t="s">
        <v>513</v>
      </c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 spans="1:28">
      <c r="A53" s="8" t="s">
        <v>341</v>
      </c>
      <c r="B53" s="8" t="s">
        <v>342</v>
      </c>
      <c r="C53" s="8" t="s">
        <v>386</v>
      </c>
      <c r="D53" s="8" t="s">
        <v>303</v>
      </c>
      <c r="E53" s="8">
        <v>75</v>
      </c>
      <c r="F53" s="8">
        <v>80</v>
      </c>
      <c r="G53" s="8" t="s">
        <v>394</v>
      </c>
      <c r="H53" s="8" t="s">
        <v>513</v>
      </c>
      <c r="J53" s="9"/>
      <c r="K53" s="9"/>
      <c r="L53" s="9"/>
      <c r="M53" s="9"/>
      <c r="N53" s="10"/>
      <c r="O53" s="2"/>
      <c r="P53" s="2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 spans="1:28">
      <c r="A54" s="8" t="s">
        <v>341</v>
      </c>
      <c r="B54" s="8" t="s">
        <v>342</v>
      </c>
      <c r="C54" s="8" t="s">
        <v>386</v>
      </c>
      <c r="D54" s="8" t="s">
        <v>304</v>
      </c>
      <c r="E54" s="8">
        <v>67.5</v>
      </c>
      <c r="F54" s="8">
        <v>85</v>
      </c>
      <c r="G54" s="8" t="s">
        <v>394</v>
      </c>
      <c r="H54" s="8" t="s">
        <v>513</v>
      </c>
      <c r="J54" s="9"/>
      <c r="K54" s="9"/>
      <c r="L54" s="9"/>
      <c r="M54" s="9"/>
      <c r="N54" s="10"/>
      <c r="O54" s="2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 spans="1:28">
      <c r="A55" s="8" t="s">
        <v>341</v>
      </c>
      <c r="B55" s="8" t="s">
        <v>342</v>
      </c>
      <c r="C55" s="8" t="s">
        <v>386</v>
      </c>
      <c r="D55" s="8" t="s">
        <v>305</v>
      </c>
      <c r="E55" s="8">
        <v>77.5</v>
      </c>
      <c r="F55" s="8">
        <v>80</v>
      </c>
      <c r="G55" s="8" t="s">
        <v>394</v>
      </c>
      <c r="H55" s="8" t="s">
        <v>513</v>
      </c>
      <c r="J55" s="9"/>
      <c r="K55" s="9"/>
      <c r="L55" s="9"/>
      <c r="M55" s="9"/>
      <c r="N55" s="10"/>
      <c r="O55" s="2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 spans="1:28">
      <c r="A56" s="8" t="s">
        <v>341</v>
      </c>
      <c r="B56" s="8" t="s">
        <v>342</v>
      </c>
      <c r="C56" s="8" t="s">
        <v>386</v>
      </c>
      <c r="D56" s="8" t="s">
        <v>306</v>
      </c>
      <c r="E56" s="8">
        <v>75</v>
      </c>
      <c r="F56" s="8">
        <v>75</v>
      </c>
      <c r="G56" s="8" t="s">
        <v>394</v>
      </c>
      <c r="H56" s="8" t="s">
        <v>513</v>
      </c>
      <c r="J56" s="9"/>
      <c r="K56" s="9"/>
      <c r="L56" s="9"/>
      <c r="M56" s="9"/>
      <c r="N56" s="10"/>
      <c r="O56" s="2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 spans="1:28">
      <c r="A57" s="8" t="s">
        <v>341</v>
      </c>
      <c r="B57" s="8" t="s">
        <v>342</v>
      </c>
      <c r="C57" s="8" t="s">
        <v>386</v>
      </c>
      <c r="D57" s="8" t="s">
        <v>307</v>
      </c>
      <c r="E57" s="8">
        <v>70</v>
      </c>
      <c r="F57" s="8">
        <v>67.5</v>
      </c>
      <c r="G57" s="8" t="s">
        <v>394</v>
      </c>
      <c r="H57" s="8" t="s">
        <v>513</v>
      </c>
      <c r="M57" s="9"/>
      <c r="N57" s="10"/>
      <c r="O57" s="2"/>
      <c r="P57" s="9"/>
      <c r="Q57" s="9"/>
      <c r="R57" s="9"/>
    </row>
    <row r="58" spans="1:28">
      <c r="A58" s="8" t="s">
        <v>341</v>
      </c>
      <c r="B58" s="8" t="s">
        <v>342</v>
      </c>
      <c r="C58" s="8" t="s">
        <v>386</v>
      </c>
      <c r="D58" s="8" t="s">
        <v>177</v>
      </c>
      <c r="E58" s="8">
        <v>77.5</v>
      </c>
      <c r="F58" s="8">
        <v>80</v>
      </c>
      <c r="G58" s="8" t="s">
        <v>394</v>
      </c>
      <c r="H58" s="8" t="s">
        <v>513</v>
      </c>
      <c r="M58" s="9"/>
      <c r="N58" s="10"/>
      <c r="O58" s="2"/>
      <c r="P58" s="9"/>
      <c r="Q58" s="9"/>
      <c r="R58" s="9"/>
    </row>
    <row r="59" spans="1:28">
      <c r="A59" s="8" t="s">
        <v>341</v>
      </c>
      <c r="B59" s="8" t="s">
        <v>342</v>
      </c>
      <c r="C59" s="8" t="s">
        <v>386</v>
      </c>
      <c r="D59" s="8">
        <v>27</v>
      </c>
      <c r="E59" s="8">
        <v>70</v>
      </c>
      <c r="F59" s="8">
        <v>62.5</v>
      </c>
      <c r="G59" s="8" t="s">
        <v>394</v>
      </c>
      <c r="H59" s="8" t="s">
        <v>513</v>
      </c>
      <c r="M59" s="9"/>
      <c r="N59" s="10"/>
      <c r="O59" s="2"/>
      <c r="P59" s="9"/>
      <c r="Q59" s="9"/>
      <c r="R59" s="9"/>
    </row>
    <row r="60" spans="1:28">
      <c r="A60" s="8" t="s">
        <v>341</v>
      </c>
      <c r="B60" s="8" t="s">
        <v>342</v>
      </c>
      <c r="C60" s="8" t="s">
        <v>386</v>
      </c>
      <c r="D60" s="8" t="s">
        <v>392</v>
      </c>
      <c r="E60" s="8">
        <v>75</v>
      </c>
      <c r="F60" s="8">
        <v>82.5</v>
      </c>
      <c r="G60" s="8" t="s">
        <v>394</v>
      </c>
      <c r="H60" s="8" t="s">
        <v>513</v>
      </c>
      <c r="M60" s="9"/>
      <c r="N60" s="10"/>
      <c r="O60" s="2"/>
      <c r="P60" s="9"/>
      <c r="Q60" s="9"/>
      <c r="R60" s="9"/>
    </row>
    <row r="61" spans="1:28">
      <c r="A61" s="8" t="s">
        <v>341</v>
      </c>
      <c r="B61" s="8" t="s">
        <v>342</v>
      </c>
      <c r="C61" s="8" t="s">
        <v>386</v>
      </c>
      <c r="D61" s="8" t="s">
        <v>393</v>
      </c>
      <c r="E61" s="8">
        <v>60</v>
      </c>
      <c r="F61" s="8">
        <v>90</v>
      </c>
      <c r="G61" s="8" t="s">
        <v>394</v>
      </c>
      <c r="H61" s="8" t="s">
        <v>513</v>
      </c>
      <c r="M61" s="9"/>
      <c r="N61" s="10"/>
      <c r="O61" s="2"/>
      <c r="P61" s="9"/>
      <c r="Q61" s="9"/>
      <c r="R61" s="9"/>
    </row>
    <row r="62" spans="1:28">
      <c r="A62" s="8" t="s">
        <v>341</v>
      </c>
      <c r="B62" s="8" t="s">
        <v>342</v>
      </c>
      <c r="C62" s="8" t="s">
        <v>386</v>
      </c>
      <c r="D62" s="8">
        <v>29</v>
      </c>
      <c r="E62" s="8">
        <v>80</v>
      </c>
      <c r="F62" s="8">
        <v>85</v>
      </c>
      <c r="G62" s="8" t="s">
        <v>394</v>
      </c>
      <c r="H62" s="8" t="s">
        <v>513</v>
      </c>
      <c r="M62" s="9"/>
      <c r="N62" s="10"/>
      <c r="O62" s="2"/>
      <c r="P62" s="9"/>
      <c r="Q62" s="9"/>
      <c r="R62" s="9"/>
    </row>
    <row r="63" spans="1:28">
      <c r="A63" s="8" t="s">
        <v>341</v>
      </c>
      <c r="B63" s="8" t="s">
        <v>342</v>
      </c>
      <c r="C63" s="8" t="s">
        <v>386</v>
      </c>
      <c r="D63" s="8">
        <v>30</v>
      </c>
      <c r="E63" s="8">
        <v>70</v>
      </c>
      <c r="F63" s="8">
        <v>90</v>
      </c>
      <c r="G63" s="8" t="s">
        <v>394</v>
      </c>
      <c r="H63" s="8" t="s">
        <v>513</v>
      </c>
      <c r="M63" s="9"/>
      <c r="N63" s="9"/>
      <c r="O63" s="2"/>
      <c r="P63" s="9"/>
      <c r="Q63" s="9"/>
      <c r="R63" s="9"/>
    </row>
    <row r="64" spans="1:28">
      <c r="A64" s="8" t="s">
        <v>341</v>
      </c>
      <c r="B64" s="8" t="s">
        <v>342</v>
      </c>
      <c r="C64" s="8" t="s">
        <v>386</v>
      </c>
      <c r="D64" s="8" t="s">
        <v>52</v>
      </c>
      <c r="E64" s="8">
        <v>77.5</v>
      </c>
      <c r="F64" s="8">
        <v>80</v>
      </c>
      <c r="G64" s="8" t="s">
        <v>394</v>
      </c>
      <c r="H64" s="8" t="s">
        <v>513</v>
      </c>
      <c r="M64" s="9"/>
      <c r="N64" s="9"/>
      <c r="O64" s="9"/>
      <c r="P64" s="9"/>
      <c r="Q64" s="9"/>
      <c r="R64" s="9"/>
    </row>
    <row r="65" spans="1:18">
      <c r="A65" s="8" t="s">
        <v>341</v>
      </c>
      <c r="B65" s="8" t="s">
        <v>342</v>
      </c>
      <c r="C65" s="8" t="s">
        <v>386</v>
      </c>
      <c r="D65" s="8" t="s">
        <v>53</v>
      </c>
      <c r="E65" s="8">
        <v>82.5</v>
      </c>
      <c r="F65" s="8">
        <v>80</v>
      </c>
      <c r="G65" s="8" t="s">
        <v>394</v>
      </c>
      <c r="H65" s="8" t="s">
        <v>513</v>
      </c>
      <c r="M65" s="9"/>
      <c r="N65" s="9"/>
      <c r="O65" s="9"/>
      <c r="P65" s="9"/>
      <c r="Q65" s="9"/>
      <c r="R65" s="9"/>
    </row>
    <row r="66" spans="1:18">
      <c r="A66" s="8" t="s">
        <v>341</v>
      </c>
      <c r="B66" s="8" t="s">
        <v>342</v>
      </c>
      <c r="C66" s="8" t="s">
        <v>386</v>
      </c>
      <c r="D66" s="8" t="s">
        <v>22</v>
      </c>
      <c r="E66" s="8">
        <v>77.5</v>
      </c>
      <c r="F66" s="8">
        <v>77.5</v>
      </c>
      <c r="G66" s="8" t="s">
        <v>394</v>
      </c>
      <c r="H66" s="8" t="s">
        <v>513</v>
      </c>
      <c r="M66" s="9"/>
      <c r="N66" s="9"/>
      <c r="O66" s="9"/>
      <c r="P66" s="9"/>
      <c r="Q66" s="9"/>
      <c r="R66" s="9"/>
    </row>
    <row r="67" spans="1:18">
      <c r="A67" s="8" t="s">
        <v>341</v>
      </c>
      <c r="B67" s="8" t="s">
        <v>342</v>
      </c>
      <c r="C67" s="8" t="s">
        <v>386</v>
      </c>
      <c r="D67" s="8" t="s">
        <v>23</v>
      </c>
      <c r="E67" s="8">
        <v>75</v>
      </c>
      <c r="F67" s="8">
        <v>75</v>
      </c>
      <c r="G67" s="8" t="s">
        <v>394</v>
      </c>
      <c r="H67" s="8" t="s">
        <v>513</v>
      </c>
      <c r="M67" s="9"/>
      <c r="N67" s="9"/>
      <c r="O67" s="9"/>
      <c r="P67" s="9"/>
      <c r="Q67" s="9"/>
      <c r="R67" s="9"/>
    </row>
    <row r="68" spans="1:18">
      <c r="A68" s="8" t="s">
        <v>341</v>
      </c>
      <c r="B68" s="8" t="s">
        <v>342</v>
      </c>
      <c r="C68" s="8" t="s">
        <v>386</v>
      </c>
      <c r="D68" s="8" t="s">
        <v>24</v>
      </c>
      <c r="E68" s="8">
        <v>62.5</v>
      </c>
      <c r="F68" s="8">
        <v>62.5</v>
      </c>
      <c r="G68" s="8" t="s">
        <v>394</v>
      </c>
      <c r="H68" s="8" t="s">
        <v>513</v>
      </c>
      <c r="M68" s="9"/>
      <c r="N68" s="9"/>
      <c r="O68" s="9"/>
      <c r="P68" s="9"/>
      <c r="Q68" s="9"/>
      <c r="R68" s="9"/>
    </row>
    <row r="69" spans="1:18">
      <c r="A69" s="8" t="s">
        <v>341</v>
      </c>
      <c r="B69" s="8" t="s">
        <v>342</v>
      </c>
      <c r="C69" s="8" t="s">
        <v>386</v>
      </c>
      <c r="D69" s="8">
        <v>33</v>
      </c>
      <c r="E69" s="8">
        <v>75</v>
      </c>
      <c r="F69" s="8">
        <v>80</v>
      </c>
      <c r="G69" s="8" t="s">
        <v>394</v>
      </c>
      <c r="H69" s="8" t="s">
        <v>513</v>
      </c>
      <c r="M69" s="9"/>
      <c r="N69" s="9"/>
      <c r="O69" s="9"/>
      <c r="P69" s="9"/>
      <c r="Q69" s="9"/>
      <c r="R69" s="9"/>
    </row>
    <row r="70" spans="1:18">
      <c r="A70" s="8" t="s">
        <v>341</v>
      </c>
      <c r="B70" s="8" t="s">
        <v>342</v>
      </c>
      <c r="C70" s="8" t="s">
        <v>386</v>
      </c>
      <c r="D70" s="8">
        <v>34</v>
      </c>
      <c r="E70" s="8">
        <v>62.5</v>
      </c>
      <c r="F70" s="8">
        <v>55</v>
      </c>
      <c r="G70" s="8" t="s">
        <v>394</v>
      </c>
      <c r="H70" s="8" t="s">
        <v>513</v>
      </c>
      <c r="M70" s="9"/>
      <c r="N70" s="9"/>
      <c r="O70" s="9"/>
      <c r="P70" s="9"/>
      <c r="Q70" s="9"/>
      <c r="R70" s="9"/>
    </row>
    <row r="71" spans="1:18">
      <c r="A71" s="8" t="s">
        <v>341</v>
      </c>
      <c r="B71" s="8" t="s">
        <v>342</v>
      </c>
      <c r="C71" s="8" t="s">
        <v>386</v>
      </c>
      <c r="D71" s="8" t="s">
        <v>25</v>
      </c>
      <c r="E71" s="8">
        <v>60</v>
      </c>
      <c r="F71" s="8">
        <v>57.5</v>
      </c>
      <c r="G71" s="8" t="s">
        <v>394</v>
      </c>
      <c r="H71" s="8" t="s">
        <v>513</v>
      </c>
      <c r="M71" s="9"/>
      <c r="N71" s="9"/>
      <c r="O71" s="9"/>
      <c r="P71" s="9"/>
      <c r="Q71" s="9"/>
      <c r="R71" s="9"/>
    </row>
    <row r="72" spans="1:18">
      <c r="A72" s="8" t="s">
        <v>341</v>
      </c>
      <c r="B72" s="8" t="s">
        <v>342</v>
      </c>
      <c r="C72" s="8" t="s">
        <v>386</v>
      </c>
      <c r="D72" s="8" t="s">
        <v>26</v>
      </c>
      <c r="E72" s="8">
        <v>67.5</v>
      </c>
      <c r="F72" s="8">
        <v>60</v>
      </c>
      <c r="G72" s="8" t="s">
        <v>394</v>
      </c>
      <c r="H72" s="8" t="s">
        <v>513</v>
      </c>
      <c r="M72" s="9"/>
      <c r="N72" s="10"/>
      <c r="O72" s="9"/>
      <c r="P72" s="9"/>
      <c r="Q72" s="9"/>
      <c r="R72" s="9"/>
    </row>
    <row r="73" spans="1:18">
      <c r="A73" s="8" t="s">
        <v>341</v>
      </c>
      <c r="B73" s="8" t="s">
        <v>342</v>
      </c>
      <c r="C73" s="8" t="s">
        <v>386</v>
      </c>
      <c r="D73" s="8" t="s">
        <v>247</v>
      </c>
      <c r="E73" s="8">
        <v>60</v>
      </c>
      <c r="F73" s="8">
        <v>57.5</v>
      </c>
      <c r="G73" s="8" t="s">
        <v>394</v>
      </c>
      <c r="H73" s="8" t="s">
        <v>513</v>
      </c>
      <c r="M73" s="9"/>
      <c r="N73" s="10"/>
      <c r="O73" s="9"/>
      <c r="P73" s="9"/>
      <c r="Q73" s="9"/>
      <c r="R73" s="9"/>
    </row>
    <row r="74" spans="1:18">
      <c r="A74" s="8" t="s">
        <v>341</v>
      </c>
      <c r="B74" s="8" t="s">
        <v>342</v>
      </c>
      <c r="C74" s="8" t="s">
        <v>386</v>
      </c>
      <c r="D74" s="8" t="s">
        <v>362</v>
      </c>
      <c r="E74" s="8">
        <v>52.5</v>
      </c>
      <c r="F74" s="8">
        <v>60</v>
      </c>
      <c r="G74" s="8" t="s">
        <v>394</v>
      </c>
      <c r="H74" s="8" t="s">
        <v>513</v>
      </c>
      <c r="M74" s="9"/>
      <c r="N74" s="10"/>
      <c r="O74" s="9"/>
      <c r="P74" s="9"/>
      <c r="Q74" s="9"/>
      <c r="R74" s="9"/>
    </row>
    <row r="75" spans="1:18">
      <c r="A75" s="8" t="s">
        <v>341</v>
      </c>
      <c r="B75" s="8" t="s">
        <v>342</v>
      </c>
      <c r="C75" s="8" t="s">
        <v>386</v>
      </c>
      <c r="D75" s="8" t="s">
        <v>85</v>
      </c>
      <c r="E75" s="8">
        <v>55</v>
      </c>
      <c r="F75" s="8">
        <v>60</v>
      </c>
      <c r="G75" s="8" t="s">
        <v>394</v>
      </c>
      <c r="H75" s="8" t="s">
        <v>513</v>
      </c>
      <c r="M75" s="9"/>
      <c r="N75" s="10"/>
      <c r="O75" s="9"/>
      <c r="P75" s="9"/>
      <c r="Q75" s="9"/>
      <c r="R75" s="9"/>
    </row>
    <row r="76" spans="1:18">
      <c r="A76" s="8" t="s">
        <v>341</v>
      </c>
      <c r="B76" s="8" t="s">
        <v>342</v>
      </c>
      <c r="C76" s="8" t="s">
        <v>386</v>
      </c>
      <c r="D76" s="8">
        <v>37</v>
      </c>
      <c r="E76" s="8">
        <v>60</v>
      </c>
      <c r="F76" s="8">
        <v>55</v>
      </c>
      <c r="G76" s="8" t="s">
        <v>394</v>
      </c>
      <c r="H76" s="8" t="s">
        <v>513</v>
      </c>
      <c r="M76" s="9"/>
      <c r="N76" s="10"/>
      <c r="O76" s="9"/>
      <c r="P76" s="9"/>
      <c r="Q76" s="9"/>
      <c r="R76" s="9"/>
    </row>
    <row r="77" spans="1:18">
      <c r="A77" s="8" t="s">
        <v>341</v>
      </c>
      <c r="B77" s="8" t="s">
        <v>342</v>
      </c>
      <c r="C77" s="8" t="s">
        <v>386</v>
      </c>
      <c r="D77" s="8" t="s">
        <v>86</v>
      </c>
      <c r="E77" s="8">
        <v>62.5</v>
      </c>
      <c r="F77" s="8">
        <v>70</v>
      </c>
      <c r="G77" s="8" t="s">
        <v>394</v>
      </c>
      <c r="H77" s="8" t="s">
        <v>513</v>
      </c>
      <c r="M77" s="9"/>
      <c r="N77" s="10"/>
      <c r="O77" s="9"/>
      <c r="P77" s="9"/>
      <c r="Q77" s="9"/>
      <c r="R77" s="9"/>
    </row>
    <row r="78" spans="1:18">
      <c r="A78" s="8" t="s">
        <v>341</v>
      </c>
      <c r="B78" s="8" t="s">
        <v>342</v>
      </c>
      <c r="C78" s="8" t="s">
        <v>386</v>
      </c>
      <c r="D78" s="8" t="s">
        <v>87</v>
      </c>
      <c r="E78" s="8">
        <v>42.5</v>
      </c>
      <c r="F78" s="8">
        <v>45</v>
      </c>
      <c r="G78" s="8" t="s">
        <v>394</v>
      </c>
      <c r="H78" s="8" t="s">
        <v>513</v>
      </c>
      <c r="M78" s="9"/>
      <c r="N78" s="10"/>
      <c r="O78" s="9"/>
      <c r="P78" s="9"/>
      <c r="Q78" s="9"/>
      <c r="R78" s="9"/>
    </row>
    <row r="79" spans="1:18">
      <c r="A79" s="8" t="s">
        <v>341</v>
      </c>
      <c r="B79" s="8" t="s">
        <v>342</v>
      </c>
      <c r="C79" s="8" t="s">
        <v>386</v>
      </c>
      <c r="D79" s="8" t="s">
        <v>88</v>
      </c>
      <c r="E79" s="8">
        <v>70</v>
      </c>
      <c r="F79" s="8">
        <v>70</v>
      </c>
      <c r="G79" s="8" t="s">
        <v>394</v>
      </c>
      <c r="H79" s="8" t="s">
        <v>513</v>
      </c>
      <c r="M79" s="9"/>
      <c r="N79" s="10"/>
      <c r="O79" s="9"/>
      <c r="P79" s="9"/>
      <c r="Q79" s="9"/>
      <c r="R79" s="9"/>
    </row>
    <row r="80" spans="1:18">
      <c r="A80" s="8" t="s">
        <v>341</v>
      </c>
      <c r="B80" s="8" t="s">
        <v>342</v>
      </c>
      <c r="C80" s="8" t="s">
        <v>386</v>
      </c>
      <c r="D80" s="8" t="s">
        <v>89</v>
      </c>
      <c r="E80" s="8">
        <v>37.5</v>
      </c>
      <c r="F80" s="8">
        <v>42.5</v>
      </c>
      <c r="G80" s="8" t="s">
        <v>394</v>
      </c>
      <c r="H80" s="8" t="s">
        <v>513</v>
      </c>
      <c r="M80" s="9"/>
      <c r="N80" s="10"/>
      <c r="O80" s="9"/>
      <c r="P80" s="9"/>
      <c r="Q80" s="9"/>
      <c r="R80" s="9"/>
    </row>
    <row r="81" spans="1:18">
      <c r="A81" s="8" t="s">
        <v>341</v>
      </c>
      <c r="B81" s="8" t="s">
        <v>342</v>
      </c>
      <c r="C81" s="8" t="s">
        <v>386</v>
      </c>
      <c r="D81" s="8" t="s">
        <v>90</v>
      </c>
      <c r="E81" s="8">
        <v>82.5</v>
      </c>
      <c r="F81" s="8">
        <v>85</v>
      </c>
      <c r="G81" s="8" t="s">
        <v>394</v>
      </c>
      <c r="H81" s="8" t="s">
        <v>513</v>
      </c>
      <c r="M81" s="9"/>
      <c r="N81" s="10"/>
      <c r="O81" s="9"/>
      <c r="P81" s="9"/>
      <c r="Q81" s="9"/>
      <c r="R81" s="9"/>
    </row>
    <row r="82" spans="1:18">
      <c r="A82" s="8" t="s">
        <v>341</v>
      </c>
      <c r="B82" s="8" t="s">
        <v>342</v>
      </c>
      <c r="C82" s="8" t="s">
        <v>386</v>
      </c>
      <c r="D82" s="8" t="s">
        <v>91</v>
      </c>
      <c r="E82" s="8">
        <v>47.5</v>
      </c>
      <c r="F82" s="8">
        <v>47.5</v>
      </c>
      <c r="G82" s="8" t="s">
        <v>394</v>
      </c>
      <c r="H82" s="8" t="s">
        <v>513</v>
      </c>
      <c r="M82" s="9"/>
      <c r="N82" s="9"/>
      <c r="O82" s="9"/>
      <c r="P82" s="9"/>
      <c r="Q82" s="9"/>
      <c r="R82" s="9"/>
    </row>
    <row r="83" spans="1:18">
      <c r="A83" s="8" t="s">
        <v>341</v>
      </c>
      <c r="B83" s="8" t="s">
        <v>342</v>
      </c>
      <c r="C83" s="8" t="s">
        <v>386</v>
      </c>
      <c r="D83" s="8" t="s">
        <v>92</v>
      </c>
      <c r="E83" s="8">
        <v>55</v>
      </c>
      <c r="F83" s="8">
        <v>42.5</v>
      </c>
      <c r="G83" s="8" t="s">
        <v>394</v>
      </c>
      <c r="H83" s="8" t="s">
        <v>513</v>
      </c>
      <c r="M83" s="9"/>
      <c r="N83" s="9"/>
      <c r="O83" s="9"/>
      <c r="P83" s="9"/>
      <c r="Q83" s="9"/>
      <c r="R83" s="9"/>
    </row>
    <row r="84" spans="1:18">
      <c r="A84" s="8" t="s">
        <v>341</v>
      </c>
      <c r="B84" s="8" t="s">
        <v>342</v>
      </c>
      <c r="C84" s="8" t="s">
        <v>386</v>
      </c>
      <c r="D84" s="8" t="s">
        <v>93</v>
      </c>
      <c r="E84" s="8">
        <v>45</v>
      </c>
      <c r="F84" s="8">
        <v>42.5</v>
      </c>
      <c r="G84" s="8" t="s">
        <v>394</v>
      </c>
      <c r="H84" s="8" t="s">
        <v>513</v>
      </c>
      <c r="M84" s="9"/>
      <c r="N84" s="9"/>
      <c r="O84" s="9"/>
      <c r="P84" s="9"/>
      <c r="Q84" s="9"/>
      <c r="R84" s="9"/>
    </row>
    <row r="85" spans="1:18">
      <c r="A85" s="8" t="s">
        <v>341</v>
      </c>
      <c r="B85" s="8" t="s">
        <v>342</v>
      </c>
      <c r="C85" s="8" t="s">
        <v>386</v>
      </c>
      <c r="D85" s="8" t="s">
        <v>94</v>
      </c>
      <c r="E85" s="8">
        <v>40</v>
      </c>
      <c r="F85" s="8">
        <v>40</v>
      </c>
      <c r="G85" s="8" t="s">
        <v>394</v>
      </c>
      <c r="H85" s="8" t="s">
        <v>513</v>
      </c>
      <c r="M85" s="9"/>
      <c r="N85" s="9"/>
      <c r="O85" s="9"/>
      <c r="P85" s="9"/>
      <c r="Q85" s="9"/>
      <c r="R85" s="9"/>
    </row>
    <row r="86" spans="1:18">
      <c r="A86" s="8" t="s">
        <v>341</v>
      </c>
      <c r="B86" s="8" t="s">
        <v>342</v>
      </c>
      <c r="C86" s="8" t="s">
        <v>386</v>
      </c>
      <c r="D86" s="8" t="s">
        <v>95</v>
      </c>
      <c r="E86" s="8">
        <v>90</v>
      </c>
      <c r="F86" s="8">
        <v>85</v>
      </c>
      <c r="G86" s="8" t="s">
        <v>394</v>
      </c>
      <c r="H86" s="8" t="s">
        <v>513</v>
      </c>
      <c r="M86" s="9"/>
      <c r="N86" s="9"/>
      <c r="O86" s="9"/>
      <c r="P86" s="9"/>
      <c r="Q86" s="9"/>
      <c r="R86" s="9"/>
    </row>
    <row r="87" spans="1:18">
      <c r="A87" s="8" t="s">
        <v>341</v>
      </c>
      <c r="B87" s="8" t="s">
        <v>342</v>
      </c>
      <c r="C87" s="8" t="s">
        <v>386</v>
      </c>
      <c r="D87" s="8" t="s">
        <v>96</v>
      </c>
      <c r="E87" s="8">
        <v>50</v>
      </c>
      <c r="F87" s="8">
        <v>45</v>
      </c>
      <c r="G87" s="8" t="s">
        <v>394</v>
      </c>
      <c r="H87" s="8" t="s">
        <v>513</v>
      </c>
    </row>
    <row r="88" spans="1:18">
      <c r="A88" s="8" t="s">
        <v>341</v>
      </c>
      <c r="B88" s="8" t="s">
        <v>342</v>
      </c>
      <c r="C88" s="8" t="s">
        <v>386</v>
      </c>
      <c r="D88" s="8" t="s">
        <v>97</v>
      </c>
      <c r="E88" s="8">
        <v>90</v>
      </c>
      <c r="F88" s="8">
        <v>80</v>
      </c>
      <c r="G88" s="8" t="s">
        <v>394</v>
      </c>
      <c r="H88" s="8" t="s">
        <v>513</v>
      </c>
    </row>
    <row r="89" spans="1:18">
      <c r="A89" s="8" t="s">
        <v>341</v>
      </c>
      <c r="B89" s="8" t="s">
        <v>342</v>
      </c>
      <c r="C89" s="8" t="s">
        <v>386</v>
      </c>
      <c r="D89" s="8">
        <v>42</v>
      </c>
      <c r="E89" s="8">
        <v>67.5</v>
      </c>
      <c r="F89" s="8">
        <v>67.5</v>
      </c>
      <c r="G89" s="8" t="s">
        <v>394</v>
      </c>
      <c r="H89" s="8" t="s">
        <v>513</v>
      </c>
    </row>
    <row r="90" spans="1:18">
      <c r="A90" s="8" t="s">
        <v>341</v>
      </c>
      <c r="B90" s="8" t="s">
        <v>342</v>
      </c>
      <c r="C90" s="8" t="s">
        <v>386</v>
      </c>
      <c r="D90" s="8" t="s">
        <v>98</v>
      </c>
      <c r="E90" s="8">
        <v>37.5</v>
      </c>
      <c r="F90" s="8">
        <v>37.5</v>
      </c>
      <c r="G90" s="8" t="s">
        <v>394</v>
      </c>
      <c r="H90" s="8" t="s">
        <v>513</v>
      </c>
    </row>
    <row r="91" spans="1:18">
      <c r="A91" s="8" t="s">
        <v>341</v>
      </c>
      <c r="B91" s="8" t="s">
        <v>342</v>
      </c>
      <c r="C91" s="8" t="s">
        <v>386</v>
      </c>
      <c r="D91" s="8" t="s">
        <v>99</v>
      </c>
      <c r="E91" s="8">
        <v>77.5</v>
      </c>
      <c r="F91" s="8">
        <v>67.5</v>
      </c>
      <c r="G91" s="8" t="s">
        <v>394</v>
      </c>
      <c r="H91" s="8" t="s">
        <v>513</v>
      </c>
    </row>
    <row r="92" spans="1:18">
      <c r="A92" s="8" t="s">
        <v>341</v>
      </c>
      <c r="B92" s="8" t="s">
        <v>342</v>
      </c>
      <c r="C92" s="8" t="s">
        <v>386</v>
      </c>
      <c r="D92" s="8" t="s">
        <v>346</v>
      </c>
      <c r="E92" s="8">
        <v>90</v>
      </c>
      <c r="F92" s="8">
        <v>80</v>
      </c>
      <c r="G92" s="8" t="s">
        <v>394</v>
      </c>
      <c r="H92" s="8" t="s">
        <v>513</v>
      </c>
    </row>
    <row r="93" spans="1:18">
      <c r="A93" s="8" t="s">
        <v>341</v>
      </c>
      <c r="B93" s="8" t="s">
        <v>342</v>
      </c>
      <c r="C93" s="8" t="s">
        <v>386</v>
      </c>
      <c r="D93" s="8" t="s">
        <v>347</v>
      </c>
      <c r="E93" s="8">
        <v>45</v>
      </c>
      <c r="F93" s="8">
        <v>40</v>
      </c>
      <c r="G93" s="8" t="s">
        <v>394</v>
      </c>
      <c r="H93" s="8" t="s">
        <v>513</v>
      </c>
    </row>
    <row r="94" spans="1:18">
      <c r="A94" s="8" t="s">
        <v>341</v>
      </c>
      <c r="B94" s="8" t="s">
        <v>342</v>
      </c>
      <c r="C94" s="8" t="s">
        <v>386</v>
      </c>
      <c r="D94" s="8" t="s">
        <v>348</v>
      </c>
      <c r="E94" s="8">
        <v>65</v>
      </c>
      <c r="F94" s="8">
        <v>60</v>
      </c>
      <c r="G94" s="8" t="s">
        <v>394</v>
      </c>
      <c r="H94" s="8" t="s">
        <v>513</v>
      </c>
    </row>
    <row r="95" spans="1:18">
      <c r="A95" s="8" t="s">
        <v>341</v>
      </c>
      <c r="B95" s="8" t="s">
        <v>342</v>
      </c>
      <c r="C95" s="8" t="s">
        <v>386</v>
      </c>
      <c r="D95" s="8" t="s">
        <v>349</v>
      </c>
      <c r="E95" s="8">
        <v>80</v>
      </c>
      <c r="F95" s="8">
        <v>75</v>
      </c>
      <c r="G95" s="8" t="s">
        <v>394</v>
      </c>
      <c r="H95" s="8" t="s">
        <v>513</v>
      </c>
    </row>
    <row r="96" spans="1:18">
      <c r="A96" s="8" t="s">
        <v>341</v>
      </c>
      <c r="B96" s="8" t="s">
        <v>342</v>
      </c>
      <c r="C96" s="8" t="s">
        <v>386</v>
      </c>
      <c r="D96" s="8" t="s">
        <v>350</v>
      </c>
      <c r="E96" s="8">
        <v>80</v>
      </c>
      <c r="F96" s="8">
        <v>75</v>
      </c>
      <c r="G96" s="8" t="s">
        <v>394</v>
      </c>
      <c r="H96" s="8" t="s">
        <v>513</v>
      </c>
    </row>
    <row r="97" spans="1:8">
      <c r="A97" s="8" t="s">
        <v>341</v>
      </c>
      <c r="B97" s="8" t="s">
        <v>342</v>
      </c>
      <c r="C97" s="8" t="s">
        <v>386</v>
      </c>
      <c r="D97" s="8" t="s">
        <v>326</v>
      </c>
      <c r="E97" s="8">
        <v>86</v>
      </c>
      <c r="F97" s="8" t="s">
        <v>476</v>
      </c>
      <c r="G97" s="8" t="s">
        <v>80</v>
      </c>
      <c r="H97" s="8" t="s">
        <v>33</v>
      </c>
    </row>
    <row r="98" spans="1:8">
      <c r="A98" s="8" t="s">
        <v>7</v>
      </c>
      <c r="B98" s="8" t="s">
        <v>8</v>
      </c>
      <c r="C98" s="8" t="s">
        <v>65</v>
      </c>
      <c r="D98" s="8" t="s">
        <v>208</v>
      </c>
      <c r="E98" s="8">
        <v>58.3</v>
      </c>
      <c r="F98" s="8" t="s">
        <v>476</v>
      </c>
      <c r="G98" s="8" t="s">
        <v>209</v>
      </c>
      <c r="H98" s="8" t="s">
        <v>500</v>
      </c>
    </row>
    <row r="99" spans="1:8">
      <c r="A99" s="8" t="s">
        <v>7</v>
      </c>
      <c r="B99" s="8" t="s">
        <v>8</v>
      </c>
      <c r="C99" s="8" t="s">
        <v>65</v>
      </c>
      <c r="D99" s="8" t="s">
        <v>325</v>
      </c>
      <c r="E99" s="8">
        <v>52</v>
      </c>
      <c r="F99" s="8" t="s">
        <v>476</v>
      </c>
      <c r="G99" s="8" t="s">
        <v>209</v>
      </c>
      <c r="H99" s="8" t="s">
        <v>500</v>
      </c>
    </row>
    <row r="100" spans="1:8">
      <c r="A100" s="8" t="s">
        <v>7</v>
      </c>
      <c r="B100" s="8" t="s">
        <v>8</v>
      </c>
      <c r="C100" s="8" t="s">
        <v>65</v>
      </c>
      <c r="D100" s="8" t="s">
        <v>237</v>
      </c>
      <c r="E100" s="8">
        <v>87.5</v>
      </c>
      <c r="F100" s="8" t="s">
        <v>476</v>
      </c>
      <c r="G100" s="8" t="s">
        <v>209</v>
      </c>
      <c r="H100" s="8" t="s">
        <v>501</v>
      </c>
    </row>
    <row r="101" spans="1:8">
      <c r="A101" s="8" t="s">
        <v>7</v>
      </c>
      <c r="B101" s="8" t="s">
        <v>8</v>
      </c>
      <c r="C101" s="8" t="s">
        <v>65</v>
      </c>
      <c r="D101" s="8" t="s">
        <v>238</v>
      </c>
      <c r="E101" s="8">
        <v>53</v>
      </c>
      <c r="F101" s="8" t="s">
        <v>476</v>
      </c>
      <c r="G101" s="8" t="s">
        <v>209</v>
      </c>
      <c r="H101" s="8" t="s">
        <v>500</v>
      </c>
    </row>
    <row r="102" spans="1:8">
      <c r="A102" s="8" t="s">
        <v>7</v>
      </c>
      <c r="B102" s="8" t="s">
        <v>8</v>
      </c>
      <c r="C102" s="8" t="s">
        <v>65</v>
      </c>
      <c r="D102" s="8" t="s">
        <v>239</v>
      </c>
      <c r="E102" s="8">
        <v>72</v>
      </c>
      <c r="F102" s="8" t="s">
        <v>476</v>
      </c>
      <c r="G102" s="8" t="s">
        <v>209</v>
      </c>
      <c r="H102" s="8" t="s">
        <v>501</v>
      </c>
    </row>
    <row r="103" spans="1:8">
      <c r="A103" s="8" t="s">
        <v>7</v>
      </c>
      <c r="B103" s="8" t="s">
        <v>8</v>
      </c>
      <c r="C103" s="8" t="s">
        <v>65</v>
      </c>
      <c r="D103" s="8" t="s">
        <v>240</v>
      </c>
      <c r="E103" s="8">
        <v>38</v>
      </c>
      <c r="F103" s="8" t="s">
        <v>476</v>
      </c>
      <c r="G103" s="8" t="s">
        <v>209</v>
      </c>
      <c r="H103" s="8" t="s">
        <v>501</v>
      </c>
    </row>
    <row r="104" spans="1:8">
      <c r="A104" s="8" t="s">
        <v>7</v>
      </c>
      <c r="B104" s="8" t="s">
        <v>8</v>
      </c>
      <c r="C104" s="8" t="s">
        <v>65</v>
      </c>
      <c r="D104" s="8" t="s">
        <v>518</v>
      </c>
      <c r="E104" s="8">
        <v>51.5</v>
      </c>
      <c r="F104" s="8" t="s">
        <v>476</v>
      </c>
      <c r="G104" s="8" t="s">
        <v>209</v>
      </c>
      <c r="H104" s="8" t="s">
        <v>501</v>
      </c>
    </row>
    <row r="105" spans="1:8">
      <c r="A105" s="8" t="s">
        <v>7</v>
      </c>
      <c r="B105" s="8" t="s">
        <v>8</v>
      </c>
      <c r="C105" s="8" t="s">
        <v>65</v>
      </c>
      <c r="D105" s="8" t="s">
        <v>429</v>
      </c>
      <c r="E105" s="8">
        <v>48</v>
      </c>
      <c r="F105" s="8" t="s">
        <v>476</v>
      </c>
      <c r="G105" s="8" t="s">
        <v>209</v>
      </c>
      <c r="H105" s="8" t="s">
        <v>500</v>
      </c>
    </row>
    <row r="106" spans="1:8">
      <c r="A106" s="8" t="s">
        <v>7</v>
      </c>
      <c r="B106" s="8" t="s">
        <v>8</v>
      </c>
      <c r="C106" s="8" t="s">
        <v>65</v>
      </c>
      <c r="D106" s="8" t="s">
        <v>424</v>
      </c>
      <c r="E106" s="8">
        <v>53</v>
      </c>
      <c r="F106" s="8" t="s">
        <v>476</v>
      </c>
      <c r="G106" s="8" t="s">
        <v>209</v>
      </c>
      <c r="H106" s="8" t="s">
        <v>501</v>
      </c>
    </row>
    <row r="107" spans="1:8">
      <c r="A107" s="8" t="s">
        <v>7</v>
      </c>
      <c r="B107" s="8" t="s">
        <v>8</v>
      </c>
      <c r="C107" s="8" t="s">
        <v>65</v>
      </c>
      <c r="D107" s="8" t="s">
        <v>425</v>
      </c>
      <c r="E107" s="8">
        <v>59</v>
      </c>
      <c r="F107" s="8" t="s">
        <v>476</v>
      </c>
      <c r="G107" s="8" t="s">
        <v>209</v>
      </c>
      <c r="H107" s="8" t="s">
        <v>500</v>
      </c>
    </row>
    <row r="108" spans="1:8">
      <c r="A108" s="8" t="s">
        <v>7</v>
      </c>
      <c r="B108" s="8" t="s">
        <v>8</v>
      </c>
      <c r="C108" s="8" t="s">
        <v>65</v>
      </c>
      <c r="D108" s="8" t="s">
        <v>253</v>
      </c>
      <c r="E108" s="8">
        <v>68</v>
      </c>
      <c r="F108" s="8" t="s">
        <v>476</v>
      </c>
      <c r="G108" s="8" t="s">
        <v>209</v>
      </c>
      <c r="H108" s="8" t="s">
        <v>501</v>
      </c>
    </row>
    <row r="109" spans="1:8">
      <c r="A109" s="20" t="s">
        <v>75</v>
      </c>
      <c r="B109" s="20" t="s">
        <v>76</v>
      </c>
      <c r="C109" s="20" t="s">
        <v>485</v>
      </c>
      <c r="D109" s="20" t="s">
        <v>486</v>
      </c>
      <c r="E109" s="20">
        <v>48</v>
      </c>
      <c r="F109" s="20" t="s">
        <v>475</v>
      </c>
      <c r="G109" s="20" t="s">
        <v>487</v>
      </c>
      <c r="H109" s="20" t="s">
        <v>493</v>
      </c>
    </row>
    <row r="110" spans="1:8">
      <c r="A110" s="8" t="s">
        <v>408</v>
      </c>
      <c r="B110" s="8" t="s">
        <v>409</v>
      </c>
      <c r="C110" s="8" t="s">
        <v>410</v>
      </c>
      <c r="D110" s="8" t="s">
        <v>411</v>
      </c>
      <c r="E110" s="8">
        <v>58</v>
      </c>
      <c r="F110" s="8">
        <v>54</v>
      </c>
      <c r="G110" s="8" t="s">
        <v>412</v>
      </c>
      <c r="H110" s="8" t="s">
        <v>513</v>
      </c>
    </row>
    <row r="111" spans="1:8">
      <c r="A111" s="8" t="s">
        <v>7</v>
      </c>
      <c r="B111" s="8" t="s">
        <v>8</v>
      </c>
      <c r="C111" s="8" t="s">
        <v>110</v>
      </c>
      <c r="D111" s="8" t="s">
        <v>343</v>
      </c>
      <c r="E111" s="8">
        <v>45.24</v>
      </c>
      <c r="F111" s="8">
        <v>35.24</v>
      </c>
      <c r="G111" s="8" t="s">
        <v>352</v>
      </c>
      <c r="H111" s="8" t="s">
        <v>513</v>
      </c>
    </row>
    <row r="112" spans="1:8">
      <c r="A112" s="8" t="s">
        <v>353</v>
      </c>
      <c r="B112" s="8" t="s">
        <v>354</v>
      </c>
      <c r="C112" s="8" t="s">
        <v>110</v>
      </c>
      <c r="D112" s="8" t="s">
        <v>355</v>
      </c>
      <c r="E112" s="8">
        <v>43.94</v>
      </c>
      <c r="F112" s="8">
        <v>36.39</v>
      </c>
      <c r="G112" s="8" t="s">
        <v>352</v>
      </c>
      <c r="H112" s="8" t="s">
        <v>513</v>
      </c>
    </row>
    <row r="113" spans="1:9">
      <c r="A113" s="8" t="s">
        <v>353</v>
      </c>
      <c r="B113" s="8" t="s">
        <v>354</v>
      </c>
      <c r="C113" s="8" t="s">
        <v>110</v>
      </c>
      <c r="D113" s="8" t="s">
        <v>448</v>
      </c>
      <c r="E113" s="8">
        <v>49.3</v>
      </c>
      <c r="F113" s="8">
        <v>36.299999999999997</v>
      </c>
      <c r="G113" s="8" t="s">
        <v>198</v>
      </c>
      <c r="H113" s="8" t="s">
        <v>513</v>
      </c>
    </row>
    <row r="114" spans="1:9">
      <c r="A114" s="8" t="s">
        <v>353</v>
      </c>
      <c r="B114" s="8" t="s">
        <v>354</v>
      </c>
      <c r="C114" s="8" t="s">
        <v>110</v>
      </c>
      <c r="D114" s="8" t="s">
        <v>448</v>
      </c>
      <c r="E114" s="8">
        <v>38.6</v>
      </c>
      <c r="F114" s="8">
        <v>30.6</v>
      </c>
      <c r="G114" s="8" t="s">
        <v>198</v>
      </c>
      <c r="H114" s="8" t="s">
        <v>513</v>
      </c>
    </row>
    <row r="115" spans="1:9">
      <c r="A115" s="8" t="s">
        <v>353</v>
      </c>
      <c r="B115" s="8" t="s">
        <v>354</v>
      </c>
      <c r="C115" s="8" t="s">
        <v>419</v>
      </c>
      <c r="D115" s="8" t="s">
        <v>448</v>
      </c>
      <c r="E115" s="8">
        <v>70.5</v>
      </c>
      <c r="F115" s="8">
        <v>51</v>
      </c>
      <c r="G115" s="8" t="s">
        <v>198</v>
      </c>
      <c r="H115" s="8" t="s">
        <v>513</v>
      </c>
    </row>
    <row r="116" spans="1:9">
      <c r="A116" s="8" t="s">
        <v>353</v>
      </c>
      <c r="B116" s="8" t="s">
        <v>199</v>
      </c>
      <c r="C116" s="8" t="s">
        <v>200</v>
      </c>
      <c r="D116" s="8" t="s">
        <v>449</v>
      </c>
      <c r="E116" s="8">
        <v>55.7</v>
      </c>
      <c r="F116" s="8">
        <v>53.47</v>
      </c>
      <c r="G116" s="8" t="s">
        <v>357</v>
      </c>
      <c r="H116" s="8" t="s">
        <v>513</v>
      </c>
    </row>
    <row r="117" spans="1:9">
      <c r="A117" s="8" t="s">
        <v>353</v>
      </c>
      <c r="B117" s="8" t="s">
        <v>199</v>
      </c>
      <c r="C117" s="8" t="s">
        <v>200</v>
      </c>
      <c r="D117" s="8" t="s">
        <v>450</v>
      </c>
      <c r="E117" s="8">
        <v>56.47</v>
      </c>
      <c r="F117" s="8">
        <v>56.84</v>
      </c>
      <c r="G117" s="8" t="s">
        <v>357</v>
      </c>
      <c r="H117" s="8" t="s">
        <v>513</v>
      </c>
    </row>
    <row r="118" spans="1:9">
      <c r="A118" s="8" t="s">
        <v>353</v>
      </c>
      <c r="B118" s="8" t="s">
        <v>199</v>
      </c>
      <c r="C118" s="8" t="s">
        <v>200</v>
      </c>
      <c r="D118" s="8" t="s">
        <v>77</v>
      </c>
      <c r="E118" s="8">
        <v>53</v>
      </c>
      <c r="F118" s="8">
        <v>61</v>
      </c>
      <c r="G118" s="8" t="s">
        <v>78</v>
      </c>
      <c r="H118" s="8" t="s">
        <v>58</v>
      </c>
    </row>
    <row r="119" spans="1:9">
      <c r="A119" s="8" t="s">
        <v>353</v>
      </c>
      <c r="B119" s="8" t="s">
        <v>199</v>
      </c>
      <c r="C119" s="8" t="s">
        <v>428</v>
      </c>
      <c r="D119" s="8" t="s">
        <v>323</v>
      </c>
      <c r="E119" s="8">
        <v>30</v>
      </c>
      <c r="F119" s="8">
        <v>34</v>
      </c>
      <c r="G119" s="8" t="s">
        <v>358</v>
      </c>
      <c r="H119" s="8" t="s">
        <v>420</v>
      </c>
    </row>
    <row r="120" spans="1:9">
      <c r="A120" s="20" t="s">
        <v>75</v>
      </c>
      <c r="B120" s="20" t="s">
        <v>255</v>
      </c>
      <c r="C120" s="20" t="s">
        <v>13</v>
      </c>
      <c r="D120" s="20" t="s">
        <v>14</v>
      </c>
      <c r="E120" s="20">
        <v>55</v>
      </c>
      <c r="F120" s="20">
        <v>60</v>
      </c>
      <c r="G120" s="20" t="s">
        <v>12</v>
      </c>
      <c r="H120" s="20" t="s">
        <v>107</v>
      </c>
      <c r="I120" s="20"/>
    </row>
    <row r="121" spans="1:9">
      <c r="A121" s="20" t="s">
        <v>75</v>
      </c>
      <c r="B121" s="20" t="s">
        <v>255</v>
      </c>
      <c r="C121" s="20" t="s">
        <v>13</v>
      </c>
      <c r="D121" s="20" t="s">
        <v>405</v>
      </c>
      <c r="E121" s="20">
        <v>62.5</v>
      </c>
      <c r="F121" s="20">
        <v>55</v>
      </c>
      <c r="G121" s="20" t="s">
        <v>19</v>
      </c>
      <c r="H121" s="20" t="s">
        <v>421</v>
      </c>
      <c r="I121" s="20"/>
    </row>
    <row r="122" spans="1:9">
      <c r="A122" s="20" t="s">
        <v>75</v>
      </c>
      <c r="B122" s="20" t="s">
        <v>255</v>
      </c>
      <c r="C122" s="20" t="s">
        <v>13</v>
      </c>
      <c r="D122" s="8" t="s">
        <v>469</v>
      </c>
      <c r="E122" s="8">
        <v>40</v>
      </c>
      <c r="F122" s="8" t="s">
        <v>114</v>
      </c>
      <c r="G122" s="8" t="s">
        <v>115</v>
      </c>
      <c r="H122" s="8" t="s">
        <v>513</v>
      </c>
    </row>
    <row r="123" spans="1:9">
      <c r="A123" s="20" t="s">
        <v>75</v>
      </c>
      <c r="B123" s="20" t="s">
        <v>255</v>
      </c>
      <c r="C123" s="20" t="s">
        <v>13</v>
      </c>
      <c r="D123" s="8" t="s">
        <v>470</v>
      </c>
      <c r="E123" s="8">
        <v>50</v>
      </c>
      <c r="F123" s="8" t="s">
        <v>114</v>
      </c>
      <c r="G123" s="8" t="s">
        <v>115</v>
      </c>
      <c r="H123" s="8" t="s">
        <v>513</v>
      </c>
    </row>
    <row r="124" spans="1:9">
      <c r="A124" s="8" t="s">
        <v>353</v>
      </c>
      <c r="B124" s="8" t="s">
        <v>359</v>
      </c>
      <c r="C124" s="8" t="s">
        <v>356</v>
      </c>
      <c r="D124" s="8" t="s">
        <v>481</v>
      </c>
      <c r="E124" s="8">
        <v>75</v>
      </c>
      <c r="F124" s="8" t="s">
        <v>476</v>
      </c>
      <c r="G124" s="8" t="s">
        <v>423</v>
      </c>
      <c r="H124" s="8" t="s">
        <v>513</v>
      </c>
    </row>
    <row r="125" spans="1:9">
      <c r="A125" s="8" t="s">
        <v>7</v>
      </c>
      <c r="B125" s="8" t="s">
        <v>152</v>
      </c>
      <c r="C125" s="8" t="s">
        <v>104</v>
      </c>
      <c r="D125" s="8" t="s">
        <v>482</v>
      </c>
      <c r="E125" s="8">
        <v>70.31</v>
      </c>
      <c r="F125" s="8">
        <v>70.94</v>
      </c>
      <c r="G125" s="8" t="s">
        <v>423</v>
      </c>
      <c r="H125" s="8" t="s">
        <v>513</v>
      </c>
    </row>
    <row r="126" spans="1:9">
      <c r="A126" s="8" t="s">
        <v>7</v>
      </c>
      <c r="B126" s="8" t="s">
        <v>152</v>
      </c>
      <c r="C126" s="8" t="s">
        <v>351</v>
      </c>
      <c r="D126" s="8" t="s">
        <v>502</v>
      </c>
      <c r="E126" s="8">
        <v>73.39</v>
      </c>
      <c r="F126" s="8">
        <v>72.62</v>
      </c>
      <c r="G126" s="8" t="s">
        <v>17</v>
      </c>
      <c r="H126" s="8" t="s">
        <v>483</v>
      </c>
    </row>
    <row r="127" spans="1:9">
      <c r="A127" s="8" t="s">
        <v>7</v>
      </c>
      <c r="B127" s="8" t="s">
        <v>152</v>
      </c>
      <c r="C127" s="8" t="s">
        <v>111</v>
      </c>
      <c r="D127" s="8" t="s">
        <v>466</v>
      </c>
      <c r="E127" s="8">
        <v>28.61</v>
      </c>
      <c r="F127" s="8">
        <v>36.67</v>
      </c>
      <c r="G127" s="8" t="s">
        <v>352</v>
      </c>
      <c r="H127" s="8" t="s">
        <v>513</v>
      </c>
    </row>
    <row r="128" spans="1:9">
      <c r="A128" s="8" t="s">
        <v>353</v>
      </c>
      <c r="B128" s="8" t="s">
        <v>359</v>
      </c>
      <c r="C128" s="8" t="s">
        <v>112</v>
      </c>
      <c r="D128" s="8" t="s">
        <v>467</v>
      </c>
      <c r="E128" s="8">
        <v>17.63</v>
      </c>
      <c r="F128" s="8">
        <v>17.2</v>
      </c>
      <c r="G128" s="8" t="s">
        <v>352</v>
      </c>
      <c r="H128" s="8" t="s">
        <v>513</v>
      </c>
    </row>
    <row r="129" spans="1:8">
      <c r="A129" s="8" t="s">
        <v>353</v>
      </c>
      <c r="B129" s="8" t="s">
        <v>359</v>
      </c>
      <c r="C129" s="8" t="s">
        <v>112</v>
      </c>
      <c r="D129" s="8" t="s">
        <v>468</v>
      </c>
      <c r="E129" s="8">
        <v>25.61</v>
      </c>
      <c r="F129" s="8">
        <v>24.39</v>
      </c>
      <c r="G129" s="8" t="s">
        <v>352</v>
      </c>
      <c r="H129" s="8" t="s">
        <v>513</v>
      </c>
    </row>
    <row r="130" spans="1:8">
      <c r="A130" s="8" t="s">
        <v>36</v>
      </c>
      <c r="B130" s="8" t="s">
        <v>199</v>
      </c>
      <c r="C130" s="8" t="s">
        <v>223</v>
      </c>
      <c r="D130" s="8" t="s">
        <v>224</v>
      </c>
      <c r="E130" s="8">
        <v>36.6</v>
      </c>
      <c r="F130" s="8">
        <v>36.799999999999997</v>
      </c>
      <c r="G130" s="8" t="s">
        <v>473</v>
      </c>
      <c r="H130" s="8" t="s">
        <v>513</v>
      </c>
    </row>
    <row r="131" spans="1:8">
      <c r="A131" s="8" t="s">
        <v>36</v>
      </c>
      <c r="B131" s="8" t="s">
        <v>199</v>
      </c>
      <c r="C131" s="8" t="s">
        <v>223</v>
      </c>
      <c r="D131" s="8" t="s">
        <v>154</v>
      </c>
      <c r="E131" s="8">
        <v>35.6</v>
      </c>
      <c r="F131" s="8">
        <v>32.799999999999997</v>
      </c>
      <c r="G131" s="8" t="s">
        <v>473</v>
      </c>
      <c r="H131" s="8" t="s">
        <v>513</v>
      </c>
    </row>
    <row r="132" spans="1:8">
      <c r="A132" s="8" t="s">
        <v>36</v>
      </c>
      <c r="B132" s="8" t="s">
        <v>199</v>
      </c>
      <c r="C132" s="8" t="s">
        <v>223</v>
      </c>
      <c r="D132" s="8" t="s">
        <v>155</v>
      </c>
      <c r="E132" s="8">
        <v>35.200000000000003</v>
      </c>
      <c r="F132" s="8">
        <v>31.7</v>
      </c>
      <c r="G132" s="8" t="s">
        <v>473</v>
      </c>
      <c r="H132" s="8" t="s">
        <v>513</v>
      </c>
    </row>
    <row r="133" spans="1:8">
      <c r="A133" s="8" t="s">
        <v>36</v>
      </c>
      <c r="B133" s="8" t="s">
        <v>199</v>
      </c>
      <c r="C133" s="8" t="s">
        <v>223</v>
      </c>
      <c r="D133" s="8" t="s">
        <v>156</v>
      </c>
      <c r="E133" s="8">
        <v>35.799999999999997</v>
      </c>
      <c r="F133" s="8">
        <v>31.1</v>
      </c>
      <c r="G133" s="8" t="s">
        <v>473</v>
      </c>
      <c r="H133" s="8" t="s">
        <v>513</v>
      </c>
    </row>
    <row r="134" spans="1:8">
      <c r="A134" s="8" t="s">
        <v>36</v>
      </c>
      <c r="B134" s="8" t="s">
        <v>199</v>
      </c>
      <c r="C134" s="8" t="s">
        <v>223</v>
      </c>
      <c r="D134" s="8" t="s">
        <v>157</v>
      </c>
      <c r="E134" s="8">
        <v>42.5</v>
      </c>
      <c r="F134" s="8">
        <v>40.9</v>
      </c>
      <c r="G134" s="8" t="s">
        <v>473</v>
      </c>
      <c r="H134" s="8" t="s">
        <v>513</v>
      </c>
    </row>
    <row r="135" spans="1:8">
      <c r="A135" s="8" t="s">
        <v>36</v>
      </c>
      <c r="B135" s="8" t="s">
        <v>199</v>
      </c>
      <c r="C135" s="8" t="s">
        <v>223</v>
      </c>
      <c r="D135" s="8" t="s">
        <v>158</v>
      </c>
      <c r="E135" s="8">
        <v>39.200000000000003</v>
      </c>
      <c r="F135" s="8">
        <v>38.4</v>
      </c>
      <c r="G135" s="8" t="s">
        <v>473</v>
      </c>
      <c r="H135" s="8" t="s">
        <v>513</v>
      </c>
    </row>
    <row r="136" spans="1:8">
      <c r="A136" s="8" t="s">
        <v>36</v>
      </c>
      <c r="B136" s="8" t="s">
        <v>199</v>
      </c>
      <c r="C136" s="8" t="s">
        <v>223</v>
      </c>
      <c r="D136" s="8" t="s">
        <v>159</v>
      </c>
      <c r="E136" s="8">
        <v>28.3</v>
      </c>
      <c r="F136" s="8">
        <v>29.9</v>
      </c>
      <c r="G136" s="8" t="s">
        <v>473</v>
      </c>
      <c r="H136" s="8" t="s">
        <v>513</v>
      </c>
    </row>
    <row r="137" spans="1:8">
      <c r="A137" s="8" t="s">
        <v>36</v>
      </c>
      <c r="B137" s="8" t="s">
        <v>199</v>
      </c>
      <c r="C137" s="8" t="s">
        <v>223</v>
      </c>
      <c r="D137" s="8" t="s">
        <v>160</v>
      </c>
      <c r="E137" s="8">
        <v>27.6</v>
      </c>
      <c r="F137" s="8">
        <v>26</v>
      </c>
      <c r="G137" s="8" t="s">
        <v>473</v>
      </c>
      <c r="H137" s="8" t="s">
        <v>513</v>
      </c>
    </row>
    <row r="138" spans="1:8">
      <c r="A138" s="8" t="s">
        <v>36</v>
      </c>
      <c r="B138" s="8" t="s">
        <v>199</v>
      </c>
      <c r="C138" s="8" t="s">
        <v>223</v>
      </c>
      <c r="D138" s="8" t="s">
        <v>161</v>
      </c>
      <c r="E138" s="8">
        <v>34.799999999999997</v>
      </c>
      <c r="F138" s="8">
        <v>32.700000000000003</v>
      </c>
      <c r="G138" s="8" t="s">
        <v>473</v>
      </c>
      <c r="H138" s="8" t="s">
        <v>513</v>
      </c>
    </row>
    <row r="139" spans="1:8">
      <c r="A139" s="8" t="s">
        <v>36</v>
      </c>
      <c r="B139" s="8" t="s">
        <v>199</v>
      </c>
      <c r="C139" s="8" t="s">
        <v>223</v>
      </c>
      <c r="D139" s="8" t="s">
        <v>162</v>
      </c>
      <c r="E139" s="8">
        <v>31.3</v>
      </c>
      <c r="F139" s="8">
        <v>31</v>
      </c>
      <c r="G139" s="8" t="s">
        <v>163</v>
      </c>
      <c r="H139" s="8" t="s">
        <v>513</v>
      </c>
    </row>
    <row r="140" spans="1:8">
      <c r="A140" s="8" t="s">
        <v>36</v>
      </c>
      <c r="B140" s="8" t="s">
        <v>199</v>
      </c>
      <c r="C140" s="8" t="s">
        <v>223</v>
      </c>
      <c r="D140" s="8" t="s">
        <v>164</v>
      </c>
      <c r="E140" s="8">
        <v>36.200000000000003</v>
      </c>
      <c r="F140" s="8">
        <v>36.1</v>
      </c>
      <c r="G140" s="8" t="s">
        <v>163</v>
      </c>
      <c r="H140" s="8" t="s">
        <v>513</v>
      </c>
    </row>
    <row r="141" spans="1:8">
      <c r="A141" s="8" t="s">
        <v>36</v>
      </c>
      <c r="B141" s="8" t="s">
        <v>199</v>
      </c>
      <c r="C141" s="8" t="s">
        <v>223</v>
      </c>
      <c r="D141" s="8" t="s">
        <v>165</v>
      </c>
      <c r="E141" s="8">
        <v>33.799999999999997</v>
      </c>
      <c r="F141" s="8">
        <v>31.2</v>
      </c>
      <c r="G141" s="8" t="s">
        <v>163</v>
      </c>
      <c r="H141" s="8" t="s">
        <v>513</v>
      </c>
    </row>
    <row r="142" spans="1:8">
      <c r="A142" s="8" t="s">
        <v>36</v>
      </c>
      <c r="B142" s="8" t="s">
        <v>199</v>
      </c>
      <c r="C142" s="8" t="s">
        <v>223</v>
      </c>
      <c r="D142" s="8" t="s">
        <v>166</v>
      </c>
      <c r="E142" s="8">
        <v>31.5</v>
      </c>
      <c r="F142" s="8">
        <v>36.700000000000003</v>
      </c>
      <c r="G142" s="8" t="s">
        <v>163</v>
      </c>
      <c r="H142" s="8" t="s">
        <v>513</v>
      </c>
    </row>
    <row r="143" spans="1:8">
      <c r="A143" s="8" t="s">
        <v>36</v>
      </c>
      <c r="B143" s="8" t="s">
        <v>199</v>
      </c>
      <c r="C143" s="8" t="s">
        <v>223</v>
      </c>
      <c r="D143" s="8" t="s">
        <v>381</v>
      </c>
      <c r="E143" s="8">
        <v>27</v>
      </c>
      <c r="F143" s="8">
        <v>33.4</v>
      </c>
      <c r="G143" s="8" t="s">
        <v>167</v>
      </c>
      <c r="H143" s="8" t="s">
        <v>513</v>
      </c>
    </row>
    <row r="144" spans="1:8">
      <c r="A144" s="8" t="s">
        <v>168</v>
      </c>
      <c r="B144" s="8" t="s">
        <v>169</v>
      </c>
      <c r="C144" s="8" t="s">
        <v>139</v>
      </c>
      <c r="D144" s="8" t="s">
        <v>382</v>
      </c>
      <c r="E144" s="8">
        <v>31.5</v>
      </c>
      <c r="F144" s="8">
        <v>30</v>
      </c>
      <c r="G144" s="8" t="s">
        <v>167</v>
      </c>
      <c r="H144" s="8" t="s">
        <v>513</v>
      </c>
    </row>
    <row r="145" spans="1:8">
      <c r="A145" s="8" t="s">
        <v>168</v>
      </c>
      <c r="B145" s="8" t="s">
        <v>169</v>
      </c>
      <c r="C145" s="8" t="s">
        <v>139</v>
      </c>
      <c r="D145" s="8" t="s">
        <v>472</v>
      </c>
      <c r="E145" s="8">
        <v>26.5</v>
      </c>
      <c r="F145" s="8">
        <v>28.6</v>
      </c>
      <c r="G145" s="8" t="s">
        <v>167</v>
      </c>
      <c r="H145" s="8" t="s">
        <v>513</v>
      </c>
    </row>
    <row r="146" spans="1:8">
      <c r="A146" s="8" t="s">
        <v>168</v>
      </c>
      <c r="B146" s="8" t="s">
        <v>169</v>
      </c>
      <c r="C146" s="8" t="s">
        <v>139</v>
      </c>
      <c r="D146" s="8" t="s">
        <v>140</v>
      </c>
      <c r="E146" s="8">
        <v>41.5</v>
      </c>
      <c r="F146" s="8">
        <v>38.299999999999997</v>
      </c>
      <c r="G146" s="8" t="s">
        <v>167</v>
      </c>
      <c r="H146" s="8" t="s">
        <v>513</v>
      </c>
    </row>
    <row r="147" spans="1:8">
      <c r="A147" s="8" t="s">
        <v>168</v>
      </c>
      <c r="B147" s="8" t="s">
        <v>169</v>
      </c>
      <c r="C147" s="8" t="s">
        <v>135</v>
      </c>
      <c r="D147" s="8" t="s">
        <v>15</v>
      </c>
      <c r="E147" s="8">
        <v>15</v>
      </c>
      <c r="F147" s="8" t="s">
        <v>16</v>
      </c>
      <c r="G147" s="8" t="s">
        <v>178</v>
      </c>
      <c r="H147" s="8" t="s">
        <v>465</v>
      </c>
    </row>
    <row r="148" spans="1:8">
      <c r="A148" s="8" t="s">
        <v>168</v>
      </c>
      <c r="B148" s="8" t="s">
        <v>169</v>
      </c>
      <c r="C148" s="8" t="s">
        <v>135</v>
      </c>
      <c r="D148" s="8" t="s">
        <v>464</v>
      </c>
      <c r="E148" s="8">
        <v>27.8</v>
      </c>
      <c r="F148" s="8" t="s">
        <v>16</v>
      </c>
      <c r="G148" s="8" t="s">
        <v>178</v>
      </c>
      <c r="H148" s="8" t="s">
        <v>465</v>
      </c>
    </row>
    <row r="149" spans="1:8">
      <c r="A149" s="8" t="s">
        <v>168</v>
      </c>
      <c r="B149" s="8" t="s">
        <v>169</v>
      </c>
      <c r="C149" s="8" t="s">
        <v>135</v>
      </c>
      <c r="D149" s="8" t="s">
        <v>136</v>
      </c>
      <c r="E149" s="8">
        <v>38.700000000000003</v>
      </c>
      <c r="F149" s="8">
        <v>28.5</v>
      </c>
      <c r="G149" s="8" t="s">
        <v>257</v>
      </c>
      <c r="H149" s="8" t="s">
        <v>465</v>
      </c>
    </row>
    <row r="150" spans="1:8">
      <c r="A150" s="8" t="s">
        <v>168</v>
      </c>
      <c r="B150" s="8" t="s">
        <v>169</v>
      </c>
      <c r="C150" s="8" t="s">
        <v>135</v>
      </c>
      <c r="D150" s="8" t="s">
        <v>258</v>
      </c>
      <c r="E150" s="8">
        <v>33.5</v>
      </c>
      <c r="F150" s="8">
        <v>24</v>
      </c>
      <c r="G150" s="8" t="s">
        <v>257</v>
      </c>
      <c r="H150" s="8" t="s">
        <v>465</v>
      </c>
    </row>
    <row r="151" spans="1:8">
      <c r="A151" s="8" t="s">
        <v>168</v>
      </c>
      <c r="B151" s="8" t="s">
        <v>169</v>
      </c>
      <c r="C151" s="8" t="s">
        <v>135</v>
      </c>
      <c r="D151" s="8" t="s">
        <v>259</v>
      </c>
      <c r="E151" s="8">
        <v>42.5</v>
      </c>
      <c r="F151" s="8">
        <v>34.700000000000003</v>
      </c>
      <c r="G151" s="8" t="s">
        <v>257</v>
      </c>
      <c r="H151" s="8" t="s">
        <v>465</v>
      </c>
    </row>
    <row r="152" spans="1:8">
      <c r="A152" s="8" t="s">
        <v>168</v>
      </c>
      <c r="B152" s="8" t="s">
        <v>169</v>
      </c>
      <c r="C152" s="8" t="s">
        <v>135</v>
      </c>
      <c r="D152" s="8" t="s">
        <v>260</v>
      </c>
      <c r="E152" s="8">
        <v>32.200000000000003</v>
      </c>
      <c r="F152" s="8">
        <v>26.4</v>
      </c>
      <c r="G152" s="8" t="s">
        <v>257</v>
      </c>
      <c r="H152" s="8" t="s">
        <v>465</v>
      </c>
    </row>
    <row r="153" spans="1:8">
      <c r="A153" s="8" t="s">
        <v>168</v>
      </c>
      <c r="B153" s="8" t="s">
        <v>116</v>
      </c>
      <c r="C153" s="8" t="s">
        <v>117</v>
      </c>
      <c r="D153" s="8" t="s">
        <v>397</v>
      </c>
      <c r="E153" s="8">
        <v>80</v>
      </c>
      <c r="F153" s="8">
        <v>81</v>
      </c>
      <c r="G153" s="8" t="s">
        <v>118</v>
      </c>
      <c r="H153" s="8" t="s">
        <v>503</v>
      </c>
    </row>
    <row r="154" spans="1:8">
      <c r="A154" s="8" t="s">
        <v>168</v>
      </c>
      <c r="B154" s="8" t="s">
        <v>116</v>
      </c>
      <c r="C154" s="8" t="s">
        <v>117</v>
      </c>
      <c r="D154" s="8" t="s">
        <v>279</v>
      </c>
      <c r="E154" s="8">
        <v>44</v>
      </c>
      <c r="F154" s="8">
        <v>41</v>
      </c>
      <c r="G154" s="8" t="s">
        <v>118</v>
      </c>
      <c r="H154" s="8" t="s">
        <v>503</v>
      </c>
    </row>
    <row r="155" spans="1:8">
      <c r="A155" s="8" t="s">
        <v>168</v>
      </c>
      <c r="B155" s="8" t="s">
        <v>116</v>
      </c>
      <c r="C155" s="8" t="s">
        <v>117</v>
      </c>
      <c r="D155" s="8" t="s">
        <v>280</v>
      </c>
      <c r="E155" s="8">
        <v>37</v>
      </c>
      <c r="F155" s="8">
        <v>35</v>
      </c>
      <c r="G155" s="8" t="s">
        <v>118</v>
      </c>
      <c r="H155" s="8" t="s">
        <v>503</v>
      </c>
    </row>
    <row r="156" spans="1:8">
      <c r="A156" s="8" t="s">
        <v>168</v>
      </c>
      <c r="B156" s="8" t="s">
        <v>116</v>
      </c>
      <c r="C156" s="8" t="s">
        <v>117</v>
      </c>
      <c r="D156" s="8" t="s">
        <v>281</v>
      </c>
      <c r="E156" s="8">
        <v>56</v>
      </c>
      <c r="F156" s="8">
        <v>65</v>
      </c>
      <c r="G156" s="8" t="s">
        <v>118</v>
      </c>
      <c r="H156" s="8" t="s">
        <v>513</v>
      </c>
    </row>
    <row r="157" spans="1:8">
      <c r="A157" s="8" t="s">
        <v>168</v>
      </c>
      <c r="B157" s="8" t="s">
        <v>116</v>
      </c>
      <c r="C157" s="8" t="s">
        <v>117</v>
      </c>
      <c r="D157" s="8" t="s">
        <v>282</v>
      </c>
      <c r="E157" s="8">
        <v>67</v>
      </c>
      <c r="F157" s="8">
        <v>66</v>
      </c>
      <c r="G157" s="8" t="s">
        <v>118</v>
      </c>
      <c r="H157" s="8" t="s">
        <v>513</v>
      </c>
    </row>
    <row r="158" spans="1:8">
      <c r="A158" s="8" t="s">
        <v>168</v>
      </c>
      <c r="B158" s="8" t="s">
        <v>116</v>
      </c>
      <c r="C158" s="8" t="s">
        <v>117</v>
      </c>
      <c r="D158" s="8" t="s">
        <v>125</v>
      </c>
      <c r="E158" s="8">
        <v>48</v>
      </c>
      <c r="F158" s="8">
        <v>50</v>
      </c>
      <c r="G158" s="8" t="s">
        <v>118</v>
      </c>
      <c r="H158" s="8" t="s">
        <v>513</v>
      </c>
    </row>
    <row r="159" spans="1:8">
      <c r="A159" s="8" t="s">
        <v>168</v>
      </c>
      <c r="B159" s="8" t="s">
        <v>116</v>
      </c>
      <c r="C159" s="8" t="s">
        <v>117</v>
      </c>
      <c r="D159" s="8" t="s">
        <v>126</v>
      </c>
      <c r="E159" s="8">
        <v>80</v>
      </c>
      <c r="F159" s="8" t="s">
        <v>476</v>
      </c>
      <c r="G159" s="8" t="s">
        <v>127</v>
      </c>
      <c r="H159" s="8" t="s">
        <v>513</v>
      </c>
    </row>
    <row r="160" spans="1:8">
      <c r="A160" s="8" t="s">
        <v>103</v>
      </c>
      <c r="B160" s="8" t="s">
        <v>152</v>
      </c>
      <c r="C160" s="8" t="s">
        <v>128</v>
      </c>
      <c r="D160" s="8" t="s">
        <v>276</v>
      </c>
      <c r="E160" s="8">
        <v>68</v>
      </c>
      <c r="F160" s="8">
        <v>67</v>
      </c>
      <c r="G160" s="8" t="s">
        <v>127</v>
      </c>
      <c r="H160" s="8" t="s">
        <v>513</v>
      </c>
    </row>
    <row r="161" spans="1:12">
      <c r="A161" s="8" t="s">
        <v>103</v>
      </c>
      <c r="B161" s="8" t="s">
        <v>152</v>
      </c>
      <c r="C161" s="8" t="s">
        <v>128</v>
      </c>
      <c r="D161" s="8" t="s">
        <v>451</v>
      </c>
      <c r="E161" s="8">
        <v>25</v>
      </c>
      <c r="F161" s="8" t="s">
        <v>256</v>
      </c>
      <c r="G161" s="8" t="s">
        <v>367</v>
      </c>
      <c r="H161" s="8" t="s">
        <v>513</v>
      </c>
    </row>
    <row r="162" spans="1:12">
      <c r="A162" s="8" t="s">
        <v>103</v>
      </c>
      <c r="B162" s="8" t="s">
        <v>152</v>
      </c>
      <c r="C162" s="8" t="s">
        <v>128</v>
      </c>
      <c r="D162" s="8" t="s">
        <v>451</v>
      </c>
      <c r="E162" s="8">
        <v>115</v>
      </c>
      <c r="F162" s="8" t="s">
        <v>256</v>
      </c>
      <c r="G162" s="8" t="s">
        <v>367</v>
      </c>
      <c r="H162" s="8" t="s">
        <v>513</v>
      </c>
    </row>
    <row r="163" spans="1:12">
      <c r="A163" s="8" t="s">
        <v>103</v>
      </c>
      <c r="B163" s="8" t="s">
        <v>152</v>
      </c>
      <c r="C163" s="8" t="s">
        <v>128</v>
      </c>
      <c r="D163" s="8" t="s">
        <v>277</v>
      </c>
      <c r="E163" s="8">
        <v>90</v>
      </c>
      <c r="F163" s="8">
        <v>90</v>
      </c>
      <c r="G163" s="8" t="s">
        <v>172</v>
      </c>
      <c r="H163" s="8" t="s">
        <v>513</v>
      </c>
    </row>
    <row r="164" spans="1:12">
      <c r="A164" s="8" t="s">
        <v>103</v>
      </c>
      <c r="B164" s="8" t="s">
        <v>152</v>
      </c>
      <c r="C164" s="8" t="s">
        <v>128</v>
      </c>
      <c r="D164" s="8" t="s">
        <v>173</v>
      </c>
      <c r="E164" s="8">
        <v>83.33</v>
      </c>
      <c r="F164" s="8">
        <v>89.47</v>
      </c>
      <c r="G164" s="8" t="s">
        <v>172</v>
      </c>
      <c r="H164" s="8" t="s">
        <v>513</v>
      </c>
    </row>
    <row r="165" spans="1:12">
      <c r="A165" s="8" t="s">
        <v>103</v>
      </c>
      <c r="B165" s="8" t="s">
        <v>152</v>
      </c>
      <c r="C165" s="8" t="s">
        <v>128</v>
      </c>
      <c r="D165" s="8" t="s">
        <v>235</v>
      </c>
      <c r="E165" s="8">
        <v>64.040000000000006</v>
      </c>
      <c r="F165" s="8">
        <v>66.67</v>
      </c>
      <c r="G165" s="8" t="s">
        <v>172</v>
      </c>
      <c r="H165" s="8" t="s">
        <v>513</v>
      </c>
    </row>
    <row r="166" spans="1:12" s="7" customFormat="1">
      <c r="A166" s="8" t="s">
        <v>103</v>
      </c>
      <c r="B166" s="8" t="s">
        <v>152</v>
      </c>
      <c r="C166" s="8" t="s">
        <v>128</v>
      </c>
      <c r="D166" s="8" t="s">
        <v>81</v>
      </c>
      <c r="E166" s="8">
        <v>63.16</v>
      </c>
      <c r="F166" s="8">
        <v>64.91</v>
      </c>
      <c r="G166" s="8" t="s">
        <v>172</v>
      </c>
      <c r="H166" s="8" t="s">
        <v>513</v>
      </c>
      <c r="I166" s="8"/>
      <c r="J166" s="8"/>
    </row>
    <row r="167" spans="1:12" s="7" customFormat="1">
      <c r="A167" s="8" t="s">
        <v>103</v>
      </c>
      <c r="B167" s="8" t="s">
        <v>152</v>
      </c>
      <c r="C167" s="8" t="s">
        <v>128</v>
      </c>
      <c r="D167" s="8" t="s">
        <v>82</v>
      </c>
      <c r="E167" s="8">
        <v>37.32</v>
      </c>
      <c r="F167" s="8">
        <v>33.770000000000003</v>
      </c>
      <c r="G167" s="8" t="s">
        <v>172</v>
      </c>
      <c r="H167" s="8" t="s">
        <v>513</v>
      </c>
      <c r="I167" s="8"/>
      <c r="J167" s="8"/>
    </row>
    <row r="168" spans="1:12" s="7" customFormat="1">
      <c r="A168" s="8" t="s">
        <v>103</v>
      </c>
      <c r="B168" s="8" t="s">
        <v>152</v>
      </c>
      <c r="C168" s="8" t="s">
        <v>128</v>
      </c>
      <c r="D168" s="8" t="s">
        <v>451</v>
      </c>
      <c r="E168" s="8">
        <v>25</v>
      </c>
      <c r="F168" s="8" t="s">
        <v>476</v>
      </c>
      <c r="G168" s="8" t="s">
        <v>172</v>
      </c>
      <c r="H168" s="8" t="s">
        <v>513</v>
      </c>
      <c r="I168" s="8"/>
      <c r="J168" s="8"/>
    </row>
    <row r="169" spans="1:12" s="7" customFormat="1">
      <c r="A169" s="8" t="s">
        <v>103</v>
      </c>
      <c r="B169" s="8" t="s">
        <v>152</v>
      </c>
      <c r="C169" s="8" t="s">
        <v>83</v>
      </c>
      <c r="D169" s="8" t="s">
        <v>84</v>
      </c>
      <c r="E169" s="8">
        <v>40.380000000000003</v>
      </c>
      <c r="F169" s="8">
        <v>51.32</v>
      </c>
      <c r="G169" s="8" t="s">
        <v>11</v>
      </c>
      <c r="H169" s="8" t="s">
        <v>463</v>
      </c>
      <c r="I169" s="8"/>
      <c r="J169" s="8"/>
    </row>
    <row r="170" spans="1:12" s="7" customFormat="1">
      <c r="A170" s="8" t="s">
        <v>103</v>
      </c>
      <c r="B170" s="8" t="s">
        <v>152</v>
      </c>
      <c r="C170" s="8" t="s">
        <v>83</v>
      </c>
      <c r="D170" s="8" t="s">
        <v>270</v>
      </c>
      <c r="E170" s="8">
        <v>37.86</v>
      </c>
      <c r="F170" s="8">
        <v>27.38</v>
      </c>
      <c r="G170" s="8" t="s">
        <v>11</v>
      </c>
      <c r="H170" s="8" t="s">
        <v>463</v>
      </c>
      <c r="I170" s="8"/>
      <c r="J170" s="8"/>
    </row>
    <row r="171" spans="1:12" s="7" customFormat="1">
      <c r="A171" s="8" t="s">
        <v>103</v>
      </c>
      <c r="B171" s="8" t="s">
        <v>152</v>
      </c>
      <c r="C171" s="8" t="s">
        <v>171</v>
      </c>
      <c r="D171" s="8" t="s">
        <v>271</v>
      </c>
      <c r="E171" s="8">
        <v>36.22</v>
      </c>
      <c r="F171" s="8">
        <v>25.95</v>
      </c>
      <c r="G171" s="8" t="s">
        <v>11</v>
      </c>
      <c r="H171" s="8" t="s">
        <v>460</v>
      </c>
      <c r="I171" s="8"/>
    </row>
    <row r="172" spans="1:12" s="7" customFormat="1">
      <c r="A172" s="7" t="s">
        <v>284</v>
      </c>
      <c r="B172" s="7" t="s">
        <v>123</v>
      </c>
      <c r="C172" s="7" t="s">
        <v>265</v>
      </c>
      <c r="D172" s="7" t="s">
        <v>458</v>
      </c>
      <c r="E172" s="7">
        <v>30</v>
      </c>
      <c r="F172" s="7">
        <v>25</v>
      </c>
      <c r="G172" s="7" t="s">
        <v>266</v>
      </c>
      <c r="H172" s="8" t="s">
        <v>513</v>
      </c>
    </row>
    <row r="173" spans="1:12" s="7" customFormat="1">
      <c r="A173" s="7" t="s">
        <v>284</v>
      </c>
      <c r="B173" s="7" t="s">
        <v>123</v>
      </c>
      <c r="C173" s="7" t="s">
        <v>265</v>
      </c>
      <c r="D173" s="7" t="s">
        <v>459</v>
      </c>
      <c r="E173" s="7">
        <v>15</v>
      </c>
      <c r="F173" s="7">
        <v>15</v>
      </c>
      <c r="G173" s="7" t="s">
        <v>266</v>
      </c>
      <c r="H173" s="8" t="s">
        <v>513</v>
      </c>
    </row>
    <row r="174" spans="1:12">
      <c r="A174" s="8" t="s">
        <v>284</v>
      </c>
      <c r="B174" s="8" t="s">
        <v>152</v>
      </c>
      <c r="C174" s="8" t="s">
        <v>285</v>
      </c>
      <c r="D174" s="6" t="s">
        <v>286</v>
      </c>
      <c r="E174" s="7">
        <v>57</v>
      </c>
      <c r="F174" s="7">
        <v>24</v>
      </c>
      <c r="G174" s="7" t="s">
        <v>264</v>
      </c>
      <c r="H174" s="8" t="s">
        <v>513</v>
      </c>
    </row>
    <row r="175" spans="1:12">
      <c r="A175" s="7" t="s">
        <v>284</v>
      </c>
      <c r="B175" s="7" t="s">
        <v>152</v>
      </c>
      <c r="C175" s="7" t="s">
        <v>290</v>
      </c>
      <c r="D175" s="7" t="s">
        <v>504</v>
      </c>
      <c r="E175" s="7">
        <v>16.96</v>
      </c>
      <c r="F175" s="7">
        <v>17.829999999999998</v>
      </c>
      <c r="G175" s="7" t="s">
        <v>291</v>
      </c>
      <c r="H175" s="8" t="s">
        <v>513</v>
      </c>
      <c r="I175" s="7"/>
      <c r="J175" s="7"/>
      <c r="L175" s="1"/>
    </row>
    <row r="176" spans="1:12">
      <c r="A176" s="7" t="s">
        <v>284</v>
      </c>
      <c r="B176" s="7" t="s">
        <v>152</v>
      </c>
      <c r="C176" s="7" t="s">
        <v>290</v>
      </c>
      <c r="D176" s="7" t="s">
        <v>505</v>
      </c>
      <c r="E176" s="7">
        <v>14.78</v>
      </c>
      <c r="F176" s="7">
        <v>14.78</v>
      </c>
      <c r="G176" s="7" t="s">
        <v>291</v>
      </c>
      <c r="H176" s="8" t="s">
        <v>513</v>
      </c>
      <c r="I176" s="7"/>
      <c r="J176" s="7"/>
      <c r="L176" s="1"/>
    </row>
    <row r="177" spans="1:12">
      <c r="A177" s="7" t="s">
        <v>284</v>
      </c>
      <c r="B177" s="7" t="s">
        <v>152</v>
      </c>
      <c r="C177" s="7" t="s">
        <v>290</v>
      </c>
      <c r="D177" s="7" t="s">
        <v>506</v>
      </c>
      <c r="E177" s="7">
        <v>14.35</v>
      </c>
      <c r="F177" s="7">
        <v>19.57</v>
      </c>
      <c r="G177" s="7" t="s">
        <v>291</v>
      </c>
      <c r="H177" s="8" t="s">
        <v>513</v>
      </c>
      <c r="I177" s="7"/>
      <c r="J177" s="7"/>
      <c r="L177" s="1"/>
    </row>
    <row r="178" spans="1:12">
      <c r="A178" s="7" t="s">
        <v>284</v>
      </c>
      <c r="B178" s="7" t="s">
        <v>152</v>
      </c>
      <c r="C178" s="7" t="s">
        <v>290</v>
      </c>
      <c r="D178" s="7" t="s">
        <v>507</v>
      </c>
      <c r="E178" s="7">
        <v>36.520000000000003</v>
      </c>
      <c r="F178" s="7">
        <v>36.96</v>
      </c>
      <c r="G178" s="7" t="s">
        <v>291</v>
      </c>
      <c r="H178" s="8" t="s">
        <v>513</v>
      </c>
      <c r="I178" s="7"/>
      <c r="J178" s="7"/>
      <c r="L178" s="1"/>
    </row>
    <row r="179" spans="1:12">
      <c r="A179" s="8" t="s">
        <v>283</v>
      </c>
      <c r="B179" s="8" t="s">
        <v>152</v>
      </c>
      <c r="C179" s="8" t="s">
        <v>295</v>
      </c>
      <c r="D179" s="8" t="s">
        <v>457</v>
      </c>
      <c r="E179" s="8">
        <v>42</v>
      </c>
      <c r="F179" s="8">
        <v>47</v>
      </c>
      <c r="G179" s="8" t="s">
        <v>296</v>
      </c>
      <c r="H179" s="8" t="s">
        <v>432</v>
      </c>
      <c r="I179" s="7"/>
    </row>
    <row r="180" spans="1:12">
      <c r="A180" s="7" t="s">
        <v>283</v>
      </c>
      <c r="B180" s="7" t="s">
        <v>152</v>
      </c>
      <c r="C180" s="7" t="s">
        <v>2</v>
      </c>
      <c r="D180" s="7" t="s">
        <v>453</v>
      </c>
      <c r="E180" s="7">
        <v>36.14</v>
      </c>
      <c r="F180" s="7">
        <v>30.25</v>
      </c>
      <c r="G180" s="7" t="s">
        <v>289</v>
      </c>
      <c r="H180" s="8" t="s">
        <v>513</v>
      </c>
      <c r="I180" s="7"/>
    </row>
    <row r="181" spans="1:12">
      <c r="A181" s="7" t="s">
        <v>283</v>
      </c>
      <c r="B181" s="7" t="s">
        <v>152</v>
      </c>
      <c r="C181" s="7" t="s">
        <v>2</v>
      </c>
      <c r="D181" s="7" t="s">
        <v>454</v>
      </c>
      <c r="E181" s="7">
        <v>36.200000000000003</v>
      </c>
      <c r="F181" s="7">
        <v>38.71</v>
      </c>
      <c r="G181" s="7" t="s">
        <v>289</v>
      </c>
      <c r="H181" s="8" t="s">
        <v>513</v>
      </c>
    </row>
    <row r="182" spans="1:12">
      <c r="A182" s="8" t="s">
        <v>283</v>
      </c>
      <c r="B182" s="8" t="s">
        <v>152</v>
      </c>
      <c r="C182" s="7" t="s">
        <v>2</v>
      </c>
      <c r="D182" s="8" t="s">
        <v>455</v>
      </c>
      <c r="E182" s="8">
        <v>42.89</v>
      </c>
      <c r="F182" s="8">
        <v>46.29</v>
      </c>
      <c r="G182" s="8" t="s">
        <v>289</v>
      </c>
      <c r="H182" s="8" t="s">
        <v>513</v>
      </c>
    </row>
    <row r="183" spans="1:12">
      <c r="A183" s="8" t="s">
        <v>283</v>
      </c>
      <c r="B183" s="8" t="s">
        <v>152</v>
      </c>
      <c r="C183" s="7" t="s">
        <v>2</v>
      </c>
      <c r="D183" s="8" t="s">
        <v>456</v>
      </c>
      <c r="E183" s="8">
        <v>39.090000000000003</v>
      </c>
      <c r="F183" s="8">
        <v>37.06</v>
      </c>
      <c r="G183" s="8" t="s">
        <v>289</v>
      </c>
      <c r="H183" s="8" t="s">
        <v>513</v>
      </c>
    </row>
    <row r="184" spans="1:12">
      <c r="A184" s="8" t="s">
        <v>283</v>
      </c>
      <c r="B184" s="8" t="s">
        <v>152</v>
      </c>
      <c r="C184" s="8" t="s">
        <v>452</v>
      </c>
      <c r="D184" s="8" t="s">
        <v>297</v>
      </c>
      <c r="E184" s="8">
        <v>49</v>
      </c>
      <c r="F184" s="8">
        <v>53</v>
      </c>
      <c r="G184" s="8" t="s">
        <v>385</v>
      </c>
      <c r="H184" s="8" t="s">
        <v>513</v>
      </c>
      <c r="K184" s="23"/>
    </row>
    <row r="185" spans="1:12">
      <c r="A185" s="8" t="s">
        <v>283</v>
      </c>
      <c r="B185" s="8" t="s">
        <v>152</v>
      </c>
      <c r="C185" s="8" t="s">
        <v>452</v>
      </c>
      <c r="D185" s="8" t="s">
        <v>308</v>
      </c>
      <c r="E185" s="8">
        <v>50</v>
      </c>
      <c r="F185" s="8">
        <v>52.5</v>
      </c>
      <c r="G185" s="8" t="s">
        <v>385</v>
      </c>
      <c r="H185" s="8" t="s">
        <v>513</v>
      </c>
    </row>
    <row r="186" spans="1:12">
      <c r="A186" s="8" t="s">
        <v>283</v>
      </c>
      <c r="B186" s="8" t="s">
        <v>152</v>
      </c>
      <c r="C186" s="8" t="s">
        <v>452</v>
      </c>
      <c r="D186" s="8" t="s">
        <v>309</v>
      </c>
      <c r="E186" s="8">
        <v>51.5</v>
      </c>
      <c r="F186" s="8">
        <v>50</v>
      </c>
      <c r="G186" s="8" t="s">
        <v>385</v>
      </c>
      <c r="H186" s="8" t="s">
        <v>513</v>
      </c>
    </row>
    <row r="187" spans="1:12">
      <c r="A187" s="8" t="s">
        <v>283</v>
      </c>
      <c r="B187" s="8" t="s">
        <v>152</v>
      </c>
      <c r="C187" s="8" t="s">
        <v>452</v>
      </c>
      <c r="D187" s="8" t="s">
        <v>176</v>
      </c>
      <c r="E187" s="8">
        <v>51</v>
      </c>
      <c r="F187" s="8">
        <v>48</v>
      </c>
      <c r="G187" s="8" t="s">
        <v>385</v>
      </c>
      <c r="H187" s="8" t="s">
        <v>513</v>
      </c>
    </row>
    <row r="188" spans="1:12">
      <c r="A188" s="8" t="s">
        <v>283</v>
      </c>
      <c r="B188" s="8" t="s">
        <v>152</v>
      </c>
      <c r="C188" s="8" t="s">
        <v>452</v>
      </c>
      <c r="D188" s="8" t="s">
        <v>59</v>
      </c>
      <c r="E188" s="8">
        <v>38</v>
      </c>
      <c r="F188" s="8">
        <v>32</v>
      </c>
      <c r="G188" s="8" t="s">
        <v>385</v>
      </c>
      <c r="H188" s="8" t="s">
        <v>513</v>
      </c>
    </row>
    <row r="189" spans="1:12">
      <c r="A189" s="8" t="s">
        <v>283</v>
      </c>
      <c r="B189" s="8" t="s">
        <v>152</v>
      </c>
      <c r="C189" s="8" t="s">
        <v>452</v>
      </c>
      <c r="D189" s="8" t="s">
        <v>50</v>
      </c>
      <c r="E189" s="8">
        <v>38</v>
      </c>
      <c r="F189" s="8">
        <v>38</v>
      </c>
      <c r="G189" s="8" t="s">
        <v>385</v>
      </c>
      <c r="H189" s="8" t="s">
        <v>513</v>
      </c>
    </row>
    <row r="190" spans="1:12">
      <c r="A190" s="8" t="s">
        <v>283</v>
      </c>
      <c r="B190" s="8" t="s">
        <v>152</v>
      </c>
      <c r="C190" s="8" t="s">
        <v>452</v>
      </c>
      <c r="D190" s="8" t="s">
        <v>51</v>
      </c>
      <c r="E190" s="8">
        <v>36</v>
      </c>
      <c r="F190" s="8">
        <v>39.5</v>
      </c>
      <c r="G190" s="8" t="s">
        <v>385</v>
      </c>
      <c r="H190" s="8" t="s">
        <v>513</v>
      </c>
    </row>
    <row r="191" spans="1:12">
      <c r="A191" s="8" t="s">
        <v>283</v>
      </c>
      <c r="B191" s="8" t="s">
        <v>152</v>
      </c>
      <c r="C191" s="8" t="s">
        <v>452</v>
      </c>
      <c r="D191" s="8" t="s">
        <v>213</v>
      </c>
      <c r="E191" s="8">
        <v>41</v>
      </c>
      <c r="F191" s="8">
        <v>35</v>
      </c>
      <c r="G191" s="8" t="s">
        <v>385</v>
      </c>
      <c r="H191" s="8" t="s">
        <v>513</v>
      </c>
    </row>
    <row r="192" spans="1:12">
      <c r="A192" s="8" t="s">
        <v>283</v>
      </c>
      <c r="B192" s="8" t="s">
        <v>152</v>
      </c>
      <c r="C192" s="8" t="s">
        <v>452</v>
      </c>
      <c r="D192" s="8" t="s">
        <v>214</v>
      </c>
      <c r="E192" s="8">
        <v>41</v>
      </c>
      <c r="F192" s="8">
        <v>35</v>
      </c>
      <c r="G192" s="8" t="s">
        <v>385</v>
      </c>
      <c r="H192" s="8" t="s">
        <v>513</v>
      </c>
    </row>
    <row r="193" spans="1:8">
      <c r="A193" s="8" t="s">
        <v>283</v>
      </c>
      <c r="B193" s="8" t="s">
        <v>152</v>
      </c>
      <c r="C193" s="8" t="s">
        <v>215</v>
      </c>
      <c r="D193" s="8" t="s">
        <v>216</v>
      </c>
      <c r="E193" s="8">
        <v>35</v>
      </c>
      <c r="F193" s="8">
        <v>43</v>
      </c>
      <c r="G193" s="8" t="s">
        <v>230</v>
      </c>
      <c r="H193" s="8" t="s">
        <v>513</v>
      </c>
    </row>
    <row r="194" spans="1:8">
      <c r="A194" s="8" t="s">
        <v>283</v>
      </c>
      <c r="B194" s="8" t="s">
        <v>152</v>
      </c>
      <c r="C194" s="8" t="s">
        <v>215</v>
      </c>
      <c r="D194" s="8" t="s">
        <v>231</v>
      </c>
      <c r="E194" s="8">
        <v>38</v>
      </c>
      <c r="F194" s="8">
        <v>42</v>
      </c>
      <c r="G194" s="8" t="s">
        <v>230</v>
      </c>
      <c r="H194" s="8" t="s">
        <v>513</v>
      </c>
    </row>
    <row r="195" spans="1:8">
      <c r="A195" s="8" t="s">
        <v>283</v>
      </c>
      <c r="B195" s="8" t="s">
        <v>152</v>
      </c>
      <c r="C195" s="8" t="s">
        <v>215</v>
      </c>
      <c r="D195" s="8" t="s">
        <v>227</v>
      </c>
      <c r="E195" s="8">
        <v>38</v>
      </c>
      <c r="F195" s="8">
        <v>43</v>
      </c>
      <c r="G195" s="8" t="s">
        <v>230</v>
      </c>
      <c r="H195" s="8" t="s">
        <v>513</v>
      </c>
    </row>
    <row r="196" spans="1:8">
      <c r="A196" s="8" t="s">
        <v>283</v>
      </c>
      <c r="B196" s="8" t="s">
        <v>152</v>
      </c>
      <c r="C196" s="8" t="s">
        <v>215</v>
      </c>
      <c r="D196" s="8" t="s">
        <v>228</v>
      </c>
      <c r="E196" s="8">
        <v>37</v>
      </c>
      <c r="F196" s="8">
        <v>41</v>
      </c>
      <c r="G196" s="8" t="s">
        <v>230</v>
      </c>
      <c r="H196" s="8" t="s">
        <v>513</v>
      </c>
    </row>
    <row r="197" spans="1:8">
      <c r="A197" s="8" t="s">
        <v>283</v>
      </c>
      <c r="B197" s="8" t="s">
        <v>152</v>
      </c>
      <c r="C197" s="8" t="s">
        <v>215</v>
      </c>
      <c r="D197" s="8" t="s">
        <v>229</v>
      </c>
      <c r="E197" s="8">
        <v>41</v>
      </c>
      <c r="F197" s="8">
        <v>45</v>
      </c>
      <c r="G197" s="8" t="s">
        <v>230</v>
      </c>
      <c r="H197" s="8" t="s">
        <v>513</v>
      </c>
    </row>
    <row r="198" spans="1:8">
      <c r="A198" s="8" t="s">
        <v>283</v>
      </c>
      <c r="B198" s="8" t="s">
        <v>152</v>
      </c>
      <c r="C198" s="8" t="s">
        <v>109</v>
      </c>
      <c r="D198" s="8" t="s">
        <v>27</v>
      </c>
      <c r="E198" s="8">
        <v>30</v>
      </c>
      <c r="F198" s="8">
        <v>34</v>
      </c>
      <c r="G198" s="8" t="s">
        <v>151</v>
      </c>
      <c r="H198" s="8" t="s">
        <v>31</v>
      </c>
    </row>
    <row r="199" spans="1:8">
      <c r="A199" s="8" t="s">
        <v>283</v>
      </c>
      <c r="B199" s="8" t="s">
        <v>152</v>
      </c>
      <c r="C199" s="8" t="s">
        <v>109</v>
      </c>
      <c r="D199" s="8" t="s">
        <v>28</v>
      </c>
      <c r="E199" s="8">
        <v>23</v>
      </c>
      <c r="F199" s="8">
        <v>24</v>
      </c>
      <c r="G199" s="8" t="s">
        <v>151</v>
      </c>
      <c r="H199" s="8" t="s">
        <v>31</v>
      </c>
    </row>
    <row r="200" spans="1:8">
      <c r="A200" s="8" t="s">
        <v>283</v>
      </c>
      <c r="B200" s="8" t="s">
        <v>152</v>
      </c>
      <c r="C200" s="8" t="s">
        <v>109</v>
      </c>
      <c r="D200" s="8" t="s">
        <v>29</v>
      </c>
      <c r="E200" s="8">
        <v>26</v>
      </c>
      <c r="F200" s="8">
        <v>26</v>
      </c>
      <c r="G200" s="8" t="s">
        <v>151</v>
      </c>
      <c r="H200" s="8" t="s">
        <v>31</v>
      </c>
    </row>
    <row r="201" spans="1:8">
      <c r="A201" s="8" t="s">
        <v>283</v>
      </c>
      <c r="B201" s="8" t="s">
        <v>120</v>
      </c>
      <c r="C201" s="8" t="s">
        <v>109</v>
      </c>
      <c r="D201" s="8" t="s">
        <v>30</v>
      </c>
      <c r="E201" s="8">
        <v>32</v>
      </c>
      <c r="F201" s="8">
        <v>30</v>
      </c>
      <c r="G201" s="8" t="s">
        <v>151</v>
      </c>
      <c r="H201" s="8" t="s">
        <v>31</v>
      </c>
    </row>
    <row r="202" spans="1:8">
      <c r="A202" s="8" t="s">
        <v>283</v>
      </c>
      <c r="B202" s="8" t="s">
        <v>152</v>
      </c>
      <c r="C202" s="8" t="s">
        <v>232</v>
      </c>
      <c r="D202" s="8" t="s">
        <v>233</v>
      </c>
      <c r="E202" s="8">
        <v>30</v>
      </c>
      <c r="F202" s="8">
        <v>28</v>
      </c>
      <c r="G202" s="8" t="s">
        <v>234</v>
      </c>
      <c r="H202" s="8" t="s">
        <v>513</v>
      </c>
    </row>
    <row r="203" spans="1:8">
      <c r="A203" s="8" t="s">
        <v>100</v>
      </c>
      <c r="B203" s="8" t="s">
        <v>359</v>
      </c>
      <c r="C203" s="8" t="s">
        <v>232</v>
      </c>
      <c r="D203" s="8" t="s">
        <v>221</v>
      </c>
      <c r="E203" s="8">
        <v>28</v>
      </c>
      <c r="F203" s="8">
        <v>39</v>
      </c>
      <c r="G203" s="8" t="s">
        <v>234</v>
      </c>
      <c r="H203" s="8" t="s">
        <v>513</v>
      </c>
    </row>
    <row r="204" spans="1:8">
      <c r="A204" s="8" t="s">
        <v>100</v>
      </c>
      <c r="B204" s="8" t="s">
        <v>359</v>
      </c>
      <c r="C204" s="8" t="s">
        <v>232</v>
      </c>
      <c r="D204" s="8" t="s">
        <v>222</v>
      </c>
      <c r="E204" s="8">
        <v>36</v>
      </c>
      <c r="F204" s="8">
        <v>32</v>
      </c>
      <c r="G204" s="8" t="s">
        <v>234</v>
      </c>
      <c r="H204" s="8" t="s">
        <v>513</v>
      </c>
    </row>
    <row r="205" spans="1:8">
      <c r="A205" s="8" t="s">
        <v>100</v>
      </c>
      <c r="B205" s="8" t="s">
        <v>359</v>
      </c>
      <c r="C205" s="8" t="s">
        <v>232</v>
      </c>
      <c r="D205" s="8" t="s">
        <v>55</v>
      </c>
      <c r="E205" s="8">
        <v>30</v>
      </c>
      <c r="F205" s="8">
        <v>29</v>
      </c>
      <c r="G205" s="8" t="s">
        <v>234</v>
      </c>
      <c r="H205" s="8" t="s">
        <v>513</v>
      </c>
    </row>
    <row r="206" spans="1:8">
      <c r="A206" s="8" t="s">
        <v>100</v>
      </c>
      <c r="B206" s="8" t="s">
        <v>359</v>
      </c>
      <c r="C206" s="8" t="s">
        <v>232</v>
      </c>
      <c r="D206" s="8" t="s">
        <v>175</v>
      </c>
      <c r="E206" s="8">
        <v>36</v>
      </c>
      <c r="F206" s="8">
        <v>35</v>
      </c>
      <c r="G206" s="8" t="s">
        <v>234</v>
      </c>
      <c r="H206" s="8" t="s">
        <v>513</v>
      </c>
    </row>
    <row r="207" spans="1:8">
      <c r="A207" s="8" t="s">
        <v>100</v>
      </c>
      <c r="B207" s="8" t="s">
        <v>359</v>
      </c>
      <c r="C207" s="8" t="s">
        <v>20</v>
      </c>
      <c r="D207" s="8" t="s">
        <v>56</v>
      </c>
      <c r="E207" s="8">
        <v>28.5</v>
      </c>
      <c r="F207" s="8">
        <v>30</v>
      </c>
      <c r="G207" s="8" t="s">
        <v>234</v>
      </c>
      <c r="H207" s="8" t="s">
        <v>511</v>
      </c>
    </row>
    <row r="208" spans="1:8">
      <c r="A208" s="8" t="s">
        <v>100</v>
      </c>
      <c r="B208" s="8" t="s">
        <v>359</v>
      </c>
      <c r="C208" s="8" t="s">
        <v>20</v>
      </c>
      <c r="D208" s="8" t="s">
        <v>312</v>
      </c>
      <c r="E208" s="8">
        <v>30</v>
      </c>
      <c r="F208" s="8">
        <v>23</v>
      </c>
      <c r="G208" s="8" t="s">
        <v>66</v>
      </c>
      <c r="H208" s="8" t="s">
        <v>511</v>
      </c>
    </row>
    <row r="209" spans="1:8">
      <c r="A209" s="8" t="s">
        <v>67</v>
      </c>
      <c r="B209" s="8" t="s">
        <v>68</v>
      </c>
      <c r="C209" s="8" t="s">
        <v>20</v>
      </c>
      <c r="D209" s="8" t="s">
        <v>313</v>
      </c>
      <c r="E209" s="8">
        <v>33</v>
      </c>
      <c r="F209" s="8">
        <v>30.5</v>
      </c>
      <c r="G209" s="8" t="s">
        <v>66</v>
      </c>
      <c r="H209" s="8" t="s">
        <v>511</v>
      </c>
    </row>
    <row r="210" spans="1:8">
      <c r="A210" s="8" t="s">
        <v>67</v>
      </c>
      <c r="B210" s="8" t="s">
        <v>68</v>
      </c>
      <c r="C210" s="8" t="s">
        <v>20</v>
      </c>
      <c r="D210" s="8" t="s">
        <v>314</v>
      </c>
      <c r="E210" s="8">
        <v>29</v>
      </c>
      <c r="F210" s="8">
        <v>34.5</v>
      </c>
      <c r="G210" s="8" t="s">
        <v>66</v>
      </c>
      <c r="H210" s="8" t="s">
        <v>511</v>
      </c>
    </row>
    <row r="211" spans="1:8">
      <c r="A211" s="8" t="s">
        <v>67</v>
      </c>
      <c r="B211" s="8" t="s">
        <v>68</v>
      </c>
      <c r="C211" s="8" t="s">
        <v>416</v>
      </c>
      <c r="D211" s="8" t="s">
        <v>220</v>
      </c>
      <c r="E211" s="8">
        <v>30</v>
      </c>
      <c r="F211" s="8">
        <v>30</v>
      </c>
      <c r="G211" s="8" t="s">
        <v>66</v>
      </c>
      <c r="H211" s="8" t="s">
        <v>511</v>
      </c>
    </row>
    <row r="212" spans="1:8">
      <c r="A212" s="8" t="s">
        <v>67</v>
      </c>
      <c r="B212" s="8" t="s">
        <v>68</v>
      </c>
      <c r="C212" s="8" t="s">
        <v>219</v>
      </c>
      <c r="D212" s="8" t="s">
        <v>144</v>
      </c>
      <c r="E212" s="8">
        <v>23</v>
      </c>
      <c r="F212" s="8">
        <v>25</v>
      </c>
      <c r="G212" s="8" t="s">
        <v>66</v>
      </c>
      <c r="H212" s="8" t="s">
        <v>511</v>
      </c>
    </row>
    <row r="213" spans="1:8">
      <c r="A213" s="8" t="s">
        <v>67</v>
      </c>
      <c r="B213" s="8" t="s">
        <v>68</v>
      </c>
      <c r="C213" s="8" t="s">
        <v>219</v>
      </c>
      <c r="D213" s="8" t="s">
        <v>145</v>
      </c>
      <c r="E213" s="8">
        <v>21</v>
      </c>
      <c r="F213" s="8">
        <v>18.5</v>
      </c>
      <c r="G213" s="8" t="s">
        <v>66</v>
      </c>
      <c r="H213" s="8" t="s">
        <v>511</v>
      </c>
    </row>
    <row r="214" spans="1:8">
      <c r="A214" s="8" t="s">
        <v>67</v>
      </c>
      <c r="B214" s="8" t="s">
        <v>68</v>
      </c>
      <c r="C214" s="8" t="s">
        <v>146</v>
      </c>
      <c r="D214" s="8" t="s">
        <v>147</v>
      </c>
      <c r="E214" s="8">
        <v>25.5</v>
      </c>
      <c r="F214" s="8">
        <v>25.5</v>
      </c>
      <c r="G214" s="8" t="s">
        <v>66</v>
      </c>
      <c r="H214" s="8" t="s">
        <v>513</v>
      </c>
    </row>
    <row r="215" spans="1:8">
      <c r="A215" s="8" t="s">
        <v>67</v>
      </c>
      <c r="B215" s="8" t="s">
        <v>68</v>
      </c>
      <c r="C215" s="8" t="s">
        <v>146</v>
      </c>
      <c r="D215" s="8" t="s">
        <v>398</v>
      </c>
      <c r="E215" s="8">
        <v>26</v>
      </c>
      <c r="F215" s="8">
        <v>26</v>
      </c>
      <c r="G215" s="8" t="s">
        <v>148</v>
      </c>
      <c r="H215" s="8" t="s">
        <v>513</v>
      </c>
    </row>
    <row r="216" spans="1:8">
      <c r="A216" s="8" t="s">
        <v>149</v>
      </c>
      <c r="B216" s="8" t="s">
        <v>150</v>
      </c>
      <c r="C216" s="8" t="s">
        <v>272</v>
      </c>
      <c r="D216" s="8" t="s">
        <v>211</v>
      </c>
      <c r="E216" s="8">
        <v>11</v>
      </c>
      <c r="F216" s="8">
        <v>12</v>
      </c>
      <c r="G216" s="8" t="s">
        <v>148</v>
      </c>
      <c r="H216" s="8" t="s">
        <v>515</v>
      </c>
    </row>
    <row r="217" spans="1:8">
      <c r="A217" s="8" t="s">
        <v>4</v>
      </c>
      <c r="B217" s="8" t="s">
        <v>134</v>
      </c>
      <c r="C217" s="8" t="s">
        <v>273</v>
      </c>
      <c r="D217" s="8" t="s">
        <v>274</v>
      </c>
      <c r="E217" s="8">
        <v>27</v>
      </c>
      <c r="F217" s="8">
        <v>26.5</v>
      </c>
      <c r="G217" s="8" t="s">
        <v>101</v>
      </c>
      <c r="H217" s="8" t="s">
        <v>413</v>
      </c>
    </row>
    <row r="218" spans="1:8">
      <c r="A218" s="8" t="s">
        <v>4</v>
      </c>
      <c r="B218" s="8" t="s">
        <v>134</v>
      </c>
      <c r="C218" s="8" t="s">
        <v>273</v>
      </c>
      <c r="D218" s="8" t="s">
        <v>241</v>
      </c>
      <c r="E218" s="8">
        <v>23</v>
      </c>
      <c r="F218" s="8">
        <v>31.5</v>
      </c>
      <c r="G218" s="8" t="s">
        <v>101</v>
      </c>
      <c r="H218" s="8" t="s">
        <v>413</v>
      </c>
    </row>
    <row r="219" spans="1:8">
      <c r="A219" s="8" t="s">
        <v>4</v>
      </c>
      <c r="B219" s="8" t="s">
        <v>134</v>
      </c>
      <c r="C219" s="8" t="s">
        <v>273</v>
      </c>
      <c r="D219" s="8" t="s">
        <v>324</v>
      </c>
      <c r="E219" s="8">
        <v>18</v>
      </c>
      <c r="F219" s="8">
        <v>20</v>
      </c>
      <c r="G219" s="8" t="s">
        <v>148</v>
      </c>
      <c r="H219" s="8" t="s">
        <v>413</v>
      </c>
    </row>
    <row r="220" spans="1:8">
      <c r="A220" s="8" t="s">
        <v>149</v>
      </c>
      <c r="B220" s="8" t="s">
        <v>150</v>
      </c>
      <c r="C220" s="8" t="s">
        <v>242</v>
      </c>
      <c r="D220" s="8" t="s">
        <v>243</v>
      </c>
      <c r="E220" s="8">
        <v>22.5</v>
      </c>
      <c r="F220" s="8">
        <v>28</v>
      </c>
      <c r="G220" s="8" t="s">
        <v>148</v>
      </c>
      <c r="H220" s="8" t="s">
        <v>413</v>
      </c>
    </row>
    <row r="221" spans="1:8">
      <c r="A221" s="8" t="s">
        <v>149</v>
      </c>
      <c r="B221" s="8" t="s">
        <v>150</v>
      </c>
      <c r="C221" s="8" t="s">
        <v>242</v>
      </c>
      <c r="D221" s="8" t="s">
        <v>244</v>
      </c>
      <c r="E221" s="8">
        <v>27</v>
      </c>
      <c r="F221" s="8">
        <v>30</v>
      </c>
      <c r="G221" s="8" t="s">
        <v>148</v>
      </c>
      <c r="H221" s="8" t="s">
        <v>413</v>
      </c>
    </row>
    <row r="222" spans="1:8">
      <c r="A222" s="8" t="s">
        <v>149</v>
      </c>
      <c r="B222" s="8" t="s">
        <v>150</v>
      </c>
      <c r="C222" s="8" t="s">
        <v>242</v>
      </c>
      <c r="D222" s="8" t="s">
        <v>245</v>
      </c>
      <c r="E222" s="8">
        <v>34</v>
      </c>
      <c r="F222" s="8">
        <v>35</v>
      </c>
      <c r="G222" s="8" t="s">
        <v>148</v>
      </c>
      <c r="H222" s="8" t="s">
        <v>413</v>
      </c>
    </row>
    <row r="223" spans="1:8">
      <c r="A223" s="8" t="s">
        <v>149</v>
      </c>
      <c r="B223" s="8" t="s">
        <v>150</v>
      </c>
      <c r="C223" s="8" t="s">
        <v>242</v>
      </c>
      <c r="D223" s="8" t="s">
        <v>246</v>
      </c>
      <c r="E223" s="8">
        <v>40</v>
      </c>
      <c r="F223" s="8" t="s">
        <v>476</v>
      </c>
      <c r="G223" s="8" t="s">
        <v>151</v>
      </c>
      <c r="H223" s="8" t="s">
        <v>413</v>
      </c>
    </row>
    <row r="224" spans="1:8">
      <c r="A224" s="8" t="s">
        <v>283</v>
      </c>
      <c r="B224" s="8" t="s">
        <v>152</v>
      </c>
      <c r="C224" s="8" t="s">
        <v>344</v>
      </c>
      <c r="D224" s="8" t="s">
        <v>189</v>
      </c>
      <c r="E224" s="8">
        <v>37</v>
      </c>
      <c r="F224" s="8">
        <v>35</v>
      </c>
      <c r="G224" s="8" t="s">
        <v>151</v>
      </c>
      <c r="H224" s="8" t="s">
        <v>413</v>
      </c>
    </row>
    <row r="225" spans="1:8">
      <c r="A225" s="8" t="s">
        <v>283</v>
      </c>
      <c r="B225" s="8" t="s">
        <v>152</v>
      </c>
      <c r="C225" s="8" t="s">
        <v>344</v>
      </c>
      <c r="D225" s="8" t="s">
        <v>190</v>
      </c>
      <c r="E225" s="8">
        <v>21</v>
      </c>
      <c r="F225" s="8">
        <v>22</v>
      </c>
      <c r="G225" s="8" t="s">
        <v>151</v>
      </c>
      <c r="H225" s="8" t="s">
        <v>413</v>
      </c>
    </row>
    <row r="226" spans="1:8">
      <c r="A226" s="8" t="s">
        <v>283</v>
      </c>
      <c r="B226" s="8" t="s">
        <v>152</v>
      </c>
      <c r="C226" s="8" t="s">
        <v>344</v>
      </c>
      <c r="D226" s="8" t="s">
        <v>191</v>
      </c>
      <c r="E226" s="8">
        <v>32</v>
      </c>
      <c r="F226" s="8">
        <v>31.5</v>
      </c>
      <c r="G226" s="8" t="s">
        <v>151</v>
      </c>
      <c r="H226" s="8" t="s">
        <v>413</v>
      </c>
    </row>
    <row r="227" spans="1:8">
      <c r="A227" s="8" t="s">
        <v>283</v>
      </c>
      <c r="B227" s="8" t="s">
        <v>152</v>
      </c>
      <c r="C227" s="8" t="s">
        <v>344</v>
      </c>
      <c r="D227" s="8" t="s">
        <v>192</v>
      </c>
      <c r="E227" s="8">
        <v>19</v>
      </c>
      <c r="F227" s="8">
        <v>19.5</v>
      </c>
      <c r="G227" s="8" t="s">
        <v>151</v>
      </c>
      <c r="H227" s="8" t="s">
        <v>413</v>
      </c>
    </row>
    <row r="228" spans="1:8">
      <c r="A228" s="8" t="s">
        <v>283</v>
      </c>
      <c r="B228" s="8" t="s">
        <v>152</v>
      </c>
      <c r="C228" s="8" t="s">
        <v>344</v>
      </c>
      <c r="D228" s="8" t="s">
        <v>193</v>
      </c>
      <c r="E228" s="8">
        <v>29</v>
      </c>
      <c r="F228" s="8">
        <v>28.5</v>
      </c>
      <c r="G228" s="8" t="s">
        <v>151</v>
      </c>
      <c r="H228" s="8" t="s">
        <v>413</v>
      </c>
    </row>
    <row r="229" spans="1:8">
      <c r="A229" s="8" t="s">
        <v>283</v>
      </c>
      <c r="B229" s="8" t="s">
        <v>152</v>
      </c>
      <c r="C229" s="8" t="s">
        <v>344</v>
      </c>
      <c r="D229" s="8" t="s">
        <v>194</v>
      </c>
      <c r="E229" s="8">
        <v>19</v>
      </c>
      <c r="F229" s="8">
        <v>22.5</v>
      </c>
      <c r="G229" s="8" t="s">
        <v>151</v>
      </c>
      <c r="H229" s="8" t="s">
        <v>413</v>
      </c>
    </row>
    <row r="230" spans="1:8">
      <c r="A230" s="8" t="s">
        <v>283</v>
      </c>
      <c r="B230" s="8" t="s">
        <v>152</v>
      </c>
      <c r="C230" s="8" t="s">
        <v>344</v>
      </c>
      <c r="D230" s="8" t="s">
        <v>195</v>
      </c>
      <c r="E230" s="8">
        <v>24</v>
      </c>
      <c r="F230" s="8">
        <v>26</v>
      </c>
      <c r="G230" s="8" t="s">
        <v>151</v>
      </c>
      <c r="H230" s="8" t="s">
        <v>413</v>
      </c>
    </row>
    <row r="231" spans="1:8">
      <c r="A231" s="8" t="s">
        <v>283</v>
      </c>
      <c r="B231" s="8" t="s">
        <v>152</v>
      </c>
      <c r="C231" s="8" t="s">
        <v>344</v>
      </c>
      <c r="D231" s="8" t="s">
        <v>196</v>
      </c>
      <c r="E231" s="8">
        <v>23.5</v>
      </c>
      <c r="F231" s="8">
        <v>25</v>
      </c>
      <c r="G231" s="8" t="s">
        <v>151</v>
      </c>
      <c r="H231" s="8" t="s">
        <v>413</v>
      </c>
    </row>
    <row r="232" spans="1:8">
      <c r="A232" s="8" t="s">
        <v>283</v>
      </c>
      <c r="B232" s="8" t="s">
        <v>152</v>
      </c>
      <c r="C232" s="8" t="s">
        <v>344</v>
      </c>
      <c r="D232" s="8" t="s">
        <v>212</v>
      </c>
      <c r="E232" s="8">
        <v>16</v>
      </c>
      <c r="F232" s="8">
        <v>16.5</v>
      </c>
      <c r="G232" s="8" t="s">
        <v>151</v>
      </c>
      <c r="H232" s="8" t="s">
        <v>516</v>
      </c>
    </row>
    <row r="233" spans="1:8">
      <c r="A233" s="30" t="s">
        <v>283</v>
      </c>
      <c r="B233" s="30" t="s">
        <v>359</v>
      </c>
      <c r="C233" s="30" t="s">
        <v>0</v>
      </c>
      <c r="D233" s="30" t="s">
        <v>1</v>
      </c>
      <c r="E233" s="30">
        <v>21</v>
      </c>
      <c r="F233" s="30">
        <v>22</v>
      </c>
      <c r="G233" s="30" t="s">
        <v>234</v>
      </c>
      <c r="H233" s="30" t="s">
        <v>509</v>
      </c>
    </row>
    <row r="234" spans="1:8">
      <c r="A234" s="8" t="s">
        <v>283</v>
      </c>
      <c r="B234" s="8" t="s">
        <v>152</v>
      </c>
      <c r="C234" s="8" t="s">
        <v>254</v>
      </c>
      <c r="D234" s="8" t="s">
        <v>197</v>
      </c>
      <c r="E234" s="8">
        <v>12.5</v>
      </c>
      <c r="F234" s="8">
        <v>15.5</v>
      </c>
      <c r="G234" s="8" t="s">
        <v>234</v>
      </c>
      <c r="H234" s="8" t="s">
        <v>517</v>
      </c>
    </row>
    <row r="235" spans="1:8">
      <c r="A235" s="8" t="s">
        <v>100</v>
      </c>
      <c r="B235" s="8" t="s">
        <v>359</v>
      </c>
      <c r="C235" s="8" t="s">
        <v>254</v>
      </c>
      <c r="D235" s="8" t="s">
        <v>399</v>
      </c>
      <c r="E235" s="8">
        <v>13.5</v>
      </c>
      <c r="F235" s="8">
        <v>16</v>
      </c>
      <c r="G235" s="8" t="s">
        <v>66</v>
      </c>
      <c r="H235" s="8" t="s">
        <v>517</v>
      </c>
    </row>
    <row r="236" spans="1:8">
      <c r="A236" s="8" t="s">
        <v>67</v>
      </c>
      <c r="B236" s="8" t="s">
        <v>68</v>
      </c>
      <c r="C236" s="8" t="s">
        <v>254</v>
      </c>
      <c r="D236" s="8" t="s">
        <v>400</v>
      </c>
      <c r="E236" s="8">
        <v>33</v>
      </c>
      <c r="F236" s="8">
        <v>35.5</v>
      </c>
      <c r="G236" s="8" t="s">
        <v>66</v>
      </c>
      <c r="H236" s="8" t="s">
        <v>517</v>
      </c>
    </row>
    <row r="237" spans="1:8">
      <c r="A237" s="8" t="s">
        <v>67</v>
      </c>
      <c r="B237" s="8" t="s">
        <v>68</v>
      </c>
      <c r="C237" s="8" t="s">
        <v>254</v>
      </c>
      <c r="D237" s="8" t="s">
        <v>401</v>
      </c>
      <c r="E237" s="8">
        <v>28.5</v>
      </c>
      <c r="F237" s="8">
        <v>29</v>
      </c>
      <c r="G237" s="8" t="s">
        <v>66</v>
      </c>
      <c r="H237" s="8" t="s">
        <v>517</v>
      </c>
    </row>
    <row r="238" spans="1:8">
      <c r="A238" s="8" t="s">
        <v>67</v>
      </c>
      <c r="B238" s="8" t="s">
        <v>68</v>
      </c>
      <c r="C238" s="8" t="s">
        <v>254</v>
      </c>
      <c r="D238" s="8" t="s">
        <v>402</v>
      </c>
      <c r="E238" s="8">
        <v>19</v>
      </c>
      <c r="F238" s="8">
        <v>24.5</v>
      </c>
      <c r="G238" s="8" t="s">
        <v>66</v>
      </c>
      <c r="H238" s="8" t="s">
        <v>517</v>
      </c>
    </row>
    <row r="239" spans="1:8">
      <c r="A239" s="8" t="s">
        <v>67</v>
      </c>
      <c r="B239" s="8" t="s">
        <v>68</v>
      </c>
      <c r="C239" s="8" t="s">
        <v>254</v>
      </c>
      <c r="D239" s="8" t="s">
        <v>403</v>
      </c>
      <c r="E239" s="8">
        <v>16.5</v>
      </c>
      <c r="F239" s="8">
        <v>17</v>
      </c>
      <c r="G239" s="8" t="s">
        <v>66</v>
      </c>
      <c r="H239" s="8" t="s">
        <v>517</v>
      </c>
    </row>
    <row r="240" spans="1:8">
      <c r="A240" s="8" t="s">
        <v>67</v>
      </c>
      <c r="B240" s="8" t="s">
        <v>68</v>
      </c>
      <c r="C240" s="8" t="s">
        <v>254</v>
      </c>
      <c r="D240" s="8" t="s">
        <v>404</v>
      </c>
      <c r="E240" s="8">
        <v>23</v>
      </c>
      <c r="F240" s="8">
        <v>25.5</v>
      </c>
      <c r="G240" s="8" t="s">
        <v>66</v>
      </c>
      <c r="H240" s="8" t="s">
        <v>517</v>
      </c>
    </row>
    <row r="241" spans="1:8">
      <c r="A241" s="8" t="s">
        <v>67</v>
      </c>
      <c r="B241" s="8" t="s">
        <v>68</v>
      </c>
      <c r="C241" s="8" t="s">
        <v>254</v>
      </c>
      <c r="D241" s="8" t="s">
        <v>311</v>
      </c>
      <c r="E241" s="8">
        <v>24</v>
      </c>
      <c r="F241" s="8">
        <v>27</v>
      </c>
      <c r="G241" s="8" t="s">
        <v>66</v>
      </c>
      <c r="H241" s="8" t="s">
        <v>517</v>
      </c>
    </row>
    <row r="242" spans="1:8">
      <c r="A242" s="8" t="s">
        <v>67</v>
      </c>
      <c r="B242" s="8" t="s">
        <v>68</v>
      </c>
      <c r="C242" s="8" t="s">
        <v>417</v>
      </c>
      <c r="D242" s="8" t="s">
        <v>361</v>
      </c>
      <c r="E242" s="8">
        <v>15</v>
      </c>
      <c r="F242" s="8">
        <v>17</v>
      </c>
      <c r="G242" s="8" t="s">
        <v>234</v>
      </c>
      <c r="H242" s="8" t="s">
        <v>517</v>
      </c>
    </row>
    <row r="243" spans="1:8">
      <c r="A243" s="8" t="s">
        <v>100</v>
      </c>
      <c r="B243" s="8" t="s">
        <v>359</v>
      </c>
      <c r="C243" s="8" t="s">
        <v>249</v>
      </c>
      <c r="D243" s="8" t="s">
        <v>250</v>
      </c>
      <c r="E243" s="8">
        <v>26</v>
      </c>
      <c r="F243" s="8">
        <v>27</v>
      </c>
      <c r="G243" s="8" t="s">
        <v>234</v>
      </c>
      <c r="H243" s="8" t="s">
        <v>517</v>
      </c>
    </row>
    <row r="244" spans="1:8">
      <c r="A244" s="8" t="s">
        <v>100</v>
      </c>
      <c r="B244" s="8" t="s">
        <v>359</v>
      </c>
      <c r="C244" s="8" t="s">
        <v>251</v>
      </c>
      <c r="D244" s="8" t="s">
        <v>226</v>
      </c>
      <c r="E244" s="8">
        <v>32</v>
      </c>
      <c r="F244" s="8">
        <v>33</v>
      </c>
      <c r="G244" s="8" t="s">
        <v>234</v>
      </c>
      <c r="H244" s="8" t="s">
        <v>515</v>
      </c>
    </row>
    <row r="245" spans="1:8">
      <c r="A245" s="8" t="s">
        <v>100</v>
      </c>
      <c r="B245" s="8" t="s">
        <v>359</v>
      </c>
      <c r="C245" s="8" t="s">
        <v>252</v>
      </c>
      <c r="D245" s="8" t="s">
        <v>418</v>
      </c>
      <c r="E245" s="8">
        <v>19</v>
      </c>
      <c r="F245" s="8">
        <v>21</v>
      </c>
      <c r="G245" s="8" t="s">
        <v>234</v>
      </c>
      <c r="H245" s="8" t="s">
        <v>515</v>
      </c>
    </row>
    <row r="246" spans="1:8">
      <c r="A246" s="8" t="s">
        <v>100</v>
      </c>
      <c r="B246" s="8" t="s">
        <v>359</v>
      </c>
      <c r="C246" s="8" t="s">
        <v>252</v>
      </c>
      <c r="D246" s="8" t="s">
        <v>210</v>
      </c>
      <c r="E246" s="8">
        <v>29.5</v>
      </c>
      <c r="F246" s="8">
        <v>30.5</v>
      </c>
      <c r="G246" s="8" t="s">
        <v>234</v>
      </c>
      <c r="H246" s="8" t="s">
        <v>515</v>
      </c>
    </row>
    <row r="247" spans="1:8">
      <c r="A247" s="8" t="s">
        <v>100</v>
      </c>
      <c r="B247" s="8" t="s">
        <v>359</v>
      </c>
      <c r="C247" s="8" t="s">
        <v>252</v>
      </c>
      <c r="D247" s="8" t="s">
        <v>225</v>
      </c>
      <c r="E247" s="8">
        <v>26</v>
      </c>
      <c r="F247" s="8">
        <v>28.5</v>
      </c>
      <c r="G247" s="8" t="s">
        <v>234</v>
      </c>
      <c r="H247" s="8" t="s">
        <v>515</v>
      </c>
    </row>
    <row r="248" spans="1:8">
      <c r="A248" s="8" t="s">
        <v>100</v>
      </c>
      <c r="B248" s="8" t="s">
        <v>359</v>
      </c>
      <c r="C248" s="8" t="s">
        <v>300</v>
      </c>
      <c r="D248" s="3" t="s">
        <v>383</v>
      </c>
      <c r="E248" s="8">
        <v>28</v>
      </c>
      <c r="F248" s="8">
        <v>30</v>
      </c>
      <c r="G248" s="8" t="s">
        <v>35</v>
      </c>
      <c r="H248" s="8" t="s">
        <v>514</v>
      </c>
    </row>
    <row r="249" spans="1:8">
      <c r="A249" s="8" t="s">
        <v>100</v>
      </c>
      <c r="B249" s="8" t="s">
        <v>359</v>
      </c>
      <c r="C249" s="8" t="s">
        <v>301</v>
      </c>
      <c r="D249" s="8" t="s">
        <v>21</v>
      </c>
      <c r="E249" s="8">
        <v>23</v>
      </c>
      <c r="F249" s="8">
        <v>20</v>
      </c>
      <c r="G249" s="8" t="s">
        <v>35</v>
      </c>
      <c r="H249" s="8" t="s">
        <v>513</v>
      </c>
    </row>
    <row r="250" spans="1:8">
      <c r="A250" s="8" t="s">
        <v>287</v>
      </c>
      <c r="B250" s="8" t="s">
        <v>288</v>
      </c>
      <c r="C250" s="8" t="s">
        <v>406</v>
      </c>
      <c r="D250" s="8" t="s">
        <v>170</v>
      </c>
      <c r="E250" s="8">
        <v>18.71</v>
      </c>
      <c r="F250" s="8">
        <v>23.02</v>
      </c>
      <c r="G250" s="8" t="s">
        <v>35</v>
      </c>
      <c r="H250" s="8" t="s">
        <v>513</v>
      </c>
    </row>
    <row r="251" spans="1:8">
      <c r="A251" s="8" t="s">
        <v>287</v>
      </c>
      <c r="B251" s="8" t="s">
        <v>288</v>
      </c>
      <c r="C251" s="8" t="s">
        <v>406</v>
      </c>
      <c r="D251" s="8" t="s">
        <v>447</v>
      </c>
      <c r="E251" s="8">
        <v>24.62</v>
      </c>
      <c r="F251" s="8">
        <v>25.64</v>
      </c>
      <c r="G251" s="8" t="s">
        <v>35</v>
      </c>
      <c r="H251" s="8" t="s">
        <v>513</v>
      </c>
    </row>
    <row r="252" spans="1:8">
      <c r="A252" s="8" t="s">
        <v>287</v>
      </c>
      <c r="B252" s="8" t="s">
        <v>288</v>
      </c>
      <c r="C252" s="8" t="s">
        <v>298</v>
      </c>
      <c r="D252" s="8" t="s">
        <v>267</v>
      </c>
      <c r="E252" s="8">
        <v>33.53</v>
      </c>
      <c r="F252" s="8">
        <v>36.659999999999997</v>
      </c>
      <c r="G252" s="8" t="s">
        <v>35</v>
      </c>
      <c r="H252" s="8" t="s">
        <v>513</v>
      </c>
    </row>
    <row r="253" spans="1:8">
      <c r="A253" s="8" t="s">
        <v>283</v>
      </c>
      <c r="B253" s="8" t="s">
        <v>152</v>
      </c>
      <c r="C253" s="8" t="s">
        <v>71</v>
      </c>
      <c r="D253" s="8" t="s">
        <v>268</v>
      </c>
      <c r="E253" s="8">
        <v>42.38</v>
      </c>
      <c r="F253" s="8">
        <v>32.090000000000003</v>
      </c>
      <c r="G253" s="8" t="s">
        <v>151</v>
      </c>
      <c r="H253" s="8" t="s">
        <v>513</v>
      </c>
    </row>
    <row r="254" spans="1:8">
      <c r="A254" s="8" t="s">
        <v>283</v>
      </c>
      <c r="B254" s="8" t="s">
        <v>152</v>
      </c>
      <c r="C254" s="8" t="s">
        <v>71</v>
      </c>
      <c r="D254" s="8" t="s">
        <v>269</v>
      </c>
      <c r="E254" s="8">
        <v>40</v>
      </c>
      <c r="F254" s="8">
        <v>42</v>
      </c>
      <c r="G254" s="8" t="s">
        <v>151</v>
      </c>
      <c r="H254" s="8" t="s">
        <v>513</v>
      </c>
    </row>
    <row r="255" spans="1:8">
      <c r="A255" s="8" t="s">
        <v>4</v>
      </c>
      <c r="B255" s="8" t="s">
        <v>152</v>
      </c>
      <c r="C255" s="8" t="s">
        <v>38</v>
      </c>
      <c r="D255" s="8" t="s">
        <v>37</v>
      </c>
      <c r="E255" s="8">
        <v>30</v>
      </c>
      <c r="F255" s="8">
        <v>32</v>
      </c>
      <c r="G255" s="8" t="s">
        <v>151</v>
      </c>
      <c r="H255" s="8" t="s">
        <v>513</v>
      </c>
    </row>
    <row r="256" spans="1:8">
      <c r="A256" s="8" t="s">
        <v>283</v>
      </c>
      <c r="B256" s="8" t="s">
        <v>152</v>
      </c>
      <c r="C256" s="8" t="s">
        <v>72</v>
      </c>
      <c r="D256" s="8" t="s">
        <v>299</v>
      </c>
      <c r="E256" s="8">
        <v>18.5</v>
      </c>
      <c r="F256" s="8">
        <v>21.5</v>
      </c>
      <c r="G256" s="8" t="s">
        <v>151</v>
      </c>
      <c r="H256" s="8" t="s">
        <v>511</v>
      </c>
    </row>
    <row r="257" spans="1:8">
      <c r="A257" s="8" t="s">
        <v>283</v>
      </c>
      <c r="B257" s="8" t="s">
        <v>152</v>
      </c>
      <c r="C257" s="8" t="s">
        <v>292</v>
      </c>
      <c r="D257" s="8" t="s">
        <v>293</v>
      </c>
      <c r="E257" s="8">
        <v>15.08</v>
      </c>
      <c r="F257" s="8">
        <v>14.41</v>
      </c>
      <c r="G257" s="8" t="s">
        <v>151</v>
      </c>
      <c r="H257" s="8" t="s">
        <v>513</v>
      </c>
    </row>
    <row r="258" spans="1:8">
      <c r="A258" s="8" t="s">
        <v>283</v>
      </c>
      <c r="B258" s="8" t="s">
        <v>152</v>
      </c>
      <c r="C258" s="8" t="s">
        <v>294</v>
      </c>
      <c r="D258" s="8" t="s">
        <v>365</v>
      </c>
      <c r="E258" s="8">
        <v>26.82</v>
      </c>
      <c r="F258" s="8">
        <v>33.549999999999997</v>
      </c>
      <c r="G258" s="8" t="s">
        <v>234</v>
      </c>
      <c r="H258" s="8" t="s">
        <v>511</v>
      </c>
    </row>
    <row r="259" spans="1:8">
      <c r="A259" s="8" t="s">
        <v>283</v>
      </c>
      <c r="B259" s="8" t="s">
        <v>152</v>
      </c>
      <c r="C259" s="8" t="s">
        <v>141</v>
      </c>
      <c r="D259" s="8" t="s">
        <v>142</v>
      </c>
      <c r="E259" s="8">
        <v>31</v>
      </c>
      <c r="F259" s="8">
        <v>32</v>
      </c>
      <c r="G259" s="8" t="s">
        <v>151</v>
      </c>
      <c r="H259" s="8" t="s">
        <v>511</v>
      </c>
    </row>
    <row r="260" spans="1:8">
      <c r="A260" s="8" t="s">
        <v>283</v>
      </c>
      <c r="B260" s="8" t="s">
        <v>152</v>
      </c>
      <c r="C260" s="8" t="s">
        <v>73</v>
      </c>
      <c r="D260" s="8" t="s">
        <v>143</v>
      </c>
      <c r="E260" s="8">
        <v>19</v>
      </c>
      <c r="F260" s="8">
        <v>22.5</v>
      </c>
      <c r="G260" s="8" t="s">
        <v>151</v>
      </c>
      <c r="H260" s="8" t="s">
        <v>511</v>
      </c>
    </row>
    <row r="261" spans="1:8">
      <c r="A261" s="8" t="s">
        <v>283</v>
      </c>
      <c r="B261" s="8" t="s">
        <v>152</v>
      </c>
      <c r="C261" s="8" t="s">
        <v>39</v>
      </c>
      <c r="D261" s="8" t="s">
        <v>40</v>
      </c>
      <c r="E261" s="8">
        <v>27</v>
      </c>
      <c r="F261" s="8">
        <v>27</v>
      </c>
      <c r="G261" s="8" t="s">
        <v>151</v>
      </c>
      <c r="H261" s="8" t="s">
        <v>512</v>
      </c>
    </row>
    <row r="262" spans="1:8">
      <c r="A262" s="8" t="s">
        <v>119</v>
      </c>
      <c r="B262" s="8" t="s">
        <v>120</v>
      </c>
      <c r="C262" s="8" t="s">
        <v>39</v>
      </c>
      <c r="D262" s="8" t="s">
        <v>41</v>
      </c>
      <c r="E262" s="8">
        <v>34</v>
      </c>
      <c r="F262" s="8">
        <v>35</v>
      </c>
      <c r="G262" s="8" t="s">
        <v>148</v>
      </c>
      <c r="H262" s="8" t="s">
        <v>512</v>
      </c>
    </row>
    <row r="263" spans="1:8">
      <c r="A263" s="8" t="s">
        <v>119</v>
      </c>
      <c r="B263" s="8" t="s">
        <v>120</v>
      </c>
      <c r="C263" s="8" t="s">
        <v>39</v>
      </c>
      <c r="D263" s="8" t="s">
        <v>42</v>
      </c>
      <c r="E263" s="8">
        <v>29.5</v>
      </c>
      <c r="F263" s="8">
        <v>30</v>
      </c>
      <c r="G263" s="8" t="s">
        <v>121</v>
      </c>
      <c r="H263" s="8" t="s">
        <v>512</v>
      </c>
    </row>
    <row r="264" spans="1:8">
      <c r="A264" s="8" t="s">
        <v>119</v>
      </c>
      <c r="B264" s="8" t="s">
        <v>120</v>
      </c>
      <c r="C264" s="8" t="s">
        <v>39</v>
      </c>
      <c r="D264" s="8" t="s">
        <v>43</v>
      </c>
      <c r="E264" s="8">
        <v>28.5</v>
      </c>
      <c r="F264" s="8">
        <v>26</v>
      </c>
      <c r="G264" s="8" t="s">
        <v>121</v>
      </c>
      <c r="H264" s="8" t="s">
        <v>512</v>
      </c>
    </row>
    <row r="265" spans="1:8">
      <c r="A265" s="8" t="s">
        <v>119</v>
      </c>
      <c r="B265" s="8" t="s">
        <v>120</v>
      </c>
      <c r="C265" s="8" t="s">
        <v>39</v>
      </c>
      <c r="D265" s="8" t="s">
        <v>44</v>
      </c>
      <c r="E265" s="8">
        <v>26</v>
      </c>
      <c r="F265" s="8">
        <v>26</v>
      </c>
      <c r="G265" s="8" t="s">
        <v>121</v>
      </c>
      <c r="H265" s="8" t="s">
        <v>512</v>
      </c>
    </row>
    <row r="266" spans="1:8">
      <c r="A266" s="8" t="s">
        <v>119</v>
      </c>
      <c r="B266" s="8" t="s">
        <v>120</v>
      </c>
      <c r="C266" s="8" t="s">
        <v>39</v>
      </c>
      <c r="D266" s="8" t="s">
        <v>45</v>
      </c>
      <c r="E266" s="8">
        <v>25</v>
      </c>
      <c r="F266" s="8">
        <v>22.5</v>
      </c>
      <c r="G266" s="8" t="s">
        <v>121</v>
      </c>
      <c r="H266" s="8" t="s">
        <v>512</v>
      </c>
    </row>
    <row r="267" spans="1:8">
      <c r="A267" s="8" t="s">
        <v>119</v>
      </c>
      <c r="B267" s="8" t="s">
        <v>120</v>
      </c>
      <c r="C267" s="8" t="s">
        <v>39</v>
      </c>
      <c r="D267" s="8" t="s">
        <v>46</v>
      </c>
      <c r="E267" s="8">
        <v>25</v>
      </c>
      <c r="F267" s="8">
        <v>26</v>
      </c>
      <c r="G267" s="8" t="s">
        <v>148</v>
      </c>
      <c r="H267" s="8" t="s">
        <v>512</v>
      </c>
    </row>
    <row r="268" spans="1:8">
      <c r="A268" s="8" t="s">
        <v>119</v>
      </c>
      <c r="B268" s="8" t="s">
        <v>120</v>
      </c>
      <c r="C268" s="8" t="s">
        <v>39</v>
      </c>
      <c r="D268" s="8" t="s">
        <v>47</v>
      </c>
      <c r="E268" s="8">
        <v>23</v>
      </c>
      <c r="F268" s="8">
        <v>23</v>
      </c>
      <c r="G268" s="8" t="s">
        <v>121</v>
      </c>
      <c r="H268" s="8" t="s">
        <v>512</v>
      </c>
    </row>
    <row r="269" spans="1:8">
      <c r="A269" s="8" t="s">
        <v>119</v>
      </c>
      <c r="B269" s="8" t="s">
        <v>120</v>
      </c>
      <c r="C269" s="8" t="s">
        <v>39</v>
      </c>
      <c r="D269" s="8" t="s">
        <v>48</v>
      </c>
      <c r="E269" s="8">
        <v>35</v>
      </c>
      <c r="F269" s="8">
        <v>37</v>
      </c>
      <c r="G269" s="8" t="s">
        <v>121</v>
      </c>
      <c r="H269" s="8" t="s">
        <v>512</v>
      </c>
    </row>
    <row r="270" spans="1:8">
      <c r="A270" s="8" t="s">
        <v>119</v>
      </c>
      <c r="B270" s="8" t="s">
        <v>120</v>
      </c>
      <c r="C270" s="8" t="s">
        <v>39</v>
      </c>
      <c r="D270" s="8" t="s">
        <v>278</v>
      </c>
      <c r="E270" s="8">
        <v>32</v>
      </c>
      <c r="F270" s="8">
        <v>36</v>
      </c>
      <c r="G270" s="8" t="s">
        <v>121</v>
      </c>
      <c r="H270" s="8" t="s">
        <v>510</v>
      </c>
    </row>
    <row r="271" spans="1:8">
      <c r="A271" s="8" t="s">
        <v>119</v>
      </c>
      <c r="B271" s="8" t="s">
        <v>120</v>
      </c>
      <c r="C271" s="8" t="s">
        <v>39</v>
      </c>
      <c r="D271" s="8" t="s">
        <v>275</v>
      </c>
      <c r="E271" s="8">
        <v>30</v>
      </c>
      <c r="F271" s="8">
        <v>35</v>
      </c>
      <c r="G271" s="8" t="s">
        <v>121</v>
      </c>
      <c r="H271" s="8" t="s">
        <v>511</v>
      </c>
    </row>
    <row r="272" spans="1:8">
      <c r="A272" s="8" t="s">
        <v>119</v>
      </c>
      <c r="B272" s="8" t="s">
        <v>120</v>
      </c>
      <c r="C272" s="8" t="s">
        <v>337</v>
      </c>
      <c r="D272" s="8" t="s">
        <v>338</v>
      </c>
      <c r="E272" s="8">
        <v>15.5</v>
      </c>
      <c r="F272" s="8">
        <v>18</v>
      </c>
      <c r="G272" s="8" t="s">
        <v>121</v>
      </c>
      <c r="H272" s="8" t="s">
        <v>512</v>
      </c>
    </row>
    <row r="273" spans="1:8">
      <c r="A273" s="8" t="s">
        <v>119</v>
      </c>
      <c r="B273" s="8" t="s">
        <v>120</v>
      </c>
      <c r="C273" s="8" t="s">
        <v>337</v>
      </c>
      <c r="D273" s="8" t="s">
        <v>339</v>
      </c>
      <c r="E273" s="8">
        <v>16</v>
      </c>
      <c r="F273" s="8">
        <v>19</v>
      </c>
      <c r="G273" s="8" t="s">
        <v>121</v>
      </c>
      <c r="H273" s="8" t="s">
        <v>509</v>
      </c>
    </row>
    <row r="275" spans="1:8">
      <c r="A275" s="22" t="s">
        <v>438</v>
      </c>
    </row>
    <row r="276" spans="1:8">
      <c r="A276" s="8" t="s">
        <v>461</v>
      </c>
    </row>
    <row r="277" spans="1:8" hidden="1">
      <c r="A277" s="8" t="s">
        <v>462</v>
      </c>
    </row>
    <row r="278" spans="1:8" ht="156">
      <c r="A278" s="21" t="s">
        <v>434</v>
      </c>
    </row>
    <row r="279" spans="1:8">
      <c r="A279" s="8" t="s">
        <v>484</v>
      </c>
    </row>
    <row r="280" spans="1:8">
      <c r="A280" s="8" t="s">
        <v>488</v>
      </c>
    </row>
    <row r="281" spans="1:8">
      <c r="A281" s="8" t="s">
        <v>489</v>
      </c>
    </row>
    <row r="282" spans="1:8">
      <c r="A282" s="8" t="s">
        <v>430</v>
      </c>
    </row>
    <row r="283" spans="1:8">
      <c r="A283" s="8" t="s">
        <v>431</v>
      </c>
    </row>
    <row r="284" spans="1:8">
      <c r="A284" s="8" t="s">
        <v>433</v>
      </c>
    </row>
    <row r="285" spans="1:8">
      <c r="A285" s="8" t="s">
        <v>435</v>
      </c>
    </row>
    <row r="286" spans="1:8">
      <c r="A286" s="8" t="s">
        <v>436</v>
      </c>
    </row>
    <row r="287" spans="1:8">
      <c r="A287" s="20" t="s">
        <v>437</v>
      </c>
    </row>
    <row r="288" spans="1:8">
      <c r="A288" s="8" t="s">
        <v>498</v>
      </c>
    </row>
    <row r="1048576" spans="7:7">
      <c r="G1048576" s="8" t="s">
        <v>201</v>
      </c>
    </row>
  </sheetData>
  <sheetCalcPr fullCalcOnLoad="1"/>
  <sortState ref="I4:I164">
    <sortCondition ref="I4:I164"/>
  </sortState>
  <phoneticPr fontId="6" type="noConversion"/>
  <pageMargins left="0.75000000000000011" right="0.75000000000000011" top="1" bottom="1" header="0.5" footer="0.5"/>
  <pageSetup paperSize="0" orientation="landscape" horizontalDpi="4294967292" verticalDpi="4294967292"/>
  <headerFooter>
    <oddHeader>&amp;CLate Cretaceous (Campanian, Maastrichtian) hadrosaur tracks</oddHeader>
  </headerFooter>
  <extLst>
    <ext xmlns:mx="http://schemas.microsoft.com/office/mac/excel/2008/main" uri="http://schemas.microsoft.com/office/mac/excel/2008/main">
      <mx:PLV Mode="1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A32"/>
  <sheetViews>
    <sheetView view="pageLayout" workbookViewId="0">
      <selection activeCell="A4" sqref="A4"/>
    </sheetView>
  </sheetViews>
  <sheetFormatPr baseColWidth="10" defaultRowHeight="14"/>
  <cols>
    <col min="1" max="1" width="228.7109375" style="5" bestFit="1" customWidth="1"/>
    <col min="2" max="16384" width="10.7109375" style="5"/>
  </cols>
  <sheetData>
    <row r="1" spans="1:1">
      <c r="A1" s="4" t="s">
        <v>236</v>
      </c>
    </row>
    <row r="2" spans="1:1">
      <c r="A2" s="4" t="s">
        <v>261</v>
      </c>
    </row>
    <row r="3" spans="1:1">
      <c r="A3" s="4" t="s">
        <v>122</v>
      </c>
    </row>
    <row r="4" spans="1:1">
      <c r="A4" s="4" t="s">
        <v>491</v>
      </c>
    </row>
    <row r="5" spans="1:1">
      <c r="A5" s="4" t="s">
        <v>363</v>
      </c>
    </row>
    <row r="6" spans="1:1">
      <c r="A6" s="4" t="s">
        <v>407</v>
      </c>
    </row>
    <row r="7" spans="1:1">
      <c r="A7" s="4" t="s">
        <v>79</v>
      </c>
    </row>
    <row r="8" spans="1:1">
      <c r="A8" s="4" t="s">
        <v>414</v>
      </c>
    </row>
    <row r="9" spans="1:1">
      <c r="A9" s="4" t="s">
        <v>69</v>
      </c>
    </row>
    <row r="10" spans="1:1">
      <c r="A10" s="4" t="s">
        <v>426</v>
      </c>
    </row>
    <row r="11" spans="1:1">
      <c r="A11" s="4" t="s">
        <v>415</v>
      </c>
    </row>
    <row r="12" spans="1:1">
      <c r="A12" s="4" t="s">
        <v>368</v>
      </c>
    </row>
    <row r="13" spans="1:1">
      <c r="A13" s="4" t="s">
        <v>471</v>
      </c>
    </row>
    <row r="14" spans="1:1">
      <c r="A14" s="4" t="s">
        <v>427</v>
      </c>
    </row>
    <row r="15" spans="1:1">
      <c r="A15" s="4" t="s">
        <v>262</v>
      </c>
    </row>
    <row r="16" spans="1:1">
      <c r="A16" s="4" t="s">
        <v>508</v>
      </c>
    </row>
    <row r="17" spans="1:1">
      <c r="A17" s="4" t="s">
        <v>369</v>
      </c>
    </row>
    <row r="18" spans="1:1">
      <c r="A18" s="4" t="s">
        <v>477</v>
      </c>
    </row>
    <row r="19" spans="1:1">
      <c r="A19" s="4" t="s">
        <v>384</v>
      </c>
    </row>
    <row r="20" spans="1:1">
      <c r="A20" s="4" t="s">
        <v>60</v>
      </c>
    </row>
    <row r="21" spans="1:1">
      <c r="A21" s="4" t="s">
        <v>333</v>
      </c>
    </row>
    <row r="22" spans="1:1">
      <c r="A22" s="4" t="s">
        <v>495</v>
      </c>
    </row>
    <row r="23" spans="1:1">
      <c r="A23" s="4" t="s">
        <v>263</v>
      </c>
    </row>
    <row r="24" spans="1:1">
      <c r="A24" s="4" t="s">
        <v>422</v>
      </c>
    </row>
    <row r="25" spans="1:1">
      <c r="A25" s="4" t="s">
        <v>54</v>
      </c>
    </row>
    <row r="26" spans="1:1">
      <c r="A26" s="4" t="s">
        <v>345</v>
      </c>
    </row>
    <row r="27" spans="1:1">
      <c r="A27" s="4" t="s">
        <v>366</v>
      </c>
    </row>
    <row r="28" spans="1:1">
      <c r="A28" s="4" t="s">
        <v>49</v>
      </c>
    </row>
    <row r="29" spans="1:1">
      <c r="A29" s="4" t="s">
        <v>496</v>
      </c>
    </row>
    <row r="30" spans="1:1">
      <c r="A30" s="4" t="s">
        <v>480</v>
      </c>
    </row>
    <row r="31" spans="1:1">
      <c r="A31" s="4" t="s">
        <v>174</v>
      </c>
    </row>
    <row r="32" spans="1:1">
      <c r="A32" s="4" t="s">
        <v>310</v>
      </c>
    </row>
  </sheetData>
  <phoneticPr fontId="6" type="noConversion"/>
  <pageMargins left="0.75000000000000011" right="0.75000000000000011" top="1" bottom="1" header="0.5" footer="0.5"/>
  <pageSetup paperSize="0" orientation="landscape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3:M38"/>
  <sheetViews>
    <sheetView view="pageLayout" workbookViewId="0">
      <selection activeCell="L15" sqref="L15"/>
    </sheetView>
  </sheetViews>
  <sheetFormatPr baseColWidth="10" defaultRowHeight="13"/>
  <cols>
    <col min="1" max="1" width="11.7109375" bestFit="1" customWidth="1"/>
    <col min="2" max="2" width="3" bestFit="1" customWidth="1"/>
    <col min="3" max="3" width="3.42578125" bestFit="1" customWidth="1"/>
    <col min="4" max="4" width="5.85546875" bestFit="1" customWidth="1"/>
    <col min="5" max="5" width="3.5703125" bestFit="1" customWidth="1"/>
    <col min="6" max="6" width="4.28515625" bestFit="1" customWidth="1"/>
    <col min="7" max="7" width="4" bestFit="1" customWidth="1"/>
    <col min="8" max="8" width="4.28515625" bestFit="1" customWidth="1"/>
    <col min="9" max="9" width="4.85546875" bestFit="1" customWidth="1"/>
    <col min="10" max="10" width="4.5703125" bestFit="1" customWidth="1"/>
    <col min="11" max="11" width="10" bestFit="1" customWidth="1"/>
  </cols>
  <sheetData>
    <row r="3" spans="1:13">
      <c r="A3" t="s">
        <v>331</v>
      </c>
      <c r="B3" t="s">
        <v>332</v>
      </c>
      <c r="C3" t="s">
        <v>334</v>
      </c>
      <c r="D3" t="s">
        <v>335</v>
      </c>
      <c r="E3" t="s">
        <v>336</v>
      </c>
      <c r="F3" t="s">
        <v>203</v>
      </c>
      <c r="G3" t="s">
        <v>204</v>
      </c>
      <c r="H3" t="s">
        <v>205</v>
      </c>
      <c r="I3" t="s">
        <v>206</v>
      </c>
      <c r="J3" t="s">
        <v>207</v>
      </c>
      <c r="K3" t="s">
        <v>179</v>
      </c>
      <c r="M3" t="s">
        <v>188</v>
      </c>
    </row>
    <row r="4" spans="1:13">
      <c r="A4" t="s">
        <v>180</v>
      </c>
      <c r="B4">
        <v>32</v>
      </c>
      <c r="C4">
        <v>33</v>
      </c>
      <c r="D4" t="s">
        <v>181</v>
      </c>
      <c r="E4">
        <v>19</v>
      </c>
      <c r="F4">
        <v>21.5</v>
      </c>
      <c r="G4" t="s">
        <v>182</v>
      </c>
      <c r="H4">
        <v>8.5</v>
      </c>
      <c r="I4">
        <v>9.5</v>
      </c>
      <c r="J4" t="s">
        <v>182</v>
      </c>
      <c r="K4" t="s">
        <v>183</v>
      </c>
    </row>
    <row r="5" spans="1:13">
      <c r="A5" t="s">
        <v>184</v>
      </c>
      <c r="B5">
        <v>19</v>
      </c>
      <c r="C5">
        <v>21</v>
      </c>
      <c r="D5" t="s">
        <v>181</v>
      </c>
      <c r="E5">
        <v>9</v>
      </c>
      <c r="F5" t="s">
        <v>181</v>
      </c>
      <c r="G5" t="s">
        <v>181</v>
      </c>
      <c r="H5">
        <v>6</v>
      </c>
      <c r="I5" t="s">
        <v>181</v>
      </c>
      <c r="J5" t="s">
        <v>181</v>
      </c>
      <c r="K5" t="s">
        <v>185</v>
      </c>
    </row>
    <row r="6" spans="1:13">
      <c r="A6" t="s">
        <v>186</v>
      </c>
      <c r="B6">
        <v>29.5</v>
      </c>
      <c r="C6">
        <v>30.5</v>
      </c>
    </row>
    <row r="7" spans="1:13">
      <c r="A7" t="s">
        <v>187</v>
      </c>
      <c r="B7">
        <v>26</v>
      </c>
      <c r="C7">
        <v>28.5</v>
      </c>
    </row>
    <row r="17" spans="1:11">
      <c r="A17" t="s">
        <v>364</v>
      </c>
    </row>
    <row r="18" spans="1:11" ht="15">
      <c r="A18" s="19"/>
      <c r="B18">
        <v>8</v>
      </c>
      <c r="C18">
        <v>13</v>
      </c>
    </row>
    <row r="19" spans="1:11" ht="15">
      <c r="A19" s="19"/>
      <c r="B19">
        <v>10</v>
      </c>
      <c r="C19">
        <v>12</v>
      </c>
    </row>
    <row r="20" spans="1:11" ht="15">
      <c r="A20" s="19"/>
      <c r="B20">
        <v>12</v>
      </c>
      <c r="C20">
        <v>15.5</v>
      </c>
    </row>
    <row r="21" spans="1:11" ht="15">
      <c r="A21" s="19"/>
      <c r="B21">
        <v>12</v>
      </c>
      <c r="C21">
        <v>12</v>
      </c>
    </row>
    <row r="22" spans="1:11" ht="15">
      <c r="A22" s="19"/>
      <c r="B22">
        <v>12</v>
      </c>
      <c r="C22">
        <v>10.5</v>
      </c>
    </row>
    <row r="23" spans="1:11">
      <c r="B23">
        <f>AVERAGE(B18:B22)</f>
        <v>10.8</v>
      </c>
      <c r="C23">
        <f>AVERAGE(C18:C22)</f>
        <v>12.6</v>
      </c>
    </row>
    <row r="30" spans="1:11">
      <c r="F30" s="11"/>
      <c r="G30" s="11"/>
      <c r="H30" s="11"/>
      <c r="I30" s="11"/>
    </row>
    <row r="31" spans="1:11">
      <c r="F31" t="s">
        <v>370</v>
      </c>
      <c r="G31" s="12" t="s">
        <v>371</v>
      </c>
      <c r="H31" s="13" t="s">
        <v>372</v>
      </c>
      <c r="I31" s="13" t="s">
        <v>373</v>
      </c>
      <c r="J31" s="13" t="s">
        <v>374</v>
      </c>
      <c r="K31" s="14" t="s">
        <v>375</v>
      </c>
    </row>
    <row r="32" spans="1:11">
      <c r="E32" t="s">
        <v>376</v>
      </c>
      <c r="F32">
        <v>50</v>
      </c>
      <c r="G32" s="11">
        <v>217</v>
      </c>
      <c r="H32" s="11">
        <v>103</v>
      </c>
      <c r="I32" s="11">
        <v>112</v>
      </c>
      <c r="J32" s="15">
        <v>166</v>
      </c>
      <c r="K32" s="16">
        <f>G32/F32</f>
        <v>4.34</v>
      </c>
    </row>
    <row r="33" spans="5:11">
      <c r="E33" t="s">
        <v>377</v>
      </c>
      <c r="F33">
        <v>37.799999999999997</v>
      </c>
      <c r="G33" s="11">
        <v>195</v>
      </c>
      <c r="H33" s="11">
        <v>105</v>
      </c>
      <c r="I33" s="11">
        <v>95</v>
      </c>
      <c r="J33" s="15">
        <f>DEGREES(ACOS(((H33^2)+(I33^2)-(G33^2))/(2*H33*I33)))</f>
        <v>154.2901567002078</v>
      </c>
      <c r="K33" s="16">
        <f t="shared" ref="K33:K36" si="0">G33/F33</f>
        <v>5.1587301587301591</v>
      </c>
    </row>
    <row r="34" spans="5:11">
      <c r="E34" t="s">
        <v>378</v>
      </c>
      <c r="F34">
        <v>38.58</v>
      </c>
      <c r="G34" s="11">
        <v>183.32</v>
      </c>
      <c r="H34" s="11">
        <v>95.32</v>
      </c>
      <c r="I34" s="11">
        <v>97.26</v>
      </c>
      <c r="J34" s="15">
        <f>DEGREES(ACOS(((H34^2)+(I34^2)-(G34^2))/(2*H34*I34)))</f>
        <v>144.3182563869357</v>
      </c>
      <c r="K34" s="16">
        <f t="shared" si="0"/>
        <v>4.7516848107827894</v>
      </c>
    </row>
    <row r="35" spans="5:11">
      <c r="E35" t="s">
        <v>379</v>
      </c>
      <c r="F35">
        <v>36</v>
      </c>
      <c r="G35" s="11">
        <v>284.16000000000003</v>
      </c>
      <c r="H35" s="11">
        <v>129.11000000000001</v>
      </c>
      <c r="I35" s="11">
        <v>155.38999999999999</v>
      </c>
      <c r="J35" s="15">
        <f>DEGREES(ACOS(((H35^2)+(I35^2)-(G35^2))/(2*H35*I35)))</f>
        <v>174.37307013983238</v>
      </c>
      <c r="K35" s="16">
        <f t="shared" si="0"/>
        <v>7.8933333333333344</v>
      </c>
    </row>
    <row r="36" spans="5:11">
      <c r="E36" t="s">
        <v>380</v>
      </c>
      <c r="F36" s="11">
        <v>55</v>
      </c>
      <c r="G36" s="11">
        <v>211.38499999999999</v>
      </c>
      <c r="H36" s="11">
        <v>115.07</v>
      </c>
      <c r="I36" s="15">
        <v>108.05</v>
      </c>
      <c r="J36" s="17">
        <f>DEGREES(ACOS(((H36^2)+(I36^2)-(G36^2))/(2*H36*I36)))</f>
        <v>142.6504789322754</v>
      </c>
      <c r="K36" s="16">
        <f t="shared" si="0"/>
        <v>3.8433636363636361</v>
      </c>
    </row>
    <row r="37" spans="5:11">
      <c r="F37" s="11"/>
      <c r="G37" s="11"/>
      <c r="H37" s="11"/>
      <c r="I37" s="15"/>
    </row>
    <row r="38" spans="5:11">
      <c r="F38" s="18"/>
      <c r="G38" s="18"/>
      <c r="H38" s="18"/>
      <c r="I38" s="18"/>
    </row>
  </sheetData>
  <phoneticPr fontId="6" type="noConversion"/>
  <pageMargins left="0.75000000000000011" right="0.75000000000000011" top="1" bottom="1" header="0.5" footer="0.5"/>
  <pageSetup paperSize="0" orientation="landscape" horizontalDpi="4294967292" verticalDpi="4294967292"/>
  <legacyDrawing r:id="rId1"/>
  <extLst>
    <ext xmlns:mx="http://schemas.microsoft.com/office/mac/excel/2008/main" uri="http://schemas.microsoft.com/office/mac/excel/2008/main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Dataset</vt:lpstr>
      <vt:lpstr>Reference list</vt:lpstr>
      <vt:lpstr>Hoja1</vt:lpstr>
    </vt:vector>
  </TitlesOfParts>
  <Company>Institut Català Paleontologia</Company>
  <LinksUpToDate>false</LinksUpToDate>
  <SharedDoc>false</SharedDoc>
  <HyperlinksChanged>false</HyperlinksChanged>
  <AppVersion>12.0256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Bernat Vila</dc:creator>
  <cp:lastModifiedBy>Bernat Vila</cp:lastModifiedBy>
  <cp:lastPrinted>2012-10-29T17:14:20Z</cp:lastPrinted>
  <dcterms:created xsi:type="dcterms:W3CDTF">2012-10-23T17:16:49Z</dcterms:created>
  <dcterms:modified xsi:type="dcterms:W3CDTF">2013-07-01T17:11:40Z</dcterms:modified>
</cp:coreProperties>
</file>