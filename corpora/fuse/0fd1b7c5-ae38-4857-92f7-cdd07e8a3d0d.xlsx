
<file path=[Content_Types].xml><?xml version="1.0" encoding="utf-8"?>
<Types xmlns="http://schemas.openxmlformats.org/package/2006/content-types">
  <Default Extension="bin" ContentType="application/vnd.openxmlformats-officedocument.spreadsheetml.printerSettings"/>
  <Override PartName="/xl/charts/chart6.xml" ContentType="application/vnd.openxmlformats-officedocument.drawingml.chart+xml"/>
  <Override PartName="/xl/charts/chart7.xml" ContentType="application/vnd.openxmlformats-officedocument.drawingml.chart+xml"/>
  <Override PartName="/xl/charts/chart10.xml" ContentType="application/vnd.openxmlformats-officedocument.drawingml.chart+xml"/>
  <Override PartName="/xl/theme/theme1.xml" ContentType="application/vnd.openxmlformats-officedocument.theme+xml"/>
  <Override PartName="/xl/styles.xml" ContentType="application/vnd.openxmlformats-officedocument.spreadsheetml.styles+xml"/>
  <Override PartName="/xl/charts/chart4.xml" ContentType="application/vnd.openxmlformats-officedocument.drawingml.chart+xml"/>
  <Override PartName="/xl/charts/chart5.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Default Extension="rels" ContentType="application/vnd.openxmlformats-package.relationships+xml"/>
  <Default Extension="xml" ContentType="application/xml"/>
  <Override PartName="/xl/workbook.xml" ContentType="application/vnd.openxmlformats-officedocument.spreadsheetml.sheet.main+xml"/>
  <Override PartName="/xl/charts/chart1.xml" ContentType="application/vnd.openxmlformats-officedocument.drawingml.chart+xml"/>
  <Override PartName="/docProps/app.xml" ContentType="application/vnd.openxmlformats-officedocument.extended-properties+xml"/>
  <Override PartName="/xl/worksheets/sheet2.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calcChain.xml" ContentType="application/vnd.openxmlformats-officedocument.spreadsheetml.calcChain+xml"/>
  <Override PartName="/xl/sharedStrings.xml" ContentType="application/vnd.openxmlformats-officedocument.spreadsheetml.sharedStrings+xml"/>
  <Override PartName="/xl/charts/chart8.xml" ContentType="application/vnd.openxmlformats-officedocument.drawingml.chart+xml"/>
  <Override PartName="/xl/charts/chart9.xml" ContentType="application/vnd.openxmlformats-officedocument.drawingml.chart+xml"/>
  <Override PartName="/xl/charts/chart11.xml" ContentType="application/vnd.openxmlformats-officedocument.drawingml.char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75" windowWidth="19020" windowHeight="8580"/>
  </bookViews>
  <sheets>
    <sheet name="Data" sheetId="1" r:id="rId1"/>
    <sheet name="Charts" sheetId="2" r:id="rId2"/>
  </sheets>
  <definedNames>
    <definedName name="_xlnm.Print_Area" localSheetId="1">Charts!$A$1:$Q$124</definedName>
  </definedNames>
  <calcPr calcId="125725"/>
</workbook>
</file>

<file path=xl/calcChain.xml><?xml version="1.0" encoding="utf-8"?>
<calcChain xmlns="http://schemas.openxmlformats.org/spreadsheetml/2006/main">
  <c r="AC35" i="1"/>
  <c r="Z35"/>
  <c r="W35"/>
  <c r="T35"/>
  <c r="Q35"/>
  <c r="M45" i="2" s="1"/>
  <c r="N35" i="1"/>
  <c r="D45" i="2" s="1"/>
  <c r="K35" i="1"/>
  <c r="M112" i="2" s="1"/>
  <c r="H35" i="1"/>
  <c r="E35"/>
  <c r="P3" i="2" s="1"/>
  <c r="B35" i="1"/>
  <c r="D3" i="2" s="1"/>
  <c r="AC34" i="1"/>
  <c r="Z34"/>
  <c r="W34"/>
  <c r="T34"/>
  <c r="N61" s="1"/>
  <c r="Q34"/>
  <c r="N34"/>
  <c r="N59" s="1"/>
  <c r="K34"/>
  <c r="H34"/>
  <c r="E34"/>
  <c r="B34"/>
  <c r="AC33"/>
  <c r="Z33"/>
  <c r="W33"/>
  <c r="T33"/>
  <c r="Q33"/>
  <c r="N33"/>
  <c r="K33"/>
  <c r="H33"/>
  <c r="E33"/>
  <c r="B33"/>
  <c r="AC36"/>
  <c r="Z36"/>
  <c r="W36"/>
  <c r="T36"/>
  <c r="Q36"/>
  <c r="N36"/>
  <c r="K36"/>
  <c r="H36"/>
  <c r="E36"/>
  <c r="B36"/>
  <c r="N63"/>
  <c r="N62"/>
  <c r="N64"/>
  <c r="E108" i="2"/>
  <c r="N86"/>
  <c r="E86"/>
  <c r="N65"/>
  <c r="E65"/>
  <c r="N44"/>
  <c r="E44"/>
  <c r="N23"/>
  <c r="E23"/>
  <c r="N2"/>
  <c r="E2"/>
  <c r="AC50" i="1"/>
  <c r="AC49"/>
  <c r="AC48"/>
  <c r="AC47"/>
  <c r="AC46"/>
  <c r="AC45"/>
  <c r="AC44"/>
  <c r="AC43"/>
  <c r="AC42"/>
  <c r="AC41"/>
  <c r="AC40"/>
  <c r="AC39"/>
  <c r="AC38"/>
  <c r="AC37"/>
  <c r="M87" i="2"/>
  <c r="Z50" i="1"/>
  <c r="Z49"/>
  <c r="Z48"/>
  <c r="Z47"/>
  <c r="Z46"/>
  <c r="Z45"/>
  <c r="Z44"/>
  <c r="Z43"/>
  <c r="Z42"/>
  <c r="Z41"/>
  <c r="Z40"/>
  <c r="Z39"/>
  <c r="Z38"/>
  <c r="Z37"/>
  <c r="D87" i="2"/>
  <c r="W50" i="1"/>
  <c r="W49"/>
  <c r="W48"/>
  <c r="W47"/>
  <c r="W46"/>
  <c r="W45"/>
  <c r="W44"/>
  <c r="W43"/>
  <c r="W42"/>
  <c r="W41"/>
  <c r="W40"/>
  <c r="W39"/>
  <c r="W38"/>
  <c r="W37"/>
  <c r="M66" i="2"/>
  <c r="T50" i="1"/>
  <c r="T49"/>
  <c r="T48"/>
  <c r="T47"/>
  <c r="T46"/>
  <c r="T45"/>
  <c r="T44"/>
  <c r="T43"/>
  <c r="T42"/>
  <c r="T41"/>
  <c r="T40"/>
  <c r="T39"/>
  <c r="T38"/>
  <c r="T37"/>
  <c r="D66" i="2"/>
  <c r="Q50" i="1"/>
  <c r="Q49"/>
  <c r="Q48"/>
  <c r="Q47"/>
  <c r="Q46"/>
  <c r="Q45"/>
  <c r="Q44"/>
  <c r="Q43"/>
  <c r="Q42"/>
  <c r="Q41"/>
  <c r="Q40"/>
  <c r="Q39"/>
  <c r="Q38"/>
  <c r="Q37"/>
  <c r="N60"/>
  <c r="N50"/>
  <c r="N49"/>
  <c r="N48"/>
  <c r="N47"/>
  <c r="N46"/>
  <c r="N45"/>
  <c r="N44"/>
  <c r="N43"/>
  <c r="N42"/>
  <c r="N41"/>
  <c r="N40"/>
  <c r="N39"/>
  <c r="N38"/>
  <c r="N37"/>
  <c r="K50"/>
  <c r="K49"/>
  <c r="K48"/>
  <c r="K47"/>
  <c r="K46"/>
  <c r="K45"/>
  <c r="K44"/>
  <c r="K43"/>
  <c r="K42"/>
  <c r="K41"/>
  <c r="K40"/>
  <c r="K39"/>
  <c r="K38"/>
  <c r="K37"/>
  <c r="N58"/>
  <c r="H50"/>
  <c r="H49"/>
  <c r="H48"/>
  <c r="H47"/>
  <c r="H46"/>
  <c r="H45"/>
  <c r="H44"/>
  <c r="H43"/>
  <c r="H42"/>
  <c r="H41"/>
  <c r="H40"/>
  <c r="H39"/>
  <c r="H38"/>
  <c r="H37"/>
  <c r="F24" i="2"/>
  <c r="N57" i="1"/>
  <c r="E46"/>
  <c r="E47"/>
  <c r="E48"/>
  <c r="E49"/>
  <c r="E50"/>
  <c r="E45"/>
  <c r="E44"/>
  <c r="E43"/>
  <c r="E42"/>
  <c r="E41"/>
  <c r="E40"/>
  <c r="E39"/>
  <c r="E38"/>
  <c r="E37"/>
  <c r="N56"/>
  <c r="B43"/>
  <c r="B42"/>
  <c r="B44"/>
  <c r="B50"/>
  <c r="B49"/>
  <c r="B48"/>
  <c r="B47"/>
  <c r="B46"/>
  <c r="B45"/>
  <c r="B41"/>
  <c r="B40"/>
  <c r="B39"/>
  <c r="B38"/>
  <c r="B37"/>
  <c r="N55"/>
  <c r="F3" i="2" l="1"/>
  <c r="M109"/>
  <c r="M118"/>
  <c r="M117"/>
  <c r="M115"/>
  <c r="M114"/>
  <c r="F45"/>
  <c r="M113"/>
  <c r="O24"/>
  <c r="M24"/>
  <c r="D24"/>
  <c r="M111"/>
  <c r="M110"/>
  <c r="M116"/>
  <c r="O87"/>
  <c r="F87"/>
  <c r="O66"/>
  <c r="F66"/>
  <c r="O45"/>
  <c r="N3"/>
</calcChain>
</file>

<file path=xl/sharedStrings.xml><?xml version="1.0" encoding="utf-8"?>
<sst xmlns="http://schemas.openxmlformats.org/spreadsheetml/2006/main" count="320" uniqueCount="57">
  <si>
    <t>average</t>
  </si>
  <si>
    <t>rate</t>
  </si>
  <si>
    <t>grade</t>
  </si>
  <si>
    <t>number</t>
  </si>
  <si>
    <t>0 min</t>
  </si>
  <si>
    <t>1-5 min</t>
  </si>
  <si>
    <t>6-10 min</t>
  </si>
  <si>
    <t>11-15 min</t>
  </si>
  <si>
    <t>16-20 min</t>
  </si>
  <si>
    <t>21-25 min</t>
  </si>
  <si>
    <t>26-30 min</t>
  </si>
  <si>
    <t>31+ min</t>
  </si>
  <si>
    <t>September In Motion Results</t>
  </si>
  <si>
    <t>This month we are</t>
  </si>
  <si>
    <t>min/day</t>
  </si>
  <si>
    <t>October In Motion Results</t>
  </si>
  <si>
    <t>no. of students</t>
  </si>
  <si>
    <t>September</t>
  </si>
  <si>
    <t>October</t>
  </si>
  <si>
    <t>November</t>
  </si>
  <si>
    <t>December</t>
  </si>
  <si>
    <t>January</t>
  </si>
  <si>
    <t>February</t>
  </si>
  <si>
    <t>March</t>
  </si>
  <si>
    <t>April</t>
  </si>
  <si>
    <t>May</t>
  </si>
  <si>
    <t>June</t>
  </si>
  <si>
    <t>November In Motion Results</t>
  </si>
  <si>
    <t>December Motion Results</t>
  </si>
  <si>
    <t>January In Motion Results</t>
  </si>
  <si>
    <t>March In Motion Results</t>
  </si>
  <si>
    <t>April In Motion Results</t>
  </si>
  <si>
    <t>May In Motion Results</t>
  </si>
  <si>
    <t>June In Motion Results</t>
  </si>
  <si>
    <t>February In Motion Results</t>
  </si>
  <si>
    <t>Teacher's Name:</t>
  </si>
  <si>
    <t xml:space="preserve">Class: </t>
  </si>
  <si>
    <t xml:space="preserve">February </t>
  </si>
  <si>
    <t xml:space="preserve">Month by Month Average </t>
  </si>
  <si>
    <t>Month by Month Changes (min/day)</t>
  </si>
  <si>
    <t>school</t>
  </si>
  <si>
    <t>St. Joseph</t>
  </si>
  <si>
    <t xml:space="preserve">School: </t>
  </si>
  <si>
    <t>pre K</t>
  </si>
  <si>
    <t>Kindergarten</t>
  </si>
  <si>
    <t>Grade 1</t>
  </si>
  <si>
    <t>Grade 2</t>
  </si>
  <si>
    <t>Grade 3</t>
  </si>
  <si>
    <t>Grade 4</t>
  </si>
  <si>
    <t>Grade 5</t>
  </si>
  <si>
    <t>Grade 6</t>
  </si>
  <si>
    <t>Grade 7</t>
  </si>
  <si>
    <t>Grade 8</t>
  </si>
  <si>
    <t>month</t>
  </si>
  <si>
    <r>
      <rPr>
        <b/>
        <sz val="11"/>
        <color theme="1"/>
        <rFont val="Calibri"/>
        <family val="2"/>
        <scheme val="minor"/>
      </rPr>
      <t>Instructions to Teachers</t>
    </r>
    <r>
      <rPr>
        <sz val="11"/>
        <color theme="1"/>
        <rFont val="Calibri"/>
        <family val="2"/>
        <scheme val="minor"/>
      </rPr>
      <t xml:space="preserve">:  Fill in your classroom information into the brown boxes.  Fill in your name and choose your school from the drop down menu.  Each month, fill in as many of the "grade" and "no. of students" boxes you need for your class.  Enter your number of minutes of In Motion daily activity and send the whole file into the co-ordinator at the end of each month.  The rest of the cells in spreadsheet are locked.  You can view or print the summary results on the </t>
    </r>
    <r>
      <rPr>
        <b/>
        <sz val="11"/>
        <color theme="1"/>
        <rFont val="Calibri"/>
        <family val="2"/>
        <scheme val="minor"/>
      </rPr>
      <t>Charts</t>
    </r>
    <r>
      <rPr>
        <sz val="11"/>
        <color theme="1"/>
        <rFont val="Calibri"/>
        <family val="2"/>
        <scheme val="minor"/>
      </rPr>
      <t xml:space="preserve"> tab at the bottom of the page.</t>
    </r>
  </si>
  <si>
    <t>29 Feb</t>
  </si>
  <si>
    <t>St. Patrick</t>
  </si>
</sst>
</file>

<file path=xl/styles.xml><?xml version="1.0" encoding="utf-8"?>
<styleSheet xmlns="http://schemas.openxmlformats.org/spreadsheetml/2006/main">
  <fonts count="6">
    <font>
      <sz val="11"/>
      <color theme="1"/>
      <name val="Calibri"/>
      <family val="2"/>
      <scheme val="minor"/>
    </font>
    <font>
      <sz val="18"/>
      <color theme="1"/>
      <name val="Calibri"/>
      <family val="2"/>
      <scheme val="minor"/>
    </font>
    <font>
      <b/>
      <sz val="18"/>
      <color theme="1"/>
      <name val="Calibri"/>
      <family val="2"/>
      <scheme val="minor"/>
    </font>
    <font>
      <b/>
      <sz val="11"/>
      <color theme="1"/>
      <name val="Calibri"/>
      <family val="2"/>
      <scheme val="minor"/>
    </font>
    <font>
      <sz val="11"/>
      <color theme="0"/>
      <name val="Calibri"/>
      <family val="2"/>
      <scheme val="minor"/>
    </font>
    <font>
      <sz val="11"/>
      <name val="Calibri"/>
      <family val="2"/>
      <scheme val="minor"/>
    </font>
  </fonts>
  <fills count="6">
    <fill>
      <patternFill patternType="none"/>
    </fill>
    <fill>
      <patternFill patternType="gray125"/>
    </fill>
    <fill>
      <patternFill patternType="solid">
        <fgColor theme="2" tint="-0.249977111117893"/>
        <bgColor indexed="64"/>
      </patternFill>
    </fill>
    <fill>
      <patternFill patternType="solid">
        <fgColor theme="4" tint="0.59999389629810485"/>
        <bgColor indexed="64"/>
      </patternFill>
    </fill>
    <fill>
      <patternFill patternType="solid">
        <fgColor theme="0"/>
        <bgColor indexed="64"/>
      </patternFill>
    </fill>
    <fill>
      <patternFill patternType="solid">
        <fgColor rgb="FFFFC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55">
    <xf numFmtId="0" fontId="0" fillId="0" borderId="0" xfId="0"/>
    <xf numFmtId="2" fontId="0" fillId="0" borderId="0" xfId="0" applyNumberFormat="1"/>
    <xf numFmtId="0" fontId="1" fillId="0" borderId="0" xfId="0" applyFont="1" applyAlignment="1">
      <alignment horizontal="center"/>
    </xf>
    <xf numFmtId="2" fontId="0" fillId="0" borderId="0" xfId="0" applyNumberFormat="1" applyAlignment="1">
      <alignment horizontal="left"/>
    </xf>
    <xf numFmtId="0" fontId="2" fillId="0" borderId="0" xfId="0" applyFont="1" applyAlignment="1">
      <alignment horizontal="center"/>
    </xf>
    <xf numFmtId="0" fontId="0" fillId="0" borderId="0" xfId="0" applyProtection="1"/>
    <xf numFmtId="0" fontId="0" fillId="4" borderId="0" xfId="0" applyFill="1" applyProtection="1"/>
    <xf numFmtId="0" fontId="0" fillId="3" borderId="0" xfId="0" applyFill="1" applyProtection="1"/>
    <xf numFmtId="0" fontId="0" fillId="3" borderId="1" xfId="0" applyFill="1" applyBorder="1" applyAlignment="1" applyProtection="1">
      <alignment horizontal="center" vertical="center" wrapText="1"/>
    </xf>
    <xf numFmtId="0" fontId="0" fillId="0" borderId="0" xfId="0" applyAlignment="1" applyProtection="1">
      <alignment wrapText="1"/>
    </xf>
    <xf numFmtId="16" fontId="0" fillId="0" borderId="0" xfId="0" applyNumberFormat="1" applyProtection="1"/>
    <xf numFmtId="0" fontId="0" fillId="3" borderId="1" xfId="0" applyFill="1" applyBorder="1" applyProtection="1"/>
    <xf numFmtId="0" fontId="0" fillId="5" borderId="1" xfId="0" applyNumberFormat="1" applyFill="1" applyBorder="1" applyProtection="1"/>
    <xf numFmtId="9" fontId="0" fillId="5" borderId="1" xfId="0" applyNumberFormat="1" applyFill="1" applyBorder="1" applyProtection="1"/>
    <xf numFmtId="0" fontId="0" fillId="5" borderId="1" xfId="0" applyFill="1" applyBorder="1" applyProtection="1"/>
    <xf numFmtId="0" fontId="0" fillId="2" borderId="1" xfId="0" applyFill="1" applyBorder="1" applyAlignment="1" applyProtection="1">
      <alignment horizontal="center" vertical="center"/>
      <protection locked="0"/>
    </xf>
    <xf numFmtId="2" fontId="0" fillId="5" borderId="1" xfId="0" applyNumberFormat="1" applyFill="1" applyBorder="1" applyProtection="1"/>
    <xf numFmtId="0" fontId="0" fillId="3" borderId="1" xfId="0" applyFill="1" applyBorder="1" applyAlignment="1" applyProtection="1">
      <alignment horizontal="center" vertical="center"/>
    </xf>
    <xf numFmtId="0" fontId="0" fillId="4" borderId="0" xfId="0" applyFill="1" applyBorder="1" applyProtection="1"/>
    <xf numFmtId="16" fontId="0" fillId="4" borderId="0" xfId="0" applyNumberFormat="1" applyFill="1" applyBorder="1" applyAlignment="1" applyProtection="1">
      <alignment horizontal="center"/>
    </xf>
    <xf numFmtId="0" fontId="0" fillId="4" borderId="0" xfId="0" applyFill="1" applyBorder="1" applyAlignment="1" applyProtection="1">
      <alignment horizontal="center" vertical="center"/>
    </xf>
    <xf numFmtId="16" fontId="0" fillId="3" borderId="9" xfId="0" applyNumberFormat="1" applyFill="1" applyBorder="1" applyAlignment="1" applyProtection="1">
      <alignment horizontal="center"/>
    </xf>
    <xf numFmtId="0" fontId="0" fillId="2" borderId="10" xfId="0" applyFill="1" applyBorder="1" applyAlignment="1" applyProtection="1">
      <alignment horizontal="center" vertical="center"/>
      <protection locked="0"/>
    </xf>
    <xf numFmtId="16" fontId="0" fillId="3" borderId="11" xfId="0" applyNumberFormat="1" applyFill="1" applyBorder="1" applyAlignment="1" applyProtection="1">
      <alignment horizontal="center"/>
    </xf>
    <xf numFmtId="0" fontId="0" fillId="2" borderId="12" xfId="0" applyFill="1" applyBorder="1" applyAlignment="1" applyProtection="1">
      <alignment horizontal="center" vertical="center"/>
      <protection locked="0"/>
    </xf>
    <xf numFmtId="16" fontId="0" fillId="3" borderId="13" xfId="0" applyNumberFormat="1" applyFill="1" applyBorder="1" applyAlignment="1" applyProtection="1">
      <alignment horizontal="center"/>
    </xf>
    <xf numFmtId="0" fontId="0" fillId="2" borderId="14" xfId="0" applyFill="1" applyBorder="1" applyAlignment="1" applyProtection="1">
      <alignment horizontal="center" vertical="center"/>
      <protection locked="0"/>
    </xf>
    <xf numFmtId="0" fontId="4" fillId="0" borderId="0" xfId="0" applyFont="1" applyProtection="1"/>
    <xf numFmtId="0" fontId="4" fillId="0" borderId="0" xfId="0" applyFont="1" applyFill="1" applyBorder="1" applyProtection="1"/>
    <xf numFmtId="0" fontId="5" fillId="4" borderId="1" xfId="0" applyFont="1" applyFill="1" applyBorder="1" applyProtection="1"/>
    <xf numFmtId="16" fontId="5" fillId="4" borderId="1" xfId="0" applyNumberFormat="1" applyFont="1" applyFill="1" applyBorder="1" applyProtection="1"/>
    <xf numFmtId="9" fontId="5" fillId="4" borderId="1" xfId="0" applyNumberFormat="1" applyFont="1" applyFill="1" applyBorder="1" applyProtection="1"/>
    <xf numFmtId="0" fontId="5" fillId="4" borderId="0" xfId="0" applyFont="1" applyFill="1"/>
    <xf numFmtId="2" fontId="4" fillId="0" borderId="0" xfId="0" applyNumberFormat="1" applyFont="1" applyProtection="1"/>
    <xf numFmtId="0" fontId="5" fillId="0" borderId="0" xfId="0" applyFont="1" applyProtection="1"/>
    <xf numFmtId="0" fontId="4" fillId="0" borderId="0" xfId="0" applyFont="1"/>
    <xf numFmtId="0" fontId="0" fillId="0" borderId="4" xfId="0" applyBorder="1" applyAlignment="1" applyProtection="1">
      <alignment horizontal="center" vertical="center" wrapText="1"/>
    </xf>
    <xf numFmtId="0" fontId="0" fillId="0" borderId="0" xfId="0" applyBorder="1" applyAlignment="1" applyProtection="1">
      <alignment horizontal="center" vertical="center" wrapText="1"/>
    </xf>
    <xf numFmtId="0" fontId="0" fillId="3" borderId="1" xfId="0" applyFill="1" applyBorder="1" applyAlignment="1" applyProtection="1">
      <alignment horizontal="center" vertical="center"/>
    </xf>
    <xf numFmtId="0" fontId="0" fillId="3" borderId="1" xfId="0" applyFill="1" applyBorder="1" applyAlignment="1" applyProtection="1">
      <alignment horizontal="right" vertical="center"/>
    </xf>
    <xf numFmtId="0" fontId="0" fillId="3" borderId="3" xfId="0" applyFill="1" applyBorder="1" applyAlignment="1" applyProtection="1">
      <alignment horizontal="right" vertical="center"/>
    </xf>
    <xf numFmtId="0" fontId="0" fillId="2" borderId="6" xfId="0" applyFill="1" applyBorder="1" applyAlignment="1" applyProtection="1">
      <alignment horizontal="left" vertical="center"/>
      <protection locked="0"/>
    </xf>
    <xf numFmtId="0" fontId="0" fillId="2" borderId="7" xfId="0" applyFill="1" applyBorder="1" applyAlignment="1" applyProtection="1">
      <alignment horizontal="left" vertical="center"/>
      <protection locked="0"/>
    </xf>
    <xf numFmtId="0" fontId="0" fillId="2" borderId="8" xfId="0" applyFill="1" applyBorder="1" applyAlignment="1" applyProtection="1">
      <alignment horizontal="left" vertical="center"/>
      <protection locked="0"/>
    </xf>
    <xf numFmtId="0" fontId="0" fillId="3" borderId="5" xfId="0" applyFill="1" applyBorder="1" applyAlignment="1" applyProtection="1">
      <alignment horizontal="right"/>
    </xf>
    <xf numFmtId="0" fontId="0" fillId="2" borderId="6" xfId="0" applyFill="1" applyBorder="1" applyAlignment="1" applyProtection="1">
      <alignment horizontal="center"/>
      <protection locked="0"/>
    </xf>
    <xf numFmtId="0" fontId="0" fillId="2" borderId="7" xfId="0" applyFill="1" applyBorder="1" applyAlignment="1" applyProtection="1">
      <alignment horizontal="center"/>
      <protection locked="0"/>
    </xf>
    <xf numFmtId="0" fontId="0" fillId="2" borderId="8" xfId="0" applyFill="1" applyBorder="1" applyAlignment="1" applyProtection="1">
      <alignment horizontal="center"/>
      <protection locked="0"/>
    </xf>
    <xf numFmtId="0" fontId="0" fillId="3" borderId="2" xfId="0" applyFill="1" applyBorder="1" applyAlignment="1" applyProtection="1">
      <alignment horizontal="center" vertical="center"/>
    </xf>
    <xf numFmtId="0" fontId="0" fillId="0" borderId="0" xfId="0" applyAlignment="1">
      <alignment horizontal="center"/>
    </xf>
    <xf numFmtId="0" fontId="1" fillId="0" borderId="0" xfId="0" applyFont="1" applyAlignment="1">
      <alignment horizontal="right" vertical="center"/>
    </xf>
    <xf numFmtId="0" fontId="1" fillId="0" borderId="0" xfId="0" applyFont="1" applyAlignment="1">
      <alignment horizontal="left" vertical="center"/>
    </xf>
    <xf numFmtId="0" fontId="0" fillId="0" borderId="0" xfId="0" applyAlignment="1">
      <alignment horizontal="right"/>
    </xf>
    <xf numFmtId="0" fontId="2" fillId="0" borderId="0" xfId="0" applyFont="1" applyAlignment="1">
      <alignment horizontal="center"/>
    </xf>
    <xf numFmtId="0" fontId="1" fillId="0" borderId="0" xfId="0" applyFont="1" applyAlignment="1">
      <alignment horizontal="center" vertical="center"/>
    </xf>
  </cellXfs>
  <cellStyles count="1">
    <cellStyle name="Normal" xfId="0" builtinId="0"/>
  </cellStyles>
  <dxfs count="0"/>
  <tableStyles count="0" defaultTableStyle="TableStyleMedium9" defaultPivotStyle="PivotStyleLight16"/>
  <colors>
    <mruColors>
      <color rgb="FFFFCA09"/>
      <color rgb="FFFFFF5B"/>
      <color rgb="FF99FF66"/>
      <color rgb="FF00FF00"/>
      <color rgb="FF007A37"/>
    </mru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Data!$A$37:$A$44</c:f>
              <c:strCache>
                <c:ptCount val="8"/>
                <c:pt idx="0">
                  <c:v>0 min</c:v>
                </c:pt>
                <c:pt idx="1">
                  <c:v>1-5 min</c:v>
                </c:pt>
                <c:pt idx="2">
                  <c:v>6-10 min</c:v>
                </c:pt>
                <c:pt idx="3">
                  <c:v>11-15 min</c:v>
                </c:pt>
                <c:pt idx="4">
                  <c:v>16-20 min</c:v>
                </c:pt>
                <c:pt idx="5">
                  <c:v>21-25 min</c:v>
                </c:pt>
                <c:pt idx="6">
                  <c:v>26-30 min</c:v>
                </c:pt>
                <c:pt idx="7">
                  <c:v>31+ min</c:v>
                </c:pt>
              </c:strCache>
            </c:strRef>
          </c:cat>
          <c:val>
            <c:numRef>
              <c:f>Data!$B$37:$B$44</c:f>
              <c:numCache>
                <c:formatCode>0%</c:formatCode>
                <c:ptCount val="8"/>
                <c:pt idx="0">
                  <c:v>0</c:v>
                </c:pt>
                <c:pt idx="1">
                  <c:v>0</c:v>
                </c:pt>
                <c:pt idx="2">
                  <c:v>0</c:v>
                </c:pt>
                <c:pt idx="3">
                  <c:v>0</c:v>
                </c:pt>
                <c:pt idx="4">
                  <c:v>0</c:v>
                </c:pt>
                <c:pt idx="5">
                  <c:v>0</c:v>
                </c:pt>
                <c:pt idx="6">
                  <c:v>0</c:v>
                </c:pt>
                <c:pt idx="7">
                  <c:v>0</c:v>
                </c:pt>
              </c:numCache>
            </c:numRef>
          </c:val>
        </c:ser>
        <c:axId val="127727872"/>
        <c:axId val="128057344"/>
      </c:barChart>
      <c:catAx>
        <c:axId val="127727872"/>
        <c:scaling>
          <c:orientation val="minMax"/>
        </c:scaling>
        <c:axPos val="b"/>
        <c:majorTickMark val="none"/>
        <c:tickLblPos val="nextTo"/>
        <c:crossAx val="128057344"/>
        <c:crosses val="autoZero"/>
        <c:auto val="1"/>
        <c:lblAlgn val="ctr"/>
        <c:lblOffset val="100"/>
      </c:catAx>
      <c:valAx>
        <c:axId val="128057344"/>
        <c:scaling>
          <c:orientation val="minMax"/>
          <c:max val="1"/>
        </c:scaling>
        <c:axPos val="l"/>
        <c:majorGridlines/>
        <c:numFmt formatCode="0%" sourceLinked="1"/>
        <c:majorTickMark val="none"/>
        <c:tickLblPos val="nextTo"/>
        <c:crossAx val="127727872"/>
        <c:crosses val="autoZero"/>
        <c:crossBetween val="between"/>
      </c:valAx>
    </c:plotArea>
    <c:plotVisOnly val="1"/>
  </c:chart>
  <c:printSettings>
    <c:headerFooter/>
    <c:pageMargins b="0.75000000000000167" l="0.70000000000000062" r="0.70000000000000062" t="0.75000000000000167" header="0.30000000000000032" footer="0.30000000000000032"/>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Data!$D$37:$D$44</c:f>
              <c:strCache>
                <c:ptCount val="8"/>
                <c:pt idx="0">
                  <c:v>0 min</c:v>
                </c:pt>
                <c:pt idx="1">
                  <c:v>1-5 min</c:v>
                </c:pt>
                <c:pt idx="2">
                  <c:v>6-10 min</c:v>
                </c:pt>
                <c:pt idx="3">
                  <c:v>11-15 min</c:v>
                </c:pt>
                <c:pt idx="4">
                  <c:v>16-20 min</c:v>
                </c:pt>
                <c:pt idx="5">
                  <c:v>21-25 min</c:v>
                </c:pt>
                <c:pt idx="6">
                  <c:v>26-30 min</c:v>
                </c:pt>
                <c:pt idx="7">
                  <c:v>31+ min</c:v>
                </c:pt>
              </c:strCache>
            </c:strRef>
          </c:cat>
          <c:val>
            <c:numRef>
              <c:f>Data!$E$37:$E$44</c:f>
              <c:numCache>
                <c:formatCode>0%</c:formatCode>
                <c:ptCount val="8"/>
                <c:pt idx="0">
                  <c:v>0</c:v>
                </c:pt>
                <c:pt idx="1">
                  <c:v>0</c:v>
                </c:pt>
                <c:pt idx="2">
                  <c:v>0</c:v>
                </c:pt>
                <c:pt idx="3">
                  <c:v>0</c:v>
                </c:pt>
                <c:pt idx="4">
                  <c:v>0</c:v>
                </c:pt>
                <c:pt idx="5">
                  <c:v>0</c:v>
                </c:pt>
                <c:pt idx="6">
                  <c:v>0</c:v>
                </c:pt>
                <c:pt idx="7">
                  <c:v>0</c:v>
                </c:pt>
              </c:numCache>
            </c:numRef>
          </c:val>
        </c:ser>
        <c:axId val="128087936"/>
        <c:axId val="128089472"/>
      </c:barChart>
      <c:catAx>
        <c:axId val="128087936"/>
        <c:scaling>
          <c:orientation val="minMax"/>
        </c:scaling>
        <c:axPos val="b"/>
        <c:majorTickMark val="none"/>
        <c:tickLblPos val="nextTo"/>
        <c:crossAx val="128089472"/>
        <c:crosses val="autoZero"/>
        <c:auto val="1"/>
        <c:lblAlgn val="ctr"/>
        <c:lblOffset val="100"/>
      </c:catAx>
      <c:valAx>
        <c:axId val="128089472"/>
        <c:scaling>
          <c:orientation val="minMax"/>
          <c:max val="1"/>
        </c:scaling>
        <c:axPos val="l"/>
        <c:majorGridlines/>
        <c:numFmt formatCode="0%" sourceLinked="1"/>
        <c:majorTickMark val="none"/>
        <c:tickLblPos val="nextTo"/>
        <c:crossAx val="128087936"/>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Data!$G$37:$G$44</c:f>
              <c:strCache>
                <c:ptCount val="8"/>
                <c:pt idx="0">
                  <c:v>0 min</c:v>
                </c:pt>
                <c:pt idx="1">
                  <c:v>1-5 min</c:v>
                </c:pt>
                <c:pt idx="2">
                  <c:v>6-10 min</c:v>
                </c:pt>
                <c:pt idx="3">
                  <c:v>11-15 min</c:v>
                </c:pt>
                <c:pt idx="4">
                  <c:v>16-20 min</c:v>
                </c:pt>
                <c:pt idx="5">
                  <c:v>21-25 min</c:v>
                </c:pt>
                <c:pt idx="6">
                  <c:v>26-30 min</c:v>
                </c:pt>
                <c:pt idx="7">
                  <c:v>31+ min</c:v>
                </c:pt>
              </c:strCache>
            </c:strRef>
          </c:cat>
          <c:val>
            <c:numRef>
              <c:f>Data!$H$37:$H$44</c:f>
              <c:numCache>
                <c:formatCode>0%</c:formatCode>
                <c:ptCount val="8"/>
                <c:pt idx="0">
                  <c:v>0</c:v>
                </c:pt>
                <c:pt idx="1">
                  <c:v>0</c:v>
                </c:pt>
                <c:pt idx="2">
                  <c:v>0</c:v>
                </c:pt>
                <c:pt idx="3">
                  <c:v>0</c:v>
                </c:pt>
                <c:pt idx="4">
                  <c:v>0</c:v>
                </c:pt>
                <c:pt idx="5">
                  <c:v>0</c:v>
                </c:pt>
                <c:pt idx="6">
                  <c:v>0</c:v>
                </c:pt>
                <c:pt idx="7">
                  <c:v>0</c:v>
                </c:pt>
              </c:numCache>
            </c:numRef>
          </c:val>
        </c:ser>
        <c:axId val="128255488"/>
        <c:axId val="128257024"/>
      </c:barChart>
      <c:catAx>
        <c:axId val="128255488"/>
        <c:scaling>
          <c:orientation val="minMax"/>
        </c:scaling>
        <c:axPos val="b"/>
        <c:majorTickMark val="none"/>
        <c:tickLblPos val="nextTo"/>
        <c:crossAx val="128257024"/>
        <c:crosses val="autoZero"/>
        <c:auto val="1"/>
        <c:lblAlgn val="ctr"/>
        <c:lblOffset val="100"/>
      </c:catAx>
      <c:valAx>
        <c:axId val="128257024"/>
        <c:scaling>
          <c:orientation val="minMax"/>
          <c:max val="1"/>
        </c:scaling>
        <c:axPos val="l"/>
        <c:majorGridlines/>
        <c:numFmt formatCode="0%" sourceLinked="1"/>
        <c:majorTickMark val="none"/>
        <c:tickLblPos val="nextTo"/>
        <c:crossAx val="128255488"/>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Data!$J$37:$J$44</c:f>
              <c:strCache>
                <c:ptCount val="8"/>
                <c:pt idx="0">
                  <c:v>0 min</c:v>
                </c:pt>
                <c:pt idx="1">
                  <c:v>1-5 min</c:v>
                </c:pt>
                <c:pt idx="2">
                  <c:v>6-10 min</c:v>
                </c:pt>
                <c:pt idx="3">
                  <c:v>11-15 min</c:v>
                </c:pt>
                <c:pt idx="4">
                  <c:v>16-20 min</c:v>
                </c:pt>
                <c:pt idx="5">
                  <c:v>21-25 min</c:v>
                </c:pt>
                <c:pt idx="6">
                  <c:v>26-30 min</c:v>
                </c:pt>
                <c:pt idx="7">
                  <c:v>31+ min</c:v>
                </c:pt>
              </c:strCache>
            </c:strRef>
          </c:cat>
          <c:val>
            <c:numRef>
              <c:f>Data!$K$37:$K$44</c:f>
              <c:numCache>
                <c:formatCode>0%</c:formatCode>
                <c:ptCount val="8"/>
                <c:pt idx="0">
                  <c:v>0</c:v>
                </c:pt>
                <c:pt idx="1">
                  <c:v>0</c:v>
                </c:pt>
                <c:pt idx="2">
                  <c:v>0</c:v>
                </c:pt>
                <c:pt idx="3">
                  <c:v>0</c:v>
                </c:pt>
                <c:pt idx="4">
                  <c:v>0</c:v>
                </c:pt>
                <c:pt idx="5">
                  <c:v>0</c:v>
                </c:pt>
                <c:pt idx="6">
                  <c:v>0</c:v>
                </c:pt>
                <c:pt idx="7">
                  <c:v>0</c:v>
                </c:pt>
              </c:numCache>
            </c:numRef>
          </c:val>
        </c:ser>
        <c:axId val="128296064"/>
        <c:axId val="128297600"/>
      </c:barChart>
      <c:catAx>
        <c:axId val="128296064"/>
        <c:scaling>
          <c:orientation val="minMax"/>
        </c:scaling>
        <c:axPos val="b"/>
        <c:majorTickMark val="none"/>
        <c:tickLblPos val="nextTo"/>
        <c:crossAx val="128297600"/>
        <c:crosses val="autoZero"/>
        <c:auto val="1"/>
        <c:lblAlgn val="ctr"/>
        <c:lblOffset val="100"/>
      </c:catAx>
      <c:valAx>
        <c:axId val="128297600"/>
        <c:scaling>
          <c:orientation val="minMax"/>
          <c:max val="1"/>
        </c:scaling>
        <c:axPos val="l"/>
        <c:majorGridlines/>
        <c:numFmt formatCode="0%" sourceLinked="1"/>
        <c:majorTickMark val="none"/>
        <c:tickLblPos val="nextTo"/>
        <c:crossAx val="128296064"/>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Data!$M$37:$M$44</c:f>
              <c:strCache>
                <c:ptCount val="8"/>
                <c:pt idx="0">
                  <c:v>0 min</c:v>
                </c:pt>
                <c:pt idx="1">
                  <c:v>1-5 min</c:v>
                </c:pt>
                <c:pt idx="2">
                  <c:v>6-10 min</c:v>
                </c:pt>
                <c:pt idx="3">
                  <c:v>11-15 min</c:v>
                </c:pt>
                <c:pt idx="4">
                  <c:v>16-20 min</c:v>
                </c:pt>
                <c:pt idx="5">
                  <c:v>21-25 min</c:v>
                </c:pt>
                <c:pt idx="6">
                  <c:v>26-30 min</c:v>
                </c:pt>
                <c:pt idx="7">
                  <c:v>31+ min</c:v>
                </c:pt>
              </c:strCache>
            </c:strRef>
          </c:cat>
          <c:val>
            <c:numRef>
              <c:f>Data!$N$37:$N$44</c:f>
              <c:numCache>
                <c:formatCode>0%</c:formatCode>
                <c:ptCount val="8"/>
                <c:pt idx="0">
                  <c:v>0</c:v>
                </c:pt>
                <c:pt idx="1">
                  <c:v>0</c:v>
                </c:pt>
                <c:pt idx="2">
                  <c:v>0</c:v>
                </c:pt>
                <c:pt idx="3">
                  <c:v>0</c:v>
                </c:pt>
                <c:pt idx="4">
                  <c:v>0</c:v>
                </c:pt>
                <c:pt idx="5">
                  <c:v>0</c:v>
                </c:pt>
                <c:pt idx="6">
                  <c:v>0</c:v>
                </c:pt>
                <c:pt idx="7">
                  <c:v>0</c:v>
                </c:pt>
              </c:numCache>
            </c:numRef>
          </c:val>
        </c:ser>
        <c:axId val="128410368"/>
        <c:axId val="128411904"/>
      </c:barChart>
      <c:catAx>
        <c:axId val="128410368"/>
        <c:scaling>
          <c:orientation val="minMax"/>
        </c:scaling>
        <c:axPos val="b"/>
        <c:majorTickMark val="none"/>
        <c:tickLblPos val="nextTo"/>
        <c:crossAx val="128411904"/>
        <c:crosses val="autoZero"/>
        <c:auto val="1"/>
        <c:lblAlgn val="ctr"/>
        <c:lblOffset val="100"/>
      </c:catAx>
      <c:valAx>
        <c:axId val="128411904"/>
        <c:scaling>
          <c:orientation val="minMax"/>
          <c:max val="1"/>
        </c:scaling>
        <c:axPos val="l"/>
        <c:majorGridlines/>
        <c:numFmt formatCode="0%" sourceLinked="1"/>
        <c:majorTickMark val="none"/>
        <c:tickLblPos val="nextTo"/>
        <c:crossAx val="128410368"/>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Data!$P$37:$P$44</c:f>
              <c:strCache>
                <c:ptCount val="8"/>
                <c:pt idx="0">
                  <c:v>0 min</c:v>
                </c:pt>
                <c:pt idx="1">
                  <c:v>1-5 min</c:v>
                </c:pt>
                <c:pt idx="2">
                  <c:v>6-10 min</c:v>
                </c:pt>
                <c:pt idx="3">
                  <c:v>11-15 min</c:v>
                </c:pt>
                <c:pt idx="4">
                  <c:v>16-20 min</c:v>
                </c:pt>
                <c:pt idx="5">
                  <c:v>21-25 min</c:v>
                </c:pt>
                <c:pt idx="6">
                  <c:v>26-30 min</c:v>
                </c:pt>
                <c:pt idx="7">
                  <c:v>31+ min</c:v>
                </c:pt>
              </c:strCache>
            </c:strRef>
          </c:cat>
          <c:val>
            <c:numRef>
              <c:f>Data!$Q$37:$Q$44</c:f>
              <c:numCache>
                <c:formatCode>0%</c:formatCode>
                <c:ptCount val="8"/>
                <c:pt idx="0">
                  <c:v>0</c:v>
                </c:pt>
                <c:pt idx="1">
                  <c:v>0</c:v>
                </c:pt>
                <c:pt idx="2">
                  <c:v>0</c:v>
                </c:pt>
                <c:pt idx="3">
                  <c:v>0</c:v>
                </c:pt>
                <c:pt idx="4">
                  <c:v>0</c:v>
                </c:pt>
                <c:pt idx="5">
                  <c:v>0</c:v>
                </c:pt>
                <c:pt idx="6">
                  <c:v>0</c:v>
                </c:pt>
                <c:pt idx="7">
                  <c:v>0</c:v>
                </c:pt>
              </c:numCache>
            </c:numRef>
          </c:val>
        </c:ser>
        <c:axId val="128446848"/>
        <c:axId val="128448384"/>
      </c:barChart>
      <c:catAx>
        <c:axId val="128446848"/>
        <c:scaling>
          <c:orientation val="minMax"/>
        </c:scaling>
        <c:axPos val="b"/>
        <c:majorTickMark val="none"/>
        <c:tickLblPos val="nextTo"/>
        <c:crossAx val="128448384"/>
        <c:crosses val="autoZero"/>
        <c:auto val="1"/>
        <c:lblAlgn val="ctr"/>
        <c:lblOffset val="100"/>
      </c:catAx>
      <c:valAx>
        <c:axId val="128448384"/>
        <c:scaling>
          <c:orientation val="minMax"/>
          <c:max val="1"/>
        </c:scaling>
        <c:axPos val="l"/>
        <c:majorGridlines/>
        <c:numFmt formatCode="0%" sourceLinked="1"/>
        <c:majorTickMark val="none"/>
        <c:tickLblPos val="nextTo"/>
        <c:crossAx val="128446848"/>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lang val="en-CA"/>
  <c:chart>
    <c:autoTitleDeleted val="1"/>
    <c:plotArea>
      <c:layout>
        <c:manualLayout>
          <c:layoutTarget val="inner"/>
          <c:xMode val="edge"/>
          <c:yMode val="edge"/>
          <c:x val="0.12208581070223366"/>
          <c:y val="2.5113249732672312E-2"/>
          <c:w val="0.84618898884670257"/>
          <c:h val="0.77041832733871263"/>
        </c:manualLayout>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Data!$S$37:$S$44</c:f>
              <c:strCache>
                <c:ptCount val="8"/>
                <c:pt idx="0">
                  <c:v>0 min</c:v>
                </c:pt>
                <c:pt idx="1">
                  <c:v>1-5 min</c:v>
                </c:pt>
                <c:pt idx="2">
                  <c:v>6-10 min</c:v>
                </c:pt>
                <c:pt idx="3">
                  <c:v>11-15 min</c:v>
                </c:pt>
                <c:pt idx="4">
                  <c:v>16-20 min</c:v>
                </c:pt>
                <c:pt idx="5">
                  <c:v>21-25 min</c:v>
                </c:pt>
                <c:pt idx="6">
                  <c:v>26-30 min</c:v>
                </c:pt>
                <c:pt idx="7">
                  <c:v>31+ min</c:v>
                </c:pt>
              </c:strCache>
            </c:strRef>
          </c:cat>
          <c:val>
            <c:numRef>
              <c:f>Data!$T$37:$T$44</c:f>
              <c:numCache>
                <c:formatCode>0%</c:formatCode>
                <c:ptCount val="8"/>
                <c:pt idx="0">
                  <c:v>0</c:v>
                </c:pt>
                <c:pt idx="1">
                  <c:v>0</c:v>
                </c:pt>
                <c:pt idx="2">
                  <c:v>0</c:v>
                </c:pt>
                <c:pt idx="3">
                  <c:v>0</c:v>
                </c:pt>
                <c:pt idx="4">
                  <c:v>0</c:v>
                </c:pt>
                <c:pt idx="5">
                  <c:v>0</c:v>
                </c:pt>
                <c:pt idx="6">
                  <c:v>0</c:v>
                </c:pt>
                <c:pt idx="7">
                  <c:v>0</c:v>
                </c:pt>
              </c:numCache>
            </c:numRef>
          </c:val>
        </c:ser>
        <c:axId val="128339968"/>
        <c:axId val="128341504"/>
      </c:barChart>
      <c:catAx>
        <c:axId val="128339968"/>
        <c:scaling>
          <c:orientation val="minMax"/>
        </c:scaling>
        <c:axPos val="b"/>
        <c:majorTickMark val="none"/>
        <c:tickLblPos val="nextTo"/>
        <c:crossAx val="128341504"/>
        <c:crosses val="autoZero"/>
        <c:auto val="1"/>
        <c:lblAlgn val="ctr"/>
        <c:lblOffset val="100"/>
      </c:catAx>
      <c:valAx>
        <c:axId val="128341504"/>
        <c:scaling>
          <c:orientation val="minMax"/>
          <c:max val="1"/>
        </c:scaling>
        <c:axPos val="l"/>
        <c:majorGridlines/>
        <c:numFmt formatCode="0%" sourceLinked="1"/>
        <c:majorTickMark val="none"/>
        <c:tickLblPos val="nextTo"/>
        <c:crossAx val="128339968"/>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Data!$V$37:$V$44</c:f>
              <c:strCache>
                <c:ptCount val="8"/>
                <c:pt idx="0">
                  <c:v>0 min</c:v>
                </c:pt>
                <c:pt idx="1">
                  <c:v>1-5 min</c:v>
                </c:pt>
                <c:pt idx="2">
                  <c:v>6-10 min</c:v>
                </c:pt>
                <c:pt idx="3">
                  <c:v>11-15 min</c:v>
                </c:pt>
                <c:pt idx="4">
                  <c:v>16-20 min</c:v>
                </c:pt>
                <c:pt idx="5">
                  <c:v>21-25 min</c:v>
                </c:pt>
                <c:pt idx="6">
                  <c:v>26-30 min</c:v>
                </c:pt>
                <c:pt idx="7">
                  <c:v>31+ min</c:v>
                </c:pt>
              </c:strCache>
            </c:strRef>
          </c:cat>
          <c:val>
            <c:numRef>
              <c:f>Data!$W$37:$W$44</c:f>
              <c:numCache>
                <c:formatCode>0%</c:formatCode>
                <c:ptCount val="8"/>
                <c:pt idx="0">
                  <c:v>0</c:v>
                </c:pt>
                <c:pt idx="1">
                  <c:v>0</c:v>
                </c:pt>
                <c:pt idx="2">
                  <c:v>0</c:v>
                </c:pt>
                <c:pt idx="3">
                  <c:v>0</c:v>
                </c:pt>
                <c:pt idx="4">
                  <c:v>0</c:v>
                </c:pt>
                <c:pt idx="5">
                  <c:v>0</c:v>
                </c:pt>
                <c:pt idx="6">
                  <c:v>0</c:v>
                </c:pt>
                <c:pt idx="7">
                  <c:v>0</c:v>
                </c:pt>
              </c:numCache>
            </c:numRef>
          </c:val>
        </c:ser>
        <c:axId val="128380288"/>
        <c:axId val="128451712"/>
      </c:barChart>
      <c:catAx>
        <c:axId val="128380288"/>
        <c:scaling>
          <c:orientation val="minMax"/>
        </c:scaling>
        <c:axPos val="b"/>
        <c:majorTickMark val="none"/>
        <c:tickLblPos val="nextTo"/>
        <c:crossAx val="128451712"/>
        <c:crosses val="autoZero"/>
        <c:auto val="1"/>
        <c:lblAlgn val="ctr"/>
        <c:lblOffset val="100"/>
      </c:catAx>
      <c:valAx>
        <c:axId val="128451712"/>
        <c:scaling>
          <c:orientation val="minMax"/>
          <c:max val="1"/>
        </c:scaling>
        <c:axPos val="l"/>
        <c:majorGridlines/>
        <c:numFmt formatCode="0%" sourceLinked="1"/>
        <c:majorTickMark val="none"/>
        <c:tickLblPos val="nextTo"/>
        <c:crossAx val="128380288"/>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Data!$Y$37:$Y$44</c:f>
              <c:strCache>
                <c:ptCount val="8"/>
                <c:pt idx="0">
                  <c:v>0 min</c:v>
                </c:pt>
                <c:pt idx="1">
                  <c:v>1-5 min</c:v>
                </c:pt>
                <c:pt idx="2">
                  <c:v>6-10 min</c:v>
                </c:pt>
                <c:pt idx="3">
                  <c:v>11-15 min</c:v>
                </c:pt>
                <c:pt idx="4">
                  <c:v>16-20 min</c:v>
                </c:pt>
                <c:pt idx="5">
                  <c:v>21-25 min</c:v>
                </c:pt>
                <c:pt idx="6">
                  <c:v>26-30 min</c:v>
                </c:pt>
                <c:pt idx="7">
                  <c:v>31+ min</c:v>
                </c:pt>
              </c:strCache>
            </c:strRef>
          </c:cat>
          <c:val>
            <c:numRef>
              <c:f>Data!$Z$37:$Z$44</c:f>
              <c:numCache>
                <c:formatCode>0%</c:formatCode>
                <c:ptCount val="8"/>
                <c:pt idx="0">
                  <c:v>0</c:v>
                </c:pt>
                <c:pt idx="1">
                  <c:v>0</c:v>
                </c:pt>
                <c:pt idx="2">
                  <c:v>0</c:v>
                </c:pt>
                <c:pt idx="3">
                  <c:v>0</c:v>
                </c:pt>
                <c:pt idx="4">
                  <c:v>0</c:v>
                </c:pt>
                <c:pt idx="5">
                  <c:v>0</c:v>
                </c:pt>
                <c:pt idx="6">
                  <c:v>0</c:v>
                </c:pt>
                <c:pt idx="7">
                  <c:v>0</c:v>
                </c:pt>
              </c:numCache>
            </c:numRef>
          </c:val>
        </c:ser>
        <c:axId val="128477824"/>
        <c:axId val="128483712"/>
      </c:barChart>
      <c:catAx>
        <c:axId val="128477824"/>
        <c:scaling>
          <c:orientation val="minMax"/>
        </c:scaling>
        <c:axPos val="b"/>
        <c:majorTickMark val="none"/>
        <c:tickLblPos val="nextTo"/>
        <c:crossAx val="128483712"/>
        <c:crosses val="autoZero"/>
        <c:auto val="1"/>
        <c:lblAlgn val="ctr"/>
        <c:lblOffset val="100"/>
      </c:catAx>
      <c:valAx>
        <c:axId val="128483712"/>
        <c:scaling>
          <c:orientation val="minMax"/>
          <c:max val="1"/>
        </c:scaling>
        <c:axPos val="l"/>
        <c:majorGridlines/>
        <c:numFmt formatCode="0%" sourceLinked="1"/>
        <c:majorTickMark val="none"/>
        <c:tickLblPos val="nextTo"/>
        <c:crossAx val="128477824"/>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c:lang val="en-CA"/>
  <c:chart>
    <c:autoTitleDeleted val="1"/>
    <c:plotArea>
      <c:layout>
        <c:manualLayout>
          <c:layoutTarget val="inner"/>
          <c:xMode val="edge"/>
          <c:yMode val="edge"/>
          <c:x val="0.10947213546050238"/>
          <c:y val="2.5113249732672312E-2"/>
          <c:w val="0.84618898884670257"/>
          <c:h val="0.77041832733871263"/>
        </c:manualLayout>
      </c:layout>
      <c:barChart>
        <c:barDir val="col"/>
        <c:grouping val="clustered"/>
        <c:ser>
          <c:idx val="0"/>
          <c:order val="0"/>
          <c:dPt>
            <c:idx val="0"/>
            <c:spPr>
              <a:solidFill>
                <a:srgbClr val="FF0000"/>
              </a:solidFill>
              <a:ln>
                <a:solidFill>
                  <a:schemeClr val="tx1"/>
                </a:solidFill>
              </a:ln>
            </c:spPr>
          </c:dPt>
          <c:dPt>
            <c:idx val="1"/>
            <c:spPr>
              <a:solidFill>
                <a:srgbClr val="FFCA09"/>
              </a:solidFill>
              <a:ln>
                <a:solidFill>
                  <a:prstClr val="black"/>
                </a:solidFill>
              </a:ln>
            </c:spPr>
          </c:dPt>
          <c:dPt>
            <c:idx val="2"/>
            <c:spPr>
              <a:solidFill>
                <a:srgbClr val="FFFF00"/>
              </a:solidFill>
              <a:ln>
                <a:solidFill>
                  <a:prstClr val="black"/>
                </a:solidFill>
              </a:ln>
            </c:spPr>
          </c:dPt>
          <c:dPt>
            <c:idx val="3"/>
            <c:spPr>
              <a:solidFill>
                <a:srgbClr val="99FF66"/>
              </a:solidFill>
              <a:ln>
                <a:solidFill>
                  <a:prstClr val="black"/>
                </a:solidFill>
              </a:ln>
            </c:spPr>
          </c:dPt>
          <c:dPt>
            <c:idx val="4"/>
            <c:spPr>
              <a:solidFill>
                <a:srgbClr val="00FF00"/>
              </a:solidFill>
              <a:ln>
                <a:solidFill>
                  <a:prstClr val="black"/>
                </a:solidFill>
              </a:ln>
            </c:spPr>
          </c:dPt>
          <c:dPt>
            <c:idx val="5"/>
            <c:spPr>
              <a:solidFill>
                <a:srgbClr val="00B050"/>
              </a:solidFill>
              <a:ln>
                <a:solidFill>
                  <a:prstClr val="black"/>
                </a:solidFill>
              </a:ln>
            </c:spPr>
          </c:dPt>
          <c:dPt>
            <c:idx val="6"/>
            <c:spPr>
              <a:solidFill>
                <a:srgbClr val="007A37"/>
              </a:solidFill>
            </c:spPr>
          </c:dPt>
          <c:dPt>
            <c:idx val="7"/>
            <c:spPr>
              <a:gradFill>
                <a:gsLst>
                  <a:gs pos="0">
                    <a:srgbClr val="007A37"/>
                  </a:gs>
                  <a:gs pos="45000">
                    <a:srgbClr val="FFCA09"/>
                  </a:gs>
                  <a:gs pos="70000">
                    <a:srgbClr val="FFFF00"/>
                  </a:gs>
                  <a:gs pos="100000">
                    <a:srgbClr val="FF0000"/>
                  </a:gs>
                </a:gsLst>
                <a:lin ang="5400000" scaled="0"/>
              </a:gradFill>
              <a:ln>
                <a:solidFill>
                  <a:prstClr val="black"/>
                </a:solidFill>
              </a:ln>
            </c:spPr>
          </c:dPt>
          <c:cat>
            <c:strRef>
              <c:f>Data!$AB$37:$AB$44</c:f>
              <c:strCache>
                <c:ptCount val="8"/>
                <c:pt idx="0">
                  <c:v>0 min</c:v>
                </c:pt>
                <c:pt idx="1">
                  <c:v>1-5 min</c:v>
                </c:pt>
                <c:pt idx="2">
                  <c:v>6-10 min</c:v>
                </c:pt>
                <c:pt idx="3">
                  <c:v>11-15 min</c:v>
                </c:pt>
                <c:pt idx="4">
                  <c:v>16-20 min</c:v>
                </c:pt>
                <c:pt idx="5">
                  <c:v>21-25 min</c:v>
                </c:pt>
                <c:pt idx="6">
                  <c:v>26-30 min</c:v>
                </c:pt>
                <c:pt idx="7">
                  <c:v>31+ min</c:v>
                </c:pt>
              </c:strCache>
            </c:strRef>
          </c:cat>
          <c:val>
            <c:numRef>
              <c:f>Data!$AC$37:$AC$44</c:f>
              <c:numCache>
                <c:formatCode>0%</c:formatCode>
                <c:ptCount val="8"/>
                <c:pt idx="0">
                  <c:v>0</c:v>
                </c:pt>
                <c:pt idx="1">
                  <c:v>0</c:v>
                </c:pt>
                <c:pt idx="2">
                  <c:v>0</c:v>
                </c:pt>
                <c:pt idx="3">
                  <c:v>0</c:v>
                </c:pt>
                <c:pt idx="4">
                  <c:v>0</c:v>
                </c:pt>
                <c:pt idx="5">
                  <c:v>0</c:v>
                </c:pt>
                <c:pt idx="6">
                  <c:v>0</c:v>
                </c:pt>
                <c:pt idx="7">
                  <c:v>0</c:v>
                </c:pt>
              </c:numCache>
            </c:numRef>
          </c:val>
        </c:ser>
        <c:axId val="128530688"/>
        <c:axId val="128532480"/>
      </c:barChart>
      <c:catAx>
        <c:axId val="128530688"/>
        <c:scaling>
          <c:orientation val="minMax"/>
        </c:scaling>
        <c:axPos val="b"/>
        <c:majorTickMark val="none"/>
        <c:tickLblPos val="nextTo"/>
        <c:crossAx val="128532480"/>
        <c:crosses val="autoZero"/>
        <c:auto val="1"/>
        <c:lblAlgn val="ctr"/>
        <c:lblOffset val="100"/>
      </c:catAx>
      <c:valAx>
        <c:axId val="128532480"/>
        <c:scaling>
          <c:orientation val="minMax"/>
          <c:max val="1"/>
        </c:scaling>
        <c:axPos val="l"/>
        <c:majorGridlines/>
        <c:numFmt formatCode="0%" sourceLinked="1"/>
        <c:majorTickMark val="none"/>
        <c:tickLblPos val="nextTo"/>
        <c:crossAx val="128530688"/>
        <c:crosses val="autoZero"/>
        <c:crossBetween val="between"/>
      </c:valAx>
    </c:plotArea>
    <c:plotVisOnly val="1"/>
  </c:chart>
  <c:printSettings>
    <c:headerFooter/>
    <c:pageMargins b="0.75000000000000189" l="0.70000000000000062" r="0.70000000000000062" t="0.75000000000000189" header="0.30000000000000032" footer="0.30000000000000032"/>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c:lang val="en-CA"/>
  <c:chart>
    <c:autoTitleDeleted val="1"/>
    <c:plotArea>
      <c:layout/>
      <c:barChart>
        <c:barDir val="col"/>
        <c:grouping val="clustered"/>
        <c:ser>
          <c:idx val="0"/>
          <c:order val="0"/>
          <c:spPr>
            <a:solidFill>
              <a:prstClr val="black"/>
            </a:solidFill>
            <a:ln>
              <a:solidFill>
                <a:schemeClr val="tx1"/>
              </a:solidFill>
            </a:ln>
          </c:spPr>
          <c:dLbls>
            <c:numFmt formatCode="#,##0" sourceLinked="0"/>
            <c:showVal val="1"/>
          </c:dLbls>
          <c:cat>
            <c:strRef>
              <c:f>Data!$M$55:$M$64</c:f>
              <c:strCache>
                <c:ptCount val="10"/>
                <c:pt idx="0">
                  <c:v>September</c:v>
                </c:pt>
                <c:pt idx="1">
                  <c:v>October</c:v>
                </c:pt>
                <c:pt idx="2">
                  <c:v>November</c:v>
                </c:pt>
                <c:pt idx="3">
                  <c:v>December</c:v>
                </c:pt>
                <c:pt idx="4">
                  <c:v>January</c:v>
                </c:pt>
                <c:pt idx="5">
                  <c:v>February </c:v>
                </c:pt>
                <c:pt idx="6">
                  <c:v>March</c:v>
                </c:pt>
                <c:pt idx="7">
                  <c:v>April</c:v>
                </c:pt>
                <c:pt idx="8">
                  <c:v>May</c:v>
                </c:pt>
                <c:pt idx="9">
                  <c:v>June</c:v>
                </c:pt>
              </c:strCache>
            </c:strRef>
          </c:cat>
          <c:val>
            <c:numRef>
              <c:f>Data!$N$55:$N$64</c:f>
              <c:numCache>
                <c:formatCode>0.00</c:formatCode>
                <c:ptCount val="10"/>
                <c:pt idx="0">
                  <c:v>0</c:v>
                </c:pt>
                <c:pt idx="1">
                  <c:v>0</c:v>
                </c:pt>
                <c:pt idx="2">
                  <c:v>0</c:v>
                </c:pt>
                <c:pt idx="3">
                  <c:v>0</c:v>
                </c:pt>
                <c:pt idx="4">
                  <c:v>0</c:v>
                </c:pt>
                <c:pt idx="5">
                  <c:v>0</c:v>
                </c:pt>
                <c:pt idx="6">
                  <c:v>0</c:v>
                </c:pt>
                <c:pt idx="7">
                  <c:v>0</c:v>
                </c:pt>
                <c:pt idx="8">
                  <c:v>0</c:v>
                </c:pt>
                <c:pt idx="9">
                  <c:v>0</c:v>
                </c:pt>
              </c:numCache>
            </c:numRef>
          </c:val>
        </c:ser>
        <c:axId val="128548224"/>
        <c:axId val="128562304"/>
      </c:barChart>
      <c:catAx>
        <c:axId val="128548224"/>
        <c:scaling>
          <c:orientation val="minMax"/>
        </c:scaling>
        <c:axPos val="b"/>
        <c:tickLblPos val="nextTo"/>
        <c:crossAx val="128562304"/>
        <c:crosses val="autoZero"/>
        <c:auto val="1"/>
        <c:lblAlgn val="ctr"/>
        <c:lblOffset val="100"/>
      </c:catAx>
      <c:valAx>
        <c:axId val="128562304"/>
        <c:scaling>
          <c:orientation val="minMax"/>
        </c:scaling>
        <c:axPos val="l"/>
        <c:majorGridlines/>
        <c:numFmt formatCode="0" sourceLinked="0"/>
        <c:tickLblPos val="nextTo"/>
        <c:crossAx val="128548224"/>
        <c:crosses val="autoZero"/>
        <c:crossBetween val="between"/>
      </c:valAx>
    </c:plotArea>
    <c:plotVisOnly val="1"/>
  </c:chart>
  <c:printSettings>
    <c:headerFooter/>
    <c:pageMargins b="0.75000000000000167" l="0.70000000000000062" r="0.70000000000000062" t="0.75000000000000167" header="0.30000000000000032" footer="0.30000000000000032"/>
    <c:pageSetup/>
  </c:printSettings>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0</xdr:col>
      <xdr:colOff>419100</xdr:colOff>
      <xdr:row>4</xdr:row>
      <xdr:rowOff>66675</xdr:rowOff>
    </xdr:from>
    <xdr:to>
      <xdr:col>8</xdr:col>
      <xdr:colOff>114300</xdr:colOff>
      <xdr:row>20</xdr:row>
      <xdr:rowOff>104775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200025</xdr:colOff>
      <xdr:row>4</xdr:row>
      <xdr:rowOff>47624</xdr:rowOff>
    </xdr:from>
    <xdr:to>
      <xdr:col>16</xdr:col>
      <xdr:colOff>342900</xdr:colOff>
      <xdr:row>20</xdr:row>
      <xdr:rowOff>57149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400050</xdr:colOff>
      <xdr:row>24</xdr:row>
      <xdr:rowOff>38100</xdr:rowOff>
    </xdr:from>
    <xdr:to>
      <xdr:col>8</xdr:col>
      <xdr:colOff>95250</xdr:colOff>
      <xdr:row>40</xdr:row>
      <xdr:rowOff>76200</xdr:rowOff>
    </xdr:to>
    <xdr:graphicFrame macro="">
      <xdr:nvGraphicFramePr>
        <xdr:cNvPr id="4" name="Chart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209550</xdr:colOff>
      <xdr:row>24</xdr:row>
      <xdr:rowOff>19050</xdr:rowOff>
    </xdr:from>
    <xdr:to>
      <xdr:col>16</xdr:col>
      <xdr:colOff>285750</xdr:colOff>
      <xdr:row>40</xdr:row>
      <xdr:rowOff>57150</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409575</xdr:colOff>
      <xdr:row>45</xdr:row>
      <xdr:rowOff>57150</xdr:rowOff>
    </xdr:from>
    <xdr:to>
      <xdr:col>8</xdr:col>
      <xdr:colOff>104775</xdr:colOff>
      <xdr:row>61</xdr:row>
      <xdr:rowOff>95250</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219075</xdr:colOff>
      <xdr:row>45</xdr:row>
      <xdr:rowOff>9525</xdr:rowOff>
    </xdr:from>
    <xdr:to>
      <xdr:col>16</xdr:col>
      <xdr:colOff>142875</xdr:colOff>
      <xdr:row>61</xdr:row>
      <xdr:rowOff>47625</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390525</xdr:colOff>
      <xdr:row>66</xdr:row>
      <xdr:rowOff>76200</xdr:rowOff>
    </xdr:from>
    <xdr:to>
      <xdr:col>8</xdr:col>
      <xdr:colOff>85725</xdr:colOff>
      <xdr:row>82</xdr:row>
      <xdr:rowOff>114300</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228600</xdr:colOff>
      <xdr:row>66</xdr:row>
      <xdr:rowOff>104775</xdr:rowOff>
    </xdr:from>
    <xdr:to>
      <xdr:col>16</xdr:col>
      <xdr:colOff>152400</xdr:colOff>
      <xdr:row>82</xdr:row>
      <xdr:rowOff>142875</xdr:rowOff>
    </xdr:to>
    <xdr:graphicFrame macro="">
      <xdr:nvGraphicFramePr>
        <xdr:cNvPr id="9" name="Chart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381000</xdr:colOff>
      <xdr:row>87</xdr:row>
      <xdr:rowOff>85725</xdr:rowOff>
    </xdr:from>
    <xdr:to>
      <xdr:col>8</xdr:col>
      <xdr:colOff>76200</xdr:colOff>
      <xdr:row>103</xdr:row>
      <xdr:rowOff>123825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9</xdr:col>
      <xdr:colOff>257175</xdr:colOff>
      <xdr:row>87</xdr:row>
      <xdr:rowOff>114300</xdr:rowOff>
    </xdr:from>
    <xdr:to>
      <xdr:col>16</xdr:col>
      <xdr:colOff>180975</xdr:colOff>
      <xdr:row>103</xdr:row>
      <xdr:rowOff>152400</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0</xdr:col>
      <xdr:colOff>206375</xdr:colOff>
      <xdr:row>108</xdr:row>
      <xdr:rowOff>85725</xdr:rowOff>
    </xdr:from>
    <xdr:to>
      <xdr:col>8</xdr:col>
      <xdr:colOff>492125</xdr:colOff>
      <xdr:row>122</xdr:row>
      <xdr:rowOff>161925</xdr:rowOff>
    </xdr:to>
    <xdr:graphicFrame macro="">
      <xdr:nvGraphicFramePr>
        <xdr:cNvPr id="12" name="Chart 1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dimension ref="A1:AD211"/>
  <sheetViews>
    <sheetView tabSelected="1" workbookViewId="0">
      <selection activeCell="O2" sqref="O2:Q2"/>
    </sheetView>
  </sheetViews>
  <sheetFormatPr defaultRowHeight="15"/>
  <cols>
    <col min="3" max="3" width="11" customWidth="1"/>
    <col min="7" max="7" width="13" customWidth="1"/>
    <col min="11" max="11" width="12.140625" customWidth="1"/>
  </cols>
  <sheetData>
    <row r="1" spans="1:30" ht="70.5" customHeight="1" thickBot="1">
      <c r="A1" s="36" t="s">
        <v>54</v>
      </c>
      <c r="B1" s="37"/>
      <c r="C1" s="37"/>
      <c r="D1" s="37"/>
      <c r="E1" s="37"/>
      <c r="F1" s="37"/>
      <c r="G1" s="37"/>
      <c r="H1" s="37"/>
      <c r="I1" s="37"/>
      <c r="J1" s="37"/>
      <c r="K1" s="37"/>
      <c r="L1" s="37"/>
      <c r="M1" s="37"/>
      <c r="N1" s="37"/>
      <c r="O1" s="37"/>
      <c r="P1" s="37"/>
      <c r="Q1" s="37"/>
      <c r="R1" s="37"/>
      <c r="S1" s="5"/>
      <c r="T1" s="5"/>
      <c r="U1" s="5"/>
      <c r="V1" s="5"/>
      <c r="W1" s="5"/>
      <c r="X1" s="5"/>
      <c r="Y1" s="5"/>
      <c r="Z1" s="5"/>
      <c r="AA1" s="5"/>
      <c r="AB1" s="5"/>
      <c r="AC1" s="5"/>
    </row>
    <row r="2" spans="1:30" ht="33.75" customHeight="1" thickBot="1">
      <c r="A2" s="39" t="s">
        <v>35</v>
      </c>
      <c r="B2" s="39"/>
      <c r="C2" s="39"/>
      <c r="D2" s="39"/>
      <c r="E2" s="40"/>
      <c r="F2" s="41"/>
      <c r="G2" s="42"/>
      <c r="H2" s="42"/>
      <c r="I2" s="42"/>
      <c r="J2" s="42"/>
      <c r="K2" s="42"/>
      <c r="L2" s="43"/>
      <c r="M2" s="44" t="s">
        <v>42</v>
      </c>
      <c r="N2" s="44"/>
      <c r="O2" s="45"/>
      <c r="P2" s="46"/>
      <c r="Q2" s="47"/>
      <c r="R2" s="5"/>
      <c r="S2" s="5"/>
      <c r="T2" s="5"/>
      <c r="U2" s="5"/>
      <c r="V2" s="5"/>
      <c r="W2" s="5"/>
      <c r="X2" s="5"/>
      <c r="Y2" s="5"/>
      <c r="Z2" s="5"/>
      <c r="AA2" s="5"/>
      <c r="AB2" s="5"/>
      <c r="AC2" s="5"/>
    </row>
    <row r="3" spans="1:30" ht="32.25" customHeight="1">
      <c r="A3" s="48" t="s">
        <v>17</v>
      </c>
      <c r="B3" s="48"/>
      <c r="C3" s="6"/>
      <c r="D3" s="48" t="s">
        <v>18</v>
      </c>
      <c r="E3" s="48"/>
      <c r="F3" s="6"/>
      <c r="G3" s="48" t="s">
        <v>19</v>
      </c>
      <c r="H3" s="48"/>
      <c r="I3" s="6"/>
      <c r="J3" s="48" t="s">
        <v>20</v>
      </c>
      <c r="K3" s="48"/>
      <c r="L3" s="6"/>
      <c r="M3" s="38" t="s">
        <v>21</v>
      </c>
      <c r="N3" s="38"/>
      <c r="O3" s="6"/>
      <c r="P3" s="48" t="s">
        <v>22</v>
      </c>
      <c r="Q3" s="48"/>
      <c r="R3" s="6"/>
      <c r="S3" s="38" t="s">
        <v>23</v>
      </c>
      <c r="T3" s="38"/>
      <c r="U3" s="7"/>
      <c r="V3" s="38" t="s">
        <v>24</v>
      </c>
      <c r="W3" s="38"/>
      <c r="X3" s="7"/>
      <c r="Y3" s="38" t="s">
        <v>25</v>
      </c>
      <c r="Z3" s="38"/>
      <c r="AA3" s="7"/>
      <c r="AB3" s="38" t="s">
        <v>26</v>
      </c>
      <c r="AC3" s="38"/>
    </row>
    <row r="4" spans="1:30" ht="27" customHeight="1">
      <c r="A4" s="17" t="s">
        <v>2</v>
      </c>
      <c r="B4" s="15"/>
      <c r="C4" s="5"/>
      <c r="D4" s="17" t="s">
        <v>2</v>
      </c>
      <c r="E4" s="15"/>
      <c r="F4" s="5"/>
      <c r="G4" s="17" t="s">
        <v>2</v>
      </c>
      <c r="H4" s="15"/>
      <c r="I4" s="5"/>
      <c r="J4" s="17" t="s">
        <v>2</v>
      </c>
      <c r="K4" s="15"/>
      <c r="L4" s="5"/>
      <c r="M4" s="17" t="s">
        <v>2</v>
      </c>
      <c r="N4" s="15"/>
      <c r="O4" s="5"/>
      <c r="P4" s="17" t="s">
        <v>2</v>
      </c>
      <c r="Q4" s="15"/>
      <c r="R4" s="5"/>
      <c r="S4" s="17" t="s">
        <v>2</v>
      </c>
      <c r="T4" s="15"/>
      <c r="U4" s="5"/>
      <c r="V4" s="17" t="s">
        <v>2</v>
      </c>
      <c r="W4" s="15"/>
      <c r="X4" s="5"/>
      <c r="Y4" s="17" t="s">
        <v>2</v>
      </c>
      <c r="Z4" s="15"/>
      <c r="AA4" s="5"/>
      <c r="AB4" s="17" t="s">
        <v>2</v>
      </c>
      <c r="AC4" s="15"/>
    </row>
    <row r="5" spans="1:30" ht="27" customHeight="1">
      <c r="A5" s="8" t="s">
        <v>16</v>
      </c>
      <c r="B5" s="15"/>
      <c r="C5" s="9"/>
      <c r="D5" s="8" t="s">
        <v>16</v>
      </c>
      <c r="E5" s="15"/>
      <c r="F5" s="5"/>
      <c r="G5" s="8" t="s">
        <v>16</v>
      </c>
      <c r="H5" s="15"/>
      <c r="I5" s="5"/>
      <c r="J5" s="8" t="s">
        <v>16</v>
      </c>
      <c r="K5" s="15"/>
      <c r="L5" s="5"/>
      <c r="M5" s="8" t="s">
        <v>16</v>
      </c>
      <c r="N5" s="15"/>
      <c r="O5" s="5"/>
      <c r="P5" s="8" t="s">
        <v>16</v>
      </c>
      <c r="Q5" s="15"/>
      <c r="R5" s="5"/>
      <c r="S5" s="8" t="s">
        <v>16</v>
      </c>
      <c r="T5" s="15"/>
      <c r="U5" s="5"/>
      <c r="V5" s="8" t="s">
        <v>16</v>
      </c>
      <c r="W5" s="15"/>
      <c r="X5" s="5"/>
      <c r="Y5" s="8" t="s">
        <v>16</v>
      </c>
      <c r="Z5" s="15"/>
      <c r="AA5" s="5"/>
      <c r="AB5" s="8" t="s">
        <v>16</v>
      </c>
      <c r="AC5" s="15"/>
    </row>
    <row r="6" spans="1:30" ht="27" customHeight="1">
      <c r="A6" s="17" t="s">
        <v>2</v>
      </c>
      <c r="B6" s="15"/>
      <c r="C6" s="9"/>
      <c r="D6" s="17" t="s">
        <v>2</v>
      </c>
      <c r="E6" s="15"/>
      <c r="F6" s="5"/>
      <c r="G6" s="17" t="s">
        <v>2</v>
      </c>
      <c r="H6" s="15"/>
      <c r="I6" s="5"/>
      <c r="J6" s="17" t="s">
        <v>2</v>
      </c>
      <c r="K6" s="15"/>
      <c r="L6" s="5"/>
      <c r="M6" s="17" t="s">
        <v>2</v>
      </c>
      <c r="N6" s="15"/>
      <c r="O6" s="5"/>
      <c r="P6" s="17" t="s">
        <v>2</v>
      </c>
      <c r="Q6" s="15"/>
      <c r="R6" s="5"/>
      <c r="S6" s="17" t="s">
        <v>2</v>
      </c>
      <c r="T6" s="15"/>
      <c r="U6" s="5"/>
      <c r="V6" s="17" t="s">
        <v>2</v>
      </c>
      <c r="W6" s="15"/>
      <c r="X6" s="5"/>
      <c r="Y6" s="17" t="s">
        <v>2</v>
      </c>
      <c r="Z6" s="15"/>
      <c r="AA6" s="5"/>
      <c r="AB6" s="17" t="s">
        <v>2</v>
      </c>
      <c r="AC6" s="15"/>
    </row>
    <row r="7" spans="1:30" ht="27" customHeight="1">
      <c r="A7" s="8" t="s">
        <v>16</v>
      </c>
      <c r="B7" s="15"/>
      <c r="C7" s="9"/>
      <c r="D7" s="8" t="s">
        <v>16</v>
      </c>
      <c r="E7" s="15"/>
      <c r="F7" s="5"/>
      <c r="G7" s="8" t="s">
        <v>16</v>
      </c>
      <c r="H7" s="15"/>
      <c r="I7" s="5"/>
      <c r="J7" s="8" t="s">
        <v>16</v>
      </c>
      <c r="K7" s="15"/>
      <c r="L7" s="5"/>
      <c r="M7" s="8" t="s">
        <v>16</v>
      </c>
      <c r="N7" s="15"/>
      <c r="O7" s="5"/>
      <c r="P7" s="8" t="s">
        <v>16</v>
      </c>
      <c r="Q7" s="15"/>
      <c r="R7" s="5"/>
      <c r="S7" s="8" t="s">
        <v>16</v>
      </c>
      <c r="T7" s="15"/>
      <c r="U7" s="5"/>
      <c r="V7" s="8" t="s">
        <v>16</v>
      </c>
      <c r="W7" s="15"/>
      <c r="X7" s="5"/>
      <c r="Y7" s="8" t="s">
        <v>16</v>
      </c>
      <c r="Z7" s="15"/>
      <c r="AA7" s="5"/>
      <c r="AB7" s="8" t="s">
        <v>16</v>
      </c>
      <c r="AC7" s="15"/>
    </row>
    <row r="8" spans="1:30" ht="27" customHeight="1">
      <c r="A8" s="17" t="s">
        <v>2</v>
      </c>
      <c r="B8" s="15"/>
      <c r="C8" s="9"/>
      <c r="D8" s="17" t="s">
        <v>2</v>
      </c>
      <c r="E8" s="15"/>
      <c r="F8" s="5"/>
      <c r="G8" s="17" t="s">
        <v>2</v>
      </c>
      <c r="H8" s="15"/>
      <c r="I8" s="5"/>
      <c r="J8" s="17" t="s">
        <v>2</v>
      </c>
      <c r="K8" s="15"/>
      <c r="L8" s="5"/>
      <c r="M8" s="17" t="s">
        <v>2</v>
      </c>
      <c r="N8" s="15"/>
      <c r="O8" s="5"/>
      <c r="P8" s="17" t="s">
        <v>2</v>
      </c>
      <c r="Q8" s="15"/>
      <c r="R8" s="5"/>
      <c r="S8" s="17" t="s">
        <v>2</v>
      </c>
      <c r="T8" s="15"/>
      <c r="U8" s="5"/>
      <c r="V8" s="17" t="s">
        <v>2</v>
      </c>
      <c r="W8" s="15"/>
      <c r="X8" s="5"/>
      <c r="Y8" s="17" t="s">
        <v>2</v>
      </c>
      <c r="Z8" s="15"/>
      <c r="AA8" s="5"/>
      <c r="AB8" s="17" t="s">
        <v>2</v>
      </c>
      <c r="AC8" s="15"/>
    </row>
    <row r="9" spans="1:30" ht="27" customHeight="1">
      <c r="A9" s="8" t="s">
        <v>16</v>
      </c>
      <c r="B9" s="15"/>
      <c r="C9" s="9"/>
      <c r="D9" s="8" t="s">
        <v>16</v>
      </c>
      <c r="E9" s="15"/>
      <c r="F9" s="5"/>
      <c r="G9" s="8" t="s">
        <v>16</v>
      </c>
      <c r="H9" s="15"/>
      <c r="I9" s="5"/>
      <c r="J9" s="8" t="s">
        <v>16</v>
      </c>
      <c r="K9" s="15"/>
      <c r="L9" s="5"/>
      <c r="M9" s="8" t="s">
        <v>16</v>
      </c>
      <c r="N9" s="15"/>
      <c r="O9" s="5"/>
      <c r="P9" s="8" t="s">
        <v>16</v>
      </c>
      <c r="Q9" s="15"/>
      <c r="R9" s="5"/>
      <c r="S9" s="8" t="s">
        <v>16</v>
      </c>
      <c r="T9" s="15"/>
      <c r="U9" s="5"/>
      <c r="V9" s="8" t="s">
        <v>16</v>
      </c>
      <c r="W9" s="15"/>
      <c r="X9" s="5"/>
      <c r="Y9" s="8" t="s">
        <v>16</v>
      </c>
      <c r="Z9" s="15"/>
      <c r="AA9" s="5"/>
      <c r="AB9" s="8" t="s">
        <v>16</v>
      </c>
      <c r="AC9" s="15"/>
    </row>
    <row r="10" spans="1:30" ht="27" customHeight="1">
      <c r="A10" s="5"/>
      <c r="B10" s="5"/>
      <c r="C10" s="9"/>
      <c r="D10" s="5"/>
      <c r="E10" s="5"/>
      <c r="F10" s="5"/>
      <c r="G10" s="9"/>
      <c r="H10" s="5"/>
      <c r="I10" s="5"/>
      <c r="J10" s="5"/>
      <c r="K10" s="5"/>
      <c r="L10" s="5"/>
      <c r="M10" s="5"/>
      <c r="N10" s="5"/>
      <c r="O10" s="5"/>
      <c r="P10" s="5"/>
      <c r="Q10" s="5"/>
      <c r="R10" s="5"/>
      <c r="S10" s="5"/>
      <c r="T10" s="5"/>
      <c r="U10" s="5"/>
      <c r="V10" s="5"/>
      <c r="W10" s="5"/>
      <c r="X10" s="5"/>
      <c r="Y10" s="5"/>
      <c r="Z10" s="5"/>
      <c r="AA10" s="5"/>
      <c r="AB10" s="5"/>
      <c r="AC10" s="5"/>
    </row>
    <row r="11" spans="1:30" ht="15.75" thickBot="1">
      <c r="A11" s="5"/>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row>
    <row r="12" spans="1:30">
      <c r="A12" s="21">
        <v>40422</v>
      </c>
      <c r="B12" s="22"/>
      <c r="C12" s="27">
        <v>1</v>
      </c>
      <c r="D12" s="21">
        <v>40819</v>
      </c>
      <c r="E12" s="22"/>
      <c r="F12" s="27">
        <v>1</v>
      </c>
      <c r="G12" s="21">
        <v>40483</v>
      </c>
      <c r="H12" s="22"/>
      <c r="I12" s="27">
        <v>1</v>
      </c>
      <c r="J12" s="21">
        <v>40513</v>
      </c>
      <c r="K12" s="22"/>
      <c r="L12" s="27">
        <v>1</v>
      </c>
      <c r="M12" s="21">
        <v>40552</v>
      </c>
      <c r="N12" s="22"/>
      <c r="O12" s="27">
        <v>1</v>
      </c>
      <c r="P12" s="21">
        <v>40210</v>
      </c>
      <c r="Q12" s="22"/>
      <c r="R12" s="27">
        <v>1</v>
      </c>
      <c r="S12" s="21">
        <v>40238</v>
      </c>
      <c r="T12" s="22"/>
      <c r="U12" s="27">
        <v>1</v>
      </c>
      <c r="V12" s="21">
        <v>40635</v>
      </c>
      <c r="W12" s="22"/>
      <c r="X12" s="27">
        <v>1</v>
      </c>
      <c r="Y12" s="21">
        <v>40299</v>
      </c>
      <c r="Z12" s="22"/>
      <c r="AA12" s="27">
        <v>1</v>
      </c>
      <c r="AB12" s="21">
        <v>40330</v>
      </c>
      <c r="AC12" s="22"/>
      <c r="AD12" s="27">
        <v>1</v>
      </c>
    </row>
    <row r="13" spans="1:30">
      <c r="A13" s="23">
        <v>40423</v>
      </c>
      <c r="B13" s="24"/>
      <c r="C13" s="27">
        <v>2</v>
      </c>
      <c r="D13" s="23">
        <v>40455</v>
      </c>
      <c r="E13" s="24"/>
      <c r="F13" s="27">
        <v>2</v>
      </c>
      <c r="G13" s="23">
        <v>40484</v>
      </c>
      <c r="H13" s="24"/>
      <c r="I13" s="27">
        <v>2</v>
      </c>
      <c r="J13" s="23">
        <v>40514</v>
      </c>
      <c r="K13" s="24"/>
      <c r="L13" s="27">
        <v>2</v>
      </c>
      <c r="M13" s="23">
        <v>40188</v>
      </c>
      <c r="N13" s="24"/>
      <c r="O13" s="27">
        <v>2</v>
      </c>
      <c r="P13" s="23">
        <v>40211</v>
      </c>
      <c r="Q13" s="24"/>
      <c r="R13" s="27">
        <v>2</v>
      </c>
      <c r="S13" s="23">
        <v>40239</v>
      </c>
      <c r="T13" s="24"/>
      <c r="U13" s="27">
        <v>2</v>
      </c>
      <c r="V13" s="23">
        <v>40636</v>
      </c>
      <c r="W13" s="24"/>
      <c r="X13" s="27">
        <v>2</v>
      </c>
      <c r="Y13" s="23">
        <v>40300</v>
      </c>
      <c r="Z13" s="24"/>
      <c r="AA13" s="27">
        <v>2</v>
      </c>
      <c r="AB13" s="23">
        <v>40698</v>
      </c>
      <c r="AC13" s="24"/>
      <c r="AD13" s="27">
        <v>2</v>
      </c>
    </row>
    <row r="14" spans="1:30">
      <c r="A14" s="23">
        <v>40792</v>
      </c>
      <c r="B14" s="24"/>
      <c r="C14" s="27">
        <v>3</v>
      </c>
      <c r="D14" s="23">
        <v>40456</v>
      </c>
      <c r="E14" s="24"/>
      <c r="F14" s="27">
        <v>3</v>
      </c>
      <c r="G14" s="23">
        <v>40485</v>
      </c>
      <c r="H14" s="24"/>
      <c r="I14" s="27">
        <v>3</v>
      </c>
      <c r="J14" s="23">
        <v>40882</v>
      </c>
      <c r="K14" s="24"/>
      <c r="L14" s="27">
        <v>3</v>
      </c>
      <c r="M14" s="23">
        <v>40189</v>
      </c>
      <c r="N14" s="24"/>
      <c r="O14" s="27">
        <v>3</v>
      </c>
      <c r="P14" s="23">
        <v>40212</v>
      </c>
      <c r="Q14" s="24"/>
      <c r="R14" s="27">
        <v>3</v>
      </c>
      <c r="S14" s="23">
        <v>40607</v>
      </c>
      <c r="T14" s="24"/>
      <c r="U14" s="27">
        <v>3</v>
      </c>
      <c r="V14" s="23">
        <v>40637</v>
      </c>
      <c r="W14" s="24"/>
      <c r="X14" s="27">
        <v>3</v>
      </c>
      <c r="Y14" s="23">
        <v>40301</v>
      </c>
      <c r="Z14" s="24"/>
      <c r="AA14" s="27">
        <v>3</v>
      </c>
      <c r="AB14" s="23">
        <v>40699</v>
      </c>
      <c r="AC14" s="24"/>
      <c r="AD14" s="27">
        <v>3</v>
      </c>
    </row>
    <row r="15" spans="1:30">
      <c r="A15" s="23">
        <v>40793</v>
      </c>
      <c r="B15" s="24"/>
      <c r="C15" s="28">
        <v>4</v>
      </c>
      <c r="D15" s="23">
        <v>40457</v>
      </c>
      <c r="E15" s="24"/>
      <c r="F15" s="28">
        <v>4</v>
      </c>
      <c r="G15" s="23">
        <v>40854</v>
      </c>
      <c r="H15" s="24"/>
      <c r="I15" s="28">
        <v>4</v>
      </c>
      <c r="J15" s="23">
        <v>40518</v>
      </c>
      <c r="K15" s="24"/>
      <c r="L15" s="28">
        <v>4</v>
      </c>
      <c r="M15" s="23">
        <v>40190</v>
      </c>
      <c r="N15" s="24"/>
      <c r="O15" s="28">
        <v>4</v>
      </c>
      <c r="P15" s="23">
        <v>40580</v>
      </c>
      <c r="Q15" s="24"/>
      <c r="R15" s="28">
        <v>4</v>
      </c>
      <c r="S15" s="23">
        <v>40608</v>
      </c>
      <c r="T15" s="24"/>
      <c r="U15" s="28">
        <v>4</v>
      </c>
      <c r="V15" s="23">
        <v>40638</v>
      </c>
      <c r="W15" s="24"/>
      <c r="X15" s="28">
        <v>4</v>
      </c>
      <c r="Y15" s="23">
        <v>40302</v>
      </c>
      <c r="Z15" s="24"/>
      <c r="AA15" s="28">
        <v>4</v>
      </c>
      <c r="AB15" s="23">
        <v>40335</v>
      </c>
      <c r="AC15" s="24"/>
      <c r="AD15" s="28">
        <v>4</v>
      </c>
    </row>
    <row r="16" spans="1:30">
      <c r="A16" s="23">
        <v>40429</v>
      </c>
      <c r="B16" s="24"/>
      <c r="C16" s="28">
        <v>5</v>
      </c>
      <c r="D16" s="23">
        <v>40458</v>
      </c>
      <c r="E16" s="24"/>
      <c r="F16" s="28">
        <v>5</v>
      </c>
      <c r="G16" s="23">
        <v>40490</v>
      </c>
      <c r="H16" s="24"/>
      <c r="I16" s="28">
        <v>5</v>
      </c>
      <c r="J16" s="23">
        <v>40519</v>
      </c>
      <c r="K16" s="24"/>
      <c r="L16" s="28">
        <v>5</v>
      </c>
      <c r="M16" s="23">
        <v>40191</v>
      </c>
      <c r="N16" s="24"/>
      <c r="O16" s="28">
        <v>5</v>
      </c>
      <c r="P16" s="23">
        <v>40216</v>
      </c>
      <c r="Q16" s="24"/>
      <c r="R16" s="28">
        <v>5</v>
      </c>
      <c r="S16" s="23">
        <v>40244</v>
      </c>
      <c r="T16" s="24"/>
      <c r="U16" s="28">
        <v>5</v>
      </c>
      <c r="V16" s="23">
        <v>40649</v>
      </c>
      <c r="W16" s="24"/>
      <c r="X16" s="28">
        <v>5</v>
      </c>
      <c r="Y16" s="23">
        <v>40670</v>
      </c>
      <c r="Z16" s="24"/>
      <c r="AA16" s="28">
        <v>5</v>
      </c>
      <c r="AB16" s="23">
        <v>40336</v>
      </c>
      <c r="AC16" s="24"/>
      <c r="AD16" s="28">
        <v>5</v>
      </c>
    </row>
    <row r="17" spans="1:30">
      <c r="A17" s="23">
        <v>40430</v>
      </c>
      <c r="B17" s="24"/>
      <c r="C17" s="28">
        <v>6</v>
      </c>
      <c r="D17" s="23">
        <v>40827</v>
      </c>
      <c r="E17" s="24"/>
      <c r="F17" s="28">
        <v>6</v>
      </c>
      <c r="G17" s="23">
        <v>40491</v>
      </c>
      <c r="H17" s="24"/>
      <c r="I17" s="28">
        <v>6</v>
      </c>
      <c r="J17" s="23">
        <v>40520</v>
      </c>
      <c r="K17" s="24"/>
      <c r="L17" s="28">
        <v>6</v>
      </c>
      <c r="M17" s="23">
        <v>40559</v>
      </c>
      <c r="N17" s="24"/>
      <c r="O17" s="28">
        <v>6</v>
      </c>
      <c r="P17" s="23">
        <v>40217</v>
      </c>
      <c r="Q17" s="24"/>
      <c r="R17" s="28">
        <v>6</v>
      </c>
      <c r="S17" s="23">
        <v>40245</v>
      </c>
      <c r="T17" s="24"/>
      <c r="U17" s="28">
        <v>6</v>
      </c>
      <c r="V17" s="23">
        <v>40650</v>
      </c>
      <c r="W17" s="24"/>
      <c r="X17" s="28">
        <v>6</v>
      </c>
      <c r="Y17" s="23">
        <v>40671</v>
      </c>
      <c r="Z17" s="24"/>
      <c r="AA17" s="28">
        <v>6</v>
      </c>
      <c r="AB17" s="23">
        <v>40337</v>
      </c>
      <c r="AC17" s="24"/>
      <c r="AD17" s="28">
        <v>6</v>
      </c>
    </row>
    <row r="18" spans="1:30">
      <c r="A18" s="23">
        <v>40798</v>
      </c>
      <c r="B18" s="24"/>
      <c r="C18" s="28">
        <v>7</v>
      </c>
      <c r="D18" s="23">
        <v>40828</v>
      </c>
      <c r="E18" s="24"/>
      <c r="F18" s="28">
        <v>7</v>
      </c>
      <c r="G18" s="23">
        <v>40492</v>
      </c>
      <c r="H18" s="24"/>
      <c r="I18" s="28">
        <v>7</v>
      </c>
      <c r="J18" s="23">
        <v>40521</v>
      </c>
      <c r="K18" s="24"/>
      <c r="L18" s="28">
        <v>7</v>
      </c>
      <c r="M18" s="23">
        <v>40195</v>
      </c>
      <c r="N18" s="24"/>
      <c r="O18" s="28">
        <v>7</v>
      </c>
      <c r="P18" s="23">
        <v>40218</v>
      </c>
      <c r="Q18" s="24"/>
      <c r="R18" s="28">
        <v>7</v>
      </c>
      <c r="S18" s="23">
        <v>40614</v>
      </c>
      <c r="T18" s="24"/>
      <c r="U18" s="28">
        <v>7</v>
      </c>
      <c r="V18" s="23">
        <v>40651</v>
      </c>
      <c r="W18" s="24"/>
      <c r="X18" s="28">
        <v>7</v>
      </c>
      <c r="Y18" s="23">
        <v>40672</v>
      </c>
      <c r="Z18" s="24"/>
      <c r="AA18" s="28">
        <v>7</v>
      </c>
      <c r="AB18" s="23">
        <v>40705</v>
      </c>
      <c r="AC18" s="24"/>
      <c r="AD18" s="28">
        <v>7</v>
      </c>
    </row>
    <row r="19" spans="1:30">
      <c r="A19" s="23">
        <v>40434</v>
      </c>
      <c r="B19" s="24"/>
      <c r="C19" s="28">
        <v>8</v>
      </c>
      <c r="D19" s="23">
        <v>40829</v>
      </c>
      <c r="E19" s="24"/>
      <c r="F19" s="28">
        <v>8</v>
      </c>
      <c r="G19" s="23">
        <v>40861</v>
      </c>
      <c r="H19" s="24"/>
      <c r="I19" s="28">
        <v>8</v>
      </c>
      <c r="J19" s="23">
        <v>40889</v>
      </c>
      <c r="K19" s="24"/>
      <c r="L19" s="28">
        <v>8</v>
      </c>
      <c r="M19" s="23">
        <v>40196</v>
      </c>
      <c r="N19" s="24"/>
      <c r="O19" s="28">
        <v>8</v>
      </c>
      <c r="P19" s="23">
        <v>40219</v>
      </c>
      <c r="Q19" s="24"/>
      <c r="R19" s="28">
        <v>8</v>
      </c>
      <c r="S19" s="23">
        <v>13</v>
      </c>
      <c r="T19" s="24"/>
      <c r="U19" s="28">
        <v>8</v>
      </c>
      <c r="V19" s="23">
        <v>40652</v>
      </c>
      <c r="W19" s="24"/>
      <c r="X19" s="28">
        <v>8</v>
      </c>
      <c r="Y19" s="23">
        <v>40673</v>
      </c>
      <c r="Z19" s="24"/>
      <c r="AA19" s="28">
        <v>8</v>
      </c>
      <c r="AB19" s="23">
        <v>40706</v>
      </c>
      <c r="AC19" s="24"/>
      <c r="AD19" s="28">
        <v>8</v>
      </c>
    </row>
    <row r="20" spans="1:30">
      <c r="A20" s="23">
        <v>40435</v>
      </c>
      <c r="B20" s="24"/>
      <c r="C20" s="28">
        <v>9</v>
      </c>
      <c r="D20" s="23">
        <v>40830</v>
      </c>
      <c r="E20" s="24"/>
      <c r="F20" s="28">
        <v>9</v>
      </c>
      <c r="G20" s="23">
        <v>40497</v>
      </c>
      <c r="H20" s="24"/>
      <c r="I20" s="28">
        <v>9</v>
      </c>
      <c r="J20" s="23">
        <v>40525</v>
      </c>
      <c r="K20" s="24"/>
      <c r="L20" s="28">
        <v>9</v>
      </c>
      <c r="M20" s="23">
        <v>40197</v>
      </c>
      <c r="N20" s="24"/>
      <c r="O20" s="28">
        <v>9</v>
      </c>
      <c r="P20" s="23">
        <v>40587</v>
      </c>
      <c r="Q20" s="24"/>
      <c r="R20" s="28">
        <v>9</v>
      </c>
      <c r="S20" s="23">
        <v>40251</v>
      </c>
      <c r="T20" s="24"/>
      <c r="U20" s="28">
        <v>9</v>
      </c>
      <c r="V20" s="23">
        <v>40653</v>
      </c>
      <c r="W20" s="24"/>
      <c r="X20" s="28">
        <v>9</v>
      </c>
      <c r="Y20" s="23">
        <v>40674</v>
      </c>
      <c r="Z20" s="24"/>
      <c r="AA20" s="28">
        <v>9</v>
      </c>
      <c r="AB20" s="23">
        <v>40342</v>
      </c>
      <c r="AC20" s="24"/>
      <c r="AD20" s="28">
        <v>9</v>
      </c>
    </row>
    <row r="21" spans="1:30">
      <c r="A21" s="23">
        <v>40436</v>
      </c>
      <c r="B21" s="24"/>
      <c r="C21" s="28">
        <v>10</v>
      </c>
      <c r="D21" s="23">
        <v>40833</v>
      </c>
      <c r="E21" s="24"/>
      <c r="F21" s="28">
        <v>10</v>
      </c>
      <c r="G21" s="23">
        <v>40498</v>
      </c>
      <c r="H21" s="24"/>
      <c r="I21" s="28">
        <v>10</v>
      </c>
      <c r="J21" s="23">
        <v>40526</v>
      </c>
      <c r="K21" s="24"/>
      <c r="L21" s="28">
        <v>10</v>
      </c>
      <c r="M21" s="23">
        <v>40198</v>
      </c>
      <c r="N21" s="24"/>
      <c r="O21" s="28">
        <v>10</v>
      </c>
      <c r="P21" s="23">
        <v>40223</v>
      </c>
      <c r="Q21" s="24"/>
      <c r="R21" s="28">
        <v>10</v>
      </c>
      <c r="S21" s="23">
        <v>40252</v>
      </c>
      <c r="T21" s="24"/>
      <c r="U21" s="28">
        <v>10</v>
      </c>
      <c r="V21" s="23">
        <v>40656</v>
      </c>
      <c r="W21" s="24"/>
      <c r="X21" s="28">
        <v>10</v>
      </c>
      <c r="Y21" s="23">
        <v>40677</v>
      </c>
      <c r="Z21" s="24"/>
      <c r="AA21" s="28">
        <v>10</v>
      </c>
      <c r="AB21" s="23">
        <v>40343</v>
      </c>
      <c r="AC21" s="24"/>
      <c r="AD21" s="28">
        <v>10</v>
      </c>
    </row>
    <row r="22" spans="1:30">
      <c r="A22" s="23">
        <v>40437</v>
      </c>
      <c r="B22" s="24"/>
      <c r="C22" s="28">
        <v>11</v>
      </c>
      <c r="D22" s="23">
        <v>40834</v>
      </c>
      <c r="E22" s="24"/>
      <c r="F22" s="28">
        <v>11</v>
      </c>
      <c r="G22" s="23">
        <v>40499</v>
      </c>
      <c r="H22" s="24"/>
      <c r="I22" s="28">
        <v>11</v>
      </c>
      <c r="J22" s="23">
        <v>40527</v>
      </c>
      <c r="K22" s="24"/>
      <c r="L22" s="28">
        <v>11</v>
      </c>
      <c r="M22" s="23">
        <v>40566</v>
      </c>
      <c r="N22" s="24"/>
      <c r="O22" s="28">
        <v>11</v>
      </c>
      <c r="P22" s="23">
        <v>40224</v>
      </c>
      <c r="Q22" s="24"/>
      <c r="R22" s="28">
        <v>11</v>
      </c>
      <c r="S22" s="23">
        <v>40253</v>
      </c>
      <c r="T22" s="24"/>
      <c r="U22" s="28">
        <v>11</v>
      </c>
      <c r="V22" s="23">
        <v>40657</v>
      </c>
      <c r="W22" s="24"/>
      <c r="X22" s="28">
        <v>11</v>
      </c>
      <c r="Y22" s="23">
        <v>40678</v>
      </c>
      <c r="Z22" s="24"/>
      <c r="AA22" s="28">
        <v>11</v>
      </c>
      <c r="AB22" s="23">
        <v>40344</v>
      </c>
      <c r="AC22" s="24"/>
      <c r="AD22" s="28">
        <v>11</v>
      </c>
    </row>
    <row r="23" spans="1:30">
      <c r="A23" s="23">
        <v>40805</v>
      </c>
      <c r="B23" s="24"/>
      <c r="C23" s="28">
        <v>12</v>
      </c>
      <c r="D23" s="23">
        <v>40835</v>
      </c>
      <c r="E23" s="24"/>
      <c r="F23" s="28">
        <v>12</v>
      </c>
      <c r="G23" s="23">
        <v>40500</v>
      </c>
      <c r="H23" s="24"/>
      <c r="I23" s="28">
        <v>12</v>
      </c>
      <c r="J23" s="23">
        <v>40528</v>
      </c>
      <c r="K23" s="24"/>
      <c r="L23" s="28">
        <v>12</v>
      </c>
      <c r="M23" s="23">
        <v>40202</v>
      </c>
      <c r="N23" s="24"/>
      <c r="O23" s="28">
        <v>12</v>
      </c>
      <c r="P23" s="23">
        <v>40225</v>
      </c>
      <c r="Q23" s="24"/>
      <c r="R23" s="28">
        <v>12</v>
      </c>
      <c r="S23" s="23">
        <v>40621</v>
      </c>
      <c r="T23" s="24"/>
      <c r="U23" s="28">
        <v>12</v>
      </c>
      <c r="V23" s="23">
        <v>40658</v>
      </c>
      <c r="W23" s="24"/>
      <c r="X23" s="28">
        <v>12</v>
      </c>
      <c r="Y23" s="23">
        <v>40679</v>
      </c>
      <c r="Z23" s="24"/>
      <c r="AA23" s="28">
        <v>12</v>
      </c>
      <c r="AB23" s="23">
        <v>40712</v>
      </c>
      <c r="AC23" s="24"/>
      <c r="AD23" s="28">
        <v>12</v>
      </c>
    </row>
    <row r="24" spans="1:30">
      <c r="A24" s="23">
        <v>40806</v>
      </c>
      <c r="B24" s="24"/>
      <c r="C24" s="28">
        <v>13</v>
      </c>
      <c r="D24" s="23">
        <v>40836</v>
      </c>
      <c r="E24" s="24"/>
      <c r="F24" s="28">
        <v>13</v>
      </c>
      <c r="G24" s="23">
        <v>40504</v>
      </c>
      <c r="H24" s="24"/>
      <c r="I24" s="28">
        <v>13</v>
      </c>
      <c r="J24" s="23">
        <v>40896</v>
      </c>
      <c r="K24" s="24"/>
      <c r="L24" s="28">
        <v>13</v>
      </c>
      <c r="M24" s="23">
        <v>40203</v>
      </c>
      <c r="N24" s="24"/>
      <c r="O24" s="28">
        <v>13</v>
      </c>
      <c r="P24" s="23">
        <v>40226</v>
      </c>
      <c r="Q24" s="24"/>
      <c r="R24" s="28">
        <v>13</v>
      </c>
      <c r="S24" s="23">
        <v>40622</v>
      </c>
      <c r="T24" s="24"/>
      <c r="U24" s="28">
        <v>13</v>
      </c>
      <c r="V24" s="23">
        <v>40659</v>
      </c>
      <c r="W24" s="24"/>
      <c r="X24" s="28">
        <v>13</v>
      </c>
      <c r="Y24" s="23">
        <v>40680</v>
      </c>
      <c r="Z24" s="24"/>
      <c r="AA24" s="28">
        <v>13</v>
      </c>
      <c r="AB24" s="23">
        <v>40713</v>
      </c>
      <c r="AC24" s="24"/>
      <c r="AD24" s="28">
        <v>13</v>
      </c>
    </row>
    <row r="25" spans="1:30">
      <c r="A25" s="23">
        <v>40807</v>
      </c>
      <c r="B25" s="24"/>
      <c r="C25" s="28">
        <v>14</v>
      </c>
      <c r="D25" s="23">
        <v>40837</v>
      </c>
      <c r="E25" s="24"/>
      <c r="F25" s="28">
        <v>14</v>
      </c>
      <c r="G25" s="23">
        <v>40505</v>
      </c>
      <c r="H25" s="24"/>
      <c r="I25" s="28">
        <v>14</v>
      </c>
      <c r="J25" s="23">
        <v>40532</v>
      </c>
      <c r="K25" s="24"/>
      <c r="L25" s="28">
        <v>14</v>
      </c>
      <c r="M25" s="23">
        <v>40204</v>
      </c>
      <c r="N25" s="24"/>
      <c r="O25" s="28">
        <v>14</v>
      </c>
      <c r="P25" s="23">
        <v>40601</v>
      </c>
      <c r="Q25" s="24"/>
      <c r="R25" s="28">
        <v>14</v>
      </c>
      <c r="S25" s="23">
        <v>40258</v>
      </c>
      <c r="T25" s="24"/>
      <c r="U25" s="28">
        <v>14</v>
      </c>
      <c r="V25" s="23">
        <v>40660</v>
      </c>
      <c r="W25" s="24"/>
      <c r="X25" s="28">
        <v>14</v>
      </c>
      <c r="Y25" s="23">
        <v>40681</v>
      </c>
      <c r="Z25" s="24"/>
      <c r="AA25" s="28">
        <v>14</v>
      </c>
      <c r="AB25" s="23">
        <v>40349</v>
      </c>
      <c r="AC25" s="24"/>
      <c r="AD25" s="28">
        <v>14</v>
      </c>
    </row>
    <row r="26" spans="1:30" ht="15.75" thickBot="1">
      <c r="A26" s="23">
        <v>40808</v>
      </c>
      <c r="B26" s="24"/>
      <c r="C26" s="28">
        <v>15</v>
      </c>
      <c r="D26" s="23">
        <v>40840</v>
      </c>
      <c r="E26" s="24"/>
      <c r="F26" s="28">
        <v>15</v>
      </c>
      <c r="G26" s="23">
        <v>40506</v>
      </c>
      <c r="H26" s="24"/>
      <c r="I26" s="28">
        <v>15</v>
      </c>
      <c r="J26" s="23">
        <v>40533</v>
      </c>
      <c r="K26" s="24"/>
      <c r="L26" s="28">
        <v>15</v>
      </c>
      <c r="M26" s="23">
        <v>40205</v>
      </c>
      <c r="N26" s="24"/>
      <c r="O26" s="28">
        <v>15</v>
      </c>
      <c r="P26" s="23">
        <v>40237</v>
      </c>
      <c r="Q26" s="24"/>
      <c r="R26" s="28">
        <v>15</v>
      </c>
      <c r="S26" s="23">
        <v>40259</v>
      </c>
      <c r="T26" s="24"/>
      <c r="U26" s="28">
        <v>15</v>
      </c>
      <c r="V26" s="25">
        <v>40663</v>
      </c>
      <c r="W26" s="26"/>
      <c r="X26" s="28">
        <v>15</v>
      </c>
      <c r="Y26" s="23">
        <v>40685</v>
      </c>
      <c r="Z26" s="24"/>
      <c r="AA26" s="28">
        <v>15</v>
      </c>
      <c r="AB26" s="23">
        <v>40350</v>
      </c>
      <c r="AC26" s="24"/>
      <c r="AD26" s="28">
        <v>15</v>
      </c>
    </row>
    <row r="27" spans="1:30" ht="15.75" thickBot="1">
      <c r="A27" s="23">
        <v>40812</v>
      </c>
      <c r="B27" s="24"/>
      <c r="C27" s="28">
        <v>16</v>
      </c>
      <c r="D27" s="23">
        <v>40841</v>
      </c>
      <c r="E27" s="24"/>
      <c r="F27" s="28">
        <v>16</v>
      </c>
      <c r="G27" s="23">
        <v>40507</v>
      </c>
      <c r="H27" s="24"/>
      <c r="I27" s="28">
        <v>16</v>
      </c>
      <c r="J27" s="25">
        <v>40534</v>
      </c>
      <c r="K27" s="26"/>
      <c r="L27" s="28">
        <v>16</v>
      </c>
      <c r="M27" s="23">
        <v>40573</v>
      </c>
      <c r="N27" s="24"/>
      <c r="O27" s="28">
        <v>16</v>
      </c>
      <c r="P27" s="25" t="s">
        <v>55</v>
      </c>
      <c r="Q27" s="26"/>
      <c r="R27" s="28">
        <v>16</v>
      </c>
      <c r="S27" s="23">
        <v>40625</v>
      </c>
      <c r="T27" s="24"/>
      <c r="U27" s="28">
        <v>16</v>
      </c>
      <c r="V27" s="10"/>
      <c r="W27" s="5"/>
      <c r="X27" s="28">
        <v>16</v>
      </c>
      <c r="Y27" s="23">
        <v>40686</v>
      </c>
      <c r="Z27" s="24"/>
      <c r="AA27" s="28">
        <v>16</v>
      </c>
      <c r="AB27" s="23">
        <v>40351</v>
      </c>
      <c r="AC27" s="24"/>
      <c r="AD27" s="28">
        <v>16</v>
      </c>
    </row>
    <row r="28" spans="1:30">
      <c r="A28" s="23">
        <v>40813</v>
      </c>
      <c r="B28" s="24"/>
      <c r="C28" s="28">
        <v>17</v>
      </c>
      <c r="D28" s="23">
        <v>40842</v>
      </c>
      <c r="E28" s="24"/>
      <c r="F28" s="28">
        <v>17</v>
      </c>
      <c r="G28" s="23">
        <v>40875</v>
      </c>
      <c r="H28" s="24"/>
      <c r="I28" s="28">
        <v>17</v>
      </c>
      <c r="J28" s="10"/>
      <c r="K28" s="5"/>
      <c r="L28" s="28">
        <v>17</v>
      </c>
      <c r="M28" s="23">
        <v>40209</v>
      </c>
      <c r="N28" s="24"/>
      <c r="O28" s="28">
        <v>17</v>
      </c>
      <c r="P28" s="19"/>
      <c r="Q28" s="20"/>
      <c r="R28" s="28">
        <v>17</v>
      </c>
      <c r="S28" s="23">
        <v>40629</v>
      </c>
      <c r="T28" s="24"/>
      <c r="U28" s="28">
        <v>17</v>
      </c>
      <c r="V28" s="5"/>
      <c r="W28" s="5"/>
      <c r="X28" s="28">
        <v>17</v>
      </c>
      <c r="Y28" s="23">
        <v>40687</v>
      </c>
      <c r="Z28" s="24"/>
      <c r="AA28" s="28">
        <v>17</v>
      </c>
      <c r="AB28" s="23">
        <v>40719</v>
      </c>
      <c r="AC28" s="24"/>
      <c r="AD28" s="28">
        <v>17</v>
      </c>
    </row>
    <row r="29" spans="1:30">
      <c r="A29" s="23">
        <v>40814</v>
      </c>
      <c r="B29" s="24"/>
      <c r="C29" s="28">
        <v>18</v>
      </c>
      <c r="D29" s="23">
        <v>40843</v>
      </c>
      <c r="E29" s="24"/>
      <c r="F29" s="28">
        <v>18</v>
      </c>
      <c r="G29" s="23">
        <v>40511</v>
      </c>
      <c r="H29" s="24"/>
      <c r="I29" s="28">
        <v>18</v>
      </c>
      <c r="J29" s="5"/>
      <c r="K29" s="5"/>
      <c r="L29" s="28">
        <v>18</v>
      </c>
      <c r="M29" s="23"/>
      <c r="N29" s="24"/>
      <c r="O29" s="28">
        <v>18</v>
      </c>
      <c r="P29" s="19"/>
      <c r="Q29" s="20"/>
      <c r="R29" s="28">
        <v>18</v>
      </c>
      <c r="S29" s="23">
        <v>40265</v>
      </c>
      <c r="T29" s="24"/>
      <c r="U29" s="28">
        <v>18</v>
      </c>
      <c r="V29" s="5"/>
      <c r="W29" s="5"/>
      <c r="X29" s="28">
        <v>18</v>
      </c>
      <c r="Y29" s="23">
        <v>40688</v>
      </c>
      <c r="Z29" s="24"/>
      <c r="AA29" s="28">
        <v>18</v>
      </c>
      <c r="AB29" s="23">
        <v>40720</v>
      </c>
      <c r="AC29" s="24"/>
      <c r="AD29" s="28">
        <v>18</v>
      </c>
    </row>
    <row r="30" spans="1:30" ht="15.75" thickBot="1">
      <c r="A30" s="23">
        <v>40815</v>
      </c>
      <c r="B30" s="24"/>
      <c r="C30" s="28">
        <v>19</v>
      </c>
      <c r="D30" s="23">
        <v>40844</v>
      </c>
      <c r="E30" s="24"/>
      <c r="F30" s="28">
        <v>19</v>
      </c>
      <c r="G30" s="25">
        <v>40512</v>
      </c>
      <c r="H30" s="26"/>
      <c r="I30" s="28">
        <v>19</v>
      </c>
      <c r="J30" s="5"/>
      <c r="K30" s="5"/>
      <c r="L30" s="28">
        <v>19</v>
      </c>
      <c r="M30" s="25"/>
      <c r="N30" s="26"/>
      <c r="O30" s="28">
        <v>19</v>
      </c>
      <c r="P30" s="18"/>
      <c r="Q30" s="18"/>
      <c r="R30" s="28">
        <v>19</v>
      </c>
      <c r="S30" s="23">
        <v>40266</v>
      </c>
      <c r="T30" s="24"/>
      <c r="U30" s="28">
        <v>18</v>
      </c>
      <c r="V30" s="5"/>
      <c r="W30" s="5"/>
      <c r="X30" s="28">
        <v>19</v>
      </c>
      <c r="Y30" s="23">
        <v>40692</v>
      </c>
      <c r="Z30" s="24"/>
      <c r="AA30" s="28">
        <v>19</v>
      </c>
      <c r="AB30" s="23">
        <v>40721</v>
      </c>
      <c r="AC30" s="24"/>
      <c r="AD30" s="28">
        <v>19</v>
      </c>
    </row>
    <row r="31" spans="1:30" ht="15.75" thickBot="1">
      <c r="A31" s="23">
        <v>40816</v>
      </c>
      <c r="B31" s="24"/>
      <c r="C31" s="28">
        <v>20</v>
      </c>
      <c r="D31" s="25">
        <v>40847</v>
      </c>
      <c r="E31" s="26"/>
      <c r="F31" s="28">
        <v>20</v>
      </c>
      <c r="G31" s="18"/>
      <c r="H31" s="18"/>
      <c r="I31" s="28">
        <v>20</v>
      </c>
      <c r="J31" s="5"/>
      <c r="K31" s="5"/>
      <c r="L31" s="28">
        <v>20</v>
      </c>
      <c r="M31" s="5"/>
      <c r="N31" s="5"/>
      <c r="O31" s="28">
        <v>20</v>
      </c>
      <c r="P31" s="5"/>
      <c r="Q31" s="5"/>
      <c r="R31" s="28">
        <v>20</v>
      </c>
      <c r="S31" s="23">
        <v>40267</v>
      </c>
      <c r="T31" s="24"/>
      <c r="U31" s="28">
        <v>18</v>
      </c>
      <c r="V31" s="5"/>
      <c r="W31" s="5"/>
      <c r="X31" s="28">
        <v>20</v>
      </c>
      <c r="Y31" s="23">
        <v>40328</v>
      </c>
      <c r="Z31" s="24"/>
      <c r="AA31" s="28">
        <v>20</v>
      </c>
      <c r="AB31" s="23"/>
      <c r="AC31" s="24"/>
      <c r="AD31" s="28">
        <v>20</v>
      </c>
    </row>
    <row r="32" spans="1:30" ht="15.75" thickBot="1">
      <c r="A32" s="25"/>
      <c r="B32" s="26"/>
      <c r="C32" s="28">
        <v>21</v>
      </c>
      <c r="D32" s="5"/>
      <c r="E32" s="5"/>
      <c r="F32" s="28">
        <v>21</v>
      </c>
      <c r="G32" s="19"/>
      <c r="H32" s="20"/>
      <c r="I32" s="28">
        <v>21</v>
      </c>
      <c r="J32" s="5"/>
      <c r="K32" s="5"/>
      <c r="L32" s="28">
        <v>21</v>
      </c>
      <c r="M32" s="5"/>
      <c r="N32" s="5"/>
      <c r="O32" s="28">
        <v>21</v>
      </c>
      <c r="P32" s="5"/>
      <c r="Q32" s="5"/>
      <c r="R32" s="28">
        <v>21</v>
      </c>
      <c r="S32" s="25"/>
      <c r="T32" s="26"/>
      <c r="U32" s="28">
        <v>18</v>
      </c>
      <c r="V32" s="5"/>
      <c r="W32" s="5"/>
      <c r="X32" s="28">
        <v>21</v>
      </c>
      <c r="Y32" s="25">
        <v>40329</v>
      </c>
      <c r="Z32" s="26"/>
      <c r="AA32" s="28">
        <v>21</v>
      </c>
      <c r="AB32" s="25"/>
      <c r="AC32" s="26"/>
      <c r="AD32" s="28">
        <v>21</v>
      </c>
    </row>
    <row r="33" spans="1:29" s="32" customFormat="1">
      <c r="A33" s="29" t="s">
        <v>53</v>
      </c>
      <c r="B33" s="30" t="str">
        <f>A3</f>
        <v>September</v>
      </c>
      <c r="C33" s="29"/>
      <c r="D33" s="29"/>
      <c r="E33" s="30" t="str">
        <f>D3</f>
        <v>October</v>
      </c>
      <c r="F33" s="29"/>
      <c r="G33" s="29"/>
      <c r="H33" s="30" t="str">
        <f>G3</f>
        <v>November</v>
      </c>
      <c r="I33" s="29"/>
      <c r="J33" s="29"/>
      <c r="K33" s="30" t="str">
        <f>J3</f>
        <v>December</v>
      </c>
      <c r="L33" s="29"/>
      <c r="M33" s="29"/>
      <c r="N33" s="30" t="str">
        <f>M3</f>
        <v>January</v>
      </c>
      <c r="O33" s="29"/>
      <c r="P33" s="29"/>
      <c r="Q33" s="30" t="str">
        <f>P3</f>
        <v>February</v>
      </c>
      <c r="R33" s="29"/>
      <c r="S33" s="29"/>
      <c r="T33" s="31" t="str">
        <f>S3</f>
        <v>March</v>
      </c>
      <c r="U33" s="29"/>
      <c r="V33" s="29"/>
      <c r="W33" s="31" t="str">
        <f>V3</f>
        <v>April</v>
      </c>
      <c r="X33" s="29"/>
      <c r="Y33" s="29"/>
      <c r="Z33" s="31" t="str">
        <f>Y3</f>
        <v>May</v>
      </c>
      <c r="AA33" s="29"/>
      <c r="AB33" s="29"/>
      <c r="AC33" s="31" t="str">
        <f>AB3</f>
        <v>June</v>
      </c>
    </row>
    <row r="34" spans="1:29">
      <c r="A34" s="11" t="s">
        <v>0</v>
      </c>
      <c r="B34" s="16" t="str">
        <f>IF(AND(B12="",B13="",B14="",B15="",B16="",B17="",B18="",B19="",B20="",B21="",B22="",B23="",B24="",B25="",B26="",B27=""),"",AVERAGE(B12:B32))</f>
        <v/>
      </c>
      <c r="C34" s="11"/>
      <c r="D34" s="11" t="s">
        <v>0</v>
      </c>
      <c r="E34" s="16" t="str">
        <f t="shared" ref="E34" si="0">IF(AND(E12="",E13="",E14="",E15="",E16="",E17="",E18="",E19="",E20="",E21="",E22="",E23="",E24="",E25="",E26="",E27=""),"",AVERAGE(E12:E32))</f>
        <v/>
      </c>
      <c r="F34" s="11"/>
      <c r="G34" s="11" t="s">
        <v>0</v>
      </c>
      <c r="H34" s="16" t="str">
        <f t="shared" ref="H34:AC34" si="1">IF(AND(H12="",H13="",H14="",H15="",H16="",H17="",H18="",H19="",H20="",H21="",H22="",H23="",H24="",H25="",H26="",H27=""),"",AVERAGE(H12:H32))</f>
        <v/>
      </c>
      <c r="I34" s="11"/>
      <c r="J34" s="11" t="s">
        <v>0</v>
      </c>
      <c r="K34" s="16" t="str">
        <f t="shared" si="1"/>
        <v/>
      </c>
      <c r="L34" s="11"/>
      <c r="M34" s="11" t="s">
        <v>0</v>
      </c>
      <c r="N34" s="16" t="str">
        <f t="shared" si="1"/>
        <v/>
      </c>
      <c r="O34" s="11"/>
      <c r="P34" s="11" t="s">
        <v>0</v>
      </c>
      <c r="Q34" s="16" t="str">
        <f t="shared" si="1"/>
        <v/>
      </c>
      <c r="R34" s="11"/>
      <c r="S34" s="11" t="s">
        <v>0</v>
      </c>
      <c r="T34" s="16" t="str">
        <f t="shared" si="1"/>
        <v/>
      </c>
      <c r="U34" s="11"/>
      <c r="V34" s="11" t="s">
        <v>0</v>
      </c>
      <c r="W34" s="16" t="str">
        <f t="shared" si="1"/>
        <v/>
      </c>
      <c r="X34" s="11"/>
      <c r="Y34" s="11" t="s">
        <v>0</v>
      </c>
      <c r="Z34" s="16" t="str">
        <f t="shared" si="1"/>
        <v/>
      </c>
      <c r="AA34" s="11"/>
      <c r="AB34" s="11" t="s">
        <v>0</v>
      </c>
      <c r="AC34" s="16" t="str">
        <f t="shared" si="1"/>
        <v/>
      </c>
    </row>
    <row r="35" spans="1:29">
      <c r="A35" s="11" t="s">
        <v>1</v>
      </c>
      <c r="B35" s="16" t="str">
        <f>IF(AND(B12="",B13="",B14="",B15="",B16="",B17="",B18="",B19="",B20="",B21="",B22="",B23="",B24="",B25="",B26="",B27=""),"",SLOPE(B12:B32,C12:C32))</f>
        <v/>
      </c>
      <c r="C35" s="11"/>
      <c r="D35" s="11" t="s">
        <v>1</v>
      </c>
      <c r="E35" s="16" t="str">
        <f>IF(AND(E12="",E13="",E14="",E15="",E16="",E17="",E18="",E19="",E20="",E21="",E22="",E23="",E24="",E25="",E26="",E27=""),"",SLOPE(E12:E32,F12:F32))</f>
        <v/>
      </c>
      <c r="F35" s="11"/>
      <c r="G35" s="11" t="s">
        <v>1</v>
      </c>
      <c r="H35" s="16" t="str">
        <f t="shared" ref="H35:AC35" si="2">IF(AND(H12="",H13="",H14="",H15="",H16="",H17="",H18="",H19="",H20="",H21="",H22="",H23="",H24="",H25="",H26="",H27=""),"",SLOPE(H12:H32,I12:I32))</f>
        <v/>
      </c>
      <c r="I35" s="11"/>
      <c r="J35" s="11" t="s">
        <v>1</v>
      </c>
      <c r="K35" s="16" t="str">
        <f t="shared" si="2"/>
        <v/>
      </c>
      <c r="L35" s="11"/>
      <c r="M35" s="11" t="s">
        <v>1</v>
      </c>
      <c r="N35" s="16" t="str">
        <f t="shared" si="2"/>
        <v/>
      </c>
      <c r="O35" s="11"/>
      <c r="P35" s="11" t="s">
        <v>1</v>
      </c>
      <c r="Q35" s="16" t="str">
        <f t="shared" si="2"/>
        <v/>
      </c>
      <c r="R35" s="11"/>
      <c r="S35" s="11" t="s">
        <v>1</v>
      </c>
      <c r="T35" s="16" t="str">
        <f>IF(AND(T12="",T13="",T14="",T15="",T16="",T17="",T18="",T19="",T20="",T21="",T22="",T23="",T24="",T25="",T26="",T27=""),"",SLOPE(T12:T32,U12:U32))</f>
        <v/>
      </c>
      <c r="U35" s="11"/>
      <c r="V35" s="11" t="s">
        <v>1</v>
      </c>
      <c r="W35" s="16" t="str">
        <f t="shared" si="2"/>
        <v/>
      </c>
      <c r="X35" s="11"/>
      <c r="Y35" s="11" t="s">
        <v>1</v>
      </c>
      <c r="Z35" s="16" t="str">
        <f t="shared" si="2"/>
        <v/>
      </c>
      <c r="AA35" s="11"/>
      <c r="AB35" s="11" t="s">
        <v>1</v>
      </c>
      <c r="AC35" s="16" t="str">
        <f t="shared" si="2"/>
        <v/>
      </c>
    </row>
    <row r="36" spans="1:29">
      <c r="A36" s="11" t="s">
        <v>40</v>
      </c>
      <c r="B36" s="12">
        <f>O2</f>
        <v>0</v>
      </c>
      <c r="C36" s="11"/>
      <c r="D36" s="11" t="s">
        <v>40</v>
      </c>
      <c r="E36" s="12">
        <f>O2</f>
        <v>0</v>
      </c>
      <c r="F36" s="11"/>
      <c r="G36" s="11" t="s">
        <v>40</v>
      </c>
      <c r="H36" s="12">
        <f>O2</f>
        <v>0</v>
      </c>
      <c r="I36" s="11"/>
      <c r="J36" s="11" t="s">
        <v>40</v>
      </c>
      <c r="K36" s="12">
        <f>O2</f>
        <v>0</v>
      </c>
      <c r="L36" s="11"/>
      <c r="M36" s="11" t="s">
        <v>40</v>
      </c>
      <c r="N36" s="12">
        <f>O2</f>
        <v>0</v>
      </c>
      <c r="O36" s="11"/>
      <c r="P36" s="11" t="s">
        <v>40</v>
      </c>
      <c r="Q36" s="12">
        <f>O2</f>
        <v>0</v>
      </c>
      <c r="R36" s="11"/>
      <c r="S36" s="11" t="s">
        <v>40</v>
      </c>
      <c r="T36" s="12">
        <f>O2</f>
        <v>0</v>
      </c>
      <c r="U36" s="11"/>
      <c r="V36" s="11" t="s">
        <v>40</v>
      </c>
      <c r="W36" s="12">
        <f>O2</f>
        <v>0</v>
      </c>
      <c r="X36" s="11"/>
      <c r="Y36" s="11" t="s">
        <v>40</v>
      </c>
      <c r="Z36" s="12">
        <f>O2</f>
        <v>0</v>
      </c>
      <c r="AA36" s="11"/>
      <c r="AB36" s="11" t="s">
        <v>40</v>
      </c>
      <c r="AC36" s="12">
        <f>O2</f>
        <v>0</v>
      </c>
    </row>
    <row r="37" spans="1:29">
      <c r="A37" s="11" t="s">
        <v>4</v>
      </c>
      <c r="B37" s="13" t="e">
        <f>COUNTIF(B12:B32,0)/COUNT(B12:B32)</f>
        <v>#DIV/0!</v>
      </c>
      <c r="C37" s="11"/>
      <c r="D37" s="11" t="s">
        <v>4</v>
      </c>
      <c r="E37" s="13" t="e">
        <f>COUNTIF(E12:E30,0)/COUNT(E12:E30)</f>
        <v>#DIV/0!</v>
      </c>
      <c r="F37" s="11"/>
      <c r="G37" s="11" t="s">
        <v>4</v>
      </c>
      <c r="H37" s="13" t="e">
        <f>COUNTIF(H12:H32,0)/COUNT(H12:H32)</f>
        <v>#DIV/0!</v>
      </c>
      <c r="I37" s="11"/>
      <c r="J37" s="11" t="s">
        <v>4</v>
      </c>
      <c r="K37" s="13" t="e">
        <f>COUNTIF(K12:K28,0)/COUNT(K12:K28)</f>
        <v>#DIV/0!</v>
      </c>
      <c r="L37" s="11"/>
      <c r="M37" s="11" t="s">
        <v>4</v>
      </c>
      <c r="N37" s="13" t="e">
        <f>COUNTIF(N12:N30,0)/COUNT(N12:N30)</f>
        <v>#DIV/0!</v>
      </c>
      <c r="O37" s="11"/>
      <c r="P37" s="11" t="s">
        <v>4</v>
      </c>
      <c r="Q37" s="13" t="e">
        <f>COUNTIF(Q12:Q29,0)/COUNT(Q12:Q29)</f>
        <v>#DIV/0!</v>
      </c>
      <c r="R37" s="11"/>
      <c r="S37" s="11" t="s">
        <v>4</v>
      </c>
      <c r="T37" s="13" t="e">
        <f>COUNTIF(T12:T32,0)/COUNT(T12:T32)</f>
        <v>#DIV/0!</v>
      </c>
      <c r="U37" s="11"/>
      <c r="V37" s="11" t="s">
        <v>4</v>
      </c>
      <c r="W37" s="13" t="e">
        <f>COUNTIF(W12:W27,0)/COUNT(W12:W27)</f>
        <v>#DIV/0!</v>
      </c>
      <c r="X37" s="11"/>
      <c r="Y37" s="11" t="s">
        <v>4</v>
      </c>
      <c r="Z37" s="13" t="e">
        <f>COUNTIF(Z12:Z32,0)/COUNT(Z12:Z32)</f>
        <v>#DIV/0!</v>
      </c>
      <c r="AA37" s="11"/>
      <c r="AB37" s="11" t="s">
        <v>4</v>
      </c>
      <c r="AC37" s="13" t="e">
        <f>COUNTIF(AC12:AC33,0)/COUNT(AC12:AC33)</f>
        <v>#DIV/0!</v>
      </c>
    </row>
    <row r="38" spans="1:29">
      <c r="A38" s="11" t="s">
        <v>5</v>
      </c>
      <c r="B38" s="13" t="e">
        <f>(COUNTIF(B12:B32,"&lt;6")-COUNTIF(B12:B32,0))/COUNT(B12:B32)</f>
        <v>#DIV/0!</v>
      </c>
      <c r="C38" s="11"/>
      <c r="D38" s="11" t="s">
        <v>5</v>
      </c>
      <c r="E38" s="13" t="e">
        <f>(COUNTIF(E12:E30,"&lt;6")-COUNTIF(E12:E30,0))/COUNT(E12:E30)</f>
        <v>#DIV/0!</v>
      </c>
      <c r="F38" s="11"/>
      <c r="G38" s="11" t="s">
        <v>5</v>
      </c>
      <c r="H38" s="13" t="e">
        <f>(COUNTIF(H12:H32,"&lt;6")-COUNTIF(H12:H32,0))/COUNT(H12:H32)</f>
        <v>#DIV/0!</v>
      </c>
      <c r="I38" s="11"/>
      <c r="J38" s="11" t="s">
        <v>5</v>
      </c>
      <c r="K38" s="13" t="e">
        <f>(COUNTIF(K12:K28,"&lt;6")-COUNTIF(K12:K28,0))/COUNT(K12:K28)</f>
        <v>#DIV/0!</v>
      </c>
      <c r="L38" s="11"/>
      <c r="M38" s="11" t="s">
        <v>5</v>
      </c>
      <c r="N38" s="13" t="e">
        <f>(COUNTIF(N12:N30,"&lt;6")-COUNTIF(N12:N30,0))/COUNT(N12:N30)</f>
        <v>#DIV/0!</v>
      </c>
      <c r="O38" s="11"/>
      <c r="P38" s="11" t="s">
        <v>5</v>
      </c>
      <c r="Q38" s="13" t="e">
        <f>(COUNTIF(Q12:Q29,"&lt;6")-COUNTIF(Q12:Q29,0))/COUNT(Q12:Q29)</f>
        <v>#DIV/0!</v>
      </c>
      <c r="R38" s="11"/>
      <c r="S38" s="11" t="s">
        <v>5</v>
      </c>
      <c r="T38" s="13" t="e">
        <f>(COUNTIF(T12:T32,"&lt;6")-COUNTIF(T12:T32,0))/COUNT(T12:T32)</f>
        <v>#DIV/0!</v>
      </c>
      <c r="U38" s="11"/>
      <c r="V38" s="11" t="s">
        <v>5</v>
      </c>
      <c r="W38" s="13" t="e">
        <f>(COUNTIF(W12:W27,"&lt;6")-COUNTIF(W12:W27,0))/COUNT(W12:W27)</f>
        <v>#DIV/0!</v>
      </c>
      <c r="X38" s="11"/>
      <c r="Y38" s="11" t="s">
        <v>5</v>
      </c>
      <c r="Z38" s="13" t="e">
        <f>(COUNTIF(Z12:Z32,"&lt;6")-COUNTIF(Z12:Z32,0))/COUNT(Z12:Z32)</f>
        <v>#DIV/0!</v>
      </c>
      <c r="AA38" s="11"/>
      <c r="AB38" s="11" t="s">
        <v>5</v>
      </c>
      <c r="AC38" s="13" t="e">
        <f>(COUNTIF(AC12:AC33,"&lt;6")-COUNTIF(AC12:AC33,0))/COUNT(AC12:AC33)</f>
        <v>#DIV/0!</v>
      </c>
    </row>
    <row r="39" spans="1:29">
      <c r="A39" s="11" t="s">
        <v>6</v>
      </c>
      <c r="B39" s="13" t="e">
        <f>(COUNTIF(B12:B32,"&lt;11")-COUNTIF(B12:B32,"&lt;6"))/COUNT(B12:B32)</f>
        <v>#DIV/0!</v>
      </c>
      <c r="C39" s="11"/>
      <c r="D39" s="11" t="s">
        <v>6</v>
      </c>
      <c r="E39" s="13" t="e">
        <f>(COUNTIF(E12:E30,"&lt;11")-COUNTIF(E12:E30,"&lt;6"))/COUNT(E12:E30)</f>
        <v>#DIV/0!</v>
      </c>
      <c r="F39" s="11"/>
      <c r="G39" s="11" t="s">
        <v>6</v>
      </c>
      <c r="H39" s="13" t="e">
        <f>(COUNTIF(H12:H32,"&lt;11")-COUNTIF(H12:H32,"&lt;6"))/COUNT(H12:H32)</f>
        <v>#DIV/0!</v>
      </c>
      <c r="I39" s="11"/>
      <c r="J39" s="11" t="s">
        <v>6</v>
      </c>
      <c r="K39" s="13" t="e">
        <f>(COUNTIF(K12:K28,"&lt;11")-COUNTIF(K12:K28,"&lt;6"))/COUNT(K12:K28)</f>
        <v>#DIV/0!</v>
      </c>
      <c r="L39" s="11"/>
      <c r="M39" s="11" t="s">
        <v>6</v>
      </c>
      <c r="N39" s="13" t="e">
        <f>(COUNTIF(N12:N30,"&lt;11")-COUNTIF(N12:N30,"&lt;6"))/COUNT(N12:N30)</f>
        <v>#DIV/0!</v>
      </c>
      <c r="O39" s="11"/>
      <c r="P39" s="11" t="s">
        <v>6</v>
      </c>
      <c r="Q39" s="13" t="e">
        <f>(COUNTIF(Q12:Q29,"&lt;11")-COUNTIF(Q12:Q29,"&lt;6"))/COUNT(Q12:Q29)</f>
        <v>#DIV/0!</v>
      </c>
      <c r="R39" s="11"/>
      <c r="S39" s="11" t="s">
        <v>6</v>
      </c>
      <c r="T39" s="13" t="e">
        <f>(COUNTIF(T12:T32,"&lt;11")-COUNTIF(T12:T32,"&lt;6"))/COUNT(T12:T32)</f>
        <v>#DIV/0!</v>
      </c>
      <c r="U39" s="11"/>
      <c r="V39" s="11" t="s">
        <v>6</v>
      </c>
      <c r="W39" s="13" t="e">
        <f>(COUNTIF(W12:W27,"&lt;11")-COUNTIF(W12:W27,"&lt;6"))/COUNT(W12:W27)</f>
        <v>#DIV/0!</v>
      </c>
      <c r="X39" s="11"/>
      <c r="Y39" s="11" t="s">
        <v>6</v>
      </c>
      <c r="Z39" s="13" t="e">
        <f>(COUNTIF(Z12:Z32,"&lt;11")-COUNTIF(Z12:Z32,"&lt;6"))/COUNT(Z12:Z32)</f>
        <v>#DIV/0!</v>
      </c>
      <c r="AA39" s="11"/>
      <c r="AB39" s="11" t="s">
        <v>6</v>
      </c>
      <c r="AC39" s="13" t="e">
        <f>(COUNTIF(AC12:AC33,"&lt;11")-COUNTIF(AC12:AC33,"&lt;6"))/COUNT(AC12:AC33)</f>
        <v>#DIV/0!</v>
      </c>
    </row>
    <row r="40" spans="1:29">
      <c r="A40" s="11" t="s">
        <v>7</v>
      </c>
      <c r="B40" s="13" t="e">
        <f>(COUNTIF(B12:B32,"&lt;16")-COUNTIF(B12:B32,"&lt;11"))/COUNT(B12:B32)</f>
        <v>#DIV/0!</v>
      </c>
      <c r="C40" s="11"/>
      <c r="D40" s="11" t="s">
        <v>7</v>
      </c>
      <c r="E40" s="13" t="e">
        <f>(COUNTIF(E12:E30,"&lt;16")-COUNTIF(E12:E30,"&lt;11"))/COUNT(E12:E30)</f>
        <v>#DIV/0!</v>
      </c>
      <c r="F40" s="11"/>
      <c r="G40" s="11" t="s">
        <v>7</v>
      </c>
      <c r="H40" s="13" t="e">
        <f>(COUNTIF(H12:H32,"&lt;16")-COUNTIF(H12:H32,"&lt;11"))/COUNT(H12:H32)</f>
        <v>#DIV/0!</v>
      </c>
      <c r="I40" s="11"/>
      <c r="J40" s="11" t="s">
        <v>7</v>
      </c>
      <c r="K40" s="13" t="e">
        <f>(COUNTIF(K12:K28,"&lt;16")-COUNTIF(K12:K28,"&lt;11"))/COUNT(K12:K28)</f>
        <v>#DIV/0!</v>
      </c>
      <c r="L40" s="11"/>
      <c r="M40" s="11" t="s">
        <v>7</v>
      </c>
      <c r="N40" s="13" t="e">
        <f>(COUNTIF(N12:N30,"&lt;16")-COUNTIF(N12:N30,"&lt;11"))/COUNT(N12:N30)</f>
        <v>#DIV/0!</v>
      </c>
      <c r="O40" s="11"/>
      <c r="P40" s="11" t="s">
        <v>7</v>
      </c>
      <c r="Q40" s="13" t="e">
        <f>(COUNTIF(Q12:Q29,"&lt;16")-COUNTIF(Q12:Q29,"&lt;11"))/COUNT(Q12:Q29)</f>
        <v>#DIV/0!</v>
      </c>
      <c r="R40" s="11"/>
      <c r="S40" s="11" t="s">
        <v>7</v>
      </c>
      <c r="T40" s="13" t="e">
        <f>(COUNTIF(T12:T32,"&lt;16")-COUNTIF(T12:T32,"&lt;11"))/COUNT(T12:T32)</f>
        <v>#DIV/0!</v>
      </c>
      <c r="U40" s="11"/>
      <c r="V40" s="11" t="s">
        <v>7</v>
      </c>
      <c r="W40" s="13" t="e">
        <f>(COUNTIF(W12:W27,"&lt;16")-COUNTIF(W12:W27,"&lt;11"))/COUNT(W12:W27)</f>
        <v>#DIV/0!</v>
      </c>
      <c r="X40" s="11"/>
      <c r="Y40" s="11" t="s">
        <v>7</v>
      </c>
      <c r="Z40" s="13" t="e">
        <f>(COUNTIF(Z12:Z32,"&lt;16")-COUNTIF(Z12:Z32,"&lt;11"))/COUNT(Z12:Z32)</f>
        <v>#DIV/0!</v>
      </c>
      <c r="AA40" s="11"/>
      <c r="AB40" s="11" t="s">
        <v>7</v>
      </c>
      <c r="AC40" s="13" t="e">
        <f>(COUNTIF(AC12:AC33,"&lt;16")-COUNTIF(AC12:AC33,"&lt;11"))/COUNT(AC12:AC33)</f>
        <v>#DIV/0!</v>
      </c>
    </row>
    <row r="41" spans="1:29">
      <c r="A41" s="11" t="s">
        <v>8</v>
      </c>
      <c r="B41" s="13" t="e">
        <f>(COUNTIF(B12:B32,"&lt;21")-COUNTIF(B12:B32,"&lt;16"))/COUNT(B12:B32)</f>
        <v>#DIV/0!</v>
      </c>
      <c r="C41" s="11"/>
      <c r="D41" s="11" t="s">
        <v>8</v>
      </c>
      <c r="E41" s="13" t="e">
        <f>(COUNTIF(E12:E30,"&lt;21")-COUNTIF(E12:E30,"&lt;16"))/COUNT(E12:E30)</f>
        <v>#DIV/0!</v>
      </c>
      <c r="F41" s="11"/>
      <c r="G41" s="11" t="s">
        <v>8</v>
      </c>
      <c r="H41" s="13" t="e">
        <f>(COUNTIF(H12:H32,"&lt;21")-COUNTIF(H12:H32,"&lt;16"))/COUNT(H12:H32)</f>
        <v>#DIV/0!</v>
      </c>
      <c r="I41" s="11"/>
      <c r="J41" s="11" t="s">
        <v>8</v>
      </c>
      <c r="K41" s="13" t="e">
        <f>(COUNTIF(K12:K28,"&lt;21")-COUNTIF(K12:K28,"&lt;16"))/COUNT(K12:K28)</f>
        <v>#DIV/0!</v>
      </c>
      <c r="L41" s="11"/>
      <c r="M41" s="11" t="s">
        <v>8</v>
      </c>
      <c r="N41" s="13" t="e">
        <f>(COUNTIF(N12:N30,"&lt;21")-COUNTIF(N12:N30,"&lt;16"))/COUNT(N12:N30)</f>
        <v>#DIV/0!</v>
      </c>
      <c r="O41" s="11"/>
      <c r="P41" s="11" t="s">
        <v>8</v>
      </c>
      <c r="Q41" s="13" t="e">
        <f>(COUNTIF(Q12:Q29,"&lt;21")-COUNTIF(Q12:Q29,"&lt;16"))/COUNT(Q12:Q29)</f>
        <v>#DIV/0!</v>
      </c>
      <c r="R41" s="11"/>
      <c r="S41" s="11" t="s">
        <v>8</v>
      </c>
      <c r="T41" s="13" t="e">
        <f>(COUNTIF(T12:T32,"&lt;21")-COUNTIF(T12:T32,"&lt;16"))/COUNT(T12:T32)</f>
        <v>#DIV/0!</v>
      </c>
      <c r="U41" s="11"/>
      <c r="V41" s="11" t="s">
        <v>8</v>
      </c>
      <c r="W41" s="13" t="e">
        <f>(COUNTIF(W12:W27,"&lt;21")-COUNTIF(W12:W27,"&lt;16"))/COUNT(W12:W27)</f>
        <v>#DIV/0!</v>
      </c>
      <c r="X41" s="11"/>
      <c r="Y41" s="11" t="s">
        <v>8</v>
      </c>
      <c r="Z41" s="13" t="e">
        <f>(COUNTIF(Z12:Z32,"&lt;21")-COUNTIF(Z12:Z32,"&lt;16"))/COUNT(Z12:Z32)</f>
        <v>#DIV/0!</v>
      </c>
      <c r="AA41" s="11"/>
      <c r="AB41" s="11" t="s">
        <v>8</v>
      </c>
      <c r="AC41" s="13" t="e">
        <f>(COUNTIF(AC12:AC33,"&lt;21")-COUNTIF(AC12:AC33,"&lt;16"))/COUNT(AC12:AC33)</f>
        <v>#DIV/0!</v>
      </c>
    </row>
    <row r="42" spans="1:29">
      <c r="A42" s="11" t="s">
        <v>9</v>
      </c>
      <c r="B42" s="13" t="e">
        <f>(COUNTIF(B12:B32,"&lt;26")-COUNTIF(B12:B32,"&lt;21"))/COUNT(B12:B32)</f>
        <v>#DIV/0!</v>
      </c>
      <c r="C42" s="11"/>
      <c r="D42" s="11" t="s">
        <v>9</v>
      </c>
      <c r="E42" s="13" t="e">
        <f>(COUNTIF(E12:E30,"&lt;26")-COUNTIF(E12:E30,"&lt;21"))/COUNT(E12:E30)</f>
        <v>#DIV/0!</v>
      </c>
      <c r="F42" s="11"/>
      <c r="G42" s="11" t="s">
        <v>9</v>
      </c>
      <c r="H42" s="13" t="e">
        <f>(COUNTIF(H12:H32,"&lt;26")-COUNTIF(H12:H32,"&lt;21"))/COUNT(H12:H32)</f>
        <v>#DIV/0!</v>
      </c>
      <c r="I42" s="11"/>
      <c r="J42" s="11" t="s">
        <v>9</v>
      </c>
      <c r="K42" s="13" t="e">
        <f>(COUNTIF(K12:K28,"&lt;26")-COUNTIF(K12:K28,"&lt;21"))/COUNT(K12:K28)</f>
        <v>#DIV/0!</v>
      </c>
      <c r="L42" s="11"/>
      <c r="M42" s="11" t="s">
        <v>9</v>
      </c>
      <c r="N42" s="13" t="e">
        <f>(COUNTIF(N12:N30,"&lt;26")-COUNTIF(N12:N30,"&lt;21"))/COUNT(N12:N30)</f>
        <v>#DIV/0!</v>
      </c>
      <c r="O42" s="11"/>
      <c r="P42" s="11" t="s">
        <v>9</v>
      </c>
      <c r="Q42" s="13" t="e">
        <f>(COUNTIF(Q12:Q29,"&lt;26")-COUNTIF(Q12:Q29,"&lt;21"))/COUNT(Q12:Q29)</f>
        <v>#DIV/0!</v>
      </c>
      <c r="R42" s="11"/>
      <c r="S42" s="11" t="s">
        <v>9</v>
      </c>
      <c r="T42" s="13" t="e">
        <f>(COUNTIF(T12:T32,"&lt;26")-COUNTIF(T12:T32,"&lt;21"))/COUNT(T12:T32)</f>
        <v>#DIV/0!</v>
      </c>
      <c r="U42" s="11"/>
      <c r="V42" s="11" t="s">
        <v>9</v>
      </c>
      <c r="W42" s="13" t="e">
        <f>(COUNTIF(W12:W27,"&lt;26")-COUNTIF(W12:W27,"&lt;21"))/COUNT(W12:W27)</f>
        <v>#DIV/0!</v>
      </c>
      <c r="X42" s="11"/>
      <c r="Y42" s="11" t="s">
        <v>9</v>
      </c>
      <c r="Z42" s="13" t="e">
        <f>(COUNTIF(Z12:Z32,"&lt;26")-COUNTIF(Z12:Z32,"&lt;21"))/COUNT(Z12:Z32)</f>
        <v>#DIV/0!</v>
      </c>
      <c r="AA42" s="11"/>
      <c r="AB42" s="11" t="s">
        <v>9</v>
      </c>
      <c r="AC42" s="13" t="e">
        <f>(COUNTIF(AC12:AC33,"&lt;26")-COUNTIF(AC12:AC33,"&lt;21"))/COUNT(AC12:AC33)</f>
        <v>#DIV/0!</v>
      </c>
    </row>
    <row r="43" spans="1:29">
      <c r="A43" s="11" t="s">
        <v>10</v>
      </c>
      <c r="B43" s="13" t="e">
        <f>(COUNTIF(B12:B32,"&lt;31")-COUNTIF(B12:B32,"&lt;26"))/COUNT(B12:B32)</f>
        <v>#DIV/0!</v>
      </c>
      <c r="C43" s="11"/>
      <c r="D43" s="11" t="s">
        <v>10</v>
      </c>
      <c r="E43" s="13" t="e">
        <f>(COUNTIF(E12:E30,"&lt;31")-COUNTIF(E12:E30,"&lt;26"))/COUNT(E12:E30)</f>
        <v>#DIV/0!</v>
      </c>
      <c r="F43" s="11"/>
      <c r="G43" s="11" t="s">
        <v>10</v>
      </c>
      <c r="H43" s="13" t="e">
        <f>(COUNTIF(H12:H32,"&lt;31")-COUNTIF(H12:H32,"&lt;26"))/COUNT(H12:H32)</f>
        <v>#DIV/0!</v>
      </c>
      <c r="I43" s="11"/>
      <c r="J43" s="11" t="s">
        <v>10</v>
      </c>
      <c r="K43" s="13" t="e">
        <f>(COUNTIF(K12:K28,"&lt;31")-COUNTIF(K12:K28,"&lt;26"))/COUNT(K12:K28)</f>
        <v>#DIV/0!</v>
      </c>
      <c r="L43" s="11"/>
      <c r="M43" s="11" t="s">
        <v>10</v>
      </c>
      <c r="N43" s="13" t="e">
        <f>(COUNTIF(N12:N30,"&lt;31")-COUNTIF(N12:N30,"&lt;26"))/COUNT(N12:N30)</f>
        <v>#DIV/0!</v>
      </c>
      <c r="O43" s="11"/>
      <c r="P43" s="11" t="s">
        <v>10</v>
      </c>
      <c r="Q43" s="13" t="e">
        <f>(COUNTIF(Q12:Q29,"&lt;31")-COUNTIF(Q12:Q29,"&lt;26"))/COUNT(Q12:Q29)</f>
        <v>#DIV/0!</v>
      </c>
      <c r="R43" s="11"/>
      <c r="S43" s="11" t="s">
        <v>10</v>
      </c>
      <c r="T43" s="13" t="e">
        <f>(COUNTIF(T12:T32,"&lt;31")-COUNTIF(T12:T32,"&lt;26"))/COUNT(T12:T32)</f>
        <v>#DIV/0!</v>
      </c>
      <c r="U43" s="11"/>
      <c r="V43" s="11" t="s">
        <v>10</v>
      </c>
      <c r="W43" s="13" t="e">
        <f>(COUNTIF(W12:W27,"&lt;31")-COUNTIF(W12:W27,"&lt;26"))/COUNT(W12:W27)</f>
        <v>#DIV/0!</v>
      </c>
      <c r="X43" s="11"/>
      <c r="Y43" s="11" t="s">
        <v>10</v>
      </c>
      <c r="Z43" s="13" t="e">
        <f>(COUNTIF(Z12:Z32,"&lt;31")-COUNTIF(Z12:Z32,"&lt;26"))/COUNT(Z12:Z32)</f>
        <v>#DIV/0!</v>
      </c>
      <c r="AA43" s="11"/>
      <c r="AB43" s="11" t="s">
        <v>10</v>
      </c>
      <c r="AC43" s="13" t="e">
        <f>(COUNTIF(AC12:AC33,"&lt;31")-COUNTIF(AC12:AC33,"&lt;26"))/COUNT(AC12:AC33)</f>
        <v>#DIV/0!</v>
      </c>
    </row>
    <row r="44" spans="1:29">
      <c r="A44" s="11" t="s">
        <v>11</v>
      </c>
      <c r="B44" s="13" t="e">
        <f>(COUNTIF(B12:B32,"&gt;30")/COUNT(B12:B32))</f>
        <v>#DIV/0!</v>
      </c>
      <c r="C44" s="11"/>
      <c r="D44" s="11" t="s">
        <v>11</v>
      </c>
      <c r="E44" s="13" t="e">
        <f>(COUNTIF(E12:E30,"&gt;30")/COUNT(E12:E30))</f>
        <v>#DIV/0!</v>
      </c>
      <c r="F44" s="11"/>
      <c r="G44" s="11" t="s">
        <v>11</v>
      </c>
      <c r="H44" s="13" t="e">
        <f>(COUNTIF(H12:H32,"&gt;30")/COUNT(H12:H32))</f>
        <v>#DIV/0!</v>
      </c>
      <c r="I44" s="11"/>
      <c r="J44" s="11" t="s">
        <v>11</v>
      </c>
      <c r="K44" s="13" t="e">
        <f>(COUNTIF(K12:K28,"&gt;30")/COUNT(K12:K28))</f>
        <v>#DIV/0!</v>
      </c>
      <c r="L44" s="11"/>
      <c r="M44" s="11" t="s">
        <v>11</v>
      </c>
      <c r="N44" s="13" t="e">
        <f>(COUNTIF(N12:N30,"&gt;30")/COUNT(N12:N30))</f>
        <v>#DIV/0!</v>
      </c>
      <c r="O44" s="11"/>
      <c r="P44" s="11" t="s">
        <v>11</v>
      </c>
      <c r="Q44" s="13" t="e">
        <f>(COUNTIF(Q12:Q29,"&gt;30")/COUNT(Q12:Q29))</f>
        <v>#DIV/0!</v>
      </c>
      <c r="R44" s="11"/>
      <c r="S44" s="11" t="s">
        <v>11</v>
      </c>
      <c r="T44" s="13" t="e">
        <f>(COUNTIF(T12:T32,"&gt;30")/COUNT(T12:T32))</f>
        <v>#DIV/0!</v>
      </c>
      <c r="U44" s="11"/>
      <c r="V44" s="11" t="s">
        <v>11</v>
      </c>
      <c r="W44" s="13" t="e">
        <f>(COUNTIF(W12:W27,"&gt;30")/COUNT(W12:W27))</f>
        <v>#DIV/0!</v>
      </c>
      <c r="X44" s="11"/>
      <c r="Y44" s="11" t="s">
        <v>11</v>
      </c>
      <c r="Z44" s="13" t="e">
        <f>(COUNTIF(Z12:Z32,"&gt;30")/COUNT(Z12:Z32))</f>
        <v>#DIV/0!</v>
      </c>
      <c r="AA44" s="11"/>
      <c r="AB44" s="11" t="s">
        <v>11</v>
      </c>
      <c r="AC44" s="13" t="e">
        <f>(COUNTIF(AC12:AC33,"&gt;30")/COUNT(AC12:AC33))</f>
        <v>#DIV/0!</v>
      </c>
    </row>
    <row r="45" spans="1:29">
      <c r="A45" s="11" t="s">
        <v>2</v>
      </c>
      <c r="B45" s="14">
        <f t="shared" ref="B45:B50" si="3">B4</f>
        <v>0</v>
      </c>
      <c r="C45" s="11"/>
      <c r="D45" s="11" t="s">
        <v>2</v>
      </c>
      <c r="E45" s="14">
        <f t="shared" ref="E45:E50" si="4">E4</f>
        <v>0</v>
      </c>
      <c r="F45" s="11"/>
      <c r="G45" s="11" t="s">
        <v>2</v>
      </c>
      <c r="H45" s="14">
        <f t="shared" ref="H45:H50" si="5">H4</f>
        <v>0</v>
      </c>
      <c r="I45" s="11"/>
      <c r="J45" s="11" t="s">
        <v>2</v>
      </c>
      <c r="K45" s="14">
        <f t="shared" ref="K45:K50" si="6">K4</f>
        <v>0</v>
      </c>
      <c r="L45" s="11"/>
      <c r="M45" s="11" t="s">
        <v>2</v>
      </c>
      <c r="N45" s="14">
        <f t="shared" ref="N45:N50" si="7">N4</f>
        <v>0</v>
      </c>
      <c r="O45" s="11"/>
      <c r="P45" s="11" t="s">
        <v>2</v>
      </c>
      <c r="Q45" s="14">
        <f t="shared" ref="Q45:Q50" si="8">Q4</f>
        <v>0</v>
      </c>
      <c r="R45" s="11"/>
      <c r="S45" s="11" t="s">
        <v>2</v>
      </c>
      <c r="T45" s="14">
        <f t="shared" ref="T45:T50" si="9">T4</f>
        <v>0</v>
      </c>
      <c r="U45" s="11"/>
      <c r="V45" s="11" t="s">
        <v>2</v>
      </c>
      <c r="W45" s="14">
        <f t="shared" ref="W45:W50" si="10">W4</f>
        <v>0</v>
      </c>
      <c r="X45" s="11"/>
      <c r="Y45" s="11" t="s">
        <v>2</v>
      </c>
      <c r="Z45" s="14">
        <f t="shared" ref="Z45:Z50" si="11">Z4</f>
        <v>0</v>
      </c>
      <c r="AA45" s="11"/>
      <c r="AB45" s="11" t="s">
        <v>2</v>
      </c>
      <c r="AC45" s="14">
        <f t="shared" ref="AC45:AC50" si="12">AC4</f>
        <v>0</v>
      </c>
    </row>
    <row r="46" spans="1:29">
      <c r="A46" s="11" t="s">
        <v>3</v>
      </c>
      <c r="B46" s="14">
        <f t="shared" si="3"/>
        <v>0</v>
      </c>
      <c r="C46" s="11"/>
      <c r="D46" s="11" t="s">
        <v>3</v>
      </c>
      <c r="E46" s="14">
        <f t="shared" si="4"/>
        <v>0</v>
      </c>
      <c r="F46" s="11"/>
      <c r="G46" s="11" t="s">
        <v>3</v>
      </c>
      <c r="H46" s="14">
        <f t="shared" si="5"/>
        <v>0</v>
      </c>
      <c r="I46" s="11"/>
      <c r="J46" s="11" t="s">
        <v>3</v>
      </c>
      <c r="K46" s="14">
        <f t="shared" si="6"/>
        <v>0</v>
      </c>
      <c r="L46" s="11"/>
      <c r="M46" s="11" t="s">
        <v>3</v>
      </c>
      <c r="N46" s="14">
        <f t="shared" si="7"/>
        <v>0</v>
      </c>
      <c r="O46" s="11"/>
      <c r="P46" s="11" t="s">
        <v>3</v>
      </c>
      <c r="Q46" s="14">
        <f t="shared" si="8"/>
        <v>0</v>
      </c>
      <c r="R46" s="11"/>
      <c r="S46" s="11" t="s">
        <v>3</v>
      </c>
      <c r="T46" s="14">
        <f t="shared" si="9"/>
        <v>0</v>
      </c>
      <c r="U46" s="11"/>
      <c r="V46" s="11" t="s">
        <v>3</v>
      </c>
      <c r="W46" s="14">
        <f t="shared" si="10"/>
        <v>0</v>
      </c>
      <c r="X46" s="11"/>
      <c r="Y46" s="11" t="s">
        <v>3</v>
      </c>
      <c r="Z46" s="14">
        <f t="shared" si="11"/>
        <v>0</v>
      </c>
      <c r="AA46" s="11"/>
      <c r="AB46" s="11" t="s">
        <v>3</v>
      </c>
      <c r="AC46" s="14">
        <f t="shared" si="12"/>
        <v>0</v>
      </c>
    </row>
    <row r="47" spans="1:29">
      <c r="A47" s="11" t="s">
        <v>2</v>
      </c>
      <c r="B47" s="14">
        <f t="shared" si="3"/>
        <v>0</v>
      </c>
      <c r="C47" s="11"/>
      <c r="D47" s="11" t="s">
        <v>2</v>
      </c>
      <c r="E47" s="14">
        <f t="shared" si="4"/>
        <v>0</v>
      </c>
      <c r="F47" s="11"/>
      <c r="G47" s="11" t="s">
        <v>2</v>
      </c>
      <c r="H47" s="14">
        <f t="shared" si="5"/>
        <v>0</v>
      </c>
      <c r="I47" s="11"/>
      <c r="J47" s="11" t="s">
        <v>2</v>
      </c>
      <c r="K47" s="14">
        <f t="shared" si="6"/>
        <v>0</v>
      </c>
      <c r="L47" s="11"/>
      <c r="M47" s="11" t="s">
        <v>2</v>
      </c>
      <c r="N47" s="14">
        <f t="shared" si="7"/>
        <v>0</v>
      </c>
      <c r="O47" s="11"/>
      <c r="P47" s="11" t="s">
        <v>2</v>
      </c>
      <c r="Q47" s="14">
        <f t="shared" si="8"/>
        <v>0</v>
      </c>
      <c r="R47" s="11"/>
      <c r="S47" s="11" t="s">
        <v>2</v>
      </c>
      <c r="T47" s="14">
        <f t="shared" si="9"/>
        <v>0</v>
      </c>
      <c r="U47" s="11"/>
      <c r="V47" s="11" t="s">
        <v>2</v>
      </c>
      <c r="W47" s="14">
        <f t="shared" si="10"/>
        <v>0</v>
      </c>
      <c r="X47" s="11"/>
      <c r="Y47" s="11" t="s">
        <v>2</v>
      </c>
      <c r="Z47" s="14">
        <f t="shared" si="11"/>
        <v>0</v>
      </c>
      <c r="AA47" s="11"/>
      <c r="AB47" s="11" t="s">
        <v>2</v>
      </c>
      <c r="AC47" s="14">
        <f t="shared" si="12"/>
        <v>0</v>
      </c>
    </row>
    <row r="48" spans="1:29">
      <c r="A48" s="11" t="s">
        <v>3</v>
      </c>
      <c r="B48" s="14">
        <f t="shared" si="3"/>
        <v>0</v>
      </c>
      <c r="C48" s="11"/>
      <c r="D48" s="11" t="s">
        <v>3</v>
      </c>
      <c r="E48" s="14">
        <f t="shared" si="4"/>
        <v>0</v>
      </c>
      <c r="F48" s="11"/>
      <c r="G48" s="11" t="s">
        <v>3</v>
      </c>
      <c r="H48" s="14">
        <f t="shared" si="5"/>
        <v>0</v>
      </c>
      <c r="I48" s="11"/>
      <c r="J48" s="11" t="s">
        <v>3</v>
      </c>
      <c r="K48" s="14">
        <f t="shared" si="6"/>
        <v>0</v>
      </c>
      <c r="L48" s="11"/>
      <c r="M48" s="11" t="s">
        <v>3</v>
      </c>
      <c r="N48" s="14">
        <f t="shared" si="7"/>
        <v>0</v>
      </c>
      <c r="O48" s="11"/>
      <c r="P48" s="11" t="s">
        <v>3</v>
      </c>
      <c r="Q48" s="14">
        <f t="shared" si="8"/>
        <v>0</v>
      </c>
      <c r="R48" s="11"/>
      <c r="S48" s="11" t="s">
        <v>3</v>
      </c>
      <c r="T48" s="14">
        <f t="shared" si="9"/>
        <v>0</v>
      </c>
      <c r="U48" s="11"/>
      <c r="V48" s="11" t="s">
        <v>3</v>
      </c>
      <c r="W48" s="14">
        <f t="shared" si="10"/>
        <v>0</v>
      </c>
      <c r="X48" s="11"/>
      <c r="Y48" s="11" t="s">
        <v>3</v>
      </c>
      <c r="Z48" s="14">
        <f t="shared" si="11"/>
        <v>0</v>
      </c>
      <c r="AA48" s="11"/>
      <c r="AB48" s="11" t="s">
        <v>3</v>
      </c>
      <c r="AC48" s="14">
        <f t="shared" si="12"/>
        <v>0</v>
      </c>
    </row>
    <row r="49" spans="1:29">
      <c r="A49" s="11" t="s">
        <v>2</v>
      </c>
      <c r="B49" s="14">
        <f t="shared" si="3"/>
        <v>0</v>
      </c>
      <c r="C49" s="11"/>
      <c r="D49" s="11" t="s">
        <v>2</v>
      </c>
      <c r="E49" s="14">
        <f t="shared" si="4"/>
        <v>0</v>
      </c>
      <c r="F49" s="11"/>
      <c r="G49" s="11" t="s">
        <v>2</v>
      </c>
      <c r="H49" s="14">
        <f t="shared" si="5"/>
        <v>0</v>
      </c>
      <c r="I49" s="11"/>
      <c r="J49" s="11" t="s">
        <v>2</v>
      </c>
      <c r="K49" s="14">
        <f t="shared" si="6"/>
        <v>0</v>
      </c>
      <c r="L49" s="11"/>
      <c r="M49" s="11" t="s">
        <v>2</v>
      </c>
      <c r="N49" s="14">
        <f t="shared" si="7"/>
        <v>0</v>
      </c>
      <c r="O49" s="11"/>
      <c r="P49" s="11" t="s">
        <v>2</v>
      </c>
      <c r="Q49" s="14">
        <f t="shared" si="8"/>
        <v>0</v>
      </c>
      <c r="R49" s="11"/>
      <c r="S49" s="11" t="s">
        <v>2</v>
      </c>
      <c r="T49" s="14">
        <f t="shared" si="9"/>
        <v>0</v>
      </c>
      <c r="U49" s="11"/>
      <c r="V49" s="11" t="s">
        <v>2</v>
      </c>
      <c r="W49" s="14">
        <f t="shared" si="10"/>
        <v>0</v>
      </c>
      <c r="X49" s="11"/>
      <c r="Y49" s="11" t="s">
        <v>2</v>
      </c>
      <c r="Z49" s="14">
        <f t="shared" si="11"/>
        <v>0</v>
      </c>
      <c r="AA49" s="11"/>
      <c r="AB49" s="11" t="s">
        <v>2</v>
      </c>
      <c r="AC49" s="14">
        <f t="shared" si="12"/>
        <v>0</v>
      </c>
    </row>
    <row r="50" spans="1:29">
      <c r="A50" s="11" t="s">
        <v>3</v>
      </c>
      <c r="B50" s="14">
        <f t="shared" si="3"/>
        <v>0</v>
      </c>
      <c r="C50" s="11"/>
      <c r="D50" s="11" t="s">
        <v>3</v>
      </c>
      <c r="E50" s="14">
        <f t="shared" si="4"/>
        <v>0</v>
      </c>
      <c r="F50" s="11"/>
      <c r="G50" s="11" t="s">
        <v>3</v>
      </c>
      <c r="H50" s="14">
        <f t="shared" si="5"/>
        <v>0</v>
      </c>
      <c r="I50" s="11"/>
      <c r="J50" s="11" t="s">
        <v>3</v>
      </c>
      <c r="K50" s="14">
        <f t="shared" si="6"/>
        <v>0</v>
      </c>
      <c r="L50" s="11"/>
      <c r="M50" s="11" t="s">
        <v>3</v>
      </c>
      <c r="N50" s="14">
        <f t="shared" si="7"/>
        <v>0</v>
      </c>
      <c r="O50" s="11"/>
      <c r="P50" s="11" t="s">
        <v>3</v>
      </c>
      <c r="Q50" s="14">
        <f t="shared" si="8"/>
        <v>0</v>
      </c>
      <c r="R50" s="11"/>
      <c r="S50" s="11" t="s">
        <v>3</v>
      </c>
      <c r="T50" s="14">
        <f t="shared" si="9"/>
        <v>0</v>
      </c>
      <c r="U50" s="11"/>
      <c r="V50" s="11" t="s">
        <v>3</v>
      </c>
      <c r="W50" s="14">
        <f t="shared" si="10"/>
        <v>0</v>
      </c>
      <c r="X50" s="11"/>
      <c r="Y50" s="11" t="s">
        <v>3</v>
      </c>
      <c r="Z50" s="14">
        <f t="shared" si="11"/>
        <v>0</v>
      </c>
      <c r="AA50" s="11"/>
      <c r="AB50" s="11" t="s">
        <v>3</v>
      </c>
      <c r="AC50" s="14">
        <f t="shared" si="12"/>
        <v>0</v>
      </c>
    </row>
    <row r="51" spans="1:29">
      <c r="A51" s="5"/>
      <c r="B51" s="5"/>
      <c r="C51" s="5"/>
      <c r="D51" s="5"/>
      <c r="E51" s="5"/>
      <c r="F51" s="5"/>
      <c r="G51" s="5"/>
      <c r="H51" s="5"/>
      <c r="I51" s="5"/>
      <c r="J51" s="5"/>
      <c r="K51" s="5"/>
      <c r="L51" s="5"/>
      <c r="M51" s="5"/>
      <c r="N51" s="5"/>
      <c r="O51" s="5"/>
      <c r="P51" s="5"/>
      <c r="Q51" s="5"/>
      <c r="R51" s="5"/>
      <c r="S51" s="5"/>
      <c r="T51" s="5"/>
      <c r="U51" s="5"/>
      <c r="V51" s="5"/>
      <c r="W51" s="5"/>
      <c r="X51" s="5"/>
      <c r="Y51" s="5"/>
      <c r="Z51" s="5"/>
      <c r="AA51" s="5"/>
      <c r="AB51" s="5"/>
      <c r="AC51" s="5"/>
    </row>
    <row r="52" spans="1:29">
      <c r="A52" s="34"/>
      <c r="B52" s="34"/>
      <c r="C52" s="34"/>
      <c r="D52" s="34"/>
      <c r="E52" s="34"/>
      <c r="F52" s="34"/>
      <c r="G52" s="34"/>
      <c r="H52" s="34"/>
      <c r="I52" s="34"/>
      <c r="J52" s="34"/>
      <c r="K52" s="34"/>
      <c r="L52" s="34"/>
      <c r="M52" s="34"/>
      <c r="N52" s="34"/>
      <c r="O52" s="34"/>
      <c r="P52" s="34"/>
      <c r="Q52" s="34"/>
      <c r="R52" s="34"/>
      <c r="S52" s="34"/>
      <c r="T52" s="34"/>
      <c r="U52" s="34"/>
      <c r="V52" s="34"/>
      <c r="W52" s="34"/>
      <c r="X52" s="5"/>
      <c r="Y52" s="5"/>
      <c r="Z52" s="5"/>
      <c r="AA52" s="5"/>
      <c r="AB52" s="5"/>
      <c r="AC52" s="5"/>
    </row>
    <row r="53" spans="1:29">
      <c r="A53" s="34"/>
      <c r="B53" s="34"/>
      <c r="C53" s="34"/>
      <c r="D53" s="34"/>
      <c r="E53" s="34"/>
      <c r="F53" s="34"/>
      <c r="G53" s="34"/>
      <c r="H53" s="34"/>
      <c r="I53" s="34"/>
      <c r="J53" s="34"/>
      <c r="K53" s="34"/>
      <c r="L53" s="34"/>
      <c r="M53" s="34"/>
      <c r="N53" s="34"/>
      <c r="O53" s="34"/>
      <c r="P53" s="34"/>
      <c r="Q53" s="34"/>
      <c r="R53" s="34"/>
      <c r="S53" s="34"/>
      <c r="T53" s="34"/>
      <c r="U53" s="34"/>
      <c r="V53" s="34"/>
      <c r="W53" s="34"/>
      <c r="X53" s="5"/>
      <c r="Y53" s="5"/>
      <c r="Z53" s="5"/>
      <c r="AA53" s="5"/>
      <c r="AB53" s="5"/>
      <c r="AC53" s="5"/>
    </row>
    <row r="54" spans="1:29">
      <c r="A54" s="34"/>
      <c r="B54" s="34"/>
      <c r="C54" s="34"/>
      <c r="D54" s="34"/>
      <c r="E54" s="34"/>
      <c r="F54" s="34"/>
      <c r="G54" s="34"/>
      <c r="H54" s="34"/>
      <c r="I54" s="34"/>
      <c r="J54" s="34"/>
      <c r="K54" s="34"/>
      <c r="L54" s="27"/>
      <c r="M54" s="27"/>
      <c r="N54" s="27"/>
      <c r="O54" s="27"/>
      <c r="P54" s="27"/>
      <c r="Q54" s="27"/>
      <c r="R54" s="27"/>
      <c r="S54" s="27"/>
      <c r="T54" s="27"/>
      <c r="U54" s="27"/>
      <c r="V54" s="27"/>
      <c r="W54" s="34"/>
      <c r="X54" s="5"/>
      <c r="Y54" s="5"/>
      <c r="Z54" s="5"/>
      <c r="AA54" s="5"/>
      <c r="AB54" s="5"/>
      <c r="AC54" s="5"/>
    </row>
    <row r="55" spans="1:29">
      <c r="A55" s="34"/>
      <c r="B55" s="34"/>
      <c r="C55" s="34"/>
      <c r="D55" s="34"/>
      <c r="E55" s="34"/>
      <c r="F55" s="34"/>
      <c r="G55" s="34"/>
      <c r="H55" s="34"/>
      <c r="I55" s="34"/>
      <c r="J55" s="34"/>
      <c r="K55" s="34"/>
      <c r="L55" s="27">
        <v>1</v>
      </c>
      <c r="M55" s="27" t="s">
        <v>17</v>
      </c>
      <c r="N55" s="33" t="str">
        <f>IF(COUNT(B12:B32)=0,"",B34)</f>
        <v/>
      </c>
      <c r="O55" s="27"/>
      <c r="P55" s="27"/>
      <c r="Q55" s="27"/>
      <c r="R55" s="27"/>
      <c r="S55" s="27" t="s">
        <v>43</v>
      </c>
      <c r="T55" s="27"/>
      <c r="U55" s="27"/>
      <c r="V55" s="27"/>
      <c r="W55" s="34"/>
      <c r="X55" s="5"/>
      <c r="Y55" s="5"/>
      <c r="Z55" s="5"/>
      <c r="AA55" s="5"/>
      <c r="AB55" s="5"/>
      <c r="AC55" s="5"/>
    </row>
    <row r="56" spans="1:29">
      <c r="A56" s="34"/>
      <c r="B56" s="34"/>
      <c r="C56" s="34"/>
      <c r="D56" s="34"/>
      <c r="E56" s="34"/>
      <c r="F56" s="34"/>
      <c r="G56" s="34"/>
      <c r="H56" s="34"/>
      <c r="I56" s="34"/>
      <c r="J56" s="34"/>
      <c r="K56" s="34"/>
      <c r="L56" s="27">
        <v>2</v>
      </c>
      <c r="M56" s="27" t="s">
        <v>18</v>
      </c>
      <c r="N56" s="33" t="str">
        <f>IF(COUNT(E12:E30)=0,"",E34)</f>
        <v/>
      </c>
      <c r="O56" s="27"/>
      <c r="P56" s="35"/>
      <c r="Q56" s="27"/>
      <c r="R56" s="27"/>
      <c r="S56" s="27" t="s">
        <v>44</v>
      </c>
      <c r="T56" s="27"/>
      <c r="U56" s="27"/>
      <c r="V56" s="27"/>
      <c r="W56" s="34"/>
      <c r="X56" s="5"/>
      <c r="Y56" s="5"/>
      <c r="Z56" s="5"/>
      <c r="AA56" s="5"/>
      <c r="AB56" s="5"/>
      <c r="AC56" s="5"/>
    </row>
    <row r="57" spans="1:29">
      <c r="A57" s="34"/>
      <c r="B57" s="34"/>
      <c r="C57" s="34"/>
      <c r="D57" s="34"/>
      <c r="E57" s="34"/>
      <c r="F57" s="34"/>
      <c r="G57" s="34"/>
      <c r="H57" s="34"/>
      <c r="I57" s="34"/>
      <c r="J57" s="34"/>
      <c r="K57" s="34"/>
      <c r="L57" s="27">
        <v>3</v>
      </c>
      <c r="M57" s="27" t="s">
        <v>19</v>
      </c>
      <c r="N57" s="33" t="str">
        <f>IF(COUNT(H12:H30)=0,"",H34)</f>
        <v/>
      </c>
      <c r="O57" s="27"/>
      <c r="P57" s="27" t="s">
        <v>41</v>
      </c>
      <c r="Q57" s="27"/>
      <c r="R57" s="27"/>
      <c r="S57" s="27" t="s">
        <v>45</v>
      </c>
      <c r="T57" s="27"/>
      <c r="U57" s="27"/>
      <c r="V57" s="27"/>
      <c r="W57" s="34"/>
      <c r="X57" s="5"/>
      <c r="Y57" s="5"/>
      <c r="Z57" s="5"/>
      <c r="AA57" s="5"/>
      <c r="AB57" s="5"/>
      <c r="AC57" s="5"/>
    </row>
    <row r="58" spans="1:29">
      <c r="A58" s="34"/>
      <c r="B58" s="34"/>
      <c r="C58" s="34"/>
      <c r="D58" s="34"/>
      <c r="E58" s="34"/>
      <c r="F58" s="34"/>
      <c r="G58" s="34"/>
      <c r="H58" s="34"/>
      <c r="I58" s="34"/>
      <c r="J58" s="34"/>
      <c r="K58" s="34"/>
      <c r="L58" s="27">
        <v>4</v>
      </c>
      <c r="M58" s="27" t="s">
        <v>20</v>
      </c>
      <c r="N58" s="33" t="str">
        <f>IF(COUNT(K12:K27)=0,"",K34)</f>
        <v/>
      </c>
      <c r="O58" s="27"/>
      <c r="P58" s="27" t="s">
        <v>56</v>
      </c>
      <c r="Q58" s="27"/>
      <c r="R58" s="27"/>
      <c r="S58" s="27" t="s">
        <v>46</v>
      </c>
      <c r="T58" s="27"/>
      <c r="U58" s="27"/>
      <c r="V58" s="27"/>
      <c r="W58" s="34"/>
      <c r="X58" s="5"/>
      <c r="Y58" s="5"/>
      <c r="Z58" s="5"/>
      <c r="AA58" s="5"/>
      <c r="AB58" s="5"/>
      <c r="AC58" s="5"/>
    </row>
    <row r="59" spans="1:29">
      <c r="A59" s="34"/>
      <c r="B59" s="34"/>
      <c r="C59" s="34"/>
      <c r="D59" s="34"/>
      <c r="E59" s="34"/>
      <c r="F59" s="34"/>
      <c r="G59" s="34"/>
      <c r="H59" s="34"/>
      <c r="I59" s="34"/>
      <c r="J59" s="34"/>
      <c r="K59" s="34"/>
      <c r="L59" s="27">
        <v>5</v>
      </c>
      <c r="M59" s="27" t="s">
        <v>21</v>
      </c>
      <c r="N59" s="33" t="str">
        <f>IF(COUNT(N12:N29)=0,"",N34)</f>
        <v/>
      </c>
      <c r="O59" s="27"/>
      <c r="P59" s="27"/>
      <c r="Q59" s="27"/>
      <c r="R59" s="27"/>
      <c r="S59" s="27" t="s">
        <v>47</v>
      </c>
      <c r="T59" s="27"/>
      <c r="U59" s="27"/>
      <c r="V59" s="27"/>
      <c r="W59" s="34"/>
      <c r="X59" s="5"/>
      <c r="Y59" s="5"/>
      <c r="Z59" s="5"/>
      <c r="AA59" s="5"/>
      <c r="AB59" s="5"/>
      <c r="AC59" s="5"/>
    </row>
    <row r="60" spans="1:29">
      <c r="A60" s="34"/>
      <c r="B60" s="34"/>
      <c r="C60" s="34"/>
      <c r="D60" s="34"/>
      <c r="E60" s="34"/>
      <c r="F60" s="34"/>
      <c r="G60" s="34"/>
      <c r="H60" s="34"/>
      <c r="I60" s="34"/>
      <c r="J60" s="34"/>
      <c r="K60" s="34"/>
      <c r="L60" s="27">
        <v>6</v>
      </c>
      <c r="M60" s="27" t="s">
        <v>37</v>
      </c>
      <c r="N60" s="33" t="str">
        <f>IF(COUNT(Q12:Q28)=0,"",Q34)</f>
        <v/>
      </c>
      <c r="O60" s="27"/>
      <c r="P60" s="27"/>
      <c r="Q60" s="27"/>
      <c r="R60" s="27"/>
      <c r="S60" s="27" t="s">
        <v>48</v>
      </c>
      <c r="T60" s="27"/>
      <c r="U60" s="27"/>
      <c r="V60" s="27"/>
      <c r="W60" s="34"/>
      <c r="X60" s="5"/>
      <c r="Y60" s="5"/>
      <c r="Z60" s="5"/>
      <c r="AA60" s="5"/>
      <c r="AB60" s="5"/>
      <c r="AC60" s="5"/>
    </row>
    <row r="61" spans="1:29">
      <c r="A61" s="34"/>
      <c r="B61" s="34"/>
      <c r="C61" s="34"/>
      <c r="D61" s="34"/>
      <c r="E61" s="34"/>
      <c r="F61" s="34"/>
      <c r="G61" s="34"/>
      <c r="H61" s="34"/>
      <c r="I61" s="34"/>
      <c r="J61" s="34"/>
      <c r="K61" s="34"/>
      <c r="L61" s="27">
        <v>7</v>
      </c>
      <c r="M61" s="27" t="s">
        <v>23</v>
      </c>
      <c r="N61" s="33" t="str">
        <f>IF(COUNT(T12:T31)=0,"",T34)</f>
        <v/>
      </c>
      <c r="O61" s="27"/>
      <c r="P61" s="27"/>
      <c r="Q61" s="27"/>
      <c r="R61" s="27"/>
      <c r="S61" s="27" t="s">
        <v>49</v>
      </c>
      <c r="T61" s="27"/>
      <c r="U61" s="27"/>
      <c r="V61" s="27"/>
      <c r="W61" s="34"/>
      <c r="X61" s="5"/>
      <c r="Y61" s="5"/>
      <c r="Z61" s="5"/>
      <c r="AA61" s="5"/>
      <c r="AB61" s="5"/>
      <c r="AC61" s="5"/>
    </row>
    <row r="62" spans="1:29">
      <c r="A62" s="34"/>
      <c r="B62" s="34"/>
      <c r="C62" s="34"/>
      <c r="D62" s="34"/>
      <c r="E62" s="34"/>
      <c r="F62" s="34"/>
      <c r="G62" s="34"/>
      <c r="H62" s="34"/>
      <c r="I62" s="34"/>
      <c r="J62" s="34"/>
      <c r="K62" s="34"/>
      <c r="L62" s="27">
        <v>8</v>
      </c>
      <c r="M62" s="27" t="s">
        <v>24</v>
      </c>
      <c r="N62" s="33" t="str">
        <f>IF(COUNT(W12:W26)=0,"",W34)</f>
        <v/>
      </c>
      <c r="O62" s="27"/>
      <c r="P62" s="35"/>
      <c r="Q62" s="27"/>
      <c r="R62" s="27"/>
      <c r="S62" s="27" t="s">
        <v>50</v>
      </c>
      <c r="T62" s="27"/>
      <c r="U62" s="27"/>
      <c r="V62" s="27"/>
      <c r="W62" s="34"/>
      <c r="X62" s="5"/>
      <c r="Y62" s="5"/>
      <c r="Z62" s="5"/>
      <c r="AA62" s="5"/>
      <c r="AB62" s="5"/>
      <c r="AC62" s="5"/>
    </row>
    <row r="63" spans="1:29">
      <c r="A63" s="34"/>
      <c r="B63" s="34"/>
      <c r="C63" s="34"/>
      <c r="D63" s="34"/>
      <c r="E63" s="34"/>
      <c r="F63" s="34"/>
      <c r="G63" s="34"/>
      <c r="H63" s="34"/>
      <c r="I63" s="34"/>
      <c r="J63" s="34"/>
      <c r="K63" s="34"/>
      <c r="L63" s="27">
        <v>9</v>
      </c>
      <c r="M63" s="27" t="s">
        <v>25</v>
      </c>
      <c r="N63" s="33" t="str">
        <f>IF(COUNT(Z12:Z31)=0,"",Z34)</f>
        <v/>
      </c>
      <c r="O63" s="27"/>
      <c r="P63" s="35"/>
      <c r="Q63" s="27"/>
      <c r="R63" s="27"/>
      <c r="S63" s="27" t="s">
        <v>51</v>
      </c>
      <c r="T63" s="27"/>
      <c r="U63" s="27"/>
      <c r="V63" s="27"/>
      <c r="W63" s="34"/>
      <c r="X63" s="5"/>
      <c r="Y63" s="5"/>
      <c r="Z63" s="5"/>
      <c r="AA63" s="5"/>
      <c r="AB63" s="5"/>
      <c r="AC63" s="5"/>
    </row>
    <row r="64" spans="1:29">
      <c r="A64" s="34"/>
      <c r="B64" s="34"/>
      <c r="C64" s="34"/>
      <c r="D64" s="34"/>
      <c r="E64" s="34"/>
      <c r="F64" s="34"/>
      <c r="G64" s="34"/>
      <c r="H64" s="34"/>
      <c r="I64" s="34"/>
      <c r="J64" s="34"/>
      <c r="K64" s="34"/>
      <c r="L64" s="27">
        <v>10</v>
      </c>
      <c r="M64" s="27" t="s">
        <v>26</v>
      </c>
      <c r="N64" s="33" t="str">
        <f>IF(COUNT(AC12:AC32)=0,"",AC34)</f>
        <v/>
      </c>
      <c r="O64" s="27"/>
      <c r="P64" s="35"/>
      <c r="Q64" s="27"/>
      <c r="R64" s="27"/>
      <c r="S64" s="27" t="s">
        <v>52</v>
      </c>
      <c r="T64" s="27"/>
      <c r="U64" s="27"/>
      <c r="V64" s="27"/>
      <c r="W64" s="34"/>
      <c r="X64" s="5"/>
      <c r="Y64" s="5"/>
      <c r="Z64" s="5"/>
      <c r="AA64" s="5"/>
      <c r="AB64" s="5"/>
      <c r="AC64" s="5"/>
    </row>
    <row r="65" spans="1:29">
      <c r="A65" s="34"/>
      <c r="B65" s="34"/>
      <c r="C65" s="34"/>
      <c r="D65" s="34"/>
      <c r="E65" s="34"/>
      <c r="F65" s="34"/>
      <c r="G65" s="34"/>
      <c r="H65" s="34"/>
      <c r="I65" s="34"/>
      <c r="J65" s="34"/>
      <c r="K65" s="34"/>
      <c r="L65" s="27"/>
      <c r="M65" s="27"/>
      <c r="N65" s="27"/>
      <c r="O65" s="27"/>
      <c r="P65" s="35"/>
      <c r="Q65" s="27"/>
      <c r="R65" s="27"/>
      <c r="S65" s="27"/>
      <c r="T65" s="27"/>
      <c r="U65" s="27"/>
      <c r="V65" s="27"/>
      <c r="W65" s="34"/>
      <c r="X65" s="5"/>
      <c r="Y65" s="5"/>
      <c r="Z65" s="5"/>
      <c r="AA65" s="5"/>
      <c r="AB65" s="5"/>
      <c r="AC65" s="5"/>
    </row>
    <row r="66" spans="1:29">
      <c r="A66" s="34"/>
      <c r="B66" s="34"/>
      <c r="C66" s="34"/>
      <c r="D66" s="34"/>
      <c r="E66" s="34"/>
      <c r="F66" s="34"/>
      <c r="G66" s="34"/>
      <c r="H66" s="34"/>
      <c r="I66" s="34"/>
      <c r="J66" s="34"/>
      <c r="K66" s="34"/>
      <c r="L66" s="27"/>
      <c r="M66" s="27"/>
      <c r="N66" s="27"/>
      <c r="O66" s="27"/>
      <c r="P66" s="27"/>
      <c r="Q66" s="27"/>
      <c r="R66" s="27"/>
      <c r="S66" s="27"/>
      <c r="T66" s="27"/>
      <c r="U66" s="27"/>
      <c r="V66" s="27"/>
      <c r="W66" s="34"/>
      <c r="X66" s="5"/>
      <c r="Y66" s="5"/>
      <c r="Z66" s="5"/>
      <c r="AA66" s="5"/>
      <c r="AB66" s="5"/>
      <c r="AC66" s="5"/>
    </row>
    <row r="67" spans="1:29">
      <c r="A67" s="34"/>
      <c r="B67" s="34"/>
      <c r="C67" s="34"/>
      <c r="D67" s="34"/>
      <c r="E67" s="34"/>
      <c r="F67" s="34"/>
      <c r="G67" s="34"/>
      <c r="H67" s="34"/>
      <c r="I67" s="34"/>
      <c r="J67" s="34"/>
      <c r="K67" s="34"/>
      <c r="L67" s="27"/>
      <c r="M67" s="27"/>
      <c r="N67" s="27"/>
      <c r="O67" s="27"/>
      <c r="P67" s="27"/>
      <c r="Q67" s="27"/>
      <c r="R67" s="27"/>
      <c r="S67" s="27"/>
      <c r="T67" s="27"/>
      <c r="U67" s="27"/>
      <c r="V67" s="27"/>
      <c r="W67" s="34"/>
      <c r="X67" s="5"/>
      <c r="Y67" s="5"/>
      <c r="Z67" s="5"/>
      <c r="AA67" s="5"/>
      <c r="AB67" s="5"/>
      <c r="AC67" s="5"/>
    </row>
    <row r="68" spans="1:29">
      <c r="A68" s="34"/>
      <c r="B68" s="34"/>
      <c r="C68" s="34"/>
      <c r="D68" s="34"/>
      <c r="E68" s="34"/>
      <c r="F68" s="34"/>
      <c r="G68" s="34"/>
      <c r="H68" s="34"/>
      <c r="I68" s="34"/>
      <c r="J68" s="34"/>
      <c r="K68" s="34"/>
      <c r="L68" s="27"/>
      <c r="M68" s="27"/>
      <c r="N68" s="27"/>
      <c r="O68" s="27"/>
      <c r="P68" s="27"/>
      <c r="Q68" s="27"/>
      <c r="R68" s="27"/>
      <c r="S68" s="27"/>
      <c r="T68" s="27"/>
      <c r="U68" s="27"/>
      <c r="V68" s="27"/>
      <c r="W68" s="34"/>
      <c r="X68" s="5"/>
      <c r="Y68" s="5"/>
      <c r="Z68" s="5"/>
      <c r="AA68" s="5"/>
      <c r="AB68" s="5"/>
      <c r="AC68" s="5"/>
    </row>
    <row r="69" spans="1:29">
      <c r="A69" s="34"/>
      <c r="B69" s="34"/>
      <c r="C69" s="34"/>
      <c r="D69" s="34"/>
      <c r="E69" s="34"/>
      <c r="F69" s="34"/>
      <c r="G69" s="34"/>
      <c r="H69" s="34"/>
      <c r="I69" s="34"/>
      <c r="J69" s="34"/>
      <c r="K69" s="34"/>
      <c r="L69" s="34"/>
      <c r="M69" s="34"/>
      <c r="N69" s="34"/>
      <c r="O69" s="34"/>
      <c r="P69" s="34"/>
      <c r="Q69" s="34"/>
      <c r="R69" s="34"/>
      <c r="S69" s="34"/>
      <c r="T69" s="34"/>
      <c r="U69" s="34"/>
      <c r="V69" s="34"/>
      <c r="W69" s="34"/>
      <c r="X69" s="5"/>
      <c r="Y69" s="5"/>
      <c r="Z69" s="5"/>
      <c r="AA69" s="5"/>
      <c r="AB69" s="5"/>
      <c r="AC69" s="5"/>
    </row>
    <row r="70" spans="1:29">
      <c r="A70" s="34"/>
      <c r="B70" s="34"/>
      <c r="C70" s="34"/>
      <c r="D70" s="34"/>
      <c r="E70" s="34"/>
      <c r="F70" s="34"/>
      <c r="G70" s="34"/>
      <c r="H70" s="34"/>
      <c r="I70" s="34"/>
      <c r="J70" s="34"/>
      <c r="K70" s="34"/>
      <c r="L70" s="34"/>
      <c r="M70" s="34"/>
      <c r="N70" s="34"/>
      <c r="O70" s="34"/>
      <c r="P70" s="34"/>
      <c r="Q70" s="34"/>
      <c r="R70" s="34"/>
      <c r="S70" s="34"/>
      <c r="T70" s="34"/>
      <c r="U70" s="34"/>
      <c r="V70" s="34"/>
      <c r="W70" s="34"/>
      <c r="X70" s="5"/>
      <c r="Y70" s="5"/>
      <c r="Z70" s="5"/>
      <c r="AA70" s="5"/>
      <c r="AB70" s="5"/>
      <c r="AC70" s="5"/>
    </row>
    <row r="71" spans="1:29">
      <c r="A71" s="34"/>
      <c r="B71" s="34"/>
      <c r="C71" s="34"/>
      <c r="D71" s="34"/>
      <c r="E71" s="34"/>
      <c r="F71" s="34"/>
      <c r="G71" s="34"/>
      <c r="H71" s="34"/>
      <c r="I71" s="34"/>
      <c r="J71" s="34"/>
      <c r="K71" s="34"/>
      <c r="L71" s="34"/>
      <c r="M71" s="34"/>
      <c r="N71" s="34"/>
      <c r="O71" s="34"/>
      <c r="P71" s="34"/>
      <c r="Q71" s="34"/>
      <c r="R71" s="34"/>
      <c r="S71" s="34"/>
      <c r="T71" s="34"/>
      <c r="U71" s="34"/>
      <c r="V71" s="34"/>
      <c r="W71" s="34"/>
      <c r="X71" s="5"/>
      <c r="Y71" s="5"/>
      <c r="Z71" s="5"/>
      <c r="AA71" s="5"/>
      <c r="AB71" s="5"/>
      <c r="AC71" s="5"/>
    </row>
    <row r="72" spans="1:29">
      <c r="A72" s="34"/>
      <c r="B72" s="34"/>
      <c r="C72" s="34"/>
      <c r="D72" s="34"/>
      <c r="E72" s="34"/>
      <c r="F72" s="34"/>
      <c r="G72" s="34"/>
      <c r="H72" s="34"/>
      <c r="I72" s="34"/>
      <c r="J72" s="34"/>
      <c r="K72" s="34"/>
      <c r="L72" s="34"/>
      <c r="M72" s="34"/>
      <c r="N72" s="34"/>
      <c r="O72" s="34"/>
      <c r="P72" s="34"/>
      <c r="Q72" s="34"/>
      <c r="R72" s="34"/>
      <c r="S72" s="34"/>
      <c r="T72" s="34"/>
      <c r="U72" s="34"/>
      <c r="V72" s="34"/>
      <c r="W72" s="34"/>
      <c r="X72" s="5"/>
      <c r="Y72" s="5"/>
      <c r="Z72" s="5"/>
      <c r="AA72" s="5"/>
      <c r="AB72" s="5"/>
      <c r="AC72" s="5"/>
    </row>
    <row r="73" spans="1:29">
      <c r="A73" s="34"/>
      <c r="B73" s="34"/>
      <c r="C73" s="34"/>
      <c r="D73" s="34"/>
      <c r="E73" s="34"/>
      <c r="F73" s="34"/>
      <c r="G73" s="34"/>
      <c r="H73" s="34"/>
      <c r="I73" s="34"/>
      <c r="J73" s="34"/>
      <c r="K73" s="34"/>
      <c r="L73" s="34"/>
      <c r="M73" s="34"/>
      <c r="N73" s="34"/>
      <c r="O73" s="34"/>
      <c r="P73" s="34"/>
      <c r="Q73" s="34"/>
      <c r="R73" s="34"/>
      <c r="S73" s="34"/>
      <c r="T73" s="34"/>
      <c r="U73" s="34"/>
      <c r="V73" s="34"/>
      <c r="W73" s="34"/>
      <c r="X73" s="5"/>
      <c r="Y73" s="5"/>
      <c r="Z73" s="5"/>
      <c r="AA73" s="5"/>
      <c r="AB73" s="5"/>
      <c r="AC73" s="5"/>
    </row>
    <row r="74" spans="1:29">
      <c r="A74" s="34"/>
      <c r="B74" s="34"/>
      <c r="C74" s="34"/>
      <c r="D74" s="34"/>
      <c r="E74" s="34"/>
      <c r="F74" s="34"/>
      <c r="G74" s="34"/>
      <c r="H74" s="34"/>
      <c r="I74" s="34"/>
      <c r="J74" s="34"/>
      <c r="K74" s="34"/>
      <c r="L74" s="34"/>
      <c r="M74" s="34"/>
      <c r="N74" s="34"/>
      <c r="O74" s="34"/>
      <c r="P74" s="34"/>
      <c r="Q74" s="34"/>
      <c r="R74" s="34"/>
      <c r="S74" s="34"/>
      <c r="T74" s="34"/>
      <c r="U74" s="34"/>
      <c r="V74" s="34"/>
      <c r="W74" s="34"/>
      <c r="X74" s="5"/>
      <c r="Y74" s="5"/>
      <c r="Z74" s="5"/>
      <c r="AA74" s="5"/>
      <c r="AB74" s="5"/>
      <c r="AC74" s="5"/>
    </row>
    <row r="75" spans="1:29">
      <c r="A75" s="34"/>
      <c r="B75" s="34"/>
      <c r="C75" s="34"/>
      <c r="D75" s="34"/>
      <c r="E75" s="34"/>
      <c r="F75" s="34"/>
      <c r="G75" s="34"/>
      <c r="H75" s="34"/>
      <c r="I75" s="34"/>
      <c r="J75" s="34"/>
      <c r="K75" s="34"/>
      <c r="L75" s="34"/>
      <c r="M75" s="34"/>
      <c r="N75" s="34"/>
      <c r="O75" s="34"/>
      <c r="P75" s="34"/>
      <c r="Q75" s="34"/>
      <c r="R75" s="34"/>
      <c r="S75" s="34"/>
      <c r="T75" s="34"/>
      <c r="U75" s="34"/>
      <c r="V75" s="34"/>
      <c r="W75" s="34"/>
      <c r="X75" s="5"/>
      <c r="Y75" s="5"/>
      <c r="Z75" s="5"/>
      <c r="AA75" s="5"/>
      <c r="AB75" s="5"/>
      <c r="AC75" s="5"/>
    </row>
    <row r="76" spans="1:29">
      <c r="A76" s="34"/>
      <c r="B76" s="34"/>
      <c r="C76" s="34"/>
      <c r="D76" s="34"/>
      <c r="E76" s="34"/>
      <c r="F76" s="34"/>
      <c r="G76" s="34"/>
      <c r="H76" s="34"/>
      <c r="I76" s="34"/>
      <c r="J76" s="34"/>
      <c r="K76" s="34"/>
      <c r="L76" s="34"/>
      <c r="M76" s="34"/>
      <c r="N76" s="34"/>
      <c r="O76" s="34"/>
      <c r="P76" s="34"/>
      <c r="Q76" s="34"/>
      <c r="R76" s="34"/>
      <c r="S76" s="34"/>
      <c r="T76" s="34"/>
      <c r="U76" s="34"/>
      <c r="V76" s="34"/>
      <c r="W76" s="34"/>
      <c r="X76" s="5"/>
      <c r="Y76" s="5"/>
      <c r="Z76" s="5"/>
      <c r="AA76" s="5"/>
      <c r="AB76" s="5"/>
      <c r="AC76" s="5"/>
    </row>
    <row r="77" spans="1:29">
      <c r="A77" s="34"/>
      <c r="B77" s="34"/>
      <c r="C77" s="34"/>
      <c r="D77" s="34"/>
      <c r="E77" s="34"/>
      <c r="F77" s="34"/>
      <c r="G77" s="34"/>
      <c r="H77" s="34"/>
      <c r="I77" s="34"/>
      <c r="J77" s="34"/>
      <c r="K77" s="34"/>
      <c r="L77" s="34"/>
      <c r="M77" s="34"/>
      <c r="N77" s="34"/>
      <c r="O77" s="34"/>
      <c r="P77" s="34"/>
      <c r="Q77" s="34"/>
      <c r="R77" s="34"/>
      <c r="S77" s="34"/>
      <c r="T77" s="34"/>
      <c r="U77" s="34"/>
      <c r="V77" s="34"/>
      <c r="W77" s="34"/>
      <c r="X77" s="5"/>
      <c r="Y77" s="5"/>
      <c r="Z77" s="5"/>
      <c r="AA77" s="5"/>
      <c r="AB77" s="5"/>
      <c r="AC77" s="5"/>
    </row>
    <row r="78" spans="1:29">
      <c r="A78" s="34"/>
      <c r="B78" s="34"/>
      <c r="C78" s="34"/>
      <c r="D78" s="34"/>
      <c r="E78" s="34"/>
      <c r="F78" s="34"/>
      <c r="G78" s="34"/>
      <c r="H78" s="34"/>
      <c r="I78" s="34"/>
      <c r="J78" s="34"/>
      <c r="K78" s="34"/>
      <c r="L78" s="34"/>
      <c r="M78" s="34"/>
      <c r="N78" s="34"/>
      <c r="O78" s="34"/>
      <c r="P78" s="34"/>
      <c r="Q78" s="34"/>
      <c r="R78" s="34"/>
      <c r="S78" s="34"/>
      <c r="T78" s="34"/>
      <c r="U78" s="34"/>
      <c r="V78" s="34"/>
      <c r="W78" s="34"/>
      <c r="X78" s="5"/>
      <c r="Y78" s="5"/>
      <c r="Z78" s="5"/>
      <c r="AA78" s="5"/>
      <c r="AB78" s="5"/>
      <c r="AC78" s="5"/>
    </row>
    <row r="79" spans="1:29">
      <c r="A79" s="34"/>
      <c r="B79" s="34"/>
      <c r="C79" s="34"/>
      <c r="D79" s="34"/>
      <c r="E79" s="34"/>
      <c r="F79" s="34"/>
      <c r="G79" s="34"/>
      <c r="H79" s="34"/>
      <c r="I79" s="34"/>
      <c r="J79" s="34"/>
      <c r="K79" s="34"/>
      <c r="L79" s="34"/>
      <c r="M79" s="34"/>
      <c r="N79" s="34"/>
      <c r="O79" s="34"/>
      <c r="P79" s="34"/>
      <c r="Q79" s="34"/>
      <c r="R79" s="34"/>
      <c r="S79" s="34"/>
      <c r="T79" s="34"/>
      <c r="U79" s="34"/>
      <c r="V79" s="34"/>
      <c r="W79" s="34"/>
      <c r="X79" s="5"/>
      <c r="Y79" s="5"/>
      <c r="Z79" s="5"/>
      <c r="AA79" s="5"/>
      <c r="AB79" s="5"/>
      <c r="AC79" s="5"/>
    </row>
    <row r="80" spans="1:29">
      <c r="A80" s="34"/>
      <c r="B80" s="34"/>
      <c r="C80" s="34"/>
      <c r="D80" s="34"/>
      <c r="E80" s="34"/>
      <c r="F80" s="34"/>
      <c r="G80" s="34"/>
      <c r="H80" s="34"/>
      <c r="I80" s="34"/>
      <c r="J80" s="34"/>
      <c r="K80" s="34"/>
      <c r="L80" s="34"/>
      <c r="M80" s="34"/>
      <c r="N80" s="34"/>
      <c r="O80" s="34"/>
      <c r="P80" s="34"/>
      <c r="Q80" s="34"/>
      <c r="R80" s="34"/>
      <c r="S80" s="34"/>
      <c r="T80" s="34"/>
      <c r="U80" s="34"/>
      <c r="V80" s="34"/>
      <c r="W80" s="34"/>
      <c r="X80" s="5"/>
      <c r="Y80" s="5"/>
      <c r="Z80" s="5"/>
      <c r="AA80" s="5"/>
      <c r="AB80" s="5"/>
      <c r="AC80" s="5"/>
    </row>
    <row r="81" spans="1:29">
      <c r="A81" s="34"/>
      <c r="B81" s="34"/>
      <c r="C81" s="34"/>
      <c r="D81" s="34"/>
      <c r="E81" s="34"/>
      <c r="F81" s="34"/>
      <c r="G81" s="34"/>
      <c r="H81" s="34"/>
      <c r="I81" s="34"/>
      <c r="J81" s="34"/>
      <c r="K81" s="34"/>
      <c r="L81" s="34"/>
      <c r="M81" s="34"/>
      <c r="N81" s="34"/>
      <c r="O81" s="34"/>
      <c r="P81" s="34"/>
      <c r="Q81" s="34"/>
      <c r="R81" s="34"/>
      <c r="S81" s="34"/>
      <c r="T81" s="34"/>
      <c r="U81" s="34"/>
      <c r="V81" s="34"/>
      <c r="W81" s="34"/>
      <c r="X81" s="5"/>
      <c r="Y81" s="5"/>
      <c r="Z81" s="5"/>
      <c r="AA81" s="5"/>
      <c r="AB81" s="5"/>
      <c r="AC81" s="5"/>
    </row>
    <row r="82" spans="1:29">
      <c r="A82" s="34"/>
      <c r="B82" s="34"/>
      <c r="C82" s="34"/>
      <c r="D82" s="34"/>
      <c r="E82" s="34"/>
      <c r="F82" s="34"/>
      <c r="G82" s="34"/>
      <c r="H82" s="34"/>
      <c r="I82" s="34"/>
      <c r="J82" s="34"/>
      <c r="K82" s="34"/>
      <c r="L82" s="34"/>
      <c r="M82" s="34"/>
      <c r="N82" s="34"/>
      <c r="O82" s="34"/>
      <c r="P82" s="34"/>
      <c r="Q82" s="34"/>
      <c r="R82" s="34"/>
      <c r="S82" s="34"/>
      <c r="T82" s="34"/>
      <c r="U82" s="34"/>
      <c r="V82" s="34"/>
      <c r="W82" s="34"/>
      <c r="X82" s="5"/>
      <c r="Y82" s="5"/>
      <c r="Z82" s="5"/>
      <c r="AA82" s="5"/>
      <c r="AB82" s="5"/>
      <c r="AC82" s="5"/>
    </row>
    <row r="83" spans="1:29">
      <c r="A83" s="34"/>
      <c r="B83" s="34"/>
      <c r="C83" s="34"/>
      <c r="D83" s="34"/>
      <c r="E83" s="34"/>
      <c r="F83" s="34"/>
      <c r="G83" s="34"/>
      <c r="H83" s="34"/>
      <c r="I83" s="34"/>
      <c r="J83" s="34"/>
      <c r="K83" s="34"/>
      <c r="L83" s="34"/>
      <c r="M83" s="34"/>
      <c r="N83" s="34"/>
      <c r="O83" s="34"/>
      <c r="P83" s="34"/>
      <c r="Q83" s="34"/>
      <c r="R83" s="34"/>
      <c r="S83" s="34"/>
      <c r="T83" s="34"/>
      <c r="U83" s="34"/>
      <c r="V83" s="34"/>
      <c r="W83" s="34"/>
      <c r="X83" s="5"/>
      <c r="Y83" s="5"/>
      <c r="Z83" s="5"/>
      <c r="AA83" s="5"/>
      <c r="AB83" s="5"/>
      <c r="AC83" s="5"/>
    </row>
    <row r="84" spans="1:29">
      <c r="A84" s="34"/>
      <c r="B84" s="34"/>
      <c r="C84" s="34"/>
      <c r="D84" s="34"/>
      <c r="E84" s="34"/>
      <c r="F84" s="34"/>
      <c r="G84" s="34"/>
      <c r="H84" s="34"/>
      <c r="I84" s="34"/>
      <c r="J84" s="34"/>
      <c r="K84" s="34"/>
      <c r="L84" s="34"/>
      <c r="M84" s="34"/>
      <c r="N84" s="34"/>
      <c r="O84" s="34"/>
      <c r="P84" s="34"/>
      <c r="Q84" s="34"/>
      <c r="R84" s="34"/>
      <c r="S84" s="34"/>
      <c r="T84" s="34"/>
      <c r="U84" s="34"/>
      <c r="V84" s="34"/>
      <c r="W84" s="34"/>
      <c r="X84" s="5"/>
      <c r="Y84" s="5"/>
      <c r="Z84" s="5"/>
      <c r="AA84" s="5"/>
      <c r="AB84" s="5"/>
      <c r="AC84" s="5"/>
    </row>
    <row r="85" spans="1:29">
      <c r="A85" s="34"/>
      <c r="B85" s="34"/>
      <c r="C85" s="34"/>
      <c r="D85" s="34"/>
      <c r="E85" s="34"/>
      <c r="F85" s="34"/>
      <c r="G85" s="34"/>
      <c r="H85" s="34"/>
      <c r="I85" s="34"/>
      <c r="J85" s="34"/>
      <c r="K85" s="34"/>
      <c r="L85" s="34"/>
      <c r="M85" s="34"/>
      <c r="N85" s="34"/>
      <c r="O85" s="34"/>
      <c r="P85" s="34"/>
      <c r="Q85" s="34"/>
      <c r="R85" s="34"/>
      <c r="S85" s="34"/>
      <c r="T85" s="34"/>
      <c r="U85" s="34"/>
      <c r="V85" s="34"/>
      <c r="W85" s="34"/>
      <c r="X85" s="5"/>
      <c r="Y85" s="5"/>
      <c r="Z85" s="5"/>
      <c r="AA85" s="5"/>
      <c r="AB85" s="5"/>
      <c r="AC85" s="5"/>
    </row>
    <row r="86" spans="1:29">
      <c r="A86" s="34"/>
      <c r="B86" s="34"/>
      <c r="C86" s="34"/>
      <c r="D86" s="34"/>
      <c r="E86" s="34"/>
      <c r="F86" s="34"/>
      <c r="G86" s="34"/>
      <c r="H86" s="34"/>
      <c r="I86" s="34"/>
      <c r="J86" s="34"/>
      <c r="K86" s="34"/>
      <c r="L86" s="34"/>
      <c r="M86" s="34"/>
      <c r="N86" s="34"/>
      <c r="O86" s="34"/>
      <c r="P86" s="34"/>
      <c r="Q86" s="34"/>
      <c r="R86" s="34"/>
      <c r="S86" s="34"/>
      <c r="T86" s="34"/>
      <c r="U86" s="34"/>
      <c r="V86" s="34"/>
      <c r="W86" s="34"/>
      <c r="X86" s="5"/>
      <c r="Y86" s="5"/>
      <c r="Z86" s="5"/>
      <c r="AA86" s="5"/>
      <c r="AB86" s="5"/>
      <c r="AC86" s="5"/>
    </row>
    <row r="87" spans="1:29">
      <c r="A87" s="34"/>
      <c r="B87" s="34"/>
      <c r="C87" s="34"/>
      <c r="D87" s="34"/>
      <c r="E87" s="34"/>
      <c r="F87" s="34"/>
      <c r="G87" s="34"/>
      <c r="H87" s="34"/>
      <c r="I87" s="34"/>
      <c r="J87" s="34"/>
      <c r="K87" s="34"/>
      <c r="L87" s="34"/>
      <c r="M87" s="34"/>
      <c r="N87" s="34"/>
      <c r="O87" s="34"/>
      <c r="P87" s="34"/>
      <c r="Q87" s="34"/>
      <c r="R87" s="34"/>
      <c r="S87" s="34"/>
      <c r="T87" s="34"/>
      <c r="U87" s="34"/>
      <c r="V87" s="34"/>
      <c r="W87" s="34"/>
      <c r="X87" s="5"/>
      <c r="Y87" s="5"/>
      <c r="Z87" s="5"/>
      <c r="AA87" s="5"/>
      <c r="AB87" s="5"/>
      <c r="AC87" s="5"/>
    </row>
    <row r="88" spans="1:29">
      <c r="A88" s="34"/>
      <c r="B88" s="34"/>
      <c r="C88" s="34"/>
      <c r="D88" s="34"/>
      <c r="E88" s="34"/>
      <c r="F88" s="34"/>
      <c r="G88" s="34"/>
      <c r="H88" s="34"/>
      <c r="I88" s="34"/>
      <c r="J88" s="34"/>
      <c r="K88" s="34"/>
      <c r="L88" s="34"/>
      <c r="M88" s="34"/>
      <c r="N88" s="34"/>
      <c r="O88" s="34"/>
      <c r="P88" s="34"/>
      <c r="Q88" s="34"/>
      <c r="R88" s="34"/>
      <c r="S88" s="34"/>
      <c r="T88" s="34"/>
      <c r="U88" s="34"/>
      <c r="V88" s="34"/>
      <c r="W88" s="34"/>
      <c r="X88" s="5"/>
      <c r="Y88" s="5"/>
      <c r="Z88" s="5"/>
      <c r="AA88" s="5"/>
      <c r="AB88" s="5"/>
      <c r="AC88" s="5"/>
    </row>
    <row r="89" spans="1:29">
      <c r="A89" s="34"/>
      <c r="B89" s="34"/>
      <c r="C89" s="34"/>
      <c r="D89" s="34"/>
      <c r="E89" s="34"/>
      <c r="F89" s="34"/>
      <c r="G89" s="34"/>
      <c r="H89" s="34"/>
      <c r="I89" s="34"/>
      <c r="J89" s="34"/>
      <c r="K89" s="34"/>
      <c r="L89" s="34"/>
      <c r="M89" s="34"/>
      <c r="N89" s="34"/>
      <c r="O89" s="34"/>
      <c r="P89" s="34"/>
      <c r="Q89" s="34"/>
      <c r="R89" s="34"/>
      <c r="S89" s="34"/>
      <c r="T89" s="34"/>
      <c r="U89" s="34"/>
      <c r="V89" s="34"/>
      <c r="W89" s="34"/>
      <c r="X89" s="5"/>
      <c r="Y89" s="5"/>
      <c r="Z89" s="5"/>
      <c r="AA89" s="5"/>
      <c r="AB89" s="5"/>
      <c r="AC89" s="5"/>
    </row>
    <row r="90" spans="1:29">
      <c r="A90" s="34"/>
      <c r="B90" s="34"/>
      <c r="C90" s="34"/>
      <c r="D90" s="34"/>
      <c r="E90" s="34"/>
      <c r="F90" s="34"/>
      <c r="G90" s="34"/>
      <c r="H90" s="34"/>
      <c r="I90" s="34"/>
      <c r="J90" s="34"/>
      <c r="K90" s="34"/>
      <c r="L90" s="34"/>
      <c r="M90" s="34"/>
      <c r="N90" s="34"/>
      <c r="O90" s="34"/>
      <c r="P90" s="34"/>
      <c r="Q90" s="34"/>
      <c r="R90" s="34"/>
      <c r="S90" s="34"/>
      <c r="T90" s="34"/>
      <c r="U90" s="34"/>
      <c r="V90" s="34"/>
      <c r="W90" s="34"/>
      <c r="X90" s="5"/>
      <c r="Y90" s="5"/>
      <c r="Z90" s="5"/>
      <c r="AA90" s="5"/>
      <c r="AB90" s="5"/>
      <c r="AC90" s="5"/>
    </row>
    <row r="91" spans="1:29">
      <c r="A91" s="34"/>
      <c r="B91" s="34"/>
      <c r="C91" s="34"/>
      <c r="D91" s="34"/>
      <c r="E91" s="34"/>
      <c r="F91" s="34"/>
      <c r="G91" s="34"/>
      <c r="H91" s="34"/>
      <c r="I91" s="34"/>
      <c r="J91" s="34"/>
      <c r="K91" s="34"/>
      <c r="L91" s="34"/>
      <c r="M91" s="34"/>
      <c r="N91" s="34"/>
      <c r="O91" s="34"/>
      <c r="P91" s="34"/>
      <c r="Q91" s="34"/>
      <c r="R91" s="34"/>
      <c r="S91" s="34"/>
      <c r="T91" s="34"/>
      <c r="U91" s="34"/>
      <c r="V91" s="34"/>
      <c r="W91" s="34"/>
      <c r="X91" s="5"/>
      <c r="Y91" s="5"/>
      <c r="Z91" s="5"/>
      <c r="AA91" s="5"/>
      <c r="AB91" s="5"/>
      <c r="AC91" s="5"/>
    </row>
    <row r="92" spans="1:29">
      <c r="A92" s="34"/>
      <c r="B92" s="34"/>
      <c r="C92" s="34"/>
      <c r="D92" s="34"/>
      <c r="E92" s="34"/>
      <c r="F92" s="34"/>
      <c r="G92" s="34"/>
      <c r="H92" s="34"/>
      <c r="I92" s="34"/>
      <c r="J92" s="34"/>
      <c r="K92" s="34"/>
      <c r="L92" s="34"/>
      <c r="M92" s="34"/>
      <c r="N92" s="34"/>
      <c r="O92" s="34"/>
      <c r="P92" s="34"/>
      <c r="Q92" s="34"/>
      <c r="R92" s="34"/>
      <c r="S92" s="34"/>
      <c r="T92" s="34"/>
      <c r="U92" s="34"/>
      <c r="V92" s="34"/>
      <c r="W92" s="34"/>
      <c r="X92" s="5"/>
      <c r="Y92" s="5"/>
      <c r="Z92" s="5"/>
      <c r="AA92" s="5"/>
      <c r="AB92" s="5"/>
      <c r="AC92" s="5"/>
    </row>
    <row r="93" spans="1:29">
      <c r="A93" s="34"/>
      <c r="B93" s="34"/>
      <c r="C93" s="34"/>
      <c r="D93" s="34"/>
      <c r="E93" s="34"/>
      <c r="F93" s="34"/>
      <c r="G93" s="34"/>
      <c r="H93" s="34"/>
      <c r="I93" s="34"/>
      <c r="J93" s="34"/>
      <c r="K93" s="34"/>
      <c r="L93" s="34"/>
      <c r="M93" s="34"/>
      <c r="N93" s="34"/>
      <c r="O93" s="34"/>
      <c r="P93" s="34"/>
      <c r="Q93" s="34"/>
      <c r="R93" s="34"/>
      <c r="S93" s="34"/>
      <c r="T93" s="34"/>
      <c r="U93" s="34"/>
      <c r="V93" s="34"/>
      <c r="W93" s="34"/>
      <c r="X93" s="5"/>
      <c r="Y93" s="5"/>
      <c r="Z93" s="5"/>
      <c r="AA93" s="5"/>
      <c r="AB93" s="5"/>
      <c r="AC93" s="5"/>
    </row>
    <row r="94" spans="1:29">
      <c r="A94" s="34"/>
      <c r="B94" s="34"/>
      <c r="C94" s="34"/>
      <c r="D94" s="34"/>
      <c r="E94" s="34"/>
      <c r="F94" s="34"/>
      <c r="G94" s="34"/>
      <c r="H94" s="34"/>
      <c r="I94" s="34"/>
      <c r="J94" s="34"/>
      <c r="K94" s="34"/>
      <c r="L94" s="34"/>
      <c r="M94" s="34"/>
      <c r="N94" s="34"/>
      <c r="O94" s="34"/>
      <c r="P94" s="34"/>
      <c r="Q94" s="34"/>
      <c r="R94" s="34"/>
      <c r="S94" s="34"/>
      <c r="T94" s="34"/>
      <c r="U94" s="34"/>
      <c r="V94" s="34"/>
      <c r="W94" s="34"/>
      <c r="X94" s="5"/>
      <c r="Y94" s="5"/>
      <c r="Z94" s="5"/>
      <c r="AA94" s="5"/>
      <c r="AB94" s="5"/>
      <c r="AC94" s="5"/>
    </row>
    <row r="95" spans="1:29">
      <c r="A95" s="34"/>
      <c r="B95" s="34"/>
      <c r="C95" s="34"/>
      <c r="D95" s="34"/>
      <c r="E95" s="34"/>
      <c r="F95" s="34"/>
      <c r="G95" s="34"/>
      <c r="H95" s="34"/>
      <c r="I95" s="34"/>
      <c r="J95" s="34"/>
      <c r="K95" s="34"/>
      <c r="L95" s="34"/>
      <c r="M95" s="34"/>
      <c r="N95" s="34"/>
      <c r="O95" s="34"/>
      <c r="P95" s="34"/>
      <c r="Q95" s="34"/>
      <c r="R95" s="34"/>
      <c r="S95" s="34"/>
      <c r="T95" s="34"/>
      <c r="U95" s="34"/>
      <c r="V95" s="34"/>
      <c r="W95" s="34"/>
      <c r="X95" s="5"/>
      <c r="Y95" s="5"/>
      <c r="Z95" s="5"/>
      <c r="AA95" s="5"/>
      <c r="AB95" s="5"/>
      <c r="AC95" s="5"/>
    </row>
    <row r="96" spans="1:29">
      <c r="A96" s="34"/>
      <c r="B96" s="34"/>
      <c r="C96" s="34"/>
      <c r="D96" s="34"/>
      <c r="E96" s="34"/>
      <c r="F96" s="34"/>
      <c r="G96" s="34"/>
      <c r="H96" s="34"/>
      <c r="I96" s="34"/>
      <c r="J96" s="34"/>
      <c r="K96" s="34"/>
      <c r="L96" s="34"/>
      <c r="M96" s="34"/>
      <c r="N96" s="34"/>
      <c r="O96" s="34"/>
      <c r="P96" s="34"/>
      <c r="Q96" s="34"/>
      <c r="R96" s="34"/>
      <c r="S96" s="34"/>
      <c r="T96" s="34"/>
      <c r="U96" s="34"/>
      <c r="V96" s="34"/>
      <c r="W96" s="34"/>
      <c r="X96" s="5"/>
      <c r="Y96" s="5"/>
      <c r="Z96" s="5"/>
      <c r="AA96" s="5"/>
      <c r="AB96" s="5"/>
      <c r="AC96" s="5"/>
    </row>
    <row r="97" spans="1:29">
      <c r="A97" s="34"/>
      <c r="B97" s="34"/>
      <c r="C97" s="34"/>
      <c r="D97" s="34"/>
      <c r="E97" s="34"/>
      <c r="F97" s="34"/>
      <c r="G97" s="34"/>
      <c r="H97" s="34"/>
      <c r="I97" s="34"/>
      <c r="J97" s="34"/>
      <c r="K97" s="34"/>
      <c r="L97" s="34"/>
      <c r="M97" s="34"/>
      <c r="N97" s="34"/>
      <c r="O97" s="34"/>
      <c r="P97" s="34"/>
      <c r="Q97" s="34"/>
      <c r="R97" s="34"/>
      <c r="S97" s="34"/>
      <c r="T97" s="34"/>
      <c r="U97" s="34"/>
      <c r="V97" s="34"/>
      <c r="W97" s="34"/>
      <c r="X97" s="5"/>
      <c r="Y97" s="5"/>
      <c r="Z97" s="5"/>
      <c r="AA97" s="5"/>
      <c r="AB97" s="5"/>
      <c r="AC97" s="5"/>
    </row>
    <row r="98" spans="1:29">
      <c r="A98" s="34"/>
      <c r="B98" s="34"/>
      <c r="C98" s="34"/>
      <c r="D98" s="34"/>
      <c r="E98" s="34"/>
      <c r="F98" s="34"/>
      <c r="G98" s="34"/>
      <c r="H98" s="34"/>
      <c r="I98" s="34"/>
      <c r="J98" s="34"/>
      <c r="K98" s="34"/>
      <c r="L98" s="34"/>
      <c r="M98" s="34"/>
      <c r="N98" s="34"/>
      <c r="O98" s="34"/>
      <c r="P98" s="34"/>
      <c r="Q98" s="34"/>
      <c r="R98" s="34"/>
      <c r="S98" s="34"/>
      <c r="T98" s="34"/>
      <c r="U98" s="34"/>
      <c r="V98" s="34"/>
      <c r="W98" s="34"/>
      <c r="X98" s="5"/>
      <c r="Y98" s="5"/>
      <c r="Z98" s="5"/>
      <c r="AA98" s="5"/>
      <c r="AB98" s="5"/>
      <c r="AC98" s="5"/>
    </row>
    <row r="99" spans="1:29">
      <c r="A99" s="34"/>
      <c r="B99" s="34"/>
      <c r="C99" s="34"/>
      <c r="D99" s="34"/>
      <c r="E99" s="34"/>
      <c r="F99" s="34"/>
      <c r="G99" s="34"/>
      <c r="H99" s="34"/>
      <c r="I99" s="34"/>
      <c r="J99" s="34"/>
      <c r="K99" s="34"/>
      <c r="L99" s="34"/>
      <c r="M99" s="34"/>
      <c r="N99" s="34"/>
      <c r="O99" s="34"/>
      <c r="P99" s="34"/>
      <c r="Q99" s="34"/>
      <c r="R99" s="34"/>
      <c r="S99" s="34"/>
      <c r="T99" s="34"/>
      <c r="U99" s="34"/>
      <c r="V99" s="34"/>
      <c r="W99" s="34"/>
      <c r="X99" s="5"/>
      <c r="Y99" s="5"/>
      <c r="Z99" s="5"/>
      <c r="AA99" s="5"/>
      <c r="AB99" s="5"/>
      <c r="AC99" s="5"/>
    </row>
    <row r="100" spans="1:29">
      <c r="A100" s="34"/>
      <c r="B100" s="34"/>
      <c r="C100" s="34"/>
      <c r="D100" s="34"/>
      <c r="E100" s="34"/>
      <c r="F100" s="34"/>
      <c r="G100" s="34"/>
      <c r="H100" s="34"/>
      <c r="I100" s="34"/>
      <c r="J100" s="34"/>
      <c r="K100" s="34"/>
      <c r="L100" s="34"/>
      <c r="M100" s="34"/>
      <c r="N100" s="34"/>
      <c r="O100" s="34"/>
      <c r="P100" s="34"/>
      <c r="Q100" s="34"/>
      <c r="R100" s="34"/>
      <c r="S100" s="34"/>
      <c r="T100" s="34"/>
      <c r="U100" s="34"/>
      <c r="V100" s="34"/>
      <c r="W100" s="34"/>
      <c r="X100" s="5"/>
      <c r="Y100" s="5"/>
      <c r="Z100" s="5"/>
      <c r="AA100" s="5"/>
      <c r="AB100" s="5"/>
      <c r="AC100" s="5"/>
    </row>
    <row r="101" spans="1:29">
      <c r="A101" s="34"/>
      <c r="B101" s="34"/>
      <c r="C101" s="34"/>
      <c r="D101" s="34"/>
      <c r="E101" s="34"/>
      <c r="F101" s="34"/>
      <c r="G101" s="34"/>
      <c r="H101" s="34"/>
      <c r="I101" s="34"/>
      <c r="J101" s="34"/>
      <c r="K101" s="34"/>
      <c r="L101" s="34"/>
      <c r="M101" s="34"/>
      <c r="N101" s="34"/>
      <c r="O101" s="34"/>
      <c r="P101" s="34"/>
      <c r="Q101" s="34"/>
      <c r="R101" s="34"/>
      <c r="S101" s="34"/>
      <c r="T101" s="34"/>
      <c r="U101" s="34"/>
      <c r="V101" s="34"/>
      <c r="W101" s="34"/>
      <c r="X101" s="5"/>
      <c r="Y101" s="5"/>
      <c r="Z101" s="5"/>
      <c r="AA101" s="5"/>
      <c r="AB101" s="5"/>
      <c r="AC101" s="5"/>
    </row>
    <row r="102" spans="1:29">
      <c r="A102" s="34"/>
      <c r="B102" s="34"/>
      <c r="C102" s="34"/>
      <c r="D102" s="34"/>
      <c r="E102" s="34"/>
      <c r="F102" s="34"/>
      <c r="G102" s="34"/>
      <c r="H102" s="34"/>
      <c r="I102" s="34"/>
      <c r="J102" s="34"/>
      <c r="K102" s="34"/>
      <c r="L102" s="34"/>
      <c r="M102" s="34"/>
      <c r="N102" s="34"/>
      <c r="O102" s="34"/>
      <c r="P102" s="34"/>
      <c r="Q102" s="34"/>
      <c r="R102" s="34"/>
      <c r="S102" s="34"/>
      <c r="T102" s="34"/>
      <c r="U102" s="34"/>
      <c r="V102" s="34"/>
      <c r="W102" s="34"/>
      <c r="X102" s="5"/>
      <c r="Y102" s="5"/>
      <c r="Z102" s="5"/>
      <c r="AA102" s="5"/>
      <c r="AB102" s="5"/>
      <c r="AC102" s="5"/>
    </row>
    <row r="103" spans="1:29">
      <c r="A103" s="34"/>
      <c r="B103" s="34"/>
      <c r="C103" s="34"/>
      <c r="D103" s="34"/>
      <c r="E103" s="34"/>
      <c r="F103" s="34"/>
      <c r="G103" s="34"/>
      <c r="H103" s="34"/>
      <c r="I103" s="34"/>
      <c r="J103" s="34"/>
      <c r="K103" s="34"/>
      <c r="L103" s="34"/>
      <c r="M103" s="34"/>
      <c r="N103" s="34"/>
      <c r="O103" s="34"/>
      <c r="P103" s="34"/>
      <c r="Q103" s="34"/>
      <c r="R103" s="34"/>
      <c r="S103" s="34"/>
      <c r="T103" s="34"/>
      <c r="U103" s="34"/>
      <c r="V103" s="34"/>
      <c r="W103" s="34"/>
      <c r="X103" s="5"/>
      <c r="Y103" s="5"/>
      <c r="Z103" s="5"/>
      <c r="AA103" s="5"/>
      <c r="AB103" s="5"/>
      <c r="AC103" s="5"/>
    </row>
    <row r="104" spans="1:29">
      <c r="A104" s="34"/>
      <c r="B104" s="34"/>
      <c r="C104" s="34"/>
      <c r="D104" s="34"/>
      <c r="E104" s="34"/>
      <c r="F104" s="34"/>
      <c r="G104" s="34"/>
      <c r="H104" s="34"/>
      <c r="I104" s="34"/>
      <c r="J104" s="34"/>
      <c r="K104" s="34"/>
      <c r="L104" s="34"/>
      <c r="M104" s="34"/>
      <c r="N104" s="34"/>
      <c r="O104" s="34"/>
      <c r="P104" s="34"/>
      <c r="Q104" s="34"/>
      <c r="R104" s="34"/>
      <c r="S104" s="34"/>
      <c r="T104" s="34"/>
      <c r="U104" s="34"/>
      <c r="V104" s="34"/>
      <c r="W104" s="34"/>
      <c r="X104" s="5"/>
      <c r="Y104" s="5"/>
      <c r="Z104" s="5"/>
      <c r="AA104" s="5"/>
      <c r="AB104" s="5"/>
      <c r="AC104" s="5"/>
    </row>
    <row r="105" spans="1:29">
      <c r="A105" s="34"/>
      <c r="B105" s="34"/>
      <c r="C105" s="34"/>
      <c r="D105" s="34"/>
      <c r="E105" s="34"/>
      <c r="F105" s="34"/>
      <c r="G105" s="34"/>
      <c r="H105" s="34"/>
      <c r="I105" s="34"/>
      <c r="J105" s="34"/>
      <c r="K105" s="34"/>
      <c r="L105" s="34"/>
      <c r="M105" s="34"/>
      <c r="N105" s="34"/>
      <c r="O105" s="34"/>
      <c r="P105" s="34"/>
      <c r="Q105" s="34"/>
      <c r="R105" s="34"/>
      <c r="S105" s="34"/>
      <c r="T105" s="34"/>
      <c r="U105" s="34"/>
      <c r="V105" s="34"/>
      <c r="W105" s="34"/>
      <c r="X105" s="5"/>
      <c r="Y105" s="5"/>
      <c r="Z105" s="5"/>
      <c r="AA105" s="5"/>
      <c r="AB105" s="5"/>
      <c r="AC105" s="5"/>
    </row>
    <row r="106" spans="1:29">
      <c r="A106" s="34"/>
      <c r="B106" s="34"/>
      <c r="C106" s="34"/>
      <c r="D106" s="34"/>
      <c r="E106" s="34"/>
      <c r="F106" s="34"/>
      <c r="G106" s="34"/>
      <c r="H106" s="34"/>
      <c r="I106" s="34"/>
      <c r="J106" s="34"/>
      <c r="K106" s="34"/>
      <c r="L106" s="34"/>
      <c r="M106" s="34"/>
      <c r="N106" s="34"/>
      <c r="O106" s="34"/>
      <c r="P106" s="34"/>
      <c r="Q106" s="34"/>
      <c r="R106" s="34"/>
      <c r="S106" s="34"/>
      <c r="T106" s="34"/>
      <c r="U106" s="34"/>
      <c r="V106" s="34"/>
      <c r="W106" s="34"/>
      <c r="X106" s="5"/>
      <c r="Y106" s="5"/>
      <c r="Z106" s="5"/>
      <c r="AA106" s="5"/>
      <c r="AB106" s="5"/>
      <c r="AC106" s="5"/>
    </row>
    <row r="107" spans="1:29">
      <c r="A107" s="34"/>
      <c r="B107" s="34"/>
      <c r="C107" s="34"/>
      <c r="D107" s="34"/>
      <c r="E107" s="34"/>
      <c r="F107" s="34"/>
      <c r="G107" s="34"/>
      <c r="H107" s="34"/>
      <c r="I107" s="34"/>
      <c r="J107" s="34"/>
      <c r="K107" s="34"/>
      <c r="L107" s="34"/>
      <c r="M107" s="34"/>
      <c r="N107" s="34"/>
      <c r="O107" s="34"/>
      <c r="P107" s="34"/>
      <c r="Q107" s="34"/>
      <c r="R107" s="34"/>
      <c r="S107" s="34"/>
      <c r="T107" s="34"/>
      <c r="U107" s="34"/>
      <c r="V107" s="34"/>
      <c r="W107" s="34"/>
      <c r="X107" s="5"/>
      <c r="Y107" s="5"/>
      <c r="Z107" s="5"/>
      <c r="AA107" s="5"/>
      <c r="AB107" s="5"/>
      <c r="AC107" s="5"/>
    </row>
    <row r="108" spans="1:29">
      <c r="A108" s="34"/>
      <c r="B108" s="34"/>
      <c r="C108" s="34"/>
      <c r="D108" s="34"/>
      <c r="E108" s="34"/>
      <c r="F108" s="34"/>
      <c r="G108" s="34"/>
      <c r="H108" s="34"/>
      <c r="I108" s="34"/>
      <c r="J108" s="34"/>
      <c r="K108" s="34"/>
      <c r="L108" s="34"/>
      <c r="M108" s="34"/>
      <c r="N108" s="34"/>
      <c r="O108" s="34"/>
      <c r="P108" s="34"/>
      <c r="Q108" s="34"/>
      <c r="R108" s="34"/>
      <c r="S108" s="34"/>
      <c r="T108" s="34"/>
      <c r="U108" s="34"/>
      <c r="V108" s="34"/>
      <c r="W108" s="34"/>
      <c r="X108" s="5"/>
      <c r="Y108" s="5"/>
      <c r="Z108" s="5"/>
      <c r="AA108" s="5"/>
      <c r="AB108" s="5"/>
      <c r="AC108" s="5"/>
    </row>
    <row r="109" spans="1:29">
      <c r="A109" s="34"/>
      <c r="B109" s="34"/>
      <c r="C109" s="34"/>
      <c r="D109" s="34"/>
      <c r="E109" s="34"/>
      <c r="F109" s="34"/>
      <c r="G109" s="34"/>
      <c r="H109" s="34"/>
      <c r="I109" s="34"/>
      <c r="J109" s="34"/>
      <c r="K109" s="34"/>
      <c r="L109" s="34"/>
      <c r="M109" s="34"/>
      <c r="N109" s="34"/>
      <c r="O109" s="34"/>
      <c r="P109" s="34"/>
      <c r="Q109" s="34"/>
      <c r="R109" s="34"/>
      <c r="S109" s="34"/>
      <c r="T109" s="34"/>
      <c r="U109" s="34"/>
      <c r="V109" s="34"/>
      <c r="W109" s="34"/>
      <c r="X109" s="5"/>
      <c r="Y109" s="5"/>
      <c r="Z109" s="5"/>
      <c r="AA109" s="5"/>
      <c r="AB109" s="5"/>
      <c r="AC109" s="5"/>
    </row>
    <row r="110" spans="1:29">
      <c r="A110" s="34"/>
      <c r="B110" s="34"/>
      <c r="C110" s="34"/>
      <c r="D110" s="34"/>
      <c r="E110" s="34"/>
      <c r="F110" s="34"/>
      <c r="G110" s="34"/>
      <c r="H110" s="34"/>
      <c r="I110" s="34"/>
      <c r="J110" s="34"/>
      <c r="K110" s="34"/>
      <c r="L110" s="34"/>
      <c r="M110" s="34"/>
      <c r="N110" s="34"/>
      <c r="O110" s="34"/>
      <c r="P110" s="34"/>
      <c r="Q110" s="34"/>
      <c r="R110" s="34"/>
      <c r="S110" s="34"/>
      <c r="T110" s="34"/>
      <c r="U110" s="34"/>
      <c r="V110" s="34"/>
      <c r="W110" s="34"/>
      <c r="X110" s="5"/>
      <c r="Y110" s="5"/>
      <c r="Z110" s="5"/>
      <c r="AA110" s="5"/>
      <c r="AB110" s="5"/>
      <c r="AC110" s="5"/>
    </row>
    <row r="111" spans="1:29">
      <c r="A111" s="34"/>
      <c r="B111" s="34"/>
      <c r="C111" s="34"/>
      <c r="D111" s="34"/>
      <c r="E111" s="34"/>
      <c r="F111" s="34"/>
      <c r="G111" s="34"/>
      <c r="H111" s="34"/>
      <c r="I111" s="34"/>
      <c r="J111" s="34"/>
      <c r="K111" s="34"/>
      <c r="L111" s="34"/>
      <c r="M111" s="34"/>
      <c r="N111" s="34"/>
      <c r="O111" s="34"/>
      <c r="P111" s="34"/>
      <c r="Q111" s="34"/>
      <c r="R111" s="34"/>
      <c r="S111" s="34"/>
      <c r="T111" s="34"/>
      <c r="U111" s="34"/>
      <c r="V111" s="34"/>
      <c r="W111" s="34"/>
      <c r="X111" s="5"/>
      <c r="Y111" s="5"/>
      <c r="Z111" s="5"/>
      <c r="AA111" s="5"/>
      <c r="AB111" s="5"/>
      <c r="AC111" s="5"/>
    </row>
    <row r="112" spans="1:29">
      <c r="A112" s="34"/>
      <c r="B112" s="34"/>
      <c r="C112" s="34"/>
      <c r="D112" s="34"/>
      <c r="E112" s="34"/>
      <c r="F112" s="34"/>
      <c r="G112" s="34"/>
      <c r="H112" s="34"/>
      <c r="I112" s="34"/>
      <c r="J112" s="34"/>
      <c r="K112" s="34"/>
      <c r="L112" s="34"/>
      <c r="M112" s="34"/>
      <c r="N112" s="34"/>
      <c r="O112" s="34"/>
      <c r="P112" s="34"/>
      <c r="Q112" s="34"/>
      <c r="R112" s="34"/>
      <c r="S112" s="34"/>
      <c r="T112" s="34"/>
      <c r="U112" s="34"/>
      <c r="V112" s="34"/>
      <c r="W112" s="34"/>
      <c r="X112" s="5"/>
      <c r="Y112" s="5"/>
      <c r="Z112" s="5"/>
      <c r="AA112" s="5"/>
      <c r="AB112" s="5"/>
      <c r="AC112" s="5"/>
    </row>
    <row r="113" spans="1:29">
      <c r="A113" s="34"/>
      <c r="B113" s="34"/>
      <c r="C113" s="34"/>
      <c r="D113" s="34"/>
      <c r="E113" s="34"/>
      <c r="F113" s="34"/>
      <c r="G113" s="34"/>
      <c r="H113" s="34"/>
      <c r="I113" s="34"/>
      <c r="J113" s="34"/>
      <c r="K113" s="34"/>
      <c r="L113" s="34"/>
      <c r="M113" s="34"/>
      <c r="N113" s="34"/>
      <c r="O113" s="34"/>
      <c r="P113" s="34"/>
      <c r="Q113" s="34"/>
      <c r="R113" s="34"/>
      <c r="S113" s="34"/>
      <c r="T113" s="34"/>
      <c r="U113" s="34"/>
      <c r="V113" s="34"/>
      <c r="W113" s="34"/>
      <c r="X113" s="5"/>
      <c r="Y113" s="5"/>
      <c r="Z113" s="5"/>
      <c r="AA113" s="5"/>
      <c r="AB113" s="5"/>
      <c r="AC113" s="5"/>
    </row>
    <row r="114" spans="1:29">
      <c r="A114" s="34"/>
      <c r="B114" s="34"/>
      <c r="C114" s="34"/>
      <c r="D114" s="34"/>
      <c r="E114" s="34"/>
      <c r="F114" s="34"/>
      <c r="G114" s="34"/>
      <c r="H114" s="34"/>
      <c r="I114" s="34"/>
      <c r="J114" s="34"/>
      <c r="K114" s="34"/>
      <c r="L114" s="34"/>
      <c r="M114" s="34"/>
      <c r="N114" s="34"/>
      <c r="O114" s="34"/>
      <c r="P114" s="34"/>
      <c r="Q114" s="34"/>
      <c r="R114" s="34"/>
      <c r="S114" s="34"/>
      <c r="T114" s="34"/>
      <c r="U114" s="34"/>
      <c r="V114" s="34"/>
      <c r="W114" s="34"/>
      <c r="X114" s="5"/>
      <c r="Y114" s="5"/>
      <c r="Z114" s="5"/>
      <c r="AA114" s="5"/>
      <c r="AB114" s="5"/>
      <c r="AC114" s="5"/>
    </row>
    <row r="115" spans="1:29">
      <c r="A115" s="34"/>
      <c r="B115" s="34"/>
      <c r="C115" s="34"/>
      <c r="D115" s="34"/>
      <c r="E115" s="34"/>
      <c r="F115" s="34"/>
      <c r="G115" s="34"/>
      <c r="H115" s="34"/>
      <c r="I115" s="34"/>
      <c r="J115" s="34"/>
      <c r="K115" s="34"/>
      <c r="L115" s="34"/>
      <c r="M115" s="34"/>
      <c r="N115" s="34"/>
      <c r="O115" s="34"/>
      <c r="P115" s="34"/>
      <c r="Q115" s="34"/>
      <c r="R115" s="34"/>
      <c r="S115" s="34"/>
      <c r="T115" s="34"/>
      <c r="U115" s="34"/>
      <c r="V115" s="34"/>
      <c r="W115" s="34"/>
      <c r="X115" s="5"/>
      <c r="Y115" s="5"/>
      <c r="Z115" s="5"/>
      <c r="AA115" s="5"/>
      <c r="AB115" s="5"/>
      <c r="AC115" s="5"/>
    </row>
    <row r="116" spans="1:29">
      <c r="A116" s="34"/>
      <c r="B116" s="34"/>
      <c r="C116" s="34"/>
      <c r="D116" s="34"/>
      <c r="E116" s="34"/>
      <c r="F116" s="34"/>
      <c r="G116" s="34"/>
      <c r="H116" s="34"/>
      <c r="I116" s="34"/>
      <c r="J116" s="34"/>
      <c r="K116" s="34"/>
      <c r="L116" s="34"/>
      <c r="M116" s="34"/>
      <c r="N116" s="34"/>
      <c r="O116" s="34"/>
      <c r="P116" s="34"/>
      <c r="Q116" s="34"/>
      <c r="R116" s="34"/>
      <c r="S116" s="34"/>
      <c r="T116" s="34"/>
      <c r="U116" s="34"/>
      <c r="V116" s="34"/>
      <c r="W116" s="34"/>
      <c r="X116" s="5"/>
      <c r="Y116" s="5"/>
      <c r="Z116" s="5"/>
      <c r="AA116" s="5"/>
      <c r="AB116" s="5"/>
      <c r="AC116" s="5"/>
    </row>
    <row r="117" spans="1:29">
      <c r="A117" s="34"/>
      <c r="B117" s="34"/>
      <c r="C117" s="34"/>
      <c r="D117" s="34"/>
      <c r="E117" s="34"/>
      <c r="F117" s="34"/>
      <c r="G117" s="34"/>
      <c r="H117" s="34"/>
      <c r="I117" s="34"/>
      <c r="J117" s="34"/>
      <c r="K117" s="34"/>
      <c r="L117" s="34"/>
      <c r="M117" s="34"/>
      <c r="N117" s="34"/>
      <c r="O117" s="34"/>
      <c r="P117" s="34"/>
      <c r="Q117" s="34"/>
      <c r="R117" s="34"/>
      <c r="S117" s="34"/>
      <c r="T117" s="34"/>
      <c r="U117" s="34"/>
      <c r="V117" s="34"/>
      <c r="W117" s="34"/>
      <c r="X117" s="5"/>
      <c r="Y117" s="5"/>
      <c r="Z117" s="5"/>
      <c r="AA117" s="5"/>
      <c r="AB117" s="5"/>
      <c r="AC117" s="5"/>
    </row>
    <row r="118" spans="1:29">
      <c r="A118" s="34"/>
      <c r="B118" s="34"/>
      <c r="C118" s="34"/>
      <c r="D118" s="34"/>
      <c r="E118" s="34"/>
      <c r="F118" s="34"/>
      <c r="G118" s="34"/>
      <c r="H118" s="34"/>
      <c r="I118" s="34"/>
      <c r="J118" s="34"/>
      <c r="K118" s="34"/>
      <c r="L118" s="34"/>
      <c r="M118" s="34"/>
      <c r="N118" s="34"/>
      <c r="O118" s="34"/>
      <c r="P118" s="34"/>
      <c r="Q118" s="34"/>
      <c r="R118" s="34"/>
      <c r="S118" s="34"/>
      <c r="T118" s="34"/>
      <c r="U118" s="34"/>
      <c r="V118" s="34"/>
      <c r="W118" s="34"/>
      <c r="X118" s="5"/>
      <c r="Y118" s="5"/>
      <c r="Z118" s="5"/>
      <c r="AA118" s="5"/>
      <c r="AB118" s="5"/>
      <c r="AC118" s="5"/>
    </row>
    <row r="119" spans="1:29">
      <c r="A119" s="34"/>
      <c r="B119" s="34"/>
      <c r="C119" s="34"/>
      <c r="D119" s="34"/>
      <c r="E119" s="34"/>
      <c r="F119" s="34"/>
      <c r="G119" s="34"/>
      <c r="H119" s="34"/>
      <c r="I119" s="34"/>
      <c r="J119" s="34"/>
      <c r="K119" s="34"/>
      <c r="L119" s="34"/>
      <c r="M119" s="34"/>
      <c r="N119" s="34"/>
      <c r="O119" s="34"/>
      <c r="P119" s="34"/>
      <c r="Q119" s="34"/>
      <c r="R119" s="34"/>
      <c r="S119" s="34"/>
      <c r="T119" s="34"/>
      <c r="U119" s="34"/>
      <c r="V119" s="34"/>
      <c r="W119" s="34"/>
      <c r="X119" s="5"/>
      <c r="Y119" s="5"/>
      <c r="Z119" s="5"/>
      <c r="AA119" s="5"/>
      <c r="AB119" s="5"/>
      <c r="AC119" s="5"/>
    </row>
    <row r="120" spans="1:29">
      <c r="A120" s="34"/>
      <c r="B120" s="34"/>
      <c r="C120" s="34"/>
      <c r="D120" s="34"/>
      <c r="E120" s="34"/>
      <c r="F120" s="34"/>
      <c r="G120" s="34"/>
      <c r="H120" s="34"/>
      <c r="I120" s="34"/>
      <c r="J120" s="34"/>
      <c r="K120" s="34"/>
      <c r="L120" s="34"/>
      <c r="M120" s="34"/>
      <c r="N120" s="34"/>
      <c r="O120" s="34"/>
      <c r="P120" s="34"/>
      <c r="Q120" s="34"/>
      <c r="R120" s="34"/>
      <c r="S120" s="34"/>
      <c r="T120" s="34"/>
      <c r="U120" s="34"/>
      <c r="V120" s="34"/>
      <c r="W120" s="34"/>
      <c r="X120" s="5"/>
      <c r="Y120" s="5"/>
      <c r="Z120" s="5"/>
      <c r="AA120" s="5"/>
      <c r="AB120" s="5"/>
      <c r="AC120" s="5"/>
    </row>
    <row r="121" spans="1:29">
      <c r="A121" s="34"/>
      <c r="B121" s="34"/>
      <c r="C121" s="34"/>
      <c r="D121" s="34"/>
      <c r="E121" s="34"/>
      <c r="F121" s="34"/>
      <c r="G121" s="34"/>
      <c r="H121" s="34"/>
      <c r="I121" s="34"/>
      <c r="J121" s="34"/>
      <c r="K121" s="34"/>
      <c r="L121" s="34"/>
      <c r="M121" s="34"/>
      <c r="N121" s="34"/>
      <c r="O121" s="34"/>
      <c r="P121" s="34"/>
      <c r="Q121" s="34"/>
      <c r="R121" s="34"/>
      <c r="S121" s="34"/>
      <c r="T121" s="34"/>
      <c r="U121" s="34"/>
      <c r="V121" s="34"/>
      <c r="W121" s="34"/>
      <c r="X121" s="5"/>
      <c r="Y121" s="5"/>
      <c r="Z121" s="5"/>
      <c r="AA121" s="5"/>
      <c r="AB121" s="5"/>
      <c r="AC121" s="5"/>
    </row>
    <row r="122" spans="1:29">
      <c r="A122" s="34"/>
      <c r="B122" s="34"/>
      <c r="C122" s="34"/>
      <c r="D122" s="34"/>
      <c r="E122" s="34"/>
      <c r="F122" s="34"/>
      <c r="G122" s="34"/>
      <c r="H122" s="34"/>
      <c r="I122" s="34"/>
      <c r="J122" s="34"/>
      <c r="K122" s="34"/>
      <c r="L122" s="34"/>
      <c r="M122" s="34"/>
      <c r="N122" s="34"/>
      <c r="O122" s="34"/>
      <c r="P122" s="34"/>
      <c r="Q122" s="34"/>
      <c r="R122" s="34"/>
      <c r="S122" s="34"/>
      <c r="T122" s="34"/>
      <c r="U122" s="34"/>
      <c r="V122" s="34"/>
      <c r="W122" s="34"/>
      <c r="X122" s="5"/>
      <c r="Y122" s="5"/>
      <c r="Z122" s="5"/>
      <c r="AA122" s="5"/>
      <c r="AB122" s="5"/>
      <c r="AC122" s="5"/>
    </row>
    <row r="123" spans="1:29">
      <c r="A123" s="34"/>
      <c r="B123" s="34"/>
      <c r="C123" s="34"/>
      <c r="D123" s="34"/>
      <c r="E123" s="34"/>
      <c r="F123" s="34"/>
      <c r="G123" s="34"/>
      <c r="H123" s="34"/>
      <c r="I123" s="34"/>
      <c r="J123" s="34"/>
      <c r="K123" s="34"/>
      <c r="L123" s="34"/>
      <c r="M123" s="34"/>
      <c r="N123" s="34"/>
      <c r="O123" s="34"/>
      <c r="P123" s="34"/>
      <c r="Q123" s="34"/>
      <c r="R123" s="34"/>
      <c r="S123" s="34"/>
      <c r="T123" s="34"/>
      <c r="U123" s="34"/>
      <c r="V123" s="34"/>
      <c r="W123" s="34"/>
      <c r="X123" s="5"/>
      <c r="Y123" s="5"/>
      <c r="Z123" s="5"/>
      <c r="AA123" s="5"/>
      <c r="AB123" s="5"/>
      <c r="AC123" s="5"/>
    </row>
    <row r="124" spans="1:29">
      <c r="A124" s="34"/>
      <c r="B124" s="34"/>
      <c r="C124" s="34"/>
      <c r="D124" s="34"/>
      <c r="E124" s="34"/>
      <c r="F124" s="34"/>
      <c r="G124" s="34"/>
      <c r="H124" s="34"/>
      <c r="I124" s="34"/>
      <c r="J124" s="34"/>
      <c r="K124" s="34"/>
      <c r="L124" s="34"/>
      <c r="M124" s="34"/>
      <c r="N124" s="34"/>
      <c r="O124" s="34"/>
      <c r="P124" s="34"/>
      <c r="Q124" s="34"/>
      <c r="R124" s="34"/>
      <c r="S124" s="34"/>
      <c r="T124" s="34"/>
      <c r="U124" s="34"/>
      <c r="V124" s="34"/>
      <c r="W124" s="34"/>
      <c r="X124" s="5"/>
      <c r="Y124" s="5"/>
      <c r="Z124" s="5"/>
      <c r="AA124" s="5"/>
      <c r="AB124" s="5"/>
      <c r="AC124" s="5"/>
    </row>
    <row r="125" spans="1:29">
      <c r="A125" s="34"/>
      <c r="B125" s="34"/>
      <c r="C125" s="34"/>
      <c r="D125" s="34"/>
      <c r="E125" s="34"/>
      <c r="F125" s="34"/>
      <c r="G125" s="34"/>
      <c r="H125" s="34"/>
      <c r="I125" s="34"/>
      <c r="J125" s="34"/>
      <c r="K125" s="34"/>
      <c r="L125" s="34"/>
      <c r="M125" s="34"/>
      <c r="N125" s="34"/>
      <c r="O125" s="34"/>
      <c r="P125" s="34"/>
      <c r="Q125" s="34"/>
      <c r="R125" s="34"/>
      <c r="S125" s="34"/>
      <c r="T125" s="34"/>
      <c r="U125" s="34"/>
      <c r="V125" s="34"/>
      <c r="W125" s="34"/>
      <c r="X125" s="5"/>
      <c r="Y125" s="5"/>
      <c r="Z125" s="5"/>
      <c r="AA125" s="5"/>
      <c r="AB125" s="5"/>
      <c r="AC125" s="5"/>
    </row>
    <row r="126" spans="1:29">
      <c r="A126" s="34"/>
      <c r="B126" s="34"/>
      <c r="C126" s="34"/>
      <c r="D126" s="34"/>
      <c r="E126" s="34"/>
      <c r="F126" s="34"/>
      <c r="G126" s="34"/>
      <c r="H126" s="34"/>
      <c r="I126" s="34"/>
      <c r="J126" s="34"/>
      <c r="K126" s="34"/>
      <c r="L126" s="34"/>
      <c r="M126" s="34"/>
      <c r="N126" s="34"/>
      <c r="O126" s="34"/>
      <c r="P126" s="34"/>
      <c r="Q126" s="34"/>
      <c r="R126" s="34"/>
      <c r="S126" s="34"/>
      <c r="T126" s="34"/>
      <c r="U126" s="34"/>
      <c r="V126" s="34"/>
      <c r="W126" s="34"/>
      <c r="X126" s="5"/>
      <c r="Y126" s="5"/>
      <c r="Z126" s="5"/>
      <c r="AA126" s="5"/>
      <c r="AB126" s="5"/>
      <c r="AC126" s="5"/>
    </row>
    <row r="127" spans="1:29">
      <c r="A127" s="34"/>
      <c r="B127" s="34"/>
      <c r="C127" s="34"/>
      <c r="D127" s="34"/>
      <c r="E127" s="34"/>
      <c r="F127" s="34"/>
      <c r="G127" s="34"/>
      <c r="H127" s="34"/>
      <c r="I127" s="34"/>
      <c r="J127" s="34"/>
      <c r="K127" s="34"/>
      <c r="L127" s="34"/>
      <c r="M127" s="34"/>
      <c r="N127" s="34"/>
      <c r="O127" s="34"/>
      <c r="P127" s="34"/>
      <c r="Q127" s="34"/>
      <c r="R127" s="34"/>
      <c r="S127" s="34"/>
      <c r="T127" s="34"/>
      <c r="U127" s="34"/>
      <c r="V127" s="34"/>
      <c r="W127" s="34"/>
      <c r="X127" s="5"/>
      <c r="Y127" s="5"/>
      <c r="Z127" s="5"/>
      <c r="AA127" s="5"/>
      <c r="AB127" s="5"/>
      <c r="AC127" s="5"/>
    </row>
    <row r="128" spans="1:29">
      <c r="A128" s="34"/>
      <c r="B128" s="34"/>
      <c r="C128" s="34"/>
      <c r="D128" s="34"/>
      <c r="E128" s="34"/>
      <c r="F128" s="34"/>
      <c r="G128" s="34"/>
      <c r="H128" s="34"/>
      <c r="I128" s="34"/>
      <c r="J128" s="34"/>
      <c r="K128" s="34"/>
      <c r="L128" s="34"/>
      <c r="M128" s="34"/>
      <c r="N128" s="34"/>
      <c r="O128" s="34"/>
      <c r="P128" s="34"/>
      <c r="Q128" s="34"/>
      <c r="R128" s="34"/>
      <c r="S128" s="34"/>
      <c r="T128" s="34"/>
      <c r="U128" s="34"/>
      <c r="V128" s="34"/>
      <c r="W128" s="34"/>
      <c r="X128" s="5"/>
      <c r="Y128" s="5"/>
      <c r="Z128" s="5"/>
      <c r="AA128" s="5"/>
      <c r="AB128" s="5"/>
      <c r="AC128" s="5"/>
    </row>
    <row r="129" spans="1:29">
      <c r="A129" s="34"/>
      <c r="B129" s="34"/>
      <c r="C129" s="34"/>
      <c r="D129" s="34"/>
      <c r="E129" s="34"/>
      <c r="F129" s="34"/>
      <c r="G129" s="34"/>
      <c r="H129" s="34"/>
      <c r="I129" s="34"/>
      <c r="J129" s="34"/>
      <c r="K129" s="34"/>
      <c r="L129" s="34"/>
      <c r="M129" s="34"/>
      <c r="N129" s="34"/>
      <c r="O129" s="34"/>
      <c r="P129" s="34"/>
      <c r="Q129" s="34"/>
      <c r="R129" s="34"/>
      <c r="S129" s="34"/>
      <c r="T129" s="34"/>
      <c r="U129" s="34"/>
      <c r="V129" s="34"/>
      <c r="W129" s="34"/>
      <c r="X129" s="5"/>
      <c r="Y129" s="5"/>
      <c r="Z129" s="5"/>
      <c r="AA129" s="5"/>
      <c r="AB129" s="5"/>
      <c r="AC129" s="5"/>
    </row>
    <row r="130" spans="1:29">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row>
    <row r="131" spans="1:29">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row>
    <row r="132" spans="1:29">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row>
    <row r="133" spans="1:29">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row>
    <row r="134" spans="1:29">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row>
    <row r="135" spans="1:29">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row>
    <row r="136" spans="1:29">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row>
    <row r="137" spans="1:29">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row>
    <row r="138" spans="1:29">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row>
    <row r="139" spans="1:29">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row>
    <row r="140" spans="1:29">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row>
    <row r="141" spans="1:29">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row>
    <row r="142" spans="1:29">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row>
    <row r="143" spans="1:29">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row>
    <row r="144" spans="1:29">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row>
    <row r="145" spans="1:29">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row>
    <row r="146" spans="1:29">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row>
    <row r="147" spans="1:29">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row>
    <row r="148" spans="1:29">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row>
    <row r="149" spans="1:29">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row>
    <row r="150" spans="1:29">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row>
    <row r="151" spans="1:29">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row>
    <row r="152" spans="1:29">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row>
    <row r="153" spans="1:29">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row>
    <row r="154" spans="1:29">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row>
    <row r="155" spans="1:29">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row>
    <row r="156" spans="1:29">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row>
    <row r="157" spans="1:29">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row>
    <row r="158" spans="1:29">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row>
    <row r="159" spans="1:29">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row>
    <row r="160" spans="1:29">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row>
    <row r="161" spans="1:29">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row>
    <row r="162" spans="1:29">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row>
    <row r="163" spans="1:29">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row>
    <row r="164" spans="1:29">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row>
    <row r="165" spans="1:29">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row>
    <row r="166" spans="1:29">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row>
    <row r="167" spans="1:29">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row>
    <row r="168" spans="1:29">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row>
    <row r="169" spans="1:29">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row>
    <row r="170" spans="1:29">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row>
    <row r="171" spans="1:29">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row>
    <row r="172" spans="1:29">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row>
    <row r="173" spans="1:29">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row>
    <row r="174" spans="1:29">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row>
    <row r="175" spans="1:29">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row>
    <row r="176" spans="1:29">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row>
    <row r="177" spans="1:29">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row>
    <row r="178" spans="1:29">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row>
    <row r="179" spans="1:29">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row>
    <row r="180" spans="1:29">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row>
    <row r="181" spans="1:29">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row>
    <row r="182" spans="1:29">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row>
    <row r="183" spans="1:29">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row>
    <row r="184" spans="1:29">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row>
    <row r="185" spans="1:29">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row>
    <row r="186" spans="1:29">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row>
    <row r="187" spans="1:29">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row>
    <row r="188" spans="1:29">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row>
    <row r="189" spans="1:29">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row>
    <row r="190" spans="1:29">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row>
    <row r="191" spans="1:29">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row>
    <row r="192" spans="1:29">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row>
    <row r="193" spans="1:29">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row>
    <row r="194" spans="1:29">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row>
    <row r="195" spans="1:29">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row>
    <row r="196" spans="1:29">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row>
    <row r="197" spans="1:29">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row>
    <row r="198" spans="1:29">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row>
    <row r="199" spans="1:29">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row>
    <row r="200" spans="1:29">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row>
    <row r="201" spans="1:29">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row>
    <row r="202" spans="1:29">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row>
    <row r="203" spans="1:29">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row>
    <row r="204" spans="1:29">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row>
    <row r="205" spans="1:29">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row>
    <row r="206" spans="1:29">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row>
    <row r="207" spans="1:29">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row>
    <row r="208" spans="1:29">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row>
    <row r="209" spans="1:29">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row>
    <row r="210" spans="1:29">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row>
    <row r="211" spans="1:29">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row>
  </sheetData>
  <sheetProtection selectLockedCells="1"/>
  <mergeCells count="15">
    <mergeCell ref="A1:R1"/>
    <mergeCell ref="S3:T3"/>
    <mergeCell ref="V3:W3"/>
    <mergeCell ref="Y3:Z3"/>
    <mergeCell ref="AB3:AC3"/>
    <mergeCell ref="A2:E2"/>
    <mergeCell ref="F2:L2"/>
    <mergeCell ref="M2:N2"/>
    <mergeCell ref="O2:Q2"/>
    <mergeCell ref="A3:B3"/>
    <mergeCell ref="D3:E3"/>
    <mergeCell ref="G3:H3"/>
    <mergeCell ref="J3:K3"/>
    <mergeCell ref="M3:N3"/>
    <mergeCell ref="P3:Q3"/>
  </mergeCells>
  <dataValidations count="2">
    <dataValidation type="list" allowBlank="1" showInputMessage="1" showErrorMessage="1" sqref="O2:Q2">
      <formula1>$P$55:$P$66</formula1>
    </dataValidation>
    <dataValidation type="list" allowBlank="1" showInputMessage="1" showErrorMessage="1" sqref="N4 B8 B6 B4 E8 E6 E4 H8 H6 H4 K8 K6 K4 AC8 AC6 AC4 Z8 Z6 Z4 W8 W6 W4 T8 T6 T4 Q8 Q6 Q4 N8 N6">
      <formula1>$S$55:$S$64</formula1>
    </dataValidation>
  </dataValidations>
  <pageMargins left="0.7" right="0.7" top="0.75" bottom="0.75" header="0.3" footer="0.3"/>
  <pageSetup orientation="portrait" r:id="rId1"/>
  <ignoredErrors>
    <ignoredError sqref="P27" twoDigitTextYear="1"/>
  </ignoredErrors>
</worksheet>
</file>

<file path=xl/worksheets/sheet2.xml><?xml version="1.0" encoding="utf-8"?>
<worksheet xmlns="http://schemas.openxmlformats.org/spreadsheetml/2006/main" xmlns:r="http://schemas.openxmlformats.org/officeDocument/2006/relationships">
  <dimension ref="A1:Q120"/>
  <sheetViews>
    <sheetView view="pageBreakPreview" topLeftCell="A112" zoomScale="80" zoomScaleNormal="100" zoomScaleSheetLayoutView="80" workbookViewId="0">
      <selection activeCell="J115" sqref="J115:J116"/>
    </sheetView>
  </sheetViews>
  <sheetFormatPr defaultRowHeight="15"/>
  <cols>
    <col min="6" max="6" width="5.7109375" customWidth="1"/>
    <col min="7" max="7" width="5.140625" customWidth="1"/>
    <col min="16" max="16" width="6.42578125" customWidth="1"/>
  </cols>
  <sheetData>
    <row r="1" spans="1:17" ht="23.25">
      <c r="A1" s="53" t="s">
        <v>12</v>
      </c>
      <c r="B1" s="53"/>
      <c r="C1" s="53"/>
      <c r="D1" s="53"/>
      <c r="E1" s="53"/>
      <c r="F1" s="53"/>
      <c r="G1" s="53"/>
      <c r="H1" s="53"/>
      <c r="J1" s="53" t="s">
        <v>15</v>
      </c>
      <c r="K1" s="53"/>
      <c r="L1" s="53"/>
      <c r="M1" s="53"/>
      <c r="N1" s="53"/>
      <c r="O1" s="53"/>
      <c r="P1" s="53"/>
      <c r="Q1" s="53"/>
    </row>
    <row r="2" spans="1:17" ht="23.25">
      <c r="A2" s="2"/>
      <c r="B2" s="50" t="s">
        <v>36</v>
      </c>
      <c r="C2" s="50"/>
      <c r="D2" s="50"/>
      <c r="E2" s="51">
        <f>Data!$F$2</f>
        <v>0</v>
      </c>
      <c r="F2" s="51"/>
      <c r="G2" s="51"/>
      <c r="H2" s="51"/>
      <c r="J2" s="4"/>
      <c r="K2" s="50" t="s">
        <v>36</v>
      </c>
      <c r="L2" s="50"/>
      <c r="M2" s="50"/>
      <c r="N2" s="51">
        <f>Data!$F$2</f>
        <v>0</v>
      </c>
      <c r="O2" s="51"/>
      <c r="P2" s="51"/>
      <c r="Q2" s="4"/>
    </row>
    <row r="3" spans="1:17">
      <c r="A3" s="52" t="s">
        <v>13</v>
      </c>
      <c r="B3" s="52"/>
      <c r="C3" s="52"/>
      <c r="D3" t="str">
        <f>IF(Data!B35&gt;0,"improving by","not improving by")</f>
        <v>improving by</v>
      </c>
      <c r="F3" s="3" t="str">
        <f>Data!B35</f>
        <v/>
      </c>
      <c r="G3" t="s">
        <v>14</v>
      </c>
      <c r="J3" s="52" t="s">
        <v>13</v>
      </c>
      <c r="K3" s="52"/>
      <c r="L3" s="52"/>
      <c r="M3" s="52"/>
      <c r="N3" t="str">
        <f>IF(Data!E35&gt;0,"improving by","not improving by")</f>
        <v>improving by</v>
      </c>
      <c r="P3" s="1" t="str">
        <f>Data!E35</f>
        <v/>
      </c>
      <c r="Q3" t="s">
        <v>14</v>
      </c>
    </row>
    <row r="22" spans="1:17" ht="23.25">
      <c r="A22" s="53" t="s">
        <v>27</v>
      </c>
      <c r="B22" s="53"/>
      <c r="C22" s="53"/>
      <c r="D22" s="53"/>
      <c r="E22" s="53"/>
      <c r="F22" s="53"/>
      <c r="G22" s="53"/>
      <c r="H22" s="53"/>
      <c r="I22" s="53"/>
      <c r="J22" s="53" t="s">
        <v>28</v>
      </c>
      <c r="K22" s="53"/>
      <c r="L22" s="53"/>
      <c r="M22" s="53"/>
      <c r="N22" s="53"/>
      <c r="O22" s="53"/>
      <c r="P22" s="53"/>
      <c r="Q22" s="53"/>
    </row>
    <row r="23" spans="1:17" ht="23.25">
      <c r="A23" s="2"/>
      <c r="C23" s="54" t="s">
        <v>36</v>
      </c>
      <c r="D23" s="54"/>
      <c r="E23" s="51">
        <f>Data!$F$2</f>
        <v>0</v>
      </c>
      <c r="F23" s="51"/>
      <c r="G23" s="51"/>
      <c r="H23" s="51"/>
      <c r="J23" s="2"/>
      <c r="K23" s="50" t="s">
        <v>36</v>
      </c>
      <c r="L23" s="50"/>
      <c r="M23" s="50"/>
      <c r="N23" s="51">
        <f>Data!$F$2</f>
        <v>0</v>
      </c>
      <c r="O23" s="51"/>
      <c r="P23" s="51"/>
      <c r="Q23" s="2"/>
    </row>
    <row r="24" spans="1:17">
      <c r="A24" s="52" t="s">
        <v>13</v>
      </c>
      <c r="B24" s="52"/>
      <c r="C24" s="52"/>
      <c r="D24" t="str">
        <f>IF(Data!H35&gt;0,"improving by","not improving by")</f>
        <v>improving by</v>
      </c>
      <c r="F24" s="3" t="str">
        <f>Data!H35</f>
        <v/>
      </c>
      <c r="G24" t="s">
        <v>14</v>
      </c>
      <c r="J24" s="52" t="s">
        <v>13</v>
      </c>
      <c r="K24" s="52"/>
      <c r="L24" s="52"/>
      <c r="M24" t="str">
        <f>IF(Data!K35&gt;0,"improving by","not improving by")</f>
        <v>improving by</v>
      </c>
      <c r="O24" s="3" t="str">
        <f>Data!K35</f>
        <v/>
      </c>
      <c r="P24" t="s">
        <v>14</v>
      </c>
    </row>
    <row r="43" spans="1:17" ht="23.25">
      <c r="A43" s="53" t="s">
        <v>29</v>
      </c>
      <c r="B43" s="53"/>
      <c r="C43" s="53"/>
      <c r="D43" s="53"/>
      <c r="E43" s="53"/>
      <c r="F43" s="53"/>
      <c r="G43" s="53"/>
      <c r="H43" s="53"/>
      <c r="I43" s="53"/>
      <c r="J43" s="53" t="s">
        <v>34</v>
      </c>
      <c r="K43" s="53"/>
      <c r="L43" s="53"/>
      <c r="M43" s="53"/>
      <c r="N43" s="53"/>
      <c r="O43" s="53"/>
      <c r="P43" s="53"/>
      <c r="Q43" s="53"/>
    </row>
    <row r="44" spans="1:17" ht="23.25">
      <c r="A44" s="2"/>
      <c r="B44" s="50" t="s">
        <v>36</v>
      </c>
      <c r="C44" s="50"/>
      <c r="D44" s="50"/>
      <c r="E44" s="51">
        <f>Data!$F$2</f>
        <v>0</v>
      </c>
      <c r="F44" s="51"/>
      <c r="G44" s="51"/>
      <c r="H44" s="51"/>
      <c r="J44" s="2"/>
      <c r="K44" s="50" t="s">
        <v>36</v>
      </c>
      <c r="L44" s="50"/>
      <c r="M44" s="50"/>
      <c r="N44" s="51">
        <f>Data!$F$2</f>
        <v>0</v>
      </c>
      <c r="O44" s="51"/>
      <c r="P44" s="51"/>
      <c r="Q44" s="2"/>
    </row>
    <row r="45" spans="1:17">
      <c r="A45" s="52" t="s">
        <v>13</v>
      </c>
      <c r="B45" s="52"/>
      <c r="C45" s="52"/>
      <c r="D45" t="str">
        <f>IF(Data!N35&gt;0,"improving by","not improving by")</f>
        <v>improving by</v>
      </c>
      <c r="F45" s="3" t="str">
        <f>Data!N35</f>
        <v/>
      </c>
      <c r="G45" t="s">
        <v>14</v>
      </c>
      <c r="J45" s="52" t="s">
        <v>13</v>
      </c>
      <c r="K45" s="52"/>
      <c r="L45" s="52"/>
      <c r="M45" t="str">
        <f>IF(Data!Q35&gt;0,"improving by","not improving by")</f>
        <v>improving by</v>
      </c>
      <c r="O45" s="3" t="str">
        <f>Data!Q35</f>
        <v/>
      </c>
      <c r="P45" t="s">
        <v>14</v>
      </c>
    </row>
    <row r="64" spans="1:17" ht="23.25">
      <c r="A64" s="53" t="s">
        <v>30</v>
      </c>
      <c r="B64" s="53"/>
      <c r="C64" s="53"/>
      <c r="D64" s="53"/>
      <c r="E64" s="53"/>
      <c r="F64" s="53"/>
      <c r="G64" s="53"/>
      <c r="H64" s="53"/>
      <c r="I64" s="53"/>
      <c r="J64" s="53" t="s">
        <v>31</v>
      </c>
      <c r="K64" s="53"/>
      <c r="L64" s="53"/>
      <c r="M64" s="53"/>
      <c r="N64" s="53"/>
      <c r="O64" s="53"/>
      <c r="P64" s="53"/>
      <c r="Q64" s="53"/>
    </row>
    <row r="65" spans="1:17" ht="23.25">
      <c r="A65" s="2"/>
      <c r="B65" s="50" t="s">
        <v>36</v>
      </c>
      <c r="C65" s="50"/>
      <c r="D65" s="50"/>
      <c r="E65" s="51">
        <f>Data!$F$2</f>
        <v>0</v>
      </c>
      <c r="F65" s="51"/>
      <c r="G65" s="51"/>
      <c r="H65" s="51"/>
      <c r="J65" s="2"/>
      <c r="K65" s="50" t="s">
        <v>36</v>
      </c>
      <c r="L65" s="50"/>
      <c r="M65" s="50"/>
      <c r="N65" s="51">
        <f>Data!$F$2</f>
        <v>0</v>
      </c>
      <c r="O65" s="51"/>
      <c r="P65" s="51"/>
      <c r="Q65" s="2"/>
    </row>
    <row r="66" spans="1:17">
      <c r="A66" s="52" t="s">
        <v>13</v>
      </c>
      <c r="B66" s="52"/>
      <c r="C66" s="52"/>
      <c r="D66" t="str">
        <f>IF(Data!T35&gt;0,"improving by","not improving by")</f>
        <v>improving by</v>
      </c>
      <c r="F66" s="3" t="str">
        <f>Data!T35</f>
        <v/>
      </c>
      <c r="G66" t="s">
        <v>14</v>
      </c>
      <c r="J66" s="52" t="s">
        <v>13</v>
      </c>
      <c r="K66" s="52"/>
      <c r="L66" s="52"/>
      <c r="M66" t="str">
        <f>IF(Data!W35&gt;0,"improving by","not improving by")</f>
        <v>improving by</v>
      </c>
      <c r="O66" s="3" t="str">
        <f>Data!W35</f>
        <v/>
      </c>
      <c r="P66" t="s">
        <v>14</v>
      </c>
    </row>
    <row r="85" spans="1:17" ht="23.25">
      <c r="A85" s="53" t="s">
        <v>32</v>
      </c>
      <c r="B85" s="53"/>
      <c r="C85" s="53"/>
      <c r="D85" s="53"/>
      <c r="E85" s="53"/>
      <c r="F85" s="53"/>
      <c r="G85" s="53"/>
      <c r="H85" s="53"/>
      <c r="I85" s="53"/>
      <c r="J85" s="53" t="s">
        <v>33</v>
      </c>
      <c r="K85" s="53"/>
      <c r="L85" s="53"/>
      <c r="M85" s="53"/>
      <c r="N85" s="53"/>
      <c r="O85" s="53"/>
      <c r="P85" s="53"/>
      <c r="Q85" s="53"/>
    </row>
    <row r="86" spans="1:17" ht="23.25">
      <c r="A86" s="2"/>
      <c r="B86" s="50" t="s">
        <v>36</v>
      </c>
      <c r="C86" s="50"/>
      <c r="D86" s="50"/>
      <c r="E86" s="51">
        <f>Data!$F$2</f>
        <v>0</v>
      </c>
      <c r="F86" s="51"/>
      <c r="G86" s="51"/>
      <c r="H86" s="51"/>
      <c r="J86" s="2"/>
      <c r="K86" s="50" t="s">
        <v>36</v>
      </c>
      <c r="L86" s="50"/>
      <c r="M86" s="50"/>
      <c r="N86" s="51">
        <f>Data!$F$2</f>
        <v>0</v>
      </c>
      <c r="O86" s="51"/>
      <c r="P86" s="51"/>
      <c r="Q86" s="2"/>
    </row>
    <row r="87" spans="1:17">
      <c r="A87" s="52" t="s">
        <v>13</v>
      </c>
      <c r="B87" s="52"/>
      <c r="C87" s="52"/>
      <c r="D87" t="str">
        <f>IF(Data!Z35&gt;0,"improving by","not improving by")</f>
        <v>improving by</v>
      </c>
      <c r="F87" s="3" t="str">
        <f>Data!Z35</f>
        <v/>
      </c>
      <c r="G87" t="s">
        <v>14</v>
      </c>
      <c r="J87" s="52" t="s">
        <v>13</v>
      </c>
      <c r="K87" s="52"/>
      <c r="L87" s="52"/>
      <c r="M87" t="str">
        <f>IF(Data!AC35&gt;0,"improving by","not improving by")</f>
        <v>improving by</v>
      </c>
      <c r="O87" s="3" t="str">
        <f>Data!AC35</f>
        <v/>
      </c>
      <c r="P87" t="s">
        <v>14</v>
      </c>
    </row>
    <row r="107" spans="1:16" ht="23.25">
      <c r="A107" s="53" t="s">
        <v>38</v>
      </c>
      <c r="B107" s="53"/>
      <c r="C107" s="53"/>
      <c r="D107" s="53"/>
      <c r="E107" s="53"/>
      <c r="F107" s="53"/>
      <c r="G107" s="53"/>
      <c r="H107" s="53"/>
      <c r="I107" s="53"/>
      <c r="K107" s="49" t="s">
        <v>39</v>
      </c>
      <c r="L107" s="49"/>
      <c r="M107" s="49"/>
      <c r="N107" s="49"/>
      <c r="O107" s="49"/>
      <c r="P107" s="49"/>
    </row>
    <row r="108" spans="1:16" ht="23.25">
      <c r="A108" s="2"/>
      <c r="B108" s="50" t="s">
        <v>36</v>
      </c>
      <c r="C108" s="50"/>
      <c r="D108" s="50"/>
      <c r="E108" s="51">
        <f>Data!$F$2</f>
        <v>0</v>
      </c>
      <c r="F108" s="51"/>
      <c r="G108" s="51"/>
      <c r="H108" s="51"/>
    </row>
    <row r="109" spans="1:16">
      <c r="K109" s="49" t="s">
        <v>17</v>
      </c>
      <c r="L109" s="49"/>
      <c r="M109" s="1" t="str">
        <f>Data!B35</f>
        <v/>
      </c>
    </row>
    <row r="110" spans="1:16">
      <c r="K110" s="49" t="s">
        <v>18</v>
      </c>
      <c r="L110" s="49"/>
      <c r="M110" s="1" t="str">
        <f>Data!E35</f>
        <v/>
      </c>
    </row>
    <row r="111" spans="1:16">
      <c r="K111" s="49" t="s">
        <v>19</v>
      </c>
      <c r="L111" s="49"/>
      <c r="M111" s="1" t="str">
        <f>Data!H35</f>
        <v/>
      </c>
    </row>
    <row r="112" spans="1:16">
      <c r="K112" s="49" t="s">
        <v>20</v>
      </c>
      <c r="L112" s="49"/>
      <c r="M112" s="1" t="str">
        <f>Data!K35</f>
        <v/>
      </c>
    </row>
    <row r="113" spans="11:13">
      <c r="K113" s="49" t="s">
        <v>21</v>
      </c>
      <c r="L113" s="49"/>
      <c r="M113" s="1" t="str">
        <f>Data!N35</f>
        <v/>
      </c>
    </row>
    <row r="114" spans="11:13">
      <c r="K114" s="49" t="s">
        <v>22</v>
      </c>
      <c r="L114" s="49"/>
      <c r="M114" s="1" t="str">
        <f>Data!Q35</f>
        <v/>
      </c>
    </row>
    <row r="115" spans="11:13">
      <c r="K115" s="49" t="s">
        <v>23</v>
      </c>
      <c r="L115" s="49"/>
      <c r="M115" s="1" t="str">
        <f>Data!T35</f>
        <v/>
      </c>
    </row>
    <row r="116" spans="11:13">
      <c r="K116" s="49" t="s">
        <v>24</v>
      </c>
      <c r="L116" s="49"/>
      <c r="M116" s="1" t="str">
        <f>Data!W35</f>
        <v/>
      </c>
    </row>
    <row r="117" spans="11:13">
      <c r="K117" s="49" t="s">
        <v>25</v>
      </c>
      <c r="L117" s="49"/>
      <c r="M117" s="1" t="str">
        <f>Data!Z35</f>
        <v/>
      </c>
    </row>
    <row r="118" spans="11:13">
      <c r="K118" s="49" t="s">
        <v>26</v>
      </c>
      <c r="L118" s="49"/>
      <c r="M118" s="1" t="str">
        <f>Data!AC35</f>
        <v/>
      </c>
    </row>
    <row r="120" spans="11:13">
      <c r="K120" s="49"/>
      <c r="L120" s="49"/>
    </row>
  </sheetData>
  <sheetProtection selectLockedCells="1" selectUnlockedCells="1"/>
  <mergeCells count="55">
    <mergeCell ref="A1:H1"/>
    <mergeCell ref="J1:Q1"/>
    <mergeCell ref="J3:M3"/>
    <mergeCell ref="E2:H2"/>
    <mergeCell ref="J66:L66"/>
    <mergeCell ref="K65:M65"/>
    <mergeCell ref="N65:P65"/>
    <mergeCell ref="A24:C24"/>
    <mergeCell ref="J22:Q22"/>
    <mergeCell ref="J24:L24"/>
    <mergeCell ref="A45:C45"/>
    <mergeCell ref="J43:Q43"/>
    <mergeCell ref="J45:L45"/>
    <mergeCell ref="A22:I22"/>
    <mergeCell ref="B2:D2"/>
    <mergeCell ref="K2:M2"/>
    <mergeCell ref="N2:P2"/>
    <mergeCell ref="K23:M23"/>
    <mergeCell ref="N23:P23"/>
    <mergeCell ref="A3:C3"/>
    <mergeCell ref="N86:P86"/>
    <mergeCell ref="E23:H23"/>
    <mergeCell ref="C23:D23"/>
    <mergeCell ref="A43:I43"/>
    <mergeCell ref="A64:I64"/>
    <mergeCell ref="A85:I85"/>
    <mergeCell ref="E65:H65"/>
    <mergeCell ref="E44:H44"/>
    <mergeCell ref="E86:H86"/>
    <mergeCell ref="J85:Q85"/>
    <mergeCell ref="B44:D44"/>
    <mergeCell ref="K44:M44"/>
    <mergeCell ref="N44:P44"/>
    <mergeCell ref="B65:D65"/>
    <mergeCell ref="A66:C66"/>
    <mergeCell ref="J64:Q64"/>
    <mergeCell ref="A107:I107"/>
    <mergeCell ref="B108:D108"/>
    <mergeCell ref="E108:H108"/>
    <mergeCell ref="B86:D86"/>
    <mergeCell ref="K86:M86"/>
    <mergeCell ref="A87:C87"/>
    <mergeCell ref="J87:L87"/>
    <mergeCell ref="K107:P107"/>
    <mergeCell ref="K120:L120"/>
    <mergeCell ref="K109:L109"/>
    <mergeCell ref="K110:L110"/>
    <mergeCell ref="K111:L111"/>
    <mergeCell ref="K112:L112"/>
    <mergeCell ref="K113:L113"/>
    <mergeCell ref="K114:L114"/>
    <mergeCell ref="K115:L115"/>
    <mergeCell ref="K116:L116"/>
    <mergeCell ref="K117:L117"/>
    <mergeCell ref="K118:L118"/>
  </mergeCells>
  <pageMargins left="0.7" right="0.7" top="0.75" bottom="0.75" header="0.3" footer="0.3"/>
  <pageSetup scale="155" orientation="landscape" r:id="rId1"/>
  <rowBreaks count="4" manualBreakCount="4">
    <brk id="21" max="16" man="1"/>
    <brk id="42" max="16" man="1"/>
    <brk id="63" max="16" man="1"/>
    <brk id="84" max="16" man="1"/>
  </rowBreaks>
  <colBreaks count="1" manualBreakCount="1">
    <brk id="9" max="123"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vt:lpstr>
      <vt:lpstr>Charts</vt:lpstr>
      <vt:lpstr>Charts!Print_Area</vt:lpstr>
    </vt:vector>
  </TitlesOfParts>
  <Company>Prairie South School Division No.210</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hall.david</dc:creator>
  <cp:lastModifiedBy>hall.david</cp:lastModifiedBy>
  <cp:lastPrinted>2010-07-07T16:58:23Z</cp:lastPrinted>
  <dcterms:created xsi:type="dcterms:W3CDTF">2010-06-30T13:25:30Z</dcterms:created>
  <dcterms:modified xsi:type="dcterms:W3CDTF">2011-10-27T14:06:22Z</dcterms:modified>
</cp:coreProperties>
</file>