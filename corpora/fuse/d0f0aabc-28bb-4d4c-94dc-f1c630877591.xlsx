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/>
</workbook>
</file>

<file path=xl/calcChain.xml><?xml version="1.0" encoding="utf-8"?>
<calcChain xmlns="http://schemas.openxmlformats.org/spreadsheetml/2006/main">
  <c r="I57" i="1" l="1"/>
  <c r="F50" i="1"/>
  <c r="F52" i="1" s="1"/>
  <c r="E50" i="1"/>
  <c r="E52" i="1" s="1"/>
  <c r="D50" i="1"/>
  <c r="D52" i="1" s="1"/>
  <c r="C50" i="1"/>
  <c r="C52" i="1" s="1"/>
  <c r="B50" i="1"/>
  <c r="B52" i="1" s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3" i="1"/>
  <c r="F35" i="1" s="1"/>
  <c r="E33" i="1"/>
  <c r="E35" i="1" s="1"/>
  <c r="D33" i="1"/>
  <c r="D35" i="1" s="1"/>
  <c r="C33" i="1"/>
  <c r="C35" i="1" s="1"/>
  <c r="B33" i="1"/>
  <c r="B35" i="1" s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<sst xmlns="http://schemas.openxmlformats.org/spreadsheetml/2006/main" count="40" uniqueCount="27">
  <si>
    <t>Monthly Statistical Bulletin</t>
  </si>
  <si>
    <t>1.3 Labour force</t>
  </si>
  <si>
    <t>Month</t>
  </si>
  <si>
    <t>2008–09</t>
  </si>
  <si>
    <t>2009–10</t>
  </si>
  <si>
    <t>2010–11</t>
  </si>
  <si>
    <t>2011–12</t>
  </si>
  <si>
    <t>2012–13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</si>
  <si>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</si>
  <si>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</si>
  <si>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</si>
  <si>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</si>
  <si>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</si>
  <si>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</si>
  <si>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</si>
  <si>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</si>
  <si>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</si>
  <si>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</si>
  <si>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</si>
  <si>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</si>
  <si>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</si>
  <si>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</si>
  <si>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(b) – per cent</t>
  </si>
  <si>
    <t>(a) Monthly figures are seasonally adjusted.</t>
  </si>
  <si>
    <t>(a) Labour force as a proportion of the civilian population aged 15 years and over.</t>
  </si>
  <si>
    <t>Update</t>
  </si>
  <si>
    <t>Source: ABS, Labour force, Cat. no. 6202.0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</si>
</sst>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#\ ##0.0"/>
    <numFmt numFmtId="165" formatCode="0.0"/>
    <numFmt numFmtId="166" formatCode="_(&quot;$&quot;* #,##0.00_);_(&quot;$&quot;* \(#,##0.00\);_(&quot;$&quot;* &quot;-&quot;??_);_(@_)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8"/>
      <color indexed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7" fillId="0" borderId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166" fontId="13" fillId="0" borderId="0" xfId="1" applyNumberFormat="1" applyFont="1" applyAlignment="1" applyProtection="1">
      <alignment horizontal="left"/>
    </xf>
    <xf numFmtId="167" fontId="11" fillId="0" borderId="0" xfId="0" applyNumberFormat="1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1.3'!$A$210:$A$270</c:f>
              <c:strCache>
                <c:ptCount val="61"/>
                <c:pt idx="0">
                  <c:v>Jun 08</c:v>
                </c:pt>
                <c:pt idx="1">
                  <c:v>Jul-08</c:v>
                </c:pt>
                <c:pt idx="2">
                  <c:v>Aug-08</c:v>
                </c:pt>
                <c:pt idx="3">
                  <c:v>Sep-08</c:v>
                </c:pt>
                <c:pt idx="4">
                  <c:v>Oct-08</c:v>
                </c:pt>
                <c:pt idx="5">
                  <c:v>Nov-08</c:v>
                </c:pt>
                <c:pt idx="6">
                  <c:v>Dec-08</c:v>
                </c:pt>
                <c:pt idx="7">
                  <c:v>Jan-09</c:v>
                </c:pt>
                <c:pt idx="8">
                  <c:v>Feb-09</c:v>
                </c:pt>
                <c:pt idx="9">
                  <c:v>Mar-09</c:v>
                </c:pt>
                <c:pt idx="10">
                  <c:v>Apr-09</c:v>
                </c:pt>
                <c:pt idx="11">
                  <c:v>May-09</c:v>
                </c:pt>
                <c:pt idx="12">
                  <c:v>Jun 09</c:v>
                </c:pt>
                <c:pt idx="13">
                  <c:v>Jul-09</c:v>
                </c:pt>
                <c:pt idx="14">
                  <c:v>Aug-09</c:v>
                </c:pt>
                <c:pt idx="15">
                  <c:v>Sep-09</c:v>
                </c:pt>
                <c:pt idx="16">
                  <c:v>Oct-09</c:v>
                </c:pt>
                <c:pt idx="17">
                  <c:v>Nov-09</c:v>
                </c:pt>
                <c:pt idx="18">
                  <c:v>Dec-09</c:v>
                </c:pt>
                <c:pt idx="19">
                  <c:v>Jan-10</c:v>
                </c:pt>
                <c:pt idx="20">
                  <c:v>Feb-10</c:v>
                </c:pt>
                <c:pt idx="21">
                  <c:v>Mar-10</c:v>
                </c:pt>
                <c:pt idx="22">
                  <c:v>Apr-10</c:v>
                </c:pt>
                <c:pt idx="23">
                  <c:v>May-10</c:v>
                </c:pt>
                <c:pt idx="24">
                  <c:v>Jun 10</c:v>
                </c:pt>
                <c:pt idx="25">
                  <c:v>Jul-10</c:v>
                </c:pt>
                <c:pt idx="26">
                  <c:v>Aug-10</c:v>
                </c:pt>
                <c:pt idx="27">
                  <c:v>Sep-10</c:v>
                </c:pt>
                <c:pt idx="28">
                  <c:v>Oct-10</c:v>
                </c:pt>
                <c:pt idx="29">
                  <c:v>Nov-10</c:v>
                </c:pt>
                <c:pt idx="30">
                  <c:v>Dec-10</c:v>
                </c:pt>
                <c:pt idx="31">
                  <c:v>Jan-11</c:v>
                </c:pt>
                <c:pt idx="32">
                  <c:v>Feb-11</c:v>
                </c:pt>
                <c:pt idx="33">
                  <c:v>Mar-11</c:v>
                </c:pt>
                <c:pt idx="34">
                  <c:v>Apr-11</c:v>
                </c:pt>
                <c:pt idx="35">
                  <c:v>May-11</c:v>
                </c:pt>
                <c:pt idx="36">
                  <c:v>Jun 11</c:v>
                </c:pt>
                <c:pt idx="37">
                  <c:v>Jul 11</c:v>
                </c:pt>
                <c:pt idx="38">
                  <c:v>Aug 11</c:v>
                </c:pt>
                <c:pt idx="39">
                  <c:v>Sep 11</c:v>
                </c:pt>
                <c:pt idx="40">
                  <c:v>Oct 11</c:v>
                </c:pt>
                <c:pt idx="41">
                  <c:v>Nov 11</c:v>
                </c:pt>
                <c:pt idx="42">
                  <c:v>Dec 11</c:v>
                </c:pt>
                <c:pt idx="43">
                  <c:v>Jan 12</c:v>
                </c:pt>
                <c:pt idx="44">
                  <c:v>Feb 12</c:v>
                </c:pt>
                <c:pt idx="45">
                  <c:v>Mar 12</c:v>
                </c:pt>
                <c:pt idx="46">
                  <c:v>Apr 12</c:v>
                </c:pt>
                <c:pt idx="47">
                  <c:v>May 12</c:v>
                </c:pt>
                <c:pt idx="48">
                  <c:v>Jun 12</c:v>
                </c:pt>
                <c:pt idx="49">
                  <c:v>Jul 12</c:v>
                </c:pt>
                <c:pt idx="50">
                  <c:v>Aug 12</c:v>
                </c:pt>
                <c:pt idx="51">
                  <c:v>Sep 12</c:v>
                </c:pt>
                <c:pt idx="52">
                  <c:v>Oct 12</c:v>
                </c:pt>
                <c:pt idx="53">
                  <c:v>Nov 12</c:v>
                </c:pt>
                <c:pt idx="54">
                  <c:v>Dec 12</c:v>
                </c:pt>
                <c:pt idx="55">
                  <c:v>Jan 13</c:v>
                </c:pt>
                <c:pt idx="56">
                  <c:v>Feb 13</c:v>
                </c:pt>
                <c:pt idx="57">
                  <c:v>Mar 13</c:v>
                </c:pt>
                <c:pt idx="58">
                  <c:v>Apr 13</c:v>
                </c:pt>
                <c:pt idx="59">
                  <c:v>May 13</c:v>
                </c:pt>
                <c:pt idx="60">
                  <c:v>Jun 13</c:v>
                </c:pt>
              </c:strCache>
            </c:strRef>
          </c:cat>
          <c:val>
            <c:numRef>
              <c:f>'[1]Data 1.3'!$L$210:$L$270</c:f>
              <c:numCache>
                <c:formatCode>0.0</c:formatCode>
                <c:ptCount val="61"/>
                <c:pt idx="0">
                  <c:v>65.655197400000006</c:v>
                </c:pt>
                <c:pt idx="1">
                  <c:v>65.644223199999999</c:v>
                </c:pt>
                <c:pt idx="2">
                  <c:v>65.508499</c:v>
                </c:pt>
                <c:pt idx="3">
                  <c:v>65.527219400000007</c:v>
                </c:pt>
                <c:pt idx="4">
                  <c:v>65.534882999999994</c:v>
                </c:pt>
                <c:pt idx="5">
                  <c:v>65.433000300000003</c:v>
                </c:pt>
                <c:pt idx="6">
                  <c:v>65.408267100000003</c:v>
                </c:pt>
                <c:pt idx="7">
                  <c:v>65.438151199999993</c:v>
                </c:pt>
                <c:pt idx="8">
                  <c:v>65.697530799999996</c:v>
                </c:pt>
                <c:pt idx="9">
                  <c:v>65.711781599999995</c:v>
                </c:pt>
                <c:pt idx="10">
                  <c:v>65.620961399999999</c:v>
                </c:pt>
                <c:pt idx="11">
                  <c:v>65.608450899999994</c:v>
                </c:pt>
                <c:pt idx="12">
                  <c:v>65.488332</c:v>
                </c:pt>
                <c:pt idx="13">
                  <c:v>65.510839399999995</c:v>
                </c:pt>
                <c:pt idx="14">
                  <c:v>65.295600500000006</c:v>
                </c:pt>
                <c:pt idx="15">
                  <c:v>65.338555499999998</c:v>
                </c:pt>
                <c:pt idx="16">
                  <c:v>65.276036500000004</c:v>
                </c:pt>
                <c:pt idx="17">
                  <c:v>65.311276399999997</c:v>
                </c:pt>
                <c:pt idx="18">
                  <c:v>65.410292299999995</c:v>
                </c:pt>
                <c:pt idx="19">
                  <c:v>65.387202099999996</c:v>
                </c:pt>
                <c:pt idx="20">
                  <c:v>65.300353099999995</c:v>
                </c:pt>
                <c:pt idx="21">
                  <c:v>65.3129749</c:v>
                </c:pt>
                <c:pt idx="22">
                  <c:v>65.3921347</c:v>
                </c:pt>
                <c:pt idx="23">
                  <c:v>65.109220399999998</c:v>
                </c:pt>
                <c:pt idx="24">
                  <c:v>65.368384199999994</c:v>
                </c:pt>
                <c:pt idx="25">
                  <c:v>65.501526999999996</c:v>
                </c:pt>
                <c:pt idx="26">
                  <c:v>65.418793199999996</c:v>
                </c:pt>
                <c:pt idx="27">
                  <c:v>65.544507199999998</c:v>
                </c:pt>
                <c:pt idx="28">
                  <c:v>65.760931400000004</c:v>
                </c:pt>
                <c:pt idx="29">
                  <c:v>65.929674399999996</c:v>
                </c:pt>
                <c:pt idx="30">
                  <c:v>65.719771300000005</c:v>
                </c:pt>
                <c:pt idx="31">
                  <c:v>65.846708399999997</c:v>
                </c:pt>
                <c:pt idx="32">
                  <c:v>65.660705699999994</c:v>
                </c:pt>
                <c:pt idx="33">
                  <c:v>65.750492199999997</c:v>
                </c:pt>
                <c:pt idx="34">
                  <c:v>65.508698100000004</c:v>
                </c:pt>
                <c:pt idx="35">
                  <c:v>65.421662999999995</c:v>
                </c:pt>
                <c:pt idx="36">
                  <c:v>65.555035899999993</c:v>
                </c:pt>
                <c:pt idx="37">
                  <c:v>65.564716700000005</c:v>
                </c:pt>
                <c:pt idx="38">
                  <c:v>65.567101100000002</c:v>
                </c:pt>
                <c:pt idx="39">
                  <c:v>65.599307499999995</c:v>
                </c:pt>
                <c:pt idx="40">
                  <c:v>65.472830799999997</c:v>
                </c:pt>
                <c:pt idx="41">
                  <c:v>65.482100299999999</c:v>
                </c:pt>
                <c:pt idx="42">
                  <c:v>65.190079699999998</c:v>
                </c:pt>
                <c:pt idx="43">
                  <c:v>65.373793699999993</c:v>
                </c:pt>
                <c:pt idx="44">
                  <c:v>65.206252500000005</c:v>
                </c:pt>
                <c:pt idx="45">
                  <c:v>65.403134899999998</c:v>
                </c:pt>
                <c:pt idx="46">
                  <c:v>65.183469299999999</c:v>
                </c:pt>
                <c:pt idx="47">
                  <c:v>65.415781699999997</c:v>
                </c:pt>
                <c:pt idx="48">
                  <c:v>65.254462099999998</c:v>
                </c:pt>
                <c:pt idx="49">
                  <c:v>65.228431200000003</c:v>
                </c:pt>
                <c:pt idx="50">
                  <c:v>65.041561200000004</c:v>
                </c:pt>
                <c:pt idx="51">
                  <c:v>65.304998999999995</c:v>
                </c:pt>
                <c:pt idx="52">
                  <c:v>65.157329300000001</c:v>
                </c:pt>
                <c:pt idx="53">
                  <c:v>65.107159899999999</c:v>
                </c:pt>
                <c:pt idx="54">
                  <c:v>65.119262300000003</c:v>
                </c:pt>
                <c:pt idx="55">
                  <c:v>65.076476400000004</c:v>
                </c:pt>
                <c:pt idx="56">
                  <c:v>65.323889399999999</c:v>
                </c:pt>
                <c:pt idx="57">
                  <c:v>65.176266900000002</c:v>
                </c:pt>
                <c:pt idx="58">
                  <c:v>65.339908300000005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72864"/>
        <c:axId val="127974400"/>
      </c:lineChart>
      <c:catAx>
        <c:axId val="12797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9744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27974400"/>
        <c:scaling>
          <c:orientation val="minMax"/>
          <c:max val="66.5"/>
          <c:min val="6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972864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571500</xdr:colOff>
          <xdr:row>44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>
        <row r="56">
          <cell r="I56">
            <v>41438</v>
          </cell>
        </row>
      </sheetData>
      <sheetData sheetId="1"/>
      <sheetData sheetId="2"/>
      <sheetData sheetId="3"/>
      <sheetData sheetId="4"/>
      <sheetData sheetId="5">
        <row r="210">
          <cell r="A210" t="str">
            <v>Jun 08</v>
          </cell>
          <cell r="L210">
            <v>65.655197400000006</v>
          </cell>
        </row>
        <row r="211">
          <cell r="A211">
            <v>39630</v>
          </cell>
          <cell r="D211">
            <v>11388.278864800001</v>
          </cell>
          <cell r="L211">
            <v>65.644223199999999</v>
          </cell>
        </row>
        <row r="212">
          <cell r="A212">
            <v>39661</v>
          </cell>
          <cell r="D212">
            <v>11387.328627999999</v>
          </cell>
          <cell r="L212">
            <v>65.508499</v>
          </cell>
        </row>
        <row r="213">
          <cell r="A213">
            <v>39692</v>
          </cell>
          <cell r="D213">
            <v>11413.0494488</v>
          </cell>
          <cell r="L213">
            <v>65.527219400000007</v>
          </cell>
        </row>
        <row r="214">
          <cell r="A214">
            <v>39722</v>
          </cell>
          <cell r="D214">
            <v>11435.645725300001</v>
          </cell>
          <cell r="L214">
            <v>65.534882999999994</v>
          </cell>
        </row>
        <row r="215">
          <cell r="A215">
            <v>39753</v>
          </cell>
          <cell r="D215">
            <v>11439.3367113</v>
          </cell>
          <cell r="L215">
            <v>65.433000300000003</v>
          </cell>
        </row>
        <row r="216">
          <cell r="A216">
            <v>39783</v>
          </cell>
          <cell r="D216">
            <v>11456.233128100001</v>
          </cell>
          <cell r="L216">
            <v>65.408267100000003</v>
          </cell>
        </row>
        <row r="217">
          <cell r="A217">
            <v>39814</v>
          </cell>
          <cell r="D217">
            <v>11486.0458851</v>
          </cell>
          <cell r="L217">
            <v>65.438151199999993</v>
          </cell>
        </row>
        <row r="218">
          <cell r="A218">
            <v>39845</v>
          </cell>
          <cell r="D218">
            <v>11556.521518899999</v>
          </cell>
          <cell r="L218">
            <v>65.697530799999996</v>
          </cell>
        </row>
        <row r="219">
          <cell r="A219">
            <v>39873</v>
          </cell>
          <cell r="D219">
            <v>11583.709660099999</v>
          </cell>
          <cell r="L219">
            <v>65.711781599999995</v>
          </cell>
        </row>
        <row r="220">
          <cell r="A220">
            <v>39904</v>
          </cell>
          <cell r="D220">
            <v>11585.019819200001</v>
          </cell>
          <cell r="L220">
            <v>65.620961399999999</v>
          </cell>
        </row>
        <row r="221">
          <cell r="A221">
            <v>39934</v>
          </cell>
          <cell r="D221">
            <v>11600.2925237</v>
          </cell>
          <cell r="L221">
            <v>65.608450899999994</v>
          </cell>
        </row>
        <row r="222">
          <cell r="A222" t="str">
            <v>Jun 09</v>
          </cell>
          <cell r="D222">
            <v>11596.3391797</v>
          </cell>
          <cell r="L222">
            <v>65.488332</v>
          </cell>
        </row>
        <row r="223">
          <cell r="A223">
            <v>39995</v>
          </cell>
          <cell r="D223">
            <v>11619.6045118</v>
          </cell>
          <cell r="L223">
            <v>65.510839399999995</v>
          </cell>
        </row>
        <row r="224">
          <cell r="A224">
            <v>40026</v>
          </cell>
          <cell r="D224">
            <v>11600.630562</v>
          </cell>
          <cell r="L224">
            <v>65.295600500000006</v>
          </cell>
        </row>
        <row r="225">
          <cell r="A225">
            <v>40057</v>
          </cell>
          <cell r="D225">
            <v>11627.491217999999</v>
          </cell>
          <cell r="L225">
            <v>65.338555499999998</v>
          </cell>
        </row>
        <row r="226">
          <cell r="A226">
            <v>40087</v>
          </cell>
          <cell r="D226">
            <v>11631.5839397</v>
          </cell>
          <cell r="L226">
            <v>65.276036500000004</v>
          </cell>
        </row>
        <row r="227">
          <cell r="A227">
            <v>40118</v>
          </cell>
          <cell r="D227">
            <v>11653.107678799999</v>
          </cell>
          <cell r="L227">
            <v>65.311276399999997</v>
          </cell>
        </row>
        <row r="228">
          <cell r="A228">
            <v>40148</v>
          </cell>
          <cell r="D228">
            <v>11686.0242521</v>
          </cell>
          <cell r="L228">
            <v>65.410292299999995</v>
          </cell>
        </row>
        <row r="229">
          <cell r="A229">
            <v>40179</v>
          </cell>
          <cell r="D229">
            <v>11701.611305500001</v>
          </cell>
          <cell r="L229">
            <v>65.387202099999996</v>
          </cell>
        </row>
        <row r="230">
          <cell r="A230">
            <v>40210</v>
          </cell>
          <cell r="D230">
            <v>11705.8980259</v>
          </cell>
          <cell r="L230">
            <v>65.300353099999995</v>
          </cell>
        </row>
        <row r="231">
          <cell r="A231">
            <v>40238</v>
          </cell>
          <cell r="D231">
            <v>11727.8505389</v>
          </cell>
          <cell r="L231">
            <v>65.3129749</v>
          </cell>
        </row>
        <row r="232">
          <cell r="A232">
            <v>40269</v>
          </cell>
          <cell r="D232">
            <v>11755.551903400001</v>
          </cell>
          <cell r="L232">
            <v>65.3921347</v>
          </cell>
        </row>
        <row r="233">
          <cell r="A233">
            <v>40299</v>
          </cell>
          <cell r="D233">
            <v>11718.3014984</v>
          </cell>
          <cell r="L233">
            <v>65.109220399999998</v>
          </cell>
        </row>
        <row r="234">
          <cell r="A234" t="str">
            <v>Jun 10</v>
          </cell>
          <cell r="D234">
            <v>11778.4278005</v>
          </cell>
          <cell r="L234">
            <v>65.368384199999994</v>
          </cell>
        </row>
        <row r="235">
          <cell r="A235">
            <v>40360</v>
          </cell>
          <cell r="D235">
            <v>11816.886165600001</v>
          </cell>
          <cell r="L235">
            <v>65.501526999999996</v>
          </cell>
        </row>
        <row r="236">
          <cell r="A236">
            <v>40391</v>
          </cell>
          <cell r="D236">
            <v>11816.516158799999</v>
          </cell>
          <cell r="L236">
            <v>65.418793199999996</v>
          </cell>
        </row>
        <row r="237">
          <cell r="A237">
            <v>40422</v>
          </cell>
          <cell r="D237">
            <v>11853.7011877</v>
          </cell>
          <cell r="L237">
            <v>65.544507199999998</v>
          </cell>
        </row>
        <row r="238">
          <cell r="A238">
            <v>40452</v>
          </cell>
          <cell r="D238">
            <v>11906.7787969</v>
          </cell>
          <cell r="L238">
            <v>65.760931400000004</v>
          </cell>
        </row>
        <row r="239">
          <cell r="A239">
            <v>40483</v>
          </cell>
          <cell r="D239">
            <v>11951.5058924</v>
          </cell>
          <cell r="L239">
            <v>65.929674399999996</v>
          </cell>
        </row>
        <row r="240">
          <cell r="A240">
            <v>40513</v>
          </cell>
          <cell r="D240">
            <v>11927.384027599999</v>
          </cell>
          <cell r="L240">
            <v>65.719771300000005</v>
          </cell>
        </row>
        <row r="241">
          <cell r="A241">
            <v>40544</v>
          </cell>
          <cell r="D241">
            <v>11970.5529749</v>
          </cell>
          <cell r="L241">
            <v>65.846708399999997</v>
          </cell>
        </row>
        <row r="242">
          <cell r="A242">
            <v>40575</v>
          </cell>
          <cell r="D242">
            <v>11955.4277456</v>
          </cell>
          <cell r="L242">
            <v>65.660705699999994</v>
          </cell>
        </row>
        <row r="243">
          <cell r="A243">
            <v>40603</v>
          </cell>
          <cell r="D243">
            <v>11990.4017833</v>
          </cell>
          <cell r="L243">
            <v>65.750492199999997</v>
          </cell>
        </row>
        <row r="244">
          <cell r="A244">
            <v>40634</v>
          </cell>
          <cell r="D244">
            <v>11961.172263300001</v>
          </cell>
          <cell r="L244">
            <v>65.508698100000004</v>
          </cell>
        </row>
        <row r="245">
          <cell r="A245">
            <v>40664</v>
          </cell>
          <cell r="D245">
            <v>11960.2628267</v>
          </cell>
          <cell r="L245">
            <v>65.421662999999995</v>
          </cell>
        </row>
        <row r="246">
          <cell r="A246" t="str">
            <v>Jun 11</v>
          </cell>
          <cell r="D246">
            <v>11999.5208834</v>
          </cell>
          <cell r="L246">
            <v>65.555035899999993</v>
          </cell>
        </row>
        <row r="247">
          <cell r="A247">
            <v>40725</v>
          </cell>
          <cell r="D247">
            <v>12015.5774955</v>
          </cell>
          <cell r="L247">
            <v>65.564716700000005</v>
          </cell>
        </row>
        <row r="248">
          <cell r="A248">
            <v>40756</v>
          </cell>
          <cell r="D248">
            <v>12030.466774799999</v>
          </cell>
          <cell r="L248">
            <v>65.567101100000002</v>
          </cell>
        </row>
        <row r="249">
          <cell r="A249">
            <v>40787</v>
          </cell>
          <cell r="D249">
            <v>12050.6682344</v>
          </cell>
          <cell r="L249">
            <v>65.599307499999995</v>
          </cell>
        </row>
        <row r="250">
          <cell r="A250">
            <v>40817</v>
          </cell>
          <cell r="D250">
            <v>12043.4011797</v>
          </cell>
          <cell r="L250">
            <v>65.472830799999997</v>
          </cell>
        </row>
        <row r="251">
          <cell r="A251">
            <v>40848</v>
          </cell>
          <cell r="D251">
            <v>12061.180797200001</v>
          </cell>
          <cell r="L251">
            <v>65.482100299999999</v>
          </cell>
        </row>
        <row r="252">
          <cell r="A252">
            <v>40878</v>
          </cell>
          <cell r="D252">
            <v>12023.2912822</v>
          </cell>
          <cell r="L252">
            <v>65.190079699999998</v>
          </cell>
        </row>
        <row r="253">
          <cell r="A253">
            <v>40909</v>
          </cell>
          <cell r="D253">
            <v>12077.849579</v>
          </cell>
          <cell r="L253">
            <v>65.373793699999993</v>
          </cell>
        </row>
        <row r="254">
          <cell r="A254">
            <v>40940</v>
          </cell>
          <cell r="D254">
            <v>12067.562039599999</v>
          </cell>
          <cell r="L254">
            <v>65.206252500000005</v>
          </cell>
        </row>
        <row r="255">
          <cell r="A255">
            <v>40969</v>
          </cell>
          <cell r="D255">
            <v>12124.682984499999</v>
          </cell>
          <cell r="L255">
            <v>65.403134899999998</v>
          </cell>
        </row>
        <row r="256">
          <cell r="A256">
            <v>41000</v>
          </cell>
          <cell r="D256">
            <v>12100.253141699999</v>
          </cell>
          <cell r="L256">
            <v>65.183469299999999</v>
          </cell>
        </row>
        <row r="257">
          <cell r="A257">
            <v>41030</v>
          </cell>
          <cell r="D257">
            <v>12159.743885399999</v>
          </cell>
          <cell r="L257">
            <v>65.415781699999997</v>
          </cell>
        </row>
        <row r="258">
          <cell r="A258" t="str">
            <v>Jun 12</v>
          </cell>
          <cell r="D258">
            <v>12146.0675142</v>
          </cell>
          <cell r="L258">
            <v>65.254462099999998</v>
          </cell>
        </row>
        <row r="259">
          <cell r="A259">
            <v>41091</v>
          </cell>
          <cell r="D259">
            <v>12159.160757899999</v>
          </cell>
          <cell r="L259">
            <v>65.228431200000003</v>
          </cell>
        </row>
        <row r="260">
          <cell r="A260">
            <v>41122</v>
          </cell>
          <cell r="D260">
            <v>12142.269534700001</v>
          </cell>
          <cell r="L260">
            <v>65.041561200000004</v>
          </cell>
        </row>
        <row r="261">
          <cell r="A261">
            <v>41153</v>
          </cell>
          <cell r="D261">
            <v>12209.4088975</v>
          </cell>
          <cell r="L261">
            <v>65.304998999999995</v>
          </cell>
        </row>
        <row r="262">
          <cell r="A262">
            <v>41183</v>
          </cell>
          <cell r="D262">
            <v>12198.014997599999</v>
          </cell>
          <cell r="L262">
            <v>65.157329300000001</v>
          </cell>
        </row>
        <row r="263">
          <cell r="A263">
            <v>41214</v>
          </cell>
          <cell r="D263">
            <v>12204.9211359</v>
          </cell>
          <cell r="L263">
            <v>65.107159899999999</v>
          </cell>
        </row>
        <row r="264">
          <cell r="A264">
            <v>41244</v>
          </cell>
          <cell r="D264">
            <v>12223.3947573</v>
          </cell>
          <cell r="L264">
            <v>65.119262300000003</v>
          </cell>
        </row>
        <row r="265">
          <cell r="A265">
            <v>41275</v>
          </cell>
          <cell r="D265">
            <v>12237.6378964</v>
          </cell>
          <cell r="L265">
            <v>65.076476400000004</v>
          </cell>
        </row>
        <row r="266">
          <cell r="A266">
            <v>41306</v>
          </cell>
          <cell r="D266">
            <v>12306.588974</v>
          </cell>
          <cell r="L266">
            <v>65.323889399999999</v>
          </cell>
        </row>
        <row r="267">
          <cell r="A267">
            <v>41334</v>
          </cell>
          <cell r="D267">
            <v>12301.086408900001</v>
          </cell>
          <cell r="L267">
            <v>65.176266900000002</v>
          </cell>
        </row>
        <row r="268">
          <cell r="A268">
            <v>41365</v>
          </cell>
          <cell r="D268">
            <v>12348.516128699999</v>
          </cell>
          <cell r="L268">
            <v>65.339908300000005</v>
          </cell>
        </row>
        <row r="269">
          <cell r="A269">
            <v>41395</v>
          </cell>
          <cell r="D269" t="str">
            <v xml:space="preserve"> </v>
          </cell>
          <cell r="L269" t="e">
            <v>#N/A</v>
          </cell>
        </row>
        <row r="270">
          <cell r="A270">
            <v>41426</v>
          </cell>
          <cell r="D270" t="str">
            <v xml:space="preserve"> </v>
          </cell>
          <cell r="L270" t="e">
            <v>#N/A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9"/>
  <sheetViews>
    <sheetView tabSelected="1" topLeftCell="A4" zoomScaleNormal="100" workbookViewId="0">
      <selection activeCell="Q26" sqref="Q26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f>'[1]Data 1.3'!D211</f>
        <v>11388.278864800001</v>
      </c>
      <c r="C22" s="14">
        <f>'[1]Data 1.3'!D223</f>
        <v>11619.6045118</v>
      </c>
      <c r="D22" s="14">
        <f>'[1]Data 1.3'!D235</f>
        <v>11816.886165600001</v>
      </c>
      <c r="E22" s="14">
        <f>'[1]Data 1.3'!D247</f>
        <v>12015.5774955</v>
      </c>
      <c r="F22" s="14">
        <f>IF('[1]Data 1.3'!D259=0," ",'[1]Data 1.3'!D259)</f>
        <v>12159.160757899999</v>
      </c>
      <c r="H22" s="5"/>
    </row>
    <row r="23" spans="1:15" ht="12.95" customHeight="1" x14ac:dyDescent="0.2">
      <c r="A23" s="13" t="s">
        <v>10</v>
      </c>
      <c r="B23" s="14">
        <f>'[1]Data 1.3'!D212</f>
        <v>11387.328627999999</v>
      </c>
      <c r="C23" s="14">
        <f>'[1]Data 1.3'!D224</f>
        <v>11600.630562</v>
      </c>
      <c r="D23" s="14">
        <f>'[1]Data 1.3'!D236</f>
        <v>11816.516158799999</v>
      </c>
      <c r="E23" s="14">
        <f>'[1]Data 1.3'!D248</f>
        <v>12030.466774799999</v>
      </c>
      <c r="F23" s="14">
        <f>IF('[1]Data 1.3'!D260=0," ",'[1]Data 1.3'!D260)</f>
        <v>12142.269534700001</v>
      </c>
      <c r="H23" s="5"/>
    </row>
    <row r="24" spans="1:15" ht="12.95" customHeight="1" x14ac:dyDescent="0.2">
      <c r="A24" s="13" t="s">
        <v>11</v>
      </c>
      <c r="B24" s="14">
        <f>'[1]Data 1.3'!D213</f>
        <v>11413.0494488</v>
      </c>
      <c r="C24" s="14">
        <f>'[1]Data 1.3'!D225</f>
        <v>11627.491217999999</v>
      </c>
      <c r="D24" s="14">
        <f>'[1]Data 1.3'!D237</f>
        <v>11853.7011877</v>
      </c>
      <c r="E24" s="14">
        <f>'[1]Data 1.3'!D249</f>
        <v>12050.6682344</v>
      </c>
      <c r="F24" s="14">
        <f>IF('[1]Data 1.3'!D261=0," ",'[1]Data 1.3'!D261)</f>
        <v>12209.4088975</v>
      </c>
      <c r="H24" s="5"/>
    </row>
    <row r="25" spans="1:15" ht="12.95" customHeight="1" x14ac:dyDescent="0.2">
      <c r="A25" s="13" t="s">
        <v>12</v>
      </c>
      <c r="B25" s="14">
        <f>'[1]Data 1.3'!D214</f>
        <v>11435.645725300001</v>
      </c>
      <c r="C25" s="14">
        <f>'[1]Data 1.3'!D226</f>
        <v>11631.5839397</v>
      </c>
      <c r="D25" s="14">
        <f>'[1]Data 1.3'!D238</f>
        <v>11906.7787969</v>
      </c>
      <c r="E25" s="14">
        <f>'[1]Data 1.3'!D250</f>
        <v>12043.4011797</v>
      </c>
      <c r="F25" s="14">
        <f>IF('[1]Data 1.3'!D262=0," ",'[1]Data 1.3'!D262)</f>
        <v>12198.014997599999</v>
      </c>
      <c r="H25" s="5"/>
    </row>
    <row r="26" spans="1:15" ht="12.95" customHeight="1" x14ac:dyDescent="0.2">
      <c r="A26" s="13" t="s">
        <v>13</v>
      </c>
      <c r="B26" s="14">
        <f>'[1]Data 1.3'!D215</f>
        <v>11439.3367113</v>
      </c>
      <c r="C26" s="14">
        <f>'[1]Data 1.3'!D227</f>
        <v>11653.107678799999</v>
      </c>
      <c r="D26" s="14">
        <f>'[1]Data 1.3'!D239</f>
        <v>11951.5058924</v>
      </c>
      <c r="E26" s="14">
        <f>'[1]Data 1.3'!D251</f>
        <v>12061.180797200001</v>
      </c>
      <c r="F26" s="14">
        <f>IF('[1]Data 1.3'!D263=0," ",'[1]Data 1.3'!D263)</f>
        <v>12204.9211359</v>
      </c>
      <c r="H26" s="5"/>
    </row>
    <row r="27" spans="1:15" ht="12.95" customHeight="1" x14ac:dyDescent="0.2">
      <c r="A27" s="13" t="s">
        <v>14</v>
      </c>
      <c r="B27" s="14">
        <f>'[1]Data 1.3'!D216</f>
        <v>11456.233128100001</v>
      </c>
      <c r="C27" s="14">
        <f>'[1]Data 1.3'!D228</f>
        <v>11686.0242521</v>
      </c>
      <c r="D27" s="14">
        <f>'[1]Data 1.3'!D240</f>
        <v>11927.384027599999</v>
      </c>
      <c r="E27" s="14">
        <f>IF('[1]Data 1.3'!D252=0," ",'[1]Data 1.3'!D252)</f>
        <v>12023.2912822</v>
      </c>
      <c r="F27" s="14">
        <f>IF('[1]Data 1.3'!D264=0," ",'[1]Data 1.3'!D264)</f>
        <v>12223.3947573</v>
      </c>
      <c r="H27" s="5"/>
    </row>
    <row r="28" spans="1:15" ht="12.95" customHeight="1" x14ac:dyDescent="0.2">
      <c r="A28" s="15" t="s">
        <v>15</v>
      </c>
      <c r="B28" s="14">
        <f>'[1]Data 1.3'!D217</f>
        <v>11486.0458851</v>
      </c>
      <c r="C28" s="14">
        <f>'[1]Data 1.3'!D229</f>
        <v>11701.611305500001</v>
      </c>
      <c r="D28" s="14">
        <f>'[1]Data 1.3'!D241</f>
        <v>11970.5529749</v>
      </c>
      <c r="E28" s="14">
        <f>IF('[1]Data 1.3'!D253=0," ",'[1]Data 1.3'!D253)</f>
        <v>12077.849579</v>
      </c>
      <c r="F28" s="14">
        <f>IF('[1]Data 1.3'!D265=0," ",'[1]Data 1.3'!D265)</f>
        <v>12237.6378964</v>
      </c>
      <c r="H28" s="5"/>
    </row>
    <row r="29" spans="1:15" ht="12.95" customHeight="1" x14ac:dyDescent="0.2">
      <c r="A29" s="13" t="s">
        <v>16</v>
      </c>
      <c r="B29" s="14">
        <f>'[1]Data 1.3'!D218</f>
        <v>11556.521518899999</v>
      </c>
      <c r="C29" s="14">
        <f>'[1]Data 1.3'!D230</f>
        <v>11705.8980259</v>
      </c>
      <c r="D29" s="14">
        <f>'[1]Data 1.3'!D242</f>
        <v>11955.4277456</v>
      </c>
      <c r="E29" s="14">
        <f>IF('[1]Data 1.3'!D254=0," ",'[1]Data 1.3'!D254)</f>
        <v>12067.562039599999</v>
      </c>
      <c r="F29" s="14">
        <f>IF('[1]Data 1.3'!D266=0," ",'[1]Data 1.3'!D266)</f>
        <v>12306.588974</v>
      </c>
      <c r="H29" s="5"/>
    </row>
    <row r="30" spans="1:15" ht="12.95" customHeight="1" x14ac:dyDescent="0.2">
      <c r="A30" s="13" t="s">
        <v>17</v>
      </c>
      <c r="B30" s="14">
        <f>'[1]Data 1.3'!D219</f>
        <v>11583.709660099999</v>
      </c>
      <c r="C30" s="14">
        <f>'[1]Data 1.3'!D231</f>
        <v>11727.8505389</v>
      </c>
      <c r="D30" s="14">
        <f>'[1]Data 1.3'!D243</f>
        <v>11990.4017833</v>
      </c>
      <c r="E30" s="14">
        <f>IF('[1]Data 1.3'!D255=0," ",'[1]Data 1.3'!D255)</f>
        <v>12124.682984499999</v>
      </c>
      <c r="F30" s="14">
        <f>IF('[1]Data 1.3'!D267=0," ",'[1]Data 1.3'!D267)</f>
        <v>12301.086408900001</v>
      </c>
      <c r="H30" s="5"/>
    </row>
    <row r="31" spans="1:15" ht="12.95" customHeight="1" x14ac:dyDescent="0.2">
      <c r="A31" s="13" t="s">
        <v>18</v>
      </c>
      <c r="B31" s="14">
        <f>'[1]Data 1.3'!D220</f>
        <v>11585.019819200001</v>
      </c>
      <c r="C31" s="14">
        <f>'[1]Data 1.3'!D232</f>
        <v>11755.551903400001</v>
      </c>
      <c r="D31" s="14">
        <f>'[1]Data 1.3'!D244</f>
        <v>11961.172263300001</v>
      </c>
      <c r="E31" s="14">
        <f>IF('[1]Data 1.3'!D256=0," ",'[1]Data 1.3'!D256)</f>
        <v>12100.253141699999</v>
      </c>
      <c r="F31" s="14">
        <f>IF('[1]Data 1.3'!D268=0," ",'[1]Data 1.3'!D268)</f>
        <v>12348.516128699999</v>
      </c>
      <c r="H31" s="5"/>
      <c r="O31" s="16"/>
    </row>
    <row r="32" spans="1:15" ht="12.95" customHeight="1" x14ac:dyDescent="0.2">
      <c r="A32" s="13" t="s">
        <v>19</v>
      </c>
      <c r="B32" s="14">
        <f>'[1]Data 1.3'!D221</f>
        <v>11600.2925237</v>
      </c>
      <c r="C32" s="14">
        <f>'[1]Data 1.3'!D233</f>
        <v>11718.3014984</v>
      </c>
      <c r="D32" s="14">
        <f>'[1]Data 1.3'!D245</f>
        <v>11960.2628267</v>
      </c>
      <c r="E32" s="14">
        <f>IF('[1]Data 1.3'!D257=0," ",'[1]Data 1.3'!D257)</f>
        <v>12159.743885399999</v>
      </c>
      <c r="F32" s="14" t="str">
        <f>IF('[1]Data 1.3'!D269=0," ",'[1]Data 1.3'!D269)</f>
        <v xml:space="preserve"> </v>
      </c>
      <c r="H32" s="5"/>
    </row>
    <row r="33" spans="1:8" ht="12.95" customHeight="1" x14ac:dyDescent="0.2">
      <c r="A33" s="13" t="s">
        <v>20</v>
      </c>
      <c r="B33" s="14">
        <f>'[1]Data 1.3'!D222</f>
        <v>11596.3391797</v>
      </c>
      <c r="C33" s="14">
        <f>'[1]Data 1.3'!D234</f>
        <v>11778.4278005</v>
      </c>
      <c r="D33" s="14">
        <f>'[1]Data 1.3'!D246</f>
        <v>11999.5208834</v>
      </c>
      <c r="E33" s="14">
        <f>IF('[1]Data 1.3'!D258=0," ",'[1]Data 1.3'!D258)</f>
        <v>12146.0675142</v>
      </c>
      <c r="F33" s="14" t="str">
        <f>IF('[1]Data 1.3'!D270=0," ",'[1]Data 1.3'!D270)</f>
        <v xml:space="preserve"> </v>
      </c>
      <c r="H33" s="5"/>
    </row>
    <row r="34" spans="1:8" ht="11.1" customHeight="1" x14ac:dyDescent="0.2">
      <c r="A34" s="13"/>
      <c r="F34" s="14"/>
      <c r="H34" s="5"/>
    </row>
    <row r="35" spans="1:8" ht="12.95" customHeight="1" x14ac:dyDescent="0.2">
      <c r="A35" s="13" t="s">
        <v>21</v>
      </c>
      <c r="B35" s="14">
        <f>IF(OR(B33=0,B33=" ")," ",SUM(B22:B33)/12)</f>
        <v>11493.983424416665</v>
      </c>
      <c r="C35" s="14">
        <f t="shared" ref="C35:F35" si="0">IF(OR(C33=0,C33=" ")," ",SUM(C22:C33)/12)</f>
        <v>11683.840269583336</v>
      </c>
      <c r="D35" s="14">
        <f t="shared" si="0"/>
        <v>11925.842558849998</v>
      </c>
      <c r="E35" s="14">
        <f t="shared" si="0"/>
        <v>12075.062075683332</v>
      </c>
      <c r="F35" s="14" t="str">
        <f t="shared" si="0"/>
        <v xml:space="preserve"> </v>
      </c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f>'[1]Data 1.3'!L211</f>
        <v>65.644223199999999</v>
      </c>
      <c r="C39" s="22">
        <f>'[1]Data 1.3'!L223</f>
        <v>65.510839399999995</v>
      </c>
      <c r="D39" s="22">
        <f>'[1]Data 1.3'!L235</f>
        <v>65.501526999999996</v>
      </c>
      <c r="E39" s="22">
        <f>'[1]Data 1.3'!L247</f>
        <v>65.564716700000005</v>
      </c>
      <c r="F39" s="22">
        <f>IF(ISERROR('[1]Data 1.3'!L259)," ",'[1]Data 1.3'!L259)</f>
        <v>65.228431200000003</v>
      </c>
      <c r="H39" s="5"/>
    </row>
    <row r="40" spans="1:8" ht="12.95" customHeight="1" x14ac:dyDescent="0.2">
      <c r="A40" s="21" t="s">
        <v>10</v>
      </c>
      <c r="B40" s="22">
        <f>'[1]Data 1.3'!L212</f>
        <v>65.508499</v>
      </c>
      <c r="C40" s="22">
        <f>'[1]Data 1.3'!L224</f>
        <v>65.295600500000006</v>
      </c>
      <c r="D40" s="22">
        <f>'[1]Data 1.3'!L236</f>
        <v>65.418793199999996</v>
      </c>
      <c r="E40" s="22">
        <f>'[1]Data 1.3'!L248</f>
        <v>65.567101100000002</v>
      </c>
      <c r="F40" s="22">
        <f>IF(ISERROR('[1]Data 1.3'!L260)," ",'[1]Data 1.3'!L260)</f>
        <v>65.041561200000004</v>
      </c>
      <c r="H40" s="5"/>
    </row>
    <row r="41" spans="1:8" ht="12.95" customHeight="1" x14ac:dyDescent="0.2">
      <c r="A41" s="21" t="s">
        <v>11</v>
      </c>
      <c r="B41" s="22">
        <f>'[1]Data 1.3'!L213</f>
        <v>65.527219400000007</v>
      </c>
      <c r="C41" s="22">
        <f>'[1]Data 1.3'!L225</f>
        <v>65.338555499999998</v>
      </c>
      <c r="D41" s="22">
        <f>'[1]Data 1.3'!L237</f>
        <v>65.544507199999998</v>
      </c>
      <c r="E41" s="22">
        <f>'[1]Data 1.3'!L249</f>
        <v>65.599307499999995</v>
      </c>
      <c r="F41" s="22">
        <f>IF(ISERROR('[1]Data 1.3'!L261)," ",'[1]Data 1.3'!L261)</f>
        <v>65.304998999999995</v>
      </c>
      <c r="H41" s="5"/>
    </row>
    <row r="42" spans="1:8" ht="12.95" customHeight="1" x14ac:dyDescent="0.2">
      <c r="A42" s="21" t="s">
        <v>12</v>
      </c>
      <c r="B42" s="22">
        <f>'[1]Data 1.3'!L214</f>
        <v>65.534882999999994</v>
      </c>
      <c r="C42" s="22">
        <f>'[1]Data 1.3'!L226</f>
        <v>65.276036500000004</v>
      </c>
      <c r="D42" s="22">
        <f>'[1]Data 1.3'!L238</f>
        <v>65.760931400000004</v>
      </c>
      <c r="E42" s="22">
        <f>'[1]Data 1.3'!L250</f>
        <v>65.472830799999997</v>
      </c>
      <c r="F42" s="22">
        <f>IF(ISERROR('[1]Data 1.3'!L262)," ",'[1]Data 1.3'!L262)</f>
        <v>65.157329300000001</v>
      </c>
      <c r="H42" s="5"/>
    </row>
    <row r="43" spans="1:8" ht="12.95" customHeight="1" x14ac:dyDescent="0.2">
      <c r="A43" s="21" t="s">
        <v>13</v>
      </c>
      <c r="B43" s="22">
        <f>'[1]Data 1.3'!L215</f>
        <v>65.433000300000003</v>
      </c>
      <c r="C43" s="22">
        <f>'[1]Data 1.3'!L227</f>
        <v>65.311276399999997</v>
      </c>
      <c r="D43" s="22">
        <f>'[1]Data 1.3'!L239</f>
        <v>65.929674399999996</v>
      </c>
      <c r="E43" s="22">
        <f>'[1]Data 1.3'!L251</f>
        <v>65.482100299999999</v>
      </c>
      <c r="F43" s="22">
        <f>IF(ISERROR('[1]Data 1.3'!L263)," ",'[1]Data 1.3'!L263)</f>
        <v>65.107159899999999</v>
      </c>
      <c r="H43" s="5"/>
    </row>
    <row r="44" spans="1:8" ht="12.95" customHeight="1" x14ac:dyDescent="0.2">
      <c r="A44" s="21" t="s">
        <v>14</v>
      </c>
      <c r="B44" s="22">
        <f>'[1]Data 1.3'!L216</f>
        <v>65.408267100000003</v>
      </c>
      <c r="C44" s="22">
        <f>'[1]Data 1.3'!L228</f>
        <v>65.410292299999995</v>
      </c>
      <c r="D44" s="22">
        <f>'[1]Data 1.3'!L240</f>
        <v>65.719771300000005</v>
      </c>
      <c r="E44" s="22">
        <f>IF('[1]Data 1.3'!L252=0," ",'[1]Data 1.3'!L252)</f>
        <v>65.190079699999998</v>
      </c>
      <c r="F44" s="22">
        <f>IF(ISERROR('[1]Data 1.3'!L264)," ",'[1]Data 1.3'!L264)</f>
        <v>65.119262300000003</v>
      </c>
      <c r="H44" s="5"/>
    </row>
    <row r="45" spans="1:8" ht="12.95" customHeight="1" x14ac:dyDescent="0.2">
      <c r="A45" s="23" t="s">
        <v>15</v>
      </c>
      <c r="B45" s="22">
        <f>'[1]Data 1.3'!L217</f>
        <v>65.438151199999993</v>
      </c>
      <c r="C45" s="22">
        <f>'[1]Data 1.3'!L229</f>
        <v>65.387202099999996</v>
      </c>
      <c r="D45" s="22">
        <f>'[1]Data 1.3'!L241</f>
        <v>65.846708399999997</v>
      </c>
      <c r="E45" s="22">
        <f>IF('[1]Data 1.3'!L253=0," ",'[1]Data 1.3'!L253)</f>
        <v>65.373793699999993</v>
      </c>
      <c r="F45" s="22">
        <f>IF(ISERROR('[1]Data 1.3'!L265)," ",'[1]Data 1.3'!L265)</f>
        <v>65.076476400000004</v>
      </c>
      <c r="H45" s="5"/>
    </row>
    <row r="46" spans="1:8" ht="12.95" customHeight="1" x14ac:dyDescent="0.2">
      <c r="A46" s="21" t="s">
        <v>16</v>
      </c>
      <c r="B46" s="22">
        <f>'[1]Data 1.3'!L218</f>
        <v>65.697530799999996</v>
      </c>
      <c r="C46" s="22">
        <f>'[1]Data 1.3'!L230</f>
        <v>65.300353099999995</v>
      </c>
      <c r="D46" s="22">
        <f>'[1]Data 1.3'!L242</f>
        <v>65.660705699999994</v>
      </c>
      <c r="E46" s="22">
        <f>IF('[1]Data 1.3'!L254=0," ",'[1]Data 1.3'!L254)</f>
        <v>65.206252500000005</v>
      </c>
      <c r="F46" s="22">
        <f>IF(ISERROR('[1]Data 1.3'!L266)," ",'[1]Data 1.3'!L266)</f>
        <v>65.323889399999999</v>
      </c>
      <c r="H46" s="5"/>
    </row>
    <row r="47" spans="1:8" ht="12.95" customHeight="1" x14ac:dyDescent="0.2">
      <c r="A47" s="21" t="s">
        <v>17</v>
      </c>
      <c r="B47" s="22">
        <f>'[1]Data 1.3'!L219</f>
        <v>65.711781599999995</v>
      </c>
      <c r="C47" s="22">
        <f>'[1]Data 1.3'!L231</f>
        <v>65.3129749</v>
      </c>
      <c r="D47" s="22">
        <f>'[1]Data 1.3'!L243</f>
        <v>65.750492199999997</v>
      </c>
      <c r="E47" s="22">
        <f>IF('[1]Data 1.3'!L255=0," ",'[1]Data 1.3'!L255)</f>
        <v>65.403134899999998</v>
      </c>
      <c r="F47" s="22">
        <f>IF(ISERROR('[1]Data 1.3'!L267)," ",'[1]Data 1.3'!L267)</f>
        <v>65.176266900000002</v>
      </c>
      <c r="H47" s="5"/>
    </row>
    <row r="48" spans="1:8" ht="12.95" customHeight="1" x14ac:dyDescent="0.2">
      <c r="A48" s="21" t="s">
        <v>18</v>
      </c>
      <c r="B48" s="22">
        <f>'[1]Data 1.3'!L220</f>
        <v>65.620961399999999</v>
      </c>
      <c r="C48" s="22">
        <f>'[1]Data 1.3'!L232</f>
        <v>65.3921347</v>
      </c>
      <c r="D48" s="22">
        <f>'[1]Data 1.3'!L244</f>
        <v>65.508698100000004</v>
      </c>
      <c r="E48" s="22">
        <f>IF('[1]Data 1.3'!L256=0," ",'[1]Data 1.3'!L256)</f>
        <v>65.183469299999999</v>
      </c>
      <c r="F48" s="22">
        <f>IF(ISERROR('[1]Data 1.3'!L268)," ",'[1]Data 1.3'!L268)</f>
        <v>65.339908300000005</v>
      </c>
      <c r="H48" s="5"/>
    </row>
    <row r="49" spans="1:10" ht="12.95" customHeight="1" x14ac:dyDescent="0.2">
      <c r="A49" s="21" t="s">
        <v>19</v>
      </c>
      <c r="B49" s="22">
        <f>'[1]Data 1.3'!L221</f>
        <v>65.608450899999994</v>
      </c>
      <c r="C49" s="22">
        <f>'[1]Data 1.3'!L233</f>
        <v>65.109220399999998</v>
      </c>
      <c r="D49" s="22">
        <f>'[1]Data 1.3'!L245</f>
        <v>65.421662999999995</v>
      </c>
      <c r="E49" s="22">
        <f>IF('[1]Data 1.3'!L257=0," ",'[1]Data 1.3'!L257)</f>
        <v>65.415781699999997</v>
      </c>
      <c r="F49" s="22" t="str">
        <f>IF(ISERROR('[1]Data 1.3'!L269)," ",'[1]Data 1.3'!L269)</f>
        <v xml:space="preserve"> </v>
      </c>
      <c r="H49" s="5"/>
    </row>
    <row r="50" spans="1:10" ht="12.95" customHeight="1" x14ac:dyDescent="0.2">
      <c r="A50" s="24" t="s">
        <v>20</v>
      </c>
      <c r="B50" s="22">
        <f>'[1]Data 1.3'!L222</f>
        <v>65.488332</v>
      </c>
      <c r="C50" s="22">
        <f>'[1]Data 1.3'!L234</f>
        <v>65.368384199999994</v>
      </c>
      <c r="D50" s="22">
        <f>'[1]Data 1.3'!L246</f>
        <v>65.555035899999993</v>
      </c>
      <c r="E50" s="22">
        <f>IF('[1]Data 1.3'!L258=0," ",'[1]Data 1.3'!L258)</f>
        <v>65.254462099999998</v>
      </c>
      <c r="F50" s="22" t="str">
        <f>IF(ISERROR('[1]Data 1.3'!L270)," ",'[1]Data 1.3'!L270)</f>
        <v xml:space="preserve"> </v>
      </c>
      <c r="H50" s="5"/>
    </row>
    <row r="51" spans="1:10" ht="11.1" customHeight="1" x14ac:dyDescent="0.2">
      <c r="A51" s="24"/>
      <c r="F51" s="22"/>
      <c r="H51" s="5"/>
    </row>
    <row r="52" spans="1:10" ht="12.95" customHeight="1" x14ac:dyDescent="0.2">
      <c r="A52" s="13" t="s">
        <v>21</v>
      </c>
      <c r="B52" s="14">
        <f t="shared" ref="B52:E52" si="1">IF(OR(B50=0,B50=" ")," ",SUM(B39:B50)/12)</f>
        <v>65.551774991666676</v>
      </c>
      <c r="C52" s="14">
        <f t="shared" si="1"/>
        <v>65.334405833333349</v>
      </c>
      <c r="D52" s="14">
        <f t="shared" si="1"/>
        <v>65.634875649999984</v>
      </c>
      <c r="E52" s="14">
        <f t="shared" si="1"/>
        <v>65.392752525000006</v>
      </c>
      <c r="F52" s="14" t="str">
        <f>IF(OR(F50=0,F50=" ")," ",SUM(F39:F50)/12)</f>
        <v xml:space="preserve"> </v>
      </c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 t="s">
        <v>24</v>
      </c>
      <c r="H56" s="5"/>
      <c r="I56" s="30" t="s">
        <v>25</v>
      </c>
    </row>
    <row r="57" spans="1:10" ht="11.1" customHeight="1" x14ac:dyDescent="0.2">
      <c r="A57" s="31" t="s">
        <v>26</v>
      </c>
      <c r="H57" s="5"/>
      <c r="I57" s="32">
        <f>'[1]Table 1.1'!I56</f>
        <v>41438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571500</xdr:colOff>
                <xdr:row>44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2013-06-03T04:20:00Z</dcterms:created>
  <dcterms:modified xsi:type="dcterms:W3CDTF">2013-06-03T04:20:11Z</dcterms:modified>
</cp:coreProperties>
</file>