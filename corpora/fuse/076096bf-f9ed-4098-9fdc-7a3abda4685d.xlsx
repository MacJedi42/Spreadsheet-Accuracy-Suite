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Bid Summary" sheetId="1" r:id="rId1"/>
    <sheet name="Bid Worksheet" sheetId="2" r:id="rId2"/>
    <sheet name="Sheet3" sheetId="3" r:id="rId3"/>
  </sheets>
  <definedNames>
    <definedName name="lowes">'Bid Worksheet'!$N$18</definedName>
    <definedName name="RANK">'Bid Worksheet'!$C$21</definedName>
  </definedNames>
  <calcPr calcId="144525"/>
</workbook>
</file>

<file path=xl/calcChain.xml><?xml version="1.0" encoding="utf-8"?>
<calcChain xmlns="http://schemas.openxmlformats.org/spreadsheetml/2006/main">
  <c r="B3" i="1" l="1"/>
  <c r="E10" i="1"/>
  <c r="E9" i="1"/>
  <c r="O32" i="2"/>
  <c r="O33" i="2"/>
  <c r="D23" i="2"/>
  <c r="D24" i="2"/>
  <c r="D25" i="2"/>
  <c r="D26" i="2"/>
  <c r="D27" i="2"/>
  <c r="D28" i="2"/>
  <c r="D29" i="2"/>
  <c r="D30" i="2"/>
  <c r="D31" i="2"/>
  <c r="F23" i="2"/>
  <c r="F24" i="2"/>
  <c r="F25" i="2"/>
  <c r="F26" i="2"/>
  <c r="F27" i="2"/>
  <c r="F28" i="2"/>
  <c r="F29" i="2"/>
  <c r="F30" i="2"/>
  <c r="F31" i="2"/>
  <c r="H23" i="2"/>
  <c r="H24" i="2"/>
  <c r="H25" i="2"/>
  <c r="H26" i="2"/>
  <c r="H27" i="2"/>
  <c r="H28" i="2"/>
  <c r="H29" i="2"/>
  <c r="H30" i="2"/>
  <c r="H31" i="2"/>
  <c r="J23" i="2"/>
  <c r="J24" i="2"/>
  <c r="J25" i="2"/>
  <c r="J26" i="2"/>
  <c r="J27" i="2"/>
  <c r="J28" i="2"/>
  <c r="J29" i="2"/>
  <c r="J30" i="2"/>
  <c r="J31" i="2"/>
  <c r="L23" i="2"/>
  <c r="L24" i="2"/>
  <c r="L25" i="2"/>
  <c r="L26" i="2"/>
  <c r="L27" i="2"/>
  <c r="L28" i="2"/>
  <c r="L29" i="2"/>
  <c r="L30" i="2"/>
  <c r="L31" i="2"/>
  <c r="N23" i="2"/>
  <c r="N24" i="2"/>
  <c r="N25" i="2"/>
  <c r="N26" i="2"/>
  <c r="N27" i="2"/>
  <c r="N28" i="2"/>
  <c r="N29" i="2"/>
  <c r="N30" i="2"/>
  <c r="N31" i="2"/>
  <c r="P24" i="2" l="1"/>
  <c r="P25" i="2"/>
  <c r="P26" i="2"/>
  <c r="P27" i="2"/>
  <c r="P28" i="2"/>
  <c r="P29" i="2"/>
  <c r="P30" i="2"/>
  <c r="P31" i="2"/>
  <c r="P23" i="2"/>
  <c r="B10" i="1"/>
  <c r="B9" i="1"/>
  <c r="B8" i="1"/>
  <c r="B7" i="1"/>
  <c r="B6" i="1"/>
  <c r="B5" i="1"/>
  <c r="O19" i="2"/>
  <c r="K20" i="2" s="1"/>
  <c r="E21" i="2"/>
  <c r="D6" i="1" s="1"/>
  <c r="G21" i="2"/>
  <c r="D7" i="1" s="1"/>
  <c r="I21" i="2"/>
  <c r="D8" i="1" s="1"/>
  <c r="K21" i="2"/>
  <c r="D9" i="1" s="1"/>
  <c r="M21" i="2"/>
  <c r="D10" i="1" s="1"/>
  <c r="C21" i="2"/>
  <c r="D5" i="1" s="1"/>
  <c r="P32" i="2" l="1"/>
  <c r="P33" i="2" s="1"/>
  <c r="E20" i="2"/>
  <c r="I20" i="2"/>
  <c r="M20" i="2"/>
  <c r="C20" i="2"/>
  <c r="G20" i="2"/>
  <c r="D33" i="2" l="1"/>
  <c r="F32" i="2"/>
  <c r="H32" i="2"/>
  <c r="J32" i="2"/>
  <c r="L32" i="2"/>
  <c r="N32" i="2"/>
  <c r="D32" i="2"/>
  <c r="H33" i="2"/>
  <c r="N33" i="2"/>
  <c r="F33" i="2"/>
  <c r="J33" i="2"/>
  <c r="L33" i="2"/>
  <c r="L34" i="2" l="1"/>
  <c r="H34" i="2"/>
  <c r="F34" i="2"/>
  <c r="J34" i="2"/>
  <c r="N34" i="2"/>
  <c r="D34" i="2"/>
  <c r="F35" i="2" s="1"/>
  <c r="E6" i="1" s="1"/>
  <c r="H35" i="2" l="1"/>
  <c r="E7" i="1" s="1"/>
  <c r="J35" i="2"/>
  <c r="E8" i="1" s="1"/>
  <c r="D35" i="2"/>
  <c r="E5" i="1" s="1"/>
</calcChain>
</file>

<file path=xl/sharedStrings.xml><?xml version="1.0" encoding="utf-8"?>
<sst xmlns="http://schemas.openxmlformats.org/spreadsheetml/2006/main" count="58" uniqueCount="57">
  <si>
    <t>Bidder 1</t>
  </si>
  <si>
    <t>Bidder 2</t>
  </si>
  <si>
    <t>Bidder 3</t>
  </si>
  <si>
    <t>Bidder 4</t>
  </si>
  <si>
    <t>Bidder 5</t>
  </si>
  <si>
    <t>Bidder 6</t>
  </si>
  <si>
    <t>Lowest Cost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</si>
  <si>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</si>
  <si>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</si>
  <si>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</si>
  <si>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</si>
  <si>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</si>
  <si>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</si>
  <si>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</si>
  <si>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</si>
  <si>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</si>
  <si>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</si>
  <si>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Bid Price - prices should reflect the whole life cost of the purchase where possible.  In all cases the prices entered in the template must represent a ‘like for like’ comparison between bidders.</t>
  </si>
  <si>
    <t>0= no submission/submission not relevant</t>
  </si>
  <si>
    <t>1= submission partially relevant but poor</t>
  </si>
  <si>
    <t>2= submission partially relevant and acceptable</t>
  </si>
  <si>
    <t>3= submission completely relevant and acceptable</t>
  </si>
  <si>
    <t>4= submission completely relevant and good</t>
  </si>
  <si>
    <t>5= submission completely relevant and exceptional</t>
  </si>
  <si>
    <t>Scoring Rationale:</t>
  </si>
  <si>
    <t>Use the following guide when ranking quality and technical criteria</t>
  </si>
  <si>
    <t>Bid Price</t>
  </si>
  <si>
    <t>Quality and Technical</t>
  </si>
  <si>
    <t>Cost</t>
  </si>
  <si>
    <t>Spec 1</t>
  </si>
  <si>
    <t>Spec 2</t>
  </si>
  <si>
    <t>Spec 3</t>
  </si>
  <si>
    <t>Spec 4</t>
  </si>
  <si>
    <t>Spec 5</t>
  </si>
  <si>
    <t>Spec 6</t>
  </si>
  <si>
    <t>Spec 7</t>
  </si>
  <si>
    <t>Spec 8</t>
  </si>
  <si>
    <t>Spec 9</t>
  </si>
  <si>
    <t>Rank by Price</t>
  </si>
  <si>
    <t>Weight as % of total</t>
  </si>
  <si>
    <r>
      <rPr>
        <b/>
        <sz val="11"/>
        <color theme="1"/>
        <rFont val="Calibri"/>
        <family val="2"/>
        <scheme val="minor"/>
      </rPr>
      <t>Weight</t>
    </r>
    <r>
      <rPr>
        <sz val="11"/>
        <color theme="1"/>
        <rFont val="Calibri"/>
        <family val="2"/>
        <scheme val="minor"/>
      </rPr>
      <t xml:space="preserve"> (% of importance) does not have to =100%</t>
    </r>
  </si>
  <si>
    <t>% Variance</t>
  </si>
  <si>
    <t>Bidder</t>
  </si>
  <si>
    <t>Price Rank</t>
  </si>
  <si>
    <t>Overall Rank</t>
  </si>
  <si>
    <t>Bid Evaluation for:</t>
  </si>
  <si>
    <t>By:</t>
  </si>
  <si>
    <t>Price (weighted score)</t>
  </si>
  <si>
    <t>Overall Weighted Score</t>
  </si>
  <si>
    <t>For more than 4 bidders edit formula in D:35 to include the addional array and copy paste across all bidders.</t>
  </si>
  <si>
    <t>Bid Criteria should match what is in RFP</t>
  </si>
  <si>
    <r>
      <rPr>
        <b/>
        <sz val="14"/>
        <color theme="1"/>
        <rFont val="Calibri"/>
        <family val="2"/>
        <scheme val="minor"/>
      </rPr>
      <t xml:space="preserve">Instructions: </t>
    </r>
    <r>
      <rPr>
        <sz val="11"/>
        <color theme="1"/>
        <rFont val="Calibri"/>
        <family val="2"/>
        <scheme val="minor"/>
      </rPr>
      <t xml:space="preserve">Complete </t>
    </r>
    <r>
      <rPr>
        <sz val="11"/>
        <color rgb="FFFFFF00"/>
        <rFont val="Calibri"/>
        <family val="2"/>
        <scheme val="minor"/>
      </rPr>
      <t xml:space="preserve">YELLOW </t>
    </r>
    <r>
      <rPr>
        <sz val="11"/>
        <rFont val="Calibri"/>
        <family val="2"/>
        <scheme val="minor"/>
      </rPr>
      <t>cells</t>
    </r>
  </si>
  <si>
    <t>MAX</t>
  </si>
  <si>
    <t>Quality and Technical Score</t>
  </si>
  <si>
    <t>Determine importance of Price in overall bid and put as % in cell O:21</t>
  </si>
  <si>
    <t>Determine importance of each non price criteria in relation to rank , % of total bid will auto calculate</t>
  </si>
  <si>
    <t>Password = Vikings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</si>
</sst>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F800]dddd\,\ mmmm\ dd\,\ yyyy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6" tint="0.59999389629810485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1" applyProtection="1"/>
    <xf numFmtId="9" fontId="0" fillId="2" borderId="0" xfId="0" applyNumberFormat="1" applyFill="1" applyProtection="1">
      <protection locked="0"/>
    </xf>
    <xf numFmtId="0" fontId="6" fillId="0" borderId="0" xfId="0" applyFont="1"/>
    <xf numFmtId="0" fontId="3" fillId="2" borderId="0" xfId="0" applyFont="1" applyFill="1" applyProtection="1">
      <protection locked="0"/>
    </xf>
    <xf numFmtId="0" fontId="0" fillId="2" borderId="0" xfId="0" applyFill="1" applyProtection="1">
      <protection locked="0"/>
    </xf>
    <xf numFmtId="0" fontId="6" fillId="0" borderId="0" xfId="0" applyFont="1" applyProtection="1"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9" fontId="4" fillId="2" borderId="0" xfId="0" applyNumberFormat="1" applyFont="1" applyFill="1" applyProtection="1">
      <protection locked="0"/>
    </xf>
    <xf numFmtId="0" fontId="0" fillId="5" borderId="0" xfId="0" applyFill="1" applyProtection="1"/>
    <xf numFmtId="164" fontId="0" fillId="5" borderId="0" xfId="0" applyNumberFormat="1" applyFill="1" applyProtection="1"/>
    <xf numFmtId="0" fontId="0" fillId="0" borderId="0" xfId="0" applyProtection="1"/>
    <xf numFmtId="0" fontId="0" fillId="4" borderId="0" xfId="0" applyFill="1" applyProtection="1"/>
    <xf numFmtId="0" fontId="0" fillId="4" borderId="0" xfId="0" applyFill="1" applyAlignment="1" applyProtection="1">
      <alignment horizontal="left" vertical="top" wrapText="1"/>
    </xf>
    <xf numFmtId="0" fontId="1" fillId="4" borderId="1" xfId="0" applyFont="1" applyFill="1" applyBorder="1" applyProtection="1"/>
    <xf numFmtId="49" fontId="1" fillId="4" borderId="2" xfId="0" applyNumberFormat="1" applyFont="1" applyFill="1" applyBorder="1" applyProtection="1"/>
    <xf numFmtId="164" fontId="1" fillId="4" borderId="3" xfId="0" applyNumberFormat="1" applyFont="1" applyFill="1" applyBorder="1" applyProtection="1"/>
    <xf numFmtId="0" fontId="0" fillId="4" borderId="0" xfId="0" quotePrefix="1" applyFill="1" applyBorder="1" applyAlignment="1" applyProtection="1">
      <alignment wrapText="1"/>
    </xf>
    <xf numFmtId="49" fontId="1" fillId="4" borderId="0" xfId="0" applyNumberFormat="1" applyFont="1" applyFill="1" applyBorder="1" applyProtection="1"/>
    <xf numFmtId="164" fontId="1" fillId="4" borderId="0" xfId="0" applyNumberFormat="1" applyFont="1" applyFill="1" applyBorder="1" applyProtection="1"/>
    <xf numFmtId="0" fontId="0" fillId="4" borderId="0" xfId="0" applyFill="1" applyBorder="1" applyProtection="1"/>
    <xf numFmtId="0" fontId="0" fillId="4" borderId="7" xfId="0" applyFill="1" applyBorder="1" applyProtection="1"/>
    <xf numFmtId="49" fontId="1" fillId="4" borderId="8" xfId="0" applyNumberFormat="1" applyFont="1" applyFill="1" applyBorder="1" applyProtection="1"/>
    <xf numFmtId="164" fontId="1" fillId="4" borderId="8" xfId="0" applyNumberFormat="1" applyFont="1" applyFill="1" applyBorder="1" applyProtection="1"/>
    <xf numFmtId="0" fontId="0" fillId="4" borderId="8" xfId="0" applyFill="1" applyBorder="1" applyProtection="1"/>
    <xf numFmtId="0" fontId="0" fillId="4" borderId="9" xfId="0" applyFill="1" applyBorder="1" applyProtection="1"/>
    <xf numFmtId="164" fontId="0" fillId="4" borderId="0" xfId="0" applyNumberFormat="1" applyFill="1" applyBorder="1" applyProtection="1"/>
    <xf numFmtId="0" fontId="3" fillId="3" borderId="0" xfId="0" applyFont="1" applyFill="1" applyProtection="1"/>
    <xf numFmtId="164" fontId="0" fillId="3" borderId="0" xfId="0" applyNumberFormat="1" applyFill="1" applyAlignment="1" applyProtection="1">
      <alignment textRotation="180"/>
    </xf>
    <xf numFmtId="0" fontId="3" fillId="3" borderId="0" xfId="0" applyFont="1" applyFill="1" applyAlignment="1" applyProtection="1">
      <alignment textRotation="180"/>
    </xf>
    <xf numFmtId="0" fontId="3" fillId="0" borderId="0" xfId="0" applyFont="1" applyProtection="1"/>
    <xf numFmtId="0" fontId="8" fillId="3" borderId="0" xfId="0" applyFont="1" applyFill="1" applyProtection="1"/>
    <xf numFmtId="0" fontId="0" fillId="3" borderId="0" xfId="0" applyFill="1" applyAlignment="1" applyProtection="1">
      <alignment textRotation="180"/>
    </xf>
    <xf numFmtId="10" fontId="0" fillId="3" borderId="0" xfId="0" applyNumberFormat="1" applyFill="1" applyProtection="1"/>
    <xf numFmtId="0" fontId="0" fillId="3" borderId="0" xfId="0" applyFill="1" applyAlignment="1" applyProtection="1">
      <alignment wrapText="1"/>
    </xf>
    <xf numFmtId="0" fontId="6" fillId="0" borderId="0" xfId="0" applyFont="1" applyProtection="1"/>
    <xf numFmtId="0" fontId="4" fillId="0" borderId="0" xfId="0" applyFont="1" applyProtection="1"/>
    <xf numFmtId="164" fontId="0" fillId="3" borderId="0" xfId="0" applyNumberFormat="1" applyFill="1" applyProtection="1"/>
    <xf numFmtId="0" fontId="4" fillId="3" borderId="0" xfId="0" applyFont="1" applyFill="1" applyAlignment="1" applyProtection="1">
      <alignment horizontal="left" vertical="top" wrapText="1"/>
    </xf>
    <xf numFmtId="0" fontId="4" fillId="3" borderId="0" xfId="0" applyFont="1" applyFill="1" applyProtection="1"/>
    <xf numFmtId="164" fontId="4" fillId="3" borderId="0" xfId="0" applyNumberFormat="1" applyFont="1" applyFill="1" applyProtection="1"/>
    <xf numFmtId="9" fontId="7" fillId="3" borderId="0" xfId="0" applyNumberFormat="1" applyFont="1" applyFill="1" applyProtection="1"/>
    <xf numFmtId="2" fontId="0" fillId="3" borderId="0" xfId="0" applyNumberFormat="1" applyFill="1" applyProtection="1"/>
    <xf numFmtId="0" fontId="7" fillId="3" borderId="0" xfId="0" applyFont="1" applyFill="1" applyProtection="1"/>
    <xf numFmtId="10" fontId="6" fillId="0" borderId="0" xfId="0" applyNumberFormat="1" applyFont="1" applyProtection="1"/>
    <xf numFmtId="9" fontId="0" fillId="3" borderId="0" xfId="0" applyNumberFormat="1" applyFill="1" applyProtection="1"/>
    <xf numFmtId="1" fontId="0" fillId="3" borderId="0" xfId="0" applyNumberFormat="1" applyFill="1" applyProtection="1"/>
    <xf numFmtId="0" fontId="0" fillId="0" borderId="0" xfId="0" applyFill="1" applyProtection="1"/>
    <xf numFmtId="164" fontId="0" fillId="0" borderId="0" xfId="0" applyNumberFormat="1" applyProtection="1"/>
    <xf numFmtId="0" fontId="0" fillId="0" borderId="0" xfId="0" applyAlignment="1" applyProtection="1">
      <alignment horizontal="center" vertical="center"/>
    </xf>
    <xf numFmtId="0" fontId="4" fillId="4" borderId="0" xfId="0" applyFont="1" applyFill="1" applyProtection="1"/>
    <xf numFmtId="164" fontId="4" fillId="4" borderId="0" xfId="0" applyNumberFormat="1" applyFont="1" applyFill="1" applyProtection="1"/>
    <xf numFmtId="0" fontId="4" fillId="4" borderId="3" xfId="0" quotePrefix="1" applyFont="1" applyFill="1" applyBorder="1" applyAlignment="1" applyProtection="1">
      <alignment wrapText="1"/>
    </xf>
    <xf numFmtId="0" fontId="4" fillId="4" borderId="4" xfId="0" quotePrefix="1" applyFont="1" applyFill="1" applyBorder="1" applyAlignment="1" applyProtection="1">
      <alignment wrapText="1"/>
    </xf>
    <xf numFmtId="0" fontId="4" fillId="4" borderId="5" xfId="0" applyFont="1" applyFill="1" applyBorder="1" applyProtection="1"/>
    <xf numFmtId="0" fontId="4" fillId="4" borderId="0" xfId="0" applyFont="1" applyFill="1" applyBorder="1" applyProtection="1"/>
    <xf numFmtId="0" fontId="4" fillId="4" borderId="6" xfId="0" applyFont="1" applyFill="1" applyBorder="1" applyProtection="1"/>
    <xf numFmtId="0" fontId="3" fillId="0" borderId="0" xfId="0" applyFont="1" applyAlignment="1" applyProtection="1"/>
    <xf numFmtId="165" fontId="3" fillId="0" borderId="0" xfId="0" applyNumberFormat="1" applyFont="1" applyAlignment="1" applyProtection="1">
      <alignment horizontal="left"/>
    </xf>
    <xf numFmtId="0" fontId="0" fillId="0" borderId="0" xfId="0" applyAlignment="1" applyProtection="1">
      <alignment horizontal="center" vertical="center"/>
    </xf>
    <xf numFmtId="0" fontId="0" fillId="0" borderId="0" xfId="0" applyAlignment="1" applyProtection="1">
      <protection locked="0"/>
    </xf>
    <xf numFmtId="0" fontId="3" fillId="3" borderId="0" xfId="0" applyFont="1" applyFill="1" applyAlignment="1" applyProtection="1">
      <alignment textRotation="180"/>
    </xf>
    <xf numFmtId="0" fontId="0" fillId="0" borderId="0" xfId="0" applyAlignment="1" applyProtection="1">
      <alignment textRotation="180"/>
    </xf>
    <xf numFmtId="0" fontId="4" fillId="4" borderId="0" xfId="0" applyFont="1" applyFill="1" applyAlignment="1" applyProtection="1">
      <alignment horizontal="left" vertical="top" wrapText="1"/>
    </xf>
    <xf numFmtId="164" fontId="3" fillId="3" borderId="0" xfId="0" applyNumberFormat="1" applyFont="1" applyFill="1" applyAlignment="1" applyProtection="1">
      <alignment textRotation="180"/>
    </xf>
    <xf numFmtId="164" fontId="0" fillId="0" borderId="0" xfId="0" applyNumberFormat="1" applyAlignment="1" applyProtection="1">
      <alignment textRotation="18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2F5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123825</xdr:rowOff>
    </xdr:from>
    <xdr:to>
      <xdr:col>5</xdr:col>
      <xdr:colOff>152400</xdr:colOff>
      <xdr:row>0</xdr:row>
      <xdr:rowOff>614553</xdr:rowOff>
    </xdr:to>
    <xdr:pic>
      <xdr:nvPicPr>
        <xdr:cNvPr id="4" name="Picture 3" descr="Augie Logo 4 inch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0" y="123825"/>
          <a:ext cx="3657600" cy="4907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D2" sqref="D2:F2"/>
    </sheetView>
  </sheetViews>
  <sheetFormatPr defaultRowHeight="15" x14ac:dyDescent="0.25"/>
  <cols>
    <col min="1" max="1" width="9.140625" style="11" customWidth="1"/>
    <col min="2" max="2" width="27.85546875" style="11" customWidth="1"/>
    <col min="3" max="3" width="3.140625" style="11" customWidth="1"/>
    <col min="4" max="4" width="10.140625" style="11" bestFit="1" customWidth="1"/>
    <col min="5" max="5" width="12.28515625" style="11" customWidth="1"/>
    <col min="6" max="16384" width="9.140625" style="11"/>
  </cols>
  <sheetData>
    <row r="1" spans="2:7" ht="51.75" customHeight="1" x14ac:dyDescent="0.25">
      <c r="B1" s="59"/>
      <c r="C1" s="59"/>
      <c r="D1" s="59"/>
      <c r="E1" s="59"/>
      <c r="F1" s="59"/>
      <c r="G1" s="49"/>
    </row>
    <row r="2" spans="2:7" ht="23.25" customHeight="1" x14ac:dyDescent="0.25">
      <c r="B2" s="57" t="s">
        <v>45</v>
      </c>
      <c r="C2" s="57"/>
      <c r="D2" s="60"/>
      <c r="E2" s="60"/>
      <c r="F2" s="60"/>
      <c r="G2" s="49"/>
    </row>
    <row r="3" spans="2:7" ht="23.25" customHeight="1" x14ac:dyDescent="0.25">
      <c r="B3" s="58">
        <f ca="1">TODAY()</f>
        <v>40729</v>
      </c>
      <c r="C3" s="58" t="s">
        <v>46</v>
      </c>
      <c r="D3" s="60"/>
      <c r="E3" s="60"/>
      <c r="F3" s="60"/>
      <c r="G3" s="49"/>
    </row>
    <row r="4" spans="2:7" s="30" customFormat="1" x14ac:dyDescent="0.25">
      <c r="B4" s="30" t="s">
        <v>42</v>
      </c>
      <c r="D4" s="30" t="s">
        <v>43</v>
      </c>
      <c r="E4" s="30" t="s">
        <v>44</v>
      </c>
    </row>
    <row r="5" spans="2:7" x14ac:dyDescent="0.25">
      <c r="B5" s="11" t="str">
        <f>'Bid Worksheet'!C18</f>
        <v>Bidder 1</v>
      </c>
      <c r="D5" s="11">
        <f>RANK</f>
        <v>2</v>
      </c>
      <c r="E5" s="11">
        <f>'Bid Worksheet'!D35</f>
        <v>3</v>
      </c>
    </row>
    <row r="6" spans="2:7" x14ac:dyDescent="0.25">
      <c r="B6" s="11" t="str">
        <f>'Bid Worksheet'!E18</f>
        <v>Bidder 2</v>
      </c>
      <c r="D6" s="11">
        <f>'Bid Worksheet'!E21</f>
        <v>3</v>
      </c>
      <c r="E6" s="11">
        <f>'Bid Worksheet'!F35</f>
        <v>4</v>
      </c>
    </row>
    <row r="7" spans="2:7" x14ac:dyDescent="0.25">
      <c r="B7" s="11" t="str">
        <f>'Bid Worksheet'!G18</f>
        <v>Bidder 3</v>
      </c>
      <c r="D7" s="11">
        <f>'Bid Worksheet'!G21</f>
        <v>1</v>
      </c>
      <c r="E7" s="11">
        <f>'Bid Worksheet'!H35</f>
        <v>1</v>
      </c>
    </row>
    <row r="8" spans="2:7" x14ac:dyDescent="0.25">
      <c r="B8" s="11" t="str">
        <f>'Bid Worksheet'!I18</f>
        <v>Bidder 4</v>
      </c>
      <c r="D8" s="11">
        <f>'Bid Worksheet'!I21</f>
        <v>4</v>
      </c>
      <c r="E8" s="11">
        <f>'Bid Worksheet'!J35</f>
        <v>2</v>
      </c>
    </row>
    <row r="9" spans="2:7" x14ac:dyDescent="0.25">
      <c r="B9" s="11" t="str">
        <f>'Bid Worksheet'!K18</f>
        <v>Bidder 5</v>
      </c>
      <c r="D9" s="11" t="e">
        <f>'Bid Worksheet'!K21</f>
        <v>#N/A</v>
      </c>
      <c r="E9" s="11">
        <f>'Bid Worksheet'!L35</f>
        <v>0</v>
      </c>
    </row>
    <row r="10" spans="2:7" x14ac:dyDescent="0.25">
      <c r="B10" s="11" t="str">
        <f>'Bid Worksheet'!M18</f>
        <v>Bidder 6</v>
      </c>
      <c r="D10" s="11" t="e">
        <f>'Bid Worksheet'!M21</f>
        <v>#N/A</v>
      </c>
      <c r="E10" s="11">
        <f>'Bid Worksheet'!N35</f>
        <v>0</v>
      </c>
    </row>
    <row r="35" spans="1:1" x14ac:dyDescent="0.25">
      <c r="A35" s="6" t="s">
        <v>56</v>
      </c>
    </row>
  </sheetData>
  <sheetProtection sheet="1" objects="1" scenarios="1" selectLockedCells="1"/>
  <protectedRanges>
    <protectedRange password="E70C" sqref="D2 B3:C3 D3" name="Range1"/>
  </protectedRanges>
  <mergeCells count="3">
    <mergeCell ref="B1:F1"/>
    <mergeCell ref="D3:F3"/>
    <mergeCell ref="D2:F2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6"/>
  <sheetViews>
    <sheetView workbookViewId="0">
      <selection activeCell="C18" sqref="C18"/>
    </sheetView>
  </sheetViews>
  <sheetFormatPr defaultRowHeight="15" x14ac:dyDescent="0.25"/>
  <cols>
    <col min="1" max="1" width="3.42578125" style="11" customWidth="1"/>
    <col min="2" max="2" width="44.85546875" style="11" customWidth="1"/>
    <col min="3" max="3" width="8.5703125" style="11" customWidth="1"/>
    <col min="4" max="4" width="7.7109375" style="48" bestFit="1" customWidth="1"/>
    <col min="5" max="5" width="8.28515625" style="11" bestFit="1" customWidth="1"/>
    <col min="6" max="6" width="5.5703125" style="11" bestFit="1" customWidth="1"/>
    <col min="7" max="7" width="8.140625" style="11" customWidth="1"/>
    <col min="8" max="8" width="5.5703125" style="11" bestFit="1" customWidth="1"/>
    <col min="9" max="9" width="8.5703125" style="11" customWidth="1"/>
    <col min="10" max="10" width="5.42578125" style="11" customWidth="1"/>
    <col min="11" max="11" width="8.42578125" style="11" customWidth="1"/>
    <col min="12" max="12" width="7.7109375" style="11" bestFit="1" customWidth="1"/>
    <col min="13" max="13" width="8.28515625" style="11" customWidth="1"/>
    <col min="14" max="14" width="7.7109375" style="11" bestFit="1" customWidth="1"/>
    <col min="15" max="15" width="19.28515625" style="11" bestFit="1" customWidth="1"/>
    <col min="16" max="16384" width="9.140625" style="11"/>
  </cols>
  <sheetData>
    <row r="2" spans="1:10" ht="18.75" x14ac:dyDescent="0.3">
      <c r="A2" s="9" t="s">
        <v>51</v>
      </c>
      <c r="B2" s="9"/>
      <c r="C2" s="9"/>
      <c r="D2" s="10"/>
      <c r="E2" s="9"/>
      <c r="F2" s="9"/>
      <c r="G2" s="9"/>
      <c r="H2" s="9"/>
      <c r="I2" s="9"/>
      <c r="J2" s="9"/>
    </row>
    <row r="3" spans="1:10" x14ac:dyDescent="0.25">
      <c r="A3" s="9">
        <v>1</v>
      </c>
      <c r="B3" s="50" t="s">
        <v>54</v>
      </c>
      <c r="C3" s="50"/>
      <c r="D3" s="51"/>
      <c r="E3" s="50"/>
      <c r="F3" s="50"/>
      <c r="G3" s="50"/>
      <c r="H3" s="50"/>
      <c r="I3" s="50"/>
      <c r="J3" s="12"/>
    </row>
    <row r="4" spans="1:10" x14ac:dyDescent="0.25">
      <c r="A4" s="9">
        <v>2</v>
      </c>
      <c r="B4" s="50" t="s">
        <v>50</v>
      </c>
      <c r="C4" s="50"/>
      <c r="D4" s="51"/>
      <c r="E4" s="50"/>
      <c r="F4" s="50"/>
      <c r="G4" s="50"/>
      <c r="H4" s="50"/>
      <c r="I4" s="50"/>
      <c r="J4" s="12"/>
    </row>
    <row r="5" spans="1:10" x14ac:dyDescent="0.25">
      <c r="A5" s="9">
        <v>3</v>
      </c>
      <c r="B5" s="50" t="s">
        <v>55</v>
      </c>
      <c r="C5" s="50"/>
      <c r="D5" s="51"/>
      <c r="E5" s="50"/>
      <c r="F5" s="50"/>
      <c r="G5" s="50"/>
      <c r="H5" s="50"/>
      <c r="I5" s="50"/>
      <c r="J5" s="12"/>
    </row>
    <row r="6" spans="1:10" ht="30.75" customHeight="1" x14ac:dyDescent="0.25">
      <c r="A6" s="9">
        <v>4</v>
      </c>
      <c r="B6" s="63" t="s">
        <v>17</v>
      </c>
      <c r="C6" s="63"/>
      <c r="D6" s="63"/>
      <c r="E6" s="63"/>
      <c r="F6" s="63"/>
      <c r="G6" s="63"/>
      <c r="H6" s="63"/>
      <c r="I6" s="63"/>
      <c r="J6" s="13"/>
    </row>
    <row r="7" spans="1:10" x14ac:dyDescent="0.25">
      <c r="A7" s="9">
        <v>5</v>
      </c>
      <c r="B7" s="50" t="s">
        <v>25</v>
      </c>
      <c r="C7" s="50"/>
      <c r="D7" s="51"/>
      <c r="E7" s="50"/>
      <c r="F7" s="50"/>
      <c r="G7" s="50"/>
      <c r="H7" s="50"/>
      <c r="I7" s="50"/>
      <c r="J7" s="12"/>
    </row>
    <row r="8" spans="1:10" ht="18" customHeight="1" x14ac:dyDescent="0.25">
      <c r="A8" s="9"/>
      <c r="B8" s="14" t="s">
        <v>24</v>
      </c>
      <c r="C8" s="15" t="s">
        <v>18</v>
      </c>
      <c r="D8" s="16"/>
      <c r="E8" s="52"/>
      <c r="F8" s="52"/>
      <c r="G8" s="52"/>
      <c r="H8" s="52"/>
      <c r="I8" s="53"/>
      <c r="J8" s="17"/>
    </row>
    <row r="9" spans="1:10" x14ac:dyDescent="0.25">
      <c r="A9" s="9"/>
      <c r="B9" s="54"/>
      <c r="C9" s="18" t="s">
        <v>19</v>
      </c>
      <c r="D9" s="19"/>
      <c r="E9" s="55"/>
      <c r="F9" s="55"/>
      <c r="G9" s="55"/>
      <c r="H9" s="55"/>
      <c r="I9" s="56"/>
      <c r="J9" s="20"/>
    </row>
    <row r="10" spans="1:10" x14ac:dyDescent="0.25">
      <c r="A10" s="9"/>
      <c r="B10" s="54"/>
      <c r="C10" s="18" t="s">
        <v>20</v>
      </c>
      <c r="D10" s="19"/>
      <c r="E10" s="55"/>
      <c r="F10" s="55"/>
      <c r="G10" s="55"/>
      <c r="H10" s="55"/>
      <c r="I10" s="56"/>
      <c r="J10" s="20"/>
    </row>
    <row r="11" spans="1:10" x14ac:dyDescent="0.25">
      <c r="A11" s="9"/>
      <c r="B11" s="54"/>
      <c r="C11" s="18" t="s">
        <v>21</v>
      </c>
      <c r="D11" s="19"/>
      <c r="E11" s="55"/>
      <c r="F11" s="55"/>
      <c r="G11" s="55"/>
      <c r="H11" s="55"/>
      <c r="I11" s="56"/>
      <c r="J11" s="20"/>
    </row>
    <row r="12" spans="1:10" x14ac:dyDescent="0.25">
      <c r="A12" s="9"/>
      <c r="B12" s="54"/>
      <c r="C12" s="18" t="s">
        <v>22</v>
      </c>
      <c r="D12" s="19"/>
      <c r="E12" s="55"/>
      <c r="F12" s="55"/>
      <c r="G12" s="55"/>
      <c r="H12" s="55"/>
      <c r="I12" s="56"/>
      <c r="J12" s="20"/>
    </row>
    <row r="13" spans="1:10" x14ac:dyDescent="0.25">
      <c r="A13" s="9"/>
      <c r="B13" s="21"/>
      <c r="C13" s="22" t="s">
        <v>23</v>
      </c>
      <c r="D13" s="23"/>
      <c r="E13" s="24"/>
      <c r="F13" s="24"/>
      <c r="G13" s="24"/>
      <c r="H13" s="24"/>
      <c r="I13" s="25"/>
      <c r="J13" s="20"/>
    </row>
    <row r="14" spans="1:10" x14ac:dyDescent="0.25">
      <c r="A14" s="9">
        <v>6</v>
      </c>
      <c r="B14" s="20" t="s">
        <v>49</v>
      </c>
      <c r="C14" s="20"/>
      <c r="D14" s="26"/>
      <c r="E14" s="20"/>
      <c r="F14" s="20"/>
      <c r="G14" s="20"/>
      <c r="H14" s="20"/>
      <c r="I14" s="20"/>
      <c r="J14" s="20"/>
    </row>
    <row r="18" spans="1:17" s="30" customFormat="1" x14ac:dyDescent="0.25">
      <c r="A18" s="27"/>
      <c r="B18" s="27" t="s">
        <v>28</v>
      </c>
      <c r="C18" s="4" t="s">
        <v>0</v>
      </c>
      <c r="D18" s="28"/>
      <c r="E18" s="4" t="s">
        <v>1</v>
      </c>
      <c r="F18" s="29"/>
      <c r="G18" s="4" t="s">
        <v>2</v>
      </c>
      <c r="H18" s="29"/>
      <c r="I18" s="4" t="s">
        <v>3</v>
      </c>
      <c r="J18" s="29"/>
      <c r="K18" s="4" t="s">
        <v>4</v>
      </c>
      <c r="L18" s="29"/>
      <c r="M18" s="4" t="s">
        <v>5</v>
      </c>
      <c r="N18" s="29"/>
      <c r="O18" s="27" t="s">
        <v>6</v>
      </c>
    </row>
    <row r="19" spans="1:17" x14ac:dyDescent="0.25">
      <c r="A19" s="1" t="s">
        <v>7</v>
      </c>
      <c r="B19" s="31" t="s">
        <v>26</v>
      </c>
      <c r="C19" s="5">
        <v>115</v>
      </c>
      <c r="D19" s="28"/>
      <c r="E19" s="5">
        <v>120</v>
      </c>
      <c r="F19" s="32"/>
      <c r="G19" s="5">
        <v>110</v>
      </c>
      <c r="H19" s="32"/>
      <c r="I19" s="5">
        <v>122</v>
      </c>
      <c r="J19" s="32"/>
      <c r="K19" s="5"/>
      <c r="L19" s="32"/>
      <c r="M19" s="5"/>
      <c r="N19" s="32"/>
      <c r="O19" s="1">
        <f>SMALL(C19:M19,1)</f>
        <v>110</v>
      </c>
    </row>
    <row r="20" spans="1:17" ht="15" customHeight="1" x14ac:dyDescent="0.25">
      <c r="A20" s="1"/>
      <c r="B20" s="27" t="s">
        <v>41</v>
      </c>
      <c r="C20" s="33">
        <f>100%-($O$19/C$19)</f>
        <v>4.3478260869565188E-2</v>
      </c>
      <c r="D20" s="64"/>
      <c r="E20" s="33">
        <f>100%-($O$19/E$19)</f>
        <v>8.333333333333337E-2</v>
      </c>
      <c r="F20" s="61"/>
      <c r="G20" s="33">
        <f>100%-($O$19/G$19)</f>
        <v>0</v>
      </c>
      <c r="H20" s="61"/>
      <c r="I20" s="33">
        <f>100%-($O$19/I$19)</f>
        <v>9.8360655737704916E-2</v>
      </c>
      <c r="J20" s="61"/>
      <c r="K20" s="33" t="e">
        <f>100%-($O$19/K$19)</f>
        <v>#DIV/0!</v>
      </c>
      <c r="L20" s="61"/>
      <c r="M20" s="33" t="e">
        <f>100%-($O$19/M$19)</f>
        <v>#DIV/0!</v>
      </c>
      <c r="N20" s="61"/>
      <c r="O20" s="1" t="s">
        <v>39</v>
      </c>
    </row>
    <row r="21" spans="1:17" x14ac:dyDescent="0.25">
      <c r="A21" s="1"/>
      <c r="B21" s="27" t="s">
        <v>38</v>
      </c>
      <c r="C21" s="1">
        <f>RANK(C$19,$C$19:$M$19,1)</f>
        <v>2</v>
      </c>
      <c r="D21" s="65"/>
      <c r="E21" s="1">
        <f>RANK(E$19,$C$19:$M$19,1)</f>
        <v>3</v>
      </c>
      <c r="F21" s="62"/>
      <c r="G21" s="1">
        <f>RANK(G$19,$C$19:$M$19,1)</f>
        <v>1</v>
      </c>
      <c r="H21" s="62"/>
      <c r="I21" s="1">
        <f>RANK(I$19,$C$19:$M$19,1)</f>
        <v>4</v>
      </c>
      <c r="J21" s="62"/>
      <c r="K21" s="1" t="e">
        <f>RANK(K$19,$C$19:$M$19,1)</f>
        <v>#N/A</v>
      </c>
      <c r="L21" s="62"/>
      <c r="M21" s="1" t="e">
        <f>RANK(M$19,$C$19:$M$19,1)</f>
        <v>#N/A</v>
      </c>
      <c r="N21" s="62"/>
      <c r="O21" s="2">
        <v>0.5</v>
      </c>
    </row>
    <row r="22" spans="1:17" ht="54.75" customHeight="1" x14ac:dyDescent="0.25">
      <c r="A22" s="1"/>
      <c r="B22" s="27" t="s">
        <v>27</v>
      </c>
      <c r="C22" s="1"/>
      <c r="D22" s="65"/>
      <c r="E22" s="1"/>
      <c r="F22" s="62"/>
      <c r="G22" s="1"/>
      <c r="H22" s="62"/>
      <c r="I22" s="1"/>
      <c r="J22" s="62"/>
      <c r="K22" s="1"/>
      <c r="L22" s="62"/>
      <c r="M22" s="1"/>
      <c r="N22" s="62"/>
      <c r="O22" s="34" t="s">
        <v>40</v>
      </c>
      <c r="P22" s="35" t="s">
        <v>52</v>
      </c>
      <c r="Q22" s="36"/>
    </row>
    <row r="23" spans="1:17" x14ac:dyDescent="0.25">
      <c r="A23" s="1" t="s">
        <v>8</v>
      </c>
      <c r="B23" s="7" t="s">
        <v>29</v>
      </c>
      <c r="C23" s="5">
        <v>5</v>
      </c>
      <c r="D23" s="37">
        <f t="shared" ref="D23:F31" si="0">C23*$O23</f>
        <v>5</v>
      </c>
      <c r="E23" s="5">
        <v>5</v>
      </c>
      <c r="F23" s="1">
        <f>E23*$O23</f>
        <v>5</v>
      </c>
      <c r="G23" s="5">
        <v>5</v>
      </c>
      <c r="H23" s="1">
        <f>G23*$O23</f>
        <v>5</v>
      </c>
      <c r="I23" s="5">
        <v>5</v>
      </c>
      <c r="J23" s="1">
        <f>I23*$O23</f>
        <v>5</v>
      </c>
      <c r="K23" s="5"/>
      <c r="L23" s="1">
        <f>K23*$O23</f>
        <v>0</v>
      </c>
      <c r="M23" s="5"/>
      <c r="N23" s="1">
        <f>M23*$O23</f>
        <v>0</v>
      </c>
      <c r="O23" s="8">
        <v>1</v>
      </c>
      <c r="P23" s="35">
        <f t="shared" ref="P23:P31" si="1">5*O23</f>
        <v>5</v>
      </c>
      <c r="Q23" s="35"/>
    </row>
    <row r="24" spans="1:17" x14ac:dyDescent="0.25">
      <c r="A24" s="1" t="s">
        <v>9</v>
      </c>
      <c r="B24" s="7" t="s">
        <v>30</v>
      </c>
      <c r="C24" s="5">
        <v>4</v>
      </c>
      <c r="D24" s="37">
        <f t="shared" si="0"/>
        <v>4</v>
      </c>
      <c r="E24" s="5">
        <v>4</v>
      </c>
      <c r="F24" s="1">
        <f t="shared" si="0"/>
        <v>4</v>
      </c>
      <c r="G24" s="5">
        <v>4</v>
      </c>
      <c r="H24" s="1">
        <f t="shared" ref="H24" si="2">G24*$O24</f>
        <v>4</v>
      </c>
      <c r="I24" s="5">
        <v>5</v>
      </c>
      <c r="J24" s="1">
        <f t="shared" ref="J24" si="3">I24*$O24</f>
        <v>5</v>
      </c>
      <c r="K24" s="5"/>
      <c r="L24" s="1">
        <f t="shared" ref="L24" si="4">K24*$O24</f>
        <v>0</v>
      </c>
      <c r="M24" s="5"/>
      <c r="N24" s="1">
        <f t="shared" ref="N24" si="5">M24*$O24</f>
        <v>0</v>
      </c>
      <c r="O24" s="8">
        <v>1</v>
      </c>
      <c r="P24" s="35">
        <f t="shared" si="1"/>
        <v>5</v>
      </c>
      <c r="Q24" s="35"/>
    </row>
    <row r="25" spans="1:17" x14ac:dyDescent="0.25">
      <c r="A25" s="1" t="s">
        <v>10</v>
      </c>
      <c r="B25" s="7" t="s">
        <v>31</v>
      </c>
      <c r="C25" s="5">
        <v>5</v>
      </c>
      <c r="D25" s="37">
        <f t="shared" si="0"/>
        <v>3.75</v>
      </c>
      <c r="E25" s="5">
        <v>5</v>
      </c>
      <c r="F25" s="1">
        <f t="shared" si="0"/>
        <v>3.75</v>
      </c>
      <c r="G25" s="5">
        <v>5</v>
      </c>
      <c r="H25" s="1">
        <f t="shared" ref="H25" si="6">G25*$O25</f>
        <v>3.75</v>
      </c>
      <c r="I25" s="5">
        <v>5</v>
      </c>
      <c r="J25" s="1">
        <f t="shared" ref="J25" si="7">I25*$O25</f>
        <v>3.75</v>
      </c>
      <c r="K25" s="5"/>
      <c r="L25" s="1">
        <f t="shared" ref="L25" si="8">K25*$O25</f>
        <v>0</v>
      </c>
      <c r="M25" s="5"/>
      <c r="N25" s="1">
        <f t="shared" ref="N25" si="9">M25*$O25</f>
        <v>0</v>
      </c>
      <c r="O25" s="8">
        <v>0.75</v>
      </c>
      <c r="P25" s="35">
        <f t="shared" si="1"/>
        <v>3.75</v>
      </c>
      <c r="Q25" s="35"/>
    </row>
    <row r="26" spans="1:17" x14ac:dyDescent="0.25">
      <c r="A26" s="1" t="s">
        <v>11</v>
      </c>
      <c r="B26" s="7" t="s">
        <v>32</v>
      </c>
      <c r="C26" s="5">
        <v>4</v>
      </c>
      <c r="D26" s="37">
        <f t="shared" si="0"/>
        <v>3</v>
      </c>
      <c r="E26" s="5">
        <v>4</v>
      </c>
      <c r="F26" s="1">
        <f t="shared" si="0"/>
        <v>3</v>
      </c>
      <c r="G26" s="5">
        <v>4</v>
      </c>
      <c r="H26" s="1">
        <f t="shared" ref="H26" si="10">G26*$O26</f>
        <v>3</v>
      </c>
      <c r="I26" s="5">
        <v>5</v>
      </c>
      <c r="J26" s="1">
        <f t="shared" ref="J26" si="11">I26*$O26</f>
        <v>3.75</v>
      </c>
      <c r="K26" s="5"/>
      <c r="L26" s="1">
        <f t="shared" ref="L26" si="12">K26*$O26</f>
        <v>0</v>
      </c>
      <c r="M26" s="5"/>
      <c r="N26" s="1">
        <f t="shared" ref="N26" si="13">M26*$O26</f>
        <v>0</v>
      </c>
      <c r="O26" s="8">
        <v>0.75</v>
      </c>
      <c r="P26" s="35">
        <f t="shared" si="1"/>
        <v>3.75</v>
      </c>
      <c r="Q26" s="35"/>
    </row>
    <row r="27" spans="1:17" x14ac:dyDescent="0.25">
      <c r="A27" s="1" t="s">
        <v>12</v>
      </c>
      <c r="B27" s="7" t="s">
        <v>33</v>
      </c>
      <c r="C27" s="5">
        <v>5</v>
      </c>
      <c r="D27" s="37">
        <f t="shared" si="0"/>
        <v>3.75</v>
      </c>
      <c r="E27" s="5">
        <v>5</v>
      </c>
      <c r="F27" s="1">
        <f t="shared" si="0"/>
        <v>3.75</v>
      </c>
      <c r="G27" s="5">
        <v>5</v>
      </c>
      <c r="H27" s="1">
        <f t="shared" ref="H27" si="14">G27*$O27</f>
        <v>3.75</v>
      </c>
      <c r="I27" s="5">
        <v>5</v>
      </c>
      <c r="J27" s="1">
        <f t="shared" ref="J27" si="15">I27*$O27</f>
        <v>3.75</v>
      </c>
      <c r="K27" s="5"/>
      <c r="L27" s="1">
        <f t="shared" ref="L27" si="16">K27*$O27</f>
        <v>0</v>
      </c>
      <c r="M27" s="5"/>
      <c r="N27" s="1">
        <f t="shared" ref="N27" si="17">M27*$O27</f>
        <v>0</v>
      </c>
      <c r="O27" s="8">
        <v>0.75</v>
      </c>
      <c r="P27" s="35">
        <f t="shared" si="1"/>
        <v>3.75</v>
      </c>
      <c r="Q27" s="35"/>
    </row>
    <row r="28" spans="1:17" x14ac:dyDescent="0.25">
      <c r="A28" s="1" t="s">
        <v>13</v>
      </c>
      <c r="B28" s="7" t="s">
        <v>34</v>
      </c>
      <c r="C28" s="5">
        <v>5</v>
      </c>
      <c r="D28" s="37">
        <f t="shared" si="0"/>
        <v>2.5</v>
      </c>
      <c r="E28" s="5">
        <v>5</v>
      </c>
      <c r="F28" s="1">
        <f t="shared" si="0"/>
        <v>2.5</v>
      </c>
      <c r="G28" s="5">
        <v>5</v>
      </c>
      <c r="H28" s="1">
        <f t="shared" ref="H28" si="18">G28*$O28</f>
        <v>2.5</v>
      </c>
      <c r="I28" s="5">
        <v>5</v>
      </c>
      <c r="J28" s="1">
        <f t="shared" ref="J28" si="19">I28*$O28</f>
        <v>2.5</v>
      </c>
      <c r="K28" s="5"/>
      <c r="L28" s="1">
        <f t="shared" ref="L28" si="20">K28*$O28</f>
        <v>0</v>
      </c>
      <c r="M28" s="5"/>
      <c r="N28" s="1">
        <f t="shared" ref="N28" si="21">M28*$O28</f>
        <v>0</v>
      </c>
      <c r="O28" s="8">
        <v>0.5</v>
      </c>
      <c r="P28" s="35">
        <f t="shared" si="1"/>
        <v>2.5</v>
      </c>
      <c r="Q28" s="35"/>
    </row>
    <row r="29" spans="1:17" x14ac:dyDescent="0.25">
      <c r="A29" s="1" t="s">
        <v>14</v>
      </c>
      <c r="B29" s="7" t="s">
        <v>35</v>
      </c>
      <c r="C29" s="5">
        <v>4</v>
      </c>
      <c r="D29" s="37">
        <f t="shared" si="0"/>
        <v>2</v>
      </c>
      <c r="E29" s="5">
        <v>4</v>
      </c>
      <c r="F29" s="1">
        <f t="shared" si="0"/>
        <v>2</v>
      </c>
      <c r="G29" s="5">
        <v>4</v>
      </c>
      <c r="H29" s="1">
        <f t="shared" ref="H29" si="22">G29*$O29</f>
        <v>2</v>
      </c>
      <c r="I29" s="5">
        <v>5</v>
      </c>
      <c r="J29" s="1">
        <f t="shared" ref="J29" si="23">I29*$O29</f>
        <v>2.5</v>
      </c>
      <c r="K29" s="5"/>
      <c r="L29" s="1">
        <f t="shared" ref="L29" si="24">K29*$O29</f>
        <v>0</v>
      </c>
      <c r="M29" s="5"/>
      <c r="N29" s="1">
        <f t="shared" ref="N29" si="25">M29*$O29</f>
        <v>0</v>
      </c>
      <c r="O29" s="8">
        <v>0.5</v>
      </c>
      <c r="P29" s="35">
        <f t="shared" si="1"/>
        <v>2.5</v>
      </c>
      <c r="Q29" s="35"/>
    </row>
    <row r="30" spans="1:17" x14ac:dyDescent="0.25">
      <c r="A30" s="1" t="s">
        <v>15</v>
      </c>
      <c r="B30" s="7" t="s">
        <v>36</v>
      </c>
      <c r="C30" s="5">
        <v>5</v>
      </c>
      <c r="D30" s="37">
        <f t="shared" si="0"/>
        <v>0.5</v>
      </c>
      <c r="E30" s="5">
        <v>5</v>
      </c>
      <c r="F30" s="1">
        <f t="shared" si="0"/>
        <v>0.5</v>
      </c>
      <c r="G30" s="5">
        <v>5</v>
      </c>
      <c r="H30" s="1">
        <f t="shared" ref="H30" si="26">G30*$O30</f>
        <v>0.5</v>
      </c>
      <c r="I30" s="5">
        <v>5</v>
      </c>
      <c r="J30" s="1">
        <f t="shared" ref="J30" si="27">I30*$O30</f>
        <v>0.5</v>
      </c>
      <c r="K30" s="5"/>
      <c r="L30" s="1">
        <f t="shared" ref="L30" si="28">K30*$O30</f>
        <v>0</v>
      </c>
      <c r="M30" s="5"/>
      <c r="N30" s="1">
        <f t="shared" ref="N30" si="29">M30*$O30</f>
        <v>0</v>
      </c>
      <c r="O30" s="8">
        <v>0.1</v>
      </c>
      <c r="P30" s="35">
        <f t="shared" si="1"/>
        <v>0.5</v>
      </c>
      <c r="Q30" s="35"/>
    </row>
    <row r="31" spans="1:17" x14ac:dyDescent="0.25">
      <c r="A31" s="1" t="s">
        <v>16</v>
      </c>
      <c r="B31" s="7" t="s">
        <v>37</v>
      </c>
      <c r="C31" s="5">
        <v>5</v>
      </c>
      <c r="D31" s="37">
        <f t="shared" si="0"/>
        <v>0.5</v>
      </c>
      <c r="E31" s="5">
        <v>5</v>
      </c>
      <c r="F31" s="1">
        <f t="shared" si="0"/>
        <v>0.5</v>
      </c>
      <c r="G31" s="5">
        <v>5</v>
      </c>
      <c r="H31" s="1">
        <f t="shared" ref="H31" si="30">G31*$O31</f>
        <v>0.5</v>
      </c>
      <c r="I31" s="5">
        <v>5</v>
      </c>
      <c r="J31" s="1">
        <f t="shared" ref="J31" si="31">I31*$O31</f>
        <v>0.5</v>
      </c>
      <c r="K31" s="5"/>
      <c r="L31" s="1">
        <f t="shared" ref="L31" si="32">K31*$O31</f>
        <v>0</v>
      </c>
      <c r="M31" s="5"/>
      <c r="N31" s="1">
        <f t="shared" ref="N31" si="33">M31*$O31</f>
        <v>0</v>
      </c>
      <c r="O31" s="8">
        <v>0.1</v>
      </c>
      <c r="P31" s="35">
        <f t="shared" si="1"/>
        <v>0.5</v>
      </c>
      <c r="Q31" s="35"/>
    </row>
    <row r="32" spans="1:17" x14ac:dyDescent="0.25">
      <c r="A32" s="1"/>
      <c r="B32" s="38" t="s">
        <v>53</v>
      </c>
      <c r="C32" s="39"/>
      <c r="D32" s="40">
        <f>(SUM(D23:D31)+(SUM(D23:D31)*$P$33))*$O$32</f>
        <v>20.642201834862384</v>
      </c>
      <c r="E32" s="39"/>
      <c r="F32" s="39">
        <f t="shared" ref="F32:N32" si="34">(SUM(F23:F31)+(SUM(F23:F31)*$P$33))*$O$32</f>
        <v>20.642201834862384</v>
      </c>
      <c r="G32" s="39"/>
      <c r="H32" s="39">
        <f t="shared" si="34"/>
        <v>20.642201834862384</v>
      </c>
      <c r="I32" s="39"/>
      <c r="J32" s="39">
        <f t="shared" si="34"/>
        <v>22.5</v>
      </c>
      <c r="K32" s="39"/>
      <c r="L32" s="39">
        <f t="shared" si="34"/>
        <v>0</v>
      </c>
      <c r="M32" s="39"/>
      <c r="N32" s="39">
        <f t="shared" si="34"/>
        <v>0</v>
      </c>
      <c r="O32" s="41">
        <f>100%-$O$21</f>
        <v>0.5</v>
      </c>
      <c r="P32" s="35">
        <f>SUM(P23:P31)</f>
        <v>27.25</v>
      </c>
      <c r="Q32" s="35"/>
    </row>
    <row r="33" spans="1:17" x14ac:dyDescent="0.25">
      <c r="A33" s="1"/>
      <c r="B33" s="38" t="s">
        <v>47</v>
      </c>
      <c r="C33" s="1"/>
      <c r="D33" s="37">
        <f>$O$33-($O$33*C20)</f>
        <v>21.521739130434785</v>
      </c>
      <c r="E33" s="42"/>
      <c r="F33" s="42">
        <f>$O$33-($O$33*E20)</f>
        <v>20.625</v>
      </c>
      <c r="G33" s="42"/>
      <c r="H33" s="42">
        <f>$O$33-($O$33*G20)</f>
        <v>22.5</v>
      </c>
      <c r="I33" s="42"/>
      <c r="J33" s="42">
        <f>$O$33-($O$33*I20)</f>
        <v>20.28688524590164</v>
      </c>
      <c r="K33" s="42"/>
      <c r="L33" s="42" t="e">
        <f>$O$33-($O$33*K20)</f>
        <v>#DIV/0!</v>
      </c>
      <c r="M33" s="42"/>
      <c r="N33" s="42" t="e">
        <f>$O$33-($O$33*M20)</f>
        <v>#DIV/0!</v>
      </c>
      <c r="O33" s="43">
        <f>(COUNTIF(B23:B31,"&gt;{}")*5)*O21</f>
        <v>22.5</v>
      </c>
      <c r="P33" s="44">
        <f>(45-P32)/P32</f>
        <v>0.65137614678899081</v>
      </c>
      <c r="Q33" s="35"/>
    </row>
    <row r="34" spans="1:17" x14ac:dyDescent="0.25">
      <c r="A34" s="1"/>
      <c r="B34" s="1" t="s">
        <v>48</v>
      </c>
      <c r="C34" s="1"/>
      <c r="D34" s="37">
        <f>SUM(D32:D33)</f>
        <v>42.163940965297172</v>
      </c>
      <c r="E34" s="42"/>
      <c r="F34" s="42">
        <f t="shared" ref="F34:N34" si="35">SUM(F32:F33)</f>
        <v>41.267201834862384</v>
      </c>
      <c r="G34" s="42"/>
      <c r="H34" s="42">
        <f t="shared" si="35"/>
        <v>43.142201834862384</v>
      </c>
      <c r="I34" s="42"/>
      <c r="J34" s="42">
        <f t="shared" si="35"/>
        <v>42.786885245901644</v>
      </c>
      <c r="K34" s="42"/>
      <c r="L34" s="42" t="e">
        <f t="shared" si="35"/>
        <v>#DIV/0!</v>
      </c>
      <c r="M34" s="42"/>
      <c r="N34" s="42" t="e">
        <f t="shared" si="35"/>
        <v>#DIV/0!</v>
      </c>
      <c r="O34" s="45"/>
      <c r="Q34" s="36"/>
    </row>
    <row r="35" spans="1:17" x14ac:dyDescent="0.25">
      <c r="A35" s="1"/>
      <c r="B35" s="1" t="s">
        <v>44</v>
      </c>
      <c r="C35" s="1"/>
      <c r="D35" s="46">
        <f>RANK(D34,$D34:$J34,)</f>
        <v>3</v>
      </c>
      <c r="E35" s="1"/>
      <c r="F35" s="1">
        <f>RANK(F34,$D34:$J34,)</f>
        <v>4</v>
      </c>
      <c r="G35" s="1"/>
      <c r="H35" s="1">
        <f>RANK(H34,$D34:$J34,)</f>
        <v>1</v>
      </c>
      <c r="I35" s="1"/>
      <c r="J35" s="1">
        <f>RANK(J34,$D34:$J34,)</f>
        <v>2</v>
      </c>
      <c r="K35" s="1"/>
      <c r="L35" s="1"/>
      <c r="M35" s="1"/>
      <c r="N35" s="1"/>
      <c r="O35" s="1"/>
      <c r="P35" s="36"/>
      <c r="Q35" s="36"/>
    </row>
    <row r="36" spans="1:17" x14ac:dyDescent="0.25">
      <c r="A36" s="47"/>
      <c r="P36" s="36"/>
    </row>
  </sheetData>
  <sheetProtection sheet="1" scenarios="1" selectLockedCells="1"/>
  <protectedRanges>
    <protectedRange password="E70C" sqref="C18 C19 E18:E19 G18:G19 I18:I19 K18:K19 M18:M19 O21 B23:B31 C23:C31 E23:E31 G23:G31 I23:I31 K23:K31 M23:M31 O23:O31" name="Range1"/>
  </protectedRanges>
  <mergeCells count="7">
    <mergeCell ref="N20:N22"/>
    <mergeCell ref="B6:I6"/>
    <mergeCell ref="D20:D22"/>
    <mergeCell ref="F20:F22"/>
    <mergeCell ref="H20:H22"/>
    <mergeCell ref="J20:J22"/>
    <mergeCell ref="L20:L22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workbookViewId="0"/>
  </sheetViews>
  <sheetFormatPr defaultRowHeight="15" x14ac:dyDescent="0.25"/>
  <sheetData>
    <row r="1" spans="2:2" x14ac:dyDescent="0.25">
      <c r="B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Bid Summary</vt:lpstr>
      <vt:lpstr>Bid Worksheet</vt:lpstr>
      <vt:lpstr>Sheet3</vt:lpstr>
      <vt:lpstr>lowes</vt:lpstr>
      <vt:lpstr>RANK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2011-07-05T17:26:41Z</dcterms:modified>
</cp:coreProperties>
</file>