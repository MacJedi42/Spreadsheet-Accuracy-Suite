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5195" windowHeight="8190"/>
  </bookViews>
  <sheets>
    <sheet name="Mat Bal" sheetId="1" r:id="rId1"/>
    <sheet name="Flowsheet Dwng" sheetId="2" r:id="rId2"/>
  </sheets>
  <externalReferences>
    <externalReference r:id="rId3"/>
  </externalReferences>
  <definedNames>
    <definedName name="ex">#REF!</definedName>
    <definedName name="Krx">'[1]SO2+O2'!$C$4</definedName>
    <definedName name="MolsSO3">'[1]SO2+O2'!$C$6:$I$6</definedName>
    <definedName name="Pressure">'[1]SO2+O2'!$C$5:$I$5</definedName>
    <definedName name="x">#REF!</definedName>
    <definedName name="xe">#REF!</definedName>
    <definedName name="xx">#REF!</definedName>
  </definedNames>
  <calcPr calcId="145621"/>
</workbook>
</file>

<file path=xl/calcChain.xml><?xml version="1.0" encoding="utf-8"?>
<calcChain xmlns="http://schemas.openxmlformats.org/spreadsheetml/2006/main">
  <c r="R26" i="1" l="1"/>
  <c r="Q26" i="1"/>
  <c r="V10" i="1" l="1"/>
  <c r="V11" i="1" s="1"/>
  <c r="W10" i="1"/>
  <c r="W11" i="1"/>
  <c r="Q10" i="1"/>
  <c r="R10" i="1"/>
  <c r="Q12" i="1"/>
  <c r="Q13" i="1"/>
  <c r="Q16" i="1"/>
  <c r="R16" i="1"/>
  <c r="S16" i="1"/>
  <c r="R17" i="1"/>
  <c r="Q32" i="1" l="1"/>
  <c r="Q29" i="1"/>
  <c r="Q28" i="1"/>
  <c r="C18" i="1" l="1"/>
  <c r="F24" i="1" l="1"/>
  <c r="S15" i="1" s="1"/>
  <c r="T15" i="1" s="1"/>
  <c r="F25" i="1"/>
  <c r="S17" i="1" s="1"/>
  <c r="F23" i="1"/>
  <c r="S14" i="1" s="1"/>
  <c r="T14" i="1" s="1"/>
  <c r="S10" i="1" l="1"/>
  <c r="S30" i="1"/>
  <c r="S33" i="1"/>
  <c r="S31" i="1"/>
  <c r="S32" i="1" l="1"/>
  <c r="U10" i="1"/>
  <c r="U17" i="1" l="1"/>
  <c r="U16" i="1"/>
  <c r="T16" i="1"/>
  <c r="T17" i="1"/>
  <c r="T10" i="1" l="1"/>
  <c r="T32" i="1"/>
  <c r="T30" i="1" l="1"/>
  <c r="T33" i="1"/>
  <c r="T31" i="1"/>
</calcChain>
</file>

<file path=xl/comments1.xml><?xml version="1.0" encoding="utf-8"?>
<comments xmlns="http://schemas.openxmlformats.org/spreadsheetml/2006/main">
  <authors>
    <author>Owner</author>
    <author>Art Morris</author>
  </authors>
  <commentList>
    <comment ref="D23" authorId="0">
      <text>
        <r>
          <rPr>
            <b/>
            <sz val="9"/>
            <color rgb="FF000000"/>
            <rFont val="Tahoma"/>
            <family val="2"/>
          </rPr>
          <t>Does not include CO2 present in the natural gas.</t>
        </r>
      </text>
    </comment>
    <comment ref="E31" authorId="1">
      <text>
        <r>
          <rPr>
            <sz val="10"/>
            <color indexed="81"/>
            <rFont val="Arial"/>
            <family val="2"/>
          </rPr>
          <t>C</t>
        </r>
        <r>
          <rPr>
            <sz val="8"/>
            <color indexed="81"/>
            <rFont val="Arial"/>
            <family val="2"/>
          </rPr>
          <t>4</t>
        </r>
        <r>
          <rPr>
            <sz val="10"/>
            <color indexed="81"/>
            <rFont val="Arial"/>
            <family val="2"/>
          </rPr>
          <t>H</t>
        </r>
        <r>
          <rPr>
            <sz val="8"/>
            <color indexed="81"/>
            <rFont val="Arial"/>
            <family val="2"/>
          </rPr>
          <t>10</t>
        </r>
        <r>
          <rPr>
            <sz val="10"/>
            <color indexed="81"/>
            <rFont val="Arial"/>
            <family val="2"/>
          </rPr>
          <t xml:space="preserve"> + higher hydrocarbons</t>
        </r>
      </text>
    </comment>
    <comment ref="F35" authorId="0">
      <text>
        <r>
          <rPr>
            <b/>
            <sz val="9"/>
            <color indexed="81"/>
            <rFont val="Tahoma"/>
            <family val="2"/>
          </rPr>
          <t>Value in this cell must be non-negative.</t>
        </r>
      </text>
    </comment>
  </commentList>
</comments>
</file>

<file path=xl/sharedStrings.xml><?xml version="1.0" encoding="utf-8"?>
<sst xmlns="http://schemas.openxmlformats.org/spreadsheetml/2006/main" count="145" uniqueCount="79">
  <si>
    <t>% excess oxidant</t>
  </si>
  <si>
    <t>Oxidant/NG volume ratio</t>
  </si>
  <si>
    <t>From StoichCalc.xlsx</t>
  </si>
  <si>
    <t>IUPAC</t>
  </si>
  <si>
    <t>converted to</t>
  </si>
  <si>
    <t>AES</t>
  </si>
  <si>
    <r>
      <t>V, m</t>
    </r>
    <r>
      <rPr>
        <vertAlign val="superscript"/>
        <sz val="10"/>
        <color rgb="FF000000"/>
        <rFont val="Arial"/>
        <family val="2"/>
      </rPr>
      <t>3</t>
    </r>
  </si>
  <si>
    <t>P, Pa</t>
  </si>
  <si>
    <t>T, °C</t>
  </si>
  <si>
    <t>g-mol</t>
  </si>
  <si>
    <r>
      <t>V, ft</t>
    </r>
    <r>
      <rPr>
        <vertAlign val="superscript"/>
        <sz val="10"/>
        <color rgb="FF000000"/>
        <rFont val="Arial"/>
        <family val="2"/>
      </rPr>
      <t>3</t>
    </r>
  </si>
  <si>
    <t>P, psia</t>
  </si>
  <si>
    <t>T, °F</t>
  </si>
  <si>
    <t>lb-mol</t>
  </si>
  <si>
    <t>From VolCalc.xlsx</t>
  </si>
  <si>
    <t>NatGas</t>
  </si>
  <si>
    <t>Air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</si>
  <si>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produced by combustion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</si>
  <si>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 produced by combustion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</si>
  <si>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required for combustion</t>
    </r>
  </si>
  <si>
    <t>mol/mol NG</t>
  </si>
  <si>
    <t xml:space="preserve">Total </t>
  </si>
  <si>
    <t>From HeatCalc.xlsx</t>
  </si>
  <si>
    <t>Str-name</t>
  </si>
  <si>
    <t>Nat Gas</t>
  </si>
  <si>
    <t>StackGas</t>
  </si>
  <si>
    <t>Hot Al</t>
  </si>
  <si>
    <t>Streams</t>
  </si>
  <si>
    <t>Flow</t>
  </si>
  <si>
    <t>Cold Al</t>
  </si>
  <si>
    <r>
      <t>CH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, (g)</t>
    </r>
  </si>
  <si>
    <r>
      <t>C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6</t>
    </r>
    <r>
      <rPr>
        <sz val="10"/>
        <rFont val="Arial"/>
        <family val="2"/>
      </rPr>
      <t>, (g)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</si>
  <si>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(g)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</si>
  <si>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O, (g)</t>
    </r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</si>
  <si>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(g)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</si>
  <si>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(g)</t>
    </r>
  </si>
  <si>
    <t>Al, (c)</t>
  </si>
  <si>
    <t>Air (18% excess)</t>
  </si>
  <si>
    <t>Str-unit</t>
  </si>
  <si>
    <t>Mass (kg)</t>
  </si>
  <si>
    <t>Spec-unit</t>
  </si>
  <si>
    <t>Vol. %</t>
  </si>
  <si>
    <r>
      <t>Vol (m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</si>
  <si>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r>
      <t>CH</t>
    </r>
    <r>
      <rPr>
        <vertAlign val="subscript"/>
        <sz val="10"/>
        <rFont val="Arial"/>
        <family val="2"/>
      </rPr>
      <t>4</t>
    </r>
  </si>
  <si>
    <r>
      <t>C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4</t>
    </r>
  </si>
  <si>
    <r>
      <t>C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6</t>
    </r>
  </si>
  <si>
    <r>
      <t>C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8</t>
    </r>
  </si>
  <si>
    <r>
      <t>C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 xml:space="preserve"> +</t>
    </r>
  </si>
  <si>
    <r>
      <t>H</t>
    </r>
    <r>
      <rPr>
        <vertAlign val="subscript"/>
        <sz val="10"/>
        <rFont val="Arial"/>
        <family val="2"/>
      </rPr>
      <t>2</t>
    </r>
  </si>
  <si>
    <t>CO</t>
  </si>
  <si>
    <r>
      <t>CO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</si>
  <si>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</si>
  <si>
    <t>T (°C)</t>
  </si>
  <si>
    <t>Drawing</t>
  </si>
  <si>
    <t>Burnr Air</t>
  </si>
  <si>
    <t>HotGas</t>
  </si>
  <si>
    <t>Leak Air</t>
  </si>
  <si>
    <t>CH4, (g)</t>
  </si>
  <si>
    <t>CO2, (g)</t>
  </si>
  <si>
    <t>H2O, (g)</t>
  </si>
  <si>
    <t>N2, (g)</t>
  </si>
  <si>
    <t>O2, (g)</t>
  </si>
  <si>
    <t>C2H6, (g)</t>
  </si>
  <si>
    <t>P (atm)</t>
  </si>
  <si>
    <t>T (C)</t>
  </si>
  <si>
    <t>?</t>
  </si>
  <si>
    <t>CmbstGas</t>
  </si>
  <si>
    <t>Oxygen balance around stack gas to calculate Leak air flow</t>
  </si>
  <si>
    <t>R #1</t>
  </si>
  <si>
    <t>R #2</t>
  </si>
  <si>
    <t>Instreams</t>
  </si>
  <si>
    <t>Outstreams</t>
  </si>
  <si>
    <t>Reactions</t>
  </si>
  <si>
    <t>Heat (kcal)</t>
  </si>
  <si>
    <t>Furnace (Mixer/Hx Exchanger)</t>
  </si>
  <si>
    <t>Burner (Reactor)</t>
  </si>
  <si>
    <t>Initial (input) material balance ledger</t>
  </si>
  <si>
    <t>Vol. (m3)</t>
  </si>
  <si>
    <t>Note:  text box appearance may vary with different Windows and Excel versions.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</si>
</sst>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0.0"/>
    <numFmt numFmtId="166" formatCode="0.000"/>
    <numFmt numFmtId="167" formatCode="#,##0.0"/>
  </numFmts>
  <fonts count="15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vertAlign val="subscript"/>
      <sz val="10"/>
      <name val="Arial"/>
      <family val="2"/>
    </font>
    <font>
      <b/>
      <sz val="9"/>
      <color rgb="FF000000"/>
      <name val="Tahoma"/>
      <family val="2"/>
    </font>
    <font>
      <b/>
      <sz val="11"/>
      <name val="Arial"/>
      <family val="2"/>
    </font>
    <font>
      <vertAlign val="superscript"/>
      <sz val="10"/>
      <name val="Arial"/>
      <family val="2"/>
    </font>
    <font>
      <sz val="10"/>
      <color indexed="81"/>
      <name val="Arial"/>
      <family val="2"/>
    </font>
    <font>
      <sz val="8"/>
      <color indexed="81"/>
      <name val="Arial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0D5D4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7"/>
        <bgColor indexed="27"/>
      </patternFill>
    </fill>
    <fill>
      <patternFill patternType="solid">
        <fgColor rgb="FFFFFFCC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 style="medium">
        <color indexed="48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 vertical="center"/>
    </xf>
    <xf numFmtId="164" fontId="0" fillId="2" borderId="1" xfId="0" applyNumberFormat="1" applyFont="1" applyFill="1" applyBorder="1" applyAlignment="1">
      <alignment horizontal="center"/>
    </xf>
    <xf numFmtId="2" fontId="0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4" borderId="0" xfId="0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center" vertical="center"/>
    </xf>
    <xf numFmtId="165" fontId="4" fillId="5" borderId="0" xfId="0" applyNumberFormat="1" applyFont="1" applyFill="1" applyBorder="1" applyAlignment="1">
      <alignment horizontal="center" vertical="center"/>
    </xf>
    <xf numFmtId="2" fontId="4" fillId="5" borderId="0" xfId="0" applyNumberFormat="1" applyFont="1" applyFill="1" applyBorder="1" applyAlignment="1">
      <alignment horizontal="center" vertical="center"/>
    </xf>
    <xf numFmtId="166" fontId="4" fillId="5" borderId="0" xfId="0" applyNumberFormat="1" applyFont="1" applyFill="1" applyBorder="1" applyAlignment="1">
      <alignment horizontal="center" vertical="center"/>
    </xf>
    <xf numFmtId="3" fontId="4" fillId="5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/>
    <xf numFmtId="0" fontId="0" fillId="0" borderId="0" xfId="0" applyFont="1" applyFill="1" applyBorder="1"/>
    <xf numFmtId="2" fontId="2" fillId="0" borderId="0" xfId="0" applyNumberFormat="1" applyFon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2" fillId="7" borderId="1" xfId="0" applyNumberFormat="1" applyFont="1" applyFill="1" applyBorder="1" applyAlignment="1">
      <alignment horizontal="center" vertical="center"/>
    </xf>
    <xf numFmtId="0" fontId="2" fillId="7" borderId="8" xfId="0" applyNumberFormat="1" applyFont="1" applyFill="1" applyBorder="1" applyAlignment="1">
      <alignment horizontal="center" vertical="center"/>
    </xf>
    <xf numFmtId="0" fontId="8" fillId="8" borderId="1" xfId="0" applyNumberFormat="1" applyFont="1" applyFill="1" applyBorder="1" applyAlignment="1">
      <alignment horizontal="center" vertical="center"/>
    </xf>
    <xf numFmtId="0" fontId="8" fillId="8" borderId="8" xfId="0" applyNumberFormat="1" applyFont="1" applyFill="1" applyBorder="1" applyAlignment="1">
      <alignment horizontal="center" vertical="center"/>
    </xf>
    <xf numFmtId="3" fontId="2" fillId="9" borderId="1" xfId="0" applyNumberFormat="1" applyFont="1" applyFill="1" applyBorder="1" applyAlignment="1">
      <alignment horizontal="center" vertical="center"/>
    </xf>
    <xf numFmtId="3" fontId="2" fillId="9" borderId="8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/>
    </xf>
    <xf numFmtId="3" fontId="1" fillId="10" borderId="8" xfId="0" applyNumberFormat="1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165" fontId="1" fillId="10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8" fillId="8" borderId="0" xfId="0" applyNumberFormat="1" applyFont="1" applyFill="1" applyBorder="1" applyAlignment="1">
      <alignment horizontal="center" vertical="center"/>
    </xf>
    <xf numFmtId="0" fontId="8" fillId="9" borderId="7" xfId="0" applyNumberFormat="1" applyFont="1" applyFill="1" applyBorder="1" applyAlignment="1">
      <alignment horizontal="center" vertical="center"/>
    </xf>
    <xf numFmtId="0" fontId="0" fillId="10" borderId="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0" fontId="1" fillId="11" borderId="9" xfId="0" applyNumberFormat="1" applyFont="1" applyFill="1" applyBorder="1" applyAlignment="1">
      <alignment horizontal="center" vertical="center"/>
    </xf>
    <xf numFmtId="10" fontId="0" fillId="11" borderId="9" xfId="0" applyNumberFormat="1" applyFill="1" applyBorder="1" applyAlignment="1">
      <alignment horizontal="center" vertical="center"/>
    </xf>
    <xf numFmtId="10" fontId="0" fillId="11" borderId="10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2" fillId="7" borderId="12" xfId="0" applyNumberFormat="1" applyFont="1" applyFill="1" applyBorder="1" applyAlignment="1">
      <alignment horizontal="center" vertical="center"/>
    </xf>
    <xf numFmtId="0" fontId="2" fillId="7" borderId="4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 shrinkToFit="1"/>
    </xf>
    <xf numFmtId="0" fontId="0" fillId="0" borderId="11" xfId="0" applyNumberFormat="1" applyFont="1" applyFill="1" applyBorder="1" applyAlignment="1">
      <alignment horizontal="center" vertical="center" shrinkToFit="1"/>
    </xf>
    <xf numFmtId="0" fontId="0" fillId="0" borderId="11" xfId="0" applyNumberFormat="1" applyFont="1" applyFill="1" applyBorder="1" applyAlignment="1">
      <alignment horizontal="center" vertical="center"/>
    </xf>
    <xf numFmtId="165" fontId="4" fillId="4" borderId="0" xfId="0" applyNumberFormat="1" applyFont="1" applyFill="1" applyBorder="1" applyAlignment="1">
      <alignment horizontal="center" vertical="center"/>
    </xf>
    <xf numFmtId="0" fontId="8" fillId="7" borderId="5" xfId="0" applyNumberFormat="1" applyFont="1" applyFill="1" applyBorder="1" applyAlignment="1">
      <alignment horizontal="right" vertical="center"/>
    </xf>
    <xf numFmtId="0" fontId="8" fillId="8" borderId="0" xfId="0" applyNumberFormat="1" applyFont="1" applyFill="1" applyBorder="1" applyAlignment="1">
      <alignment horizontal="right" vertical="center"/>
    </xf>
    <xf numFmtId="10" fontId="1" fillId="10" borderId="1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0" fontId="8" fillId="7" borderId="6" xfId="0" applyNumberFormat="1" applyFont="1" applyFill="1" applyBorder="1" applyAlignment="1">
      <alignment horizontal="right" vertical="center"/>
    </xf>
    <xf numFmtId="1" fontId="1" fillId="10" borderId="1" xfId="0" applyNumberFormat="1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12" borderId="0" xfId="0" applyFont="1" applyFill="1" applyBorder="1" applyAlignment="1"/>
    <xf numFmtId="0" fontId="1" fillId="12" borderId="0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vertical="center"/>
    </xf>
    <xf numFmtId="0" fontId="1" fillId="12" borderId="14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vertical="center"/>
    </xf>
    <xf numFmtId="0" fontId="1" fillId="12" borderId="13" xfId="0" applyFont="1" applyFill="1" applyBorder="1" applyAlignment="1">
      <alignment horizontal="center" vertical="center"/>
    </xf>
    <xf numFmtId="0" fontId="0" fillId="12" borderId="16" xfId="0" applyFill="1" applyBorder="1"/>
    <xf numFmtId="0" fontId="0" fillId="12" borderId="17" xfId="0" applyFill="1" applyBorder="1" applyAlignment="1">
      <alignment shrinkToFit="1"/>
    </xf>
    <xf numFmtId="0" fontId="0" fillId="12" borderId="14" xfId="0" applyFill="1" applyBorder="1" applyAlignment="1">
      <alignment shrinkToFit="1"/>
    </xf>
    <xf numFmtId="0" fontId="0" fillId="12" borderId="18" xfId="0" applyFill="1" applyBorder="1" applyAlignment="1">
      <alignment shrinkToFit="1"/>
    </xf>
    <xf numFmtId="0" fontId="0" fillId="12" borderId="15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1" fillId="12" borderId="19" xfId="0" applyFont="1" applyFill="1" applyBorder="1" applyAlignment="1"/>
    <xf numFmtId="0" fontId="1" fillId="12" borderId="20" xfId="0" applyFont="1" applyFill="1" applyBorder="1" applyAlignment="1">
      <alignment horizontal="center" vertical="center"/>
    </xf>
    <xf numFmtId="0" fontId="1" fillId="12" borderId="20" xfId="0" applyFont="1" applyFill="1" applyBorder="1" applyAlignment="1"/>
    <xf numFmtId="0" fontId="0" fillId="12" borderId="21" xfId="0" applyFill="1" applyBorder="1"/>
    <xf numFmtId="0" fontId="1" fillId="12" borderId="22" xfId="0" applyFont="1" applyFill="1" applyBorder="1" applyAlignment="1"/>
    <xf numFmtId="0" fontId="0" fillId="12" borderId="23" xfId="0" applyFill="1" applyBorder="1"/>
    <xf numFmtId="0" fontId="13" fillId="12" borderId="24" xfId="0" applyFont="1" applyFill="1" applyBorder="1" applyAlignment="1"/>
    <xf numFmtId="0" fontId="13" fillId="12" borderId="25" xfId="0" applyFont="1" applyFill="1" applyBorder="1" applyAlignment="1"/>
    <xf numFmtId="0" fontId="1" fillId="12" borderId="24" xfId="0" applyFont="1" applyFill="1" applyBorder="1" applyAlignment="1">
      <alignment horizontal="right"/>
    </xf>
    <xf numFmtId="0" fontId="0" fillId="12" borderId="22" xfId="0" applyFill="1" applyBorder="1"/>
    <xf numFmtId="0" fontId="13" fillId="12" borderId="0" xfId="0" applyFont="1" applyFill="1" applyBorder="1" applyAlignment="1">
      <alignment horizontal="centerContinuous"/>
    </xf>
    <xf numFmtId="0" fontId="0" fillId="12" borderId="0" xfId="0" applyFill="1" applyBorder="1" applyAlignment="1">
      <alignment horizontal="centerContinuous"/>
    </xf>
    <xf numFmtId="0" fontId="0" fillId="12" borderId="0" xfId="0" applyFill="1" applyBorder="1"/>
    <xf numFmtId="0" fontId="13" fillId="12" borderId="0" xfId="0" applyFont="1" applyFill="1" applyBorder="1"/>
    <xf numFmtId="0" fontId="0" fillId="12" borderId="26" xfId="0" applyFill="1" applyBorder="1" applyAlignment="1">
      <alignment shrinkToFit="1"/>
    </xf>
    <xf numFmtId="0" fontId="0" fillId="12" borderId="22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0" fillId="12" borderId="28" xfId="0" applyFill="1" applyBorder="1"/>
    <xf numFmtId="0" fontId="0" fillId="12" borderId="31" xfId="0" applyFill="1" applyBorder="1"/>
    <xf numFmtId="0" fontId="0" fillId="12" borderId="0" xfId="0" applyFont="1" applyFill="1" applyBorder="1" applyAlignment="1">
      <alignment horizontal="center" vertical="center" shrinkToFit="1"/>
    </xf>
    <xf numFmtId="0" fontId="1" fillId="12" borderId="0" xfId="0" applyFont="1" applyFill="1" applyBorder="1" applyAlignment="1">
      <alignment horizontal="center" vertical="center" shrinkToFit="1"/>
    </xf>
    <xf numFmtId="0" fontId="0" fillId="12" borderId="0" xfId="0" applyFont="1" applyFill="1" applyBorder="1" applyAlignment="1">
      <alignment horizontal="center" vertical="center"/>
    </xf>
    <xf numFmtId="0" fontId="0" fillId="12" borderId="24" xfId="0" applyFont="1" applyFill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top"/>
    </xf>
    <xf numFmtId="167" fontId="2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CFE3"/>
      <color rgb="FFFFFFCC"/>
      <color rgb="FFFFFFA3"/>
      <color rgb="FFFBCBA3"/>
      <color rgb="FFD1D1D1"/>
      <color rgb="FFF0D5D4"/>
      <color rgb="FFD1CBAF"/>
      <color rgb="FFCFCF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8431</xdr:colOff>
      <xdr:row>7</xdr:row>
      <xdr:rowOff>77258</xdr:rowOff>
    </xdr:from>
    <xdr:to>
      <xdr:col>11</xdr:col>
      <xdr:colOff>298415</xdr:colOff>
      <xdr:row>8</xdr:row>
      <xdr:rowOff>156633</xdr:rowOff>
    </xdr:to>
    <xdr:sp macro="" textlink="">
      <xdr:nvSpPr>
        <xdr:cNvPr id="39" name="Lightning Bolt 38"/>
        <xdr:cNvSpPr/>
      </xdr:nvSpPr>
      <xdr:spPr>
        <a:xfrm flipV="1">
          <a:off x="6961681" y="1295400"/>
          <a:ext cx="289984" cy="269875"/>
        </a:xfrm>
        <a:prstGeom prst="lightningBolt">
          <a:avLst/>
        </a:prstGeom>
        <a:solidFill>
          <a:schemeClr val="bg1"/>
        </a:solidFill>
        <a:ln w="952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113207</xdr:colOff>
      <xdr:row>8</xdr:row>
      <xdr:rowOff>131237</xdr:rowOff>
    </xdr:from>
    <xdr:to>
      <xdr:col>12</xdr:col>
      <xdr:colOff>326990</xdr:colOff>
      <xdr:row>12</xdr:row>
      <xdr:rowOff>35987</xdr:rowOff>
    </xdr:to>
    <xdr:sp macro="" textlink="">
      <xdr:nvSpPr>
        <xdr:cNvPr id="2" name="Rectangle 1"/>
        <xdr:cNvSpPr/>
      </xdr:nvSpPr>
      <xdr:spPr>
        <a:xfrm>
          <a:off x="5847257" y="1455212"/>
          <a:ext cx="2042583" cy="647700"/>
        </a:xfrm>
        <a:prstGeom prst="rect">
          <a:avLst/>
        </a:prstGeom>
        <a:ln w="9525"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7</xdr:col>
      <xdr:colOff>394193</xdr:colOff>
      <xdr:row>6</xdr:row>
      <xdr:rowOff>88371</xdr:rowOff>
    </xdr:from>
    <xdr:to>
      <xdr:col>8</xdr:col>
      <xdr:colOff>60818</xdr:colOff>
      <xdr:row>8</xdr:row>
      <xdr:rowOff>21696</xdr:rowOff>
    </xdr:to>
    <xdr:sp macro="" textlink="">
      <xdr:nvSpPr>
        <xdr:cNvPr id="45" name="Lightning Bolt 44"/>
        <xdr:cNvSpPr/>
      </xdr:nvSpPr>
      <xdr:spPr>
        <a:xfrm rot="17789799" flipV="1">
          <a:off x="4937618" y="1128713"/>
          <a:ext cx="282575" cy="276225"/>
        </a:xfrm>
        <a:prstGeom prst="lightningBolt">
          <a:avLst/>
        </a:prstGeom>
        <a:solidFill>
          <a:schemeClr val="bg1"/>
        </a:solidFill>
        <a:ln w="952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160831</xdr:colOff>
      <xdr:row>8</xdr:row>
      <xdr:rowOff>185208</xdr:rowOff>
    </xdr:from>
    <xdr:to>
      <xdr:col>9</xdr:col>
      <xdr:colOff>122732</xdr:colOff>
      <xdr:row>8</xdr:row>
      <xdr:rowOff>185208</xdr:rowOff>
    </xdr:to>
    <xdr:sp macro="" textlink="">
      <xdr:nvSpPr>
        <xdr:cNvPr id="3" name="Line 1319"/>
        <xdr:cNvSpPr>
          <a:spLocks noChangeShapeType="1"/>
        </xdr:cNvSpPr>
      </xdr:nvSpPr>
      <xdr:spPr bwMode="auto">
        <a:xfrm>
          <a:off x="5317031" y="1571625"/>
          <a:ext cx="575734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8</xdr:col>
      <xdr:colOff>437057</xdr:colOff>
      <xdr:row>11</xdr:row>
      <xdr:rowOff>45508</xdr:rowOff>
    </xdr:from>
    <xdr:to>
      <xdr:col>9</xdr:col>
      <xdr:colOff>113207</xdr:colOff>
      <xdr:row>11</xdr:row>
      <xdr:rowOff>45508</xdr:rowOff>
    </xdr:to>
    <xdr:sp macro="" textlink="">
      <xdr:nvSpPr>
        <xdr:cNvPr id="4" name="Line 1320"/>
        <xdr:cNvSpPr>
          <a:spLocks noChangeShapeType="1"/>
        </xdr:cNvSpPr>
      </xdr:nvSpPr>
      <xdr:spPr bwMode="auto">
        <a:xfrm rot="5400000">
          <a:off x="5740365" y="1828800"/>
          <a:ext cx="0" cy="2857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8</xdr:col>
      <xdr:colOff>2292</xdr:colOff>
      <xdr:row>6</xdr:row>
      <xdr:rowOff>67733</xdr:rowOff>
    </xdr:from>
    <xdr:to>
      <xdr:col>10</xdr:col>
      <xdr:colOff>52670</xdr:colOff>
      <xdr:row>8</xdr:row>
      <xdr:rowOff>4521</xdr:rowOff>
    </xdr:to>
    <xdr:sp macro="" textlink="">
      <xdr:nvSpPr>
        <xdr:cNvPr id="8" name="Text Box 1324"/>
        <xdr:cNvSpPr txBox="1">
          <a:spLocks noChangeArrowheads="1"/>
        </xdr:cNvSpPr>
      </xdr:nvSpPr>
      <xdr:spPr bwMode="auto">
        <a:xfrm>
          <a:off x="5158492" y="1104900"/>
          <a:ext cx="1278045" cy="28603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ctr" upright="1">
          <a:spAutoFit/>
        </a:bodyPr>
        <a:lstStyle/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Hot combustion gas</a:t>
          </a:r>
        </a:p>
        <a:p>
          <a:pPr algn="ctr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(1800 °C)</a:t>
          </a:r>
          <a:endParaRPr lang="en-US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12</xdr:col>
      <xdr:colOff>211775</xdr:colOff>
      <xdr:row>6</xdr:row>
      <xdr:rowOff>66112</xdr:rowOff>
    </xdr:from>
    <xdr:to>
      <xdr:col>14</xdr:col>
      <xdr:colOff>46386</xdr:colOff>
      <xdr:row>8</xdr:row>
      <xdr:rowOff>43939</xdr:rowOff>
    </xdr:to>
    <xdr:sp macro="" textlink="">
      <xdr:nvSpPr>
        <xdr:cNvPr id="9" name="Text Box 1325"/>
        <xdr:cNvSpPr txBox="1">
          <a:spLocks noChangeArrowheads="1"/>
        </xdr:cNvSpPr>
      </xdr:nvSpPr>
      <xdr:spPr bwMode="auto">
        <a:xfrm>
          <a:off x="7821192" y="1103279"/>
          <a:ext cx="1062277" cy="32707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ctr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Stack gas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(3.3 %O</a:t>
          </a:r>
          <a:r>
            <a:rPr lang="en-US" sz="1000" b="1" i="0" u="none" strike="noStrike" baseline="-2500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, 800 °C)</a:t>
          </a:r>
          <a:endParaRPr lang="en-US"/>
        </a:p>
      </xdr:txBody>
    </xdr:sp>
    <xdr:clientData/>
  </xdr:twoCellAnchor>
  <xdr:twoCellAnchor editAs="absolute">
    <xdr:from>
      <xdr:col>6</xdr:col>
      <xdr:colOff>483591</xdr:colOff>
      <xdr:row>10</xdr:row>
      <xdr:rowOff>112183</xdr:rowOff>
    </xdr:from>
    <xdr:to>
      <xdr:col>8</xdr:col>
      <xdr:colOff>514350</xdr:colOff>
      <xdr:row>12</xdr:row>
      <xdr:rowOff>38388</xdr:rowOff>
    </xdr:to>
    <xdr:sp macro="" textlink="">
      <xdr:nvSpPr>
        <xdr:cNvPr id="10" name="Text Box 1326"/>
        <xdr:cNvSpPr txBox="1">
          <a:spLocks noChangeArrowheads="1"/>
        </xdr:cNvSpPr>
      </xdr:nvSpPr>
      <xdr:spPr bwMode="auto">
        <a:xfrm>
          <a:off x="4388841" y="1905000"/>
          <a:ext cx="1249959" cy="284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ctr" upright="1">
          <a:spAutoFit/>
        </a:bodyPr>
        <a:lstStyle/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Heated aluminum</a:t>
          </a:r>
        </a:p>
        <a:p>
          <a:pPr algn="ctr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(800 kg/min, 550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°C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US"/>
        </a:p>
      </xdr:txBody>
    </xdr:sp>
    <xdr:clientData/>
  </xdr:twoCellAnchor>
  <xdr:twoCellAnchor editAs="absolute">
    <xdr:from>
      <xdr:col>13</xdr:col>
      <xdr:colOff>121836</xdr:colOff>
      <xdr:row>10</xdr:row>
      <xdr:rowOff>63502</xdr:rowOff>
    </xdr:from>
    <xdr:to>
      <xdr:col>14</xdr:col>
      <xdr:colOff>695127</xdr:colOff>
      <xdr:row>12</xdr:row>
      <xdr:rowOff>24396</xdr:rowOff>
    </xdr:to>
    <xdr:sp macro="" textlink="">
      <xdr:nvSpPr>
        <xdr:cNvPr id="11" name="Text Box 1327"/>
        <xdr:cNvSpPr txBox="1">
          <a:spLocks noChangeArrowheads="1"/>
        </xdr:cNvSpPr>
      </xdr:nvSpPr>
      <xdr:spPr bwMode="auto">
        <a:xfrm>
          <a:off x="8347203" y="1830919"/>
          <a:ext cx="1187124" cy="32072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ctr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Aluminum ingots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(800 kg/min, 25 °C)</a:t>
          </a:r>
          <a:endParaRPr lang="en-US"/>
        </a:p>
      </xdr:txBody>
    </xdr:sp>
    <xdr:clientData/>
  </xdr:twoCellAnchor>
  <xdr:twoCellAnchor editAs="absolute">
    <xdr:from>
      <xdr:col>12</xdr:col>
      <xdr:colOff>307940</xdr:colOff>
      <xdr:row>11</xdr:row>
      <xdr:rowOff>45508</xdr:rowOff>
    </xdr:from>
    <xdr:to>
      <xdr:col>13</xdr:col>
      <xdr:colOff>113206</xdr:colOff>
      <xdr:row>11</xdr:row>
      <xdr:rowOff>45508</xdr:rowOff>
    </xdr:to>
    <xdr:sp macro="" textlink="">
      <xdr:nvSpPr>
        <xdr:cNvPr id="12" name="Line 1330"/>
        <xdr:cNvSpPr>
          <a:spLocks noChangeShapeType="1"/>
        </xdr:cNvSpPr>
      </xdr:nvSpPr>
      <xdr:spPr bwMode="auto">
        <a:xfrm rot="5400000">
          <a:off x="8129023" y="1762125"/>
          <a:ext cx="0" cy="4191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7</xdr:col>
      <xdr:colOff>46531</xdr:colOff>
      <xdr:row>6</xdr:row>
      <xdr:rowOff>140758</xdr:rowOff>
    </xdr:from>
    <xdr:to>
      <xdr:col>7</xdr:col>
      <xdr:colOff>227506</xdr:colOff>
      <xdr:row>7</xdr:row>
      <xdr:rowOff>178858</xdr:rowOff>
    </xdr:to>
    <xdr:sp macro="" textlink="">
      <xdr:nvSpPr>
        <xdr:cNvPr id="13" name="Text Box 1342"/>
        <xdr:cNvSpPr txBox="1">
          <a:spLocks noChangeArrowheads="1"/>
        </xdr:cNvSpPr>
      </xdr:nvSpPr>
      <xdr:spPr bwMode="auto">
        <a:xfrm>
          <a:off x="4561381" y="1200150"/>
          <a:ext cx="180975" cy="196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absolute">
    <xdr:from>
      <xdr:col>7</xdr:col>
      <xdr:colOff>314325</xdr:colOff>
      <xdr:row>7</xdr:row>
      <xdr:rowOff>58207</xdr:rowOff>
    </xdr:from>
    <xdr:to>
      <xdr:col>8</xdr:col>
      <xdr:colOff>269839</xdr:colOff>
      <xdr:row>10</xdr:row>
      <xdr:rowOff>83607</xdr:rowOff>
    </xdr:to>
    <xdr:sp macro="" textlink="">
      <xdr:nvSpPr>
        <xdr:cNvPr id="14" name="AutoShape 1379"/>
        <xdr:cNvSpPr>
          <a:spLocks noChangeArrowheads="1"/>
        </xdr:cNvSpPr>
      </xdr:nvSpPr>
      <xdr:spPr bwMode="auto">
        <a:xfrm rot="-5400000">
          <a:off x="4811694" y="1293830"/>
          <a:ext cx="600075" cy="565114"/>
        </a:xfrm>
        <a:custGeom>
          <a:avLst/>
          <a:gdLst>
            <a:gd name="G0" fmla="+- 5400 0 0"/>
            <a:gd name="G1" fmla="+- 21600 0 5400"/>
            <a:gd name="G2" fmla="*/ 5400 1 2"/>
            <a:gd name="G3" fmla="+- 21600 0 G2"/>
            <a:gd name="G4" fmla="+/ 5400 21600 2"/>
            <a:gd name="G5" fmla="+/ G1 0 2"/>
            <a:gd name="G6" fmla="*/ 21600 21600 5400"/>
            <a:gd name="G7" fmla="*/ G6 1 2"/>
            <a:gd name="G8" fmla="+- 21600 0 G7"/>
            <a:gd name="G9" fmla="*/ 21600 1 2"/>
            <a:gd name="G10" fmla="+- 5400 0 G9"/>
            <a:gd name="G11" fmla="?: G10 G8 0"/>
            <a:gd name="G12" fmla="?: G10 G7 21600"/>
            <a:gd name="T0" fmla="*/ 18900 w 21600"/>
            <a:gd name="T1" fmla="*/ 10800 h 21600"/>
            <a:gd name="T2" fmla="*/ 10800 w 21600"/>
            <a:gd name="T3" fmla="*/ 21600 h 21600"/>
            <a:gd name="T4" fmla="*/ 2700 w 21600"/>
            <a:gd name="T5" fmla="*/ 10800 h 21600"/>
            <a:gd name="T6" fmla="*/ 10800 w 21600"/>
            <a:gd name="T7" fmla="*/ 0 h 21600"/>
            <a:gd name="T8" fmla="*/ 4500 w 21600"/>
            <a:gd name="T9" fmla="*/ 4500 h 21600"/>
            <a:gd name="T10" fmla="*/ 17100 w 21600"/>
            <a:gd name="T11" fmla="*/ 171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close/>
            </a:path>
          </a:pathLst>
        </a:custGeom>
        <a:solidFill>
          <a:srgbClr val="CFCFCF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/>
      </xdr:spPr>
    </xdr:sp>
    <xdr:clientData/>
  </xdr:twoCellAnchor>
  <xdr:twoCellAnchor editAs="absolute">
    <xdr:from>
      <xdr:col>6</xdr:col>
      <xdr:colOff>532306</xdr:colOff>
      <xdr:row>7</xdr:row>
      <xdr:rowOff>169333</xdr:rowOff>
    </xdr:from>
    <xdr:to>
      <xdr:col>7</xdr:col>
      <xdr:colOff>307939</xdr:colOff>
      <xdr:row>7</xdr:row>
      <xdr:rowOff>169333</xdr:rowOff>
    </xdr:to>
    <xdr:sp macro="" textlink="">
      <xdr:nvSpPr>
        <xdr:cNvPr id="15" name="Line 1380"/>
        <xdr:cNvSpPr>
          <a:spLocks noChangeShapeType="1"/>
        </xdr:cNvSpPr>
      </xdr:nvSpPr>
      <xdr:spPr bwMode="auto">
        <a:xfrm>
          <a:off x="4465073" y="1365250"/>
          <a:ext cx="385233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5</xdr:col>
      <xdr:colOff>116926</xdr:colOff>
      <xdr:row>7</xdr:row>
      <xdr:rowOff>8996</xdr:rowOff>
    </xdr:from>
    <xdr:to>
      <xdr:col>7</xdr:col>
      <xdr:colOff>29084</xdr:colOff>
      <xdr:row>8</xdr:row>
      <xdr:rowOff>174096</xdr:rowOff>
    </xdr:to>
    <xdr:sp macro="" textlink="">
      <xdr:nvSpPr>
        <xdr:cNvPr id="16" name="Text Box 1381"/>
        <xdr:cNvSpPr txBox="1">
          <a:spLocks noChangeArrowheads="1"/>
        </xdr:cNvSpPr>
      </xdr:nvSpPr>
      <xdr:spPr bwMode="auto">
        <a:xfrm>
          <a:off x="3431626" y="1204913"/>
          <a:ext cx="1139825" cy="355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ctr" upright="1">
          <a:no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Nat Gas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(32 m</a:t>
          </a:r>
          <a:r>
            <a:rPr lang="en-US" sz="1000" b="1" i="0" u="none" strike="noStrike" baseline="3000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/min, 25 °C)</a:t>
          </a:r>
          <a:endParaRPr lang="en-US"/>
        </a:p>
      </xdr:txBody>
    </xdr:sp>
    <xdr:clientData/>
  </xdr:twoCellAnchor>
  <xdr:twoCellAnchor editAs="absolute">
    <xdr:from>
      <xdr:col>6</xdr:col>
      <xdr:colOff>560881</xdr:colOff>
      <xdr:row>9</xdr:row>
      <xdr:rowOff>146531</xdr:rowOff>
    </xdr:from>
    <xdr:to>
      <xdr:col>7</xdr:col>
      <xdr:colOff>307939</xdr:colOff>
      <xdr:row>9</xdr:row>
      <xdr:rowOff>146531</xdr:rowOff>
    </xdr:to>
    <xdr:sp macro="" textlink="">
      <xdr:nvSpPr>
        <xdr:cNvPr id="17" name="Line 1382"/>
        <xdr:cNvSpPr>
          <a:spLocks noChangeShapeType="1"/>
        </xdr:cNvSpPr>
      </xdr:nvSpPr>
      <xdr:spPr bwMode="auto">
        <a:xfrm>
          <a:off x="4443617" y="1763857"/>
          <a:ext cx="356658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13</xdr:col>
      <xdr:colOff>18492</xdr:colOff>
      <xdr:row>8</xdr:row>
      <xdr:rowOff>118006</xdr:rowOff>
    </xdr:from>
    <xdr:to>
      <xdr:col>14</xdr:col>
      <xdr:colOff>103719</xdr:colOff>
      <xdr:row>10</xdr:row>
      <xdr:rowOff>105837</xdr:rowOff>
    </xdr:to>
    <xdr:sp macro="" textlink="">
      <xdr:nvSpPr>
        <xdr:cNvPr id="18" name="Text Box 1384"/>
        <xdr:cNvSpPr txBox="1">
          <a:spLocks noChangeArrowheads="1"/>
        </xdr:cNvSpPr>
      </xdr:nvSpPr>
      <xdr:spPr bwMode="auto">
        <a:xfrm>
          <a:off x="8243859" y="1504423"/>
          <a:ext cx="699060" cy="36883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Leak air (25 °C)</a:t>
          </a:r>
          <a:endParaRPr lang="en-US" baseline="0"/>
        </a:p>
      </xdr:txBody>
    </xdr:sp>
    <xdr:clientData/>
  </xdr:twoCellAnchor>
  <xdr:twoCellAnchor editAs="absolute">
    <xdr:from>
      <xdr:col>7</xdr:col>
      <xdr:colOff>308978</xdr:colOff>
      <xdr:row>8</xdr:row>
      <xdr:rowOff>37734</xdr:rowOff>
    </xdr:from>
    <xdr:to>
      <xdr:col>8</xdr:col>
      <xdr:colOff>259276</xdr:colOff>
      <xdr:row>9</xdr:row>
      <xdr:rowOff>56456</xdr:rowOff>
    </xdr:to>
    <xdr:sp macro="" textlink="">
      <xdr:nvSpPr>
        <xdr:cNvPr id="19" name="Text Box 1385"/>
        <xdr:cNvSpPr txBox="1">
          <a:spLocks noChangeArrowheads="1"/>
        </xdr:cNvSpPr>
      </xdr:nvSpPr>
      <xdr:spPr bwMode="auto">
        <a:xfrm>
          <a:off x="4851345" y="1424151"/>
          <a:ext cx="564131" cy="20922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Burner</a:t>
          </a:r>
          <a:endParaRPr lang="en-US"/>
        </a:p>
      </xdr:txBody>
    </xdr:sp>
    <xdr:clientData/>
  </xdr:twoCellAnchor>
  <xdr:twoCellAnchor editAs="absolute">
    <xdr:from>
      <xdr:col>9</xdr:col>
      <xdr:colOff>161890</xdr:colOff>
      <xdr:row>11</xdr:row>
      <xdr:rowOff>1660</xdr:rowOff>
    </xdr:from>
    <xdr:to>
      <xdr:col>9</xdr:col>
      <xdr:colOff>571464</xdr:colOff>
      <xdr:row>11</xdr:row>
      <xdr:rowOff>141360</xdr:rowOff>
    </xdr:to>
    <xdr:sp macro="" textlink="">
      <xdr:nvSpPr>
        <xdr:cNvPr id="22" name="Freeform 1390"/>
        <xdr:cNvSpPr>
          <a:spLocks/>
        </xdr:cNvSpPr>
      </xdr:nvSpPr>
      <xdr:spPr bwMode="auto">
        <a:xfrm>
          <a:off x="5929807" y="1927827"/>
          <a:ext cx="409574" cy="139700"/>
        </a:xfrm>
        <a:custGeom>
          <a:avLst/>
          <a:gdLst>
            <a:gd name="T0" fmla="*/ 0 w 100"/>
            <a:gd name="T1" fmla="*/ 22 h 22"/>
            <a:gd name="T2" fmla="*/ 19 w 100"/>
            <a:gd name="T3" fmla="*/ 0 h 22"/>
            <a:gd name="T4" fmla="*/ 80 w 100"/>
            <a:gd name="T5" fmla="*/ 0 h 22"/>
            <a:gd name="T6" fmla="*/ 100 w 100"/>
            <a:gd name="T7" fmla="*/ 22 h 22"/>
            <a:gd name="T8" fmla="*/ 0 w 100"/>
            <a:gd name="T9" fmla="*/ 22 h 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00" h="22">
              <a:moveTo>
                <a:pt x="0" y="22"/>
              </a:moveTo>
              <a:lnTo>
                <a:pt x="19" y="0"/>
              </a:lnTo>
              <a:lnTo>
                <a:pt x="80" y="0"/>
              </a:lnTo>
              <a:lnTo>
                <a:pt x="100" y="22"/>
              </a:lnTo>
              <a:lnTo>
                <a:pt x="0" y="2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>
          <a:prstDash val="solid"/>
          <a:round/>
          <a:headEnd/>
          <a:tailEnd/>
        </a:ln>
        <a:effectLst/>
        <a:scene3d>
          <a:camera prst="legacyObliqueTopRight"/>
          <a:lightRig rig="legacyFlat3" dir="b"/>
        </a:scene3d>
        <a:sp3d extrusionH="163500" prstMaterial="legacyMetal">
          <a:bevelT w="13500" h="13500" prst="angle"/>
          <a:bevelB w="13500" h="13500" prst="angle"/>
          <a:extrusionClr>
            <a:srgbClr xmlns:mc="http://schemas.openxmlformats.org/markup-compatibility/2006" xmlns:a14="http://schemas.microsoft.com/office/drawing/2010/main" val="FFFFFF" mc:Ignorable="a14" a14:legacySpreadsheetColorIndex="65"/>
          </a:extrusionClr>
        </a:sp3d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11</xdr:col>
      <xdr:colOff>390490</xdr:colOff>
      <xdr:row>11</xdr:row>
      <xdr:rowOff>1660</xdr:rowOff>
    </xdr:from>
    <xdr:to>
      <xdr:col>12</xdr:col>
      <xdr:colOff>190465</xdr:colOff>
      <xdr:row>11</xdr:row>
      <xdr:rowOff>141360</xdr:rowOff>
    </xdr:to>
    <xdr:sp macro="" textlink="">
      <xdr:nvSpPr>
        <xdr:cNvPr id="23" name="Freeform 1393"/>
        <xdr:cNvSpPr>
          <a:spLocks/>
        </xdr:cNvSpPr>
      </xdr:nvSpPr>
      <xdr:spPr bwMode="auto">
        <a:xfrm>
          <a:off x="7386073" y="1927827"/>
          <a:ext cx="413809" cy="139700"/>
        </a:xfrm>
        <a:custGeom>
          <a:avLst/>
          <a:gdLst>
            <a:gd name="T0" fmla="*/ 0 w 100"/>
            <a:gd name="T1" fmla="*/ 22 h 22"/>
            <a:gd name="T2" fmla="*/ 19 w 100"/>
            <a:gd name="T3" fmla="*/ 0 h 22"/>
            <a:gd name="T4" fmla="*/ 80 w 100"/>
            <a:gd name="T5" fmla="*/ 0 h 22"/>
            <a:gd name="T6" fmla="*/ 100 w 100"/>
            <a:gd name="T7" fmla="*/ 22 h 22"/>
            <a:gd name="T8" fmla="*/ 0 w 100"/>
            <a:gd name="T9" fmla="*/ 22 h 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00" h="22">
              <a:moveTo>
                <a:pt x="0" y="22"/>
              </a:moveTo>
              <a:lnTo>
                <a:pt x="19" y="0"/>
              </a:lnTo>
              <a:lnTo>
                <a:pt x="80" y="0"/>
              </a:lnTo>
              <a:lnTo>
                <a:pt x="100" y="22"/>
              </a:lnTo>
              <a:lnTo>
                <a:pt x="0" y="2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>
          <a:prstDash val="solid"/>
          <a:round/>
          <a:headEnd/>
          <a:tailEnd/>
        </a:ln>
        <a:effectLst/>
        <a:scene3d>
          <a:camera prst="legacyObliqueTopRight"/>
          <a:lightRig rig="legacyFlat3" dir="b"/>
        </a:scene3d>
        <a:sp3d extrusionH="163500" prstMaterial="legacyMetal">
          <a:bevelT w="13500" h="13500" prst="angle"/>
          <a:bevelB w="13500" h="13500" prst="angle"/>
          <a:extrusionClr>
            <a:srgbClr xmlns:mc="http://schemas.openxmlformats.org/markup-compatibility/2006" xmlns:a14="http://schemas.microsoft.com/office/drawing/2010/main" val="FFFFFF" mc:Ignorable="a14" a14:legacySpreadsheetColorIndex="65"/>
          </a:extrusionClr>
        </a:sp3d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10</xdr:col>
      <xdr:colOff>514314</xdr:colOff>
      <xdr:row>11</xdr:row>
      <xdr:rowOff>1660</xdr:rowOff>
    </xdr:from>
    <xdr:to>
      <xdr:col>11</xdr:col>
      <xdr:colOff>318523</xdr:colOff>
      <xdr:row>11</xdr:row>
      <xdr:rowOff>141360</xdr:rowOff>
    </xdr:to>
    <xdr:sp macro="" textlink="">
      <xdr:nvSpPr>
        <xdr:cNvPr id="24" name="Freeform 1394"/>
        <xdr:cNvSpPr>
          <a:spLocks/>
        </xdr:cNvSpPr>
      </xdr:nvSpPr>
      <xdr:spPr bwMode="auto">
        <a:xfrm>
          <a:off x="6896064" y="1927827"/>
          <a:ext cx="418042" cy="139700"/>
        </a:xfrm>
        <a:custGeom>
          <a:avLst/>
          <a:gdLst>
            <a:gd name="T0" fmla="*/ 0 w 100"/>
            <a:gd name="T1" fmla="*/ 22 h 22"/>
            <a:gd name="T2" fmla="*/ 19 w 100"/>
            <a:gd name="T3" fmla="*/ 0 h 22"/>
            <a:gd name="T4" fmla="*/ 80 w 100"/>
            <a:gd name="T5" fmla="*/ 0 h 22"/>
            <a:gd name="T6" fmla="*/ 100 w 100"/>
            <a:gd name="T7" fmla="*/ 22 h 22"/>
            <a:gd name="T8" fmla="*/ 0 w 100"/>
            <a:gd name="T9" fmla="*/ 22 h 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00" h="22">
              <a:moveTo>
                <a:pt x="0" y="22"/>
              </a:moveTo>
              <a:lnTo>
                <a:pt x="19" y="0"/>
              </a:lnTo>
              <a:lnTo>
                <a:pt x="80" y="0"/>
              </a:lnTo>
              <a:lnTo>
                <a:pt x="100" y="22"/>
              </a:lnTo>
              <a:lnTo>
                <a:pt x="0" y="2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>
          <a:prstDash val="solid"/>
          <a:round/>
          <a:headEnd/>
          <a:tailEnd/>
        </a:ln>
        <a:effectLst/>
        <a:scene3d>
          <a:camera prst="legacyObliqueTopRight"/>
          <a:lightRig rig="legacyFlat3" dir="b"/>
        </a:scene3d>
        <a:sp3d extrusionH="163500" prstMaterial="legacyMetal">
          <a:bevelT w="13500" h="13500" prst="angle"/>
          <a:bevelB w="13500" h="13500" prst="angle"/>
          <a:extrusionClr>
            <a:srgbClr xmlns:mc="http://schemas.openxmlformats.org/markup-compatibility/2006" xmlns:a14="http://schemas.microsoft.com/office/drawing/2010/main" val="FFFFFF" mc:Ignorable="a14" a14:legacySpreadsheetColorIndex="65"/>
          </a:extrusionClr>
        </a:sp3d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10</xdr:col>
      <xdr:colOff>38064</xdr:colOff>
      <xdr:row>11</xdr:row>
      <xdr:rowOff>1660</xdr:rowOff>
    </xdr:from>
    <xdr:to>
      <xdr:col>10</xdr:col>
      <xdr:colOff>447639</xdr:colOff>
      <xdr:row>11</xdr:row>
      <xdr:rowOff>141360</xdr:rowOff>
    </xdr:to>
    <xdr:sp macro="" textlink="">
      <xdr:nvSpPr>
        <xdr:cNvPr id="25" name="Freeform 1395"/>
        <xdr:cNvSpPr>
          <a:spLocks/>
        </xdr:cNvSpPr>
      </xdr:nvSpPr>
      <xdr:spPr bwMode="auto">
        <a:xfrm>
          <a:off x="6419814" y="1927827"/>
          <a:ext cx="409575" cy="139700"/>
        </a:xfrm>
        <a:custGeom>
          <a:avLst/>
          <a:gdLst>
            <a:gd name="T0" fmla="*/ 0 w 100"/>
            <a:gd name="T1" fmla="*/ 22 h 22"/>
            <a:gd name="T2" fmla="*/ 19 w 100"/>
            <a:gd name="T3" fmla="*/ 0 h 22"/>
            <a:gd name="T4" fmla="*/ 80 w 100"/>
            <a:gd name="T5" fmla="*/ 0 h 22"/>
            <a:gd name="T6" fmla="*/ 100 w 100"/>
            <a:gd name="T7" fmla="*/ 22 h 22"/>
            <a:gd name="T8" fmla="*/ 0 w 100"/>
            <a:gd name="T9" fmla="*/ 22 h 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00" h="22">
              <a:moveTo>
                <a:pt x="0" y="22"/>
              </a:moveTo>
              <a:lnTo>
                <a:pt x="19" y="0"/>
              </a:lnTo>
              <a:lnTo>
                <a:pt x="80" y="0"/>
              </a:lnTo>
              <a:lnTo>
                <a:pt x="100" y="22"/>
              </a:lnTo>
              <a:lnTo>
                <a:pt x="0" y="2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>
          <a:prstDash val="solid"/>
          <a:round/>
          <a:headEnd/>
          <a:tailEnd/>
        </a:ln>
        <a:effectLst/>
        <a:scene3d>
          <a:camera prst="legacyObliqueTopRight"/>
          <a:lightRig rig="legacyFlat3" dir="b"/>
        </a:scene3d>
        <a:sp3d extrusionH="163500" prstMaterial="legacyMetal">
          <a:bevelT w="13500" h="13500" prst="angle"/>
          <a:bevelB w="13500" h="13500" prst="angle"/>
          <a:extrusionClr>
            <a:srgbClr xmlns:mc="http://schemas.openxmlformats.org/markup-compatibility/2006" xmlns:a14="http://schemas.microsoft.com/office/drawing/2010/main" val="FFFFFF" mc:Ignorable="a14" a14:legacySpreadsheetColorIndex="65"/>
          </a:extrusionClr>
        </a:sp3d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10</xdr:col>
      <xdr:colOff>424026</xdr:colOff>
      <xdr:row>6</xdr:row>
      <xdr:rowOff>48683</xdr:rowOff>
    </xdr:from>
    <xdr:to>
      <xdr:col>11</xdr:col>
      <xdr:colOff>421516</xdr:colOff>
      <xdr:row>7</xdr:row>
      <xdr:rowOff>66359</xdr:rowOff>
    </xdr:to>
    <xdr:sp macro="" textlink="">
      <xdr:nvSpPr>
        <xdr:cNvPr id="28" name="Text Box 1399"/>
        <xdr:cNvSpPr txBox="1">
          <a:spLocks noChangeArrowheads="1"/>
        </xdr:cNvSpPr>
      </xdr:nvSpPr>
      <xdr:spPr bwMode="auto">
        <a:xfrm>
          <a:off x="6812126" y="1085850"/>
          <a:ext cx="611323" cy="17642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Heat loss</a:t>
          </a:r>
          <a:endParaRPr lang="en-US"/>
        </a:p>
      </xdr:txBody>
    </xdr:sp>
    <xdr:clientData/>
  </xdr:twoCellAnchor>
  <xdr:twoCellAnchor editAs="absolute">
    <xdr:from>
      <xdr:col>9</xdr:col>
      <xdr:colOff>293473</xdr:colOff>
      <xdr:row>9</xdr:row>
      <xdr:rowOff>12547</xdr:rowOff>
    </xdr:from>
    <xdr:to>
      <xdr:col>12</xdr:col>
      <xdr:colOff>140387</xdr:colOff>
      <xdr:row>10</xdr:row>
      <xdr:rowOff>31269</xdr:rowOff>
    </xdr:to>
    <xdr:sp macro="" textlink="">
      <xdr:nvSpPr>
        <xdr:cNvPr id="34" name="Text Box 1405"/>
        <xdr:cNvSpPr txBox="1">
          <a:spLocks noChangeArrowheads="1"/>
        </xdr:cNvSpPr>
      </xdr:nvSpPr>
      <xdr:spPr bwMode="auto">
        <a:xfrm>
          <a:off x="6061390" y="1589464"/>
          <a:ext cx="1688414" cy="20922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0" anchor="t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Ingot Heating Furnace</a:t>
          </a:r>
          <a:endParaRPr lang="en-US"/>
        </a:p>
      </xdr:txBody>
    </xdr:sp>
    <xdr:clientData/>
  </xdr:twoCellAnchor>
  <xdr:twoCellAnchor editAs="absolute">
    <xdr:from>
      <xdr:col>11</xdr:col>
      <xdr:colOff>507970</xdr:colOff>
      <xdr:row>7</xdr:row>
      <xdr:rowOff>27515</xdr:rowOff>
    </xdr:from>
    <xdr:to>
      <xdr:col>12</xdr:col>
      <xdr:colOff>346044</xdr:colOff>
      <xdr:row>8</xdr:row>
      <xdr:rowOff>133349</xdr:rowOff>
    </xdr:to>
    <xdr:sp macro="" textlink="">
      <xdr:nvSpPr>
        <xdr:cNvPr id="35" name="Freeform 34"/>
        <xdr:cNvSpPr/>
      </xdr:nvSpPr>
      <xdr:spPr>
        <a:xfrm>
          <a:off x="7503553" y="1223432"/>
          <a:ext cx="451908" cy="296334"/>
        </a:xfrm>
        <a:custGeom>
          <a:avLst/>
          <a:gdLst>
            <a:gd name="connsiteX0" fmla="*/ 0 w 447675"/>
            <a:gd name="connsiteY0" fmla="*/ 295275 h 295275"/>
            <a:gd name="connsiteX1" fmla="*/ 0 w 447675"/>
            <a:gd name="connsiteY1" fmla="*/ 0 h 295275"/>
            <a:gd name="connsiteX2" fmla="*/ 447675 w 447675"/>
            <a:gd name="connsiteY2" fmla="*/ 0 h 295275"/>
            <a:gd name="connsiteX3" fmla="*/ 447675 w 447675"/>
            <a:gd name="connsiteY3" fmla="*/ 9525 h 2952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47675" h="295275">
              <a:moveTo>
                <a:pt x="0" y="295275"/>
              </a:moveTo>
              <a:lnTo>
                <a:pt x="0" y="0"/>
              </a:lnTo>
              <a:lnTo>
                <a:pt x="447675" y="0"/>
              </a:lnTo>
              <a:lnTo>
                <a:pt x="447675" y="9525"/>
              </a:lnTo>
            </a:path>
          </a:pathLst>
        </a:custGeom>
        <a:ln w="1905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7</xdr:col>
      <xdr:colOff>56056</xdr:colOff>
      <xdr:row>8</xdr:row>
      <xdr:rowOff>154467</xdr:rowOff>
    </xdr:from>
    <xdr:to>
      <xdr:col>7</xdr:col>
      <xdr:colOff>237031</xdr:colOff>
      <xdr:row>9</xdr:row>
      <xdr:rowOff>160817</xdr:rowOff>
    </xdr:to>
    <xdr:sp macro="" textlink="">
      <xdr:nvSpPr>
        <xdr:cNvPr id="40" name="Text Box 1342"/>
        <xdr:cNvSpPr txBox="1">
          <a:spLocks noChangeArrowheads="1"/>
        </xdr:cNvSpPr>
      </xdr:nvSpPr>
      <xdr:spPr bwMode="auto">
        <a:xfrm>
          <a:off x="4548392" y="1581293"/>
          <a:ext cx="180975" cy="196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absolute">
    <xdr:from>
      <xdr:col>8</xdr:col>
      <xdr:colOff>522782</xdr:colOff>
      <xdr:row>10</xdr:row>
      <xdr:rowOff>3173</xdr:rowOff>
    </xdr:from>
    <xdr:to>
      <xdr:col>9</xdr:col>
      <xdr:colOff>94157</xdr:colOff>
      <xdr:row>11</xdr:row>
      <xdr:rowOff>41273</xdr:rowOff>
    </xdr:to>
    <xdr:sp macro="" textlink="">
      <xdr:nvSpPr>
        <xdr:cNvPr id="41" name="Text Box 1342"/>
        <xdr:cNvSpPr txBox="1">
          <a:spLocks noChangeArrowheads="1"/>
        </xdr:cNvSpPr>
      </xdr:nvSpPr>
      <xdr:spPr bwMode="auto">
        <a:xfrm>
          <a:off x="5683215" y="1770590"/>
          <a:ext cx="180975" cy="196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absolute">
    <xdr:from>
      <xdr:col>8</xdr:col>
      <xdr:colOff>411656</xdr:colOff>
      <xdr:row>7</xdr:row>
      <xdr:rowOff>180974</xdr:rowOff>
    </xdr:from>
    <xdr:to>
      <xdr:col>8</xdr:col>
      <xdr:colOff>592631</xdr:colOff>
      <xdr:row>8</xdr:row>
      <xdr:rowOff>187324</xdr:rowOff>
    </xdr:to>
    <xdr:sp macro="" textlink="">
      <xdr:nvSpPr>
        <xdr:cNvPr id="42" name="Text Box 1342"/>
        <xdr:cNvSpPr txBox="1">
          <a:spLocks noChangeArrowheads="1"/>
        </xdr:cNvSpPr>
      </xdr:nvSpPr>
      <xdr:spPr bwMode="auto">
        <a:xfrm>
          <a:off x="5565739" y="1376891"/>
          <a:ext cx="180975" cy="196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absolute">
    <xdr:from>
      <xdr:col>11</xdr:col>
      <xdr:colOff>514845</xdr:colOff>
      <xdr:row>7</xdr:row>
      <xdr:rowOff>37039</xdr:rowOff>
    </xdr:from>
    <xdr:to>
      <xdr:col>12</xdr:col>
      <xdr:colOff>90453</xdr:colOff>
      <xdr:row>8</xdr:row>
      <xdr:rowOff>43389</xdr:rowOff>
    </xdr:to>
    <xdr:sp macro="" textlink="">
      <xdr:nvSpPr>
        <xdr:cNvPr id="43" name="Text Box 1342"/>
        <xdr:cNvSpPr txBox="1">
          <a:spLocks noChangeArrowheads="1"/>
        </xdr:cNvSpPr>
      </xdr:nvSpPr>
      <xdr:spPr bwMode="auto">
        <a:xfrm>
          <a:off x="7510428" y="1232956"/>
          <a:ext cx="189442" cy="196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absolute">
    <xdr:from>
      <xdr:col>12</xdr:col>
      <xdr:colOff>424357</xdr:colOff>
      <xdr:row>11</xdr:row>
      <xdr:rowOff>26457</xdr:rowOff>
    </xdr:from>
    <xdr:to>
      <xdr:col>13</xdr:col>
      <xdr:colOff>13194</xdr:colOff>
      <xdr:row>11</xdr:row>
      <xdr:rowOff>189970</xdr:rowOff>
    </xdr:to>
    <xdr:sp macro="" textlink="">
      <xdr:nvSpPr>
        <xdr:cNvPr id="44" name="Text Box 1342"/>
        <xdr:cNvSpPr txBox="1">
          <a:spLocks noChangeArrowheads="1"/>
        </xdr:cNvSpPr>
      </xdr:nvSpPr>
      <xdr:spPr bwMode="auto">
        <a:xfrm>
          <a:off x="8040124" y="1952624"/>
          <a:ext cx="198437" cy="1635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 editAs="absolute">
    <xdr:from>
      <xdr:col>7</xdr:col>
      <xdr:colOff>52551</xdr:colOff>
      <xdr:row>5</xdr:row>
      <xdr:rowOff>48683</xdr:rowOff>
    </xdr:from>
    <xdr:to>
      <xdr:col>8</xdr:col>
      <xdr:colOff>50040</xdr:colOff>
      <xdr:row>6</xdr:row>
      <xdr:rowOff>66359</xdr:rowOff>
    </xdr:to>
    <xdr:sp macro="" textlink="">
      <xdr:nvSpPr>
        <xdr:cNvPr id="46" name="Text Box 1399"/>
        <xdr:cNvSpPr txBox="1">
          <a:spLocks noChangeArrowheads="1"/>
        </xdr:cNvSpPr>
      </xdr:nvSpPr>
      <xdr:spPr bwMode="auto">
        <a:xfrm>
          <a:off x="4594918" y="927100"/>
          <a:ext cx="611322" cy="17642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Heat loss</a:t>
          </a:r>
          <a:endParaRPr lang="en-US"/>
        </a:p>
      </xdr:txBody>
    </xdr:sp>
    <xdr:clientData/>
  </xdr:twoCellAnchor>
  <xdr:oneCellAnchor>
    <xdr:from>
      <xdr:col>2</xdr:col>
      <xdr:colOff>285750</xdr:colOff>
      <xdr:row>0</xdr:row>
      <xdr:rowOff>213787</xdr:rowOff>
    </xdr:from>
    <xdr:ext cx="6457949" cy="666911"/>
    <xdr:sp macro="" textlink="">
      <xdr:nvSpPr>
        <xdr:cNvPr id="33" name="TextBox 32"/>
        <xdr:cNvSpPr txBox="1"/>
      </xdr:nvSpPr>
      <xdr:spPr>
        <a:xfrm>
          <a:off x="1778000" y="213787"/>
          <a:ext cx="6457949" cy="666911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 anchorCtr="1">
          <a:noAutofit/>
        </a:bodyPr>
        <a:lstStyle/>
        <a:p>
          <a:pPr algn="ctr"/>
          <a:endParaRPr lang="en-US" sz="1600">
            <a:latin typeface="Arial" pitchFamily="34" charset="0"/>
            <a:cs typeface="Arial" pitchFamily="34" charset="0"/>
          </a:endParaRPr>
        </a:p>
        <a:p>
          <a:pPr algn="ctr"/>
          <a:r>
            <a:rPr lang="en-US" sz="16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A Material Balance Calculator for an</a:t>
          </a:r>
          <a:r>
            <a:rPr lang="en-US" sz="1600" b="1" baseline="0">
              <a:solidFill>
                <a:schemeClr val="bg1"/>
              </a:solidFill>
              <a:latin typeface="Arial" pitchFamily="34" charset="0"/>
              <a:cs typeface="Arial" pitchFamily="34" charset="0"/>
            </a:rPr>
            <a:t> Aluminum Heating Process</a:t>
          </a:r>
          <a:endParaRPr lang="en-US" sz="11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6</xdr:col>
      <xdr:colOff>217627</xdr:colOff>
      <xdr:row>1</xdr:row>
      <xdr:rowOff>67886</xdr:rowOff>
    </xdr:from>
    <xdr:ext cx="1734998" cy="275329"/>
    <xdr:sp macro="" textlink="">
      <xdr:nvSpPr>
        <xdr:cNvPr id="36" name="Rectangle 35"/>
        <xdr:cNvSpPr/>
      </xdr:nvSpPr>
      <xdr:spPr>
        <a:xfrm>
          <a:off x="4144044" y="311303"/>
          <a:ext cx="1734998" cy="275329"/>
        </a:xfrm>
        <a:prstGeom prst="rect">
          <a:avLst/>
        </a:prstGeom>
        <a:solidFill>
          <a:srgbClr val="D0CAFE"/>
        </a:solidFill>
        <a:ln>
          <a:solidFill>
            <a:schemeClr val="tx1"/>
          </a:solidFill>
        </a:ln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en-US" sz="2400" b="1" cap="none" spc="0" baseline="0">
              <a:ln w="3175" cmpd="sng">
                <a:solidFill>
                  <a:srgbClr val="FFFFFF"/>
                </a:solidFill>
                <a:prstDash val="solid"/>
                <a:miter lim="800000"/>
              </a:ln>
              <a:solidFill>
                <a:srgbClr val="000000">
                  <a:tint val="92000"/>
                  <a:shade val="100000"/>
                  <a:satMod val="150000"/>
                </a:srgbClr>
              </a:solidFill>
              <a:effectLst>
                <a:outerShdw blurRad="50800" algn="tl" rotWithShape="0">
                  <a:srgbClr val="000000"/>
                </a:outerShdw>
              </a:effectLst>
            </a:rPr>
            <a:t>MatBalCalc</a:t>
          </a:r>
        </a:p>
      </xdr:txBody>
    </xdr:sp>
    <xdr:clientData/>
  </xdr:oneCellAnchor>
  <xdr:oneCellAnchor>
    <xdr:from>
      <xdr:col>15</xdr:col>
      <xdr:colOff>264585</xdr:colOff>
      <xdr:row>2</xdr:row>
      <xdr:rowOff>94535</xdr:rowOff>
    </xdr:from>
    <xdr:ext cx="4491871" cy="342786"/>
    <xdr:sp macro="" textlink="">
      <xdr:nvSpPr>
        <xdr:cNvPr id="5" name="TextBox 4"/>
        <xdr:cNvSpPr txBox="1"/>
      </xdr:nvSpPr>
      <xdr:spPr>
        <a:xfrm>
          <a:off x="10255252" y="412035"/>
          <a:ext cx="4491871" cy="34278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n-US" sz="1600"/>
            <a:t>Material Balance for the Aluminum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Heating Process</a:t>
          </a:r>
          <a:endParaRPr lang="en-US" sz="1600"/>
        </a:p>
      </xdr:txBody>
    </xdr:sp>
    <xdr:clientData/>
  </xdr:oneCellAnchor>
  <xdr:oneCellAnchor>
    <xdr:from>
      <xdr:col>16</xdr:col>
      <xdr:colOff>421218</xdr:colOff>
      <xdr:row>5</xdr:row>
      <xdr:rowOff>38099</xdr:rowOff>
    </xdr:from>
    <xdr:ext cx="2817284" cy="226483"/>
    <xdr:sp macro="" textlink="">
      <xdr:nvSpPr>
        <xdr:cNvPr id="6" name="TextBox 5"/>
        <xdr:cNvSpPr txBox="1"/>
      </xdr:nvSpPr>
      <xdr:spPr>
        <a:xfrm>
          <a:off x="11057468" y="831849"/>
          <a:ext cx="2817284" cy="226483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Table 1.  Stream amounts</a:t>
          </a:r>
          <a:r>
            <a:rPr lang="en-US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g-mol/min</a:t>
          </a:r>
          <a:endParaRPr lang="en-US" sz="1300"/>
        </a:p>
      </xdr:txBody>
    </xdr:sp>
    <xdr:clientData/>
  </xdr:oneCellAnchor>
  <xdr:oneCellAnchor>
    <xdr:from>
      <xdr:col>16</xdr:col>
      <xdr:colOff>504821</xdr:colOff>
      <xdr:row>18</xdr:row>
      <xdr:rowOff>85725</xdr:rowOff>
    </xdr:from>
    <xdr:ext cx="2670176" cy="242358"/>
    <xdr:sp macro="" textlink="">
      <xdr:nvSpPr>
        <xdr:cNvPr id="53" name="TextBox 52"/>
        <xdr:cNvSpPr txBox="1"/>
      </xdr:nvSpPr>
      <xdr:spPr>
        <a:xfrm>
          <a:off x="11141071" y="3324225"/>
          <a:ext cx="2670176" cy="24235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ctr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Table 2.  Stream flow</a:t>
          </a:r>
          <a:r>
            <a:rPr lang="en-US" sz="13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composition</a:t>
          </a:r>
          <a:endParaRPr lang="en-US" sz="1300"/>
        </a:p>
      </xdr:txBody>
    </xdr:sp>
    <xdr:clientData/>
  </xdr:oneCellAnchor>
  <xdr:oneCellAnchor>
    <xdr:from>
      <xdr:col>7</xdr:col>
      <xdr:colOff>232831</xdr:colOff>
      <xdr:row>19</xdr:row>
      <xdr:rowOff>21168</xdr:rowOff>
    </xdr:from>
    <xdr:ext cx="5238753" cy="2879250"/>
    <xdr:sp macro="" textlink="">
      <xdr:nvSpPr>
        <xdr:cNvPr id="7" name="TextBox 6"/>
        <xdr:cNvSpPr txBox="1"/>
      </xdr:nvSpPr>
      <xdr:spPr>
        <a:xfrm>
          <a:off x="4773081" y="3577168"/>
          <a:ext cx="5238753" cy="2879250"/>
        </a:xfrm>
        <a:prstGeom prst="rect">
          <a:avLst/>
        </a:prstGeom>
        <a:solidFill>
          <a:srgbClr val="FBCBA3"/>
        </a:solidFill>
        <a:ln w="9525"/>
        <a:effectLst>
          <a:innerShdw blurRad="114300">
            <a:prstClr val="black"/>
          </a:inn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300"/>
            <a:t>Constructing</a:t>
          </a:r>
          <a:r>
            <a:rPr lang="en-US" sz="1300" baseline="0"/>
            <a:t> a Material Balance</a:t>
          </a:r>
        </a:p>
        <a:p>
          <a:r>
            <a:rPr lang="en-US" sz="1100" baseline="0"/>
            <a:t>1.  Use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workbook </a:t>
          </a:r>
          <a:r>
            <a:rPr lang="en-US" sz="1100" u="sng" baseline="0"/>
            <a:t>StoichCalc</a:t>
          </a:r>
          <a:r>
            <a:rPr lang="en-US" sz="1100" baseline="0"/>
            <a:t>  to obtain the air/NG ratio for 118 % stoichiometric air for the specified natural gas (cell E12).</a:t>
          </a:r>
        </a:p>
        <a:p>
          <a:r>
            <a:rPr lang="en-US" sz="1100" baseline="0"/>
            <a:t>2.  Calculate the air flow for 32 m</a:t>
          </a:r>
          <a:r>
            <a:rPr lang="en-US" sz="1100" baseline="30000"/>
            <a:t>3</a:t>
          </a:r>
          <a:r>
            <a:rPr lang="en-US" sz="1100" baseline="0"/>
            <a:t>/min NatGas flow (cell C18).</a:t>
          </a:r>
        </a:p>
        <a:p>
          <a:r>
            <a:rPr lang="en-US" sz="1100" baseline="0"/>
            <a:t>3.  Use workbook </a:t>
          </a:r>
          <a:r>
            <a:rPr lang="en-US" sz="1100" u="sng" baseline="0"/>
            <a:t>VolCalc</a:t>
          </a:r>
          <a:r>
            <a:rPr lang="en-US" sz="1100" baseline="0"/>
            <a:t> to obtain the molar NatGas and air flows (F17:F18).</a:t>
          </a:r>
        </a:p>
        <a:p>
          <a:r>
            <a:rPr lang="en-US" sz="1100" baseline="0"/>
            <a:t>4.  Use workbook </a:t>
          </a:r>
          <a:r>
            <a:rPr lang="en-US" sz="1100" u="sng" baseline="0"/>
            <a:t>HeatCalc</a:t>
          </a:r>
          <a:r>
            <a:rPr lang="en-US" sz="1100" baseline="0"/>
            <a:t> to obtain molar flows of CO</a:t>
          </a:r>
          <a:r>
            <a:rPr lang="en-US" sz="1100" baseline="-25000"/>
            <a:t>2</a:t>
          </a:r>
          <a:r>
            <a:rPr lang="en-US" sz="1100" baseline="0"/>
            <a:t> and H</a:t>
          </a:r>
          <a:r>
            <a:rPr lang="en-US" sz="1100" baseline="-25000"/>
            <a:t>2</a:t>
          </a:r>
          <a:r>
            <a:rPr lang="en-US" sz="1100" baseline="0"/>
            <a:t>O (F23:F24).</a:t>
          </a:r>
        </a:p>
        <a:p>
          <a:r>
            <a:rPr lang="en-US" sz="1100" baseline="0"/>
            <a:t>5.  Enter the NatGas and air flows in Table 1 (Q10:R10).  </a:t>
          </a:r>
        </a:p>
        <a:p>
          <a:r>
            <a:rPr lang="en-US" sz="1100" baseline="0"/>
            <a:t>6.  Calculate the species flows in cells Q12, Q13, and Q16, and in R16:R17.  </a:t>
          </a:r>
        </a:p>
        <a:p>
          <a:r>
            <a:rPr lang="en-US" sz="1100" baseline="0"/>
            <a:t>7.  Enter/calculate the species flows in the Combustion gas (S14:S17), and copy CO</a:t>
          </a:r>
          <a:r>
            <a:rPr lang="en-US" sz="1100" baseline="-25000"/>
            <a:t>2</a:t>
          </a:r>
          <a:r>
            <a:rPr lang="en-US" sz="1100" baseline="0"/>
            <a:t> &amp; H</a:t>
          </a:r>
          <a:r>
            <a:rPr lang="en-US" sz="1100" baseline="-25000"/>
            <a:t>2</a:t>
          </a:r>
          <a:r>
            <a:rPr lang="en-US" sz="1100" baseline="0"/>
            <a:t>O to the Stack gas (T14:T15).   Calculate the Combustion gas flow (S10).</a:t>
          </a:r>
        </a:p>
        <a:p>
          <a:r>
            <a:rPr lang="en-US" sz="1100" baseline="0"/>
            <a:t>8.  Calculate the Leak air flow (U10).  See oxygen balance equation near cell P36.</a:t>
          </a:r>
        </a:p>
        <a:p>
          <a:r>
            <a:rPr lang="en-US" sz="1100" baseline="0"/>
            <a:t>9.  Calculate the N</a:t>
          </a:r>
          <a:r>
            <a:rPr lang="en-US" sz="1100" baseline="-25000"/>
            <a:t>2</a:t>
          </a:r>
          <a:r>
            <a:rPr lang="en-US" sz="1100" baseline="0"/>
            <a:t> and O</a:t>
          </a:r>
          <a:r>
            <a:rPr lang="en-US" sz="1100" baseline="-25000"/>
            <a:t>2</a:t>
          </a:r>
          <a:r>
            <a:rPr lang="en-US" sz="1100" baseline="0"/>
            <a:t> flows in the Leak air (U16:U17).</a:t>
          </a:r>
        </a:p>
        <a:p>
          <a:r>
            <a:rPr lang="en-US" sz="1100" baseline="0"/>
            <a:t>10.  Calculate the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flows in the </a:t>
          </a:r>
          <a:r>
            <a:rPr lang="en-US" sz="1100" baseline="0"/>
            <a:t>Stack gas (T17:T18).</a:t>
          </a:r>
        </a:p>
        <a:p>
          <a:r>
            <a:rPr lang="en-US" sz="1100" baseline="0"/>
            <a:t>11.  Calculate the Stack gas flow (T10).</a:t>
          </a:r>
        </a:p>
        <a:p>
          <a:r>
            <a:rPr lang="en-US" sz="1100" baseline="0"/>
            <a:t>12.  Calculate the Aluminum flows (V10:V11).  </a:t>
          </a:r>
        </a:p>
        <a:p>
          <a:r>
            <a:rPr lang="en-US" sz="1100" baseline="0"/>
            <a:t>13.  Fill in and calculate stream flows and compositions in Table 2 (details shown in cells). </a:t>
          </a:r>
          <a:endParaRPr lang="en-US" sz="1100"/>
        </a:p>
      </xdr:txBody>
    </xdr:sp>
    <xdr:clientData/>
  </xdr:oneCellAnchor>
  <xdr:twoCellAnchor editAs="absolute">
    <xdr:from>
      <xdr:col>12</xdr:col>
      <xdr:colOff>307940</xdr:colOff>
      <xdr:row>9</xdr:row>
      <xdr:rowOff>140760</xdr:rowOff>
    </xdr:from>
    <xdr:to>
      <xdr:col>13</xdr:col>
      <xdr:colOff>113206</xdr:colOff>
      <xdr:row>9</xdr:row>
      <xdr:rowOff>140760</xdr:rowOff>
    </xdr:to>
    <xdr:sp macro="" textlink="">
      <xdr:nvSpPr>
        <xdr:cNvPr id="38" name="Line 1330"/>
        <xdr:cNvSpPr>
          <a:spLocks noChangeShapeType="1"/>
        </xdr:cNvSpPr>
      </xdr:nvSpPr>
      <xdr:spPr bwMode="auto">
        <a:xfrm rot="5400000">
          <a:off x="8129023" y="1508127"/>
          <a:ext cx="0" cy="4191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12</xdr:col>
      <xdr:colOff>424357</xdr:colOff>
      <xdr:row>8</xdr:row>
      <xdr:rowOff>153459</xdr:rowOff>
    </xdr:from>
    <xdr:to>
      <xdr:col>13</xdr:col>
      <xdr:colOff>13194</xdr:colOff>
      <xdr:row>9</xdr:row>
      <xdr:rowOff>126472</xdr:rowOff>
    </xdr:to>
    <xdr:sp macro="" textlink="">
      <xdr:nvSpPr>
        <xdr:cNvPr id="47" name="Text Box 1342"/>
        <xdr:cNvSpPr txBox="1">
          <a:spLocks noChangeArrowheads="1"/>
        </xdr:cNvSpPr>
      </xdr:nvSpPr>
      <xdr:spPr bwMode="auto">
        <a:xfrm>
          <a:off x="8040124" y="1539876"/>
          <a:ext cx="198437" cy="1635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absolute">
    <xdr:from>
      <xdr:col>5</xdr:col>
      <xdr:colOff>9525</xdr:colOff>
      <xdr:row>8</xdr:row>
      <xdr:rowOff>159762</xdr:rowOff>
    </xdr:from>
    <xdr:to>
      <xdr:col>7</xdr:col>
      <xdr:colOff>161926</xdr:colOff>
      <xdr:row>10</xdr:row>
      <xdr:rowOff>147593</xdr:rowOff>
    </xdr:to>
    <xdr:sp macro="" textlink="">
      <xdr:nvSpPr>
        <xdr:cNvPr id="48" name="Text Box 1384"/>
        <xdr:cNvSpPr txBox="1">
          <a:spLocks noChangeArrowheads="1"/>
        </xdr:cNvSpPr>
      </xdr:nvSpPr>
      <xdr:spPr bwMode="auto">
        <a:xfrm>
          <a:off x="3322108" y="1546179"/>
          <a:ext cx="1380068" cy="36883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Burner air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(118% stoich, 25 °C)</a:t>
          </a:r>
          <a:endParaRPr lang="en-US" baseline="0"/>
        </a:p>
      </xdr:txBody>
    </xdr:sp>
    <xdr:clientData/>
  </xdr:twoCellAnchor>
  <xdr:oneCellAnchor>
    <xdr:from>
      <xdr:col>14</xdr:col>
      <xdr:colOff>1270001</xdr:colOff>
      <xdr:row>35</xdr:row>
      <xdr:rowOff>50800</xdr:rowOff>
    </xdr:from>
    <xdr:ext cx="6498166" cy="4757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/>
            <xdr:cNvSpPr txBox="1"/>
          </xdr:nvSpPr>
          <xdr:spPr>
            <a:xfrm>
              <a:off x="9842501" y="6707717"/>
              <a:ext cx="6498166" cy="475771"/>
            </a:xfrm>
            <a:prstGeom prst="rect">
              <a:avLst/>
            </a:prstGeom>
            <a:solidFill>
              <a:srgbClr val="D8CFE3"/>
            </a:solidFill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/>
                      </a:rPr>
                      <m:t>0.033= </m:t>
                    </m:r>
                    <m:f>
                      <m:fPr>
                        <m:ctrlPr>
                          <a:rPr lang="en-US" sz="1200" b="0" i="1">
                            <a:latin typeface="Cambria Math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/>
                          </a:rPr>
                          <m:t>𝑂</m:t>
                        </m:r>
                        <m:r>
                          <a:rPr lang="en-US" sz="1200" b="0" i="1" baseline="-25000">
                            <a:latin typeface="Cambria Math"/>
                          </a:rPr>
                          <m:t>2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𝑓𝑙𝑜𝑤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𝑖𝑛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𝐶𝑚𝑏𝑠𝑡𝐺𝑎𝑠</m:t>
                        </m:r>
                        <m:r>
                          <a:rPr lang="en-US" sz="1200" b="0" i="1">
                            <a:latin typeface="Cambria Math"/>
                          </a:rPr>
                          <m:t>+0.21×</m:t>
                        </m:r>
                        <m:r>
                          <a:rPr lang="en-US" sz="1200" b="0" i="1">
                            <a:latin typeface="Cambria Math"/>
                          </a:rPr>
                          <m:t>𝐿𝑒𝑎𝑘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𝑎𝑖𝑟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𝑓𝑙𝑜𝑤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</m:num>
                      <m:den>
                        <m:r>
                          <a:rPr lang="en-US" sz="1200" b="0" i="1">
                            <a:latin typeface="Cambria Math"/>
                          </a:rPr>
                          <m:t>𝐶𝑚𝑏𝑠𝑡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𝑔𝑎𝑠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𝑓𝑙𝑜𝑤</m:t>
                        </m:r>
                        <m:r>
                          <a:rPr lang="en-US" sz="1200" b="0" i="1">
                            <a:latin typeface="Cambria Math"/>
                          </a:rPr>
                          <m:t>+</m:t>
                        </m:r>
                        <m:r>
                          <a:rPr lang="en-US" sz="1200" b="0" i="1">
                            <a:latin typeface="Cambria Math"/>
                          </a:rPr>
                          <m:t>𝐿𝑒𝑎𝑘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𝑎𝑖𝑟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𝑓𝑙𝑜𝑤</m:t>
                        </m:r>
                      </m:den>
                    </m:f>
                    <m:r>
                      <a:rPr lang="en-US" sz="1200" b="0" i="1">
                        <a:latin typeface="Cambria Math"/>
                      </a:rPr>
                      <m:t>= </m:t>
                    </m:r>
                    <m:f>
                      <m:fPr>
                        <m:ctrlPr>
                          <a:rPr lang="en-US" sz="1200" b="0" i="1">
                            <a:latin typeface="Cambria Math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/>
                          </a:rPr>
                          <m:t>472.7+0.21</m:t>
                        </m:r>
                        <m:r>
                          <a:rPr lang="en-US" sz="1200" b="0" i="1">
                            <a:latin typeface="Cambria Math"/>
                            <a:ea typeface="Cambria Math"/>
                          </a:rPr>
                          <m:t>×</m:t>
                        </m:r>
                        <m:r>
                          <a:rPr lang="en-US" sz="1200" b="0" i="1">
                            <a:latin typeface="Cambria Math"/>
                            <a:ea typeface="Cambria Math"/>
                          </a:rPr>
                          <m:t>𝐿𝑒𝑎𝑘</m:t>
                        </m:r>
                        <m:r>
                          <a:rPr lang="en-US" sz="1200" b="0" i="1">
                            <a:latin typeface="Cambria Math"/>
                            <a:ea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  <a:ea typeface="Cambria Math"/>
                          </a:rPr>
                          <m:t>𝑎𝑖𝑟</m:t>
                        </m:r>
                        <m:r>
                          <a:rPr lang="en-US" sz="1200" b="0" i="1">
                            <a:latin typeface="Cambria Math"/>
                            <a:ea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  <a:ea typeface="Cambria Math"/>
                          </a:rPr>
                          <m:t>𝑓𝑙𝑜𝑤</m:t>
                        </m:r>
                      </m:num>
                      <m:den>
                        <m:r>
                          <a:rPr lang="en-US" sz="1200" b="0" i="1">
                            <a:latin typeface="Cambria Math"/>
                          </a:rPr>
                          <m:t>16067+</m:t>
                        </m:r>
                        <m:r>
                          <a:rPr lang="en-US" sz="1200" b="0" i="1">
                            <a:latin typeface="Cambria Math"/>
                          </a:rPr>
                          <m:t>𝐿𝑒𝑎𝑘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𝑎𝑖𝑟</m:t>
                        </m:r>
                        <m:r>
                          <a:rPr lang="en-US" sz="1200" b="0" i="1">
                            <a:latin typeface="Cambria Math"/>
                          </a:rPr>
                          <m:t> </m:t>
                        </m:r>
                        <m:r>
                          <a:rPr lang="en-US" sz="1200" b="0" i="1">
                            <a:latin typeface="Cambria Math"/>
                          </a:rPr>
                          <m:t>𝑓𝑙𝑜𝑤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>
        <xdr:sp macro="" textlink="">
          <xdr:nvSpPr>
            <xdr:cNvPr id="20" name="TextBox 19"/>
            <xdr:cNvSpPr txBox="1"/>
          </xdr:nvSpPr>
          <xdr:spPr>
            <a:xfrm>
              <a:off x="9842501" y="6707717"/>
              <a:ext cx="6498166" cy="475771"/>
            </a:xfrm>
            <a:prstGeom prst="rect">
              <a:avLst/>
            </a:prstGeom>
            <a:solidFill>
              <a:srgbClr val="D8CFE3"/>
            </a:solidFill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200" b="0" i="0">
                  <a:latin typeface="Cambria Math"/>
                </a:rPr>
                <a:t>0.033=  (𝑂</a:t>
              </a:r>
              <a:r>
                <a:rPr lang="en-US" sz="1200" b="0" i="0" baseline="-25000">
                  <a:latin typeface="Cambria Math"/>
                </a:rPr>
                <a:t>2</a:t>
              </a:r>
              <a:r>
                <a:rPr lang="en-US" sz="1200" b="0" i="0">
                  <a:latin typeface="Cambria Math"/>
                </a:rPr>
                <a:t> 𝑓𝑙𝑜𝑤 𝑖𝑛 𝐶𝑚𝑏𝑠𝑡𝐺𝑎𝑠+0.21</a:t>
              </a:r>
              <a:r>
                <a:rPr lang="en-US" sz="1200" b="0" i="0">
                  <a:latin typeface="Cambria Math"/>
                  <a:ea typeface="Cambria Math"/>
                </a:rPr>
                <a:t>×</a:t>
              </a:r>
              <a:r>
                <a:rPr lang="en-US" sz="1200" b="0" i="0">
                  <a:latin typeface="Cambria Math"/>
                </a:rPr>
                <a:t>𝐿𝑒𝑎𝑘 𝑎𝑖𝑟 𝑓𝑙𝑜𝑤 )/(𝐶𝑚𝑏𝑠𝑡 𝑔𝑎𝑠 𝑓𝑙𝑜𝑤+𝐿𝑒𝑎𝑘 𝑎𝑖𝑟 𝑓𝑙𝑜𝑤)=  (472.7+0.21</a:t>
              </a:r>
              <a:r>
                <a:rPr lang="en-US" sz="1200" b="0" i="0">
                  <a:latin typeface="Cambria Math"/>
                  <a:ea typeface="Cambria Math"/>
                </a:rPr>
                <a:t>×𝐿𝑒𝑎𝑘 𝑎𝑖𝑟 𝑓𝑙𝑜𝑤)/(</a:t>
              </a:r>
              <a:r>
                <a:rPr lang="en-US" sz="1200" b="0" i="0">
                  <a:latin typeface="Cambria Math"/>
                </a:rPr>
                <a:t>16067+𝐿𝑒𝑎𝑘 𝑎𝑖𝑟 𝑓𝑙𝑜𝑤)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10</xdr:col>
      <xdr:colOff>243416</xdr:colOff>
      <xdr:row>52</xdr:row>
      <xdr:rowOff>95250</xdr:rowOff>
    </xdr:from>
    <xdr:ext cx="1967142" cy="624658"/>
    <xdr:sp macro="" textlink="">
      <xdr:nvSpPr>
        <xdr:cNvPr id="21" name="TextBox 20"/>
        <xdr:cNvSpPr txBox="1"/>
      </xdr:nvSpPr>
      <xdr:spPr>
        <a:xfrm>
          <a:off x="6360583" y="9281583"/>
          <a:ext cx="1967142" cy="624658"/>
        </a:xfrm>
        <a:prstGeom prst="rect">
          <a:avLst/>
        </a:prstGeom>
        <a:solidFill>
          <a:srgbClr val="D8CFE3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/>
            <a:t>Chemical reactions</a:t>
          </a:r>
        </a:p>
        <a:p>
          <a:r>
            <a:rPr lang="en-US" sz="1100"/>
            <a:t>1.  CH</a:t>
          </a:r>
          <a:r>
            <a:rPr lang="en-US" sz="1100" baseline="-25000"/>
            <a:t>4</a:t>
          </a:r>
          <a:r>
            <a:rPr lang="en-US" sz="1100"/>
            <a:t> + 2O</a:t>
          </a:r>
          <a:r>
            <a:rPr lang="en-US" sz="1100" baseline="-25000"/>
            <a:t>2</a:t>
          </a:r>
          <a:r>
            <a:rPr lang="en-US" sz="1100"/>
            <a:t>  </a:t>
          </a:r>
          <a:r>
            <a:rPr lang="en-US" sz="1100">
              <a:sym typeface="Wingdings 3"/>
            </a:rPr>
            <a:t> CO</a:t>
          </a:r>
          <a:r>
            <a:rPr lang="en-US" sz="1100" baseline="-25000">
              <a:sym typeface="Wingdings 3"/>
            </a:rPr>
            <a:t>2</a:t>
          </a:r>
          <a:r>
            <a:rPr lang="en-US" sz="1100">
              <a:sym typeface="Wingdings 3"/>
            </a:rPr>
            <a:t> + 2H</a:t>
          </a:r>
          <a:r>
            <a:rPr lang="en-US" sz="1100" baseline="-25000">
              <a:sym typeface="Wingdings 3"/>
            </a:rPr>
            <a:t>2</a:t>
          </a:r>
          <a:r>
            <a:rPr lang="en-US" sz="1100">
              <a:sym typeface="Wingdings 3"/>
            </a:rPr>
            <a:t>O</a:t>
          </a:r>
        </a:p>
        <a:p>
          <a:r>
            <a:rPr lang="en-US" sz="1100">
              <a:sym typeface="Wingdings 3"/>
            </a:rPr>
            <a:t>2.  C</a:t>
          </a:r>
          <a:r>
            <a:rPr lang="en-US" sz="1100" baseline="-25000">
              <a:sym typeface="Wingdings 3"/>
            </a:rPr>
            <a:t>2</a:t>
          </a:r>
          <a:r>
            <a:rPr lang="en-US" sz="1100">
              <a:sym typeface="Wingdings 3"/>
            </a:rPr>
            <a:t>H</a:t>
          </a:r>
          <a:r>
            <a:rPr lang="en-US" sz="1100" baseline="-25000">
              <a:sym typeface="Wingdings 3"/>
            </a:rPr>
            <a:t>6</a:t>
          </a:r>
          <a:r>
            <a:rPr lang="en-US" sz="1100">
              <a:sym typeface="Wingdings 3"/>
            </a:rPr>
            <a:t> + 3½O</a:t>
          </a:r>
          <a:r>
            <a:rPr lang="en-US" sz="1100" baseline="-25000">
              <a:sym typeface="Wingdings 3"/>
            </a:rPr>
            <a:t>2</a:t>
          </a:r>
          <a:r>
            <a:rPr lang="en-US" sz="1100">
              <a:sym typeface="Wingdings 3"/>
            </a:rPr>
            <a:t>  2CO</a:t>
          </a:r>
          <a:r>
            <a:rPr lang="en-US" sz="1100" baseline="-25000">
              <a:sym typeface="Wingdings 3"/>
            </a:rPr>
            <a:t>2</a:t>
          </a:r>
          <a:r>
            <a:rPr lang="en-US" sz="1100">
              <a:sym typeface="Wingdings 3"/>
            </a:rPr>
            <a:t> + 3H</a:t>
          </a:r>
          <a:r>
            <a:rPr lang="en-US" sz="1100" baseline="-25000">
              <a:sym typeface="Wingdings 3"/>
            </a:rPr>
            <a:t>2</a:t>
          </a:r>
          <a:r>
            <a:rPr lang="en-US" sz="1100">
              <a:sym typeface="Wingdings 3"/>
            </a:rPr>
            <a:t>O</a:t>
          </a:r>
          <a:endParaRPr lang="en-US" sz="1100"/>
        </a:p>
      </xdr:txBody>
    </xdr:sp>
    <xdr:clientData/>
  </xdr:oneCellAnchor>
  <xdr:oneCellAnchor>
    <xdr:from>
      <xdr:col>0</xdr:col>
      <xdr:colOff>85725</xdr:colOff>
      <xdr:row>1</xdr:row>
      <xdr:rowOff>57150</xdr:rowOff>
    </xdr:from>
    <xdr:ext cx="1447800" cy="904875"/>
    <xdr:sp macro="" textlink="">
      <xdr:nvSpPr>
        <xdr:cNvPr id="51" name="TextBox 50"/>
        <xdr:cNvSpPr txBox="1"/>
      </xdr:nvSpPr>
      <xdr:spPr>
        <a:xfrm>
          <a:off x="85725" y="219075"/>
          <a:ext cx="1447800" cy="904875"/>
        </a:xfrm>
        <a:prstGeom prst="rect">
          <a:avLst/>
        </a:prstGeom>
        <a:solidFill>
          <a:schemeClr val="accent6">
            <a:lumMod val="5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05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MatBalCalc is a </a:t>
          </a:r>
        </a:p>
        <a:p>
          <a:pPr algn="ctr"/>
          <a:r>
            <a:rPr lang="en-US" sz="105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Thermart Software </a:t>
          </a:r>
        </a:p>
        <a:p>
          <a:pPr algn="ctr"/>
          <a:r>
            <a:rPr lang="en-US" sz="105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program.   © 2012</a:t>
          </a:r>
        </a:p>
        <a:p>
          <a:pPr algn="ctr"/>
          <a:r>
            <a:rPr lang="en-US" sz="105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by Arthur E. Morris.</a:t>
          </a:r>
        </a:p>
        <a:p>
          <a:pPr algn="ctr"/>
          <a:r>
            <a:rPr lang="en-US" sz="105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www.thermart.net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608506</xdr:colOff>
      <xdr:row>4</xdr:row>
      <xdr:rowOff>9525</xdr:rowOff>
    </xdr:from>
    <xdr:to>
      <xdr:col>8</xdr:col>
      <xdr:colOff>288890</xdr:colOff>
      <xdr:row>5</xdr:row>
      <xdr:rowOff>117475</xdr:rowOff>
    </xdr:to>
    <xdr:sp macro="" textlink="">
      <xdr:nvSpPr>
        <xdr:cNvPr id="39" name="Lightning Bolt 38"/>
        <xdr:cNvSpPr/>
      </xdr:nvSpPr>
      <xdr:spPr>
        <a:xfrm flipV="1">
          <a:off x="4875706" y="657225"/>
          <a:ext cx="289984" cy="269875"/>
        </a:xfrm>
        <a:prstGeom prst="lightningBolt">
          <a:avLst/>
        </a:prstGeom>
        <a:solidFill>
          <a:schemeClr val="bg1"/>
        </a:solidFill>
        <a:ln w="952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84632</xdr:colOff>
      <xdr:row>5</xdr:row>
      <xdr:rowOff>26462</xdr:rowOff>
    </xdr:from>
    <xdr:to>
      <xdr:col>9</xdr:col>
      <xdr:colOff>298415</xdr:colOff>
      <xdr:row>9</xdr:row>
      <xdr:rowOff>26462</xdr:rowOff>
    </xdr:to>
    <xdr:sp macro="" textlink="">
      <xdr:nvSpPr>
        <xdr:cNvPr id="40" name="Rectangle 39"/>
        <xdr:cNvSpPr/>
      </xdr:nvSpPr>
      <xdr:spPr>
        <a:xfrm>
          <a:off x="3742232" y="836087"/>
          <a:ext cx="2042583" cy="647700"/>
        </a:xfrm>
        <a:prstGeom prst="rect">
          <a:avLst/>
        </a:prstGeom>
        <a:ln w="9525"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384668</xdr:colOff>
      <xdr:row>3</xdr:row>
      <xdr:rowOff>42863</xdr:rowOff>
    </xdr:from>
    <xdr:to>
      <xdr:col>5</xdr:col>
      <xdr:colOff>51293</xdr:colOff>
      <xdr:row>5</xdr:row>
      <xdr:rowOff>1588</xdr:rowOff>
    </xdr:to>
    <xdr:sp macro="" textlink="">
      <xdr:nvSpPr>
        <xdr:cNvPr id="41" name="Lightning Bolt 40"/>
        <xdr:cNvSpPr/>
      </xdr:nvSpPr>
      <xdr:spPr>
        <a:xfrm rot="17789799" flipV="1">
          <a:off x="2819893" y="531813"/>
          <a:ext cx="282575" cy="276225"/>
        </a:xfrm>
        <a:prstGeom prst="lightningBolt">
          <a:avLst/>
        </a:prstGeom>
        <a:solidFill>
          <a:schemeClr val="bg1"/>
        </a:solidFill>
        <a:ln w="952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151306</xdr:colOff>
      <xdr:row>6</xdr:row>
      <xdr:rowOff>3175</xdr:rowOff>
    </xdr:from>
    <xdr:to>
      <xdr:col>6</xdr:col>
      <xdr:colOff>113207</xdr:colOff>
      <xdr:row>6</xdr:row>
      <xdr:rowOff>3175</xdr:rowOff>
    </xdr:to>
    <xdr:sp macro="" textlink="">
      <xdr:nvSpPr>
        <xdr:cNvPr id="79" name="Line 1319"/>
        <xdr:cNvSpPr>
          <a:spLocks noChangeShapeType="1"/>
        </xdr:cNvSpPr>
      </xdr:nvSpPr>
      <xdr:spPr bwMode="auto">
        <a:xfrm>
          <a:off x="3199306" y="974725"/>
          <a:ext cx="571501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5</xdr:col>
      <xdr:colOff>427532</xdr:colOff>
      <xdr:row>8</xdr:row>
      <xdr:rowOff>82550</xdr:rowOff>
    </xdr:from>
    <xdr:to>
      <xdr:col>6</xdr:col>
      <xdr:colOff>103682</xdr:colOff>
      <xdr:row>8</xdr:row>
      <xdr:rowOff>82550</xdr:rowOff>
    </xdr:to>
    <xdr:sp macro="" textlink="">
      <xdr:nvSpPr>
        <xdr:cNvPr id="80" name="Line 1320"/>
        <xdr:cNvSpPr>
          <a:spLocks noChangeShapeType="1"/>
        </xdr:cNvSpPr>
      </xdr:nvSpPr>
      <xdr:spPr bwMode="auto">
        <a:xfrm rot="5400000">
          <a:off x="3618407" y="1235075"/>
          <a:ext cx="0" cy="2857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4</xdr:col>
      <xdr:colOff>602367</xdr:colOff>
      <xdr:row>3</xdr:row>
      <xdr:rowOff>19050</xdr:rowOff>
    </xdr:from>
    <xdr:to>
      <xdr:col>7</xdr:col>
      <xdr:colOff>43145</xdr:colOff>
      <xdr:row>4</xdr:row>
      <xdr:rowOff>146338</xdr:rowOff>
    </xdr:to>
    <xdr:sp macro="" textlink="">
      <xdr:nvSpPr>
        <xdr:cNvPr id="81" name="Text Box 1324"/>
        <xdr:cNvSpPr txBox="1">
          <a:spLocks noChangeArrowheads="1"/>
        </xdr:cNvSpPr>
      </xdr:nvSpPr>
      <xdr:spPr bwMode="auto">
        <a:xfrm>
          <a:off x="3040767" y="504825"/>
          <a:ext cx="1269578" cy="2892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ctr" upright="1">
          <a:spAutoFit/>
        </a:bodyPr>
        <a:lstStyle/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Hot combustion gas</a:t>
          </a:r>
        </a:p>
        <a:p>
          <a:pPr algn="ctr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(1800 °C)</a:t>
          </a:r>
          <a:endParaRPr lang="en-US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202250</xdr:colOff>
      <xdr:row>2</xdr:row>
      <xdr:rowOff>137022</xdr:rowOff>
    </xdr:from>
    <xdr:to>
      <xdr:col>11</xdr:col>
      <xdr:colOff>36861</xdr:colOff>
      <xdr:row>4</xdr:row>
      <xdr:rowOff>143424</xdr:rowOff>
    </xdr:to>
    <xdr:sp macro="" textlink="">
      <xdr:nvSpPr>
        <xdr:cNvPr id="82" name="Text Box 1325"/>
        <xdr:cNvSpPr txBox="1">
          <a:spLocks noChangeArrowheads="1"/>
        </xdr:cNvSpPr>
      </xdr:nvSpPr>
      <xdr:spPr bwMode="auto">
        <a:xfrm>
          <a:off x="5688650" y="460872"/>
          <a:ext cx="1053811" cy="33025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ctr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Stack gas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(3.3 %O</a:t>
          </a:r>
          <a:r>
            <a:rPr lang="en-US" sz="1000" b="1" i="0" u="none" strike="noStrike" baseline="-2500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, 800 °C)</a:t>
          </a:r>
          <a:endParaRPr lang="en-US"/>
        </a:p>
      </xdr:txBody>
    </xdr:sp>
    <xdr:clientData/>
  </xdr:twoCellAnchor>
  <xdr:twoCellAnchor editAs="absolute">
    <xdr:from>
      <xdr:col>3</xdr:col>
      <xdr:colOff>474066</xdr:colOff>
      <xdr:row>7</xdr:row>
      <xdr:rowOff>152400</xdr:rowOff>
    </xdr:from>
    <xdr:to>
      <xdr:col>5</xdr:col>
      <xdr:colOff>504825</xdr:colOff>
      <xdr:row>9</xdr:row>
      <xdr:rowOff>113530</xdr:rowOff>
    </xdr:to>
    <xdr:sp macro="" textlink="">
      <xdr:nvSpPr>
        <xdr:cNvPr id="83" name="Text Box 1326"/>
        <xdr:cNvSpPr txBox="1">
          <a:spLocks noChangeArrowheads="1"/>
        </xdr:cNvSpPr>
      </xdr:nvSpPr>
      <xdr:spPr bwMode="auto">
        <a:xfrm>
          <a:off x="2302866" y="1285875"/>
          <a:ext cx="1249959" cy="284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ctr" upright="1">
          <a:spAutoFit/>
        </a:bodyPr>
        <a:lstStyle/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Heated aluminum</a:t>
          </a:r>
        </a:p>
        <a:p>
          <a:pPr algn="ctr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(800 kg/min, 550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°C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US"/>
        </a:p>
      </xdr:txBody>
    </xdr:sp>
    <xdr:clientData/>
  </xdr:twoCellAnchor>
  <xdr:twoCellAnchor editAs="absolute">
    <xdr:from>
      <xdr:col>10</xdr:col>
      <xdr:colOff>112311</xdr:colOff>
      <xdr:row>7</xdr:row>
      <xdr:rowOff>100544</xdr:rowOff>
    </xdr:from>
    <xdr:to>
      <xdr:col>12</xdr:col>
      <xdr:colOff>76002</xdr:colOff>
      <xdr:row>9</xdr:row>
      <xdr:rowOff>99538</xdr:rowOff>
    </xdr:to>
    <xdr:sp macro="" textlink="">
      <xdr:nvSpPr>
        <xdr:cNvPr id="84" name="Text Box 1327"/>
        <xdr:cNvSpPr txBox="1">
          <a:spLocks noChangeArrowheads="1"/>
        </xdr:cNvSpPr>
      </xdr:nvSpPr>
      <xdr:spPr bwMode="auto">
        <a:xfrm>
          <a:off x="6208311" y="1234019"/>
          <a:ext cx="1182891" cy="3228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ctr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Aluminum ingots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(800 kg/min, 25 °C)</a:t>
          </a:r>
          <a:endParaRPr lang="en-US"/>
        </a:p>
      </xdr:txBody>
    </xdr:sp>
    <xdr:clientData/>
  </xdr:twoCellAnchor>
  <xdr:twoCellAnchor editAs="absolute">
    <xdr:from>
      <xdr:col>9</xdr:col>
      <xdr:colOff>298415</xdr:colOff>
      <xdr:row>8</xdr:row>
      <xdr:rowOff>82550</xdr:rowOff>
    </xdr:from>
    <xdr:to>
      <xdr:col>10</xdr:col>
      <xdr:colOff>103681</xdr:colOff>
      <xdr:row>8</xdr:row>
      <xdr:rowOff>82550</xdr:rowOff>
    </xdr:to>
    <xdr:sp macro="" textlink="">
      <xdr:nvSpPr>
        <xdr:cNvPr id="85" name="Line 1330"/>
        <xdr:cNvSpPr>
          <a:spLocks noChangeShapeType="1"/>
        </xdr:cNvSpPr>
      </xdr:nvSpPr>
      <xdr:spPr bwMode="auto">
        <a:xfrm rot="5400000">
          <a:off x="5992248" y="1170517"/>
          <a:ext cx="0" cy="41486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4</xdr:col>
      <xdr:colOff>37006</xdr:colOff>
      <xdr:row>3</xdr:row>
      <xdr:rowOff>95250</xdr:rowOff>
    </xdr:from>
    <xdr:to>
      <xdr:col>4</xdr:col>
      <xdr:colOff>217981</xdr:colOff>
      <xdr:row>4</xdr:row>
      <xdr:rowOff>130175</xdr:rowOff>
    </xdr:to>
    <xdr:sp macro="" textlink="">
      <xdr:nvSpPr>
        <xdr:cNvPr id="86" name="Text Box 1342"/>
        <xdr:cNvSpPr txBox="1">
          <a:spLocks noChangeArrowheads="1"/>
        </xdr:cNvSpPr>
      </xdr:nvSpPr>
      <xdr:spPr bwMode="auto">
        <a:xfrm>
          <a:off x="2475406" y="581025"/>
          <a:ext cx="180975" cy="196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absolute">
    <xdr:from>
      <xdr:col>4</xdr:col>
      <xdr:colOff>304800</xdr:colOff>
      <xdr:row>4</xdr:row>
      <xdr:rowOff>9524</xdr:rowOff>
    </xdr:from>
    <xdr:to>
      <xdr:col>5</xdr:col>
      <xdr:colOff>260314</xdr:colOff>
      <xdr:row>7</xdr:row>
      <xdr:rowOff>123824</xdr:rowOff>
    </xdr:to>
    <xdr:sp macro="" textlink="">
      <xdr:nvSpPr>
        <xdr:cNvPr id="87" name="AutoShape 1379"/>
        <xdr:cNvSpPr>
          <a:spLocks noChangeArrowheads="1"/>
        </xdr:cNvSpPr>
      </xdr:nvSpPr>
      <xdr:spPr bwMode="auto">
        <a:xfrm rot="-5400000">
          <a:off x="2725719" y="674705"/>
          <a:ext cx="600075" cy="565114"/>
        </a:xfrm>
        <a:custGeom>
          <a:avLst/>
          <a:gdLst>
            <a:gd name="G0" fmla="+- 5400 0 0"/>
            <a:gd name="G1" fmla="+- 21600 0 5400"/>
            <a:gd name="G2" fmla="*/ 5400 1 2"/>
            <a:gd name="G3" fmla="+- 21600 0 G2"/>
            <a:gd name="G4" fmla="+/ 5400 21600 2"/>
            <a:gd name="G5" fmla="+/ G1 0 2"/>
            <a:gd name="G6" fmla="*/ 21600 21600 5400"/>
            <a:gd name="G7" fmla="*/ G6 1 2"/>
            <a:gd name="G8" fmla="+- 21600 0 G7"/>
            <a:gd name="G9" fmla="*/ 21600 1 2"/>
            <a:gd name="G10" fmla="+- 5400 0 G9"/>
            <a:gd name="G11" fmla="?: G10 G8 0"/>
            <a:gd name="G12" fmla="?: G10 G7 21600"/>
            <a:gd name="T0" fmla="*/ 18900 w 21600"/>
            <a:gd name="T1" fmla="*/ 10800 h 21600"/>
            <a:gd name="T2" fmla="*/ 10800 w 21600"/>
            <a:gd name="T3" fmla="*/ 21600 h 21600"/>
            <a:gd name="T4" fmla="*/ 2700 w 21600"/>
            <a:gd name="T5" fmla="*/ 10800 h 21600"/>
            <a:gd name="T6" fmla="*/ 10800 w 21600"/>
            <a:gd name="T7" fmla="*/ 0 h 21600"/>
            <a:gd name="T8" fmla="*/ 4500 w 21600"/>
            <a:gd name="T9" fmla="*/ 4500 h 21600"/>
            <a:gd name="T10" fmla="*/ 17100 w 21600"/>
            <a:gd name="T11" fmla="*/ 171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close/>
            </a:path>
          </a:pathLst>
        </a:custGeom>
        <a:solidFill>
          <a:srgbClr val="CFCFCF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/>
      </xdr:spPr>
    </xdr:sp>
    <xdr:clientData/>
  </xdr:twoCellAnchor>
  <xdr:twoCellAnchor editAs="absolute">
    <xdr:from>
      <xdr:col>3</xdr:col>
      <xdr:colOff>522781</xdr:colOff>
      <xdr:row>4</xdr:row>
      <xdr:rowOff>120650</xdr:rowOff>
    </xdr:from>
    <xdr:to>
      <xdr:col>4</xdr:col>
      <xdr:colOff>298414</xdr:colOff>
      <xdr:row>4</xdr:row>
      <xdr:rowOff>120650</xdr:rowOff>
    </xdr:to>
    <xdr:sp macro="" textlink="">
      <xdr:nvSpPr>
        <xdr:cNvPr id="88" name="Line 1380"/>
        <xdr:cNvSpPr>
          <a:spLocks noChangeShapeType="1"/>
        </xdr:cNvSpPr>
      </xdr:nvSpPr>
      <xdr:spPr bwMode="auto">
        <a:xfrm>
          <a:off x="2351581" y="768350"/>
          <a:ext cx="385233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2</xdr:col>
      <xdr:colOff>107401</xdr:colOff>
      <xdr:row>3</xdr:row>
      <xdr:rowOff>122238</xdr:rowOff>
    </xdr:from>
    <xdr:to>
      <xdr:col>4</xdr:col>
      <xdr:colOff>19559</xdr:colOff>
      <xdr:row>5</xdr:row>
      <xdr:rowOff>153988</xdr:rowOff>
    </xdr:to>
    <xdr:sp macro="" textlink="">
      <xdr:nvSpPr>
        <xdr:cNvPr id="89" name="Text Box 1381"/>
        <xdr:cNvSpPr txBox="1">
          <a:spLocks noChangeArrowheads="1"/>
        </xdr:cNvSpPr>
      </xdr:nvSpPr>
      <xdr:spPr bwMode="auto">
        <a:xfrm>
          <a:off x="1326601" y="608013"/>
          <a:ext cx="1131358" cy="355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ctr" upright="1">
          <a:no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Nat Gas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(32 m</a:t>
          </a:r>
          <a:r>
            <a:rPr lang="en-US" sz="1000" b="1" i="0" u="none" strike="noStrike" baseline="3000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/min, 25 °C)</a:t>
          </a:r>
          <a:endParaRPr lang="en-US"/>
        </a:p>
      </xdr:txBody>
    </xdr:sp>
    <xdr:clientData/>
  </xdr:twoCellAnchor>
  <xdr:twoCellAnchor editAs="absolute">
    <xdr:from>
      <xdr:col>3</xdr:col>
      <xdr:colOff>551356</xdr:colOff>
      <xdr:row>6</xdr:row>
      <xdr:rowOff>154998</xdr:rowOff>
    </xdr:from>
    <xdr:to>
      <xdr:col>4</xdr:col>
      <xdr:colOff>298414</xdr:colOff>
      <xdr:row>6</xdr:row>
      <xdr:rowOff>154998</xdr:rowOff>
    </xdr:to>
    <xdr:sp macro="" textlink="">
      <xdr:nvSpPr>
        <xdr:cNvPr id="90" name="Line 1382"/>
        <xdr:cNvSpPr>
          <a:spLocks noChangeShapeType="1"/>
        </xdr:cNvSpPr>
      </xdr:nvSpPr>
      <xdr:spPr bwMode="auto">
        <a:xfrm>
          <a:off x="2380156" y="1126548"/>
          <a:ext cx="356658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10</xdr:col>
      <xdr:colOff>8967</xdr:colOff>
      <xdr:row>5</xdr:row>
      <xdr:rowOff>97898</xdr:rowOff>
    </xdr:from>
    <xdr:to>
      <xdr:col>11</xdr:col>
      <xdr:colOff>94194</xdr:colOff>
      <xdr:row>7</xdr:row>
      <xdr:rowOff>146054</xdr:rowOff>
    </xdr:to>
    <xdr:sp macro="" textlink="">
      <xdr:nvSpPr>
        <xdr:cNvPr id="91" name="Text Box 1384"/>
        <xdr:cNvSpPr txBox="1">
          <a:spLocks noChangeArrowheads="1"/>
        </xdr:cNvSpPr>
      </xdr:nvSpPr>
      <xdr:spPr bwMode="auto">
        <a:xfrm>
          <a:off x="6104967" y="907523"/>
          <a:ext cx="694827" cy="37200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Leak air (25 °C)</a:t>
          </a:r>
          <a:endParaRPr lang="en-US" baseline="0"/>
        </a:p>
      </xdr:txBody>
    </xdr:sp>
    <xdr:clientData/>
  </xdr:twoCellAnchor>
  <xdr:twoCellAnchor editAs="absolute">
    <xdr:from>
      <xdr:col>4</xdr:col>
      <xdr:colOff>299453</xdr:colOff>
      <xdr:row>5</xdr:row>
      <xdr:rowOff>17626</xdr:rowOff>
    </xdr:from>
    <xdr:to>
      <xdr:col>5</xdr:col>
      <xdr:colOff>249751</xdr:colOff>
      <xdr:row>6</xdr:row>
      <xdr:rowOff>64923</xdr:rowOff>
    </xdr:to>
    <xdr:sp macro="" textlink="">
      <xdr:nvSpPr>
        <xdr:cNvPr id="92" name="Text Box 1385"/>
        <xdr:cNvSpPr txBox="1">
          <a:spLocks noChangeArrowheads="1"/>
        </xdr:cNvSpPr>
      </xdr:nvSpPr>
      <xdr:spPr bwMode="auto">
        <a:xfrm>
          <a:off x="2737853" y="827251"/>
          <a:ext cx="559898" cy="20922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Burner</a:t>
          </a:r>
          <a:endParaRPr lang="en-US"/>
        </a:p>
      </xdr:txBody>
    </xdr:sp>
    <xdr:clientData/>
  </xdr:twoCellAnchor>
  <xdr:twoCellAnchor editAs="absolute">
    <xdr:from>
      <xdr:col>6</xdr:col>
      <xdr:colOff>141782</xdr:colOff>
      <xdr:row>7</xdr:row>
      <xdr:rowOff>126546</xdr:rowOff>
    </xdr:from>
    <xdr:to>
      <xdr:col>6</xdr:col>
      <xdr:colOff>551356</xdr:colOff>
      <xdr:row>8</xdr:row>
      <xdr:rowOff>104321</xdr:rowOff>
    </xdr:to>
    <xdr:sp macro="" textlink="">
      <xdr:nvSpPr>
        <xdr:cNvPr id="93" name="Freeform 1390"/>
        <xdr:cNvSpPr>
          <a:spLocks/>
        </xdr:cNvSpPr>
      </xdr:nvSpPr>
      <xdr:spPr bwMode="auto">
        <a:xfrm>
          <a:off x="3799382" y="1260021"/>
          <a:ext cx="409574" cy="139700"/>
        </a:xfrm>
        <a:custGeom>
          <a:avLst/>
          <a:gdLst>
            <a:gd name="T0" fmla="*/ 0 w 100"/>
            <a:gd name="T1" fmla="*/ 22 h 22"/>
            <a:gd name="T2" fmla="*/ 19 w 100"/>
            <a:gd name="T3" fmla="*/ 0 h 22"/>
            <a:gd name="T4" fmla="*/ 80 w 100"/>
            <a:gd name="T5" fmla="*/ 0 h 22"/>
            <a:gd name="T6" fmla="*/ 100 w 100"/>
            <a:gd name="T7" fmla="*/ 22 h 22"/>
            <a:gd name="T8" fmla="*/ 0 w 100"/>
            <a:gd name="T9" fmla="*/ 22 h 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00" h="22">
              <a:moveTo>
                <a:pt x="0" y="22"/>
              </a:moveTo>
              <a:lnTo>
                <a:pt x="19" y="0"/>
              </a:lnTo>
              <a:lnTo>
                <a:pt x="80" y="0"/>
              </a:lnTo>
              <a:lnTo>
                <a:pt x="100" y="22"/>
              </a:lnTo>
              <a:lnTo>
                <a:pt x="0" y="2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>
          <a:prstDash val="solid"/>
          <a:round/>
          <a:headEnd/>
          <a:tailEnd/>
        </a:ln>
        <a:effectLst/>
        <a:scene3d>
          <a:camera prst="legacyObliqueTopRight"/>
          <a:lightRig rig="legacyFlat3" dir="b"/>
        </a:scene3d>
        <a:sp3d extrusionH="163500" prstMaterial="legacyMetal">
          <a:bevelT w="13500" h="13500" prst="angle"/>
          <a:bevelB w="13500" h="13500" prst="angle"/>
          <a:extrusionClr>
            <a:srgbClr xmlns:mc="http://schemas.openxmlformats.org/markup-compatibility/2006" xmlns:a14="http://schemas.microsoft.com/office/drawing/2010/main" val="FFFFFF" mc:Ignorable="a14" a14:legacySpreadsheetColorIndex="65"/>
          </a:extrusionClr>
        </a:sp3d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8</xdr:col>
      <xdr:colOff>370382</xdr:colOff>
      <xdr:row>7</xdr:row>
      <xdr:rowOff>126546</xdr:rowOff>
    </xdr:from>
    <xdr:to>
      <xdr:col>9</xdr:col>
      <xdr:colOff>170357</xdr:colOff>
      <xdr:row>8</xdr:row>
      <xdr:rowOff>104321</xdr:rowOff>
    </xdr:to>
    <xdr:sp macro="" textlink="">
      <xdr:nvSpPr>
        <xdr:cNvPr id="94" name="Freeform 1393"/>
        <xdr:cNvSpPr>
          <a:spLocks/>
        </xdr:cNvSpPr>
      </xdr:nvSpPr>
      <xdr:spPr bwMode="auto">
        <a:xfrm>
          <a:off x="5247182" y="1260021"/>
          <a:ext cx="409575" cy="139700"/>
        </a:xfrm>
        <a:custGeom>
          <a:avLst/>
          <a:gdLst>
            <a:gd name="T0" fmla="*/ 0 w 100"/>
            <a:gd name="T1" fmla="*/ 22 h 22"/>
            <a:gd name="T2" fmla="*/ 19 w 100"/>
            <a:gd name="T3" fmla="*/ 0 h 22"/>
            <a:gd name="T4" fmla="*/ 80 w 100"/>
            <a:gd name="T5" fmla="*/ 0 h 22"/>
            <a:gd name="T6" fmla="*/ 100 w 100"/>
            <a:gd name="T7" fmla="*/ 22 h 22"/>
            <a:gd name="T8" fmla="*/ 0 w 100"/>
            <a:gd name="T9" fmla="*/ 22 h 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00" h="22">
              <a:moveTo>
                <a:pt x="0" y="22"/>
              </a:moveTo>
              <a:lnTo>
                <a:pt x="19" y="0"/>
              </a:lnTo>
              <a:lnTo>
                <a:pt x="80" y="0"/>
              </a:lnTo>
              <a:lnTo>
                <a:pt x="100" y="22"/>
              </a:lnTo>
              <a:lnTo>
                <a:pt x="0" y="2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>
          <a:prstDash val="solid"/>
          <a:round/>
          <a:headEnd/>
          <a:tailEnd/>
        </a:ln>
        <a:effectLst/>
        <a:scene3d>
          <a:camera prst="legacyObliqueTopRight"/>
          <a:lightRig rig="legacyFlat3" dir="b"/>
        </a:scene3d>
        <a:sp3d extrusionH="163500" prstMaterial="legacyMetal">
          <a:bevelT w="13500" h="13500" prst="angle"/>
          <a:bevelB w="13500" h="13500" prst="angle"/>
          <a:extrusionClr>
            <a:srgbClr xmlns:mc="http://schemas.openxmlformats.org/markup-compatibility/2006" xmlns:a14="http://schemas.microsoft.com/office/drawing/2010/main" val="FFFFFF" mc:Ignorable="a14" a14:legacySpreadsheetColorIndex="65"/>
          </a:extrusionClr>
        </a:sp3d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7</xdr:col>
      <xdr:colOff>494206</xdr:colOff>
      <xdr:row>7</xdr:row>
      <xdr:rowOff>126546</xdr:rowOff>
    </xdr:from>
    <xdr:to>
      <xdr:col>8</xdr:col>
      <xdr:colOff>298415</xdr:colOff>
      <xdr:row>8</xdr:row>
      <xdr:rowOff>104321</xdr:rowOff>
    </xdr:to>
    <xdr:sp macro="" textlink="">
      <xdr:nvSpPr>
        <xdr:cNvPr id="95" name="Freeform 1394"/>
        <xdr:cNvSpPr>
          <a:spLocks/>
        </xdr:cNvSpPr>
      </xdr:nvSpPr>
      <xdr:spPr bwMode="auto">
        <a:xfrm>
          <a:off x="4761406" y="1260021"/>
          <a:ext cx="413809" cy="139700"/>
        </a:xfrm>
        <a:custGeom>
          <a:avLst/>
          <a:gdLst>
            <a:gd name="T0" fmla="*/ 0 w 100"/>
            <a:gd name="T1" fmla="*/ 22 h 22"/>
            <a:gd name="T2" fmla="*/ 19 w 100"/>
            <a:gd name="T3" fmla="*/ 0 h 22"/>
            <a:gd name="T4" fmla="*/ 80 w 100"/>
            <a:gd name="T5" fmla="*/ 0 h 22"/>
            <a:gd name="T6" fmla="*/ 100 w 100"/>
            <a:gd name="T7" fmla="*/ 22 h 22"/>
            <a:gd name="T8" fmla="*/ 0 w 100"/>
            <a:gd name="T9" fmla="*/ 22 h 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00" h="22">
              <a:moveTo>
                <a:pt x="0" y="22"/>
              </a:moveTo>
              <a:lnTo>
                <a:pt x="19" y="0"/>
              </a:lnTo>
              <a:lnTo>
                <a:pt x="80" y="0"/>
              </a:lnTo>
              <a:lnTo>
                <a:pt x="100" y="22"/>
              </a:lnTo>
              <a:lnTo>
                <a:pt x="0" y="2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>
          <a:prstDash val="solid"/>
          <a:round/>
          <a:headEnd/>
          <a:tailEnd/>
        </a:ln>
        <a:effectLst/>
        <a:scene3d>
          <a:camera prst="legacyObliqueTopRight"/>
          <a:lightRig rig="legacyFlat3" dir="b"/>
        </a:scene3d>
        <a:sp3d extrusionH="163500" prstMaterial="legacyMetal">
          <a:bevelT w="13500" h="13500" prst="angle"/>
          <a:bevelB w="13500" h="13500" prst="angle"/>
          <a:extrusionClr>
            <a:srgbClr xmlns:mc="http://schemas.openxmlformats.org/markup-compatibility/2006" xmlns:a14="http://schemas.microsoft.com/office/drawing/2010/main" val="FFFFFF" mc:Ignorable="a14" a14:legacySpreadsheetColorIndex="65"/>
          </a:extrusionClr>
        </a:sp3d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7</xdr:col>
      <xdr:colOff>17956</xdr:colOff>
      <xdr:row>7</xdr:row>
      <xdr:rowOff>126546</xdr:rowOff>
    </xdr:from>
    <xdr:to>
      <xdr:col>7</xdr:col>
      <xdr:colOff>427531</xdr:colOff>
      <xdr:row>8</xdr:row>
      <xdr:rowOff>104321</xdr:rowOff>
    </xdr:to>
    <xdr:sp macro="" textlink="">
      <xdr:nvSpPr>
        <xdr:cNvPr id="96" name="Freeform 1395"/>
        <xdr:cNvSpPr>
          <a:spLocks/>
        </xdr:cNvSpPr>
      </xdr:nvSpPr>
      <xdr:spPr bwMode="auto">
        <a:xfrm>
          <a:off x="4285156" y="1260021"/>
          <a:ext cx="409575" cy="139700"/>
        </a:xfrm>
        <a:custGeom>
          <a:avLst/>
          <a:gdLst>
            <a:gd name="T0" fmla="*/ 0 w 100"/>
            <a:gd name="T1" fmla="*/ 22 h 22"/>
            <a:gd name="T2" fmla="*/ 19 w 100"/>
            <a:gd name="T3" fmla="*/ 0 h 22"/>
            <a:gd name="T4" fmla="*/ 80 w 100"/>
            <a:gd name="T5" fmla="*/ 0 h 22"/>
            <a:gd name="T6" fmla="*/ 100 w 100"/>
            <a:gd name="T7" fmla="*/ 22 h 22"/>
            <a:gd name="T8" fmla="*/ 0 w 100"/>
            <a:gd name="T9" fmla="*/ 22 h 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00" h="22">
              <a:moveTo>
                <a:pt x="0" y="22"/>
              </a:moveTo>
              <a:lnTo>
                <a:pt x="19" y="0"/>
              </a:lnTo>
              <a:lnTo>
                <a:pt x="80" y="0"/>
              </a:lnTo>
              <a:lnTo>
                <a:pt x="100" y="22"/>
              </a:lnTo>
              <a:lnTo>
                <a:pt x="0" y="2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>
          <a:prstDash val="solid"/>
          <a:round/>
          <a:headEnd/>
          <a:tailEnd/>
        </a:ln>
        <a:effectLst/>
        <a:scene3d>
          <a:camera prst="legacyObliqueTopRight"/>
          <a:lightRig rig="legacyFlat3" dir="b"/>
        </a:scene3d>
        <a:sp3d extrusionH="163500" prstMaterial="legacyMetal">
          <a:bevelT w="13500" h="13500" prst="angle"/>
          <a:bevelB w="13500" h="13500" prst="angle"/>
          <a:extrusionClr>
            <a:srgbClr xmlns:mc="http://schemas.openxmlformats.org/markup-compatibility/2006" xmlns:a14="http://schemas.microsoft.com/office/drawing/2010/main" val="FFFFFF" mc:Ignorable="a14" a14:legacySpreadsheetColorIndex="65"/>
          </a:extrusionClr>
        </a:sp3d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7</xdr:col>
      <xdr:colOff>414501</xdr:colOff>
      <xdr:row>3</xdr:row>
      <xdr:rowOff>0</xdr:rowOff>
    </xdr:from>
    <xdr:to>
      <xdr:col>8</xdr:col>
      <xdr:colOff>411991</xdr:colOff>
      <xdr:row>4</xdr:row>
      <xdr:rowOff>17676</xdr:rowOff>
    </xdr:to>
    <xdr:sp macro="" textlink="">
      <xdr:nvSpPr>
        <xdr:cNvPr id="97" name="Text Box 1399"/>
        <xdr:cNvSpPr txBox="1">
          <a:spLocks noChangeArrowheads="1"/>
        </xdr:cNvSpPr>
      </xdr:nvSpPr>
      <xdr:spPr bwMode="auto">
        <a:xfrm>
          <a:off x="4681701" y="485775"/>
          <a:ext cx="607090" cy="1796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Heat loss</a:t>
          </a:r>
          <a:endParaRPr lang="en-US"/>
        </a:p>
      </xdr:txBody>
    </xdr:sp>
    <xdr:clientData/>
  </xdr:twoCellAnchor>
  <xdr:twoCellAnchor editAs="absolute">
    <xdr:from>
      <xdr:col>6</xdr:col>
      <xdr:colOff>274423</xdr:colOff>
      <xdr:row>5</xdr:row>
      <xdr:rowOff>108858</xdr:rowOff>
    </xdr:from>
    <xdr:to>
      <xdr:col>9</xdr:col>
      <xdr:colOff>121337</xdr:colOff>
      <xdr:row>6</xdr:row>
      <xdr:rowOff>156155</xdr:rowOff>
    </xdr:to>
    <xdr:sp macro="" textlink="">
      <xdr:nvSpPr>
        <xdr:cNvPr id="98" name="Text Box 1405"/>
        <xdr:cNvSpPr txBox="1">
          <a:spLocks noChangeArrowheads="1"/>
        </xdr:cNvSpPr>
      </xdr:nvSpPr>
      <xdr:spPr bwMode="auto">
        <a:xfrm>
          <a:off x="3932023" y="918483"/>
          <a:ext cx="1675714" cy="20922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0" anchor="t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Ingot Heating Furnace</a:t>
          </a:r>
          <a:endParaRPr lang="en-US"/>
        </a:p>
      </xdr:txBody>
    </xdr:sp>
    <xdr:clientData/>
  </xdr:twoCellAnchor>
  <xdr:twoCellAnchor editAs="absolute">
    <xdr:from>
      <xdr:col>8</xdr:col>
      <xdr:colOff>498445</xdr:colOff>
      <xdr:row>3</xdr:row>
      <xdr:rowOff>66676</xdr:rowOff>
    </xdr:from>
    <xdr:to>
      <xdr:col>9</xdr:col>
      <xdr:colOff>336519</xdr:colOff>
      <xdr:row>5</xdr:row>
      <xdr:rowOff>39160</xdr:rowOff>
    </xdr:to>
    <xdr:sp macro="" textlink="">
      <xdr:nvSpPr>
        <xdr:cNvPr id="99" name="Freeform 98"/>
        <xdr:cNvSpPr/>
      </xdr:nvSpPr>
      <xdr:spPr>
        <a:xfrm>
          <a:off x="5375245" y="552451"/>
          <a:ext cx="447674" cy="296334"/>
        </a:xfrm>
        <a:custGeom>
          <a:avLst/>
          <a:gdLst>
            <a:gd name="connsiteX0" fmla="*/ 0 w 447675"/>
            <a:gd name="connsiteY0" fmla="*/ 295275 h 295275"/>
            <a:gd name="connsiteX1" fmla="*/ 0 w 447675"/>
            <a:gd name="connsiteY1" fmla="*/ 0 h 295275"/>
            <a:gd name="connsiteX2" fmla="*/ 447675 w 447675"/>
            <a:gd name="connsiteY2" fmla="*/ 0 h 295275"/>
            <a:gd name="connsiteX3" fmla="*/ 447675 w 447675"/>
            <a:gd name="connsiteY3" fmla="*/ 9525 h 2952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47675" h="295275">
              <a:moveTo>
                <a:pt x="0" y="295275"/>
              </a:moveTo>
              <a:lnTo>
                <a:pt x="0" y="0"/>
              </a:lnTo>
              <a:lnTo>
                <a:pt x="447675" y="0"/>
              </a:lnTo>
              <a:lnTo>
                <a:pt x="447675" y="9525"/>
              </a:lnTo>
            </a:path>
          </a:pathLst>
        </a:custGeom>
        <a:ln w="1905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46531</xdr:colOff>
      <xdr:row>5</xdr:row>
      <xdr:rowOff>134359</xdr:rowOff>
    </xdr:from>
    <xdr:to>
      <xdr:col>4</xdr:col>
      <xdr:colOff>227506</xdr:colOff>
      <xdr:row>7</xdr:row>
      <xdr:rowOff>7359</xdr:rowOff>
    </xdr:to>
    <xdr:sp macro="" textlink="">
      <xdr:nvSpPr>
        <xdr:cNvPr id="100" name="Text Box 1342"/>
        <xdr:cNvSpPr txBox="1">
          <a:spLocks noChangeArrowheads="1"/>
        </xdr:cNvSpPr>
      </xdr:nvSpPr>
      <xdr:spPr bwMode="auto">
        <a:xfrm>
          <a:off x="2484931" y="943984"/>
          <a:ext cx="180975" cy="196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absolute">
    <xdr:from>
      <xdr:col>5</xdr:col>
      <xdr:colOff>513257</xdr:colOff>
      <xdr:row>7</xdr:row>
      <xdr:rowOff>40215</xdr:rowOff>
    </xdr:from>
    <xdr:to>
      <xdr:col>6</xdr:col>
      <xdr:colOff>84632</xdr:colOff>
      <xdr:row>8</xdr:row>
      <xdr:rowOff>78315</xdr:rowOff>
    </xdr:to>
    <xdr:sp macro="" textlink="">
      <xdr:nvSpPr>
        <xdr:cNvPr id="101" name="Text Box 1342"/>
        <xdr:cNvSpPr txBox="1">
          <a:spLocks noChangeArrowheads="1"/>
        </xdr:cNvSpPr>
      </xdr:nvSpPr>
      <xdr:spPr bwMode="auto">
        <a:xfrm>
          <a:off x="3561257" y="1173690"/>
          <a:ext cx="180975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absolute">
    <xdr:from>
      <xdr:col>5</xdr:col>
      <xdr:colOff>370382</xdr:colOff>
      <xdr:row>4</xdr:row>
      <xdr:rowOff>111125</xdr:rowOff>
    </xdr:from>
    <xdr:to>
      <xdr:col>5</xdr:col>
      <xdr:colOff>551357</xdr:colOff>
      <xdr:row>5</xdr:row>
      <xdr:rowOff>146050</xdr:rowOff>
    </xdr:to>
    <xdr:sp macro="" textlink="">
      <xdr:nvSpPr>
        <xdr:cNvPr id="102" name="Text Box 1342"/>
        <xdr:cNvSpPr txBox="1">
          <a:spLocks noChangeArrowheads="1"/>
        </xdr:cNvSpPr>
      </xdr:nvSpPr>
      <xdr:spPr bwMode="auto">
        <a:xfrm>
          <a:off x="3418382" y="758825"/>
          <a:ext cx="180975" cy="196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absolute">
    <xdr:from>
      <xdr:col>8</xdr:col>
      <xdr:colOff>505320</xdr:colOff>
      <xdr:row>3</xdr:row>
      <xdr:rowOff>76200</xdr:rowOff>
    </xdr:from>
    <xdr:to>
      <xdr:col>9</xdr:col>
      <xdr:colOff>80928</xdr:colOff>
      <xdr:row>4</xdr:row>
      <xdr:rowOff>111125</xdr:rowOff>
    </xdr:to>
    <xdr:sp macro="" textlink="">
      <xdr:nvSpPr>
        <xdr:cNvPr id="103" name="Text Box 1342"/>
        <xdr:cNvSpPr txBox="1">
          <a:spLocks noChangeArrowheads="1"/>
        </xdr:cNvSpPr>
      </xdr:nvSpPr>
      <xdr:spPr bwMode="auto">
        <a:xfrm>
          <a:off x="5382120" y="561975"/>
          <a:ext cx="185208" cy="196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absolute">
    <xdr:from>
      <xdr:col>9</xdr:col>
      <xdr:colOff>414832</xdr:colOff>
      <xdr:row>8</xdr:row>
      <xdr:rowOff>63499</xdr:rowOff>
    </xdr:from>
    <xdr:to>
      <xdr:col>10</xdr:col>
      <xdr:colOff>3669</xdr:colOff>
      <xdr:row>9</xdr:row>
      <xdr:rowOff>64029</xdr:rowOff>
    </xdr:to>
    <xdr:sp macro="" textlink="">
      <xdr:nvSpPr>
        <xdr:cNvPr id="104" name="Text Box 1342"/>
        <xdr:cNvSpPr txBox="1">
          <a:spLocks noChangeArrowheads="1"/>
        </xdr:cNvSpPr>
      </xdr:nvSpPr>
      <xdr:spPr bwMode="auto">
        <a:xfrm>
          <a:off x="5901232" y="1358899"/>
          <a:ext cx="198437" cy="1624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 editAs="absolute">
    <xdr:from>
      <xdr:col>4</xdr:col>
      <xdr:colOff>43026</xdr:colOff>
      <xdr:row>2</xdr:row>
      <xdr:rowOff>0</xdr:rowOff>
    </xdr:from>
    <xdr:to>
      <xdr:col>5</xdr:col>
      <xdr:colOff>40515</xdr:colOff>
      <xdr:row>3</xdr:row>
      <xdr:rowOff>17676</xdr:rowOff>
    </xdr:to>
    <xdr:sp macro="" textlink="">
      <xdr:nvSpPr>
        <xdr:cNvPr id="105" name="Text Box 1399"/>
        <xdr:cNvSpPr txBox="1">
          <a:spLocks noChangeArrowheads="1"/>
        </xdr:cNvSpPr>
      </xdr:nvSpPr>
      <xdr:spPr bwMode="auto">
        <a:xfrm>
          <a:off x="2481426" y="323850"/>
          <a:ext cx="607089" cy="1796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Heat loss</a:t>
          </a:r>
          <a:endParaRPr lang="en-US"/>
        </a:p>
      </xdr:txBody>
    </xdr:sp>
    <xdr:clientData/>
  </xdr:twoCellAnchor>
  <xdr:twoCellAnchor editAs="absolute">
    <xdr:from>
      <xdr:col>9</xdr:col>
      <xdr:colOff>298415</xdr:colOff>
      <xdr:row>6</xdr:row>
      <xdr:rowOff>149227</xdr:rowOff>
    </xdr:from>
    <xdr:to>
      <xdr:col>10</xdr:col>
      <xdr:colOff>103681</xdr:colOff>
      <xdr:row>6</xdr:row>
      <xdr:rowOff>149227</xdr:rowOff>
    </xdr:to>
    <xdr:sp macro="" textlink="">
      <xdr:nvSpPr>
        <xdr:cNvPr id="106" name="Line 1330"/>
        <xdr:cNvSpPr>
          <a:spLocks noChangeShapeType="1"/>
        </xdr:cNvSpPr>
      </xdr:nvSpPr>
      <xdr:spPr bwMode="auto">
        <a:xfrm rot="5400000">
          <a:off x="5992248" y="913344"/>
          <a:ext cx="0" cy="414866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9</xdr:col>
      <xdr:colOff>414832</xdr:colOff>
      <xdr:row>5</xdr:row>
      <xdr:rowOff>133351</xdr:rowOff>
    </xdr:from>
    <xdr:to>
      <xdr:col>10</xdr:col>
      <xdr:colOff>3669</xdr:colOff>
      <xdr:row>6</xdr:row>
      <xdr:rowOff>134939</xdr:rowOff>
    </xdr:to>
    <xdr:sp macro="" textlink="">
      <xdr:nvSpPr>
        <xdr:cNvPr id="107" name="Text Box 1342"/>
        <xdr:cNvSpPr txBox="1">
          <a:spLocks noChangeArrowheads="1"/>
        </xdr:cNvSpPr>
      </xdr:nvSpPr>
      <xdr:spPr bwMode="auto">
        <a:xfrm>
          <a:off x="5901232" y="942976"/>
          <a:ext cx="198437" cy="1635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absolute">
    <xdr:from>
      <xdr:col>2</xdr:col>
      <xdr:colOff>0</xdr:colOff>
      <xdr:row>5</xdr:row>
      <xdr:rowOff>129071</xdr:rowOff>
    </xdr:from>
    <xdr:to>
      <xdr:col>4</xdr:col>
      <xdr:colOff>152401</xdr:colOff>
      <xdr:row>8</xdr:row>
      <xdr:rowOff>15302</xdr:rowOff>
    </xdr:to>
    <xdr:sp macro="" textlink="">
      <xdr:nvSpPr>
        <xdr:cNvPr id="108" name="Text Box 1384"/>
        <xdr:cNvSpPr txBox="1">
          <a:spLocks noChangeArrowheads="1"/>
        </xdr:cNvSpPr>
      </xdr:nvSpPr>
      <xdr:spPr bwMode="auto">
        <a:xfrm>
          <a:off x="1219200" y="938696"/>
          <a:ext cx="1371601" cy="37200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Burner air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(118% stoich, 25 °C)</a:t>
          </a:r>
          <a:endParaRPr lang="en-US" baseline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rThPrograms-5/2001FR-TH/GaskellXmp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2+O2"/>
      <sheetName val="Air+SO2"/>
      <sheetName val="CH4+CO2"/>
      <sheetName val="CO2+H2"/>
    </sheetNames>
    <sheetDataSet>
      <sheetData sheetId="0" refreshError="1">
        <row r="4">
          <cell r="C4">
            <v>3.3270001503254765</v>
          </cell>
        </row>
        <row r="5">
          <cell r="C5">
            <v>1</v>
          </cell>
          <cell r="D5">
            <v>0.9</v>
          </cell>
          <cell r="E5">
            <v>0.8</v>
          </cell>
          <cell r="F5">
            <v>0.7</v>
          </cell>
          <cell r="G5">
            <v>0.6</v>
          </cell>
          <cell r="H5">
            <v>0.5</v>
          </cell>
        </row>
        <row r="6">
          <cell r="C6">
            <v>0.45730841769328351</v>
          </cell>
          <cell r="D6">
            <v>0.44622616449184438</v>
          </cell>
          <cell r="E6">
            <v>0.43384417551835375</v>
          </cell>
          <cell r="F6">
            <v>0.4198351041329233</v>
          </cell>
          <cell r="G6">
            <v>0.40373017459048172</v>
          </cell>
          <cell r="H6">
            <v>0.38482289260448271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X58"/>
  <sheetViews>
    <sheetView tabSelected="1" zoomScale="90" zoomScaleNormal="90" workbookViewId="0"/>
  </sheetViews>
  <sheetFormatPr defaultRowHeight="12.75" x14ac:dyDescent="0.2"/>
  <cols>
    <col min="1" max="1" width="13.140625" customWidth="1"/>
    <col min="5" max="5" width="8.85546875" customWidth="1"/>
    <col min="15" max="15" width="21.28515625" customWidth="1"/>
    <col min="16" max="16" width="9.7109375" customWidth="1"/>
    <col min="17" max="17" width="9.28515625" customWidth="1"/>
    <col min="19" max="19" width="10.5703125" customWidth="1"/>
    <col min="20" max="20" width="9.7109375" customWidth="1"/>
  </cols>
  <sheetData>
    <row r="1" spans="2:23" ht="18.75" customHeight="1" x14ac:dyDescent="0.2">
      <c r="B1" s="109" t="s">
        <v>78</v>
      </c>
    </row>
    <row r="7" spans="2:23" x14ac:dyDescent="0.2">
      <c r="P7" s="36"/>
      <c r="Q7" s="23"/>
      <c r="R7" s="23"/>
      <c r="S7" s="23"/>
      <c r="T7" s="23"/>
      <c r="U7" s="23"/>
      <c r="V7" s="23"/>
    </row>
    <row r="8" spans="2:23" ht="15" x14ac:dyDescent="0.2">
      <c r="P8" s="61" t="s">
        <v>23</v>
      </c>
      <c r="Q8" s="25" t="s">
        <v>24</v>
      </c>
      <c r="R8" s="25" t="s">
        <v>54</v>
      </c>
      <c r="S8" s="25" t="s">
        <v>66</v>
      </c>
      <c r="T8" s="25" t="s">
        <v>25</v>
      </c>
      <c r="U8" s="25" t="s">
        <v>56</v>
      </c>
      <c r="V8" s="25" t="s">
        <v>29</v>
      </c>
      <c r="W8" s="26" t="s">
        <v>26</v>
      </c>
    </row>
    <row r="9" spans="2:23" ht="15" x14ac:dyDescent="0.2">
      <c r="P9" s="37" t="s">
        <v>27</v>
      </c>
      <c r="Q9" s="27">
        <v>1</v>
      </c>
      <c r="R9" s="27">
        <v>2</v>
      </c>
      <c r="S9" s="27">
        <v>3</v>
      </c>
      <c r="T9" s="27">
        <v>4</v>
      </c>
      <c r="U9" s="27">
        <v>5</v>
      </c>
      <c r="V9" s="28">
        <v>6</v>
      </c>
      <c r="W9" s="28">
        <v>7</v>
      </c>
    </row>
    <row r="10" spans="2:23" ht="15" x14ac:dyDescent="0.2">
      <c r="E10" s="108" t="s">
        <v>2</v>
      </c>
      <c r="O10" s="24"/>
      <c r="P10" s="38" t="s">
        <v>28</v>
      </c>
      <c r="Q10" s="29">
        <f>F17</f>
        <v>1307.9635441467497</v>
      </c>
      <c r="R10" s="29">
        <f>F18</f>
        <v>14739.114188103686</v>
      </c>
      <c r="S10" s="29">
        <f>SUM(S14:S17)</f>
        <v>16066.697185412637</v>
      </c>
      <c r="T10" s="29">
        <f>SUM(T14:T17)</f>
        <v>16391.295680503463</v>
      </c>
      <c r="U10" s="29">
        <f>(0.033*S10 - S17)/(0.21-0.033)</f>
        <v>324.59849509082477</v>
      </c>
      <c r="V10" s="29">
        <f>800*1000/26.9815</f>
        <v>29649.945332913292</v>
      </c>
      <c r="W10" s="30">
        <f>800*1000/26.9815</f>
        <v>29649.945332913292</v>
      </c>
    </row>
    <row r="11" spans="2:23" x14ac:dyDescent="0.2">
      <c r="D11" s="2" t="s">
        <v>0</v>
      </c>
      <c r="E11" s="4">
        <v>0.18</v>
      </c>
      <c r="O11" s="24"/>
      <c r="P11" s="39" t="s">
        <v>36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2">
        <f>V10</f>
        <v>29649.945332913292</v>
      </c>
      <c r="W11" s="33">
        <f>W10</f>
        <v>29649.945332913292</v>
      </c>
    </row>
    <row r="12" spans="2:23" ht="15.75" x14ac:dyDescent="0.2">
      <c r="D12" s="3" t="s">
        <v>1</v>
      </c>
      <c r="E12" s="5">
        <v>11.269</v>
      </c>
      <c r="O12" s="24"/>
      <c r="P12" s="39" t="s">
        <v>30</v>
      </c>
      <c r="Q12" s="32">
        <f>Q10*F27</f>
        <v>1242.5653669394121</v>
      </c>
      <c r="R12" s="31">
        <v>0</v>
      </c>
      <c r="S12" s="31">
        <v>0</v>
      </c>
      <c r="T12" s="31">
        <v>0</v>
      </c>
      <c r="U12" s="31">
        <v>0</v>
      </c>
      <c r="V12" s="34">
        <v>0</v>
      </c>
      <c r="W12" s="34">
        <v>0</v>
      </c>
    </row>
    <row r="13" spans="2:23" ht="15.75" x14ac:dyDescent="0.2">
      <c r="O13" s="24"/>
      <c r="P13" s="39" t="s">
        <v>31</v>
      </c>
      <c r="Q13" s="35">
        <f>Q10*F29</f>
        <v>39.238906324402485</v>
      </c>
      <c r="R13" s="31">
        <v>0</v>
      </c>
      <c r="S13" s="31">
        <v>0</v>
      </c>
      <c r="T13" s="31">
        <v>0</v>
      </c>
      <c r="U13" s="31">
        <v>0</v>
      </c>
      <c r="V13" s="34">
        <v>0</v>
      </c>
      <c r="W13" s="34">
        <v>0</v>
      </c>
    </row>
    <row r="14" spans="2:23" ht="15.75" x14ac:dyDescent="0.2">
      <c r="D14" s="6" t="s">
        <v>14</v>
      </c>
      <c r="O14" s="24"/>
      <c r="P14" s="39" t="s">
        <v>32</v>
      </c>
      <c r="Q14" s="31">
        <v>0</v>
      </c>
      <c r="R14" s="31">
        <v>0</v>
      </c>
      <c r="S14" s="32">
        <f>F23</f>
        <v>1321.0431795882171</v>
      </c>
      <c r="T14" s="32">
        <f>S14</f>
        <v>1321.0431795882171</v>
      </c>
      <c r="U14" s="31">
        <v>0</v>
      </c>
      <c r="V14" s="34">
        <v>0</v>
      </c>
      <c r="W14" s="34">
        <v>0</v>
      </c>
    </row>
    <row r="15" spans="2:23" ht="18" customHeight="1" x14ac:dyDescent="0.2">
      <c r="C15" s="16"/>
      <c r="D15" s="16" t="s">
        <v>3</v>
      </c>
      <c r="E15" s="16"/>
      <c r="F15" s="17"/>
      <c r="G15" s="7" t="s">
        <v>4</v>
      </c>
      <c r="H15" s="16"/>
      <c r="I15" s="16" t="s">
        <v>5</v>
      </c>
      <c r="J15" s="16"/>
      <c r="K15" s="18"/>
      <c r="O15" s="24"/>
      <c r="P15" s="39" t="s">
        <v>33</v>
      </c>
      <c r="Q15" s="31">
        <v>0</v>
      </c>
      <c r="R15" s="31">
        <v>0</v>
      </c>
      <c r="S15" s="32">
        <f>F24</f>
        <v>2602.8474528520319</v>
      </c>
      <c r="T15" s="32">
        <f>S15</f>
        <v>2602.8474528520319</v>
      </c>
      <c r="U15" s="31">
        <v>0</v>
      </c>
      <c r="V15" s="34">
        <v>0</v>
      </c>
      <c r="W15" s="34">
        <v>0</v>
      </c>
    </row>
    <row r="16" spans="2:23" ht="15.75" x14ac:dyDescent="0.2">
      <c r="C16" s="7" t="s">
        <v>6</v>
      </c>
      <c r="D16" s="7" t="s">
        <v>7</v>
      </c>
      <c r="E16" s="7" t="s">
        <v>8</v>
      </c>
      <c r="F16" s="7" t="s">
        <v>9</v>
      </c>
      <c r="G16" s="8"/>
      <c r="H16" s="7" t="s">
        <v>10</v>
      </c>
      <c r="I16" s="7" t="s">
        <v>11</v>
      </c>
      <c r="J16" s="7" t="s">
        <v>12</v>
      </c>
      <c r="K16" s="7" t="s">
        <v>13</v>
      </c>
      <c r="O16" s="24"/>
      <c r="P16" s="39" t="s">
        <v>34</v>
      </c>
      <c r="Q16" s="35">
        <f>Q10*F35</f>
        <v>26.159270882935015</v>
      </c>
      <c r="R16" s="32">
        <f>R10*0.79</f>
        <v>11643.900208601912</v>
      </c>
      <c r="S16" s="32">
        <f>Q16+R16</f>
        <v>11670.059479484848</v>
      </c>
      <c r="T16" s="32">
        <f>S16+0.79*U10</f>
        <v>11926.492290606599</v>
      </c>
      <c r="U16" s="35">
        <f>0.79*U10</f>
        <v>256.43281112175157</v>
      </c>
      <c r="V16" s="34">
        <v>0</v>
      </c>
      <c r="W16" s="34">
        <v>0</v>
      </c>
    </row>
    <row r="17" spans="2:23" ht="15.75" x14ac:dyDescent="0.2">
      <c r="B17" s="1" t="s">
        <v>15</v>
      </c>
      <c r="C17" s="9">
        <v>32</v>
      </c>
      <c r="D17" s="10">
        <v>101325</v>
      </c>
      <c r="E17" s="9">
        <v>25</v>
      </c>
      <c r="F17" s="11">
        <v>1307.9635441467497</v>
      </c>
      <c r="G17" s="8"/>
      <c r="H17" s="11">
        <v>1130.0632129109722</v>
      </c>
      <c r="I17" s="12">
        <v>14.697563098346388</v>
      </c>
      <c r="J17" s="12">
        <v>77</v>
      </c>
      <c r="K17" s="13">
        <v>2.8838739579343846</v>
      </c>
      <c r="P17" s="39" t="s">
        <v>35</v>
      </c>
      <c r="Q17" s="31">
        <v>0</v>
      </c>
      <c r="R17" s="32">
        <f>R10*0.21</f>
        <v>3095.2139795017738</v>
      </c>
      <c r="S17" s="35">
        <f>R17-F25</f>
        <v>472.747073487541</v>
      </c>
      <c r="T17" s="35">
        <f>S17+0.21*U10</f>
        <v>540.91275745661414</v>
      </c>
      <c r="U17" s="35">
        <f>0.21*U10</f>
        <v>68.1656839690732</v>
      </c>
      <c r="V17" s="34">
        <v>0</v>
      </c>
      <c r="W17" s="34">
        <v>0</v>
      </c>
    </row>
    <row r="18" spans="2:23" x14ac:dyDescent="0.2">
      <c r="B18" s="1" t="s">
        <v>37</v>
      </c>
      <c r="C18" s="56">
        <f>C17*E12</f>
        <v>360.608</v>
      </c>
      <c r="D18" s="10">
        <v>101325</v>
      </c>
      <c r="E18" s="9">
        <v>25</v>
      </c>
      <c r="F18" s="14">
        <v>14739.114188103686</v>
      </c>
      <c r="G18" s="8"/>
      <c r="H18" s="14">
        <v>12734.39983049052</v>
      </c>
      <c r="I18" s="12">
        <v>14.697563098346388</v>
      </c>
      <c r="J18" s="12">
        <v>77</v>
      </c>
      <c r="K18" s="13">
        <v>32.497654663473099</v>
      </c>
    </row>
    <row r="19" spans="2:23" ht="18" customHeight="1" x14ac:dyDescent="0.2"/>
    <row r="21" spans="2:23" ht="14.25" x14ac:dyDescent="0.2">
      <c r="D21" s="6" t="s">
        <v>22</v>
      </c>
      <c r="P21" s="55" t="s">
        <v>52</v>
      </c>
      <c r="Q21" s="53">
        <v>25</v>
      </c>
      <c r="R21" s="53">
        <v>25</v>
      </c>
      <c r="S21" s="53">
        <v>1800</v>
      </c>
      <c r="T21" s="53">
        <v>800.00000000000011</v>
      </c>
      <c r="U21" s="53">
        <v>25</v>
      </c>
      <c r="V21" s="53">
        <v>25</v>
      </c>
      <c r="W21" s="53">
        <v>550</v>
      </c>
    </row>
    <row r="22" spans="2:23" ht="14.25" x14ac:dyDescent="0.2">
      <c r="B22" s="19"/>
      <c r="C22" s="19"/>
      <c r="D22" s="19"/>
      <c r="E22" s="3" t="s">
        <v>20</v>
      </c>
      <c r="F22" s="15" t="s">
        <v>21</v>
      </c>
      <c r="P22" s="52" t="s">
        <v>38</v>
      </c>
      <c r="Q22" s="54" t="s">
        <v>42</v>
      </c>
      <c r="R22" s="54" t="s">
        <v>42</v>
      </c>
      <c r="S22" s="54" t="s">
        <v>42</v>
      </c>
      <c r="T22" s="54" t="s">
        <v>42</v>
      </c>
      <c r="U22" s="54" t="s">
        <v>42</v>
      </c>
      <c r="V22" s="53" t="s">
        <v>39</v>
      </c>
      <c r="W22" s="53" t="s">
        <v>39</v>
      </c>
    </row>
    <row r="23" spans="2:23" ht="15.75" x14ac:dyDescent="0.2">
      <c r="B23" s="20"/>
      <c r="C23" s="19"/>
      <c r="D23" s="3" t="s">
        <v>17</v>
      </c>
      <c r="E23" s="21">
        <v>1.01</v>
      </c>
      <c r="F23" s="22">
        <f>$F$17*E23</f>
        <v>1321.0431795882171</v>
      </c>
      <c r="P23" s="52" t="s">
        <v>40</v>
      </c>
      <c r="Q23" s="54" t="s">
        <v>41</v>
      </c>
      <c r="R23" s="54" t="s">
        <v>41</v>
      </c>
      <c r="S23" s="54" t="s">
        <v>41</v>
      </c>
      <c r="T23" s="54" t="s">
        <v>41</v>
      </c>
      <c r="U23" s="54" t="s">
        <v>41</v>
      </c>
      <c r="V23" s="53" t="s">
        <v>39</v>
      </c>
      <c r="W23" s="53" t="s">
        <v>39</v>
      </c>
    </row>
    <row r="24" spans="2:23" ht="15.75" x14ac:dyDescent="0.3">
      <c r="B24" s="20"/>
      <c r="C24" s="19"/>
      <c r="D24" s="2" t="s">
        <v>18</v>
      </c>
      <c r="E24" s="21">
        <v>1.99</v>
      </c>
      <c r="F24" s="22">
        <f t="shared" ref="F24:F25" si="0">$F$17*E24</f>
        <v>2602.8474528520319</v>
      </c>
      <c r="P24" s="57" t="s">
        <v>23</v>
      </c>
      <c r="Q24" s="50" t="s">
        <v>24</v>
      </c>
      <c r="R24" s="50" t="s">
        <v>16</v>
      </c>
      <c r="S24" s="50" t="s">
        <v>66</v>
      </c>
      <c r="T24" s="50" t="s">
        <v>25</v>
      </c>
      <c r="U24" s="25" t="s">
        <v>56</v>
      </c>
      <c r="V24" s="50" t="s">
        <v>29</v>
      </c>
      <c r="W24" s="51" t="s">
        <v>26</v>
      </c>
    </row>
    <row r="25" spans="2:23" ht="15.75" x14ac:dyDescent="0.3">
      <c r="D25" s="2" t="s">
        <v>19</v>
      </c>
      <c r="E25" s="21">
        <v>2.0049999999999999</v>
      </c>
      <c r="F25" s="22">
        <f t="shared" si="0"/>
        <v>2622.4669060142328</v>
      </c>
      <c r="P25" s="58" t="s">
        <v>27</v>
      </c>
      <c r="Q25" s="27">
        <v>1</v>
      </c>
      <c r="R25" s="27">
        <v>2</v>
      </c>
      <c r="S25" s="27">
        <v>3</v>
      </c>
      <c r="T25" s="27">
        <v>4</v>
      </c>
      <c r="U25" s="27">
        <v>5</v>
      </c>
      <c r="V25" s="27">
        <v>6</v>
      </c>
      <c r="W25" s="28">
        <v>7</v>
      </c>
    </row>
    <row r="26" spans="2:23" ht="14.25" customHeight="1" thickBot="1" x14ac:dyDescent="0.25">
      <c r="P26" s="38" t="s">
        <v>28</v>
      </c>
      <c r="Q26" s="29">
        <f>C17</f>
        <v>32</v>
      </c>
      <c r="R26" s="110">
        <f>C18</f>
        <v>360.608</v>
      </c>
      <c r="S26" s="29">
        <v>2733.234284755998</v>
      </c>
      <c r="T26" s="29">
        <v>1414.837504611769</v>
      </c>
      <c r="U26" s="63">
        <v>7.9414689265537186</v>
      </c>
      <c r="V26" s="29">
        <v>800</v>
      </c>
      <c r="W26" s="30">
        <v>799.99999999999977</v>
      </c>
    </row>
    <row r="27" spans="2:23" ht="16.5" thickBot="1" x14ac:dyDescent="0.25">
      <c r="E27" s="40" t="s">
        <v>43</v>
      </c>
      <c r="F27" s="46">
        <v>0.95</v>
      </c>
      <c r="P27" s="39" t="s">
        <v>36</v>
      </c>
      <c r="Q27" s="31">
        <v>0</v>
      </c>
      <c r="R27" s="31">
        <v>0</v>
      </c>
      <c r="S27" s="31">
        <v>0</v>
      </c>
      <c r="T27" s="31">
        <v>0</v>
      </c>
      <c r="U27" s="62">
        <v>0</v>
      </c>
      <c r="V27" s="32">
        <v>800</v>
      </c>
      <c r="W27" s="33">
        <v>799.99999999999989</v>
      </c>
    </row>
    <row r="28" spans="2:23" ht="16.5" thickBot="1" x14ac:dyDescent="0.25">
      <c r="E28" s="41" t="s">
        <v>44</v>
      </c>
      <c r="F28" s="46">
        <v>0</v>
      </c>
      <c r="P28" s="39" t="s">
        <v>30</v>
      </c>
      <c r="Q28" s="59">
        <f>F27</f>
        <v>0.95</v>
      </c>
      <c r="R28" s="31">
        <v>0</v>
      </c>
      <c r="S28" s="31">
        <v>0</v>
      </c>
      <c r="T28" s="31">
        <v>0</v>
      </c>
      <c r="U28" s="62">
        <v>0</v>
      </c>
      <c r="V28" s="31">
        <v>0</v>
      </c>
      <c r="W28" s="34">
        <v>0</v>
      </c>
    </row>
    <row r="29" spans="2:23" ht="16.5" thickBot="1" x14ac:dyDescent="0.25">
      <c r="E29" s="42" t="s">
        <v>45</v>
      </c>
      <c r="F29" s="46">
        <v>0.03</v>
      </c>
      <c r="P29" s="39" t="s">
        <v>31</v>
      </c>
      <c r="Q29" s="59">
        <f>F29</f>
        <v>0.03</v>
      </c>
      <c r="R29" s="31">
        <v>0</v>
      </c>
      <c r="S29" s="31">
        <v>0</v>
      </c>
      <c r="T29" s="31">
        <v>0</v>
      </c>
      <c r="U29" s="62">
        <v>0</v>
      </c>
      <c r="V29" s="31">
        <v>0</v>
      </c>
      <c r="W29" s="34">
        <v>0</v>
      </c>
    </row>
    <row r="30" spans="2:23" ht="16.5" thickBot="1" x14ac:dyDescent="0.25">
      <c r="E30" s="42" t="s">
        <v>46</v>
      </c>
      <c r="F30" s="46">
        <v>0</v>
      </c>
      <c r="P30" s="39" t="s">
        <v>32</v>
      </c>
      <c r="Q30" s="31">
        <v>0</v>
      </c>
      <c r="R30" s="31">
        <v>0</v>
      </c>
      <c r="S30" s="59">
        <f>S14/$S$10</f>
        <v>8.2222448356568625E-2</v>
      </c>
      <c r="T30" s="59">
        <f>T14/$T$10</f>
        <v>8.0594188851069573E-2</v>
      </c>
      <c r="U30" s="62">
        <v>0</v>
      </c>
      <c r="V30" s="31">
        <v>0</v>
      </c>
      <c r="W30" s="34">
        <v>0</v>
      </c>
    </row>
    <row r="31" spans="2:23" ht="16.5" thickBot="1" x14ac:dyDescent="0.25">
      <c r="E31" s="43" t="s">
        <v>47</v>
      </c>
      <c r="F31" s="46">
        <v>0</v>
      </c>
      <c r="P31" s="39" t="s">
        <v>33</v>
      </c>
      <c r="Q31" s="31">
        <v>0</v>
      </c>
      <c r="R31" s="31">
        <v>0</v>
      </c>
      <c r="S31" s="59">
        <f t="shared" ref="S31:S33" si="1">S15/$S$10</f>
        <v>0.16200264577185305</v>
      </c>
      <c r="T31" s="59">
        <f t="shared" ref="T31:T33" si="2">T15/$T$10</f>
        <v>0.15879449090458264</v>
      </c>
      <c r="U31" s="62">
        <v>0</v>
      </c>
      <c r="V31" s="31">
        <v>0</v>
      </c>
      <c r="W31" s="34">
        <v>0</v>
      </c>
    </row>
    <row r="32" spans="2:23" ht="16.5" thickBot="1" x14ac:dyDescent="0.25">
      <c r="E32" s="44" t="s">
        <v>48</v>
      </c>
      <c r="F32" s="46">
        <v>0</v>
      </c>
      <c r="P32" s="39" t="s">
        <v>34</v>
      </c>
      <c r="Q32" s="59">
        <f>F35</f>
        <v>2.0000000000000018E-2</v>
      </c>
      <c r="R32" s="59">
        <v>0.79</v>
      </c>
      <c r="S32" s="59">
        <f t="shared" si="1"/>
        <v>0.72635087005189791</v>
      </c>
      <c r="T32" s="59">
        <f t="shared" si="2"/>
        <v>0.72761132024434771</v>
      </c>
      <c r="U32" s="59">
        <v>0.79</v>
      </c>
      <c r="V32" s="31">
        <v>0</v>
      </c>
      <c r="W32" s="34">
        <v>0</v>
      </c>
    </row>
    <row r="33" spans="4:24" ht="16.5" thickBot="1" x14ac:dyDescent="0.25">
      <c r="E33" s="15" t="s">
        <v>49</v>
      </c>
      <c r="F33" s="47">
        <v>0</v>
      </c>
      <c r="P33" s="39" t="s">
        <v>35</v>
      </c>
      <c r="Q33" s="31">
        <v>0</v>
      </c>
      <c r="R33" s="59">
        <v>0.21</v>
      </c>
      <c r="S33" s="59">
        <f t="shared" si="1"/>
        <v>2.9424035819680481E-2</v>
      </c>
      <c r="T33" s="59">
        <f t="shared" si="2"/>
        <v>3.2999999999999995E-2</v>
      </c>
      <c r="U33" s="59">
        <v>0.21</v>
      </c>
      <c r="V33" s="31">
        <v>0</v>
      </c>
      <c r="W33" s="34">
        <v>0</v>
      </c>
    </row>
    <row r="34" spans="4:24" ht="15.75" x14ac:dyDescent="0.2">
      <c r="E34" s="15" t="s">
        <v>50</v>
      </c>
      <c r="F34" s="48">
        <v>0</v>
      </c>
    </row>
    <row r="35" spans="4:24" ht="15.75" x14ac:dyDescent="0.2">
      <c r="E35" s="45" t="s">
        <v>51</v>
      </c>
      <c r="F35" s="49">
        <v>2.0000000000000018E-2</v>
      </c>
      <c r="Q35" s="64" t="s">
        <v>67</v>
      </c>
      <c r="R35" s="64"/>
      <c r="S35" s="64"/>
      <c r="T35" s="64"/>
      <c r="U35" s="64"/>
      <c r="V35" s="64"/>
      <c r="W35" s="64"/>
      <c r="X35" s="64"/>
    </row>
    <row r="38" spans="4:24" ht="13.5" thickBot="1" x14ac:dyDescent="0.25">
      <c r="G38" t="s">
        <v>76</v>
      </c>
    </row>
    <row r="39" spans="4:24" x14ac:dyDescent="0.2">
      <c r="D39" s="81" t="s">
        <v>63</v>
      </c>
      <c r="E39" s="82">
        <v>1</v>
      </c>
      <c r="F39" s="82">
        <v>1</v>
      </c>
      <c r="G39" s="82">
        <v>1</v>
      </c>
      <c r="H39" s="82">
        <v>1</v>
      </c>
      <c r="I39" s="82">
        <v>1</v>
      </c>
      <c r="J39" s="82">
        <v>1</v>
      </c>
      <c r="K39" s="82">
        <v>1</v>
      </c>
      <c r="L39" s="83"/>
      <c r="M39" s="83"/>
      <c r="N39" s="84"/>
    </row>
    <row r="40" spans="4:24" x14ac:dyDescent="0.2">
      <c r="D40" s="85" t="s">
        <v>64</v>
      </c>
      <c r="E40" s="66">
        <v>25</v>
      </c>
      <c r="F40" s="66">
        <v>25</v>
      </c>
      <c r="G40" s="66">
        <v>1800</v>
      </c>
      <c r="H40" s="66">
        <v>800</v>
      </c>
      <c r="I40" s="66">
        <v>25</v>
      </c>
      <c r="J40" s="66">
        <v>25</v>
      </c>
      <c r="K40" s="66">
        <v>550</v>
      </c>
      <c r="L40" s="65"/>
      <c r="M40" s="65"/>
      <c r="N40" s="86"/>
    </row>
    <row r="41" spans="4:24" x14ac:dyDescent="0.2">
      <c r="D41" s="85" t="s">
        <v>38</v>
      </c>
      <c r="E41" s="104" t="s">
        <v>77</v>
      </c>
      <c r="F41" s="104" t="s">
        <v>77</v>
      </c>
      <c r="G41" s="104" t="s">
        <v>77</v>
      </c>
      <c r="H41" s="104" t="s">
        <v>77</v>
      </c>
      <c r="I41" s="104" t="s">
        <v>77</v>
      </c>
      <c r="J41" s="105" t="s">
        <v>39</v>
      </c>
      <c r="K41" s="105" t="s">
        <v>39</v>
      </c>
      <c r="L41" s="65"/>
      <c r="M41" s="65"/>
      <c r="N41" s="86"/>
    </row>
    <row r="42" spans="4:24" ht="12" customHeight="1" x14ac:dyDescent="0.2">
      <c r="D42" s="85" t="s">
        <v>40</v>
      </c>
      <c r="E42" s="104" t="s">
        <v>41</v>
      </c>
      <c r="F42" s="104" t="s">
        <v>41</v>
      </c>
      <c r="G42" s="104" t="s">
        <v>41</v>
      </c>
      <c r="H42" s="104" t="s">
        <v>41</v>
      </c>
      <c r="I42" s="104" t="s">
        <v>41</v>
      </c>
      <c r="J42" s="105" t="s">
        <v>39</v>
      </c>
      <c r="K42" s="105" t="s">
        <v>39</v>
      </c>
      <c r="L42" s="65"/>
      <c r="M42" s="65"/>
      <c r="N42" s="86"/>
    </row>
    <row r="43" spans="4:24" x14ac:dyDescent="0.2">
      <c r="D43" s="85" t="s">
        <v>23</v>
      </c>
      <c r="E43" s="66" t="s">
        <v>24</v>
      </c>
      <c r="F43" s="66" t="s">
        <v>54</v>
      </c>
      <c r="G43" s="66" t="s">
        <v>55</v>
      </c>
      <c r="H43" s="66" t="s">
        <v>25</v>
      </c>
      <c r="I43" s="66" t="s">
        <v>56</v>
      </c>
      <c r="J43" s="106" t="s">
        <v>29</v>
      </c>
      <c r="K43" s="66" t="s">
        <v>26</v>
      </c>
      <c r="L43" s="65"/>
      <c r="M43" s="65"/>
      <c r="N43" s="86"/>
    </row>
    <row r="44" spans="4:24" x14ac:dyDescent="0.2">
      <c r="D44" s="87" t="s">
        <v>27</v>
      </c>
      <c r="E44" s="67">
        <v>1</v>
      </c>
      <c r="F44" s="67">
        <v>2</v>
      </c>
      <c r="G44" s="67">
        <v>3</v>
      </c>
      <c r="H44" s="67">
        <v>4</v>
      </c>
      <c r="I44" s="67">
        <v>5</v>
      </c>
      <c r="J44" s="67">
        <v>6</v>
      </c>
      <c r="K44" s="68">
        <v>7</v>
      </c>
      <c r="L44" s="69" t="s">
        <v>68</v>
      </c>
      <c r="M44" s="70" t="s">
        <v>69</v>
      </c>
      <c r="N44" s="86"/>
    </row>
    <row r="45" spans="4:24" x14ac:dyDescent="0.2">
      <c r="D45" s="88" t="s">
        <v>28</v>
      </c>
      <c r="E45" s="71">
        <v>32</v>
      </c>
      <c r="F45" s="71">
        <v>360.6</v>
      </c>
      <c r="G45" s="71" t="s">
        <v>65</v>
      </c>
      <c r="H45" s="71" t="s">
        <v>65</v>
      </c>
      <c r="I45" s="71" t="s">
        <v>65</v>
      </c>
      <c r="J45" s="71">
        <v>800</v>
      </c>
      <c r="K45" s="71">
        <v>800</v>
      </c>
      <c r="L45" s="72"/>
      <c r="M45" s="73"/>
      <c r="N45" s="86"/>
    </row>
    <row r="46" spans="4:24" x14ac:dyDescent="0.2">
      <c r="D46" s="107" t="s">
        <v>36</v>
      </c>
      <c r="E46" s="66"/>
      <c r="F46" s="66"/>
      <c r="G46" s="66"/>
      <c r="H46" s="66"/>
      <c r="I46" s="66"/>
      <c r="J46" s="66">
        <v>800</v>
      </c>
      <c r="K46" s="74">
        <v>800</v>
      </c>
      <c r="L46" s="66"/>
      <c r="M46" s="65"/>
      <c r="N46" s="86"/>
    </row>
    <row r="47" spans="4:24" x14ac:dyDescent="0.2">
      <c r="D47" s="89" t="s">
        <v>57</v>
      </c>
      <c r="E47" s="66">
        <v>95</v>
      </c>
      <c r="F47" s="66"/>
      <c r="G47" s="66"/>
      <c r="H47" s="66"/>
      <c r="I47" s="66"/>
      <c r="J47" s="66"/>
      <c r="K47" s="74"/>
      <c r="L47" s="66">
        <v>-1</v>
      </c>
      <c r="M47" s="66"/>
      <c r="N47" s="86"/>
    </row>
    <row r="48" spans="4:24" x14ac:dyDescent="0.2">
      <c r="D48" s="89" t="s">
        <v>58</v>
      </c>
      <c r="E48" s="66"/>
      <c r="F48" s="66"/>
      <c r="G48" s="66" t="s">
        <v>65</v>
      </c>
      <c r="H48" s="66" t="s">
        <v>65</v>
      </c>
      <c r="I48" s="66"/>
      <c r="J48" s="66"/>
      <c r="K48" s="74"/>
      <c r="L48" s="66">
        <v>1</v>
      </c>
      <c r="M48" s="66">
        <v>2</v>
      </c>
      <c r="N48" s="86"/>
    </row>
    <row r="49" spans="4:14" x14ac:dyDescent="0.2">
      <c r="D49" s="89" t="s">
        <v>59</v>
      </c>
      <c r="E49" s="66"/>
      <c r="F49" s="66"/>
      <c r="G49" s="66" t="s">
        <v>65</v>
      </c>
      <c r="H49" s="66" t="s">
        <v>65</v>
      </c>
      <c r="I49" s="66"/>
      <c r="J49" s="66"/>
      <c r="K49" s="74"/>
      <c r="L49" s="66">
        <v>2</v>
      </c>
      <c r="M49" s="66">
        <v>3</v>
      </c>
      <c r="N49" s="86"/>
    </row>
    <row r="50" spans="4:14" x14ac:dyDescent="0.2">
      <c r="D50" s="89" t="s">
        <v>60</v>
      </c>
      <c r="E50" s="66">
        <v>2</v>
      </c>
      <c r="F50" s="66">
        <v>79</v>
      </c>
      <c r="G50" s="66" t="s">
        <v>65</v>
      </c>
      <c r="H50" s="66" t="s">
        <v>65</v>
      </c>
      <c r="I50" s="66">
        <v>79</v>
      </c>
      <c r="J50" s="66"/>
      <c r="K50" s="74"/>
      <c r="L50" s="66"/>
      <c r="M50" s="66"/>
      <c r="N50" s="86"/>
    </row>
    <row r="51" spans="4:14" x14ac:dyDescent="0.2">
      <c r="D51" s="89" t="s">
        <v>61</v>
      </c>
      <c r="E51" s="66"/>
      <c r="F51" s="66">
        <v>21</v>
      </c>
      <c r="G51" s="66" t="s">
        <v>65</v>
      </c>
      <c r="H51" s="66">
        <v>3.3</v>
      </c>
      <c r="I51" s="66">
        <v>21</v>
      </c>
      <c r="J51" s="66"/>
      <c r="K51" s="74"/>
      <c r="L51" s="66">
        <v>-2</v>
      </c>
      <c r="M51" s="66">
        <v>-3.5</v>
      </c>
      <c r="N51" s="86"/>
    </row>
    <row r="52" spans="4:14" x14ac:dyDescent="0.2">
      <c r="D52" s="89" t="s">
        <v>62</v>
      </c>
      <c r="E52" s="66">
        <v>3</v>
      </c>
      <c r="F52" s="66"/>
      <c r="G52" s="66"/>
      <c r="H52" s="66"/>
      <c r="I52" s="66"/>
      <c r="J52" s="66"/>
      <c r="K52" s="74"/>
      <c r="L52" s="66"/>
      <c r="M52" s="66">
        <v>-1</v>
      </c>
      <c r="N52" s="86"/>
    </row>
    <row r="53" spans="4:14" x14ac:dyDescent="0.2">
      <c r="D53" s="85"/>
      <c r="E53" s="65"/>
      <c r="F53" s="65"/>
      <c r="G53" s="65"/>
      <c r="H53" s="65"/>
      <c r="I53" s="65"/>
      <c r="J53" s="65"/>
      <c r="K53" s="65"/>
      <c r="L53" s="65"/>
      <c r="M53" s="65"/>
      <c r="N53" s="86"/>
    </row>
    <row r="54" spans="4:14" x14ac:dyDescent="0.2">
      <c r="D54" s="90"/>
      <c r="E54" s="91" t="s">
        <v>75</v>
      </c>
      <c r="F54" s="92"/>
      <c r="G54" s="93"/>
      <c r="H54" s="94" t="s">
        <v>74</v>
      </c>
      <c r="I54" s="93"/>
      <c r="J54" s="75"/>
      <c r="K54" s="93"/>
      <c r="L54" s="93"/>
      <c r="M54" s="93"/>
      <c r="N54" s="86"/>
    </row>
    <row r="55" spans="4:14" x14ac:dyDescent="0.2">
      <c r="D55" s="95" t="s">
        <v>70</v>
      </c>
      <c r="E55" s="77" t="s">
        <v>71</v>
      </c>
      <c r="F55" s="77" t="s">
        <v>72</v>
      </c>
      <c r="G55" s="77" t="s">
        <v>73</v>
      </c>
      <c r="H55" s="76" t="s">
        <v>70</v>
      </c>
      <c r="I55" s="77" t="s">
        <v>71</v>
      </c>
      <c r="J55" s="78" t="s">
        <v>73</v>
      </c>
      <c r="K55" s="93"/>
      <c r="L55" s="93"/>
      <c r="M55" s="93"/>
      <c r="N55" s="86"/>
    </row>
    <row r="56" spans="4:14" x14ac:dyDescent="0.2">
      <c r="D56" s="96">
        <v>1</v>
      </c>
      <c r="E56" s="97">
        <v>3</v>
      </c>
      <c r="F56" s="97">
        <v>1</v>
      </c>
      <c r="G56" s="97" t="s">
        <v>65</v>
      </c>
      <c r="H56" s="79">
        <v>3</v>
      </c>
      <c r="I56" s="97">
        <v>4</v>
      </c>
      <c r="J56" s="80" t="s">
        <v>65</v>
      </c>
      <c r="K56" s="93"/>
      <c r="L56" s="93"/>
      <c r="M56" s="93"/>
      <c r="N56" s="86"/>
    </row>
    <row r="57" spans="4:14" x14ac:dyDescent="0.2">
      <c r="D57" s="96">
        <v>2</v>
      </c>
      <c r="E57" s="97"/>
      <c r="F57" s="97">
        <v>2</v>
      </c>
      <c r="G57" s="97"/>
      <c r="H57" s="79">
        <v>5</v>
      </c>
      <c r="I57" s="97">
        <v>7</v>
      </c>
      <c r="J57" s="80"/>
      <c r="K57" s="93"/>
      <c r="L57" s="93"/>
      <c r="M57" s="93"/>
      <c r="N57" s="86"/>
    </row>
    <row r="58" spans="4:14" ht="13.5" thickBot="1" x14ac:dyDescent="0.25">
      <c r="D58" s="98"/>
      <c r="E58" s="99"/>
      <c r="F58" s="99"/>
      <c r="G58" s="99"/>
      <c r="H58" s="100">
        <v>6</v>
      </c>
      <c r="I58" s="99"/>
      <c r="J58" s="101"/>
      <c r="K58" s="102"/>
      <c r="L58" s="102"/>
      <c r="M58" s="102"/>
      <c r="N58" s="103"/>
    </row>
  </sheetData>
  <mergeCells count="3">
    <mergeCell ref="Q35:X35"/>
    <mergeCell ref="L44:L45"/>
    <mergeCell ref="M44:M45"/>
  </mergeCells>
  <pageMargins left="0.7" right="0.7" top="0.75" bottom="0.75" header="0.3" footer="0.3"/>
  <pageSetup orientation="portrait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1:V65"/>
  <sheetViews>
    <sheetView workbookViewId="0">
      <selection activeCell="F23" sqref="F23"/>
    </sheetView>
  </sheetViews>
  <sheetFormatPr defaultRowHeight="12.75" x14ac:dyDescent="0.2"/>
  <cols>
    <col min="20" max="20" width="10.28515625" customWidth="1"/>
    <col min="21" max="21" width="9.7109375" customWidth="1"/>
  </cols>
  <sheetData>
    <row r="11" spans="8:8" x14ac:dyDescent="0.2">
      <c r="H11" t="s">
        <v>53</v>
      </c>
    </row>
    <row r="59" spans="18:22" x14ac:dyDescent="0.2">
      <c r="R59" s="60"/>
      <c r="S59" s="60"/>
      <c r="T59" s="60"/>
      <c r="U59" s="60"/>
      <c r="V59" s="60"/>
    </row>
    <row r="60" spans="18:22" x14ac:dyDescent="0.2">
      <c r="R60" s="60"/>
      <c r="S60" s="60"/>
      <c r="T60" s="60"/>
      <c r="U60" s="60"/>
      <c r="V60" s="60"/>
    </row>
    <row r="61" spans="18:22" x14ac:dyDescent="0.2">
      <c r="R61" s="60"/>
      <c r="S61" s="60"/>
      <c r="T61" s="60"/>
      <c r="U61" s="60"/>
      <c r="V61" s="60"/>
    </row>
    <row r="62" spans="18:22" x14ac:dyDescent="0.2">
      <c r="R62" s="60"/>
      <c r="S62" s="60"/>
      <c r="T62" s="60"/>
      <c r="U62" s="60"/>
      <c r="V62" s="60"/>
    </row>
    <row r="63" spans="18:22" x14ac:dyDescent="0.2">
      <c r="R63" s="60"/>
      <c r="S63" s="60"/>
      <c r="T63" s="60"/>
      <c r="U63" s="60"/>
      <c r="V63" s="60"/>
    </row>
    <row r="64" spans="18:22" x14ac:dyDescent="0.2">
      <c r="R64" s="60"/>
      <c r="S64" s="60"/>
      <c r="T64" s="60"/>
      <c r="U64" s="60"/>
      <c r="V64" s="60"/>
    </row>
    <row r="65" spans="18:22" x14ac:dyDescent="0.2">
      <c r="R65" s="60"/>
      <c r="S65" s="60"/>
      <c r="T65" s="60"/>
      <c r="U65" s="60"/>
      <c r="V65" s="6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 Bal</vt:lpstr>
      <vt:lpstr>Flowsheet Dwng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2012-07-28T23:40:25Z</dcterms:created>
  <dcterms:modified xsi:type="dcterms:W3CDTF">2012-08-03T04:32:42Z</dcterms:modified>
</cp:coreProperties>
</file>