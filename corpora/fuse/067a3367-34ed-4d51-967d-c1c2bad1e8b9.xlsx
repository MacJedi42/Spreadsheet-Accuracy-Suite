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05" yWindow="5715" windowWidth="25320" windowHeight="6615"/>
  </bookViews>
  <sheets>
    <sheet name="12 mo List Reduced" sheetId="3" r:id="rId1"/>
  </sheets>
  <externalReferences>
    <externalReference r:id="rId2"/>
  </externalReferences>
  <definedNames>
    <definedName name="_xlnm._FilterDatabase" localSheetId="0" hidden="1">'12 mo List Reduced'!$A$3:$T$355</definedName>
    <definedName name="_xlnm.Print_Area" localSheetId="0">'12 mo List Reduced'!$A$1:$R$355</definedName>
    <definedName name="_xlnm.Print_Titles" localSheetId="0">'12 mo List Reduced'!$1:$3</definedName>
  </definedNames>
  <calcPr calcId="125725"/>
</workbook>
</file>

<file path=xl/calcChain.xml><?xml version="1.0" encoding="utf-8"?>
<calcChain xmlns="http://schemas.openxmlformats.org/spreadsheetml/2006/main">
  <c r="N6" i="3"/>
  <c r="N7"/>
  <c r="N8"/>
  <c r="N9"/>
  <c r="N10"/>
  <c r="N16"/>
  <c r="N17"/>
  <c r="N21"/>
  <c r="N22"/>
  <c r="N11"/>
  <c r="N23"/>
  <c r="N18"/>
  <c r="N19"/>
  <c r="N4"/>
  <c r="N12"/>
  <c r="N5"/>
  <c r="N24"/>
  <c r="N13"/>
  <c r="N27"/>
  <c r="N25"/>
  <c r="N26"/>
  <c r="N14"/>
  <c r="N15"/>
  <c r="N29"/>
  <c r="N32"/>
  <c r="N39"/>
  <c r="N33"/>
  <c r="N40"/>
  <c r="N34"/>
  <c r="N41"/>
  <c r="N42"/>
  <c r="N35"/>
  <c r="N44"/>
  <c r="N30"/>
  <c r="N45"/>
  <c r="N31"/>
  <c r="N36"/>
  <c r="N37"/>
  <c r="N46"/>
  <c r="N43"/>
  <c r="N38"/>
  <c r="N63"/>
  <c r="N71"/>
  <c r="N72"/>
  <c r="N73"/>
  <c r="N67"/>
  <c r="N68"/>
  <c r="N69"/>
  <c r="N70"/>
  <c r="N49"/>
  <c r="N54"/>
  <c r="N74"/>
  <c r="N55"/>
  <c r="N48"/>
  <c r="N56"/>
  <c r="N57"/>
  <c r="N58"/>
  <c r="N59"/>
  <c r="N51"/>
  <c r="N52"/>
  <c r="N50"/>
  <c r="N64"/>
  <c r="N75"/>
  <c r="N65"/>
  <c r="N60"/>
  <c r="N76"/>
  <c r="N61"/>
  <c r="N66"/>
  <c r="N77"/>
  <c r="N62"/>
  <c r="N53"/>
  <c r="N131"/>
  <c r="N82"/>
  <c r="N132"/>
  <c r="N133"/>
  <c r="N118"/>
  <c r="N100"/>
  <c r="N101"/>
  <c r="N83"/>
  <c r="N102"/>
  <c r="N119"/>
  <c r="N91"/>
  <c r="N140"/>
  <c r="N103"/>
  <c r="N104"/>
  <c r="N134"/>
  <c r="N105"/>
  <c r="N141"/>
  <c r="N106"/>
  <c r="N107"/>
  <c r="N92"/>
  <c r="N142"/>
  <c r="N93"/>
  <c r="N108"/>
  <c r="N135"/>
  <c r="N109"/>
  <c r="N110"/>
  <c r="N120"/>
  <c r="N121"/>
  <c r="N79"/>
  <c r="N136"/>
  <c r="N122"/>
  <c r="N123"/>
  <c r="N143"/>
  <c r="N84"/>
  <c r="N124"/>
  <c r="N85"/>
  <c r="N125"/>
  <c r="N126"/>
  <c r="N144"/>
  <c r="N80"/>
  <c r="N111"/>
  <c r="N137"/>
  <c r="N138"/>
  <c r="N94"/>
  <c r="N95"/>
  <c r="N112"/>
  <c r="N127"/>
  <c r="N128"/>
  <c r="N145"/>
  <c r="N129"/>
  <c r="N96"/>
  <c r="N86"/>
  <c r="N87"/>
  <c r="N97"/>
  <c r="N88"/>
  <c r="N113"/>
  <c r="N146"/>
  <c r="N114"/>
  <c r="N130"/>
  <c r="N147"/>
  <c r="N115"/>
  <c r="N116"/>
  <c r="N139"/>
  <c r="N89"/>
  <c r="N117"/>
  <c r="N98"/>
  <c r="N148"/>
  <c r="N81"/>
  <c r="N99"/>
  <c r="N90"/>
  <c r="N162"/>
  <c r="N151"/>
  <c r="N150"/>
  <c r="N152"/>
  <c r="N163"/>
  <c r="N155"/>
  <c r="N164"/>
  <c r="N156"/>
  <c r="N157"/>
  <c r="N158"/>
  <c r="N159"/>
  <c r="N153"/>
  <c r="N160"/>
  <c r="N165"/>
  <c r="N154"/>
  <c r="N161"/>
  <c r="N187"/>
  <c r="N167"/>
  <c r="N204"/>
  <c r="N188"/>
  <c r="N189"/>
  <c r="N190"/>
  <c r="N200"/>
  <c r="N201"/>
  <c r="N191"/>
  <c r="N192"/>
  <c r="N193"/>
  <c r="N169"/>
  <c r="N194"/>
  <c r="N171"/>
  <c r="N172"/>
  <c r="N173"/>
  <c r="N174"/>
  <c r="N168"/>
  <c r="N175"/>
  <c r="N176"/>
  <c r="N177"/>
  <c r="N178"/>
  <c r="N179"/>
  <c r="N180"/>
  <c r="N181"/>
  <c r="N182"/>
  <c r="N183"/>
  <c r="N202"/>
  <c r="N184"/>
  <c r="N195"/>
  <c r="N170"/>
  <c r="N205"/>
  <c r="N185"/>
  <c r="N196"/>
  <c r="N197"/>
  <c r="N186"/>
  <c r="N198"/>
  <c r="N199"/>
  <c r="N203"/>
  <c r="N216"/>
  <c r="N217"/>
  <c r="N208"/>
  <c r="N209"/>
  <c r="N207"/>
  <c r="N241"/>
  <c r="N210"/>
  <c r="N242"/>
  <c r="N243"/>
  <c r="N218"/>
  <c r="N211"/>
  <c r="N245"/>
  <c r="N219"/>
  <c r="N220"/>
  <c r="N246"/>
  <c r="N221"/>
  <c r="N222"/>
  <c r="N223"/>
  <c r="N224"/>
  <c r="N225"/>
  <c r="N247"/>
  <c r="N248"/>
  <c r="N226"/>
  <c r="N227"/>
  <c r="N228"/>
  <c r="N229"/>
  <c r="N230"/>
  <c r="N231"/>
  <c r="N232"/>
  <c r="N233"/>
  <c r="N234"/>
  <c r="N235"/>
  <c r="N236"/>
  <c r="N237"/>
  <c r="N244"/>
  <c r="N238"/>
  <c r="N239"/>
  <c r="N212"/>
  <c r="N213"/>
  <c r="N240"/>
  <c r="N214"/>
  <c r="N215"/>
  <c r="N256"/>
  <c r="N281"/>
  <c r="N257"/>
  <c r="N266"/>
  <c r="N258"/>
  <c r="N267"/>
  <c r="N250"/>
  <c r="N283"/>
  <c r="N252"/>
  <c r="N268"/>
  <c r="N259"/>
  <c r="N260"/>
  <c r="N261"/>
  <c r="N262"/>
  <c r="N269"/>
  <c r="N263"/>
  <c r="N251"/>
  <c r="N270"/>
  <c r="N264"/>
  <c r="N271"/>
  <c r="N284"/>
  <c r="N272"/>
  <c r="N273"/>
  <c r="N274"/>
  <c r="N265"/>
  <c r="N253"/>
  <c r="N275"/>
  <c r="N285"/>
  <c r="N276"/>
  <c r="N277"/>
  <c r="N279"/>
  <c r="N280"/>
  <c r="N254"/>
  <c r="N286"/>
  <c r="N287"/>
  <c r="N278"/>
  <c r="N282"/>
  <c r="N255"/>
  <c r="N289"/>
  <c r="N290"/>
  <c r="N302"/>
  <c r="N303"/>
  <c r="N304"/>
  <c r="N305"/>
  <c r="N299"/>
  <c r="N306"/>
  <c r="N300"/>
  <c r="N301"/>
  <c r="N307"/>
  <c r="N308"/>
  <c r="N292"/>
  <c r="N293"/>
  <c r="N294"/>
  <c r="N295"/>
  <c r="N296"/>
  <c r="N297"/>
  <c r="N298"/>
  <c r="N336"/>
  <c r="N327"/>
  <c r="N328"/>
  <c r="N312"/>
  <c r="N329"/>
  <c r="N313"/>
  <c r="N314"/>
  <c r="N326"/>
  <c r="N315"/>
  <c r="N330"/>
  <c r="N337"/>
  <c r="N323"/>
  <c r="N316"/>
  <c r="N331"/>
  <c r="N317"/>
  <c r="N324"/>
  <c r="N338"/>
  <c r="N318"/>
  <c r="N319"/>
  <c r="N325"/>
  <c r="N310"/>
  <c r="N311"/>
  <c r="N320"/>
  <c r="N332"/>
  <c r="N339"/>
  <c r="N321"/>
  <c r="N340"/>
  <c r="N333"/>
  <c r="N334"/>
  <c r="N341"/>
  <c r="N335"/>
  <c r="N322"/>
  <c r="N348"/>
  <c r="N353"/>
  <c r="N343"/>
  <c r="N349"/>
  <c r="N350"/>
  <c r="N344"/>
  <c r="N351"/>
  <c r="N354"/>
  <c r="N345"/>
  <c r="N352"/>
  <c r="N346"/>
  <c r="N347"/>
  <c r="N20"/>
  <c r="S30"/>
  <c r="S50"/>
  <c r="S53"/>
  <c r="S83"/>
  <c r="S120"/>
  <c r="S90"/>
  <c r="S171"/>
  <c r="S175"/>
  <c r="S180"/>
  <c r="S229"/>
  <c r="S215"/>
  <c r="S302"/>
  <c r="S345"/>
  <c r="N355" l="1"/>
  <c r="N342"/>
  <c r="N309"/>
  <c r="N291"/>
  <c r="N288"/>
  <c r="N249"/>
  <c r="N206"/>
  <c r="N166"/>
  <c r="N149"/>
  <c r="N78"/>
  <c r="N47"/>
  <c r="N28"/>
</calcChain>
</file>

<file path=xl/sharedStrings.xml><?xml version="1.0" encoding="utf-8"?>
<sst xmlns="http://schemas.openxmlformats.org/spreadsheetml/2006/main" count="4498" uniqueCount="1550">
  <si>
    <t>cd</t>
  </si>
  <si>
    <t>ea5</t>
  </si>
  <si>
    <t>co</t>
  </si>
  <si>
    <t>rte</t>
  </si>
  <si>
    <t>pfx</t>
  </si>
  <si>
    <t>bkpm</t>
  </si>
  <si>
    <t>ahpm</t>
  </si>
  <si>
    <t>sys_loc</t>
  </si>
  <si>
    <t>project description</t>
  </si>
  <si>
    <t>cap bridge con est</t>
  </si>
  <si>
    <t>cap dist con est</t>
  </si>
  <si>
    <t>qtr</t>
  </si>
  <si>
    <t>rtl fyr</t>
  </si>
  <si>
    <t>01</t>
  </si>
  <si>
    <t>HUM</t>
  </si>
  <si>
    <t/>
  </si>
  <si>
    <t>000.0</t>
  </si>
  <si>
    <t>0</t>
  </si>
  <si>
    <t>044.5</t>
  </si>
  <si>
    <t>REPAIR STORM DAMAGE</t>
  </si>
  <si>
    <t>MEN</t>
  </si>
  <si>
    <t>128</t>
  </si>
  <si>
    <t xml:space="preserve"> 1</t>
  </si>
  <si>
    <t>2012</t>
  </si>
  <si>
    <t xml:space="preserve"> 2</t>
  </si>
  <si>
    <t>2013</t>
  </si>
  <si>
    <t xml:space="preserve"> 4</t>
  </si>
  <si>
    <t>001</t>
  </si>
  <si>
    <t>26200</t>
  </si>
  <si>
    <t>101</t>
  </si>
  <si>
    <t>T</t>
  </si>
  <si>
    <t>043.5</t>
  </si>
  <si>
    <t>051.3</t>
  </si>
  <si>
    <t>CONSTRUCT 4-LANE FREEWAY, PHASE 1</t>
  </si>
  <si>
    <t xml:space="preserve"> 3</t>
  </si>
  <si>
    <t>020</t>
  </si>
  <si>
    <t>045.3</t>
  </si>
  <si>
    <t>29030</t>
  </si>
  <si>
    <t>057.0</t>
  </si>
  <si>
    <t>R</t>
  </si>
  <si>
    <t>000.3</t>
  </si>
  <si>
    <t>002.4</t>
  </si>
  <si>
    <t>010.7</t>
  </si>
  <si>
    <t>DN</t>
  </si>
  <si>
    <t>010.9</t>
  </si>
  <si>
    <t>255</t>
  </si>
  <si>
    <t>007.7</t>
  </si>
  <si>
    <t>29612</t>
  </si>
  <si>
    <t>299</t>
  </si>
  <si>
    <t>004.2</t>
  </si>
  <si>
    <t>FISH &amp; RIPARIAN MITIGATION (CULVERT REHABILITATION)</t>
  </si>
  <si>
    <t>000.2</t>
  </si>
  <si>
    <t>001.9</t>
  </si>
  <si>
    <t>029</t>
  </si>
  <si>
    <t>023.8</t>
  </si>
  <si>
    <t>031.6</t>
  </si>
  <si>
    <t>010.2</t>
  </si>
  <si>
    <t>033.4</t>
  </si>
  <si>
    <t>REPLACE BRIDGE (SCOUR)</t>
  </si>
  <si>
    <t>000.5</t>
  </si>
  <si>
    <t>003.5</t>
  </si>
  <si>
    <t>BRIDGE REPLACEMENT (SCOUR)</t>
  </si>
  <si>
    <t xml:space="preserve"> 20</t>
  </si>
  <si>
    <t>ROADWAY REHABILITATION</t>
  </si>
  <si>
    <t>32330</t>
  </si>
  <si>
    <t>005.8</t>
  </si>
  <si>
    <t>007.6</t>
  </si>
  <si>
    <t>WIDEN SHOULDERS</t>
  </si>
  <si>
    <t>36330</t>
  </si>
  <si>
    <t>079.8</t>
  </si>
  <si>
    <t>087.8</t>
  </si>
  <si>
    <t>004.4</t>
  </si>
  <si>
    <t>009.4</t>
  </si>
  <si>
    <t>031.0</t>
  </si>
  <si>
    <t>002.7</t>
  </si>
  <si>
    <t>REHABILITATE DRAINAGE</t>
  </si>
  <si>
    <t>36432</t>
  </si>
  <si>
    <t>013.8</t>
  </si>
  <si>
    <t>032.0</t>
  </si>
  <si>
    <t>028.3</t>
  </si>
  <si>
    <t>040.9</t>
  </si>
  <si>
    <t>CULVERT REHABILITATION</t>
  </si>
  <si>
    <t>37816</t>
  </si>
  <si>
    <t>014.3</t>
  </si>
  <si>
    <t>040.6</t>
  </si>
  <si>
    <t>011.1</t>
  </si>
  <si>
    <t>001.0</t>
  </si>
  <si>
    <t>38572</t>
  </si>
  <si>
    <t>088.7</t>
  </si>
  <si>
    <t>092.8</t>
  </si>
  <si>
    <t>007.5</t>
  </si>
  <si>
    <t>001.7</t>
  </si>
  <si>
    <t>027.0</t>
  </si>
  <si>
    <t>000.6</t>
  </si>
  <si>
    <t>028.0</t>
  </si>
  <si>
    <t>043.8</t>
  </si>
  <si>
    <t>40140</t>
  </si>
  <si>
    <t>BRIDGE REPLACEMENT</t>
  </si>
  <si>
    <t>40280</t>
  </si>
  <si>
    <t>046.2</t>
  </si>
  <si>
    <t>084.6</t>
  </si>
  <si>
    <t>027.4</t>
  </si>
  <si>
    <t>037.4</t>
  </si>
  <si>
    <t>026.3</t>
  </si>
  <si>
    <t>027.1</t>
  </si>
  <si>
    <t>CURVE IMPROVEMENT</t>
  </si>
  <si>
    <t>039.4</t>
  </si>
  <si>
    <t>038.5</t>
  </si>
  <si>
    <t>000</t>
  </si>
  <si>
    <t>42370</t>
  </si>
  <si>
    <t xml:space="preserve"> 20.2</t>
  </si>
  <si>
    <t xml:space="preserve"> 20.5</t>
  </si>
  <si>
    <t>RECONSTRUCT ROADWAY</t>
  </si>
  <si>
    <t>254</t>
  </si>
  <si>
    <t>012.1</t>
  </si>
  <si>
    <t xml:space="preserve">  0.0</t>
  </si>
  <si>
    <t>INSTALL MEDIAN BARRIER</t>
  </si>
  <si>
    <t>001.1</t>
  </si>
  <si>
    <t>001.2</t>
  </si>
  <si>
    <t xml:space="preserve"> 29.6</t>
  </si>
  <si>
    <t xml:space="preserve"> 13.5</t>
  </si>
  <si>
    <t>018.7</t>
  </si>
  <si>
    <t>030.0</t>
  </si>
  <si>
    <t>VAR</t>
  </si>
  <si>
    <t>C0999</t>
  </si>
  <si>
    <t>SHOULDER WIDENING</t>
  </si>
  <si>
    <t>003.8</t>
  </si>
  <si>
    <t>PAVEMENT REHABILITATION</t>
  </si>
  <si>
    <t>009.2</t>
  </si>
  <si>
    <t>SEISMIC RETROFIT</t>
  </si>
  <si>
    <t>011.4</t>
  </si>
  <si>
    <t>004.0</t>
  </si>
  <si>
    <t>014.9</t>
  </si>
  <si>
    <t>015.3</t>
  </si>
  <si>
    <t>46390</t>
  </si>
  <si>
    <t>CO999</t>
  </si>
  <si>
    <t>RECONSTRUCT GUARD RAILING</t>
  </si>
  <si>
    <t>46420</t>
  </si>
  <si>
    <t>000.1</t>
  </si>
  <si>
    <t>002.2</t>
  </si>
  <si>
    <t>46530</t>
  </si>
  <si>
    <t>008.8</t>
  </si>
  <si>
    <t>YUROK TRIBE TRANSPORTATION CORRIDOR</t>
  </si>
  <si>
    <t>46580</t>
  </si>
  <si>
    <t>014.7</t>
  </si>
  <si>
    <t>024.7</t>
  </si>
  <si>
    <t>PACIFIC COAST BIKE ROUTE PHASE II AND III</t>
  </si>
  <si>
    <t xml:space="preserve"> 38.0</t>
  </si>
  <si>
    <t>018.5</t>
  </si>
  <si>
    <t>021.5</t>
  </si>
  <si>
    <t xml:space="preserve">  6.0</t>
  </si>
  <si>
    <t>040.7</t>
  </si>
  <si>
    <t>CONSTRUCT SOLDIER PILE WALL</t>
  </si>
  <si>
    <t>008.5</t>
  </si>
  <si>
    <t>022.0</t>
  </si>
  <si>
    <t>INSTALL CONCRETE MEDIAN BARRIER</t>
  </si>
  <si>
    <t>008.9</t>
  </si>
  <si>
    <t>47490</t>
  </si>
  <si>
    <t xml:space="preserve"> 70.5</t>
  </si>
  <si>
    <t>005.9</t>
  </si>
  <si>
    <t>47502</t>
  </si>
  <si>
    <t>011.0</t>
  </si>
  <si>
    <t xml:space="preserve"> 40.1</t>
  </si>
  <si>
    <t>004.5</t>
  </si>
  <si>
    <t>036</t>
  </si>
  <si>
    <t>020.8</t>
  </si>
  <si>
    <t xml:space="preserve"> 28.2</t>
  </si>
  <si>
    <t>040.4</t>
  </si>
  <si>
    <t>47660</t>
  </si>
  <si>
    <t xml:space="preserve"> 34.5</t>
  </si>
  <si>
    <t xml:space="preserve"> 35.5</t>
  </si>
  <si>
    <t>47690</t>
  </si>
  <si>
    <t xml:space="preserve">  4.0</t>
  </si>
  <si>
    <t>REMOVE &amp; RECONSTRUCT HINGES @ SPANS 2, 8 &amp; 11</t>
  </si>
  <si>
    <t>009.3</t>
  </si>
  <si>
    <t>015.0</t>
  </si>
  <si>
    <t>022.9</t>
  </si>
  <si>
    <t>PAINT BRIDGES</t>
  </si>
  <si>
    <t>034.9</t>
  </si>
  <si>
    <t>018.0</t>
  </si>
  <si>
    <t>019.8</t>
  </si>
  <si>
    <t xml:space="preserve"> 20.1</t>
  </si>
  <si>
    <t xml:space="preserve"> 25.5</t>
  </si>
  <si>
    <t>008.7</t>
  </si>
  <si>
    <t>009.5</t>
  </si>
  <si>
    <t>014.4</t>
  </si>
  <si>
    <t>004.9</t>
  </si>
  <si>
    <t>018.3</t>
  </si>
  <si>
    <t>018.6</t>
  </si>
  <si>
    <t>48470</t>
  </si>
  <si>
    <t>040.1</t>
  </si>
  <si>
    <t>CONSTRUCT MBGR &amp; CENTERLINE RUMBLE STRIPS, UPGRADE DRAINAGE INLETS</t>
  </si>
  <si>
    <t>028.4</t>
  </si>
  <si>
    <t>007.1</t>
  </si>
  <si>
    <t>49070</t>
  </si>
  <si>
    <t>019.9</t>
  </si>
  <si>
    <t>OGAC OVERLAY, CENTERLINE RUMBLE STRIPS, UPGRADE MBGR</t>
  </si>
  <si>
    <t>044.4</t>
  </si>
  <si>
    <t>035.5</t>
  </si>
  <si>
    <t>012.0</t>
  </si>
  <si>
    <t>002.5</t>
  </si>
  <si>
    <t>019.6</t>
  </si>
  <si>
    <t>02</t>
  </si>
  <si>
    <t>SIS</t>
  </si>
  <si>
    <t>005</t>
  </si>
  <si>
    <t>008.1</t>
  </si>
  <si>
    <t>009.0</t>
  </si>
  <si>
    <t>TEH</t>
  </si>
  <si>
    <t>017.0</t>
  </si>
  <si>
    <t>SHA</t>
  </si>
  <si>
    <t>003.0</t>
  </si>
  <si>
    <t>012.2</t>
  </si>
  <si>
    <t>TRI</t>
  </si>
  <si>
    <t>018.9</t>
  </si>
  <si>
    <t>006.4</t>
  </si>
  <si>
    <t>LO</t>
  </si>
  <si>
    <t>005.0</t>
  </si>
  <si>
    <t>020.5</t>
  </si>
  <si>
    <t>PLU</t>
  </si>
  <si>
    <t>089</t>
  </si>
  <si>
    <t>0E310</t>
  </si>
  <si>
    <t>003</t>
  </si>
  <si>
    <t>0E360</t>
  </si>
  <si>
    <t>010.5</t>
  </si>
  <si>
    <t>REBUILD N/B &amp; S/B FACILITIES AT CORNING SRRA'S</t>
  </si>
  <si>
    <t>0E400</t>
  </si>
  <si>
    <t>062.3</t>
  </si>
  <si>
    <t>UPGRADE VISTA POINT</t>
  </si>
  <si>
    <t>0E440</t>
  </si>
  <si>
    <t>097</t>
  </si>
  <si>
    <t>TURN LANE</t>
  </si>
  <si>
    <t>0E450</t>
  </si>
  <si>
    <t>042.1</t>
  </si>
  <si>
    <t>INSTALL NATIVE LANDSCAPING</t>
  </si>
  <si>
    <t>099</t>
  </si>
  <si>
    <t>012.5</t>
  </si>
  <si>
    <t>024.9</t>
  </si>
  <si>
    <t>099.4</t>
  </si>
  <si>
    <t>0E840</t>
  </si>
  <si>
    <t>048.1</t>
  </si>
  <si>
    <t>INSTALL LEFT TURN LANE AT JUNIPER DRIVE</t>
  </si>
  <si>
    <t>008.0</t>
  </si>
  <si>
    <t>REPAIR SLOPE</t>
  </si>
  <si>
    <t>005.4</t>
  </si>
  <si>
    <t>070</t>
  </si>
  <si>
    <t>1E000</t>
  </si>
  <si>
    <t>MOD</t>
  </si>
  <si>
    <t>022.4</t>
  </si>
  <si>
    <t>023.2</t>
  </si>
  <si>
    <t>REHABILITATE PAVEMENT</t>
  </si>
  <si>
    <t>004.3</t>
  </si>
  <si>
    <t>029.3</t>
  </si>
  <si>
    <t>037.5</t>
  </si>
  <si>
    <t>BRIDGE MAINTENANCE</t>
  </si>
  <si>
    <t>007.9</t>
  </si>
  <si>
    <t>024.8</t>
  </si>
  <si>
    <t>027.8</t>
  </si>
  <si>
    <t>4</t>
  </si>
  <si>
    <t>017.4</t>
  </si>
  <si>
    <t>018.4</t>
  </si>
  <si>
    <t>028.8</t>
  </si>
  <si>
    <t>013.9</t>
  </si>
  <si>
    <t>2C112</t>
  </si>
  <si>
    <t>REPAIR BRIDGE SCOUR</t>
  </si>
  <si>
    <t>003.2</t>
  </si>
  <si>
    <t>BRIDGE SCOUR</t>
  </si>
  <si>
    <t>2C225</t>
  </si>
  <si>
    <t>091.4</t>
  </si>
  <si>
    <t>BRIDGE REHABILITATION</t>
  </si>
  <si>
    <t>REPLACE BRIDGE DECK</t>
  </si>
  <si>
    <t>037.1</t>
  </si>
  <si>
    <t>019.2</t>
  </si>
  <si>
    <t>2E350</t>
  </si>
  <si>
    <t>000.8</t>
  </si>
  <si>
    <t>2E510</t>
  </si>
  <si>
    <t>005.5</t>
  </si>
  <si>
    <t>2E620</t>
  </si>
  <si>
    <t>039.7</t>
  </si>
  <si>
    <t>040.2</t>
  </si>
  <si>
    <t>000.4</t>
  </si>
  <si>
    <t>028.6</t>
  </si>
  <si>
    <t>029.4</t>
  </si>
  <si>
    <t>016.7</t>
  </si>
  <si>
    <t>015.1</t>
  </si>
  <si>
    <t>015.7</t>
  </si>
  <si>
    <t>001.8</t>
  </si>
  <si>
    <t>049.5</t>
  </si>
  <si>
    <t>L</t>
  </si>
  <si>
    <t>36070</t>
  </si>
  <si>
    <t>030.3</t>
  </si>
  <si>
    <t>006.5</t>
  </si>
  <si>
    <t>000.9</t>
  </si>
  <si>
    <t>37430</t>
  </si>
  <si>
    <t>023.3</t>
  </si>
  <si>
    <t>RAIL UPGRADE, WIDEN</t>
  </si>
  <si>
    <t>043.9</t>
  </si>
  <si>
    <t>053.7</t>
  </si>
  <si>
    <t>058.1</t>
  </si>
  <si>
    <t>CONSTRUCT MEDIAN BARRIER</t>
  </si>
  <si>
    <t>013.3</t>
  </si>
  <si>
    <t>3C300</t>
  </si>
  <si>
    <t>033.0</t>
  </si>
  <si>
    <t>INSTALL MBGR PPNO #3266</t>
  </si>
  <si>
    <t>3C920</t>
  </si>
  <si>
    <t>050.6</t>
  </si>
  <si>
    <t>052.1</t>
  </si>
  <si>
    <t>DECK REPLACEMENT, SEISMIC RETROFIT</t>
  </si>
  <si>
    <t>024.1</t>
  </si>
  <si>
    <t>017.5</t>
  </si>
  <si>
    <t>WIDEN TO 6 LANES</t>
  </si>
  <si>
    <t>012.6</t>
  </si>
  <si>
    <t>041.0</t>
  </si>
  <si>
    <t>043.2</t>
  </si>
  <si>
    <t>051.5</t>
  </si>
  <si>
    <t>4C960</t>
  </si>
  <si>
    <t>HAYFORK II TE</t>
  </si>
  <si>
    <t>016.2</t>
  </si>
  <si>
    <t>03</t>
  </si>
  <si>
    <t>SUT</t>
  </si>
  <si>
    <t>YUB</t>
  </si>
  <si>
    <t>SAC</t>
  </si>
  <si>
    <t>PLA</t>
  </si>
  <si>
    <t>049</t>
  </si>
  <si>
    <t>080</t>
  </si>
  <si>
    <t>NEV</t>
  </si>
  <si>
    <t>013.6</t>
  </si>
  <si>
    <t>005.2</t>
  </si>
  <si>
    <t>BUT</t>
  </si>
  <si>
    <t>016.9</t>
  </si>
  <si>
    <t>016.4</t>
  </si>
  <si>
    <t>YOL</t>
  </si>
  <si>
    <t>050</t>
  </si>
  <si>
    <t>026.8</t>
  </si>
  <si>
    <t>017.8</t>
  </si>
  <si>
    <t>COL</t>
  </si>
  <si>
    <t>001.4</t>
  </si>
  <si>
    <t>018.2</t>
  </si>
  <si>
    <t>031.5</t>
  </si>
  <si>
    <t>041.8</t>
  </si>
  <si>
    <t>066.3</t>
  </si>
  <si>
    <t>0C930</t>
  </si>
  <si>
    <t>028</t>
  </si>
  <si>
    <t>INSTL CURB,GTRS,SDWLK,SGNL &amp; DRAIN</t>
  </si>
  <si>
    <t>003.7</t>
  </si>
  <si>
    <t>051</t>
  </si>
  <si>
    <t>001.3</t>
  </si>
  <si>
    <t>0E670</t>
  </si>
  <si>
    <t>INSTALL TRAFFIC SIGNAL</t>
  </si>
  <si>
    <t>ED</t>
  </si>
  <si>
    <t>003.3</t>
  </si>
  <si>
    <t>006.8</t>
  </si>
  <si>
    <t>065</t>
  </si>
  <si>
    <t>0F300</t>
  </si>
  <si>
    <t>RETROFIT COLUMNS AND ADD BRACING</t>
  </si>
  <si>
    <t>039.0</t>
  </si>
  <si>
    <t>007.0</t>
  </si>
  <si>
    <t>008.6</t>
  </si>
  <si>
    <t>006.7</t>
  </si>
  <si>
    <t>010.1</t>
  </si>
  <si>
    <t>006.2</t>
  </si>
  <si>
    <t>006.0</t>
  </si>
  <si>
    <t>011.7</t>
  </si>
  <si>
    <t>016.8</t>
  </si>
  <si>
    <t>1A731</t>
  </si>
  <si>
    <t>067.6</t>
  </si>
  <si>
    <t>072.9</t>
  </si>
  <si>
    <t>STORM WATER QUALITY IMPROVEMENTS OVERLAY, WIDEN SHLDR, RPL CULVERTS</t>
  </si>
  <si>
    <t>1A732</t>
  </si>
  <si>
    <t>073.7</t>
  </si>
  <si>
    <t>075.4</t>
  </si>
  <si>
    <t>STORM WATER QUALITY IMPROVEMENTS OVERLAY, WIDEN SHLDR, REPL CULVERTS</t>
  </si>
  <si>
    <t xml:space="preserve"> 80</t>
  </si>
  <si>
    <t>STORM WATER QUALITY IMPROVEMENTS O/L, WIDEN, ADD DIKES &amp; RET BASINS</t>
  </si>
  <si>
    <t>1A844</t>
  </si>
  <si>
    <t>030.9</t>
  </si>
  <si>
    <t>036.8</t>
  </si>
  <si>
    <t>002.9</t>
  </si>
  <si>
    <t xml:space="preserve"> 21.7</t>
  </si>
  <si>
    <t>PAVEMENT REHABILITATION DRAINAGE IMPROVEMENTS</t>
  </si>
  <si>
    <t>1E510</t>
  </si>
  <si>
    <t>1E760</t>
  </si>
  <si>
    <t>REMOVE MEDIAN LANES AND INSTALL LEFT TURN LANES AND</t>
  </si>
  <si>
    <t xml:space="preserve"> 37.8</t>
  </si>
  <si>
    <t>036.3</t>
  </si>
  <si>
    <t>036.2</t>
  </si>
  <si>
    <t>026.7</t>
  </si>
  <si>
    <t>030.6</t>
  </si>
  <si>
    <t>113</t>
  </si>
  <si>
    <t>009.7</t>
  </si>
  <si>
    <t>2A920</t>
  </si>
  <si>
    <t>REHAB PAVEMENT AND DRAINAGE SYSTEM ENV IMPR PROGRAM PROJECT (EIP)</t>
  </si>
  <si>
    <t>001.6</t>
  </si>
  <si>
    <t>RECONSTRUCT INTERCHANGE</t>
  </si>
  <si>
    <t>017.7</t>
  </si>
  <si>
    <t>016.6</t>
  </si>
  <si>
    <t>024.2</t>
  </si>
  <si>
    <t>026.0</t>
  </si>
  <si>
    <t>010.0</t>
  </si>
  <si>
    <t xml:space="preserve">  5.8</t>
  </si>
  <si>
    <t>029.5</t>
  </si>
  <si>
    <t>006.6</t>
  </si>
  <si>
    <t>021.9</t>
  </si>
  <si>
    <t>032.3</t>
  </si>
  <si>
    <t>041.3</t>
  </si>
  <si>
    <t>013.2</t>
  </si>
  <si>
    <t>020.2</t>
  </si>
  <si>
    <t xml:space="preserve">  5</t>
  </si>
  <si>
    <t>007.8</t>
  </si>
  <si>
    <t>084</t>
  </si>
  <si>
    <t>003.9</t>
  </si>
  <si>
    <t>37150</t>
  </si>
  <si>
    <t>CONSTRUCT INTERCHANGE(FULL SQUARE PARTIAL CLOVERLEAF)       (DKJ-MMM)</t>
  </si>
  <si>
    <t>37422</t>
  </si>
  <si>
    <t>005.3</t>
  </si>
  <si>
    <t>CONSTR N/B I5 TO S/B 113 CONNECTOR</t>
  </si>
  <si>
    <t>M</t>
  </si>
  <si>
    <t>010.4</t>
  </si>
  <si>
    <t>022.8</t>
  </si>
  <si>
    <t>CONSTRUCT HOV LANES BY ADDING ADDITIONAL LANES IN THE MEDIAN</t>
  </si>
  <si>
    <t>3A712</t>
  </si>
  <si>
    <t>INSTALL TRAFFIC SIGNALS</t>
  </si>
  <si>
    <t>006.3</t>
  </si>
  <si>
    <t>040.0</t>
  </si>
  <si>
    <t>060.5</t>
  </si>
  <si>
    <t>044.8</t>
  </si>
  <si>
    <t>012.8</t>
  </si>
  <si>
    <t>3E100</t>
  </si>
  <si>
    <t xml:space="preserve">  8.1</t>
  </si>
  <si>
    <t>VERTICAL CLEARANCE FOR PERMIT VEH</t>
  </si>
  <si>
    <t>034.2</t>
  </si>
  <si>
    <t>001.5</t>
  </si>
  <si>
    <t xml:space="preserve"> 20.6</t>
  </si>
  <si>
    <t>3E620</t>
  </si>
  <si>
    <t>030.1</t>
  </si>
  <si>
    <t>028.5</t>
  </si>
  <si>
    <t>028.2</t>
  </si>
  <si>
    <t>013.5</t>
  </si>
  <si>
    <t>004.8</t>
  </si>
  <si>
    <t>41240</t>
  </si>
  <si>
    <t>CONST NEW INTERCHG &amp; AUX LANES (MSF-ACM)</t>
  </si>
  <si>
    <t>022.1</t>
  </si>
  <si>
    <t>019.5</t>
  </si>
  <si>
    <t>04</t>
  </si>
  <si>
    <t>ALA</t>
  </si>
  <si>
    <t>00394</t>
  </si>
  <si>
    <t>CC</t>
  </si>
  <si>
    <t>580</t>
  </si>
  <si>
    <t>REPLACE MAINTENANCE BUILDINGS</t>
  </si>
  <si>
    <t>680</t>
  </si>
  <si>
    <t>025.5</t>
  </si>
  <si>
    <t>SOL</t>
  </si>
  <si>
    <t>SF</t>
  </si>
  <si>
    <t xml:space="preserve">  5.7</t>
  </si>
  <si>
    <t>SM</t>
  </si>
  <si>
    <t>092</t>
  </si>
  <si>
    <t>008.2</t>
  </si>
  <si>
    <t>0120M</t>
  </si>
  <si>
    <t xml:space="preserve">  1.0</t>
  </si>
  <si>
    <t>0120T</t>
  </si>
  <si>
    <t>CONSTRUCT EB ONRAMP &amp; OFFRAMP TO AND FROM ROUTE 80</t>
  </si>
  <si>
    <t>SON</t>
  </si>
  <si>
    <t>012</t>
  </si>
  <si>
    <t>0A090</t>
  </si>
  <si>
    <t>025.1</t>
  </si>
  <si>
    <t>LENGHTENING ON-RAMP AND WIDEN BRIDGE.</t>
  </si>
  <si>
    <t>SCL</t>
  </si>
  <si>
    <t>085</t>
  </si>
  <si>
    <t xml:space="preserve">  6.1</t>
  </si>
  <si>
    <t>HIGHWAY PLANTING</t>
  </si>
  <si>
    <t>0A380</t>
  </si>
  <si>
    <t>880</t>
  </si>
  <si>
    <t>009</t>
  </si>
  <si>
    <t>0A790</t>
  </si>
  <si>
    <t>004</t>
  </si>
  <si>
    <t>UPGRADE TRAFFIC BARRIER AND GUARDRAIL END TERMINALS AT VARIOUS</t>
  </si>
  <si>
    <t>MRN</t>
  </si>
  <si>
    <t>082</t>
  </si>
  <si>
    <t>NAP</t>
  </si>
  <si>
    <t>053.4</t>
  </si>
  <si>
    <t>280</t>
  </si>
  <si>
    <t>027.6</t>
  </si>
  <si>
    <t>121</t>
  </si>
  <si>
    <t>040.3</t>
  </si>
  <si>
    <t>0G130</t>
  </si>
  <si>
    <t>INSTALL NEW SIGNALS AND UPGRADE WHEELCHAIR RAMPS</t>
  </si>
  <si>
    <t>0G140</t>
  </si>
  <si>
    <t>INSTALL DRAINAGE IMPROVEMENTS</t>
  </si>
  <si>
    <t>0G170</t>
  </si>
  <si>
    <t>0G830</t>
  </si>
  <si>
    <t>0G840</t>
  </si>
  <si>
    <t>035</t>
  </si>
  <si>
    <t>026.4</t>
  </si>
  <si>
    <t>1123H</t>
  </si>
  <si>
    <t>MITIGATION AT DISPOSAL SITE, N &amp; S PORTALS, S ROCK CUT &amp; POND REPAIR</t>
  </si>
  <si>
    <t>116</t>
  </si>
  <si>
    <t>CONSTRUCT MAINTENANCE STATION</t>
  </si>
  <si>
    <t>15113</t>
  </si>
  <si>
    <t>027.3</t>
  </si>
  <si>
    <t>014.5</t>
  </si>
  <si>
    <t>013.4</t>
  </si>
  <si>
    <t>031.1</t>
  </si>
  <si>
    <t>029.0</t>
  </si>
  <si>
    <t>CONSTRUCT INTERCHANGE</t>
  </si>
  <si>
    <t>152</t>
  </si>
  <si>
    <t>1A320</t>
  </si>
  <si>
    <t>BRIDGE DECK REPLACEMENT</t>
  </si>
  <si>
    <t>1A480</t>
  </si>
  <si>
    <t>SEISMIC RESTORATION</t>
  </si>
  <si>
    <t>017</t>
  </si>
  <si>
    <t>012.7</t>
  </si>
  <si>
    <t>010.3</t>
  </si>
  <si>
    <t>025.3</t>
  </si>
  <si>
    <t>026.5</t>
  </si>
  <si>
    <t>1G250</t>
  </si>
  <si>
    <t>REPLACE FLUORESCENT LIGHTING WITH HIGH PRESSURE SODIUM VAPOR LIGHTING</t>
  </si>
  <si>
    <t>025.0</t>
  </si>
  <si>
    <t>025.7</t>
  </si>
  <si>
    <t>MODIFY INTERCHANGE</t>
  </si>
  <si>
    <t>CONSTRUCT AUXILIARY LANES</t>
  </si>
  <si>
    <t>026.6</t>
  </si>
  <si>
    <t>027.5</t>
  </si>
  <si>
    <t>WIDEN ROADWAY AND RECONSTRUCT INTERCHANGE</t>
  </si>
  <si>
    <t>CONSTRUCT NEW AUXILIARY LANES</t>
  </si>
  <si>
    <t>23564</t>
  </si>
  <si>
    <t>24544</t>
  </si>
  <si>
    <t>020.7</t>
  </si>
  <si>
    <t>COLLEGE AVENUE IMPROVEMENT</t>
  </si>
  <si>
    <t xml:space="preserve"> 29.9</t>
  </si>
  <si>
    <t>26407</t>
  </si>
  <si>
    <t>CONSTRUCT INTERCHANGE ON RTE 101 AT SAN ANTONIO RD;INCLUDING FRONTAGE</t>
  </si>
  <si>
    <t>26408</t>
  </si>
  <si>
    <t>CONSTRUCT INTERCHANGE ON RTE 101 AT PETALUMA BLVD;INCLUDING FRONTAGE</t>
  </si>
  <si>
    <t>2641A</t>
  </si>
  <si>
    <t>REPLACE LANDSCAPE</t>
  </si>
  <si>
    <t>013.0</t>
  </si>
  <si>
    <t>044.7</t>
  </si>
  <si>
    <t>28382</t>
  </si>
  <si>
    <t>MITIGATION - TREE PLANTING AND CREEK CHANNELIZATION</t>
  </si>
  <si>
    <t>28500</t>
  </si>
  <si>
    <t>009.9</t>
  </si>
  <si>
    <t>29085</t>
  </si>
  <si>
    <t>012.3</t>
  </si>
  <si>
    <t>29226</t>
  </si>
  <si>
    <t>CONSTRUCT BIKEWAY</t>
  </si>
  <si>
    <t>29830</t>
  </si>
  <si>
    <t>WIDEN FROM 6 TO 8 LANES FOR HOV</t>
  </si>
  <si>
    <t>2A110</t>
  </si>
  <si>
    <t>2A260</t>
  </si>
  <si>
    <t>NEAR GILROY, AT FERGUSON ROAD, REA LIGN AND SIGNALIZE INTERSECTION</t>
  </si>
  <si>
    <t>2A440</t>
  </si>
  <si>
    <t>IMPROVE SIGHT DISTANCE, UPGRADE SHOULDERS AND PROVIDE</t>
  </si>
  <si>
    <t>023.4</t>
  </si>
  <si>
    <t>2L140</t>
  </si>
  <si>
    <t>INSTALL CENTERLINE RUMBLE STRIP</t>
  </si>
  <si>
    <t>3A100</t>
  </si>
  <si>
    <t>038.3</t>
  </si>
  <si>
    <t>3A330</t>
  </si>
  <si>
    <t xml:space="preserve"> 32.8</t>
  </si>
  <si>
    <t xml:space="preserve"> 32.9</t>
  </si>
  <si>
    <t>INSTALL TRAFFIC SIGNALS AND WIDEN ROADWAY AT THE INTERSECTION</t>
  </si>
  <si>
    <t>006.1</t>
  </si>
  <si>
    <t>3A774</t>
  </si>
  <si>
    <t>TOS SOFTWARE PROCREMENT AND INTEGRATION</t>
  </si>
  <si>
    <t>3A776</t>
  </si>
  <si>
    <t>ADAPTIVE RAMP METERING</t>
  </si>
  <si>
    <t>3A870</t>
  </si>
  <si>
    <t xml:space="preserve"> 24.3</t>
  </si>
  <si>
    <t>3A920</t>
  </si>
  <si>
    <t xml:space="preserve"> 22.6</t>
  </si>
  <si>
    <t>EXTEND EXISTING HOV LANE</t>
  </si>
  <si>
    <t>3A960</t>
  </si>
  <si>
    <t xml:space="preserve">  9.2</t>
  </si>
  <si>
    <t>REPAIR AND EXTEND PAVEMENT</t>
  </si>
  <si>
    <t>3S570</t>
  </si>
  <si>
    <t>011.5</t>
  </si>
  <si>
    <t>3S752</t>
  </si>
  <si>
    <t>REPLACE CULVERT AND ROCK SLOPE PROTECTION</t>
  </si>
  <si>
    <t>3S830</t>
  </si>
  <si>
    <t>CONSTRUCT HEADWALL AND SOIL WALL, DRAINAGE SYSTEM</t>
  </si>
  <si>
    <t>CONSTRUCT TIE-BACK WALL</t>
  </si>
  <si>
    <t>4A010</t>
  </si>
  <si>
    <t>038.7</t>
  </si>
  <si>
    <t>CRACK- SEAT AND OVERLAY EXISTING PCC PAVEMENT</t>
  </si>
  <si>
    <t>4A250</t>
  </si>
  <si>
    <t>INSTALL METAL BEAM GUARDRAIL</t>
  </si>
  <si>
    <t>4A260</t>
  </si>
  <si>
    <t>4A320</t>
  </si>
  <si>
    <t>INSTALL METAL BEAM GUARDRAILING</t>
  </si>
  <si>
    <t>4A330</t>
  </si>
  <si>
    <t>4A510</t>
  </si>
  <si>
    <t>REPLACE BRIDGE HINGES</t>
  </si>
  <si>
    <t>042.6</t>
  </si>
  <si>
    <t>025</t>
  </si>
  <si>
    <t>030.5</t>
  </si>
  <si>
    <t>4S020</t>
  </si>
  <si>
    <t>4S030</t>
  </si>
  <si>
    <t>CONSTRUCT SHEET PILE WALL</t>
  </si>
  <si>
    <t>4S050</t>
  </si>
  <si>
    <t>4S060</t>
  </si>
  <si>
    <t>HEAVING PAVEMENT AC LEVELING AND GRINDING</t>
  </si>
  <si>
    <t>4S080</t>
  </si>
  <si>
    <t>RECONSTRUCT SLOPE WITH GEOGRID AND SEAL CRACKED WINGWALL</t>
  </si>
  <si>
    <t>4S120</t>
  </si>
  <si>
    <t>GABION EMBANKMENT REPAIR</t>
  </si>
  <si>
    <t>4S220</t>
  </si>
  <si>
    <t>CONSTRUCT SOLDIER PILE/TIE BACK RETAINING WALL</t>
  </si>
  <si>
    <t>4S370</t>
  </si>
  <si>
    <t>INSTALL ROCK SLOPE PROTECTION AND ROCK SLOPE PROTECTION FABRIC, RE-</t>
  </si>
  <si>
    <t>4S530</t>
  </si>
  <si>
    <t>CONSTRUCT A SOIL NAIL WALL AND PLACE ROCK SLOPE PROTECTION</t>
  </si>
  <si>
    <t>4S590</t>
  </si>
  <si>
    <t>CONSTRUCT A SECANT WALL, REPAIR AC PAVEMENT AND REPAIR DRAINAGE DIKES</t>
  </si>
  <si>
    <t>05</t>
  </si>
  <si>
    <t>MON</t>
  </si>
  <si>
    <t>SB</t>
  </si>
  <si>
    <t>SLO</t>
  </si>
  <si>
    <t>166</t>
  </si>
  <si>
    <t>SCR</t>
  </si>
  <si>
    <t>SBT</t>
  </si>
  <si>
    <t>042.5</t>
  </si>
  <si>
    <t>048.2</t>
  </si>
  <si>
    <t>046</t>
  </si>
  <si>
    <t>058</t>
  </si>
  <si>
    <t>046.3</t>
  </si>
  <si>
    <t>0G160</t>
  </si>
  <si>
    <t>RELOCATE DRAINAGE DITCHES</t>
  </si>
  <si>
    <t>052.3</t>
  </si>
  <si>
    <t>015.8</t>
  </si>
  <si>
    <t>0K230</t>
  </si>
  <si>
    <t>GUARDRAIL UPGRADE &amp; SHOULDER WIDENING</t>
  </si>
  <si>
    <t>198</t>
  </si>
  <si>
    <t>DRAINAGE IMPROVEMENTS</t>
  </si>
  <si>
    <t>0M140</t>
  </si>
  <si>
    <t>0M14V</t>
  </si>
  <si>
    <t>LANDSCAPE MITIGATION PLANTING AT THE CATHEDRAL OAKS OC AND OH</t>
  </si>
  <si>
    <t>0M870</t>
  </si>
  <si>
    <t>0M970</t>
  </si>
  <si>
    <t>0M980</t>
  </si>
  <si>
    <t>GUARDRAIL UPGRADE</t>
  </si>
  <si>
    <t xml:space="preserve"> 22.9</t>
  </si>
  <si>
    <t>0N260</t>
  </si>
  <si>
    <t>072.2</t>
  </si>
  <si>
    <t>101.3</t>
  </si>
  <si>
    <t>0N400</t>
  </si>
  <si>
    <t>036.9</t>
  </si>
  <si>
    <t>TRANSPORTATION ENHANCEMENT COASTAL ACCESS AND PROTECTION</t>
  </si>
  <si>
    <t>054.0</t>
  </si>
  <si>
    <t>0N850</t>
  </si>
  <si>
    <t>0P680</t>
  </si>
  <si>
    <t>041</t>
  </si>
  <si>
    <t>0Q240</t>
  </si>
  <si>
    <t>0Q620</t>
  </si>
  <si>
    <t>0Q630</t>
  </si>
  <si>
    <t>036.0</t>
  </si>
  <si>
    <t>037.3</t>
  </si>
  <si>
    <t>065.7</t>
  </si>
  <si>
    <t>0R300</t>
  </si>
  <si>
    <t>039.9</t>
  </si>
  <si>
    <t>CURVE CORRECTION, CULVERT, PAVING AND EARTHWORK</t>
  </si>
  <si>
    <t>ADA CURB RAMPS AND MINOR SIDEWALKS</t>
  </si>
  <si>
    <t>0R840</t>
  </si>
  <si>
    <t>0S860</t>
  </si>
  <si>
    <t>150</t>
  </si>
  <si>
    <t>31580</t>
  </si>
  <si>
    <t>100.0</t>
  </si>
  <si>
    <t>CONSTRUCT NEW INTERCHANGE AT SAN JUAN ROAD</t>
  </si>
  <si>
    <t>CONSTRUCT NEW INTERCHANGE</t>
  </si>
  <si>
    <t>33077</t>
  </si>
  <si>
    <t>CONVERT TO 4-LANE EXPRESSWAY</t>
  </si>
  <si>
    <t>045.6</t>
  </si>
  <si>
    <t>050.4</t>
  </si>
  <si>
    <t>46380</t>
  </si>
  <si>
    <t>083.4</t>
  </si>
  <si>
    <t>083.8</t>
  </si>
  <si>
    <t>49180</t>
  </si>
  <si>
    <t>06</t>
  </si>
  <si>
    <t>FRE</t>
  </si>
  <si>
    <t>168</t>
  </si>
  <si>
    <t>0A400</t>
  </si>
  <si>
    <t>MAD</t>
  </si>
  <si>
    <t>KER</t>
  </si>
  <si>
    <t>119</t>
  </si>
  <si>
    <t>TUL</t>
  </si>
  <si>
    <t>063</t>
  </si>
  <si>
    <t>178</t>
  </si>
  <si>
    <t>041.6</t>
  </si>
  <si>
    <t>180</t>
  </si>
  <si>
    <t>0C130</t>
  </si>
  <si>
    <t>033</t>
  </si>
  <si>
    <t>KIN</t>
  </si>
  <si>
    <t>055.2</t>
  </si>
  <si>
    <t>99 CORRIDOR-BRIDGE ENHANCEMENT</t>
  </si>
  <si>
    <t xml:space="preserve"> 53.8</t>
  </si>
  <si>
    <t>0G270</t>
  </si>
  <si>
    <t>INSTALL WINDSCREEN</t>
  </si>
  <si>
    <t>0H170</t>
  </si>
  <si>
    <t xml:space="preserve"> 76.8</t>
  </si>
  <si>
    <t xml:space="preserve"> 77.6</t>
  </si>
  <si>
    <t>0H180</t>
  </si>
  <si>
    <t>014</t>
  </si>
  <si>
    <t>0H940</t>
  </si>
  <si>
    <t>REALIGN THE HORIZONTAL CURVE</t>
  </si>
  <si>
    <t>0J040</t>
  </si>
  <si>
    <t>037.7</t>
  </si>
  <si>
    <t>CONSTRUCT LEFT-TURN LANES</t>
  </si>
  <si>
    <t>0J050</t>
  </si>
  <si>
    <t>043</t>
  </si>
  <si>
    <t>CHANNELIZE WITH SIGNALS</t>
  </si>
  <si>
    <t>0J520</t>
  </si>
  <si>
    <t>190</t>
  </si>
  <si>
    <t>077.0</t>
  </si>
  <si>
    <t>062.8</t>
  </si>
  <si>
    <t>0K540</t>
  </si>
  <si>
    <t>REALIGN INTERSECTION AND INSTALL SIGNAL</t>
  </si>
  <si>
    <t>0L050</t>
  </si>
  <si>
    <t>0L200</t>
  </si>
  <si>
    <t>088.2</t>
  </si>
  <si>
    <t>32550</t>
  </si>
  <si>
    <t>066.5</t>
  </si>
  <si>
    <t>34252</t>
  </si>
  <si>
    <t>071.6</t>
  </si>
  <si>
    <t>075.0</t>
  </si>
  <si>
    <t>2C TO 4E ON EXISTING ALIGNMENT</t>
  </si>
  <si>
    <t>34256</t>
  </si>
  <si>
    <t>HIGHWAY PLANTING AND IRRIGATION ON NEW FREEWAY</t>
  </si>
  <si>
    <t>053.5</t>
  </si>
  <si>
    <t>034.1</t>
  </si>
  <si>
    <t>43070</t>
  </si>
  <si>
    <t>216</t>
  </si>
  <si>
    <t>WIDEN AND REALIGNMENT OF HOUSTON AVENUE (SR 216)</t>
  </si>
  <si>
    <t>44262</t>
  </si>
  <si>
    <t>WIDEN 4-LANE FWY TO 6-LANE FWY</t>
  </si>
  <si>
    <t>46220</t>
  </si>
  <si>
    <t>REHAB 3 BRIDGE DECKS</t>
  </si>
  <si>
    <t>47100</t>
  </si>
  <si>
    <t>48750</t>
  </si>
  <si>
    <t>07</t>
  </si>
  <si>
    <t>LA</t>
  </si>
  <si>
    <t>710</t>
  </si>
  <si>
    <t>VEN</t>
  </si>
  <si>
    <t>138</t>
  </si>
  <si>
    <t>032.6</t>
  </si>
  <si>
    <t>010</t>
  </si>
  <si>
    <t>1170U</t>
  </si>
  <si>
    <t>405</t>
  </si>
  <si>
    <t>060</t>
  </si>
  <si>
    <t>210</t>
  </si>
  <si>
    <t>046.8</t>
  </si>
  <si>
    <t>047</t>
  </si>
  <si>
    <t>031.3</t>
  </si>
  <si>
    <t>090</t>
  </si>
  <si>
    <t>105</t>
  </si>
  <si>
    <t>091</t>
  </si>
  <si>
    <t>134</t>
  </si>
  <si>
    <t>065.9</t>
  </si>
  <si>
    <t>21593</t>
  </si>
  <si>
    <t>21594</t>
  </si>
  <si>
    <t>032.5</t>
  </si>
  <si>
    <t>035.9</t>
  </si>
  <si>
    <t>047.8</t>
  </si>
  <si>
    <t>110</t>
  </si>
  <si>
    <t>22820</t>
  </si>
  <si>
    <t>STRUCTURE (SEAWALL) RESTORATION</t>
  </si>
  <si>
    <t>605</t>
  </si>
  <si>
    <t>24540</t>
  </si>
  <si>
    <t>25050</t>
  </si>
  <si>
    <t>INST MET BEAM GUARDRAIL @ VAR LOC *NOT PROGRAMMED</t>
  </si>
  <si>
    <t>057</t>
  </si>
  <si>
    <t>25870</t>
  </si>
  <si>
    <t>SOIL STABILIZATION &amp; REVEGETATION *201.335 FY 09/10</t>
  </si>
  <si>
    <t>25880</t>
  </si>
  <si>
    <t>25893</t>
  </si>
  <si>
    <t>25910</t>
  </si>
  <si>
    <t>SAND FILTERS &amp; INFILTRATION DEVICES *PHASE 1 OF 10    *201.335 FY 09/1</t>
  </si>
  <si>
    <t>26590</t>
  </si>
  <si>
    <t xml:space="preserve"> 11.0</t>
  </si>
  <si>
    <t>UPGRADE BRIDGE RAILS</t>
  </si>
  <si>
    <t>26750</t>
  </si>
  <si>
    <t>INSTALL NEW MBGR/CONCRETE RAILING</t>
  </si>
  <si>
    <t>27240</t>
  </si>
  <si>
    <t>STORM WATER SOURCE CONTROL</t>
  </si>
  <si>
    <t>27340</t>
  </si>
  <si>
    <t>BRIDGE RAIL REPLACEMENT *NOT PROGRAMMED</t>
  </si>
  <si>
    <t>018</t>
  </si>
  <si>
    <t>INSTALL ADA CURB RAMPS</t>
  </si>
  <si>
    <t>27820</t>
  </si>
  <si>
    <t>27830</t>
  </si>
  <si>
    <t>BRIDGE REHAB</t>
  </si>
  <si>
    <t>27880</t>
  </si>
  <si>
    <t>UPGRADE WEIGH STATION</t>
  </si>
  <si>
    <t>27890</t>
  </si>
  <si>
    <t>010.6</t>
  </si>
  <si>
    <t>046.7</t>
  </si>
  <si>
    <t>BRIDGE PRESERVATION</t>
  </si>
  <si>
    <t>052.9</t>
  </si>
  <si>
    <t>08</t>
  </si>
  <si>
    <t>SBD</t>
  </si>
  <si>
    <t>215</t>
  </si>
  <si>
    <t>015</t>
  </si>
  <si>
    <t>RIV</t>
  </si>
  <si>
    <t>062</t>
  </si>
  <si>
    <t>CONSTRUCT NEW IC</t>
  </si>
  <si>
    <t>040</t>
  </si>
  <si>
    <t>0G350</t>
  </si>
  <si>
    <t>0G620</t>
  </si>
  <si>
    <t>038</t>
  </si>
  <si>
    <t>GRIND 30MM &amp; OVERLAY 45MM DGAC TYPE A</t>
  </si>
  <si>
    <t>107.3</t>
  </si>
  <si>
    <t>UPGRADE SRRA</t>
  </si>
  <si>
    <t>0H330</t>
  </si>
  <si>
    <t>GRIND 45, OVERLAY 60 MM RUBBERIZED AC</t>
  </si>
  <si>
    <t>0J010</t>
  </si>
  <si>
    <t>053.6</t>
  </si>
  <si>
    <t>COSNTRCUT LEFT TURN IN BOTH DIRECTION WIDEN SHOULDER WEST BOUND</t>
  </si>
  <si>
    <t>079</t>
  </si>
  <si>
    <t>074</t>
  </si>
  <si>
    <t>0J140</t>
  </si>
  <si>
    <t>WIDEN SR74,EXTEND LEFT-TURN POCKET AND CONSTRUCT CURB RAMPS</t>
  </si>
  <si>
    <t>REHABILITATE BRIDGE</t>
  </si>
  <si>
    <t>PCC GRINDING AND SLABS REPLACEMENT</t>
  </si>
  <si>
    <t>0K280</t>
  </si>
  <si>
    <t>GRIND 45 MM AND OVERLAY 60 MM AC</t>
  </si>
  <si>
    <t>0K310</t>
  </si>
  <si>
    <t>095</t>
  </si>
  <si>
    <t>VERICAL CURVE ALIGNMENT</t>
  </si>
  <si>
    <t>042.8</t>
  </si>
  <si>
    <t>0L640</t>
  </si>
  <si>
    <t>085.2</t>
  </si>
  <si>
    <t>0L930</t>
  </si>
  <si>
    <t>0M160</t>
  </si>
  <si>
    <t>0M210</t>
  </si>
  <si>
    <t>0M280</t>
  </si>
  <si>
    <t>0M310</t>
  </si>
  <si>
    <t>0M690</t>
  </si>
  <si>
    <t>057.3</t>
  </si>
  <si>
    <t>0M800</t>
  </si>
  <si>
    <t>086</t>
  </si>
  <si>
    <t>0M880</t>
  </si>
  <si>
    <t>0N120</t>
  </si>
  <si>
    <t>106.0</t>
  </si>
  <si>
    <t>PLACE SEAL COAT AND SLURRY SEAL ON EXISTING PAVEMENT AND LOCALIZED</t>
  </si>
  <si>
    <t>0N240</t>
  </si>
  <si>
    <t>0N590</t>
  </si>
  <si>
    <t>095.1</t>
  </si>
  <si>
    <t>041.9</t>
  </si>
  <si>
    <t>102.9</t>
  </si>
  <si>
    <t>33488</t>
  </si>
  <si>
    <t xml:space="preserve"> 99.6</t>
  </si>
  <si>
    <t>FACILITATE MANAGING LANDSCAPE DESIGN.  PLANT ESTABLISHMENT FOR</t>
  </si>
  <si>
    <t>34160</t>
  </si>
  <si>
    <t>078</t>
  </si>
  <si>
    <t>43271</t>
  </si>
  <si>
    <t>43890</t>
  </si>
  <si>
    <t>HIGHWAY LANDSCAPING</t>
  </si>
  <si>
    <t>4440L</t>
  </si>
  <si>
    <t>44830</t>
  </si>
  <si>
    <t>038.4</t>
  </si>
  <si>
    <t>REHABILATATE ROADWAY &amp; WIDEN MEDIAN SHOULDER</t>
  </si>
  <si>
    <t>PAVEMENT REHAB INCLUDING SHOULDERS,</t>
  </si>
  <si>
    <t>09</t>
  </si>
  <si>
    <t>INY</t>
  </si>
  <si>
    <t>MNO</t>
  </si>
  <si>
    <t>28750</t>
  </si>
  <si>
    <t>ROCKFALL MITIGATION</t>
  </si>
  <si>
    <t>108</t>
  </si>
  <si>
    <t>120</t>
  </si>
  <si>
    <t>10</t>
  </si>
  <si>
    <t>AMA</t>
  </si>
  <si>
    <t>MER</t>
  </si>
  <si>
    <t>STA</t>
  </si>
  <si>
    <t>SJ</t>
  </si>
  <si>
    <t>INSTALL TRAFFIC MONITORING STATIONS (TMS) AT VARIOUS LOCATIONS</t>
  </si>
  <si>
    <t>026</t>
  </si>
  <si>
    <t>REPLACE BEARING PADS, JOINT SEALS</t>
  </si>
  <si>
    <t>TUO</t>
  </si>
  <si>
    <t>0G800</t>
  </si>
  <si>
    <t>ROADWAY REHABILITATION BY WIDENING THE SHOULDERS</t>
  </si>
  <si>
    <t>0K330</t>
  </si>
  <si>
    <t>0L720</t>
  </si>
  <si>
    <t>0M780</t>
  </si>
  <si>
    <t>0N410</t>
  </si>
  <si>
    <t>0N910</t>
  </si>
  <si>
    <t>0S780</t>
  </si>
  <si>
    <t>BRIDGE ENHANCEMENT, 16 STRUCTURES</t>
  </si>
  <si>
    <t>0T160</t>
  </si>
  <si>
    <t>HORIZONTAL CURVE REALIGNMENT</t>
  </si>
  <si>
    <t>037.8</t>
  </si>
  <si>
    <t>11</t>
  </si>
  <si>
    <t>SD</t>
  </si>
  <si>
    <t>00270</t>
  </si>
  <si>
    <t>CONSTRUCT AUXILIARY LANES/ WIDEN CONNECTOR</t>
  </si>
  <si>
    <t>094</t>
  </si>
  <si>
    <t>052</t>
  </si>
  <si>
    <t>008</t>
  </si>
  <si>
    <t>06381</t>
  </si>
  <si>
    <t>HIGHWAY PLANTING/IRRIGATION SYSTEM FOR PPNO 0187P</t>
  </si>
  <si>
    <t>06500</t>
  </si>
  <si>
    <t>CONST AUXILIARY LANE S/B (PSR)</t>
  </si>
  <si>
    <t>IMP</t>
  </si>
  <si>
    <t xml:space="preserve">  7</t>
  </si>
  <si>
    <t>07670</t>
  </si>
  <si>
    <t>076</t>
  </si>
  <si>
    <t>098</t>
  </si>
  <si>
    <t>805</t>
  </si>
  <si>
    <t>056</t>
  </si>
  <si>
    <t>163</t>
  </si>
  <si>
    <t>052.8</t>
  </si>
  <si>
    <t>26042</t>
  </si>
  <si>
    <t>26411</t>
  </si>
  <si>
    <t>26930</t>
  </si>
  <si>
    <t>INSTALL RAMP METERS,CCTV'S,LOOPS, CMS AND OTHER TSM EQUIPMENT.</t>
  </si>
  <si>
    <t>27080</t>
  </si>
  <si>
    <t xml:space="preserve"> 62.6</t>
  </si>
  <si>
    <t>INSTALL NEW SIGNAL</t>
  </si>
  <si>
    <t>28960</t>
  </si>
  <si>
    <t>SCOUR MITIGATION</t>
  </si>
  <si>
    <t>SEISMIC RETROFIT AND STRUCTURE REHABILITATION</t>
  </si>
  <si>
    <t>INSTALL OUTER SEPARATION BARRIER</t>
  </si>
  <si>
    <t>29480</t>
  </si>
  <si>
    <t>186</t>
  </si>
  <si>
    <t>PEDESTRIAN/TRANSIT FACILITIES -(TE)</t>
  </si>
  <si>
    <t>29860</t>
  </si>
  <si>
    <t>UPGRADE END TREATMENTS,ADD MBGR AND CONCRETE BARRIER.</t>
  </si>
  <si>
    <t>29870</t>
  </si>
  <si>
    <t>2E006</t>
  </si>
  <si>
    <t>PAINT BRIDGE</t>
  </si>
  <si>
    <t>S</t>
  </si>
  <si>
    <t>2T098</t>
  </si>
  <si>
    <t>2T182</t>
  </si>
  <si>
    <t>DAR</t>
  </si>
  <si>
    <t>2T183</t>
  </si>
  <si>
    <t>SOUNDWALLS</t>
  </si>
  <si>
    <t>40440</t>
  </si>
  <si>
    <t>LANDSCAPE MITIGATION FOR BRAWLEY BYPASS (STAGE 3)</t>
  </si>
  <si>
    <t>12</t>
  </si>
  <si>
    <t>ORA</t>
  </si>
  <si>
    <t>055</t>
  </si>
  <si>
    <t>0E070</t>
  </si>
  <si>
    <t>RECONSTRUCT IC AT SR-74</t>
  </si>
  <si>
    <t>241</t>
  </si>
  <si>
    <t>073</t>
  </si>
  <si>
    <t>0H208</t>
  </si>
  <si>
    <t>FLATTEN THE SLOPE ABOVE THE MAINTENANCE ACCESS ROAD</t>
  </si>
  <si>
    <t>133</t>
  </si>
  <si>
    <t>REVEGETATION OF EXPOSED SLOPES FOR NPDES CONCERNS AND SOURCE CONTROL</t>
  </si>
  <si>
    <t>0J670</t>
  </si>
  <si>
    <t>WILDLIFE CORRIDOR CONNECTIVITY ENHA NCEMENT (INSTALL VEGETATION)</t>
  </si>
  <si>
    <t>0K390</t>
  </si>
  <si>
    <t>0L410</t>
  </si>
  <si>
    <t>TO REPAIR &amp; STABLILIZE ROADWAY AND SLOPE EMBANKMENT AT THE TWO CONNEC-</t>
  </si>
  <si>
    <t>0A590</t>
  </si>
  <si>
    <t>REHAB BRIDGE DECKS</t>
  </si>
  <si>
    <t>REMOVE CULVERT, CONSTRUCT BRIDGE, IMPROVE FISH PASSAGE</t>
  </si>
  <si>
    <t>2E750</t>
  </si>
  <si>
    <t>3E650</t>
  </si>
  <si>
    <t>910</t>
  </si>
  <si>
    <t>0F230</t>
  </si>
  <si>
    <t>INSTALL TWO 4" MICRODECK SYSTEMS TO REHABILITATE TWO BRIDGE DECKS</t>
  </si>
  <si>
    <t>0F680</t>
  </si>
  <si>
    <t>REPLACE JOINTS AND SUPER-REHAB</t>
  </si>
  <si>
    <t>1A464</t>
  </si>
  <si>
    <t>CONSTRUCT 99/113 INTERCHANGE</t>
  </si>
  <si>
    <t>LEFT TURN CHANNELIZATION</t>
  </si>
  <si>
    <t>2F260</t>
  </si>
  <si>
    <t>REPAIR CUT SLOPE</t>
  </si>
  <si>
    <t>33382</t>
  </si>
  <si>
    <t>CONSTRUCT SOUTHBOUND LANES</t>
  </si>
  <si>
    <t>4E590</t>
  </si>
  <si>
    <t>INCREASE SUPERELEVATION OF CURVE</t>
  </si>
  <si>
    <t>0G252</t>
  </si>
  <si>
    <t>NEW BUS STORAGE FACILITY UNDER I-80</t>
  </si>
  <si>
    <t>0G310</t>
  </si>
  <si>
    <t>INSTALL SOFT MEDIAN BARRIER AND SHOULDER RUMBLE STRIP</t>
  </si>
  <si>
    <t>15320</t>
  </si>
  <si>
    <t>15420</t>
  </si>
  <si>
    <t>1G070</t>
  </si>
  <si>
    <t>1G200</t>
  </si>
  <si>
    <t>RESURFACE THE EXISTING NB &amp; SB OFF-RAMPS WITH OGAC</t>
  </si>
  <si>
    <t>1G240</t>
  </si>
  <si>
    <t>1G550</t>
  </si>
  <si>
    <t>INSTALL EMBANKMENT MBGR AT HWY 80 AND HWY 4 LOCATIONS.  RESURFACE PAV</t>
  </si>
  <si>
    <t>1G560</t>
  </si>
  <si>
    <t>REMOVE EXISTING MEDIAN DOUBLE METAL BEAM BARRIER AND INSTALL TYPE 60A</t>
  </si>
  <si>
    <t>29762</t>
  </si>
  <si>
    <t>EXPRESSWAY WIDENING - SEGMENT 2 SOU TH WIDEN AND UPGRADE EXISTING SR 8</t>
  </si>
  <si>
    <t>2G360</t>
  </si>
  <si>
    <t>REPLACEMENT PLANTING AND IRRIGATION</t>
  </si>
  <si>
    <t>REPLACE CULVERT AND INSTALL ROCK SLOPE PROTECTION</t>
  </si>
  <si>
    <t>RECONSTRUCT SLOPE AND REPLACE CULVERTS</t>
  </si>
  <si>
    <t>0Q570</t>
  </si>
  <si>
    <t>061.0</t>
  </si>
  <si>
    <t>064.6</t>
  </si>
  <si>
    <t>0S940</t>
  </si>
  <si>
    <t>33075</t>
  </si>
  <si>
    <t>WIDEN FREEWAY FROM 6 TO 8 LANES</t>
  </si>
  <si>
    <t>099.6</t>
  </si>
  <si>
    <t>REPLACE EXISTING #2 &amp; #3 LANE WITH CRCP &amp; PLACE 10 FT PCC OUTSIDE</t>
  </si>
  <si>
    <t>106.7</t>
  </si>
  <si>
    <t>107.6</t>
  </si>
  <si>
    <t>0L890</t>
  </si>
  <si>
    <t>WIDEN SHOULDER AND GRIND IN RUMBLE STRIPS</t>
  </si>
  <si>
    <t>0M730</t>
  </si>
  <si>
    <t>36021</t>
  </si>
  <si>
    <t>4-LN FWY TO 6-LN FWY</t>
  </si>
  <si>
    <t>CONSTRUCT HOV LANES &amp; SOUNDWALLS *COMB WITH 117081 &amp; 111721</t>
  </si>
  <si>
    <t>1218W</t>
  </si>
  <si>
    <t>CONST HOV LN &amp; IC MODIFICATION *POR=121821,121831</t>
  </si>
  <si>
    <t>054.3</t>
  </si>
  <si>
    <t>ROADWAY WIDENING (SEG 3) *POR=2159A1</t>
  </si>
  <si>
    <t>ROADWAY WIDENING (SEG 4) *POR=2159A1</t>
  </si>
  <si>
    <t>INTERCHANGE IMPROVEMENTS *DESIGN-BUILD SCHEDULE!</t>
  </si>
  <si>
    <t>SAND FILTERS &amp; INFILTRATION DEVICES *PHASE 1 OF 10    *201.335 FY 11/1</t>
  </si>
  <si>
    <t>26610</t>
  </si>
  <si>
    <t>INSTALL MBGR *NOT PROGRAMMED</t>
  </si>
  <si>
    <t>27430</t>
  </si>
  <si>
    <t>UPGRADE MBGR, TRTMNTS &amp; CRSH CUSHNS</t>
  </si>
  <si>
    <t>27450</t>
  </si>
  <si>
    <t>UPDGRADE MBGR &amp; CRASH CUSHIONS</t>
  </si>
  <si>
    <t>27670</t>
  </si>
  <si>
    <t>INSTALL AND UPGRADE SIGNAL</t>
  </si>
  <si>
    <t>2X840</t>
  </si>
  <si>
    <t>REPLACE PCC FLUME PROTECTIVE LINER</t>
  </si>
  <si>
    <t>2X920</t>
  </si>
  <si>
    <t>REPAIR SLOPE EROSIONS</t>
  </si>
  <si>
    <t>2X930</t>
  </si>
  <si>
    <t>2X940</t>
  </si>
  <si>
    <t>2X950</t>
  </si>
  <si>
    <t>2X960</t>
  </si>
  <si>
    <t>RECONSTRUCT ERODED SLOPE</t>
  </si>
  <si>
    <t>2X980</t>
  </si>
  <si>
    <t>3X000</t>
  </si>
  <si>
    <t>3X010</t>
  </si>
  <si>
    <t>GEOTECHNICAL INVESTIGATION</t>
  </si>
  <si>
    <t>3X020</t>
  </si>
  <si>
    <t>CONSTRUCT SOLDIER PILE WALLS</t>
  </si>
  <si>
    <t>4Y150</t>
  </si>
  <si>
    <t>4Y750</t>
  </si>
  <si>
    <t>019</t>
  </si>
  <si>
    <t>METH DECK,JOINT SEALS,RAIL REPAIR,S</t>
  </si>
  <si>
    <t>BUILD A NEW ADMISTRATIVE BLDG &amp; INSTALL A NEW SEPTIC TANK &amp;</t>
  </si>
  <si>
    <t>UPGRADE PEDESTRIAN FACILITIES ADA RAMPS 37 CURB RAMPS</t>
  </si>
  <si>
    <t>CONSTRUCT SIDEWALKS &amp;18 CRUB RAMPS</t>
  </si>
  <si>
    <t>0M940</t>
  </si>
  <si>
    <t>HOV LANE IN EACH DIRECTION</t>
  </si>
  <si>
    <t>INSTALL OUTER SEPERATION CONCRETE BARRIER TYPE 60G</t>
  </si>
  <si>
    <t>REPLACE K-RAIL BARRIER W/ CONCRETE BARRIER</t>
  </si>
  <si>
    <t>0N510</t>
  </si>
  <si>
    <t>REPLACE EXISTING GUARDRAIL WITH CONCRETE BARRIER</t>
  </si>
  <si>
    <t>0P560</t>
  </si>
  <si>
    <t>INSTALL CENTERLINE GROUND IN RUMBLE STRIPS</t>
  </si>
  <si>
    <t>0P960</t>
  </si>
  <si>
    <t>INSTALL MARKERS AND RUMBLE STRIPS</t>
  </si>
  <si>
    <t>0Q110</t>
  </si>
  <si>
    <t>REPAIR/REPLACE 42" CULVERTS</t>
  </si>
  <si>
    <t>49751</t>
  </si>
  <si>
    <t>3-YR PLANT ESTABLISHMENT</t>
  </si>
  <si>
    <t>0E612</t>
  </si>
  <si>
    <t>FRENCH CAMP INTERCHANGE (PHASE 2)</t>
  </si>
  <si>
    <t>HOTMIX ASPHALT OVERLAY</t>
  </si>
  <si>
    <t>INSTALL DOUBLE THRIE BEAM BARRIER IN CENTER MEDIAN</t>
  </si>
  <si>
    <t>23840</t>
  </si>
  <si>
    <t>23860</t>
  </si>
  <si>
    <t>26501</t>
  </si>
  <si>
    <t>SCENIC/HISTORIC HIGHWAY PRESERVATIO (PHASE 2A) TRANSPORTATION ENHANCEM</t>
  </si>
  <si>
    <t>27520</t>
  </si>
  <si>
    <t>PAVEMENT REHABILITATION (AC OVERLAY</t>
  </si>
  <si>
    <t>29760</t>
  </si>
  <si>
    <t>AT-GRADE IMPROVEMENTS ON CIVIC CTR DR FROM CLEVELAND AVE TO HARDING AV</t>
  </si>
  <si>
    <t>29800</t>
  </si>
  <si>
    <t>CENTERLINE RUMBLE STRIPS AND SHOULDER UPGRADE</t>
  </si>
  <si>
    <t>MITIGATION SITE HABITAT RESTORATION</t>
  </si>
  <si>
    <t>LANDSCAPE: MANAGED LANES - SOUTH SEGMENT</t>
  </si>
  <si>
    <t>2T200</t>
  </si>
  <si>
    <t>1 HOV LANE IN EACH DIRECTION AND A SFACING DAR @ CARROLL CANYON ROAD</t>
  </si>
  <si>
    <t>REMOVE EXISTING MBGR AND REPLACE WITH CONCRETE BARRIER AND UPGRADE</t>
  </si>
  <si>
    <t>0H034</t>
  </si>
  <si>
    <t>NB/SB SLAB REPLACEMENT. ON/OFF RAMPS RESURFACING, SHOULDER REHAB &amp;</t>
  </si>
  <si>
    <t>0K520</t>
  </si>
  <si>
    <t>OGAC OVERLAY, GROOVING, SAFETY LIGHTING, &amp; UPGRADE ADA &amp; GUARDRAIL</t>
  </si>
  <si>
    <t>0K530</t>
  </si>
  <si>
    <t>RESURFACE ALL LANES WITH RUBBERIZED DENSE AC</t>
  </si>
  <si>
    <t>1G940</t>
  </si>
  <si>
    <t>1G941</t>
  </si>
  <si>
    <t>3X180</t>
  </si>
  <si>
    <t>STORM DAMAGE REPAIRS *DIR</t>
  </si>
  <si>
    <t>WIDEN FOR LEFT-TURN CHANNELIZATION</t>
  </si>
  <si>
    <t>2F700</t>
  </si>
  <si>
    <t>RECONSTRUCT EMBANKMENT, ELECTRICAL REPAIR, SIDEWALK RECONSTRUCTION</t>
  </si>
  <si>
    <t>INSTALL RAMP METERING</t>
  </si>
  <si>
    <t>15300</t>
  </si>
  <si>
    <t>15310</t>
  </si>
  <si>
    <t>INSTALL RAMP METERING &amp; TRAFFIC OPERATIONS SYSTEMS SUCH AS TMS,</t>
  </si>
  <si>
    <t>15330</t>
  </si>
  <si>
    <t>INSTALL RAMP METERING &amp; TRAFFIC OPERATION SYSTEMS.</t>
  </si>
  <si>
    <t>15350</t>
  </si>
  <si>
    <t>INSTALL RAMP METERING AND TRAFFIC OPERARTIONS SYSTEMS ELEMENTS</t>
  </si>
  <si>
    <t>3A23U</t>
  </si>
  <si>
    <t>RECONSTRUCT THE EXISTING AIRPORT BLVD INTERCHANGE AND CONSTRUCT</t>
  </si>
  <si>
    <t>GUARDRAIL AND CRASH CUSHIONS</t>
  </si>
  <si>
    <t>3X300</t>
  </si>
  <si>
    <t>RECONST FAILED SLOPE INST RETAIN WA *DIR</t>
  </si>
  <si>
    <t>3X320</t>
  </si>
  <si>
    <t>CONST DEBRIS BARRIER SYSTEM *DIR</t>
  </si>
  <si>
    <t>REPLACE CHAIN LINK FENCE &amp; BARBED WIRE FENCE WITH AN OUTER-</t>
  </si>
  <si>
    <t>40370</t>
  </si>
  <si>
    <t>CONSTRUCT BRIDGES, ROADWAY AND ELECTRICAL SYSTEM</t>
  </si>
  <si>
    <t>2G720</t>
  </si>
  <si>
    <t>REPAIR PAINTING ON SFOBB EAST SPAN EYEBARS CAUSED BY INSPECTION</t>
  </si>
  <si>
    <t>0W070</t>
  </si>
  <si>
    <t>25714</t>
  </si>
  <si>
    <t>INTERCHANGE</t>
  </si>
  <si>
    <t>EXTEND ONRAMPS</t>
  </si>
  <si>
    <t>3E690</t>
  </si>
  <si>
    <t>49660</t>
  </si>
  <si>
    <t>1F740</t>
  </si>
  <si>
    <t>CAPM OVERLAY AND SHOULDER BACKING</t>
  </si>
  <si>
    <t>2F300</t>
  </si>
  <si>
    <t>2F350</t>
  </si>
  <si>
    <t>2F360</t>
  </si>
  <si>
    <t>AC OVERLAY, REPLACE GUARDRAIL AND AC DIKE</t>
  </si>
  <si>
    <t>2F670</t>
  </si>
  <si>
    <t>ADA CURB RAMP UPGRADES</t>
  </si>
  <si>
    <t>3C900</t>
  </si>
  <si>
    <t>4E990</t>
  </si>
  <si>
    <t>4M240</t>
  </si>
  <si>
    <t>BRIDGE DECK PRESERVATION AND JOINT REPAIR</t>
  </si>
  <si>
    <t>0A534</t>
  </si>
  <si>
    <t>RECONSTRUCT 1-80 WB/SR WB CONNECTOR AND GREEN VALLY RD. INTERCHANGE</t>
  </si>
  <si>
    <t>INSTALL RAMP METERING AND HOV BYPASS AT VARIOUS ON RAMPS</t>
  </si>
  <si>
    <t>INSTALL RAMP METERING &amp; TRAFFIC OPERATIONS SYSTEMS</t>
  </si>
  <si>
    <t>INSTALL RAMP METERING AND TRAFFIC OPERATIONS SYSTEMS</t>
  </si>
  <si>
    <t>REPLACE CULVERT METHACRYLATE DECK SEAL, REPLACE</t>
  </si>
  <si>
    <t>0K450</t>
  </si>
  <si>
    <t>REMOVE AC PLACE METHACRYLATE &amp; PLOYESTER CONCRETE OVERLAY</t>
  </si>
  <si>
    <t>PLACE METHACRYLATE &amp; REPLACE BRIDGE JOINT SEALS</t>
  </si>
  <si>
    <t>0M220</t>
  </si>
  <si>
    <t>0M230</t>
  </si>
  <si>
    <t>PLACE METHACRYLATE AND REPLACE BRIDGE JOINT SEALS</t>
  </si>
  <si>
    <t>0M270</t>
  </si>
  <si>
    <t>BOX CULVERT REHAB</t>
  </si>
  <si>
    <t>0M290</t>
  </si>
  <si>
    <t>108.4</t>
  </si>
  <si>
    <t>PLACE METHACRYLATE DECK SEAL</t>
  </si>
  <si>
    <t>PAVEMENT REHAB / AC OVERLAY (RAC)</t>
  </si>
  <si>
    <t>4T440</t>
  </si>
  <si>
    <t>CONSTRUCT PEDESTRIAN CURB RAMP</t>
  </si>
  <si>
    <t>4Y790</t>
  </si>
  <si>
    <t>METH DECK,JOINT SEAL,APPCH SLABS,RA</t>
  </si>
  <si>
    <t>4Y810</t>
  </si>
  <si>
    <t>METH DECK,JOINT SEAL,SPALL REPAIR,</t>
  </si>
  <si>
    <t>0M830</t>
  </si>
  <si>
    <t>UPGRADE PEDESTRIAN FACILITIES, REMOVE MGBR AND PAVE WALKWAY</t>
  </si>
  <si>
    <t>0P670</t>
  </si>
  <si>
    <t>094.0</t>
  </si>
  <si>
    <t>INSTALL/UPGRADE CURB RAMPS, MEDIAN PASSAGEWAYS, SIDEWALK &amp; PEDESTRIAN</t>
  </si>
  <si>
    <t>METHACRYLATE , PATCH SPALLS AND BACKFILL AND PLACE RIPRAPS.</t>
  </si>
  <si>
    <t>35010</t>
  </si>
  <si>
    <t>158</t>
  </si>
  <si>
    <t>SIDEWALK REHAB</t>
  </si>
  <si>
    <t>0U480</t>
  </si>
  <si>
    <t>PEDESTRIAN ACCESSIBILITY IMPROVEMENTS</t>
  </si>
  <si>
    <t>0U620</t>
  </si>
  <si>
    <t>BRIDGE SOFFIT &amp; COLUMN REPAIR</t>
  </si>
  <si>
    <t>0V590</t>
  </si>
  <si>
    <t>14.15</t>
  </si>
  <si>
    <t>40430</t>
  </si>
  <si>
    <t>OUTER SEPARATION BARRIER</t>
  </si>
  <si>
    <t>40600</t>
  </si>
  <si>
    <t>PROVIDE ACCESSIBLE PEDESTRIAN INFRASTRUCTURE AT 43 PARK AND RIDE</t>
  </si>
  <si>
    <t>0L760</t>
  </si>
  <si>
    <t>PLACE METHACRYLATE DECK SEAL TREATMENT, POLYESTER CONCRETE</t>
  </si>
  <si>
    <t>0M000</t>
  </si>
  <si>
    <t>OVERLAY THE CONNECTOR WITH OCGA, MODIFY DRAINAGE, UPGRADE METAL BEAM</t>
  </si>
  <si>
    <t>ADA UPGRADES. OFF-RAMP</t>
  </si>
  <si>
    <t>ADA IMPROVEMENTS ON SR-57 TO MEET CURRENT STANDARDS.</t>
  </si>
  <si>
    <t>0N360</t>
  </si>
  <si>
    <t>REPLACE AC PANELS WITH PCC</t>
  </si>
  <si>
    <t>0A250</t>
  </si>
  <si>
    <t>088.3</t>
  </si>
  <si>
    <t>44812</t>
  </si>
  <si>
    <t>MODIFY/CONSTRUCT WB RAMPS, WIDEN TIPPPECANOE AVE &amp; TEA 21 DEMO</t>
  </si>
  <si>
    <t>0T140</t>
  </si>
  <si>
    <t>0W090</t>
  </si>
  <si>
    <t>CLEAN/APPLY METHACRYLATE, REPLACE JOINT SEALS, REPAIR JOINT SPALLS AND</t>
  </si>
  <si>
    <t>0W150</t>
  </si>
  <si>
    <t>99</t>
  </si>
  <si>
    <t>20.12</t>
  </si>
  <si>
    <t>25980</t>
  </si>
  <si>
    <t>REPLACE NORDAHL BRIDGE &amp; WIDEN OFF RAMP:CT PROVIDE 100% OVERSIGHT</t>
  </si>
  <si>
    <t>DEA5</t>
  </si>
  <si>
    <t>020E440</t>
  </si>
  <si>
    <t>020E840</t>
  </si>
  <si>
    <t>022C225</t>
  </si>
  <si>
    <t>031A464</t>
  </si>
  <si>
    <t>031A731</t>
  </si>
  <si>
    <t>031A732</t>
  </si>
  <si>
    <t>0333382</t>
  </si>
  <si>
    <t>0337150</t>
  </si>
  <si>
    <t>033A712</t>
  </si>
  <si>
    <t>0415113</t>
  </si>
  <si>
    <t>0423564</t>
  </si>
  <si>
    <t>0426407</t>
  </si>
  <si>
    <t>0429762</t>
  </si>
  <si>
    <t>0429830</t>
  </si>
  <si>
    <t>043A774</t>
  </si>
  <si>
    <t>043A776</t>
  </si>
  <si>
    <t>043S830</t>
  </si>
  <si>
    <t>044A330</t>
  </si>
  <si>
    <t>050M14V</t>
  </si>
  <si>
    <t>0531580</t>
  </si>
  <si>
    <t>0533077</t>
  </si>
  <si>
    <t>0546380</t>
  </si>
  <si>
    <t>060G830</t>
  </si>
  <si>
    <t>060G840</t>
  </si>
  <si>
    <t>0634252</t>
  </si>
  <si>
    <t>0636021</t>
  </si>
  <si>
    <t>0647100</t>
  </si>
  <si>
    <t>0648750</t>
  </si>
  <si>
    <t>071218W</t>
  </si>
  <si>
    <t>0721593</t>
  </si>
  <si>
    <t>0721594</t>
  </si>
  <si>
    <t>080G620</t>
  </si>
  <si>
    <t>080M940</t>
  </si>
  <si>
    <t>0833488</t>
  </si>
  <si>
    <t>100E612</t>
  </si>
  <si>
    <t>103A100</t>
  </si>
  <si>
    <t>1126930</t>
  </si>
  <si>
    <t>112T200</t>
  </si>
  <si>
    <t>010A250</t>
  </si>
  <si>
    <t>010A380</t>
  </si>
  <si>
    <t>010A400</t>
  </si>
  <si>
    <t>010A590</t>
  </si>
  <si>
    <t>0126200</t>
  </si>
  <si>
    <t>0129612</t>
  </si>
  <si>
    <t>0132330</t>
  </si>
  <si>
    <t>0136330</t>
  </si>
  <si>
    <t>0136432</t>
  </si>
  <si>
    <t>0137816</t>
  </si>
  <si>
    <t>0138572</t>
  </si>
  <si>
    <t>0140280</t>
  </si>
  <si>
    <t>0142370</t>
  </si>
  <si>
    <t>0146390</t>
  </si>
  <si>
    <t>0146420</t>
  </si>
  <si>
    <t>0146530</t>
  </si>
  <si>
    <t>0146580</t>
  </si>
  <si>
    <t>0147490</t>
  </si>
  <si>
    <t>0147502</t>
  </si>
  <si>
    <t>0147660</t>
  </si>
  <si>
    <t>0147690</t>
  </si>
  <si>
    <t>0148470</t>
  </si>
  <si>
    <t>0149070</t>
  </si>
  <si>
    <t>0149660</t>
  </si>
  <si>
    <t>020E360</t>
  </si>
  <si>
    <t>020E400</t>
  </si>
  <si>
    <t>020E450</t>
  </si>
  <si>
    <t>022C112</t>
  </si>
  <si>
    <t>022E350</t>
  </si>
  <si>
    <t>022E510</t>
  </si>
  <si>
    <t>022E620</t>
  </si>
  <si>
    <t>022E750</t>
  </si>
  <si>
    <t>0236070</t>
  </si>
  <si>
    <t>0237430</t>
  </si>
  <si>
    <t>023C300</t>
  </si>
  <si>
    <t>023C920</t>
  </si>
  <si>
    <t>023E650</t>
  </si>
  <si>
    <t>023E690</t>
  </si>
  <si>
    <t>024C960</t>
  </si>
  <si>
    <t>030C930</t>
  </si>
  <si>
    <t>030F230</t>
  </si>
  <si>
    <t>030F300</t>
  </si>
  <si>
    <t>030F680</t>
  </si>
  <si>
    <t>031A844</t>
  </si>
  <si>
    <t>031E000</t>
  </si>
  <si>
    <t>031E510</t>
  </si>
  <si>
    <t>031E760</t>
  </si>
  <si>
    <t>031F740</t>
  </si>
  <si>
    <t>032A920</t>
  </si>
  <si>
    <t>032F260</t>
  </si>
  <si>
    <t>032F300</t>
  </si>
  <si>
    <t>032F350</t>
  </si>
  <si>
    <t>032F360</t>
  </si>
  <si>
    <t>032F670</t>
  </si>
  <si>
    <t>032F700</t>
  </si>
  <si>
    <t>0337422</t>
  </si>
  <si>
    <t>033C900</t>
  </si>
  <si>
    <t>033E100</t>
  </si>
  <si>
    <t>033E620</t>
  </si>
  <si>
    <t>0341240</t>
  </si>
  <si>
    <t>034E590</t>
  </si>
  <si>
    <t>034E990</t>
  </si>
  <si>
    <t>034M240</t>
  </si>
  <si>
    <t>0400394</t>
  </si>
  <si>
    <t>040120M</t>
  </si>
  <si>
    <t>040120T</t>
  </si>
  <si>
    <t>040A090</t>
  </si>
  <si>
    <t>040A534</t>
  </si>
  <si>
    <t>040A790</t>
  </si>
  <si>
    <t>040G130</t>
  </si>
  <si>
    <t>040G140</t>
  </si>
  <si>
    <t>040G170</t>
  </si>
  <si>
    <t>040G252</t>
  </si>
  <si>
    <t>040G310</t>
  </si>
  <si>
    <t>041123H</t>
  </si>
  <si>
    <t>0415300</t>
  </si>
  <si>
    <t>0415310</t>
  </si>
  <si>
    <t>0415320</t>
  </si>
  <si>
    <t>0415330</t>
  </si>
  <si>
    <t>0415350</t>
  </si>
  <si>
    <t>0415420</t>
  </si>
  <si>
    <t>041A320</t>
  </si>
  <si>
    <t>041G070</t>
  </si>
  <si>
    <t>041G200</t>
  </si>
  <si>
    <t>041G240</t>
  </si>
  <si>
    <t>041G250</t>
  </si>
  <si>
    <t>041G550</t>
  </si>
  <si>
    <t>041G560</t>
  </si>
  <si>
    <t>041G940</t>
  </si>
  <si>
    <t>041G941</t>
  </si>
  <si>
    <t>0424544</t>
  </si>
  <si>
    <t>0426408</t>
  </si>
  <si>
    <t>042641A</t>
  </si>
  <si>
    <t>0428382</t>
  </si>
  <si>
    <t>0429085</t>
  </si>
  <si>
    <t>0429226</t>
  </si>
  <si>
    <t>042A110</t>
  </si>
  <si>
    <t>042A260</t>
  </si>
  <si>
    <t>042A440</t>
  </si>
  <si>
    <t>042G360</t>
  </si>
  <si>
    <t>042G720</t>
  </si>
  <si>
    <t>042L140</t>
  </si>
  <si>
    <t>043A23U</t>
  </si>
  <si>
    <t>043A330</t>
  </si>
  <si>
    <t>043A870</t>
  </si>
  <si>
    <t>043A920</t>
  </si>
  <si>
    <t>043A960</t>
  </si>
  <si>
    <t>043S570</t>
  </si>
  <si>
    <t>043S752</t>
  </si>
  <si>
    <t>044A010</t>
  </si>
  <si>
    <t>044A250</t>
  </si>
  <si>
    <t>044A260</t>
  </si>
  <si>
    <t>044A320</t>
  </si>
  <si>
    <t>044A510</t>
  </si>
  <si>
    <t>044S020</t>
  </si>
  <si>
    <t>044S030</t>
  </si>
  <si>
    <t>044S050</t>
  </si>
  <si>
    <t>044S060</t>
  </si>
  <si>
    <t>044S080</t>
  </si>
  <si>
    <t>044S120</t>
  </si>
  <si>
    <t>044S220</t>
  </si>
  <si>
    <t>044S370</t>
  </si>
  <si>
    <t>044S530</t>
  </si>
  <si>
    <t>044S590</t>
  </si>
  <si>
    <t>050G160</t>
  </si>
  <si>
    <t>050K230</t>
  </si>
  <si>
    <t>050M970</t>
  </si>
  <si>
    <t>050M980</t>
  </si>
  <si>
    <t>050N400</t>
  </si>
  <si>
    <t>050Q570</t>
  </si>
  <si>
    <t>050Q620</t>
  </si>
  <si>
    <t>050Q630</t>
  </si>
  <si>
    <t>050R300</t>
  </si>
  <si>
    <t>050R840</t>
  </si>
  <si>
    <t>051A480</t>
  </si>
  <si>
    <t>0533075</t>
  </si>
  <si>
    <t>060C130</t>
  </si>
  <si>
    <t>060E070</t>
  </si>
  <si>
    <t>060E670</t>
  </si>
  <si>
    <t>060G270</t>
  </si>
  <si>
    <t>060H170</t>
  </si>
  <si>
    <t>060H180</t>
  </si>
  <si>
    <t>060H940</t>
  </si>
  <si>
    <t>060J040</t>
  </si>
  <si>
    <t>060J050</t>
  </si>
  <si>
    <t>060J520</t>
  </si>
  <si>
    <t>060K390</t>
  </si>
  <si>
    <t>060K450</t>
  </si>
  <si>
    <t>060K540</t>
  </si>
  <si>
    <t>060L050</t>
  </si>
  <si>
    <t>060L200</t>
  </si>
  <si>
    <t>060L640</t>
  </si>
  <si>
    <t>060L720</t>
  </si>
  <si>
    <t>060L890</t>
  </si>
  <si>
    <t>060M210</t>
  </si>
  <si>
    <t>060M220</t>
  </si>
  <si>
    <t>060M230</t>
  </si>
  <si>
    <t>060M270</t>
  </si>
  <si>
    <t>060M280</t>
  </si>
  <si>
    <t>060M290</t>
  </si>
  <si>
    <t>060M730</t>
  </si>
  <si>
    <t>060M800</t>
  </si>
  <si>
    <t>060N360</t>
  </si>
  <si>
    <t>060N850</t>
  </si>
  <si>
    <t>0632550</t>
  </si>
  <si>
    <t>0634256</t>
  </si>
  <si>
    <t>0643070</t>
  </si>
  <si>
    <t>0644262</t>
  </si>
  <si>
    <t>0646220</t>
  </si>
  <si>
    <t>071170U</t>
  </si>
  <si>
    <t>0722820</t>
  </si>
  <si>
    <t>0724540</t>
  </si>
  <si>
    <t>0725050</t>
  </si>
  <si>
    <t>0725870</t>
  </si>
  <si>
    <t>0725880</t>
  </si>
  <si>
    <t>0725893</t>
  </si>
  <si>
    <t>0725910</t>
  </si>
  <si>
    <t>0726590</t>
  </si>
  <si>
    <t>0726610</t>
  </si>
  <si>
    <t>0726750</t>
  </si>
  <si>
    <t>0727240</t>
  </si>
  <si>
    <t>0727340</t>
  </si>
  <si>
    <t>0727430</t>
  </si>
  <si>
    <t>0727450</t>
  </si>
  <si>
    <t>0727670</t>
  </si>
  <si>
    <t>0727820</t>
  </si>
  <si>
    <t>0727830</t>
  </si>
  <si>
    <t>0727880</t>
  </si>
  <si>
    <t>0727890</t>
  </si>
  <si>
    <t>0728500</t>
  </si>
  <si>
    <t>072X840</t>
  </si>
  <si>
    <t>072X920</t>
  </si>
  <si>
    <t>072X930</t>
  </si>
  <si>
    <t>072X940</t>
  </si>
  <si>
    <t>072X950</t>
  </si>
  <si>
    <t>072X960</t>
  </si>
  <si>
    <t>072X980</t>
  </si>
  <si>
    <t>073X000</t>
  </si>
  <si>
    <t>073X010</t>
  </si>
  <si>
    <t>073X020</t>
  </si>
  <si>
    <t>073X180</t>
  </si>
  <si>
    <t>073X300</t>
  </si>
  <si>
    <t>073X320</t>
  </si>
  <si>
    <t>074T440</t>
  </si>
  <si>
    <t>074Y150</t>
  </si>
  <si>
    <t>074Y750</t>
  </si>
  <si>
    <t>074Y790</t>
  </si>
  <si>
    <t>074Y810</t>
  </si>
  <si>
    <t>080G840</t>
  </si>
  <si>
    <t>080H330</t>
  </si>
  <si>
    <t>080J010</t>
  </si>
  <si>
    <t>080J140</t>
  </si>
  <si>
    <t>080K230</t>
  </si>
  <si>
    <t>080K280</t>
  </si>
  <si>
    <t>080K310</t>
  </si>
  <si>
    <t>080L930</t>
  </si>
  <si>
    <t>080M210</t>
  </si>
  <si>
    <t>080M310</t>
  </si>
  <si>
    <t>080M690</t>
  </si>
  <si>
    <t>080M830</t>
  </si>
  <si>
    <t>080M870</t>
  </si>
  <si>
    <t>080M880</t>
  </si>
  <si>
    <t>080N120</t>
  </si>
  <si>
    <t>080N240</t>
  </si>
  <si>
    <t>080N260</t>
  </si>
  <si>
    <t>080N410</t>
  </si>
  <si>
    <t>080N510</t>
  </si>
  <si>
    <t>080N590</t>
  </si>
  <si>
    <t>080N910</t>
  </si>
  <si>
    <t>080P560</t>
  </si>
  <si>
    <t>080P670</t>
  </si>
  <si>
    <t>080P680</t>
  </si>
  <si>
    <t>080P960</t>
  </si>
  <si>
    <t>080Q110</t>
  </si>
  <si>
    <t>080Q240</t>
  </si>
  <si>
    <t>0834160</t>
  </si>
  <si>
    <t>0843271</t>
  </si>
  <si>
    <t>0843890</t>
  </si>
  <si>
    <t>084440L</t>
  </si>
  <si>
    <t>0844812</t>
  </si>
  <si>
    <t>0844830</t>
  </si>
  <si>
    <t>0849180</t>
  </si>
  <si>
    <t>0849751</t>
  </si>
  <si>
    <t>0928750</t>
  </si>
  <si>
    <t>0935010</t>
  </si>
  <si>
    <t>100G350</t>
  </si>
  <si>
    <t>100G800</t>
  </si>
  <si>
    <t>100K330</t>
  </si>
  <si>
    <t>100M780</t>
  </si>
  <si>
    <t>100S780</t>
  </si>
  <si>
    <t>100S860</t>
  </si>
  <si>
    <t>100S940</t>
  </si>
  <si>
    <t>100T140</t>
  </si>
  <si>
    <t>100T160</t>
  </si>
  <si>
    <t>100U480</t>
  </si>
  <si>
    <t>100U620</t>
  </si>
  <si>
    <t>100V590</t>
  </si>
  <si>
    <t>100W070</t>
  </si>
  <si>
    <t>100W090</t>
  </si>
  <si>
    <t>100W150</t>
  </si>
  <si>
    <t>1100270</t>
  </si>
  <si>
    <t>1106381</t>
  </si>
  <si>
    <t>1106500</t>
  </si>
  <si>
    <t>1107670</t>
  </si>
  <si>
    <t>1123840</t>
  </si>
  <si>
    <t>1123860</t>
  </si>
  <si>
    <t>1125714</t>
  </si>
  <si>
    <t>1125980</t>
  </si>
  <si>
    <t>1126042</t>
  </si>
  <si>
    <t>1126411</t>
  </si>
  <si>
    <t>1126501</t>
  </si>
  <si>
    <t>1127080</t>
  </si>
  <si>
    <t>1127520</t>
  </si>
  <si>
    <t>1128960</t>
  </si>
  <si>
    <t>1129030</t>
  </si>
  <si>
    <t>1129480</t>
  </si>
  <si>
    <t>1129760</t>
  </si>
  <si>
    <t>1129800</t>
  </si>
  <si>
    <t>1129860</t>
  </si>
  <si>
    <t>1129870</t>
  </si>
  <si>
    <t>112E006</t>
  </si>
  <si>
    <t>112T098</t>
  </si>
  <si>
    <t>112T182</t>
  </si>
  <si>
    <t>112T183</t>
  </si>
  <si>
    <t>1140140</t>
  </si>
  <si>
    <t>1140280</t>
  </si>
  <si>
    <t>1140370</t>
  </si>
  <si>
    <t>1140430</t>
  </si>
  <si>
    <t>1140440</t>
  </si>
  <si>
    <t>1140600</t>
  </si>
  <si>
    <t>120E310</t>
  </si>
  <si>
    <t>120H034</t>
  </si>
  <si>
    <t>120H208</t>
  </si>
  <si>
    <t>120J670</t>
  </si>
  <si>
    <t>120K330</t>
  </si>
  <si>
    <t>120K520</t>
  </si>
  <si>
    <t>120K530</t>
  </si>
  <si>
    <t>120L410</t>
  </si>
  <si>
    <t>120L760</t>
  </si>
  <si>
    <t>120M000</t>
  </si>
  <si>
    <t>120M140</t>
  </si>
  <si>
    <t>120M160</t>
  </si>
  <si>
    <t>Y</t>
  </si>
  <si>
    <t>Adv Date</t>
  </si>
  <si>
    <t>Shelf Projects</t>
  </si>
  <si>
    <t>total const $</t>
  </si>
  <si>
    <t>12 Month Advertising List</t>
  </si>
  <si>
    <t>Includes Major Projects from Delivery Plan</t>
  </si>
  <si>
    <t>District 01 total</t>
  </si>
  <si>
    <t>District 02 total</t>
  </si>
  <si>
    <t>District 03 total</t>
  </si>
  <si>
    <t>District 04 total</t>
  </si>
  <si>
    <t>District 05 total</t>
  </si>
  <si>
    <t>District 06 total</t>
  </si>
  <si>
    <t>District 07 total</t>
  </si>
  <si>
    <t>District 08 total</t>
  </si>
  <si>
    <t>District 09 total</t>
  </si>
  <si>
    <t>District 10 total</t>
  </si>
  <si>
    <t>District 11 total</t>
  </si>
  <si>
    <t>District 12 total</t>
  </si>
  <si>
    <t>Allocation By CTC</t>
  </si>
  <si>
    <t>Bond Funded</t>
  </si>
</sst>
</file>

<file path=xl/styles.xml><?xml version="1.0" encoding="utf-8"?>
<styleSheet xmlns="http://schemas.openxmlformats.org/spreadsheetml/2006/main">
  <numFmts count="2">
    <numFmt numFmtId="164" formatCode="mm/dd/yy;@"/>
    <numFmt numFmtId="165" formatCode="&quot;$&quot;#,##0"/>
  </numFmts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51">
    <xf numFmtId="0" fontId="0" fillId="0" borderId="0" xfId="0"/>
    <xf numFmtId="0" fontId="0" fillId="0" borderId="0" xfId="0" applyFill="1"/>
    <xf numFmtId="165" fontId="0" fillId="0" borderId="0" xfId="0" applyNumberFormat="1" applyFill="1"/>
    <xf numFmtId="165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5" xfId="0" applyFill="1" applyBorder="1"/>
    <xf numFmtId="165" fontId="0" fillId="0" borderId="5" xfId="0" applyNumberFormat="1" applyFill="1" applyBorder="1"/>
    <xf numFmtId="0" fontId="0" fillId="0" borderId="5" xfId="0" applyFill="1" applyBorder="1" applyAlignment="1">
      <alignment horizontal="center"/>
    </xf>
    <xf numFmtId="0" fontId="2" fillId="0" borderId="0" xfId="0" applyFont="1" applyFill="1"/>
    <xf numFmtId="0" fontId="2" fillId="0" borderId="5" xfId="0" applyFont="1" applyFill="1" applyBorder="1"/>
    <xf numFmtId="165" fontId="2" fillId="0" borderId="5" xfId="0" applyNumberFormat="1" applyFont="1" applyFill="1" applyBorder="1"/>
    <xf numFmtId="0" fontId="2" fillId="0" borderId="5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5" xfId="0" applyFont="1" applyFill="1" applyBorder="1"/>
    <xf numFmtId="0" fontId="1" fillId="4" borderId="1" xfId="0" applyFont="1" applyFill="1" applyBorder="1" applyAlignment="1" applyProtection="1">
      <alignment horizontal="center"/>
      <protection locked="0"/>
    </xf>
    <xf numFmtId="165" fontId="1" fillId="2" borderId="6" xfId="1" applyNumberFormat="1" applyFont="1" applyFill="1" applyBorder="1" applyAlignment="1">
      <alignment horizontal="center"/>
    </xf>
    <xf numFmtId="14" fontId="2" fillId="0" borderId="0" xfId="0" applyNumberFormat="1" applyFont="1" applyFill="1"/>
    <xf numFmtId="165" fontId="1" fillId="2" borderId="7" xfId="1" applyNumberFormat="1" applyFont="1" applyFill="1" applyBorder="1" applyAlignment="1">
      <alignment horizontal="center"/>
    </xf>
    <xf numFmtId="0" fontId="2" fillId="5" borderId="5" xfId="0" applyFont="1" applyFill="1" applyBorder="1"/>
    <xf numFmtId="0" fontId="3" fillId="5" borderId="0" xfId="1" applyFont="1" applyFill="1"/>
    <xf numFmtId="165" fontId="2" fillId="5" borderId="5" xfId="0" applyNumberFormat="1" applyFont="1" applyFill="1" applyBorder="1"/>
    <xf numFmtId="165" fontId="3" fillId="5" borderId="5" xfId="0" applyNumberFormat="1" applyFont="1" applyFill="1" applyBorder="1"/>
    <xf numFmtId="0" fontId="0" fillId="5" borderId="5" xfId="0" applyFill="1" applyBorder="1"/>
    <xf numFmtId="165" fontId="0" fillId="5" borderId="5" xfId="0" applyNumberFormat="1" applyFill="1" applyBorder="1"/>
    <xf numFmtId="165" fontId="3" fillId="5" borderId="0" xfId="0" applyNumberFormat="1" applyFont="1" applyFill="1"/>
    <xf numFmtId="0" fontId="0" fillId="5" borderId="0" xfId="0" applyFill="1"/>
    <xf numFmtId="165" fontId="0" fillId="5" borderId="0" xfId="0" applyNumberFormat="1" applyFill="1"/>
    <xf numFmtId="0" fontId="2" fillId="0" borderId="8" xfId="0" applyFont="1" applyFill="1" applyBorder="1"/>
    <xf numFmtId="0" fontId="2" fillId="5" borderId="8" xfId="0" applyFont="1" applyFill="1" applyBorder="1"/>
    <xf numFmtId="0" fontId="0" fillId="0" borderId="8" xfId="0" applyFill="1" applyBorder="1"/>
    <xf numFmtId="0" fontId="0" fillId="5" borderId="8" xfId="0" applyFill="1" applyBorder="1"/>
    <xf numFmtId="0" fontId="2" fillId="5" borderId="5" xfId="0" applyFont="1" applyFill="1" applyBorder="1" applyAlignment="1">
      <alignment horizontal="center"/>
    </xf>
    <xf numFmtId="0" fontId="0" fillId="5" borderId="0" xfId="0" applyFill="1" applyBorder="1"/>
    <xf numFmtId="0" fontId="0" fillId="0" borderId="0" xfId="0" applyBorder="1" applyAlignment="1"/>
    <xf numFmtId="0" fontId="0" fillId="0" borderId="9" xfId="0" applyBorder="1" applyAlignment="1"/>
    <xf numFmtId="164" fontId="1" fillId="0" borderId="0" xfId="1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2" fillId="0" borderId="10" xfId="0" applyFont="1" applyFill="1" applyBorder="1" applyAlignment="1">
      <alignment horizontal="center"/>
    </xf>
    <xf numFmtId="0" fontId="2" fillId="0" borderId="10" xfId="0" applyFont="1" applyFill="1" applyBorder="1"/>
    <xf numFmtId="165" fontId="1" fillId="2" borderId="1" xfId="1" applyNumberFormat="1" applyFont="1" applyFill="1" applyBorder="1" applyAlignment="1">
      <alignment horizontal="center" wrapText="1"/>
    </xf>
    <xf numFmtId="0" fontId="2" fillId="0" borderId="11" xfId="0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164" fontId="1" fillId="4" borderId="2" xfId="1" applyNumberFormat="1" applyFont="1" applyFill="1" applyBorder="1" applyAlignment="1">
      <alignment horizontal="center"/>
    </xf>
    <xf numFmtId="164" fontId="1" fillId="4" borderId="3" xfId="1" applyNumberFormat="1" applyFont="1" applyFill="1" applyBorder="1" applyAlignment="1">
      <alignment horizontal="center"/>
    </xf>
    <xf numFmtId="164" fontId="1" fillId="4" borderId="4" xfId="1" applyNumberFormat="1" applyFont="1" applyFill="1" applyBorder="1" applyAlignment="1">
      <alignment horizontal="center"/>
    </xf>
    <xf numFmtId="14" fontId="1" fillId="4" borderId="2" xfId="1" applyNumberFormat="1" applyFont="1" applyFill="1" applyBorder="1" applyAlignment="1">
      <alignment horizontal="center"/>
    </xf>
    <xf numFmtId="14" fontId="1" fillId="4" borderId="3" xfId="1" applyNumberFormat="1" applyFont="1" applyFill="1" applyBorder="1" applyAlignment="1">
      <alignment horizontal="center"/>
    </xf>
    <xf numFmtId="14" fontId="1" fillId="4" borderId="4" xfId="1" applyNumberFormat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99CC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-7-12%20Advertised%20Project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urrent Old"/>
      <sheetName val="Current"/>
      <sheetName val="Old "/>
    </sheetNames>
    <sheetDataSet>
      <sheetData sheetId="0">
        <row r="1">
          <cell r="A1" t="str">
            <v>dea</v>
          </cell>
          <cell r="B1" t="str">
            <v>Ad Date</v>
          </cell>
        </row>
        <row r="2">
          <cell r="A2" t="str">
            <v>100A872</v>
          </cell>
          <cell r="B2">
            <v>40945</v>
          </cell>
        </row>
        <row r="3">
          <cell r="A3" t="str">
            <v>1041570</v>
          </cell>
          <cell r="B3">
            <v>40925</v>
          </cell>
        </row>
        <row r="4">
          <cell r="A4" t="str">
            <v>112T095</v>
          </cell>
          <cell r="B4">
            <v>40911</v>
          </cell>
        </row>
        <row r="5">
          <cell r="A5" t="str">
            <v>0641600</v>
          </cell>
          <cell r="B5">
            <v>40952</v>
          </cell>
        </row>
        <row r="6">
          <cell r="A6" t="str">
            <v>100E611</v>
          </cell>
          <cell r="B6">
            <v>40917</v>
          </cell>
        </row>
        <row r="7">
          <cell r="A7" t="str">
            <v>080F240</v>
          </cell>
          <cell r="B7">
            <v>40925</v>
          </cell>
        </row>
        <row r="8">
          <cell r="A8" t="str">
            <v>100S190</v>
          </cell>
          <cell r="B8">
            <v>40917</v>
          </cell>
        </row>
        <row r="9">
          <cell r="A9" t="str">
            <v>044A882</v>
          </cell>
          <cell r="B9">
            <v>40911</v>
          </cell>
        </row>
        <row r="10">
          <cell r="A10" t="str">
            <v>0534951</v>
          </cell>
          <cell r="B10">
            <v>40917</v>
          </cell>
        </row>
        <row r="11">
          <cell r="A11" t="str">
            <v>0727580</v>
          </cell>
          <cell r="B11">
            <v>40945</v>
          </cell>
        </row>
        <row r="12">
          <cell r="A12" t="str">
            <v>1026444</v>
          </cell>
          <cell r="B12">
            <v>40938</v>
          </cell>
        </row>
        <row r="13">
          <cell r="A13" t="str">
            <v>120L640</v>
          </cell>
          <cell r="B13">
            <v>40925</v>
          </cell>
        </row>
        <row r="14">
          <cell r="A14" t="str">
            <v>120M020</v>
          </cell>
          <cell r="B14">
            <v>40925</v>
          </cell>
        </row>
        <row r="15">
          <cell r="A15" t="str">
            <v>0727400</v>
          </cell>
          <cell r="B15">
            <v>40904</v>
          </cell>
        </row>
        <row r="16">
          <cell r="A16" t="str">
            <v>0923770</v>
          </cell>
          <cell r="B16">
            <v>40854</v>
          </cell>
        </row>
        <row r="17">
          <cell r="A17" t="str">
            <v>1126610</v>
          </cell>
          <cell r="B17">
            <v>40812</v>
          </cell>
        </row>
        <row r="18">
          <cell r="A18" t="str">
            <v>060L180</v>
          </cell>
          <cell r="B18">
            <v>40792</v>
          </cell>
        </row>
        <row r="19">
          <cell r="A19" t="str">
            <v>060M760</v>
          </cell>
          <cell r="B19">
            <v>40875</v>
          </cell>
        </row>
        <row r="20">
          <cell r="A20" t="str">
            <v>080L820</v>
          </cell>
          <cell r="B20">
            <v>40756</v>
          </cell>
        </row>
        <row r="21">
          <cell r="A21" t="str">
            <v>031A734</v>
          </cell>
          <cell r="B21">
            <v>40945</v>
          </cell>
        </row>
        <row r="22">
          <cell r="A22" t="str">
            <v>0934240</v>
          </cell>
          <cell r="B22">
            <v>40840</v>
          </cell>
        </row>
        <row r="23">
          <cell r="A23" t="str">
            <v>112T099</v>
          </cell>
          <cell r="B23">
            <v>40756</v>
          </cell>
        </row>
        <row r="24">
          <cell r="A24" t="str">
            <v>013637U</v>
          </cell>
          <cell r="B24">
            <v>40756</v>
          </cell>
        </row>
        <row r="25">
          <cell r="A25" t="str">
            <v>0417243</v>
          </cell>
          <cell r="B25">
            <v>40763</v>
          </cell>
        </row>
        <row r="26">
          <cell r="A26" t="str">
            <v>1129671</v>
          </cell>
          <cell r="B26">
            <v>40763</v>
          </cell>
        </row>
        <row r="27">
          <cell r="A27" t="str">
            <v>1140340</v>
          </cell>
          <cell r="B27">
            <v>40763</v>
          </cell>
        </row>
        <row r="28">
          <cell r="A28" t="str">
            <v>100E612</v>
          </cell>
          <cell r="B28">
            <v>40960</v>
          </cell>
        </row>
        <row r="29">
          <cell r="A29" t="str">
            <v>0726010</v>
          </cell>
          <cell r="B29">
            <v>40770</v>
          </cell>
        </row>
        <row r="30">
          <cell r="A30" t="str">
            <v>050T910</v>
          </cell>
          <cell r="B30">
            <v>40847</v>
          </cell>
        </row>
        <row r="31">
          <cell r="A31" t="str">
            <v>050S310</v>
          </cell>
          <cell r="B31">
            <v>40868</v>
          </cell>
        </row>
        <row r="32">
          <cell r="A32" t="str">
            <v>1140330</v>
          </cell>
          <cell r="B32">
            <v>40770</v>
          </cell>
        </row>
        <row r="33">
          <cell r="A33" t="str">
            <v>030F210</v>
          </cell>
          <cell r="B33">
            <v>40770</v>
          </cell>
        </row>
        <row r="34">
          <cell r="A34" t="str">
            <v>0147920</v>
          </cell>
          <cell r="B34">
            <v>40777</v>
          </cell>
        </row>
        <row r="35">
          <cell r="A35" t="str">
            <v>1129780</v>
          </cell>
          <cell r="B35">
            <v>40777</v>
          </cell>
        </row>
        <row r="36">
          <cell r="A36" t="str">
            <v>0632550</v>
          </cell>
        </row>
        <row r="37">
          <cell r="A37" t="str">
            <v>100S240</v>
          </cell>
          <cell r="B37">
            <v>40882</v>
          </cell>
        </row>
        <row r="38">
          <cell r="A38" t="str">
            <v>032F030</v>
          </cell>
          <cell r="B38">
            <v>40798</v>
          </cell>
        </row>
        <row r="39">
          <cell r="A39" t="str">
            <v>0843890</v>
          </cell>
        </row>
        <row r="40">
          <cell r="A40" t="str">
            <v>030F110</v>
          </cell>
          <cell r="B40">
            <v>40784</v>
          </cell>
        </row>
        <row r="41">
          <cell r="A41" t="str">
            <v>033M750</v>
          </cell>
          <cell r="B41">
            <v>40756</v>
          </cell>
        </row>
        <row r="42">
          <cell r="A42" t="str">
            <v>022C810</v>
          </cell>
          <cell r="B42">
            <v>40904</v>
          </cell>
        </row>
        <row r="43">
          <cell r="A43" t="str">
            <v>024C58U</v>
          </cell>
          <cell r="B43">
            <v>40966</v>
          </cell>
        </row>
        <row r="44">
          <cell r="A44" t="str">
            <v>0726690</v>
          </cell>
          <cell r="B44">
            <v>40952</v>
          </cell>
        </row>
        <row r="45">
          <cell r="A45" t="str">
            <v>060L220</v>
          </cell>
          <cell r="B45">
            <v>40875</v>
          </cell>
        </row>
        <row r="46">
          <cell r="A46" t="str">
            <v>112T097</v>
          </cell>
          <cell r="B46">
            <v>40792</v>
          </cell>
        </row>
        <row r="47">
          <cell r="A47" t="str">
            <v>0725490</v>
          </cell>
          <cell r="B47">
            <v>40847</v>
          </cell>
        </row>
        <row r="48">
          <cell r="A48" t="str">
            <v>0726050</v>
          </cell>
          <cell r="B48">
            <v>40798</v>
          </cell>
        </row>
        <row r="49">
          <cell r="A49" t="str">
            <v>032F040</v>
          </cell>
          <cell r="B49">
            <v>40798</v>
          </cell>
        </row>
        <row r="50">
          <cell r="A50" t="str">
            <v>074Y240</v>
          </cell>
          <cell r="B50">
            <v>40798</v>
          </cell>
        </row>
        <row r="51">
          <cell r="A51" t="str">
            <v>032F580</v>
          </cell>
          <cell r="B51">
            <v>40798</v>
          </cell>
        </row>
        <row r="52">
          <cell r="A52" t="str">
            <v>060F800</v>
          </cell>
          <cell r="B52">
            <v>40798</v>
          </cell>
        </row>
        <row r="53">
          <cell r="A53" t="str">
            <v>0727780</v>
          </cell>
          <cell r="B53">
            <v>40798</v>
          </cell>
        </row>
        <row r="54">
          <cell r="A54" t="str">
            <v>120K620</v>
          </cell>
          <cell r="B54">
            <v>40798</v>
          </cell>
        </row>
        <row r="55">
          <cell r="A55" t="str">
            <v>050P970</v>
          </cell>
          <cell r="B55">
            <v>40798</v>
          </cell>
        </row>
        <row r="56">
          <cell r="A56" t="str">
            <v>050M750</v>
          </cell>
          <cell r="B56">
            <v>40798</v>
          </cell>
        </row>
        <row r="57">
          <cell r="A57" t="str">
            <v>031F750</v>
          </cell>
          <cell r="B57">
            <v>40798</v>
          </cell>
        </row>
        <row r="58">
          <cell r="A58" t="str">
            <v>0147550</v>
          </cell>
          <cell r="B58">
            <v>40805</v>
          </cell>
        </row>
        <row r="59">
          <cell r="A59" t="str">
            <v>032F020</v>
          </cell>
          <cell r="B59">
            <v>40798</v>
          </cell>
        </row>
        <row r="60">
          <cell r="A60" t="str">
            <v>041G940</v>
          </cell>
          <cell r="B60">
            <v>40966</v>
          </cell>
        </row>
        <row r="61">
          <cell r="A61" t="str">
            <v>023E760</v>
          </cell>
          <cell r="B61">
            <v>40805</v>
          </cell>
        </row>
        <row r="62">
          <cell r="A62" t="str">
            <v>023E750</v>
          </cell>
          <cell r="B62">
            <v>40805</v>
          </cell>
        </row>
        <row r="63">
          <cell r="A63" t="str">
            <v>023E810</v>
          </cell>
          <cell r="B63">
            <v>40805</v>
          </cell>
        </row>
        <row r="64">
          <cell r="A64" t="str">
            <v>0139910</v>
          </cell>
          <cell r="B64">
            <v>40805</v>
          </cell>
        </row>
        <row r="65">
          <cell r="A65" t="str">
            <v>02R2E29</v>
          </cell>
          <cell r="B65">
            <v>40805</v>
          </cell>
        </row>
        <row r="66">
          <cell r="A66" t="str">
            <v>100P600</v>
          </cell>
          <cell r="B66">
            <v>40805</v>
          </cell>
        </row>
        <row r="67">
          <cell r="A67" t="str">
            <v>10C0M80</v>
          </cell>
        </row>
        <row r="68">
          <cell r="A68" t="str">
            <v>080L930</v>
          </cell>
        </row>
        <row r="69">
          <cell r="A69" t="str">
            <v>112T180</v>
          </cell>
          <cell r="B69">
            <v>40925</v>
          </cell>
        </row>
        <row r="70">
          <cell r="A70" t="str">
            <v>074Y180</v>
          </cell>
          <cell r="B70">
            <v>40805</v>
          </cell>
        </row>
        <row r="71">
          <cell r="A71" t="str">
            <v>100V870</v>
          </cell>
          <cell r="B71">
            <v>40805</v>
          </cell>
        </row>
        <row r="72">
          <cell r="A72" t="str">
            <v>100M800</v>
          </cell>
          <cell r="B72">
            <v>40805</v>
          </cell>
        </row>
        <row r="73">
          <cell r="A73" t="str">
            <v>0934910</v>
          </cell>
          <cell r="B73">
            <v>40847</v>
          </cell>
        </row>
        <row r="74">
          <cell r="A74" t="str">
            <v>100S790</v>
          </cell>
          <cell r="B74">
            <v>40805</v>
          </cell>
        </row>
        <row r="75">
          <cell r="A75" t="str">
            <v>0725280</v>
          </cell>
          <cell r="B75">
            <v>40798</v>
          </cell>
        </row>
        <row r="76">
          <cell r="A76" t="str">
            <v>112M270</v>
          </cell>
          <cell r="B76">
            <v>40805</v>
          </cell>
        </row>
        <row r="77">
          <cell r="A77" t="str">
            <v>031F920</v>
          </cell>
          <cell r="B77">
            <v>40805</v>
          </cell>
        </row>
        <row r="78">
          <cell r="A78" t="str">
            <v>030A690</v>
          </cell>
          <cell r="B78">
            <v>40805</v>
          </cell>
        </row>
        <row r="79">
          <cell r="A79" t="str">
            <v>1128080</v>
          </cell>
          <cell r="B79">
            <v>40805</v>
          </cell>
        </row>
        <row r="80">
          <cell r="A80" t="str">
            <v>074S980</v>
          </cell>
          <cell r="B80">
            <v>40812</v>
          </cell>
        </row>
        <row r="81">
          <cell r="A81" t="str">
            <v>033E030</v>
          </cell>
          <cell r="B81">
            <v>40812</v>
          </cell>
        </row>
        <row r="82">
          <cell r="A82" t="str">
            <v>0728690</v>
          </cell>
          <cell r="B82">
            <v>40812</v>
          </cell>
        </row>
        <row r="83">
          <cell r="A83" t="str">
            <v>041G570</v>
          </cell>
          <cell r="B83">
            <v>40812</v>
          </cell>
        </row>
        <row r="84">
          <cell r="A84" t="str">
            <v>100U680</v>
          </cell>
          <cell r="B84">
            <v>40952</v>
          </cell>
        </row>
        <row r="85">
          <cell r="A85" t="str">
            <v>0725160</v>
          </cell>
          <cell r="B85">
            <v>40819</v>
          </cell>
        </row>
        <row r="86">
          <cell r="A86" t="str">
            <v>112T181</v>
          </cell>
          <cell r="B86">
            <v>40945</v>
          </cell>
        </row>
        <row r="87">
          <cell r="A87" t="str">
            <v>044S550</v>
          </cell>
          <cell r="B87">
            <v>40945</v>
          </cell>
        </row>
        <row r="88">
          <cell r="A88" t="str">
            <v>032F050</v>
          </cell>
          <cell r="B88">
            <v>40812</v>
          </cell>
        </row>
        <row r="89">
          <cell r="A89" t="str">
            <v>060N250</v>
          </cell>
          <cell r="B89">
            <v>40819</v>
          </cell>
        </row>
        <row r="90">
          <cell r="A90" t="str">
            <v>060E971</v>
          </cell>
          <cell r="B90">
            <v>40945</v>
          </cell>
        </row>
        <row r="91">
          <cell r="A91" t="str">
            <v>080P700</v>
          </cell>
          <cell r="B91">
            <v>40889</v>
          </cell>
        </row>
        <row r="92">
          <cell r="A92" t="str">
            <v>080N140</v>
          </cell>
          <cell r="B92">
            <v>40945</v>
          </cell>
        </row>
        <row r="93">
          <cell r="A93" t="str">
            <v>1107670</v>
          </cell>
        </row>
        <row r="94">
          <cell r="A94" t="str">
            <v>044S590</v>
          </cell>
          <cell r="B94">
            <v>40966</v>
          </cell>
        </row>
        <row r="95">
          <cell r="A95" t="str">
            <v>0333382</v>
          </cell>
          <cell r="B95">
            <v>40960</v>
          </cell>
        </row>
        <row r="96">
          <cell r="A96" t="str">
            <v>032F010</v>
          </cell>
          <cell r="B96">
            <v>40826</v>
          </cell>
        </row>
        <row r="97">
          <cell r="A97" t="str">
            <v>042E220</v>
          </cell>
          <cell r="B97">
            <v>40826</v>
          </cell>
        </row>
        <row r="98">
          <cell r="A98" t="str">
            <v>0237430</v>
          </cell>
        </row>
        <row r="99">
          <cell r="A99" t="str">
            <v>030AA04</v>
          </cell>
          <cell r="B99">
            <v>40833</v>
          </cell>
        </row>
        <row r="100">
          <cell r="A100" t="str">
            <v>0934800</v>
          </cell>
          <cell r="B100">
            <v>40833</v>
          </cell>
        </row>
        <row r="101">
          <cell r="A101" t="str">
            <v>044S060</v>
          </cell>
        </row>
        <row r="102">
          <cell r="A102" t="str">
            <v>0727980</v>
          </cell>
          <cell r="B102">
            <v>40833</v>
          </cell>
        </row>
        <row r="103">
          <cell r="A103" t="str">
            <v>1129840</v>
          </cell>
          <cell r="B103">
            <v>40833</v>
          </cell>
        </row>
        <row r="104">
          <cell r="A104" t="str">
            <v>08R0P93</v>
          </cell>
          <cell r="B104">
            <v>40833</v>
          </cell>
        </row>
        <row r="105">
          <cell r="A105" t="str">
            <v>043S570</v>
          </cell>
        </row>
        <row r="106">
          <cell r="A106" t="str">
            <v>050H430</v>
          </cell>
          <cell r="B106">
            <v>40952</v>
          </cell>
        </row>
        <row r="107">
          <cell r="A107" t="str">
            <v>080C743</v>
          </cell>
        </row>
        <row r="108">
          <cell r="A108" t="str">
            <v>080P800</v>
          </cell>
          <cell r="B108">
            <v>40840</v>
          </cell>
        </row>
        <row r="109">
          <cell r="A109" t="str">
            <v>08R3348</v>
          </cell>
          <cell r="B109">
            <v>40711</v>
          </cell>
        </row>
        <row r="110">
          <cell r="A110" t="str">
            <v>1126530</v>
          </cell>
          <cell r="B110">
            <v>40847</v>
          </cell>
        </row>
        <row r="111">
          <cell r="A111" t="str">
            <v>040C880</v>
          </cell>
          <cell r="B111">
            <v>40847</v>
          </cell>
        </row>
        <row r="112">
          <cell r="A112" t="str">
            <v>040C740</v>
          </cell>
          <cell r="B112">
            <v>40847</v>
          </cell>
        </row>
        <row r="113">
          <cell r="A113" t="str">
            <v>050K230</v>
          </cell>
        </row>
        <row r="114">
          <cell r="A114" t="str">
            <v>042E260</v>
          </cell>
          <cell r="B114">
            <v>40847</v>
          </cell>
        </row>
        <row r="115">
          <cell r="A115" t="str">
            <v>042E250</v>
          </cell>
          <cell r="B115">
            <v>40847</v>
          </cell>
        </row>
        <row r="116">
          <cell r="A116" t="str">
            <v>060L050</v>
          </cell>
        </row>
        <row r="117">
          <cell r="A117" t="str">
            <v>1126200</v>
          </cell>
          <cell r="B117">
            <v>40847</v>
          </cell>
        </row>
        <row r="118">
          <cell r="A118" t="str">
            <v>0428382</v>
          </cell>
        </row>
        <row r="119">
          <cell r="A119" t="str">
            <v>060N070</v>
          </cell>
          <cell r="B119">
            <v>40945</v>
          </cell>
        </row>
        <row r="120">
          <cell r="A120" t="str">
            <v>100V560</v>
          </cell>
          <cell r="B120">
            <v>40931</v>
          </cell>
        </row>
        <row r="121">
          <cell r="A121" t="str">
            <v>043S580</v>
          </cell>
          <cell r="B121">
            <v>40847</v>
          </cell>
        </row>
        <row r="122">
          <cell r="A122" t="str">
            <v>120L660</v>
          </cell>
          <cell r="B122">
            <v>40911</v>
          </cell>
        </row>
        <row r="123">
          <cell r="A123" t="str">
            <v>100Q610</v>
          </cell>
          <cell r="B123">
            <v>40854</v>
          </cell>
        </row>
        <row r="124">
          <cell r="A124" t="str">
            <v>112M240</v>
          </cell>
          <cell r="B124">
            <v>40854</v>
          </cell>
        </row>
        <row r="125">
          <cell r="A125" t="str">
            <v>080G620</v>
          </cell>
        </row>
        <row r="126">
          <cell r="A126" t="str">
            <v>034M320</v>
          </cell>
          <cell r="B126">
            <v>40854</v>
          </cell>
        </row>
        <row r="127">
          <cell r="A127" t="str">
            <v>041E310</v>
          </cell>
          <cell r="B127">
            <v>40854</v>
          </cell>
        </row>
        <row r="128">
          <cell r="A128" t="str">
            <v>0934840</v>
          </cell>
          <cell r="B128">
            <v>40854</v>
          </cell>
        </row>
        <row r="129">
          <cell r="A129" t="str">
            <v>023E900</v>
          </cell>
          <cell r="B129">
            <v>40854</v>
          </cell>
        </row>
        <row r="130">
          <cell r="A130" t="str">
            <v>023E940</v>
          </cell>
          <cell r="B130">
            <v>40854</v>
          </cell>
        </row>
        <row r="131">
          <cell r="A131" t="str">
            <v>042E240</v>
          </cell>
          <cell r="B131">
            <v>40861</v>
          </cell>
        </row>
        <row r="132">
          <cell r="A132" t="str">
            <v>050T900</v>
          </cell>
          <cell r="B132">
            <v>40917</v>
          </cell>
        </row>
        <row r="133">
          <cell r="A133" t="str">
            <v>043S830</v>
          </cell>
        </row>
        <row r="134">
          <cell r="A134" t="str">
            <v>080P780</v>
          </cell>
          <cell r="B134">
            <v>40868</v>
          </cell>
        </row>
        <row r="135">
          <cell r="A135" t="str">
            <v>1107760</v>
          </cell>
          <cell r="B135">
            <v>40868</v>
          </cell>
        </row>
        <row r="136">
          <cell r="A136" t="str">
            <v>042G670</v>
          </cell>
          <cell r="B136">
            <v>40931</v>
          </cell>
        </row>
        <row r="137">
          <cell r="A137" t="str">
            <v>080P730</v>
          </cell>
          <cell r="B137">
            <v>40868</v>
          </cell>
        </row>
        <row r="138">
          <cell r="A138" t="str">
            <v>0934780</v>
          </cell>
          <cell r="B138">
            <v>40868</v>
          </cell>
        </row>
        <row r="139">
          <cell r="A139" t="str">
            <v>023C300</v>
          </cell>
        </row>
        <row r="140">
          <cell r="A140" t="str">
            <v>023E880</v>
          </cell>
          <cell r="B140">
            <v>40868</v>
          </cell>
        </row>
        <row r="141">
          <cell r="A141" t="str">
            <v>040G530</v>
          </cell>
          <cell r="B141">
            <v>40938</v>
          </cell>
        </row>
        <row r="142">
          <cell r="A142" t="str">
            <v>0149870</v>
          </cell>
          <cell r="B142">
            <v>40875</v>
          </cell>
        </row>
        <row r="143">
          <cell r="A143" t="str">
            <v>080J140</v>
          </cell>
        </row>
        <row r="144">
          <cell r="A144" t="str">
            <v>060L720</v>
          </cell>
          <cell r="B144">
            <v>40966</v>
          </cell>
        </row>
        <row r="145">
          <cell r="A145" t="str">
            <v>080P710</v>
          </cell>
          <cell r="B145">
            <v>40945</v>
          </cell>
        </row>
        <row r="146">
          <cell r="A146" t="str">
            <v>042E160</v>
          </cell>
          <cell r="B146">
            <v>40882</v>
          </cell>
        </row>
        <row r="147">
          <cell r="A147" t="str">
            <v>060L800</v>
          </cell>
          <cell r="B147">
            <v>40882</v>
          </cell>
        </row>
        <row r="148">
          <cell r="A148" t="str">
            <v>041E970</v>
          </cell>
          <cell r="B148">
            <v>40882</v>
          </cell>
        </row>
        <row r="149">
          <cell r="A149" t="str">
            <v>060N170</v>
          </cell>
          <cell r="B149">
            <v>40882</v>
          </cell>
        </row>
        <row r="150">
          <cell r="A150" t="str">
            <v>080L590</v>
          </cell>
        </row>
        <row r="151">
          <cell r="A151" t="str">
            <v>022E750</v>
          </cell>
          <cell r="B151">
            <v>40960</v>
          </cell>
        </row>
        <row r="152">
          <cell r="A152" t="str">
            <v>071W050</v>
          </cell>
          <cell r="B152">
            <v>40889</v>
          </cell>
        </row>
        <row r="153">
          <cell r="A153" t="str">
            <v>080K240</v>
          </cell>
          <cell r="B153">
            <v>40889</v>
          </cell>
        </row>
        <row r="154">
          <cell r="A154" t="str">
            <v>031E000</v>
          </cell>
        </row>
        <row r="155">
          <cell r="A155" t="str">
            <v>120M140</v>
          </cell>
        </row>
        <row r="156">
          <cell r="A156" t="str">
            <v>080P690</v>
          </cell>
          <cell r="B156">
            <v>40945</v>
          </cell>
        </row>
        <row r="157">
          <cell r="A157" t="str">
            <v>060N280</v>
          </cell>
          <cell r="B157">
            <v>40889</v>
          </cell>
        </row>
        <row r="158">
          <cell r="A158" t="str">
            <v>071W030</v>
          </cell>
          <cell r="B158">
            <v>40925</v>
          </cell>
        </row>
        <row r="159">
          <cell r="A159" t="str">
            <v>034M230</v>
          </cell>
          <cell r="B159">
            <v>40896</v>
          </cell>
        </row>
        <row r="160">
          <cell r="A160" t="str">
            <v>080P680</v>
          </cell>
        </row>
        <row r="161">
          <cell r="A161" t="str">
            <v>074T420</v>
          </cell>
        </row>
        <row r="162">
          <cell r="A162" t="str">
            <v>060M270</v>
          </cell>
          <cell r="B162">
            <v>40960</v>
          </cell>
        </row>
        <row r="163">
          <cell r="A163" t="str">
            <v>100V590</v>
          </cell>
        </row>
        <row r="164">
          <cell r="A164" t="str">
            <v>060N230</v>
          </cell>
          <cell r="B164">
            <v>40904</v>
          </cell>
        </row>
        <row r="165">
          <cell r="A165" t="str">
            <v>080P840</v>
          </cell>
          <cell r="B165">
            <v>40904</v>
          </cell>
        </row>
        <row r="166">
          <cell r="A166" t="str">
            <v>074Y900</v>
          </cell>
          <cell r="B166">
            <v>40904</v>
          </cell>
        </row>
        <row r="167">
          <cell r="A167" t="str">
            <v>042E230</v>
          </cell>
          <cell r="B167">
            <v>40904</v>
          </cell>
        </row>
        <row r="168">
          <cell r="A168" t="str">
            <v>044C351</v>
          </cell>
          <cell r="B168">
            <v>40904</v>
          </cell>
        </row>
        <row r="169">
          <cell r="A169" t="str">
            <v>074Y910</v>
          </cell>
          <cell r="B169">
            <v>40904</v>
          </cell>
        </row>
        <row r="170">
          <cell r="A170" t="str">
            <v>074Y550</v>
          </cell>
          <cell r="B170">
            <v>40904</v>
          </cell>
        </row>
        <row r="171">
          <cell r="A171" t="str">
            <v>10R0S19</v>
          </cell>
          <cell r="B171">
            <v>40798</v>
          </cell>
        </row>
        <row r="172">
          <cell r="A172" t="str">
            <v>050T020</v>
          </cell>
          <cell r="B172">
            <v>40911</v>
          </cell>
        </row>
        <row r="173">
          <cell r="A173" t="str">
            <v>060L200</v>
          </cell>
        </row>
        <row r="174">
          <cell r="A174" t="str">
            <v>060N220</v>
          </cell>
          <cell r="B174">
            <v>40911</v>
          </cell>
        </row>
        <row r="175">
          <cell r="A175" t="str">
            <v>060N300</v>
          </cell>
          <cell r="B175">
            <v>40911</v>
          </cell>
        </row>
        <row r="176">
          <cell r="A176" t="str">
            <v>04R4A88</v>
          </cell>
          <cell r="B176">
            <v>40812</v>
          </cell>
        </row>
        <row r="177">
          <cell r="A177" t="str">
            <v>023E920</v>
          </cell>
          <cell r="B177">
            <v>40911</v>
          </cell>
        </row>
        <row r="178">
          <cell r="A178" t="str">
            <v>042E530</v>
          </cell>
          <cell r="B178">
            <v>40911</v>
          </cell>
        </row>
        <row r="179">
          <cell r="A179" t="str">
            <v>060N240</v>
          </cell>
          <cell r="B179">
            <v>40911</v>
          </cell>
        </row>
        <row r="180">
          <cell r="A180" t="str">
            <v>033M820</v>
          </cell>
          <cell r="B180">
            <v>40911</v>
          </cell>
        </row>
        <row r="181">
          <cell r="A181" t="str">
            <v>080P750</v>
          </cell>
          <cell r="B181">
            <v>40945</v>
          </cell>
        </row>
        <row r="182">
          <cell r="A182" t="str">
            <v>060K450</v>
          </cell>
          <cell r="B182">
            <v>40966</v>
          </cell>
        </row>
        <row r="183">
          <cell r="A183" t="str">
            <v>034M220</v>
          </cell>
          <cell r="B183">
            <v>40911</v>
          </cell>
        </row>
        <row r="184">
          <cell r="A184" t="str">
            <v>120L760</v>
          </cell>
          <cell r="B184">
            <v>40960</v>
          </cell>
        </row>
        <row r="185">
          <cell r="A185" t="str">
            <v>044A923</v>
          </cell>
        </row>
        <row r="186">
          <cell r="A186" t="str">
            <v>112T088</v>
          </cell>
          <cell r="B186">
            <v>40917</v>
          </cell>
        </row>
        <row r="187">
          <cell r="A187" t="str">
            <v>074Y770</v>
          </cell>
          <cell r="B187">
            <v>40917</v>
          </cell>
        </row>
        <row r="188">
          <cell r="A188" t="str">
            <v>074Y740</v>
          </cell>
          <cell r="B188">
            <v>40917</v>
          </cell>
        </row>
        <row r="189">
          <cell r="A189" t="str">
            <v>021E240</v>
          </cell>
        </row>
        <row r="190">
          <cell r="A190" t="str">
            <v>100V990</v>
          </cell>
          <cell r="B190">
            <v>40925</v>
          </cell>
        </row>
        <row r="191">
          <cell r="A191" t="str">
            <v>074Y560</v>
          </cell>
          <cell r="B191">
            <v>40925</v>
          </cell>
        </row>
        <row r="192">
          <cell r="A192" t="str">
            <v>0149880</v>
          </cell>
          <cell r="B192">
            <v>40925</v>
          </cell>
        </row>
        <row r="193">
          <cell r="A193" t="str">
            <v>0726700</v>
          </cell>
          <cell r="B193">
            <v>40931</v>
          </cell>
        </row>
        <row r="194">
          <cell r="A194" t="str">
            <v>1129170</v>
          </cell>
          <cell r="B194">
            <v>40931</v>
          </cell>
        </row>
        <row r="195">
          <cell r="A195" t="str">
            <v>074Y360</v>
          </cell>
          <cell r="B195">
            <v>40938</v>
          </cell>
        </row>
        <row r="196">
          <cell r="A196" t="str">
            <v>010A210</v>
          </cell>
          <cell r="B196">
            <v>40938</v>
          </cell>
        </row>
        <row r="197">
          <cell r="A197" t="str">
            <v>0549370</v>
          </cell>
          <cell r="B197">
            <v>40931</v>
          </cell>
        </row>
        <row r="198">
          <cell r="A198" t="str">
            <v>023E990</v>
          </cell>
          <cell r="B198">
            <v>40938</v>
          </cell>
        </row>
        <row r="199">
          <cell r="A199" t="str">
            <v>050R810</v>
          </cell>
          <cell r="B199">
            <v>40931</v>
          </cell>
        </row>
        <row r="200">
          <cell r="A200" t="str">
            <v>023E910</v>
          </cell>
          <cell r="B200">
            <v>40945</v>
          </cell>
        </row>
        <row r="201">
          <cell r="A201" t="str">
            <v>023E930</v>
          </cell>
          <cell r="B201">
            <v>40945</v>
          </cell>
        </row>
        <row r="202">
          <cell r="A202" t="str">
            <v>04R4A07</v>
          </cell>
          <cell r="B202">
            <v>40749</v>
          </cell>
        </row>
        <row r="203">
          <cell r="A203" t="str">
            <v>100V910</v>
          </cell>
          <cell r="B203">
            <v>40945</v>
          </cell>
        </row>
        <row r="204">
          <cell r="A204" t="str">
            <v>112T087</v>
          </cell>
          <cell r="B204">
            <v>40945</v>
          </cell>
        </row>
        <row r="205">
          <cell r="A205" t="str">
            <v>034M190</v>
          </cell>
          <cell r="B205">
            <v>40945</v>
          </cell>
        </row>
        <row r="206">
          <cell r="A206" t="str">
            <v>074T460</v>
          </cell>
          <cell r="B206">
            <v>40945</v>
          </cell>
        </row>
        <row r="207">
          <cell r="A207" t="str">
            <v>074Y830</v>
          </cell>
          <cell r="B207">
            <v>40945</v>
          </cell>
        </row>
        <row r="208">
          <cell r="A208" t="str">
            <v>034M010</v>
          </cell>
          <cell r="B208">
            <v>40945</v>
          </cell>
        </row>
        <row r="209">
          <cell r="A209" t="str">
            <v>023E950</v>
          </cell>
          <cell r="B209">
            <v>40952</v>
          </cell>
        </row>
        <row r="210">
          <cell r="A210" t="str">
            <v>060M700</v>
          </cell>
          <cell r="B210">
            <v>40952</v>
          </cell>
        </row>
        <row r="211">
          <cell r="A211" t="str">
            <v>100V880</v>
          </cell>
          <cell r="B211">
            <v>40952</v>
          </cell>
        </row>
        <row r="212">
          <cell r="A212" t="str">
            <v>074Y080</v>
          </cell>
          <cell r="B212">
            <v>40952</v>
          </cell>
        </row>
        <row r="213">
          <cell r="A213" t="str">
            <v>023E890</v>
          </cell>
          <cell r="B213">
            <v>40952</v>
          </cell>
        </row>
        <row r="214">
          <cell r="A214" t="str">
            <v>080P790</v>
          </cell>
          <cell r="B214">
            <v>40952</v>
          </cell>
        </row>
        <row r="215">
          <cell r="A215" t="str">
            <v>051A420</v>
          </cell>
          <cell r="B215">
            <v>40960</v>
          </cell>
        </row>
        <row r="216">
          <cell r="A216" t="str">
            <v>050T330</v>
          </cell>
          <cell r="B216">
            <v>40960</v>
          </cell>
        </row>
        <row r="217">
          <cell r="A217" t="str">
            <v>074T370</v>
          </cell>
          <cell r="B217">
            <v>40960</v>
          </cell>
        </row>
        <row r="218">
          <cell r="A218" t="str">
            <v>033M930</v>
          </cell>
          <cell r="B218">
            <v>40960</v>
          </cell>
        </row>
        <row r="219">
          <cell r="A219" t="str">
            <v>024E380</v>
          </cell>
          <cell r="B219">
            <v>40960</v>
          </cell>
        </row>
        <row r="220">
          <cell r="A220" t="str">
            <v>074Y510</v>
          </cell>
          <cell r="B220">
            <v>40960</v>
          </cell>
        </row>
        <row r="221">
          <cell r="A221" t="str">
            <v>041E240</v>
          </cell>
          <cell r="B221">
            <v>40960</v>
          </cell>
        </row>
        <row r="222">
          <cell r="A222" t="str">
            <v>0143170</v>
          </cell>
          <cell r="B222">
            <v>40960</v>
          </cell>
        </row>
        <row r="223">
          <cell r="A223" t="str">
            <v>023E640</v>
          </cell>
          <cell r="B223">
            <v>40960</v>
          </cell>
        </row>
        <row r="224">
          <cell r="A224" t="str">
            <v>023E070</v>
          </cell>
          <cell r="B224">
            <v>40960</v>
          </cell>
        </row>
        <row r="225">
          <cell r="A225" t="str">
            <v>071W020</v>
          </cell>
          <cell r="B225">
            <v>40960</v>
          </cell>
        </row>
        <row r="226">
          <cell r="A226" t="str">
            <v>074Y840</v>
          </cell>
          <cell r="B226">
            <v>40966</v>
          </cell>
        </row>
        <row r="227">
          <cell r="A227" t="str">
            <v>040G140</v>
          </cell>
          <cell r="B227">
            <v>40966</v>
          </cell>
        </row>
        <row r="228">
          <cell r="A228" t="str">
            <v>042E520</v>
          </cell>
          <cell r="B228">
            <v>40966</v>
          </cell>
        </row>
        <row r="229">
          <cell r="A229" t="str">
            <v>073Y950</v>
          </cell>
          <cell r="B229">
            <v>40966</v>
          </cell>
        </row>
        <row r="230">
          <cell r="A230" t="str">
            <v>042E580</v>
          </cell>
          <cell r="B230">
            <v>40966</v>
          </cell>
        </row>
        <row r="231">
          <cell r="A231" t="str">
            <v>050T400</v>
          </cell>
          <cell r="B231">
            <v>40966</v>
          </cell>
        </row>
        <row r="232">
          <cell r="A232" t="str">
            <v>072X920</v>
          </cell>
          <cell r="B232">
            <v>40966</v>
          </cell>
        </row>
        <row r="233">
          <cell r="A233" t="str">
            <v>112M200</v>
          </cell>
          <cell r="B233">
            <v>40966</v>
          </cell>
        </row>
        <row r="234">
          <cell r="A234" t="str">
            <v>033M810</v>
          </cell>
          <cell r="B234">
            <v>40966</v>
          </cell>
        </row>
        <row r="235">
          <cell r="A235" t="str">
            <v>034M240</v>
          </cell>
          <cell r="B235">
            <v>40966</v>
          </cell>
        </row>
        <row r="236">
          <cell r="A236" t="str">
            <v>042E420</v>
          </cell>
          <cell r="B236">
            <v>40966</v>
          </cell>
        </row>
        <row r="237">
          <cell r="A237" t="str">
            <v>042E460</v>
          </cell>
          <cell r="B237">
            <v>40966</v>
          </cell>
        </row>
        <row r="238">
          <cell r="A238" t="str">
            <v>042E470</v>
          </cell>
          <cell r="B238">
            <v>40966</v>
          </cell>
        </row>
        <row r="239">
          <cell r="A239" t="str">
            <v>042E620</v>
          </cell>
          <cell r="B239">
            <v>40966</v>
          </cell>
        </row>
        <row r="240">
          <cell r="A240" t="str">
            <v>042E640</v>
          </cell>
          <cell r="B240">
            <v>40966</v>
          </cell>
        </row>
        <row r="241">
          <cell r="A241" t="str">
            <v>051A160</v>
          </cell>
          <cell r="B241">
            <v>40966</v>
          </cell>
        </row>
        <row r="242">
          <cell r="A242" t="str">
            <v>112M260</v>
          </cell>
          <cell r="B242">
            <v>40966</v>
          </cell>
        </row>
        <row r="243">
          <cell r="A243" t="str">
            <v>072Y440</v>
          </cell>
          <cell r="B243">
            <v>40966</v>
          </cell>
        </row>
        <row r="244">
          <cell r="A244" t="str">
            <v>074Y810</v>
          </cell>
          <cell r="B244">
            <v>40966</v>
          </cell>
        </row>
        <row r="245">
          <cell r="A245" t="str">
            <v>042E490</v>
          </cell>
        </row>
        <row r="246">
          <cell r="A246" t="str">
            <v>042L140</v>
          </cell>
        </row>
        <row r="247">
          <cell r="A247" t="str">
            <v>042E450</v>
          </cell>
        </row>
        <row r="248">
          <cell r="A248" t="str">
            <v>0149070</v>
          </cell>
        </row>
        <row r="249">
          <cell r="A249" t="str">
            <v>042E430</v>
          </cell>
        </row>
        <row r="250">
          <cell r="A250" t="str">
            <v>080P950</v>
          </cell>
        </row>
        <row r="251">
          <cell r="A251" t="str">
            <v>034M120</v>
          </cell>
        </row>
        <row r="252">
          <cell r="A252" t="str">
            <v>023E610</v>
          </cell>
        </row>
        <row r="253">
          <cell r="A253" t="str">
            <v>0633741</v>
          </cell>
        </row>
        <row r="254">
          <cell r="A254" t="str">
            <v>07C1428</v>
          </cell>
        </row>
        <row r="255">
          <cell r="A255" t="str">
            <v>05C0C66</v>
          </cell>
        </row>
        <row r="256">
          <cell r="A256" t="str">
            <v>07C2074</v>
          </cell>
        </row>
        <row r="257">
          <cell r="A257" t="str">
            <v>04C0C79</v>
          </cell>
        </row>
        <row r="258">
          <cell r="A258" t="str">
            <v>07C2071</v>
          </cell>
        </row>
        <row r="259">
          <cell r="A259" t="str">
            <v>06C3424</v>
          </cell>
        </row>
        <row r="260">
          <cell r="A260" t="str">
            <v>04C2261</v>
          </cell>
        </row>
        <row r="261">
          <cell r="A261" t="str">
            <v>11C1460</v>
          </cell>
        </row>
        <row r="262">
          <cell r="A262" t="str">
            <v>04C0C68</v>
          </cell>
        </row>
        <row r="263">
          <cell r="A263" t="str">
            <v>08C4827</v>
          </cell>
        </row>
        <row r="264">
          <cell r="A264" t="str">
            <v>01C3101</v>
          </cell>
        </row>
        <row r="265">
          <cell r="A265" t="str">
            <v>08C3590</v>
          </cell>
        </row>
        <row r="266">
          <cell r="A266" t="str">
            <v>07C2355</v>
          </cell>
        </row>
        <row r="267">
          <cell r="A267" t="str">
            <v>07C1167</v>
          </cell>
        </row>
        <row r="268">
          <cell r="A268" t="str">
            <v>07C1167</v>
          </cell>
        </row>
        <row r="269">
          <cell r="A269" t="str">
            <v>04C2900</v>
          </cell>
        </row>
        <row r="270">
          <cell r="A270" t="str">
            <v>04C4460</v>
          </cell>
        </row>
        <row r="271">
          <cell r="A271" t="str">
            <v>04C0C77</v>
          </cell>
        </row>
        <row r="272">
          <cell r="A272" t="str">
            <v>08C0E94</v>
          </cell>
        </row>
        <row r="273">
          <cell r="A273" t="str">
            <v>06C4844</v>
          </cell>
        </row>
        <row r="274">
          <cell r="A274" t="str">
            <v>03C3822</v>
          </cell>
        </row>
        <row r="275">
          <cell r="A275" t="str">
            <v>04C2R22</v>
          </cell>
        </row>
        <row r="276">
          <cell r="A276" t="str">
            <v>03C2M14</v>
          </cell>
        </row>
        <row r="277">
          <cell r="A277" t="str">
            <v>04C2R83</v>
          </cell>
        </row>
        <row r="278">
          <cell r="A278" t="str">
            <v>11C2575</v>
          </cell>
        </row>
        <row r="279">
          <cell r="A279" t="str">
            <v>06C4625</v>
          </cell>
        </row>
        <row r="280">
          <cell r="A280" t="str">
            <v>07C3N80</v>
          </cell>
        </row>
        <row r="281">
          <cell r="A281" t="str">
            <v>04C2839</v>
          </cell>
        </row>
        <row r="282">
          <cell r="A282" t="str">
            <v>02C3509</v>
          </cell>
        </row>
        <row r="283">
          <cell r="A283" t="str">
            <v>02C3906</v>
          </cell>
        </row>
        <row r="284">
          <cell r="A284" t="str">
            <v>02C3907</v>
          </cell>
        </row>
        <row r="285">
          <cell r="A285" t="str">
            <v>02C3912</v>
          </cell>
        </row>
        <row r="286">
          <cell r="A286" t="str">
            <v>04C1305</v>
          </cell>
        </row>
        <row r="287">
          <cell r="A287" t="str">
            <v>04C1519</v>
          </cell>
        </row>
        <row r="288">
          <cell r="A288" t="str">
            <v>04C2077</v>
          </cell>
        </row>
        <row r="289">
          <cell r="A289" t="str">
            <v>04C4446</v>
          </cell>
        </row>
        <row r="290">
          <cell r="A290" t="str">
            <v>04C4447</v>
          </cell>
        </row>
        <row r="291">
          <cell r="A291" t="str">
            <v>04C4708</v>
          </cell>
        </row>
        <row r="292">
          <cell r="A292" t="str">
            <v>05C3453</v>
          </cell>
        </row>
        <row r="293">
          <cell r="A293" t="str">
            <v>05C4481</v>
          </cell>
        </row>
        <row r="294">
          <cell r="A294" t="str">
            <v>07C1154</v>
          </cell>
        </row>
        <row r="295">
          <cell r="A295" t="str">
            <v>08C4741</v>
          </cell>
        </row>
        <row r="296">
          <cell r="A296" t="str">
            <v>09C3018</v>
          </cell>
        </row>
        <row r="297">
          <cell r="A297" t="str">
            <v>02C2885</v>
          </cell>
        </row>
        <row r="298">
          <cell r="A298" t="str">
            <v>03C0C00</v>
          </cell>
        </row>
        <row r="299">
          <cell r="A299" t="str">
            <v>04C0109</v>
          </cell>
        </row>
        <row r="300">
          <cell r="A300" t="str">
            <v>04C2637</v>
          </cell>
        </row>
        <row r="301">
          <cell r="A301" t="str">
            <v>04C2716</v>
          </cell>
        </row>
        <row r="302">
          <cell r="A302" t="str">
            <v>04C2811</v>
          </cell>
        </row>
        <row r="303">
          <cell r="A303" t="str">
            <v>04C4460</v>
          </cell>
        </row>
        <row r="304">
          <cell r="A304" t="str">
            <v>05C4306</v>
          </cell>
        </row>
        <row r="305">
          <cell r="A305" t="str">
            <v>06C2434</v>
          </cell>
        </row>
        <row r="306">
          <cell r="A306" t="str">
            <v>06C4317</v>
          </cell>
        </row>
        <row r="307">
          <cell r="A307" t="str">
            <v>06C4318</v>
          </cell>
        </row>
        <row r="308">
          <cell r="A308" t="str">
            <v>06C4764</v>
          </cell>
        </row>
        <row r="309">
          <cell r="A309" t="str">
            <v>07C1407</v>
          </cell>
        </row>
        <row r="310">
          <cell r="A310" t="str">
            <v>07C1800</v>
          </cell>
        </row>
        <row r="311">
          <cell r="A311" t="str">
            <v>07C2016</v>
          </cell>
        </row>
        <row r="312">
          <cell r="A312" t="str">
            <v>07C2050</v>
          </cell>
        </row>
        <row r="313">
          <cell r="A313" t="str">
            <v>07C2183</v>
          </cell>
        </row>
        <row r="314">
          <cell r="A314" t="str">
            <v>07C2238</v>
          </cell>
        </row>
        <row r="315">
          <cell r="A315" t="str">
            <v>07C4H06</v>
          </cell>
        </row>
        <row r="316">
          <cell r="A316" t="str">
            <v>08C0C44</v>
          </cell>
        </row>
        <row r="317">
          <cell r="A317" t="str">
            <v>08C3548</v>
          </cell>
        </row>
        <row r="318">
          <cell r="A318" t="str">
            <v>08C3742</v>
          </cell>
        </row>
        <row r="319">
          <cell r="A319" t="str">
            <v>09C2941</v>
          </cell>
        </row>
        <row r="320">
          <cell r="A320" t="str">
            <v>10C2A98</v>
          </cell>
        </row>
        <row r="321">
          <cell r="A321" t="str">
            <v>10C4064</v>
          </cell>
        </row>
        <row r="322">
          <cell r="A322" t="str">
            <v>10C4823</v>
          </cell>
        </row>
        <row r="323">
          <cell r="A323" t="str">
            <v>11C0704</v>
          </cell>
        </row>
        <row r="324">
          <cell r="A324" t="str">
            <v>11C2379</v>
          </cell>
        </row>
        <row r="325">
          <cell r="A325" t="str">
            <v>11C2395</v>
          </cell>
        </row>
        <row r="326">
          <cell r="A326" t="str">
            <v>11C2396</v>
          </cell>
        </row>
        <row r="327">
          <cell r="A327" t="str">
            <v>12C0793</v>
          </cell>
        </row>
        <row r="328">
          <cell r="A328" t="str">
            <v>12C0932</v>
          </cell>
        </row>
        <row r="329">
          <cell r="A329" t="str">
            <v>12C0G00</v>
          </cell>
        </row>
        <row r="330">
          <cell r="A330" t="str">
            <v>04C0A27</v>
          </cell>
        </row>
        <row r="331">
          <cell r="A331" t="str">
            <v>04C1S28</v>
          </cell>
        </row>
        <row r="332">
          <cell r="A332" t="str">
            <v>07C2185</v>
          </cell>
        </row>
        <row r="333">
          <cell r="A333" t="str">
            <v>11C2395</v>
          </cell>
        </row>
        <row r="334">
          <cell r="A334" t="str">
            <v>04C0A27</v>
          </cell>
        </row>
        <row r="335">
          <cell r="A335" t="str">
            <v>11C0704</v>
          </cell>
        </row>
        <row r="336">
          <cell r="A336" t="str">
            <v>11C2396</v>
          </cell>
        </row>
        <row r="337">
          <cell r="A337" t="str">
            <v>04C2811</v>
          </cell>
        </row>
        <row r="338">
          <cell r="A338" t="str">
            <v>06C4317</v>
          </cell>
        </row>
        <row r="339">
          <cell r="A339" t="str">
            <v>07C2238</v>
          </cell>
        </row>
        <row r="340">
          <cell r="A340" t="str">
            <v>12C0A73</v>
          </cell>
        </row>
        <row r="341">
          <cell r="A341" t="str">
            <v>04C0109</v>
          </cell>
        </row>
        <row r="342">
          <cell r="A342" t="str">
            <v>03C0C00</v>
          </cell>
        </row>
        <row r="343">
          <cell r="A343" t="str">
            <v>08C3742</v>
          </cell>
        </row>
        <row r="344">
          <cell r="A344" t="str">
            <v>06C3882</v>
          </cell>
        </row>
        <row r="345">
          <cell r="A345" t="str">
            <v>04C2724</v>
          </cell>
        </row>
        <row r="346">
          <cell r="A346" t="str">
            <v>08C4370</v>
          </cell>
        </row>
        <row r="347">
          <cell r="A347" t="str">
            <v>02C3965</v>
          </cell>
        </row>
        <row r="348">
          <cell r="A348" t="str">
            <v>04C1247</v>
          </cell>
        </row>
        <row r="349">
          <cell r="A349" t="str">
            <v>02C3509</v>
          </cell>
        </row>
        <row r="350">
          <cell r="A350" t="str">
            <v>08C3753</v>
          </cell>
        </row>
        <row r="351">
          <cell r="A351" t="str">
            <v>10C4442</v>
          </cell>
        </row>
        <row r="352">
          <cell r="A352" t="str">
            <v>03C2C84</v>
          </cell>
        </row>
        <row r="353">
          <cell r="A353" t="str">
            <v>03C1A16</v>
          </cell>
        </row>
        <row r="354">
          <cell r="A354" t="str">
            <v>07C1827</v>
          </cell>
        </row>
        <row r="355">
          <cell r="A355" t="str">
            <v>12C0756</v>
          </cell>
        </row>
        <row r="356">
          <cell r="A356" t="str">
            <v>03C1A14</v>
          </cell>
        </row>
        <row r="357">
          <cell r="A357" t="str">
            <v>02C3866</v>
          </cell>
        </row>
        <row r="358">
          <cell r="A358" t="str">
            <v>04C0120</v>
          </cell>
        </row>
        <row r="359">
          <cell r="A359" t="str">
            <v>06C4628</v>
          </cell>
        </row>
        <row r="360">
          <cell r="A360" t="str">
            <v>06C3424</v>
          </cell>
        </row>
        <row r="361">
          <cell r="A361" t="str">
            <v>04C2099</v>
          </cell>
        </row>
        <row r="362">
          <cell r="A362" t="str">
            <v>08C4823</v>
          </cell>
        </row>
        <row r="363">
          <cell r="A363" t="str">
            <v>02C0C55</v>
          </cell>
        </row>
        <row r="364">
          <cell r="A364" t="str">
            <v>03C2C84</v>
          </cell>
        </row>
        <row r="365">
          <cell r="A365" t="str">
            <v>07C2203</v>
          </cell>
        </row>
        <row r="366">
          <cell r="A366" t="str">
            <v>03C3C20</v>
          </cell>
        </row>
        <row r="367">
          <cell r="A367" t="str">
            <v>04C1123</v>
          </cell>
        </row>
        <row r="368">
          <cell r="A368" t="str">
            <v>08C4827</v>
          </cell>
        </row>
        <row r="369">
          <cell r="A369" t="str">
            <v>04C0C96</v>
          </cell>
        </row>
        <row r="370">
          <cell r="A370" t="str">
            <v>06C0A57</v>
          </cell>
        </row>
        <row r="371">
          <cell r="A371" t="str">
            <v>04C4C08</v>
          </cell>
        </row>
        <row r="372">
          <cell r="A372" t="str">
            <v>10C0E97</v>
          </cell>
        </row>
        <row r="373">
          <cell r="A373" t="str">
            <v>08C0F88</v>
          </cell>
        </row>
        <row r="374">
          <cell r="A374" t="str">
            <v>08C0F93</v>
          </cell>
        </row>
        <row r="375">
          <cell r="A375" t="str">
            <v>07C1Y15</v>
          </cell>
        </row>
        <row r="376">
          <cell r="A376" t="str">
            <v>06C0E99</v>
          </cell>
        </row>
        <row r="377">
          <cell r="A377" t="str">
            <v>07C1Y56</v>
          </cell>
        </row>
        <row r="378">
          <cell r="A378" t="str">
            <v>02C3965</v>
          </cell>
        </row>
        <row r="379">
          <cell r="A379" t="str">
            <v>07C1888</v>
          </cell>
        </row>
        <row r="380">
          <cell r="A380" t="str">
            <v>11C2465</v>
          </cell>
        </row>
        <row r="381">
          <cell r="A381" t="str">
            <v>04C0A89</v>
          </cell>
        </row>
        <row r="382">
          <cell r="A382" t="str">
            <v>04C2S46</v>
          </cell>
        </row>
        <row r="383">
          <cell r="A383" t="str">
            <v>02C2C00</v>
          </cell>
        </row>
        <row r="384">
          <cell r="A384" t="str">
            <v>02C1C99</v>
          </cell>
        </row>
        <row r="385">
          <cell r="A385" t="str">
            <v>07C4H06</v>
          </cell>
        </row>
        <row r="386">
          <cell r="A386" t="str">
            <v>05C4306</v>
          </cell>
        </row>
        <row r="387">
          <cell r="A387" t="str">
            <v>02C3617</v>
          </cell>
        </row>
        <row r="388">
          <cell r="A388" t="str">
            <v>07C2266</v>
          </cell>
        </row>
        <row r="389">
          <cell r="A389" t="str">
            <v>03C2C77</v>
          </cell>
        </row>
        <row r="390">
          <cell r="A390" t="str">
            <v>07C1428</v>
          </cell>
        </row>
        <row r="391">
          <cell r="A391" t="str">
            <v>04C2261</v>
          </cell>
        </row>
        <row r="392">
          <cell r="A392" t="str">
            <v>05C4641</v>
          </cell>
        </row>
        <row r="393">
          <cell r="A393" t="str">
            <v>07C2267</v>
          </cell>
        </row>
        <row r="394">
          <cell r="A394" t="str">
            <v>11C0918</v>
          </cell>
        </row>
        <row r="395">
          <cell r="A395" t="str">
            <v>05C0A49</v>
          </cell>
        </row>
        <row r="396">
          <cell r="A396" t="str">
            <v>12C0C87</v>
          </cell>
        </row>
        <row r="397">
          <cell r="A397" t="str">
            <v>03C4C68</v>
          </cell>
        </row>
        <row r="398">
          <cell r="A398" t="str">
            <v>06C4629</v>
          </cell>
        </row>
        <row r="399">
          <cell r="A399" t="str">
            <v>01C4576</v>
          </cell>
        </row>
        <row r="400">
          <cell r="A400" t="str">
            <v>01C4577</v>
          </cell>
        </row>
        <row r="401">
          <cell r="A401" t="str">
            <v>03C0E21</v>
          </cell>
        </row>
        <row r="402">
          <cell r="A402" t="str">
            <v>12C0756</v>
          </cell>
        </row>
        <row r="403">
          <cell r="A403" t="str">
            <v>12C0A73</v>
          </cell>
        </row>
        <row r="404">
          <cell r="A404" t="str">
            <v>05C4748</v>
          </cell>
        </row>
        <row r="405">
          <cell r="A405" t="str">
            <v>08C0H68</v>
          </cell>
        </row>
        <row r="406">
          <cell r="A406" t="str">
            <v>03C1E69</v>
          </cell>
        </row>
        <row r="407">
          <cell r="A407" t="str">
            <v>07C2396</v>
          </cell>
        </row>
        <row r="408">
          <cell r="A408" t="str">
            <v>04C2990</v>
          </cell>
        </row>
        <row r="409">
          <cell r="A409" t="str">
            <v>04C2099</v>
          </cell>
        </row>
        <row r="410">
          <cell r="A410" t="str">
            <v>03C3A04</v>
          </cell>
        </row>
        <row r="411">
          <cell r="A411" t="str">
            <v>08C4795</v>
          </cell>
        </row>
        <row r="412">
          <cell r="A412" t="str">
            <v>07C1189</v>
          </cell>
        </row>
        <row r="413">
          <cell r="A413" t="str">
            <v>04C1A61</v>
          </cell>
        </row>
        <row r="414">
          <cell r="A414" t="str">
            <v>07C2469</v>
          </cell>
        </row>
        <row r="415">
          <cell r="A415" t="str">
            <v>01C4293</v>
          </cell>
        </row>
        <row r="416">
          <cell r="A416" t="str">
            <v>07C2Y43</v>
          </cell>
        </row>
        <row r="417">
          <cell r="A417" t="str">
            <v>03C3E32</v>
          </cell>
        </row>
        <row r="418">
          <cell r="A418" t="str">
            <v>09C3380</v>
          </cell>
        </row>
        <row r="419">
          <cell r="A419" t="str">
            <v>02C0E06</v>
          </cell>
        </row>
        <row r="420">
          <cell r="A420" t="str">
            <v>02C0E54</v>
          </cell>
        </row>
        <row r="421">
          <cell r="A421" t="str">
            <v>08C0J04</v>
          </cell>
        </row>
        <row r="422">
          <cell r="A422" t="str">
            <v>07C1272</v>
          </cell>
        </row>
        <row r="423">
          <cell r="A423" t="str">
            <v>04C0A55</v>
          </cell>
        </row>
        <row r="424">
          <cell r="A424" t="str">
            <v>04C0140</v>
          </cell>
        </row>
        <row r="425">
          <cell r="A425" t="str">
            <v>02C3958</v>
          </cell>
        </row>
        <row r="426">
          <cell r="A426" t="str">
            <v>06C4834</v>
          </cell>
        </row>
        <row r="427">
          <cell r="A427" t="str">
            <v>06R4856</v>
          </cell>
        </row>
        <row r="428">
          <cell r="A428" t="str">
            <v>04C1513</v>
          </cell>
        </row>
        <row r="429">
          <cell r="A429" t="str">
            <v>01C3643</v>
          </cell>
        </row>
        <row r="430">
          <cell r="A430" t="str">
            <v>12C0F92</v>
          </cell>
        </row>
        <row r="431">
          <cell r="A431" t="str">
            <v>07C2506</v>
          </cell>
        </row>
        <row r="432">
          <cell r="A432" t="str">
            <v>04C0A91</v>
          </cell>
        </row>
        <row r="433">
          <cell r="A433" t="str">
            <v>05C3159</v>
          </cell>
        </row>
        <row r="434">
          <cell r="A434" t="str">
            <v>09C3342</v>
          </cell>
        </row>
        <row r="435">
          <cell r="A435" t="str">
            <v>08C0L28</v>
          </cell>
        </row>
        <row r="436">
          <cell r="A436" t="str">
            <v>08C0L68</v>
          </cell>
        </row>
        <row r="437">
          <cell r="A437" t="str">
            <v>08C0L73</v>
          </cell>
        </row>
        <row r="438">
          <cell r="A438" t="str">
            <v>02C0E61</v>
          </cell>
        </row>
        <row r="439">
          <cell r="A439" t="str">
            <v>02C1E32</v>
          </cell>
        </row>
        <row r="440">
          <cell r="A440" t="str">
            <v>02C0E65</v>
          </cell>
        </row>
        <row r="441">
          <cell r="A441" t="str">
            <v>04C3A11</v>
          </cell>
        </row>
        <row r="442">
          <cell r="A442" t="str">
            <v>04C4C34</v>
          </cell>
        </row>
        <row r="443">
          <cell r="A443" t="str">
            <v>02C1E98</v>
          </cell>
        </row>
        <row r="444">
          <cell r="A444" t="str">
            <v>04C4C37</v>
          </cell>
        </row>
        <row r="445">
          <cell r="A445" t="str">
            <v>0719963</v>
          </cell>
          <cell r="B445">
            <v>40469</v>
          </cell>
        </row>
        <row r="446">
          <cell r="A446" t="str">
            <v>0931060</v>
          </cell>
          <cell r="B446">
            <v>40238</v>
          </cell>
        </row>
        <row r="447">
          <cell r="A447" t="str">
            <v>0635341</v>
          </cell>
          <cell r="B447">
            <v>40245</v>
          </cell>
        </row>
        <row r="448">
          <cell r="A448" t="str">
            <v>01C4317</v>
          </cell>
        </row>
        <row r="449">
          <cell r="A449" t="str">
            <v>0147650</v>
          </cell>
          <cell r="B449">
            <v>40420</v>
          </cell>
        </row>
        <row r="450">
          <cell r="A450" t="str">
            <v>0331800</v>
          </cell>
          <cell r="B450">
            <v>40238</v>
          </cell>
        </row>
        <row r="451">
          <cell r="A451" t="str">
            <v>032A690</v>
          </cell>
          <cell r="B451">
            <v>40231</v>
          </cell>
        </row>
        <row r="452">
          <cell r="A452" t="str">
            <v>050P320</v>
          </cell>
          <cell r="B452">
            <v>40197</v>
          </cell>
        </row>
        <row r="453">
          <cell r="A453" t="str">
            <v>103A66U</v>
          </cell>
          <cell r="B453">
            <v>40330</v>
          </cell>
        </row>
        <row r="454">
          <cell r="A454" t="str">
            <v>031A432</v>
          </cell>
          <cell r="B454">
            <v>40231</v>
          </cell>
        </row>
        <row r="455">
          <cell r="A455" t="str">
            <v>120G940</v>
          </cell>
          <cell r="B455">
            <v>40392</v>
          </cell>
        </row>
        <row r="456">
          <cell r="A456" t="str">
            <v>050N250</v>
          </cell>
          <cell r="B456">
            <v>40225</v>
          </cell>
        </row>
        <row r="457">
          <cell r="A457" t="str">
            <v>0404463</v>
          </cell>
          <cell r="B457">
            <v>40182</v>
          </cell>
        </row>
        <row r="458">
          <cell r="A458" t="str">
            <v>0648340</v>
          </cell>
          <cell r="B458">
            <v>40280</v>
          </cell>
        </row>
        <row r="459">
          <cell r="A459" t="str">
            <v>100N440</v>
          </cell>
          <cell r="B459">
            <v>40238</v>
          </cell>
        </row>
        <row r="460">
          <cell r="A460" t="str">
            <v>120G930</v>
          </cell>
          <cell r="B460">
            <v>40392</v>
          </cell>
        </row>
        <row r="461">
          <cell r="A461" t="str">
            <v>0712184</v>
          </cell>
          <cell r="B461">
            <v>40343</v>
          </cell>
        </row>
        <row r="462">
          <cell r="A462" t="str">
            <v>050N260</v>
          </cell>
          <cell r="B462">
            <v>40225</v>
          </cell>
        </row>
        <row r="463">
          <cell r="A463" t="str">
            <v>1128930</v>
          </cell>
          <cell r="B463">
            <v>40231</v>
          </cell>
        </row>
        <row r="464">
          <cell r="A464" t="str">
            <v>0404080</v>
          </cell>
          <cell r="B464">
            <v>40252</v>
          </cell>
        </row>
        <row r="465">
          <cell r="A465" t="str">
            <v>0147230</v>
          </cell>
          <cell r="B465">
            <v>40330</v>
          </cell>
        </row>
        <row r="466">
          <cell r="A466" t="str">
            <v>0644770</v>
          </cell>
          <cell r="B466">
            <v>40203</v>
          </cell>
        </row>
        <row r="467">
          <cell r="A467" t="str">
            <v>1037930</v>
          </cell>
          <cell r="B467">
            <v>40238</v>
          </cell>
        </row>
        <row r="468">
          <cell r="A468" t="str">
            <v>04C3S72</v>
          </cell>
        </row>
        <row r="469">
          <cell r="A469" t="str">
            <v>120F920</v>
          </cell>
          <cell r="B469">
            <v>40231</v>
          </cell>
        </row>
        <row r="470">
          <cell r="A470" t="str">
            <v>0933420</v>
          </cell>
          <cell r="B470">
            <v>40245</v>
          </cell>
        </row>
        <row r="471">
          <cell r="A471" t="str">
            <v>0147510</v>
          </cell>
          <cell r="B471">
            <v>40252</v>
          </cell>
        </row>
        <row r="472">
          <cell r="A472" t="str">
            <v>0849750</v>
          </cell>
          <cell r="B472">
            <v>40308</v>
          </cell>
        </row>
        <row r="473">
          <cell r="A473" t="str">
            <v>0147560</v>
          </cell>
          <cell r="B473">
            <v>40434</v>
          </cell>
        </row>
        <row r="474">
          <cell r="A474" t="str">
            <v>071786A</v>
          </cell>
          <cell r="B474">
            <v>40259</v>
          </cell>
        </row>
        <row r="475">
          <cell r="A475" t="str">
            <v>060E970</v>
          </cell>
          <cell r="B475">
            <v>40203</v>
          </cell>
        </row>
        <row r="476">
          <cell r="A476" t="str">
            <v>042S941</v>
          </cell>
          <cell r="B476">
            <v>40210</v>
          </cell>
        </row>
        <row r="477">
          <cell r="A477" t="str">
            <v>0143980</v>
          </cell>
          <cell r="B477">
            <v>40203</v>
          </cell>
        </row>
        <row r="478">
          <cell r="A478" t="str">
            <v>01C3233</v>
          </cell>
        </row>
        <row r="479">
          <cell r="A479" t="str">
            <v>0534950</v>
          </cell>
          <cell r="B479">
            <v>40252</v>
          </cell>
        </row>
        <row r="480">
          <cell r="A480" t="str">
            <v>1204322</v>
          </cell>
          <cell r="B480">
            <v>40238</v>
          </cell>
        </row>
        <row r="481">
          <cell r="A481" t="str">
            <v>112T040</v>
          </cell>
          <cell r="B481">
            <v>40490</v>
          </cell>
        </row>
        <row r="482">
          <cell r="A482" t="str">
            <v>1207162</v>
          </cell>
          <cell r="B482">
            <v>40231</v>
          </cell>
        </row>
        <row r="483">
          <cell r="A483" t="str">
            <v>043A400</v>
          </cell>
          <cell r="B483">
            <v>40596</v>
          </cell>
        </row>
        <row r="484">
          <cell r="A484" t="str">
            <v>041A980</v>
          </cell>
          <cell r="B484">
            <v>40287</v>
          </cell>
        </row>
        <row r="485">
          <cell r="A485" t="str">
            <v>0147710</v>
          </cell>
          <cell r="B485">
            <v>40434</v>
          </cell>
        </row>
        <row r="486">
          <cell r="A486" t="str">
            <v>043S841</v>
          </cell>
          <cell r="B486">
            <v>40441</v>
          </cell>
        </row>
        <row r="487">
          <cell r="A487" t="str">
            <v>0932710</v>
          </cell>
          <cell r="B487">
            <v>40225</v>
          </cell>
        </row>
        <row r="488">
          <cell r="A488" t="str">
            <v>060F29U</v>
          </cell>
          <cell r="B488">
            <v>40203</v>
          </cell>
        </row>
        <row r="489">
          <cell r="A489" t="str">
            <v>032C844</v>
          </cell>
          <cell r="B489">
            <v>40203</v>
          </cell>
        </row>
        <row r="490">
          <cell r="A490" t="str">
            <v>0148240</v>
          </cell>
          <cell r="B490">
            <v>40497</v>
          </cell>
        </row>
        <row r="491">
          <cell r="A491" t="str">
            <v>120E570</v>
          </cell>
          <cell r="B491">
            <v>40273</v>
          </cell>
        </row>
        <row r="492">
          <cell r="A492" t="str">
            <v>0146400</v>
          </cell>
          <cell r="B492">
            <v>40259</v>
          </cell>
        </row>
        <row r="493">
          <cell r="A493" t="str">
            <v>120F032</v>
          </cell>
          <cell r="B493">
            <v>40322</v>
          </cell>
        </row>
        <row r="494">
          <cell r="A494" t="str">
            <v>060A990</v>
          </cell>
          <cell r="B494">
            <v>40245</v>
          </cell>
        </row>
        <row r="495">
          <cell r="A495" t="str">
            <v>060A490</v>
          </cell>
          <cell r="B495">
            <v>40245</v>
          </cell>
        </row>
        <row r="496">
          <cell r="A496" t="str">
            <v>07C1218</v>
          </cell>
        </row>
        <row r="497">
          <cell r="A497" t="str">
            <v>120F031</v>
          </cell>
          <cell r="B497">
            <v>40308</v>
          </cell>
        </row>
        <row r="498">
          <cell r="A498" t="str">
            <v>08C0C45</v>
          </cell>
        </row>
        <row r="499">
          <cell r="A499" t="str">
            <v>0644261</v>
          </cell>
          <cell r="B499">
            <v>40308</v>
          </cell>
        </row>
        <row r="500">
          <cell r="A500" t="str">
            <v>0147640</v>
          </cell>
          <cell r="B500">
            <v>40217</v>
          </cell>
        </row>
        <row r="501">
          <cell r="A501" t="str">
            <v>050C882</v>
          </cell>
          <cell r="B501">
            <v>40287</v>
          </cell>
        </row>
        <row r="502">
          <cell r="A502" t="str">
            <v>0146430</v>
          </cell>
          <cell r="B502">
            <v>40259</v>
          </cell>
        </row>
        <row r="503">
          <cell r="A503" t="str">
            <v>080E160</v>
          </cell>
          <cell r="B503">
            <v>40210</v>
          </cell>
        </row>
        <row r="504">
          <cell r="A504" t="str">
            <v>033C760</v>
          </cell>
          <cell r="B504">
            <v>40420</v>
          </cell>
        </row>
        <row r="505">
          <cell r="A505" t="str">
            <v>100E930</v>
          </cell>
          <cell r="B505">
            <v>40609</v>
          </cell>
        </row>
        <row r="506">
          <cell r="A506" t="str">
            <v>0237310</v>
          </cell>
          <cell r="B506">
            <v>40231</v>
          </cell>
        </row>
        <row r="507">
          <cell r="A507" t="str">
            <v>041A522</v>
          </cell>
          <cell r="B507">
            <v>40252</v>
          </cell>
        </row>
        <row r="508">
          <cell r="A508" t="str">
            <v>044470U</v>
          </cell>
          <cell r="B508">
            <v>40315</v>
          </cell>
        </row>
        <row r="509">
          <cell r="A509" t="str">
            <v>0544590</v>
          </cell>
          <cell r="B509">
            <v>40630</v>
          </cell>
        </row>
        <row r="510">
          <cell r="A510" t="str">
            <v>0649000</v>
          </cell>
          <cell r="B510">
            <v>40217</v>
          </cell>
        </row>
        <row r="511">
          <cell r="A511" t="str">
            <v>0237100</v>
          </cell>
          <cell r="B511">
            <v>40217</v>
          </cell>
        </row>
        <row r="512">
          <cell r="A512" t="str">
            <v>0425376</v>
          </cell>
          <cell r="B512">
            <v>40210</v>
          </cell>
        </row>
        <row r="513">
          <cell r="A513" t="str">
            <v>033E390</v>
          </cell>
          <cell r="B513">
            <v>40280</v>
          </cell>
        </row>
        <row r="514">
          <cell r="A514" t="str">
            <v>0335553</v>
          </cell>
          <cell r="B514">
            <v>40413</v>
          </cell>
        </row>
        <row r="515">
          <cell r="A515" t="str">
            <v>07C2561</v>
          </cell>
        </row>
        <row r="516">
          <cell r="A516" t="str">
            <v>080K681</v>
          </cell>
          <cell r="B516">
            <v>40336</v>
          </cell>
        </row>
        <row r="517">
          <cell r="A517" t="str">
            <v>034A530</v>
          </cell>
          <cell r="B517">
            <v>40273</v>
          </cell>
        </row>
        <row r="518">
          <cell r="A518" t="str">
            <v>0533072</v>
          </cell>
          <cell r="B518">
            <v>40315</v>
          </cell>
        </row>
        <row r="519">
          <cell r="A519" t="str">
            <v>050Q200</v>
          </cell>
          <cell r="B519">
            <v>40203</v>
          </cell>
        </row>
        <row r="520">
          <cell r="A520" t="str">
            <v>0934510</v>
          </cell>
          <cell r="B520">
            <v>40231</v>
          </cell>
        </row>
        <row r="521">
          <cell r="A521" t="str">
            <v>050Q420</v>
          </cell>
          <cell r="B521">
            <v>40203</v>
          </cell>
        </row>
        <row r="522">
          <cell r="A522" t="str">
            <v>043S920</v>
          </cell>
          <cell r="B522">
            <v>40294</v>
          </cell>
        </row>
        <row r="523">
          <cell r="A523" t="str">
            <v>0424992</v>
          </cell>
          <cell r="B523">
            <v>40315</v>
          </cell>
        </row>
        <row r="524">
          <cell r="A524" t="str">
            <v>100K070</v>
          </cell>
          <cell r="B524">
            <v>40197</v>
          </cell>
        </row>
        <row r="525">
          <cell r="A525" t="str">
            <v>0139755</v>
          </cell>
          <cell r="B525">
            <v>40273</v>
          </cell>
        </row>
        <row r="526">
          <cell r="A526" t="str">
            <v>0544781</v>
          </cell>
          <cell r="B526">
            <v>40225</v>
          </cell>
        </row>
        <row r="527">
          <cell r="A527" t="str">
            <v>0725690</v>
          </cell>
          <cell r="B527">
            <v>40238</v>
          </cell>
        </row>
        <row r="528">
          <cell r="A528" t="str">
            <v>042A140</v>
          </cell>
          <cell r="B528">
            <v>40315</v>
          </cell>
        </row>
        <row r="529">
          <cell r="A529" t="str">
            <v>0444790</v>
          </cell>
          <cell r="B529">
            <v>40280</v>
          </cell>
        </row>
        <row r="530">
          <cell r="A530" t="str">
            <v>1207163</v>
          </cell>
          <cell r="B530">
            <v>40308</v>
          </cell>
        </row>
        <row r="531">
          <cell r="A531" t="str">
            <v>100Q270</v>
          </cell>
          <cell r="B531">
            <v>40287</v>
          </cell>
        </row>
        <row r="532">
          <cell r="A532" t="str">
            <v>060J890</v>
          </cell>
          <cell r="B532">
            <v>40189</v>
          </cell>
        </row>
        <row r="533">
          <cell r="A533" t="str">
            <v>050P650</v>
          </cell>
          <cell r="B533">
            <v>40238</v>
          </cell>
        </row>
        <row r="534">
          <cell r="A534" t="str">
            <v>0146410</v>
          </cell>
          <cell r="B534">
            <v>40280</v>
          </cell>
        </row>
        <row r="535">
          <cell r="A535" t="str">
            <v>021E440</v>
          </cell>
          <cell r="B535">
            <v>40252</v>
          </cell>
        </row>
        <row r="536">
          <cell r="A536" t="str">
            <v>04C3S71</v>
          </cell>
        </row>
        <row r="537">
          <cell r="A537" t="str">
            <v>100N370</v>
          </cell>
          <cell r="B537">
            <v>40252</v>
          </cell>
        </row>
        <row r="538">
          <cell r="A538" t="str">
            <v>0933840</v>
          </cell>
          <cell r="B538">
            <v>40182</v>
          </cell>
        </row>
        <row r="539">
          <cell r="A539" t="str">
            <v>040A782</v>
          </cell>
          <cell r="B539">
            <v>40266</v>
          </cell>
        </row>
        <row r="540">
          <cell r="A540" t="str">
            <v>0837870</v>
          </cell>
          <cell r="B540">
            <v>40420</v>
          </cell>
        </row>
        <row r="541">
          <cell r="A541" t="str">
            <v>0931520</v>
          </cell>
          <cell r="B541">
            <v>40231</v>
          </cell>
        </row>
        <row r="542">
          <cell r="A542" t="str">
            <v>022C110</v>
          </cell>
          <cell r="B542">
            <v>40252</v>
          </cell>
        </row>
        <row r="543">
          <cell r="A543" t="str">
            <v>0147580</v>
          </cell>
          <cell r="B543">
            <v>40343</v>
          </cell>
        </row>
        <row r="544">
          <cell r="A544" t="str">
            <v>0933380</v>
          </cell>
          <cell r="B544">
            <v>40231</v>
          </cell>
        </row>
        <row r="545">
          <cell r="A545" t="str">
            <v>0646370</v>
          </cell>
          <cell r="B545">
            <v>40217</v>
          </cell>
        </row>
        <row r="546">
          <cell r="A546" t="str">
            <v>030F520</v>
          </cell>
          <cell r="B546">
            <v>40197</v>
          </cell>
        </row>
        <row r="547">
          <cell r="A547" t="str">
            <v>0147540</v>
          </cell>
          <cell r="B547">
            <v>40273</v>
          </cell>
        </row>
        <row r="548">
          <cell r="A548" t="str">
            <v>0147830</v>
          </cell>
          <cell r="B548">
            <v>40273</v>
          </cell>
        </row>
        <row r="549">
          <cell r="A549" t="str">
            <v>0632450</v>
          </cell>
          <cell r="B549">
            <v>40420</v>
          </cell>
        </row>
        <row r="550">
          <cell r="A550" t="str">
            <v>044S000</v>
          </cell>
          <cell r="B550">
            <v>40259</v>
          </cell>
        </row>
        <row r="551">
          <cell r="A551" t="str">
            <v>074T190</v>
          </cell>
          <cell r="B551">
            <v>40203</v>
          </cell>
        </row>
        <row r="552">
          <cell r="A552" t="str">
            <v>100A010</v>
          </cell>
          <cell r="B552">
            <v>40420</v>
          </cell>
        </row>
        <row r="553">
          <cell r="A553" t="str">
            <v>120K260</v>
          </cell>
          <cell r="B553">
            <v>40273</v>
          </cell>
        </row>
        <row r="554">
          <cell r="A554" t="str">
            <v>0147260</v>
          </cell>
          <cell r="B554">
            <v>40273</v>
          </cell>
        </row>
        <row r="555">
          <cell r="A555" t="str">
            <v>060G430</v>
          </cell>
          <cell r="B555">
            <v>40231</v>
          </cell>
        </row>
        <row r="556">
          <cell r="A556" t="str">
            <v>120E250</v>
          </cell>
          <cell r="B556">
            <v>40252</v>
          </cell>
        </row>
        <row r="557">
          <cell r="A557" t="str">
            <v>100L570</v>
          </cell>
          <cell r="B557">
            <v>40225</v>
          </cell>
        </row>
        <row r="558">
          <cell r="A558" t="str">
            <v>050R890</v>
          </cell>
          <cell r="B558">
            <v>40203</v>
          </cell>
        </row>
        <row r="559">
          <cell r="A559" t="str">
            <v>074T160</v>
          </cell>
          <cell r="B559">
            <v>40189</v>
          </cell>
        </row>
        <row r="560">
          <cell r="A560" t="str">
            <v>120K590</v>
          </cell>
          <cell r="B560">
            <v>40259</v>
          </cell>
        </row>
        <row r="561">
          <cell r="A561" t="str">
            <v>120K250</v>
          </cell>
          <cell r="B561">
            <v>40203</v>
          </cell>
        </row>
        <row r="562">
          <cell r="A562" t="str">
            <v>050Q650</v>
          </cell>
          <cell r="B562">
            <v>40203</v>
          </cell>
        </row>
        <row r="563">
          <cell r="A563" t="str">
            <v>060H740</v>
          </cell>
          <cell r="B563">
            <v>40259</v>
          </cell>
        </row>
        <row r="564">
          <cell r="A564" t="str">
            <v>021E480</v>
          </cell>
          <cell r="B564">
            <v>40217</v>
          </cell>
        </row>
        <row r="565">
          <cell r="A565" t="str">
            <v>040A532</v>
          </cell>
          <cell r="B565">
            <v>40308</v>
          </cell>
        </row>
        <row r="566">
          <cell r="A566" t="str">
            <v>120K270</v>
          </cell>
          <cell r="B566">
            <v>40273</v>
          </cell>
        </row>
        <row r="567">
          <cell r="A567" t="str">
            <v>042A541</v>
          </cell>
          <cell r="B567">
            <v>40245</v>
          </cell>
        </row>
        <row r="568">
          <cell r="A568" t="str">
            <v>060G470</v>
          </cell>
          <cell r="B568">
            <v>40203</v>
          </cell>
        </row>
        <row r="569">
          <cell r="A569" t="str">
            <v>0722450</v>
          </cell>
          <cell r="B569">
            <v>40252</v>
          </cell>
        </row>
        <row r="570">
          <cell r="A570" t="str">
            <v>050P910</v>
          </cell>
          <cell r="B570">
            <v>40210</v>
          </cell>
        </row>
        <row r="571">
          <cell r="A571" t="str">
            <v>080C020</v>
          </cell>
          <cell r="B571">
            <v>40301</v>
          </cell>
        </row>
        <row r="572">
          <cell r="A572" t="str">
            <v>060J160</v>
          </cell>
          <cell r="B572">
            <v>40294</v>
          </cell>
        </row>
        <row r="573">
          <cell r="A573" t="str">
            <v>04R1A77</v>
          </cell>
          <cell r="B573">
            <v>40365</v>
          </cell>
        </row>
        <row r="574">
          <cell r="A574" t="str">
            <v>043S562</v>
          </cell>
          <cell r="B574">
            <v>40294</v>
          </cell>
        </row>
        <row r="575">
          <cell r="A575" t="str">
            <v>050R880</v>
          </cell>
          <cell r="B575">
            <v>40231</v>
          </cell>
        </row>
        <row r="576">
          <cell r="A576" t="str">
            <v>060C090</v>
          </cell>
          <cell r="B576">
            <v>40225</v>
          </cell>
        </row>
        <row r="577">
          <cell r="A577" t="str">
            <v>050P680</v>
          </cell>
          <cell r="B577">
            <v>40245</v>
          </cell>
        </row>
        <row r="578">
          <cell r="A578" t="str">
            <v>0144940</v>
          </cell>
          <cell r="B578">
            <v>40280</v>
          </cell>
        </row>
        <row r="579">
          <cell r="A579" t="str">
            <v>044A881</v>
          </cell>
          <cell r="B579">
            <v>40259</v>
          </cell>
        </row>
        <row r="580">
          <cell r="A580" t="str">
            <v>0647230</v>
          </cell>
          <cell r="B580">
            <v>40315</v>
          </cell>
        </row>
        <row r="581">
          <cell r="A581" t="str">
            <v>120G990</v>
          </cell>
          <cell r="B581">
            <v>40518</v>
          </cell>
        </row>
        <row r="582">
          <cell r="A582" t="str">
            <v>120J730</v>
          </cell>
          <cell r="B582">
            <v>40197</v>
          </cell>
        </row>
        <row r="583">
          <cell r="A583" t="str">
            <v>043S710</v>
          </cell>
          <cell r="B583">
            <v>40280</v>
          </cell>
        </row>
        <row r="584">
          <cell r="A584" t="str">
            <v>024C580</v>
          </cell>
          <cell r="B584">
            <v>40225</v>
          </cell>
        </row>
        <row r="585">
          <cell r="A585" t="str">
            <v>1126151</v>
          </cell>
          <cell r="B585">
            <v>40259</v>
          </cell>
        </row>
        <row r="586">
          <cell r="A586" t="str">
            <v>0533074</v>
          </cell>
          <cell r="B586">
            <v>40441</v>
          </cell>
        </row>
        <row r="587">
          <cell r="A587" t="str">
            <v>0644252</v>
          </cell>
          <cell r="B587">
            <v>40357</v>
          </cell>
        </row>
        <row r="588">
          <cell r="A588" t="str">
            <v>050P750</v>
          </cell>
          <cell r="B588">
            <v>40287</v>
          </cell>
        </row>
        <row r="589">
          <cell r="A589" t="str">
            <v>100T880</v>
          </cell>
          <cell r="B589">
            <v>40231</v>
          </cell>
        </row>
        <row r="590">
          <cell r="A590" t="str">
            <v>100T430</v>
          </cell>
          <cell r="B590">
            <v>40225</v>
          </cell>
        </row>
        <row r="591">
          <cell r="A591" t="str">
            <v>020E800</v>
          </cell>
          <cell r="B591">
            <v>40273</v>
          </cell>
        </row>
        <row r="592">
          <cell r="A592" t="str">
            <v>1128460</v>
          </cell>
          <cell r="B592">
            <v>40336</v>
          </cell>
        </row>
        <row r="593">
          <cell r="A593" t="str">
            <v>050S150</v>
          </cell>
          <cell r="B593">
            <v>40217</v>
          </cell>
        </row>
        <row r="594">
          <cell r="A594" t="str">
            <v>080L210</v>
          </cell>
          <cell r="B594">
            <v>40238</v>
          </cell>
        </row>
        <row r="595">
          <cell r="A595" t="str">
            <v>120K450</v>
          </cell>
          <cell r="B595">
            <v>40252</v>
          </cell>
        </row>
        <row r="596">
          <cell r="A596" t="str">
            <v>0137815</v>
          </cell>
          <cell r="B596">
            <v>40567</v>
          </cell>
        </row>
        <row r="597">
          <cell r="A597" t="str">
            <v>0632850</v>
          </cell>
          <cell r="B597">
            <v>40350</v>
          </cell>
        </row>
        <row r="598">
          <cell r="A598" t="str">
            <v>080F100</v>
          </cell>
          <cell r="B598">
            <v>40483</v>
          </cell>
        </row>
        <row r="599">
          <cell r="A599" t="str">
            <v>120K230</v>
          </cell>
          <cell r="B599">
            <v>40273</v>
          </cell>
        </row>
        <row r="600">
          <cell r="A600" t="str">
            <v>050R980</v>
          </cell>
          <cell r="B600">
            <v>40231</v>
          </cell>
        </row>
        <row r="601">
          <cell r="A601" t="str">
            <v>034E340</v>
          </cell>
          <cell r="B601">
            <v>40266</v>
          </cell>
        </row>
        <row r="602">
          <cell r="A602" t="str">
            <v>033M340</v>
          </cell>
          <cell r="B602">
            <v>40238</v>
          </cell>
        </row>
        <row r="603">
          <cell r="A603" t="str">
            <v>040A871</v>
          </cell>
          <cell r="B603">
            <v>40343</v>
          </cell>
        </row>
        <row r="604">
          <cell r="A604" t="str">
            <v>100T420</v>
          </cell>
          <cell r="B604">
            <v>40287</v>
          </cell>
        </row>
        <row r="605">
          <cell r="A605" t="str">
            <v>100T450</v>
          </cell>
          <cell r="B605">
            <v>40231</v>
          </cell>
        </row>
        <row r="606">
          <cell r="A606" t="str">
            <v>120K060</v>
          </cell>
          <cell r="B606">
            <v>40245</v>
          </cell>
        </row>
        <row r="607">
          <cell r="A607" t="str">
            <v>050P310</v>
          </cell>
          <cell r="B607">
            <v>40252</v>
          </cell>
        </row>
        <row r="608">
          <cell r="A608" t="str">
            <v>100T870</v>
          </cell>
          <cell r="B608">
            <v>40266</v>
          </cell>
        </row>
        <row r="609">
          <cell r="A609" t="str">
            <v>072Y530</v>
          </cell>
          <cell r="B609">
            <v>40182</v>
          </cell>
        </row>
        <row r="610">
          <cell r="A610" t="str">
            <v>11R2780</v>
          </cell>
          <cell r="B610">
            <v>40182</v>
          </cell>
        </row>
        <row r="611">
          <cell r="A611" t="str">
            <v>0639790</v>
          </cell>
          <cell r="B611">
            <v>40294</v>
          </cell>
        </row>
        <row r="612">
          <cell r="A612" t="str">
            <v>0415340</v>
          </cell>
          <cell r="B612">
            <v>40182</v>
          </cell>
        </row>
        <row r="613">
          <cell r="A613" t="str">
            <v>033M350</v>
          </cell>
          <cell r="B613">
            <v>40182</v>
          </cell>
        </row>
        <row r="614">
          <cell r="A614" t="str">
            <v>050S200</v>
          </cell>
          <cell r="B614">
            <v>40245</v>
          </cell>
        </row>
        <row r="615">
          <cell r="A615" t="str">
            <v>112M000</v>
          </cell>
          <cell r="B615">
            <v>40182</v>
          </cell>
        </row>
        <row r="616">
          <cell r="A616" t="str">
            <v>120K640</v>
          </cell>
          <cell r="B616">
            <v>40212</v>
          </cell>
        </row>
        <row r="617">
          <cell r="A617" t="str">
            <v>073Y370</v>
          </cell>
          <cell r="B617">
            <v>40197</v>
          </cell>
        </row>
        <row r="618">
          <cell r="A618" t="str">
            <v>041E030</v>
          </cell>
          <cell r="B618">
            <v>40197</v>
          </cell>
        </row>
        <row r="619">
          <cell r="A619" t="str">
            <v>033M790</v>
          </cell>
          <cell r="B619">
            <v>40197</v>
          </cell>
        </row>
        <row r="620">
          <cell r="A620" t="str">
            <v>060H860</v>
          </cell>
          <cell r="B620">
            <v>40308</v>
          </cell>
        </row>
        <row r="621">
          <cell r="A621" t="str">
            <v>1108975</v>
          </cell>
          <cell r="B621">
            <v>40413</v>
          </cell>
        </row>
        <row r="622">
          <cell r="A622" t="str">
            <v>073Y170</v>
          </cell>
          <cell r="B622">
            <v>40203</v>
          </cell>
        </row>
        <row r="623">
          <cell r="A623" t="str">
            <v>120K350</v>
          </cell>
          <cell r="B623">
            <v>40238</v>
          </cell>
        </row>
        <row r="624">
          <cell r="A624" t="str">
            <v>030F640</v>
          </cell>
          <cell r="B624">
            <v>40420</v>
          </cell>
        </row>
        <row r="625">
          <cell r="A625" t="str">
            <v>120AA00</v>
          </cell>
          <cell r="B625">
            <v>40197</v>
          </cell>
        </row>
        <row r="626">
          <cell r="A626" t="str">
            <v>041E410</v>
          </cell>
          <cell r="B626">
            <v>40197</v>
          </cell>
        </row>
        <row r="627">
          <cell r="A627" t="str">
            <v>080N170</v>
          </cell>
          <cell r="B627">
            <v>40197</v>
          </cell>
        </row>
        <row r="628">
          <cell r="A628" t="str">
            <v>041E470</v>
          </cell>
          <cell r="B628">
            <v>40203</v>
          </cell>
        </row>
        <row r="629">
          <cell r="A629" t="str">
            <v>030E990</v>
          </cell>
          <cell r="B629">
            <v>40420</v>
          </cell>
        </row>
        <row r="630">
          <cell r="A630" t="str">
            <v>041E300</v>
          </cell>
          <cell r="B630">
            <v>40203</v>
          </cell>
        </row>
        <row r="631">
          <cell r="A631" t="str">
            <v>033M160</v>
          </cell>
          <cell r="B631">
            <v>40197</v>
          </cell>
        </row>
        <row r="632">
          <cell r="A632" t="str">
            <v>081A360</v>
          </cell>
          <cell r="B632">
            <v>40203</v>
          </cell>
        </row>
        <row r="633">
          <cell r="A633" t="str">
            <v>050S620</v>
          </cell>
          <cell r="B633">
            <v>40294</v>
          </cell>
        </row>
        <row r="634">
          <cell r="A634" t="str">
            <v>080N100</v>
          </cell>
          <cell r="B634">
            <v>40197</v>
          </cell>
        </row>
        <row r="635">
          <cell r="A635" t="str">
            <v>1116789</v>
          </cell>
          <cell r="B635">
            <v>40350</v>
          </cell>
        </row>
        <row r="636">
          <cell r="A636" t="str">
            <v>080M320</v>
          </cell>
          <cell r="B636">
            <v>40252</v>
          </cell>
        </row>
        <row r="637">
          <cell r="A637" t="str">
            <v>041E480</v>
          </cell>
          <cell r="B637">
            <v>40197</v>
          </cell>
        </row>
        <row r="638">
          <cell r="A638" t="str">
            <v>033M330</v>
          </cell>
          <cell r="B638">
            <v>40203</v>
          </cell>
        </row>
        <row r="639">
          <cell r="A639" t="str">
            <v>050S180</v>
          </cell>
          <cell r="B639">
            <v>40231</v>
          </cell>
        </row>
        <row r="640">
          <cell r="A640" t="str">
            <v>050S140</v>
          </cell>
          <cell r="B640">
            <v>40231</v>
          </cell>
        </row>
        <row r="641">
          <cell r="A641" t="str">
            <v>021E890</v>
          </cell>
          <cell r="B641">
            <v>40197</v>
          </cell>
        </row>
        <row r="642">
          <cell r="A642" t="str">
            <v>120AA02</v>
          </cell>
          <cell r="B642">
            <v>40197</v>
          </cell>
        </row>
        <row r="643">
          <cell r="A643" t="str">
            <v>120K360</v>
          </cell>
          <cell r="B643">
            <v>40252</v>
          </cell>
        </row>
        <row r="644">
          <cell r="A644" t="str">
            <v>074T060</v>
          </cell>
          <cell r="B644">
            <v>40197</v>
          </cell>
        </row>
        <row r="645">
          <cell r="A645" t="str">
            <v>0724130</v>
          </cell>
          <cell r="B645">
            <v>40602</v>
          </cell>
        </row>
        <row r="646">
          <cell r="A646" t="str">
            <v>100S170</v>
          </cell>
          <cell r="B646">
            <v>40413</v>
          </cell>
        </row>
        <row r="647">
          <cell r="A647" t="str">
            <v>080L490</v>
          </cell>
          <cell r="B647">
            <v>40238</v>
          </cell>
        </row>
        <row r="648">
          <cell r="A648" t="str">
            <v>120L060</v>
          </cell>
          <cell r="B648">
            <v>40266</v>
          </cell>
        </row>
        <row r="649">
          <cell r="A649" t="str">
            <v>074Y420</v>
          </cell>
          <cell r="B649">
            <v>40203</v>
          </cell>
        </row>
        <row r="650">
          <cell r="A650" t="str">
            <v>021E850</v>
          </cell>
          <cell r="B650">
            <v>40203</v>
          </cell>
        </row>
        <row r="651">
          <cell r="A651" t="str">
            <v>100T830</v>
          </cell>
          <cell r="B651">
            <v>40259</v>
          </cell>
        </row>
        <row r="652">
          <cell r="A652" t="str">
            <v>050L220</v>
          </cell>
          <cell r="B652">
            <v>40350</v>
          </cell>
        </row>
        <row r="653">
          <cell r="A653" t="str">
            <v>120K150</v>
          </cell>
          <cell r="B653">
            <v>40273</v>
          </cell>
        </row>
        <row r="654">
          <cell r="A654" t="str">
            <v>050G400</v>
          </cell>
          <cell r="B654">
            <v>40378</v>
          </cell>
        </row>
        <row r="655">
          <cell r="A655" t="str">
            <v>050S130</v>
          </cell>
          <cell r="B655">
            <v>40231</v>
          </cell>
        </row>
        <row r="656">
          <cell r="A656" t="str">
            <v>050S160</v>
          </cell>
          <cell r="B656">
            <v>40231</v>
          </cell>
        </row>
        <row r="657">
          <cell r="A657" t="str">
            <v>050S610</v>
          </cell>
          <cell r="B657">
            <v>40266</v>
          </cell>
        </row>
        <row r="658">
          <cell r="A658" t="str">
            <v>033M520</v>
          </cell>
          <cell r="B658">
            <v>40203</v>
          </cell>
        </row>
        <row r="659">
          <cell r="A659" t="str">
            <v>080M140</v>
          </cell>
          <cell r="B659">
            <v>40266</v>
          </cell>
        </row>
        <row r="660">
          <cell r="A660" t="str">
            <v>110AA01</v>
          </cell>
          <cell r="B660">
            <v>40203</v>
          </cell>
        </row>
        <row r="661">
          <cell r="A661" t="str">
            <v>11R0AA0</v>
          </cell>
          <cell r="B661">
            <v>40203</v>
          </cell>
        </row>
        <row r="662">
          <cell r="A662" t="str">
            <v>033E130</v>
          </cell>
          <cell r="B662">
            <v>40273</v>
          </cell>
        </row>
        <row r="663">
          <cell r="A663" t="str">
            <v>080J920</v>
          </cell>
          <cell r="B663">
            <v>40252</v>
          </cell>
        </row>
        <row r="664">
          <cell r="A664" t="str">
            <v>080M330</v>
          </cell>
          <cell r="B664">
            <v>40266</v>
          </cell>
        </row>
        <row r="665">
          <cell r="A665" t="str">
            <v>033M190</v>
          </cell>
          <cell r="B665">
            <v>40210</v>
          </cell>
        </row>
        <row r="666">
          <cell r="A666" t="str">
            <v>040E980</v>
          </cell>
          <cell r="B666">
            <v>40210</v>
          </cell>
        </row>
        <row r="667">
          <cell r="A667" t="str">
            <v>110AA00</v>
          </cell>
          <cell r="B667">
            <v>40210</v>
          </cell>
        </row>
        <row r="668">
          <cell r="A668" t="str">
            <v>0647520</v>
          </cell>
          <cell r="B668">
            <v>40350</v>
          </cell>
        </row>
        <row r="669">
          <cell r="A669" t="str">
            <v>0148672</v>
          </cell>
          <cell r="B669">
            <v>40210</v>
          </cell>
        </row>
        <row r="670">
          <cell r="A670" t="str">
            <v>040AA01</v>
          </cell>
          <cell r="B670">
            <v>40210</v>
          </cell>
        </row>
        <row r="671">
          <cell r="A671" t="str">
            <v>1027980</v>
          </cell>
          <cell r="B671">
            <v>40476</v>
          </cell>
        </row>
        <row r="672">
          <cell r="A672" t="str">
            <v>073Y850</v>
          </cell>
          <cell r="B672">
            <v>40210</v>
          </cell>
        </row>
        <row r="673">
          <cell r="A673" t="str">
            <v>0934310</v>
          </cell>
          <cell r="B673">
            <v>40210</v>
          </cell>
        </row>
        <row r="674">
          <cell r="A674" t="str">
            <v>0934290</v>
          </cell>
          <cell r="B674">
            <v>40210</v>
          </cell>
        </row>
        <row r="675">
          <cell r="A675" t="str">
            <v>033M560</v>
          </cell>
          <cell r="B675">
            <v>40210</v>
          </cell>
        </row>
        <row r="676">
          <cell r="A676" t="str">
            <v>073Y380</v>
          </cell>
          <cell r="B676">
            <v>40217</v>
          </cell>
        </row>
        <row r="677">
          <cell r="A677" t="str">
            <v>100U690</v>
          </cell>
          <cell r="B677">
            <v>40287</v>
          </cell>
        </row>
        <row r="678">
          <cell r="A678" t="str">
            <v>100S520</v>
          </cell>
          <cell r="B678">
            <v>40217</v>
          </cell>
        </row>
        <row r="679">
          <cell r="A679" t="str">
            <v>112M060</v>
          </cell>
          <cell r="B679">
            <v>40217</v>
          </cell>
        </row>
        <row r="680">
          <cell r="A680" t="str">
            <v>080J880</v>
          </cell>
          <cell r="B680">
            <v>40273</v>
          </cell>
        </row>
        <row r="681">
          <cell r="A681" t="str">
            <v>120K630</v>
          </cell>
          <cell r="B681">
            <v>40294</v>
          </cell>
        </row>
        <row r="682">
          <cell r="A682" t="str">
            <v>021E120</v>
          </cell>
          <cell r="B682">
            <v>40225</v>
          </cell>
        </row>
        <row r="683">
          <cell r="A683" t="str">
            <v>0844931</v>
          </cell>
          <cell r="B683">
            <v>40490</v>
          </cell>
        </row>
        <row r="684">
          <cell r="A684" t="str">
            <v>0932680</v>
          </cell>
          <cell r="B684">
            <v>40225</v>
          </cell>
        </row>
        <row r="685">
          <cell r="A685" t="str">
            <v>01C2620</v>
          </cell>
        </row>
        <row r="686">
          <cell r="A686" t="str">
            <v>021E670</v>
          </cell>
          <cell r="B686">
            <v>40225</v>
          </cell>
        </row>
        <row r="687">
          <cell r="A687" t="str">
            <v>072M390</v>
          </cell>
          <cell r="B687">
            <v>40225</v>
          </cell>
        </row>
        <row r="688">
          <cell r="A688" t="str">
            <v>043S721</v>
          </cell>
          <cell r="B688">
            <v>40273</v>
          </cell>
        </row>
        <row r="689">
          <cell r="A689" t="str">
            <v>021E490</v>
          </cell>
          <cell r="B689">
            <v>40225</v>
          </cell>
        </row>
        <row r="690">
          <cell r="A690" t="str">
            <v>0725330</v>
          </cell>
          <cell r="B690">
            <v>40371</v>
          </cell>
        </row>
        <row r="691">
          <cell r="A691" t="str">
            <v>033E530</v>
          </cell>
          <cell r="B691">
            <v>40225</v>
          </cell>
        </row>
        <row r="692">
          <cell r="A692" t="str">
            <v>080L320</v>
          </cell>
          <cell r="B692">
            <v>40225</v>
          </cell>
        </row>
        <row r="693">
          <cell r="A693" t="str">
            <v>100S540</v>
          </cell>
          <cell r="B693">
            <v>40231</v>
          </cell>
        </row>
        <row r="694">
          <cell r="A694" t="str">
            <v>100S480</v>
          </cell>
          <cell r="B694">
            <v>40245</v>
          </cell>
        </row>
        <row r="695">
          <cell r="A695" t="str">
            <v>024C870</v>
          </cell>
          <cell r="B695">
            <v>40231</v>
          </cell>
        </row>
        <row r="696">
          <cell r="A696" t="str">
            <v>050AA06</v>
          </cell>
          <cell r="B696">
            <v>40225</v>
          </cell>
        </row>
        <row r="697">
          <cell r="A697" t="str">
            <v>060AA00</v>
          </cell>
          <cell r="B697">
            <v>40225</v>
          </cell>
        </row>
        <row r="698">
          <cell r="A698" t="str">
            <v>080L240</v>
          </cell>
          <cell r="B698">
            <v>40231</v>
          </cell>
        </row>
        <row r="699">
          <cell r="A699" t="str">
            <v>071P880</v>
          </cell>
          <cell r="B699">
            <v>40231</v>
          </cell>
        </row>
        <row r="700">
          <cell r="A700" t="str">
            <v>074T150</v>
          </cell>
          <cell r="B700">
            <v>40231</v>
          </cell>
        </row>
        <row r="701">
          <cell r="A701" t="str">
            <v>074Y320</v>
          </cell>
          <cell r="B701">
            <v>40238</v>
          </cell>
        </row>
        <row r="702">
          <cell r="A702" t="str">
            <v>100S500</v>
          </cell>
          <cell r="B702">
            <v>40231</v>
          </cell>
        </row>
        <row r="703">
          <cell r="A703" t="str">
            <v>0149060</v>
          </cell>
          <cell r="B703">
            <v>40231</v>
          </cell>
        </row>
        <row r="704">
          <cell r="A704" t="str">
            <v>0148850</v>
          </cell>
          <cell r="B704">
            <v>40238</v>
          </cell>
        </row>
        <row r="705">
          <cell r="A705" t="str">
            <v>080M810</v>
          </cell>
          <cell r="B705">
            <v>40294</v>
          </cell>
        </row>
        <row r="706">
          <cell r="A706" t="str">
            <v>060AA01</v>
          </cell>
          <cell r="B706">
            <v>40225</v>
          </cell>
        </row>
        <row r="707">
          <cell r="A707" t="str">
            <v>070AA01</v>
          </cell>
          <cell r="B707">
            <v>40225</v>
          </cell>
        </row>
        <row r="708">
          <cell r="A708" t="str">
            <v>0149100</v>
          </cell>
          <cell r="B708">
            <v>40238</v>
          </cell>
        </row>
        <row r="709">
          <cell r="A709" t="str">
            <v>010AA01</v>
          </cell>
          <cell r="B709">
            <v>40225</v>
          </cell>
        </row>
        <row r="710">
          <cell r="A710" t="str">
            <v>0149310</v>
          </cell>
          <cell r="B710">
            <v>40238</v>
          </cell>
        </row>
        <row r="711">
          <cell r="A711" t="str">
            <v>024C950</v>
          </cell>
          <cell r="B711">
            <v>40238</v>
          </cell>
        </row>
        <row r="712">
          <cell r="A712" t="str">
            <v>0149260</v>
          </cell>
          <cell r="B712">
            <v>40266</v>
          </cell>
        </row>
        <row r="713">
          <cell r="A713" t="str">
            <v>0847830</v>
          </cell>
          <cell r="B713">
            <v>40413</v>
          </cell>
        </row>
        <row r="714">
          <cell r="A714" t="str">
            <v>074L490</v>
          </cell>
          <cell r="B714">
            <v>40238</v>
          </cell>
        </row>
        <row r="715">
          <cell r="A715" t="str">
            <v>030AA01</v>
          </cell>
          <cell r="B715">
            <v>40225</v>
          </cell>
        </row>
        <row r="716">
          <cell r="A716" t="str">
            <v>060AA02</v>
          </cell>
          <cell r="B716">
            <v>40225</v>
          </cell>
        </row>
        <row r="717">
          <cell r="A717" t="str">
            <v>0149120</v>
          </cell>
          <cell r="B717">
            <v>40238</v>
          </cell>
        </row>
        <row r="718">
          <cell r="A718" t="str">
            <v>0833486</v>
          </cell>
          <cell r="B718">
            <v>40525</v>
          </cell>
        </row>
        <row r="719">
          <cell r="A719" t="str">
            <v>070AA02</v>
          </cell>
          <cell r="B719">
            <v>40231</v>
          </cell>
        </row>
        <row r="720">
          <cell r="A720" t="str">
            <v>090AA01</v>
          </cell>
          <cell r="B720">
            <v>40225</v>
          </cell>
        </row>
        <row r="721">
          <cell r="A721" t="str">
            <v>090AA03</v>
          </cell>
          <cell r="B721">
            <v>40225</v>
          </cell>
        </row>
        <row r="722">
          <cell r="A722" t="str">
            <v>120K580</v>
          </cell>
          <cell r="B722">
            <v>40273</v>
          </cell>
        </row>
        <row r="723">
          <cell r="A723" t="str">
            <v>021E610</v>
          </cell>
          <cell r="B723">
            <v>40392</v>
          </cell>
        </row>
        <row r="724">
          <cell r="A724" t="str">
            <v>0148270</v>
          </cell>
          <cell r="B724">
            <v>40308</v>
          </cell>
        </row>
        <row r="725">
          <cell r="A725" t="str">
            <v>050S210</v>
          </cell>
          <cell r="B725">
            <v>40238</v>
          </cell>
        </row>
        <row r="726">
          <cell r="A726" t="str">
            <v>0934280</v>
          </cell>
          <cell r="B726">
            <v>40238</v>
          </cell>
        </row>
        <row r="727">
          <cell r="A727" t="str">
            <v>060K470</v>
          </cell>
          <cell r="B727">
            <v>40287</v>
          </cell>
        </row>
        <row r="728">
          <cell r="A728" t="str">
            <v>033M470</v>
          </cell>
          <cell r="B728">
            <v>40238</v>
          </cell>
        </row>
        <row r="729">
          <cell r="A729" t="str">
            <v>0146751</v>
          </cell>
          <cell r="B729">
            <v>40238</v>
          </cell>
        </row>
        <row r="730">
          <cell r="A730" t="str">
            <v>050S220</v>
          </cell>
          <cell r="B730">
            <v>40238</v>
          </cell>
        </row>
        <row r="731">
          <cell r="A731" t="str">
            <v>0147290</v>
          </cell>
          <cell r="B731">
            <v>40406</v>
          </cell>
        </row>
        <row r="732">
          <cell r="A732" t="str">
            <v>031E110</v>
          </cell>
          <cell r="B732">
            <v>40385</v>
          </cell>
        </row>
        <row r="733">
          <cell r="A733" t="str">
            <v>102A420</v>
          </cell>
          <cell r="B733">
            <v>40658</v>
          </cell>
        </row>
        <row r="734">
          <cell r="A734" t="str">
            <v>102A290</v>
          </cell>
          <cell r="B734">
            <v>40413</v>
          </cell>
        </row>
        <row r="735">
          <cell r="A735" t="str">
            <v>120J570</v>
          </cell>
          <cell r="B735">
            <v>40280</v>
          </cell>
        </row>
        <row r="736">
          <cell r="A736" t="str">
            <v>041E880</v>
          </cell>
          <cell r="B736">
            <v>40238</v>
          </cell>
        </row>
        <row r="737">
          <cell r="A737" t="str">
            <v>021E920</v>
          </cell>
          <cell r="B737">
            <v>40245</v>
          </cell>
        </row>
        <row r="738">
          <cell r="A738" t="str">
            <v>021E620</v>
          </cell>
          <cell r="B738">
            <v>40245</v>
          </cell>
        </row>
        <row r="739">
          <cell r="A739" t="str">
            <v>030F770</v>
          </cell>
          <cell r="B739">
            <v>40238</v>
          </cell>
        </row>
        <row r="740">
          <cell r="A740" t="str">
            <v>041E430</v>
          </cell>
          <cell r="B740">
            <v>40238</v>
          </cell>
        </row>
        <row r="741">
          <cell r="A741" t="str">
            <v>0148870</v>
          </cell>
          <cell r="B741">
            <v>40238</v>
          </cell>
        </row>
        <row r="742">
          <cell r="A742" t="str">
            <v>022E530</v>
          </cell>
          <cell r="B742">
            <v>40238</v>
          </cell>
        </row>
        <row r="743">
          <cell r="A743" t="str">
            <v>050S060</v>
          </cell>
          <cell r="B743">
            <v>40238</v>
          </cell>
        </row>
        <row r="744">
          <cell r="A744" t="str">
            <v>050S100</v>
          </cell>
          <cell r="B744">
            <v>40238</v>
          </cell>
        </row>
        <row r="745">
          <cell r="A745" t="str">
            <v>050S170</v>
          </cell>
          <cell r="B745">
            <v>40245</v>
          </cell>
        </row>
        <row r="746">
          <cell r="A746" t="str">
            <v>060L120</v>
          </cell>
          <cell r="B746">
            <v>40238</v>
          </cell>
        </row>
        <row r="747">
          <cell r="A747" t="str">
            <v>060L140</v>
          </cell>
          <cell r="B747">
            <v>40245</v>
          </cell>
        </row>
        <row r="748">
          <cell r="A748" t="str">
            <v>0148590</v>
          </cell>
          <cell r="B748">
            <v>40245</v>
          </cell>
        </row>
        <row r="749">
          <cell r="A749" t="str">
            <v>033M150</v>
          </cell>
          <cell r="B749">
            <v>40245</v>
          </cell>
        </row>
        <row r="750">
          <cell r="A750" t="str">
            <v>021E630</v>
          </cell>
          <cell r="B750">
            <v>40343</v>
          </cell>
        </row>
        <row r="751">
          <cell r="A751" t="str">
            <v>0148020</v>
          </cell>
          <cell r="B751">
            <v>40596</v>
          </cell>
        </row>
        <row r="752">
          <cell r="A752" t="str">
            <v>033M140</v>
          </cell>
          <cell r="B752">
            <v>40245</v>
          </cell>
        </row>
        <row r="753">
          <cell r="A753" t="str">
            <v>040G470</v>
          </cell>
          <cell r="B753">
            <v>40245</v>
          </cell>
        </row>
        <row r="754">
          <cell r="A754" t="str">
            <v>073Y640</v>
          </cell>
          <cell r="B754">
            <v>40245</v>
          </cell>
        </row>
        <row r="755">
          <cell r="A755" t="str">
            <v>073Y770</v>
          </cell>
          <cell r="B755">
            <v>40245</v>
          </cell>
        </row>
        <row r="756">
          <cell r="A756" t="str">
            <v>074T210</v>
          </cell>
          <cell r="B756">
            <v>40245</v>
          </cell>
        </row>
        <row r="757">
          <cell r="A757" t="str">
            <v>100S510</v>
          </cell>
          <cell r="B757">
            <v>40245</v>
          </cell>
        </row>
        <row r="758">
          <cell r="A758" t="str">
            <v>100T960</v>
          </cell>
          <cell r="B758">
            <v>40245</v>
          </cell>
        </row>
        <row r="759">
          <cell r="A759" t="str">
            <v>100U700</v>
          </cell>
          <cell r="B759">
            <v>40245</v>
          </cell>
        </row>
        <row r="760">
          <cell r="A760" t="str">
            <v>112M040</v>
          </cell>
          <cell r="B760">
            <v>40245</v>
          </cell>
        </row>
        <row r="761">
          <cell r="A761" t="str">
            <v>112M050</v>
          </cell>
          <cell r="B761">
            <v>40252</v>
          </cell>
        </row>
        <row r="762">
          <cell r="A762" t="str">
            <v>1127340</v>
          </cell>
          <cell r="B762">
            <v>40385</v>
          </cell>
        </row>
        <row r="763">
          <cell r="A763" t="str">
            <v>073Y840</v>
          </cell>
          <cell r="B763">
            <v>40252</v>
          </cell>
        </row>
        <row r="764">
          <cell r="A764" t="str">
            <v>073Y910</v>
          </cell>
          <cell r="B764">
            <v>40266</v>
          </cell>
        </row>
        <row r="765">
          <cell r="A765" t="str">
            <v>080N250</v>
          </cell>
          <cell r="B765">
            <v>40252</v>
          </cell>
        </row>
        <row r="766">
          <cell r="A766" t="str">
            <v>021E870</v>
          </cell>
          <cell r="B766">
            <v>40259</v>
          </cell>
        </row>
        <row r="767">
          <cell r="A767" t="str">
            <v>033M310</v>
          </cell>
          <cell r="B767">
            <v>40259</v>
          </cell>
        </row>
        <row r="768">
          <cell r="A768" t="str">
            <v>0727260</v>
          </cell>
          <cell r="B768">
            <v>40252</v>
          </cell>
        </row>
        <row r="769">
          <cell r="A769" t="str">
            <v>112M010</v>
          </cell>
          <cell r="B769">
            <v>40252</v>
          </cell>
        </row>
        <row r="770">
          <cell r="A770" t="str">
            <v>073Y820</v>
          </cell>
          <cell r="B770">
            <v>40266</v>
          </cell>
        </row>
        <row r="771">
          <cell r="A771" t="str">
            <v>0149010</v>
          </cell>
          <cell r="B771">
            <v>40252</v>
          </cell>
        </row>
        <row r="772">
          <cell r="A772" t="str">
            <v>0149130</v>
          </cell>
          <cell r="B772">
            <v>40252</v>
          </cell>
        </row>
        <row r="773">
          <cell r="A773" t="str">
            <v>033M250</v>
          </cell>
          <cell r="B773">
            <v>40252</v>
          </cell>
        </row>
        <row r="774">
          <cell r="A774" t="str">
            <v>050S090</v>
          </cell>
          <cell r="B774">
            <v>40259</v>
          </cell>
        </row>
        <row r="775">
          <cell r="A775" t="str">
            <v>050S190</v>
          </cell>
          <cell r="B775">
            <v>40252</v>
          </cell>
        </row>
        <row r="776">
          <cell r="A776" t="str">
            <v>060L170</v>
          </cell>
          <cell r="B776">
            <v>40259</v>
          </cell>
        </row>
        <row r="777">
          <cell r="A777" t="str">
            <v>073Y450</v>
          </cell>
          <cell r="B777">
            <v>40259</v>
          </cell>
        </row>
        <row r="778">
          <cell r="A778" t="str">
            <v>073Y900</v>
          </cell>
          <cell r="B778">
            <v>40252</v>
          </cell>
        </row>
        <row r="779">
          <cell r="A779" t="str">
            <v>074Y470</v>
          </cell>
          <cell r="B779">
            <v>40252</v>
          </cell>
        </row>
        <row r="780">
          <cell r="A780" t="str">
            <v>0934710</v>
          </cell>
          <cell r="B780">
            <v>40259</v>
          </cell>
        </row>
        <row r="781">
          <cell r="A781" t="str">
            <v>100T980</v>
          </cell>
          <cell r="B781">
            <v>40259</v>
          </cell>
        </row>
        <row r="782">
          <cell r="A782" t="str">
            <v>100U010</v>
          </cell>
          <cell r="B782">
            <v>40252</v>
          </cell>
        </row>
        <row r="783">
          <cell r="A783" t="str">
            <v>031A73U</v>
          </cell>
          <cell r="B783">
            <v>40428</v>
          </cell>
        </row>
        <row r="784">
          <cell r="A784" t="str">
            <v>073Y930</v>
          </cell>
          <cell r="B784">
            <v>40259</v>
          </cell>
        </row>
        <row r="785">
          <cell r="A785" t="str">
            <v>033M550</v>
          </cell>
          <cell r="B785">
            <v>40245</v>
          </cell>
        </row>
        <row r="786">
          <cell r="A786" t="str">
            <v>033M240</v>
          </cell>
          <cell r="B786">
            <v>40259</v>
          </cell>
        </row>
        <row r="787">
          <cell r="A787" t="str">
            <v>073Y140</v>
          </cell>
          <cell r="B787">
            <v>40252</v>
          </cell>
        </row>
        <row r="788">
          <cell r="A788" t="str">
            <v>100S360</v>
          </cell>
          <cell r="B788">
            <v>40259</v>
          </cell>
        </row>
        <row r="789">
          <cell r="A789" t="str">
            <v>100U000</v>
          </cell>
          <cell r="B789">
            <v>40273</v>
          </cell>
        </row>
        <row r="790">
          <cell r="A790" t="str">
            <v>100U020</v>
          </cell>
          <cell r="B790">
            <v>40259</v>
          </cell>
        </row>
        <row r="791">
          <cell r="A791" t="str">
            <v>073Y610</v>
          </cell>
          <cell r="B791">
            <v>40252</v>
          </cell>
        </row>
        <row r="792">
          <cell r="A792" t="str">
            <v>060K990</v>
          </cell>
          <cell r="B792">
            <v>40252</v>
          </cell>
        </row>
        <row r="793">
          <cell r="A793" t="str">
            <v>060L150</v>
          </cell>
          <cell r="B793">
            <v>40266</v>
          </cell>
        </row>
        <row r="794">
          <cell r="A794" t="str">
            <v>074Y380</v>
          </cell>
          <cell r="B794">
            <v>40252</v>
          </cell>
        </row>
        <row r="795">
          <cell r="A795" t="str">
            <v>074Y390</v>
          </cell>
          <cell r="B795">
            <v>40259</v>
          </cell>
        </row>
        <row r="796">
          <cell r="A796" t="str">
            <v>080M560</v>
          </cell>
          <cell r="B796">
            <v>40259</v>
          </cell>
        </row>
        <row r="797">
          <cell r="A797" t="str">
            <v>0934300</v>
          </cell>
          <cell r="B797">
            <v>40266</v>
          </cell>
        </row>
        <row r="798">
          <cell r="A798" t="str">
            <v>0934700</v>
          </cell>
          <cell r="B798">
            <v>40252</v>
          </cell>
        </row>
        <row r="799">
          <cell r="A799" t="str">
            <v>080A641</v>
          </cell>
          <cell r="B799">
            <v>40455</v>
          </cell>
        </row>
        <row r="800">
          <cell r="A800" t="str">
            <v>080M990</v>
          </cell>
          <cell r="B800">
            <v>40259</v>
          </cell>
        </row>
        <row r="801">
          <cell r="A801" t="str">
            <v>034E610</v>
          </cell>
          <cell r="B801">
            <v>40252</v>
          </cell>
        </row>
        <row r="802">
          <cell r="A802" t="str">
            <v>041E020</v>
          </cell>
          <cell r="B802">
            <v>40259</v>
          </cell>
        </row>
        <row r="803">
          <cell r="A803" t="str">
            <v>041E740</v>
          </cell>
          <cell r="B803">
            <v>40259</v>
          </cell>
        </row>
        <row r="804">
          <cell r="A804" t="str">
            <v>033M510</v>
          </cell>
          <cell r="B804">
            <v>40259</v>
          </cell>
        </row>
        <row r="805">
          <cell r="A805" t="str">
            <v>080N270</v>
          </cell>
          <cell r="B805">
            <v>40259</v>
          </cell>
        </row>
        <row r="806">
          <cell r="A806" t="str">
            <v>073Y760</v>
          </cell>
          <cell r="B806">
            <v>40259</v>
          </cell>
        </row>
        <row r="807">
          <cell r="A807" t="str">
            <v>030F580</v>
          </cell>
          <cell r="B807">
            <v>40413</v>
          </cell>
        </row>
        <row r="808">
          <cell r="A808" t="str">
            <v>060L130</v>
          </cell>
          <cell r="B808">
            <v>40259</v>
          </cell>
        </row>
        <row r="809">
          <cell r="A809" t="str">
            <v>100T970</v>
          </cell>
          <cell r="B809">
            <v>40259</v>
          </cell>
        </row>
        <row r="810">
          <cell r="A810" t="str">
            <v>100T990</v>
          </cell>
          <cell r="B810">
            <v>40266</v>
          </cell>
        </row>
        <row r="811">
          <cell r="A811" t="str">
            <v>023C000</v>
          </cell>
          <cell r="B811">
            <v>40406</v>
          </cell>
        </row>
        <row r="812">
          <cell r="A812" t="str">
            <v>112M070</v>
          </cell>
          <cell r="B812">
            <v>40259</v>
          </cell>
        </row>
        <row r="813">
          <cell r="A813" t="str">
            <v>0147730</v>
          </cell>
          <cell r="B813">
            <v>40252</v>
          </cell>
        </row>
        <row r="814">
          <cell r="A814" t="str">
            <v>021E650</v>
          </cell>
          <cell r="B814">
            <v>40266</v>
          </cell>
        </row>
        <row r="815">
          <cell r="A815" t="str">
            <v>024C830</v>
          </cell>
          <cell r="B815">
            <v>40252</v>
          </cell>
        </row>
        <row r="816">
          <cell r="A816" t="str">
            <v>080K850</v>
          </cell>
          <cell r="B816">
            <v>40252</v>
          </cell>
        </row>
        <row r="817">
          <cell r="A817" t="str">
            <v>100U030</v>
          </cell>
          <cell r="B817">
            <v>40266</v>
          </cell>
        </row>
        <row r="818">
          <cell r="A818" t="str">
            <v>041E600</v>
          </cell>
          <cell r="B818">
            <v>40273</v>
          </cell>
        </row>
        <row r="819">
          <cell r="A819" t="str">
            <v>041A241</v>
          </cell>
          <cell r="B819">
            <v>40266</v>
          </cell>
        </row>
        <row r="820">
          <cell r="A820" t="str">
            <v>041E720</v>
          </cell>
          <cell r="B820">
            <v>40273</v>
          </cell>
        </row>
        <row r="821">
          <cell r="A821" t="str">
            <v>100S530</v>
          </cell>
          <cell r="B821">
            <v>40273</v>
          </cell>
        </row>
        <row r="822">
          <cell r="A822" t="str">
            <v>080M500</v>
          </cell>
          <cell r="B822">
            <v>40266</v>
          </cell>
        </row>
        <row r="823">
          <cell r="A823" t="str">
            <v>112M080</v>
          </cell>
          <cell r="B823">
            <v>40266</v>
          </cell>
        </row>
        <row r="824">
          <cell r="A824" t="str">
            <v>021E600</v>
          </cell>
          <cell r="B824">
            <v>40266</v>
          </cell>
        </row>
        <row r="825">
          <cell r="A825" t="str">
            <v>041E730</v>
          </cell>
          <cell r="B825">
            <v>40266</v>
          </cell>
        </row>
        <row r="826">
          <cell r="A826" t="str">
            <v>060A970</v>
          </cell>
          <cell r="B826">
            <v>40483</v>
          </cell>
        </row>
        <row r="827">
          <cell r="A827" t="str">
            <v>040A840</v>
          </cell>
          <cell r="B827">
            <v>40637</v>
          </cell>
        </row>
        <row r="828">
          <cell r="A828" t="str">
            <v>022C990</v>
          </cell>
          <cell r="B828">
            <v>40546</v>
          </cell>
        </row>
        <row r="829">
          <cell r="A829" t="str">
            <v>022E260</v>
          </cell>
          <cell r="B829">
            <v>40266</v>
          </cell>
        </row>
        <row r="830">
          <cell r="A830" t="str">
            <v>040G490</v>
          </cell>
          <cell r="B830">
            <v>40266</v>
          </cell>
        </row>
        <row r="831">
          <cell r="A831" t="str">
            <v>073Y550</v>
          </cell>
          <cell r="B831">
            <v>40266</v>
          </cell>
        </row>
        <row r="832">
          <cell r="A832" t="str">
            <v>080N700</v>
          </cell>
          <cell r="B832">
            <v>40266</v>
          </cell>
        </row>
        <row r="833">
          <cell r="A833" t="str">
            <v>043A820</v>
          </cell>
          <cell r="B833">
            <v>40266</v>
          </cell>
        </row>
        <row r="834">
          <cell r="A834" t="str">
            <v>080N130</v>
          </cell>
          <cell r="B834">
            <v>40273</v>
          </cell>
        </row>
        <row r="835">
          <cell r="A835" t="str">
            <v>080N300</v>
          </cell>
          <cell r="B835">
            <v>40273</v>
          </cell>
        </row>
        <row r="836">
          <cell r="A836" t="str">
            <v>080K880</v>
          </cell>
          <cell r="B836">
            <v>40273</v>
          </cell>
        </row>
        <row r="837">
          <cell r="A837" t="str">
            <v>080M860</v>
          </cell>
          <cell r="B837">
            <v>40273</v>
          </cell>
        </row>
        <row r="838">
          <cell r="A838" t="str">
            <v>0148620</v>
          </cell>
          <cell r="B838">
            <v>40273</v>
          </cell>
        </row>
        <row r="839">
          <cell r="A839" t="str">
            <v>073Y600</v>
          </cell>
          <cell r="B839">
            <v>40273</v>
          </cell>
        </row>
        <row r="840">
          <cell r="A840" t="str">
            <v>040E990</v>
          </cell>
          <cell r="B840">
            <v>40273</v>
          </cell>
        </row>
        <row r="841">
          <cell r="A841" t="str">
            <v>074S850</v>
          </cell>
          <cell r="B841">
            <v>40273</v>
          </cell>
        </row>
        <row r="842">
          <cell r="A842" t="str">
            <v>074Y440</v>
          </cell>
          <cell r="B842">
            <v>40273</v>
          </cell>
        </row>
        <row r="843">
          <cell r="A843" t="str">
            <v>030F910</v>
          </cell>
          <cell r="B843">
            <v>40259</v>
          </cell>
        </row>
        <row r="844">
          <cell r="A844" t="str">
            <v>074Y500</v>
          </cell>
          <cell r="B844">
            <v>40273</v>
          </cell>
        </row>
        <row r="845">
          <cell r="A845" t="str">
            <v>041E860</v>
          </cell>
          <cell r="B845">
            <v>40273</v>
          </cell>
        </row>
        <row r="846">
          <cell r="A846" t="str">
            <v>041E490</v>
          </cell>
          <cell r="B846">
            <v>40280</v>
          </cell>
        </row>
        <row r="847">
          <cell r="A847" t="str">
            <v>100K320</v>
          </cell>
          <cell r="B847">
            <v>40399</v>
          </cell>
        </row>
        <row r="848">
          <cell r="A848" t="str">
            <v>041E460</v>
          </cell>
          <cell r="B848">
            <v>40273</v>
          </cell>
        </row>
        <row r="849">
          <cell r="A849" t="str">
            <v>043A950</v>
          </cell>
          <cell r="B849">
            <v>40469</v>
          </cell>
        </row>
        <row r="850">
          <cell r="A850" t="str">
            <v>1128340</v>
          </cell>
          <cell r="B850">
            <v>40280</v>
          </cell>
        </row>
        <row r="851">
          <cell r="A851" t="str">
            <v>074S700</v>
          </cell>
          <cell r="B851">
            <v>40280</v>
          </cell>
        </row>
        <row r="852">
          <cell r="A852" t="str">
            <v>050S390</v>
          </cell>
          <cell r="B852">
            <v>40301</v>
          </cell>
        </row>
        <row r="853">
          <cell r="A853" t="str">
            <v>072Y770</v>
          </cell>
          <cell r="B853">
            <v>40280</v>
          </cell>
        </row>
        <row r="854">
          <cell r="A854" t="str">
            <v>060L790</v>
          </cell>
          <cell r="B854">
            <v>40280</v>
          </cell>
        </row>
        <row r="855">
          <cell r="A855" t="str">
            <v>100S590</v>
          </cell>
          <cell r="B855">
            <v>40280</v>
          </cell>
        </row>
        <row r="856">
          <cell r="A856" t="str">
            <v>0847860</v>
          </cell>
          <cell r="B856">
            <v>40469</v>
          </cell>
        </row>
        <row r="857">
          <cell r="A857" t="str">
            <v>103A340</v>
          </cell>
          <cell r="B857">
            <v>40413</v>
          </cell>
        </row>
        <row r="858">
          <cell r="A858" t="str">
            <v>0148280</v>
          </cell>
          <cell r="B858">
            <v>40280</v>
          </cell>
        </row>
        <row r="859">
          <cell r="A859" t="str">
            <v>044A230</v>
          </cell>
          <cell r="B859">
            <v>40280</v>
          </cell>
        </row>
        <row r="860">
          <cell r="A860" t="str">
            <v>050S400</v>
          </cell>
          <cell r="B860">
            <v>40308</v>
          </cell>
        </row>
        <row r="861">
          <cell r="A861" t="str">
            <v>022E060</v>
          </cell>
          <cell r="B861">
            <v>40343</v>
          </cell>
        </row>
        <row r="862">
          <cell r="A862" t="str">
            <v>080M130</v>
          </cell>
          <cell r="B862">
            <v>40280</v>
          </cell>
        </row>
        <row r="863">
          <cell r="A863" t="str">
            <v>1140170</v>
          </cell>
          <cell r="B863">
            <v>40273</v>
          </cell>
        </row>
        <row r="864">
          <cell r="A864" t="str">
            <v>040A872</v>
          </cell>
          <cell r="B864">
            <v>40385</v>
          </cell>
        </row>
        <row r="865">
          <cell r="A865" t="str">
            <v>021E210</v>
          </cell>
          <cell r="B865">
            <v>40350</v>
          </cell>
        </row>
        <row r="866">
          <cell r="A866" t="str">
            <v>100S550</v>
          </cell>
          <cell r="B866">
            <v>40280</v>
          </cell>
        </row>
        <row r="867">
          <cell r="A867" t="str">
            <v>100U040</v>
          </cell>
          <cell r="B867">
            <v>40280</v>
          </cell>
        </row>
        <row r="868">
          <cell r="A868" t="str">
            <v>042A920</v>
          </cell>
          <cell r="B868">
            <v>40428</v>
          </cell>
        </row>
        <row r="869">
          <cell r="A869" t="str">
            <v>074L570</v>
          </cell>
          <cell r="B869">
            <v>40413</v>
          </cell>
        </row>
        <row r="870">
          <cell r="A870" t="str">
            <v>1140260</v>
          </cell>
          <cell r="B870">
            <v>40280</v>
          </cell>
        </row>
        <row r="871">
          <cell r="A871" t="str">
            <v>080L780</v>
          </cell>
          <cell r="B871">
            <v>40273</v>
          </cell>
        </row>
        <row r="872">
          <cell r="A872" t="str">
            <v>0149040</v>
          </cell>
          <cell r="B872">
            <v>40280</v>
          </cell>
        </row>
        <row r="873">
          <cell r="A873" t="str">
            <v>042E020</v>
          </cell>
          <cell r="B873">
            <v>40276</v>
          </cell>
        </row>
        <row r="874">
          <cell r="A874" t="str">
            <v>1126400</v>
          </cell>
          <cell r="B874">
            <v>40280</v>
          </cell>
        </row>
        <row r="875">
          <cell r="A875" t="str">
            <v>1140230</v>
          </cell>
          <cell r="B875">
            <v>40280</v>
          </cell>
        </row>
        <row r="876">
          <cell r="A876" t="str">
            <v>080N110</v>
          </cell>
          <cell r="B876">
            <v>40276</v>
          </cell>
        </row>
        <row r="877">
          <cell r="A877" t="str">
            <v>050S410</v>
          </cell>
          <cell r="B877">
            <v>40330</v>
          </cell>
        </row>
        <row r="878">
          <cell r="A878" t="str">
            <v>0417441</v>
          </cell>
          <cell r="B878">
            <v>40434</v>
          </cell>
        </row>
        <row r="879">
          <cell r="A879" t="str">
            <v>041E650</v>
          </cell>
          <cell r="B879">
            <v>40315</v>
          </cell>
        </row>
        <row r="880">
          <cell r="A880" t="str">
            <v>041E260</v>
          </cell>
          <cell r="B880">
            <v>40280</v>
          </cell>
        </row>
        <row r="881">
          <cell r="A881" t="str">
            <v>040G150</v>
          </cell>
          <cell r="B881">
            <v>40280</v>
          </cell>
        </row>
        <row r="882">
          <cell r="A882" t="str">
            <v>1129560</v>
          </cell>
          <cell r="B882">
            <v>40280</v>
          </cell>
        </row>
        <row r="883">
          <cell r="A883" t="str">
            <v>112M120</v>
          </cell>
          <cell r="B883">
            <v>40287</v>
          </cell>
        </row>
        <row r="884">
          <cell r="A884" t="str">
            <v>0647190</v>
          </cell>
          <cell r="B884">
            <v>40323</v>
          </cell>
        </row>
        <row r="885">
          <cell r="A885" t="str">
            <v>042490A</v>
          </cell>
          <cell r="B885">
            <v>40413</v>
          </cell>
        </row>
        <row r="886">
          <cell r="A886" t="str">
            <v>04C3S75</v>
          </cell>
        </row>
        <row r="887">
          <cell r="A887" t="str">
            <v>041E670</v>
          </cell>
          <cell r="B887">
            <v>40280</v>
          </cell>
        </row>
        <row r="888">
          <cell r="A888" t="str">
            <v>0934690</v>
          </cell>
          <cell r="B888">
            <v>40287</v>
          </cell>
        </row>
        <row r="889">
          <cell r="A889" t="str">
            <v>1127800</v>
          </cell>
          <cell r="B889">
            <v>40287</v>
          </cell>
        </row>
        <row r="890">
          <cell r="A890" t="str">
            <v>041E250</v>
          </cell>
          <cell r="B890">
            <v>40287</v>
          </cell>
        </row>
        <row r="891">
          <cell r="A891" t="str">
            <v>0426406</v>
          </cell>
          <cell r="B891">
            <v>40602</v>
          </cell>
        </row>
        <row r="892">
          <cell r="A892" t="str">
            <v>0718410</v>
          </cell>
          <cell r="B892">
            <v>40448</v>
          </cell>
        </row>
        <row r="893">
          <cell r="A893" t="str">
            <v>010AA00</v>
          </cell>
          <cell r="B893">
            <v>40287</v>
          </cell>
        </row>
        <row r="894">
          <cell r="A894" t="str">
            <v>044S540</v>
          </cell>
          <cell r="B894">
            <v>40616</v>
          </cell>
        </row>
        <row r="895">
          <cell r="A895" t="str">
            <v>013986U</v>
          </cell>
          <cell r="B895">
            <v>40441</v>
          </cell>
        </row>
        <row r="896">
          <cell r="A896" t="str">
            <v>080H930</v>
          </cell>
          <cell r="B896">
            <v>40301</v>
          </cell>
        </row>
        <row r="897">
          <cell r="A897" t="str">
            <v>033E070</v>
          </cell>
          <cell r="B897">
            <v>40420</v>
          </cell>
        </row>
        <row r="898">
          <cell r="A898" t="str">
            <v>042A630</v>
          </cell>
          <cell r="B898">
            <v>40301</v>
          </cell>
        </row>
        <row r="899">
          <cell r="A899" t="str">
            <v>041E290</v>
          </cell>
          <cell r="B899">
            <v>40301</v>
          </cell>
        </row>
        <row r="900">
          <cell r="A900" t="str">
            <v>041E990</v>
          </cell>
          <cell r="B900">
            <v>40301</v>
          </cell>
        </row>
        <row r="901">
          <cell r="A901" t="str">
            <v>031E14U</v>
          </cell>
          <cell r="B901">
            <v>40469</v>
          </cell>
        </row>
        <row r="902">
          <cell r="A902" t="str">
            <v>060H720</v>
          </cell>
          <cell r="B902">
            <v>40378</v>
          </cell>
        </row>
        <row r="903">
          <cell r="A903" t="str">
            <v>041E280</v>
          </cell>
          <cell r="B903">
            <v>40301</v>
          </cell>
        </row>
        <row r="904">
          <cell r="A904" t="str">
            <v>0426490</v>
          </cell>
          <cell r="B904">
            <v>40539</v>
          </cell>
        </row>
        <row r="905">
          <cell r="A905" t="str">
            <v>1127780</v>
          </cell>
          <cell r="B905">
            <v>40301</v>
          </cell>
        </row>
        <row r="906">
          <cell r="A906" t="str">
            <v>040E960</v>
          </cell>
          <cell r="B906">
            <v>40301</v>
          </cell>
        </row>
        <row r="907">
          <cell r="A907" t="str">
            <v>010A070</v>
          </cell>
          <cell r="B907">
            <v>40303</v>
          </cell>
        </row>
        <row r="908">
          <cell r="A908" t="str">
            <v>060L080</v>
          </cell>
          <cell r="B908">
            <v>40301</v>
          </cell>
        </row>
        <row r="909">
          <cell r="A909" t="str">
            <v>0149110</v>
          </cell>
          <cell r="B909">
            <v>40301</v>
          </cell>
        </row>
        <row r="910">
          <cell r="A910" t="str">
            <v>0149050</v>
          </cell>
          <cell r="B910">
            <v>40301</v>
          </cell>
        </row>
        <row r="911">
          <cell r="A911" t="str">
            <v>0933770</v>
          </cell>
          <cell r="B911">
            <v>40413</v>
          </cell>
        </row>
        <row r="912">
          <cell r="A912" t="str">
            <v>0148210</v>
          </cell>
          <cell r="B912">
            <v>40518</v>
          </cell>
        </row>
        <row r="913">
          <cell r="A913" t="str">
            <v>1107980</v>
          </cell>
          <cell r="B913">
            <v>40301</v>
          </cell>
        </row>
        <row r="914">
          <cell r="A914" t="str">
            <v>060L740</v>
          </cell>
          <cell r="B914">
            <v>40308</v>
          </cell>
        </row>
        <row r="915">
          <cell r="A915" t="str">
            <v>060J490</v>
          </cell>
          <cell r="B915">
            <v>40308</v>
          </cell>
        </row>
        <row r="916">
          <cell r="A916" t="str">
            <v>1129190</v>
          </cell>
          <cell r="B916">
            <v>40378</v>
          </cell>
        </row>
        <row r="917">
          <cell r="A917" t="str">
            <v>060L090</v>
          </cell>
          <cell r="B917">
            <v>40308</v>
          </cell>
        </row>
        <row r="918">
          <cell r="A918" t="str">
            <v>080E850</v>
          </cell>
          <cell r="B918">
            <v>40469</v>
          </cell>
        </row>
        <row r="919">
          <cell r="A919" t="str">
            <v>044876A</v>
          </cell>
          <cell r="B919">
            <v>40392</v>
          </cell>
        </row>
        <row r="920">
          <cell r="A920" t="str">
            <v>100N980</v>
          </cell>
          <cell r="B920">
            <v>40392</v>
          </cell>
        </row>
        <row r="921">
          <cell r="A921" t="str">
            <v>021E460</v>
          </cell>
          <cell r="B921">
            <v>40399</v>
          </cell>
        </row>
        <row r="922">
          <cell r="A922" t="str">
            <v>100Q380</v>
          </cell>
          <cell r="B922">
            <v>40308</v>
          </cell>
        </row>
        <row r="923">
          <cell r="A923" t="str">
            <v>1126140</v>
          </cell>
          <cell r="B923">
            <v>40399</v>
          </cell>
        </row>
        <row r="924">
          <cell r="A924" t="str">
            <v>040435E</v>
          </cell>
          <cell r="B924">
            <v>40413</v>
          </cell>
        </row>
        <row r="925">
          <cell r="A925" t="str">
            <v>030F530</v>
          </cell>
          <cell r="B925">
            <v>40308</v>
          </cell>
        </row>
        <row r="926">
          <cell r="A926" t="str">
            <v>120K370</v>
          </cell>
          <cell r="B926">
            <v>40385</v>
          </cell>
        </row>
        <row r="927">
          <cell r="A927" t="str">
            <v>060J940</v>
          </cell>
          <cell r="B927">
            <v>40308</v>
          </cell>
        </row>
        <row r="928">
          <cell r="A928" t="str">
            <v>0727940</v>
          </cell>
          <cell r="B928">
            <v>40315</v>
          </cell>
        </row>
        <row r="929">
          <cell r="A929" t="str">
            <v>1129850</v>
          </cell>
          <cell r="B929">
            <v>40322</v>
          </cell>
        </row>
        <row r="930">
          <cell r="A930" t="str">
            <v>1128660</v>
          </cell>
          <cell r="B930">
            <v>40322</v>
          </cell>
        </row>
        <row r="931">
          <cell r="A931" t="str">
            <v>043A300</v>
          </cell>
          <cell r="B931">
            <v>40315</v>
          </cell>
        </row>
        <row r="932">
          <cell r="A932" t="str">
            <v>041E770</v>
          </cell>
          <cell r="B932">
            <v>40315</v>
          </cell>
        </row>
        <row r="933">
          <cell r="A933" t="str">
            <v>07C2404</v>
          </cell>
        </row>
        <row r="934">
          <cell r="A934" t="str">
            <v>043A990</v>
          </cell>
          <cell r="B934">
            <v>40330</v>
          </cell>
        </row>
        <row r="935">
          <cell r="A935" t="str">
            <v>034M140</v>
          </cell>
          <cell r="B935">
            <v>40324</v>
          </cell>
        </row>
        <row r="936">
          <cell r="A936" t="str">
            <v>1129670</v>
          </cell>
          <cell r="B936">
            <v>40322</v>
          </cell>
        </row>
        <row r="937">
          <cell r="A937" t="str">
            <v>110AA02</v>
          </cell>
          <cell r="B937">
            <v>40315</v>
          </cell>
        </row>
        <row r="938">
          <cell r="A938" t="str">
            <v>112M090</v>
          </cell>
          <cell r="B938">
            <v>40315</v>
          </cell>
        </row>
        <row r="939">
          <cell r="A939" t="str">
            <v>080L810</v>
          </cell>
          <cell r="B939">
            <v>40330</v>
          </cell>
        </row>
        <row r="940">
          <cell r="A940" t="str">
            <v>043S820</v>
          </cell>
          <cell r="B940">
            <v>40476</v>
          </cell>
        </row>
        <row r="941">
          <cell r="A941" t="str">
            <v>120K510</v>
          </cell>
          <cell r="B941">
            <v>40462</v>
          </cell>
        </row>
        <row r="942">
          <cell r="A942" t="str">
            <v>050N050</v>
          </cell>
          <cell r="B942">
            <v>40330</v>
          </cell>
        </row>
        <row r="943">
          <cell r="A943" t="str">
            <v>050S440</v>
          </cell>
          <cell r="B943">
            <v>40413</v>
          </cell>
        </row>
        <row r="944">
          <cell r="A944" t="str">
            <v>1127490</v>
          </cell>
          <cell r="B944">
            <v>40330</v>
          </cell>
        </row>
        <row r="945">
          <cell r="A945" t="str">
            <v>0848930</v>
          </cell>
          <cell r="B945">
            <v>40588</v>
          </cell>
        </row>
        <row r="946">
          <cell r="A946" t="str">
            <v>071218V</v>
          </cell>
          <cell r="B946">
            <v>40315</v>
          </cell>
        </row>
        <row r="947">
          <cell r="A947" t="str">
            <v>1129900</v>
          </cell>
          <cell r="B947">
            <v>40330</v>
          </cell>
        </row>
        <row r="948">
          <cell r="A948" t="str">
            <v>07R1218</v>
          </cell>
          <cell r="B948">
            <v>40245</v>
          </cell>
        </row>
        <row r="949">
          <cell r="A949" t="str">
            <v>1126170</v>
          </cell>
          <cell r="B949">
            <v>40330</v>
          </cell>
        </row>
        <row r="950">
          <cell r="A950" t="str">
            <v>080M770</v>
          </cell>
          <cell r="B950">
            <v>40497</v>
          </cell>
        </row>
        <row r="951">
          <cell r="A951" t="str">
            <v>0700234</v>
          </cell>
          <cell r="B951">
            <v>40490</v>
          </cell>
        </row>
        <row r="952">
          <cell r="A952" t="str">
            <v>041E160</v>
          </cell>
          <cell r="B952">
            <v>40357</v>
          </cell>
        </row>
        <row r="953">
          <cell r="A953" t="str">
            <v>120K550</v>
          </cell>
          <cell r="B953">
            <v>40378</v>
          </cell>
        </row>
        <row r="954">
          <cell r="A954" t="str">
            <v>040G401</v>
          </cell>
          <cell r="B954">
            <v>40408</v>
          </cell>
        </row>
        <row r="955">
          <cell r="A955" t="str">
            <v>080L950</v>
          </cell>
          <cell r="B955">
            <v>40490</v>
          </cell>
        </row>
        <row r="956">
          <cell r="A956" t="str">
            <v>060J330</v>
          </cell>
          <cell r="B956">
            <v>40406</v>
          </cell>
        </row>
        <row r="957">
          <cell r="A957" t="str">
            <v>060L730</v>
          </cell>
          <cell r="B957">
            <v>40462</v>
          </cell>
        </row>
        <row r="958">
          <cell r="A958" t="str">
            <v>10R0AA0</v>
          </cell>
          <cell r="B958">
            <v>40343</v>
          </cell>
        </row>
        <row r="959">
          <cell r="A959" t="str">
            <v>043S740</v>
          </cell>
          <cell r="B959">
            <v>40441</v>
          </cell>
        </row>
        <row r="960">
          <cell r="A960" t="str">
            <v>030E080</v>
          </cell>
          <cell r="B960">
            <v>40428</v>
          </cell>
        </row>
        <row r="961">
          <cell r="A961" t="str">
            <v>050161E</v>
          </cell>
          <cell r="B961">
            <v>40462</v>
          </cell>
        </row>
        <row r="962">
          <cell r="A962" t="str">
            <v>100A671</v>
          </cell>
          <cell r="B962">
            <v>40581</v>
          </cell>
        </row>
        <row r="963">
          <cell r="A963" t="str">
            <v>073Y630</v>
          </cell>
          <cell r="B963">
            <v>40350</v>
          </cell>
        </row>
        <row r="964">
          <cell r="A964" t="str">
            <v>042A543</v>
          </cell>
          <cell r="B964">
            <v>40350</v>
          </cell>
        </row>
        <row r="965">
          <cell r="A965" t="str">
            <v>0726090</v>
          </cell>
          <cell r="B965">
            <v>40350</v>
          </cell>
        </row>
        <row r="966">
          <cell r="A966" t="str">
            <v>050N060</v>
          </cell>
          <cell r="B966">
            <v>40350</v>
          </cell>
        </row>
        <row r="967">
          <cell r="A967" t="str">
            <v>0934750</v>
          </cell>
          <cell r="B967">
            <v>40406</v>
          </cell>
        </row>
        <row r="968">
          <cell r="A968" t="str">
            <v>042A542</v>
          </cell>
          <cell r="B968">
            <v>40350</v>
          </cell>
        </row>
        <row r="969">
          <cell r="A969" t="str">
            <v>044A540</v>
          </cell>
          <cell r="B969">
            <v>40497</v>
          </cell>
        </row>
        <row r="970">
          <cell r="A970" t="str">
            <v>080H310</v>
          </cell>
          <cell r="B970">
            <v>40462</v>
          </cell>
        </row>
        <row r="971">
          <cell r="A971" t="str">
            <v>1126073</v>
          </cell>
          <cell r="B971">
            <v>40365</v>
          </cell>
        </row>
        <row r="972">
          <cell r="A972" t="str">
            <v>120K540</v>
          </cell>
          <cell r="B972">
            <v>40462</v>
          </cell>
        </row>
        <row r="973">
          <cell r="A973" t="str">
            <v>050Q670</v>
          </cell>
          <cell r="B973">
            <v>40428</v>
          </cell>
        </row>
        <row r="974">
          <cell r="A974" t="str">
            <v>060G930</v>
          </cell>
          <cell r="B974">
            <v>40365</v>
          </cell>
        </row>
        <row r="975">
          <cell r="A975" t="str">
            <v>0646000</v>
          </cell>
          <cell r="B975">
            <v>40511</v>
          </cell>
        </row>
        <row r="976">
          <cell r="A976" t="str">
            <v>10C0G80</v>
          </cell>
        </row>
        <row r="977">
          <cell r="A977" t="str">
            <v>080K300</v>
          </cell>
          <cell r="B977">
            <v>40609</v>
          </cell>
        </row>
        <row r="978">
          <cell r="A978" t="str">
            <v>050Q970</v>
          </cell>
          <cell r="B978">
            <v>40420</v>
          </cell>
        </row>
        <row r="979">
          <cell r="A979" t="str">
            <v>080G350</v>
          </cell>
          <cell r="B979">
            <v>40630</v>
          </cell>
        </row>
        <row r="980">
          <cell r="A980" t="str">
            <v>080P620</v>
          </cell>
          <cell r="B980">
            <v>40596</v>
          </cell>
        </row>
        <row r="981">
          <cell r="A981" t="str">
            <v>022E000</v>
          </cell>
          <cell r="B981">
            <v>40455</v>
          </cell>
        </row>
        <row r="982">
          <cell r="A982" t="str">
            <v>080P630</v>
          </cell>
          <cell r="B982">
            <v>40574</v>
          </cell>
        </row>
        <row r="983">
          <cell r="A983" t="str">
            <v>080L790</v>
          </cell>
          <cell r="B983">
            <v>40574</v>
          </cell>
        </row>
        <row r="984">
          <cell r="A984" t="str">
            <v>074S250</v>
          </cell>
          <cell r="B984">
            <v>40378</v>
          </cell>
        </row>
        <row r="985">
          <cell r="A985" t="str">
            <v>040A184</v>
          </cell>
          <cell r="B985">
            <v>40602</v>
          </cell>
        </row>
        <row r="986">
          <cell r="A986" t="str">
            <v>120K680</v>
          </cell>
          <cell r="B986">
            <v>40476</v>
          </cell>
        </row>
        <row r="987">
          <cell r="A987" t="str">
            <v>041A681</v>
          </cell>
          <cell r="B987">
            <v>40378</v>
          </cell>
        </row>
        <row r="988">
          <cell r="A988" t="str">
            <v>0149550</v>
          </cell>
          <cell r="B988">
            <v>40385</v>
          </cell>
        </row>
        <row r="989">
          <cell r="A989" t="str">
            <v>030E930</v>
          </cell>
          <cell r="B989">
            <v>40511</v>
          </cell>
        </row>
        <row r="990">
          <cell r="A990" t="str">
            <v>0644670</v>
          </cell>
          <cell r="B990">
            <v>40385</v>
          </cell>
        </row>
        <row r="991">
          <cell r="A991" t="str">
            <v>022C460</v>
          </cell>
          <cell r="B991">
            <v>40420</v>
          </cell>
        </row>
        <row r="992">
          <cell r="A992" t="str">
            <v>0423563</v>
          </cell>
          <cell r="B992">
            <v>40596</v>
          </cell>
        </row>
        <row r="993">
          <cell r="A993" t="str">
            <v>120L500</v>
          </cell>
          <cell r="B993">
            <v>40462</v>
          </cell>
        </row>
        <row r="994">
          <cell r="A994" t="str">
            <v>121016A</v>
          </cell>
          <cell r="B994">
            <v>40490</v>
          </cell>
        </row>
        <row r="995">
          <cell r="A995" t="str">
            <v>042285C</v>
          </cell>
          <cell r="B995">
            <v>40378</v>
          </cell>
        </row>
        <row r="996">
          <cell r="A996" t="str">
            <v>031F370</v>
          </cell>
          <cell r="B996">
            <v>40385</v>
          </cell>
        </row>
        <row r="997">
          <cell r="A997" t="str">
            <v>04R4S43</v>
          </cell>
          <cell r="B997">
            <v>40539</v>
          </cell>
        </row>
        <row r="998">
          <cell r="A998" t="str">
            <v>033E090</v>
          </cell>
          <cell r="B998">
            <v>40497</v>
          </cell>
        </row>
        <row r="999">
          <cell r="A999" t="str">
            <v>1129240</v>
          </cell>
          <cell r="B999">
            <v>40392</v>
          </cell>
        </row>
        <row r="1000">
          <cell r="A1000" t="str">
            <v>0645990</v>
          </cell>
          <cell r="B1000">
            <v>40392</v>
          </cell>
        </row>
        <row r="1001">
          <cell r="A1001" t="str">
            <v>024C010</v>
          </cell>
          <cell r="B1001">
            <v>40441</v>
          </cell>
        </row>
        <row r="1002">
          <cell r="A1002" t="str">
            <v>031F360</v>
          </cell>
          <cell r="B1002">
            <v>40399</v>
          </cell>
        </row>
        <row r="1003">
          <cell r="A1003" t="str">
            <v>050Q640</v>
          </cell>
          <cell r="B1003">
            <v>40469</v>
          </cell>
        </row>
        <row r="1004">
          <cell r="A1004" t="str">
            <v>030F700</v>
          </cell>
          <cell r="B1004">
            <v>40399</v>
          </cell>
        </row>
        <row r="1005">
          <cell r="A1005" t="str">
            <v>022E970</v>
          </cell>
          <cell r="B1005">
            <v>40428</v>
          </cell>
        </row>
        <row r="1006">
          <cell r="A1006" t="str">
            <v>0725380</v>
          </cell>
          <cell r="B1006">
            <v>40399</v>
          </cell>
        </row>
        <row r="1007">
          <cell r="A1007" t="str">
            <v>020C590</v>
          </cell>
          <cell r="B1007">
            <v>40428</v>
          </cell>
        </row>
        <row r="1008">
          <cell r="A1008" t="str">
            <v>060K410</v>
          </cell>
          <cell r="B1008">
            <v>40476</v>
          </cell>
        </row>
        <row r="1009">
          <cell r="A1009" t="str">
            <v>0149990</v>
          </cell>
          <cell r="B1009">
            <v>40462</v>
          </cell>
        </row>
        <row r="1010">
          <cell r="A1010" t="str">
            <v>034E220</v>
          </cell>
          <cell r="B1010">
            <v>40399</v>
          </cell>
        </row>
        <row r="1011">
          <cell r="A1011" t="str">
            <v>030F590</v>
          </cell>
          <cell r="B1011">
            <v>40399</v>
          </cell>
        </row>
        <row r="1012">
          <cell r="A1012" t="str">
            <v>060G950</v>
          </cell>
          <cell r="B1012">
            <v>40406</v>
          </cell>
        </row>
        <row r="1013">
          <cell r="A1013" t="str">
            <v>050R760</v>
          </cell>
          <cell r="B1013">
            <v>40525</v>
          </cell>
        </row>
        <row r="1014">
          <cell r="A1014" t="str">
            <v>100AA00</v>
          </cell>
          <cell r="B1014">
            <v>40406</v>
          </cell>
        </row>
        <row r="1015">
          <cell r="A1015" t="str">
            <v>060G940</v>
          </cell>
          <cell r="B1015">
            <v>40406</v>
          </cell>
        </row>
        <row r="1016">
          <cell r="A1016" t="str">
            <v>022C450</v>
          </cell>
          <cell r="B1016">
            <v>40406</v>
          </cell>
        </row>
        <row r="1017">
          <cell r="A1017" t="str">
            <v>021E080</v>
          </cell>
          <cell r="B1017">
            <v>40406</v>
          </cell>
        </row>
        <row r="1018">
          <cell r="A1018" t="str">
            <v>0934340</v>
          </cell>
          <cell r="B1018">
            <v>40406</v>
          </cell>
        </row>
        <row r="1019">
          <cell r="A1019" t="str">
            <v>0934250</v>
          </cell>
          <cell r="B1019">
            <v>40532</v>
          </cell>
        </row>
        <row r="1020">
          <cell r="A1020" t="str">
            <v>100Q370</v>
          </cell>
          <cell r="B1020">
            <v>40406</v>
          </cell>
        </row>
        <row r="1021">
          <cell r="A1021" t="str">
            <v>0644810</v>
          </cell>
          <cell r="B1021">
            <v>40406</v>
          </cell>
        </row>
        <row r="1022">
          <cell r="A1022" t="str">
            <v>0725610</v>
          </cell>
          <cell r="B1022">
            <v>40413</v>
          </cell>
        </row>
        <row r="1023">
          <cell r="A1023" t="str">
            <v>120C970</v>
          </cell>
          <cell r="B1023">
            <v>40497</v>
          </cell>
        </row>
        <row r="1024">
          <cell r="A1024" t="str">
            <v>023E000</v>
          </cell>
          <cell r="B1024">
            <v>40413</v>
          </cell>
        </row>
        <row r="1025">
          <cell r="A1025" t="str">
            <v>034E430</v>
          </cell>
          <cell r="B1025">
            <v>40413</v>
          </cell>
        </row>
        <row r="1026">
          <cell r="A1026" t="str">
            <v>031A950</v>
          </cell>
          <cell r="B1026">
            <v>40413</v>
          </cell>
        </row>
        <row r="1027">
          <cell r="A1027" t="str">
            <v>0727960</v>
          </cell>
          <cell r="B1027">
            <v>40413</v>
          </cell>
        </row>
        <row r="1028">
          <cell r="A1028" t="str">
            <v>03R0A80</v>
          </cell>
          <cell r="B1028">
            <v>40420</v>
          </cell>
        </row>
        <row r="1029">
          <cell r="A1029" t="str">
            <v>0713820</v>
          </cell>
          <cell r="B1029">
            <v>40518</v>
          </cell>
        </row>
        <row r="1030">
          <cell r="A1030" t="str">
            <v>044C350</v>
          </cell>
          <cell r="B1030">
            <v>40448</v>
          </cell>
        </row>
        <row r="1031">
          <cell r="A1031" t="str">
            <v>100V160</v>
          </cell>
          <cell r="B1031">
            <v>40420</v>
          </cell>
        </row>
        <row r="1032">
          <cell r="A1032" t="str">
            <v>074S940</v>
          </cell>
          <cell r="B1032">
            <v>40490</v>
          </cell>
        </row>
        <row r="1033">
          <cell r="A1033" t="str">
            <v>050Q560</v>
          </cell>
          <cell r="B1033">
            <v>40497</v>
          </cell>
        </row>
        <row r="1034">
          <cell r="A1034" t="str">
            <v>050R200</v>
          </cell>
          <cell r="B1034">
            <v>40504</v>
          </cell>
        </row>
        <row r="1035">
          <cell r="A1035" t="str">
            <v>1109183</v>
          </cell>
          <cell r="B1035">
            <v>40504</v>
          </cell>
        </row>
        <row r="1036">
          <cell r="A1036" t="str">
            <v>112M020</v>
          </cell>
          <cell r="B1036">
            <v>40420</v>
          </cell>
        </row>
        <row r="1037">
          <cell r="A1037" t="str">
            <v>050T560</v>
          </cell>
          <cell r="B1037">
            <v>40429</v>
          </cell>
        </row>
        <row r="1038">
          <cell r="A1038" t="str">
            <v>0147880</v>
          </cell>
          <cell r="B1038">
            <v>40428</v>
          </cell>
        </row>
        <row r="1039">
          <cell r="A1039" t="str">
            <v>100V170</v>
          </cell>
          <cell r="B1039">
            <v>40428</v>
          </cell>
        </row>
        <row r="1040">
          <cell r="A1040" t="str">
            <v>0646060</v>
          </cell>
          <cell r="B1040">
            <v>40428</v>
          </cell>
        </row>
        <row r="1041">
          <cell r="A1041" t="str">
            <v>020E200</v>
          </cell>
          <cell r="B1041">
            <v>40420</v>
          </cell>
        </row>
        <row r="1042">
          <cell r="A1042" t="str">
            <v>031E670</v>
          </cell>
          <cell r="B1042">
            <v>40434</v>
          </cell>
        </row>
        <row r="1043">
          <cell r="A1043" t="str">
            <v>031F100</v>
          </cell>
          <cell r="B1043">
            <v>40428</v>
          </cell>
        </row>
        <row r="1044">
          <cell r="A1044" t="str">
            <v>0929560</v>
          </cell>
          <cell r="B1044">
            <v>40434</v>
          </cell>
        </row>
        <row r="1045">
          <cell r="A1045" t="str">
            <v>031A680</v>
          </cell>
          <cell r="B1045">
            <v>40434</v>
          </cell>
        </row>
        <row r="1046">
          <cell r="A1046" t="str">
            <v>0145940</v>
          </cell>
          <cell r="B1046">
            <v>40434</v>
          </cell>
        </row>
        <row r="1047">
          <cell r="A1047" t="str">
            <v>120G330</v>
          </cell>
          <cell r="B1047">
            <v>40596</v>
          </cell>
        </row>
        <row r="1048">
          <cell r="A1048" t="str">
            <v>112T011</v>
          </cell>
          <cell r="B1048">
            <v>40623</v>
          </cell>
        </row>
        <row r="1049">
          <cell r="A1049" t="str">
            <v>0147850</v>
          </cell>
          <cell r="B1049">
            <v>40434</v>
          </cell>
        </row>
        <row r="1050">
          <cell r="A1050" t="str">
            <v>11R2T04</v>
          </cell>
          <cell r="B1050">
            <v>40259</v>
          </cell>
        </row>
        <row r="1051">
          <cell r="A1051" t="str">
            <v>100G470</v>
          </cell>
          <cell r="B1051">
            <v>40588</v>
          </cell>
        </row>
        <row r="1052">
          <cell r="A1052" t="str">
            <v>031F500</v>
          </cell>
          <cell r="B1052">
            <v>40434</v>
          </cell>
        </row>
        <row r="1053">
          <cell r="A1053" t="str">
            <v>120L080</v>
          </cell>
          <cell r="B1053">
            <v>40651</v>
          </cell>
        </row>
        <row r="1054">
          <cell r="A1054" t="str">
            <v>031E100</v>
          </cell>
          <cell r="B1054">
            <v>40434</v>
          </cell>
        </row>
        <row r="1055">
          <cell r="A1055" t="str">
            <v>031F450</v>
          </cell>
          <cell r="B1055">
            <v>40434</v>
          </cell>
        </row>
        <row r="1056">
          <cell r="A1056" t="str">
            <v>060H250</v>
          </cell>
          <cell r="B1056">
            <v>40434</v>
          </cell>
        </row>
        <row r="1057">
          <cell r="A1057" t="str">
            <v>0149580</v>
          </cell>
          <cell r="B1057">
            <v>40434</v>
          </cell>
        </row>
        <row r="1058">
          <cell r="A1058" t="str">
            <v>100P590</v>
          </cell>
          <cell r="B1058">
            <v>40434</v>
          </cell>
        </row>
        <row r="1059">
          <cell r="A1059" t="str">
            <v>023E010</v>
          </cell>
          <cell r="B1059">
            <v>40574</v>
          </cell>
        </row>
        <row r="1060">
          <cell r="A1060" t="str">
            <v>060K890</v>
          </cell>
          <cell r="B1060">
            <v>40441</v>
          </cell>
        </row>
        <row r="1061">
          <cell r="A1061" t="str">
            <v>073Y310</v>
          </cell>
          <cell r="B1061">
            <v>40441</v>
          </cell>
        </row>
        <row r="1062">
          <cell r="A1062" t="str">
            <v>07C2513</v>
          </cell>
          <cell r="B1062">
            <v>40441</v>
          </cell>
        </row>
        <row r="1063">
          <cell r="A1063" t="str">
            <v>042E300</v>
          </cell>
          <cell r="B1063">
            <v>40441</v>
          </cell>
        </row>
        <row r="1064">
          <cell r="A1064" t="str">
            <v>1123640</v>
          </cell>
          <cell r="B1064">
            <v>40441</v>
          </cell>
        </row>
        <row r="1065">
          <cell r="A1065" t="str">
            <v>0149140</v>
          </cell>
          <cell r="B1065">
            <v>40441</v>
          </cell>
        </row>
        <row r="1066">
          <cell r="A1066" t="str">
            <v>0645870</v>
          </cell>
          <cell r="B1066">
            <v>40441</v>
          </cell>
        </row>
        <row r="1067">
          <cell r="A1067" t="str">
            <v>0725250</v>
          </cell>
          <cell r="B1067">
            <v>40441</v>
          </cell>
        </row>
        <row r="1068">
          <cell r="A1068" t="str">
            <v>0645910</v>
          </cell>
          <cell r="B1068">
            <v>40441</v>
          </cell>
        </row>
        <row r="1069">
          <cell r="A1069" t="str">
            <v>0725150</v>
          </cell>
          <cell r="B1069">
            <v>40441</v>
          </cell>
        </row>
        <row r="1070">
          <cell r="A1070" t="str">
            <v>031F470</v>
          </cell>
          <cell r="B1070">
            <v>40448</v>
          </cell>
        </row>
        <row r="1071">
          <cell r="A1071" t="str">
            <v>030A650</v>
          </cell>
          <cell r="B1071">
            <v>40448</v>
          </cell>
        </row>
        <row r="1072">
          <cell r="A1072" t="str">
            <v>0725230</v>
          </cell>
          <cell r="B1072">
            <v>40448</v>
          </cell>
        </row>
        <row r="1073">
          <cell r="A1073" t="str">
            <v>080N950</v>
          </cell>
          <cell r="B1073">
            <v>40448</v>
          </cell>
        </row>
        <row r="1074">
          <cell r="A1074" t="str">
            <v>031F480</v>
          </cell>
          <cell r="B1074">
            <v>40448</v>
          </cell>
        </row>
        <row r="1075">
          <cell r="A1075" t="str">
            <v>1123930</v>
          </cell>
          <cell r="B1075">
            <v>40448</v>
          </cell>
        </row>
        <row r="1076">
          <cell r="A1076" t="str">
            <v>0149690</v>
          </cell>
          <cell r="B1076">
            <v>40448</v>
          </cell>
        </row>
        <row r="1077">
          <cell r="A1077" t="str">
            <v>0146440</v>
          </cell>
          <cell r="B1077">
            <v>40448</v>
          </cell>
        </row>
        <row r="1078">
          <cell r="A1078" t="str">
            <v>100E940</v>
          </cell>
          <cell r="B1078">
            <v>40448</v>
          </cell>
        </row>
        <row r="1079">
          <cell r="A1079" t="str">
            <v>100Q200</v>
          </cell>
          <cell r="B1079">
            <v>40448</v>
          </cell>
        </row>
        <row r="1080">
          <cell r="A1080" t="str">
            <v>120K390</v>
          </cell>
          <cell r="B1080">
            <v>40623</v>
          </cell>
        </row>
        <row r="1081">
          <cell r="A1081" t="str">
            <v>0147770</v>
          </cell>
          <cell r="B1081">
            <v>40609</v>
          </cell>
        </row>
        <row r="1082">
          <cell r="A1082" t="str">
            <v>031F460</v>
          </cell>
          <cell r="B1082">
            <v>40455</v>
          </cell>
        </row>
        <row r="1083">
          <cell r="A1083" t="str">
            <v>0847810</v>
          </cell>
          <cell r="B1083">
            <v>40665</v>
          </cell>
        </row>
        <row r="1084">
          <cell r="A1084" t="str">
            <v>073Y860</v>
          </cell>
          <cell r="B1084">
            <v>40455</v>
          </cell>
        </row>
        <row r="1085">
          <cell r="A1085" t="str">
            <v>080M240</v>
          </cell>
          <cell r="B1085">
            <v>40539</v>
          </cell>
        </row>
        <row r="1086">
          <cell r="A1086" t="str">
            <v>050S990</v>
          </cell>
          <cell r="B1086">
            <v>40455</v>
          </cell>
        </row>
        <row r="1087">
          <cell r="A1087" t="str">
            <v>043A050</v>
          </cell>
          <cell r="B1087">
            <v>40462</v>
          </cell>
        </row>
        <row r="1088">
          <cell r="A1088" t="str">
            <v>040C852</v>
          </cell>
          <cell r="B1088">
            <v>40462</v>
          </cell>
        </row>
        <row r="1089">
          <cell r="A1089" t="str">
            <v>033C890</v>
          </cell>
          <cell r="B1089">
            <v>40462</v>
          </cell>
        </row>
        <row r="1090">
          <cell r="A1090" t="str">
            <v>031F440</v>
          </cell>
          <cell r="B1090">
            <v>40462</v>
          </cell>
        </row>
        <row r="1091">
          <cell r="A1091" t="str">
            <v>022E840</v>
          </cell>
          <cell r="B1091">
            <v>40462</v>
          </cell>
        </row>
        <row r="1092">
          <cell r="A1092" t="str">
            <v>1124010</v>
          </cell>
          <cell r="B1092">
            <v>40469</v>
          </cell>
        </row>
        <row r="1093">
          <cell r="A1093" t="str">
            <v>050N650</v>
          </cell>
          <cell r="B1093">
            <v>40581</v>
          </cell>
        </row>
        <row r="1094">
          <cell r="A1094" t="str">
            <v>0725180</v>
          </cell>
          <cell r="B1094">
            <v>40497</v>
          </cell>
        </row>
        <row r="1095">
          <cell r="A1095" t="str">
            <v>0727930</v>
          </cell>
          <cell r="B1095">
            <v>40469</v>
          </cell>
        </row>
        <row r="1096">
          <cell r="A1096" t="str">
            <v>060F000</v>
          </cell>
          <cell r="B1096">
            <v>40630</v>
          </cell>
        </row>
        <row r="1097">
          <cell r="A1097" t="str">
            <v>0641590</v>
          </cell>
          <cell r="B1097">
            <v>40588</v>
          </cell>
        </row>
        <row r="1098">
          <cell r="A1098" t="str">
            <v>0417242</v>
          </cell>
          <cell r="B1098">
            <v>40469</v>
          </cell>
        </row>
        <row r="1099">
          <cell r="A1099" t="str">
            <v>033M230</v>
          </cell>
          <cell r="B1099">
            <v>40469</v>
          </cell>
        </row>
        <row r="1100">
          <cell r="A1100" t="str">
            <v>120L140</v>
          </cell>
          <cell r="B1100">
            <v>40574</v>
          </cell>
        </row>
        <row r="1101">
          <cell r="A1101" t="str">
            <v>1108040</v>
          </cell>
          <cell r="B1101">
            <v>40476</v>
          </cell>
        </row>
        <row r="1102">
          <cell r="A1102" t="str">
            <v>112M030</v>
          </cell>
          <cell r="B1102">
            <v>40476</v>
          </cell>
        </row>
        <row r="1103">
          <cell r="A1103" t="str">
            <v>073Y970</v>
          </cell>
          <cell r="B1103">
            <v>40476</v>
          </cell>
        </row>
        <row r="1104">
          <cell r="A1104" t="str">
            <v>060E210</v>
          </cell>
          <cell r="B1104">
            <v>40476</v>
          </cell>
        </row>
        <row r="1105">
          <cell r="A1105" t="str">
            <v>043A550</v>
          </cell>
          <cell r="B1105">
            <v>40665</v>
          </cell>
        </row>
        <row r="1106">
          <cell r="A1106" t="str">
            <v>0725210</v>
          </cell>
          <cell r="B1106">
            <v>40483</v>
          </cell>
        </row>
        <row r="1107">
          <cell r="A1107" t="str">
            <v>050S980</v>
          </cell>
          <cell r="B1107">
            <v>40561</v>
          </cell>
        </row>
        <row r="1108">
          <cell r="A1108" t="str">
            <v>120L170</v>
          </cell>
          <cell r="B1108">
            <v>40630</v>
          </cell>
        </row>
        <row r="1109">
          <cell r="A1109" t="str">
            <v>120J760</v>
          </cell>
          <cell r="B1109">
            <v>40539</v>
          </cell>
        </row>
        <row r="1110">
          <cell r="A1110" t="str">
            <v>020E530</v>
          </cell>
          <cell r="B1110">
            <v>40483</v>
          </cell>
        </row>
        <row r="1111">
          <cell r="A1111" t="str">
            <v>073Y700</v>
          </cell>
          <cell r="B1111">
            <v>40483</v>
          </cell>
        </row>
        <row r="1112">
          <cell r="A1112" t="str">
            <v>120AA01</v>
          </cell>
          <cell r="B1112">
            <v>40490</v>
          </cell>
        </row>
        <row r="1113">
          <cell r="A1113" t="str">
            <v>060E220</v>
          </cell>
          <cell r="B1113">
            <v>40490</v>
          </cell>
        </row>
        <row r="1114">
          <cell r="A1114" t="str">
            <v>1128890</v>
          </cell>
          <cell r="B1114">
            <v>40490</v>
          </cell>
        </row>
        <row r="1115">
          <cell r="A1115" t="str">
            <v>042E140</v>
          </cell>
          <cell r="B1115">
            <v>40490</v>
          </cell>
        </row>
        <row r="1116">
          <cell r="A1116" t="str">
            <v>0417241</v>
          </cell>
          <cell r="B1116">
            <v>40497</v>
          </cell>
        </row>
        <row r="1117">
          <cell r="A1117" t="str">
            <v>120K890</v>
          </cell>
          <cell r="B1117">
            <v>40658</v>
          </cell>
        </row>
        <row r="1118">
          <cell r="A1118" t="str">
            <v>100U590</v>
          </cell>
          <cell r="B1118">
            <v>40553</v>
          </cell>
        </row>
        <row r="1119">
          <cell r="A1119" t="str">
            <v>060M510</v>
          </cell>
          <cell r="B1119">
            <v>40588</v>
          </cell>
        </row>
        <row r="1120">
          <cell r="A1120" t="str">
            <v>120L540</v>
          </cell>
          <cell r="B1120">
            <v>40623</v>
          </cell>
        </row>
        <row r="1121">
          <cell r="A1121" t="str">
            <v>073Y730</v>
          </cell>
          <cell r="B1121">
            <v>40497</v>
          </cell>
        </row>
        <row r="1122">
          <cell r="A1122" t="str">
            <v>023E020</v>
          </cell>
          <cell r="B1122">
            <v>40497</v>
          </cell>
        </row>
        <row r="1123">
          <cell r="A1123" t="str">
            <v>080C451</v>
          </cell>
          <cell r="B1123">
            <v>40596</v>
          </cell>
        </row>
        <row r="1124">
          <cell r="A1124" t="str">
            <v>060K440</v>
          </cell>
          <cell r="B1124">
            <v>40567</v>
          </cell>
        </row>
        <row r="1125">
          <cell r="A1125" t="str">
            <v>050S860</v>
          </cell>
          <cell r="B1125">
            <v>40497</v>
          </cell>
        </row>
        <row r="1126">
          <cell r="A1126" t="str">
            <v>060L540</v>
          </cell>
          <cell r="B1126">
            <v>40497</v>
          </cell>
        </row>
        <row r="1127">
          <cell r="A1127" t="str">
            <v>120K400</v>
          </cell>
          <cell r="B1127">
            <v>40623</v>
          </cell>
        </row>
        <row r="1128">
          <cell r="A1128" t="str">
            <v>120L100</v>
          </cell>
          <cell r="B1128">
            <v>40596</v>
          </cell>
        </row>
        <row r="1129">
          <cell r="A1129" t="str">
            <v>024C401</v>
          </cell>
          <cell r="B1129">
            <v>40596</v>
          </cell>
        </row>
        <row r="1130">
          <cell r="A1130" t="str">
            <v>033M650</v>
          </cell>
          <cell r="B1130">
            <v>40504</v>
          </cell>
        </row>
        <row r="1131">
          <cell r="A1131" t="str">
            <v>044A341</v>
          </cell>
          <cell r="B1131">
            <v>40504</v>
          </cell>
        </row>
        <row r="1132">
          <cell r="A1132" t="str">
            <v>034E530</v>
          </cell>
          <cell r="B1132">
            <v>40504</v>
          </cell>
        </row>
        <row r="1133">
          <cell r="A1133" t="str">
            <v>030F920</v>
          </cell>
          <cell r="B1133">
            <v>40504</v>
          </cell>
        </row>
        <row r="1134">
          <cell r="A1134" t="str">
            <v>021E580</v>
          </cell>
          <cell r="B1134">
            <v>40504</v>
          </cell>
        </row>
        <row r="1135">
          <cell r="A1135" t="str">
            <v>112T070</v>
          </cell>
          <cell r="B1135">
            <v>40602</v>
          </cell>
        </row>
        <row r="1136">
          <cell r="A1136" t="str">
            <v>04R3A95</v>
          </cell>
          <cell r="B1136">
            <v>40371</v>
          </cell>
        </row>
        <row r="1137">
          <cell r="A1137" t="str">
            <v>050T030</v>
          </cell>
          <cell r="B1137">
            <v>40532</v>
          </cell>
        </row>
        <row r="1138">
          <cell r="A1138" t="str">
            <v>033M730</v>
          </cell>
          <cell r="B1138">
            <v>40511</v>
          </cell>
        </row>
        <row r="1139">
          <cell r="A1139" t="str">
            <v>041G310</v>
          </cell>
          <cell r="B1139">
            <v>40518</v>
          </cell>
        </row>
        <row r="1140">
          <cell r="A1140" t="str">
            <v>044C140</v>
          </cell>
          <cell r="B1140">
            <v>40518</v>
          </cell>
        </row>
        <row r="1141">
          <cell r="A1141" t="str">
            <v>1128970</v>
          </cell>
          <cell r="B1141">
            <v>40518</v>
          </cell>
        </row>
        <row r="1142">
          <cell r="A1142" t="str">
            <v>080P150</v>
          </cell>
          <cell r="B1142">
            <v>40602</v>
          </cell>
        </row>
        <row r="1143">
          <cell r="A1143" t="str">
            <v>044S630</v>
          </cell>
          <cell r="B1143">
            <v>40518</v>
          </cell>
        </row>
        <row r="1144">
          <cell r="A1144" t="str">
            <v>033M700</v>
          </cell>
          <cell r="B1144">
            <v>40518</v>
          </cell>
        </row>
        <row r="1145">
          <cell r="A1145" t="str">
            <v>044A460</v>
          </cell>
          <cell r="B1145">
            <v>40651</v>
          </cell>
        </row>
        <row r="1146">
          <cell r="A1146" t="str">
            <v>074Y170</v>
          </cell>
          <cell r="B1146">
            <v>40518</v>
          </cell>
        </row>
        <row r="1147">
          <cell r="A1147" t="str">
            <v>074Y290</v>
          </cell>
          <cell r="B1147">
            <v>40525</v>
          </cell>
        </row>
        <row r="1148">
          <cell r="A1148" t="str">
            <v>080P140</v>
          </cell>
          <cell r="B1148">
            <v>40588</v>
          </cell>
        </row>
        <row r="1149">
          <cell r="A1149" t="str">
            <v>060C490</v>
          </cell>
          <cell r="B1149">
            <v>40665</v>
          </cell>
        </row>
        <row r="1150">
          <cell r="A1150" t="str">
            <v>074Y160</v>
          </cell>
          <cell r="B1150">
            <v>40525</v>
          </cell>
        </row>
        <row r="1151">
          <cell r="A1151" t="str">
            <v>120K690</v>
          </cell>
          <cell r="B1151">
            <v>40596</v>
          </cell>
        </row>
        <row r="1152">
          <cell r="A1152" t="str">
            <v>060G960</v>
          </cell>
          <cell r="B1152">
            <v>40525</v>
          </cell>
        </row>
        <row r="1153">
          <cell r="A1153" t="str">
            <v>050T310</v>
          </cell>
          <cell r="B1153">
            <v>40525</v>
          </cell>
        </row>
        <row r="1154">
          <cell r="A1154" t="str">
            <v>034M040</v>
          </cell>
          <cell r="B1154">
            <v>40525</v>
          </cell>
        </row>
        <row r="1155">
          <cell r="A1155" t="str">
            <v>0933810</v>
          </cell>
          <cell r="B1155">
            <v>40525</v>
          </cell>
        </row>
        <row r="1156">
          <cell r="A1156" t="str">
            <v>080P350</v>
          </cell>
          <cell r="B1156">
            <v>40525</v>
          </cell>
        </row>
        <row r="1157">
          <cell r="A1157" t="str">
            <v>041E950</v>
          </cell>
          <cell r="B1157">
            <v>40525</v>
          </cell>
        </row>
        <row r="1158">
          <cell r="A1158" t="str">
            <v>041E850</v>
          </cell>
          <cell r="B1158">
            <v>40525</v>
          </cell>
        </row>
        <row r="1159">
          <cell r="A1159" t="str">
            <v>0147220</v>
          </cell>
          <cell r="B1159">
            <v>40525</v>
          </cell>
        </row>
        <row r="1160">
          <cell r="A1160" t="str">
            <v>033M890</v>
          </cell>
          <cell r="B1160">
            <v>40525</v>
          </cell>
        </row>
        <row r="1161">
          <cell r="A1161" t="str">
            <v>100U570</v>
          </cell>
          <cell r="B1161">
            <v>40602</v>
          </cell>
        </row>
        <row r="1162">
          <cell r="A1162" t="str">
            <v>021E470</v>
          </cell>
          <cell r="B1162">
            <v>40623</v>
          </cell>
        </row>
        <row r="1163">
          <cell r="A1163" t="str">
            <v>041E960</v>
          </cell>
          <cell r="B1163">
            <v>40532</v>
          </cell>
        </row>
        <row r="1164">
          <cell r="A1164" t="str">
            <v>060H000</v>
          </cell>
          <cell r="B1164">
            <v>40532</v>
          </cell>
        </row>
        <row r="1165">
          <cell r="A1165" t="str">
            <v>074Y100</v>
          </cell>
          <cell r="B1165">
            <v>40532</v>
          </cell>
        </row>
        <row r="1166">
          <cell r="A1166" t="str">
            <v>050T290</v>
          </cell>
          <cell r="B1166">
            <v>40588</v>
          </cell>
        </row>
        <row r="1167">
          <cell r="A1167" t="str">
            <v>041E090</v>
          </cell>
          <cell r="B1167">
            <v>40539</v>
          </cell>
        </row>
        <row r="1168">
          <cell r="A1168" t="str">
            <v>074Y310</v>
          </cell>
          <cell r="B1168">
            <v>40539</v>
          </cell>
        </row>
        <row r="1169">
          <cell r="A1169" t="str">
            <v>120L160</v>
          </cell>
          <cell r="B1169">
            <v>40596</v>
          </cell>
        </row>
        <row r="1170">
          <cell r="A1170" t="str">
            <v>074Y210</v>
          </cell>
          <cell r="B1170">
            <v>40539</v>
          </cell>
        </row>
        <row r="1171">
          <cell r="A1171" t="str">
            <v>041E840</v>
          </cell>
          <cell r="B1171">
            <v>40539</v>
          </cell>
        </row>
        <row r="1172">
          <cell r="A1172" t="str">
            <v>041E890</v>
          </cell>
          <cell r="B1172">
            <v>40539</v>
          </cell>
        </row>
        <row r="1173">
          <cell r="A1173" t="str">
            <v>022E640</v>
          </cell>
          <cell r="B1173">
            <v>40539</v>
          </cell>
        </row>
        <row r="1174">
          <cell r="A1174" t="str">
            <v>030F810</v>
          </cell>
          <cell r="B1174">
            <v>40637</v>
          </cell>
        </row>
        <row r="1175">
          <cell r="A1175" t="str">
            <v>0149600</v>
          </cell>
          <cell r="B1175">
            <v>40546</v>
          </cell>
        </row>
        <row r="1176">
          <cell r="A1176" t="str">
            <v>074Y220</v>
          </cell>
          <cell r="B1176">
            <v>40546</v>
          </cell>
        </row>
        <row r="1177">
          <cell r="A1177" t="str">
            <v>03R3M75</v>
          </cell>
          <cell r="B1177">
            <v>40665</v>
          </cell>
        </row>
        <row r="1178">
          <cell r="A1178" t="str">
            <v>023E550</v>
          </cell>
          <cell r="B1178">
            <v>40546</v>
          </cell>
        </row>
        <row r="1179">
          <cell r="A1179" t="str">
            <v>050Q960</v>
          </cell>
          <cell r="B1179">
            <v>40602</v>
          </cell>
        </row>
        <row r="1180">
          <cell r="A1180" t="str">
            <v>033M880</v>
          </cell>
          <cell r="B1180">
            <v>40546</v>
          </cell>
        </row>
        <row r="1181">
          <cell r="A1181" t="str">
            <v>074Y250</v>
          </cell>
          <cell r="B1181">
            <v>40546</v>
          </cell>
        </row>
        <row r="1182">
          <cell r="A1182" t="str">
            <v>060G680</v>
          </cell>
          <cell r="B1182">
            <v>40602</v>
          </cell>
        </row>
        <row r="1183">
          <cell r="A1183" t="str">
            <v>120L110</v>
          </cell>
          <cell r="B1183">
            <v>40602</v>
          </cell>
        </row>
        <row r="1184">
          <cell r="A1184" t="str">
            <v>041E980</v>
          </cell>
          <cell r="B1184">
            <v>40546</v>
          </cell>
        </row>
        <row r="1185">
          <cell r="A1185" t="str">
            <v>074Y400</v>
          </cell>
          <cell r="B1185">
            <v>40546</v>
          </cell>
        </row>
        <row r="1186">
          <cell r="A1186" t="str">
            <v>0934660</v>
          </cell>
          <cell r="B1186">
            <v>40609</v>
          </cell>
        </row>
        <row r="1187">
          <cell r="A1187" t="str">
            <v>040E970</v>
          </cell>
          <cell r="B1187">
            <v>40546</v>
          </cell>
        </row>
        <row r="1188">
          <cell r="A1188" t="str">
            <v>022E660</v>
          </cell>
          <cell r="B1188">
            <v>40546</v>
          </cell>
        </row>
        <row r="1189">
          <cell r="A1189" t="str">
            <v>120L150</v>
          </cell>
          <cell r="B1189">
            <v>40602</v>
          </cell>
        </row>
        <row r="1190">
          <cell r="A1190" t="str">
            <v>034E650</v>
          </cell>
          <cell r="B1190">
            <v>40553</v>
          </cell>
        </row>
        <row r="1191">
          <cell r="A1191" t="str">
            <v>060G490</v>
          </cell>
          <cell r="B1191">
            <v>40602</v>
          </cell>
        </row>
        <row r="1192">
          <cell r="A1192" t="str">
            <v>022E240</v>
          </cell>
          <cell r="B1192">
            <v>40616</v>
          </cell>
        </row>
        <row r="1193">
          <cell r="A1193" t="str">
            <v>100U580</v>
          </cell>
          <cell r="B1193">
            <v>40609</v>
          </cell>
        </row>
        <row r="1194">
          <cell r="A1194" t="str">
            <v>041E450</v>
          </cell>
          <cell r="B1194">
            <v>40553</v>
          </cell>
        </row>
        <row r="1195">
          <cell r="A1195" t="str">
            <v>022E680</v>
          </cell>
          <cell r="B1195">
            <v>40553</v>
          </cell>
        </row>
        <row r="1196">
          <cell r="A1196" t="str">
            <v>022E670</v>
          </cell>
          <cell r="B1196">
            <v>40553</v>
          </cell>
        </row>
        <row r="1197">
          <cell r="A1197" t="str">
            <v>033M840</v>
          </cell>
          <cell r="B1197">
            <v>40553</v>
          </cell>
        </row>
        <row r="1198">
          <cell r="A1198" t="str">
            <v>120L550</v>
          </cell>
          <cell r="B1198">
            <v>40651</v>
          </cell>
        </row>
        <row r="1199">
          <cell r="A1199" t="str">
            <v>080P210</v>
          </cell>
          <cell r="B1199">
            <v>40630</v>
          </cell>
        </row>
        <row r="1200">
          <cell r="A1200" t="str">
            <v>033M680</v>
          </cell>
          <cell r="B1200">
            <v>40553</v>
          </cell>
        </row>
        <row r="1201">
          <cell r="A1201" t="str">
            <v>041E660</v>
          </cell>
          <cell r="B1201">
            <v>40553</v>
          </cell>
        </row>
        <row r="1202">
          <cell r="A1202" t="str">
            <v>120L120</v>
          </cell>
          <cell r="B1202">
            <v>40651</v>
          </cell>
        </row>
        <row r="1203">
          <cell r="A1203" t="str">
            <v>030F620</v>
          </cell>
          <cell r="B1203">
            <v>40637</v>
          </cell>
        </row>
        <row r="1204">
          <cell r="A1204" t="str">
            <v>050AA02</v>
          </cell>
          <cell r="B1204">
            <v>40561</v>
          </cell>
        </row>
        <row r="1205">
          <cell r="A1205" t="str">
            <v>022E690</v>
          </cell>
          <cell r="B1205">
            <v>40561</v>
          </cell>
        </row>
        <row r="1206">
          <cell r="A1206" t="str">
            <v>07C4Y33</v>
          </cell>
          <cell r="B1206">
            <v>40561</v>
          </cell>
        </row>
        <row r="1207">
          <cell r="A1207" t="str">
            <v>080E310</v>
          </cell>
          <cell r="B1207">
            <v>40651</v>
          </cell>
        </row>
        <row r="1208">
          <cell r="A1208" t="str">
            <v>060M710</v>
          </cell>
          <cell r="B1208">
            <v>40561</v>
          </cell>
        </row>
        <row r="1209">
          <cell r="A1209" t="str">
            <v>0934720</v>
          </cell>
          <cell r="B1209">
            <v>40561</v>
          </cell>
        </row>
        <row r="1210">
          <cell r="A1210" t="str">
            <v>033E440</v>
          </cell>
          <cell r="B1210">
            <v>40637</v>
          </cell>
        </row>
        <row r="1211">
          <cell r="A1211" t="str">
            <v>100U870</v>
          </cell>
          <cell r="B1211">
            <v>40561</v>
          </cell>
        </row>
        <row r="1212">
          <cell r="A1212" t="str">
            <v>100U810</v>
          </cell>
          <cell r="B1212">
            <v>40561</v>
          </cell>
        </row>
        <row r="1213">
          <cell r="A1213" t="str">
            <v>080P370</v>
          </cell>
          <cell r="B1213">
            <v>40567</v>
          </cell>
        </row>
        <row r="1214">
          <cell r="A1214" t="str">
            <v>033M910</v>
          </cell>
          <cell r="B1214">
            <v>40574</v>
          </cell>
        </row>
        <row r="1215">
          <cell r="A1215" t="str">
            <v>050S380</v>
          </cell>
          <cell r="B1215">
            <v>40623</v>
          </cell>
        </row>
        <row r="1216">
          <cell r="A1216" t="str">
            <v>09R3424</v>
          </cell>
          <cell r="B1216">
            <v>40658</v>
          </cell>
        </row>
        <row r="1217">
          <cell r="A1217" t="str">
            <v>041E570</v>
          </cell>
          <cell r="B1217">
            <v>40567</v>
          </cell>
        </row>
        <row r="1218">
          <cell r="A1218" t="str">
            <v>050T350</v>
          </cell>
          <cell r="B1218">
            <v>40609</v>
          </cell>
        </row>
        <row r="1219">
          <cell r="A1219" t="str">
            <v>050T610</v>
          </cell>
          <cell r="B1219">
            <v>40602</v>
          </cell>
        </row>
        <row r="1220">
          <cell r="A1220" t="str">
            <v>073Y650</v>
          </cell>
          <cell r="B1220">
            <v>40567</v>
          </cell>
        </row>
        <row r="1221">
          <cell r="A1221" t="str">
            <v>100U600</v>
          </cell>
          <cell r="B1221">
            <v>40630</v>
          </cell>
        </row>
        <row r="1222">
          <cell r="A1222" t="str">
            <v>1126152</v>
          </cell>
          <cell r="B1222">
            <v>40651</v>
          </cell>
        </row>
        <row r="1223">
          <cell r="A1223" t="str">
            <v>041A770</v>
          </cell>
          <cell r="B1223">
            <v>40609</v>
          </cell>
        </row>
        <row r="1224">
          <cell r="A1224" t="str">
            <v>060E590</v>
          </cell>
          <cell r="B1224">
            <v>40630</v>
          </cell>
        </row>
        <row r="1225">
          <cell r="A1225" t="str">
            <v>033M180</v>
          </cell>
          <cell r="B1225">
            <v>40567</v>
          </cell>
        </row>
        <row r="1226">
          <cell r="A1226" t="str">
            <v>074Y350</v>
          </cell>
          <cell r="B1226">
            <v>40574</v>
          </cell>
        </row>
        <row r="1227">
          <cell r="A1227" t="str">
            <v>060H370</v>
          </cell>
          <cell r="B1227">
            <v>40644</v>
          </cell>
        </row>
        <row r="1228">
          <cell r="A1228" t="str">
            <v>080M650</v>
          </cell>
          <cell r="B1228">
            <v>40623</v>
          </cell>
        </row>
        <row r="1229">
          <cell r="A1229" t="str">
            <v>080P770</v>
          </cell>
          <cell r="B1229">
            <v>40574</v>
          </cell>
        </row>
        <row r="1230">
          <cell r="A1230" t="str">
            <v>074Y300</v>
          </cell>
          <cell r="B1230">
            <v>40574</v>
          </cell>
        </row>
        <row r="1231">
          <cell r="A1231" t="str">
            <v>080P360</v>
          </cell>
          <cell r="B1231">
            <v>40574</v>
          </cell>
        </row>
        <row r="1232">
          <cell r="A1232" t="str">
            <v>021E820</v>
          </cell>
          <cell r="B1232">
            <v>40574</v>
          </cell>
        </row>
        <row r="1233">
          <cell r="A1233" t="str">
            <v>0717480</v>
          </cell>
          <cell r="B1233">
            <v>40574</v>
          </cell>
        </row>
        <row r="1234">
          <cell r="A1234" t="str">
            <v>060G460</v>
          </cell>
          <cell r="B1234">
            <v>40616</v>
          </cell>
        </row>
        <row r="1235">
          <cell r="A1235" t="str">
            <v>120L130</v>
          </cell>
          <cell r="B1235">
            <v>40623</v>
          </cell>
        </row>
        <row r="1236">
          <cell r="A1236" t="str">
            <v>022E700</v>
          </cell>
          <cell r="B1236">
            <v>40574</v>
          </cell>
        </row>
        <row r="1237">
          <cell r="A1237" t="str">
            <v>033M760</v>
          </cell>
          <cell r="B1237">
            <v>40581</v>
          </cell>
        </row>
        <row r="1238">
          <cell r="A1238" t="str">
            <v>074Y140</v>
          </cell>
          <cell r="B1238">
            <v>40581</v>
          </cell>
        </row>
        <row r="1239">
          <cell r="A1239" t="str">
            <v>074Y340</v>
          </cell>
          <cell r="B1239">
            <v>40581</v>
          </cell>
        </row>
        <row r="1240">
          <cell r="A1240" t="str">
            <v>031F430</v>
          </cell>
          <cell r="B1240">
            <v>40644</v>
          </cell>
        </row>
        <row r="1241">
          <cell r="A1241" t="str">
            <v>112M220</v>
          </cell>
          <cell r="B1241">
            <v>40581</v>
          </cell>
        </row>
        <row r="1242">
          <cell r="A1242" t="str">
            <v>040G960</v>
          </cell>
          <cell r="B1242">
            <v>40637</v>
          </cell>
        </row>
        <row r="1243">
          <cell r="A1243" t="str">
            <v>060L840</v>
          </cell>
          <cell r="B1243">
            <v>40651</v>
          </cell>
        </row>
        <row r="1244">
          <cell r="A1244" t="str">
            <v>100U850</v>
          </cell>
          <cell r="B1244">
            <v>40581</v>
          </cell>
        </row>
        <row r="1245">
          <cell r="A1245" t="str">
            <v>060E010</v>
          </cell>
          <cell r="B1245">
            <v>40581</v>
          </cell>
        </row>
        <row r="1246">
          <cell r="A1246" t="str">
            <v>112T001</v>
          </cell>
          <cell r="B1246">
            <v>40581</v>
          </cell>
        </row>
        <row r="1247">
          <cell r="A1247" t="str">
            <v>033M740</v>
          </cell>
          <cell r="B1247">
            <v>40581</v>
          </cell>
        </row>
        <row r="1248">
          <cell r="A1248" t="str">
            <v>0148900</v>
          </cell>
          <cell r="B1248">
            <v>40588</v>
          </cell>
        </row>
        <row r="1249">
          <cell r="A1249" t="str">
            <v>042E080</v>
          </cell>
          <cell r="B1249">
            <v>40588</v>
          </cell>
        </row>
        <row r="1250">
          <cell r="A1250" t="str">
            <v>080M350</v>
          </cell>
          <cell r="B1250">
            <v>40651</v>
          </cell>
        </row>
        <row r="1251">
          <cell r="A1251" t="str">
            <v>034E880</v>
          </cell>
          <cell r="B1251">
            <v>40651</v>
          </cell>
        </row>
        <row r="1252">
          <cell r="A1252" t="str">
            <v>120L260</v>
          </cell>
          <cell r="B1252">
            <v>40651</v>
          </cell>
        </row>
        <row r="1253">
          <cell r="A1253" t="str">
            <v>033M770</v>
          </cell>
          <cell r="B1253">
            <v>40588</v>
          </cell>
        </row>
        <row r="1254">
          <cell r="A1254" t="str">
            <v>060G760</v>
          </cell>
          <cell r="B1254">
            <v>40630</v>
          </cell>
        </row>
        <row r="1255">
          <cell r="A1255" t="str">
            <v>080M660</v>
          </cell>
          <cell r="B1255">
            <v>40644</v>
          </cell>
        </row>
        <row r="1256">
          <cell r="A1256" t="str">
            <v>022E300</v>
          </cell>
          <cell r="B1256">
            <v>40588</v>
          </cell>
        </row>
        <row r="1257">
          <cell r="A1257" t="str">
            <v>073Y660</v>
          </cell>
          <cell r="B1257">
            <v>40588</v>
          </cell>
        </row>
        <row r="1258">
          <cell r="A1258" t="str">
            <v>0728010</v>
          </cell>
          <cell r="B1258">
            <v>40588</v>
          </cell>
        </row>
        <row r="1259">
          <cell r="A1259" t="str">
            <v>060J350</v>
          </cell>
          <cell r="B1259">
            <v>40651</v>
          </cell>
        </row>
        <row r="1260">
          <cell r="A1260" t="str">
            <v>074S820</v>
          </cell>
          <cell r="B1260">
            <v>40596</v>
          </cell>
        </row>
        <row r="1261">
          <cell r="A1261" t="str">
            <v>074Y680</v>
          </cell>
          <cell r="B1261">
            <v>40596</v>
          </cell>
        </row>
        <row r="1262">
          <cell r="A1262" t="str">
            <v>074T260</v>
          </cell>
          <cell r="B1262">
            <v>40644</v>
          </cell>
        </row>
        <row r="1263">
          <cell r="A1263" t="str">
            <v>1140490</v>
          </cell>
          <cell r="B1263">
            <v>40596</v>
          </cell>
        </row>
        <row r="1264">
          <cell r="A1264" t="str">
            <v>080M440</v>
          </cell>
          <cell r="B1264">
            <v>40665</v>
          </cell>
        </row>
        <row r="1265">
          <cell r="A1265" t="str">
            <v>074T180</v>
          </cell>
          <cell r="B1265">
            <v>40596</v>
          </cell>
        </row>
        <row r="1266">
          <cell r="A1266" t="str">
            <v>073Y670</v>
          </cell>
          <cell r="B1266">
            <v>40596</v>
          </cell>
        </row>
        <row r="1267">
          <cell r="A1267" t="str">
            <v>050T390</v>
          </cell>
          <cell r="B1267">
            <v>40596</v>
          </cell>
        </row>
        <row r="1268">
          <cell r="A1268" t="str">
            <v>050T410</v>
          </cell>
          <cell r="B1268">
            <v>40596</v>
          </cell>
        </row>
        <row r="1269">
          <cell r="A1269" t="str">
            <v>010A020</v>
          </cell>
          <cell r="B1269">
            <v>40596</v>
          </cell>
        </row>
        <row r="1270">
          <cell r="A1270" t="str">
            <v>050T360</v>
          </cell>
          <cell r="B1270">
            <v>40596</v>
          </cell>
        </row>
        <row r="1271">
          <cell r="A1271" t="str">
            <v>060M320</v>
          </cell>
          <cell r="B1271">
            <v>40596</v>
          </cell>
        </row>
        <row r="1272">
          <cell r="A1272" t="str">
            <v>060M670</v>
          </cell>
          <cell r="B1272">
            <v>40596</v>
          </cell>
        </row>
        <row r="1273">
          <cell r="A1273" t="str">
            <v>074Y030</v>
          </cell>
          <cell r="B1273">
            <v>40596</v>
          </cell>
        </row>
        <row r="1274">
          <cell r="A1274" t="str">
            <v>100U820</v>
          </cell>
          <cell r="B1274">
            <v>40596</v>
          </cell>
        </row>
        <row r="1275">
          <cell r="A1275" t="str">
            <v>100U860</v>
          </cell>
          <cell r="B1275">
            <v>40596</v>
          </cell>
        </row>
        <row r="1276">
          <cell r="A1276" t="str">
            <v>100U890</v>
          </cell>
          <cell r="B1276">
            <v>40596</v>
          </cell>
        </row>
        <row r="1277">
          <cell r="A1277" t="str">
            <v>100U920</v>
          </cell>
          <cell r="B1277">
            <v>40596</v>
          </cell>
        </row>
        <row r="1278">
          <cell r="A1278" t="str">
            <v>100U930</v>
          </cell>
          <cell r="B1278">
            <v>40596</v>
          </cell>
        </row>
        <row r="1279">
          <cell r="A1279" t="str">
            <v>100U940</v>
          </cell>
          <cell r="B1279">
            <v>40596</v>
          </cell>
        </row>
        <row r="1280">
          <cell r="A1280" t="str">
            <v>100V040</v>
          </cell>
          <cell r="B1280">
            <v>40596</v>
          </cell>
        </row>
        <row r="1281">
          <cell r="A1281" t="str">
            <v>050T420</v>
          </cell>
          <cell r="B1281">
            <v>40596</v>
          </cell>
        </row>
        <row r="1282">
          <cell r="A1282" t="str">
            <v>060M300</v>
          </cell>
          <cell r="B1282">
            <v>40596</v>
          </cell>
        </row>
        <row r="1283">
          <cell r="A1283" t="str">
            <v>0232804</v>
          </cell>
          <cell r="B1283">
            <v>40596</v>
          </cell>
        </row>
        <row r="1284">
          <cell r="A1284" t="str">
            <v>112M190</v>
          </cell>
          <cell r="B1284">
            <v>40596</v>
          </cell>
        </row>
        <row r="1285">
          <cell r="A1285" t="str">
            <v>022E650</v>
          </cell>
          <cell r="B1285">
            <v>40602</v>
          </cell>
        </row>
        <row r="1286">
          <cell r="A1286" t="str">
            <v>010A090</v>
          </cell>
          <cell r="B1286">
            <v>40602</v>
          </cell>
        </row>
        <row r="1287">
          <cell r="A1287" t="str">
            <v>022E710</v>
          </cell>
          <cell r="B1287">
            <v>40602</v>
          </cell>
        </row>
        <row r="1288">
          <cell r="A1288" t="str">
            <v>074Y070</v>
          </cell>
          <cell r="B1288">
            <v>40602</v>
          </cell>
        </row>
        <row r="1289">
          <cell r="A1289" t="str">
            <v>060M650</v>
          </cell>
          <cell r="B1289">
            <v>40602</v>
          </cell>
        </row>
        <row r="1290">
          <cell r="A1290" t="str">
            <v>033M640</v>
          </cell>
          <cell r="B1290">
            <v>40602</v>
          </cell>
        </row>
        <row r="1291">
          <cell r="A1291" t="str">
            <v>060M430</v>
          </cell>
          <cell r="B1291">
            <v>40602</v>
          </cell>
        </row>
        <row r="1292">
          <cell r="A1292" t="str">
            <v>034M050</v>
          </cell>
          <cell r="B1292">
            <v>40602</v>
          </cell>
        </row>
        <row r="1293">
          <cell r="A1293" t="str">
            <v>022E280</v>
          </cell>
          <cell r="B1293">
            <v>40602</v>
          </cell>
        </row>
        <row r="1294">
          <cell r="A1294" t="str">
            <v>050R620</v>
          </cell>
          <cell r="B1294">
            <v>40602</v>
          </cell>
        </row>
        <row r="1295">
          <cell r="A1295" t="str">
            <v>060M450</v>
          </cell>
          <cell r="B1295">
            <v>40602</v>
          </cell>
        </row>
        <row r="1296">
          <cell r="A1296" t="str">
            <v>0934770</v>
          </cell>
          <cell r="B1296">
            <v>40602</v>
          </cell>
        </row>
        <row r="1297">
          <cell r="A1297" t="str">
            <v>0934870</v>
          </cell>
          <cell r="B1297">
            <v>40602</v>
          </cell>
        </row>
        <row r="1298">
          <cell r="A1298" t="str">
            <v>1129310</v>
          </cell>
          <cell r="B1298">
            <v>40602</v>
          </cell>
        </row>
        <row r="1299">
          <cell r="A1299" t="str">
            <v>080P130</v>
          </cell>
          <cell r="B1299">
            <v>40623</v>
          </cell>
        </row>
        <row r="1300">
          <cell r="A1300" t="str">
            <v>050T340</v>
          </cell>
          <cell r="B1300">
            <v>40609</v>
          </cell>
        </row>
        <row r="1301">
          <cell r="A1301" t="str">
            <v>05C0T40</v>
          </cell>
          <cell r="B1301">
            <v>40609</v>
          </cell>
        </row>
        <row r="1302">
          <cell r="A1302" t="str">
            <v>1128101</v>
          </cell>
          <cell r="B1302">
            <v>40609</v>
          </cell>
        </row>
        <row r="1303">
          <cell r="A1303" t="str">
            <v>022E330</v>
          </cell>
          <cell r="B1303">
            <v>40609</v>
          </cell>
        </row>
        <row r="1304">
          <cell r="A1304" t="str">
            <v>0725130</v>
          </cell>
          <cell r="B1304">
            <v>40609</v>
          </cell>
        </row>
        <row r="1305">
          <cell r="A1305" t="str">
            <v>074Y530</v>
          </cell>
          <cell r="B1305">
            <v>40616</v>
          </cell>
        </row>
        <row r="1306">
          <cell r="A1306" t="str">
            <v>100U800</v>
          </cell>
          <cell r="B1306">
            <v>40609</v>
          </cell>
        </row>
        <row r="1307">
          <cell r="A1307" t="str">
            <v>032E040</v>
          </cell>
          <cell r="B1307">
            <v>40609</v>
          </cell>
        </row>
        <row r="1308">
          <cell r="A1308" t="str">
            <v>042E310</v>
          </cell>
          <cell r="B1308">
            <v>40609</v>
          </cell>
        </row>
        <row r="1309">
          <cell r="A1309" t="str">
            <v>0934740</v>
          </cell>
          <cell r="B1309">
            <v>40609</v>
          </cell>
        </row>
        <row r="1310">
          <cell r="A1310" t="str">
            <v>074Y280</v>
          </cell>
          <cell r="B1310">
            <v>40609</v>
          </cell>
        </row>
        <row r="1311">
          <cell r="A1311" t="str">
            <v>112M160</v>
          </cell>
          <cell r="B1311">
            <v>40609</v>
          </cell>
        </row>
        <row r="1312">
          <cell r="A1312" t="str">
            <v>100U830</v>
          </cell>
          <cell r="B1312">
            <v>40609</v>
          </cell>
        </row>
        <row r="1313">
          <cell r="A1313" t="str">
            <v>022E880</v>
          </cell>
          <cell r="B1313">
            <v>40609</v>
          </cell>
        </row>
        <row r="1314">
          <cell r="A1314" t="str">
            <v>033M860</v>
          </cell>
          <cell r="B1314">
            <v>40609</v>
          </cell>
        </row>
        <row r="1315">
          <cell r="A1315" t="str">
            <v>060M640</v>
          </cell>
          <cell r="B1315">
            <v>40609</v>
          </cell>
        </row>
        <row r="1316">
          <cell r="A1316" t="str">
            <v>023E050</v>
          </cell>
          <cell r="B1316">
            <v>40609</v>
          </cell>
        </row>
        <row r="1317">
          <cell r="A1317" t="str">
            <v>050T370</v>
          </cell>
          <cell r="B1317">
            <v>40609</v>
          </cell>
        </row>
        <row r="1318">
          <cell r="A1318" t="str">
            <v>080P830</v>
          </cell>
          <cell r="B1318">
            <v>40609</v>
          </cell>
        </row>
        <row r="1319">
          <cell r="A1319" t="str">
            <v>033M940</v>
          </cell>
          <cell r="B1319">
            <v>40616</v>
          </cell>
        </row>
        <row r="1320">
          <cell r="A1320" t="str">
            <v>060M490</v>
          </cell>
          <cell r="B1320">
            <v>40616</v>
          </cell>
        </row>
        <row r="1321">
          <cell r="A1321" t="str">
            <v>022E340</v>
          </cell>
          <cell r="B1321">
            <v>40616</v>
          </cell>
        </row>
        <row r="1322">
          <cell r="A1322" t="str">
            <v>060L100</v>
          </cell>
          <cell r="B1322">
            <v>40616</v>
          </cell>
        </row>
        <row r="1323">
          <cell r="A1323" t="str">
            <v>034M150</v>
          </cell>
          <cell r="B1323">
            <v>40616</v>
          </cell>
        </row>
        <row r="1324">
          <cell r="A1324" t="str">
            <v>080M980</v>
          </cell>
          <cell r="B1324">
            <v>40616</v>
          </cell>
        </row>
        <row r="1325">
          <cell r="A1325" t="str">
            <v>0934730</v>
          </cell>
          <cell r="B1325">
            <v>40616</v>
          </cell>
        </row>
        <row r="1326">
          <cell r="A1326" t="str">
            <v>080P120</v>
          </cell>
          <cell r="B1326">
            <v>40616</v>
          </cell>
        </row>
        <row r="1327">
          <cell r="A1327" t="str">
            <v>112M140</v>
          </cell>
          <cell r="B1327">
            <v>40623</v>
          </cell>
        </row>
        <row r="1328">
          <cell r="A1328" t="str">
            <v>0149670</v>
          </cell>
          <cell r="B1328">
            <v>40616</v>
          </cell>
        </row>
        <row r="1329">
          <cell r="A1329" t="str">
            <v>074Y270</v>
          </cell>
          <cell r="B1329">
            <v>40623</v>
          </cell>
        </row>
        <row r="1330">
          <cell r="A1330" t="str">
            <v>0149940</v>
          </cell>
          <cell r="B1330">
            <v>40616</v>
          </cell>
        </row>
        <row r="1331">
          <cell r="A1331" t="str">
            <v>0149980</v>
          </cell>
          <cell r="B1331">
            <v>40616</v>
          </cell>
        </row>
        <row r="1332">
          <cell r="A1332" t="str">
            <v>074Y720</v>
          </cell>
          <cell r="B1332">
            <v>40616</v>
          </cell>
        </row>
        <row r="1333">
          <cell r="A1333" t="str">
            <v>0934320</v>
          </cell>
          <cell r="B1333">
            <v>40616</v>
          </cell>
        </row>
        <row r="1334">
          <cell r="A1334" t="str">
            <v>050S080</v>
          </cell>
          <cell r="B1334">
            <v>40616</v>
          </cell>
        </row>
        <row r="1335">
          <cell r="A1335" t="str">
            <v>050T280</v>
          </cell>
          <cell r="B1335">
            <v>40616</v>
          </cell>
        </row>
        <row r="1336">
          <cell r="A1336" t="str">
            <v>050T380</v>
          </cell>
          <cell r="B1336">
            <v>40616</v>
          </cell>
        </row>
        <row r="1337">
          <cell r="A1337" t="str">
            <v>112M130</v>
          </cell>
          <cell r="B1337">
            <v>40616</v>
          </cell>
        </row>
        <row r="1338">
          <cell r="A1338" t="str">
            <v>042E110</v>
          </cell>
          <cell r="B1338">
            <v>40616</v>
          </cell>
        </row>
        <row r="1339">
          <cell r="A1339" t="str">
            <v>100U880</v>
          </cell>
          <cell r="B1339">
            <v>40616</v>
          </cell>
        </row>
        <row r="1340">
          <cell r="A1340" t="str">
            <v>100U900</v>
          </cell>
          <cell r="B1340">
            <v>40616</v>
          </cell>
        </row>
        <row r="1341">
          <cell r="A1341" t="str">
            <v>100U950</v>
          </cell>
          <cell r="B1341">
            <v>40623</v>
          </cell>
        </row>
        <row r="1342">
          <cell r="A1342" t="str">
            <v>100U840</v>
          </cell>
          <cell r="B1342">
            <v>40616</v>
          </cell>
        </row>
        <row r="1343">
          <cell r="A1343" t="str">
            <v>11C2T01</v>
          </cell>
          <cell r="B1343">
            <v>40553</v>
          </cell>
        </row>
        <row r="1344">
          <cell r="A1344" t="str">
            <v>041E780</v>
          </cell>
          <cell r="B1344">
            <v>40623</v>
          </cell>
        </row>
        <row r="1345">
          <cell r="A1345" t="str">
            <v>073Y800</v>
          </cell>
          <cell r="B1345">
            <v>40623</v>
          </cell>
        </row>
        <row r="1346">
          <cell r="A1346" t="str">
            <v>010A060</v>
          </cell>
          <cell r="B1346">
            <v>40623</v>
          </cell>
        </row>
        <row r="1347">
          <cell r="A1347" t="str">
            <v>010A080</v>
          </cell>
          <cell r="B1347">
            <v>40623</v>
          </cell>
        </row>
        <row r="1348">
          <cell r="A1348" t="str">
            <v>074Y370</v>
          </cell>
          <cell r="B1348">
            <v>40630</v>
          </cell>
        </row>
        <row r="1349">
          <cell r="A1349" t="str">
            <v>0149950</v>
          </cell>
          <cell r="B1349">
            <v>40623</v>
          </cell>
        </row>
        <row r="1350">
          <cell r="A1350" t="str">
            <v>060K760</v>
          </cell>
          <cell r="B1350">
            <v>40623</v>
          </cell>
        </row>
        <row r="1351">
          <cell r="A1351" t="str">
            <v>060M680</v>
          </cell>
          <cell r="B1351">
            <v>40623</v>
          </cell>
        </row>
        <row r="1352">
          <cell r="A1352" t="str">
            <v>050T320</v>
          </cell>
          <cell r="B1352">
            <v>40623</v>
          </cell>
        </row>
        <row r="1353">
          <cell r="A1353" t="str">
            <v>041E400</v>
          </cell>
          <cell r="B1353">
            <v>40623</v>
          </cell>
        </row>
        <row r="1354">
          <cell r="A1354" t="str">
            <v>100U910</v>
          </cell>
          <cell r="B1354">
            <v>40623</v>
          </cell>
        </row>
        <row r="1355">
          <cell r="A1355" t="str">
            <v>060L620</v>
          </cell>
          <cell r="B1355">
            <v>40623</v>
          </cell>
        </row>
        <row r="1356">
          <cell r="A1356" t="str">
            <v>033M710</v>
          </cell>
          <cell r="B1356">
            <v>40623</v>
          </cell>
        </row>
        <row r="1357">
          <cell r="A1357" t="str">
            <v>023E040</v>
          </cell>
          <cell r="B1357">
            <v>40623</v>
          </cell>
        </row>
        <row r="1358">
          <cell r="A1358" t="str">
            <v>0149840</v>
          </cell>
          <cell r="B1358">
            <v>40623</v>
          </cell>
        </row>
        <row r="1359">
          <cell r="A1359" t="str">
            <v>112M180</v>
          </cell>
          <cell r="B1359">
            <v>40623</v>
          </cell>
        </row>
        <row r="1360">
          <cell r="A1360" t="str">
            <v>042A800</v>
          </cell>
          <cell r="B1360">
            <v>40623</v>
          </cell>
        </row>
        <row r="1361">
          <cell r="A1361" t="str">
            <v>041E790</v>
          </cell>
          <cell r="B1361">
            <v>40623</v>
          </cell>
        </row>
        <row r="1362">
          <cell r="A1362" t="str">
            <v>0149680</v>
          </cell>
          <cell r="B1362">
            <v>40630</v>
          </cell>
        </row>
        <row r="1363">
          <cell r="A1363" t="str">
            <v>0149780</v>
          </cell>
          <cell r="B1363">
            <v>40630</v>
          </cell>
        </row>
        <row r="1364">
          <cell r="A1364" t="str">
            <v>03R4M01</v>
          </cell>
          <cell r="B1364">
            <v>40630</v>
          </cell>
        </row>
        <row r="1365">
          <cell r="A1365" t="str">
            <v>033M830</v>
          </cell>
          <cell r="B1365">
            <v>40630</v>
          </cell>
        </row>
        <row r="1366">
          <cell r="A1366" t="str">
            <v>120AA03</v>
          </cell>
          <cell r="B1366">
            <v>40630</v>
          </cell>
        </row>
        <row r="1367">
          <cell r="A1367" t="str">
            <v>041E750</v>
          </cell>
          <cell r="B1367">
            <v>40630</v>
          </cell>
        </row>
        <row r="1368">
          <cell r="A1368" t="str">
            <v>050T730</v>
          </cell>
          <cell r="B1368">
            <v>40630</v>
          </cell>
        </row>
        <row r="1369">
          <cell r="A1369" t="str">
            <v>074Y690</v>
          </cell>
          <cell r="B1369">
            <v>40630</v>
          </cell>
        </row>
        <row r="1370">
          <cell r="A1370" t="str">
            <v>042E170</v>
          </cell>
          <cell r="B1370">
            <v>40658</v>
          </cell>
        </row>
        <row r="1371">
          <cell r="A1371" t="str">
            <v>0149790</v>
          </cell>
          <cell r="B1371">
            <v>40630</v>
          </cell>
        </row>
        <row r="1372">
          <cell r="A1372" t="str">
            <v>073Y540</v>
          </cell>
          <cell r="B1372">
            <v>40630</v>
          </cell>
        </row>
        <row r="1373">
          <cell r="A1373" t="str">
            <v>033M670</v>
          </cell>
          <cell r="B1373">
            <v>40630</v>
          </cell>
        </row>
        <row r="1374">
          <cell r="A1374" t="str">
            <v>07C4Y01</v>
          </cell>
        </row>
        <row r="1375">
          <cell r="A1375" t="str">
            <v>074Y860</v>
          </cell>
          <cell r="B1375">
            <v>40630</v>
          </cell>
        </row>
        <row r="1376">
          <cell r="A1376" t="str">
            <v>042E130</v>
          </cell>
          <cell r="B1376">
            <v>40630</v>
          </cell>
        </row>
        <row r="1377">
          <cell r="A1377" t="str">
            <v>0932630</v>
          </cell>
          <cell r="B1377">
            <v>40630</v>
          </cell>
        </row>
        <row r="1378">
          <cell r="A1378" t="str">
            <v>0146330</v>
          </cell>
          <cell r="B1378">
            <v>40630</v>
          </cell>
        </row>
        <row r="1379">
          <cell r="A1379" t="str">
            <v>042E040</v>
          </cell>
          <cell r="B1379">
            <v>40630</v>
          </cell>
        </row>
        <row r="1380">
          <cell r="A1380" t="str">
            <v>042E320</v>
          </cell>
          <cell r="B1380">
            <v>40637</v>
          </cell>
        </row>
        <row r="1381">
          <cell r="A1381" t="str">
            <v>074T230</v>
          </cell>
          <cell r="B1381">
            <v>40637</v>
          </cell>
        </row>
        <row r="1382">
          <cell r="A1382" t="str">
            <v>033M690</v>
          </cell>
          <cell r="B1382">
            <v>40637</v>
          </cell>
        </row>
        <row r="1383">
          <cell r="A1383" t="str">
            <v>033M850</v>
          </cell>
          <cell r="B1383">
            <v>40637</v>
          </cell>
        </row>
        <row r="1384">
          <cell r="A1384" t="str">
            <v>0149850</v>
          </cell>
          <cell r="B1384">
            <v>40637</v>
          </cell>
        </row>
        <row r="1385">
          <cell r="A1385" t="str">
            <v>071P580</v>
          </cell>
          <cell r="B1385">
            <v>40637</v>
          </cell>
        </row>
        <row r="1386">
          <cell r="A1386" t="str">
            <v>073Y990</v>
          </cell>
          <cell r="B1386">
            <v>40637</v>
          </cell>
        </row>
        <row r="1387">
          <cell r="A1387" t="str">
            <v>1140270</v>
          </cell>
          <cell r="B1387">
            <v>40637</v>
          </cell>
        </row>
        <row r="1388">
          <cell r="A1388" t="str">
            <v>060H830</v>
          </cell>
          <cell r="B1388">
            <v>40637</v>
          </cell>
        </row>
        <row r="1389">
          <cell r="A1389" t="str">
            <v>060G990</v>
          </cell>
          <cell r="B1389">
            <v>40637</v>
          </cell>
        </row>
        <row r="1390">
          <cell r="A1390" t="str">
            <v>050T720</v>
          </cell>
          <cell r="B1390">
            <v>40637</v>
          </cell>
        </row>
        <row r="1391">
          <cell r="A1391" t="str">
            <v>074T220</v>
          </cell>
          <cell r="B1391">
            <v>40637</v>
          </cell>
        </row>
        <row r="1392">
          <cell r="A1392" t="str">
            <v>112T086</v>
          </cell>
          <cell r="B1392">
            <v>40637</v>
          </cell>
        </row>
        <row r="1393">
          <cell r="A1393" t="str">
            <v>042E100</v>
          </cell>
          <cell r="B1393">
            <v>40630</v>
          </cell>
        </row>
        <row r="1394">
          <cell r="A1394" t="str">
            <v>042E290</v>
          </cell>
          <cell r="B1394">
            <v>40637</v>
          </cell>
        </row>
        <row r="1395">
          <cell r="A1395" t="str">
            <v>042E090</v>
          </cell>
          <cell r="B1395">
            <v>40637</v>
          </cell>
        </row>
        <row r="1396">
          <cell r="A1396" t="str">
            <v>074T270</v>
          </cell>
          <cell r="B1396">
            <v>40637</v>
          </cell>
        </row>
        <row r="1397">
          <cell r="A1397" t="str">
            <v>042E370</v>
          </cell>
          <cell r="B1397">
            <v>40644</v>
          </cell>
        </row>
        <row r="1398">
          <cell r="A1398" t="str">
            <v>112M170</v>
          </cell>
          <cell r="B1398">
            <v>40644</v>
          </cell>
        </row>
        <row r="1399">
          <cell r="A1399" t="str">
            <v>0149360</v>
          </cell>
          <cell r="B1399">
            <v>40644</v>
          </cell>
        </row>
        <row r="1400">
          <cell r="A1400" t="str">
            <v>010A140</v>
          </cell>
          <cell r="B1400">
            <v>40644</v>
          </cell>
        </row>
        <row r="1401">
          <cell r="A1401" t="str">
            <v>0149300</v>
          </cell>
          <cell r="B1401">
            <v>40644</v>
          </cell>
        </row>
        <row r="1402">
          <cell r="A1402" t="str">
            <v>080L040</v>
          </cell>
          <cell r="B1402">
            <v>40644</v>
          </cell>
        </row>
        <row r="1403">
          <cell r="A1403" t="str">
            <v>0934820</v>
          </cell>
          <cell r="B1403">
            <v>40644</v>
          </cell>
        </row>
        <row r="1404">
          <cell r="A1404" t="str">
            <v>100Q360</v>
          </cell>
          <cell r="B1404">
            <v>40644</v>
          </cell>
        </row>
        <row r="1405">
          <cell r="A1405" t="str">
            <v>100Q440</v>
          </cell>
          <cell r="B1405">
            <v>40644</v>
          </cell>
        </row>
        <row r="1406">
          <cell r="A1406" t="str">
            <v>080C742</v>
          </cell>
          <cell r="B1406">
            <v>40644</v>
          </cell>
        </row>
        <row r="1407">
          <cell r="A1407" t="str">
            <v>100P260</v>
          </cell>
          <cell r="B1407">
            <v>40651</v>
          </cell>
        </row>
        <row r="1408">
          <cell r="A1408" t="str">
            <v>041637K</v>
          </cell>
          <cell r="B1408">
            <v>40637</v>
          </cell>
        </row>
        <row r="1409">
          <cell r="A1409" t="str">
            <v>080P720</v>
          </cell>
          <cell r="B1409">
            <v>40651</v>
          </cell>
        </row>
        <row r="1410">
          <cell r="A1410" t="str">
            <v>080E111</v>
          </cell>
          <cell r="B1410">
            <v>40651</v>
          </cell>
        </row>
        <row r="1411">
          <cell r="A1411" t="str">
            <v>042E120</v>
          </cell>
          <cell r="B1411">
            <v>40651</v>
          </cell>
        </row>
        <row r="1412">
          <cell r="A1412" t="str">
            <v>1129460</v>
          </cell>
          <cell r="B1412">
            <v>40651</v>
          </cell>
        </row>
        <row r="1413">
          <cell r="A1413" t="str">
            <v>080C820</v>
          </cell>
          <cell r="B1413">
            <v>40651</v>
          </cell>
        </row>
        <row r="1414">
          <cell r="A1414" t="str">
            <v>1140190</v>
          </cell>
          <cell r="B1414">
            <v>40651</v>
          </cell>
        </row>
        <row r="1415">
          <cell r="A1415" t="str">
            <v>074H240</v>
          </cell>
          <cell r="B1415">
            <v>40651</v>
          </cell>
        </row>
        <row r="1416">
          <cell r="A1416" t="str">
            <v>042E330</v>
          </cell>
          <cell r="B1416">
            <v>40651</v>
          </cell>
        </row>
        <row r="1417">
          <cell r="A1417" t="str">
            <v>03C3E89</v>
          </cell>
        </row>
        <row r="1418">
          <cell r="A1418" t="str">
            <v>042E280</v>
          </cell>
          <cell r="B1418">
            <v>40651</v>
          </cell>
        </row>
        <row r="1419">
          <cell r="A1419" t="str">
            <v>040G540</v>
          </cell>
          <cell r="B1419">
            <v>40651</v>
          </cell>
        </row>
        <row r="1420">
          <cell r="A1420" t="str">
            <v>030F000</v>
          </cell>
          <cell r="B1420">
            <v>40651</v>
          </cell>
        </row>
        <row r="1421">
          <cell r="A1421" t="str">
            <v>013994U</v>
          </cell>
          <cell r="B1421">
            <v>40651</v>
          </cell>
        </row>
        <row r="1422">
          <cell r="A1422" t="str">
            <v>060M500</v>
          </cell>
          <cell r="B1422">
            <v>40651</v>
          </cell>
        </row>
        <row r="1423">
          <cell r="A1423" t="str">
            <v>043A910</v>
          </cell>
          <cell r="B1423">
            <v>40651</v>
          </cell>
        </row>
        <row r="1424">
          <cell r="A1424" t="str">
            <v>1108165</v>
          </cell>
          <cell r="B1424">
            <v>40665</v>
          </cell>
        </row>
        <row r="1425">
          <cell r="A1425" t="str">
            <v>0426870</v>
          </cell>
          <cell r="B1425">
            <v>40658</v>
          </cell>
        </row>
        <row r="1426">
          <cell r="A1426" t="str">
            <v>033E890</v>
          </cell>
          <cell r="B1426">
            <v>40665</v>
          </cell>
        </row>
        <row r="1427">
          <cell r="A1427" t="str">
            <v>044S430</v>
          </cell>
          <cell r="B1427">
            <v>40665</v>
          </cell>
        </row>
        <row r="1428">
          <cell r="A1428" t="str">
            <v>0726470</v>
          </cell>
          <cell r="B1428">
            <v>40665</v>
          </cell>
        </row>
        <row r="1429">
          <cell r="A1429" t="str">
            <v>0847781</v>
          </cell>
          <cell r="B1429">
            <v>40665</v>
          </cell>
        </row>
        <row r="1430">
          <cell r="A1430" t="str">
            <v>031F030</v>
          </cell>
          <cell r="B1430">
            <v>40672</v>
          </cell>
        </row>
        <row r="1431">
          <cell r="A1431" t="str">
            <v>044S130</v>
          </cell>
          <cell r="B1431">
            <v>40682</v>
          </cell>
        </row>
        <row r="1432">
          <cell r="A1432" t="str">
            <v>070AA07</v>
          </cell>
          <cell r="B1432">
            <v>40672</v>
          </cell>
        </row>
        <row r="1433">
          <cell r="A1433" t="str">
            <v>110AA03</v>
          </cell>
          <cell r="B1433">
            <v>40672</v>
          </cell>
        </row>
        <row r="1434">
          <cell r="A1434" t="str">
            <v>02C2C22</v>
          </cell>
        </row>
        <row r="1435">
          <cell r="A1435" t="str">
            <v>04C4S22</v>
          </cell>
        </row>
        <row r="1436">
          <cell r="A1436" t="str">
            <v>030F050</v>
          </cell>
          <cell r="B1436">
            <v>40665</v>
          </cell>
        </row>
        <row r="1437">
          <cell r="A1437" t="str">
            <v>05R0J32</v>
          </cell>
          <cell r="B1437">
            <v>40581</v>
          </cell>
        </row>
        <row r="1438">
          <cell r="A1438" t="str">
            <v>08C0M02</v>
          </cell>
          <cell r="B1438">
            <v>40651</v>
          </cell>
        </row>
        <row r="1439">
          <cell r="A1439" t="str">
            <v>06R3374</v>
          </cell>
          <cell r="B1439">
            <v>40581</v>
          </cell>
        </row>
        <row r="1440">
          <cell r="A1440" t="str">
            <v>06R0M48</v>
          </cell>
          <cell r="B1440">
            <v>40596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I355"/>
  <sheetViews>
    <sheetView tabSelected="1" zoomScale="75" workbookViewId="0">
      <pane ySplit="3" topLeftCell="A4" activePane="bottomLeft" state="frozenSplit"/>
      <selection pane="bottomLeft" activeCell="Q51" sqref="Q51"/>
    </sheetView>
  </sheetViews>
  <sheetFormatPr defaultColWidth="3.85546875" defaultRowHeight="12.75"/>
  <cols>
    <col min="1" max="1" width="4" style="5" bestFit="1" customWidth="1"/>
    <col min="2" max="2" width="7.140625" style="1" bestFit="1" customWidth="1"/>
    <col min="3" max="3" width="9.5703125" style="1" hidden="1" customWidth="1"/>
    <col min="4" max="4" width="5.7109375" style="1" bestFit="1" customWidth="1"/>
    <col min="5" max="5" width="5.140625" style="1" bestFit="1" customWidth="1"/>
    <col min="6" max="6" width="4.5703125" style="1" bestFit="1" customWidth="1"/>
    <col min="7" max="7" width="6.85546875" style="1" bestFit="1" customWidth="1"/>
    <col min="8" max="8" width="4.5703125" style="1" bestFit="1" customWidth="1"/>
    <col min="9" max="9" width="6.85546875" style="1" bestFit="1" customWidth="1"/>
    <col min="10" max="10" width="9.140625" style="1" bestFit="1" customWidth="1"/>
    <col min="11" max="11" width="83.5703125" style="1" bestFit="1" customWidth="1"/>
    <col min="12" max="12" width="19.7109375" style="2" hidden="1" customWidth="1"/>
    <col min="13" max="13" width="17.42578125" style="2" hidden="1" customWidth="1"/>
    <col min="14" max="14" width="17.42578125" style="2" customWidth="1"/>
    <col min="15" max="15" width="4.85546875" style="1" customWidth="1"/>
    <col min="16" max="16" width="9.28515625" style="1" customWidth="1"/>
    <col min="17" max="17" width="11.42578125" style="1" customWidth="1"/>
    <col min="18" max="18" width="9.7109375" style="1" customWidth="1"/>
    <col min="19" max="19" width="11.42578125" style="1" hidden="1" customWidth="1"/>
    <col min="20" max="20" width="16.85546875" style="1" hidden="1" customWidth="1"/>
    <col min="21" max="16384" width="3.85546875" style="1"/>
  </cols>
  <sheetData>
    <row r="1" spans="1:87" s="38" customFormat="1" ht="13.5" thickBot="1">
      <c r="A1" s="45" t="s">
        <v>1534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7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7"/>
      <c r="CH1" s="37"/>
      <c r="CI1" s="37"/>
    </row>
    <row r="2" spans="1:87" ht="13.5" thickBot="1">
      <c r="A2" s="48" t="s">
        <v>1535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50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5"/>
    </row>
    <row r="3" spans="1:87" ht="31.5" customHeight="1" thickBot="1">
      <c r="A3" s="4" t="s">
        <v>0</v>
      </c>
      <c r="B3" s="4" t="s">
        <v>1</v>
      </c>
      <c r="C3" s="13" t="s">
        <v>1189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4</v>
      </c>
      <c r="I3" s="4" t="s">
        <v>6</v>
      </c>
      <c r="J3" s="4" t="s">
        <v>7</v>
      </c>
      <c r="K3" s="4" t="s">
        <v>8</v>
      </c>
      <c r="L3" s="3" t="s">
        <v>9</v>
      </c>
      <c r="M3" s="3" t="s">
        <v>10</v>
      </c>
      <c r="N3" s="18" t="s">
        <v>1533</v>
      </c>
      <c r="O3" s="15" t="s">
        <v>11</v>
      </c>
      <c r="P3" s="15" t="s">
        <v>12</v>
      </c>
      <c r="Q3" s="41" t="s">
        <v>1548</v>
      </c>
      <c r="R3" s="41" t="s">
        <v>1549</v>
      </c>
      <c r="S3" s="16" t="s">
        <v>1531</v>
      </c>
      <c r="T3" s="16" t="s">
        <v>1532</v>
      </c>
    </row>
    <row r="4" spans="1:87" s="9" customFormat="1">
      <c r="A4" s="42" t="s">
        <v>13</v>
      </c>
      <c r="B4" s="10" t="s">
        <v>137</v>
      </c>
      <c r="C4" s="14" t="s">
        <v>1242</v>
      </c>
      <c r="D4" s="10" t="s">
        <v>20</v>
      </c>
      <c r="E4" s="10" t="s">
        <v>108</v>
      </c>
      <c r="F4" s="10" t="s">
        <v>17</v>
      </c>
      <c r="G4" s="10" t="s">
        <v>115</v>
      </c>
      <c r="H4" s="10" t="s">
        <v>17</v>
      </c>
      <c r="I4" s="10" t="s">
        <v>115</v>
      </c>
      <c r="J4" s="10" t="s">
        <v>124</v>
      </c>
      <c r="K4" s="10" t="s">
        <v>136</v>
      </c>
      <c r="L4" s="11">
        <v>0</v>
      </c>
      <c r="M4" s="11">
        <v>2350000</v>
      </c>
      <c r="N4" s="11">
        <f t="shared" ref="N4:N27" si="0">SUM(L4:M4)</f>
        <v>2350000</v>
      </c>
      <c r="O4" s="10" t="s">
        <v>24</v>
      </c>
      <c r="P4" s="28" t="s">
        <v>23</v>
      </c>
      <c r="Q4" s="39" t="s">
        <v>1530</v>
      </c>
      <c r="R4" s="40"/>
      <c r="S4" s="17"/>
    </row>
    <row r="5" spans="1:87" s="9" customFormat="1">
      <c r="A5" s="12" t="s">
        <v>13</v>
      </c>
      <c r="B5" s="10" t="s">
        <v>143</v>
      </c>
      <c r="C5" s="14" t="s">
        <v>1244</v>
      </c>
      <c r="D5" s="10" t="s">
        <v>20</v>
      </c>
      <c r="E5" s="10" t="s">
        <v>27</v>
      </c>
      <c r="F5" s="10" t="s">
        <v>15</v>
      </c>
      <c r="G5" s="10" t="s">
        <v>144</v>
      </c>
      <c r="H5" s="10" t="s">
        <v>15</v>
      </c>
      <c r="I5" s="10" t="s">
        <v>145</v>
      </c>
      <c r="J5" s="10" t="s">
        <v>15</v>
      </c>
      <c r="K5" s="10" t="s">
        <v>146</v>
      </c>
      <c r="L5" s="11">
        <v>0</v>
      </c>
      <c r="M5" s="11">
        <v>515000</v>
      </c>
      <c r="N5" s="11">
        <f t="shared" si="0"/>
        <v>515000</v>
      </c>
      <c r="O5" s="10" t="s">
        <v>24</v>
      </c>
      <c r="P5" s="28" t="s">
        <v>23</v>
      </c>
      <c r="Q5" s="12"/>
      <c r="R5" s="10"/>
      <c r="S5" s="17"/>
    </row>
    <row r="6" spans="1:87" s="9" customFormat="1">
      <c r="A6" s="12" t="s">
        <v>13</v>
      </c>
      <c r="B6" s="10" t="s">
        <v>469</v>
      </c>
      <c r="C6" s="14" t="s">
        <v>1229</v>
      </c>
      <c r="D6" s="10" t="s">
        <v>14</v>
      </c>
      <c r="E6" s="10" t="s">
        <v>45</v>
      </c>
      <c r="F6" s="10" t="s">
        <v>15</v>
      </c>
      <c r="G6" s="10" t="s">
        <v>51</v>
      </c>
      <c r="H6" s="10" t="s">
        <v>15</v>
      </c>
      <c r="I6" s="10" t="s">
        <v>345</v>
      </c>
      <c r="J6" s="10" t="s">
        <v>15</v>
      </c>
      <c r="K6" s="10" t="s">
        <v>818</v>
      </c>
      <c r="L6" s="11">
        <v>1894000</v>
      </c>
      <c r="M6" s="11">
        <v>0</v>
      </c>
      <c r="N6" s="11">
        <f t="shared" si="0"/>
        <v>1894000</v>
      </c>
      <c r="O6" s="10" t="s">
        <v>34</v>
      </c>
      <c r="P6" s="28" t="s">
        <v>23</v>
      </c>
      <c r="Q6" s="12"/>
      <c r="R6" s="10"/>
      <c r="S6" s="17"/>
    </row>
    <row r="7" spans="1:87" s="9" customFormat="1">
      <c r="A7" s="12" t="s">
        <v>13</v>
      </c>
      <c r="B7" s="10" t="s">
        <v>678</v>
      </c>
      <c r="C7" s="14" t="s">
        <v>1230</v>
      </c>
      <c r="D7" s="10" t="s">
        <v>14</v>
      </c>
      <c r="E7" s="10" t="s">
        <v>108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818</v>
      </c>
      <c r="L7" s="11">
        <v>190000</v>
      </c>
      <c r="M7" s="11">
        <v>0</v>
      </c>
      <c r="N7" s="11">
        <f t="shared" si="0"/>
        <v>190000</v>
      </c>
      <c r="O7" s="10" t="s">
        <v>34</v>
      </c>
      <c r="P7" s="28" t="s">
        <v>23</v>
      </c>
      <c r="Q7" s="12"/>
      <c r="R7" s="10"/>
      <c r="S7" s="17"/>
    </row>
    <row r="8" spans="1:87" s="9" customFormat="1">
      <c r="A8" s="12" t="s">
        <v>13</v>
      </c>
      <c r="B8" s="10" t="s">
        <v>950</v>
      </c>
      <c r="C8" s="14" t="s">
        <v>1231</v>
      </c>
      <c r="D8" s="10" t="s">
        <v>20</v>
      </c>
      <c r="E8" s="10" t="s">
        <v>27</v>
      </c>
      <c r="F8" s="10" t="s">
        <v>15</v>
      </c>
      <c r="G8" s="10" t="s">
        <v>619</v>
      </c>
      <c r="H8" s="10" t="s">
        <v>15</v>
      </c>
      <c r="I8" s="10" t="s">
        <v>197</v>
      </c>
      <c r="J8" s="10" t="s">
        <v>15</v>
      </c>
      <c r="K8" s="10" t="s">
        <v>951</v>
      </c>
      <c r="L8" s="11">
        <v>0</v>
      </c>
      <c r="M8" s="11">
        <v>3731000</v>
      </c>
      <c r="N8" s="11">
        <f t="shared" si="0"/>
        <v>3731000</v>
      </c>
      <c r="O8" s="10" t="s">
        <v>34</v>
      </c>
      <c r="P8" s="28" t="s">
        <v>23</v>
      </c>
      <c r="Q8" s="12"/>
      <c r="R8" s="10"/>
      <c r="S8" s="17"/>
    </row>
    <row r="9" spans="1:87" s="9" customFormat="1">
      <c r="A9" s="12" t="s">
        <v>13</v>
      </c>
      <c r="B9" s="10" t="s">
        <v>28</v>
      </c>
      <c r="C9" s="14" t="s">
        <v>1232</v>
      </c>
      <c r="D9" s="10" t="s">
        <v>20</v>
      </c>
      <c r="E9" s="10" t="s">
        <v>29</v>
      </c>
      <c r="F9" s="10" t="s">
        <v>30</v>
      </c>
      <c r="G9" s="10" t="s">
        <v>31</v>
      </c>
      <c r="H9" s="10" t="s">
        <v>15</v>
      </c>
      <c r="I9" s="10" t="s">
        <v>32</v>
      </c>
      <c r="J9" s="10" t="s">
        <v>15</v>
      </c>
      <c r="K9" s="10" t="s">
        <v>33</v>
      </c>
      <c r="L9" s="11">
        <v>0</v>
      </c>
      <c r="M9" s="11">
        <v>85314000</v>
      </c>
      <c r="N9" s="11">
        <f t="shared" si="0"/>
        <v>85314000</v>
      </c>
      <c r="O9" s="10" t="s">
        <v>34</v>
      </c>
      <c r="P9" s="28" t="s">
        <v>23</v>
      </c>
      <c r="Q9" s="12"/>
      <c r="R9" s="10"/>
      <c r="S9" s="17"/>
    </row>
    <row r="10" spans="1:87" s="9" customFormat="1">
      <c r="A10" s="12" t="s">
        <v>13</v>
      </c>
      <c r="B10" s="10" t="s">
        <v>47</v>
      </c>
      <c r="C10" s="14" t="s">
        <v>1233</v>
      </c>
      <c r="D10" s="10" t="s">
        <v>14</v>
      </c>
      <c r="E10" s="10" t="s">
        <v>48</v>
      </c>
      <c r="F10" s="10" t="s">
        <v>39</v>
      </c>
      <c r="G10" s="10" t="s">
        <v>49</v>
      </c>
      <c r="H10" s="10" t="s">
        <v>15</v>
      </c>
      <c r="I10" s="10" t="s">
        <v>16</v>
      </c>
      <c r="J10" s="10" t="s">
        <v>15</v>
      </c>
      <c r="K10" s="10" t="s">
        <v>50</v>
      </c>
      <c r="L10" s="11">
        <v>0</v>
      </c>
      <c r="M10" s="11">
        <v>800000</v>
      </c>
      <c r="N10" s="11">
        <f t="shared" si="0"/>
        <v>800000</v>
      </c>
      <c r="O10" s="10" t="s">
        <v>34</v>
      </c>
      <c r="P10" s="28" t="s">
        <v>23</v>
      </c>
      <c r="Q10" s="12"/>
      <c r="R10" s="10"/>
      <c r="S10" s="17"/>
    </row>
    <row r="11" spans="1:87" s="9" customFormat="1">
      <c r="A11" s="12" t="s">
        <v>13</v>
      </c>
      <c r="B11" s="10" t="s">
        <v>87</v>
      </c>
      <c r="C11" s="14" t="s">
        <v>1238</v>
      </c>
      <c r="D11" s="10" t="s">
        <v>20</v>
      </c>
      <c r="E11" s="10" t="s">
        <v>27</v>
      </c>
      <c r="F11" s="10" t="s">
        <v>15</v>
      </c>
      <c r="G11" s="10" t="s">
        <v>88</v>
      </c>
      <c r="H11" s="10" t="s">
        <v>15</v>
      </c>
      <c r="I11" s="10" t="s">
        <v>89</v>
      </c>
      <c r="J11" s="10" t="s">
        <v>15</v>
      </c>
      <c r="K11" s="10" t="s">
        <v>952</v>
      </c>
      <c r="L11" s="11">
        <v>1566000</v>
      </c>
      <c r="M11" s="11">
        <v>1914000</v>
      </c>
      <c r="N11" s="11">
        <f t="shared" si="0"/>
        <v>3480000</v>
      </c>
      <c r="O11" s="10" t="s">
        <v>34</v>
      </c>
      <c r="P11" s="28" t="s">
        <v>23</v>
      </c>
      <c r="Q11" s="12"/>
      <c r="R11" s="10"/>
      <c r="S11" s="17"/>
    </row>
    <row r="12" spans="1:87" s="9" customFormat="1">
      <c r="A12" s="12" t="s">
        <v>13</v>
      </c>
      <c r="B12" s="10" t="s">
        <v>140</v>
      </c>
      <c r="C12" s="14" t="s">
        <v>1243</v>
      </c>
      <c r="D12" s="10" t="s">
        <v>43</v>
      </c>
      <c r="E12" s="10" t="s">
        <v>29</v>
      </c>
      <c r="F12" s="10" t="s">
        <v>39</v>
      </c>
      <c r="G12" s="10" t="s">
        <v>74</v>
      </c>
      <c r="H12" s="10" t="s">
        <v>15</v>
      </c>
      <c r="I12" s="10" t="s">
        <v>141</v>
      </c>
      <c r="J12" s="10" t="s">
        <v>15</v>
      </c>
      <c r="K12" s="10" t="s">
        <v>142</v>
      </c>
      <c r="L12" s="11">
        <v>0</v>
      </c>
      <c r="M12" s="11">
        <v>257000</v>
      </c>
      <c r="N12" s="11">
        <f t="shared" si="0"/>
        <v>257000</v>
      </c>
      <c r="O12" s="10" t="s">
        <v>34</v>
      </c>
      <c r="P12" s="28" t="s">
        <v>23</v>
      </c>
      <c r="Q12" s="12"/>
      <c r="R12" s="10"/>
      <c r="S12" s="17"/>
    </row>
    <row r="13" spans="1:87" s="9" customFormat="1">
      <c r="A13" s="12" t="s">
        <v>13</v>
      </c>
      <c r="B13" s="10" t="s">
        <v>160</v>
      </c>
      <c r="C13" s="14" t="s">
        <v>1246</v>
      </c>
      <c r="D13" s="10" t="s">
        <v>14</v>
      </c>
      <c r="E13" s="10" t="s">
        <v>113</v>
      </c>
      <c r="F13" s="10" t="s">
        <v>15</v>
      </c>
      <c r="G13" s="10" t="s">
        <v>161</v>
      </c>
      <c r="H13" s="10" t="s">
        <v>15</v>
      </c>
      <c r="I13" s="10" t="s">
        <v>85</v>
      </c>
      <c r="J13" s="10" t="s">
        <v>15</v>
      </c>
      <c r="K13" s="10" t="s">
        <v>19</v>
      </c>
      <c r="L13" s="11">
        <v>0</v>
      </c>
      <c r="M13" s="11">
        <v>781000</v>
      </c>
      <c r="N13" s="11">
        <f t="shared" si="0"/>
        <v>781000</v>
      </c>
      <c r="O13" s="10" t="s">
        <v>34</v>
      </c>
      <c r="P13" s="28" t="s">
        <v>23</v>
      </c>
      <c r="Q13" s="12"/>
      <c r="R13" s="10"/>
      <c r="S13" s="17"/>
    </row>
    <row r="14" spans="1:87" s="9" customFormat="1">
      <c r="A14" s="12" t="s">
        <v>13</v>
      </c>
      <c r="B14" s="10" t="s">
        <v>194</v>
      </c>
      <c r="C14" s="14" t="s">
        <v>1250</v>
      </c>
      <c r="D14" s="10" t="s">
        <v>20</v>
      </c>
      <c r="E14" s="10" t="s">
        <v>35</v>
      </c>
      <c r="F14" s="10" t="s">
        <v>15</v>
      </c>
      <c r="G14" s="10" t="s">
        <v>195</v>
      </c>
      <c r="H14" s="10" t="s">
        <v>15</v>
      </c>
      <c r="I14" s="10" t="s">
        <v>103</v>
      </c>
      <c r="J14" s="10" t="s">
        <v>15</v>
      </c>
      <c r="K14" s="10" t="s">
        <v>196</v>
      </c>
      <c r="L14" s="11">
        <v>0</v>
      </c>
      <c r="M14" s="11">
        <v>3200000</v>
      </c>
      <c r="N14" s="11">
        <f t="shared" si="0"/>
        <v>3200000</v>
      </c>
      <c r="O14" s="10" t="s">
        <v>34</v>
      </c>
      <c r="P14" s="28" t="s">
        <v>23</v>
      </c>
      <c r="Q14" s="12" t="s">
        <v>1530</v>
      </c>
      <c r="R14" s="10"/>
      <c r="S14" s="17"/>
    </row>
    <row r="15" spans="1:87" s="9" customFormat="1">
      <c r="A15" s="12" t="s">
        <v>13</v>
      </c>
      <c r="B15" s="10" t="s">
        <v>1113</v>
      </c>
      <c r="C15" s="14" t="s">
        <v>1251</v>
      </c>
      <c r="D15" s="10" t="s">
        <v>123</v>
      </c>
      <c r="E15" s="10" t="s">
        <v>108</v>
      </c>
      <c r="F15" s="10" t="s">
        <v>15</v>
      </c>
      <c r="G15" s="10" t="s">
        <v>16</v>
      </c>
      <c r="H15" s="10" t="s">
        <v>15</v>
      </c>
      <c r="I15" s="10" t="s">
        <v>16</v>
      </c>
      <c r="J15" s="10" t="s">
        <v>15</v>
      </c>
      <c r="K15" s="10" t="s">
        <v>818</v>
      </c>
      <c r="L15" s="11">
        <v>279000</v>
      </c>
      <c r="M15" s="11">
        <v>0</v>
      </c>
      <c r="N15" s="11">
        <f t="shared" si="0"/>
        <v>279000</v>
      </c>
      <c r="O15" s="10" t="s">
        <v>34</v>
      </c>
      <c r="P15" s="28" t="s">
        <v>23</v>
      </c>
      <c r="Q15" s="12"/>
      <c r="R15" s="10"/>
      <c r="S15" s="17"/>
    </row>
    <row r="16" spans="1:87" s="9" customFormat="1">
      <c r="A16" s="12" t="s">
        <v>13</v>
      </c>
      <c r="B16" s="10" t="s">
        <v>64</v>
      </c>
      <c r="C16" s="14" t="s">
        <v>1234</v>
      </c>
      <c r="D16" s="10" t="s">
        <v>14</v>
      </c>
      <c r="E16" s="10" t="s">
        <v>164</v>
      </c>
      <c r="F16" s="10" t="s">
        <v>39</v>
      </c>
      <c r="G16" s="10" t="s">
        <v>65</v>
      </c>
      <c r="H16" s="10" t="s">
        <v>15</v>
      </c>
      <c r="I16" s="10" t="s">
        <v>66</v>
      </c>
      <c r="J16" s="10" t="s">
        <v>15</v>
      </c>
      <c r="K16" s="10" t="s">
        <v>1085</v>
      </c>
      <c r="L16" s="11">
        <v>0</v>
      </c>
      <c r="M16" s="11">
        <v>3310000</v>
      </c>
      <c r="N16" s="11">
        <f t="shared" si="0"/>
        <v>3310000</v>
      </c>
      <c r="O16" s="10" t="s">
        <v>26</v>
      </c>
      <c r="P16" s="28" t="s">
        <v>23</v>
      </c>
      <c r="Q16" s="12"/>
      <c r="R16" s="10"/>
      <c r="S16" s="17"/>
    </row>
    <row r="17" spans="1:19" s="9" customFormat="1">
      <c r="A17" s="12" t="s">
        <v>13</v>
      </c>
      <c r="B17" s="10" t="s">
        <v>68</v>
      </c>
      <c r="C17" s="14" t="s">
        <v>1235</v>
      </c>
      <c r="D17" s="10" t="s">
        <v>14</v>
      </c>
      <c r="E17" s="10" t="s">
        <v>29</v>
      </c>
      <c r="F17" s="10" t="s">
        <v>15</v>
      </c>
      <c r="G17" s="10" t="s">
        <v>69</v>
      </c>
      <c r="H17" s="10" t="s">
        <v>15</v>
      </c>
      <c r="I17" s="10" t="s">
        <v>70</v>
      </c>
      <c r="J17" s="10" t="s">
        <v>15</v>
      </c>
      <c r="K17" s="10" t="s">
        <v>63</v>
      </c>
      <c r="L17" s="11">
        <v>0</v>
      </c>
      <c r="M17" s="11">
        <v>15340000</v>
      </c>
      <c r="N17" s="11">
        <f t="shared" si="0"/>
        <v>15340000</v>
      </c>
      <c r="O17" s="10" t="s">
        <v>26</v>
      </c>
      <c r="P17" s="28" t="s">
        <v>23</v>
      </c>
      <c r="Q17" s="12"/>
      <c r="R17" s="10"/>
      <c r="S17" s="17"/>
    </row>
    <row r="18" spans="1:19" s="9" customFormat="1">
      <c r="A18" s="12" t="s">
        <v>13</v>
      </c>
      <c r="B18" s="10" t="s">
        <v>109</v>
      </c>
      <c r="C18" s="14" t="s">
        <v>1240</v>
      </c>
      <c r="D18" s="10" t="s">
        <v>14</v>
      </c>
      <c r="E18" s="10" t="s">
        <v>48</v>
      </c>
      <c r="F18" s="10" t="s">
        <v>15</v>
      </c>
      <c r="G18" s="10" t="s">
        <v>110</v>
      </c>
      <c r="H18" s="10" t="s">
        <v>15</v>
      </c>
      <c r="I18" s="10" t="s">
        <v>111</v>
      </c>
      <c r="J18" s="10" t="s">
        <v>15</v>
      </c>
      <c r="K18" s="10" t="s">
        <v>112</v>
      </c>
      <c r="L18" s="11">
        <v>7407000</v>
      </c>
      <c r="M18" s="11">
        <v>5356000</v>
      </c>
      <c r="N18" s="11">
        <f t="shared" si="0"/>
        <v>12763000</v>
      </c>
      <c r="O18" s="10" t="s">
        <v>26</v>
      </c>
      <c r="P18" s="28" t="s">
        <v>23</v>
      </c>
      <c r="Q18" s="12"/>
      <c r="R18" s="10"/>
      <c r="S18" s="17"/>
    </row>
    <row r="19" spans="1:19" s="9" customFormat="1">
      <c r="A19" s="12" t="s">
        <v>13</v>
      </c>
      <c r="B19" s="10" t="s">
        <v>134</v>
      </c>
      <c r="C19" s="14" t="s">
        <v>1241</v>
      </c>
      <c r="D19" s="10" t="s">
        <v>14</v>
      </c>
      <c r="E19" s="10" t="s">
        <v>108</v>
      </c>
      <c r="F19" s="10" t="s">
        <v>17</v>
      </c>
      <c r="G19" s="10" t="s">
        <v>115</v>
      </c>
      <c r="H19" s="10" t="s">
        <v>17</v>
      </c>
      <c r="I19" s="10" t="s">
        <v>115</v>
      </c>
      <c r="J19" s="10" t="s">
        <v>135</v>
      </c>
      <c r="K19" s="10" t="s">
        <v>136</v>
      </c>
      <c r="L19" s="11">
        <v>0</v>
      </c>
      <c r="M19" s="11">
        <v>8200000</v>
      </c>
      <c r="N19" s="11">
        <f t="shared" si="0"/>
        <v>8200000</v>
      </c>
      <c r="O19" s="10" t="s">
        <v>26</v>
      </c>
      <c r="P19" s="28" t="s">
        <v>23</v>
      </c>
      <c r="Q19" s="12"/>
      <c r="R19" s="10"/>
      <c r="S19" s="17"/>
    </row>
    <row r="20" spans="1:19" s="9" customFormat="1">
      <c r="A20" s="12" t="s">
        <v>13</v>
      </c>
      <c r="B20" s="10" t="s">
        <v>1177</v>
      </c>
      <c r="C20" s="14" t="s">
        <v>1228</v>
      </c>
      <c r="D20" s="10" t="s">
        <v>14</v>
      </c>
      <c r="E20" s="10" t="s">
        <v>29</v>
      </c>
      <c r="F20" s="10" t="s">
        <v>15</v>
      </c>
      <c r="G20" s="10" t="s">
        <v>716</v>
      </c>
      <c r="H20" s="10" t="s">
        <v>15</v>
      </c>
      <c r="I20" s="10" t="s">
        <v>1178</v>
      </c>
      <c r="J20" s="10" t="s">
        <v>15</v>
      </c>
      <c r="K20" s="10" t="s">
        <v>105</v>
      </c>
      <c r="L20" s="11">
        <v>0</v>
      </c>
      <c r="M20" s="11">
        <v>320000</v>
      </c>
      <c r="N20" s="11">
        <f t="shared" si="0"/>
        <v>320000</v>
      </c>
      <c r="O20" s="10" t="s">
        <v>22</v>
      </c>
      <c r="P20" s="28" t="s">
        <v>25</v>
      </c>
      <c r="Q20" s="12"/>
      <c r="R20" s="10"/>
      <c r="S20" s="17"/>
    </row>
    <row r="21" spans="1:19" s="9" customFormat="1">
      <c r="A21" s="12" t="s">
        <v>13</v>
      </c>
      <c r="B21" s="10" t="s">
        <v>76</v>
      </c>
      <c r="C21" s="14" t="s">
        <v>1236</v>
      </c>
      <c r="D21" s="10" t="s">
        <v>20</v>
      </c>
      <c r="E21" s="10" t="s">
        <v>35</v>
      </c>
      <c r="F21" s="10" t="s">
        <v>15</v>
      </c>
      <c r="G21" s="10" t="s">
        <v>77</v>
      </c>
      <c r="H21" s="10" t="s">
        <v>39</v>
      </c>
      <c r="I21" s="10" t="s">
        <v>78</v>
      </c>
      <c r="J21" s="10" t="s">
        <v>15</v>
      </c>
      <c r="K21" s="10" t="s">
        <v>75</v>
      </c>
      <c r="L21" s="11">
        <v>0</v>
      </c>
      <c r="M21" s="11">
        <v>2097000</v>
      </c>
      <c r="N21" s="11">
        <f t="shared" si="0"/>
        <v>2097000</v>
      </c>
      <c r="O21" s="10" t="s">
        <v>22</v>
      </c>
      <c r="P21" s="28" t="s">
        <v>25</v>
      </c>
      <c r="Q21" s="12"/>
      <c r="R21" s="10"/>
      <c r="S21" s="17"/>
    </row>
    <row r="22" spans="1:19" s="9" customFormat="1">
      <c r="A22" s="12" t="s">
        <v>13</v>
      </c>
      <c r="B22" s="10" t="s">
        <v>82</v>
      </c>
      <c r="C22" s="14" t="s">
        <v>1237</v>
      </c>
      <c r="D22" s="10" t="s">
        <v>20</v>
      </c>
      <c r="E22" s="10" t="s">
        <v>21</v>
      </c>
      <c r="F22" s="10" t="s">
        <v>15</v>
      </c>
      <c r="G22" s="10" t="s">
        <v>83</v>
      </c>
      <c r="H22" s="10" t="s">
        <v>15</v>
      </c>
      <c r="I22" s="10" t="s">
        <v>84</v>
      </c>
      <c r="J22" s="10" t="s">
        <v>15</v>
      </c>
      <c r="K22" s="10" t="s">
        <v>81</v>
      </c>
      <c r="L22" s="11">
        <v>0</v>
      </c>
      <c r="M22" s="11">
        <v>4300000</v>
      </c>
      <c r="N22" s="11">
        <f t="shared" si="0"/>
        <v>4300000</v>
      </c>
      <c r="O22" s="10" t="s">
        <v>22</v>
      </c>
      <c r="P22" s="28" t="s">
        <v>25</v>
      </c>
      <c r="Q22" s="12"/>
      <c r="R22" s="10"/>
      <c r="S22" s="17"/>
    </row>
    <row r="23" spans="1:19" s="9" customFormat="1">
      <c r="A23" s="12" t="s">
        <v>13</v>
      </c>
      <c r="B23" s="10" t="s">
        <v>98</v>
      </c>
      <c r="C23" s="14" t="s">
        <v>1239</v>
      </c>
      <c r="D23" s="10" t="s">
        <v>20</v>
      </c>
      <c r="E23" s="10" t="s">
        <v>29</v>
      </c>
      <c r="F23" s="10" t="s">
        <v>15</v>
      </c>
      <c r="G23" s="10" t="s">
        <v>99</v>
      </c>
      <c r="H23" s="10" t="s">
        <v>15</v>
      </c>
      <c r="I23" s="10" t="s">
        <v>100</v>
      </c>
      <c r="J23" s="10" t="s">
        <v>15</v>
      </c>
      <c r="K23" s="10" t="s">
        <v>81</v>
      </c>
      <c r="L23" s="11">
        <v>0</v>
      </c>
      <c r="M23" s="11">
        <v>1600000</v>
      </c>
      <c r="N23" s="11">
        <f t="shared" si="0"/>
        <v>1600000</v>
      </c>
      <c r="O23" s="10" t="s">
        <v>22</v>
      </c>
      <c r="P23" s="28" t="s">
        <v>25</v>
      </c>
      <c r="Q23" s="12"/>
      <c r="R23" s="10"/>
      <c r="S23" s="17"/>
    </row>
    <row r="24" spans="1:19" s="9" customFormat="1">
      <c r="A24" s="12" t="s">
        <v>13</v>
      </c>
      <c r="B24" s="10" t="s">
        <v>157</v>
      </c>
      <c r="C24" s="14" t="s">
        <v>1245</v>
      </c>
      <c r="D24" s="10" t="s">
        <v>20</v>
      </c>
      <c r="E24" s="10" t="s">
        <v>27</v>
      </c>
      <c r="F24" s="10" t="s">
        <v>15</v>
      </c>
      <c r="G24" s="10" t="s">
        <v>158</v>
      </c>
      <c r="H24" s="10" t="s">
        <v>15</v>
      </c>
      <c r="I24" s="10" t="s">
        <v>115</v>
      </c>
      <c r="J24" s="10" t="s">
        <v>15</v>
      </c>
      <c r="K24" s="10" t="s">
        <v>19</v>
      </c>
      <c r="L24" s="11">
        <v>1700000</v>
      </c>
      <c r="M24" s="11">
        <v>2100000</v>
      </c>
      <c r="N24" s="11">
        <f t="shared" si="0"/>
        <v>3800000</v>
      </c>
      <c r="O24" s="10" t="s">
        <v>22</v>
      </c>
      <c r="P24" s="28" t="s">
        <v>25</v>
      </c>
      <c r="Q24" s="12"/>
      <c r="R24" s="10"/>
      <c r="S24" s="17"/>
    </row>
    <row r="25" spans="1:19" s="9" customFormat="1">
      <c r="A25" s="12" t="s">
        <v>13</v>
      </c>
      <c r="B25" s="10" t="s">
        <v>171</v>
      </c>
      <c r="C25" s="14" t="s">
        <v>1248</v>
      </c>
      <c r="D25" s="10" t="s">
        <v>43</v>
      </c>
      <c r="E25" s="10" t="s">
        <v>29</v>
      </c>
      <c r="F25" s="10" t="s">
        <v>39</v>
      </c>
      <c r="G25" s="10" t="s">
        <v>172</v>
      </c>
      <c r="H25" s="10" t="s">
        <v>39</v>
      </c>
      <c r="I25" s="10" t="s">
        <v>115</v>
      </c>
      <c r="J25" s="10" t="s">
        <v>15</v>
      </c>
      <c r="K25" s="10" t="s">
        <v>173</v>
      </c>
      <c r="L25" s="11">
        <v>2205000</v>
      </c>
      <c r="M25" s="11">
        <v>1224000</v>
      </c>
      <c r="N25" s="11">
        <f t="shared" si="0"/>
        <v>3429000</v>
      </c>
      <c r="O25" s="10" t="s">
        <v>22</v>
      </c>
      <c r="P25" s="28" t="s">
        <v>25</v>
      </c>
      <c r="Q25" s="12"/>
      <c r="R25" s="10"/>
      <c r="S25" s="17"/>
    </row>
    <row r="26" spans="1:19" s="9" customFormat="1">
      <c r="A26" s="12" t="s">
        <v>13</v>
      </c>
      <c r="B26" s="10" t="s">
        <v>189</v>
      </c>
      <c r="C26" s="14" t="s">
        <v>1249</v>
      </c>
      <c r="D26" s="10" t="s">
        <v>20</v>
      </c>
      <c r="E26" s="10" t="s">
        <v>27</v>
      </c>
      <c r="F26" s="10" t="s">
        <v>15</v>
      </c>
      <c r="G26" s="10" t="s">
        <v>190</v>
      </c>
      <c r="H26" s="10" t="s">
        <v>15</v>
      </c>
      <c r="I26" s="10" t="s">
        <v>80</v>
      </c>
      <c r="J26" s="10" t="s">
        <v>15</v>
      </c>
      <c r="K26" s="10" t="s">
        <v>191</v>
      </c>
      <c r="L26" s="11">
        <v>0</v>
      </c>
      <c r="M26" s="11">
        <v>1200000</v>
      </c>
      <c r="N26" s="11">
        <f t="shared" si="0"/>
        <v>1200000</v>
      </c>
      <c r="O26" s="10" t="s">
        <v>22</v>
      </c>
      <c r="P26" s="28" t="s">
        <v>25</v>
      </c>
      <c r="Q26" s="12"/>
      <c r="R26" s="10"/>
      <c r="S26" s="17"/>
    </row>
    <row r="27" spans="1:19" s="9" customFormat="1">
      <c r="A27" s="12" t="s">
        <v>13</v>
      </c>
      <c r="B27" s="10" t="s">
        <v>168</v>
      </c>
      <c r="C27" s="14" t="s">
        <v>1247</v>
      </c>
      <c r="D27" s="10" t="s">
        <v>20</v>
      </c>
      <c r="E27" s="10" t="s">
        <v>21</v>
      </c>
      <c r="F27" s="10" t="s">
        <v>15</v>
      </c>
      <c r="G27" s="10" t="s">
        <v>169</v>
      </c>
      <c r="H27" s="10" t="s">
        <v>15</v>
      </c>
      <c r="I27" s="10" t="s">
        <v>170</v>
      </c>
      <c r="J27" s="10" t="s">
        <v>15</v>
      </c>
      <c r="K27" s="10" t="s">
        <v>19</v>
      </c>
      <c r="L27" s="11">
        <v>5305000</v>
      </c>
      <c r="M27" s="11">
        <v>4180000</v>
      </c>
      <c r="N27" s="11">
        <f t="shared" si="0"/>
        <v>9485000</v>
      </c>
      <c r="O27" s="10" t="s">
        <v>24</v>
      </c>
      <c r="P27" s="28" t="s">
        <v>25</v>
      </c>
      <c r="Q27" s="12"/>
      <c r="R27" s="10"/>
      <c r="S27" s="17"/>
    </row>
    <row r="28" spans="1:19" s="9" customFormat="1" ht="15">
      <c r="A28" s="32"/>
      <c r="B28" s="19"/>
      <c r="C28" s="19"/>
      <c r="D28" s="19"/>
      <c r="E28" s="19"/>
      <c r="F28" s="19"/>
      <c r="G28" s="19"/>
      <c r="H28" s="19"/>
      <c r="I28" s="19"/>
      <c r="J28" s="19"/>
      <c r="K28" s="20" t="s">
        <v>1536</v>
      </c>
      <c r="L28" s="21"/>
      <c r="M28" s="21"/>
      <c r="N28" s="22">
        <f>SUM(N4:N27)</f>
        <v>168635000</v>
      </c>
      <c r="O28" s="19"/>
      <c r="P28" s="29"/>
      <c r="Q28" s="32"/>
      <c r="R28" s="19"/>
      <c r="S28" s="17"/>
    </row>
    <row r="29" spans="1:19" s="9" customFormat="1">
      <c r="A29" s="12" t="s">
        <v>202</v>
      </c>
      <c r="B29" s="10" t="s">
        <v>222</v>
      </c>
      <c r="C29" s="14" t="s">
        <v>1252</v>
      </c>
      <c r="D29" s="10" t="s">
        <v>207</v>
      </c>
      <c r="E29" s="10" t="s">
        <v>204</v>
      </c>
      <c r="F29" s="10" t="s">
        <v>15</v>
      </c>
      <c r="G29" s="10" t="s">
        <v>223</v>
      </c>
      <c r="H29" s="10" t="s">
        <v>15</v>
      </c>
      <c r="I29" s="10" t="s">
        <v>16</v>
      </c>
      <c r="J29" s="10" t="s">
        <v>15</v>
      </c>
      <c r="K29" s="10" t="s">
        <v>224</v>
      </c>
      <c r="L29" s="11">
        <v>0</v>
      </c>
      <c r="M29" s="11">
        <v>6000000</v>
      </c>
      <c r="N29" s="11">
        <f t="shared" ref="N29:N46" si="1">SUM(L29:M29)</f>
        <v>6000000</v>
      </c>
      <c r="O29" s="10" t="s">
        <v>24</v>
      </c>
      <c r="P29" s="28" t="s">
        <v>23</v>
      </c>
      <c r="Q29" s="12"/>
      <c r="R29" s="10"/>
      <c r="S29" s="17"/>
    </row>
    <row r="30" spans="1:19" s="9" customFormat="1">
      <c r="A30" s="12" t="s">
        <v>202</v>
      </c>
      <c r="B30" s="10" t="s">
        <v>953</v>
      </c>
      <c r="C30" s="14" t="s">
        <v>1259</v>
      </c>
      <c r="D30" s="10" t="s">
        <v>207</v>
      </c>
      <c r="E30" s="10" t="s">
        <v>204</v>
      </c>
      <c r="F30" s="10" t="s">
        <v>15</v>
      </c>
      <c r="G30" s="10" t="s">
        <v>685</v>
      </c>
      <c r="H30" s="10" t="s">
        <v>15</v>
      </c>
      <c r="I30" s="10" t="s">
        <v>844</v>
      </c>
      <c r="J30" s="10" t="s">
        <v>15</v>
      </c>
      <c r="K30" s="10" t="s">
        <v>1111</v>
      </c>
      <c r="L30" s="11">
        <v>0</v>
      </c>
      <c r="M30" s="11">
        <v>2900000</v>
      </c>
      <c r="N30" s="11">
        <f t="shared" si="1"/>
        <v>2900000</v>
      </c>
      <c r="O30" s="10" t="s">
        <v>24</v>
      </c>
      <c r="P30" s="28" t="s">
        <v>23</v>
      </c>
      <c r="Q30" s="12" t="s">
        <v>1530</v>
      </c>
      <c r="R30" s="10"/>
      <c r="S30" s="17">
        <f>VLOOKUP(C30,'[1]Current Old'!$A:$B,2,FALSE)</f>
        <v>40960</v>
      </c>
    </row>
    <row r="31" spans="1:19" s="9" customFormat="1">
      <c r="A31" s="12" t="s">
        <v>202</v>
      </c>
      <c r="B31" s="10" t="s">
        <v>292</v>
      </c>
      <c r="C31" s="14" t="s">
        <v>1261</v>
      </c>
      <c r="D31" s="10" t="s">
        <v>212</v>
      </c>
      <c r="E31" s="10" t="s">
        <v>48</v>
      </c>
      <c r="F31" s="10" t="s">
        <v>15</v>
      </c>
      <c r="G31" s="10" t="s">
        <v>293</v>
      </c>
      <c r="H31" s="10" t="s">
        <v>15</v>
      </c>
      <c r="I31" s="10" t="s">
        <v>16</v>
      </c>
      <c r="J31" s="10" t="s">
        <v>15</v>
      </c>
      <c r="K31" s="10" t="s">
        <v>294</v>
      </c>
      <c r="L31" s="11">
        <v>360000</v>
      </c>
      <c r="M31" s="11">
        <v>836000</v>
      </c>
      <c r="N31" s="11">
        <f t="shared" si="1"/>
        <v>1196000</v>
      </c>
      <c r="O31" s="10" t="s">
        <v>24</v>
      </c>
      <c r="P31" s="28" t="s">
        <v>23</v>
      </c>
      <c r="Q31" s="12"/>
      <c r="R31" s="10"/>
      <c r="S31" s="17"/>
    </row>
    <row r="32" spans="1:19" s="9" customFormat="1">
      <c r="A32" s="12" t="s">
        <v>202</v>
      </c>
      <c r="B32" s="10" t="s">
        <v>225</v>
      </c>
      <c r="C32" s="14" t="s">
        <v>1253</v>
      </c>
      <c r="D32" s="10" t="s">
        <v>209</v>
      </c>
      <c r="E32" s="10" t="s">
        <v>204</v>
      </c>
      <c r="F32" s="10" t="s">
        <v>15</v>
      </c>
      <c r="G32" s="10" t="s">
        <v>226</v>
      </c>
      <c r="H32" s="10" t="s">
        <v>15</v>
      </c>
      <c r="I32" s="10" t="s">
        <v>16</v>
      </c>
      <c r="J32" s="10" t="s">
        <v>15</v>
      </c>
      <c r="K32" s="10" t="s">
        <v>227</v>
      </c>
      <c r="L32" s="11">
        <v>0</v>
      </c>
      <c r="M32" s="11">
        <v>370000</v>
      </c>
      <c r="N32" s="11">
        <f t="shared" si="1"/>
        <v>370000</v>
      </c>
      <c r="O32" s="10" t="s">
        <v>34</v>
      </c>
      <c r="P32" s="28" t="s">
        <v>23</v>
      </c>
      <c r="Q32" s="12"/>
      <c r="R32" s="10"/>
      <c r="S32" s="17"/>
    </row>
    <row r="33" spans="1:19" s="9" customFormat="1">
      <c r="A33" s="12" t="s">
        <v>202</v>
      </c>
      <c r="B33" s="10" t="s">
        <v>231</v>
      </c>
      <c r="C33" s="14" t="s">
        <v>1254</v>
      </c>
      <c r="D33" s="10" t="s">
        <v>207</v>
      </c>
      <c r="E33" s="10" t="s">
        <v>204</v>
      </c>
      <c r="F33" s="10" t="s">
        <v>39</v>
      </c>
      <c r="G33" s="10" t="s">
        <v>16</v>
      </c>
      <c r="H33" s="10" t="s">
        <v>15</v>
      </c>
      <c r="I33" s="10" t="s">
        <v>232</v>
      </c>
      <c r="J33" s="10" t="s">
        <v>15</v>
      </c>
      <c r="K33" s="10" t="s">
        <v>233</v>
      </c>
      <c r="L33" s="11">
        <v>0</v>
      </c>
      <c r="M33" s="11">
        <v>2090000</v>
      </c>
      <c r="N33" s="11">
        <f t="shared" si="1"/>
        <v>2090000</v>
      </c>
      <c r="O33" s="10" t="s">
        <v>34</v>
      </c>
      <c r="P33" s="28" t="s">
        <v>23</v>
      </c>
      <c r="Q33" s="12"/>
      <c r="R33" s="10"/>
      <c r="S33" s="17"/>
    </row>
    <row r="34" spans="1:19" s="9" customFormat="1">
      <c r="A34" s="12" t="s">
        <v>202</v>
      </c>
      <c r="B34" s="10" t="s">
        <v>262</v>
      </c>
      <c r="C34" s="14" t="s">
        <v>1255</v>
      </c>
      <c r="D34" s="10" t="s">
        <v>207</v>
      </c>
      <c r="E34" s="10" t="s">
        <v>234</v>
      </c>
      <c r="F34" s="10" t="s">
        <v>15</v>
      </c>
      <c r="G34" s="10" t="s">
        <v>261</v>
      </c>
      <c r="H34" s="10" t="s">
        <v>15</v>
      </c>
      <c r="I34" s="10" t="s">
        <v>83</v>
      </c>
      <c r="J34" s="10" t="s">
        <v>15</v>
      </c>
      <c r="K34" s="10" t="s">
        <v>263</v>
      </c>
      <c r="L34" s="11">
        <v>0</v>
      </c>
      <c r="M34" s="11">
        <v>3860000</v>
      </c>
      <c r="N34" s="11">
        <f t="shared" si="1"/>
        <v>3860000</v>
      </c>
      <c r="O34" s="10" t="s">
        <v>34</v>
      </c>
      <c r="P34" s="28" t="s">
        <v>23</v>
      </c>
      <c r="Q34" s="12"/>
      <c r="R34" s="10"/>
      <c r="S34" s="17"/>
    </row>
    <row r="35" spans="1:19" s="9" customFormat="1">
      <c r="A35" s="12" t="s">
        <v>202</v>
      </c>
      <c r="B35" s="10" t="s">
        <v>274</v>
      </c>
      <c r="C35" s="14" t="s">
        <v>1257</v>
      </c>
      <c r="D35" s="10" t="s">
        <v>209</v>
      </c>
      <c r="E35" s="10" t="s">
        <v>48</v>
      </c>
      <c r="F35" s="10" t="s">
        <v>15</v>
      </c>
      <c r="G35" s="10" t="s">
        <v>250</v>
      </c>
      <c r="H35" s="10" t="s">
        <v>15</v>
      </c>
      <c r="I35" s="10" t="s">
        <v>275</v>
      </c>
      <c r="J35" s="10" t="s">
        <v>15</v>
      </c>
      <c r="K35" s="10" t="s">
        <v>105</v>
      </c>
      <c r="L35" s="11">
        <v>0</v>
      </c>
      <c r="M35" s="11">
        <v>8866000</v>
      </c>
      <c r="N35" s="11">
        <f t="shared" si="1"/>
        <v>8866000</v>
      </c>
      <c r="O35" s="10" t="s">
        <v>34</v>
      </c>
      <c r="P35" s="28" t="s">
        <v>23</v>
      </c>
      <c r="Q35" s="12"/>
      <c r="R35" s="10"/>
      <c r="S35" s="17"/>
    </row>
    <row r="36" spans="1:19" s="9" customFormat="1">
      <c r="A36" s="12" t="s">
        <v>202</v>
      </c>
      <c r="B36" s="10" t="s">
        <v>300</v>
      </c>
      <c r="C36" s="14" t="s">
        <v>1262</v>
      </c>
      <c r="D36" s="10" t="s">
        <v>218</v>
      </c>
      <c r="E36" s="10" t="s">
        <v>244</v>
      </c>
      <c r="F36" s="10" t="s">
        <v>15</v>
      </c>
      <c r="G36" s="10" t="s">
        <v>16</v>
      </c>
      <c r="H36" s="10" t="s">
        <v>15</v>
      </c>
      <c r="I36" s="10" t="s">
        <v>301</v>
      </c>
      <c r="J36" s="10" t="s">
        <v>15</v>
      </c>
      <c r="K36" s="10" t="s">
        <v>302</v>
      </c>
      <c r="L36" s="11">
        <v>0</v>
      </c>
      <c r="M36" s="11">
        <v>8000000</v>
      </c>
      <c r="N36" s="11">
        <f t="shared" si="1"/>
        <v>8000000</v>
      </c>
      <c r="O36" s="10" t="s">
        <v>34</v>
      </c>
      <c r="P36" s="28" t="s">
        <v>23</v>
      </c>
      <c r="Q36" s="12"/>
      <c r="R36" s="10"/>
      <c r="S36" s="17"/>
    </row>
    <row r="37" spans="1:19" s="9" customFormat="1">
      <c r="A37" s="12" t="s">
        <v>202</v>
      </c>
      <c r="B37" s="10" t="s">
        <v>303</v>
      </c>
      <c r="C37" s="14" t="s">
        <v>1263</v>
      </c>
      <c r="D37" s="10" t="s">
        <v>203</v>
      </c>
      <c r="E37" s="10" t="s">
        <v>204</v>
      </c>
      <c r="F37" s="10" t="s">
        <v>39</v>
      </c>
      <c r="G37" s="10" t="s">
        <v>304</v>
      </c>
      <c r="H37" s="10" t="s">
        <v>15</v>
      </c>
      <c r="I37" s="10" t="s">
        <v>305</v>
      </c>
      <c r="J37" s="10" t="s">
        <v>15</v>
      </c>
      <c r="K37" s="10" t="s">
        <v>306</v>
      </c>
      <c r="L37" s="11">
        <v>3815000</v>
      </c>
      <c r="M37" s="11">
        <v>1548000</v>
      </c>
      <c r="N37" s="11">
        <f t="shared" si="1"/>
        <v>5363000</v>
      </c>
      <c r="O37" s="10" t="s">
        <v>34</v>
      </c>
      <c r="P37" s="28" t="s">
        <v>23</v>
      </c>
      <c r="Q37" s="12"/>
      <c r="R37" s="10"/>
      <c r="S37" s="17"/>
    </row>
    <row r="38" spans="1:19" s="9" customFormat="1">
      <c r="A38" s="12" t="s">
        <v>202</v>
      </c>
      <c r="B38" s="10" t="s">
        <v>314</v>
      </c>
      <c r="C38" s="14" t="s">
        <v>1266</v>
      </c>
      <c r="D38" s="10" t="s">
        <v>212</v>
      </c>
      <c r="E38" s="10" t="s">
        <v>221</v>
      </c>
      <c r="F38" s="10" t="s">
        <v>15</v>
      </c>
      <c r="G38" s="10" t="s">
        <v>193</v>
      </c>
      <c r="H38" s="10" t="s">
        <v>15</v>
      </c>
      <c r="I38" s="10" t="s">
        <v>46</v>
      </c>
      <c r="J38" s="10" t="s">
        <v>15</v>
      </c>
      <c r="K38" s="10" t="s">
        <v>315</v>
      </c>
      <c r="L38" s="11">
        <v>0</v>
      </c>
      <c r="M38" s="11">
        <v>970000</v>
      </c>
      <c r="N38" s="11">
        <f t="shared" si="1"/>
        <v>970000</v>
      </c>
      <c r="O38" s="10" t="s">
        <v>34</v>
      </c>
      <c r="P38" s="28" t="s">
        <v>23</v>
      </c>
      <c r="Q38" s="12"/>
      <c r="R38" s="10"/>
      <c r="S38" s="17"/>
    </row>
    <row r="39" spans="1:19" s="9" customFormat="1">
      <c r="A39" s="12" t="s">
        <v>202</v>
      </c>
      <c r="B39" s="10" t="s">
        <v>228</v>
      </c>
      <c r="C39" s="14" t="s">
        <v>1190</v>
      </c>
      <c r="D39" s="10" t="s">
        <v>203</v>
      </c>
      <c r="E39" s="10" t="s">
        <v>229</v>
      </c>
      <c r="F39" s="10" t="s">
        <v>15</v>
      </c>
      <c r="G39" s="10" t="s">
        <v>74</v>
      </c>
      <c r="H39" s="10" t="s">
        <v>15</v>
      </c>
      <c r="I39" s="10" t="s">
        <v>16</v>
      </c>
      <c r="J39" s="10" t="s">
        <v>15</v>
      </c>
      <c r="K39" s="10" t="s">
        <v>230</v>
      </c>
      <c r="L39" s="11">
        <v>0</v>
      </c>
      <c r="M39" s="11">
        <v>743000</v>
      </c>
      <c r="N39" s="11">
        <f t="shared" si="1"/>
        <v>743000</v>
      </c>
      <c r="O39" s="10" t="s">
        <v>22</v>
      </c>
      <c r="P39" s="28" t="s">
        <v>25</v>
      </c>
      <c r="Q39" s="12"/>
      <c r="R39" s="10"/>
      <c r="S39" s="17"/>
    </row>
    <row r="40" spans="1:19" s="9" customFormat="1">
      <c r="A40" s="12" t="s">
        <v>202</v>
      </c>
      <c r="B40" s="10" t="s">
        <v>238</v>
      </c>
      <c r="C40" s="14" t="s">
        <v>1191</v>
      </c>
      <c r="D40" s="10" t="s">
        <v>203</v>
      </c>
      <c r="E40" s="10" t="s">
        <v>221</v>
      </c>
      <c r="F40" s="10" t="s">
        <v>15</v>
      </c>
      <c r="G40" s="10" t="s">
        <v>239</v>
      </c>
      <c r="H40" s="10" t="s">
        <v>15</v>
      </c>
      <c r="I40" s="10" t="s">
        <v>16</v>
      </c>
      <c r="J40" s="10" t="s">
        <v>15</v>
      </c>
      <c r="K40" s="10" t="s">
        <v>240</v>
      </c>
      <c r="L40" s="11">
        <v>0</v>
      </c>
      <c r="M40" s="11">
        <v>118000</v>
      </c>
      <c r="N40" s="11">
        <f t="shared" si="1"/>
        <v>118000</v>
      </c>
      <c r="O40" s="10" t="s">
        <v>22</v>
      </c>
      <c r="P40" s="28" t="s">
        <v>25</v>
      </c>
      <c r="Q40" s="12"/>
      <c r="R40" s="10"/>
      <c r="S40" s="17"/>
    </row>
    <row r="41" spans="1:19" s="9" customFormat="1">
      <c r="A41" s="12" t="s">
        <v>202</v>
      </c>
      <c r="B41" s="10" t="s">
        <v>266</v>
      </c>
      <c r="C41" s="14" t="s">
        <v>1192</v>
      </c>
      <c r="D41" s="10" t="s">
        <v>207</v>
      </c>
      <c r="E41" s="10" t="s">
        <v>164</v>
      </c>
      <c r="F41" s="10" t="s">
        <v>15</v>
      </c>
      <c r="G41" s="10" t="s">
        <v>267</v>
      </c>
      <c r="H41" s="10" t="s">
        <v>15</v>
      </c>
      <c r="I41" s="10" t="s">
        <v>16</v>
      </c>
      <c r="J41" s="10" t="s">
        <v>15</v>
      </c>
      <c r="K41" s="10" t="s">
        <v>265</v>
      </c>
      <c r="L41" s="11">
        <v>0</v>
      </c>
      <c r="M41" s="11">
        <v>1090000</v>
      </c>
      <c r="N41" s="11">
        <f t="shared" si="1"/>
        <v>1090000</v>
      </c>
      <c r="O41" s="10" t="s">
        <v>22</v>
      </c>
      <c r="P41" s="28" t="s">
        <v>25</v>
      </c>
      <c r="Q41" s="12"/>
      <c r="R41" s="10"/>
      <c r="S41" s="17"/>
    </row>
    <row r="42" spans="1:19" s="9" customFormat="1">
      <c r="A42" s="12" t="s">
        <v>202</v>
      </c>
      <c r="B42" s="10" t="s">
        <v>272</v>
      </c>
      <c r="C42" s="14" t="s">
        <v>1256</v>
      </c>
      <c r="D42" s="10" t="s">
        <v>212</v>
      </c>
      <c r="E42" s="10" t="s">
        <v>48</v>
      </c>
      <c r="F42" s="10" t="s">
        <v>15</v>
      </c>
      <c r="G42" s="10" t="s">
        <v>59</v>
      </c>
      <c r="H42" s="10" t="s">
        <v>15</v>
      </c>
      <c r="I42" s="10" t="s">
        <v>273</v>
      </c>
      <c r="J42" s="10" t="s">
        <v>15</v>
      </c>
      <c r="K42" s="10" t="s">
        <v>105</v>
      </c>
      <c r="L42" s="11">
        <v>0</v>
      </c>
      <c r="M42" s="11">
        <v>2385000</v>
      </c>
      <c r="N42" s="11">
        <f t="shared" si="1"/>
        <v>2385000</v>
      </c>
      <c r="O42" s="10" t="s">
        <v>22</v>
      </c>
      <c r="P42" s="28" t="s">
        <v>25</v>
      </c>
      <c r="Q42" s="12"/>
      <c r="R42" s="10"/>
      <c r="S42" s="17"/>
    </row>
    <row r="43" spans="1:19" s="9" customFormat="1">
      <c r="A43" s="12" t="s">
        <v>202</v>
      </c>
      <c r="B43" s="10" t="s">
        <v>1112</v>
      </c>
      <c r="C43" s="14" t="s">
        <v>1265</v>
      </c>
      <c r="D43" s="10" t="s">
        <v>246</v>
      </c>
      <c r="E43" s="10" t="s">
        <v>48</v>
      </c>
      <c r="F43" s="10" t="s">
        <v>15</v>
      </c>
      <c r="G43" s="10" t="s">
        <v>758</v>
      </c>
      <c r="H43" s="10" t="s">
        <v>15</v>
      </c>
      <c r="I43" s="10" t="s">
        <v>384</v>
      </c>
      <c r="J43" s="10" t="s">
        <v>15</v>
      </c>
      <c r="K43" s="10" t="s">
        <v>125</v>
      </c>
      <c r="L43" s="11">
        <v>0</v>
      </c>
      <c r="M43" s="11">
        <v>1293000</v>
      </c>
      <c r="N43" s="11">
        <f t="shared" si="1"/>
        <v>1293000</v>
      </c>
      <c r="O43" s="10" t="s">
        <v>22</v>
      </c>
      <c r="P43" s="28" t="s">
        <v>25</v>
      </c>
      <c r="Q43" s="12"/>
      <c r="R43" s="10"/>
      <c r="S43" s="17"/>
    </row>
    <row r="44" spans="1:19" s="9" customFormat="1">
      <c r="A44" s="12" t="s">
        <v>202</v>
      </c>
      <c r="B44" s="10" t="s">
        <v>276</v>
      </c>
      <c r="C44" s="14" t="s">
        <v>1258</v>
      </c>
      <c r="D44" s="10" t="s">
        <v>207</v>
      </c>
      <c r="E44" s="10" t="s">
        <v>164</v>
      </c>
      <c r="F44" s="10" t="s">
        <v>15</v>
      </c>
      <c r="G44" s="10" t="s">
        <v>277</v>
      </c>
      <c r="H44" s="10" t="s">
        <v>15</v>
      </c>
      <c r="I44" s="10" t="s">
        <v>278</v>
      </c>
      <c r="J44" s="10" t="s">
        <v>15</v>
      </c>
      <c r="K44" s="10" t="s">
        <v>105</v>
      </c>
      <c r="L44" s="11">
        <v>0</v>
      </c>
      <c r="M44" s="11">
        <v>2500000</v>
      </c>
      <c r="N44" s="11">
        <f t="shared" si="1"/>
        <v>2500000</v>
      </c>
      <c r="O44" s="10" t="s">
        <v>24</v>
      </c>
      <c r="P44" s="28" t="s">
        <v>25</v>
      </c>
      <c r="Q44" s="12"/>
      <c r="R44" s="10"/>
      <c r="S44" s="17"/>
    </row>
    <row r="45" spans="1:19" s="9" customFormat="1">
      <c r="A45" s="12" t="s">
        <v>202</v>
      </c>
      <c r="B45" s="10" t="s">
        <v>288</v>
      </c>
      <c r="C45" s="14" t="s">
        <v>1260</v>
      </c>
      <c r="D45" s="10" t="s">
        <v>209</v>
      </c>
      <c r="E45" s="10" t="s">
        <v>48</v>
      </c>
      <c r="F45" s="10" t="s">
        <v>15</v>
      </c>
      <c r="G45" s="10" t="s">
        <v>289</v>
      </c>
      <c r="H45" s="10" t="s">
        <v>15</v>
      </c>
      <c r="I45" s="10" t="s">
        <v>151</v>
      </c>
      <c r="J45" s="10" t="s">
        <v>15</v>
      </c>
      <c r="K45" s="10" t="s">
        <v>63</v>
      </c>
      <c r="L45" s="11">
        <v>2089000</v>
      </c>
      <c r="M45" s="11">
        <v>24906000</v>
      </c>
      <c r="N45" s="11">
        <f t="shared" si="1"/>
        <v>26995000</v>
      </c>
      <c r="O45" s="10" t="s">
        <v>24</v>
      </c>
      <c r="P45" s="28" t="s">
        <v>25</v>
      </c>
      <c r="Q45" s="12"/>
      <c r="R45" s="10"/>
      <c r="S45" s="17"/>
    </row>
    <row r="46" spans="1:19" s="9" customFormat="1">
      <c r="A46" s="12" t="s">
        <v>202</v>
      </c>
      <c r="B46" s="10" t="s">
        <v>954</v>
      </c>
      <c r="C46" s="14" t="s">
        <v>1264</v>
      </c>
      <c r="D46" s="10" t="s">
        <v>209</v>
      </c>
      <c r="E46" s="10" t="s">
        <v>955</v>
      </c>
      <c r="F46" s="10" t="s">
        <v>15</v>
      </c>
      <c r="G46" s="10" t="s">
        <v>138</v>
      </c>
      <c r="H46" s="10" t="s">
        <v>15</v>
      </c>
      <c r="I46" s="10" t="s">
        <v>16</v>
      </c>
      <c r="J46" s="10" t="s">
        <v>15</v>
      </c>
      <c r="K46" s="10" t="s">
        <v>253</v>
      </c>
      <c r="L46" s="11">
        <v>0</v>
      </c>
      <c r="M46" s="11">
        <v>3305000</v>
      </c>
      <c r="N46" s="11">
        <f t="shared" si="1"/>
        <v>3305000</v>
      </c>
      <c r="O46" s="10" t="s">
        <v>24</v>
      </c>
      <c r="P46" s="28" t="s">
        <v>25</v>
      </c>
      <c r="Q46" s="12"/>
      <c r="R46" s="10"/>
      <c r="S46" s="17"/>
    </row>
    <row r="47" spans="1:19" s="9" customFormat="1" ht="15">
      <c r="A47" s="32"/>
      <c r="B47" s="19"/>
      <c r="C47" s="19"/>
      <c r="D47" s="19"/>
      <c r="E47" s="19"/>
      <c r="F47" s="19"/>
      <c r="G47" s="19"/>
      <c r="H47" s="19"/>
      <c r="I47" s="19"/>
      <c r="J47" s="19"/>
      <c r="K47" s="20" t="s">
        <v>1537</v>
      </c>
      <c r="L47" s="21"/>
      <c r="M47" s="21"/>
      <c r="N47" s="22">
        <f>SUM(N29:N46)</f>
        <v>78044000</v>
      </c>
      <c r="O47" s="19"/>
      <c r="P47" s="29"/>
      <c r="Q47" s="32"/>
      <c r="R47" s="19"/>
      <c r="S47" s="17"/>
    </row>
    <row r="48" spans="1:19" s="9" customFormat="1">
      <c r="A48" s="12" t="s">
        <v>317</v>
      </c>
      <c r="B48" s="10" t="s">
        <v>389</v>
      </c>
      <c r="C48" s="14" t="s">
        <v>1276</v>
      </c>
      <c r="D48" s="10" t="s">
        <v>321</v>
      </c>
      <c r="E48" s="10" t="s">
        <v>219</v>
      </c>
      <c r="F48" s="10" t="s">
        <v>15</v>
      </c>
      <c r="G48" s="10" t="s">
        <v>16</v>
      </c>
      <c r="H48" s="10" t="s">
        <v>15</v>
      </c>
      <c r="I48" s="10" t="s">
        <v>356</v>
      </c>
      <c r="J48" s="10" t="s">
        <v>15</v>
      </c>
      <c r="K48" s="10" t="s">
        <v>390</v>
      </c>
      <c r="L48" s="11">
        <v>0</v>
      </c>
      <c r="M48" s="11">
        <v>40550000</v>
      </c>
      <c r="N48" s="11">
        <f t="shared" ref="N48:N77" si="2">SUM(L48:M48)</f>
        <v>40550000</v>
      </c>
      <c r="O48" s="10" t="s">
        <v>22</v>
      </c>
      <c r="P48" s="28" t="s">
        <v>23</v>
      </c>
      <c r="Q48" s="12" t="s">
        <v>1530</v>
      </c>
      <c r="R48" s="10"/>
      <c r="S48" s="17"/>
    </row>
    <row r="49" spans="1:19" s="9" customFormat="1">
      <c r="A49" s="12" t="s">
        <v>317</v>
      </c>
      <c r="B49" s="10" t="s">
        <v>245</v>
      </c>
      <c r="C49" s="14" t="s">
        <v>1272</v>
      </c>
      <c r="D49" s="10" t="s">
        <v>321</v>
      </c>
      <c r="E49" s="10" t="s">
        <v>219</v>
      </c>
      <c r="F49" s="10" t="s">
        <v>15</v>
      </c>
      <c r="G49" s="10" t="s">
        <v>120</v>
      </c>
      <c r="H49" s="10" t="s">
        <v>15</v>
      </c>
      <c r="I49" s="10" t="s">
        <v>377</v>
      </c>
      <c r="J49" s="10" t="s">
        <v>15</v>
      </c>
      <c r="K49" s="10" t="s">
        <v>378</v>
      </c>
      <c r="L49" s="11">
        <v>0</v>
      </c>
      <c r="M49" s="11">
        <v>8136000</v>
      </c>
      <c r="N49" s="11">
        <f t="shared" si="2"/>
        <v>8136000</v>
      </c>
      <c r="O49" s="10" t="s">
        <v>24</v>
      </c>
      <c r="P49" s="28" t="s">
        <v>23</v>
      </c>
      <c r="Q49" s="12"/>
      <c r="R49" s="10"/>
      <c r="S49" s="17"/>
    </row>
    <row r="50" spans="1:19" s="9" customFormat="1">
      <c r="A50" s="12" t="s">
        <v>317</v>
      </c>
      <c r="B50" s="10" t="s">
        <v>965</v>
      </c>
      <c r="C50" s="14" t="s">
        <v>1196</v>
      </c>
      <c r="D50" s="10" t="s">
        <v>321</v>
      </c>
      <c r="E50" s="10" t="s">
        <v>351</v>
      </c>
      <c r="F50" s="10" t="s">
        <v>39</v>
      </c>
      <c r="G50" s="10" t="s">
        <v>175</v>
      </c>
      <c r="H50" s="10" t="s">
        <v>39</v>
      </c>
      <c r="I50" s="10" t="s">
        <v>54</v>
      </c>
      <c r="J50" s="10" t="s">
        <v>15</v>
      </c>
      <c r="K50" s="10" t="s">
        <v>966</v>
      </c>
      <c r="L50" s="11">
        <v>2067000</v>
      </c>
      <c r="M50" s="11">
        <v>17378000</v>
      </c>
      <c r="N50" s="11">
        <f t="shared" si="2"/>
        <v>19445000</v>
      </c>
      <c r="O50" s="10" t="s">
        <v>24</v>
      </c>
      <c r="P50" s="28" t="s">
        <v>23</v>
      </c>
      <c r="Q50" s="12" t="s">
        <v>1530</v>
      </c>
      <c r="R50" s="10"/>
      <c r="S50" s="17">
        <f>VLOOKUP(C50,'[1]Current Old'!$A:$B,2,FALSE)</f>
        <v>40960</v>
      </c>
    </row>
    <row r="51" spans="1:19" s="9" customFormat="1">
      <c r="A51" s="12" t="s">
        <v>317</v>
      </c>
      <c r="B51" s="10" t="s">
        <v>1120</v>
      </c>
      <c r="C51" s="14" t="s">
        <v>1281</v>
      </c>
      <c r="D51" s="10" t="s">
        <v>330</v>
      </c>
      <c r="E51" s="10" t="s">
        <v>387</v>
      </c>
      <c r="F51" s="10" t="s">
        <v>15</v>
      </c>
      <c r="G51" s="10" t="s">
        <v>40</v>
      </c>
      <c r="H51" s="10" t="s">
        <v>15</v>
      </c>
      <c r="I51" s="10" t="s">
        <v>510</v>
      </c>
      <c r="J51" s="10" t="s">
        <v>15</v>
      </c>
      <c r="K51" s="10" t="s">
        <v>1121</v>
      </c>
      <c r="L51" s="11">
        <v>0</v>
      </c>
      <c r="M51" s="11">
        <v>490000</v>
      </c>
      <c r="N51" s="11">
        <f t="shared" si="2"/>
        <v>490000</v>
      </c>
      <c r="O51" s="10" t="s">
        <v>34</v>
      </c>
      <c r="P51" s="28" t="s">
        <v>23</v>
      </c>
      <c r="Q51" s="12"/>
      <c r="R51" s="10"/>
      <c r="S51" s="17"/>
    </row>
    <row r="52" spans="1:19" s="9" customFormat="1">
      <c r="A52" s="12" t="s">
        <v>317</v>
      </c>
      <c r="B52" s="10" t="s">
        <v>1086</v>
      </c>
      <c r="C52" s="14" t="s">
        <v>1282</v>
      </c>
      <c r="D52" s="10" t="s">
        <v>330</v>
      </c>
      <c r="E52" s="10" t="s">
        <v>323</v>
      </c>
      <c r="F52" s="10" t="s">
        <v>15</v>
      </c>
      <c r="G52" s="10" t="s">
        <v>200</v>
      </c>
      <c r="H52" s="10" t="s">
        <v>15</v>
      </c>
      <c r="I52" s="10" t="s">
        <v>376</v>
      </c>
      <c r="J52" s="10" t="s">
        <v>15</v>
      </c>
      <c r="K52" s="10" t="s">
        <v>1087</v>
      </c>
      <c r="L52" s="11">
        <v>0</v>
      </c>
      <c r="M52" s="11">
        <v>950000</v>
      </c>
      <c r="N52" s="11">
        <f t="shared" si="2"/>
        <v>950000</v>
      </c>
      <c r="O52" s="10" t="s">
        <v>34</v>
      </c>
      <c r="P52" s="28" t="s">
        <v>23</v>
      </c>
      <c r="Q52" s="12"/>
      <c r="R52" s="10"/>
      <c r="S52" s="17"/>
    </row>
    <row r="53" spans="1:19" s="9" customFormat="1">
      <c r="A53" s="12" t="s">
        <v>317</v>
      </c>
      <c r="B53" s="10" t="s">
        <v>1124</v>
      </c>
      <c r="C53" s="14" t="s">
        <v>1290</v>
      </c>
      <c r="D53" s="10" t="s">
        <v>320</v>
      </c>
      <c r="E53" s="10" t="s">
        <v>344</v>
      </c>
      <c r="F53" s="10" t="s">
        <v>15</v>
      </c>
      <c r="G53" s="10" t="s">
        <v>335</v>
      </c>
      <c r="H53" s="10" t="s">
        <v>15</v>
      </c>
      <c r="I53" s="10" t="s">
        <v>16</v>
      </c>
      <c r="J53" s="10" t="s">
        <v>15</v>
      </c>
      <c r="K53" s="10" t="s">
        <v>1125</v>
      </c>
      <c r="L53" s="11">
        <v>0</v>
      </c>
      <c r="M53" s="11">
        <v>3500000</v>
      </c>
      <c r="N53" s="11">
        <f t="shared" si="2"/>
        <v>3500000</v>
      </c>
      <c r="O53" s="10" t="s">
        <v>34</v>
      </c>
      <c r="P53" s="28" t="s">
        <v>23</v>
      </c>
      <c r="Q53" s="12"/>
      <c r="R53" s="10"/>
      <c r="S53" s="17">
        <f>VLOOKUP(C53,'[1]Current Old'!$A:$B,2,FALSE)</f>
        <v>40966</v>
      </c>
    </row>
    <row r="54" spans="1:19" s="9" customFormat="1">
      <c r="A54" s="12" t="s">
        <v>317</v>
      </c>
      <c r="B54" s="10" t="s">
        <v>379</v>
      </c>
      <c r="C54" s="14" t="s">
        <v>1273</v>
      </c>
      <c r="D54" s="10" t="s">
        <v>327</v>
      </c>
      <c r="E54" s="10" t="s">
        <v>244</v>
      </c>
      <c r="F54" s="10" t="s">
        <v>15</v>
      </c>
      <c r="G54" s="10" t="s">
        <v>166</v>
      </c>
      <c r="H54" s="10" t="s">
        <v>15</v>
      </c>
      <c r="I54" s="10" t="s">
        <v>115</v>
      </c>
      <c r="J54" s="10" t="s">
        <v>15</v>
      </c>
      <c r="K54" s="10" t="s">
        <v>129</v>
      </c>
      <c r="L54" s="11">
        <v>8587000</v>
      </c>
      <c r="M54" s="11">
        <v>2746000</v>
      </c>
      <c r="N54" s="11">
        <f t="shared" si="2"/>
        <v>11333000</v>
      </c>
      <c r="O54" s="10" t="s">
        <v>26</v>
      </c>
      <c r="P54" s="28" t="s">
        <v>23</v>
      </c>
      <c r="Q54" s="12"/>
      <c r="R54" s="10"/>
      <c r="S54" s="17"/>
    </row>
    <row r="55" spans="1:19" s="9" customFormat="1">
      <c r="A55" s="12" t="s">
        <v>317</v>
      </c>
      <c r="B55" s="10" t="s">
        <v>1114</v>
      </c>
      <c r="C55" s="14" t="s">
        <v>1275</v>
      </c>
      <c r="D55" s="10" t="s">
        <v>334</v>
      </c>
      <c r="E55" s="10" t="s">
        <v>35</v>
      </c>
      <c r="F55" s="10" t="s">
        <v>15</v>
      </c>
      <c r="G55" s="10" t="s">
        <v>16</v>
      </c>
      <c r="H55" s="10" t="s">
        <v>15</v>
      </c>
      <c r="I55" s="10" t="s">
        <v>56</v>
      </c>
      <c r="J55" s="10" t="s">
        <v>15</v>
      </c>
      <c r="K55" s="10" t="s">
        <v>1115</v>
      </c>
      <c r="L55" s="11">
        <v>0</v>
      </c>
      <c r="M55" s="11">
        <v>9000000</v>
      </c>
      <c r="N55" s="11">
        <f t="shared" si="2"/>
        <v>9000000</v>
      </c>
      <c r="O55" s="10" t="s">
        <v>26</v>
      </c>
      <c r="P55" s="28" t="s">
        <v>23</v>
      </c>
      <c r="Q55" s="12"/>
      <c r="R55" s="10"/>
      <c r="S55" s="17"/>
    </row>
    <row r="56" spans="1:19" s="9" customFormat="1">
      <c r="A56" s="12" t="s">
        <v>317</v>
      </c>
      <c r="B56" s="10" t="s">
        <v>963</v>
      </c>
      <c r="C56" s="14" t="s">
        <v>1277</v>
      </c>
      <c r="D56" s="10" t="s">
        <v>321</v>
      </c>
      <c r="E56" s="10" t="s">
        <v>323</v>
      </c>
      <c r="F56" s="10" t="s">
        <v>15</v>
      </c>
      <c r="G56" s="10" t="s">
        <v>178</v>
      </c>
      <c r="H56" s="10" t="s">
        <v>15</v>
      </c>
      <c r="I56" s="10" t="s">
        <v>16</v>
      </c>
      <c r="J56" s="10" t="s">
        <v>15</v>
      </c>
      <c r="K56" s="10" t="s">
        <v>964</v>
      </c>
      <c r="L56" s="11">
        <v>0</v>
      </c>
      <c r="M56" s="11">
        <v>1030000</v>
      </c>
      <c r="N56" s="11">
        <f t="shared" si="2"/>
        <v>1030000</v>
      </c>
      <c r="O56" s="10" t="s">
        <v>26</v>
      </c>
      <c r="P56" s="28" t="s">
        <v>23</v>
      </c>
      <c r="Q56" s="12"/>
      <c r="R56" s="10"/>
      <c r="S56" s="17"/>
    </row>
    <row r="57" spans="1:19" s="9" customFormat="1">
      <c r="A57" s="12" t="s">
        <v>317</v>
      </c>
      <c r="B57" s="10" t="s">
        <v>1116</v>
      </c>
      <c r="C57" s="14" t="s">
        <v>1278</v>
      </c>
      <c r="D57" s="10" t="s">
        <v>327</v>
      </c>
      <c r="E57" s="10" t="s">
        <v>244</v>
      </c>
      <c r="F57" s="10" t="s">
        <v>15</v>
      </c>
      <c r="G57" s="10" t="s">
        <v>128</v>
      </c>
      <c r="H57" s="10" t="s">
        <v>15</v>
      </c>
      <c r="I57" s="10" t="s">
        <v>208</v>
      </c>
      <c r="J57" s="10" t="s">
        <v>15</v>
      </c>
      <c r="K57" s="10" t="s">
        <v>249</v>
      </c>
      <c r="L57" s="11">
        <v>0</v>
      </c>
      <c r="M57" s="11">
        <v>9600000</v>
      </c>
      <c r="N57" s="11">
        <f t="shared" si="2"/>
        <v>9600000</v>
      </c>
      <c r="O57" s="10" t="s">
        <v>26</v>
      </c>
      <c r="P57" s="28" t="s">
        <v>23</v>
      </c>
      <c r="Q57" s="12"/>
      <c r="R57" s="10"/>
      <c r="S57" s="17"/>
    </row>
    <row r="58" spans="1:19" s="9" customFormat="1">
      <c r="A58" s="12" t="s">
        <v>317</v>
      </c>
      <c r="B58" s="10" t="s">
        <v>1117</v>
      </c>
      <c r="C58" s="14" t="s">
        <v>1279</v>
      </c>
      <c r="D58" s="10" t="s">
        <v>324</v>
      </c>
      <c r="E58" s="10" t="s">
        <v>35</v>
      </c>
      <c r="F58" s="10" t="s">
        <v>39</v>
      </c>
      <c r="G58" s="10" t="s">
        <v>211</v>
      </c>
      <c r="H58" s="10" t="s">
        <v>39</v>
      </c>
      <c r="I58" s="10" t="s">
        <v>308</v>
      </c>
      <c r="J58" s="10" t="s">
        <v>15</v>
      </c>
      <c r="K58" s="10" t="s">
        <v>127</v>
      </c>
      <c r="L58" s="11">
        <v>0</v>
      </c>
      <c r="M58" s="11">
        <v>12380000</v>
      </c>
      <c r="N58" s="11">
        <f t="shared" si="2"/>
        <v>12380000</v>
      </c>
      <c r="O58" s="10" t="s">
        <v>26</v>
      </c>
      <c r="P58" s="28" t="s">
        <v>23</v>
      </c>
      <c r="Q58" s="12"/>
      <c r="R58" s="10"/>
      <c r="S58" s="17"/>
    </row>
    <row r="59" spans="1:19" s="9" customFormat="1">
      <c r="A59" s="12" t="s">
        <v>317</v>
      </c>
      <c r="B59" s="10" t="s">
        <v>1118</v>
      </c>
      <c r="C59" s="14" t="s">
        <v>1280</v>
      </c>
      <c r="D59" s="10" t="s">
        <v>324</v>
      </c>
      <c r="E59" s="10" t="s">
        <v>35</v>
      </c>
      <c r="F59" s="10" t="s">
        <v>39</v>
      </c>
      <c r="G59" s="10" t="s">
        <v>409</v>
      </c>
      <c r="H59" s="10" t="s">
        <v>39</v>
      </c>
      <c r="I59" s="10" t="s">
        <v>211</v>
      </c>
      <c r="J59" s="10" t="s">
        <v>15</v>
      </c>
      <c r="K59" s="10" t="s">
        <v>1119</v>
      </c>
      <c r="L59" s="11">
        <v>0</v>
      </c>
      <c r="M59" s="11">
        <v>8500000</v>
      </c>
      <c r="N59" s="11">
        <f t="shared" si="2"/>
        <v>8500000</v>
      </c>
      <c r="O59" s="10" t="s">
        <v>26</v>
      </c>
      <c r="P59" s="28" t="s">
        <v>23</v>
      </c>
      <c r="Q59" s="12"/>
      <c r="R59" s="10"/>
      <c r="S59" s="17"/>
    </row>
    <row r="60" spans="1:19" s="9" customFormat="1">
      <c r="A60" s="12" t="s">
        <v>317</v>
      </c>
      <c r="B60" s="10" t="s">
        <v>1122</v>
      </c>
      <c r="C60" s="14" t="s">
        <v>1284</v>
      </c>
      <c r="D60" s="10" t="s">
        <v>320</v>
      </c>
      <c r="E60" s="10" t="s">
        <v>461</v>
      </c>
      <c r="F60" s="10" t="s">
        <v>15</v>
      </c>
      <c r="G60" s="10" t="s">
        <v>40</v>
      </c>
      <c r="H60" s="10" t="s">
        <v>15</v>
      </c>
      <c r="I60" s="10" t="s">
        <v>560</v>
      </c>
      <c r="J60" s="10" t="s">
        <v>15</v>
      </c>
      <c r="K60" s="10" t="s">
        <v>249</v>
      </c>
      <c r="L60" s="11">
        <v>0</v>
      </c>
      <c r="M60" s="11">
        <v>7000000</v>
      </c>
      <c r="N60" s="11">
        <f t="shared" si="2"/>
        <v>7000000</v>
      </c>
      <c r="O60" s="10" t="s">
        <v>26</v>
      </c>
      <c r="P60" s="28" t="s">
        <v>23</v>
      </c>
      <c r="Q60" s="12"/>
      <c r="R60" s="10"/>
      <c r="S60" s="17"/>
    </row>
    <row r="61" spans="1:19" s="9" customFormat="1">
      <c r="A61" s="12" t="s">
        <v>317</v>
      </c>
      <c r="B61" s="10" t="s">
        <v>432</v>
      </c>
      <c r="C61" s="14" t="s">
        <v>1286</v>
      </c>
      <c r="D61" s="10" t="s">
        <v>327</v>
      </c>
      <c r="E61" s="10" t="s">
        <v>234</v>
      </c>
      <c r="F61" s="10" t="s">
        <v>15</v>
      </c>
      <c r="G61" s="10" t="s">
        <v>16</v>
      </c>
      <c r="H61" s="10" t="s">
        <v>15</v>
      </c>
      <c r="I61" s="10" t="s">
        <v>16</v>
      </c>
      <c r="J61" s="10" t="s">
        <v>15</v>
      </c>
      <c r="K61" s="10" t="s">
        <v>58</v>
      </c>
      <c r="L61" s="11">
        <v>3842000</v>
      </c>
      <c r="M61" s="11">
        <v>5110000</v>
      </c>
      <c r="N61" s="11">
        <f t="shared" si="2"/>
        <v>8952000</v>
      </c>
      <c r="O61" s="10" t="s">
        <v>26</v>
      </c>
      <c r="P61" s="28" t="s">
        <v>23</v>
      </c>
      <c r="Q61" s="12"/>
      <c r="R61" s="10"/>
      <c r="S61" s="17"/>
    </row>
    <row r="62" spans="1:19" s="9" customFormat="1">
      <c r="A62" s="12" t="s">
        <v>317</v>
      </c>
      <c r="B62" s="10" t="s">
        <v>1123</v>
      </c>
      <c r="C62" s="14" t="s">
        <v>1289</v>
      </c>
      <c r="D62" s="10" t="s">
        <v>327</v>
      </c>
      <c r="E62" s="10" t="s">
        <v>234</v>
      </c>
      <c r="F62" s="10" t="s">
        <v>15</v>
      </c>
      <c r="G62" s="10" t="s">
        <v>396</v>
      </c>
      <c r="H62" s="10" t="s">
        <v>15</v>
      </c>
      <c r="I62" s="10" t="s">
        <v>16</v>
      </c>
      <c r="J62" s="10" t="s">
        <v>15</v>
      </c>
      <c r="K62" s="10" t="s">
        <v>347</v>
      </c>
      <c r="L62" s="11">
        <v>0</v>
      </c>
      <c r="M62" s="11">
        <v>800000</v>
      </c>
      <c r="N62" s="11">
        <f t="shared" si="2"/>
        <v>800000</v>
      </c>
      <c r="O62" s="10" t="s">
        <v>26</v>
      </c>
      <c r="P62" s="28" t="s">
        <v>23</v>
      </c>
      <c r="Q62" s="12"/>
      <c r="R62" s="10"/>
      <c r="S62" s="17"/>
    </row>
    <row r="63" spans="1:19" s="9" customFormat="1">
      <c r="A63" s="12" t="s">
        <v>317</v>
      </c>
      <c r="B63" s="10" t="s">
        <v>340</v>
      </c>
      <c r="C63" s="14" t="s">
        <v>1267</v>
      </c>
      <c r="D63" s="10" t="s">
        <v>321</v>
      </c>
      <c r="E63" s="10" t="s">
        <v>341</v>
      </c>
      <c r="F63" s="10" t="s">
        <v>15</v>
      </c>
      <c r="G63" s="10" t="s">
        <v>174</v>
      </c>
      <c r="H63" s="10" t="s">
        <v>15</v>
      </c>
      <c r="I63" s="10" t="s">
        <v>56</v>
      </c>
      <c r="J63" s="10" t="s">
        <v>15</v>
      </c>
      <c r="K63" s="10" t="s">
        <v>342</v>
      </c>
      <c r="L63" s="11">
        <v>0</v>
      </c>
      <c r="M63" s="11">
        <v>31300000</v>
      </c>
      <c r="N63" s="11">
        <f t="shared" si="2"/>
        <v>31300000</v>
      </c>
      <c r="O63" s="10" t="s">
        <v>215</v>
      </c>
      <c r="P63" s="28" t="s">
        <v>23</v>
      </c>
      <c r="Q63" s="12"/>
      <c r="R63" s="10"/>
      <c r="S63" s="17"/>
    </row>
    <row r="64" spans="1:19" s="9" customFormat="1">
      <c r="A64" s="12" t="s">
        <v>317</v>
      </c>
      <c r="B64" s="10" t="s">
        <v>410</v>
      </c>
      <c r="C64" s="14" t="s">
        <v>1197</v>
      </c>
      <c r="D64" s="10" t="s">
        <v>320</v>
      </c>
      <c r="E64" s="10" t="s">
        <v>234</v>
      </c>
      <c r="F64" s="10" t="s">
        <v>15</v>
      </c>
      <c r="G64" s="10" t="s">
        <v>16</v>
      </c>
      <c r="H64" s="10" t="s">
        <v>15</v>
      </c>
      <c r="I64" s="10" t="s">
        <v>16</v>
      </c>
      <c r="J64" s="10" t="s">
        <v>15</v>
      </c>
      <c r="K64" s="10" t="s">
        <v>411</v>
      </c>
      <c r="L64" s="11">
        <v>3837000</v>
      </c>
      <c r="M64" s="11">
        <v>21039000</v>
      </c>
      <c r="N64" s="11">
        <f t="shared" si="2"/>
        <v>24876000</v>
      </c>
      <c r="O64" s="10" t="s">
        <v>215</v>
      </c>
      <c r="P64" s="28" t="s">
        <v>23</v>
      </c>
      <c r="Q64" s="12"/>
      <c r="R64" s="10"/>
      <c r="S64" s="17"/>
    </row>
    <row r="65" spans="1:20" s="9" customFormat="1">
      <c r="A65" s="12" t="s">
        <v>317</v>
      </c>
      <c r="B65" s="10" t="s">
        <v>419</v>
      </c>
      <c r="C65" s="14" t="s">
        <v>1198</v>
      </c>
      <c r="D65" s="10" t="s">
        <v>348</v>
      </c>
      <c r="E65" s="10" t="s">
        <v>331</v>
      </c>
      <c r="F65" s="10" t="s">
        <v>15</v>
      </c>
      <c r="G65" s="10" t="s">
        <v>115</v>
      </c>
      <c r="H65" s="10" t="s">
        <v>15</v>
      </c>
      <c r="I65" s="10" t="s">
        <v>115</v>
      </c>
      <c r="J65" s="10" t="s">
        <v>15</v>
      </c>
      <c r="K65" s="10" t="s">
        <v>418</v>
      </c>
      <c r="L65" s="11">
        <v>0</v>
      </c>
      <c r="M65" s="11">
        <v>20100000</v>
      </c>
      <c r="N65" s="11">
        <f t="shared" si="2"/>
        <v>20100000</v>
      </c>
      <c r="O65" s="10" t="s">
        <v>215</v>
      </c>
      <c r="P65" s="28" t="s">
        <v>23</v>
      </c>
      <c r="Q65" s="12"/>
      <c r="R65" s="10"/>
      <c r="S65" s="17"/>
    </row>
    <row r="66" spans="1:20" s="9" customFormat="1">
      <c r="A66" s="12" t="s">
        <v>317</v>
      </c>
      <c r="B66" s="10" t="s">
        <v>438</v>
      </c>
      <c r="C66" s="14" t="s">
        <v>1287</v>
      </c>
      <c r="D66" s="10" t="s">
        <v>324</v>
      </c>
      <c r="E66" s="10" t="s">
        <v>62</v>
      </c>
      <c r="F66" s="10" t="s">
        <v>39</v>
      </c>
      <c r="G66" s="10" t="s">
        <v>83</v>
      </c>
      <c r="H66" s="10" t="s">
        <v>39</v>
      </c>
      <c r="I66" s="10" t="s">
        <v>16</v>
      </c>
      <c r="J66" s="10" t="s">
        <v>15</v>
      </c>
      <c r="K66" s="10" t="s">
        <v>439</v>
      </c>
      <c r="L66" s="11">
        <v>2620000</v>
      </c>
      <c r="M66" s="11">
        <v>11606000</v>
      </c>
      <c r="N66" s="11">
        <f t="shared" si="2"/>
        <v>14226000</v>
      </c>
      <c r="O66" s="10" t="s">
        <v>215</v>
      </c>
      <c r="P66" s="28" t="s">
        <v>23</v>
      </c>
      <c r="Q66" s="12"/>
      <c r="R66" s="10"/>
      <c r="S66" s="17"/>
    </row>
    <row r="67" spans="1:20" s="9" customFormat="1">
      <c r="A67" s="12" t="s">
        <v>317</v>
      </c>
      <c r="B67" s="10" t="s">
        <v>960</v>
      </c>
      <c r="C67" s="14" t="s">
        <v>1193</v>
      </c>
      <c r="D67" s="10" t="s">
        <v>318</v>
      </c>
      <c r="E67" s="10" t="s">
        <v>234</v>
      </c>
      <c r="F67" s="10" t="s">
        <v>39</v>
      </c>
      <c r="G67" s="10" t="s">
        <v>441</v>
      </c>
      <c r="H67" s="10" t="s">
        <v>39</v>
      </c>
      <c r="I67" s="10" t="s">
        <v>217</v>
      </c>
      <c r="J67" s="10" t="s">
        <v>15</v>
      </c>
      <c r="K67" s="10" t="s">
        <v>961</v>
      </c>
      <c r="L67" s="11">
        <v>9750000</v>
      </c>
      <c r="M67" s="11">
        <v>5250000</v>
      </c>
      <c r="N67" s="11">
        <f t="shared" si="2"/>
        <v>15000000</v>
      </c>
      <c r="O67" s="10" t="s">
        <v>22</v>
      </c>
      <c r="P67" s="28" t="s">
        <v>25</v>
      </c>
      <c r="Q67" s="12"/>
      <c r="R67" s="10"/>
      <c r="S67" s="17"/>
    </row>
    <row r="68" spans="1:20" s="9" customFormat="1">
      <c r="A68" s="12" t="s">
        <v>317</v>
      </c>
      <c r="B68" s="10" t="s">
        <v>363</v>
      </c>
      <c r="C68" s="14" t="s">
        <v>1194</v>
      </c>
      <c r="D68" s="10" t="s">
        <v>348</v>
      </c>
      <c r="E68" s="10" t="s">
        <v>331</v>
      </c>
      <c r="F68" s="10" t="s">
        <v>15</v>
      </c>
      <c r="G68" s="10" t="s">
        <v>364</v>
      </c>
      <c r="H68" s="10" t="s">
        <v>15</v>
      </c>
      <c r="I68" s="10" t="s">
        <v>365</v>
      </c>
      <c r="J68" s="10" t="s">
        <v>15</v>
      </c>
      <c r="K68" s="10" t="s">
        <v>366</v>
      </c>
      <c r="L68" s="11">
        <v>0</v>
      </c>
      <c r="M68" s="11">
        <v>10900000</v>
      </c>
      <c r="N68" s="11">
        <f t="shared" si="2"/>
        <v>10900000</v>
      </c>
      <c r="O68" s="10" t="s">
        <v>22</v>
      </c>
      <c r="P68" s="28" t="s">
        <v>25</v>
      </c>
      <c r="Q68" s="12"/>
      <c r="R68" s="10"/>
      <c r="S68" s="17"/>
    </row>
    <row r="69" spans="1:20" s="9" customFormat="1">
      <c r="A69" s="12" t="s">
        <v>317</v>
      </c>
      <c r="B69" s="10" t="s">
        <v>367</v>
      </c>
      <c r="C69" s="14" t="s">
        <v>1195</v>
      </c>
      <c r="D69" s="10" t="s">
        <v>348</v>
      </c>
      <c r="E69" s="10" t="s">
        <v>331</v>
      </c>
      <c r="F69" s="10" t="s">
        <v>15</v>
      </c>
      <c r="G69" s="10" t="s">
        <v>368</v>
      </c>
      <c r="H69" s="10" t="s">
        <v>15</v>
      </c>
      <c r="I69" s="10" t="s">
        <v>369</v>
      </c>
      <c r="J69" s="10" t="s">
        <v>15</v>
      </c>
      <c r="K69" s="10" t="s">
        <v>370</v>
      </c>
      <c r="L69" s="11">
        <v>0</v>
      </c>
      <c r="M69" s="11">
        <v>9052000</v>
      </c>
      <c r="N69" s="11">
        <f t="shared" si="2"/>
        <v>9052000</v>
      </c>
      <c r="O69" s="10" t="s">
        <v>22</v>
      </c>
      <c r="P69" s="28" t="s">
        <v>25</v>
      </c>
      <c r="Q69" s="12"/>
      <c r="R69" s="10"/>
      <c r="S69" s="17"/>
    </row>
    <row r="70" spans="1:20" s="9" customFormat="1">
      <c r="A70" s="12" t="s">
        <v>317</v>
      </c>
      <c r="B70" s="10" t="s">
        <v>373</v>
      </c>
      <c r="C70" s="14" t="s">
        <v>1271</v>
      </c>
      <c r="D70" s="10" t="s">
        <v>348</v>
      </c>
      <c r="E70" s="10" t="s">
        <v>219</v>
      </c>
      <c r="F70" s="10" t="s">
        <v>15</v>
      </c>
      <c r="G70" s="10" t="s">
        <v>179</v>
      </c>
      <c r="H70" s="10" t="s">
        <v>15</v>
      </c>
      <c r="I70" s="10" t="s">
        <v>236</v>
      </c>
      <c r="J70" s="10" t="s">
        <v>15</v>
      </c>
      <c r="K70" s="10" t="s">
        <v>372</v>
      </c>
      <c r="L70" s="11">
        <v>0</v>
      </c>
      <c r="M70" s="11">
        <v>15400000</v>
      </c>
      <c r="N70" s="11">
        <f t="shared" si="2"/>
        <v>15400000</v>
      </c>
      <c r="O70" s="10" t="s">
        <v>22</v>
      </c>
      <c r="P70" s="28" t="s">
        <v>25</v>
      </c>
      <c r="Q70" s="12"/>
      <c r="R70" s="10"/>
      <c r="S70" s="17"/>
    </row>
    <row r="71" spans="1:20" s="9" customFormat="1">
      <c r="A71" s="12" t="s">
        <v>317</v>
      </c>
      <c r="B71" s="10" t="s">
        <v>956</v>
      </c>
      <c r="C71" s="14" t="s">
        <v>1268</v>
      </c>
      <c r="D71" s="10" t="s">
        <v>320</v>
      </c>
      <c r="E71" s="10" t="s">
        <v>331</v>
      </c>
      <c r="F71" s="10" t="s">
        <v>15</v>
      </c>
      <c r="G71" s="10" t="s">
        <v>391</v>
      </c>
      <c r="H71" s="10" t="s">
        <v>15</v>
      </c>
      <c r="I71" s="10" t="s">
        <v>16</v>
      </c>
      <c r="J71" s="10" t="s">
        <v>15</v>
      </c>
      <c r="K71" s="10" t="s">
        <v>957</v>
      </c>
      <c r="L71" s="11">
        <v>22329000</v>
      </c>
      <c r="M71" s="11">
        <v>14219000</v>
      </c>
      <c r="N71" s="11">
        <f t="shared" si="2"/>
        <v>36548000</v>
      </c>
      <c r="O71" s="10" t="s">
        <v>24</v>
      </c>
      <c r="P71" s="28" t="s">
        <v>25</v>
      </c>
      <c r="Q71" s="12"/>
      <c r="R71" s="10"/>
      <c r="S71" s="17"/>
    </row>
    <row r="72" spans="1:20" s="9" customFormat="1">
      <c r="A72" s="12" t="s">
        <v>317</v>
      </c>
      <c r="B72" s="10" t="s">
        <v>352</v>
      </c>
      <c r="C72" s="14" t="s">
        <v>1269</v>
      </c>
      <c r="D72" s="10" t="s">
        <v>348</v>
      </c>
      <c r="E72" s="10" t="s">
        <v>331</v>
      </c>
      <c r="F72" s="10" t="s">
        <v>15</v>
      </c>
      <c r="G72" s="10" t="s">
        <v>333</v>
      </c>
      <c r="H72" s="10" t="s">
        <v>15</v>
      </c>
      <c r="I72" s="10" t="s">
        <v>201</v>
      </c>
      <c r="J72" s="10" t="s">
        <v>15</v>
      </c>
      <c r="K72" s="10" t="s">
        <v>353</v>
      </c>
      <c r="L72" s="11">
        <v>2140000</v>
      </c>
      <c r="M72" s="11">
        <v>2820000</v>
      </c>
      <c r="N72" s="11">
        <f t="shared" si="2"/>
        <v>4960000</v>
      </c>
      <c r="O72" s="10" t="s">
        <v>24</v>
      </c>
      <c r="P72" s="28" t="s">
        <v>25</v>
      </c>
      <c r="Q72" s="12"/>
      <c r="R72" s="10"/>
      <c r="S72" s="17"/>
    </row>
    <row r="73" spans="1:20" s="9" customFormat="1">
      <c r="A73" s="12" t="s">
        <v>317</v>
      </c>
      <c r="B73" s="10" t="s">
        <v>958</v>
      </c>
      <c r="C73" s="14" t="s">
        <v>1270</v>
      </c>
      <c r="D73" s="10" t="s">
        <v>320</v>
      </c>
      <c r="E73" s="10" t="s">
        <v>323</v>
      </c>
      <c r="F73" s="10" t="s">
        <v>415</v>
      </c>
      <c r="G73" s="10" t="s">
        <v>205</v>
      </c>
      <c r="H73" s="10" t="s">
        <v>415</v>
      </c>
      <c r="I73" s="10" t="s">
        <v>85</v>
      </c>
      <c r="J73" s="10" t="s">
        <v>15</v>
      </c>
      <c r="K73" s="10" t="s">
        <v>959</v>
      </c>
      <c r="L73" s="11">
        <v>900000</v>
      </c>
      <c r="M73" s="11">
        <v>600000</v>
      </c>
      <c r="N73" s="11">
        <f t="shared" si="2"/>
        <v>1500000</v>
      </c>
      <c r="O73" s="10" t="s">
        <v>24</v>
      </c>
      <c r="P73" s="28" t="s">
        <v>25</v>
      </c>
      <c r="Q73" s="12"/>
      <c r="R73" s="10"/>
      <c r="S73" s="17"/>
    </row>
    <row r="74" spans="1:20" s="9" customFormat="1">
      <c r="A74" s="12" t="s">
        <v>317</v>
      </c>
      <c r="B74" s="10" t="s">
        <v>380</v>
      </c>
      <c r="C74" s="14" t="s">
        <v>1274</v>
      </c>
      <c r="D74" s="10" t="s">
        <v>319</v>
      </c>
      <c r="E74" s="10" t="s">
        <v>35</v>
      </c>
      <c r="F74" s="10" t="s">
        <v>15</v>
      </c>
      <c r="G74" s="10" t="s">
        <v>93</v>
      </c>
      <c r="H74" s="10" t="s">
        <v>15</v>
      </c>
      <c r="I74" s="10" t="s">
        <v>273</v>
      </c>
      <c r="J74" s="10" t="s">
        <v>15</v>
      </c>
      <c r="K74" s="10" t="s">
        <v>381</v>
      </c>
      <c r="L74" s="11">
        <v>0</v>
      </c>
      <c r="M74" s="11">
        <v>4000000</v>
      </c>
      <c r="N74" s="11">
        <f t="shared" si="2"/>
        <v>4000000</v>
      </c>
      <c r="O74" s="10" t="s">
        <v>24</v>
      </c>
      <c r="P74" s="28" t="s">
        <v>25</v>
      </c>
      <c r="Q74" s="12"/>
      <c r="R74" s="10"/>
      <c r="S74" s="17"/>
    </row>
    <row r="75" spans="1:20" s="9" customFormat="1">
      <c r="A75" s="12" t="s">
        <v>317</v>
      </c>
      <c r="B75" s="10" t="s">
        <v>412</v>
      </c>
      <c r="C75" s="14" t="s">
        <v>1283</v>
      </c>
      <c r="D75" s="10" t="s">
        <v>330</v>
      </c>
      <c r="E75" s="10" t="s">
        <v>406</v>
      </c>
      <c r="F75" s="10" t="s">
        <v>15</v>
      </c>
      <c r="G75" s="10" t="s">
        <v>413</v>
      </c>
      <c r="H75" s="10" t="s">
        <v>15</v>
      </c>
      <c r="I75" s="10" t="s">
        <v>360</v>
      </c>
      <c r="J75" s="10" t="s">
        <v>15</v>
      </c>
      <c r="K75" s="10" t="s">
        <v>414</v>
      </c>
      <c r="L75" s="11">
        <v>24311000</v>
      </c>
      <c r="M75" s="11">
        <v>13000000</v>
      </c>
      <c r="N75" s="11">
        <f t="shared" si="2"/>
        <v>37311000</v>
      </c>
      <c r="O75" s="10" t="s">
        <v>24</v>
      </c>
      <c r="P75" s="28" t="s">
        <v>25</v>
      </c>
      <c r="Q75" s="12"/>
      <c r="R75" s="10"/>
      <c r="S75" s="17"/>
    </row>
    <row r="76" spans="1:20" s="9" customFormat="1">
      <c r="A76" s="12" t="s">
        <v>317</v>
      </c>
      <c r="B76" s="10" t="s">
        <v>426</v>
      </c>
      <c r="C76" s="14" t="s">
        <v>1285</v>
      </c>
      <c r="D76" s="10" t="s">
        <v>321</v>
      </c>
      <c r="E76" s="10" t="s">
        <v>323</v>
      </c>
      <c r="F76" s="10" t="s">
        <v>15</v>
      </c>
      <c r="G76" s="10" t="s">
        <v>427</v>
      </c>
      <c r="H76" s="10" t="s">
        <v>15</v>
      </c>
      <c r="I76" s="10" t="s">
        <v>382</v>
      </c>
      <c r="J76" s="10" t="s">
        <v>15</v>
      </c>
      <c r="K76" s="10" t="s">
        <v>428</v>
      </c>
      <c r="L76" s="11">
        <v>4500000</v>
      </c>
      <c r="M76" s="11">
        <v>21500000</v>
      </c>
      <c r="N76" s="11">
        <f t="shared" si="2"/>
        <v>26000000</v>
      </c>
      <c r="O76" s="10" t="s">
        <v>24</v>
      </c>
      <c r="P76" s="28" t="s">
        <v>25</v>
      </c>
      <c r="Q76" s="12"/>
      <c r="R76" s="10"/>
      <c r="S76" s="17"/>
    </row>
    <row r="77" spans="1:20" s="9" customFormat="1">
      <c r="A77" s="12" t="s">
        <v>317</v>
      </c>
      <c r="B77" s="10" t="s">
        <v>967</v>
      </c>
      <c r="C77" s="14" t="s">
        <v>1288</v>
      </c>
      <c r="D77" s="10" t="s">
        <v>348</v>
      </c>
      <c r="E77" s="10" t="s">
        <v>322</v>
      </c>
      <c r="F77" s="10" t="s">
        <v>15</v>
      </c>
      <c r="G77" s="10" t="s">
        <v>343</v>
      </c>
      <c r="H77" s="10" t="s">
        <v>15</v>
      </c>
      <c r="I77" s="10" t="s">
        <v>126</v>
      </c>
      <c r="J77" s="10" t="s">
        <v>15</v>
      </c>
      <c r="K77" s="10" t="s">
        <v>968</v>
      </c>
      <c r="L77" s="11">
        <v>0</v>
      </c>
      <c r="M77" s="11">
        <v>1495000</v>
      </c>
      <c r="N77" s="11">
        <f t="shared" si="2"/>
        <v>1495000</v>
      </c>
      <c r="O77" s="10" t="s">
        <v>24</v>
      </c>
      <c r="P77" s="28" t="s">
        <v>25</v>
      </c>
      <c r="Q77" s="12"/>
      <c r="R77" s="10"/>
      <c r="S77" s="17"/>
    </row>
    <row r="78" spans="1:20" s="9" customFormat="1" ht="15">
      <c r="A78" s="32"/>
      <c r="B78" s="19"/>
      <c r="C78" s="19"/>
      <c r="D78" s="19"/>
      <c r="E78" s="19"/>
      <c r="F78" s="19"/>
      <c r="G78" s="19"/>
      <c r="H78" s="19"/>
      <c r="I78" s="19"/>
      <c r="J78" s="19"/>
      <c r="K78" s="20" t="s">
        <v>1538</v>
      </c>
      <c r="L78" s="21"/>
      <c r="M78" s="21"/>
      <c r="N78" s="22">
        <f>SUM(N48:N77)</f>
        <v>394334000</v>
      </c>
      <c r="O78" s="19"/>
      <c r="P78" s="29"/>
      <c r="Q78" s="32"/>
      <c r="R78" s="19"/>
      <c r="S78" s="17"/>
    </row>
    <row r="79" spans="1:20" s="9" customFormat="1">
      <c r="A79" s="8" t="s">
        <v>442</v>
      </c>
      <c r="B79" s="6" t="s">
        <v>523</v>
      </c>
      <c r="C79" s="14" t="s">
        <v>1200</v>
      </c>
      <c r="D79" s="6" t="s">
        <v>453</v>
      </c>
      <c r="E79" s="6" t="s">
        <v>29</v>
      </c>
      <c r="F79" s="6" t="s">
        <v>15</v>
      </c>
      <c r="G79" s="6" t="s">
        <v>51</v>
      </c>
      <c r="H79" s="6" t="s">
        <v>15</v>
      </c>
      <c r="I79" s="6" t="s">
        <v>291</v>
      </c>
      <c r="J79" s="6" t="s">
        <v>15</v>
      </c>
      <c r="K79" s="6" t="s">
        <v>522</v>
      </c>
      <c r="L79" s="7">
        <v>0</v>
      </c>
      <c r="M79" s="7">
        <v>25348000</v>
      </c>
      <c r="N79" s="11">
        <f t="shared" ref="N79:N110" si="3">SUM(L79:M79)</f>
        <v>25348000</v>
      </c>
      <c r="O79" s="6" t="s">
        <v>22</v>
      </c>
      <c r="P79" s="30" t="s">
        <v>23</v>
      </c>
      <c r="Q79" s="12"/>
      <c r="R79" s="12" t="s">
        <v>1530</v>
      </c>
      <c r="S79" s="17"/>
      <c r="T79" s="1"/>
    </row>
    <row r="80" spans="1:20" s="9" customFormat="1">
      <c r="A80" s="8" t="s">
        <v>442</v>
      </c>
      <c r="B80" s="6" t="s">
        <v>547</v>
      </c>
      <c r="C80" s="14" t="s">
        <v>1325</v>
      </c>
      <c r="D80" s="6" t="s">
        <v>465</v>
      </c>
      <c r="E80" s="6" t="s">
        <v>503</v>
      </c>
      <c r="F80" s="6" t="s">
        <v>15</v>
      </c>
      <c r="G80" s="6" t="s">
        <v>425</v>
      </c>
      <c r="H80" s="6" t="s">
        <v>15</v>
      </c>
      <c r="I80" s="6" t="s">
        <v>16</v>
      </c>
      <c r="J80" s="6" t="s">
        <v>15</v>
      </c>
      <c r="K80" s="6" t="s">
        <v>548</v>
      </c>
      <c r="L80" s="7">
        <v>0</v>
      </c>
      <c r="M80" s="7">
        <v>5011000</v>
      </c>
      <c r="N80" s="11">
        <f t="shared" si="3"/>
        <v>5011000</v>
      </c>
      <c r="O80" s="6" t="s">
        <v>22</v>
      </c>
      <c r="P80" s="30" t="s">
        <v>23</v>
      </c>
      <c r="Q80" s="12" t="s">
        <v>1530</v>
      </c>
      <c r="R80" s="10"/>
      <c r="S80" s="17"/>
      <c r="T80" s="1"/>
    </row>
    <row r="81" spans="1:20" s="9" customFormat="1">
      <c r="A81" s="8" t="s">
        <v>442</v>
      </c>
      <c r="B81" s="6" t="s">
        <v>606</v>
      </c>
      <c r="C81" s="14" t="s">
        <v>1349</v>
      </c>
      <c r="D81" s="6" t="s">
        <v>443</v>
      </c>
      <c r="E81" s="6" t="s">
        <v>446</v>
      </c>
      <c r="F81" s="6" t="s">
        <v>15</v>
      </c>
      <c r="G81" s="6" t="s">
        <v>42</v>
      </c>
      <c r="H81" s="6" t="s">
        <v>15</v>
      </c>
      <c r="I81" s="6" t="s">
        <v>42</v>
      </c>
      <c r="J81" s="6" t="s">
        <v>15</v>
      </c>
      <c r="K81" s="6" t="s">
        <v>607</v>
      </c>
      <c r="L81" s="7">
        <v>0</v>
      </c>
      <c r="M81" s="7">
        <v>700000</v>
      </c>
      <c r="N81" s="11">
        <f t="shared" si="3"/>
        <v>700000</v>
      </c>
      <c r="O81" s="6" t="s">
        <v>22</v>
      </c>
      <c r="P81" s="30" t="s">
        <v>23</v>
      </c>
      <c r="Q81" s="12"/>
      <c r="R81" s="10"/>
      <c r="S81" s="17"/>
      <c r="T81" s="1"/>
    </row>
    <row r="82" spans="1:20" s="9" customFormat="1">
      <c r="A82" s="12" t="s">
        <v>442</v>
      </c>
      <c r="B82" s="10" t="s">
        <v>456</v>
      </c>
      <c r="C82" s="14" t="s">
        <v>1292</v>
      </c>
      <c r="D82" s="10" t="s">
        <v>443</v>
      </c>
      <c r="E82" s="10" t="s">
        <v>323</v>
      </c>
      <c r="F82" s="10" t="s">
        <v>15</v>
      </c>
      <c r="G82" s="10" t="s">
        <v>86</v>
      </c>
      <c r="H82" s="10" t="s">
        <v>15</v>
      </c>
      <c r="I82" s="10" t="s">
        <v>91</v>
      </c>
      <c r="J82" s="10" t="s">
        <v>15</v>
      </c>
      <c r="K82" s="10" t="s">
        <v>1105</v>
      </c>
      <c r="L82" s="11">
        <v>18647000</v>
      </c>
      <c r="M82" s="11">
        <v>43392000</v>
      </c>
      <c r="N82" s="11">
        <f t="shared" si="3"/>
        <v>62039000</v>
      </c>
      <c r="O82" s="10" t="s">
        <v>24</v>
      </c>
      <c r="P82" s="28" t="s">
        <v>23</v>
      </c>
      <c r="Q82" s="12"/>
      <c r="R82" s="10"/>
      <c r="S82" s="17"/>
    </row>
    <row r="83" spans="1:20" s="9" customFormat="1">
      <c r="A83" s="12" t="s">
        <v>442</v>
      </c>
      <c r="B83" s="10" t="s">
        <v>485</v>
      </c>
      <c r="C83" s="14" t="s">
        <v>1298</v>
      </c>
      <c r="D83" s="10" t="s">
        <v>465</v>
      </c>
      <c r="E83" s="10" t="s">
        <v>466</v>
      </c>
      <c r="F83" s="10" t="s">
        <v>15</v>
      </c>
      <c r="G83" s="10" t="s">
        <v>206</v>
      </c>
      <c r="H83" s="10" t="s">
        <v>15</v>
      </c>
      <c r="I83" s="10" t="s">
        <v>184</v>
      </c>
      <c r="J83" s="10" t="s">
        <v>15</v>
      </c>
      <c r="K83" s="10" t="s">
        <v>486</v>
      </c>
      <c r="L83" s="11">
        <v>0</v>
      </c>
      <c r="M83" s="11">
        <v>495000</v>
      </c>
      <c r="N83" s="11">
        <f t="shared" si="3"/>
        <v>495000</v>
      </c>
      <c r="O83" s="10" t="s">
        <v>24</v>
      </c>
      <c r="P83" s="28" t="s">
        <v>23</v>
      </c>
      <c r="Q83" s="12" t="s">
        <v>1530</v>
      </c>
      <c r="R83" s="10"/>
      <c r="S83" s="17">
        <f>VLOOKUP(C83,'[1]Current Old'!$A:$B,2,FALSE)</f>
        <v>40966</v>
      </c>
    </row>
    <row r="84" spans="1:20" s="9" customFormat="1">
      <c r="A84" s="8" t="s">
        <v>442</v>
      </c>
      <c r="B84" s="6" t="s">
        <v>536</v>
      </c>
      <c r="C84" s="14" t="s">
        <v>1321</v>
      </c>
      <c r="D84" s="6" t="s">
        <v>460</v>
      </c>
      <c r="E84" s="6" t="s">
        <v>494</v>
      </c>
      <c r="F84" s="6" t="s">
        <v>15</v>
      </c>
      <c r="G84" s="6" t="s">
        <v>338</v>
      </c>
      <c r="H84" s="6" t="s">
        <v>15</v>
      </c>
      <c r="I84" s="6" t="s">
        <v>535</v>
      </c>
      <c r="J84" s="6" t="s">
        <v>15</v>
      </c>
      <c r="K84" s="6" t="s">
        <v>537</v>
      </c>
      <c r="L84" s="7">
        <v>0</v>
      </c>
      <c r="M84" s="7">
        <v>2015000</v>
      </c>
      <c r="N84" s="11">
        <f t="shared" si="3"/>
        <v>2015000</v>
      </c>
      <c r="O84" s="6" t="s">
        <v>24</v>
      </c>
      <c r="P84" s="30" t="s">
        <v>23</v>
      </c>
      <c r="Q84" s="12" t="s">
        <v>1530</v>
      </c>
      <c r="R84" s="10"/>
      <c r="S84" s="17"/>
      <c r="T84" s="1"/>
    </row>
    <row r="85" spans="1:20" s="9" customFormat="1">
      <c r="A85" s="8" t="s">
        <v>442</v>
      </c>
      <c r="B85" s="6" t="s">
        <v>542</v>
      </c>
      <c r="C85" s="14" t="s">
        <v>1323</v>
      </c>
      <c r="D85" s="6" t="s">
        <v>443</v>
      </c>
      <c r="E85" s="6" t="s">
        <v>371</v>
      </c>
      <c r="F85" s="6" t="s">
        <v>15</v>
      </c>
      <c r="G85" s="6" t="s">
        <v>200</v>
      </c>
      <c r="H85" s="6" t="s">
        <v>15</v>
      </c>
      <c r="I85" s="6" t="s">
        <v>264</v>
      </c>
      <c r="J85" s="6" t="s">
        <v>15</v>
      </c>
      <c r="K85" s="6" t="s">
        <v>543</v>
      </c>
      <c r="L85" s="7">
        <v>150000</v>
      </c>
      <c r="M85" s="7">
        <v>4680000</v>
      </c>
      <c r="N85" s="11">
        <f t="shared" si="3"/>
        <v>4830000</v>
      </c>
      <c r="O85" s="6" t="s">
        <v>24</v>
      </c>
      <c r="P85" s="30" t="s">
        <v>23</v>
      </c>
      <c r="Q85" s="12" t="s">
        <v>1530</v>
      </c>
      <c r="R85" s="10"/>
      <c r="S85" s="17"/>
      <c r="T85" s="1"/>
    </row>
    <row r="86" spans="1:20" s="9" customFormat="1">
      <c r="A86" s="8" t="s">
        <v>442</v>
      </c>
      <c r="B86" s="6" t="s">
        <v>573</v>
      </c>
      <c r="C86" s="14" t="s">
        <v>1335</v>
      </c>
      <c r="D86" s="6" t="s">
        <v>475</v>
      </c>
      <c r="E86" s="6" t="s">
        <v>27</v>
      </c>
      <c r="F86" s="6" t="s">
        <v>15</v>
      </c>
      <c r="G86" s="6" t="s">
        <v>270</v>
      </c>
      <c r="H86" s="6" t="s">
        <v>15</v>
      </c>
      <c r="I86" s="6" t="s">
        <v>270</v>
      </c>
      <c r="J86" s="6" t="s">
        <v>15</v>
      </c>
      <c r="K86" s="6" t="s">
        <v>987</v>
      </c>
      <c r="L86" s="7">
        <v>0</v>
      </c>
      <c r="M86" s="7">
        <v>230000</v>
      </c>
      <c r="N86" s="11">
        <f t="shared" si="3"/>
        <v>230000</v>
      </c>
      <c r="O86" s="6" t="s">
        <v>24</v>
      </c>
      <c r="P86" s="30" t="s">
        <v>23</v>
      </c>
      <c r="Q86" s="12"/>
      <c r="R86" s="10"/>
      <c r="S86" s="17"/>
      <c r="T86" s="1"/>
    </row>
    <row r="87" spans="1:20" s="9" customFormat="1">
      <c r="A87" s="8" t="s">
        <v>442</v>
      </c>
      <c r="B87" s="6" t="s">
        <v>575</v>
      </c>
      <c r="C87" s="14" t="s">
        <v>1336</v>
      </c>
      <c r="D87" s="6" t="s">
        <v>460</v>
      </c>
      <c r="E87" s="6" t="s">
        <v>27</v>
      </c>
      <c r="F87" s="6" t="s">
        <v>15</v>
      </c>
      <c r="G87" s="6" t="s">
        <v>190</v>
      </c>
      <c r="H87" s="6" t="s">
        <v>15</v>
      </c>
      <c r="I87" s="6" t="s">
        <v>16</v>
      </c>
      <c r="J87" s="6" t="s">
        <v>15</v>
      </c>
      <c r="K87" s="6" t="s">
        <v>576</v>
      </c>
      <c r="L87" s="7">
        <v>0</v>
      </c>
      <c r="M87" s="7">
        <v>177000</v>
      </c>
      <c r="N87" s="11">
        <f t="shared" si="3"/>
        <v>177000</v>
      </c>
      <c r="O87" s="6" t="s">
        <v>24</v>
      </c>
      <c r="P87" s="30" t="s">
        <v>23</v>
      </c>
      <c r="Q87" s="12"/>
      <c r="R87" s="10"/>
      <c r="S87" s="17"/>
      <c r="T87" s="1"/>
    </row>
    <row r="88" spans="1:20" s="9" customFormat="1">
      <c r="A88" s="8" t="s">
        <v>442</v>
      </c>
      <c r="B88" s="6" t="s">
        <v>580</v>
      </c>
      <c r="C88" s="14" t="s">
        <v>1337</v>
      </c>
      <c r="D88" s="6" t="s">
        <v>450</v>
      </c>
      <c r="E88" s="6" t="s">
        <v>323</v>
      </c>
      <c r="F88" s="6" t="s">
        <v>15</v>
      </c>
      <c r="G88" s="6" t="s">
        <v>386</v>
      </c>
      <c r="H88" s="6" t="s">
        <v>15</v>
      </c>
      <c r="I88" s="6" t="s">
        <v>581</v>
      </c>
      <c r="J88" s="6" t="s">
        <v>15</v>
      </c>
      <c r="K88" s="6" t="s">
        <v>582</v>
      </c>
      <c r="L88" s="7">
        <v>2000000</v>
      </c>
      <c r="M88" s="7">
        <v>48000000</v>
      </c>
      <c r="N88" s="11">
        <f t="shared" si="3"/>
        <v>50000000</v>
      </c>
      <c r="O88" s="6" t="s">
        <v>24</v>
      </c>
      <c r="P88" s="30" t="s">
        <v>23</v>
      </c>
      <c r="Q88" s="12"/>
      <c r="R88" s="10"/>
      <c r="S88" s="17"/>
      <c r="T88" s="1"/>
    </row>
    <row r="89" spans="1:20" s="9" customFormat="1">
      <c r="A89" s="8" t="s">
        <v>442</v>
      </c>
      <c r="B89" s="6" t="s">
        <v>598</v>
      </c>
      <c r="C89" s="14" t="s">
        <v>1345</v>
      </c>
      <c r="D89" s="6" t="s">
        <v>465</v>
      </c>
      <c r="E89" s="6" t="s">
        <v>466</v>
      </c>
      <c r="F89" s="6" t="s">
        <v>15</v>
      </c>
      <c r="G89" s="6" t="s">
        <v>40</v>
      </c>
      <c r="H89" s="6" t="s">
        <v>15</v>
      </c>
      <c r="I89" s="6" t="s">
        <v>16</v>
      </c>
      <c r="J89" s="6" t="s">
        <v>15</v>
      </c>
      <c r="K89" s="6" t="s">
        <v>599</v>
      </c>
      <c r="L89" s="7">
        <v>0</v>
      </c>
      <c r="M89" s="7">
        <v>260000</v>
      </c>
      <c r="N89" s="11">
        <f t="shared" si="3"/>
        <v>260000</v>
      </c>
      <c r="O89" s="6" t="s">
        <v>24</v>
      </c>
      <c r="P89" s="30" t="s">
        <v>23</v>
      </c>
      <c r="Q89" s="12"/>
      <c r="R89" s="10"/>
      <c r="S89" s="17"/>
      <c r="T89" s="1"/>
    </row>
    <row r="90" spans="1:20" s="9" customFormat="1">
      <c r="A90" s="8" t="s">
        <v>442</v>
      </c>
      <c r="B90" s="6" t="s">
        <v>610</v>
      </c>
      <c r="C90" s="14" t="s">
        <v>1351</v>
      </c>
      <c r="D90" s="6" t="s">
        <v>453</v>
      </c>
      <c r="E90" s="6" t="s">
        <v>408</v>
      </c>
      <c r="F90" s="6" t="s">
        <v>15</v>
      </c>
      <c r="G90" s="6" t="s">
        <v>154</v>
      </c>
      <c r="H90" s="6" t="s">
        <v>15</v>
      </c>
      <c r="I90" s="6" t="s">
        <v>440</v>
      </c>
      <c r="J90" s="6" t="s">
        <v>15</v>
      </c>
      <c r="K90" s="6" t="s">
        <v>611</v>
      </c>
      <c r="L90" s="7">
        <v>0</v>
      </c>
      <c r="M90" s="7">
        <v>1800000</v>
      </c>
      <c r="N90" s="11">
        <f t="shared" si="3"/>
        <v>1800000</v>
      </c>
      <c r="O90" s="6" t="s">
        <v>24</v>
      </c>
      <c r="P90" s="30" t="s">
        <v>23</v>
      </c>
      <c r="Q90" s="12" t="s">
        <v>1530</v>
      </c>
      <c r="R90" s="10"/>
      <c r="S90" s="17">
        <f>VLOOKUP(C90,'[1]Current Old'!$A:$B,2,FALSE)</f>
        <v>40966</v>
      </c>
      <c r="T90" s="1"/>
    </row>
    <row r="91" spans="1:20" s="9" customFormat="1">
      <c r="A91" s="12" t="s">
        <v>442</v>
      </c>
      <c r="B91" s="10" t="s">
        <v>971</v>
      </c>
      <c r="C91" s="14" t="s">
        <v>1301</v>
      </c>
      <c r="D91" s="10" t="s">
        <v>460</v>
      </c>
      <c r="E91" s="10" t="s">
        <v>481</v>
      </c>
      <c r="F91" s="10" t="s">
        <v>15</v>
      </c>
      <c r="G91" s="10" t="s">
        <v>349</v>
      </c>
      <c r="H91" s="10" t="s">
        <v>15</v>
      </c>
      <c r="I91" s="10" t="s">
        <v>290</v>
      </c>
      <c r="J91" s="10" t="s">
        <v>15</v>
      </c>
      <c r="K91" s="10" t="s">
        <v>972</v>
      </c>
      <c r="L91" s="11">
        <v>0</v>
      </c>
      <c r="M91" s="11">
        <v>451000</v>
      </c>
      <c r="N91" s="11">
        <f t="shared" si="3"/>
        <v>451000</v>
      </c>
      <c r="O91" s="10" t="s">
        <v>34</v>
      </c>
      <c r="P91" s="28" t="s">
        <v>23</v>
      </c>
      <c r="Q91" s="12"/>
      <c r="R91" s="10"/>
      <c r="S91" s="17"/>
    </row>
    <row r="92" spans="1:20" s="9" customFormat="1">
      <c r="A92" s="12" t="s">
        <v>442</v>
      </c>
      <c r="B92" s="10" t="s">
        <v>504</v>
      </c>
      <c r="C92" s="14" t="s">
        <v>1309</v>
      </c>
      <c r="D92" s="10" t="s">
        <v>445</v>
      </c>
      <c r="E92" s="10" t="s">
        <v>446</v>
      </c>
      <c r="F92" s="10" t="s">
        <v>15</v>
      </c>
      <c r="G92" s="10" t="s">
        <v>398</v>
      </c>
      <c r="H92" s="10" t="s">
        <v>15</v>
      </c>
      <c r="I92" s="10" t="s">
        <v>150</v>
      </c>
      <c r="J92" s="10" t="s">
        <v>15</v>
      </c>
      <c r="K92" s="10" t="s">
        <v>505</v>
      </c>
      <c r="L92" s="11">
        <v>14000000</v>
      </c>
      <c r="M92" s="11">
        <v>5000000</v>
      </c>
      <c r="N92" s="11">
        <f t="shared" si="3"/>
        <v>19000000</v>
      </c>
      <c r="O92" s="10" t="s">
        <v>34</v>
      </c>
      <c r="P92" s="28" t="s">
        <v>23</v>
      </c>
      <c r="Q92" s="12"/>
      <c r="R92" s="10"/>
      <c r="S92" s="17"/>
    </row>
    <row r="93" spans="1:20" s="9" customFormat="1">
      <c r="A93" s="12" t="s">
        <v>442</v>
      </c>
      <c r="B93" s="10" t="s">
        <v>976</v>
      </c>
      <c r="C93" s="14" t="s">
        <v>1311</v>
      </c>
      <c r="D93" s="10" t="s">
        <v>443</v>
      </c>
      <c r="E93" s="10" t="s">
        <v>470</v>
      </c>
      <c r="F93" s="10" t="s">
        <v>15</v>
      </c>
      <c r="G93" s="10" t="s">
        <v>163</v>
      </c>
      <c r="H93" s="10" t="s">
        <v>15</v>
      </c>
      <c r="I93" s="10" t="s">
        <v>186</v>
      </c>
      <c r="J93" s="10" t="s">
        <v>15</v>
      </c>
      <c r="K93" s="10" t="s">
        <v>977</v>
      </c>
      <c r="L93" s="11">
        <v>0</v>
      </c>
      <c r="M93" s="11">
        <v>735000</v>
      </c>
      <c r="N93" s="11">
        <f t="shared" si="3"/>
        <v>735000</v>
      </c>
      <c r="O93" s="10" t="s">
        <v>34</v>
      </c>
      <c r="P93" s="28" t="s">
        <v>23</v>
      </c>
      <c r="Q93" s="12"/>
      <c r="R93" s="10"/>
      <c r="S93" s="17"/>
    </row>
    <row r="94" spans="1:20" s="9" customFormat="1">
      <c r="A94" s="8" t="s">
        <v>442</v>
      </c>
      <c r="B94" s="6" t="s">
        <v>552</v>
      </c>
      <c r="C94" s="14" t="s">
        <v>1329</v>
      </c>
      <c r="D94" s="6" t="s">
        <v>453</v>
      </c>
      <c r="E94" s="6" t="s">
        <v>408</v>
      </c>
      <c r="F94" s="6" t="s">
        <v>15</v>
      </c>
      <c r="G94" s="6" t="s">
        <v>206</v>
      </c>
      <c r="H94" s="6" t="s">
        <v>15</v>
      </c>
      <c r="I94" s="6" t="s">
        <v>187</v>
      </c>
      <c r="J94" s="6" t="s">
        <v>15</v>
      </c>
      <c r="K94" s="6" t="s">
        <v>553</v>
      </c>
      <c r="L94" s="7">
        <v>0</v>
      </c>
      <c r="M94" s="7">
        <v>476000</v>
      </c>
      <c r="N94" s="11">
        <f t="shared" si="3"/>
        <v>476000</v>
      </c>
      <c r="O94" s="6" t="s">
        <v>34</v>
      </c>
      <c r="P94" s="30" t="s">
        <v>23</v>
      </c>
      <c r="Q94" s="12" t="s">
        <v>1530</v>
      </c>
      <c r="R94" s="10"/>
      <c r="S94" s="17"/>
      <c r="T94" s="1"/>
    </row>
    <row r="95" spans="1:20" s="9" customFormat="1">
      <c r="A95" s="8" t="s">
        <v>442</v>
      </c>
      <c r="B95" s="6" t="s">
        <v>1096</v>
      </c>
      <c r="C95" s="14" t="s">
        <v>1330</v>
      </c>
      <c r="D95" s="6" t="s">
        <v>460</v>
      </c>
      <c r="E95" s="6" t="s">
        <v>29</v>
      </c>
      <c r="F95" s="6" t="s">
        <v>15</v>
      </c>
      <c r="G95" s="6" t="s">
        <v>515</v>
      </c>
      <c r="H95" s="6" t="s">
        <v>15</v>
      </c>
      <c r="I95" s="6" t="s">
        <v>251</v>
      </c>
      <c r="J95" s="6" t="s">
        <v>15</v>
      </c>
      <c r="K95" s="6" t="s">
        <v>1097</v>
      </c>
      <c r="L95" s="7">
        <v>8645000</v>
      </c>
      <c r="M95" s="7">
        <v>21355000</v>
      </c>
      <c r="N95" s="11">
        <f t="shared" si="3"/>
        <v>30000000</v>
      </c>
      <c r="O95" s="6" t="s">
        <v>34</v>
      </c>
      <c r="P95" s="30" t="s">
        <v>23</v>
      </c>
      <c r="Q95" s="12"/>
      <c r="R95" s="12" t="s">
        <v>1530</v>
      </c>
      <c r="S95" s="17"/>
      <c r="T95" s="1"/>
    </row>
    <row r="96" spans="1:20" s="9" customFormat="1">
      <c r="A96" s="8" t="s">
        <v>442</v>
      </c>
      <c r="B96" s="6" t="s">
        <v>570</v>
      </c>
      <c r="C96" s="14" t="s">
        <v>1334</v>
      </c>
      <c r="D96" s="6" t="s">
        <v>443</v>
      </c>
      <c r="E96" s="6" t="s">
        <v>446</v>
      </c>
      <c r="F96" s="6" t="s">
        <v>39</v>
      </c>
      <c r="G96" s="6" t="s">
        <v>571</v>
      </c>
      <c r="H96" s="6" t="s">
        <v>39</v>
      </c>
      <c r="I96" s="6" t="s">
        <v>571</v>
      </c>
      <c r="J96" s="6" t="s">
        <v>15</v>
      </c>
      <c r="K96" s="6" t="s">
        <v>572</v>
      </c>
      <c r="L96" s="7">
        <v>0</v>
      </c>
      <c r="M96" s="7">
        <v>1800000</v>
      </c>
      <c r="N96" s="11">
        <f t="shared" si="3"/>
        <v>1800000</v>
      </c>
      <c r="O96" s="6" t="s">
        <v>34</v>
      </c>
      <c r="P96" s="30" t="s">
        <v>23</v>
      </c>
      <c r="Q96" s="12"/>
      <c r="R96" s="10"/>
      <c r="S96" s="17"/>
      <c r="T96" s="1"/>
    </row>
    <row r="97" spans="1:20" s="9" customFormat="1">
      <c r="A97" s="8" t="s">
        <v>442</v>
      </c>
      <c r="B97" s="6" t="s">
        <v>577</v>
      </c>
      <c r="C97" s="14" t="s">
        <v>1206</v>
      </c>
      <c r="D97" s="6" t="s">
        <v>465</v>
      </c>
      <c r="E97" s="6" t="s">
        <v>508</v>
      </c>
      <c r="F97" s="6" t="s">
        <v>15</v>
      </c>
      <c r="G97" s="6" t="s">
        <v>457</v>
      </c>
      <c r="H97" s="6" t="s">
        <v>15</v>
      </c>
      <c r="I97" s="6" t="s">
        <v>452</v>
      </c>
      <c r="J97" s="6" t="s">
        <v>15</v>
      </c>
      <c r="K97" s="6" t="s">
        <v>578</v>
      </c>
      <c r="L97" s="7">
        <v>0</v>
      </c>
      <c r="M97" s="7">
        <v>940000</v>
      </c>
      <c r="N97" s="11">
        <f t="shared" si="3"/>
        <v>940000</v>
      </c>
      <c r="O97" s="6" t="s">
        <v>34</v>
      </c>
      <c r="P97" s="30" t="s">
        <v>23</v>
      </c>
      <c r="Q97" s="12"/>
      <c r="R97" s="10"/>
      <c r="S97" s="17"/>
      <c r="T97" s="1"/>
    </row>
    <row r="98" spans="1:20" s="9" customFormat="1">
      <c r="A98" s="8" t="s">
        <v>442</v>
      </c>
      <c r="B98" s="6" t="s">
        <v>602</v>
      </c>
      <c r="C98" s="14" t="s">
        <v>1347</v>
      </c>
      <c r="D98" s="6" t="s">
        <v>453</v>
      </c>
      <c r="E98" s="6" t="s">
        <v>490</v>
      </c>
      <c r="F98" s="6" t="s">
        <v>15</v>
      </c>
      <c r="G98" s="6" t="s">
        <v>255</v>
      </c>
      <c r="H98" s="6" t="s">
        <v>15</v>
      </c>
      <c r="I98" s="6" t="s">
        <v>255</v>
      </c>
      <c r="J98" s="6" t="s">
        <v>15</v>
      </c>
      <c r="K98" s="6" t="s">
        <v>603</v>
      </c>
      <c r="L98" s="7">
        <v>0</v>
      </c>
      <c r="M98" s="7">
        <v>678000</v>
      </c>
      <c r="N98" s="11">
        <f t="shared" si="3"/>
        <v>678000</v>
      </c>
      <c r="O98" s="6" t="s">
        <v>34</v>
      </c>
      <c r="P98" s="30" t="s">
        <v>23</v>
      </c>
      <c r="Q98" s="12"/>
      <c r="R98" s="10"/>
      <c r="S98" s="17"/>
      <c r="T98" s="1"/>
    </row>
    <row r="99" spans="1:20" s="9" customFormat="1">
      <c r="A99" s="8" t="s">
        <v>442</v>
      </c>
      <c r="B99" s="6" t="s">
        <v>608</v>
      </c>
      <c r="C99" s="14" t="s">
        <v>1350</v>
      </c>
      <c r="D99" s="6" t="s">
        <v>475</v>
      </c>
      <c r="E99" s="6" t="s">
        <v>27</v>
      </c>
      <c r="F99" s="6" t="s">
        <v>15</v>
      </c>
      <c r="G99" s="6" t="s">
        <v>161</v>
      </c>
      <c r="H99" s="6" t="s">
        <v>15</v>
      </c>
      <c r="I99" s="6" t="s">
        <v>16</v>
      </c>
      <c r="J99" s="6" t="s">
        <v>15</v>
      </c>
      <c r="K99" s="6" t="s">
        <v>609</v>
      </c>
      <c r="L99" s="7">
        <v>0</v>
      </c>
      <c r="M99" s="7">
        <v>461000</v>
      </c>
      <c r="N99" s="11">
        <f t="shared" si="3"/>
        <v>461000</v>
      </c>
      <c r="O99" s="6" t="s">
        <v>34</v>
      </c>
      <c r="P99" s="30" t="s">
        <v>23</v>
      </c>
      <c r="Q99" s="12"/>
      <c r="R99" s="10"/>
      <c r="S99" s="17"/>
      <c r="T99" s="1"/>
    </row>
    <row r="100" spans="1:20" s="9" customFormat="1">
      <c r="A100" s="12" t="s">
        <v>442</v>
      </c>
      <c r="B100" s="10" t="s">
        <v>472</v>
      </c>
      <c r="C100" s="14" t="s">
        <v>1296</v>
      </c>
      <c r="D100" s="10" t="s">
        <v>445</v>
      </c>
      <c r="E100" s="10" t="s">
        <v>473</v>
      </c>
      <c r="F100" s="10" t="s">
        <v>15</v>
      </c>
      <c r="G100" s="10" t="s">
        <v>51</v>
      </c>
      <c r="H100" s="10" t="s">
        <v>15</v>
      </c>
      <c r="I100" s="10" t="s">
        <v>337</v>
      </c>
      <c r="J100" s="10" t="s">
        <v>15</v>
      </c>
      <c r="K100" s="10" t="s">
        <v>474</v>
      </c>
      <c r="L100" s="11">
        <v>0</v>
      </c>
      <c r="M100" s="11">
        <v>5116000</v>
      </c>
      <c r="N100" s="11">
        <f t="shared" si="3"/>
        <v>5116000</v>
      </c>
      <c r="O100" s="10" t="s">
        <v>26</v>
      </c>
      <c r="P100" s="28" t="s">
        <v>23</v>
      </c>
      <c r="Q100" s="12"/>
      <c r="R100" s="10"/>
      <c r="S100" s="17"/>
    </row>
    <row r="101" spans="1:20" s="9" customFormat="1">
      <c r="A101" s="12" t="s">
        <v>442</v>
      </c>
      <c r="B101" s="10" t="s">
        <v>483</v>
      </c>
      <c r="C101" s="14" t="s">
        <v>1297</v>
      </c>
      <c r="D101" s="10" t="s">
        <v>465</v>
      </c>
      <c r="E101" s="10" t="s">
        <v>476</v>
      </c>
      <c r="F101" s="10" t="s">
        <v>15</v>
      </c>
      <c r="G101" s="10" t="s">
        <v>165</v>
      </c>
      <c r="H101" s="10" t="s">
        <v>15</v>
      </c>
      <c r="I101" s="10" t="s">
        <v>16</v>
      </c>
      <c r="J101" s="10" t="s">
        <v>15</v>
      </c>
      <c r="K101" s="10" t="s">
        <v>484</v>
      </c>
      <c r="L101" s="11">
        <v>0</v>
      </c>
      <c r="M101" s="11">
        <v>640000</v>
      </c>
      <c r="N101" s="11">
        <f t="shared" si="3"/>
        <v>640000</v>
      </c>
      <c r="O101" s="10" t="s">
        <v>26</v>
      </c>
      <c r="P101" s="28" t="s">
        <v>23</v>
      </c>
      <c r="Q101" s="12"/>
      <c r="R101" s="10"/>
      <c r="S101" s="17"/>
    </row>
    <row r="102" spans="1:20" s="9" customFormat="1">
      <c r="A102" s="12" t="s">
        <v>442</v>
      </c>
      <c r="B102" s="10" t="s">
        <v>487</v>
      </c>
      <c r="C102" s="14" t="s">
        <v>1299</v>
      </c>
      <c r="D102" s="10" t="s">
        <v>453</v>
      </c>
      <c r="E102" s="10" t="s">
        <v>27</v>
      </c>
      <c r="F102" s="10" t="s">
        <v>15</v>
      </c>
      <c r="G102" s="10" t="s">
        <v>435</v>
      </c>
      <c r="H102" s="10" t="s">
        <v>15</v>
      </c>
      <c r="I102" s="10" t="s">
        <v>16</v>
      </c>
      <c r="J102" s="10" t="s">
        <v>15</v>
      </c>
      <c r="K102" s="10" t="s">
        <v>347</v>
      </c>
      <c r="L102" s="11">
        <v>0</v>
      </c>
      <c r="M102" s="11">
        <v>405000</v>
      </c>
      <c r="N102" s="11">
        <f t="shared" si="3"/>
        <v>405000</v>
      </c>
      <c r="O102" s="10" t="s">
        <v>26</v>
      </c>
      <c r="P102" s="28" t="s">
        <v>23</v>
      </c>
      <c r="Q102" s="12"/>
      <c r="R102" s="10"/>
      <c r="S102" s="17"/>
    </row>
    <row r="103" spans="1:20" s="9" customFormat="1">
      <c r="A103" s="12" t="s">
        <v>442</v>
      </c>
      <c r="B103" s="10" t="s">
        <v>496</v>
      </c>
      <c r="C103" s="14" t="s">
        <v>1199</v>
      </c>
      <c r="D103" s="10" t="s">
        <v>443</v>
      </c>
      <c r="E103" s="10" t="s">
        <v>446</v>
      </c>
      <c r="F103" s="10" t="s">
        <v>15</v>
      </c>
      <c r="G103" s="10" t="s">
        <v>16</v>
      </c>
      <c r="H103" s="10" t="s">
        <v>15</v>
      </c>
      <c r="I103" s="10" t="s">
        <v>73</v>
      </c>
      <c r="J103" s="10" t="s">
        <v>15</v>
      </c>
      <c r="K103" s="10" t="s">
        <v>1128</v>
      </c>
      <c r="L103" s="11">
        <v>0</v>
      </c>
      <c r="M103" s="11">
        <v>9010000</v>
      </c>
      <c r="N103" s="11">
        <f t="shared" si="3"/>
        <v>9010000</v>
      </c>
      <c r="O103" s="10" t="s">
        <v>26</v>
      </c>
      <c r="P103" s="28" t="s">
        <v>23</v>
      </c>
      <c r="Q103" s="12"/>
      <c r="R103" s="12" t="s">
        <v>1530</v>
      </c>
      <c r="S103" s="17"/>
    </row>
    <row r="104" spans="1:20" s="9" customFormat="1">
      <c r="A104" s="12" t="s">
        <v>442</v>
      </c>
      <c r="B104" s="10" t="s">
        <v>1089</v>
      </c>
      <c r="C104" s="14" t="s">
        <v>1303</v>
      </c>
      <c r="D104" s="10" t="s">
        <v>443</v>
      </c>
      <c r="E104" s="10" t="s">
        <v>454</v>
      </c>
      <c r="F104" s="10" t="s">
        <v>15</v>
      </c>
      <c r="G104" s="10" t="s">
        <v>16</v>
      </c>
      <c r="H104" s="10" t="s">
        <v>15</v>
      </c>
      <c r="I104" s="10" t="s">
        <v>421</v>
      </c>
      <c r="J104" s="10" t="s">
        <v>15</v>
      </c>
      <c r="K104" s="10" t="s">
        <v>1088</v>
      </c>
      <c r="L104" s="11">
        <v>0</v>
      </c>
      <c r="M104" s="11">
        <v>5806000</v>
      </c>
      <c r="N104" s="11">
        <f t="shared" si="3"/>
        <v>5806000</v>
      </c>
      <c r="O104" s="10" t="s">
        <v>26</v>
      </c>
      <c r="P104" s="28" t="s">
        <v>23</v>
      </c>
      <c r="Q104" s="12"/>
      <c r="R104" s="12" t="s">
        <v>1530</v>
      </c>
      <c r="S104" s="17"/>
    </row>
    <row r="105" spans="1:20" s="9" customFormat="1">
      <c r="A105" s="12" t="s">
        <v>442</v>
      </c>
      <c r="B105" s="10" t="s">
        <v>973</v>
      </c>
      <c r="C105" s="14" t="s">
        <v>1305</v>
      </c>
      <c r="D105" s="10" t="s">
        <v>465</v>
      </c>
      <c r="E105" s="10" t="s">
        <v>448</v>
      </c>
      <c r="F105" s="10" t="s">
        <v>15</v>
      </c>
      <c r="G105" s="10" t="s">
        <v>16</v>
      </c>
      <c r="H105" s="10" t="s">
        <v>15</v>
      </c>
      <c r="I105" s="10" t="s">
        <v>72</v>
      </c>
      <c r="J105" s="10" t="s">
        <v>15</v>
      </c>
      <c r="K105" s="10" t="s">
        <v>1129</v>
      </c>
      <c r="L105" s="11">
        <v>0</v>
      </c>
      <c r="M105" s="11">
        <v>24300000</v>
      </c>
      <c r="N105" s="11">
        <f t="shared" si="3"/>
        <v>24300000</v>
      </c>
      <c r="O105" s="10" t="s">
        <v>26</v>
      </c>
      <c r="P105" s="28" t="s">
        <v>23</v>
      </c>
      <c r="Q105" s="12"/>
      <c r="R105" s="10"/>
      <c r="S105" s="17"/>
    </row>
    <row r="106" spans="1:20" s="9" customFormat="1">
      <c r="A106" s="12" t="s">
        <v>442</v>
      </c>
      <c r="B106" s="10" t="s">
        <v>1094</v>
      </c>
      <c r="C106" s="14" t="s">
        <v>1307</v>
      </c>
      <c r="D106" s="10" t="s">
        <v>450</v>
      </c>
      <c r="E106" s="10" t="s">
        <v>323</v>
      </c>
      <c r="F106" s="10" t="s">
        <v>15</v>
      </c>
      <c r="G106" s="10" t="s">
        <v>16</v>
      </c>
      <c r="H106" s="10" t="s">
        <v>39</v>
      </c>
      <c r="I106" s="10" t="s">
        <v>192</v>
      </c>
      <c r="J106" s="10" t="s">
        <v>15</v>
      </c>
      <c r="K106" s="10" t="s">
        <v>1095</v>
      </c>
      <c r="L106" s="11">
        <v>0</v>
      </c>
      <c r="M106" s="11">
        <v>21320000</v>
      </c>
      <c r="N106" s="11">
        <f t="shared" si="3"/>
        <v>21320000</v>
      </c>
      <c r="O106" s="10" t="s">
        <v>26</v>
      </c>
      <c r="P106" s="28" t="s">
        <v>23</v>
      </c>
      <c r="Q106" s="12"/>
      <c r="R106" s="10"/>
      <c r="S106" s="17"/>
    </row>
    <row r="107" spans="1:20">
      <c r="A107" s="12" t="s">
        <v>442</v>
      </c>
      <c r="B107" s="10" t="s">
        <v>974</v>
      </c>
      <c r="C107" s="14" t="s">
        <v>1308</v>
      </c>
      <c r="D107" s="10" t="s">
        <v>465</v>
      </c>
      <c r="E107" s="10" t="s">
        <v>466</v>
      </c>
      <c r="F107" s="10" t="s">
        <v>15</v>
      </c>
      <c r="G107" s="10" t="s">
        <v>259</v>
      </c>
      <c r="H107" s="10" t="s">
        <v>15</v>
      </c>
      <c r="I107" s="10" t="s">
        <v>54</v>
      </c>
      <c r="J107" s="10" t="s">
        <v>15</v>
      </c>
      <c r="K107" s="10" t="s">
        <v>1130</v>
      </c>
      <c r="L107" s="11">
        <v>140000</v>
      </c>
      <c r="M107" s="11">
        <v>9428000</v>
      </c>
      <c r="N107" s="11">
        <f t="shared" si="3"/>
        <v>9568000</v>
      </c>
      <c r="O107" s="10" t="s">
        <v>26</v>
      </c>
      <c r="P107" s="28" t="s">
        <v>23</v>
      </c>
      <c r="Q107" s="12"/>
      <c r="R107" s="12" t="s">
        <v>1530</v>
      </c>
      <c r="S107" s="17"/>
      <c r="T107" s="9"/>
    </row>
    <row r="108" spans="1:20">
      <c r="A108" s="12" t="s">
        <v>442</v>
      </c>
      <c r="B108" s="10" t="s">
        <v>978</v>
      </c>
      <c r="C108" s="14" t="s">
        <v>1312</v>
      </c>
      <c r="D108" s="10" t="s">
        <v>460</v>
      </c>
      <c r="E108" s="10" t="s">
        <v>494</v>
      </c>
      <c r="F108" s="10" t="s">
        <v>15</v>
      </c>
      <c r="G108" s="10" t="s">
        <v>429</v>
      </c>
      <c r="H108" s="10" t="s">
        <v>15</v>
      </c>
      <c r="I108" s="10" t="s">
        <v>16</v>
      </c>
      <c r="J108" s="10" t="s">
        <v>15</v>
      </c>
      <c r="K108" s="10" t="s">
        <v>962</v>
      </c>
      <c r="L108" s="11">
        <v>0</v>
      </c>
      <c r="M108" s="11">
        <v>1150000</v>
      </c>
      <c r="N108" s="11">
        <f t="shared" si="3"/>
        <v>1150000</v>
      </c>
      <c r="O108" s="10" t="s">
        <v>26</v>
      </c>
      <c r="P108" s="28" t="s">
        <v>23</v>
      </c>
      <c r="Q108" s="12"/>
      <c r="R108" s="10"/>
      <c r="S108" s="17"/>
      <c r="T108" s="9"/>
    </row>
    <row r="109" spans="1:20">
      <c r="A109" s="12" t="s">
        <v>442</v>
      </c>
      <c r="B109" s="10" t="s">
        <v>979</v>
      </c>
      <c r="C109" s="14" t="s">
        <v>1314</v>
      </c>
      <c r="D109" s="10" t="s">
        <v>445</v>
      </c>
      <c r="E109" s="10" t="s">
        <v>323</v>
      </c>
      <c r="F109" s="10" t="s">
        <v>15</v>
      </c>
      <c r="G109" s="10" t="s">
        <v>90</v>
      </c>
      <c r="H109" s="10" t="s">
        <v>15</v>
      </c>
      <c r="I109" s="10" t="s">
        <v>16</v>
      </c>
      <c r="J109" s="10" t="s">
        <v>15</v>
      </c>
      <c r="K109" s="10" t="s">
        <v>980</v>
      </c>
      <c r="L109" s="11">
        <v>0</v>
      </c>
      <c r="M109" s="11">
        <v>1200000</v>
      </c>
      <c r="N109" s="11">
        <f t="shared" si="3"/>
        <v>1200000</v>
      </c>
      <c r="O109" s="10" t="s">
        <v>26</v>
      </c>
      <c r="P109" s="28" t="s">
        <v>23</v>
      </c>
      <c r="Q109" s="12"/>
      <c r="R109" s="10"/>
      <c r="S109" s="17"/>
      <c r="T109" s="9"/>
    </row>
    <row r="110" spans="1:20">
      <c r="A110" s="12" t="s">
        <v>442</v>
      </c>
      <c r="B110" s="10" t="s">
        <v>981</v>
      </c>
      <c r="C110" s="14" t="s">
        <v>1315</v>
      </c>
      <c r="D110" s="10" t="s">
        <v>443</v>
      </c>
      <c r="E110" s="10" t="s">
        <v>470</v>
      </c>
      <c r="F110" s="10" t="s">
        <v>15</v>
      </c>
      <c r="G110" s="10" t="s">
        <v>73</v>
      </c>
      <c r="H110" s="10" t="s">
        <v>15</v>
      </c>
      <c r="I110" s="10" t="s">
        <v>55</v>
      </c>
      <c r="J110" s="10" t="s">
        <v>15</v>
      </c>
      <c r="K110" s="10" t="s">
        <v>982</v>
      </c>
      <c r="L110" s="11">
        <v>657000</v>
      </c>
      <c r="M110" s="11">
        <v>833000</v>
      </c>
      <c r="N110" s="11">
        <f t="shared" si="3"/>
        <v>1490000</v>
      </c>
      <c r="O110" s="10" t="s">
        <v>26</v>
      </c>
      <c r="P110" s="28" t="s">
        <v>23</v>
      </c>
      <c r="Q110" s="12"/>
      <c r="R110" s="10"/>
      <c r="S110" s="17"/>
      <c r="T110" s="9"/>
    </row>
    <row r="111" spans="1:20">
      <c r="A111" s="8" t="s">
        <v>442</v>
      </c>
      <c r="B111" s="6" t="s">
        <v>549</v>
      </c>
      <c r="C111" s="14" t="s">
        <v>1326</v>
      </c>
      <c r="D111" s="6" t="s">
        <v>465</v>
      </c>
      <c r="E111" s="6" t="s">
        <v>503</v>
      </c>
      <c r="F111" s="6" t="s">
        <v>15</v>
      </c>
      <c r="G111" s="6" t="s">
        <v>316</v>
      </c>
      <c r="H111" s="6" t="s">
        <v>15</v>
      </c>
      <c r="I111" s="6" t="s">
        <v>441</v>
      </c>
      <c r="J111" s="6" t="s">
        <v>15</v>
      </c>
      <c r="K111" s="6" t="s">
        <v>550</v>
      </c>
      <c r="L111" s="7">
        <v>2727000</v>
      </c>
      <c r="M111" s="7">
        <v>9100000</v>
      </c>
      <c r="N111" s="11">
        <f t="shared" ref="N111:N142" si="4">SUM(L111:M111)</f>
        <v>11827000</v>
      </c>
      <c r="O111" s="6" t="s">
        <v>26</v>
      </c>
      <c r="P111" s="30" t="s">
        <v>23</v>
      </c>
      <c r="Q111" s="12"/>
      <c r="R111" s="10"/>
      <c r="S111" s="17"/>
    </row>
    <row r="112" spans="1:20">
      <c r="A112" s="8" t="s">
        <v>442</v>
      </c>
      <c r="B112" s="6" t="s">
        <v>556</v>
      </c>
      <c r="C112" s="14" t="s">
        <v>1331</v>
      </c>
      <c r="D112" s="6" t="s">
        <v>460</v>
      </c>
      <c r="E112" s="6" t="s">
        <v>461</v>
      </c>
      <c r="F112" s="6" t="s">
        <v>15</v>
      </c>
      <c r="G112" s="6" t="s">
        <v>557</v>
      </c>
      <c r="H112" s="6" t="s">
        <v>15</v>
      </c>
      <c r="I112" s="6" t="s">
        <v>558</v>
      </c>
      <c r="J112" s="6" t="s">
        <v>15</v>
      </c>
      <c r="K112" s="6" t="s">
        <v>559</v>
      </c>
      <c r="L112" s="7">
        <v>0</v>
      </c>
      <c r="M112" s="7">
        <v>1592000</v>
      </c>
      <c r="N112" s="11">
        <f t="shared" si="4"/>
        <v>1592000</v>
      </c>
      <c r="O112" s="6" t="s">
        <v>26</v>
      </c>
      <c r="P112" s="30" t="s">
        <v>23</v>
      </c>
      <c r="Q112" s="12"/>
      <c r="R112" s="10"/>
      <c r="S112" s="17"/>
    </row>
    <row r="113" spans="1:20">
      <c r="A113" s="8" t="s">
        <v>442</v>
      </c>
      <c r="B113" s="6" t="s">
        <v>583</v>
      </c>
      <c r="C113" s="14" t="s">
        <v>1338</v>
      </c>
      <c r="D113" s="6" t="s">
        <v>450</v>
      </c>
      <c r="E113" s="6" t="s">
        <v>323</v>
      </c>
      <c r="F113" s="6" t="s">
        <v>15</v>
      </c>
      <c r="G113" s="6" t="s">
        <v>115</v>
      </c>
      <c r="H113" s="6" t="s">
        <v>15</v>
      </c>
      <c r="I113" s="6" t="s">
        <v>115</v>
      </c>
      <c r="J113" s="6" t="s">
        <v>15</v>
      </c>
      <c r="K113" s="6" t="s">
        <v>584</v>
      </c>
      <c r="L113" s="7">
        <v>0</v>
      </c>
      <c r="M113" s="7">
        <v>5400000</v>
      </c>
      <c r="N113" s="11">
        <f t="shared" si="4"/>
        <v>5400000</v>
      </c>
      <c r="O113" s="6" t="s">
        <v>26</v>
      </c>
      <c r="P113" s="30" t="s">
        <v>23</v>
      </c>
      <c r="Q113" s="12"/>
      <c r="R113" s="10"/>
      <c r="S113" s="17"/>
    </row>
    <row r="114" spans="1:20">
      <c r="A114" s="8" t="s">
        <v>442</v>
      </c>
      <c r="B114" s="6" t="s">
        <v>586</v>
      </c>
      <c r="C114" s="14" t="s">
        <v>1340</v>
      </c>
      <c r="D114" s="6" t="s">
        <v>453</v>
      </c>
      <c r="E114" s="6" t="s">
        <v>479</v>
      </c>
      <c r="F114" s="6" t="s">
        <v>15</v>
      </c>
      <c r="G114" s="6" t="s">
        <v>115</v>
      </c>
      <c r="H114" s="6" t="s">
        <v>15</v>
      </c>
      <c r="I114" s="6" t="s">
        <v>115</v>
      </c>
      <c r="J114" s="6" t="s">
        <v>15</v>
      </c>
      <c r="K114" s="6" t="s">
        <v>587</v>
      </c>
      <c r="L114" s="7">
        <v>0</v>
      </c>
      <c r="M114" s="7">
        <v>4521000</v>
      </c>
      <c r="N114" s="11">
        <f t="shared" si="4"/>
        <v>4521000</v>
      </c>
      <c r="O114" s="6" t="s">
        <v>26</v>
      </c>
      <c r="P114" s="30" t="s">
        <v>23</v>
      </c>
      <c r="Q114" s="12"/>
      <c r="R114" s="10"/>
      <c r="S114" s="17"/>
    </row>
    <row r="115" spans="1:20">
      <c r="A115" s="8" t="s">
        <v>442</v>
      </c>
      <c r="B115" s="6" t="s">
        <v>594</v>
      </c>
      <c r="C115" s="14" t="s">
        <v>1342</v>
      </c>
      <c r="D115" s="6" t="s">
        <v>477</v>
      </c>
      <c r="E115" s="6" t="s">
        <v>53</v>
      </c>
      <c r="F115" s="6" t="s">
        <v>15</v>
      </c>
      <c r="G115" s="6" t="s">
        <v>311</v>
      </c>
      <c r="H115" s="6" t="s">
        <v>15</v>
      </c>
      <c r="I115" s="6" t="s">
        <v>403</v>
      </c>
      <c r="J115" s="6" t="s">
        <v>15</v>
      </c>
      <c r="K115" s="6" t="s">
        <v>988</v>
      </c>
      <c r="L115" s="7">
        <v>0</v>
      </c>
      <c r="M115" s="7">
        <v>2400000</v>
      </c>
      <c r="N115" s="11">
        <f t="shared" si="4"/>
        <v>2400000</v>
      </c>
      <c r="O115" s="6" t="s">
        <v>26</v>
      </c>
      <c r="P115" s="30" t="s">
        <v>23</v>
      </c>
      <c r="Q115" s="12"/>
      <c r="R115" s="10"/>
      <c r="S115" s="17"/>
    </row>
    <row r="116" spans="1:20">
      <c r="A116" s="8" t="s">
        <v>442</v>
      </c>
      <c r="B116" s="6" t="s">
        <v>595</v>
      </c>
      <c r="C116" s="14" t="s">
        <v>1343</v>
      </c>
      <c r="D116" s="6" t="s">
        <v>477</v>
      </c>
      <c r="E116" s="6" t="s">
        <v>21</v>
      </c>
      <c r="F116" s="6" t="s">
        <v>15</v>
      </c>
      <c r="G116" s="6" t="s">
        <v>510</v>
      </c>
      <c r="H116" s="6" t="s">
        <v>15</v>
      </c>
      <c r="I116" s="6" t="s">
        <v>16</v>
      </c>
      <c r="J116" s="6" t="s">
        <v>15</v>
      </c>
      <c r="K116" s="6" t="s">
        <v>596</v>
      </c>
      <c r="L116" s="7">
        <v>0</v>
      </c>
      <c r="M116" s="7">
        <v>1289000</v>
      </c>
      <c r="N116" s="11">
        <f t="shared" si="4"/>
        <v>1289000</v>
      </c>
      <c r="O116" s="6" t="s">
        <v>26</v>
      </c>
      <c r="P116" s="30" t="s">
        <v>23</v>
      </c>
      <c r="Q116" s="12"/>
      <c r="R116" s="10"/>
      <c r="S116" s="17"/>
    </row>
    <row r="117" spans="1:20">
      <c r="A117" s="8" t="s">
        <v>442</v>
      </c>
      <c r="B117" s="6" t="s">
        <v>600</v>
      </c>
      <c r="C117" s="14" t="s">
        <v>1346</v>
      </c>
      <c r="D117" s="6" t="s">
        <v>465</v>
      </c>
      <c r="E117" s="6" t="s">
        <v>29</v>
      </c>
      <c r="F117" s="6" t="s">
        <v>15</v>
      </c>
      <c r="G117" s="6" t="s">
        <v>375</v>
      </c>
      <c r="H117" s="6" t="s">
        <v>15</v>
      </c>
      <c r="I117" s="6" t="s">
        <v>16</v>
      </c>
      <c r="J117" s="6" t="s">
        <v>15</v>
      </c>
      <c r="K117" s="6" t="s">
        <v>601</v>
      </c>
      <c r="L117" s="7">
        <v>0</v>
      </c>
      <c r="M117" s="7">
        <v>929000</v>
      </c>
      <c r="N117" s="11">
        <f t="shared" si="4"/>
        <v>929000</v>
      </c>
      <c r="O117" s="6" t="s">
        <v>26</v>
      </c>
      <c r="P117" s="30" t="s">
        <v>23</v>
      </c>
      <c r="Q117" s="12"/>
      <c r="R117" s="10"/>
      <c r="S117" s="17"/>
    </row>
    <row r="118" spans="1:20">
      <c r="A118" s="12" t="s">
        <v>442</v>
      </c>
      <c r="B118" s="10" t="s">
        <v>1126</v>
      </c>
      <c r="C118" s="14" t="s">
        <v>1295</v>
      </c>
      <c r="D118" s="10" t="s">
        <v>450</v>
      </c>
      <c r="E118" s="10" t="s">
        <v>323</v>
      </c>
      <c r="F118" s="10" t="s">
        <v>15</v>
      </c>
      <c r="G118" s="10" t="s">
        <v>361</v>
      </c>
      <c r="H118" s="10" t="s">
        <v>15</v>
      </c>
      <c r="I118" s="10" t="s">
        <v>404</v>
      </c>
      <c r="J118" s="10" t="s">
        <v>15</v>
      </c>
      <c r="K118" s="10" t="s">
        <v>1127</v>
      </c>
      <c r="L118" s="11">
        <v>28400000</v>
      </c>
      <c r="M118" s="11">
        <v>37000000</v>
      </c>
      <c r="N118" s="11">
        <f t="shared" si="4"/>
        <v>65400000</v>
      </c>
      <c r="O118" s="10" t="s">
        <v>215</v>
      </c>
      <c r="P118" s="28" t="s">
        <v>23</v>
      </c>
      <c r="Q118" s="12"/>
      <c r="R118" s="10"/>
      <c r="S118" s="17"/>
      <c r="T118" s="9"/>
    </row>
    <row r="119" spans="1:20">
      <c r="A119" s="12" t="s">
        <v>442</v>
      </c>
      <c r="B119" s="10" t="s">
        <v>969</v>
      </c>
      <c r="C119" s="14" t="s">
        <v>1300</v>
      </c>
      <c r="D119" s="10" t="s">
        <v>451</v>
      </c>
      <c r="E119" s="10" t="s">
        <v>323</v>
      </c>
      <c r="F119" s="10" t="s">
        <v>15</v>
      </c>
      <c r="G119" s="10" t="s">
        <v>186</v>
      </c>
      <c r="H119" s="10" t="s">
        <v>15</v>
      </c>
      <c r="I119" s="10" t="s">
        <v>159</v>
      </c>
      <c r="J119" s="10" t="s">
        <v>15</v>
      </c>
      <c r="K119" s="10" t="s">
        <v>970</v>
      </c>
      <c r="L119" s="11">
        <v>15000000</v>
      </c>
      <c r="M119" s="11">
        <v>1500000</v>
      </c>
      <c r="N119" s="11">
        <f t="shared" si="4"/>
        <v>16500000</v>
      </c>
      <c r="O119" s="10" t="s">
        <v>215</v>
      </c>
      <c r="P119" s="28" t="s">
        <v>23</v>
      </c>
      <c r="Q119" s="12"/>
      <c r="R119" s="10"/>
      <c r="S119" s="17"/>
      <c r="T119" s="9"/>
    </row>
    <row r="120" spans="1:20">
      <c r="A120" s="12" t="s">
        <v>442</v>
      </c>
      <c r="B120" s="10" t="s">
        <v>1081</v>
      </c>
      <c r="C120" s="14" t="s">
        <v>1316</v>
      </c>
      <c r="D120" s="10" t="s">
        <v>445</v>
      </c>
      <c r="E120" s="10" t="s">
        <v>473</v>
      </c>
      <c r="F120" s="10" t="s">
        <v>15</v>
      </c>
      <c r="G120" s="10" t="s">
        <v>520</v>
      </c>
      <c r="H120" s="10" t="s">
        <v>15</v>
      </c>
      <c r="I120" s="10" t="s">
        <v>501</v>
      </c>
      <c r="J120" s="10" t="s">
        <v>15</v>
      </c>
      <c r="K120" s="10" t="s">
        <v>521</v>
      </c>
      <c r="L120" s="11">
        <v>31100000</v>
      </c>
      <c r="M120" s="11">
        <v>48200000</v>
      </c>
      <c r="N120" s="11">
        <f t="shared" si="4"/>
        <v>79300000</v>
      </c>
      <c r="O120" s="10" t="s">
        <v>215</v>
      </c>
      <c r="P120" s="28" t="s">
        <v>23</v>
      </c>
      <c r="Q120" s="12" t="s">
        <v>1530</v>
      </c>
      <c r="R120" s="12" t="s">
        <v>1530</v>
      </c>
      <c r="S120" s="17">
        <f>VLOOKUP(C120,'[1]Current Old'!$A:$B,2,FALSE)</f>
        <v>40966</v>
      </c>
      <c r="T120" s="9"/>
    </row>
    <row r="121" spans="1:20">
      <c r="A121" s="12" t="s">
        <v>442</v>
      </c>
      <c r="B121" s="10" t="s">
        <v>1082</v>
      </c>
      <c r="C121" s="14" t="s">
        <v>1317</v>
      </c>
      <c r="D121" s="10" t="s">
        <v>445</v>
      </c>
      <c r="E121" s="10" t="s">
        <v>473</v>
      </c>
      <c r="F121" s="10" t="s">
        <v>15</v>
      </c>
      <c r="G121" s="10" t="s">
        <v>280</v>
      </c>
      <c r="H121" s="10" t="s">
        <v>15</v>
      </c>
      <c r="I121" s="10" t="s">
        <v>593</v>
      </c>
      <c r="J121" s="10" t="s">
        <v>15</v>
      </c>
      <c r="K121" s="10" t="s">
        <v>521</v>
      </c>
      <c r="L121" s="11">
        <v>31161000</v>
      </c>
      <c r="M121" s="11">
        <v>45000000</v>
      </c>
      <c r="N121" s="11">
        <f t="shared" si="4"/>
        <v>76161000</v>
      </c>
      <c r="O121" s="10" t="s">
        <v>215</v>
      </c>
      <c r="P121" s="28" t="s">
        <v>23</v>
      </c>
      <c r="Q121" s="12"/>
      <c r="R121" s="10"/>
      <c r="S121" s="17"/>
      <c r="T121" s="9"/>
    </row>
    <row r="122" spans="1:20">
      <c r="A122" s="8" t="s">
        <v>442</v>
      </c>
      <c r="B122" s="6" t="s">
        <v>528</v>
      </c>
      <c r="C122" s="14" t="s">
        <v>1201</v>
      </c>
      <c r="D122" s="6" t="s">
        <v>475</v>
      </c>
      <c r="E122" s="6" t="s">
        <v>29</v>
      </c>
      <c r="F122" s="6" t="s">
        <v>15</v>
      </c>
      <c r="G122" s="6" t="s">
        <v>293</v>
      </c>
      <c r="H122" s="6" t="s">
        <v>15</v>
      </c>
      <c r="I122" s="6" t="s">
        <v>480</v>
      </c>
      <c r="J122" s="6" t="s">
        <v>15</v>
      </c>
      <c r="K122" s="6" t="s">
        <v>529</v>
      </c>
      <c r="L122" s="7">
        <v>2937000</v>
      </c>
      <c r="M122" s="7">
        <v>37600000</v>
      </c>
      <c r="N122" s="11">
        <f t="shared" si="4"/>
        <v>40537000</v>
      </c>
      <c r="O122" s="6" t="s">
        <v>215</v>
      </c>
      <c r="P122" s="30" t="s">
        <v>23</v>
      </c>
      <c r="Q122" s="12"/>
      <c r="R122" s="12" t="s">
        <v>1530</v>
      </c>
      <c r="S122" s="17"/>
    </row>
    <row r="123" spans="1:20">
      <c r="A123" s="8" t="s">
        <v>442</v>
      </c>
      <c r="B123" s="6" t="s">
        <v>530</v>
      </c>
      <c r="C123" s="14" t="s">
        <v>1319</v>
      </c>
      <c r="D123" s="6" t="s">
        <v>460</v>
      </c>
      <c r="E123" s="6" t="s">
        <v>29</v>
      </c>
      <c r="F123" s="6" t="s">
        <v>15</v>
      </c>
      <c r="G123" s="6" t="s">
        <v>279</v>
      </c>
      <c r="H123" s="6" t="s">
        <v>15</v>
      </c>
      <c r="I123" s="6" t="s">
        <v>376</v>
      </c>
      <c r="J123" s="6" t="s">
        <v>15</v>
      </c>
      <c r="K123" s="6" t="s">
        <v>531</v>
      </c>
      <c r="L123" s="7">
        <v>25500000</v>
      </c>
      <c r="M123" s="7">
        <v>5770000</v>
      </c>
      <c r="N123" s="11">
        <f t="shared" si="4"/>
        <v>31270000</v>
      </c>
      <c r="O123" s="6" t="s">
        <v>215</v>
      </c>
      <c r="P123" s="30" t="s">
        <v>23</v>
      </c>
      <c r="Q123" s="12"/>
      <c r="R123" s="10"/>
      <c r="S123" s="17"/>
    </row>
    <row r="124" spans="1:20">
      <c r="A124" s="8" t="s">
        <v>442</v>
      </c>
      <c r="B124" s="6" t="s">
        <v>540</v>
      </c>
      <c r="C124" s="14" t="s">
        <v>1322</v>
      </c>
      <c r="D124" s="6" t="s">
        <v>443</v>
      </c>
      <c r="E124" s="6" t="s">
        <v>446</v>
      </c>
      <c r="F124" s="6" t="s">
        <v>39</v>
      </c>
      <c r="G124" s="6" t="s">
        <v>541</v>
      </c>
      <c r="H124" s="6" t="s">
        <v>15</v>
      </c>
      <c r="I124" s="6" t="s">
        <v>404</v>
      </c>
      <c r="J124" s="6" t="s">
        <v>15</v>
      </c>
      <c r="K124" s="6" t="s">
        <v>518</v>
      </c>
      <c r="L124" s="7">
        <v>0</v>
      </c>
      <c r="M124" s="7">
        <v>19028000</v>
      </c>
      <c r="N124" s="11">
        <f t="shared" si="4"/>
        <v>19028000</v>
      </c>
      <c r="O124" s="6" t="s">
        <v>215</v>
      </c>
      <c r="P124" s="30" t="s">
        <v>23</v>
      </c>
      <c r="Q124" s="12"/>
      <c r="R124" s="10"/>
      <c r="S124" s="17"/>
    </row>
    <row r="125" spans="1:20">
      <c r="A125" s="8" t="s">
        <v>442</v>
      </c>
      <c r="B125" s="6" t="s">
        <v>983</v>
      </c>
      <c r="C125" s="14" t="s">
        <v>1202</v>
      </c>
      <c r="D125" s="6" t="s">
        <v>443</v>
      </c>
      <c r="E125" s="6" t="s">
        <v>408</v>
      </c>
      <c r="F125" s="6" t="s">
        <v>15</v>
      </c>
      <c r="G125" s="6" t="s">
        <v>176</v>
      </c>
      <c r="H125" s="6" t="s">
        <v>15</v>
      </c>
      <c r="I125" s="6" t="s">
        <v>516</v>
      </c>
      <c r="J125" s="6" t="s">
        <v>15</v>
      </c>
      <c r="K125" s="6" t="s">
        <v>984</v>
      </c>
      <c r="L125" s="7">
        <v>5500000</v>
      </c>
      <c r="M125" s="7">
        <v>42400000</v>
      </c>
      <c r="N125" s="11">
        <f t="shared" si="4"/>
        <v>47900000</v>
      </c>
      <c r="O125" s="6" t="s">
        <v>215</v>
      </c>
      <c r="P125" s="30" t="s">
        <v>23</v>
      </c>
      <c r="Q125" s="12"/>
      <c r="R125" s="10"/>
      <c r="S125" s="17"/>
    </row>
    <row r="126" spans="1:20">
      <c r="A126" s="8" t="s">
        <v>442</v>
      </c>
      <c r="B126" s="6" t="s">
        <v>544</v>
      </c>
      <c r="C126" s="14" t="s">
        <v>1203</v>
      </c>
      <c r="D126" s="6" t="s">
        <v>465</v>
      </c>
      <c r="E126" s="6" t="s">
        <v>470</v>
      </c>
      <c r="F126" s="6" t="s">
        <v>15</v>
      </c>
      <c r="G126" s="6" t="s">
        <v>71</v>
      </c>
      <c r="H126" s="6" t="s">
        <v>15</v>
      </c>
      <c r="I126" s="6" t="s">
        <v>183</v>
      </c>
      <c r="J126" s="6" t="s">
        <v>15</v>
      </c>
      <c r="K126" s="6" t="s">
        <v>545</v>
      </c>
      <c r="L126" s="7">
        <v>1200000</v>
      </c>
      <c r="M126" s="7">
        <v>64190000</v>
      </c>
      <c r="N126" s="11">
        <f t="shared" si="4"/>
        <v>65390000</v>
      </c>
      <c r="O126" s="6" t="s">
        <v>215</v>
      </c>
      <c r="P126" s="30" t="s">
        <v>23</v>
      </c>
      <c r="Q126" s="12" t="s">
        <v>1530</v>
      </c>
      <c r="R126" s="12" t="s">
        <v>1530</v>
      </c>
      <c r="S126" s="17"/>
    </row>
    <row r="127" spans="1:20">
      <c r="A127" s="8" t="s">
        <v>442</v>
      </c>
      <c r="B127" s="6" t="s">
        <v>561</v>
      </c>
      <c r="C127" s="14" t="s">
        <v>1204</v>
      </c>
      <c r="D127" s="6" t="s">
        <v>443</v>
      </c>
      <c r="E127" s="6" t="s">
        <v>323</v>
      </c>
      <c r="F127" s="6" t="s">
        <v>15</v>
      </c>
      <c r="G127" s="6" t="s">
        <v>52</v>
      </c>
      <c r="H127" s="6" t="s">
        <v>15</v>
      </c>
      <c r="I127" s="6" t="s">
        <v>241</v>
      </c>
      <c r="J127" s="6" t="s">
        <v>15</v>
      </c>
      <c r="K127" s="6" t="s">
        <v>562</v>
      </c>
      <c r="L127" s="7">
        <v>0</v>
      </c>
      <c r="M127" s="7">
        <v>10034000</v>
      </c>
      <c r="N127" s="11">
        <f t="shared" si="4"/>
        <v>10034000</v>
      </c>
      <c r="O127" s="6" t="s">
        <v>215</v>
      </c>
      <c r="P127" s="30" t="s">
        <v>23</v>
      </c>
      <c r="Q127" s="12"/>
      <c r="R127" s="10"/>
      <c r="S127" s="17"/>
    </row>
    <row r="128" spans="1:20">
      <c r="A128" s="8" t="s">
        <v>442</v>
      </c>
      <c r="B128" s="6" t="s">
        <v>563</v>
      </c>
      <c r="C128" s="14" t="s">
        <v>1205</v>
      </c>
      <c r="D128" s="6" t="s">
        <v>443</v>
      </c>
      <c r="E128" s="6" t="s">
        <v>323</v>
      </c>
      <c r="F128" s="6" t="s">
        <v>15</v>
      </c>
      <c r="G128" s="6" t="s">
        <v>52</v>
      </c>
      <c r="H128" s="6" t="s">
        <v>15</v>
      </c>
      <c r="I128" s="6" t="s">
        <v>241</v>
      </c>
      <c r="J128" s="6" t="s">
        <v>15</v>
      </c>
      <c r="K128" s="6" t="s">
        <v>564</v>
      </c>
      <c r="L128" s="7">
        <v>0</v>
      </c>
      <c r="M128" s="7">
        <v>9946000</v>
      </c>
      <c r="N128" s="11">
        <f t="shared" si="4"/>
        <v>9946000</v>
      </c>
      <c r="O128" s="6" t="s">
        <v>215</v>
      </c>
      <c r="P128" s="30" t="s">
        <v>23</v>
      </c>
      <c r="Q128" s="12"/>
      <c r="R128" s="12" t="s">
        <v>1530</v>
      </c>
      <c r="S128" s="17"/>
    </row>
    <row r="129" spans="1:20">
      <c r="A129" s="8" t="s">
        <v>442</v>
      </c>
      <c r="B129" s="6" t="s">
        <v>567</v>
      </c>
      <c r="C129" s="14" t="s">
        <v>1333</v>
      </c>
      <c r="D129" s="6" t="s">
        <v>443</v>
      </c>
      <c r="E129" s="6" t="s">
        <v>470</v>
      </c>
      <c r="F129" s="6" t="s">
        <v>15</v>
      </c>
      <c r="G129" s="6" t="s">
        <v>568</v>
      </c>
      <c r="H129" s="6" t="s">
        <v>15</v>
      </c>
      <c r="I129" s="6" t="s">
        <v>182</v>
      </c>
      <c r="J129" s="6" t="s">
        <v>15</v>
      </c>
      <c r="K129" s="6" t="s">
        <v>569</v>
      </c>
      <c r="L129" s="7">
        <v>25834000</v>
      </c>
      <c r="M129" s="7">
        <v>39760000</v>
      </c>
      <c r="N129" s="11">
        <f t="shared" si="4"/>
        <v>65594000</v>
      </c>
      <c r="O129" s="6" t="s">
        <v>215</v>
      </c>
      <c r="P129" s="30" t="s">
        <v>23</v>
      </c>
      <c r="Q129" s="12"/>
      <c r="R129" s="10"/>
      <c r="S129" s="17"/>
    </row>
    <row r="130" spans="1:20">
      <c r="A130" s="8" t="s">
        <v>442</v>
      </c>
      <c r="B130" s="6" t="s">
        <v>588</v>
      </c>
      <c r="C130" s="14" t="s">
        <v>1207</v>
      </c>
      <c r="D130" s="6" t="s">
        <v>465</v>
      </c>
      <c r="E130" s="6" t="s">
        <v>29</v>
      </c>
      <c r="F130" s="6" t="s">
        <v>15</v>
      </c>
      <c r="G130" s="6" t="s">
        <v>115</v>
      </c>
      <c r="H130" s="6" t="s">
        <v>15</v>
      </c>
      <c r="I130" s="6" t="s">
        <v>115</v>
      </c>
      <c r="J130" s="6" t="s">
        <v>15</v>
      </c>
      <c r="K130" s="6" t="s">
        <v>518</v>
      </c>
      <c r="L130" s="7">
        <v>2200000</v>
      </c>
      <c r="M130" s="7">
        <v>71650000</v>
      </c>
      <c r="N130" s="11">
        <f t="shared" si="4"/>
        <v>73850000</v>
      </c>
      <c r="O130" s="6" t="s">
        <v>215</v>
      </c>
      <c r="P130" s="30" t="s">
        <v>23</v>
      </c>
      <c r="Q130" s="12" t="s">
        <v>1530</v>
      </c>
      <c r="R130" s="12" t="s">
        <v>1530</v>
      </c>
      <c r="S130" s="17"/>
    </row>
    <row r="131" spans="1:20">
      <c r="A131" s="12" t="s">
        <v>442</v>
      </c>
      <c r="B131" s="10" t="s">
        <v>444</v>
      </c>
      <c r="C131" s="14" t="s">
        <v>1291</v>
      </c>
      <c r="D131" s="10" t="s">
        <v>445</v>
      </c>
      <c r="E131" s="10" t="s">
        <v>446</v>
      </c>
      <c r="F131" s="10" t="s">
        <v>15</v>
      </c>
      <c r="G131" s="10" t="s">
        <v>360</v>
      </c>
      <c r="H131" s="10" t="s">
        <v>15</v>
      </c>
      <c r="I131" s="10" t="s">
        <v>421</v>
      </c>
      <c r="J131" s="10" t="s">
        <v>15</v>
      </c>
      <c r="K131" s="10" t="s">
        <v>447</v>
      </c>
      <c r="L131" s="11">
        <v>3300000</v>
      </c>
      <c r="M131" s="11">
        <v>200000</v>
      </c>
      <c r="N131" s="11">
        <f t="shared" si="4"/>
        <v>3500000</v>
      </c>
      <c r="O131" s="10" t="s">
        <v>22</v>
      </c>
      <c r="P131" s="28" t="s">
        <v>25</v>
      </c>
      <c r="Q131" s="12"/>
      <c r="R131" s="10"/>
      <c r="S131" s="17"/>
      <c r="T131" s="9"/>
    </row>
    <row r="132" spans="1:20">
      <c r="A132" s="12" t="s">
        <v>442</v>
      </c>
      <c r="B132" s="10" t="s">
        <v>458</v>
      </c>
      <c r="C132" s="14" t="s">
        <v>1293</v>
      </c>
      <c r="D132" s="10" t="s">
        <v>451</v>
      </c>
      <c r="E132" s="10" t="s">
        <v>323</v>
      </c>
      <c r="F132" s="10" t="s">
        <v>15</v>
      </c>
      <c r="G132" s="10" t="s">
        <v>90</v>
      </c>
      <c r="H132" s="10" t="s">
        <v>15</v>
      </c>
      <c r="I132" s="10" t="s">
        <v>455</v>
      </c>
      <c r="J132" s="10" t="s">
        <v>15</v>
      </c>
      <c r="K132" s="10" t="s">
        <v>459</v>
      </c>
      <c r="L132" s="11">
        <v>35665000</v>
      </c>
      <c r="M132" s="11">
        <v>22819000</v>
      </c>
      <c r="N132" s="11">
        <f t="shared" si="4"/>
        <v>58484000</v>
      </c>
      <c r="O132" s="10" t="s">
        <v>22</v>
      </c>
      <c r="P132" s="28" t="s">
        <v>25</v>
      </c>
      <c r="Q132" s="12"/>
      <c r="R132" s="10"/>
      <c r="S132" s="17"/>
      <c r="T132" s="9"/>
    </row>
    <row r="133" spans="1:20">
      <c r="A133" s="12" t="s">
        <v>442</v>
      </c>
      <c r="B133" s="10" t="s">
        <v>462</v>
      </c>
      <c r="C133" s="14" t="s">
        <v>1294</v>
      </c>
      <c r="D133" s="10" t="s">
        <v>450</v>
      </c>
      <c r="E133" s="10" t="s">
        <v>323</v>
      </c>
      <c r="F133" s="10" t="s">
        <v>39</v>
      </c>
      <c r="G133" s="10" t="s">
        <v>236</v>
      </c>
      <c r="H133" s="10" t="s">
        <v>39</v>
      </c>
      <c r="I133" s="10" t="s">
        <v>463</v>
      </c>
      <c r="J133" s="10" t="s">
        <v>15</v>
      </c>
      <c r="K133" s="10" t="s">
        <v>464</v>
      </c>
      <c r="L133" s="11">
        <v>3313000</v>
      </c>
      <c r="M133" s="11">
        <v>711000</v>
      </c>
      <c r="N133" s="11">
        <f t="shared" si="4"/>
        <v>4024000</v>
      </c>
      <c r="O133" s="10" t="s">
        <v>22</v>
      </c>
      <c r="P133" s="28" t="s">
        <v>25</v>
      </c>
      <c r="Q133" s="12"/>
      <c r="R133" s="10"/>
      <c r="S133" s="17"/>
      <c r="T133" s="9"/>
    </row>
    <row r="134" spans="1:20">
      <c r="A134" s="12" t="s">
        <v>442</v>
      </c>
      <c r="B134" s="10" t="s">
        <v>1090</v>
      </c>
      <c r="C134" s="14" t="s">
        <v>1304</v>
      </c>
      <c r="D134" s="10" t="s">
        <v>443</v>
      </c>
      <c r="E134" s="10" t="s">
        <v>448</v>
      </c>
      <c r="F134" s="10" t="s">
        <v>15</v>
      </c>
      <c r="G134" s="10" t="s">
        <v>16</v>
      </c>
      <c r="H134" s="10" t="s">
        <v>15</v>
      </c>
      <c r="I134" s="10" t="s">
        <v>401</v>
      </c>
      <c r="J134" s="10" t="s">
        <v>15</v>
      </c>
      <c r="K134" s="10" t="s">
        <v>1091</v>
      </c>
      <c r="L134" s="11">
        <v>0</v>
      </c>
      <c r="M134" s="11">
        <v>28400000</v>
      </c>
      <c r="N134" s="11">
        <f t="shared" si="4"/>
        <v>28400000</v>
      </c>
      <c r="O134" s="10" t="s">
        <v>22</v>
      </c>
      <c r="P134" s="28" t="s">
        <v>25</v>
      </c>
      <c r="Q134" s="12"/>
      <c r="R134" s="10"/>
      <c r="S134" s="17"/>
      <c r="T134" s="9"/>
    </row>
    <row r="135" spans="1:20">
      <c r="A135" s="12" t="s">
        <v>442</v>
      </c>
      <c r="B135" s="10" t="s">
        <v>513</v>
      </c>
      <c r="C135" s="14" t="s">
        <v>1313</v>
      </c>
      <c r="D135" s="10" t="s">
        <v>451</v>
      </c>
      <c r="E135" s="10" t="s">
        <v>323</v>
      </c>
      <c r="F135" s="10" t="s">
        <v>15</v>
      </c>
      <c r="G135" s="10" t="s">
        <v>46</v>
      </c>
      <c r="H135" s="10" t="s">
        <v>15</v>
      </c>
      <c r="I135" s="10" t="s">
        <v>407</v>
      </c>
      <c r="J135" s="10" t="s">
        <v>15</v>
      </c>
      <c r="K135" s="10" t="s">
        <v>514</v>
      </c>
      <c r="L135" s="11">
        <v>100000</v>
      </c>
      <c r="M135" s="11">
        <v>2100000</v>
      </c>
      <c r="N135" s="11">
        <f t="shared" si="4"/>
        <v>2200000</v>
      </c>
      <c r="O135" s="10" t="s">
        <v>22</v>
      </c>
      <c r="P135" s="28" t="s">
        <v>25</v>
      </c>
      <c r="Q135" s="12"/>
      <c r="R135" s="10"/>
      <c r="S135" s="17"/>
      <c r="T135" s="9"/>
    </row>
    <row r="136" spans="1:20">
      <c r="A136" s="8" t="s">
        <v>442</v>
      </c>
      <c r="B136" s="6" t="s">
        <v>524</v>
      </c>
      <c r="C136" s="14" t="s">
        <v>1318</v>
      </c>
      <c r="D136" s="6" t="s">
        <v>460</v>
      </c>
      <c r="E136" s="6" t="s">
        <v>29</v>
      </c>
      <c r="F136" s="6" t="s">
        <v>15</v>
      </c>
      <c r="G136" s="6" t="s">
        <v>525</v>
      </c>
      <c r="H136" s="6" t="s">
        <v>15</v>
      </c>
      <c r="I136" s="6" t="s">
        <v>525</v>
      </c>
      <c r="J136" s="6" t="s">
        <v>15</v>
      </c>
      <c r="K136" s="6" t="s">
        <v>526</v>
      </c>
      <c r="L136" s="7">
        <v>0</v>
      </c>
      <c r="M136" s="7">
        <v>2700000</v>
      </c>
      <c r="N136" s="11">
        <f t="shared" si="4"/>
        <v>2700000</v>
      </c>
      <c r="O136" s="6" t="s">
        <v>22</v>
      </c>
      <c r="P136" s="30" t="s">
        <v>25</v>
      </c>
      <c r="Q136" s="12"/>
      <c r="R136" s="10"/>
      <c r="S136" s="17"/>
    </row>
    <row r="137" spans="1:20">
      <c r="A137" s="8" t="s">
        <v>442</v>
      </c>
      <c r="B137" s="6" t="s">
        <v>985</v>
      </c>
      <c r="C137" s="14" t="s">
        <v>1327</v>
      </c>
      <c r="D137" s="6" t="s">
        <v>443</v>
      </c>
      <c r="E137" s="6" t="s">
        <v>454</v>
      </c>
      <c r="F137" s="6" t="s">
        <v>15</v>
      </c>
      <c r="G137" s="6" t="s">
        <v>437</v>
      </c>
      <c r="H137" s="6" t="s">
        <v>15</v>
      </c>
      <c r="I137" s="6" t="s">
        <v>357</v>
      </c>
      <c r="J137" s="6" t="s">
        <v>15</v>
      </c>
      <c r="K137" s="6" t="s">
        <v>986</v>
      </c>
      <c r="L137" s="7">
        <v>0</v>
      </c>
      <c r="M137" s="7">
        <v>2520000</v>
      </c>
      <c r="N137" s="11">
        <f t="shared" si="4"/>
        <v>2520000</v>
      </c>
      <c r="O137" s="6" t="s">
        <v>22</v>
      </c>
      <c r="P137" s="30" t="s">
        <v>25</v>
      </c>
      <c r="Q137" s="12"/>
      <c r="R137" s="10"/>
      <c r="S137" s="17"/>
    </row>
    <row r="138" spans="1:20">
      <c r="A138" s="8" t="s">
        <v>442</v>
      </c>
      <c r="B138" s="6" t="s">
        <v>1106</v>
      </c>
      <c r="C138" s="14" t="s">
        <v>1328</v>
      </c>
      <c r="D138" s="6" t="s">
        <v>451</v>
      </c>
      <c r="E138" s="6" t="s">
        <v>323</v>
      </c>
      <c r="F138" s="6" t="s">
        <v>15</v>
      </c>
      <c r="G138" s="6" t="s">
        <v>407</v>
      </c>
      <c r="H138" s="6" t="s">
        <v>15</v>
      </c>
      <c r="I138" s="6" t="s">
        <v>156</v>
      </c>
      <c r="J138" s="6" t="s">
        <v>15</v>
      </c>
      <c r="K138" s="6" t="s">
        <v>1107</v>
      </c>
      <c r="L138" s="7">
        <v>800000</v>
      </c>
      <c r="M138" s="7">
        <v>0</v>
      </c>
      <c r="N138" s="11">
        <f t="shared" si="4"/>
        <v>800000</v>
      </c>
      <c r="O138" s="6" t="s">
        <v>22</v>
      </c>
      <c r="P138" s="30" t="s">
        <v>25</v>
      </c>
      <c r="Q138" s="12"/>
      <c r="R138" s="10"/>
      <c r="S138" s="17"/>
    </row>
    <row r="139" spans="1:20">
      <c r="A139" s="8" t="s">
        <v>442</v>
      </c>
      <c r="B139" s="6" t="s">
        <v>597</v>
      </c>
      <c r="C139" s="14" t="s">
        <v>1344</v>
      </c>
      <c r="D139" s="6" t="s">
        <v>465</v>
      </c>
      <c r="E139" s="6" t="s">
        <v>471</v>
      </c>
      <c r="F139" s="6" t="s">
        <v>15</v>
      </c>
      <c r="G139" s="6" t="s">
        <v>49</v>
      </c>
      <c r="H139" s="6" t="s">
        <v>15</v>
      </c>
      <c r="I139" s="6" t="s">
        <v>16</v>
      </c>
      <c r="J139" s="6" t="s">
        <v>15</v>
      </c>
      <c r="K139" s="6" t="s">
        <v>579</v>
      </c>
      <c r="L139" s="7">
        <v>0</v>
      </c>
      <c r="M139" s="7">
        <v>2648000</v>
      </c>
      <c r="N139" s="11">
        <f t="shared" si="4"/>
        <v>2648000</v>
      </c>
      <c r="O139" s="6" t="s">
        <v>22</v>
      </c>
      <c r="P139" s="30" t="s">
        <v>25</v>
      </c>
      <c r="Q139" s="12"/>
      <c r="R139" s="10"/>
      <c r="S139" s="17"/>
    </row>
    <row r="140" spans="1:20">
      <c r="A140" s="12" t="s">
        <v>442</v>
      </c>
      <c r="B140" s="10" t="s">
        <v>492</v>
      </c>
      <c r="C140" s="14" t="s">
        <v>1302</v>
      </c>
      <c r="D140" s="10" t="s">
        <v>453</v>
      </c>
      <c r="E140" s="10" t="s">
        <v>27</v>
      </c>
      <c r="F140" s="10" t="s">
        <v>15</v>
      </c>
      <c r="G140" s="10" t="s">
        <v>147</v>
      </c>
      <c r="H140" s="10" t="s">
        <v>15</v>
      </c>
      <c r="I140" s="10" t="s">
        <v>162</v>
      </c>
      <c r="J140" s="10" t="s">
        <v>15</v>
      </c>
      <c r="K140" s="10" t="s">
        <v>493</v>
      </c>
      <c r="L140" s="11">
        <v>0</v>
      </c>
      <c r="M140" s="11">
        <v>1163000</v>
      </c>
      <c r="N140" s="11">
        <f t="shared" si="4"/>
        <v>1163000</v>
      </c>
      <c r="O140" s="10" t="s">
        <v>24</v>
      </c>
      <c r="P140" s="28" t="s">
        <v>25</v>
      </c>
      <c r="Q140" s="12"/>
      <c r="R140" s="10"/>
      <c r="S140" s="17"/>
      <c r="T140" s="9"/>
    </row>
    <row r="141" spans="1:20">
      <c r="A141" s="12" t="s">
        <v>442</v>
      </c>
      <c r="B141" s="10" t="s">
        <v>1092</v>
      </c>
      <c r="C141" s="14" t="s">
        <v>1306</v>
      </c>
      <c r="D141" s="10" t="s">
        <v>465</v>
      </c>
      <c r="E141" s="10" t="s">
        <v>29</v>
      </c>
      <c r="F141" s="10" t="s">
        <v>15</v>
      </c>
      <c r="G141" s="10" t="s">
        <v>16</v>
      </c>
      <c r="H141" s="10" t="s">
        <v>15</v>
      </c>
      <c r="I141" s="10" t="s">
        <v>491</v>
      </c>
      <c r="J141" s="10" t="s">
        <v>15</v>
      </c>
      <c r="K141" s="10" t="s">
        <v>1093</v>
      </c>
      <c r="L141" s="11">
        <v>0</v>
      </c>
      <c r="M141" s="11">
        <v>20100000</v>
      </c>
      <c r="N141" s="11">
        <f t="shared" si="4"/>
        <v>20100000</v>
      </c>
      <c r="O141" s="10" t="s">
        <v>24</v>
      </c>
      <c r="P141" s="28" t="s">
        <v>25</v>
      </c>
      <c r="Q141" s="12"/>
      <c r="R141" s="10"/>
      <c r="S141" s="17"/>
      <c r="T141" s="9"/>
    </row>
    <row r="142" spans="1:20">
      <c r="A142" s="12" t="s">
        <v>442</v>
      </c>
      <c r="B142" s="10" t="s">
        <v>975</v>
      </c>
      <c r="C142" s="14" t="s">
        <v>1310</v>
      </c>
      <c r="D142" s="10" t="s">
        <v>465</v>
      </c>
      <c r="E142" s="10" t="s">
        <v>471</v>
      </c>
      <c r="F142" s="10" t="s">
        <v>15</v>
      </c>
      <c r="G142" s="10" t="s">
        <v>16</v>
      </c>
      <c r="H142" s="10" t="s">
        <v>15</v>
      </c>
      <c r="I142" s="10" t="s">
        <v>355</v>
      </c>
      <c r="J142" s="10" t="s">
        <v>15</v>
      </c>
      <c r="K142" s="10" t="s">
        <v>125</v>
      </c>
      <c r="L142" s="11">
        <v>0</v>
      </c>
      <c r="M142" s="11">
        <v>3500000</v>
      </c>
      <c r="N142" s="11">
        <f t="shared" si="4"/>
        <v>3500000</v>
      </c>
      <c r="O142" s="10" t="s">
        <v>24</v>
      </c>
      <c r="P142" s="28" t="s">
        <v>25</v>
      </c>
      <c r="Q142" s="12"/>
      <c r="R142" s="10"/>
      <c r="S142" s="17"/>
      <c r="T142" s="9"/>
    </row>
    <row r="143" spans="1:20">
      <c r="A143" s="8" t="s">
        <v>442</v>
      </c>
      <c r="B143" s="6" t="s">
        <v>532</v>
      </c>
      <c r="C143" s="14" t="s">
        <v>1320</v>
      </c>
      <c r="D143" s="6" t="s">
        <v>477</v>
      </c>
      <c r="E143" s="6" t="s">
        <v>461</v>
      </c>
      <c r="F143" s="6" t="s">
        <v>15</v>
      </c>
      <c r="G143" s="6" t="s">
        <v>51</v>
      </c>
      <c r="H143" s="6" t="s">
        <v>15</v>
      </c>
      <c r="I143" s="6" t="s">
        <v>349</v>
      </c>
      <c r="J143" s="6" t="s">
        <v>15</v>
      </c>
      <c r="K143" s="6" t="s">
        <v>533</v>
      </c>
      <c r="L143" s="7">
        <v>0</v>
      </c>
      <c r="M143" s="7">
        <v>710000</v>
      </c>
      <c r="N143" s="11">
        <f t="shared" ref="N143:N148" si="5">SUM(L143:M143)</f>
        <v>710000</v>
      </c>
      <c r="O143" s="6" t="s">
        <v>24</v>
      </c>
      <c r="P143" s="30" t="s">
        <v>25</v>
      </c>
      <c r="Q143" s="12"/>
      <c r="R143" s="10"/>
      <c r="S143" s="17"/>
    </row>
    <row r="144" spans="1:20">
      <c r="A144" s="8" t="s">
        <v>442</v>
      </c>
      <c r="B144" s="6" t="s">
        <v>546</v>
      </c>
      <c r="C144" s="14" t="s">
        <v>1324</v>
      </c>
      <c r="D144" s="6" t="s">
        <v>477</v>
      </c>
      <c r="E144" s="6" t="s">
        <v>481</v>
      </c>
      <c r="F144" s="6" t="s">
        <v>15</v>
      </c>
      <c r="G144" s="6" t="s">
        <v>405</v>
      </c>
      <c r="H144" s="6" t="s">
        <v>15</v>
      </c>
      <c r="I144" s="6" t="s">
        <v>16</v>
      </c>
      <c r="J144" s="6" t="s">
        <v>15</v>
      </c>
      <c r="K144" s="6" t="s">
        <v>58</v>
      </c>
      <c r="L144" s="7">
        <v>723000</v>
      </c>
      <c r="M144" s="7">
        <v>4168000</v>
      </c>
      <c r="N144" s="11">
        <f t="shared" si="5"/>
        <v>4891000</v>
      </c>
      <c r="O144" s="6" t="s">
        <v>24</v>
      </c>
      <c r="P144" s="30" t="s">
        <v>25</v>
      </c>
      <c r="Q144" s="12"/>
      <c r="R144" s="10"/>
      <c r="S144" s="17"/>
    </row>
    <row r="145" spans="1:19">
      <c r="A145" s="8" t="s">
        <v>442</v>
      </c>
      <c r="B145" s="6" t="s">
        <v>565</v>
      </c>
      <c r="C145" s="14" t="s">
        <v>1332</v>
      </c>
      <c r="D145" s="6" t="s">
        <v>445</v>
      </c>
      <c r="E145" s="6" t="s">
        <v>448</v>
      </c>
      <c r="F145" s="6" t="s">
        <v>15</v>
      </c>
      <c r="G145" s="6" t="s">
        <v>566</v>
      </c>
      <c r="H145" s="6" t="s">
        <v>15</v>
      </c>
      <c r="I145" s="6" t="s">
        <v>115</v>
      </c>
      <c r="J145" s="6" t="s">
        <v>15</v>
      </c>
      <c r="K145" s="6" t="s">
        <v>268</v>
      </c>
      <c r="L145" s="7">
        <v>10230000</v>
      </c>
      <c r="M145" s="7">
        <v>4460000</v>
      </c>
      <c r="N145" s="11">
        <f t="shared" si="5"/>
        <v>14690000</v>
      </c>
      <c r="O145" s="6" t="s">
        <v>24</v>
      </c>
      <c r="P145" s="30" t="s">
        <v>25</v>
      </c>
      <c r="Q145" s="12"/>
      <c r="R145" s="10"/>
      <c r="S145" s="17"/>
    </row>
    <row r="146" spans="1:19">
      <c r="A146" s="8" t="s">
        <v>442</v>
      </c>
      <c r="B146" s="6" t="s">
        <v>585</v>
      </c>
      <c r="C146" s="14" t="s">
        <v>1339</v>
      </c>
      <c r="D146" s="6" t="s">
        <v>443</v>
      </c>
      <c r="E146" s="6" t="s">
        <v>446</v>
      </c>
      <c r="F146" s="6" t="s">
        <v>15</v>
      </c>
      <c r="G146" s="6" t="s">
        <v>115</v>
      </c>
      <c r="H146" s="6" t="s">
        <v>15</v>
      </c>
      <c r="I146" s="6" t="s">
        <v>115</v>
      </c>
      <c r="J146" s="6" t="s">
        <v>15</v>
      </c>
      <c r="K146" s="6" t="s">
        <v>584</v>
      </c>
      <c r="L146" s="7">
        <v>3429000</v>
      </c>
      <c r="M146" s="7">
        <v>0</v>
      </c>
      <c r="N146" s="11">
        <f t="shared" si="5"/>
        <v>3429000</v>
      </c>
      <c r="O146" s="6" t="s">
        <v>24</v>
      </c>
      <c r="P146" s="30" t="s">
        <v>25</v>
      </c>
      <c r="Q146" s="12"/>
      <c r="R146" s="10"/>
      <c r="S146" s="17"/>
    </row>
    <row r="147" spans="1:19">
      <c r="A147" s="8" t="s">
        <v>442</v>
      </c>
      <c r="B147" s="6" t="s">
        <v>589</v>
      </c>
      <c r="C147" s="14" t="s">
        <v>1341</v>
      </c>
      <c r="D147" s="6" t="s">
        <v>451</v>
      </c>
      <c r="E147" s="6" t="s">
        <v>479</v>
      </c>
      <c r="F147" s="6" t="s">
        <v>39</v>
      </c>
      <c r="G147" s="6" t="s">
        <v>326</v>
      </c>
      <c r="H147" s="6" t="s">
        <v>39</v>
      </c>
      <c r="I147" s="6" t="s">
        <v>360</v>
      </c>
      <c r="J147" s="6" t="s">
        <v>15</v>
      </c>
      <c r="K147" s="6" t="s">
        <v>590</v>
      </c>
      <c r="L147" s="7">
        <v>1412000</v>
      </c>
      <c r="M147" s="7">
        <v>7592000</v>
      </c>
      <c r="N147" s="11">
        <f t="shared" si="5"/>
        <v>9004000</v>
      </c>
      <c r="O147" s="6" t="s">
        <v>24</v>
      </c>
      <c r="P147" s="30" t="s">
        <v>25</v>
      </c>
      <c r="Q147" s="12"/>
      <c r="R147" s="10"/>
      <c r="S147" s="17"/>
    </row>
    <row r="148" spans="1:19">
      <c r="A148" s="8" t="s">
        <v>442</v>
      </c>
      <c r="B148" s="6" t="s">
        <v>604</v>
      </c>
      <c r="C148" s="14" t="s">
        <v>1348</v>
      </c>
      <c r="D148" s="6" t="s">
        <v>475</v>
      </c>
      <c r="E148" s="6" t="s">
        <v>27</v>
      </c>
      <c r="F148" s="6" t="s">
        <v>15</v>
      </c>
      <c r="G148" s="6" t="s">
        <v>44</v>
      </c>
      <c r="H148" s="6" t="s">
        <v>15</v>
      </c>
      <c r="I148" s="6" t="s">
        <v>16</v>
      </c>
      <c r="J148" s="6" t="s">
        <v>15</v>
      </c>
      <c r="K148" s="6" t="s">
        <v>605</v>
      </c>
      <c r="L148" s="7">
        <v>1250000</v>
      </c>
      <c r="M148" s="7">
        <v>920000</v>
      </c>
      <c r="N148" s="11">
        <f t="shared" si="5"/>
        <v>2170000</v>
      </c>
      <c r="O148" s="6" t="s">
        <v>24</v>
      </c>
      <c r="P148" s="30" t="s">
        <v>25</v>
      </c>
      <c r="Q148" s="12"/>
      <c r="R148" s="10"/>
      <c r="S148" s="17"/>
    </row>
    <row r="149" spans="1:19" ht="15">
      <c r="A149" s="43"/>
      <c r="B149" s="23"/>
      <c r="C149" s="19"/>
      <c r="D149" s="23"/>
      <c r="E149" s="23"/>
      <c r="F149" s="23"/>
      <c r="G149" s="23"/>
      <c r="H149" s="23"/>
      <c r="I149" s="23"/>
      <c r="J149" s="23"/>
      <c r="K149" s="20" t="s">
        <v>1539</v>
      </c>
      <c r="L149" s="24"/>
      <c r="M149" s="24"/>
      <c r="N149" s="22">
        <f>SUM(N79:N148)</f>
        <v>1081252000</v>
      </c>
      <c r="O149" s="23"/>
      <c r="P149" s="31"/>
      <c r="Q149" s="32"/>
      <c r="R149" s="19"/>
      <c r="S149" s="17"/>
    </row>
    <row r="150" spans="1:19">
      <c r="A150" s="8" t="s">
        <v>612</v>
      </c>
      <c r="B150" s="6" t="s">
        <v>633</v>
      </c>
      <c r="C150" s="14" t="s">
        <v>1208</v>
      </c>
      <c r="D150" s="6" t="s">
        <v>614</v>
      </c>
      <c r="E150" s="6" t="s">
        <v>29</v>
      </c>
      <c r="F150" s="6" t="s">
        <v>15</v>
      </c>
      <c r="G150" s="6" t="s">
        <v>512</v>
      </c>
      <c r="H150" s="6" t="s">
        <v>15</v>
      </c>
      <c r="I150" s="6" t="s">
        <v>104</v>
      </c>
      <c r="J150" s="6" t="s">
        <v>15</v>
      </c>
      <c r="K150" s="6" t="s">
        <v>634</v>
      </c>
      <c r="L150" s="7">
        <v>0</v>
      </c>
      <c r="M150" s="7">
        <v>897000</v>
      </c>
      <c r="N150" s="11">
        <f t="shared" ref="N150:N165" si="6">SUM(L150:M150)</f>
        <v>897000</v>
      </c>
      <c r="O150" s="6" t="s">
        <v>22</v>
      </c>
      <c r="P150" s="30" t="s">
        <v>23</v>
      </c>
      <c r="Q150" s="12" t="s">
        <v>1530</v>
      </c>
      <c r="R150" s="10"/>
      <c r="S150" s="17"/>
    </row>
    <row r="151" spans="1:19">
      <c r="A151" s="8" t="s">
        <v>612</v>
      </c>
      <c r="B151" s="6" t="s">
        <v>628</v>
      </c>
      <c r="C151" s="14" t="s">
        <v>1353</v>
      </c>
      <c r="D151" s="6" t="s">
        <v>617</v>
      </c>
      <c r="E151" s="6" t="s">
        <v>471</v>
      </c>
      <c r="F151" s="6" t="s">
        <v>15</v>
      </c>
      <c r="G151" s="6" t="s">
        <v>153</v>
      </c>
      <c r="H151" s="6" t="s">
        <v>15</v>
      </c>
      <c r="I151" s="6" t="s">
        <v>16</v>
      </c>
      <c r="J151" s="6" t="s">
        <v>15</v>
      </c>
      <c r="K151" s="6" t="s">
        <v>629</v>
      </c>
      <c r="L151" s="7">
        <v>612000</v>
      </c>
      <c r="M151" s="7">
        <v>756000</v>
      </c>
      <c r="N151" s="11">
        <f t="shared" si="6"/>
        <v>1368000</v>
      </c>
      <c r="O151" s="6" t="s">
        <v>34</v>
      </c>
      <c r="P151" s="30" t="s">
        <v>23</v>
      </c>
      <c r="Q151" s="12"/>
      <c r="R151" s="10"/>
      <c r="S151" s="17"/>
    </row>
    <row r="152" spans="1:19">
      <c r="A152" s="8" t="s">
        <v>612</v>
      </c>
      <c r="B152" s="6" t="s">
        <v>636</v>
      </c>
      <c r="C152" s="14" t="s">
        <v>1354</v>
      </c>
      <c r="D152" s="6" t="s">
        <v>617</v>
      </c>
      <c r="E152" s="6" t="s">
        <v>27</v>
      </c>
      <c r="F152" s="6" t="s">
        <v>15</v>
      </c>
      <c r="G152" s="6" t="s">
        <v>258</v>
      </c>
      <c r="H152" s="6" t="s">
        <v>15</v>
      </c>
      <c r="I152" s="6" t="s">
        <v>396</v>
      </c>
      <c r="J152" s="6" t="s">
        <v>15</v>
      </c>
      <c r="K152" s="6" t="s">
        <v>1098</v>
      </c>
      <c r="L152" s="7">
        <v>0</v>
      </c>
      <c r="M152" s="7">
        <v>2769000</v>
      </c>
      <c r="N152" s="11">
        <f t="shared" si="6"/>
        <v>2769000</v>
      </c>
      <c r="O152" s="6" t="s">
        <v>34</v>
      </c>
      <c r="P152" s="30" t="s">
        <v>23</v>
      </c>
      <c r="Q152" s="12"/>
      <c r="R152" s="10"/>
      <c r="S152" s="17"/>
    </row>
    <row r="153" spans="1:19">
      <c r="A153" s="8" t="s">
        <v>612</v>
      </c>
      <c r="B153" s="6" t="s">
        <v>506</v>
      </c>
      <c r="C153" s="14" t="s">
        <v>1362</v>
      </c>
      <c r="D153" s="6" t="s">
        <v>613</v>
      </c>
      <c r="E153" s="6" t="s">
        <v>27</v>
      </c>
      <c r="F153" s="6" t="s">
        <v>15</v>
      </c>
      <c r="G153" s="6" t="s">
        <v>16</v>
      </c>
      <c r="H153" s="6" t="s">
        <v>15</v>
      </c>
      <c r="I153" s="6" t="s">
        <v>16</v>
      </c>
      <c r="J153" s="6" t="s">
        <v>15</v>
      </c>
      <c r="K153" s="6" t="s">
        <v>1131</v>
      </c>
      <c r="L153" s="7">
        <v>0</v>
      </c>
      <c r="M153" s="7">
        <v>575000</v>
      </c>
      <c r="N153" s="11">
        <f t="shared" si="6"/>
        <v>575000</v>
      </c>
      <c r="O153" s="6" t="s">
        <v>34</v>
      </c>
      <c r="P153" s="30" t="s">
        <v>23</v>
      </c>
      <c r="Q153" s="12"/>
      <c r="R153" s="10"/>
      <c r="S153" s="17"/>
    </row>
    <row r="154" spans="1:19">
      <c r="A154" s="8" t="s">
        <v>612</v>
      </c>
      <c r="B154" s="6" t="s">
        <v>667</v>
      </c>
      <c r="C154" s="14" t="s">
        <v>1210</v>
      </c>
      <c r="D154" s="6" t="s">
        <v>615</v>
      </c>
      <c r="E154" s="6" t="s">
        <v>621</v>
      </c>
      <c r="F154" s="6" t="s">
        <v>15</v>
      </c>
      <c r="G154" s="6" t="s">
        <v>311</v>
      </c>
      <c r="H154" s="6" t="s">
        <v>15</v>
      </c>
      <c r="I154" s="6" t="s">
        <v>623</v>
      </c>
      <c r="J154" s="6" t="s">
        <v>15</v>
      </c>
      <c r="K154" s="6" t="s">
        <v>668</v>
      </c>
      <c r="L154" s="7">
        <v>0</v>
      </c>
      <c r="M154" s="7">
        <v>56000000</v>
      </c>
      <c r="N154" s="11">
        <f t="shared" si="6"/>
        <v>56000000</v>
      </c>
      <c r="O154" s="6" t="s">
        <v>34</v>
      </c>
      <c r="P154" s="30" t="s">
        <v>23</v>
      </c>
      <c r="Q154" s="12" t="s">
        <v>1530</v>
      </c>
      <c r="R154" s="10"/>
      <c r="S154" s="17"/>
    </row>
    <row r="155" spans="1:19">
      <c r="A155" s="8" t="s">
        <v>612</v>
      </c>
      <c r="B155" s="6" t="s">
        <v>643</v>
      </c>
      <c r="C155" s="14" t="s">
        <v>1356</v>
      </c>
      <c r="D155" s="6" t="s">
        <v>615</v>
      </c>
      <c r="E155" s="6" t="s">
        <v>27</v>
      </c>
      <c r="F155" s="6" t="s">
        <v>39</v>
      </c>
      <c r="G155" s="6" t="s">
        <v>644</v>
      </c>
      <c r="H155" s="6" t="s">
        <v>39</v>
      </c>
      <c r="I155" s="6" t="s">
        <v>354</v>
      </c>
      <c r="J155" s="6" t="s">
        <v>15</v>
      </c>
      <c r="K155" s="6" t="s">
        <v>645</v>
      </c>
      <c r="L155" s="7">
        <v>0</v>
      </c>
      <c r="M155" s="7">
        <v>2600000</v>
      </c>
      <c r="N155" s="11">
        <f t="shared" si="6"/>
        <v>2600000</v>
      </c>
      <c r="O155" s="6" t="s">
        <v>26</v>
      </c>
      <c r="P155" s="30" t="s">
        <v>23</v>
      </c>
      <c r="Q155" s="12"/>
      <c r="R155" s="10"/>
      <c r="S155" s="17"/>
    </row>
    <row r="156" spans="1:19">
      <c r="A156" s="8" t="s">
        <v>612</v>
      </c>
      <c r="B156" s="6" t="s">
        <v>651</v>
      </c>
      <c r="C156" s="14" t="s">
        <v>1358</v>
      </c>
      <c r="D156" s="6" t="s">
        <v>615</v>
      </c>
      <c r="E156" s="6" t="s">
        <v>29</v>
      </c>
      <c r="F156" s="6" t="s">
        <v>15</v>
      </c>
      <c r="G156" s="6" t="s">
        <v>407</v>
      </c>
      <c r="H156" s="6" t="s">
        <v>15</v>
      </c>
      <c r="I156" s="6" t="s">
        <v>235</v>
      </c>
      <c r="J156" s="6" t="s">
        <v>15</v>
      </c>
      <c r="K156" s="6" t="s">
        <v>298</v>
      </c>
      <c r="L156" s="7">
        <v>0</v>
      </c>
      <c r="M156" s="7">
        <v>4918000</v>
      </c>
      <c r="N156" s="11">
        <f t="shared" si="6"/>
        <v>4918000</v>
      </c>
      <c r="O156" s="6" t="s">
        <v>26</v>
      </c>
      <c r="P156" s="30" t="s">
        <v>23</v>
      </c>
      <c r="Q156" s="12"/>
      <c r="R156" s="10"/>
      <c r="S156" s="17"/>
    </row>
    <row r="157" spans="1:19">
      <c r="A157" s="8" t="s">
        <v>612</v>
      </c>
      <c r="B157" s="6" t="s">
        <v>652</v>
      </c>
      <c r="C157" s="14" t="s">
        <v>1359</v>
      </c>
      <c r="D157" s="6" t="s">
        <v>615</v>
      </c>
      <c r="E157" s="6" t="s">
        <v>29</v>
      </c>
      <c r="F157" s="6" t="s">
        <v>15</v>
      </c>
      <c r="G157" s="6" t="s">
        <v>653</v>
      </c>
      <c r="H157" s="6" t="s">
        <v>15</v>
      </c>
      <c r="I157" s="6" t="s">
        <v>654</v>
      </c>
      <c r="J157" s="6" t="s">
        <v>15</v>
      </c>
      <c r="K157" s="6" t="s">
        <v>298</v>
      </c>
      <c r="L157" s="7">
        <v>0</v>
      </c>
      <c r="M157" s="7">
        <v>2779000</v>
      </c>
      <c r="N157" s="11">
        <f t="shared" si="6"/>
        <v>2779000</v>
      </c>
      <c r="O157" s="6" t="s">
        <v>26</v>
      </c>
      <c r="P157" s="30" t="s">
        <v>23</v>
      </c>
      <c r="Q157" s="12"/>
      <c r="R157" s="10"/>
      <c r="S157" s="17"/>
    </row>
    <row r="158" spans="1:19">
      <c r="A158" s="8" t="s">
        <v>612</v>
      </c>
      <c r="B158" s="6" t="s">
        <v>656</v>
      </c>
      <c r="C158" s="14" t="s">
        <v>1360</v>
      </c>
      <c r="D158" s="6" t="s">
        <v>615</v>
      </c>
      <c r="E158" s="6" t="s">
        <v>616</v>
      </c>
      <c r="F158" s="6" t="s">
        <v>15</v>
      </c>
      <c r="G158" s="6" t="s">
        <v>657</v>
      </c>
      <c r="H158" s="6" t="s">
        <v>15</v>
      </c>
      <c r="I158" s="6" t="s">
        <v>167</v>
      </c>
      <c r="J158" s="6" t="s">
        <v>15</v>
      </c>
      <c r="K158" s="6" t="s">
        <v>658</v>
      </c>
      <c r="L158" s="7">
        <v>1203000</v>
      </c>
      <c r="M158" s="7">
        <v>1738000</v>
      </c>
      <c r="N158" s="11">
        <f t="shared" si="6"/>
        <v>2941000</v>
      </c>
      <c r="O158" s="6" t="s">
        <v>26</v>
      </c>
      <c r="P158" s="30" t="s">
        <v>23</v>
      </c>
      <c r="Q158" s="12"/>
      <c r="R158" s="10"/>
      <c r="S158" s="17"/>
    </row>
    <row r="159" spans="1:19">
      <c r="A159" s="8" t="s">
        <v>612</v>
      </c>
      <c r="B159" s="6" t="s">
        <v>660</v>
      </c>
      <c r="C159" s="14" t="s">
        <v>1361</v>
      </c>
      <c r="D159" s="6" t="s">
        <v>618</v>
      </c>
      <c r="E159" s="6" t="s">
        <v>592</v>
      </c>
      <c r="F159" s="6" t="s">
        <v>15</v>
      </c>
      <c r="G159" s="6" t="s">
        <v>16</v>
      </c>
      <c r="H159" s="6" t="s">
        <v>15</v>
      </c>
      <c r="I159" s="6" t="s">
        <v>16</v>
      </c>
      <c r="J159" s="6" t="s">
        <v>15</v>
      </c>
      <c r="K159" s="6" t="s">
        <v>659</v>
      </c>
      <c r="L159" s="7">
        <v>0</v>
      </c>
      <c r="M159" s="7">
        <v>795000</v>
      </c>
      <c r="N159" s="11">
        <f t="shared" si="6"/>
        <v>795000</v>
      </c>
      <c r="O159" s="6" t="s">
        <v>26</v>
      </c>
      <c r="P159" s="30" t="s">
        <v>23</v>
      </c>
      <c r="Q159" s="12"/>
      <c r="R159" s="10"/>
      <c r="S159" s="17"/>
    </row>
    <row r="160" spans="1:19">
      <c r="A160" s="8" t="s">
        <v>612</v>
      </c>
      <c r="B160" s="6" t="s">
        <v>663</v>
      </c>
      <c r="C160" s="14" t="s">
        <v>1209</v>
      </c>
      <c r="D160" s="6" t="s">
        <v>613</v>
      </c>
      <c r="E160" s="6" t="s">
        <v>29</v>
      </c>
      <c r="F160" s="6" t="s">
        <v>15</v>
      </c>
      <c r="G160" s="6" t="s">
        <v>664</v>
      </c>
      <c r="H160" s="6" t="s">
        <v>15</v>
      </c>
      <c r="I160" s="6" t="s">
        <v>642</v>
      </c>
      <c r="J160" s="6" t="s">
        <v>15</v>
      </c>
      <c r="K160" s="6" t="s">
        <v>665</v>
      </c>
      <c r="L160" s="7">
        <v>15140000</v>
      </c>
      <c r="M160" s="7">
        <v>31029000</v>
      </c>
      <c r="N160" s="11">
        <f t="shared" si="6"/>
        <v>46169000</v>
      </c>
      <c r="O160" s="6" t="s">
        <v>26</v>
      </c>
      <c r="P160" s="30" t="s">
        <v>23</v>
      </c>
      <c r="Q160" s="12"/>
      <c r="R160" s="12" t="s">
        <v>1530</v>
      </c>
      <c r="S160" s="17"/>
    </row>
    <row r="161" spans="1:19">
      <c r="A161" s="8" t="s">
        <v>612</v>
      </c>
      <c r="B161" s="6" t="s">
        <v>671</v>
      </c>
      <c r="C161" s="14" t="s">
        <v>1211</v>
      </c>
      <c r="D161" s="6" t="s">
        <v>614</v>
      </c>
      <c r="E161" s="6" t="s">
        <v>29</v>
      </c>
      <c r="F161" s="6" t="s">
        <v>15</v>
      </c>
      <c r="G161" s="6" t="s">
        <v>672</v>
      </c>
      <c r="H161" s="6" t="s">
        <v>15</v>
      </c>
      <c r="I161" s="6" t="s">
        <v>673</v>
      </c>
      <c r="J161" s="6" t="s">
        <v>15</v>
      </c>
      <c r="K161" s="6" t="s">
        <v>502</v>
      </c>
      <c r="L161" s="7">
        <v>2380000</v>
      </c>
      <c r="M161" s="7">
        <v>9817000</v>
      </c>
      <c r="N161" s="11">
        <f t="shared" si="6"/>
        <v>12197000</v>
      </c>
      <c r="O161" s="6" t="s">
        <v>26</v>
      </c>
      <c r="P161" s="30" t="s">
        <v>23</v>
      </c>
      <c r="Q161" s="12"/>
      <c r="R161" s="10"/>
      <c r="S161" s="17"/>
    </row>
    <row r="162" spans="1:19">
      <c r="A162" s="8" t="s">
        <v>612</v>
      </c>
      <c r="B162" s="6" t="s">
        <v>624</v>
      </c>
      <c r="C162" s="14" t="s">
        <v>1352</v>
      </c>
      <c r="D162" s="6" t="s">
        <v>614</v>
      </c>
      <c r="E162" s="6" t="s">
        <v>616</v>
      </c>
      <c r="F162" s="6" t="s">
        <v>15</v>
      </c>
      <c r="G162" s="6" t="s">
        <v>16</v>
      </c>
      <c r="H162" s="6" t="s">
        <v>15</v>
      </c>
      <c r="I162" s="6" t="s">
        <v>400</v>
      </c>
      <c r="J162" s="6" t="s">
        <v>15</v>
      </c>
      <c r="K162" s="6" t="s">
        <v>625</v>
      </c>
      <c r="L162" s="7">
        <v>0</v>
      </c>
      <c r="M162" s="7">
        <v>2365000</v>
      </c>
      <c r="N162" s="11">
        <f t="shared" si="6"/>
        <v>2365000</v>
      </c>
      <c r="O162" s="6" t="s">
        <v>22</v>
      </c>
      <c r="P162" s="30" t="s">
        <v>25</v>
      </c>
      <c r="Q162" s="12"/>
      <c r="R162" s="10"/>
      <c r="S162" s="17"/>
    </row>
    <row r="163" spans="1:19">
      <c r="A163" s="8" t="s">
        <v>612</v>
      </c>
      <c r="B163" s="6" t="s">
        <v>637</v>
      </c>
      <c r="C163" s="14" t="s">
        <v>1355</v>
      </c>
      <c r="D163" s="6" t="s">
        <v>617</v>
      </c>
      <c r="E163" s="6" t="s">
        <v>27</v>
      </c>
      <c r="F163" s="6" t="s">
        <v>15</v>
      </c>
      <c r="G163" s="6" t="s">
        <v>332</v>
      </c>
      <c r="H163" s="6" t="s">
        <v>15</v>
      </c>
      <c r="I163" s="6" t="s">
        <v>383</v>
      </c>
      <c r="J163" s="6" t="s">
        <v>15</v>
      </c>
      <c r="K163" s="6" t="s">
        <v>638</v>
      </c>
      <c r="L163" s="7">
        <v>80000</v>
      </c>
      <c r="M163" s="7">
        <v>2217000</v>
      </c>
      <c r="N163" s="11">
        <f t="shared" si="6"/>
        <v>2297000</v>
      </c>
      <c r="O163" s="6" t="s">
        <v>22</v>
      </c>
      <c r="P163" s="30" t="s">
        <v>25</v>
      </c>
      <c r="Q163" s="12"/>
      <c r="R163" s="10"/>
      <c r="S163" s="17"/>
    </row>
    <row r="164" spans="1:19">
      <c r="A164" s="8" t="s">
        <v>612</v>
      </c>
      <c r="B164" s="6" t="s">
        <v>989</v>
      </c>
      <c r="C164" s="14" t="s">
        <v>1357</v>
      </c>
      <c r="D164" s="6" t="s">
        <v>613</v>
      </c>
      <c r="E164" s="6" t="s">
        <v>29</v>
      </c>
      <c r="F164" s="6" t="s">
        <v>15</v>
      </c>
      <c r="G164" s="6" t="s">
        <v>990</v>
      </c>
      <c r="H164" s="6" t="s">
        <v>15</v>
      </c>
      <c r="I164" s="6" t="s">
        <v>991</v>
      </c>
      <c r="J164" s="6" t="s">
        <v>15</v>
      </c>
      <c r="K164" s="6" t="s">
        <v>116</v>
      </c>
      <c r="L164" s="7">
        <v>0</v>
      </c>
      <c r="M164" s="7">
        <v>10487000</v>
      </c>
      <c r="N164" s="11">
        <f t="shared" si="6"/>
        <v>10487000</v>
      </c>
      <c r="O164" s="6" t="s">
        <v>24</v>
      </c>
      <c r="P164" s="30" t="s">
        <v>25</v>
      </c>
      <c r="Q164" s="12"/>
      <c r="R164" s="10"/>
      <c r="S164" s="17"/>
    </row>
    <row r="165" spans="1:19">
      <c r="A165" s="8" t="s">
        <v>612</v>
      </c>
      <c r="B165" s="6" t="s">
        <v>993</v>
      </c>
      <c r="C165" s="14" t="s">
        <v>1363</v>
      </c>
      <c r="D165" s="6" t="s">
        <v>615</v>
      </c>
      <c r="E165" s="6" t="s">
        <v>621</v>
      </c>
      <c r="F165" s="6" t="s">
        <v>15</v>
      </c>
      <c r="G165" s="6" t="s">
        <v>657</v>
      </c>
      <c r="H165" s="6" t="s">
        <v>15</v>
      </c>
      <c r="I165" s="6" t="s">
        <v>190</v>
      </c>
      <c r="J165" s="6" t="s">
        <v>15</v>
      </c>
      <c r="K165" s="6" t="s">
        <v>97</v>
      </c>
      <c r="L165" s="7">
        <v>3356000</v>
      </c>
      <c r="M165" s="7">
        <v>1155000</v>
      </c>
      <c r="N165" s="11">
        <f t="shared" si="6"/>
        <v>4511000</v>
      </c>
      <c r="O165" s="6" t="s">
        <v>24</v>
      </c>
      <c r="P165" s="30" t="s">
        <v>25</v>
      </c>
      <c r="Q165" s="12"/>
      <c r="R165" s="10"/>
      <c r="S165" s="17"/>
    </row>
    <row r="166" spans="1:19" ht="15">
      <c r="A166" s="43"/>
      <c r="B166" s="23"/>
      <c r="C166" s="19"/>
      <c r="D166" s="23"/>
      <c r="E166" s="23"/>
      <c r="F166" s="23"/>
      <c r="G166" s="23"/>
      <c r="H166" s="23"/>
      <c r="I166" s="23"/>
      <c r="J166" s="23"/>
      <c r="K166" s="20" t="s">
        <v>1540</v>
      </c>
      <c r="L166" s="24"/>
      <c r="M166" s="24"/>
      <c r="N166" s="22">
        <f>SUM(N150:N165)</f>
        <v>153668000</v>
      </c>
      <c r="O166" s="23"/>
      <c r="P166" s="31"/>
      <c r="Q166" s="32"/>
      <c r="R166" s="19"/>
      <c r="S166" s="17"/>
    </row>
    <row r="167" spans="1:19">
      <c r="A167" s="8" t="s">
        <v>675</v>
      </c>
      <c r="B167" s="6" t="s">
        <v>937</v>
      </c>
      <c r="C167" s="14" t="s">
        <v>1365</v>
      </c>
      <c r="D167" s="6" t="s">
        <v>682</v>
      </c>
      <c r="E167" s="6" t="s">
        <v>234</v>
      </c>
      <c r="F167" s="6" t="s">
        <v>287</v>
      </c>
      <c r="G167" s="6" t="s">
        <v>180</v>
      </c>
      <c r="H167" s="6" t="s">
        <v>287</v>
      </c>
      <c r="I167" s="6" t="s">
        <v>515</v>
      </c>
      <c r="J167" s="6" t="s">
        <v>15</v>
      </c>
      <c r="K167" s="6" t="s">
        <v>127</v>
      </c>
      <c r="L167" s="7">
        <v>0</v>
      </c>
      <c r="M167" s="7">
        <v>10500000</v>
      </c>
      <c r="N167" s="11">
        <f t="shared" ref="N167:N205" si="7">SUM(L167:M167)</f>
        <v>10500000</v>
      </c>
      <c r="O167" s="6" t="s">
        <v>22</v>
      </c>
      <c r="P167" s="30" t="s">
        <v>23</v>
      </c>
      <c r="Q167" s="12" t="s">
        <v>1530</v>
      </c>
      <c r="R167" s="10"/>
      <c r="S167" s="17"/>
    </row>
    <row r="168" spans="1:19">
      <c r="A168" s="8" t="s">
        <v>675</v>
      </c>
      <c r="B168" s="6" t="s">
        <v>826</v>
      </c>
      <c r="C168" s="14" t="s">
        <v>1379</v>
      </c>
      <c r="D168" s="6" t="s">
        <v>680</v>
      </c>
      <c r="E168" s="6" t="s">
        <v>234</v>
      </c>
      <c r="F168" s="6" t="s">
        <v>39</v>
      </c>
      <c r="G168" s="6" t="s">
        <v>192</v>
      </c>
      <c r="H168" s="6" t="s">
        <v>39</v>
      </c>
      <c r="I168" s="6" t="s">
        <v>295</v>
      </c>
      <c r="J168" s="6" t="s">
        <v>15</v>
      </c>
      <c r="K168" s="6" t="s">
        <v>996</v>
      </c>
      <c r="L168" s="7">
        <v>0</v>
      </c>
      <c r="M168" s="7">
        <v>88179000</v>
      </c>
      <c r="N168" s="11">
        <f t="shared" si="7"/>
        <v>88179000</v>
      </c>
      <c r="O168" s="6" t="s">
        <v>22</v>
      </c>
      <c r="P168" s="30" t="s">
        <v>23</v>
      </c>
      <c r="Q168" s="12" t="s">
        <v>1530</v>
      </c>
      <c r="R168" s="10"/>
      <c r="S168" s="17"/>
    </row>
    <row r="169" spans="1:19">
      <c r="A169" s="8" t="s">
        <v>675</v>
      </c>
      <c r="B169" s="6" t="s">
        <v>708</v>
      </c>
      <c r="C169" s="14" t="s">
        <v>1373</v>
      </c>
      <c r="D169" s="6" t="s">
        <v>680</v>
      </c>
      <c r="E169" s="6" t="s">
        <v>681</v>
      </c>
      <c r="F169" s="6" t="s">
        <v>15</v>
      </c>
      <c r="G169" s="6" t="s">
        <v>163</v>
      </c>
      <c r="H169" s="6" t="s">
        <v>15</v>
      </c>
      <c r="I169" s="6" t="s">
        <v>153</v>
      </c>
      <c r="J169" s="6" t="s">
        <v>15</v>
      </c>
      <c r="K169" s="6" t="s">
        <v>67</v>
      </c>
      <c r="L169" s="7">
        <v>0</v>
      </c>
      <c r="M169" s="7">
        <v>3539000</v>
      </c>
      <c r="N169" s="11">
        <f t="shared" si="7"/>
        <v>3539000</v>
      </c>
      <c r="O169" s="6" t="s">
        <v>24</v>
      </c>
      <c r="P169" s="30" t="s">
        <v>23</v>
      </c>
      <c r="Q169" s="12" t="s">
        <v>1530</v>
      </c>
      <c r="R169" s="10"/>
      <c r="S169" s="17"/>
    </row>
    <row r="170" spans="1:19">
      <c r="A170" s="8" t="s">
        <v>675</v>
      </c>
      <c r="B170" s="6" t="s">
        <v>717</v>
      </c>
      <c r="C170" s="14" t="s">
        <v>1392</v>
      </c>
      <c r="D170" s="6" t="s">
        <v>689</v>
      </c>
      <c r="E170" s="6" t="s">
        <v>630</v>
      </c>
      <c r="F170" s="6" t="s">
        <v>15</v>
      </c>
      <c r="G170" s="6" t="s">
        <v>356</v>
      </c>
      <c r="H170" s="6" t="s">
        <v>15</v>
      </c>
      <c r="I170" s="6" t="s">
        <v>388</v>
      </c>
      <c r="J170" s="6" t="s">
        <v>15</v>
      </c>
      <c r="K170" s="6" t="s">
        <v>502</v>
      </c>
      <c r="L170" s="7">
        <v>3545000</v>
      </c>
      <c r="M170" s="7">
        <v>15925000</v>
      </c>
      <c r="N170" s="11">
        <f t="shared" si="7"/>
        <v>19470000</v>
      </c>
      <c r="O170" s="6" t="s">
        <v>24</v>
      </c>
      <c r="P170" s="30" t="s">
        <v>23</v>
      </c>
      <c r="Q170" s="12" t="s">
        <v>1530</v>
      </c>
      <c r="R170" s="10"/>
      <c r="S170" s="17"/>
    </row>
    <row r="171" spans="1:19">
      <c r="A171" s="8" t="s">
        <v>675</v>
      </c>
      <c r="B171" s="6" t="s">
        <v>1132</v>
      </c>
      <c r="C171" s="14" t="s">
        <v>1375</v>
      </c>
      <c r="D171" s="6" t="s">
        <v>680</v>
      </c>
      <c r="E171" s="6" t="s">
        <v>699</v>
      </c>
      <c r="F171" s="6" t="s">
        <v>15</v>
      </c>
      <c r="G171" s="6" t="s">
        <v>133</v>
      </c>
      <c r="H171" s="6" t="s">
        <v>15</v>
      </c>
      <c r="I171" s="6" t="s">
        <v>16</v>
      </c>
      <c r="J171" s="6" t="s">
        <v>15</v>
      </c>
      <c r="K171" s="6" t="s">
        <v>1133</v>
      </c>
      <c r="L171" s="7">
        <v>455000</v>
      </c>
      <c r="M171" s="7">
        <v>139000</v>
      </c>
      <c r="N171" s="11">
        <f t="shared" si="7"/>
        <v>594000</v>
      </c>
      <c r="O171" s="6" t="s">
        <v>34</v>
      </c>
      <c r="P171" s="30" t="s">
        <v>23</v>
      </c>
      <c r="Q171" s="12"/>
      <c r="R171" s="10"/>
      <c r="S171" s="17">
        <f>VLOOKUP(C171,'[1]Current Old'!$A:$B,2,FALSE)</f>
        <v>40966</v>
      </c>
    </row>
    <row r="172" spans="1:19">
      <c r="A172" s="8" t="s">
        <v>675</v>
      </c>
      <c r="B172" s="6" t="s">
        <v>712</v>
      </c>
      <c r="C172" s="14" t="s">
        <v>1376</v>
      </c>
      <c r="D172" s="6" t="s">
        <v>682</v>
      </c>
      <c r="E172" s="6" t="s">
        <v>683</v>
      </c>
      <c r="F172" s="6" t="s">
        <v>15</v>
      </c>
      <c r="G172" s="6" t="s">
        <v>210</v>
      </c>
      <c r="H172" s="6" t="s">
        <v>15</v>
      </c>
      <c r="I172" s="6" t="s">
        <v>210</v>
      </c>
      <c r="J172" s="6" t="s">
        <v>15</v>
      </c>
      <c r="K172" s="6" t="s">
        <v>713</v>
      </c>
      <c r="L172" s="7">
        <v>0</v>
      </c>
      <c r="M172" s="7">
        <v>1338000</v>
      </c>
      <c r="N172" s="11">
        <f t="shared" si="7"/>
        <v>1338000</v>
      </c>
      <c r="O172" s="6" t="s">
        <v>34</v>
      </c>
      <c r="P172" s="30" t="s">
        <v>23</v>
      </c>
      <c r="Q172" s="12"/>
      <c r="R172" s="10"/>
      <c r="S172" s="17"/>
    </row>
    <row r="173" spans="1:19">
      <c r="A173" s="8" t="s">
        <v>675</v>
      </c>
      <c r="B173" s="6" t="s">
        <v>714</v>
      </c>
      <c r="C173" s="14" t="s">
        <v>1377</v>
      </c>
      <c r="D173" s="6" t="s">
        <v>689</v>
      </c>
      <c r="E173" s="6" t="s">
        <v>630</v>
      </c>
      <c r="F173" s="6" t="s">
        <v>39</v>
      </c>
      <c r="G173" s="6" t="s">
        <v>149</v>
      </c>
      <c r="H173" s="6" t="s">
        <v>39</v>
      </c>
      <c r="I173" s="6" t="s">
        <v>79</v>
      </c>
      <c r="J173" s="6" t="s">
        <v>15</v>
      </c>
      <c r="K173" s="6" t="s">
        <v>468</v>
      </c>
      <c r="L173" s="7">
        <v>0</v>
      </c>
      <c r="M173" s="7">
        <v>3600000</v>
      </c>
      <c r="N173" s="11">
        <f t="shared" si="7"/>
        <v>3600000</v>
      </c>
      <c r="O173" s="6" t="s">
        <v>34</v>
      </c>
      <c r="P173" s="30" t="s">
        <v>23</v>
      </c>
      <c r="Q173" s="12" t="s">
        <v>1530</v>
      </c>
      <c r="R173" s="12" t="s">
        <v>1530</v>
      </c>
      <c r="S173" s="17"/>
    </row>
    <row r="174" spans="1:19">
      <c r="A174" s="8" t="s">
        <v>675</v>
      </c>
      <c r="B174" s="6" t="s">
        <v>715</v>
      </c>
      <c r="C174" s="14" t="s">
        <v>1378</v>
      </c>
      <c r="D174" s="6" t="s">
        <v>679</v>
      </c>
      <c r="E174" s="6" t="s">
        <v>234</v>
      </c>
      <c r="F174" s="6" t="s">
        <v>15</v>
      </c>
      <c r="G174" s="6" t="s">
        <v>519</v>
      </c>
      <c r="H174" s="6" t="s">
        <v>15</v>
      </c>
      <c r="I174" s="6" t="s">
        <v>435</v>
      </c>
      <c r="J174" s="6" t="s">
        <v>15</v>
      </c>
      <c r="K174" s="6" t="s">
        <v>116</v>
      </c>
      <c r="L174" s="7">
        <v>0</v>
      </c>
      <c r="M174" s="7">
        <v>1605000</v>
      </c>
      <c r="N174" s="11">
        <f t="shared" si="7"/>
        <v>1605000</v>
      </c>
      <c r="O174" s="6" t="s">
        <v>34</v>
      </c>
      <c r="P174" s="30" t="s">
        <v>23</v>
      </c>
      <c r="Q174" s="12" t="s">
        <v>1530</v>
      </c>
      <c r="R174" s="10"/>
      <c r="S174" s="17"/>
    </row>
    <row r="175" spans="1:19">
      <c r="A175" s="8" t="s">
        <v>675</v>
      </c>
      <c r="B175" s="6" t="s">
        <v>878</v>
      </c>
      <c r="C175" s="14" t="s">
        <v>1380</v>
      </c>
      <c r="D175" s="6" t="s">
        <v>680</v>
      </c>
      <c r="E175" s="6" t="s">
        <v>622</v>
      </c>
      <c r="F175" s="6" t="s">
        <v>39</v>
      </c>
      <c r="G175" s="6" t="s">
        <v>997</v>
      </c>
      <c r="H175" s="6" t="s">
        <v>39</v>
      </c>
      <c r="I175" s="6" t="s">
        <v>998</v>
      </c>
      <c r="J175" s="6" t="s">
        <v>15</v>
      </c>
      <c r="K175" s="6" t="s">
        <v>155</v>
      </c>
      <c r="L175" s="7">
        <v>0</v>
      </c>
      <c r="M175" s="7">
        <v>1476000</v>
      </c>
      <c r="N175" s="11">
        <f t="shared" si="7"/>
        <v>1476000</v>
      </c>
      <c r="O175" s="6" t="s">
        <v>34</v>
      </c>
      <c r="P175" s="30" t="s">
        <v>23</v>
      </c>
      <c r="Q175" s="12" t="s">
        <v>1530</v>
      </c>
      <c r="R175" s="10"/>
      <c r="S175" s="17">
        <f>VLOOKUP(C175,'[1]Current Old'!$A:$B,2,FALSE)</f>
        <v>40966</v>
      </c>
    </row>
    <row r="176" spans="1:19">
      <c r="A176" s="8" t="s">
        <v>675</v>
      </c>
      <c r="B176" s="6" t="s">
        <v>999</v>
      </c>
      <c r="C176" s="14" t="s">
        <v>1381</v>
      </c>
      <c r="D176" s="6" t="s">
        <v>680</v>
      </c>
      <c r="E176" s="6" t="s">
        <v>234</v>
      </c>
      <c r="F176" s="6" t="s">
        <v>15</v>
      </c>
      <c r="G176" s="6" t="s">
        <v>385</v>
      </c>
      <c r="H176" s="6" t="s">
        <v>15</v>
      </c>
      <c r="I176" s="6" t="s">
        <v>434</v>
      </c>
      <c r="J176" s="6" t="s">
        <v>15</v>
      </c>
      <c r="K176" s="6" t="s">
        <v>1000</v>
      </c>
      <c r="L176" s="7">
        <v>0</v>
      </c>
      <c r="M176" s="7">
        <v>914000</v>
      </c>
      <c r="N176" s="11">
        <f t="shared" si="7"/>
        <v>914000</v>
      </c>
      <c r="O176" s="6" t="s">
        <v>34</v>
      </c>
      <c r="P176" s="30" t="s">
        <v>23</v>
      </c>
      <c r="Q176" s="12"/>
      <c r="R176" s="10"/>
      <c r="S176" s="17"/>
    </row>
    <row r="177" spans="1:19">
      <c r="A177" s="8" t="s">
        <v>675</v>
      </c>
      <c r="B177" s="6" t="s">
        <v>830</v>
      </c>
      <c r="C177" s="14" t="s">
        <v>1382</v>
      </c>
      <c r="D177" s="6" t="s">
        <v>676</v>
      </c>
      <c r="E177" s="6" t="s">
        <v>204</v>
      </c>
      <c r="F177" s="6" t="s">
        <v>15</v>
      </c>
      <c r="G177" s="6" t="s">
        <v>254</v>
      </c>
      <c r="H177" s="6" t="s">
        <v>15</v>
      </c>
      <c r="I177" s="6" t="s">
        <v>655</v>
      </c>
      <c r="J177" s="6" t="s">
        <v>15</v>
      </c>
      <c r="K177" s="6" t="s">
        <v>1134</v>
      </c>
      <c r="L177" s="7">
        <v>0</v>
      </c>
      <c r="M177" s="7">
        <v>1000000</v>
      </c>
      <c r="N177" s="11">
        <f t="shared" si="7"/>
        <v>1000000</v>
      </c>
      <c r="O177" s="6" t="s">
        <v>34</v>
      </c>
      <c r="P177" s="30" t="s">
        <v>23</v>
      </c>
      <c r="Q177" s="12"/>
      <c r="R177" s="10"/>
      <c r="S177" s="17"/>
    </row>
    <row r="178" spans="1:19">
      <c r="A178" s="8" t="s">
        <v>675</v>
      </c>
      <c r="B178" s="6" t="s">
        <v>1135</v>
      </c>
      <c r="C178" s="14" t="s">
        <v>1383</v>
      </c>
      <c r="D178" s="6" t="s">
        <v>680</v>
      </c>
      <c r="E178" s="6" t="s">
        <v>204</v>
      </c>
      <c r="F178" s="6" t="s">
        <v>15</v>
      </c>
      <c r="G178" s="6" t="s">
        <v>436</v>
      </c>
      <c r="H178" s="6" t="s">
        <v>15</v>
      </c>
      <c r="I178" s="6" t="s">
        <v>16</v>
      </c>
      <c r="J178" s="6" t="s">
        <v>15</v>
      </c>
      <c r="K178" s="6" t="s">
        <v>177</v>
      </c>
      <c r="L178" s="7">
        <v>0</v>
      </c>
      <c r="M178" s="7">
        <v>0</v>
      </c>
      <c r="N178" s="11">
        <f t="shared" si="7"/>
        <v>0</v>
      </c>
      <c r="O178" s="6" t="s">
        <v>34</v>
      </c>
      <c r="P178" s="30" t="s">
        <v>23</v>
      </c>
      <c r="Q178" s="12"/>
      <c r="R178" s="10"/>
      <c r="S178" s="17"/>
    </row>
    <row r="179" spans="1:19">
      <c r="A179" s="8" t="s">
        <v>675</v>
      </c>
      <c r="B179" s="6" t="s">
        <v>1136</v>
      </c>
      <c r="C179" s="14" t="s">
        <v>1384</v>
      </c>
      <c r="D179" s="6" t="s">
        <v>676</v>
      </c>
      <c r="E179" s="6" t="s">
        <v>649</v>
      </c>
      <c r="F179" s="6" t="s">
        <v>39</v>
      </c>
      <c r="G179" s="6" t="s">
        <v>395</v>
      </c>
      <c r="H179" s="6" t="s">
        <v>39</v>
      </c>
      <c r="I179" s="6" t="s">
        <v>145</v>
      </c>
      <c r="J179" s="6" t="s">
        <v>15</v>
      </c>
      <c r="K179" s="6" t="s">
        <v>1137</v>
      </c>
      <c r="L179" s="7">
        <v>0</v>
      </c>
      <c r="M179" s="7">
        <v>1000</v>
      </c>
      <c r="N179" s="11">
        <f t="shared" si="7"/>
        <v>1000</v>
      </c>
      <c r="O179" s="6" t="s">
        <v>34</v>
      </c>
      <c r="P179" s="30" t="s">
        <v>23</v>
      </c>
      <c r="Q179" s="12"/>
      <c r="R179" s="10"/>
      <c r="S179" s="17"/>
    </row>
    <row r="180" spans="1:19">
      <c r="A180" s="8" t="s">
        <v>675</v>
      </c>
      <c r="B180" s="6" t="s">
        <v>1138</v>
      </c>
      <c r="C180" s="14" t="s">
        <v>1385</v>
      </c>
      <c r="D180" s="6" t="s">
        <v>680</v>
      </c>
      <c r="E180" s="6" t="s">
        <v>622</v>
      </c>
      <c r="F180" s="6" t="s">
        <v>15</v>
      </c>
      <c r="G180" s="6" t="s">
        <v>103</v>
      </c>
      <c r="H180" s="6" t="s">
        <v>39</v>
      </c>
      <c r="I180" s="6" t="s">
        <v>725</v>
      </c>
      <c r="J180" s="6" t="s">
        <v>15</v>
      </c>
      <c r="K180" s="6" t="s">
        <v>1137</v>
      </c>
      <c r="L180" s="7">
        <v>0</v>
      </c>
      <c r="M180" s="7">
        <v>0</v>
      </c>
      <c r="N180" s="11">
        <f t="shared" si="7"/>
        <v>0</v>
      </c>
      <c r="O180" s="6" t="s">
        <v>34</v>
      </c>
      <c r="P180" s="30" t="s">
        <v>23</v>
      </c>
      <c r="Q180" s="12"/>
      <c r="R180" s="10"/>
      <c r="S180" s="17">
        <f>VLOOKUP(C180,'[1]Current Old'!$A:$B,2,FALSE)</f>
        <v>40960</v>
      </c>
    </row>
    <row r="181" spans="1:19">
      <c r="A181" s="8" t="s">
        <v>675</v>
      </c>
      <c r="B181" s="6" t="s">
        <v>831</v>
      </c>
      <c r="C181" s="14" t="s">
        <v>1386</v>
      </c>
      <c r="D181" s="6" t="s">
        <v>680</v>
      </c>
      <c r="E181" s="6" t="s">
        <v>684</v>
      </c>
      <c r="F181" s="6" t="s">
        <v>15</v>
      </c>
      <c r="G181" s="6" t="s">
        <v>685</v>
      </c>
      <c r="H181" s="6" t="s">
        <v>15</v>
      </c>
      <c r="I181" s="6" t="s">
        <v>16</v>
      </c>
      <c r="J181" s="6" t="s">
        <v>15</v>
      </c>
      <c r="K181" s="6" t="s">
        <v>1139</v>
      </c>
      <c r="L181" s="7">
        <v>0</v>
      </c>
      <c r="M181" s="7">
        <v>1000</v>
      </c>
      <c r="N181" s="11">
        <f t="shared" si="7"/>
        <v>1000</v>
      </c>
      <c r="O181" s="6" t="s">
        <v>34</v>
      </c>
      <c r="P181" s="30" t="s">
        <v>23</v>
      </c>
      <c r="Q181" s="12"/>
      <c r="R181" s="10"/>
      <c r="S181" s="17"/>
    </row>
    <row r="182" spans="1:19">
      <c r="A182" s="8" t="s">
        <v>675</v>
      </c>
      <c r="B182" s="6" t="s">
        <v>1140</v>
      </c>
      <c r="C182" s="14" t="s">
        <v>1387</v>
      </c>
      <c r="D182" s="6" t="s">
        <v>680</v>
      </c>
      <c r="E182" s="6" t="s">
        <v>622</v>
      </c>
      <c r="F182" s="6" t="s">
        <v>415</v>
      </c>
      <c r="G182" s="6" t="s">
        <v>1141</v>
      </c>
      <c r="H182" s="6" t="s">
        <v>15</v>
      </c>
      <c r="I182" s="6" t="s">
        <v>16</v>
      </c>
      <c r="J182" s="6" t="s">
        <v>15</v>
      </c>
      <c r="K182" s="6" t="s">
        <v>1142</v>
      </c>
      <c r="L182" s="7">
        <v>0</v>
      </c>
      <c r="M182" s="7">
        <v>1000</v>
      </c>
      <c r="N182" s="11">
        <f t="shared" si="7"/>
        <v>1000</v>
      </c>
      <c r="O182" s="6" t="s">
        <v>34</v>
      </c>
      <c r="P182" s="30" t="s">
        <v>23</v>
      </c>
      <c r="Q182" s="12"/>
      <c r="R182" s="10"/>
      <c r="S182" s="17"/>
    </row>
    <row r="183" spans="1:19">
      <c r="A183" s="8" t="s">
        <v>675</v>
      </c>
      <c r="B183" s="6" t="s">
        <v>1001</v>
      </c>
      <c r="C183" s="14" t="s">
        <v>1388</v>
      </c>
      <c r="D183" s="6" t="s">
        <v>676</v>
      </c>
      <c r="E183" s="6" t="s">
        <v>204</v>
      </c>
      <c r="F183" s="6" t="s">
        <v>15</v>
      </c>
      <c r="G183" s="6" t="s">
        <v>417</v>
      </c>
      <c r="H183" s="6" t="s">
        <v>15</v>
      </c>
      <c r="I183" s="6" t="s">
        <v>332</v>
      </c>
      <c r="J183" s="6" t="s">
        <v>15</v>
      </c>
      <c r="K183" s="6" t="s">
        <v>116</v>
      </c>
      <c r="L183" s="7">
        <v>0</v>
      </c>
      <c r="M183" s="7">
        <v>2800000</v>
      </c>
      <c r="N183" s="11">
        <f t="shared" si="7"/>
        <v>2800000</v>
      </c>
      <c r="O183" s="6" t="s">
        <v>34</v>
      </c>
      <c r="P183" s="30" t="s">
        <v>23</v>
      </c>
      <c r="Q183" s="12"/>
      <c r="R183" s="10"/>
      <c r="S183" s="17"/>
    </row>
    <row r="184" spans="1:19">
      <c r="A184" s="8" t="s">
        <v>675</v>
      </c>
      <c r="B184" s="6" t="s">
        <v>1175</v>
      </c>
      <c r="C184" s="14" t="s">
        <v>1390</v>
      </c>
      <c r="D184" s="6" t="s">
        <v>680</v>
      </c>
      <c r="E184" s="6" t="s">
        <v>204</v>
      </c>
      <c r="F184" s="6" t="s">
        <v>15</v>
      </c>
      <c r="G184" s="6" t="s">
        <v>416</v>
      </c>
      <c r="H184" s="6" t="s">
        <v>39</v>
      </c>
      <c r="I184" s="6" t="s">
        <v>627</v>
      </c>
      <c r="J184" s="6" t="s">
        <v>15</v>
      </c>
      <c r="K184" s="6" t="s">
        <v>1176</v>
      </c>
      <c r="L184" s="7">
        <v>0</v>
      </c>
      <c r="M184" s="7">
        <v>1765000</v>
      </c>
      <c r="N184" s="11">
        <f t="shared" si="7"/>
        <v>1765000</v>
      </c>
      <c r="O184" s="6" t="s">
        <v>34</v>
      </c>
      <c r="P184" s="30" t="s">
        <v>23</v>
      </c>
      <c r="Q184" s="12"/>
      <c r="R184" s="10"/>
      <c r="S184" s="17"/>
    </row>
    <row r="185" spans="1:19">
      <c r="A185" s="8" t="s">
        <v>675</v>
      </c>
      <c r="B185" s="6" t="s">
        <v>723</v>
      </c>
      <c r="C185" s="14" t="s">
        <v>1393</v>
      </c>
      <c r="D185" s="6" t="s">
        <v>676</v>
      </c>
      <c r="E185" s="6" t="s">
        <v>686</v>
      </c>
      <c r="F185" s="6" t="s">
        <v>15</v>
      </c>
      <c r="G185" s="6" t="s">
        <v>711</v>
      </c>
      <c r="H185" s="6" t="s">
        <v>15</v>
      </c>
      <c r="I185" s="6" t="s">
        <v>339</v>
      </c>
      <c r="J185" s="6" t="s">
        <v>15</v>
      </c>
      <c r="K185" s="6" t="s">
        <v>724</v>
      </c>
      <c r="L185" s="7">
        <v>0</v>
      </c>
      <c r="M185" s="7">
        <v>5300000</v>
      </c>
      <c r="N185" s="11">
        <f t="shared" si="7"/>
        <v>5300000</v>
      </c>
      <c r="O185" s="6" t="s">
        <v>34</v>
      </c>
      <c r="P185" s="30" t="s">
        <v>23</v>
      </c>
      <c r="Q185" s="12"/>
      <c r="R185" s="10"/>
      <c r="S185" s="17"/>
    </row>
    <row r="186" spans="1:19">
      <c r="A186" s="8" t="s">
        <v>675</v>
      </c>
      <c r="B186" s="6" t="s">
        <v>730</v>
      </c>
      <c r="C186" s="14" t="s">
        <v>1395</v>
      </c>
      <c r="D186" s="6" t="s">
        <v>676</v>
      </c>
      <c r="E186" s="6" t="s">
        <v>234</v>
      </c>
      <c r="F186" s="6" t="s">
        <v>15</v>
      </c>
      <c r="G186" s="6" t="s">
        <v>289</v>
      </c>
      <c r="H186" s="6" t="s">
        <v>15</v>
      </c>
      <c r="I186" s="6" t="s">
        <v>55</v>
      </c>
      <c r="J186" s="6" t="s">
        <v>15</v>
      </c>
      <c r="K186" s="6" t="s">
        <v>731</v>
      </c>
      <c r="L186" s="7">
        <v>50401000</v>
      </c>
      <c r="M186" s="7">
        <v>23384000</v>
      </c>
      <c r="N186" s="11">
        <f t="shared" si="7"/>
        <v>73785000</v>
      </c>
      <c r="O186" s="6" t="s">
        <v>34</v>
      </c>
      <c r="P186" s="30" t="s">
        <v>23</v>
      </c>
      <c r="Q186" s="12" t="s">
        <v>1530</v>
      </c>
      <c r="R186" s="12" t="s">
        <v>1530</v>
      </c>
      <c r="S186" s="17"/>
    </row>
    <row r="187" spans="1:19">
      <c r="A187" s="8" t="s">
        <v>675</v>
      </c>
      <c r="B187" s="6" t="s">
        <v>687</v>
      </c>
      <c r="C187" s="14" t="s">
        <v>1364</v>
      </c>
      <c r="D187" s="6" t="s">
        <v>676</v>
      </c>
      <c r="E187" s="6" t="s">
        <v>688</v>
      </c>
      <c r="F187" s="6" t="s">
        <v>15</v>
      </c>
      <c r="G187" s="6" t="s">
        <v>16</v>
      </c>
      <c r="H187" s="6" t="s">
        <v>15</v>
      </c>
      <c r="I187" s="6" t="s">
        <v>16</v>
      </c>
      <c r="J187" s="6" t="s">
        <v>15</v>
      </c>
      <c r="K187" s="6" t="s">
        <v>507</v>
      </c>
      <c r="L187" s="7">
        <v>3388000</v>
      </c>
      <c r="M187" s="7">
        <v>766000</v>
      </c>
      <c r="N187" s="11">
        <f t="shared" si="7"/>
        <v>4154000</v>
      </c>
      <c r="O187" s="6" t="s">
        <v>26</v>
      </c>
      <c r="P187" s="30" t="s">
        <v>23</v>
      </c>
      <c r="Q187" s="12"/>
      <c r="R187" s="10"/>
      <c r="S187" s="17"/>
    </row>
    <row r="188" spans="1:19">
      <c r="A188" s="8" t="s">
        <v>675</v>
      </c>
      <c r="B188" s="6" t="s">
        <v>693</v>
      </c>
      <c r="C188" s="14" t="s">
        <v>1367</v>
      </c>
      <c r="D188" s="6" t="s">
        <v>680</v>
      </c>
      <c r="E188" s="6" t="s">
        <v>622</v>
      </c>
      <c r="F188" s="6" t="s">
        <v>39</v>
      </c>
      <c r="G188" s="6" t="s">
        <v>138</v>
      </c>
      <c r="H188" s="6" t="s">
        <v>39</v>
      </c>
      <c r="I188" s="6" t="s">
        <v>138</v>
      </c>
      <c r="J188" s="6" t="s">
        <v>15</v>
      </c>
      <c r="K188" s="6" t="s">
        <v>694</v>
      </c>
      <c r="L188" s="7">
        <v>2668000</v>
      </c>
      <c r="M188" s="7">
        <v>93000</v>
      </c>
      <c r="N188" s="11">
        <f t="shared" si="7"/>
        <v>2761000</v>
      </c>
      <c r="O188" s="6" t="s">
        <v>26</v>
      </c>
      <c r="P188" s="30" t="s">
        <v>23</v>
      </c>
      <c r="Q188" s="12"/>
      <c r="R188" s="10"/>
      <c r="S188" s="17"/>
    </row>
    <row r="189" spans="1:19">
      <c r="A189" s="8" t="s">
        <v>675</v>
      </c>
      <c r="B189" s="6" t="s">
        <v>488</v>
      </c>
      <c r="C189" s="14" t="s">
        <v>1212</v>
      </c>
      <c r="D189" s="6" t="s">
        <v>680</v>
      </c>
      <c r="E189" s="6" t="s">
        <v>234</v>
      </c>
      <c r="F189" s="6" t="s">
        <v>15</v>
      </c>
      <c r="G189" s="6" t="s">
        <v>208</v>
      </c>
      <c r="H189" s="6" t="s">
        <v>15</v>
      </c>
      <c r="I189" s="6" t="s">
        <v>440</v>
      </c>
      <c r="J189" s="6" t="s">
        <v>15</v>
      </c>
      <c r="K189" s="6" t="s">
        <v>994</v>
      </c>
      <c r="L189" s="7">
        <v>1829000</v>
      </c>
      <c r="M189" s="7">
        <v>29665000</v>
      </c>
      <c r="N189" s="11">
        <f t="shared" si="7"/>
        <v>31494000</v>
      </c>
      <c r="O189" s="6" t="s">
        <v>26</v>
      </c>
      <c r="P189" s="30" t="s">
        <v>23</v>
      </c>
      <c r="Q189" s="12"/>
      <c r="R189" s="10"/>
      <c r="S189" s="17"/>
    </row>
    <row r="190" spans="1:19">
      <c r="A190" s="8" t="s">
        <v>675</v>
      </c>
      <c r="B190" s="6" t="s">
        <v>489</v>
      </c>
      <c r="C190" s="14" t="s">
        <v>1213</v>
      </c>
      <c r="D190" s="6" t="s">
        <v>680</v>
      </c>
      <c r="E190" s="6" t="s">
        <v>234</v>
      </c>
      <c r="F190" s="6" t="s">
        <v>15</v>
      </c>
      <c r="G190" s="6" t="s">
        <v>92</v>
      </c>
      <c r="H190" s="6" t="s">
        <v>15</v>
      </c>
      <c r="I190" s="6" t="s">
        <v>73</v>
      </c>
      <c r="J190" s="6" t="s">
        <v>15</v>
      </c>
      <c r="K190" s="6" t="s">
        <v>994</v>
      </c>
      <c r="L190" s="7">
        <v>0</v>
      </c>
      <c r="M190" s="7">
        <v>10069000</v>
      </c>
      <c r="N190" s="11">
        <f t="shared" si="7"/>
        <v>10069000</v>
      </c>
      <c r="O190" s="6" t="s">
        <v>26</v>
      </c>
      <c r="P190" s="30" t="s">
        <v>23</v>
      </c>
      <c r="Q190" s="12"/>
      <c r="R190" s="10"/>
      <c r="S190" s="17"/>
    </row>
    <row r="191" spans="1:19">
      <c r="A191" s="8" t="s">
        <v>675</v>
      </c>
      <c r="B191" s="6" t="s">
        <v>700</v>
      </c>
      <c r="C191" s="14" t="s">
        <v>1370</v>
      </c>
      <c r="D191" s="6" t="s">
        <v>676</v>
      </c>
      <c r="E191" s="6" t="s">
        <v>677</v>
      </c>
      <c r="F191" s="6" t="s">
        <v>15</v>
      </c>
      <c r="G191" s="6" t="s">
        <v>498</v>
      </c>
      <c r="H191" s="6" t="s">
        <v>15</v>
      </c>
      <c r="I191" s="6" t="s">
        <v>175</v>
      </c>
      <c r="J191" s="6" t="s">
        <v>15</v>
      </c>
      <c r="K191" s="6" t="s">
        <v>701</v>
      </c>
      <c r="L191" s="7">
        <v>0</v>
      </c>
      <c r="M191" s="7">
        <v>1866000</v>
      </c>
      <c r="N191" s="11">
        <f t="shared" si="7"/>
        <v>1866000</v>
      </c>
      <c r="O191" s="6" t="s">
        <v>26</v>
      </c>
      <c r="P191" s="30" t="s">
        <v>23</v>
      </c>
      <c r="Q191" s="12"/>
      <c r="R191" s="10"/>
      <c r="S191" s="17"/>
    </row>
    <row r="192" spans="1:19">
      <c r="A192" s="8" t="s">
        <v>675</v>
      </c>
      <c r="B192" s="6" t="s">
        <v>702</v>
      </c>
      <c r="C192" s="14" t="s">
        <v>1371</v>
      </c>
      <c r="D192" s="6" t="s">
        <v>689</v>
      </c>
      <c r="E192" s="6" t="s">
        <v>649</v>
      </c>
      <c r="F192" s="6" t="s">
        <v>39</v>
      </c>
      <c r="G192" s="6" t="s">
        <v>703</v>
      </c>
      <c r="H192" s="6" t="s">
        <v>15</v>
      </c>
      <c r="I192" s="6" t="s">
        <v>16</v>
      </c>
      <c r="J192" s="6" t="s">
        <v>15</v>
      </c>
      <c r="K192" s="6" t="s">
        <v>704</v>
      </c>
      <c r="L192" s="7">
        <v>0</v>
      </c>
      <c r="M192" s="7">
        <v>1051000</v>
      </c>
      <c r="N192" s="11">
        <f t="shared" si="7"/>
        <v>1051000</v>
      </c>
      <c r="O192" s="6" t="s">
        <v>26</v>
      </c>
      <c r="P192" s="30" t="s">
        <v>23</v>
      </c>
      <c r="Q192" s="12"/>
      <c r="R192" s="10"/>
      <c r="S192" s="17"/>
    </row>
    <row r="193" spans="1:19">
      <c r="A193" s="8" t="s">
        <v>675</v>
      </c>
      <c r="B193" s="6" t="s">
        <v>705</v>
      </c>
      <c r="C193" s="14" t="s">
        <v>1372</v>
      </c>
      <c r="D193" s="6" t="s">
        <v>689</v>
      </c>
      <c r="E193" s="6" t="s">
        <v>706</v>
      </c>
      <c r="F193" s="6" t="s">
        <v>15</v>
      </c>
      <c r="G193" s="6" t="s">
        <v>395</v>
      </c>
      <c r="H193" s="6" t="s">
        <v>15</v>
      </c>
      <c r="I193" s="6" t="s">
        <v>145</v>
      </c>
      <c r="J193" s="6" t="s">
        <v>15</v>
      </c>
      <c r="K193" s="6" t="s">
        <v>707</v>
      </c>
      <c r="L193" s="7">
        <v>0</v>
      </c>
      <c r="M193" s="7">
        <v>1310000</v>
      </c>
      <c r="N193" s="11">
        <f t="shared" si="7"/>
        <v>1310000</v>
      </c>
      <c r="O193" s="6" t="s">
        <v>26</v>
      </c>
      <c r="P193" s="30" t="s">
        <v>23</v>
      </c>
      <c r="Q193" s="12"/>
      <c r="R193" s="10"/>
      <c r="S193" s="17"/>
    </row>
    <row r="194" spans="1:19">
      <c r="A194" s="8" t="s">
        <v>675</v>
      </c>
      <c r="B194" s="6" t="s">
        <v>947</v>
      </c>
      <c r="C194" s="14" t="s">
        <v>1374</v>
      </c>
      <c r="D194" s="6" t="s">
        <v>680</v>
      </c>
      <c r="E194" s="6" t="s">
        <v>622</v>
      </c>
      <c r="F194" s="6" t="s">
        <v>39</v>
      </c>
      <c r="G194" s="6" t="s">
        <v>237</v>
      </c>
      <c r="H194" s="6" t="s">
        <v>39</v>
      </c>
      <c r="I194" s="6" t="s">
        <v>995</v>
      </c>
      <c r="J194" s="6" t="s">
        <v>15</v>
      </c>
      <c r="K194" s="6" t="s">
        <v>97</v>
      </c>
      <c r="L194" s="7">
        <v>1500000</v>
      </c>
      <c r="M194" s="7">
        <v>1219000</v>
      </c>
      <c r="N194" s="11">
        <f t="shared" si="7"/>
        <v>2719000</v>
      </c>
      <c r="O194" s="6" t="s">
        <v>26</v>
      </c>
      <c r="P194" s="30" t="s">
        <v>23</v>
      </c>
      <c r="Q194" s="12"/>
      <c r="R194" s="10"/>
      <c r="S194" s="17"/>
    </row>
    <row r="195" spans="1:19">
      <c r="A195" s="8" t="s">
        <v>675</v>
      </c>
      <c r="B195" s="6" t="s">
        <v>647</v>
      </c>
      <c r="C195" s="14" t="s">
        <v>1391</v>
      </c>
      <c r="D195" s="6" t="s">
        <v>682</v>
      </c>
      <c r="E195" s="6" t="s">
        <v>234</v>
      </c>
      <c r="F195" s="6" t="s">
        <v>15</v>
      </c>
      <c r="G195" s="6" t="s">
        <v>551</v>
      </c>
      <c r="H195" s="6" t="s">
        <v>15</v>
      </c>
      <c r="I195" s="6" t="s">
        <v>16</v>
      </c>
      <c r="J195" s="6" t="s">
        <v>15</v>
      </c>
      <c r="K195" s="6" t="s">
        <v>1143</v>
      </c>
      <c r="L195" s="7">
        <v>0</v>
      </c>
      <c r="M195" s="7">
        <v>800000</v>
      </c>
      <c r="N195" s="11">
        <f t="shared" si="7"/>
        <v>800000</v>
      </c>
      <c r="O195" s="6" t="s">
        <v>26</v>
      </c>
      <c r="P195" s="30" t="s">
        <v>23</v>
      </c>
      <c r="Q195" s="12"/>
      <c r="R195" s="10"/>
      <c r="S195" s="17"/>
    </row>
    <row r="196" spans="1:19">
      <c r="A196" s="8" t="s">
        <v>675</v>
      </c>
      <c r="B196" s="6" t="s">
        <v>1002</v>
      </c>
      <c r="C196" s="14" t="s">
        <v>1215</v>
      </c>
      <c r="D196" s="6" t="s">
        <v>682</v>
      </c>
      <c r="E196" s="6" t="s">
        <v>234</v>
      </c>
      <c r="F196" s="6" t="s">
        <v>15</v>
      </c>
      <c r="G196" s="6" t="s">
        <v>654</v>
      </c>
      <c r="H196" s="6" t="s">
        <v>15</v>
      </c>
      <c r="I196" s="6" t="s">
        <v>403</v>
      </c>
      <c r="J196" s="6" t="s">
        <v>15</v>
      </c>
      <c r="K196" s="6" t="s">
        <v>1003</v>
      </c>
      <c r="L196" s="7">
        <v>9000000</v>
      </c>
      <c r="M196" s="7">
        <v>30000000</v>
      </c>
      <c r="N196" s="11">
        <f t="shared" si="7"/>
        <v>39000000</v>
      </c>
      <c r="O196" s="6" t="s">
        <v>26</v>
      </c>
      <c r="P196" s="30" t="s">
        <v>23</v>
      </c>
      <c r="Q196" s="12"/>
      <c r="R196" s="10"/>
      <c r="S196" s="17"/>
    </row>
    <row r="197" spans="1:19">
      <c r="A197" s="8" t="s">
        <v>675</v>
      </c>
      <c r="B197" s="6" t="s">
        <v>727</v>
      </c>
      <c r="C197" s="14" t="s">
        <v>1394</v>
      </c>
      <c r="D197" s="6" t="s">
        <v>682</v>
      </c>
      <c r="E197" s="6" t="s">
        <v>728</v>
      </c>
      <c r="F197" s="6" t="s">
        <v>15</v>
      </c>
      <c r="G197" s="6" t="s">
        <v>52</v>
      </c>
      <c r="H197" s="6" t="s">
        <v>15</v>
      </c>
      <c r="I197" s="6" t="s">
        <v>343</v>
      </c>
      <c r="J197" s="6" t="s">
        <v>15</v>
      </c>
      <c r="K197" s="6" t="s">
        <v>729</v>
      </c>
      <c r="L197" s="7">
        <v>0</v>
      </c>
      <c r="M197" s="7">
        <v>5628000</v>
      </c>
      <c r="N197" s="11">
        <f t="shared" si="7"/>
        <v>5628000</v>
      </c>
      <c r="O197" s="6" t="s">
        <v>26</v>
      </c>
      <c r="P197" s="30" t="s">
        <v>23</v>
      </c>
      <c r="Q197" s="12"/>
      <c r="R197" s="10"/>
      <c r="S197" s="17"/>
    </row>
    <row r="198" spans="1:19">
      <c r="A198" s="8" t="s">
        <v>675</v>
      </c>
      <c r="B198" s="6" t="s">
        <v>732</v>
      </c>
      <c r="C198" s="14" t="s">
        <v>1396</v>
      </c>
      <c r="D198" s="6" t="s">
        <v>689</v>
      </c>
      <c r="E198" s="6" t="s">
        <v>630</v>
      </c>
      <c r="F198" s="6" t="s">
        <v>39</v>
      </c>
      <c r="G198" s="6" t="s">
        <v>144</v>
      </c>
      <c r="H198" s="6" t="s">
        <v>39</v>
      </c>
      <c r="I198" s="6" t="s">
        <v>179</v>
      </c>
      <c r="J198" s="6" t="s">
        <v>15</v>
      </c>
      <c r="K198" s="6" t="s">
        <v>733</v>
      </c>
      <c r="L198" s="7">
        <v>3760000</v>
      </c>
      <c r="M198" s="7">
        <v>2669000</v>
      </c>
      <c r="N198" s="11">
        <f t="shared" si="7"/>
        <v>6429000</v>
      </c>
      <c r="O198" s="6" t="s">
        <v>26</v>
      </c>
      <c r="P198" s="30" t="s">
        <v>23</v>
      </c>
      <c r="Q198" s="12"/>
      <c r="R198" s="10"/>
      <c r="S198" s="17"/>
    </row>
    <row r="199" spans="1:19">
      <c r="A199" s="8" t="s">
        <v>675</v>
      </c>
      <c r="B199" s="6" t="s">
        <v>734</v>
      </c>
      <c r="C199" s="14" t="s">
        <v>1216</v>
      </c>
      <c r="D199" s="6" t="s">
        <v>679</v>
      </c>
      <c r="E199" s="6" t="s">
        <v>234</v>
      </c>
      <c r="F199" s="6" t="s">
        <v>39</v>
      </c>
      <c r="G199" s="6" t="s">
        <v>193</v>
      </c>
      <c r="H199" s="6" t="s">
        <v>39</v>
      </c>
      <c r="I199" s="6" t="s">
        <v>254</v>
      </c>
      <c r="J199" s="6" t="s">
        <v>15</v>
      </c>
      <c r="K199" s="6" t="s">
        <v>517</v>
      </c>
      <c r="L199" s="7">
        <v>24780000</v>
      </c>
      <c r="M199" s="7">
        <v>23032000</v>
      </c>
      <c r="N199" s="11">
        <f t="shared" si="7"/>
        <v>47812000</v>
      </c>
      <c r="O199" s="6" t="s">
        <v>26</v>
      </c>
      <c r="P199" s="30" t="s">
        <v>23</v>
      </c>
      <c r="Q199" s="12"/>
      <c r="R199" s="10"/>
      <c r="S199" s="17"/>
    </row>
    <row r="200" spans="1:19">
      <c r="A200" s="8" t="s">
        <v>675</v>
      </c>
      <c r="B200" s="6" t="s">
        <v>695</v>
      </c>
      <c r="C200" s="14" t="s">
        <v>1368</v>
      </c>
      <c r="D200" s="6" t="s">
        <v>676</v>
      </c>
      <c r="E200" s="6" t="s">
        <v>686</v>
      </c>
      <c r="F200" s="6" t="s">
        <v>15</v>
      </c>
      <c r="G200" s="6" t="s">
        <v>696</v>
      </c>
      <c r="H200" s="6" t="s">
        <v>15</v>
      </c>
      <c r="I200" s="6" t="s">
        <v>697</v>
      </c>
      <c r="J200" s="6" t="s">
        <v>15</v>
      </c>
      <c r="K200" s="6" t="s">
        <v>97</v>
      </c>
      <c r="L200" s="7">
        <v>1566000</v>
      </c>
      <c r="M200" s="7">
        <v>1263000</v>
      </c>
      <c r="N200" s="11">
        <f t="shared" si="7"/>
        <v>2829000</v>
      </c>
      <c r="O200" s="6" t="s">
        <v>22</v>
      </c>
      <c r="P200" s="30" t="s">
        <v>25</v>
      </c>
      <c r="Q200" s="12"/>
      <c r="R200" s="10"/>
      <c r="S200" s="17"/>
    </row>
    <row r="201" spans="1:19">
      <c r="A201" s="8" t="s">
        <v>675</v>
      </c>
      <c r="B201" s="6" t="s">
        <v>698</v>
      </c>
      <c r="C201" s="14" t="s">
        <v>1369</v>
      </c>
      <c r="D201" s="6" t="s">
        <v>680</v>
      </c>
      <c r="E201" s="6" t="s">
        <v>699</v>
      </c>
      <c r="F201" s="6" t="s">
        <v>15</v>
      </c>
      <c r="G201" s="6" t="s">
        <v>16</v>
      </c>
      <c r="H201" s="6" t="s">
        <v>15</v>
      </c>
      <c r="I201" s="6" t="s">
        <v>16</v>
      </c>
      <c r="J201" s="6" t="s">
        <v>15</v>
      </c>
      <c r="K201" s="6" t="s">
        <v>61</v>
      </c>
      <c r="L201" s="7">
        <v>0</v>
      </c>
      <c r="M201" s="7">
        <v>13553000</v>
      </c>
      <c r="N201" s="11">
        <f t="shared" si="7"/>
        <v>13553000</v>
      </c>
      <c r="O201" s="6" t="s">
        <v>22</v>
      </c>
      <c r="P201" s="30" t="s">
        <v>25</v>
      </c>
      <c r="Q201" s="12"/>
      <c r="R201" s="10"/>
      <c r="S201" s="17"/>
    </row>
    <row r="202" spans="1:19">
      <c r="A202" s="8" t="s">
        <v>675</v>
      </c>
      <c r="B202" s="6" t="s">
        <v>835</v>
      </c>
      <c r="C202" s="14" t="s">
        <v>1389</v>
      </c>
      <c r="D202" s="6" t="s">
        <v>679</v>
      </c>
      <c r="E202" s="6" t="s">
        <v>234</v>
      </c>
      <c r="F202" s="6" t="s">
        <v>15</v>
      </c>
      <c r="G202" s="6" t="s">
        <v>293</v>
      </c>
      <c r="H202" s="6" t="s">
        <v>15</v>
      </c>
      <c r="I202" s="6" t="s">
        <v>54</v>
      </c>
      <c r="J202" s="6" t="s">
        <v>15</v>
      </c>
      <c r="K202" s="6" t="s">
        <v>116</v>
      </c>
      <c r="L202" s="7">
        <v>0</v>
      </c>
      <c r="M202" s="7">
        <v>618000</v>
      </c>
      <c r="N202" s="11">
        <f t="shared" si="7"/>
        <v>618000</v>
      </c>
      <c r="O202" s="6" t="s">
        <v>22</v>
      </c>
      <c r="P202" s="30" t="s">
        <v>25</v>
      </c>
      <c r="Q202" s="12"/>
      <c r="R202" s="10"/>
      <c r="S202" s="17"/>
    </row>
    <row r="203" spans="1:19">
      <c r="A203" s="8" t="s">
        <v>675</v>
      </c>
      <c r="B203" s="6" t="s">
        <v>735</v>
      </c>
      <c r="C203" s="14" t="s">
        <v>1217</v>
      </c>
      <c r="D203" s="6" t="s">
        <v>689</v>
      </c>
      <c r="E203" s="6" t="s">
        <v>630</v>
      </c>
      <c r="F203" s="6" t="s">
        <v>39</v>
      </c>
      <c r="G203" s="6" t="s">
        <v>328</v>
      </c>
      <c r="H203" s="6" t="s">
        <v>39</v>
      </c>
      <c r="I203" s="6" t="s">
        <v>16</v>
      </c>
      <c r="J203" s="6" t="s">
        <v>15</v>
      </c>
      <c r="K203" s="6" t="s">
        <v>392</v>
      </c>
      <c r="L203" s="7">
        <v>0</v>
      </c>
      <c r="M203" s="7">
        <v>15491000</v>
      </c>
      <c r="N203" s="11">
        <f t="shared" si="7"/>
        <v>15491000</v>
      </c>
      <c r="O203" s="6" t="s">
        <v>22</v>
      </c>
      <c r="P203" s="30" t="s">
        <v>25</v>
      </c>
      <c r="Q203" s="12"/>
      <c r="R203" s="10"/>
      <c r="S203" s="17"/>
    </row>
    <row r="204" spans="1:19">
      <c r="A204" s="8" t="s">
        <v>675</v>
      </c>
      <c r="B204" s="6" t="s">
        <v>346</v>
      </c>
      <c r="C204" s="14" t="s">
        <v>1366</v>
      </c>
      <c r="D204" s="6" t="s">
        <v>682</v>
      </c>
      <c r="E204" s="6" t="s">
        <v>234</v>
      </c>
      <c r="F204" s="6" t="s">
        <v>15</v>
      </c>
      <c r="G204" s="6" t="s">
        <v>467</v>
      </c>
      <c r="H204" s="6" t="s">
        <v>15</v>
      </c>
      <c r="I204" s="6" t="s">
        <v>692</v>
      </c>
      <c r="J204" s="6" t="s">
        <v>15</v>
      </c>
      <c r="K204" s="6" t="s">
        <v>691</v>
      </c>
      <c r="L204" s="7">
        <v>0</v>
      </c>
      <c r="M204" s="7">
        <v>534000</v>
      </c>
      <c r="N204" s="11">
        <f t="shared" si="7"/>
        <v>534000</v>
      </c>
      <c r="O204" s="6" t="s">
        <v>24</v>
      </c>
      <c r="P204" s="30" t="s">
        <v>25</v>
      </c>
      <c r="Q204" s="12"/>
      <c r="R204" s="10"/>
      <c r="S204" s="17"/>
    </row>
    <row r="205" spans="1:19">
      <c r="A205" s="8" t="s">
        <v>675</v>
      </c>
      <c r="B205" s="6" t="s">
        <v>719</v>
      </c>
      <c r="C205" s="14" t="s">
        <v>1214</v>
      </c>
      <c r="D205" s="6" t="s">
        <v>676</v>
      </c>
      <c r="E205" s="6" t="s">
        <v>686</v>
      </c>
      <c r="F205" s="6" t="s">
        <v>39</v>
      </c>
      <c r="G205" s="6" t="s">
        <v>720</v>
      </c>
      <c r="H205" s="6" t="s">
        <v>39</v>
      </c>
      <c r="I205" s="6" t="s">
        <v>721</v>
      </c>
      <c r="J205" s="6" t="s">
        <v>15</v>
      </c>
      <c r="K205" s="6" t="s">
        <v>722</v>
      </c>
      <c r="L205" s="7">
        <v>0</v>
      </c>
      <c r="M205" s="7">
        <v>19600000</v>
      </c>
      <c r="N205" s="11">
        <f t="shared" si="7"/>
        <v>19600000</v>
      </c>
      <c r="O205" s="6" t="s">
        <v>24</v>
      </c>
      <c r="P205" s="30" t="s">
        <v>25</v>
      </c>
      <c r="Q205" s="12"/>
      <c r="R205" s="10"/>
      <c r="S205" s="17"/>
    </row>
    <row r="206" spans="1:19" ht="15">
      <c r="A206" s="43"/>
      <c r="B206" s="23"/>
      <c r="C206" s="19"/>
      <c r="D206" s="23"/>
      <c r="E206" s="23"/>
      <c r="F206" s="23"/>
      <c r="G206" s="23"/>
      <c r="H206" s="23"/>
      <c r="I206" s="23"/>
      <c r="J206" s="23"/>
      <c r="K206" s="20" t="s">
        <v>1541</v>
      </c>
      <c r="L206" s="24"/>
      <c r="M206" s="24"/>
      <c r="N206" s="22">
        <f>SUM(N167:N205)</f>
        <v>423586000</v>
      </c>
      <c r="O206" s="23"/>
      <c r="P206" s="31"/>
      <c r="Q206" s="32"/>
      <c r="R206" s="19"/>
      <c r="S206" s="17"/>
    </row>
    <row r="207" spans="1:19">
      <c r="A207" s="8" t="s">
        <v>736</v>
      </c>
      <c r="B207" s="6" t="s">
        <v>761</v>
      </c>
      <c r="C207" s="14" t="s">
        <v>1398</v>
      </c>
      <c r="D207" s="6" t="s">
        <v>739</v>
      </c>
      <c r="E207" s="6" t="s">
        <v>27</v>
      </c>
      <c r="F207" s="6" t="s">
        <v>15</v>
      </c>
      <c r="G207" s="6" t="s">
        <v>247</v>
      </c>
      <c r="H207" s="6" t="s">
        <v>15</v>
      </c>
      <c r="I207" s="6" t="s">
        <v>385</v>
      </c>
      <c r="J207" s="6" t="s">
        <v>15</v>
      </c>
      <c r="K207" s="6" t="s">
        <v>762</v>
      </c>
      <c r="L207" s="7">
        <v>11760000</v>
      </c>
      <c r="M207" s="7">
        <v>2540000</v>
      </c>
      <c r="N207" s="11">
        <f t="shared" ref="N207:N248" si="8">SUM(L207:M207)</f>
        <v>14300000</v>
      </c>
      <c r="O207" s="6" t="s">
        <v>24</v>
      </c>
      <c r="P207" s="30" t="s">
        <v>23</v>
      </c>
      <c r="Q207" s="12"/>
      <c r="R207" s="10"/>
      <c r="S207" s="17"/>
    </row>
    <row r="208" spans="1:19">
      <c r="A208" s="8" t="s">
        <v>736</v>
      </c>
      <c r="B208" s="6" t="s">
        <v>755</v>
      </c>
      <c r="C208" s="14" t="s">
        <v>1219</v>
      </c>
      <c r="D208" s="6" t="s">
        <v>737</v>
      </c>
      <c r="E208" s="6" t="s">
        <v>204</v>
      </c>
      <c r="F208" s="6" t="s">
        <v>15</v>
      </c>
      <c r="G208" s="6" t="s">
        <v>74</v>
      </c>
      <c r="H208" s="6" t="s">
        <v>15</v>
      </c>
      <c r="I208" s="6" t="s">
        <v>131</v>
      </c>
      <c r="J208" s="6" t="s">
        <v>15</v>
      </c>
      <c r="K208" s="6" t="s">
        <v>1008</v>
      </c>
      <c r="L208" s="7">
        <v>45632000</v>
      </c>
      <c r="M208" s="7">
        <v>86104000</v>
      </c>
      <c r="N208" s="11">
        <f t="shared" si="8"/>
        <v>131736000</v>
      </c>
      <c r="O208" s="6" t="s">
        <v>34</v>
      </c>
      <c r="P208" s="30" t="s">
        <v>23</v>
      </c>
      <c r="Q208" s="12"/>
      <c r="R208" s="10"/>
      <c r="S208" s="17"/>
    </row>
    <row r="209" spans="1:19">
      <c r="A209" s="8" t="s">
        <v>736</v>
      </c>
      <c r="B209" s="6" t="s">
        <v>756</v>
      </c>
      <c r="C209" s="14" t="s">
        <v>1220</v>
      </c>
      <c r="D209" s="6" t="s">
        <v>737</v>
      </c>
      <c r="E209" s="6" t="s">
        <v>204</v>
      </c>
      <c r="F209" s="6" t="s">
        <v>15</v>
      </c>
      <c r="G209" s="6" t="s">
        <v>131</v>
      </c>
      <c r="H209" s="6" t="s">
        <v>15</v>
      </c>
      <c r="I209" s="6" t="s">
        <v>65</v>
      </c>
      <c r="J209" s="6" t="s">
        <v>15</v>
      </c>
      <c r="K209" s="6" t="s">
        <v>1009</v>
      </c>
      <c r="L209" s="7">
        <v>50387000</v>
      </c>
      <c r="M209" s="7">
        <v>100632000</v>
      </c>
      <c r="N209" s="11">
        <f t="shared" si="8"/>
        <v>151019000</v>
      </c>
      <c r="O209" s="6" t="s">
        <v>34</v>
      </c>
      <c r="P209" s="30" t="s">
        <v>23</v>
      </c>
      <c r="Q209" s="12"/>
      <c r="R209" s="10"/>
      <c r="S209" s="17"/>
    </row>
    <row r="210" spans="1:19">
      <c r="A210" s="8" t="s">
        <v>736</v>
      </c>
      <c r="B210" s="6" t="s">
        <v>765</v>
      </c>
      <c r="C210" s="14" t="s">
        <v>1400</v>
      </c>
      <c r="D210" s="6" t="s">
        <v>737</v>
      </c>
      <c r="E210" s="6" t="s">
        <v>763</v>
      </c>
      <c r="F210" s="6" t="s">
        <v>39</v>
      </c>
      <c r="G210" s="6" t="s">
        <v>16</v>
      </c>
      <c r="H210" s="6" t="s">
        <v>39</v>
      </c>
      <c r="I210" s="6" t="s">
        <v>394</v>
      </c>
      <c r="J210" s="6" t="s">
        <v>15</v>
      </c>
      <c r="K210" s="6" t="s">
        <v>766</v>
      </c>
      <c r="L210" s="7">
        <v>0</v>
      </c>
      <c r="M210" s="7">
        <v>3264000</v>
      </c>
      <c r="N210" s="11">
        <f t="shared" si="8"/>
        <v>3264000</v>
      </c>
      <c r="O210" s="6" t="s">
        <v>34</v>
      </c>
      <c r="P210" s="30" t="s">
        <v>23</v>
      </c>
      <c r="Q210" s="12"/>
      <c r="R210" s="10"/>
      <c r="S210" s="17"/>
    </row>
    <row r="211" spans="1:19">
      <c r="A211" s="8" t="s">
        <v>736</v>
      </c>
      <c r="B211" s="6" t="s">
        <v>772</v>
      </c>
      <c r="C211" s="14" t="s">
        <v>1404</v>
      </c>
      <c r="D211" s="6" t="s">
        <v>737</v>
      </c>
      <c r="E211" s="6" t="s">
        <v>750</v>
      </c>
      <c r="F211" s="6" t="s">
        <v>15</v>
      </c>
      <c r="G211" s="6" t="s">
        <v>86</v>
      </c>
      <c r="H211" s="6" t="s">
        <v>15</v>
      </c>
      <c r="I211" s="6" t="s">
        <v>86</v>
      </c>
      <c r="J211" s="6" t="s">
        <v>15</v>
      </c>
      <c r="K211" s="6" t="s">
        <v>773</v>
      </c>
      <c r="L211" s="7">
        <v>0</v>
      </c>
      <c r="M211" s="7">
        <v>5129000</v>
      </c>
      <c r="N211" s="11">
        <f t="shared" si="8"/>
        <v>5129000</v>
      </c>
      <c r="O211" s="6" t="s">
        <v>34</v>
      </c>
      <c r="P211" s="30" t="s">
        <v>23</v>
      </c>
      <c r="Q211" s="12"/>
      <c r="R211" s="10"/>
      <c r="S211" s="17"/>
    </row>
    <row r="212" spans="1:19">
      <c r="A212" s="8" t="s">
        <v>736</v>
      </c>
      <c r="B212" s="6" t="s">
        <v>1144</v>
      </c>
      <c r="C212" s="14" t="s">
        <v>1431</v>
      </c>
      <c r="D212" s="6" t="s">
        <v>737</v>
      </c>
      <c r="E212" s="6" t="s">
        <v>204</v>
      </c>
      <c r="F212" s="6" t="s">
        <v>15</v>
      </c>
      <c r="G212" s="6" t="s">
        <v>206</v>
      </c>
      <c r="H212" s="6" t="s">
        <v>15</v>
      </c>
      <c r="I212" s="6" t="s">
        <v>574</v>
      </c>
      <c r="J212" s="6" t="s">
        <v>15</v>
      </c>
      <c r="K212" s="6" t="s">
        <v>1145</v>
      </c>
      <c r="L212" s="7">
        <v>0</v>
      </c>
      <c r="M212" s="7">
        <v>550000</v>
      </c>
      <c r="N212" s="11">
        <f t="shared" si="8"/>
        <v>550000</v>
      </c>
      <c r="O212" s="6" t="s">
        <v>34</v>
      </c>
      <c r="P212" s="30" t="s">
        <v>23</v>
      </c>
      <c r="Q212" s="12"/>
      <c r="R212" s="10"/>
      <c r="S212" s="17"/>
    </row>
    <row r="213" spans="1:19">
      <c r="A213" s="8" t="s">
        <v>736</v>
      </c>
      <c r="B213" s="6" t="s">
        <v>1035</v>
      </c>
      <c r="C213" s="14" t="s">
        <v>1432</v>
      </c>
      <c r="D213" s="6" t="s">
        <v>737</v>
      </c>
      <c r="E213" s="6" t="s">
        <v>27</v>
      </c>
      <c r="F213" s="6" t="s">
        <v>15</v>
      </c>
      <c r="G213" s="6" t="s">
        <v>16</v>
      </c>
      <c r="H213" s="6" t="s">
        <v>15</v>
      </c>
      <c r="I213" s="6" t="s">
        <v>434</v>
      </c>
      <c r="J213" s="6" t="s">
        <v>15</v>
      </c>
      <c r="K213" s="6" t="s">
        <v>793</v>
      </c>
      <c r="L213" s="7">
        <v>3036000</v>
      </c>
      <c r="M213" s="7">
        <v>134000</v>
      </c>
      <c r="N213" s="11">
        <f t="shared" si="8"/>
        <v>3170000</v>
      </c>
      <c r="O213" s="6" t="s">
        <v>34</v>
      </c>
      <c r="P213" s="30" t="s">
        <v>23</v>
      </c>
      <c r="Q213" s="12"/>
      <c r="R213" s="10"/>
      <c r="S213" s="17"/>
    </row>
    <row r="214" spans="1:19">
      <c r="A214" s="8" t="s">
        <v>736</v>
      </c>
      <c r="B214" s="6" t="s">
        <v>1146</v>
      </c>
      <c r="C214" s="14" t="s">
        <v>1434</v>
      </c>
      <c r="D214" s="6" t="s">
        <v>737</v>
      </c>
      <c r="E214" s="6" t="s">
        <v>753</v>
      </c>
      <c r="F214" s="6" t="s">
        <v>15</v>
      </c>
      <c r="G214" s="6" t="s">
        <v>16</v>
      </c>
      <c r="H214" s="6" t="s">
        <v>39</v>
      </c>
      <c r="I214" s="6" t="s">
        <v>130</v>
      </c>
      <c r="J214" s="6" t="s">
        <v>15</v>
      </c>
      <c r="K214" s="6" t="s">
        <v>1147</v>
      </c>
      <c r="L214" s="7">
        <v>2400000</v>
      </c>
      <c r="M214" s="7">
        <v>300000</v>
      </c>
      <c r="N214" s="11">
        <f t="shared" si="8"/>
        <v>2700000</v>
      </c>
      <c r="O214" s="6" t="s">
        <v>34</v>
      </c>
      <c r="P214" s="30" t="s">
        <v>23</v>
      </c>
      <c r="Q214" s="12"/>
      <c r="R214" s="10"/>
      <c r="S214" s="17"/>
    </row>
    <row r="215" spans="1:19">
      <c r="A215" s="8" t="s">
        <v>736</v>
      </c>
      <c r="B215" s="6" t="s">
        <v>1148</v>
      </c>
      <c r="C215" s="14" t="s">
        <v>1435</v>
      </c>
      <c r="D215" s="6" t="s">
        <v>737</v>
      </c>
      <c r="E215" s="6" t="s">
        <v>742</v>
      </c>
      <c r="F215" s="6" t="s">
        <v>15</v>
      </c>
      <c r="G215" s="6" t="s">
        <v>260</v>
      </c>
      <c r="H215" s="6" t="s">
        <v>15</v>
      </c>
      <c r="I215" s="6" t="s">
        <v>792</v>
      </c>
      <c r="J215" s="6" t="s">
        <v>15</v>
      </c>
      <c r="K215" s="6" t="s">
        <v>1149</v>
      </c>
      <c r="L215" s="7">
        <v>974000</v>
      </c>
      <c r="M215" s="7">
        <v>200000</v>
      </c>
      <c r="N215" s="11">
        <f t="shared" si="8"/>
        <v>1174000</v>
      </c>
      <c r="O215" s="6" t="s">
        <v>34</v>
      </c>
      <c r="P215" s="30" t="s">
        <v>23</v>
      </c>
      <c r="Q215" s="12"/>
      <c r="R215" s="10"/>
      <c r="S215" s="17">
        <f>VLOOKUP(C215,'[1]Current Old'!$A:$B,2,FALSE)</f>
        <v>40966</v>
      </c>
    </row>
    <row r="216" spans="1:19">
      <c r="A216" s="8" t="s">
        <v>736</v>
      </c>
      <c r="B216" s="6" t="s">
        <v>743</v>
      </c>
      <c r="C216" s="14" t="s">
        <v>1397</v>
      </c>
      <c r="D216" s="6" t="s">
        <v>737</v>
      </c>
      <c r="E216" s="6" t="s">
        <v>742</v>
      </c>
      <c r="F216" s="6" t="s">
        <v>15</v>
      </c>
      <c r="G216" s="6" t="s">
        <v>57</v>
      </c>
      <c r="H216" s="6" t="s">
        <v>15</v>
      </c>
      <c r="I216" s="6" t="s">
        <v>252</v>
      </c>
      <c r="J216" s="6" t="s">
        <v>15</v>
      </c>
      <c r="K216" s="6" t="s">
        <v>1004</v>
      </c>
      <c r="L216" s="7">
        <v>15850000</v>
      </c>
      <c r="M216" s="7">
        <v>118910000</v>
      </c>
      <c r="N216" s="11">
        <f t="shared" si="8"/>
        <v>134760000</v>
      </c>
      <c r="O216" s="6" t="s">
        <v>26</v>
      </c>
      <c r="P216" s="30" t="s">
        <v>23</v>
      </c>
      <c r="Q216" s="12"/>
      <c r="R216" s="10"/>
      <c r="S216" s="17"/>
    </row>
    <row r="217" spans="1:19">
      <c r="A217" s="8" t="s">
        <v>736</v>
      </c>
      <c r="B217" s="6" t="s">
        <v>1005</v>
      </c>
      <c r="C217" s="14" t="s">
        <v>1218</v>
      </c>
      <c r="D217" s="6" t="s">
        <v>737</v>
      </c>
      <c r="E217" s="6" t="s">
        <v>204</v>
      </c>
      <c r="F217" s="6" t="s">
        <v>15</v>
      </c>
      <c r="G217" s="6" t="s">
        <v>281</v>
      </c>
      <c r="H217" s="6" t="s">
        <v>15</v>
      </c>
      <c r="I217" s="6" t="s">
        <v>55</v>
      </c>
      <c r="J217" s="6" t="s">
        <v>15</v>
      </c>
      <c r="K217" s="6" t="s">
        <v>1006</v>
      </c>
      <c r="L217" s="7">
        <v>43120000</v>
      </c>
      <c r="M217" s="7">
        <v>256700000</v>
      </c>
      <c r="N217" s="11">
        <f t="shared" si="8"/>
        <v>299820000</v>
      </c>
      <c r="O217" s="6" t="s">
        <v>26</v>
      </c>
      <c r="P217" s="30" t="s">
        <v>23</v>
      </c>
      <c r="Q217" s="12"/>
      <c r="R217" s="10"/>
      <c r="S217" s="17"/>
    </row>
    <row r="218" spans="1:19">
      <c r="A218" s="8" t="s">
        <v>736</v>
      </c>
      <c r="B218" s="6" t="s">
        <v>771</v>
      </c>
      <c r="C218" s="14" t="s">
        <v>1403</v>
      </c>
      <c r="D218" s="6" t="s">
        <v>737</v>
      </c>
      <c r="E218" s="6" t="s">
        <v>29</v>
      </c>
      <c r="F218" s="6" t="s">
        <v>15</v>
      </c>
      <c r="G218" s="6" t="s">
        <v>86</v>
      </c>
      <c r="H218" s="6" t="s">
        <v>15</v>
      </c>
      <c r="I218" s="6" t="s">
        <v>86</v>
      </c>
      <c r="J218" s="6" t="s">
        <v>15</v>
      </c>
      <c r="K218" s="6" t="s">
        <v>1011</v>
      </c>
      <c r="L218" s="7">
        <v>0</v>
      </c>
      <c r="M218" s="7">
        <v>15000000</v>
      </c>
      <c r="N218" s="11">
        <f t="shared" si="8"/>
        <v>15000000</v>
      </c>
      <c r="O218" s="6" t="s">
        <v>26</v>
      </c>
      <c r="P218" s="30" t="s">
        <v>23</v>
      </c>
      <c r="Q218" s="12"/>
      <c r="R218" s="10"/>
      <c r="S218" s="17"/>
    </row>
    <row r="219" spans="1:19">
      <c r="A219" s="8" t="s">
        <v>736</v>
      </c>
      <c r="B219" s="6" t="s">
        <v>1012</v>
      </c>
      <c r="C219" s="14" t="s">
        <v>1406</v>
      </c>
      <c r="D219" s="6" t="s">
        <v>737</v>
      </c>
      <c r="E219" s="6" t="s">
        <v>753</v>
      </c>
      <c r="F219" s="6" t="s">
        <v>15</v>
      </c>
      <c r="G219" s="6" t="s">
        <v>16</v>
      </c>
      <c r="H219" s="6" t="s">
        <v>15</v>
      </c>
      <c r="I219" s="6" t="s">
        <v>299</v>
      </c>
      <c r="J219" s="6" t="s">
        <v>15</v>
      </c>
      <c r="K219" s="6" t="s">
        <v>1013</v>
      </c>
      <c r="L219" s="7">
        <v>0</v>
      </c>
      <c r="M219" s="7">
        <v>5098000</v>
      </c>
      <c r="N219" s="11">
        <f t="shared" si="8"/>
        <v>5098000</v>
      </c>
      <c r="O219" s="6" t="s">
        <v>26</v>
      </c>
      <c r="P219" s="30" t="s">
        <v>23</v>
      </c>
      <c r="Q219" s="12"/>
      <c r="R219" s="10"/>
      <c r="S219" s="17"/>
    </row>
    <row r="220" spans="1:19">
      <c r="A220" s="8" t="s">
        <v>736</v>
      </c>
      <c r="B220" s="6" t="s">
        <v>777</v>
      </c>
      <c r="C220" s="14" t="s">
        <v>1407</v>
      </c>
      <c r="D220" s="6" t="s">
        <v>737</v>
      </c>
      <c r="E220" s="6" t="s">
        <v>742</v>
      </c>
      <c r="F220" s="6" t="s">
        <v>15</v>
      </c>
      <c r="G220" s="6" t="s">
        <v>115</v>
      </c>
      <c r="H220" s="6" t="s">
        <v>15</v>
      </c>
      <c r="I220" s="6" t="s">
        <v>115</v>
      </c>
      <c r="J220" s="6" t="s">
        <v>15</v>
      </c>
      <c r="K220" s="6" t="s">
        <v>778</v>
      </c>
      <c r="L220" s="7">
        <v>0</v>
      </c>
      <c r="M220" s="7">
        <v>5000000</v>
      </c>
      <c r="N220" s="11">
        <f t="shared" si="8"/>
        <v>5000000</v>
      </c>
      <c r="O220" s="6" t="s">
        <v>26</v>
      </c>
      <c r="P220" s="30" t="s">
        <v>23</v>
      </c>
      <c r="Q220" s="12"/>
      <c r="R220" s="10"/>
      <c r="S220" s="17"/>
    </row>
    <row r="221" spans="1:19">
      <c r="A221" s="8" t="s">
        <v>736</v>
      </c>
      <c r="B221" s="6" t="s">
        <v>781</v>
      </c>
      <c r="C221" s="14" t="s">
        <v>1409</v>
      </c>
      <c r="D221" s="6" t="s">
        <v>737</v>
      </c>
      <c r="E221" s="6" t="s">
        <v>753</v>
      </c>
      <c r="F221" s="6" t="s">
        <v>15</v>
      </c>
      <c r="G221" s="6" t="s">
        <v>16</v>
      </c>
      <c r="H221" s="6" t="s">
        <v>15</v>
      </c>
      <c r="I221" s="6" t="s">
        <v>397</v>
      </c>
      <c r="J221" s="6" t="s">
        <v>15</v>
      </c>
      <c r="K221" s="6" t="s">
        <v>782</v>
      </c>
      <c r="L221" s="7">
        <v>2500000</v>
      </c>
      <c r="M221" s="7">
        <v>1500000</v>
      </c>
      <c r="N221" s="11">
        <f t="shared" si="8"/>
        <v>4000000</v>
      </c>
      <c r="O221" s="6" t="s">
        <v>26</v>
      </c>
      <c r="P221" s="30" t="s">
        <v>23</v>
      </c>
      <c r="Q221" s="12"/>
      <c r="R221" s="10"/>
      <c r="S221" s="17"/>
    </row>
    <row r="222" spans="1:19">
      <c r="A222" s="8" t="s">
        <v>736</v>
      </c>
      <c r="B222" s="6" t="s">
        <v>1014</v>
      </c>
      <c r="C222" s="14" t="s">
        <v>1410</v>
      </c>
      <c r="D222" s="6" t="s">
        <v>737</v>
      </c>
      <c r="E222" s="6" t="s">
        <v>752</v>
      </c>
      <c r="F222" s="6" t="s">
        <v>15</v>
      </c>
      <c r="G222" s="6" t="s">
        <v>350</v>
      </c>
      <c r="H222" s="6" t="s">
        <v>15</v>
      </c>
      <c r="I222" s="6" t="s">
        <v>499</v>
      </c>
      <c r="J222" s="6" t="s">
        <v>15</v>
      </c>
      <c r="K222" s="6" t="s">
        <v>1015</v>
      </c>
      <c r="L222" s="7">
        <v>0</v>
      </c>
      <c r="M222" s="7">
        <v>3090000</v>
      </c>
      <c r="N222" s="11">
        <f t="shared" si="8"/>
        <v>3090000</v>
      </c>
      <c r="O222" s="6" t="s">
        <v>26</v>
      </c>
      <c r="P222" s="30" t="s">
        <v>23</v>
      </c>
      <c r="Q222" s="12"/>
      <c r="R222" s="10"/>
      <c r="S222" s="17"/>
    </row>
    <row r="223" spans="1:19">
      <c r="A223" s="8" t="s">
        <v>736</v>
      </c>
      <c r="B223" s="6" t="s">
        <v>1016</v>
      </c>
      <c r="C223" s="14" t="s">
        <v>1411</v>
      </c>
      <c r="D223" s="6" t="s">
        <v>737</v>
      </c>
      <c r="E223" s="6" t="s">
        <v>204</v>
      </c>
      <c r="F223" s="6" t="s">
        <v>15</v>
      </c>
      <c r="G223" s="6" t="s">
        <v>283</v>
      </c>
      <c r="H223" s="6" t="s">
        <v>15</v>
      </c>
      <c r="I223" s="6" t="s">
        <v>336</v>
      </c>
      <c r="J223" s="6" t="s">
        <v>15</v>
      </c>
      <c r="K223" s="6" t="s">
        <v>1017</v>
      </c>
      <c r="L223" s="7">
        <v>0</v>
      </c>
      <c r="M223" s="7">
        <v>3859000</v>
      </c>
      <c r="N223" s="11">
        <f t="shared" si="8"/>
        <v>3859000</v>
      </c>
      <c r="O223" s="6" t="s">
        <v>26</v>
      </c>
      <c r="P223" s="30" t="s">
        <v>23</v>
      </c>
      <c r="Q223" s="12"/>
      <c r="R223" s="10"/>
      <c r="S223" s="17"/>
    </row>
    <row r="224" spans="1:19">
      <c r="A224" s="8" t="s">
        <v>736</v>
      </c>
      <c r="B224" s="6" t="s">
        <v>1018</v>
      </c>
      <c r="C224" s="14" t="s">
        <v>1412</v>
      </c>
      <c r="D224" s="6" t="s">
        <v>739</v>
      </c>
      <c r="E224" s="6" t="s">
        <v>27</v>
      </c>
      <c r="F224" s="6" t="s">
        <v>15</v>
      </c>
      <c r="G224" s="6" t="s">
        <v>16</v>
      </c>
      <c r="H224" s="6" t="s">
        <v>15</v>
      </c>
      <c r="I224" s="6" t="s">
        <v>256</v>
      </c>
      <c r="J224" s="6" t="s">
        <v>15</v>
      </c>
      <c r="K224" s="6" t="s">
        <v>784</v>
      </c>
      <c r="L224" s="7">
        <v>0</v>
      </c>
      <c r="M224" s="7">
        <v>499000</v>
      </c>
      <c r="N224" s="11">
        <f t="shared" si="8"/>
        <v>499000</v>
      </c>
      <c r="O224" s="6" t="s">
        <v>26</v>
      </c>
      <c r="P224" s="30" t="s">
        <v>23</v>
      </c>
      <c r="Q224" s="12"/>
      <c r="R224" s="10"/>
      <c r="S224" s="17"/>
    </row>
    <row r="225" spans="1:19">
      <c r="A225" s="8" t="s">
        <v>736</v>
      </c>
      <c r="B225" s="6" t="s">
        <v>785</v>
      </c>
      <c r="C225" s="14" t="s">
        <v>1413</v>
      </c>
      <c r="D225" s="6" t="s">
        <v>737</v>
      </c>
      <c r="E225" s="6" t="s">
        <v>742</v>
      </c>
      <c r="F225" s="6" t="s">
        <v>15</v>
      </c>
      <c r="G225" s="6" t="s">
        <v>187</v>
      </c>
      <c r="H225" s="6" t="s">
        <v>15</v>
      </c>
      <c r="I225" s="6" t="s">
        <v>747</v>
      </c>
      <c r="J225" s="6" t="s">
        <v>15</v>
      </c>
      <c r="K225" s="6" t="s">
        <v>784</v>
      </c>
      <c r="L225" s="7">
        <v>0</v>
      </c>
      <c r="M225" s="7">
        <v>3000000</v>
      </c>
      <c r="N225" s="11">
        <f t="shared" si="8"/>
        <v>3000000</v>
      </c>
      <c r="O225" s="6" t="s">
        <v>26</v>
      </c>
      <c r="P225" s="30" t="s">
        <v>23</v>
      </c>
      <c r="Q225" s="12"/>
      <c r="R225" s="10"/>
      <c r="S225" s="17"/>
    </row>
    <row r="226" spans="1:19">
      <c r="A226" s="8" t="s">
        <v>736</v>
      </c>
      <c r="B226" s="6" t="s">
        <v>790</v>
      </c>
      <c r="C226" s="14" t="s">
        <v>1416</v>
      </c>
      <c r="D226" s="6" t="s">
        <v>739</v>
      </c>
      <c r="E226" s="6" t="s">
        <v>29</v>
      </c>
      <c r="F226" s="6" t="s">
        <v>15</v>
      </c>
      <c r="G226" s="6" t="s">
        <v>356</v>
      </c>
      <c r="H226" s="6" t="s">
        <v>15</v>
      </c>
      <c r="I226" s="6" t="s">
        <v>128</v>
      </c>
      <c r="J226" s="6" t="s">
        <v>15</v>
      </c>
      <c r="K226" s="6" t="s">
        <v>789</v>
      </c>
      <c r="L226" s="7">
        <v>0</v>
      </c>
      <c r="M226" s="7">
        <v>544000</v>
      </c>
      <c r="N226" s="11">
        <f t="shared" si="8"/>
        <v>544000</v>
      </c>
      <c r="O226" s="6" t="s">
        <v>26</v>
      </c>
      <c r="P226" s="30" t="s">
        <v>23</v>
      </c>
      <c r="Q226" s="12"/>
      <c r="R226" s="10"/>
      <c r="S226" s="17"/>
    </row>
    <row r="227" spans="1:19">
      <c r="A227" s="8" t="s">
        <v>736</v>
      </c>
      <c r="B227" s="6" t="s">
        <v>538</v>
      </c>
      <c r="C227" s="14" t="s">
        <v>1417</v>
      </c>
      <c r="D227" s="6" t="s">
        <v>737</v>
      </c>
      <c r="E227" s="6" t="s">
        <v>204</v>
      </c>
      <c r="F227" s="6" t="s">
        <v>15</v>
      </c>
      <c r="G227" s="6" t="s">
        <v>1007</v>
      </c>
      <c r="H227" s="6" t="s">
        <v>15</v>
      </c>
      <c r="I227" s="6" t="s">
        <v>1007</v>
      </c>
      <c r="J227" s="6" t="s">
        <v>15</v>
      </c>
      <c r="K227" s="6" t="s">
        <v>1019</v>
      </c>
      <c r="L227" s="7">
        <v>0</v>
      </c>
      <c r="M227" s="7">
        <v>520000</v>
      </c>
      <c r="N227" s="11">
        <f t="shared" si="8"/>
        <v>520000</v>
      </c>
      <c r="O227" s="6" t="s">
        <v>26</v>
      </c>
      <c r="P227" s="30" t="s">
        <v>23</v>
      </c>
      <c r="Q227" s="12"/>
      <c r="R227" s="10"/>
      <c r="S227" s="17"/>
    </row>
    <row r="228" spans="1:19">
      <c r="A228" s="8" t="s">
        <v>736</v>
      </c>
      <c r="B228" s="6" t="s">
        <v>1020</v>
      </c>
      <c r="C228" s="14" t="s">
        <v>1418</v>
      </c>
      <c r="D228" s="6" t="s">
        <v>737</v>
      </c>
      <c r="E228" s="6" t="s">
        <v>746</v>
      </c>
      <c r="F228" s="6" t="s">
        <v>15</v>
      </c>
      <c r="G228" s="6" t="s">
        <v>333</v>
      </c>
      <c r="H228" s="6" t="s">
        <v>15</v>
      </c>
      <c r="I228" s="6" t="s">
        <v>16</v>
      </c>
      <c r="J228" s="6" t="s">
        <v>15</v>
      </c>
      <c r="K228" s="6" t="s">
        <v>1021</v>
      </c>
      <c r="L228" s="7">
        <v>900000</v>
      </c>
      <c r="M228" s="7">
        <v>200000</v>
      </c>
      <c r="N228" s="11">
        <f t="shared" si="8"/>
        <v>1100000</v>
      </c>
      <c r="O228" s="6" t="s">
        <v>26</v>
      </c>
      <c r="P228" s="30" t="s">
        <v>23</v>
      </c>
      <c r="Q228" s="12"/>
      <c r="R228" s="10"/>
      <c r="S228" s="17"/>
    </row>
    <row r="229" spans="1:19">
      <c r="A229" s="8" t="s">
        <v>736</v>
      </c>
      <c r="B229" s="6" t="s">
        <v>1022</v>
      </c>
      <c r="C229" s="14" t="s">
        <v>1419</v>
      </c>
      <c r="D229" s="6" t="s">
        <v>737</v>
      </c>
      <c r="E229" s="6" t="s">
        <v>752</v>
      </c>
      <c r="F229" s="6" t="s">
        <v>15</v>
      </c>
      <c r="G229" s="6" t="s">
        <v>388</v>
      </c>
      <c r="H229" s="6" t="s">
        <v>15</v>
      </c>
      <c r="I229" s="6" t="s">
        <v>361</v>
      </c>
      <c r="J229" s="6" t="s">
        <v>15</v>
      </c>
      <c r="K229" s="6" t="s">
        <v>1023</v>
      </c>
      <c r="L229" s="7">
        <v>0</v>
      </c>
      <c r="M229" s="7">
        <v>2040000</v>
      </c>
      <c r="N229" s="11">
        <f t="shared" si="8"/>
        <v>2040000</v>
      </c>
      <c r="O229" s="6" t="s">
        <v>26</v>
      </c>
      <c r="P229" s="30" t="s">
        <v>23</v>
      </c>
      <c r="Q229" s="12" t="s">
        <v>1530</v>
      </c>
      <c r="R229" s="10"/>
      <c r="S229" s="17">
        <f>VLOOKUP(C229,'[1]Current Old'!$A:$B,2,FALSE)</f>
        <v>40966</v>
      </c>
    </row>
    <row r="230" spans="1:19">
      <c r="A230" s="8" t="s">
        <v>736</v>
      </c>
      <c r="B230" s="6" t="s">
        <v>1024</v>
      </c>
      <c r="C230" s="14" t="s">
        <v>1420</v>
      </c>
      <c r="D230" s="6" t="s">
        <v>737</v>
      </c>
      <c r="E230" s="6" t="s">
        <v>751</v>
      </c>
      <c r="F230" s="6" t="s">
        <v>15</v>
      </c>
      <c r="G230" s="6" t="s">
        <v>534</v>
      </c>
      <c r="H230" s="6" t="s">
        <v>15</v>
      </c>
      <c r="I230" s="6" t="s">
        <v>325</v>
      </c>
      <c r="J230" s="6" t="s">
        <v>15</v>
      </c>
      <c r="K230" s="6" t="s">
        <v>1023</v>
      </c>
      <c r="L230" s="7">
        <v>0</v>
      </c>
      <c r="M230" s="7">
        <v>1100000</v>
      </c>
      <c r="N230" s="11">
        <f t="shared" si="8"/>
        <v>1100000</v>
      </c>
      <c r="O230" s="6" t="s">
        <v>26</v>
      </c>
      <c r="P230" s="30" t="s">
        <v>23</v>
      </c>
      <c r="Q230" s="12"/>
      <c r="R230" s="10"/>
      <c r="S230" s="17"/>
    </row>
    <row r="231" spans="1:19">
      <c r="A231" s="8" t="s">
        <v>736</v>
      </c>
      <c r="B231" s="6" t="s">
        <v>1025</v>
      </c>
      <c r="C231" s="14" t="s">
        <v>1421</v>
      </c>
      <c r="D231" s="6" t="s">
        <v>737</v>
      </c>
      <c r="E231" s="6" t="s">
        <v>760</v>
      </c>
      <c r="F231" s="6" t="s">
        <v>15</v>
      </c>
      <c r="G231" s="6" t="s">
        <v>117</v>
      </c>
      <c r="H231" s="6" t="s">
        <v>15</v>
      </c>
      <c r="I231" s="6" t="s">
        <v>141</v>
      </c>
      <c r="J231" s="6" t="s">
        <v>15</v>
      </c>
      <c r="K231" s="6" t="s">
        <v>1023</v>
      </c>
      <c r="L231" s="7">
        <v>0</v>
      </c>
      <c r="M231" s="7">
        <v>2300000</v>
      </c>
      <c r="N231" s="11">
        <f t="shared" si="8"/>
        <v>2300000</v>
      </c>
      <c r="O231" s="6" t="s">
        <v>26</v>
      </c>
      <c r="P231" s="30" t="s">
        <v>23</v>
      </c>
      <c r="Q231" s="12"/>
      <c r="R231" s="10"/>
      <c r="S231" s="17"/>
    </row>
    <row r="232" spans="1:19">
      <c r="A232" s="8" t="s">
        <v>736</v>
      </c>
      <c r="B232" s="6" t="s">
        <v>1026</v>
      </c>
      <c r="C232" s="14" t="s">
        <v>1422</v>
      </c>
      <c r="D232" s="6" t="s">
        <v>737</v>
      </c>
      <c r="E232" s="6" t="s">
        <v>744</v>
      </c>
      <c r="F232" s="6" t="s">
        <v>15</v>
      </c>
      <c r="G232" s="6" t="s">
        <v>279</v>
      </c>
      <c r="H232" s="6" t="s">
        <v>15</v>
      </c>
      <c r="I232" s="6" t="s">
        <v>223</v>
      </c>
      <c r="J232" s="6" t="s">
        <v>15</v>
      </c>
      <c r="K232" s="6" t="s">
        <v>1023</v>
      </c>
      <c r="L232" s="7">
        <v>0</v>
      </c>
      <c r="M232" s="7">
        <v>3270000</v>
      </c>
      <c r="N232" s="11">
        <f t="shared" si="8"/>
        <v>3270000</v>
      </c>
      <c r="O232" s="6" t="s">
        <v>26</v>
      </c>
      <c r="P232" s="30" t="s">
        <v>23</v>
      </c>
      <c r="Q232" s="12"/>
      <c r="R232" s="10"/>
      <c r="S232" s="17"/>
    </row>
    <row r="233" spans="1:19">
      <c r="A233" s="8" t="s">
        <v>736</v>
      </c>
      <c r="B233" s="6" t="s">
        <v>1027</v>
      </c>
      <c r="C233" s="14" t="s">
        <v>1423</v>
      </c>
      <c r="D233" s="6" t="s">
        <v>737</v>
      </c>
      <c r="E233" s="6" t="s">
        <v>738</v>
      </c>
      <c r="F233" s="6" t="s">
        <v>15</v>
      </c>
      <c r="G233" s="6" t="s">
        <v>65</v>
      </c>
      <c r="H233" s="6" t="s">
        <v>15</v>
      </c>
      <c r="I233" s="6" t="s">
        <v>199</v>
      </c>
      <c r="J233" s="6" t="s">
        <v>15</v>
      </c>
      <c r="K233" s="6" t="s">
        <v>1028</v>
      </c>
      <c r="L233" s="7">
        <v>0</v>
      </c>
      <c r="M233" s="7">
        <v>1750000</v>
      </c>
      <c r="N233" s="11">
        <f t="shared" si="8"/>
        <v>1750000</v>
      </c>
      <c r="O233" s="6" t="s">
        <v>26</v>
      </c>
      <c r="P233" s="30" t="s">
        <v>23</v>
      </c>
      <c r="Q233" s="12"/>
      <c r="R233" s="10"/>
      <c r="S233" s="17"/>
    </row>
    <row r="234" spans="1:19">
      <c r="A234" s="8" t="s">
        <v>736</v>
      </c>
      <c r="B234" s="6" t="s">
        <v>1029</v>
      </c>
      <c r="C234" s="14" t="s">
        <v>1424</v>
      </c>
      <c r="D234" s="6" t="s">
        <v>737</v>
      </c>
      <c r="E234" s="6" t="s">
        <v>699</v>
      </c>
      <c r="F234" s="6" t="s">
        <v>39</v>
      </c>
      <c r="G234" s="6" t="s">
        <v>297</v>
      </c>
      <c r="H234" s="6" t="s">
        <v>39</v>
      </c>
      <c r="I234" s="6" t="s">
        <v>710</v>
      </c>
      <c r="J234" s="6" t="s">
        <v>15</v>
      </c>
      <c r="K234" s="6" t="s">
        <v>242</v>
      </c>
      <c r="L234" s="7">
        <v>0</v>
      </c>
      <c r="M234" s="7">
        <v>4500000</v>
      </c>
      <c r="N234" s="11">
        <f t="shared" si="8"/>
        <v>4500000</v>
      </c>
      <c r="O234" s="6" t="s">
        <v>26</v>
      </c>
      <c r="P234" s="30" t="s">
        <v>23</v>
      </c>
      <c r="Q234" s="12"/>
      <c r="R234" s="10"/>
      <c r="S234" s="17"/>
    </row>
    <row r="235" spans="1:19">
      <c r="A235" s="8" t="s">
        <v>736</v>
      </c>
      <c r="B235" s="6" t="s">
        <v>1030</v>
      </c>
      <c r="C235" s="14" t="s">
        <v>1425</v>
      </c>
      <c r="D235" s="6" t="s">
        <v>739</v>
      </c>
      <c r="E235" s="6" t="s">
        <v>688</v>
      </c>
      <c r="F235" s="6" t="s">
        <v>15</v>
      </c>
      <c r="G235" s="6" t="s">
        <v>284</v>
      </c>
      <c r="H235" s="6" t="s">
        <v>15</v>
      </c>
      <c r="I235" s="6" t="s">
        <v>627</v>
      </c>
      <c r="J235" s="6" t="s">
        <v>15</v>
      </c>
      <c r="K235" s="6" t="s">
        <v>152</v>
      </c>
      <c r="L235" s="7">
        <v>1000000</v>
      </c>
      <c r="M235" s="7">
        <v>1500000</v>
      </c>
      <c r="N235" s="11">
        <f t="shared" si="8"/>
        <v>2500000</v>
      </c>
      <c r="O235" s="6" t="s">
        <v>26</v>
      </c>
      <c r="P235" s="30" t="s">
        <v>23</v>
      </c>
      <c r="Q235" s="12"/>
      <c r="R235" s="10"/>
      <c r="S235" s="17"/>
    </row>
    <row r="236" spans="1:19">
      <c r="A236" s="8" t="s">
        <v>736</v>
      </c>
      <c r="B236" s="6" t="s">
        <v>1031</v>
      </c>
      <c r="C236" s="14" t="s">
        <v>1426</v>
      </c>
      <c r="D236" s="6" t="s">
        <v>737</v>
      </c>
      <c r="E236" s="6" t="s">
        <v>742</v>
      </c>
      <c r="F236" s="6" t="s">
        <v>15</v>
      </c>
      <c r="G236" s="6" t="s">
        <v>690</v>
      </c>
      <c r="H236" s="6" t="s">
        <v>15</v>
      </c>
      <c r="I236" s="6" t="s">
        <v>16</v>
      </c>
      <c r="J236" s="6" t="s">
        <v>15</v>
      </c>
      <c r="K236" s="6" t="s">
        <v>1032</v>
      </c>
      <c r="L236" s="7">
        <v>0</v>
      </c>
      <c r="M236" s="7">
        <v>500000</v>
      </c>
      <c r="N236" s="11">
        <f t="shared" si="8"/>
        <v>500000</v>
      </c>
      <c r="O236" s="6" t="s">
        <v>26</v>
      </c>
      <c r="P236" s="30" t="s">
        <v>23</v>
      </c>
      <c r="Q236" s="12"/>
      <c r="R236" s="10"/>
      <c r="S236" s="17"/>
    </row>
    <row r="237" spans="1:19">
      <c r="A237" s="8" t="s">
        <v>736</v>
      </c>
      <c r="B237" s="6" t="s">
        <v>1033</v>
      </c>
      <c r="C237" s="14" t="s">
        <v>1427</v>
      </c>
      <c r="D237" s="6" t="s">
        <v>739</v>
      </c>
      <c r="E237" s="6" t="s">
        <v>662</v>
      </c>
      <c r="F237" s="6" t="s">
        <v>15</v>
      </c>
      <c r="G237" s="6" t="s">
        <v>101</v>
      </c>
      <c r="H237" s="6" t="s">
        <v>15</v>
      </c>
      <c r="I237" s="6" t="s">
        <v>281</v>
      </c>
      <c r="J237" s="6" t="s">
        <v>15</v>
      </c>
      <c r="K237" s="6" t="s">
        <v>1034</v>
      </c>
      <c r="L237" s="7">
        <v>1000000</v>
      </c>
      <c r="M237" s="7">
        <v>3000000</v>
      </c>
      <c r="N237" s="11">
        <f t="shared" si="8"/>
        <v>4000000</v>
      </c>
      <c r="O237" s="6" t="s">
        <v>26</v>
      </c>
      <c r="P237" s="30" t="s">
        <v>23</v>
      </c>
      <c r="Q237" s="12"/>
      <c r="R237" s="10"/>
      <c r="S237" s="17"/>
    </row>
    <row r="238" spans="1:19">
      <c r="A238" s="8" t="s">
        <v>736</v>
      </c>
      <c r="B238" s="6" t="s">
        <v>1099</v>
      </c>
      <c r="C238" s="14" t="s">
        <v>1429</v>
      </c>
      <c r="D238" s="6" t="s">
        <v>737</v>
      </c>
      <c r="E238" s="6" t="s">
        <v>742</v>
      </c>
      <c r="F238" s="6" t="s">
        <v>926</v>
      </c>
      <c r="G238" s="6" t="s">
        <v>279</v>
      </c>
      <c r="H238" s="6" t="s">
        <v>15</v>
      </c>
      <c r="I238" s="6" t="s">
        <v>16</v>
      </c>
      <c r="J238" s="6" t="s">
        <v>15</v>
      </c>
      <c r="K238" s="6" t="s">
        <v>1100</v>
      </c>
      <c r="L238" s="7">
        <v>0</v>
      </c>
      <c r="M238" s="7">
        <v>1250000</v>
      </c>
      <c r="N238" s="11">
        <f t="shared" si="8"/>
        <v>1250000</v>
      </c>
      <c r="O238" s="6" t="s">
        <v>26</v>
      </c>
      <c r="P238" s="30" t="s">
        <v>23</v>
      </c>
      <c r="Q238" s="12"/>
      <c r="R238" s="10"/>
      <c r="S238" s="17"/>
    </row>
    <row r="239" spans="1:19">
      <c r="A239" s="8" t="s">
        <v>736</v>
      </c>
      <c r="B239" s="6" t="s">
        <v>1101</v>
      </c>
      <c r="C239" s="14" t="s">
        <v>1430</v>
      </c>
      <c r="D239" s="6" t="s">
        <v>737</v>
      </c>
      <c r="E239" s="6" t="s">
        <v>742</v>
      </c>
      <c r="F239" s="6" t="s">
        <v>15</v>
      </c>
      <c r="G239" s="6" t="s">
        <v>591</v>
      </c>
      <c r="H239" s="6" t="s">
        <v>15</v>
      </c>
      <c r="I239" s="6" t="s">
        <v>825</v>
      </c>
      <c r="J239" s="6" t="s">
        <v>15</v>
      </c>
      <c r="K239" s="6" t="s">
        <v>1102</v>
      </c>
      <c r="L239" s="7">
        <v>0</v>
      </c>
      <c r="M239" s="7">
        <v>500000</v>
      </c>
      <c r="N239" s="11">
        <f t="shared" si="8"/>
        <v>500000</v>
      </c>
      <c r="O239" s="6" t="s">
        <v>26</v>
      </c>
      <c r="P239" s="30" t="s">
        <v>23</v>
      </c>
      <c r="Q239" s="12"/>
      <c r="R239" s="10"/>
      <c r="S239" s="17"/>
    </row>
    <row r="240" spans="1:19">
      <c r="A240" s="8" t="s">
        <v>736</v>
      </c>
      <c r="B240" s="6" t="s">
        <v>1036</v>
      </c>
      <c r="C240" s="14" t="s">
        <v>1433</v>
      </c>
      <c r="D240" s="6" t="s">
        <v>737</v>
      </c>
      <c r="E240" s="6" t="s">
        <v>1037</v>
      </c>
      <c r="F240" s="6" t="s">
        <v>39</v>
      </c>
      <c r="G240" s="6" t="s">
        <v>16</v>
      </c>
      <c r="H240" s="6" t="s">
        <v>39</v>
      </c>
      <c r="I240" s="6" t="s">
        <v>271</v>
      </c>
      <c r="J240" s="6" t="s">
        <v>15</v>
      </c>
      <c r="K240" s="6" t="s">
        <v>1038</v>
      </c>
      <c r="L240" s="7">
        <v>743000</v>
      </c>
      <c r="M240" s="7">
        <v>307000</v>
      </c>
      <c r="N240" s="11">
        <f t="shared" si="8"/>
        <v>1050000</v>
      </c>
      <c r="O240" s="6" t="s">
        <v>26</v>
      </c>
      <c r="P240" s="30" t="s">
        <v>23</v>
      </c>
      <c r="Q240" s="12"/>
      <c r="R240" s="10"/>
      <c r="S240" s="17"/>
    </row>
    <row r="241" spans="1:19">
      <c r="A241" s="8" t="s">
        <v>736</v>
      </c>
      <c r="B241" s="6" t="s">
        <v>764</v>
      </c>
      <c r="C241" s="14" t="s">
        <v>1399</v>
      </c>
      <c r="D241" s="6" t="s">
        <v>737</v>
      </c>
      <c r="E241" s="6" t="s">
        <v>742</v>
      </c>
      <c r="F241" s="6" t="s">
        <v>15</v>
      </c>
      <c r="G241" s="6" t="s">
        <v>500</v>
      </c>
      <c r="H241" s="6" t="s">
        <v>15</v>
      </c>
      <c r="I241" s="6" t="s">
        <v>402</v>
      </c>
      <c r="J241" s="6" t="s">
        <v>15</v>
      </c>
      <c r="K241" s="6" t="s">
        <v>1010</v>
      </c>
      <c r="L241" s="7">
        <v>37500000</v>
      </c>
      <c r="M241" s="7">
        <v>18000000</v>
      </c>
      <c r="N241" s="11">
        <f t="shared" si="8"/>
        <v>55500000</v>
      </c>
      <c r="O241" s="6" t="s">
        <v>215</v>
      </c>
      <c r="P241" s="30" t="s">
        <v>23</v>
      </c>
      <c r="Q241" s="12" t="s">
        <v>1530</v>
      </c>
      <c r="R241" s="10"/>
      <c r="S241" s="17"/>
    </row>
    <row r="242" spans="1:19">
      <c r="A242" s="8" t="s">
        <v>736</v>
      </c>
      <c r="B242" s="6" t="s">
        <v>768</v>
      </c>
      <c r="C242" s="14" t="s">
        <v>1401</v>
      </c>
      <c r="D242" s="6" t="s">
        <v>737</v>
      </c>
      <c r="E242" s="6" t="s">
        <v>108</v>
      </c>
      <c r="F242" s="6" t="s">
        <v>15</v>
      </c>
      <c r="G242" s="6" t="s">
        <v>16</v>
      </c>
      <c r="H242" s="6" t="s">
        <v>15</v>
      </c>
      <c r="I242" s="6" t="s">
        <v>16</v>
      </c>
      <c r="J242" s="6" t="s">
        <v>15</v>
      </c>
      <c r="K242" s="6" t="s">
        <v>769</v>
      </c>
      <c r="L242" s="7">
        <v>0</v>
      </c>
      <c r="M242" s="7">
        <v>1453000</v>
      </c>
      <c r="N242" s="11">
        <f t="shared" si="8"/>
        <v>1453000</v>
      </c>
      <c r="O242" s="6" t="s">
        <v>22</v>
      </c>
      <c r="P242" s="30" t="s">
        <v>25</v>
      </c>
      <c r="Q242" s="12"/>
      <c r="R242" s="10"/>
      <c r="S242" s="17"/>
    </row>
    <row r="243" spans="1:19">
      <c r="A243" s="8" t="s">
        <v>736</v>
      </c>
      <c r="B243" s="6" t="s">
        <v>770</v>
      </c>
      <c r="C243" s="14" t="s">
        <v>1402</v>
      </c>
      <c r="D243" s="6" t="s">
        <v>737</v>
      </c>
      <c r="E243" s="6" t="s">
        <v>108</v>
      </c>
      <c r="F243" s="6" t="s">
        <v>15</v>
      </c>
      <c r="G243" s="6" t="s">
        <v>16</v>
      </c>
      <c r="H243" s="6" t="s">
        <v>15</v>
      </c>
      <c r="I243" s="6" t="s">
        <v>16</v>
      </c>
      <c r="J243" s="6" t="s">
        <v>15</v>
      </c>
      <c r="K243" s="6" t="s">
        <v>769</v>
      </c>
      <c r="L243" s="7">
        <v>0</v>
      </c>
      <c r="M243" s="7">
        <v>2600000</v>
      </c>
      <c r="N243" s="11">
        <f t="shared" si="8"/>
        <v>2600000</v>
      </c>
      <c r="O243" s="6" t="s">
        <v>22</v>
      </c>
      <c r="P243" s="30" t="s">
        <v>25</v>
      </c>
      <c r="Q243" s="12"/>
      <c r="R243" s="10"/>
      <c r="S243" s="17"/>
    </row>
    <row r="244" spans="1:19">
      <c r="A244" s="8" t="s">
        <v>736</v>
      </c>
      <c r="B244" s="6" t="s">
        <v>1083</v>
      </c>
      <c r="C244" s="14" t="s">
        <v>1428</v>
      </c>
      <c r="D244" s="6" t="s">
        <v>737</v>
      </c>
      <c r="E244" s="6" t="s">
        <v>748</v>
      </c>
      <c r="F244" s="6" t="s">
        <v>15</v>
      </c>
      <c r="G244" s="6" t="s">
        <v>273</v>
      </c>
      <c r="H244" s="6" t="s">
        <v>15</v>
      </c>
      <c r="I244" s="6" t="s">
        <v>273</v>
      </c>
      <c r="J244" s="6" t="s">
        <v>15</v>
      </c>
      <c r="K244" s="6" t="s">
        <v>1084</v>
      </c>
      <c r="L244" s="7">
        <v>0</v>
      </c>
      <c r="M244" s="7">
        <v>415000</v>
      </c>
      <c r="N244" s="11">
        <f t="shared" si="8"/>
        <v>415000</v>
      </c>
      <c r="O244" s="6" t="s">
        <v>22</v>
      </c>
      <c r="P244" s="30" t="s">
        <v>25</v>
      </c>
      <c r="Q244" s="12"/>
      <c r="R244" s="10"/>
      <c r="S244" s="17"/>
    </row>
    <row r="245" spans="1:19">
      <c r="A245" s="8" t="s">
        <v>736</v>
      </c>
      <c r="B245" s="6" t="s">
        <v>774</v>
      </c>
      <c r="C245" s="14" t="s">
        <v>1405</v>
      </c>
      <c r="D245" s="6" t="s">
        <v>737</v>
      </c>
      <c r="E245" s="6" t="s">
        <v>29</v>
      </c>
      <c r="F245" s="6" t="s">
        <v>15</v>
      </c>
      <c r="G245" s="6" t="s">
        <v>457</v>
      </c>
      <c r="H245" s="6" t="s">
        <v>15</v>
      </c>
      <c r="I245" s="6" t="s">
        <v>775</v>
      </c>
      <c r="J245" s="6" t="s">
        <v>15</v>
      </c>
      <c r="K245" s="6" t="s">
        <v>776</v>
      </c>
      <c r="L245" s="7">
        <v>2658000</v>
      </c>
      <c r="M245" s="7">
        <v>583000</v>
      </c>
      <c r="N245" s="11">
        <f t="shared" si="8"/>
        <v>3241000</v>
      </c>
      <c r="O245" s="6" t="s">
        <v>24</v>
      </c>
      <c r="P245" s="30" t="s">
        <v>25</v>
      </c>
      <c r="Q245" s="12"/>
      <c r="R245" s="10"/>
      <c r="S245" s="17"/>
    </row>
    <row r="246" spans="1:19">
      <c r="A246" s="8" t="s">
        <v>736</v>
      </c>
      <c r="B246" s="6" t="s">
        <v>779</v>
      </c>
      <c r="C246" s="14" t="s">
        <v>1408</v>
      </c>
      <c r="D246" s="6" t="s">
        <v>737</v>
      </c>
      <c r="E246" s="6" t="s">
        <v>204</v>
      </c>
      <c r="F246" s="6" t="s">
        <v>15</v>
      </c>
      <c r="G246" s="6" t="s">
        <v>132</v>
      </c>
      <c r="H246" s="6" t="s">
        <v>15</v>
      </c>
      <c r="I246" s="6" t="s">
        <v>362</v>
      </c>
      <c r="J246" s="6" t="s">
        <v>15</v>
      </c>
      <c r="K246" s="6" t="s">
        <v>780</v>
      </c>
      <c r="L246" s="7">
        <v>0</v>
      </c>
      <c r="M246" s="7">
        <v>2034000</v>
      </c>
      <c r="N246" s="11">
        <f t="shared" si="8"/>
        <v>2034000</v>
      </c>
      <c r="O246" s="6" t="s">
        <v>24</v>
      </c>
      <c r="P246" s="30" t="s">
        <v>25</v>
      </c>
      <c r="Q246" s="12"/>
      <c r="R246" s="10"/>
      <c r="S246" s="17"/>
    </row>
    <row r="247" spans="1:19">
      <c r="A247" s="8" t="s">
        <v>736</v>
      </c>
      <c r="B247" s="6" t="s">
        <v>786</v>
      </c>
      <c r="C247" s="14" t="s">
        <v>1414</v>
      </c>
      <c r="D247" s="6" t="s">
        <v>737</v>
      </c>
      <c r="E247" s="6" t="s">
        <v>744</v>
      </c>
      <c r="F247" s="6" t="s">
        <v>15</v>
      </c>
      <c r="G247" s="6" t="s">
        <v>60</v>
      </c>
      <c r="H247" s="6" t="s">
        <v>15</v>
      </c>
      <c r="I247" s="6" t="s">
        <v>275</v>
      </c>
      <c r="J247" s="6" t="s">
        <v>15</v>
      </c>
      <c r="K247" s="6" t="s">
        <v>787</v>
      </c>
      <c r="L247" s="7">
        <v>6147000</v>
      </c>
      <c r="M247" s="7">
        <v>2553000</v>
      </c>
      <c r="N247" s="11">
        <f t="shared" si="8"/>
        <v>8700000</v>
      </c>
      <c r="O247" s="6" t="s">
        <v>24</v>
      </c>
      <c r="P247" s="30" t="s">
        <v>25</v>
      </c>
      <c r="Q247" s="12"/>
      <c r="R247" s="10"/>
      <c r="S247" s="17"/>
    </row>
    <row r="248" spans="1:19">
      <c r="A248" s="8" t="s">
        <v>736</v>
      </c>
      <c r="B248" s="6" t="s">
        <v>788</v>
      </c>
      <c r="C248" s="14" t="s">
        <v>1415</v>
      </c>
      <c r="D248" s="6" t="s">
        <v>737</v>
      </c>
      <c r="E248" s="6" t="s">
        <v>204</v>
      </c>
      <c r="F248" s="6" t="s">
        <v>15</v>
      </c>
      <c r="G248" s="6" t="s">
        <v>296</v>
      </c>
      <c r="H248" s="6" t="s">
        <v>15</v>
      </c>
      <c r="I248" s="6" t="s">
        <v>646</v>
      </c>
      <c r="J248" s="6" t="s">
        <v>15</v>
      </c>
      <c r="K248" s="6" t="s">
        <v>789</v>
      </c>
      <c r="L248" s="7">
        <v>0</v>
      </c>
      <c r="M248" s="7">
        <v>1647000</v>
      </c>
      <c r="N248" s="11">
        <f t="shared" si="8"/>
        <v>1647000</v>
      </c>
      <c r="O248" s="6" t="s">
        <v>24</v>
      </c>
      <c r="P248" s="30" t="s">
        <v>25</v>
      </c>
      <c r="Q248" s="12"/>
      <c r="R248" s="10"/>
      <c r="S248" s="17"/>
    </row>
    <row r="249" spans="1:19" ht="15">
      <c r="A249" s="43"/>
      <c r="B249" s="23"/>
      <c r="C249" s="19"/>
      <c r="D249" s="23"/>
      <c r="E249" s="23"/>
      <c r="F249" s="23"/>
      <c r="G249" s="23"/>
      <c r="H249" s="23"/>
      <c r="I249" s="23"/>
      <c r="J249" s="23"/>
      <c r="K249" s="20" t="s">
        <v>1542</v>
      </c>
      <c r="L249" s="24"/>
      <c r="M249" s="24"/>
      <c r="N249" s="22">
        <f>SUM(N207:N248)</f>
        <v>889682000</v>
      </c>
      <c r="O249" s="23"/>
      <c r="P249" s="31"/>
      <c r="Q249" s="32"/>
      <c r="R249" s="19"/>
      <c r="S249" s="17"/>
    </row>
    <row r="250" spans="1:19">
      <c r="A250" s="8" t="s">
        <v>795</v>
      </c>
      <c r="B250" s="6" t="s">
        <v>820</v>
      </c>
      <c r="C250" s="14" t="s">
        <v>1441</v>
      </c>
      <c r="D250" s="6" t="s">
        <v>796</v>
      </c>
      <c r="E250" s="6" t="s">
        <v>802</v>
      </c>
      <c r="F250" s="6" t="s">
        <v>15</v>
      </c>
      <c r="G250" s="6" t="s">
        <v>115</v>
      </c>
      <c r="H250" s="6" t="s">
        <v>15</v>
      </c>
      <c r="I250" s="6" t="s">
        <v>115</v>
      </c>
      <c r="J250" s="6" t="s">
        <v>15</v>
      </c>
      <c r="K250" s="6" t="s">
        <v>821</v>
      </c>
      <c r="L250" s="7">
        <v>0</v>
      </c>
      <c r="M250" s="7">
        <v>21728000</v>
      </c>
      <c r="N250" s="11">
        <f t="shared" ref="N250:N287" si="9">SUM(L250:M250)</f>
        <v>21728000</v>
      </c>
      <c r="O250" s="6" t="s">
        <v>22</v>
      </c>
      <c r="P250" s="30" t="s">
        <v>23</v>
      </c>
      <c r="Q250" s="12"/>
      <c r="R250" s="10"/>
      <c r="S250" s="17"/>
    </row>
    <row r="251" spans="1:19">
      <c r="A251" s="8" t="s">
        <v>795</v>
      </c>
      <c r="B251" s="6" t="s">
        <v>838</v>
      </c>
      <c r="C251" s="14" t="s">
        <v>1450</v>
      </c>
      <c r="D251" s="6" t="s">
        <v>796</v>
      </c>
      <c r="E251" s="6" t="s">
        <v>800</v>
      </c>
      <c r="F251" s="6" t="s">
        <v>15</v>
      </c>
      <c r="G251" s="6" t="s">
        <v>107</v>
      </c>
      <c r="H251" s="6" t="s">
        <v>15</v>
      </c>
      <c r="I251" s="6" t="s">
        <v>839</v>
      </c>
      <c r="J251" s="6" t="s">
        <v>15</v>
      </c>
      <c r="K251" s="6" t="s">
        <v>840</v>
      </c>
      <c r="L251" s="7">
        <v>0</v>
      </c>
      <c r="M251" s="7">
        <v>3066000</v>
      </c>
      <c r="N251" s="11">
        <f t="shared" si="9"/>
        <v>3066000</v>
      </c>
      <c r="O251" s="6" t="s">
        <v>22</v>
      </c>
      <c r="P251" s="30" t="s">
        <v>23</v>
      </c>
      <c r="Q251" s="12"/>
      <c r="R251" s="10"/>
      <c r="S251" s="17"/>
    </row>
    <row r="252" spans="1:19">
      <c r="A252" s="8" t="s">
        <v>795</v>
      </c>
      <c r="B252" s="6" t="s">
        <v>828</v>
      </c>
      <c r="C252" s="14" t="s">
        <v>1443</v>
      </c>
      <c r="D252" s="6" t="s">
        <v>799</v>
      </c>
      <c r="E252" s="6" t="s">
        <v>742</v>
      </c>
      <c r="F252" s="6" t="s">
        <v>15</v>
      </c>
      <c r="G252" s="6" t="s">
        <v>284</v>
      </c>
      <c r="H252" s="6" t="s">
        <v>15</v>
      </c>
      <c r="I252" s="6" t="s">
        <v>16</v>
      </c>
      <c r="J252" s="6" t="s">
        <v>15</v>
      </c>
      <c r="K252" s="6" t="s">
        <v>1039</v>
      </c>
      <c r="L252" s="7">
        <v>1909000</v>
      </c>
      <c r="M252" s="7">
        <v>240000</v>
      </c>
      <c r="N252" s="11">
        <f t="shared" si="9"/>
        <v>2149000</v>
      </c>
      <c r="O252" s="6" t="s">
        <v>24</v>
      </c>
      <c r="P252" s="30" t="s">
        <v>23</v>
      </c>
      <c r="Q252" s="12"/>
      <c r="R252" s="10"/>
      <c r="S252" s="17"/>
    </row>
    <row r="253" spans="1:19">
      <c r="A253" s="8" t="s">
        <v>795</v>
      </c>
      <c r="B253" s="6" t="s">
        <v>648</v>
      </c>
      <c r="C253" s="14" t="s">
        <v>1459</v>
      </c>
      <c r="D253" s="6" t="s">
        <v>799</v>
      </c>
      <c r="E253" s="6" t="s">
        <v>836</v>
      </c>
      <c r="F253" s="6" t="s">
        <v>15</v>
      </c>
      <c r="G253" s="6" t="s">
        <v>16</v>
      </c>
      <c r="H253" s="6" t="s">
        <v>39</v>
      </c>
      <c r="I253" s="6" t="s">
        <v>440</v>
      </c>
      <c r="J253" s="6" t="s">
        <v>15</v>
      </c>
      <c r="K253" s="6" t="s">
        <v>1155</v>
      </c>
      <c r="L253" s="7">
        <v>414000</v>
      </c>
      <c r="M253" s="7">
        <v>370000</v>
      </c>
      <c r="N253" s="11">
        <f t="shared" si="9"/>
        <v>784000</v>
      </c>
      <c r="O253" s="6" t="s">
        <v>24</v>
      </c>
      <c r="P253" s="30" t="s">
        <v>23</v>
      </c>
      <c r="Q253" s="12"/>
      <c r="R253" s="10"/>
      <c r="S253" s="17"/>
    </row>
    <row r="254" spans="1:19">
      <c r="A254" s="8" t="s">
        <v>795</v>
      </c>
      <c r="B254" s="6" t="s">
        <v>852</v>
      </c>
      <c r="C254" s="14" t="s">
        <v>1465</v>
      </c>
      <c r="D254" s="6" t="s">
        <v>796</v>
      </c>
      <c r="E254" s="6" t="s">
        <v>684</v>
      </c>
      <c r="F254" s="6" t="s">
        <v>15</v>
      </c>
      <c r="G254" s="6" t="s">
        <v>216</v>
      </c>
      <c r="H254" s="6" t="s">
        <v>15</v>
      </c>
      <c r="I254" s="6" t="s">
        <v>83</v>
      </c>
      <c r="J254" s="6" t="s">
        <v>15</v>
      </c>
      <c r="K254" s="6" t="s">
        <v>631</v>
      </c>
      <c r="L254" s="7">
        <v>0</v>
      </c>
      <c r="M254" s="7">
        <v>548000</v>
      </c>
      <c r="N254" s="11">
        <f t="shared" si="9"/>
        <v>548000</v>
      </c>
      <c r="O254" s="6" t="s">
        <v>24</v>
      </c>
      <c r="P254" s="30" t="s">
        <v>23</v>
      </c>
      <c r="Q254" s="12"/>
      <c r="R254" s="10"/>
      <c r="S254" s="17"/>
    </row>
    <row r="255" spans="1:19">
      <c r="A255" s="8" t="s">
        <v>795</v>
      </c>
      <c r="B255" s="6" t="s">
        <v>1054</v>
      </c>
      <c r="C255" s="14" t="s">
        <v>1470</v>
      </c>
      <c r="D255" s="6" t="s">
        <v>796</v>
      </c>
      <c r="E255" s="6" t="s">
        <v>742</v>
      </c>
      <c r="F255" s="6" t="s">
        <v>15</v>
      </c>
      <c r="G255" s="6" t="s">
        <v>199</v>
      </c>
      <c r="H255" s="6" t="s">
        <v>15</v>
      </c>
      <c r="I255" s="6" t="s">
        <v>180</v>
      </c>
      <c r="J255" s="6" t="s">
        <v>15</v>
      </c>
      <c r="K255" s="6" t="s">
        <v>1055</v>
      </c>
      <c r="L255" s="7">
        <v>0</v>
      </c>
      <c r="M255" s="7">
        <v>200000</v>
      </c>
      <c r="N255" s="11">
        <f t="shared" si="9"/>
        <v>200000</v>
      </c>
      <c r="O255" s="6" t="s">
        <v>24</v>
      </c>
      <c r="P255" s="30" t="s">
        <v>23</v>
      </c>
      <c r="Q255" s="12" t="s">
        <v>1530</v>
      </c>
      <c r="R255" s="10"/>
      <c r="S255" s="17"/>
    </row>
    <row r="256" spans="1:19">
      <c r="A256" s="8" t="s">
        <v>795</v>
      </c>
      <c r="B256" s="6" t="s">
        <v>804</v>
      </c>
      <c r="C256" s="14" t="s">
        <v>1221</v>
      </c>
      <c r="D256" s="6" t="s">
        <v>796</v>
      </c>
      <c r="E256" s="6" t="s">
        <v>805</v>
      </c>
      <c r="F256" s="6" t="s">
        <v>15</v>
      </c>
      <c r="G256" s="6" t="s">
        <v>175</v>
      </c>
      <c r="H256" s="6" t="s">
        <v>15</v>
      </c>
      <c r="I256" s="6" t="s">
        <v>286</v>
      </c>
      <c r="J256" s="6" t="s">
        <v>15</v>
      </c>
      <c r="K256" s="6" t="s">
        <v>806</v>
      </c>
      <c r="L256" s="7">
        <v>0</v>
      </c>
      <c r="M256" s="7">
        <v>11341000</v>
      </c>
      <c r="N256" s="11">
        <f t="shared" si="9"/>
        <v>11341000</v>
      </c>
      <c r="O256" s="6" t="s">
        <v>34</v>
      </c>
      <c r="P256" s="30" t="s">
        <v>23</v>
      </c>
      <c r="Q256" s="12"/>
      <c r="R256" s="10"/>
      <c r="S256" s="17"/>
    </row>
    <row r="257" spans="1:19">
      <c r="A257" s="8" t="s">
        <v>795</v>
      </c>
      <c r="B257" s="6" t="s">
        <v>809</v>
      </c>
      <c r="C257" s="14" t="s">
        <v>1437</v>
      </c>
      <c r="D257" s="6" t="s">
        <v>799</v>
      </c>
      <c r="E257" s="6" t="s">
        <v>797</v>
      </c>
      <c r="F257" s="6" t="s">
        <v>15</v>
      </c>
      <c r="G257" s="6" t="s">
        <v>95</v>
      </c>
      <c r="H257" s="6" t="s">
        <v>15</v>
      </c>
      <c r="I257" s="6" t="s">
        <v>36</v>
      </c>
      <c r="J257" s="6" t="s">
        <v>15</v>
      </c>
      <c r="K257" s="6" t="s">
        <v>810</v>
      </c>
      <c r="L257" s="7">
        <v>0</v>
      </c>
      <c r="M257" s="7">
        <v>15391000</v>
      </c>
      <c r="N257" s="11">
        <f t="shared" si="9"/>
        <v>15391000</v>
      </c>
      <c r="O257" s="6" t="s">
        <v>34</v>
      </c>
      <c r="P257" s="30" t="s">
        <v>23</v>
      </c>
      <c r="Q257" s="12"/>
      <c r="R257" s="10"/>
      <c r="S257" s="17"/>
    </row>
    <row r="258" spans="1:19">
      <c r="A258" s="8" t="s">
        <v>795</v>
      </c>
      <c r="B258" s="6" t="s">
        <v>816</v>
      </c>
      <c r="C258" s="14" t="s">
        <v>1439</v>
      </c>
      <c r="D258" s="6" t="s">
        <v>799</v>
      </c>
      <c r="E258" s="6" t="s">
        <v>815</v>
      </c>
      <c r="F258" s="6" t="s">
        <v>15</v>
      </c>
      <c r="G258" s="6" t="s">
        <v>119</v>
      </c>
      <c r="H258" s="6" t="s">
        <v>15</v>
      </c>
      <c r="I258" s="6" t="s">
        <v>527</v>
      </c>
      <c r="J258" s="6" t="s">
        <v>15</v>
      </c>
      <c r="K258" s="6" t="s">
        <v>817</v>
      </c>
      <c r="L258" s="7">
        <v>0</v>
      </c>
      <c r="M258" s="7">
        <v>1027000</v>
      </c>
      <c r="N258" s="11">
        <f t="shared" si="9"/>
        <v>1027000</v>
      </c>
      <c r="O258" s="6" t="s">
        <v>34</v>
      </c>
      <c r="P258" s="30" t="s">
        <v>23</v>
      </c>
      <c r="Q258" s="12"/>
      <c r="R258" s="10"/>
      <c r="S258" s="17"/>
    </row>
    <row r="259" spans="1:19">
      <c r="A259" s="8" t="s">
        <v>795</v>
      </c>
      <c r="B259" s="6" t="s">
        <v>832</v>
      </c>
      <c r="C259" s="14" t="s">
        <v>1445</v>
      </c>
      <c r="D259" s="6" t="s">
        <v>799</v>
      </c>
      <c r="E259" s="6" t="s">
        <v>745</v>
      </c>
      <c r="F259" s="6" t="s">
        <v>15</v>
      </c>
      <c r="G259" s="6" t="s">
        <v>299</v>
      </c>
      <c r="H259" s="6" t="s">
        <v>15</v>
      </c>
      <c r="I259" s="6" t="s">
        <v>394</v>
      </c>
      <c r="J259" s="6" t="s">
        <v>15</v>
      </c>
      <c r="K259" s="6" t="s">
        <v>1040</v>
      </c>
      <c r="L259" s="7">
        <v>0</v>
      </c>
      <c r="M259" s="7">
        <v>330000</v>
      </c>
      <c r="N259" s="11">
        <f t="shared" si="9"/>
        <v>330000</v>
      </c>
      <c r="O259" s="6" t="s">
        <v>34</v>
      </c>
      <c r="P259" s="30" t="s">
        <v>23</v>
      </c>
      <c r="Q259" s="12"/>
      <c r="R259" s="10"/>
      <c r="S259" s="17"/>
    </row>
    <row r="260" spans="1:19">
      <c r="A260" s="8" t="s">
        <v>795</v>
      </c>
      <c r="B260" s="6" t="s">
        <v>833</v>
      </c>
      <c r="C260" s="14" t="s">
        <v>1446</v>
      </c>
      <c r="D260" s="6" t="s">
        <v>796</v>
      </c>
      <c r="E260" s="6" t="s">
        <v>823</v>
      </c>
      <c r="F260" s="6" t="s">
        <v>15</v>
      </c>
      <c r="G260" s="6" t="s">
        <v>38</v>
      </c>
      <c r="H260" s="6" t="s">
        <v>15</v>
      </c>
      <c r="I260" s="6" t="s">
        <v>834</v>
      </c>
      <c r="J260" s="6" t="s">
        <v>15</v>
      </c>
      <c r="K260" s="6" t="s">
        <v>1041</v>
      </c>
      <c r="L260" s="7">
        <v>0</v>
      </c>
      <c r="M260" s="7">
        <v>835000</v>
      </c>
      <c r="N260" s="11">
        <f t="shared" si="9"/>
        <v>835000</v>
      </c>
      <c r="O260" s="6" t="s">
        <v>34</v>
      </c>
      <c r="P260" s="30" t="s">
        <v>23</v>
      </c>
      <c r="Q260" s="12"/>
      <c r="R260" s="10"/>
      <c r="S260" s="17"/>
    </row>
    <row r="261" spans="1:19">
      <c r="A261" s="8" t="s">
        <v>795</v>
      </c>
      <c r="B261" s="6" t="s">
        <v>1150</v>
      </c>
      <c r="C261" s="14" t="s">
        <v>1447</v>
      </c>
      <c r="D261" s="6" t="s">
        <v>796</v>
      </c>
      <c r="E261" s="6" t="s">
        <v>798</v>
      </c>
      <c r="F261" s="6" t="s">
        <v>15</v>
      </c>
      <c r="G261" s="6" t="s">
        <v>66</v>
      </c>
      <c r="H261" s="6" t="s">
        <v>15</v>
      </c>
      <c r="I261" s="6" t="s">
        <v>241</v>
      </c>
      <c r="J261" s="6" t="s">
        <v>15</v>
      </c>
      <c r="K261" s="6" t="s">
        <v>1151</v>
      </c>
      <c r="L261" s="7">
        <v>0</v>
      </c>
      <c r="M261" s="7">
        <v>441000</v>
      </c>
      <c r="N261" s="11">
        <f t="shared" si="9"/>
        <v>441000</v>
      </c>
      <c r="O261" s="6" t="s">
        <v>34</v>
      </c>
      <c r="P261" s="30" t="s">
        <v>23</v>
      </c>
      <c r="Q261" s="12"/>
      <c r="R261" s="10"/>
      <c r="S261" s="17"/>
    </row>
    <row r="262" spans="1:19">
      <c r="A262" s="8" t="s">
        <v>795</v>
      </c>
      <c r="B262" s="6" t="s">
        <v>635</v>
      </c>
      <c r="C262" s="14" t="s">
        <v>1448</v>
      </c>
      <c r="D262" s="6" t="s">
        <v>799</v>
      </c>
      <c r="E262" s="6" t="s">
        <v>815</v>
      </c>
      <c r="F262" s="6" t="s">
        <v>15</v>
      </c>
      <c r="G262" s="6" t="s">
        <v>480</v>
      </c>
      <c r="H262" s="6" t="s">
        <v>15</v>
      </c>
      <c r="I262" s="6" t="s">
        <v>16</v>
      </c>
      <c r="J262" s="6" t="s">
        <v>15</v>
      </c>
      <c r="K262" s="6" t="s">
        <v>420</v>
      </c>
      <c r="L262" s="7">
        <v>0</v>
      </c>
      <c r="M262" s="7">
        <v>702000</v>
      </c>
      <c r="N262" s="11">
        <f t="shared" si="9"/>
        <v>702000</v>
      </c>
      <c r="O262" s="6" t="s">
        <v>34</v>
      </c>
      <c r="P262" s="30" t="s">
        <v>23</v>
      </c>
      <c r="Q262" s="12"/>
      <c r="R262" s="10"/>
      <c r="S262" s="17"/>
    </row>
    <row r="263" spans="1:19">
      <c r="A263" s="8" t="s">
        <v>795</v>
      </c>
      <c r="B263" s="6" t="s">
        <v>1042</v>
      </c>
      <c r="C263" s="14" t="s">
        <v>1222</v>
      </c>
      <c r="D263" s="6" t="s">
        <v>799</v>
      </c>
      <c r="E263" s="6" t="s">
        <v>797</v>
      </c>
      <c r="F263" s="6" t="s">
        <v>15</v>
      </c>
      <c r="G263" s="6" t="s">
        <v>312</v>
      </c>
      <c r="H263" s="6" t="s">
        <v>15</v>
      </c>
      <c r="I263" s="6" t="s">
        <v>36</v>
      </c>
      <c r="J263" s="6" t="s">
        <v>15</v>
      </c>
      <c r="K263" s="6" t="s">
        <v>1043</v>
      </c>
      <c r="L263" s="7">
        <v>38497000</v>
      </c>
      <c r="M263" s="7">
        <v>96353000</v>
      </c>
      <c r="N263" s="11">
        <f t="shared" si="9"/>
        <v>134850000</v>
      </c>
      <c r="O263" s="6" t="s">
        <v>34</v>
      </c>
      <c r="P263" s="30" t="s">
        <v>23</v>
      </c>
      <c r="Q263" s="12"/>
      <c r="R263" s="10"/>
      <c r="S263" s="17"/>
    </row>
    <row r="264" spans="1:19">
      <c r="A264" s="8" t="s">
        <v>795</v>
      </c>
      <c r="B264" s="6" t="s">
        <v>640</v>
      </c>
      <c r="C264" s="14" t="s">
        <v>1452</v>
      </c>
      <c r="D264" s="6" t="s">
        <v>799</v>
      </c>
      <c r="E264" s="6" t="s">
        <v>798</v>
      </c>
      <c r="F264" s="6" t="s">
        <v>15</v>
      </c>
      <c r="G264" s="6" t="s">
        <v>178</v>
      </c>
      <c r="H264" s="6" t="s">
        <v>15</v>
      </c>
      <c r="I264" s="6" t="s">
        <v>198</v>
      </c>
      <c r="J264" s="6" t="s">
        <v>15</v>
      </c>
      <c r="K264" s="6" t="s">
        <v>917</v>
      </c>
      <c r="L264" s="7">
        <v>0</v>
      </c>
      <c r="M264" s="7">
        <v>715000</v>
      </c>
      <c r="N264" s="11">
        <f t="shared" si="9"/>
        <v>715000</v>
      </c>
      <c r="O264" s="6" t="s">
        <v>34</v>
      </c>
      <c r="P264" s="30" t="s">
        <v>23</v>
      </c>
      <c r="Q264" s="12"/>
      <c r="R264" s="10"/>
      <c r="S264" s="17"/>
    </row>
    <row r="265" spans="1:19">
      <c r="A265" s="8" t="s">
        <v>795</v>
      </c>
      <c r="B265" s="6" t="s">
        <v>1152</v>
      </c>
      <c r="C265" s="14" t="s">
        <v>1458</v>
      </c>
      <c r="D265" s="6" t="s">
        <v>796</v>
      </c>
      <c r="E265" s="6" t="s">
        <v>783</v>
      </c>
      <c r="F265" s="6" t="s">
        <v>15</v>
      </c>
      <c r="G265" s="6" t="s">
        <v>1153</v>
      </c>
      <c r="H265" s="6" t="s">
        <v>15</v>
      </c>
      <c r="I265" s="6" t="s">
        <v>16</v>
      </c>
      <c r="J265" s="6" t="s">
        <v>15</v>
      </c>
      <c r="K265" s="6" t="s">
        <v>1154</v>
      </c>
      <c r="L265" s="7">
        <v>0</v>
      </c>
      <c r="M265" s="7">
        <v>552000</v>
      </c>
      <c r="N265" s="11">
        <f t="shared" si="9"/>
        <v>552000</v>
      </c>
      <c r="O265" s="6" t="s">
        <v>34</v>
      </c>
      <c r="P265" s="30" t="s">
        <v>23</v>
      </c>
      <c r="Q265" s="12"/>
      <c r="R265" s="10"/>
      <c r="S265" s="17"/>
    </row>
    <row r="266" spans="1:19">
      <c r="A266" s="8" t="s">
        <v>795</v>
      </c>
      <c r="B266" s="6" t="s">
        <v>811</v>
      </c>
      <c r="C266" s="14" t="s">
        <v>1438</v>
      </c>
      <c r="D266" s="6" t="s">
        <v>796</v>
      </c>
      <c r="E266" s="6" t="s">
        <v>783</v>
      </c>
      <c r="F266" s="6" t="s">
        <v>15</v>
      </c>
      <c r="G266" s="6" t="s">
        <v>478</v>
      </c>
      <c r="H266" s="6" t="s">
        <v>15</v>
      </c>
      <c r="I266" s="6" t="s">
        <v>812</v>
      </c>
      <c r="J266" s="6" t="s">
        <v>15</v>
      </c>
      <c r="K266" s="6" t="s">
        <v>813</v>
      </c>
      <c r="L266" s="7">
        <v>0</v>
      </c>
      <c r="M266" s="7">
        <v>757000</v>
      </c>
      <c r="N266" s="11">
        <f t="shared" si="9"/>
        <v>757000</v>
      </c>
      <c r="O266" s="6" t="s">
        <v>26</v>
      </c>
      <c r="P266" s="30" t="s">
        <v>23</v>
      </c>
      <c r="Q266" s="12"/>
      <c r="R266" s="10"/>
      <c r="S266" s="17"/>
    </row>
    <row r="267" spans="1:19">
      <c r="A267" s="8" t="s">
        <v>795</v>
      </c>
      <c r="B267" s="6" t="s">
        <v>628</v>
      </c>
      <c r="C267" s="14" t="s">
        <v>1440</v>
      </c>
      <c r="D267" s="6" t="s">
        <v>799</v>
      </c>
      <c r="E267" s="6" t="s">
        <v>742</v>
      </c>
      <c r="F267" s="6" t="s">
        <v>15</v>
      </c>
      <c r="G267" s="6" t="s">
        <v>115</v>
      </c>
      <c r="H267" s="6" t="s">
        <v>15</v>
      </c>
      <c r="I267" s="6" t="s">
        <v>115</v>
      </c>
      <c r="J267" s="6" t="s">
        <v>15</v>
      </c>
      <c r="K267" s="6" t="s">
        <v>819</v>
      </c>
      <c r="L267" s="7">
        <v>0</v>
      </c>
      <c r="M267" s="7">
        <v>4646000</v>
      </c>
      <c r="N267" s="11">
        <f t="shared" si="9"/>
        <v>4646000</v>
      </c>
      <c r="O267" s="6" t="s">
        <v>26</v>
      </c>
      <c r="P267" s="30" t="s">
        <v>23</v>
      </c>
      <c r="Q267" s="12"/>
      <c r="R267" s="10"/>
      <c r="S267" s="17"/>
    </row>
    <row r="268" spans="1:19">
      <c r="A268" s="8" t="s">
        <v>795</v>
      </c>
      <c r="B268" s="6" t="s">
        <v>830</v>
      </c>
      <c r="C268" s="14" t="s">
        <v>1444</v>
      </c>
      <c r="D268" s="6" t="s">
        <v>799</v>
      </c>
      <c r="E268" s="6" t="s">
        <v>815</v>
      </c>
      <c r="F268" s="6" t="s">
        <v>15</v>
      </c>
      <c r="G268" s="6" t="s">
        <v>482</v>
      </c>
      <c r="H268" s="6" t="s">
        <v>15</v>
      </c>
      <c r="I268" s="6" t="s">
        <v>16</v>
      </c>
      <c r="J268" s="6" t="s">
        <v>15</v>
      </c>
      <c r="K268" s="6" t="s">
        <v>420</v>
      </c>
      <c r="L268" s="7">
        <v>0</v>
      </c>
      <c r="M268" s="7">
        <v>537000</v>
      </c>
      <c r="N268" s="11">
        <f t="shared" si="9"/>
        <v>537000</v>
      </c>
      <c r="O268" s="6" t="s">
        <v>26</v>
      </c>
      <c r="P268" s="30" t="s">
        <v>23</v>
      </c>
      <c r="Q268" s="12"/>
      <c r="R268" s="10"/>
      <c r="S268" s="17"/>
    </row>
    <row r="269" spans="1:19">
      <c r="A269" s="8" t="s">
        <v>795</v>
      </c>
      <c r="B269" s="6" t="s">
        <v>837</v>
      </c>
      <c r="C269" s="14" t="s">
        <v>1449</v>
      </c>
      <c r="D269" s="6" t="s">
        <v>796</v>
      </c>
      <c r="E269" s="6" t="s">
        <v>798</v>
      </c>
      <c r="F269" s="6" t="s">
        <v>15</v>
      </c>
      <c r="G269" s="6" t="s">
        <v>498</v>
      </c>
      <c r="H269" s="6" t="s">
        <v>15</v>
      </c>
      <c r="I269" s="6" t="s">
        <v>16</v>
      </c>
      <c r="J269" s="6" t="s">
        <v>15</v>
      </c>
      <c r="K269" s="6" t="s">
        <v>420</v>
      </c>
      <c r="L269" s="7">
        <v>0</v>
      </c>
      <c r="M269" s="7">
        <v>457000</v>
      </c>
      <c r="N269" s="11">
        <f t="shared" si="9"/>
        <v>457000</v>
      </c>
      <c r="O269" s="6" t="s">
        <v>26</v>
      </c>
      <c r="P269" s="30" t="s">
        <v>23</v>
      </c>
      <c r="Q269" s="12"/>
      <c r="R269" s="10"/>
      <c r="S269" s="17"/>
    </row>
    <row r="270" spans="1:19">
      <c r="A270" s="8" t="s">
        <v>795</v>
      </c>
      <c r="B270" s="6" t="s">
        <v>841</v>
      </c>
      <c r="C270" s="14" t="s">
        <v>1451</v>
      </c>
      <c r="D270" s="6" t="s">
        <v>796</v>
      </c>
      <c r="E270" s="6" t="s">
        <v>742</v>
      </c>
      <c r="F270" s="6" t="s">
        <v>39</v>
      </c>
      <c r="G270" s="6" t="s">
        <v>102</v>
      </c>
      <c r="H270" s="6" t="s">
        <v>39</v>
      </c>
      <c r="I270" s="6" t="s">
        <v>555</v>
      </c>
      <c r="J270" s="6" t="s">
        <v>15</v>
      </c>
      <c r="K270" s="6" t="s">
        <v>1044</v>
      </c>
      <c r="L270" s="7">
        <v>0</v>
      </c>
      <c r="M270" s="7">
        <v>896000</v>
      </c>
      <c r="N270" s="11">
        <f t="shared" si="9"/>
        <v>896000</v>
      </c>
      <c r="O270" s="6" t="s">
        <v>26</v>
      </c>
      <c r="P270" s="30" t="s">
        <v>23</v>
      </c>
      <c r="Q270" s="12"/>
      <c r="R270" s="10"/>
      <c r="S270" s="17"/>
    </row>
    <row r="271" spans="1:19">
      <c r="A271" s="8" t="s">
        <v>795</v>
      </c>
      <c r="B271" s="6" t="s">
        <v>880</v>
      </c>
      <c r="C271" s="14" t="s">
        <v>1453</v>
      </c>
      <c r="D271" s="6" t="s">
        <v>796</v>
      </c>
      <c r="E271" s="6" t="s">
        <v>746</v>
      </c>
      <c r="F271" s="6" t="s">
        <v>15</v>
      </c>
      <c r="G271" s="6" t="s">
        <v>539</v>
      </c>
      <c r="H271" s="6" t="s">
        <v>15</v>
      </c>
      <c r="I271" s="6" t="s">
        <v>235</v>
      </c>
      <c r="J271" s="6" t="s">
        <v>15</v>
      </c>
      <c r="K271" s="6" t="s">
        <v>1045</v>
      </c>
      <c r="L271" s="7">
        <v>0</v>
      </c>
      <c r="M271" s="7">
        <v>3754000</v>
      </c>
      <c r="N271" s="11">
        <f t="shared" si="9"/>
        <v>3754000</v>
      </c>
      <c r="O271" s="6" t="s">
        <v>26</v>
      </c>
      <c r="P271" s="30" t="s">
        <v>23</v>
      </c>
      <c r="Q271" s="12"/>
      <c r="R271" s="10"/>
      <c r="S271" s="17"/>
    </row>
    <row r="272" spans="1:19">
      <c r="A272" s="8" t="s">
        <v>795</v>
      </c>
      <c r="B272" s="6" t="s">
        <v>842</v>
      </c>
      <c r="C272" s="14" t="s">
        <v>1455</v>
      </c>
      <c r="D272" s="6" t="s">
        <v>796</v>
      </c>
      <c r="E272" s="6" t="s">
        <v>802</v>
      </c>
      <c r="F272" s="6" t="s">
        <v>39</v>
      </c>
      <c r="G272" s="6" t="s">
        <v>827</v>
      </c>
      <c r="H272" s="6" t="s">
        <v>39</v>
      </c>
      <c r="I272" s="6" t="s">
        <v>843</v>
      </c>
      <c r="J272" s="6" t="s">
        <v>15</v>
      </c>
      <c r="K272" s="6" t="s">
        <v>97</v>
      </c>
      <c r="L272" s="7">
        <v>3635000</v>
      </c>
      <c r="M272" s="7">
        <v>5479000</v>
      </c>
      <c r="N272" s="11">
        <f t="shared" si="9"/>
        <v>9114000</v>
      </c>
      <c r="O272" s="6" t="s">
        <v>26</v>
      </c>
      <c r="P272" s="30" t="s">
        <v>23</v>
      </c>
      <c r="Q272" s="12"/>
      <c r="R272" s="10"/>
      <c r="S272" s="17"/>
    </row>
    <row r="273" spans="1:19">
      <c r="A273" s="8" t="s">
        <v>795</v>
      </c>
      <c r="B273" s="6" t="s">
        <v>881</v>
      </c>
      <c r="C273" s="14" t="s">
        <v>1456</v>
      </c>
      <c r="D273" s="6" t="s">
        <v>799</v>
      </c>
      <c r="E273" s="6" t="s">
        <v>800</v>
      </c>
      <c r="F273" s="6" t="s">
        <v>39</v>
      </c>
      <c r="G273" s="6" t="s">
        <v>59</v>
      </c>
      <c r="H273" s="6" t="s">
        <v>39</v>
      </c>
      <c r="I273" s="6" t="s">
        <v>86</v>
      </c>
      <c r="J273" s="6" t="s">
        <v>15</v>
      </c>
      <c r="K273" s="6" t="s">
        <v>420</v>
      </c>
      <c r="L273" s="7">
        <v>0</v>
      </c>
      <c r="M273" s="7">
        <v>983000</v>
      </c>
      <c r="N273" s="11">
        <f t="shared" si="9"/>
        <v>983000</v>
      </c>
      <c r="O273" s="6" t="s">
        <v>26</v>
      </c>
      <c r="P273" s="30" t="s">
        <v>23</v>
      </c>
      <c r="Q273" s="12"/>
      <c r="R273" s="10"/>
      <c r="S273" s="17"/>
    </row>
    <row r="274" spans="1:19">
      <c r="A274" s="8" t="s">
        <v>795</v>
      </c>
      <c r="B274" s="6" t="s">
        <v>1048</v>
      </c>
      <c r="C274" s="14" t="s">
        <v>1457</v>
      </c>
      <c r="D274" s="6" t="s">
        <v>796</v>
      </c>
      <c r="E274" s="6" t="s">
        <v>823</v>
      </c>
      <c r="F274" s="6" t="s">
        <v>15</v>
      </c>
      <c r="G274" s="6" t="s">
        <v>463</v>
      </c>
      <c r="H274" s="6" t="s">
        <v>15</v>
      </c>
      <c r="I274" s="6" t="s">
        <v>620</v>
      </c>
      <c r="J274" s="6" t="s">
        <v>15</v>
      </c>
      <c r="K274" s="6" t="s">
        <v>1049</v>
      </c>
      <c r="L274" s="7">
        <v>0</v>
      </c>
      <c r="M274" s="7">
        <v>368000</v>
      </c>
      <c r="N274" s="11">
        <f t="shared" si="9"/>
        <v>368000</v>
      </c>
      <c r="O274" s="6" t="s">
        <v>26</v>
      </c>
      <c r="P274" s="30" t="s">
        <v>23</v>
      </c>
      <c r="Q274" s="12"/>
      <c r="R274" s="10"/>
      <c r="S274" s="17"/>
    </row>
    <row r="275" spans="1:19">
      <c r="A275" s="8" t="s">
        <v>795</v>
      </c>
      <c r="B275" s="6" t="s">
        <v>1050</v>
      </c>
      <c r="C275" s="14" t="s">
        <v>1460</v>
      </c>
      <c r="D275" s="6" t="s">
        <v>799</v>
      </c>
      <c r="E275" s="6" t="s">
        <v>814</v>
      </c>
      <c r="F275" s="6" t="s">
        <v>39</v>
      </c>
      <c r="G275" s="6" t="s">
        <v>726</v>
      </c>
      <c r="H275" s="6" t="s">
        <v>15</v>
      </c>
      <c r="I275" s="6" t="s">
        <v>422</v>
      </c>
      <c r="J275" s="6" t="s">
        <v>15</v>
      </c>
      <c r="K275" s="6" t="s">
        <v>1051</v>
      </c>
      <c r="L275" s="7">
        <v>0</v>
      </c>
      <c r="M275" s="7">
        <v>381000</v>
      </c>
      <c r="N275" s="11">
        <f t="shared" si="9"/>
        <v>381000</v>
      </c>
      <c r="O275" s="6" t="s">
        <v>26</v>
      </c>
      <c r="P275" s="30" t="s">
        <v>23</v>
      </c>
      <c r="Q275" s="12"/>
      <c r="R275" s="10"/>
      <c r="S275" s="17"/>
    </row>
    <row r="276" spans="1:19">
      <c r="A276" s="8" t="s">
        <v>795</v>
      </c>
      <c r="B276" s="6" t="s">
        <v>650</v>
      </c>
      <c r="C276" s="14" t="s">
        <v>1462</v>
      </c>
      <c r="D276" s="6" t="s">
        <v>796</v>
      </c>
      <c r="E276" s="6" t="s">
        <v>740</v>
      </c>
      <c r="F276" s="6" t="s">
        <v>15</v>
      </c>
      <c r="G276" s="6" t="s">
        <v>512</v>
      </c>
      <c r="H276" s="6" t="s">
        <v>15</v>
      </c>
      <c r="I276" s="6" t="s">
        <v>399</v>
      </c>
      <c r="J276" s="6" t="s">
        <v>15</v>
      </c>
      <c r="K276" s="6" t="s">
        <v>1053</v>
      </c>
      <c r="L276" s="7">
        <v>0</v>
      </c>
      <c r="M276" s="7">
        <v>1105000</v>
      </c>
      <c r="N276" s="11">
        <f t="shared" si="9"/>
        <v>1105000</v>
      </c>
      <c r="O276" s="6" t="s">
        <v>26</v>
      </c>
      <c r="P276" s="30" t="s">
        <v>23</v>
      </c>
      <c r="Q276" s="12"/>
      <c r="R276" s="10"/>
      <c r="S276" s="17"/>
    </row>
    <row r="277" spans="1:19">
      <c r="A277" s="8" t="s">
        <v>795</v>
      </c>
      <c r="B277" s="6" t="s">
        <v>846</v>
      </c>
      <c r="C277" s="14" t="s">
        <v>1223</v>
      </c>
      <c r="D277" s="6" t="s">
        <v>799</v>
      </c>
      <c r="E277" s="6" t="s">
        <v>797</v>
      </c>
      <c r="F277" s="6" t="s">
        <v>15</v>
      </c>
      <c r="G277" s="6" t="s">
        <v>847</v>
      </c>
      <c r="H277" s="6" t="s">
        <v>15</v>
      </c>
      <c r="I277" s="6" t="s">
        <v>845</v>
      </c>
      <c r="J277" s="6" t="s">
        <v>15</v>
      </c>
      <c r="K277" s="6" t="s">
        <v>848</v>
      </c>
      <c r="L277" s="7">
        <v>0</v>
      </c>
      <c r="M277" s="7">
        <v>600000</v>
      </c>
      <c r="N277" s="11">
        <f t="shared" si="9"/>
        <v>600000</v>
      </c>
      <c r="O277" s="6" t="s">
        <v>26</v>
      </c>
      <c r="P277" s="30" t="s">
        <v>23</v>
      </c>
      <c r="Q277" s="12"/>
      <c r="R277" s="10"/>
      <c r="S277" s="17"/>
    </row>
    <row r="278" spans="1:19">
      <c r="A278" s="8" t="s">
        <v>795</v>
      </c>
      <c r="B278" s="6" t="s">
        <v>855</v>
      </c>
      <c r="C278" s="14" t="s">
        <v>1468</v>
      </c>
      <c r="D278" s="6" t="s">
        <v>799</v>
      </c>
      <c r="E278" s="6" t="s">
        <v>798</v>
      </c>
      <c r="F278" s="6" t="s">
        <v>15</v>
      </c>
      <c r="G278" s="6" t="s">
        <v>57</v>
      </c>
      <c r="H278" s="6" t="s">
        <v>15</v>
      </c>
      <c r="I278" s="6" t="s">
        <v>856</v>
      </c>
      <c r="J278" s="6" t="s">
        <v>15</v>
      </c>
      <c r="K278" s="6" t="s">
        <v>857</v>
      </c>
      <c r="L278" s="7">
        <v>1000000</v>
      </c>
      <c r="M278" s="7">
        <v>16700000</v>
      </c>
      <c r="N278" s="11">
        <f t="shared" si="9"/>
        <v>17700000</v>
      </c>
      <c r="O278" s="6" t="s">
        <v>26</v>
      </c>
      <c r="P278" s="30" t="s">
        <v>23</v>
      </c>
      <c r="Q278" s="12"/>
      <c r="R278" s="10"/>
      <c r="S278" s="17"/>
    </row>
    <row r="279" spans="1:19">
      <c r="A279" s="8" t="s">
        <v>795</v>
      </c>
      <c r="B279" s="6" t="s">
        <v>849</v>
      </c>
      <c r="C279" s="14" t="s">
        <v>1463</v>
      </c>
      <c r="D279" s="6" t="s">
        <v>796</v>
      </c>
      <c r="E279" s="6" t="s">
        <v>798</v>
      </c>
      <c r="F279" s="6" t="s">
        <v>39</v>
      </c>
      <c r="G279" s="6" t="s">
        <v>399</v>
      </c>
      <c r="H279" s="6" t="s">
        <v>15</v>
      </c>
      <c r="I279" s="6" t="s">
        <v>374</v>
      </c>
      <c r="J279" s="6" t="s">
        <v>15</v>
      </c>
      <c r="K279" s="6" t="s">
        <v>666</v>
      </c>
      <c r="L279" s="7">
        <v>10730000</v>
      </c>
      <c r="M279" s="7">
        <v>39400000</v>
      </c>
      <c r="N279" s="11">
        <f t="shared" si="9"/>
        <v>50130000</v>
      </c>
      <c r="O279" s="6" t="s">
        <v>215</v>
      </c>
      <c r="P279" s="30" t="s">
        <v>23</v>
      </c>
      <c r="Q279" s="12"/>
      <c r="R279" s="10"/>
      <c r="S279" s="17"/>
    </row>
    <row r="280" spans="1:19">
      <c r="A280" s="8" t="s">
        <v>795</v>
      </c>
      <c r="B280" s="6" t="s">
        <v>851</v>
      </c>
      <c r="C280" s="14" t="s">
        <v>1464</v>
      </c>
      <c r="D280" s="6" t="s">
        <v>799</v>
      </c>
      <c r="E280" s="6" t="s">
        <v>798</v>
      </c>
      <c r="F280" s="6" t="s">
        <v>15</v>
      </c>
      <c r="G280" s="6" t="s">
        <v>400</v>
      </c>
      <c r="H280" s="6" t="s">
        <v>15</v>
      </c>
      <c r="I280" s="6" t="s">
        <v>66</v>
      </c>
      <c r="J280" s="6" t="s">
        <v>15</v>
      </c>
      <c r="K280" s="6" t="s">
        <v>801</v>
      </c>
      <c r="L280" s="7">
        <v>17139000</v>
      </c>
      <c r="M280" s="7">
        <v>4683000</v>
      </c>
      <c r="N280" s="11">
        <f t="shared" si="9"/>
        <v>21822000</v>
      </c>
      <c r="O280" s="6" t="s">
        <v>215</v>
      </c>
      <c r="P280" s="30" t="s">
        <v>23</v>
      </c>
      <c r="Q280" s="12"/>
      <c r="R280" s="10"/>
      <c r="S280" s="17"/>
    </row>
    <row r="281" spans="1:19">
      <c r="A281" s="8" t="s">
        <v>795</v>
      </c>
      <c r="B281" s="6" t="s">
        <v>489</v>
      </c>
      <c r="C281" s="14" t="s">
        <v>1436</v>
      </c>
      <c r="D281" s="6" t="s">
        <v>796</v>
      </c>
      <c r="E281" s="6" t="s">
        <v>798</v>
      </c>
      <c r="F281" s="6" t="s">
        <v>39</v>
      </c>
      <c r="G281" s="6" t="s">
        <v>807</v>
      </c>
      <c r="H281" s="6" t="s">
        <v>39</v>
      </c>
      <c r="I281" s="6" t="s">
        <v>16</v>
      </c>
      <c r="J281" s="6" t="s">
        <v>15</v>
      </c>
      <c r="K281" s="6" t="s">
        <v>808</v>
      </c>
      <c r="L281" s="7">
        <v>8139000</v>
      </c>
      <c r="M281" s="7">
        <v>4829000</v>
      </c>
      <c r="N281" s="11">
        <f t="shared" si="9"/>
        <v>12968000</v>
      </c>
      <c r="O281" s="6" t="s">
        <v>22</v>
      </c>
      <c r="P281" s="30" t="s">
        <v>25</v>
      </c>
      <c r="Q281" s="12"/>
      <c r="R281" s="10"/>
      <c r="S281" s="17"/>
    </row>
    <row r="282" spans="1:19">
      <c r="A282" s="8" t="s">
        <v>795</v>
      </c>
      <c r="B282" s="6" t="s">
        <v>674</v>
      </c>
      <c r="C282" s="14" t="s">
        <v>1469</v>
      </c>
      <c r="D282" s="6" t="s">
        <v>799</v>
      </c>
      <c r="E282" s="6" t="s">
        <v>800</v>
      </c>
      <c r="F282" s="6" t="s">
        <v>15</v>
      </c>
      <c r="G282" s="6" t="s">
        <v>16</v>
      </c>
      <c r="H282" s="6" t="s">
        <v>15</v>
      </c>
      <c r="I282" s="6" t="s">
        <v>214</v>
      </c>
      <c r="J282" s="6" t="s">
        <v>15</v>
      </c>
      <c r="K282" s="6" t="s">
        <v>858</v>
      </c>
      <c r="L282" s="7">
        <v>342000</v>
      </c>
      <c r="M282" s="7">
        <v>14430000</v>
      </c>
      <c r="N282" s="11">
        <f t="shared" si="9"/>
        <v>14772000</v>
      </c>
      <c r="O282" s="6" t="s">
        <v>22</v>
      </c>
      <c r="P282" s="30" t="s">
        <v>25</v>
      </c>
      <c r="Q282" s="12"/>
      <c r="R282" s="10"/>
      <c r="S282" s="17"/>
    </row>
    <row r="283" spans="1:19">
      <c r="A283" s="8" t="s">
        <v>795</v>
      </c>
      <c r="B283" s="6" t="s">
        <v>822</v>
      </c>
      <c r="C283" s="14" t="s">
        <v>1442</v>
      </c>
      <c r="D283" s="6" t="s">
        <v>796</v>
      </c>
      <c r="E283" s="6" t="s">
        <v>823</v>
      </c>
      <c r="F283" s="6" t="s">
        <v>15</v>
      </c>
      <c r="G283" s="6" t="s">
        <v>115</v>
      </c>
      <c r="H283" s="6" t="s">
        <v>15</v>
      </c>
      <c r="I283" s="6" t="s">
        <v>115</v>
      </c>
      <c r="J283" s="6" t="s">
        <v>15</v>
      </c>
      <c r="K283" s="6" t="s">
        <v>824</v>
      </c>
      <c r="L283" s="7">
        <v>0</v>
      </c>
      <c r="M283" s="7">
        <v>3580000</v>
      </c>
      <c r="N283" s="11">
        <f t="shared" si="9"/>
        <v>3580000</v>
      </c>
      <c r="O283" s="6" t="s">
        <v>24</v>
      </c>
      <c r="P283" s="30" t="s">
        <v>25</v>
      </c>
      <c r="Q283" s="12"/>
      <c r="R283" s="10"/>
      <c r="S283" s="17"/>
    </row>
    <row r="284" spans="1:19">
      <c r="A284" s="8" t="s">
        <v>795</v>
      </c>
      <c r="B284" s="6" t="s">
        <v>1046</v>
      </c>
      <c r="C284" s="14" t="s">
        <v>1454</v>
      </c>
      <c r="D284" s="6" t="s">
        <v>799</v>
      </c>
      <c r="E284" s="6" t="s">
        <v>798</v>
      </c>
      <c r="F284" s="6" t="s">
        <v>15</v>
      </c>
      <c r="G284" s="6" t="s">
        <v>313</v>
      </c>
      <c r="H284" s="6" t="s">
        <v>15</v>
      </c>
      <c r="I284" s="6" t="s">
        <v>626</v>
      </c>
      <c r="J284" s="6" t="s">
        <v>15</v>
      </c>
      <c r="K284" s="6" t="s">
        <v>1047</v>
      </c>
      <c r="L284" s="7">
        <v>0</v>
      </c>
      <c r="M284" s="7">
        <v>1871000</v>
      </c>
      <c r="N284" s="11">
        <f t="shared" si="9"/>
        <v>1871000</v>
      </c>
      <c r="O284" s="6" t="s">
        <v>24</v>
      </c>
      <c r="P284" s="30" t="s">
        <v>25</v>
      </c>
      <c r="Q284" s="12"/>
      <c r="R284" s="10"/>
      <c r="S284" s="17"/>
    </row>
    <row r="285" spans="1:19">
      <c r="A285" s="8" t="s">
        <v>795</v>
      </c>
      <c r="B285" s="6" t="s">
        <v>1052</v>
      </c>
      <c r="C285" s="14" t="s">
        <v>1461</v>
      </c>
      <c r="D285" s="6" t="s">
        <v>799</v>
      </c>
      <c r="E285" s="6" t="s">
        <v>742</v>
      </c>
      <c r="F285" s="6" t="s">
        <v>15</v>
      </c>
      <c r="G285" s="6" t="s">
        <v>18</v>
      </c>
      <c r="H285" s="6" t="s">
        <v>15</v>
      </c>
      <c r="I285" s="6" t="s">
        <v>670</v>
      </c>
      <c r="J285" s="6" t="s">
        <v>15</v>
      </c>
      <c r="K285" s="6" t="s">
        <v>1103</v>
      </c>
      <c r="L285" s="7">
        <v>0</v>
      </c>
      <c r="M285" s="7">
        <v>3570000</v>
      </c>
      <c r="N285" s="11">
        <f t="shared" si="9"/>
        <v>3570000</v>
      </c>
      <c r="O285" s="6" t="s">
        <v>24</v>
      </c>
      <c r="P285" s="30" t="s">
        <v>25</v>
      </c>
      <c r="Q285" s="12"/>
      <c r="R285" s="10"/>
      <c r="S285" s="17"/>
    </row>
    <row r="286" spans="1:19">
      <c r="A286" s="8" t="s">
        <v>795</v>
      </c>
      <c r="B286" s="6" t="s">
        <v>854</v>
      </c>
      <c r="C286" s="14" t="s">
        <v>1466</v>
      </c>
      <c r="D286" s="6" t="s">
        <v>796</v>
      </c>
      <c r="E286" s="6" t="s">
        <v>746</v>
      </c>
      <c r="F286" s="6" t="s">
        <v>39</v>
      </c>
      <c r="G286" s="6" t="s">
        <v>431</v>
      </c>
      <c r="H286" s="6" t="s">
        <v>39</v>
      </c>
      <c r="I286" s="6" t="s">
        <v>639</v>
      </c>
      <c r="J286" s="6" t="s">
        <v>15</v>
      </c>
      <c r="K286" s="6" t="s">
        <v>853</v>
      </c>
      <c r="L286" s="7">
        <v>0</v>
      </c>
      <c r="M286" s="7">
        <v>2150000</v>
      </c>
      <c r="N286" s="11">
        <f t="shared" si="9"/>
        <v>2150000</v>
      </c>
      <c r="O286" s="6" t="s">
        <v>24</v>
      </c>
      <c r="P286" s="30" t="s">
        <v>25</v>
      </c>
      <c r="Q286" s="12"/>
      <c r="R286" s="10"/>
      <c r="S286" s="17"/>
    </row>
    <row r="287" spans="1:19">
      <c r="A287" s="8" t="s">
        <v>795</v>
      </c>
      <c r="B287" s="6" t="s">
        <v>1179</v>
      </c>
      <c r="C287" s="14" t="s">
        <v>1467</v>
      </c>
      <c r="D287" s="6" t="s">
        <v>796</v>
      </c>
      <c r="E287" s="6" t="s">
        <v>742</v>
      </c>
      <c r="F287" s="6" t="s">
        <v>15</v>
      </c>
      <c r="G287" s="6" t="s">
        <v>511</v>
      </c>
      <c r="H287" s="6" t="s">
        <v>15</v>
      </c>
      <c r="I287" s="6" t="s">
        <v>497</v>
      </c>
      <c r="J287" s="6" t="s">
        <v>15</v>
      </c>
      <c r="K287" s="6" t="s">
        <v>1180</v>
      </c>
      <c r="L287" s="7">
        <v>0</v>
      </c>
      <c r="M287" s="7">
        <v>23000000</v>
      </c>
      <c r="N287" s="11">
        <f t="shared" si="9"/>
        <v>23000000</v>
      </c>
      <c r="O287" s="6" t="s">
        <v>24</v>
      </c>
      <c r="P287" s="30" t="s">
        <v>25</v>
      </c>
      <c r="Q287" s="12"/>
      <c r="R287" s="10"/>
      <c r="S287" s="17"/>
    </row>
    <row r="288" spans="1:19" ht="15">
      <c r="A288" s="43"/>
      <c r="B288" s="23"/>
      <c r="C288" s="19"/>
      <c r="D288" s="23"/>
      <c r="E288" s="23"/>
      <c r="F288" s="23"/>
      <c r="G288" s="23"/>
      <c r="H288" s="23"/>
      <c r="I288" s="23"/>
      <c r="J288" s="23"/>
      <c r="K288" s="20" t="s">
        <v>1543</v>
      </c>
      <c r="L288" s="24"/>
      <c r="M288" s="24"/>
      <c r="N288" s="22">
        <f>SUM(N250:N287)</f>
        <v>369820000</v>
      </c>
      <c r="O288" s="23"/>
      <c r="P288" s="31"/>
      <c r="Q288" s="32"/>
      <c r="R288" s="19"/>
      <c r="S288" s="17"/>
    </row>
    <row r="289" spans="1:19">
      <c r="A289" s="8" t="s">
        <v>859</v>
      </c>
      <c r="B289" s="6" t="s">
        <v>862</v>
      </c>
      <c r="C289" s="14" t="s">
        <v>1471</v>
      </c>
      <c r="D289" s="6" t="s">
        <v>860</v>
      </c>
      <c r="E289" s="6" t="s">
        <v>709</v>
      </c>
      <c r="F289" s="6" t="s">
        <v>15</v>
      </c>
      <c r="G289" s="6" t="s">
        <v>754</v>
      </c>
      <c r="H289" s="6" t="s">
        <v>15</v>
      </c>
      <c r="I289" s="6" t="s">
        <v>718</v>
      </c>
      <c r="J289" s="6" t="s">
        <v>15</v>
      </c>
      <c r="K289" s="6" t="s">
        <v>863</v>
      </c>
      <c r="L289" s="7">
        <v>0</v>
      </c>
      <c r="M289" s="7">
        <v>3641000</v>
      </c>
      <c r="N289" s="11">
        <f>SUM(L289:M289)</f>
        <v>3641000</v>
      </c>
      <c r="O289" s="6" t="s">
        <v>34</v>
      </c>
      <c r="P289" s="30" t="s">
        <v>23</v>
      </c>
      <c r="Q289" s="12"/>
      <c r="R289" s="10"/>
      <c r="S289" s="17"/>
    </row>
    <row r="290" spans="1:19">
      <c r="A290" s="8" t="s">
        <v>859</v>
      </c>
      <c r="B290" s="6" t="s">
        <v>1156</v>
      </c>
      <c r="C290" s="14" t="s">
        <v>1472</v>
      </c>
      <c r="D290" s="6" t="s">
        <v>861</v>
      </c>
      <c r="E290" s="6" t="s">
        <v>1157</v>
      </c>
      <c r="F290" s="6" t="s">
        <v>15</v>
      </c>
      <c r="G290" s="6" t="s">
        <v>139</v>
      </c>
      <c r="H290" s="6" t="s">
        <v>15</v>
      </c>
      <c r="I290" s="6" t="s">
        <v>376</v>
      </c>
      <c r="J290" s="6" t="s">
        <v>15</v>
      </c>
      <c r="K290" s="6" t="s">
        <v>1158</v>
      </c>
      <c r="L290" s="7">
        <v>0</v>
      </c>
      <c r="M290" s="7">
        <v>250000</v>
      </c>
      <c r="N290" s="11">
        <f>SUM(L290:M290)</f>
        <v>250000</v>
      </c>
      <c r="O290" s="6" t="s">
        <v>34</v>
      </c>
      <c r="P290" s="30" t="s">
        <v>23</v>
      </c>
      <c r="Q290" s="12"/>
      <c r="R290" s="10"/>
      <c r="S290" s="17"/>
    </row>
    <row r="291" spans="1:19" ht="15">
      <c r="A291" s="43"/>
      <c r="B291" s="23"/>
      <c r="C291" s="19"/>
      <c r="D291" s="23"/>
      <c r="E291" s="23"/>
      <c r="F291" s="23"/>
      <c r="G291" s="23"/>
      <c r="H291" s="23"/>
      <c r="I291" s="23"/>
      <c r="J291" s="23"/>
      <c r="K291" s="20" t="s">
        <v>1544</v>
      </c>
      <c r="L291" s="24"/>
      <c r="M291" s="24"/>
      <c r="N291" s="22">
        <f>SUM(N289:N290)</f>
        <v>3891000</v>
      </c>
      <c r="O291" s="23"/>
      <c r="P291" s="31"/>
      <c r="Q291" s="32"/>
      <c r="R291" s="19"/>
      <c r="S291" s="17"/>
    </row>
    <row r="292" spans="1:19">
      <c r="A292" s="8" t="s">
        <v>866</v>
      </c>
      <c r="B292" s="6" t="s">
        <v>1159</v>
      </c>
      <c r="C292" s="14" t="s">
        <v>1482</v>
      </c>
      <c r="D292" s="6" t="s">
        <v>869</v>
      </c>
      <c r="E292" s="6" t="s">
        <v>864</v>
      </c>
      <c r="F292" s="6" t="s">
        <v>39</v>
      </c>
      <c r="G292" s="6" t="s">
        <v>436</v>
      </c>
      <c r="H292" s="6" t="s">
        <v>15</v>
      </c>
      <c r="I292" s="6" t="s">
        <v>16</v>
      </c>
      <c r="J292" s="6" t="s">
        <v>15</v>
      </c>
      <c r="K292" s="6" t="s">
        <v>1160</v>
      </c>
      <c r="L292" s="7">
        <v>0</v>
      </c>
      <c r="M292" s="7">
        <v>308000</v>
      </c>
      <c r="N292" s="11">
        <f t="shared" ref="N292:N308" si="10">SUM(L292:M292)</f>
        <v>308000</v>
      </c>
      <c r="O292" s="6" t="s">
        <v>34</v>
      </c>
      <c r="P292" s="30" t="s">
        <v>23</v>
      </c>
      <c r="Q292" s="12"/>
      <c r="R292" s="10"/>
      <c r="S292" s="17"/>
    </row>
    <row r="293" spans="1:19">
      <c r="A293" s="8" t="s">
        <v>866</v>
      </c>
      <c r="B293" s="6" t="s">
        <v>1161</v>
      </c>
      <c r="C293" s="14" t="s">
        <v>1483</v>
      </c>
      <c r="D293" s="6" t="s">
        <v>870</v>
      </c>
      <c r="E293" s="6" t="s">
        <v>204</v>
      </c>
      <c r="F293" s="6" t="s">
        <v>15</v>
      </c>
      <c r="G293" s="6" t="s">
        <v>282</v>
      </c>
      <c r="H293" s="6" t="s">
        <v>15</v>
      </c>
      <c r="I293" s="6" t="s">
        <v>16</v>
      </c>
      <c r="J293" s="6" t="s">
        <v>15</v>
      </c>
      <c r="K293" s="6" t="s">
        <v>1162</v>
      </c>
      <c r="L293" s="7">
        <v>0</v>
      </c>
      <c r="M293" s="7">
        <v>199000</v>
      </c>
      <c r="N293" s="11">
        <f t="shared" si="10"/>
        <v>199000</v>
      </c>
      <c r="O293" s="6" t="s">
        <v>34</v>
      </c>
      <c r="P293" s="30" t="s">
        <v>23</v>
      </c>
      <c r="Q293" s="12"/>
      <c r="R293" s="10"/>
      <c r="S293" s="17"/>
    </row>
    <row r="294" spans="1:19">
      <c r="A294" s="8" t="s">
        <v>866</v>
      </c>
      <c r="B294" s="6" t="s">
        <v>1163</v>
      </c>
      <c r="C294" s="14" t="s">
        <v>1484</v>
      </c>
      <c r="D294" s="6" t="s">
        <v>15</v>
      </c>
      <c r="E294" s="6" t="s">
        <v>257</v>
      </c>
      <c r="F294" s="6" t="s">
        <v>15</v>
      </c>
      <c r="G294" s="6" t="s">
        <v>1164</v>
      </c>
      <c r="H294" s="6" t="s">
        <v>15</v>
      </c>
      <c r="I294" s="6" t="s">
        <v>15</v>
      </c>
      <c r="J294" s="6" t="s">
        <v>15</v>
      </c>
      <c r="K294" s="6" t="s">
        <v>925</v>
      </c>
      <c r="L294" s="7">
        <v>0</v>
      </c>
      <c r="M294" s="7">
        <v>748000</v>
      </c>
      <c r="N294" s="11">
        <f t="shared" si="10"/>
        <v>748000</v>
      </c>
      <c r="O294" s="6" t="s">
        <v>34</v>
      </c>
      <c r="P294" s="30" t="s">
        <v>23</v>
      </c>
      <c r="Q294" s="12"/>
      <c r="R294" s="10"/>
      <c r="S294" s="17"/>
    </row>
    <row r="295" spans="1:19">
      <c r="A295" s="8" t="s">
        <v>866</v>
      </c>
      <c r="B295" s="6" t="s">
        <v>1108</v>
      </c>
      <c r="C295" s="14" t="s">
        <v>1485</v>
      </c>
      <c r="D295" s="6" t="s">
        <v>874</v>
      </c>
      <c r="E295" s="6" t="s">
        <v>865</v>
      </c>
      <c r="F295" s="6" t="s">
        <v>39</v>
      </c>
      <c r="G295" s="6" t="s">
        <v>424</v>
      </c>
      <c r="H295" s="6" t="s">
        <v>15</v>
      </c>
      <c r="I295" s="6" t="s">
        <v>16</v>
      </c>
      <c r="J295" s="6" t="s">
        <v>15</v>
      </c>
      <c r="K295" s="6" t="s">
        <v>269</v>
      </c>
      <c r="L295" s="7">
        <v>0</v>
      </c>
      <c r="M295" s="7">
        <v>1936000</v>
      </c>
      <c r="N295" s="11">
        <f t="shared" si="10"/>
        <v>1936000</v>
      </c>
      <c r="O295" s="6" t="s">
        <v>34</v>
      </c>
      <c r="P295" s="30" t="s">
        <v>23</v>
      </c>
      <c r="Q295" s="12"/>
      <c r="R295" s="10"/>
      <c r="S295" s="17"/>
    </row>
    <row r="296" spans="1:19">
      <c r="A296" s="8" t="s">
        <v>866</v>
      </c>
      <c r="B296" s="6" t="s">
        <v>1182</v>
      </c>
      <c r="C296" s="14" t="s">
        <v>1486</v>
      </c>
      <c r="D296" s="6" t="s">
        <v>15</v>
      </c>
      <c r="E296" s="6" t="s">
        <v>123</v>
      </c>
      <c r="F296" s="6" t="s">
        <v>15</v>
      </c>
      <c r="G296" s="6" t="s">
        <v>123</v>
      </c>
      <c r="H296" s="6" t="s">
        <v>15</v>
      </c>
      <c r="I296" s="6" t="s">
        <v>15</v>
      </c>
      <c r="J296" s="6" t="s">
        <v>15</v>
      </c>
      <c r="K296" s="6" t="s">
        <v>1183</v>
      </c>
      <c r="L296" s="7">
        <v>0</v>
      </c>
      <c r="M296" s="7">
        <v>406000</v>
      </c>
      <c r="N296" s="11">
        <f t="shared" si="10"/>
        <v>406000</v>
      </c>
      <c r="O296" s="6" t="s">
        <v>34</v>
      </c>
      <c r="P296" s="30" t="s">
        <v>23</v>
      </c>
      <c r="Q296" s="12"/>
      <c r="R296" s="10"/>
      <c r="S296" s="17"/>
    </row>
    <row r="297" spans="1:19">
      <c r="A297" s="8" t="s">
        <v>866</v>
      </c>
      <c r="B297" s="6" t="s">
        <v>1184</v>
      </c>
      <c r="C297" s="14" t="s">
        <v>1487</v>
      </c>
      <c r="D297" s="6" t="s">
        <v>15</v>
      </c>
      <c r="E297" s="6" t="s">
        <v>1185</v>
      </c>
      <c r="F297" s="6" t="s">
        <v>15</v>
      </c>
      <c r="G297" s="6" t="s">
        <v>1186</v>
      </c>
      <c r="H297" s="6" t="s">
        <v>15</v>
      </c>
      <c r="I297" s="6" t="s">
        <v>15</v>
      </c>
      <c r="J297" s="6" t="s">
        <v>15</v>
      </c>
      <c r="K297" s="6" t="s">
        <v>925</v>
      </c>
      <c r="L297" s="7">
        <v>0</v>
      </c>
      <c r="M297" s="7">
        <v>1000</v>
      </c>
      <c r="N297" s="11">
        <f t="shared" si="10"/>
        <v>1000</v>
      </c>
      <c r="O297" s="6" t="s">
        <v>34</v>
      </c>
      <c r="P297" s="30" t="s">
        <v>23</v>
      </c>
      <c r="Q297" s="12"/>
      <c r="R297" s="10"/>
      <c r="S297" s="17"/>
    </row>
    <row r="298" spans="1:19">
      <c r="A298" s="8" t="s">
        <v>866</v>
      </c>
      <c r="B298" s="6" t="s">
        <v>554</v>
      </c>
      <c r="C298" s="14" t="s">
        <v>1225</v>
      </c>
      <c r="D298" s="6" t="s">
        <v>870</v>
      </c>
      <c r="E298" s="6" t="s">
        <v>234</v>
      </c>
      <c r="F298" s="6" t="s">
        <v>15</v>
      </c>
      <c r="G298" s="6" t="s">
        <v>175</v>
      </c>
      <c r="H298" s="6" t="s">
        <v>15</v>
      </c>
      <c r="I298" s="6" t="s">
        <v>188</v>
      </c>
      <c r="J298" s="6" t="s">
        <v>15</v>
      </c>
      <c r="K298" s="6" t="s">
        <v>309</v>
      </c>
      <c r="L298" s="7">
        <v>41000000</v>
      </c>
      <c r="M298" s="7">
        <v>117000000</v>
      </c>
      <c r="N298" s="11">
        <f t="shared" si="10"/>
        <v>158000000</v>
      </c>
      <c r="O298" s="6" t="s">
        <v>34</v>
      </c>
      <c r="P298" s="30" t="s">
        <v>23</v>
      </c>
      <c r="Q298" s="12"/>
      <c r="R298" s="12" t="s">
        <v>1530</v>
      </c>
      <c r="S298" s="17"/>
    </row>
    <row r="299" spans="1:19">
      <c r="A299" s="8" t="s">
        <v>866</v>
      </c>
      <c r="B299" s="6" t="s">
        <v>879</v>
      </c>
      <c r="C299" s="14" t="s">
        <v>1476</v>
      </c>
      <c r="D299" s="6" t="s">
        <v>870</v>
      </c>
      <c r="E299" s="6" t="s">
        <v>204</v>
      </c>
      <c r="F299" s="6" t="s">
        <v>15</v>
      </c>
      <c r="G299" s="6" t="s">
        <v>511</v>
      </c>
      <c r="H299" s="6" t="s">
        <v>15</v>
      </c>
      <c r="I299" s="6" t="s">
        <v>122</v>
      </c>
      <c r="J299" s="6" t="s">
        <v>15</v>
      </c>
      <c r="K299" s="6" t="s">
        <v>63</v>
      </c>
      <c r="L299" s="7">
        <v>0</v>
      </c>
      <c r="M299" s="7">
        <v>40721000</v>
      </c>
      <c r="N299" s="11">
        <f t="shared" si="10"/>
        <v>40721000</v>
      </c>
      <c r="O299" s="6" t="s">
        <v>26</v>
      </c>
      <c r="P299" s="30" t="s">
        <v>23</v>
      </c>
      <c r="Q299" s="12"/>
      <c r="R299" s="10"/>
      <c r="S299" s="17"/>
    </row>
    <row r="300" spans="1:19">
      <c r="A300" s="8" t="s">
        <v>866</v>
      </c>
      <c r="B300" s="6" t="s">
        <v>661</v>
      </c>
      <c r="C300" s="14" t="s">
        <v>1478</v>
      </c>
      <c r="D300" s="6" t="s">
        <v>870</v>
      </c>
      <c r="E300" s="6" t="s">
        <v>234</v>
      </c>
      <c r="F300" s="6" t="s">
        <v>15</v>
      </c>
      <c r="G300" s="6" t="s">
        <v>78</v>
      </c>
      <c r="H300" s="6" t="s">
        <v>15</v>
      </c>
      <c r="I300" s="6" t="s">
        <v>741</v>
      </c>
      <c r="J300" s="6" t="s">
        <v>15</v>
      </c>
      <c r="K300" s="6" t="s">
        <v>1058</v>
      </c>
      <c r="L300" s="7">
        <v>0</v>
      </c>
      <c r="M300" s="7">
        <v>995000</v>
      </c>
      <c r="N300" s="11">
        <f t="shared" si="10"/>
        <v>995000</v>
      </c>
      <c r="O300" s="6" t="s">
        <v>26</v>
      </c>
      <c r="P300" s="30" t="s">
        <v>23</v>
      </c>
      <c r="Q300" s="12"/>
      <c r="R300" s="10"/>
      <c r="S300" s="17"/>
    </row>
    <row r="301" spans="1:19">
      <c r="A301" s="8" t="s">
        <v>866</v>
      </c>
      <c r="B301" s="6" t="s">
        <v>992</v>
      </c>
      <c r="C301" s="14" t="s">
        <v>1479</v>
      </c>
      <c r="D301" s="6" t="s">
        <v>868</v>
      </c>
      <c r="E301" s="6" t="s">
        <v>503</v>
      </c>
      <c r="F301" s="6" t="s">
        <v>39</v>
      </c>
      <c r="G301" s="6" t="s">
        <v>560</v>
      </c>
      <c r="H301" s="6" t="s">
        <v>39</v>
      </c>
      <c r="I301" s="6" t="s">
        <v>358</v>
      </c>
      <c r="J301" s="6" t="s">
        <v>15</v>
      </c>
      <c r="K301" s="6" t="s">
        <v>1059</v>
      </c>
      <c r="L301" s="7">
        <v>0</v>
      </c>
      <c r="M301" s="7">
        <v>2390000</v>
      </c>
      <c r="N301" s="11">
        <f t="shared" si="10"/>
        <v>2390000</v>
      </c>
      <c r="O301" s="6" t="s">
        <v>26</v>
      </c>
      <c r="P301" s="30" t="s">
        <v>23</v>
      </c>
      <c r="Q301" s="12"/>
      <c r="R301" s="10"/>
      <c r="S301" s="17"/>
    </row>
    <row r="302" spans="1:19">
      <c r="A302" s="8" t="s">
        <v>866</v>
      </c>
      <c r="B302" s="6" t="s">
        <v>1056</v>
      </c>
      <c r="C302" s="14" t="s">
        <v>1224</v>
      </c>
      <c r="D302" s="6" t="s">
        <v>870</v>
      </c>
      <c r="E302" s="6" t="s">
        <v>234</v>
      </c>
      <c r="F302" s="6" t="s">
        <v>15</v>
      </c>
      <c r="G302" s="6" t="s">
        <v>791</v>
      </c>
      <c r="H302" s="6" t="s">
        <v>15</v>
      </c>
      <c r="I302" s="6" t="s">
        <v>175</v>
      </c>
      <c r="J302" s="6" t="s">
        <v>15</v>
      </c>
      <c r="K302" s="6" t="s">
        <v>1057</v>
      </c>
      <c r="L302" s="7">
        <v>0</v>
      </c>
      <c r="M302" s="7">
        <v>59290000</v>
      </c>
      <c r="N302" s="11">
        <f t="shared" si="10"/>
        <v>59290000</v>
      </c>
      <c r="O302" s="6" t="s">
        <v>215</v>
      </c>
      <c r="P302" s="30" t="s">
        <v>23</v>
      </c>
      <c r="Q302" s="12" t="s">
        <v>1530</v>
      </c>
      <c r="R302" s="12" t="s">
        <v>1530</v>
      </c>
      <c r="S302" s="17">
        <f>VLOOKUP(C302,'[1]Current Old'!$A:$B,2,FALSE)</f>
        <v>40960</v>
      </c>
    </row>
    <row r="303" spans="1:19">
      <c r="A303" s="8" t="s">
        <v>866</v>
      </c>
      <c r="B303" s="6" t="s">
        <v>803</v>
      </c>
      <c r="C303" s="14" t="s">
        <v>1473</v>
      </c>
      <c r="D303" s="6" t="s">
        <v>870</v>
      </c>
      <c r="E303" s="6" t="s">
        <v>461</v>
      </c>
      <c r="F303" s="6" t="s">
        <v>39</v>
      </c>
      <c r="G303" s="6" t="s">
        <v>71</v>
      </c>
      <c r="H303" s="6" t="s">
        <v>39</v>
      </c>
      <c r="I303" s="6" t="s">
        <v>16</v>
      </c>
      <c r="J303" s="6" t="s">
        <v>15</v>
      </c>
      <c r="K303" s="6" t="s">
        <v>873</v>
      </c>
      <c r="L303" s="7">
        <v>1169000</v>
      </c>
      <c r="M303" s="7">
        <v>353000</v>
      </c>
      <c r="N303" s="11">
        <f t="shared" si="10"/>
        <v>1522000</v>
      </c>
      <c r="O303" s="6" t="s">
        <v>22</v>
      </c>
      <c r="P303" s="30" t="s">
        <v>25</v>
      </c>
      <c r="Q303" s="12"/>
      <c r="R303" s="10"/>
      <c r="S303" s="17"/>
    </row>
    <row r="304" spans="1:19">
      <c r="A304" s="8" t="s">
        <v>866</v>
      </c>
      <c r="B304" s="6" t="s">
        <v>875</v>
      </c>
      <c r="C304" s="14" t="s">
        <v>1474</v>
      </c>
      <c r="D304" s="6" t="s">
        <v>870</v>
      </c>
      <c r="E304" s="6" t="s">
        <v>461</v>
      </c>
      <c r="F304" s="6" t="s">
        <v>15</v>
      </c>
      <c r="G304" s="6" t="s">
        <v>138</v>
      </c>
      <c r="H304" s="6" t="s">
        <v>15</v>
      </c>
      <c r="I304" s="6" t="s">
        <v>71</v>
      </c>
      <c r="J304" s="6" t="s">
        <v>15</v>
      </c>
      <c r="K304" s="6" t="s">
        <v>876</v>
      </c>
      <c r="L304" s="7">
        <v>0</v>
      </c>
      <c r="M304" s="7">
        <v>33243000</v>
      </c>
      <c r="N304" s="11">
        <f t="shared" si="10"/>
        <v>33243000</v>
      </c>
      <c r="O304" s="6" t="s">
        <v>22</v>
      </c>
      <c r="P304" s="30" t="s">
        <v>25</v>
      </c>
      <c r="Q304" s="12"/>
      <c r="R304" s="10"/>
      <c r="S304" s="17"/>
    </row>
    <row r="305" spans="1:19">
      <c r="A305" s="8" t="s">
        <v>866</v>
      </c>
      <c r="B305" s="6" t="s">
        <v>877</v>
      </c>
      <c r="C305" s="14" t="s">
        <v>1475</v>
      </c>
      <c r="D305" s="6" t="s">
        <v>870</v>
      </c>
      <c r="E305" s="6" t="s">
        <v>204</v>
      </c>
      <c r="F305" s="6" t="s">
        <v>15</v>
      </c>
      <c r="G305" s="6" t="s">
        <v>138</v>
      </c>
      <c r="H305" s="6" t="s">
        <v>15</v>
      </c>
      <c r="I305" s="6" t="s">
        <v>759</v>
      </c>
      <c r="J305" s="6" t="s">
        <v>15</v>
      </c>
      <c r="K305" s="6" t="s">
        <v>871</v>
      </c>
      <c r="L305" s="7">
        <v>0</v>
      </c>
      <c r="M305" s="7">
        <v>2750000</v>
      </c>
      <c r="N305" s="11">
        <f t="shared" si="10"/>
        <v>2750000</v>
      </c>
      <c r="O305" s="6" t="s">
        <v>22</v>
      </c>
      <c r="P305" s="30" t="s">
        <v>25</v>
      </c>
      <c r="Q305" s="12"/>
      <c r="R305" s="10"/>
      <c r="S305" s="17"/>
    </row>
    <row r="306" spans="1:19">
      <c r="A306" s="8" t="s">
        <v>866</v>
      </c>
      <c r="B306" s="6" t="s">
        <v>882</v>
      </c>
      <c r="C306" s="14" t="s">
        <v>1477</v>
      </c>
      <c r="D306" s="6" t="s">
        <v>869</v>
      </c>
      <c r="E306" s="6" t="s">
        <v>234</v>
      </c>
      <c r="F306" s="6" t="s">
        <v>15</v>
      </c>
      <c r="G306" s="6" t="s">
        <v>16</v>
      </c>
      <c r="H306" s="6" t="s">
        <v>15</v>
      </c>
      <c r="I306" s="6" t="s">
        <v>16</v>
      </c>
      <c r="J306" s="6" t="s">
        <v>15</v>
      </c>
      <c r="K306" s="6" t="s">
        <v>883</v>
      </c>
      <c r="L306" s="7">
        <v>178000</v>
      </c>
      <c r="M306" s="7">
        <v>1720000</v>
      </c>
      <c r="N306" s="11">
        <f t="shared" si="10"/>
        <v>1898000</v>
      </c>
      <c r="O306" s="6" t="s">
        <v>22</v>
      </c>
      <c r="P306" s="30" t="s">
        <v>25</v>
      </c>
      <c r="Q306" s="12"/>
      <c r="R306" s="10"/>
      <c r="S306" s="17"/>
    </row>
    <row r="307" spans="1:19">
      <c r="A307" s="8" t="s">
        <v>866</v>
      </c>
      <c r="B307" s="6" t="s">
        <v>1181</v>
      </c>
      <c r="C307" s="14" t="s">
        <v>1480</v>
      </c>
      <c r="D307" s="6" t="s">
        <v>867</v>
      </c>
      <c r="E307" s="6" t="s">
        <v>322</v>
      </c>
      <c r="F307" s="6" t="s">
        <v>15</v>
      </c>
      <c r="G307" s="6" t="s">
        <v>360</v>
      </c>
      <c r="H307" s="6" t="s">
        <v>15</v>
      </c>
      <c r="I307" s="6" t="s">
        <v>360</v>
      </c>
      <c r="J307" s="6" t="s">
        <v>15</v>
      </c>
      <c r="K307" s="6" t="s">
        <v>913</v>
      </c>
      <c r="L307" s="7">
        <v>0</v>
      </c>
      <c r="M307" s="7">
        <v>451000</v>
      </c>
      <c r="N307" s="11">
        <f t="shared" si="10"/>
        <v>451000</v>
      </c>
      <c r="O307" s="6" t="s">
        <v>22</v>
      </c>
      <c r="P307" s="30" t="s">
        <v>25</v>
      </c>
      <c r="Q307" s="12"/>
      <c r="R307" s="10"/>
      <c r="S307" s="17"/>
    </row>
    <row r="308" spans="1:19">
      <c r="A308" s="8" t="s">
        <v>866</v>
      </c>
      <c r="B308" s="6" t="s">
        <v>884</v>
      </c>
      <c r="C308" s="14" t="s">
        <v>1481</v>
      </c>
      <c r="D308" s="6" t="s">
        <v>870</v>
      </c>
      <c r="E308" s="6" t="s">
        <v>872</v>
      </c>
      <c r="F308" s="6" t="s">
        <v>15</v>
      </c>
      <c r="G308" s="6" t="s">
        <v>148</v>
      </c>
      <c r="H308" s="6" t="s">
        <v>15</v>
      </c>
      <c r="I308" s="6" t="s">
        <v>213</v>
      </c>
      <c r="J308" s="6" t="s">
        <v>15</v>
      </c>
      <c r="K308" s="6" t="s">
        <v>885</v>
      </c>
      <c r="L308" s="7">
        <v>0</v>
      </c>
      <c r="M308" s="7">
        <v>2680000</v>
      </c>
      <c r="N308" s="11">
        <f t="shared" si="10"/>
        <v>2680000</v>
      </c>
      <c r="O308" s="6" t="s">
        <v>24</v>
      </c>
      <c r="P308" s="30" t="s">
        <v>25</v>
      </c>
      <c r="Q308" s="12"/>
      <c r="R308" s="10"/>
      <c r="S308" s="17"/>
    </row>
    <row r="309" spans="1:19" ht="15">
      <c r="A309" s="43"/>
      <c r="B309" s="23"/>
      <c r="C309" s="19"/>
      <c r="D309" s="23"/>
      <c r="E309" s="23"/>
      <c r="F309" s="23"/>
      <c r="G309" s="23"/>
      <c r="H309" s="23"/>
      <c r="I309" s="23"/>
      <c r="J309" s="23"/>
      <c r="K309" s="20" t="s">
        <v>1545</v>
      </c>
      <c r="L309" s="24"/>
      <c r="M309" s="24"/>
      <c r="N309" s="22">
        <f>SUM(N292:N308)</f>
        <v>307538000</v>
      </c>
      <c r="O309" s="23"/>
      <c r="P309" s="31"/>
      <c r="Q309" s="32"/>
      <c r="R309" s="19"/>
      <c r="S309" s="17"/>
    </row>
    <row r="310" spans="1:19">
      <c r="A310" s="8" t="s">
        <v>887</v>
      </c>
      <c r="B310" s="6" t="s">
        <v>923</v>
      </c>
      <c r="C310" s="14" t="s">
        <v>1507</v>
      </c>
      <c r="D310" s="6" t="s">
        <v>888</v>
      </c>
      <c r="E310" s="6" t="s">
        <v>814</v>
      </c>
      <c r="F310" s="6" t="s">
        <v>15</v>
      </c>
      <c r="G310" s="6" t="s">
        <v>669</v>
      </c>
      <c r="H310" s="6" t="s">
        <v>15</v>
      </c>
      <c r="I310" s="6" t="s">
        <v>906</v>
      </c>
      <c r="J310" s="6" t="s">
        <v>15</v>
      </c>
      <c r="K310" s="6" t="s">
        <v>1069</v>
      </c>
      <c r="L310" s="7">
        <v>0</v>
      </c>
      <c r="M310" s="7">
        <v>600000</v>
      </c>
      <c r="N310" s="11">
        <f t="shared" ref="N310:N341" si="11">SUM(L310:M310)</f>
        <v>600000</v>
      </c>
      <c r="O310" s="6" t="s">
        <v>22</v>
      </c>
      <c r="P310" s="30" t="s">
        <v>23</v>
      </c>
      <c r="Q310" s="12"/>
      <c r="R310" s="10"/>
      <c r="S310" s="17"/>
    </row>
    <row r="311" spans="1:19">
      <c r="A311" s="8" t="s">
        <v>887</v>
      </c>
      <c r="B311" s="6" t="s">
        <v>924</v>
      </c>
      <c r="C311" s="14" t="s">
        <v>1508</v>
      </c>
      <c r="D311" s="6" t="s">
        <v>888</v>
      </c>
      <c r="E311" s="6" t="s">
        <v>904</v>
      </c>
      <c r="F311" s="6" t="s">
        <v>15</v>
      </c>
      <c r="G311" s="6" t="s">
        <v>60</v>
      </c>
      <c r="H311" s="6" t="s">
        <v>15</v>
      </c>
      <c r="I311" s="6" t="s">
        <v>60</v>
      </c>
      <c r="J311" s="6" t="s">
        <v>15</v>
      </c>
      <c r="K311" s="6" t="s">
        <v>1070</v>
      </c>
      <c r="L311" s="7">
        <v>0</v>
      </c>
      <c r="M311" s="7">
        <v>3180000</v>
      </c>
      <c r="N311" s="11">
        <f t="shared" si="11"/>
        <v>3180000</v>
      </c>
      <c r="O311" s="6" t="s">
        <v>22</v>
      </c>
      <c r="P311" s="30" t="s">
        <v>23</v>
      </c>
      <c r="Q311" s="12"/>
      <c r="R311" s="10"/>
      <c r="S311" s="17"/>
    </row>
    <row r="312" spans="1:19">
      <c r="A312" s="8" t="s">
        <v>887</v>
      </c>
      <c r="B312" s="6" t="s">
        <v>900</v>
      </c>
      <c r="C312" s="14" t="s">
        <v>1491</v>
      </c>
      <c r="D312" s="6" t="s">
        <v>898</v>
      </c>
      <c r="E312" s="6" t="s">
        <v>108</v>
      </c>
      <c r="F312" s="6" t="s">
        <v>15</v>
      </c>
      <c r="G312" s="6" t="s">
        <v>16</v>
      </c>
      <c r="H312" s="6" t="s">
        <v>15</v>
      </c>
      <c r="I312" s="6" t="s">
        <v>16</v>
      </c>
      <c r="J312" s="6" t="s">
        <v>15</v>
      </c>
      <c r="K312" s="6" t="s">
        <v>495</v>
      </c>
      <c r="L312" s="7">
        <v>0</v>
      </c>
      <c r="M312" s="7">
        <v>9158000</v>
      </c>
      <c r="N312" s="11">
        <f t="shared" si="11"/>
        <v>9158000</v>
      </c>
      <c r="O312" s="6" t="s">
        <v>24</v>
      </c>
      <c r="P312" s="30" t="s">
        <v>23</v>
      </c>
      <c r="Q312" s="12"/>
      <c r="R312" s="10"/>
      <c r="S312" s="17"/>
    </row>
    <row r="313" spans="1:19">
      <c r="A313" s="8" t="s">
        <v>887</v>
      </c>
      <c r="B313" s="6" t="s">
        <v>1061</v>
      </c>
      <c r="C313" s="14" t="s">
        <v>1493</v>
      </c>
      <c r="D313" s="6" t="s">
        <v>888</v>
      </c>
      <c r="E313" s="6" t="s">
        <v>892</v>
      </c>
      <c r="F313" s="6" t="s">
        <v>15</v>
      </c>
      <c r="G313" s="6" t="s">
        <v>40</v>
      </c>
      <c r="H313" s="6" t="s">
        <v>15</v>
      </c>
      <c r="I313" s="6" t="s">
        <v>126</v>
      </c>
      <c r="J313" s="6" t="s">
        <v>15</v>
      </c>
      <c r="K313" s="6" t="s">
        <v>127</v>
      </c>
      <c r="L313" s="7">
        <v>0</v>
      </c>
      <c r="M313" s="7">
        <v>14953000</v>
      </c>
      <c r="N313" s="11">
        <f t="shared" si="11"/>
        <v>14953000</v>
      </c>
      <c r="O313" s="6" t="s">
        <v>34</v>
      </c>
      <c r="P313" s="30" t="s">
        <v>23</v>
      </c>
      <c r="Q313" s="12"/>
      <c r="R313" s="10"/>
      <c r="S313" s="17"/>
    </row>
    <row r="314" spans="1:19">
      <c r="A314" s="8" t="s">
        <v>887</v>
      </c>
      <c r="B314" s="6" t="s">
        <v>1109</v>
      </c>
      <c r="C314" s="14" t="s">
        <v>1494</v>
      </c>
      <c r="D314" s="6" t="s">
        <v>888</v>
      </c>
      <c r="E314" s="6" t="s">
        <v>901</v>
      </c>
      <c r="F314" s="6" t="s">
        <v>39</v>
      </c>
      <c r="G314" s="6" t="s">
        <v>282</v>
      </c>
      <c r="H314" s="6" t="s">
        <v>39</v>
      </c>
      <c r="I314" s="6" t="s">
        <v>393</v>
      </c>
      <c r="J314" s="6" t="s">
        <v>15</v>
      </c>
      <c r="K314" s="6" t="s">
        <v>1110</v>
      </c>
      <c r="L314" s="7">
        <v>5737000</v>
      </c>
      <c r="M314" s="7">
        <v>19068000</v>
      </c>
      <c r="N314" s="11">
        <f t="shared" si="11"/>
        <v>24805000</v>
      </c>
      <c r="O314" s="6" t="s">
        <v>34</v>
      </c>
      <c r="P314" s="30" t="s">
        <v>23</v>
      </c>
      <c r="Q314" s="12"/>
      <c r="R314" s="10"/>
      <c r="S314" s="17"/>
    </row>
    <row r="315" spans="1:19">
      <c r="A315" s="8" t="s">
        <v>887</v>
      </c>
      <c r="B315" s="6" t="s">
        <v>907</v>
      </c>
      <c r="C315" s="14" t="s">
        <v>1496</v>
      </c>
      <c r="D315" s="6" t="s">
        <v>888</v>
      </c>
      <c r="E315" s="6" t="s">
        <v>893</v>
      </c>
      <c r="F315" s="6" t="s">
        <v>39</v>
      </c>
      <c r="G315" s="6" t="s">
        <v>886</v>
      </c>
      <c r="H315" s="6" t="s">
        <v>39</v>
      </c>
      <c r="I315" s="6" t="s">
        <v>106</v>
      </c>
      <c r="J315" s="6" t="s">
        <v>15</v>
      </c>
      <c r="K315" s="6" t="s">
        <v>631</v>
      </c>
      <c r="L315" s="7">
        <v>0</v>
      </c>
      <c r="M315" s="7">
        <v>591000</v>
      </c>
      <c r="N315" s="11">
        <f t="shared" si="11"/>
        <v>591000</v>
      </c>
      <c r="O315" s="6" t="s">
        <v>34</v>
      </c>
      <c r="P315" s="30" t="s">
        <v>23</v>
      </c>
      <c r="Q315" s="12"/>
      <c r="R315" s="10"/>
      <c r="S315" s="17"/>
    </row>
    <row r="316" spans="1:19">
      <c r="A316" s="8" t="s">
        <v>887</v>
      </c>
      <c r="B316" s="6" t="s">
        <v>911</v>
      </c>
      <c r="C316" s="14" t="s">
        <v>1499</v>
      </c>
      <c r="D316" s="6" t="s">
        <v>888</v>
      </c>
      <c r="E316" s="6" t="s">
        <v>204</v>
      </c>
      <c r="F316" s="6" t="s">
        <v>15</v>
      </c>
      <c r="G316" s="6" t="s">
        <v>912</v>
      </c>
      <c r="H316" s="6" t="s">
        <v>15</v>
      </c>
      <c r="I316" s="6" t="s">
        <v>115</v>
      </c>
      <c r="J316" s="6" t="s">
        <v>15</v>
      </c>
      <c r="K316" s="6" t="s">
        <v>81</v>
      </c>
      <c r="L316" s="7">
        <v>0</v>
      </c>
      <c r="M316" s="7">
        <v>4200000</v>
      </c>
      <c r="N316" s="11">
        <f t="shared" si="11"/>
        <v>4200000</v>
      </c>
      <c r="O316" s="6" t="s">
        <v>34</v>
      </c>
      <c r="P316" s="30" t="s">
        <v>23</v>
      </c>
      <c r="Q316" s="12"/>
      <c r="R316" s="10"/>
      <c r="S316" s="17"/>
    </row>
    <row r="317" spans="1:19">
      <c r="A317" s="8" t="s">
        <v>887</v>
      </c>
      <c r="B317" s="6" t="s">
        <v>914</v>
      </c>
      <c r="C317" s="14" t="s">
        <v>1501</v>
      </c>
      <c r="D317" s="6" t="s">
        <v>898</v>
      </c>
      <c r="E317" s="6" t="s">
        <v>836</v>
      </c>
      <c r="F317" s="6" t="s">
        <v>15</v>
      </c>
      <c r="G317" s="6" t="s">
        <v>423</v>
      </c>
      <c r="H317" s="6" t="s">
        <v>15</v>
      </c>
      <c r="I317" s="6" t="s">
        <v>16</v>
      </c>
      <c r="J317" s="6" t="s">
        <v>15</v>
      </c>
      <c r="K317" s="6" t="s">
        <v>915</v>
      </c>
      <c r="L317" s="7">
        <v>1145000</v>
      </c>
      <c r="M317" s="7">
        <v>7437000</v>
      </c>
      <c r="N317" s="11">
        <f t="shared" si="11"/>
        <v>8582000</v>
      </c>
      <c r="O317" s="6" t="s">
        <v>34</v>
      </c>
      <c r="P317" s="30" t="s">
        <v>23</v>
      </c>
      <c r="Q317" s="12"/>
      <c r="R317" s="10"/>
      <c r="S317" s="17"/>
    </row>
    <row r="318" spans="1:19">
      <c r="A318" s="8" t="s">
        <v>887</v>
      </c>
      <c r="B318" s="6" t="s">
        <v>1066</v>
      </c>
      <c r="C318" s="14" t="s">
        <v>1504</v>
      </c>
      <c r="D318" s="6" t="s">
        <v>888</v>
      </c>
      <c r="E318" s="6" t="s">
        <v>204</v>
      </c>
      <c r="F318" s="6" t="s">
        <v>39</v>
      </c>
      <c r="G318" s="6" t="s">
        <v>42</v>
      </c>
      <c r="H318" s="6" t="s">
        <v>39</v>
      </c>
      <c r="I318" s="6" t="s">
        <v>42</v>
      </c>
      <c r="J318" s="6" t="s">
        <v>15</v>
      </c>
      <c r="K318" s="6" t="s">
        <v>1067</v>
      </c>
      <c r="L318" s="7">
        <v>0</v>
      </c>
      <c r="M318" s="7">
        <v>1791000</v>
      </c>
      <c r="N318" s="11">
        <f t="shared" si="11"/>
        <v>1791000</v>
      </c>
      <c r="O318" s="6" t="s">
        <v>34</v>
      </c>
      <c r="P318" s="30" t="s">
        <v>23</v>
      </c>
      <c r="Q318" s="12"/>
      <c r="R318" s="10"/>
      <c r="S318" s="17"/>
    </row>
    <row r="319" spans="1:19">
      <c r="A319" s="8" t="s">
        <v>887</v>
      </c>
      <c r="B319" s="6" t="s">
        <v>1068</v>
      </c>
      <c r="C319" s="14" t="s">
        <v>1505</v>
      </c>
      <c r="D319" s="6" t="s">
        <v>888</v>
      </c>
      <c r="E319" s="6" t="s">
        <v>891</v>
      </c>
      <c r="F319" s="6" t="s">
        <v>15</v>
      </c>
      <c r="G319" s="6" t="s">
        <v>77</v>
      </c>
      <c r="H319" s="6" t="s">
        <v>15</v>
      </c>
      <c r="I319" s="6" t="s">
        <v>185</v>
      </c>
      <c r="J319" s="6" t="s">
        <v>15</v>
      </c>
      <c r="K319" s="6" t="s">
        <v>155</v>
      </c>
      <c r="L319" s="7">
        <v>0</v>
      </c>
      <c r="M319" s="7">
        <v>2400000</v>
      </c>
      <c r="N319" s="11">
        <f t="shared" si="11"/>
        <v>2400000</v>
      </c>
      <c r="O319" s="6" t="s">
        <v>34</v>
      </c>
      <c r="P319" s="30" t="s">
        <v>23</v>
      </c>
      <c r="Q319" s="12"/>
      <c r="R319" s="10"/>
      <c r="S319" s="17"/>
    </row>
    <row r="320" spans="1:19">
      <c r="A320" s="8" t="s">
        <v>887</v>
      </c>
      <c r="B320" s="6" t="s">
        <v>927</v>
      </c>
      <c r="C320" s="14" t="s">
        <v>1509</v>
      </c>
      <c r="D320" s="6" t="s">
        <v>888</v>
      </c>
      <c r="E320" s="6" t="s">
        <v>798</v>
      </c>
      <c r="F320" s="6" t="s">
        <v>415</v>
      </c>
      <c r="G320" s="6" t="s">
        <v>498</v>
      </c>
      <c r="H320" s="6" t="s">
        <v>415</v>
      </c>
      <c r="I320" s="6" t="s">
        <v>329</v>
      </c>
      <c r="J320" s="6" t="s">
        <v>15</v>
      </c>
      <c r="K320" s="6" t="s">
        <v>1071</v>
      </c>
      <c r="L320" s="7">
        <v>0</v>
      </c>
      <c r="M320" s="7">
        <v>2270000</v>
      </c>
      <c r="N320" s="11">
        <f t="shared" si="11"/>
        <v>2270000</v>
      </c>
      <c r="O320" s="6" t="s">
        <v>34</v>
      </c>
      <c r="P320" s="30" t="s">
        <v>23</v>
      </c>
      <c r="Q320" s="12"/>
      <c r="R320" s="10"/>
      <c r="S320" s="17"/>
    </row>
    <row r="321" spans="1:19">
      <c r="A321" s="8" t="s">
        <v>887</v>
      </c>
      <c r="B321" s="6" t="s">
        <v>1072</v>
      </c>
      <c r="C321" s="14" t="s">
        <v>1227</v>
      </c>
      <c r="D321" s="6" t="s">
        <v>888</v>
      </c>
      <c r="E321" s="6" t="s">
        <v>903</v>
      </c>
      <c r="F321" s="6" t="s">
        <v>15</v>
      </c>
      <c r="G321" s="6" t="s">
        <v>248</v>
      </c>
      <c r="H321" s="6" t="s">
        <v>15</v>
      </c>
      <c r="I321" s="6" t="s">
        <v>385</v>
      </c>
      <c r="J321" s="6" t="s">
        <v>15</v>
      </c>
      <c r="K321" s="6" t="s">
        <v>1073</v>
      </c>
      <c r="L321" s="7">
        <v>70686000</v>
      </c>
      <c r="M321" s="7">
        <v>53564000</v>
      </c>
      <c r="N321" s="11">
        <f t="shared" si="11"/>
        <v>124250000</v>
      </c>
      <c r="O321" s="6" t="s">
        <v>34</v>
      </c>
      <c r="P321" s="30" t="s">
        <v>23</v>
      </c>
      <c r="Q321" s="12" t="s">
        <v>1530</v>
      </c>
      <c r="R321" s="10"/>
      <c r="S321" s="17"/>
    </row>
    <row r="322" spans="1:19">
      <c r="A322" s="8" t="s">
        <v>887</v>
      </c>
      <c r="B322" s="6" t="s">
        <v>1167</v>
      </c>
      <c r="C322" s="14" t="s">
        <v>1517</v>
      </c>
      <c r="D322" s="6" t="s">
        <v>888</v>
      </c>
      <c r="E322" s="6" t="s">
        <v>204</v>
      </c>
      <c r="F322" s="6" t="s">
        <v>15</v>
      </c>
      <c r="G322" s="6" t="s">
        <v>332</v>
      </c>
      <c r="H322" s="6" t="s">
        <v>15</v>
      </c>
      <c r="I322" s="6" t="s">
        <v>794</v>
      </c>
      <c r="J322" s="6" t="s">
        <v>15</v>
      </c>
      <c r="K322" s="6" t="s">
        <v>1168</v>
      </c>
      <c r="L322" s="7">
        <v>0</v>
      </c>
      <c r="M322" s="7">
        <v>900000</v>
      </c>
      <c r="N322" s="11">
        <f t="shared" si="11"/>
        <v>900000</v>
      </c>
      <c r="O322" s="6" t="s">
        <v>34</v>
      </c>
      <c r="P322" s="30" t="s">
        <v>23</v>
      </c>
      <c r="Q322" s="12"/>
      <c r="R322" s="10"/>
      <c r="S322" s="17"/>
    </row>
    <row r="323" spans="1:19">
      <c r="A323" s="8" t="s">
        <v>887</v>
      </c>
      <c r="B323" s="6" t="s">
        <v>909</v>
      </c>
      <c r="C323" s="14" t="s">
        <v>1226</v>
      </c>
      <c r="D323" s="6" t="s">
        <v>888</v>
      </c>
      <c r="E323" s="6" t="s">
        <v>904</v>
      </c>
      <c r="F323" s="6" t="s">
        <v>15</v>
      </c>
      <c r="G323" s="6" t="s">
        <v>16</v>
      </c>
      <c r="H323" s="6" t="s">
        <v>15</v>
      </c>
      <c r="I323" s="6" t="s">
        <v>156</v>
      </c>
      <c r="J323" s="6" t="s">
        <v>15</v>
      </c>
      <c r="K323" s="6" t="s">
        <v>910</v>
      </c>
      <c r="L323" s="7">
        <v>0</v>
      </c>
      <c r="M323" s="7">
        <v>8473000</v>
      </c>
      <c r="N323" s="11">
        <f t="shared" si="11"/>
        <v>8473000</v>
      </c>
      <c r="O323" s="6" t="s">
        <v>26</v>
      </c>
      <c r="P323" s="30" t="s">
        <v>23</v>
      </c>
      <c r="Q323" s="12"/>
      <c r="R323" s="10"/>
      <c r="S323" s="17"/>
    </row>
    <row r="324" spans="1:19">
      <c r="A324" s="8" t="s">
        <v>887</v>
      </c>
      <c r="B324" s="6" t="s">
        <v>37</v>
      </c>
      <c r="C324" s="14" t="s">
        <v>1502</v>
      </c>
      <c r="D324" s="6" t="s">
        <v>888</v>
      </c>
      <c r="E324" s="6" t="s">
        <v>204</v>
      </c>
      <c r="F324" s="6" t="s">
        <v>39</v>
      </c>
      <c r="G324" s="6" t="s">
        <v>86</v>
      </c>
      <c r="H324" s="6" t="s">
        <v>15</v>
      </c>
      <c r="I324" s="6" t="s">
        <v>16</v>
      </c>
      <c r="J324" s="6" t="s">
        <v>15</v>
      </c>
      <c r="K324" s="6" t="s">
        <v>916</v>
      </c>
      <c r="L324" s="7">
        <v>3698000</v>
      </c>
      <c r="M324" s="7">
        <v>0</v>
      </c>
      <c r="N324" s="11">
        <f t="shared" si="11"/>
        <v>3698000</v>
      </c>
      <c r="O324" s="6" t="s">
        <v>26</v>
      </c>
      <c r="P324" s="30" t="s">
        <v>23</v>
      </c>
      <c r="Q324" s="12"/>
      <c r="R324" s="10"/>
      <c r="S324" s="17"/>
    </row>
    <row r="325" spans="1:19">
      <c r="A325" s="8" t="s">
        <v>887</v>
      </c>
      <c r="B325" s="6" t="s">
        <v>921</v>
      </c>
      <c r="C325" s="14" t="s">
        <v>1506</v>
      </c>
      <c r="D325" s="6" t="s">
        <v>888</v>
      </c>
      <c r="E325" s="6" t="s">
        <v>893</v>
      </c>
      <c r="F325" s="6" t="s">
        <v>15</v>
      </c>
      <c r="G325" s="6" t="s">
        <v>161</v>
      </c>
      <c r="H325" s="6" t="s">
        <v>15</v>
      </c>
      <c r="I325" s="6" t="s">
        <v>310</v>
      </c>
      <c r="J325" s="6" t="s">
        <v>15</v>
      </c>
      <c r="K325" s="6" t="s">
        <v>922</v>
      </c>
      <c r="L325" s="7">
        <v>0</v>
      </c>
      <c r="M325" s="7">
        <v>2500000</v>
      </c>
      <c r="N325" s="11">
        <f t="shared" si="11"/>
        <v>2500000</v>
      </c>
      <c r="O325" s="6" t="s">
        <v>26</v>
      </c>
      <c r="P325" s="30" t="s">
        <v>23</v>
      </c>
      <c r="Q325" s="12"/>
      <c r="R325" s="10"/>
      <c r="S325" s="17"/>
    </row>
    <row r="326" spans="1:19">
      <c r="A326" s="8" t="s">
        <v>887</v>
      </c>
      <c r="B326" s="6" t="s">
        <v>1187</v>
      </c>
      <c r="C326" s="14" t="s">
        <v>1495</v>
      </c>
      <c r="D326" s="6" t="s">
        <v>888</v>
      </c>
      <c r="E326" s="6" t="s">
        <v>850</v>
      </c>
      <c r="F326" s="6" t="s">
        <v>15</v>
      </c>
      <c r="G326" s="6" t="s">
        <v>133</v>
      </c>
      <c r="H326" s="6" t="s">
        <v>15</v>
      </c>
      <c r="I326" s="6" t="s">
        <v>284</v>
      </c>
      <c r="J326" s="6" t="s">
        <v>15</v>
      </c>
      <c r="K326" s="6" t="s">
        <v>1188</v>
      </c>
      <c r="L326" s="7">
        <v>7583000</v>
      </c>
      <c r="M326" s="7">
        <v>10219000</v>
      </c>
      <c r="N326" s="11">
        <f t="shared" si="11"/>
        <v>17802000</v>
      </c>
      <c r="O326" s="6" t="s">
        <v>215</v>
      </c>
      <c r="P326" s="30" t="s">
        <v>23</v>
      </c>
      <c r="Q326" s="12"/>
      <c r="R326" s="10"/>
      <c r="S326" s="17"/>
    </row>
    <row r="327" spans="1:19">
      <c r="A327" s="8" t="s">
        <v>887</v>
      </c>
      <c r="B327" s="6" t="s">
        <v>894</v>
      </c>
      <c r="C327" s="14" t="s">
        <v>1489</v>
      </c>
      <c r="D327" s="6" t="s">
        <v>888</v>
      </c>
      <c r="E327" s="6" t="s">
        <v>893</v>
      </c>
      <c r="F327" s="6" t="s">
        <v>15</v>
      </c>
      <c r="G327" s="6" t="s">
        <v>258</v>
      </c>
      <c r="H327" s="6" t="s">
        <v>39</v>
      </c>
      <c r="I327" s="6" t="s">
        <v>121</v>
      </c>
      <c r="J327" s="6" t="s">
        <v>15</v>
      </c>
      <c r="K327" s="6" t="s">
        <v>895</v>
      </c>
      <c r="L327" s="7">
        <v>0</v>
      </c>
      <c r="M327" s="7">
        <v>1617000</v>
      </c>
      <c r="N327" s="11">
        <f t="shared" si="11"/>
        <v>1617000</v>
      </c>
      <c r="O327" s="6" t="s">
        <v>22</v>
      </c>
      <c r="P327" s="30" t="s">
        <v>25</v>
      </c>
      <c r="Q327" s="12"/>
      <c r="R327" s="10"/>
      <c r="S327" s="17"/>
    </row>
    <row r="328" spans="1:19">
      <c r="A328" s="8" t="s">
        <v>887</v>
      </c>
      <c r="B328" s="6" t="s">
        <v>896</v>
      </c>
      <c r="C328" s="14" t="s">
        <v>1490</v>
      </c>
      <c r="D328" s="6" t="s">
        <v>888</v>
      </c>
      <c r="E328" s="6" t="s">
        <v>406</v>
      </c>
      <c r="F328" s="6" t="s">
        <v>39</v>
      </c>
      <c r="G328" s="6" t="s">
        <v>399</v>
      </c>
      <c r="H328" s="6" t="s">
        <v>39</v>
      </c>
      <c r="I328" s="6" t="s">
        <v>433</v>
      </c>
      <c r="J328" s="6" t="s">
        <v>15</v>
      </c>
      <c r="K328" s="6" t="s">
        <v>897</v>
      </c>
      <c r="L328" s="7">
        <v>0</v>
      </c>
      <c r="M328" s="7">
        <v>8220000</v>
      </c>
      <c r="N328" s="11">
        <f t="shared" si="11"/>
        <v>8220000</v>
      </c>
      <c r="O328" s="6" t="s">
        <v>22</v>
      </c>
      <c r="P328" s="30" t="s">
        <v>25</v>
      </c>
      <c r="Q328" s="12"/>
      <c r="R328" s="10"/>
      <c r="S328" s="17"/>
    </row>
    <row r="329" spans="1:19">
      <c r="A329" s="8" t="s">
        <v>887</v>
      </c>
      <c r="B329" s="6" t="s">
        <v>1060</v>
      </c>
      <c r="C329" s="14" t="s">
        <v>1492</v>
      </c>
      <c r="D329" s="6" t="s">
        <v>898</v>
      </c>
      <c r="E329" s="6" t="s">
        <v>899</v>
      </c>
      <c r="F329" s="6" t="s">
        <v>15</v>
      </c>
      <c r="G329" s="6" t="s">
        <v>16</v>
      </c>
      <c r="H329" s="6" t="s">
        <v>15</v>
      </c>
      <c r="I329" s="6" t="s">
        <v>118</v>
      </c>
      <c r="J329" s="6" t="s">
        <v>15</v>
      </c>
      <c r="K329" s="6" t="s">
        <v>127</v>
      </c>
      <c r="L329" s="7">
        <v>0</v>
      </c>
      <c r="M329" s="7">
        <v>11397000</v>
      </c>
      <c r="N329" s="11">
        <f t="shared" si="11"/>
        <v>11397000</v>
      </c>
      <c r="O329" s="6" t="s">
        <v>22</v>
      </c>
      <c r="P329" s="30" t="s">
        <v>25</v>
      </c>
      <c r="Q329" s="12"/>
      <c r="R329" s="10"/>
      <c r="S329" s="17"/>
    </row>
    <row r="330" spans="1:19">
      <c r="A330" s="8" t="s">
        <v>887</v>
      </c>
      <c r="B330" s="6" t="s">
        <v>908</v>
      </c>
      <c r="C330" s="14" t="s">
        <v>1497</v>
      </c>
      <c r="D330" s="6" t="s">
        <v>888</v>
      </c>
      <c r="E330" s="6" t="s">
        <v>905</v>
      </c>
      <c r="F330" s="6" t="s">
        <v>15</v>
      </c>
      <c r="G330" s="6" t="s">
        <v>335</v>
      </c>
      <c r="H330" s="6" t="s">
        <v>15</v>
      </c>
      <c r="I330" s="6" t="s">
        <v>16</v>
      </c>
      <c r="J330" s="6" t="s">
        <v>15</v>
      </c>
      <c r="K330" s="6" t="s">
        <v>129</v>
      </c>
      <c r="L330" s="7">
        <v>33103000</v>
      </c>
      <c r="M330" s="7">
        <v>0</v>
      </c>
      <c r="N330" s="11">
        <f t="shared" si="11"/>
        <v>33103000</v>
      </c>
      <c r="O330" s="6" t="s">
        <v>22</v>
      </c>
      <c r="P330" s="30" t="s">
        <v>25</v>
      </c>
      <c r="Q330" s="12"/>
      <c r="R330" s="10"/>
      <c r="S330" s="17"/>
    </row>
    <row r="331" spans="1:19">
      <c r="A331" s="8" t="s">
        <v>887</v>
      </c>
      <c r="B331" s="6" t="s">
        <v>1064</v>
      </c>
      <c r="C331" s="14" t="s">
        <v>1500</v>
      </c>
      <c r="D331" s="6" t="s">
        <v>898</v>
      </c>
      <c r="E331" s="6" t="s">
        <v>902</v>
      </c>
      <c r="F331" s="6" t="s">
        <v>15</v>
      </c>
      <c r="G331" s="6" t="s">
        <v>154</v>
      </c>
      <c r="H331" s="6" t="s">
        <v>15</v>
      </c>
      <c r="I331" s="6" t="s">
        <v>749</v>
      </c>
      <c r="J331" s="6" t="s">
        <v>15</v>
      </c>
      <c r="K331" s="6" t="s">
        <v>1065</v>
      </c>
      <c r="L331" s="7">
        <v>0</v>
      </c>
      <c r="M331" s="7">
        <v>5435000</v>
      </c>
      <c r="N331" s="11">
        <f t="shared" si="11"/>
        <v>5435000</v>
      </c>
      <c r="O331" s="6" t="s">
        <v>22</v>
      </c>
      <c r="P331" s="30" t="s">
        <v>25</v>
      </c>
      <c r="Q331" s="12"/>
      <c r="R331" s="10"/>
      <c r="S331" s="17"/>
    </row>
    <row r="332" spans="1:19">
      <c r="A332" s="8" t="s">
        <v>887</v>
      </c>
      <c r="B332" s="6" t="s">
        <v>928</v>
      </c>
      <c r="C332" s="14" t="s">
        <v>1510</v>
      </c>
      <c r="D332" s="6" t="s">
        <v>888</v>
      </c>
      <c r="E332" s="6" t="s">
        <v>903</v>
      </c>
      <c r="F332" s="6" t="s">
        <v>15</v>
      </c>
      <c r="G332" s="6" t="s">
        <v>71</v>
      </c>
      <c r="H332" s="6" t="s">
        <v>15</v>
      </c>
      <c r="I332" s="6" t="s">
        <v>275</v>
      </c>
      <c r="J332" s="6" t="s">
        <v>15</v>
      </c>
      <c r="K332" s="6" t="s">
        <v>929</v>
      </c>
      <c r="L332" s="7">
        <v>0</v>
      </c>
      <c r="M332" s="7">
        <v>47500000</v>
      </c>
      <c r="N332" s="11">
        <f t="shared" si="11"/>
        <v>47500000</v>
      </c>
      <c r="O332" s="6" t="s">
        <v>22</v>
      </c>
      <c r="P332" s="30" t="s">
        <v>25</v>
      </c>
      <c r="Q332" s="12"/>
      <c r="R332" s="10"/>
      <c r="S332" s="17"/>
    </row>
    <row r="333" spans="1:19">
      <c r="A333" s="8" t="s">
        <v>887</v>
      </c>
      <c r="B333" s="6" t="s">
        <v>98</v>
      </c>
      <c r="C333" s="14" t="s">
        <v>1513</v>
      </c>
      <c r="D333" s="6" t="s">
        <v>888</v>
      </c>
      <c r="E333" s="6" t="s">
        <v>892</v>
      </c>
      <c r="F333" s="6" t="s">
        <v>15</v>
      </c>
      <c r="G333" s="6" t="s">
        <v>216</v>
      </c>
      <c r="H333" s="6" t="s">
        <v>15</v>
      </c>
      <c r="I333" s="6" t="s">
        <v>359</v>
      </c>
      <c r="J333" s="6" t="s">
        <v>15</v>
      </c>
      <c r="K333" s="6" t="s">
        <v>127</v>
      </c>
      <c r="L333" s="7">
        <v>0</v>
      </c>
      <c r="M333" s="7">
        <v>2978000</v>
      </c>
      <c r="N333" s="11">
        <f t="shared" si="11"/>
        <v>2978000</v>
      </c>
      <c r="O333" s="6" t="s">
        <v>22</v>
      </c>
      <c r="P333" s="30" t="s">
        <v>25</v>
      </c>
      <c r="Q333" s="12"/>
      <c r="R333" s="10"/>
      <c r="S333" s="17"/>
    </row>
    <row r="334" spans="1:19">
      <c r="A334" s="8" t="s">
        <v>887</v>
      </c>
      <c r="B334" s="6" t="s">
        <v>1104</v>
      </c>
      <c r="C334" s="14" t="s">
        <v>1514</v>
      </c>
      <c r="D334" s="6" t="s">
        <v>888</v>
      </c>
      <c r="E334" s="6" t="s">
        <v>905</v>
      </c>
      <c r="F334" s="6" t="s">
        <v>15</v>
      </c>
      <c r="G334" s="6" t="s">
        <v>65</v>
      </c>
      <c r="H334" s="6" t="s">
        <v>15</v>
      </c>
      <c r="I334" s="6" t="s">
        <v>141</v>
      </c>
      <c r="J334" s="6" t="s">
        <v>15</v>
      </c>
      <c r="K334" s="6" t="s">
        <v>917</v>
      </c>
      <c r="L334" s="7">
        <v>0</v>
      </c>
      <c r="M334" s="7">
        <v>2300000</v>
      </c>
      <c r="N334" s="11">
        <f t="shared" si="11"/>
        <v>2300000</v>
      </c>
      <c r="O334" s="6" t="s">
        <v>22</v>
      </c>
      <c r="P334" s="30" t="s">
        <v>25</v>
      </c>
      <c r="Q334" s="12"/>
      <c r="R334" s="10"/>
      <c r="S334" s="17"/>
    </row>
    <row r="335" spans="1:19">
      <c r="A335" s="8" t="s">
        <v>887</v>
      </c>
      <c r="B335" s="6" t="s">
        <v>932</v>
      </c>
      <c r="C335" s="14" t="s">
        <v>1516</v>
      </c>
      <c r="D335" s="6" t="s">
        <v>898</v>
      </c>
      <c r="E335" s="6" t="s">
        <v>850</v>
      </c>
      <c r="F335" s="6" t="s">
        <v>15</v>
      </c>
      <c r="G335" s="6" t="s">
        <v>128</v>
      </c>
      <c r="H335" s="6" t="s">
        <v>15</v>
      </c>
      <c r="I335" s="6" t="s">
        <v>114</v>
      </c>
      <c r="J335" s="6" t="s">
        <v>15</v>
      </c>
      <c r="K335" s="6" t="s">
        <v>933</v>
      </c>
      <c r="L335" s="7">
        <v>0</v>
      </c>
      <c r="M335" s="7">
        <v>1400000</v>
      </c>
      <c r="N335" s="11">
        <f t="shared" si="11"/>
        <v>1400000</v>
      </c>
      <c r="O335" s="6" t="s">
        <v>22</v>
      </c>
      <c r="P335" s="30" t="s">
        <v>25</v>
      </c>
      <c r="Q335" s="12"/>
      <c r="R335" s="10"/>
      <c r="S335" s="17"/>
    </row>
    <row r="336" spans="1:19">
      <c r="A336" s="8" t="s">
        <v>887</v>
      </c>
      <c r="B336" s="6" t="s">
        <v>889</v>
      </c>
      <c r="C336" s="14" t="s">
        <v>1488</v>
      </c>
      <c r="D336" s="6" t="s">
        <v>888</v>
      </c>
      <c r="E336" s="6" t="s">
        <v>204</v>
      </c>
      <c r="F336" s="6" t="s">
        <v>39</v>
      </c>
      <c r="G336" s="6" t="s">
        <v>181</v>
      </c>
      <c r="H336" s="6" t="s">
        <v>39</v>
      </c>
      <c r="I336" s="6" t="s">
        <v>639</v>
      </c>
      <c r="J336" s="6" t="s">
        <v>15</v>
      </c>
      <c r="K336" s="6" t="s">
        <v>890</v>
      </c>
      <c r="L336" s="7">
        <v>1176000</v>
      </c>
      <c r="M336" s="7">
        <v>13064000</v>
      </c>
      <c r="N336" s="11">
        <f t="shared" si="11"/>
        <v>14240000</v>
      </c>
      <c r="O336" s="6" t="s">
        <v>24</v>
      </c>
      <c r="P336" s="30" t="s">
        <v>25</v>
      </c>
      <c r="Q336" s="12"/>
      <c r="R336" s="10"/>
      <c r="S336" s="17"/>
    </row>
    <row r="337" spans="1:19">
      <c r="A337" s="8" t="s">
        <v>887</v>
      </c>
      <c r="B337" s="6" t="s">
        <v>1062</v>
      </c>
      <c r="C337" s="14" t="s">
        <v>1498</v>
      </c>
      <c r="D337" s="6" t="s">
        <v>888</v>
      </c>
      <c r="E337" s="6" t="s">
        <v>905</v>
      </c>
      <c r="F337" s="6" t="s">
        <v>15</v>
      </c>
      <c r="G337" s="6" t="s">
        <v>59</v>
      </c>
      <c r="H337" s="6" t="s">
        <v>15</v>
      </c>
      <c r="I337" s="6" t="s">
        <v>285</v>
      </c>
      <c r="J337" s="6" t="s">
        <v>15</v>
      </c>
      <c r="K337" s="6" t="s">
        <v>1063</v>
      </c>
      <c r="L337" s="7">
        <v>0</v>
      </c>
      <c r="M337" s="7">
        <v>1660000</v>
      </c>
      <c r="N337" s="11">
        <f t="shared" si="11"/>
        <v>1660000</v>
      </c>
      <c r="O337" s="6" t="s">
        <v>24</v>
      </c>
      <c r="P337" s="30" t="s">
        <v>25</v>
      </c>
      <c r="Q337" s="12"/>
      <c r="R337" s="10"/>
      <c r="S337" s="17"/>
    </row>
    <row r="338" spans="1:19">
      <c r="A338" s="8" t="s">
        <v>887</v>
      </c>
      <c r="B338" s="6" t="s">
        <v>918</v>
      </c>
      <c r="C338" s="14" t="s">
        <v>1503</v>
      </c>
      <c r="D338" s="6" t="s">
        <v>898</v>
      </c>
      <c r="E338" s="6" t="s">
        <v>919</v>
      </c>
      <c r="F338" s="6" t="s">
        <v>15</v>
      </c>
      <c r="G338" s="6" t="s">
        <v>16</v>
      </c>
      <c r="H338" s="6" t="s">
        <v>15</v>
      </c>
      <c r="I338" s="6" t="s">
        <v>279</v>
      </c>
      <c r="J338" s="6" t="s">
        <v>15</v>
      </c>
      <c r="K338" s="6" t="s">
        <v>920</v>
      </c>
      <c r="L338" s="7">
        <v>0</v>
      </c>
      <c r="M338" s="7">
        <v>1535000</v>
      </c>
      <c r="N338" s="11">
        <f t="shared" si="11"/>
        <v>1535000</v>
      </c>
      <c r="O338" s="6" t="s">
        <v>24</v>
      </c>
      <c r="P338" s="30" t="s">
        <v>25</v>
      </c>
      <c r="Q338" s="12"/>
      <c r="R338" s="10"/>
      <c r="S338" s="17"/>
    </row>
    <row r="339" spans="1:19">
      <c r="A339" s="8" t="s">
        <v>887</v>
      </c>
      <c r="B339" s="6" t="s">
        <v>930</v>
      </c>
      <c r="C339" s="14" t="s">
        <v>1511</v>
      </c>
      <c r="D339" s="6" t="s">
        <v>888</v>
      </c>
      <c r="E339" s="6" t="s">
        <v>903</v>
      </c>
      <c r="F339" s="6" t="s">
        <v>15</v>
      </c>
      <c r="G339" s="6" t="s">
        <v>243</v>
      </c>
      <c r="H339" s="6" t="s">
        <v>15</v>
      </c>
      <c r="I339" s="6" t="s">
        <v>77</v>
      </c>
      <c r="J339" s="6" t="s">
        <v>15</v>
      </c>
      <c r="K339" s="6" t="s">
        <v>931</v>
      </c>
      <c r="L339" s="7">
        <v>0</v>
      </c>
      <c r="M339" s="7">
        <v>11453000</v>
      </c>
      <c r="N339" s="11">
        <f t="shared" si="11"/>
        <v>11453000</v>
      </c>
      <c r="O339" s="6" t="s">
        <v>24</v>
      </c>
      <c r="P339" s="30" t="s">
        <v>25</v>
      </c>
      <c r="Q339" s="12"/>
      <c r="R339" s="10"/>
      <c r="S339" s="17"/>
    </row>
    <row r="340" spans="1:19">
      <c r="A340" s="8" t="s">
        <v>887</v>
      </c>
      <c r="B340" s="6" t="s">
        <v>96</v>
      </c>
      <c r="C340" s="14" t="s">
        <v>1512</v>
      </c>
      <c r="D340" s="6" t="s">
        <v>888</v>
      </c>
      <c r="E340" s="6" t="s">
        <v>204</v>
      </c>
      <c r="F340" s="6" t="s">
        <v>39</v>
      </c>
      <c r="G340" s="6" t="s">
        <v>310</v>
      </c>
      <c r="H340" s="6" t="s">
        <v>39</v>
      </c>
      <c r="I340" s="6" t="s">
        <v>641</v>
      </c>
      <c r="J340" s="6" t="s">
        <v>15</v>
      </c>
      <c r="K340" s="6" t="s">
        <v>1074</v>
      </c>
      <c r="L340" s="7">
        <v>0</v>
      </c>
      <c r="M340" s="7">
        <v>8450000</v>
      </c>
      <c r="N340" s="11">
        <f t="shared" si="11"/>
        <v>8450000</v>
      </c>
      <c r="O340" s="6" t="s">
        <v>24</v>
      </c>
      <c r="P340" s="30" t="s">
        <v>25</v>
      </c>
      <c r="Q340" s="12"/>
      <c r="R340" s="10"/>
      <c r="S340" s="17"/>
    </row>
    <row r="341" spans="1:19">
      <c r="A341" s="8" t="s">
        <v>887</v>
      </c>
      <c r="B341" s="6" t="s">
        <v>1165</v>
      </c>
      <c r="C341" s="14" t="s">
        <v>1515</v>
      </c>
      <c r="D341" s="6" t="s">
        <v>888</v>
      </c>
      <c r="E341" s="6" t="s">
        <v>204</v>
      </c>
      <c r="F341" s="6" t="s">
        <v>15</v>
      </c>
      <c r="G341" s="6" t="s">
        <v>395</v>
      </c>
      <c r="H341" s="6" t="s">
        <v>15</v>
      </c>
      <c r="I341" s="6" t="s">
        <v>449</v>
      </c>
      <c r="J341" s="6" t="s">
        <v>15</v>
      </c>
      <c r="K341" s="6" t="s">
        <v>1166</v>
      </c>
      <c r="L341" s="7">
        <v>0</v>
      </c>
      <c r="M341" s="7">
        <v>4000000</v>
      </c>
      <c r="N341" s="11">
        <f t="shared" si="11"/>
        <v>4000000</v>
      </c>
      <c r="O341" s="6" t="s">
        <v>24</v>
      </c>
      <c r="P341" s="30" t="s">
        <v>25</v>
      </c>
      <c r="Q341" s="12"/>
      <c r="R341" s="10"/>
      <c r="S341" s="17"/>
    </row>
    <row r="342" spans="1:19" ht="15">
      <c r="A342" s="43"/>
      <c r="B342" s="23"/>
      <c r="C342" s="19"/>
      <c r="D342" s="23"/>
      <c r="E342" s="23"/>
      <c r="F342" s="23"/>
      <c r="G342" s="23"/>
      <c r="H342" s="23"/>
      <c r="I342" s="23"/>
      <c r="J342" s="23"/>
      <c r="K342" s="20" t="s">
        <v>1546</v>
      </c>
      <c r="L342" s="24"/>
      <c r="M342" s="24"/>
      <c r="N342" s="22">
        <f>SUM(N310:N341)</f>
        <v>385441000</v>
      </c>
      <c r="O342" s="23"/>
      <c r="P342" s="31"/>
      <c r="Q342" s="32"/>
      <c r="R342" s="19"/>
      <c r="S342" s="17"/>
    </row>
    <row r="343" spans="1:19" ht="12" customHeight="1">
      <c r="A343" s="8" t="s">
        <v>934</v>
      </c>
      <c r="B343" s="6" t="s">
        <v>941</v>
      </c>
      <c r="C343" s="14" t="s">
        <v>1520</v>
      </c>
      <c r="D343" s="6" t="s">
        <v>935</v>
      </c>
      <c r="E343" s="6" t="s">
        <v>936</v>
      </c>
      <c r="F343" s="6" t="s">
        <v>15</v>
      </c>
      <c r="G343" s="6" t="s">
        <v>208</v>
      </c>
      <c r="H343" s="6" t="s">
        <v>15</v>
      </c>
      <c r="I343" s="6" t="s">
        <v>393</v>
      </c>
      <c r="J343" s="6" t="s">
        <v>15</v>
      </c>
      <c r="K343" s="6" t="s">
        <v>942</v>
      </c>
      <c r="L343" s="7">
        <v>0</v>
      </c>
      <c r="M343" s="7">
        <v>4700000</v>
      </c>
      <c r="N343" s="11">
        <f t="shared" ref="N343:N354" si="12">SUM(L343:M343)</f>
        <v>4700000</v>
      </c>
      <c r="O343" s="6" t="s">
        <v>34</v>
      </c>
      <c r="P343" s="30" t="s">
        <v>23</v>
      </c>
      <c r="Q343" s="12"/>
      <c r="R343" s="10"/>
      <c r="S343" s="17"/>
    </row>
    <row r="344" spans="1:19">
      <c r="A344" s="8" t="s">
        <v>934</v>
      </c>
      <c r="B344" s="6" t="s">
        <v>1077</v>
      </c>
      <c r="C344" s="14" t="s">
        <v>1523</v>
      </c>
      <c r="D344" s="6" t="s">
        <v>935</v>
      </c>
      <c r="E344" s="6" t="s">
        <v>752</v>
      </c>
      <c r="F344" s="6" t="s">
        <v>15</v>
      </c>
      <c r="G344" s="6" t="s">
        <v>41</v>
      </c>
      <c r="H344" s="6" t="s">
        <v>15</v>
      </c>
      <c r="I344" s="6" t="s">
        <v>376</v>
      </c>
      <c r="J344" s="6" t="s">
        <v>15</v>
      </c>
      <c r="K344" s="6" t="s">
        <v>1078</v>
      </c>
      <c r="L344" s="7">
        <v>0</v>
      </c>
      <c r="M344" s="7">
        <v>1000000</v>
      </c>
      <c r="N344" s="11">
        <f t="shared" si="12"/>
        <v>1000000</v>
      </c>
      <c r="O344" s="6" t="s">
        <v>34</v>
      </c>
      <c r="P344" s="30" t="s">
        <v>23</v>
      </c>
      <c r="Q344" s="12"/>
      <c r="R344" s="10"/>
      <c r="S344" s="17"/>
    </row>
    <row r="345" spans="1:19">
      <c r="A345" s="8" t="s">
        <v>934</v>
      </c>
      <c r="B345" s="6" t="s">
        <v>1169</v>
      </c>
      <c r="C345" s="14" t="s">
        <v>1526</v>
      </c>
      <c r="D345" s="6" t="s">
        <v>935</v>
      </c>
      <c r="E345" s="6" t="s">
        <v>744</v>
      </c>
      <c r="F345" s="6" t="s">
        <v>15</v>
      </c>
      <c r="G345" s="6" t="s">
        <v>430</v>
      </c>
      <c r="H345" s="6" t="s">
        <v>15</v>
      </c>
      <c r="I345" s="6" t="s">
        <v>307</v>
      </c>
      <c r="J345" s="6" t="s">
        <v>15</v>
      </c>
      <c r="K345" s="6" t="s">
        <v>1170</v>
      </c>
      <c r="L345" s="7">
        <v>778000</v>
      </c>
      <c r="M345" s="7">
        <v>286000</v>
      </c>
      <c r="N345" s="11">
        <f t="shared" si="12"/>
        <v>1064000</v>
      </c>
      <c r="O345" s="6" t="s">
        <v>34</v>
      </c>
      <c r="P345" s="30" t="s">
        <v>23</v>
      </c>
      <c r="Q345" s="12"/>
      <c r="R345" s="10"/>
      <c r="S345" s="17">
        <f>VLOOKUP(C345,'[1]Current Old'!$A:$B,2,FALSE)</f>
        <v>40960</v>
      </c>
    </row>
    <row r="346" spans="1:19">
      <c r="A346" s="8" t="s">
        <v>934</v>
      </c>
      <c r="B346" s="6" t="s">
        <v>632</v>
      </c>
      <c r="C346" s="14" t="s">
        <v>1528</v>
      </c>
      <c r="D346" s="6" t="s">
        <v>935</v>
      </c>
      <c r="E346" s="6" t="s">
        <v>744</v>
      </c>
      <c r="F346" s="6" t="s">
        <v>15</v>
      </c>
      <c r="G346" s="6" t="s">
        <v>16</v>
      </c>
      <c r="H346" s="6" t="s">
        <v>15</v>
      </c>
      <c r="I346" s="6" t="s">
        <v>407</v>
      </c>
      <c r="J346" s="6" t="s">
        <v>15</v>
      </c>
      <c r="K346" s="6" t="s">
        <v>1173</v>
      </c>
      <c r="L346" s="7">
        <v>0</v>
      </c>
      <c r="M346" s="7">
        <v>392000</v>
      </c>
      <c r="N346" s="11">
        <f t="shared" si="12"/>
        <v>392000</v>
      </c>
      <c r="O346" s="6" t="s">
        <v>34</v>
      </c>
      <c r="P346" s="30" t="s">
        <v>23</v>
      </c>
      <c r="Q346" s="12"/>
      <c r="R346" s="10"/>
      <c r="S346" s="17"/>
    </row>
    <row r="347" spans="1:19">
      <c r="A347" s="8" t="s">
        <v>934</v>
      </c>
      <c r="B347" s="6" t="s">
        <v>829</v>
      </c>
      <c r="C347" s="14" t="s">
        <v>1529</v>
      </c>
      <c r="D347" s="6" t="s">
        <v>935</v>
      </c>
      <c r="E347" s="6" t="s">
        <v>767</v>
      </c>
      <c r="F347" s="6" t="s">
        <v>15</v>
      </c>
      <c r="G347" s="6" t="s">
        <v>499</v>
      </c>
      <c r="H347" s="6" t="s">
        <v>15</v>
      </c>
      <c r="I347" s="6" t="s">
        <v>144</v>
      </c>
      <c r="J347" s="6" t="s">
        <v>15</v>
      </c>
      <c r="K347" s="6" t="s">
        <v>1174</v>
      </c>
      <c r="L347" s="7">
        <v>0</v>
      </c>
      <c r="M347" s="7">
        <v>414000</v>
      </c>
      <c r="N347" s="11">
        <f t="shared" si="12"/>
        <v>414000</v>
      </c>
      <c r="O347" s="6" t="s">
        <v>34</v>
      </c>
      <c r="P347" s="30" t="s">
        <v>23</v>
      </c>
      <c r="Q347" s="12"/>
      <c r="R347" s="10"/>
      <c r="S347" s="17"/>
    </row>
    <row r="348" spans="1:19">
      <c r="A348" s="8" t="s">
        <v>934</v>
      </c>
      <c r="B348" s="6" t="s">
        <v>220</v>
      </c>
      <c r="C348" s="14" t="s">
        <v>1518</v>
      </c>
      <c r="D348" s="6" t="s">
        <v>935</v>
      </c>
      <c r="E348" s="6" t="s">
        <v>815</v>
      </c>
      <c r="F348" s="6" t="s">
        <v>15</v>
      </c>
      <c r="G348" s="6" t="s">
        <v>16</v>
      </c>
      <c r="H348" s="6" t="s">
        <v>15</v>
      </c>
      <c r="I348" s="6" t="s">
        <v>391</v>
      </c>
      <c r="J348" s="6" t="s">
        <v>15</v>
      </c>
      <c r="K348" s="6" t="s">
        <v>938</v>
      </c>
      <c r="L348" s="7">
        <v>10104000</v>
      </c>
      <c r="M348" s="7">
        <v>28728000</v>
      </c>
      <c r="N348" s="11">
        <f t="shared" si="12"/>
        <v>38832000</v>
      </c>
      <c r="O348" s="6" t="s">
        <v>26</v>
      </c>
      <c r="P348" s="30" t="s">
        <v>23</v>
      </c>
      <c r="Q348" s="12"/>
      <c r="R348" s="10"/>
      <c r="S348" s="17"/>
    </row>
    <row r="349" spans="1:19">
      <c r="A349" s="8" t="s">
        <v>934</v>
      </c>
      <c r="B349" s="6" t="s">
        <v>945</v>
      </c>
      <c r="C349" s="14" t="s">
        <v>1521</v>
      </c>
      <c r="D349" s="6" t="s">
        <v>935</v>
      </c>
      <c r="E349" s="6" t="s">
        <v>939</v>
      </c>
      <c r="F349" s="6" t="s">
        <v>15</v>
      </c>
      <c r="G349" s="6" t="s">
        <v>757</v>
      </c>
      <c r="H349" s="6" t="s">
        <v>15</v>
      </c>
      <c r="I349" s="6" t="s">
        <v>354</v>
      </c>
      <c r="J349" s="6" t="s">
        <v>15</v>
      </c>
      <c r="K349" s="6" t="s">
        <v>944</v>
      </c>
      <c r="L349" s="7">
        <v>0</v>
      </c>
      <c r="M349" s="7">
        <v>1507000</v>
      </c>
      <c r="N349" s="11">
        <f t="shared" si="12"/>
        <v>1507000</v>
      </c>
      <c r="O349" s="6" t="s">
        <v>26</v>
      </c>
      <c r="P349" s="30" t="s">
        <v>23</v>
      </c>
      <c r="Q349" s="12"/>
      <c r="R349" s="10"/>
      <c r="S349" s="17"/>
    </row>
    <row r="350" spans="1:19">
      <c r="A350" s="8" t="s">
        <v>934</v>
      </c>
      <c r="B350" s="6" t="s">
        <v>877</v>
      </c>
      <c r="C350" s="14" t="s">
        <v>1522</v>
      </c>
      <c r="D350" s="6" t="s">
        <v>935</v>
      </c>
      <c r="E350" s="6" t="s">
        <v>752</v>
      </c>
      <c r="F350" s="6" t="s">
        <v>15</v>
      </c>
      <c r="G350" s="6" t="s">
        <v>179</v>
      </c>
      <c r="H350" s="6" t="s">
        <v>15</v>
      </c>
      <c r="I350" s="6" t="s">
        <v>179</v>
      </c>
      <c r="J350" s="6" t="s">
        <v>15</v>
      </c>
      <c r="K350" s="6" t="s">
        <v>946</v>
      </c>
      <c r="L350" s="7">
        <v>0</v>
      </c>
      <c r="M350" s="7">
        <v>607000</v>
      </c>
      <c r="N350" s="11">
        <f t="shared" si="12"/>
        <v>607000</v>
      </c>
      <c r="O350" s="6" t="s">
        <v>22</v>
      </c>
      <c r="P350" s="30" t="s">
        <v>25</v>
      </c>
      <c r="Q350" s="12"/>
      <c r="R350" s="10"/>
      <c r="S350" s="17"/>
    </row>
    <row r="351" spans="1:19">
      <c r="A351" s="8" t="s">
        <v>934</v>
      </c>
      <c r="B351" s="6" t="s">
        <v>1079</v>
      </c>
      <c r="C351" s="14" t="s">
        <v>1524</v>
      </c>
      <c r="D351" s="6" t="s">
        <v>935</v>
      </c>
      <c r="E351" s="6" t="s">
        <v>752</v>
      </c>
      <c r="F351" s="6" t="s">
        <v>15</v>
      </c>
      <c r="G351" s="6" t="s">
        <v>139</v>
      </c>
      <c r="H351" s="6" t="s">
        <v>15</v>
      </c>
      <c r="I351" s="6" t="s">
        <v>49</v>
      </c>
      <c r="J351" s="6" t="s">
        <v>15</v>
      </c>
      <c r="K351" s="6" t="s">
        <v>1080</v>
      </c>
      <c r="L351" s="7">
        <v>0</v>
      </c>
      <c r="M351" s="7">
        <v>2520000</v>
      </c>
      <c r="N351" s="11">
        <f t="shared" si="12"/>
        <v>2520000</v>
      </c>
      <c r="O351" s="6" t="s">
        <v>22</v>
      </c>
      <c r="P351" s="30" t="s">
        <v>25</v>
      </c>
      <c r="Q351" s="12"/>
      <c r="R351" s="10"/>
      <c r="S351" s="17"/>
    </row>
    <row r="352" spans="1:19">
      <c r="A352" s="8" t="s">
        <v>934</v>
      </c>
      <c r="B352" s="6" t="s">
        <v>1171</v>
      </c>
      <c r="C352" s="14" t="s">
        <v>1527</v>
      </c>
      <c r="D352" s="6" t="s">
        <v>935</v>
      </c>
      <c r="E352" s="6" t="s">
        <v>936</v>
      </c>
      <c r="F352" s="6" t="s">
        <v>15</v>
      </c>
      <c r="G352" s="6" t="s">
        <v>509</v>
      </c>
      <c r="H352" s="6" t="s">
        <v>15</v>
      </c>
      <c r="I352" s="6" t="s">
        <v>509</v>
      </c>
      <c r="J352" s="6" t="s">
        <v>15</v>
      </c>
      <c r="K352" s="6" t="s">
        <v>1172</v>
      </c>
      <c r="L352" s="7">
        <v>0</v>
      </c>
      <c r="M352" s="7">
        <v>400000</v>
      </c>
      <c r="N352" s="11">
        <f t="shared" si="12"/>
        <v>400000</v>
      </c>
      <c r="O352" s="6" t="s">
        <v>22</v>
      </c>
      <c r="P352" s="30" t="s">
        <v>25</v>
      </c>
      <c r="Q352" s="12"/>
      <c r="R352" s="10"/>
      <c r="S352" s="17"/>
    </row>
    <row r="353" spans="1:19">
      <c r="A353" s="8" t="s">
        <v>934</v>
      </c>
      <c r="B353" s="6" t="s">
        <v>1075</v>
      </c>
      <c r="C353" s="14" t="s">
        <v>1519</v>
      </c>
      <c r="D353" s="6" t="s">
        <v>935</v>
      </c>
      <c r="E353" s="6" t="s">
        <v>940</v>
      </c>
      <c r="F353" s="6" t="s">
        <v>15</v>
      </c>
      <c r="G353" s="6" t="s">
        <v>516</v>
      </c>
      <c r="H353" s="6" t="s">
        <v>15</v>
      </c>
      <c r="I353" s="6" t="s">
        <v>94</v>
      </c>
      <c r="J353" s="6" t="s">
        <v>15</v>
      </c>
      <c r="K353" s="6" t="s">
        <v>1076</v>
      </c>
      <c r="L353" s="7">
        <v>0</v>
      </c>
      <c r="M353" s="7">
        <v>4861000</v>
      </c>
      <c r="N353" s="11">
        <f t="shared" si="12"/>
        <v>4861000</v>
      </c>
      <c r="O353" s="6" t="s">
        <v>24</v>
      </c>
      <c r="P353" s="30" t="s">
        <v>25</v>
      </c>
      <c r="Q353" s="12"/>
      <c r="R353" s="10"/>
      <c r="S353" s="17"/>
    </row>
    <row r="354" spans="1:19">
      <c r="A354" s="8" t="s">
        <v>934</v>
      </c>
      <c r="B354" s="6" t="s">
        <v>948</v>
      </c>
      <c r="C354" s="14" t="s">
        <v>1525</v>
      </c>
      <c r="D354" s="6" t="s">
        <v>935</v>
      </c>
      <c r="E354" s="6" t="s">
        <v>943</v>
      </c>
      <c r="F354" s="6" t="s">
        <v>15</v>
      </c>
      <c r="G354" s="6" t="s">
        <v>184</v>
      </c>
      <c r="H354" s="6" t="s">
        <v>15</v>
      </c>
      <c r="I354" s="6" t="s">
        <v>184</v>
      </c>
      <c r="J354" s="6" t="s">
        <v>15</v>
      </c>
      <c r="K354" s="6" t="s">
        <v>949</v>
      </c>
      <c r="L354" s="7">
        <v>0</v>
      </c>
      <c r="M354" s="7">
        <v>13400000</v>
      </c>
      <c r="N354" s="11">
        <f t="shared" si="12"/>
        <v>13400000</v>
      </c>
      <c r="O354" s="6" t="s">
        <v>24</v>
      </c>
      <c r="P354" s="30" t="s">
        <v>25</v>
      </c>
      <c r="Q354" s="12"/>
      <c r="R354" s="10"/>
      <c r="S354" s="17"/>
    </row>
    <row r="355" spans="1:19" ht="15">
      <c r="A355" s="44"/>
      <c r="B355" s="26"/>
      <c r="C355" s="26"/>
      <c r="D355" s="26"/>
      <c r="E355" s="26"/>
      <c r="F355" s="26"/>
      <c r="G355" s="26"/>
      <c r="H355" s="26"/>
      <c r="I355" s="26"/>
      <c r="J355" s="26"/>
      <c r="K355" s="20" t="s">
        <v>1547</v>
      </c>
      <c r="L355" s="27"/>
      <c r="M355" s="27"/>
      <c r="N355" s="25">
        <f>SUM(N343:N354)</f>
        <v>69697000</v>
      </c>
      <c r="O355" s="26"/>
      <c r="P355" s="26"/>
      <c r="Q355" s="33"/>
      <c r="R355" s="33"/>
    </row>
  </sheetData>
  <autoFilter ref="A3:T355">
    <filterColumn colId="13"/>
    <sortState ref="A5:T356">
      <sortCondition ref="A5:A356"/>
      <sortCondition ref="P5:P356"/>
      <sortCondition ref="O5:O356"/>
    </sortState>
  </autoFilter>
  <mergeCells count="2">
    <mergeCell ref="A1:R1"/>
    <mergeCell ref="A2:R2"/>
  </mergeCells>
  <printOptions horizontalCentered="1"/>
  <pageMargins left="0.75" right="0.75" top="1" bottom="1" header="0.5" footer="0.5"/>
  <pageSetup scale="64" fitToHeight="0" orientation="landscape" r:id="rId1"/>
  <headerFooter alignWithMargins="0">
    <oddFooter>&amp;L&amp;D&amp;C&amp;P of &amp;N</oddFooter>
  </headerFooter>
  <rowBreaks count="11" manualBreakCount="11">
    <brk id="28" max="16383" man="1"/>
    <brk id="47" max="16383" man="1"/>
    <brk id="78" max="16383" man="1"/>
    <brk id="149" max="16383" man="1"/>
    <brk id="166" max="16383" man="1"/>
    <brk id="206" max="16383" man="1"/>
    <brk id="249" max="16383" man="1"/>
    <brk id="288" max="16383" man="1"/>
    <brk id="291" max="16383" man="1"/>
    <brk id="309" max="16383" man="1"/>
    <brk id="34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12 mo List Reduced</vt:lpstr>
      <vt:lpstr>'12 mo List Reduced'!Print_Area</vt:lpstr>
      <vt:lpstr>'12 mo List Reduced'!Print_Titles</vt:lpstr>
    </vt:vector>
  </TitlesOfParts>
  <Company>Caltrans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jespinoz</dc:creator>
  <cp:lastModifiedBy>s113352</cp:lastModifiedBy>
  <cp:lastPrinted>2012-02-07T21:49:50Z</cp:lastPrinted>
  <dcterms:created xsi:type="dcterms:W3CDTF">2008-04-22T23:08:39Z</dcterms:created>
  <dcterms:modified xsi:type="dcterms:W3CDTF">2012-05-04T16:43:23Z</dcterms:modified>
</cp:coreProperties>
</file>