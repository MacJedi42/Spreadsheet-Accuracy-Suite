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590" yWindow="-140" windowWidth="16140" windowHeight="9000" activeTab="5"/>
  </bookViews>
  <sheets>
    <sheet name="BUDGETSIZE" sheetId="29" r:id="rId1"/>
    <sheet name="BUDGET DETAIL" sheetId="31" r:id="rId2"/>
    <sheet name="ALLOCATION" sheetId="23" r:id="rId3"/>
    <sheet name="ACTUAL EXP" sheetId="24" r:id="rId4"/>
    <sheet name="SCH D" sheetId="27" r:id="rId5"/>
    <sheet name="SCH C" sheetId="28" r:id="rId6"/>
    <sheet name="Sheet1" sheetId="32" r:id="rId7"/>
  </sheets>
  <definedNames>
    <definedName name="\C">#REF!</definedName>
    <definedName name="TABLE1">'BUDGET DETAIL'!$B$4:$L$140</definedName>
    <definedName name="table3">'BUDGET DETAIL'!$A$4:$L$150</definedName>
    <definedName name="table4">'BUDGET DETAIL'!$A$154:$L$158</definedName>
    <definedName name="table5">'BUDGET DETAIL'!$A$162:$L$169</definedName>
  </definedNames>
  <calcPr calcId="125725"/>
</workbook>
</file>

<file path=xl/calcChain.xml><?xml version="1.0" encoding="utf-8"?>
<calcChain xmlns="http://schemas.openxmlformats.org/spreadsheetml/2006/main">
  <c r="D308" i="28"/>
  <c r="D93"/>
  <c r="A3" i="2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17"/>
  <c r="A118"/>
  <c r="A119"/>
  <c r="A120"/>
  <c r="A121"/>
  <c r="A122"/>
  <c r="E310" i="28"/>
  <c r="D310"/>
  <c r="C310"/>
  <c r="E308"/>
  <c r="C308"/>
  <c r="E269"/>
  <c r="D269"/>
  <c r="C269"/>
  <c r="C311" l="1"/>
  <c r="D15" i="24"/>
  <c r="G23"/>
  <c r="G26"/>
  <c r="D46" l="1"/>
  <c r="D21"/>
  <c r="D13" l="1"/>
  <c r="D39" l="1"/>
  <c r="G47" l="1"/>
  <c r="G46"/>
  <c r="D83"/>
  <c r="D144" i="28"/>
  <c r="B135"/>
  <c r="D37" i="24"/>
  <c r="D38"/>
  <c r="G38" s="1"/>
  <c r="D32"/>
  <c r="G32" s="1"/>
  <c r="D79"/>
  <c r="D77"/>
  <c r="G77" s="1"/>
  <c r="D75"/>
  <c r="G75" s="1"/>
  <c r="F68"/>
  <c r="E68"/>
  <c r="D68"/>
  <c r="F61"/>
  <c r="G61" s="1"/>
  <c r="E61"/>
  <c r="D61"/>
  <c r="F60"/>
  <c r="E60"/>
  <c r="D60"/>
  <c r="F59"/>
  <c r="D59"/>
  <c r="G59" s="1"/>
  <c r="F58"/>
  <c r="G58" s="1"/>
  <c r="E58"/>
  <c r="D58"/>
  <c r="E54"/>
  <c r="D54"/>
  <c r="G54" s="1"/>
  <c r="E52"/>
  <c r="D52"/>
  <c r="F45"/>
  <c r="D45"/>
  <c r="F43"/>
  <c r="E43"/>
  <c r="D43"/>
  <c r="F50"/>
  <c r="G50" s="1"/>
  <c r="E50"/>
  <c r="D50"/>
  <c r="F49"/>
  <c r="E49"/>
  <c r="D49"/>
  <c r="D81"/>
  <c r="F85"/>
  <c r="E85"/>
  <c r="G85" s="1"/>
  <c r="D85"/>
  <c r="D64"/>
  <c r="F41"/>
  <c r="D41"/>
  <c r="G41" s="1"/>
  <c r="D35"/>
  <c r="D34"/>
  <c r="D33"/>
  <c r="G33" s="1"/>
  <c r="D30"/>
  <c r="G30" s="1"/>
  <c r="D31"/>
  <c r="G17"/>
  <c r="G19"/>
  <c r="G15"/>
  <c r="G73"/>
  <c r="G64"/>
  <c r="G21"/>
  <c r="G13"/>
  <c r="G18"/>
  <c r="G16"/>
  <c r="G39"/>
  <c r="D234" i="28"/>
  <c r="D233"/>
  <c r="D232"/>
  <c r="D210"/>
  <c r="D209"/>
  <c r="D207"/>
  <c r="D224"/>
  <c r="D169"/>
  <c r="D218"/>
  <c r="D202"/>
  <c r="D164"/>
  <c r="D156"/>
  <c r="D201"/>
  <c r="D166"/>
  <c r="D204"/>
  <c r="D231"/>
  <c r="D229"/>
  <c r="D228"/>
  <c r="D225"/>
  <c r="D230"/>
  <c r="D235"/>
  <c r="D182"/>
  <c r="D157"/>
  <c r="D147"/>
  <c r="D222"/>
  <c r="D215"/>
  <c r="D206"/>
  <c r="D145"/>
  <c r="D143"/>
  <c r="D142"/>
  <c r="D141"/>
  <c r="D140"/>
  <c r="D139"/>
  <c r="D138"/>
  <c r="D160"/>
  <c r="D137"/>
  <c r="D136"/>
  <c r="D135"/>
  <c r="D133"/>
  <c r="D187"/>
  <c r="D173"/>
  <c r="D176"/>
  <c r="D198"/>
  <c r="D197"/>
  <c r="D192"/>
  <c r="D195"/>
  <c r="D190"/>
  <c r="D188"/>
  <c r="D186"/>
  <c r="D184"/>
  <c r="D199"/>
  <c r="D179"/>
  <c r="D178"/>
  <c r="D172"/>
  <c r="D155"/>
  <c r="D181"/>
  <c r="D180"/>
  <c r="D174"/>
  <c r="D220"/>
  <c r="D219"/>
  <c r="D221"/>
  <c r="D214"/>
  <c r="D217"/>
  <c r="D216"/>
  <c r="D170"/>
  <c r="D212"/>
  <c r="D165"/>
  <c r="D200"/>
  <c r="D211"/>
  <c r="D154"/>
  <c r="D168"/>
  <c r="D171"/>
  <c r="D163"/>
  <c r="D132"/>
  <c r="D131"/>
  <c r="M64" i="29"/>
  <c r="L169" i="31"/>
  <c r="A169"/>
  <c r="L168"/>
  <c r="L167"/>
  <c r="M26" i="29"/>
  <c r="L74"/>
  <c r="L142" i="31"/>
  <c r="B68" i="29"/>
  <c r="C73" i="23"/>
  <c r="B69" i="27" s="1"/>
  <c r="B71" i="28" s="1"/>
  <c r="B144" s="1"/>
  <c r="E84" i="31"/>
  <c r="K127" i="23"/>
  <c r="J127"/>
  <c r="G81" i="24"/>
  <c r="G79"/>
  <c r="G72"/>
  <c r="G71"/>
  <c r="G70"/>
  <c r="G69"/>
  <c r="G66"/>
  <c r="G65"/>
  <c r="G62"/>
  <c r="G56"/>
  <c r="G55"/>
  <c r="G53"/>
  <c r="G44"/>
  <c r="G37"/>
  <c r="G35"/>
  <c r="G34"/>
  <c r="F32"/>
  <c r="G31"/>
  <c r="G28"/>
  <c r="G27"/>
  <c r="G25"/>
  <c r="G22"/>
  <c r="G20"/>
  <c r="G76" i="27" s="1"/>
  <c r="L436" i="31"/>
  <c r="L435"/>
  <c r="L434"/>
  <c r="L433"/>
  <c r="A433"/>
  <c r="A434"/>
  <c r="A435"/>
  <c r="L432"/>
  <c r="L428"/>
  <c r="L427"/>
  <c r="L426"/>
  <c r="L425"/>
  <c r="A425"/>
  <c r="A426"/>
  <c r="A427"/>
  <c r="A428"/>
  <c r="L424"/>
  <c r="K416"/>
  <c r="J416"/>
  <c r="I416"/>
  <c r="H416"/>
  <c r="G416"/>
  <c r="G418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L279"/>
  <c r="D126" i="28"/>
  <c r="A123"/>
  <c r="A121"/>
  <c r="A122"/>
  <c r="C123"/>
  <c r="A124"/>
  <c r="C124"/>
  <c r="C125"/>
  <c r="D125"/>
  <c r="C126"/>
  <c r="A127"/>
  <c r="B127"/>
  <c r="C127"/>
  <c r="D127"/>
  <c r="E127"/>
  <c r="A130"/>
  <c r="B130"/>
  <c r="D130"/>
  <c r="A131"/>
  <c r="B131"/>
  <c r="A132"/>
  <c r="B132"/>
  <c r="A133"/>
  <c r="B133"/>
  <c r="A134"/>
  <c r="B134"/>
  <c r="D134"/>
  <c r="A135"/>
  <c r="A136"/>
  <c r="B136"/>
  <c r="A137"/>
  <c r="B137"/>
  <c r="A138"/>
  <c r="B138"/>
  <c r="A139"/>
  <c r="B139"/>
  <c r="A140"/>
  <c r="B140"/>
  <c r="A141"/>
  <c r="B141"/>
  <c r="A142"/>
  <c r="B142"/>
  <c r="A143"/>
  <c r="B143"/>
  <c r="A145"/>
  <c r="B145"/>
  <c r="A146"/>
  <c r="B146"/>
  <c r="D146"/>
  <c r="A147"/>
  <c r="B147"/>
  <c r="A148"/>
  <c r="B148"/>
  <c r="D148"/>
  <c r="A149"/>
  <c r="B149"/>
  <c r="D149"/>
  <c r="B150"/>
  <c r="D150"/>
  <c r="A154"/>
  <c r="B154"/>
  <c r="A155"/>
  <c r="B155"/>
  <c r="A156"/>
  <c r="B156"/>
  <c r="A157"/>
  <c r="B157"/>
  <c r="A158"/>
  <c r="B158"/>
  <c r="D158"/>
  <c r="A159"/>
  <c r="B159"/>
  <c r="A160"/>
  <c r="B160"/>
  <c r="A161"/>
  <c r="B161"/>
  <c r="D161"/>
  <c r="A162"/>
  <c r="B162"/>
  <c r="D162"/>
  <c r="A163"/>
  <c r="B163"/>
  <c r="A164"/>
  <c r="B164"/>
  <c r="A165"/>
  <c r="B165"/>
  <c r="A166"/>
  <c r="B166"/>
  <c r="A167"/>
  <c r="B167"/>
  <c r="D167"/>
  <c r="A168"/>
  <c r="B168"/>
  <c r="A169"/>
  <c r="B169"/>
  <c r="A170"/>
  <c r="B170"/>
  <c r="A171"/>
  <c r="B171"/>
  <c r="A172"/>
  <c r="B172"/>
  <c r="A173"/>
  <c r="B173"/>
  <c r="A174"/>
  <c r="B174"/>
  <c r="A175"/>
  <c r="B175"/>
  <c r="D175"/>
  <c r="A176"/>
  <c r="B176"/>
  <c r="A177"/>
  <c r="B177"/>
  <c r="A178"/>
  <c r="B178"/>
  <c r="A179"/>
  <c r="B179"/>
  <c r="A180"/>
  <c r="B180"/>
  <c r="A181"/>
  <c r="B181"/>
  <c r="A182"/>
  <c r="B182"/>
  <c r="A183"/>
  <c r="B183"/>
  <c r="D183"/>
  <c r="A184"/>
  <c r="B184"/>
  <c r="A185"/>
  <c r="B185"/>
  <c r="D185"/>
  <c r="A186"/>
  <c r="B186"/>
  <c r="A187"/>
  <c r="B187"/>
  <c r="A188"/>
  <c r="B188"/>
  <c r="A189"/>
  <c r="B189"/>
  <c r="D189"/>
  <c r="A190"/>
  <c r="B190"/>
  <c r="A191"/>
  <c r="B191"/>
  <c r="D191"/>
  <c r="A192"/>
  <c r="B192"/>
  <c r="A193"/>
  <c r="B193"/>
  <c r="D193"/>
  <c r="A194"/>
  <c r="B194"/>
  <c r="D194"/>
  <c r="A195"/>
  <c r="B195"/>
  <c r="A196"/>
  <c r="B196"/>
  <c r="D196"/>
  <c r="A197"/>
  <c r="B197"/>
  <c r="A198"/>
  <c r="B198"/>
  <c r="A199"/>
  <c r="B199"/>
  <c r="A200"/>
  <c r="B200"/>
  <c r="A201"/>
  <c r="B201"/>
  <c r="A202"/>
  <c r="B202"/>
  <c r="A203"/>
  <c r="B203"/>
  <c r="D203"/>
  <c r="A204"/>
  <c r="B204"/>
  <c r="A205"/>
  <c r="B205"/>
  <c r="D205"/>
  <c r="A206"/>
  <c r="B206"/>
  <c r="A207"/>
  <c r="B207"/>
  <c r="A208"/>
  <c r="B208"/>
  <c r="D208"/>
  <c r="A209"/>
  <c r="B209"/>
  <c r="A210"/>
  <c r="B210"/>
  <c r="A211"/>
  <c r="B211"/>
  <c r="A212"/>
  <c r="B212"/>
  <c r="A213"/>
  <c r="B213"/>
  <c r="D213"/>
  <c r="A214"/>
  <c r="B214"/>
  <c r="A215"/>
  <c r="B215"/>
  <c r="A216"/>
  <c r="B216"/>
  <c r="A217"/>
  <c r="B217"/>
  <c r="A218"/>
  <c r="B218"/>
  <c r="A219"/>
  <c r="B219"/>
  <c r="A220"/>
  <c r="B220"/>
  <c r="A221"/>
  <c r="B221"/>
  <c r="A222"/>
  <c r="B222"/>
  <c r="A223"/>
  <c r="B223"/>
  <c r="D223"/>
  <c r="A224"/>
  <c r="B224"/>
  <c r="A225"/>
  <c r="B225"/>
  <c r="A226"/>
  <c r="B226"/>
  <c r="D226"/>
  <c r="A228"/>
  <c r="B228"/>
  <c r="A229"/>
  <c r="B229"/>
  <c r="A230"/>
  <c r="B230"/>
  <c r="A231"/>
  <c r="B231"/>
  <c r="A232"/>
  <c r="B232"/>
  <c r="A233"/>
  <c r="B233"/>
  <c r="A234"/>
  <c r="B234"/>
  <c r="B235"/>
  <c r="C1"/>
  <c r="B8" i="27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3"/>
  <c r="B64"/>
  <c r="B65"/>
  <c r="B66"/>
  <c r="B67"/>
  <c r="B68"/>
  <c r="A71" i="28"/>
  <c r="A144" s="1"/>
  <c r="B70" i="27"/>
  <c r="B71"/>
  <c r="B72"/>
  <c r="B73"/>
  <c r="B74"/>
  <c r="B75"/>
  <c r="B76"/>
  <c r="B77"/>
  <c r="B78"/>
  <c r="B79"/>
  <c r="B80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17"/>
  <c r="B118"/>
  <c r="B119"/>
  <c r="B120"/>
  <c r="B121"/>
  <c r="B122"/>
  <c r="B1" i="23"/>
  <c r="G13"/>
  <c r="H13" s="1"/>
  <c r="I13" s="1"/>
  <c r="G17"/>
  <c r="H17" s="1"/>
  <c r="I17" s="1"/>
  <c r="G21"/>
  <c r="H21" s="1"/>
  <c r="I21" s="1"/>
  <c r="G25"/>
  <c r="H25" s="1"/>
  <c r="I25" s="1"/>
  <c r="G29"/>
  <c r="H29" s="1"/>
  <c r="I29" s="1"/>
  <c r="G33"/>
  <c r="H33" s="1"/>
  <c r="I33" s="1"/>
  <c r="G37"/>
  <c r="H37" s="1"/>
  <c r="I37" s="1"/>
  <c r="G41"/>
  <c r="H41" s="1"/>
  <c r="I41" s="1"/>
  <c r="G45"/>
  <c r="H45" s="1"/>
  <c r="I45" s="1"/>
  <c r="G49"/>
  <c r="H49" s="1"/>
  <c r="I49" s="1"/>
  <c r="G53"/>
  <c r="H53" s="1"/>
  <c r="I53" s="1"/>
  <c r="G57"/>
  <c r="H57" s="1"/>
  <c r="I57" s="1"/>
  <c r="G61"/>
  <c r="H61" s="1"/>
  <c r="I61" s="1"/>
  <c r="G65"/>
  <c r="H65" s="1"/>
  <c r="I65" s="1"/>
  <c r="G69"/>
  <c r="H69" s="1"/>
  <c r="I69" s="1"/>
  <c r="G73"/>
  <c r="H73" s="1"/>
  <c r="I73" s="1"/>
  <c r="G77"/>
  <c r="H77" s="1"/>
  <c r="I77" s="1"/>
  <c r="G81"/>
  <c r="H81" s="1"/>
  <c r="I81" s="1"/>
  <c r="G86"/>
  <c r="H86" s="1"/>
  <c r="I86" s="1"/>
  <c r="G90"/>
  <c r="H90" s="1"/>
  <c r="I90" s="1"/>
  <c r="G94"/>
  <c r="H94" s="1"/>
  <c r="I94" s="1"/>
  <c r="G98"/>
  <c r="H98" s="1"/>
  <c r="I98" s="1"/>
  <c r="G102"/>
  <c r="H102" s="1"/>
  <c r="I102" s="1"/>
  <c r="G106"/>
  <c r="H106" s="1"/>
  <c r="I106" s="1"/>
  <c r="G110"/>
  <c r="H110" s="1"/>
  <c r="I110" s="1"/>
  <c r="G120"/>
  <c r="H120" s="1"/>
  <c r="I120" s="1"/>
  <c r="G124"/>
  <c r="H124" s="1"/>
  <c r="I124" s="1"/>
  <c r="D127"/>
  <c r="E127"/>
  <c r="F127"/>
  <c r="G15" s="1"/>
  <c r="H15" s="1"/>
  <c r="I15" s="1"/>
  <c r="A6" i="31"/>
  <c r="C119" i="29"/>
  <c r="L119" s="1"/>
  <c r="N119" s="1"/>
  <c r="L154" i="31"/>
  <c r="A155"/>
  <c r="A156"/>
  <c r="L155"/>
  <c r="L156"/>
  <c r="L157"/>
  <c r="L158"/>
  <c r="L162"/>
  <c r="A163"/>
  <c r="A164"/>
  <c r="L163"/>
  <c r="L164"/>
  <c r="L165"/>
  <c r="L166"/>
  <c r="T70" i="29"/>
  <c r="U70"/>
  <c r="L75" i="23"/>
  <c r="R79" i="29"/>
  <c r="N85"/>
  <c r="T85"/>
  <c r="U85"/>
  <c r="L90" i="23"/>
  <c r="N86" i="29"/>
  <c r="T86"/>
  <c r="U86"/>
  <c r="L91" i="23"/>
  <c r="N93" i="29"/>
  <c r="P93"/>
  <c r="N95"/>
  <c r="T95"/>
  <c r="U95"/>
  <c r="L100" i="23"/>
  <c r="N101" i="29"/>
  <c r="T101"/>
  <c r="U101"/>
  <c r="L106" i="23"/>
  <c r="C117" i="29"/>
  <c r="L117" s="1"/>
  <c r="N117" s="1"/>
  <c r="T117" s="1"/>
  <c r="U117" s="1"/>
  <c r="L122" i="23" s="1"/>
  <c r="N118" i="29"/>
  <c r="T118" s="1"/>
  <c r="U118" s="1"/>
  <c r="L123" i="23" s="1"/>
  <c r="A7" i="31"/>
  <c r="C56" i="29"/>
  <c r="L56" s="1"/>
  <c r="N56" s="1"/>
  <c r="T56" s="1"/>
  <c r="U56" s="1"/>
  <c r="L61" i="23" s="1"/>
  <c r="G52" i="24"/>
  <c r="A8" i="31"/>
  <c r="A9"/>
  <c r="A10"/>
  <c r="A11"/>
  <c r="C115" i="29"/>
  <c r="L115" s="1"/>
  <c r="N115" s="1"/>
  <c r="T115" s="1"/>
  <c r="U115" s="1"/>
  <c r="L120" i="23" s="1"/>
  <c r="N74" i="29"/>
  <c r="T74"/>
  <c r="U74"/>
  <c r="L79" i="23"/>
  <c r="A12" i="31"/>
  <c r="H114" i="29"/>
  <c r="A157" i="31"/>
  <c r="A158"/>
  <c r="M82" i="29"/>
  <c r="M81"/>
  <c r="T93"/>
  <c r="U93"/>
  <c r="L98" i="23"/>
  <c r="A165" i="31"/>
  <c r="M96" i="29"/>
  <c r="L65"/>
  <c r="N65" s="1"/>
  <c r="T65" s="1"/>
  <c r="U65" s="1"/>
  <c r="L70" i="23" s="1"/>
  <c r="L66" i="29"/>
  <c r="N66" s="1"/>
  <c r="T66" s="1"/>
  <c r="U66" s="1"/>
  <c r="L71" i="23" s="1"/>
  <c r="C79" i="29"/>
  <c r="L79" s="1"/>
  <c r="N79" s="1"/>
  <c r="T79" s="1"/>
  <c r="U79" s="1"/>
  <c r="L84" i="23" s="1"/>
  <c r="A13" i="31"/>
  <c r="A14"/>
  <c r="A15"/>
  <c r="A16"/>
  <c r="C59" i="29"/>
  <c r="L59" s="1"/>
  <c r="N59" s="1"/>
  <c r="T59" s="1"/>
  <c r="U59" s="1"/>
  <c r="L64" i="23" s="1"/>
  <c r="A17" i="31"/>
  <c r="C114" i="29"/>
  <c r="C64"/>
  <c r="A18" i="31"/>
  <c r="A19"/>
  <c r="D64" i="29"/>
  <c r="S64" s="1"/>
  <c r="D114"/>
  <c r="A20" i="31"/>
  <c r="A21"/>
  <c r="D10" i="29"/>
  <c r="A22" i="31"/>
  <c r="A23"/>
  <c r="C75" i="29"/>
  <c r="A24" i="31"/>
  <c r="D75" i="29"/>
  <c r="S75" s="1"/>
  <c r="A25" i="31"/>
  <c r="E114" i="29"/>
  <c r="A26" i="31"/>
  <c r="A27"/>
  <c r="F114" i="29"/>
  <c r="G114"/>
  <c r="A28" i="31"/>
  <c r="A29"/>
  <c r="A30"/>
  <c r="A31"/>
  <c r="C30" i="29"/>
  <c r="L30" s="1"/>
  <c r="N30" s="1"/>
  <c r="T30" s="1"/>
  <c r="U30" s="1"/>
  <c r="L35" i="23" s="1"/>
  <c r="A32" i="31"/>
  <c r="D14" i="29"/>
  <c r="C32"/>
  <c r="L32" s="1"/>
  <c r="N32" s="1"/>
  <c r="T32" s="1"/>
  <c r="U32" s="1"/>
  <c r="L37" i="23" s="1"/>
  <c r="A33" i="31"/>
  <c r="C90" i="29"/>
  <c r="A34" i="31"/>
  <c r="A35"/>
  <c r="D90" i="29"/>
  <c r="S90" s="1"/>
  <c r="A36" i="31"/>
  <c r="E90" i="29"/>
  <c r="A37" i="31"/>
  <c r="F90" i="29"/>
  <c r="A38" i="31"/>
  <c r="C76" i="29"/>
  <c r="A39" i="31"/>
  <c r="D76" i="29"/>
  <c r="C31"/>
  <c r="L31" s="1"/>
  <c r="N31" s="1"/>
  <c r="T31" s="1"/>
  <c r="U31" s="1"/>
  <c r="L36" i="23" s="1"/>
  <c r="A40" i="31"/>
  <c r="A41"/>
  <c r="C58" i="29"/>
  <c r="L58" s="1"/>
  <c r="N58" s="1"/>
  <c r="Q58" s="1"/>
  <c r="A42" i="31"/>
  <c r="C33" i="29"/>
  <c r="L33" s="1"/>
  <c r="N33" s="1"/>
  <c r="Q33" s="1"/>
  <c r="C28"/>
  <c r="L28" s="1"/>
  <c r="M28" s="1"/>
  <c r="N28" s="1"/>
  <c r="T28" s="1"/>
  <c r="U28" s="1"/>
  <c r="L33" i="23" s="1"/>
  <c r="A43" i="31"/>
  <c r="A44"/>
  <c r="A45"/>
  <c r="C50" i="29"/>
  <c r="C34"/>
  <c r="L34" s="1"/>
  <c r="N34" s="1"/>
  <c r="Q34" s="1"/>
  <c r="A46" i="31"/>
  <c r="A47"/>
  <c r="C35" i="29"/>
  <c r="L35" s="1"/>
  <c r="N35" s="1"/>
  <c r="A48" i="31"/>
  <c r="A49"/>
  <c r="A50"/>
  <c r="A51"/>
  <c r="E76" i="29"/>
  <c r="A52" i="31"/>
  <c r="E11" i="29"/>
  <c r="F11"/>
  <c r="A53" i="31"/>
  <c r="A54"/>
  <c r="A55"/>
  <c r="A56"/>
  <c r="G11" i="29"/>
  <c r="A57" i="31"/>
  <c r="D50" i="29"/>
  <c r="E50"/>
  <c r="A58" i="31"/>
  <c r="A59"/>
  <c r="A60"/>
  <c r="A61"/>
  <c r="A62"/>
  <c r="A63"/>
  <c r="E10" i="29"/>
  <c r="S10" s="1"/>
  <c r="A64" i="31"/>
  <c r="A65"/>
  <c r="A66"/>
  <c r="A67"/>
  <c r="F10" i="29"/>
  <c r="A68" i="31"/>
  <c r="E75" i="29"/>
  <c r="A69" i="31"/>
  <c r="A70"/>
  <c r="A71"/>
  <c r="F75" i="29"/>
  <c r="A72" i="31"/>
  <c r="F14" i="29"/>
  <c r="A73" i="31"/>
  <c r="G14" i="29"/>
  <c r="A74" i="31"/>
  <c r="E18" i="29"/>
  <c r="F18"/>
  <c r="S18" s="1"/>
  <c r="A75" i="31"/>
  <c r="A76"/>
  <c r="A77"/>
  <c r="C77" i="29"/>
  <c r="L77" s="1"/>
  <c r="N77" s="1"/>
  <c r="L8"/>
  <c r="N8" s="1"/>
  <c r="T8" s="1"/>
  <c r="U8" s="1"/>
  <c r="L13" i="23" s="1"/>
  <c r="L24" i="29"/>
  <c r="N24" s="1"/>
  <c r="T24" s="1"/>
  <c r="U24" s="1"/>
  <c r="L29" i="23" s="1"/>
  <c r="S84" i="29"/>
  <c r="L55"/>
  <c r="N55" s="1"/>
  <c r="T55" s="1"/>
  <c r="U55" s="1"/>
  <c r="L60" i="23" s="1"/>
  <c r="L7" i="29"/>
  <c r="N7" s="1"/>
  <c r="T7" s="1"/>
  <c r="U7" s="1"/>
  <c r="L12" i="23" s="1"/>
  <c r="L54" i="29"/>
  <c r="N54" s="1"/>
  <c r="A78" i="31"/>
  <c r="L42" i="29"/>
  <c r="N42" s="1"/>
  <c r="T42" s="1"/>
  <c r="U42" s="1"/>
  <c r="L47" i="23" s="1"/>
  <c r="L46" i="29"/>
  <c r="N46" s="1"/>
  <c r="T46" s="1"/>
  <c r="U46" s="1"/>
  <c r="L51" i="23" s="1"/>
  <c r="L57" i="29"/>
  <c r="N57" s="1"/>
  <c r="T57" s="1"/>
  <c r="U57" s="1"/>
  <c r="L62" i="23" s="1"/>
  <c r="L61" i="29"/>
  <c r="N61" s="1"/>
  <c r="T61" s="1"/>
  <c r="U61" s="1"/>
  <c r="L66" i="23" s="1"/>
  <c r="L63" i="29"/>
  <c r="N63" s="1"/>
  <c r="Q63" s="1"/>
  <c r="L29"/>
  <c r="N29" s="1"/>
  <c r="L22"/>
  <c r="N22" s="1"/>
  <c r="S83"/>
  <c r="C78"/>
  <c r="L78" s="1"/>
  <c r="N78" s="1"/>
  <c r="Q78" s="1"/>
  <c r="L44"/>
  <c r="N44" s="1"/>
  <c r="T44" s="1"/>
  <c r="U44" s="1"/>
  <c r="L49" i="23" s="1"/>
  <c r="L39" i="29"/>
  <c r="N39" s="1"/>
  <c r="T39" s="1"/>
  <c r="U39" s="1"/>
  <c r="L44" i="23" s="1"/>
  <c r="L38" i="29"/>
  <c r="N38" s="1"/>
  <c r="T38" s="1"/>
  <c r="U38" s="1"/>
  <c r="L43" i="23" s="1"/>
  <c r="L43" i="29"/>
  <c r="N43" s="1"/>
  <c r="T43" s="1"/>
  <c r="U43" s="1"/>
  <c r="L48" i="23" s="1"/>
  <c r="L53" i="29"/>
  <c r="N53" s="1"/>
  <c r="T53" s="1"/>
  <c r="U53" s="1"/>
  <c r="L58" i="23" s="1"/>
  <c r="L27" i="29"/>
  <c r="N27" s="1"/>
  <c r="O27" s="1"/>
  <c r="L70"/>
  <c r="L51"/>
  <c r="N51" s="1"/>
  <c r="Q51" s="1"/>
  <c r="T51" s="1"/>
  <c r="L73"/>
  <c r="N73" s="1"/>
  <c r="L107"/>
  <c r="N107" s="1"/>
  <c r="T107" s="1"/>
  <c r="U107" s="1"/>
  <c r="L112" i="23" s="1"/>
  <c r="L40" i="29"/>
  <c r="N40" s="1"/>
  <c r="T40" s="1"/>
  <c r="U40" s="1"/>
  <c r="L45" i="23" s="1"/>
  <c r="L41" i="29"/>
  <c r="N41" s="1"/>
  <c r="T41" s="1"/>
  <c r="U41" s="1"/>
  <c r="L46" i="23" s="1"/>
  <c r="L15" i="29"/>
  <c r="N15" s="1"/>
  <c r="Q15" s="1"/>
  <c r="L60"/>
  <c r="N60" s="1"/>
  <c r="T60" s="1"/>
  <c r="U60" s="1"/>
  <c r="L65" i="23" s="1"/>
  <c r="L62" i="29"/>
  <c r="N62" s="1"/>
  <c r="Q62" s="1"/>
  <c r="T62" s="1"/>
  <c r="L19"/>
  <c r="N19" s="1"/>
  <c r="L23"/>
  <c r="N23" s="1"/>
  <c r="T23" s="1"/>
  <c r="U23" s="1"/>
  <c r="L28" i="23" s="1"/>
  <c r="L52" i="29"/>
  <c r="N52" s="1"/>
  <c r="T52" s="1"/>
  <c r="U52" s="1"/>
  <c r="L57" i="23" s="1"/>
  <c r="L116" i="29"/>
  <c r="N116" s="1"/>
  <c r="T116" s="1"/>
  <c r="U116" s="1"/>
  <c r="L121" i="23" s="1"/>
  <c r="L69" i="29"/>
  <c r="N69" s="1"/>
  <c r="T69" s="1"/>
  <c r="U69" s="1"/>
  <c r="L74" i="23" s="1"/>
  <c r="A79" i="31"/>
  <c r="C71" i="29"/>
  <c r="C106"/>
  <c r="L106" s="1"/>
  <c r="N106" s="1"/>
  <c r="A80" i="31"/>
  <c r="A81"/>
  <c r="A82"/>
  <c r="A83"/>
  <c r="A84"/>
  <c r="A85"/>
  <c r="A86"/>
  <c r="A87"/>
  <c r="A88"/>
  <c r="C105" i="29"/>
  <c r="L105" s="1"/>
  <c r="N105" s="1"/>
  <c r="A89" i="31"/>
  <c r="A90"/>
  <c r="A91"/>
  <c r="C99" i="29"/>
  <c r="L99" s="1"/>
  <c r="N99" s="1"/>
  <c r="T99" s="1"/>
  <c r="U99" s="1"/>
  <c r="L104" i="23" s="1"/>
  <c r="A92" i="31"/>
  <c r="C100" i="29"/>
  <c r="L100" s="1"/>
  <c r="N100" s="1"/>
  <c r="T100" s="1"/>
  <c r="U100" s="1"/>
  <c r="L105" i="23" s="1"/>
  <c r="C45" i="29"/>
  <c r="L45" s="1"/>
  <c r="N45" s="1"/>
  <c r="T45" s="1"/>
  <c r="U45" s="1"/>
  <c r="L50" i="23" s="1"/>
  <c r="A93" i="31"/>
  <c r="C47" i="29"/>
  <c r="L47" s="1"/>
  <c r="N47" s="1"/>
  <c r="T47" s="1"/>
  <c r="U47" s="1"/>
  <c r="L52" i="23" s="1"/>
  <c r="A94" i="31"/>
  <c r="C48" i="29"/>
  <c r="L48" s="1"/>
  <c r="N48" s="1"/>
  <c r="T48" s="1"/>
  <c r="U48" s="1"/>
  <c r="L53" i="23" s="1"/>
  <c r="A95" i="31"/>
  <c r="A96"/>
  <c r="C49" i="29"/>
  <c r="L49" s="1"/>
  <c r="N49" s="1"/>
  <c r="T49" s="1"/>
  <c r="U49" s="1"/>
  <c r="L54" i="23" s="1"/>
  <c r="A97" i="31"/>
  <c r="C37" i="29"/>
  <c r="L37" s="1"/>
  <c r="N37" s="1"/>
  <c r="T37" s="1"/>
  <c r="U37" s="1"/>
  <c r="L42" i="23" s="1"/>
  <c r="A98" i="31"/>
  <c r="C103" i="29"/>
  <c r="L103" s="1"/>
  <c r="N103" s="1"/>
  <c r="T103" s="1"/>
  <c r="U103" s="1"/>
  <c r="L108" i="23" s="1"/>
  <c r="C97" i="29"/>
  <c r="A99" i="31"/>
  <c r="A100"/>
  <c r="D97" i="29"/>
  <c r="S97" s="1"/>
  <c r="A101" i="31"/>
  <c r="C98" i="29"/>
  <c r="S98" s="1"/>
  <c r="C102"/>
  <c r="A102" i="31"/>
  <c r="A103"/>
  <c r="D102" i="29"/>
  <c r="A104" i="31"/>
  <c r="A105"/>
  <c r="C36" i="29"/>
  <c r="L36" s="1"/>
  <c r="N36" s="1"/>
  <c r="A106" i="31"/>
  <c r="A107"/>
  <c r="A108"/>
  <c r="C72" i="29"/>
  <c r="L72" s="1"/>
  <c r="N72" s="1"/>
  <c r="T72" s="1"/>
  <c r="U72" s="1"/>
  <c r="L77" i="23" s="1"/>
  <c r="A109" i="31"/>
  <c r="A110"/>
  <c r="A111"/>
  <c r="C91" i="29"/>
  <c r="L91" s="1"/>
  <c r="N91" s="1"/>
  <c r="T91" s="1"/>
  <c r="U91" s="1"/>
  <c r="L96" i="23" s="1"/>
  <c r="C88" i="29"/>
  <c r="S88" s="1"/>
  <c r="A112" i="31"/>
  <c r="A113"/>
  <c r="D88" i="29"/>
  <c r="A114" i="31"/>
  <c r="C87" i="29"/>
  <c r="L87" s="1"/>
  <c r="N87" s="1"/>
  <c r="A115" i="31"/>
  <c r="A116"/>
  <c r="C13" i="29"/>
  <c r="L13" s="1"/>
  <c r="N13" s="1"/>
  <c r="T13" s="1"/>
  <c r="U13" s="1"/>
  <c r="L18" i="23" s="1"/>
  <c r="L68" i="29"/>
  <c r="N68" s="1"/>
  <c r="T68" s="1"/>
  <c r="U68" s="1"/>
  <c r="L73" i="23" s="1"/>
  <c r="S119" i="29"/>
  <c r="S12"/>
  <c r="S87"/>
  <c r="L9"/>
  <c r="N9" s="1"/>
  <c r="S9"/>
  <c r="C94"/>
  <c r="L94" s="1"/>
  <c r="N94" s="1"/>
  <c r="A117" i="31"/>
  <c r="C21" i="29"/>
  <c r="S21" s="1"/>
  <c r="A118" i="31"/>
  <c r="D21" i="29"/>
  <c r="A119" i="31"/>
  <c r="C12" i="29"/>
  <c r="L12" s="1"/>
  <c r="N12" s="1"/>
  <c r="A120" i="31"/>
  <c r="A121"/>
  <c r="A122"/>
  <c r="C89" i="29"/>
  <c r="L89" s="1"/>
  <c r="N89" s="1"/>
  <c r="T89" s="1"/>
  <c r="U89" s="1"/>
  <c r="L94" i="23" s="1"/>
  <c r="C92" i="29"/>
  <c r="L92" s="1"/>
  <c r="N92" s="1"/>
  <c r="T92" s="1"/>
  <c r="U92" s="1"/>
  <c r="L97" i="23" s="1"/>
  <c r="A123" i="31"/>
  <c r="A124"/>
  <c r="C20" i="29"/>
  <c r="L20" s="1"/>
  <c r="N20" s="1"/>
  <c r="T20" s="1"/>
  <c r="U20" s="1"/>
  <c r="L25" i="23" s="1"/>
  <c r="C16" i="29"/>
  <c r="L16" s="1"/>
  <c r="N16" s="1"/>
  <c r="T16" s="1"/>
  <c r="U16" s="1"/>
  <c r="L21" i="23" s="1"/>
  <c r="A125" i="31"/>
  <c r="C80" i="29"/>
  <c r="L80" s="1"/>
  <c r="N80" s="1"/>
  <c r="T80" s="1"/>
  <c r="U80" s="1"/>
  <c r="L85" i="23" s="1"/>
  <c r="A126" i="31"/>
  <c r="A127"/>
  <c r="C96" i="29"/>
  <c r="A128" i="31"/>
  <c r="A129"/>
  <c r="A130"/>
  <c r="A131"/>
  <c r="A132"/>
  <c r="D96" i="29"/>
  <c r="C83"/>
  <c r="L83" s="1"/>
  <c r="N83" s="1"/>
  <c r="T83" s="1"/>
  <c r="A133" i="31"/>
  <c r="L82" i="29"/>
  <c r="L67"/>
  <c r="N67" s="1"/>
  <c r="T67" s="1"/>
  <c r="U67" s="1"/>
  <c r="L72" i="23" s="1"/>
  <c r="L17" i="29"/>
  <c r="N17" s="1"/>
  <c r="T17" s="1"/>
  <c r="U17" s="1"/>
  <c r="L22" i="23" s="1"/>
  <c r="S94" i="29"/>
  <c r="S82"/>
  <c r="C84"/>
  <c r="L84" s="1"/>
  <c r="N84" s="1"/>
  <c r="A134" i="31"/>
  <c r="C81" i="29"/>
  <c r="A135" i="31"/>
  <c r="D81" i="29"/>
  <c r="S81" s="1"/>
  <c r="A136" i="31"/>
  <c r="C104" i="29"/>
  <c r="A137" i="31"/>
  <c r="D104" i="29"/>
  <c r="S104" s="1"/>
  <c r="A138" i="31"/>
  <c r="A139"/>
  <c r="C26" i="29"/>
  <c r="A140" i="31"/>
  <c r="A141"/>
  <c r="D26" i="29"/>
  <c r="L25"/>
  <c r="N25" s="1"/>
  <c r="O25" s="1"/>
  <c r="U25" s="1"/>
  <c r="L30" i="23" s="1"/>
  <c r="AO82" i="27"/>
  <c r="D177" i="28"/>
  <c r="T33" i="29" l="1"/>
  <c r="U33" s="1"/>
  <c r="L38" i="23" s="1"/>
  <c r="S36" i="29"/>
  <c r="T36" s="1"/>
  <c r="U36" s="1"/>
  <c r="L41" i="23" s="1"/>
  <c r="G109"/>
  <c r="H109" s="1"/>
  <c r="I109" s="1"/>
  <c r="G105"/>
  <c r="H105" s="1"/>
  <c r="I105" s="1"/>
  <c r="G101"/>
  <c r="H101" s="1"/>
  <c r="I101" s="1"/>
  <c r="G56"/>
  <c r="H56" s="1"/>
  <c r="I56" s="1"/>
  <c r="G52"/>
  <c r="H52" s="1"/>
  <c r="I52" s="1"/>
  <c r="G48"/>
  <c r="H48" s="1"/>
  <c r="I48" s="1"/>
  <c r="G24"/>
  <c r="H24" s="1"/>
  <c r="I24" s="1"/>
  <c r="G20"/>
  <c r="H20" s="1"/>
  <c r="I20" s="1"/>
  <c r="G16"/>
  <c r="H16" s="1"/>
  <c r="I16" s="1"/>
  <c r="G12"/>
  <c r="H12" s="1"/>
  <c r="I12" s="1"/>
  <c r="G112"/>
  <c r="H112" s="1"/>
  <c r="I112" s="1"/>
  <c r="G121"/>
  <c r="H121" s="1"/>
  <c r="I121" s="1"/>
  <c r="G111"/>
  <c r="H111" s="1"/>
  <c r="I111" s="1"/>
  <c r="G107"/>
  <c r="H107" s="1"/>
  <c r="I107" s="1"/>
  <c r="G103"/>
  <c r="H103" s="1"/>
  <c r="I103" s="1"/>
  <c r="G99"/>
  <c r="H99" s="1"/>
  <c r="I99" s="1"/>
  <c r="G95"/>
  <c r="H95" s="1"/>
  <c r="I95" s="1"/>
  <c r="G91"/>
  <c r="H91" s="1"/>
  <c r="I91" s="1"/>
  <c r="G87"/>
  <c r="H87" s="1"/>
  <c r="I87" s="1"/>
  <c r="G82"/>
  <c r="H82" s="1"/>
  <c r="I82" s="1"/>
  <c r="G78"/>
  <c r="H78" s="1"/>
  <c r="I78" s="1"/>
  <c r="G74"/>
  <c r="H74" s="1"/>
  <c r="I74" s="1"/>
  <c r="G70"/>
  <c r="H70" s="1"/>
  <c r="I70" s="1"/>
  <c r="G66"/>
  <c r="H66" s="1"/>
  <c r="I66" s="1"/>
  <c r="G62"/>
  <c r="H62" s="1"/>
  <c r="I62" s="1"/>
  <c r="G58"/>
  <c r="H58" s="1"/>
  <c r="I58" s="1"/>
  <c r="G54"/>
  <c r="H54" s="1"/>
  <c r="I54" s="1"/>
  <c r="G50"/>
  <c r="H50" s="1"/>
  <c r="I50" s="1"/>
  <c r="G46"/>
  <c r="H46" s="1"/>
  <c r="I46" s="1"/>
  <c r="G42"/>
  <c r="H42" s="1"/>
  <c r="I42" s="1"/>
  <c r="G38"/>
  <c r="H38" s="1"/>
  <c r="I38" s="1"/>
  <c r="G34"/>
  <c r="H34" s="1"/>
  <c r="I34" s="1"/>
  <c r="G30"/>
  <c r="H30" s="1"/>
  <c r="I30" s="1"/>
  <c r="G26"/>
  <c r="H26" s="1"/>
  <c r="I26" s="1"/>
  <c r="G22"/>
  <c r="H22" s="1"/>
  <c r="I22" s="1"/>
  <c r="G18"/>
  <c r="H18" s="1"/>
  <c r="I18" s="1"/>
  <c r="G14"/>
  <c r="H14" s="1"/>
  <c r="I14" s="1"/>
  <c r="G123"/>
  <c r="H123" s="1"/>
  <c r="I123" s="1"/>
  <c r="G119"/>
  <c r="G97"/>
  <c r="H97" s="1"/>
  <c r="I97" s="1"/>
  <c r="G93"/>
  <c r="H93" s="1"/>
  <c r="I93" s="1"/>
  <c r="G89"/>
  <c r="H89" s="1"/>
  <c r="I89" s="1"/>
  <c r="G84"/>
  <c r="H84" s="1"/>
  <c r="I84" s="1"/>
  <c r="G80"/>
  <c r="H80" s="1"/>
  <c r="I80" s="1"/>
  <c r="G76"/>
  <c r="H76" s="1"/>
  <c r="I76" s="1"/>
  <c r="G72"/>
  <c r="H72" s="1"/>
  <c r="I72" s="1"/>
  <c r="G68"/>
  <c r="H68" s="1"/>
  <c r="I68" s="1"/>
  <c r="G64"/>
  <c r="H64" s="1"/>
  <c r="I64" s="1"/>
  <c r="G60"/>
  <c r="H60" s="1"/>
  <c r="I60" s="1"/>
  <c r="G44"/>
  <c r="H44" s="1"/>
  <c r="I44" s="1"/>
  <c r="G40"/>
  <c r="H40" s="1"/>
  <c r="I40" s="1"/>
  <c r="G36"/>
  <c r="H36" s="1"/>
  <c r="I36" s="1"/>
  <c r="G32"/>
  <c r="H32" s="1"/>
  <c r="I32" s="1"/>
  <c r="G28"/>
  <c r="H28" s="1"/>
  <c r="I28" s="1"/>
  <c r="G122"/>
  <c r="H122" s="1"/>
  <c r="I122" s="1"/>
  <c r="G108"/>
  <c r="H108" s="1"/>
  <c r="I108" s="1"/>
  <c r="G104"/>
  <c r="H104" s="1"/>
  <c r="I104" s="1"/>
  <c r="G100"/>
  <c r="H100" s="1"/>
  <c r="I100" s="1"/>
  <c r="G96"/>
  <c r="H96" s="1"/>
  <c r="I96" s="1"/>
  <c r="G92"/>
  <c r="H92" s="1"/>
  <c r="I92" s="1"/>
  <c r="G88"/>
  <c r="H88" s="1"/>
  <c r="I88" s="1"/>
  <c r="G83"/>
  <c r="H83" s="1"/>
  <c r="I83" s="1"/>
  <c r="G79"/>
  <c r="H79" s="1"/>
  <c r="I79" s="1"/>
  <c r="G75"/>
  <c r="H75" s="1"/>
  <c r="I75" s="1"/>
  <c r="G71"/>
  <c r="H71" s="1"/>
  <c r="I71" s="1"/>
  <c r="G67"/>
  <c r="H67" s="1"/>
  <c r="I67" s="1"/>
  <c r="G63"/>
  <c r="H63" s="1"/>
  <c r="I63" s="1"/>
  <c r="G59"/>
  <c r="H59" s="1"/>
  <c r="I59" s="1"/>
  <c r="G55"/>
  <c r="H55" s="1"/>
  <c r="I55" s="1"/>
  <c r="G51"/>
  <c r="H51" s="1"/>
  <c r="I51" s="1"/>
  <c r="G47"/>
  <c r="H47" s="1"/>
  <c r="I47" s="1"/>
  <c r="G43"/>
  <c r="H43" s="1"/>
  <c r="I43" s="1"/>
  <c r="G39"/>
  <c r="H39" s="1"/>
  <c r="I39" s="1"/>
  <c r="G35"/>
  <c r="H35" s="1"/>
  <c r="I35" s="1"/>
  <c r="G31"/>
  <c r="H31" s="1"/>
  <c r="I31" s="1"/>
  <c r="G27"/>
  <c r="H27" s="1"/>
  <c r="I27" s="1"/>
  <c r="G23"/>
  <c r="H23" s="1"/>
  <c r="I23" s="1"/>
  <c r="G19"/>
  <c r="H19" s="1"/>
  <c r="I19" s="1"/>
  <c r="L21" i="29"/>
  <c r="N21" s="1"/>
  <c r="T21" s="1"/>
  <c r="U21" s="1"/>
  <c r="L26" i="23" s="1"/>
  <c r="L81" i="29"/>
  <c r="N81" s="1"/>
  <c r="T81" s="1"/>
  <c r="U81" s="1"/>
  <c r="L86" i="23" s="1"/>
  <c r="S102" i="29"/>
  <c r="L102"/>
  <c r="N102" s="1"/>
  <c r="L98"/>
  <c r="N98" s="1"/>
  <c r="T98" s="1"/>
  <c r="U98" s="1"/>
  <c r="L103" i="23" s="1"/>
  <c r="T84" i="29"/>
  <c r="U84" s="1"/>
  <c r="L89" i="23" s="1"/>
  <c r="L96" i="29"/>
  <c r="N96" s="1"/>
  <c r="T12"/>
  <c r="U12" s="1"/>
  <c r="L17" i="23" s="1"/>
  <c r="L50" i="29"/>
  <c r="N50" s="1"/>
  <c r="Q50" s="1"/>
  <c r="L114"/>
  <c r="N114" s="1"/>
  <c r="T114" s="1"/>
  <c r="U114" s="1"/>
  <c r="T119"/>
  <c r="U119" s="1"/>
  <c r="L124" i="23" s="1"/>
  <c r="E88" i="24"/>
  <c r="G49"/>
  <c r="F88"/>
  <c r="G43"/>
  <c r="G45"/>
  <c r="G60"/>
  <c r="G68"/>
  <c r="G15" i="27"/>
  <c r="G129" s="1"/>
  <c r="G8"/>
  <c r="D88" i="24"/>
  <c r="L97" i="29"/>
  <c r="N97" s="1"/>
  <c r="T97" s="1"/>
  <c r="U97" s="1"/>
  <c r="L102" i="23" s="1"/>
  <c r="L10" i="29"/>
  <c r="N10" s="1"/>
  <c r="T10" s="1"/>
  <c r="U10" s="1"/>
  <c r="L15" i="23" s="1"/>
  <c r="L64" i="29"/>
  <c r="N64" s="1"/>
  <c r="T64" s="1"/>
  <c r="U64" s="1"/>
  <c r="L69" i="23" s="1"/>
  <c r="S76" i="29"/>
  <c r="S96"/>
  <c r="L90"/>
  <c r="N90" s="1"/>
  <c r="T90" s="1"/>
  <c r="U90" s="1"/>
  <c r="L95" i="23" s="1"/>
  <c r="U51" i="29"/>
  <c r="L56" i="23" s="1"/>
  <c r="S106" i="29"/>
  <c r="T9"/>
  <c r="U9" s="1"/>
  <c r="L14" i="23" s="1"/>
  <c r="L18" i="29"/>
  <c r="N18" s="1"/>
  <c r="T18" s="1"/>
  <c r="U18" s="1"/>
  <c r="L23" i="23" s="1"/>
  <c r="L26" i="29"/>
  <c r="N26" s="1"/>
  <c r="T26" s="1"/>
  <c r="U26" s="1"/>
  <c r="L31" i="23" s="1"/>
  <c r="T87" i="29"/>
  <c r="U87" s="1"/>
  <c r="L92" i="23" s="1"/>
  <c r="L75" i="29"/>
  <c r="N75" s="1"/>
  <c r="T75" s="1"/>
  <c r="U75" s="1"/>
  <c r="L80" i="23" s="1"/>
  <c r="C121" i="28"/>
  <c r="C245"/>
  <c r="T102" i="29"/>
  <c r="U102" s="1"/>
  <c r="L107" i="23" s="1"/>
  <c r="D152" i="28"/>
  <c r="P73" i="29"/>
  <c r="T27"/>
  <c r="U27" s="1"/>
  <c r="L32" i="23" s="1"/>
  <c r="P22" i="29"/>
  <c r="T22" s="1"/>
  <c r="Q54"/>
  <c r="T54" s="1"/>
  <c r="S11"/>
  <c r="L11"/>
  <c r="N11" s="1"/>
  <c r="Q35"/>
  <c r="T35" s="1"/>
  <c r="S71"/>
  <c r="L71"/>
  <c r="T78"/>
  <c r="U78" s="1"/>
  <c r="L83" i="23" s="1"/>
  <c r="S14" i="29"/>
  <c r="L14"/>
  <c r="N14" s="1"/>
  <c r="Q77"/>
  <c r="T77" s="1"/>
  <c r="T34"/>
  <c r="U34" s="1"/>
  <c r="L39" i="23" s="1"/>
  <c r="T63" i="29"/>
  <c r="U63" s="1"/>
  <c r="L68" i="23" s="1"/>
  <c r="T15" i="29"/>
  <c r="U15" s="1"/>
  <c r="L20" i="23" s="1"/>
  <c r="T94" i="29"/>
  <c r="U94" s="1"/>
  <c r="L99" i="23" s="1"/>
  <c r="Q105" i="29"/>
  <c r="T105" s="1"/>
  <c r="Q29"/>
  <c r="N82"/>
  <c r="T82" s="1"/>
  <c r="U82" s="1"/>
  <c r="L87" i="23" s="1"/>
  <c r="C5" i="32"/>
  <c r="F5" s="1"/>
  <c r="S19" i="29"/>
  <c r="T19" s="1"/>
  <c r="L104"/>
  <c r="N104" s="1"/>
  <c r="T104" s="1"/>
  <c r="U104" s="1"/>
  <c r="L109" i="23" s="1"/>
  <c r="T58" i="29"/>
  <c r="U58" s="1"/>
  <c r="L63" i="23" s="1"/>
  <c r="U62" i="29"/>
  <c r="L67" i="23" s="1"/>
  <c r="U83" i="29"/>
  <c r="L88" i="23" s="1"/>
  <c r="L88" i="29"/>
  <c r="N88" s="1"/>
  <c r="T88" s="1"/>
  <c r="U88" s="1"/>
  <c r="L93" i="23" s="1"/>
  <c r="L76" i="29"/>
  <c r="N76" s="1"/>
  <c r="G83" i="24"/>
  <c r="T96" i="29" l="1"/>
  <c r="H119" i="23"/>
  <c r="G127"/>
  <c r="T76" i="29"/>
  <c r="U76" s="1"/>
  <c r="L81" i="23" s="1"/>
  <c r="U96" i="29"/>
  <c r="L101" i="23" s="1"/>
  <c r="G111" i="27"/>
  <c r="G124" s="1"/>
  <c r="T106" i="29"/>
  <c r="U106" s="1"/>
  <c r="L111" i="23" s="1"/>
  <c r="U19" i="29"/>
  <c r="L24" i="23" s="1"/>
  <c r="T29" i="29"/>
  <c r="U29" s="1"/>
  <c r="L34" i="23" s="1"/>
  <c r="T50" i="29"/>
  <c r="U50" s="1"/>
  <c r="L55" i="23" s="1"/>
  <c r="T11" i="29"/>
  <c r="U22"/>
  <c r="L27" i="23" s="1"/>
  <c r="T73" i="29"/>
  <c r="U73" s="1"/>
  <c r="L78" i="23" s="1"/>
  <c r="T71" i="29"/>
  <c r="U71" s="1"/>
  <c r="L76" i="23" s="1"/>
  <c r="L119"/>
  <c r="U77" i="29"/>
  <c r="L82" i="23" s="1"/>
  <c r="U105" i="29"/>
  <c r="L110" i="23" s="1"/>
  <c r="T14" i="29"/>
  <c r="U14" s="1"/>
  <c r="L19" i="23" s="1"/>
  <c r="U35" i="29"/>
  <c r="L40" i="23" s="1"/>
  <c r="U54" i="29"/>
  <c r="L59" i="23" s="1"/>
  <c r="G88" i="24"/>
  <c r="G93" s="1"/>
  <c r="I119" i="23" l="1"/>
  <c r="I127" s="1"/>
  <c r="H127"/>
  <c r="G128" i="27"/>
  <c r="G130" s="1"/>
  <c r="T122" i="29"/>
  <c r="U11"/>
  <c r="L16" i="23" l="1"/>
  <c r="U122" i="29"/>
  <c r="L127" i="23" l="1"/>
  <c r="M16" s="1"/>
  <c r="M90" l="1"/>
  <c r="M103"/>
  <c r="M91"/>
  <c r="M79"/>
  <c r="M42"/>
  <c r="M106"/>
  <c r="M84"/>
  <c r="M22"/>
  <c r="M13"/>
  <c r="M37"/>
  <c r="M56"/>
  <c r="M92"/>
  <c r="M15"/>
  <c r="M53"/>
  <c r="M31"/>
  <c r="M104"/>
  <c r="M43"/>
  <c r="M48"/>
  <c r="M25"/>
  <c r="M65"/>
  <c r="M70"/>
  <c r="M38"/>
  <c r="M105"/>
  <c r="M49"/>
  <c r="M29"/>
  <c r="M72"/>
  <c r="M100"/>
  <c r="M69"/>
  <c r="M75"/>
  <c r="M21"/>
  <c r="M102"/>
  <c r="M58"/>
  <c r="M61"/>
  <c r="M36"/>
  <c r="M111"/>
  <c r="M35"/>
  <c r="M60"/>
  <c r="M112"/>
  <c r="M47"/>
  <c r="M73"/>
  <c r="M107"/>
  <c r="M96"/>
  <c r="M95"/>
  <c r="M51"/>
  <c r="M30"/>
  <c r="M123"/>
  <c r="M89"/>
  <c r="M66"/>
  <c r="M41"/>
  <c r="M94"/>
  <c r="M80"/>
  <c r="M54"/>
  <c r="M50"/>
  <c r="M28"/>
  <c r="M71"/>
  <c r="M45"/>
  <c r="M85"/>
  <c r="M18"/>
  <c r="M57"/>
  <c r="M64"/>
  <c r="M77"/>
  <c r="M44"/>
  <c r="M12"/>
  <c r="M120"/>
  <c r="M121"/>
  <c r="M98"/>
  <c r="M46"/>
  <c r="M52"/>
  <c r="M74"/>
  <c r="M62"/>
  <c r="M108"/>
  <c r="M97"/>
  <c r="M122"/>
  <c r="M33"/>
  <c r="M83"/>
  <c r="M39"/>
  <c r="M23"/>
  <c r="M32"/>
  <c r="M86"/>
  <c r="M17"/>
  <c r="M109"/>
  <c r="M124"/>
  <c r="M88"/>
  <c r="M26"/>
  <c r="M87"/>
  <c r="M63"/>
  <c r="M81"/>
  <c r="M101"/>
  <c r="M99"/>
  <c r="M93"/>
  <c r="M67"/>
  <c r="M68"/>
  <c r="M14"/>
  <c r="M20"/>
  <c r="M119"/>
  <c r="M27"/>
  <c r="M24"/>
  <c r="M55"/>
  <c r="M76"/>
  <c r="M59"/>
  <c r="M34"/>
  <c r="M110"/>
  <c r="M19"/>
  <c r="M82"/>
  <c r="M78"/>
  <c r="M40"/>
  <c r="M127" l="1"/>
  <c r="N16" s="1"/>
  <c r="O16" s="1"/>
  <c r="P16" s="1"/>
  <c r="N49" l="1"/>
  <c r="O49" s="1"/>
  <c r="P49" s="1"/>
  <c r="C45" i="27" s="1"/>
  <c r="N101" i="23"/>
  <c r="O101" s="1"/>
  <c r="P101" s="1"/>
  <c r="U97" i="27" s="1"/>
  <c r="N93" i="23"/>
  <c r="O93" s="1"/>
  <c r="P93" s="1"/>
  <c r="T89" i="27" s="1"/>
  <c r="N91" i="23"/>
  <c r="O91" s="1"/>
  <c r="P91" s="1"/>
  <c r="H87" i="27" s="1"/>
  <c r="N46" i="23"/>
  <c r="O46" s="1"/>
  <c r="P46" s="1"/>
  <c r="J42" i="27" s="1"/>
  <c r="N69" i="23"/>
  <c r="O69" s="1"/>
  <c r="P69" s="1"/>
  <c r="K65" i="27" s="1"/>
  <c r="N64" i="23"/>
  <c r="O64" s="1"/>
  <c r="P64" s="1"/>
  <c r="L60" i="27" s="1"/>
  <c r="N68" i="23"/>
  <c r="O68" s="1"/>
  <c r="P68" s="1"/>
  <c r="N64" i="27" s="1"/>
  <c r="N36" i="23"/>
  <c r="O36" s="1"/>
  <c r="P36" s="1"/>
  <c r="AD32" i="27" s="1"/>
  <c r="N55" i="23"/>
  <c r="O55" s="1"/>
  <c r="P55" s="1"/>
  <c r="J51" i="27" s="1"/>
  <c r="N50" i="23"/>
  <c r="O50" s="1"/>
  <c r="P50" s="1"/>
  <c r="M46" i="27" s="1"/>
  <c r="N84" i="23"/>
  <c r="O84" s="1"/>
  <c r="P84" s="1"/>
  <c r="E80" i="27" s="1"/>
  <c r="N47" i="23"/>
  <c r="O47" s="1"/>
  <c r="P47" s="1"/>
  <c r="F43" i="27" s="1"/>
  <c r="N108" i="23"/>
  <c r="O108" s="1"/>
  <c r="P108" s="1"/>
  <c r="AH104" i="27" s="1"/>
  <c r="N106" i="23"/>
  <c r="O106" s="1"/>
  <c r="P106" s="1"/>
  <c r="AF102" i="27" s="1"/>
  <c r="N70" i="23"/>
  <c r="O70" s="1"/>
  <c r="P70" s="1"/>
  <c r="H66" i="27" s="1"/>
  <c r="N119" i="23"/>
  <c r="O119" s="1"/>
  <c r="N45"/>
  <c r="O45" s="1"/>
  <c r="P45" s="1"/>
  <c r="S41" i="27" s="1"/>
  <c r="N72" i="23"/>
  <c r="O72" s="1"/>
  <c r="P72" s="1"/>
  <c r="S68" i="27" s="1"/>
  <c r="N30" i="23"/>
  <c r="O30" s="1"/>
  <c r="P30" s="1"/>
  <c r="Q26" i="27" s="1"/>
  <c r="N111" i="23"/>
  <c r="O111" s="1"/>
  <c r="P111" s="1"/>
  <c r="H107" i="27" s="1"/>
  <c r="N19" i="23"/>
  <c r="O19" s="1"/>
  <c r="P19" s="1"/>
  <c r="O15" i="27" s="1"/>
  <c r="N110" i="23"/>
  <c r="O110" s="1"/>
  <c r="P110" s="1"/>
  <c r="D106" i="27" s="1"/>
  <c r="N51" i="23"/>
  <c r="O51" s="1"/>
  <c r="P51" s="1"/>
  <c r="AL47" i="27" s="1"/>
  <c r="N98" i="23"/>
  <c r="O98" s="1"/>
  <c r="P98" s="1"/>
  <c r="M94" i="27" s="1"/>
  <c r="N99" i="23"/>
  <c r="O99" s="1"/>
  <c r="P99" s="1"/>
  <c r="AL95" i="27" s="1"/>
  <c r="N105" i="23"/>
  <c r="O105" s="1"/>
  <c r="P105" s="1"/>
  <c r="Q101" i="27" s="1"/>
  <c r="N71" i="23"/>
  <c r="O71" s="1"/>
  <c r="P71" s="1"/>
  <c r="K67" i="27" s="1"/>
  <c r="N81" i="23"/>
  <c r="O81" s="1"/>
  <c r="P81" s="1"/>
  <c r="J77" i="27" s="1"/>
  <c r="N62" i="23"/>
  <c r="O62" s="1"/>
  <c r="P62" s="1"/>
  <c r="C58" i="27" s="1"/>
  <c r="N87" i="23"/>
  <c r="O87" s="1"/>
  <c r="P87" s="1"/>
  <c r="S83" i="27" s="1"/>
  <c r="N92" i="23"/>
  <c r="O92" s="1"/>
  <c r="P92" s="1"/>
  <c r="C88" i="27" s="1"/>
  <c r="N39" i="23"/>
  <c r="O39" s="1"/>
  <c r="P39" s="1"/>
  <c r="N35" i="27" s="1"/>
  <c r="N103" i="23"/>
  <c r="O103" s="1"/>
  <c r="P103" s="1"/>
  <c r="H99" i="27" s="1"/>
  <c r="N29" i="23"/>
  <c r="O29" s="1"/>
  <c r="P29" s="1"/>
  <c r="J25" i="27" s="1"/>
  <c r="N22" i="23"/>
  <c r="O22" s="1"/>
  <c r="P22" s="1"/>
  <c r="O18" i="27" s="1"/>
  <c r="N73" i="23"/>
  <c r="O73" s="1"/>
  <c r="P73" s="1"/>
  <c r="R69" i="27" s="1"/>
  <c r="N97" i="23"/>
  <c r="O97" s="1"/>
  <c r="P97" s="1"/>
  <c r="H93" i="27" s="1"/>
  <c r="N82" i="23"/>
  <c r="O82" s="1"/>
  <c r="P82" s="1"/>
  <c r="AF78" i="27" s="1"/>
  <c r="N18" i="23"/>
  <c r="O18" s="1"/>
  <c r="P18" s="1"/>
  <c r="T14" i="27" s="1"/>
  <c r="N43" i="23"/>
  <c r="O43" s="1"/>
  <c r="P43" s="1"/>
  <c r="Q39" i="27" s="1"/>
  <c r="N109" i="23"/>
  <c r="O109" s="1"/>
  <c r="P109" s="1"/>
  <c r="H105" i="27" s="1"/>
  <c r="N25" i="23"/>
  <c r="O25" s="1"/>
  <c r="P25" s="1"/>
  <c r="C21" i="27" s="1"/>
  <c r="N80" i="23"/>
  <c r="O80" s="1"/>
  <c r="P80" s="1"/>
  <c r="O76" i="27" s="1"/>
  <c r="N88" i="23"/>
  <c r="O88" s="1"/>
  <c r="P88" s="1"/>
  <c r="K84" i="27" s="1"/>
  <c r="N112" i="23"/>
  <c r="O112" s="1"/>
  <c r="P112" s="1"/>
  <c r="AH108" i="27" s="1"/>
  <c r="N85" i="23"/>
  <c r="O85" s="1"/>
  <c r="P85" s="1"/>
  <c r="C81" i="27" s="1"/>
  <c r="M64"/>
  <c r="AF64"/>
  <c r="AD64"/>
  <c r="AD80"/>
  <c r="S80"/>
  <c r="C80"/>
  <c r="M67"/>
  <c r="F67"/>
  <c r="H67"/>
  <c r="AL81"/>
  <c r="H14"/>
  <c r="U14"/>
  <c r="Q14"/>
  <c r="K14"/>
  <c r="AJ14"/>
  <c r="S21"/>
  <c r="C76"/>
  <c r="P76"/>
  <c r="M76"/>
  <c r="AD76"/>
  <c r="AF76"/>
  <c r="AJ76"/>
  <c r="L12"/>
  <c r="E12"/>
  <c r="K12"/>
  <c r="U12"/>
  <c r="T12"/>
  <c r="I12"/>
  <c r="D12"/>
  <c r="H12"/>
  <c r="AD12"/>
  <c r="F12"/>
  <c r="AH12"/>
  <c r="N12"/>
  <c r="AL12"/>
  <c r="S12"/>
  <c r="P12"/>
  <c r="J12"/>
  <c r="C12"/>
  <c r="O12"/>
  <c r="R12"/>
  <c r="AF12"/>
  <c r="Q12"/>
  <c r="M12"/>
  <c r="AJ12"/>
  <c r="N79" i="23"/>
  <c r="O79" s="1"/>
  <c r="P79" s="1"/>
  <c r="N65"/>
  <c r="O65" s="1"/>
  <c r="P65" s="1"/>
  <c r="N35"/>
  <c r="O35" s="1"/>
  <c r="P35" s="1"/>
  <c r="N54"/>
  <c r="O54" s="1"/>
  <c r="P54" s="1"/>
  <c r="N52"/>
  <c r="O52" s="1"/>
  <c r="P52" s="1"/>
  <c r="N26"/>
  <c r="O26" s="1"/>
  <c r="P26" s="1"/>
  <c r="N59"/>
  <c r="O59" s="1"/>
  <c r="P59" s="1"/>
  <c r="N48"/>
  <c r="O48" s="1"/>
  <c r="P48" s="1"/>
  <c r="N94"/>
  <c r="O94" s="1"/>
  <c r="P94" s="1"/>
  <c r="N124"/>
  <c r="O124" s="1"/>
  <c r="P124" s="1"/>
  <c r="N42"/>
  <c r="O42" s="1"/>
  <c r="P42" s="1"/>
  <c r="N60"/>
  <c r="O60" s="1"/>
  <c r="P60" s="1"/>
  <c r="N122"/>
  <c r="O122" s="1"/>
  <c r="P122" s="1"/>
  <c r="N78"/>
  <c r="O78" s="1"/>
  <c r="P78" s="1"/>
  <c r="N31"/>
  <c r="O31" s="1"/>
  <c r="P31" s="1"/>
  <c r="N102"/>
  <c r="O102" s="1"/>
  <c r="P102" s="1"/>
  <c r="N89"/>
  <c r="O89" s="1"/>
  <c r="P89" s="1"/>
  <c r="N12"/>
  <c r="O12" s="1"/>
  <c r="P12" s="1"/>
  <c r="N86"/>
  <c r="O86" s="1"/>
  <c r="P86" s="1"/>
  <c r="N76"/>
  <c r="O76" s="1"/>
  <c r="P76" s="1"/>
  <c r="N38"/>
  <c r="O38" s="1"/>
  <c r="P38" s="1"/>
  <c r="N28"/>
  <c r="O28" s="1"/>
  <c r="P28" s="1"/>
  <c r="N63"/>
  <c r="O63" s="1"/>
  <c r="P63" s="1"/>
  <c r="N13"/>
  <c r="O13" s="1"/>
  <c r="P13" s="1"/>
  <c r="N107"/>
  <c r="O107" s="1"/>
  <c r="P107" s="1"/>
  <c r="N74"/>
  <c r="O74" s="1"/>
  <c r="P74" s="1"/>
  <c r="N34"/>
  <c r="O34" s="1"/>
  <c r="P34" s="1"/>
  <c r="E88" i="27"/>
  <c r="K88"/>
  <c r="AF88"/>
  <c r="D88"/>
  <c r="J88"/>
  <c r="I88"/>
  <c r="N47"/>
  <c r="E47"/>
  <c r="P47"/>
  <c r="U47"/>
  <c r="AF47"/>
  <c r="AJ47"/>
  <c r="M102"/>
  <c r="AH66"/>
  <c r="U66"/>
  <c r="Q66"/>
  <c r="P66"/>
  <c r="AL66"/>
  <c r="I66"/>
  <c r="R83"/>
  <c r="AF18"/>
  <c r="AH18"/>
  <c r="T18"/>
  <c r="AD18"/>
  <c r="F18"/>
  <c r="AJ18"/>
  <c r="E89"/>
  <c r="AF26"/>
  <c r="AH26"/>
  <c r="T26"/>
  <c r="U26"/>
  <c r="AD26"/>
  <c r="AJ26"/>
  <c r="AF87"/>
  <c r="S87"/>
  <c r="J87"/>
  <c r="O87"/>
  <c r="P87"/>
  <c r="N21" i="23"/>
  <c r="O21" s="1"/>
  <c r="P21" s="1"/>
  <c r="N44"/>
  <c r="O44" s="1"/>
  <c r="P44" s="1"/>
  <c r="N20"/>
  <c r="O20" s="1"/>
  <c r="P20" s="1"/>
  <c r="N15"/>
  <c r="O15" s="1"/>
  <c r="P15" s="1"/>
  <c r="N41"/>
  <c r="O41" s="1"/>
  <c r="P41" s="1"/>
  <c r="N23"/>
  <c r="O23" s="1"/>
  <c r="P23" s="1"/>
  <c r="N104"/>
  <c r="O104" s="1"/>
  <c r="P104" s="1"/>
  <c r="N58"/>
  <c r="O58" s="1"/>
  <c r="P58" s="1"/>
  <c r="N66"/>
  <c r="O66" s="1"/>
  <c r="P66" s="1"/>
  <c r="N120"/>
  <c r="O120" s="1"/>
  <c r="P120" s="1"/>
  <c r="N17"/>
  <c r="O17" s="1"/>
  <c r="P17" s="1"/>
  <c r="N27"/>
  <c r="O27" s="1"/>
  <c r="P27" s="1"/>
  <c r="N37"/>
  <c r="O37" s="1"/>
  <c r="P37" s="1"/>
  <c r="N96"/>
  <c r="O96" s="1"/>
  <c r="P96" s="1"/>
  <c r="N33"/>
  <c r="O33" s="1"/>
  <c r="P33" s="1"/>
  <c r="N40"/>
  <c r="O40" s="1"/>
  <c r="P40" s="1"/>
  <c r="N75"/>
  <c r="O75" s="1"/>
  <c r="P75" s="1"/>
  <c r="N77"/>
  <c r="O77" s="1"/>
  <c r="P77" s="1"/>
  <c r="N24"/>
  <c r="O24" s="1"/>
  <c r="P24" s="1"/>
  <c r="N56"/>
  <c r="O56" s="1"/>
  <c r="P56" s="1"/>
  <c r="N100"/>
  <c r="O100" s="1"/>
  <c r="P100" s="1"/>
  <c r="N95"/>
  <c r="O95" s="1"/>
  <c r="P95" s="1"/>
  <c r="N57"/>
  <c r="O57" s="1"/>
  <c r="P57" s="1"/>
  <c r="N83"/>
  <c r="O83" s="1"/>
  <c r="P83" s="1"/>
  <c r="N67"/>
  <c r="O67" s="1"/>
  <c r="P67" s="1"/>
  <c r="N53"/>
  <c r="O53" s="1"/>
  <c r="P53" s="1"/>
  <c r="N123"/>
  <c r="O123" s="1"/>
  <c r="P123" s="1"/>
  <c r="N32"/>
  <c r="O32" s="1"/>
  <c r="P32" s="1"/>
  <c r="N90"/>
  <c r="O90" s="1"/>
  <c r="P90" s="1"/>
  <c r="N61"/>
  <c r="O61" s="1"/>
  <c r="P61" s="1"/>
  <c r="N121"/>
  <c r="O121" s="1"/>
  <c r="P121" s="1"/>
  <c r="N14"/>
  <c r="O14" s="1"/>
  <c r="P14" s="1"/>
  <c r="AD68" i="27" l="1"/>
  <c r="P83"/>
  <c r="E25"/>
  <c r="M78"/>
  <c r="D46"/>
  <c r="AF89"/>
  <c r="T25"/>
  <c r="P106"/>
  <c r="O101"/>
  <c r="K46"/>
  <c r="R68"/>
  <c r="J83"/>
  <c r="Q102"/>
  <c r="AD21"/>
  <c r="N78"/>
  <c r="U46"/>
  <c r="O60"/>
  <c r="AL78"/>
  <c r="L81"/>
  <c r="H89"/>
  <c r="E83"/>
  <c r="AJ102"/>
  <c r="C25"/>
  <c r="M81"/>
  <c r="AH106"/>
  <c r="AD101"/>
  <c r="P60"/>
  <c r="C87"/>
  <c r="T87"/>
  <c r="AH87"/>
  <c r="H26"/>
  <c r="D26"/>
  <c r="M18"/>
  <c r="Q18"/>
  <c r="AL18"/>
  <c r="AJ66"/>
  <c r="R66"/>
  <c r="T66"/>
  <c r="F47"/>
  <c r="C47"/>
  <c r="Q47"/>
  <c r="R88"/>
  <c r="AD88"/>
  <c r="T88"/>
  <c r="U76"/>
  <c r="H76"/>
  <c r="L14"/>
  <c r="J14"/>
  <c r="AH67"/>
  <c r="I80"/>
  <c r="N80"/>
  <c r="I64"/>
  <c r="T64"/>
  <c r="I87"/>
  <c r="Q87"/>
  <c r="F87"/>
  <c r="R87"/>
  <c r="N87"/>
  <c r="M87"/>
  <c r="C26"/>
  <c r="I26"/>
  <c r="P26"/>
  <c r="N26"/>
  <c r="R26"/>
  <c r="AL26"/>
  <c r="P18"/>
  <c r="J18"/>
  <c r="C18"/>
  <c r="U18"/>
  <c r="E18"/>
  <c r="H18"/>
  <c r="L66"/>
  <c r="O66"/>
  <c r="D66"/>
  <c r="E66"/>
  <c r="M66"/>
  <c r="L47"/>
  <c r="R47"/>
  <c r="D47"/>
  <c r="S47"/>
  <c r="J47"/>
  <c r="AH47"/>
  <c r="S88"/>
  <c r="AH88"/>
  <c r="P88"/>
  <c r="M88"/>
  <c r="Q88"/>
  <c r="F76"/>
  <c r="N76"/>
  <c r="E76"/>
  <c r="D76"/>
  <c r="K76"/>
  <c r="AF14"/>
  <c r="R14"/>
  <c r="C14"/>
  <c r="N14"/>
  <c r="R78"/>
  <c r="R81"/>
  <c r="L67"/>
  <c r="AF67"/>
  <c r="AL67"/>
  <c r="AF101"/>
  <c r="D80"/>
  <c r="F80"/>
  <c r="R80"/>
  <c r="C64"/>
  <c r="J64"/>
  <c r="AH64"/>
  <c r="S64"/>
  <c r="L87"/>
  <c r="AD87"/>
  <c r="AL87"/>
  <c r="M26"/>
  <c r="O26"/>
  <c r="K26"/>
  <c r="R18"/>
  <c r="L18"/>
  <c r="N66"/>
  <c r="AD66"/>
  <c r="S66"/>
  <c r="K47"/>
  <c r="H47"/>
  <c r="AJ88"/>
  <c r="N88"/>
  <c r="AL88"/>
  <c r="T76"/>
  <c r="S76"/>
  <c r="L76"/>
  <c r="F14"/>
  <c r="AL14"/>
  <c r="I67"/>
  <c r="C67"/>
  <c r="Q67"/>
  <c r="K80"/>
  <c r="Q64"/>
  <c r="AJ87"/>
  <c r="K87"/>
  <c r="D87"/>
  <c r="U87"/>
  <c r="E87"/>
  <c r="J26"/>
  <c r="L26"/>
  <c r="S26"/>
  <c r="E26"/>
  <c r="F26"/>
  <c r="I18"/>
  <c r="N18"/>
  <c r="S18"/>
  <c r="K18"/>
  <c r="D18"/>
  <c r="J66"/>
  <c r="AF66"/>
  <c r="K66"/>
  <c r="F66"/>
  <c r="C66"/>
  <c r="I47"/>
  <c r="O47"/>
  <c r="M47"/>
  <c r="T47"/>
  <c r="AD47"/>
  <c r="O88"/>
  <c r="H88"/>
  <c r="U88"/>
  <c r="F88"/>
  <c r="L88"/>
  <c r="I76"/>
  <c r="AH76"/>
  <c r="J76"/>
  <c r="Q76"/>
  <c r="R76"/>
  <c r="AL76"/>
  <c r="D14"/>
  <c r="E14"/>
  <c r="O14"/>
  <c r="S14"/>
  <c r="P67"/>
  <c r="R67"/>
  <c r="T67"/>
  <c r="AF80"/>
  <c r="Q80"/>
  <c r="U80"/>
  <c r="F64"/>
  <c r="AL64"/>
  <c r="R64"/>
  <c r="AL45"/>
  <c r="N93"/>
  <c r="AL105"/>
  <c r="AD15"/>
  <c r="P89"/>
  <c r="C89"/>
  <c r="K68"/>
  <c r="F83"/>
  <c r="O102"/>
  <c r="E102"/>
  <c r="P25"/>
  <c r="D25"/>
  <c r="O21"/>
  <c r="I14"/>
  <c r="P14"/>
  <c r="M14"/>
  <c r="AH14"/>
  <c r="AD14"/>
  <c r="U78"/>
  <c r="O97"/>
  <c r="S81"/>
  <c r="AF106"/>
  <c r="U106"/>
  <c r="N67"/>
  <c r="U67"/>
  <c r="E67"/>
  <c r="O67"/>
  <c r="T101"/>
  <c r="AJ80"/>
  <c r="AH80"/>
  <c r="T80"/>
  <c r="AL80"/>
  <c r="O80"/>
  <c r="R46"/>
  <c r="D64"/>
  <c r="E64"/>
  <c r="L64"/>
  <c r="O64"/>
  <c r="Q60"/>
  <c r="K60"/>
  <c r="M95"/>
  <c r="AL89"/>
  <c r="Q68"/>
  <c r="C68"/>
  <c r="T83"/>
  <c r="L102"/>
  <c r="C104"/>
  <c r="AL25"/>
  <c r="AD99"/>
  <c r="AJ21"/>
  <c r="D21"/>
  <c r="L78"/>
  <c r="D81"/>
  <c r="Q106"/>
  <c r="H108"/>
  <c r="U101"/>
  <c r="N46"/>
  <c r="H46"/>
  <c r="H60"/>
  <c r="AJ65"/>
  <c r="S107"/>
  <c r="C69"/>
  <c r="F77"/>
  <c r="AJ15"/>
  <c r="I95"/>
  <c r="J99"/>
  <c r="I105"/>
  <c r="Q97"/>
  <c r="F51"/>
  <c r="F15"/>
  <c r="AH89"/>
  <c r="U89"/>
  <c r="AJ68"/>
  <c r="AH68"/>
  <c r="E68"/>
  <c r="M93"/>
  <c r="H83"/>
  <c r="AD83"/>
  <c r="AF83"/>
  <c r="AD58"/>
  <c r="I102"/>
  <c r="C102"/>
  <c r="AD102"/>
  <c r="Q104"/>
  <c r="AD95"/>
  <c r="K25"/>
  <c r="AF25"/>
  <c r="N25"/>
  <c r="U21"/>
  <c r="H21"/>
  <c r="R21"/>
  <c r="K105"/>
  <c r="D78"/>
  <c r="T78"/>
  <c r="J78"/>
  <c r="L41"/>
  <c r="AJ81"/>
  <c r="U81"/>
  <c r="K81"/>
  <c r="O106"/>
  <c r="E106"/>
  <c r="N106"/>
  <c r="N108"/>
  <c r="AJ101"/>
  <c r="R101"/>
  <c r="J101"/>
  <c r="I46"/>
  <c r="AH46"/>
  <c r="AD46"/>
  <c r="U51"/>
  <c r="U60"/>
  <c r="AF60"/>
  <c r="N60"/>
  <c r="AD65"/>
  <c r="K58"/>
  <c r="E41"/>
  <c r="AL15"/>
  <c r="M89"/>
  <c r="J89"/>
  <c r="S89"/>
  <c r="P68"/>
  <c r="H68"/>
  <c r="O68"/>
  <c r="I83"/>
  <c r="C83"/>
  <c r="U83"/>
  <c r="F58"/>
  <c r="H102"/>
  <c r="K102"/>
  <c r="T102"/>
  <c r="D104"/>
  <c r="I25"/>
  <c r="L25"/>
  <c r="AD25"/>
  <c r="I99"/>
  <c r="E21"/>
  <c r="L21"/>
  <c r="AH21"/>
  <c r="P105"/>
  <c r="AJ78"/>
  <c r="E78"/>
  <c r="S78"/>
  <c r="AH97"/>
  <c r="M41"/>
  <c r="E81"/>
  <c r="Q81"/>
  <c r="AF81"/>
  <c r="H106"/>
  <c r="T106"/>
  <c r="F106"/>
  <c r="C108"/>
  <c r="AL101"/>
  <c r="C101"/>
  <c r="F101"/>
  <c r="L46"/>
  <c r="AL46"/>
  <c r="E46"/>
  <c r="R51"/>
  <c r="AH60"/>
  <c r="AL60"/>
  <c r="C60"/>
  <c r="R65"/>
  <c r="S42"/>
  <c r="L84"/>
  <c r="AJ77"/>
  <c r="N84"/>
  <c r="AD39"/>
  <c r="AH32"/>
  <c r="P107"/>
  <c r="J43"/>
  <c r="U94"/>
  <c r="S35"/>
  <c r="E32"/>
  <c r="I107"/>
  <c r="O69"/>
  <c r="T43"/>
  <c r="AL94"/>
  <c r="AH35"/>
  <c r="AJ84"/>
  <c r="P77"/>
  <c r="P32"/>
  <c r="R15"/>
  <c r="O42"/>
  <c r="AL42"/>
  <c r="E107"/>
  <c r="R93"/>
  <c r="AL93"/>
  <c r="P69"/>
  <c r="AJ58"/>
  <c r="M58"/>
  <c r="T104"/>
  <c r="M43"/>
  <c r="P43"/>
  <c r="K95"/>
  <c r="AJ94"/>
  <c r="P94"/>
  <c r="T99"/>
  <c r="AL35"/>
  <c r="H35"/>
  <c r="T84"/>
  <c r="C105"/>
  <c r="J39"/>
  <c r="L39"/>
  <c r="H97"/>
  <c r="F97"/>
  <c r="D41"/>
  <c r="L45"/>
  <c r="I45"/>
  <c r="AJ108"/>
  <c r="O108"/>
  <c r="S77"/>
  <c r="AJ67"/>
  <c r="D67"/>
  <c r="S67"/>
  <c r="AD67"/>
  <c r="J67"/>
  <c r="M80"/>
  <c r="H80"/>
  <c r="L80"/>
  <c r="P80"/>
  <c r="J80"/>
  <c r="K51"/>
  <c r="U32"/>
  <c r="AJ64"/>
  <c r="U64"/>
  <c r="K64"/>
  <c r="H64"/>
  <c r="P64"/>
  <c r="AH65"/>
  <c r="U42"/>
  <c r="D107"/>
  <c r="U69"/>
  <c r="D43"/>
  <c r="E94"/>
  <c r="Q84"/>
  <c r="AL39"/>
  <c r="AF45"/>
  <c r="L15"/>
  <c r="AJ42"/>
  <c r="K42"/>
  <c r="Q107"/>
  <c r="I93"/>
  <c r="P93"/>
  <c r="D69"/>
  <c r="L58"/>
  <c r="S104"/>
  <c r="P104"/>
  <c r="U43"/>
  <c r="J95"/>
  <c r="P95"/>
  <c r="AH94"/>
  <c r="R99"/>
  <c r="O99"/>
  <c r="R35"/>
  <c r="E84"/>
  <c r="T105"/>
  <c r="AJ39"/>
  <c r="S39"/>
  <c r="L97"/>
  <c r="AH41"/>
  <c r="AD45"/>
  <c r="D45"/>
  <c r="R108"/>
  <c r="D77"/>
  <c r="U77"/>
  <c r="AL51"/>
  <c r="J32"/>
  <c r="F32"/>
  <c r="D65"/>
  <c r="U65"/>
  <c r="K15"/>
  <c r="P15"/>
  <c r="AH15"/>
  <c r="S93"/>
  <c r="AF93"/>
  <c r="C93"/>
  <c r="N58"/>
  <c r="J58"/>
  <c r="P58"/>
  <c r="I104"/>
  <c r="AF104"/>
  <c r="AL104"/>
  <c r="K104"/>
  <c r="O104"/>
  <c r="AJ95"/>
  <c r="S95"/>
  <c r="D95"/>
  <c r="AF95"/>
  <c r="F99"/>
  <c r="U99"/>
  <c r="K99"/>
  <c r="AJ105"/>
  <c r="AD105"/>
  <c r="AH105"/>
  <c r="M105"/>
  <c r="O105"/>
  <c r="D97"/>
  <c r="C97"/>
  <c r="R97"/>
  <c r="K41"/>
  <c r="AF41"/>
  <c r="R41"/>
  <c r="L108"/>
  <c r="D108"/>
  <c r="S51"/>
  <c r="E51"/>
  <c r="N51"/>
  <c r="L65"/>
  <c r="I15"/>
  <c r="H15"/>
  <c r="N15"/>
  <c r="AF15"/>
  <c r="T15"/>
  <c r="Q15"/>
  <c r="AJ89"/>
  <c r="N89"/>
  <c r="F89"/>
  <c r="AD89"/>
  <c r="L89"/>
  <c r="D89"/>
  <c r="I68"/>
  <c r="M68"/>
  <c r="AL68"/>
  <c r="L68"/>
  <c r="F68"/>
  <c r="AF68"/>
  <c r="E93"/>
  <c r="L93"/>
  <c r="AH93"/>
  <c r="T93"/>
  <c r="K93"/>
  <c r="U93"/>
  <c r="Q83"/>
  <c r="D83"/>
  <c r="M83"/>
  <c r="L83"/>
  <c r="AH83"/>
  <c r="I58"/>
  <c r="E58"/>
  <c r="H58"/>
  <c r="D58"/>
  <c r="T58"/>
  <c r="AF58"/>
  <c r="P102"/>
  <c r="AH102"/>
  <c r="J102"/>
  <c r="AL102"/>
  <c r="N102"/>
  <c r="U102"/>
  <c r="R104"/>
  <c r="E104"/>
  <c r="F104"/>
  <c r="M104"/>
  <c r="L104"/>
  <c r="U95"/>
  <c r="Q95"/>
  <c r="E95"/>
  <c r="H95"/>
  <c r="L95"/>
  <c r="N95"/>
  <c r="AH25"/>
  <c r="R25"/>
  <c r="S25"/>
  <c r="U25"/>
  <c r="Q25"/>
  <c r="AH99"/>
  <c r="Q99"/>
  <c r="N99"/>
  <c r="P99"/>
  <c r="D99"/>
  <c r="AL99"/>
  <c r="I21"/>
  <c r="M21"/>
  <c r="P21"/>
  <c r="Q21"/>
  <c r="AF21"/>
  <c r="J21"/>
  <c r="L105"/>
  <c r="S105"/>
  <c r="U105"/>
  <c r="J105"/>
  <c r="D105"/>
  <c r="AF105"/>
  <c r="C78"/>
  <c r="F78"/>
  <c r="H78"/>
  <c r="O78"/>
  <c r="I78"/>
  <c r="K78"/>
  <c r="E97"/>
  <c r="AF97"/>
  <c r="N97"/>
  <c r="J97"/>
  <c r="S97"/>
  <c r="AJ41"/>
  <c r="C41"/>
  <c r="T41"/>
  <c r="AD41"/>
  <c r="J41"/>
  <c r="H41"/>
  <c r="O81"/>
  <c r="H81"/>
  <c r="P81"/>
  <c r="F81"/>
  <c r="J81"/>
  <c r="AJ106"/>
  <c r="L106"/>
  <c r="J106"/>
  <c r="C106"/>
  <c r="R106"/>
  <c r="AL106"/>
  <c r="I108"/>
  <c r="S108"/>
  <c r="J108"/>
  <c r="E108"/>
  <c r="AF108"/>
  <c r="F108"/>
  <c r="I101"/>
  <c r="D101"/>
  <c r="H101"/>
  <c r="E101"/>
  <c r="M101"/>
  <c r="L101"/>
  <c r="S46"/>
  <c r="AF46"/>
  <c r="T46"/>
  <c r="C46"/>
  <c r="F46"/>
  <c r="AJ51"/>
  <c r="AD51"/>
  <c r="T51"/>
  <c r="P51"/>
  <c r="I51"/>
  <c r="L51"/>
  <c r="AJ60"/>
  <c r="T60"/>
  <c r="E60"/>
  <c r="M60"/>
  <c r="R60"/>
  <c r="F60"/>
  <c r="I65"/>
  <c r="E65"/>
  <c r="J65"/>
  <c r="N65"/>
  <c r="P65"/>
  <c r="AL65"/>
  <c r="M15"/>
  <c r="U15"/>
  <c r="AJ93"/>
  <c r="AD93"/>
  <c r="Q93"/>
  <c r="R58"/>
  <c r="O58"/>
  <c r="H104"/>
  <c r="F95"/>
  <c r="T95"/>
  <c r="AJ99"/>
  <c r="C99"/>
  <c r="AF99"/>
  <c r="R105"/>
  <c r="I97"/>
  <c r="K97"/>
  <c r="P97"/>
  <c r="P41"/>
  <c r="Q41"/>
  <c r="AL41"/>
  <c r="T108"/>
  <c r="U108"/>
  <c r="P108"/>
  <c r="H51"/>
  <c r="AH51"/>
  <c r="D51"/>
  <c r="O65"/>
  <c r="S65"/>
  <c r="H65"/>
  <c r="M65"/>
  <c r="J15"/>
  <c r="E15"/>
  <c r="S15"/>
  <c r="C15"/>
  <c r="D15"/>
  <c r="I89"/>
  <c r="K89"/>
  <c r="R89"/>
  <c r="O89"/>
  <c r="Q89"/>
  <c r="J68"/>
  <c r="T68"/>
  <c r="D68"/>
  <c r="U68"/>
  <c r="N68"/>
  <c r="F93"/>
  <c r="D93"/>
  <c r="J93"/>
  <c r="O93"/>
  <c r="AJ83"/>
  <c r="AL83"/>
  <c r="K83"/>
  <c r="O83"/>
  <c r="N83"/>
  <c r="Q58"/>
  <c r="AH58"/>
  <c r="U58"/>
  <c r="AL58"/>
  <c r="S58"/>
  <c r="R102"/>
  <c r="D102"/>
  <c r="S102"/>
  <c r="F102"/>
  <c r="AJ104"/>
  <c r="N104"/>
  <c r="AD104"/>
  <c r="J104"/>
  <c r="U104"/>
  <c r="AH95"/>
  <c r="C95"/>
  <c r="R95"/>
  <c r="O95"/>
  <c r="AJ25"/>
  <c r="H25"/>
  <c r="M25"/>
  <c r="O25"/>
  <c r="F25"/>
  <c r="S99"/>
  <c r="L99"/>
  <c r="M99"/>
  <c r="E99"/>
  <c r="N21"/>
  <c r="AL21"/>
  <c r="F21"/>
  <c r="T21"/>
  <c r="K21"/>
  <c r="N105"/>
  <c r="Q105"/>
  <c r="F105"/>
  <c r="E105"/>
  <c r="AD78"/>
  <c r="P78"/>
  <c r="Q78"/>
  <c r="AH78"/>
  <c r="AJ97"/>
  <c r="M97"/>
  <c r="T97"/>
  <c r="AD97"/>
  <c r="AL97"/>
  <c r="I41"/>
  <c r="F41"/>
  <c r="N41"/>
  <c r="U41"/>
  <c r="O41"/>
  <c r="I81"/>
  <c r="AH81"/>
  <c r="N81"/>
  <c r="AD81"/>
  <c r="T81"/>
  <c r="I106"/>
  <c r="AD106"/>
  <c r="S106"/>
  <c r="M106"/>
  <c r="K106"/>
  <c r="K108"/>
  <c r="AL108"/>
  <c r="AD108"/>
  <c r="Q108"/>
  <c r="M108"/>
  <c r="AH101"/>
  <c r="S101"/>
  <c r="K101"/>
  <c r="P101"/>
  <c r="N101"/>
  <c r="AJ46"/>
  <c r="O46"/>
  <c r="J46"/>
  <c r="P46"/>
  <c r="Q46"/>
  <c r="O51"/>
  <c r="M51"/>
  <c r="AF51"/>
  <c r="Q51"/>
  <c r="C51"/>
  <c r="I60"/>
  <c r="J60"/>
  <c r="S60"/>
  <c r="D60"/>
  <c r="AD60"/>
  <c r="Q65"/>
  <c r="AF65"/>
  <c r="C65"/>
  <c r="F65"/>
  <c r="T65"/>
  <c r="F42"/>
  <c r="P42"/>
  <c r="L42"/>
  <c r="T42"/>
  <c r="AH42"/>
  <c r="AJ107"/>
  <c r="K107"/>
  <c r="AL107"/>
  <c r="R107"/>
  <c r="J107"/>
  <c r="AF107"/>
  <c r="K69"/>
  <c r="E69"/>
  <c r="N69"/>
  <c r="S69"/>
  <c r="J69"/>
  <c r="Q69"/>
  <c r="I43"/>
  <c r="R43"/>
  <c r="AH43"/>
  <c r="K43"/>
  <c r="AD43"/>
  <c r="AL43"/>
  <c r="I94"/>
  <c r="R94"/>
  <c r="T94"/>
  <c r="AF94"/>
  <c r="C94"/>
  <c r="K94"/>
  <c r="F35"/>
  <c r="O35"/>
  <c r="AF35"/>
  <c r="C35"/>
  <c r="M35"/>
  <c r="P35"/>
  <c r="AD84"/>
  <c r="AH84"/>
  <c r="F84"/>
  <c r="S84"/>
  <c r="M84"/>
  <c r="H39"/>
  <c r="D39"/>
  <c r="U39"/>
  <c r="T39"/>
  <c r="F39"/>
  <c r="AJ45"/>
  <c r="O45"/>
  <c r="Q45"/>
  <c r="E45"/>
  <c r="T45"/>
  <c r="K45"/>
  <c r="AD77"/>
  <c r="E77"/>
  <c r="O77"/>
  <c r="R77"/>
  <c r="AF77"/>
  <c r="D32"/>
  <c r="R32"/>
  <c r="K32"/>
  <c r="S32"/>
  <c r="O32"/>
  <c r="I32"/>
  <c r="D42"/>
  <c r="M42"/>
  <c r="AD42"/>
  <c r="N42"/>
  <c r="AF42"/>
  <c r="Q42"/>
  <c r="AD107"/>
  <c r="L107"/>
  <c r="T107"/>
  <c r="F107"/>
  <c r="U107"/>
  <c r="I69"/>
  <c r="H69"/>
  <c r="AD69"/>
  <c r="AL69"/>
  <c r="L69"/>
  <c r="F69"/>
  <c r="AJ43"/>
  <c r="C43"/>
  <c r="O43"/>
  <c r="AF43"/>
  <c r="L43"/>
  <c r="Q43"/>
  <c r="S94"/>
  <c r="N94"/>
  <c r="L94"/>
  <c r="Q94"/>
  <c r="O94"/>
  <c r="I35"/>
  <c r="K35"/>
  <c r="Q35"/>
  <c r="T35"/>
  <c r="D35"/>
  <c r="E35"/>
  <c r="O84"/>
  <c r="AL84"/>
  <c r="U84"/>
  <c r="H84"/>
  <c r="J84"/>
  <c r="C84"/>
  <c r="P39"/>
  <c r="O39"/>
  <c r="M39"/>
  <c r="AH39"/>
  <c r="N39"/>
  <c r="R39"/>
  <c r="AH45"/>
  <c r="M45"/>
  <c r="U45"/>
  <c r="H45"/>
  <c r="S45"/>
  <c r="L77"/>
  <c r="N77"/>
  <c r="H77"/>
  <c r="AH77"/>
  <c r="AL77"/>
  <c r="I77"/>
  <c r="AJ32"/>
  <c r="Q32"/>
  <c r="N32"/>
  <c r="AL32"/>
  <c r="T32"/>
  <c r="AF32"/>
  <c r="I42"/>
  <c r="C42"/>
  <c r="E42"/>
  <c r="R42"/>
  <c r="H42"/>
  <c r="C107"/>
  <c r="O107"/>
  <c r="M107"/>
  <c r="AH107"/>
  <c r="N107"/>
  <c r="AJ69"/>
  <c r="T69"/>
  <c r="M69"/>
  <c r="AH69"/>
  <c r="AF69"/>
  <c r="N43"/>
  <c r="E43"/>
  <c r="S43"/>
  <c r="H43"/>
  <c r="AD94"/>
  <c r="D94"/>
  <c r="H94"/>
  <c r="J94"/>
  <c r="F94"/>
  <c r="AJ35"/>
  <c r="J35"/>
  <c r="L35"/>
  <c r="AD35"/>
  <c r="U35"/>
  <c r="I84"/>
  <c r="D84"/>
  <c r="R84"/>
  <c r="P84"/>
  <c r="AF84"/>
  <c r="K39"/>
  <c r="C39"/>
  <c r="AF39"/>
  <c r="I39"/>
  <c r="E39"/>
  <c r="R45"/>
  <c r="N45"/>
  <c r="J45"/>
  <c r="P45"/>
  <c r="F45"/>
  <c r="K77"/>
  <c r="T77"/>
  <c r="C77"/>
  <c r="M77"/>
  <c r="Q77"/>
  <c r="M32"/>
  <c r="L32"/>
  <c r="C32"/>
  <c r="H32"/>
  <c r="U121"/>
  <c r="D121"/>
  <c r="H121"/>
  <c r="L121"/>
  <c r="N121"/>
  <c r="AL121"/>
  <c r="AM121" s="1"/>
  <c r="O121"/>
  <c r="E121"/>
  <c r="J121"/>
  <c r="Q121"/>
  <c r="AD121"/>
  <c r="AE121" s="1"/>
  <c r="K121"/>
  <c r="C121"/>
  <c r="P121"/>
  <c r="S121"/>
  <c r="T121"/>
  <c r="F121"/>
  <c r="R121"/>
  <c r="AF121"/>
  <c r="AH121"/>
  <c r="AI121" s="1"/>
  <c r="M121"/>
  <c r="I121"/>
  <c r="AJ121"/>
  <c r="AK121" s="1"/>
  <c r="AF20"/>
  <c r="D20"/>
  <c r="J20"/>
  <c r="C20"/>
  <c r="S20"/>
  <c r="E20"/>
  <c r="M20"/>
  <c r="P20"/>
  <c r="U20"/>
  <c r="AL20"/>
  <c r="T20"/>
  <c r="AH20"/>
  <c r="O20"/>
  <c r="H20"/>
  <c r="F20"/>
  <c r="Q20"/>
  <c r="R20"/>
  <c r="K20"/>
  <c r="AD20"/>
  <c r="N20"/>
  <c r="L20"/>
  <c r="I20"/>
  <c r="AJ20"/>
  <c r="D13"/>
  <c r="M13"/>
  <c r="E13"/>
  <c r="C13"/>
  <c r="AF13"/>
  <c r="AD13"/>
  <c r="T13"/>
  <c r="L13"/>
  <c r="U13"/>
  <c r="AL13"/>
  <c r="P13"/>
  <c r="R13"/>
  <c r="AH13"/>
  <c r="F13"/>
  <c r="Q13"/>
  <c r="S13"/>
  <c r="J13"/>
  <c r="N13"/>
  <c r="H13"/>
  <c r="O13"/>
  <c r="K13"/>
  <c r="I13"/>
  <c r="AJ13"/>
  <c r="AH16"/>
  <c r="C16"/>
  <c r="AF16"/>
  <c r="H16"/>
  <c r="F16"/>
  <c r="AD16"/>
  <c r="N16"/>
  <c r="U16"/>
  <c r="Q16"/>
  <c r="K16"/>
  <c r="O16"/>
  <c r="P16"/>
  <c r="J16"/>
  <c r="AL16"/>
  <c r="D16"/>
  <c r="L16"/>
  <c r="M16"/>
  <c r="R16"/>
  <c r="E16"/>
  <c r="T16"/>
  <c r="S16"/>
  <c r="I16"/>
  <c r="AJ16"/>
  <c r="H30"/>
  <c r="M30"/>
  <c r="AF30"/>
  <c r="D30"/>
  <c r="S30"/>
  <c r="R30"/>
  <c r="J30"/>
  <c r="P30"/>
  <c r="AL30"/>
  <c r="U30"/>
  <c r="AD30"/>
  <c r="N30"/>
  <c r="I30"/>
  <c r="T30"/>
  <c r="C30"/>
  <c r="K30"/>
  <c r="Q30"/>
  <c r="L30"/>
  <c r="O30"/>
  <c r="E30"/>
  <c r="AH30"/>
  <c r="F30"/>
  <c r="AJ30"/>
  <c r="L82"/>
  <c r="J82"/>
  <c r="D82"/>
  <c r="M82"/>
  <c r="U82"/>
  <c r="P82"/>
  <c r="H82"/>
  <c r="N82"/>
  <c r="K82"/>
  <c r="AL82"/>
  <c r="C82"/>
  <c r="Q82"/>
  <c r="E82"/>
  <c r="R82"/>
  <c r="S82"/>
  <c r="O82"/>
  <c r="AD82"/>
  <c r="T82"/>
  <c r="AF82"/>
  <c r="F82"/>
  <c r="AH82"/>
  <c r="I82"/>
  <c r="AJ82"/>
  <c r="P27"/>
  <c r="AF27"/>
  <c r="D27"/>
  <c r="N27"/>
  <c r="C27"/>
  <c r="U27"/>
  <c r="O27"/>
  <c r="M27"/>
  <c r="H27"/>
  <c r="K27"/>
  <c r="AD27"/>
  <c r="E27"/>
  <c r="L27"/>
  <c r="AH27"/>
  <c r="AL27"/>
  <c r="F27"/>
  <c r="R27"/>
  <c r="S27"/>
  <c r="Q27"/>
  <c r="T27"/>
  <c r="J27"/>
  <c r="I27"/>
  <c r="AJ27"/>
  <c r="L55"/>
  <c r="P55"/>
  <c r="AL55"/>
  <c r="M55"/>
  <c r="U55"/>
  <c r="C55"/>
  <c r="O55"/>
  <c r="E55"/>
  <c r="AF55"/>
  <c r="D55"/>
  <c r="AD55"/>
  <c r="N55"/>
  <c r="K55"/>
  <c r="R55"/>
  <c r="F55"/>
  <c r="AH55"/>
  <c r="T55"/>
  <c r="H55"/>
  <c r="J55"/>
  <c r="S55"/>
  <c r="Q55"/>
  <c r="I55"/>
  <c r="AJ55"/>
  <c r="P28"/>
  <c r="O28"/>
  <c r="M28"/>
  <c r="D28"/>
  <c r="J28"/>
  <c r="AD28"/>
  <c r="T28"/>
  <c r="U28"/>
  <c r="AH28"/>
  <c r="N28"/>
  <c r="E28"/>
  <c r="AF28"/>
  <c r="K28"/>
  <c r="Q28"/>
  <c r="S28"/>
  <c r="H28"/>
  <c r="L28"/>
  <c r="C28"/>
  <c r="R28"/>
  <c r="F28"/>
  <c r="AL28"/>
  <c r="I28"/>
  <c r="AJ28"/>
  <c r="N52"/>
  <c r="AL52"/>
  <c r="Q52"/>
  <c r="H52"/>
  <c r="AH52"/>
  <c r="F52"/>
  <c r="L52"/>
  <c r="O52"/>
  <c r="M52"/>
  <c r="U52"/>
  <c r="E52"/>
  <c r="C52"/>
  <c r="AD52"/>
  <c r="D52"/>
  <c r="R52"/>
  <c r="K52"/>
  <c r="J52"/>
  <c r="P52"/>
  <c r="AF52"/>
  <c r="T52"/>
  <c r="S52"/>
  <c r="I52"/>
  <c r="AJ52"/>
  <c r="U23"/>
  <c r="P23"/>
  <c r="AF23"/>
  <c r="C23"/>
  <c r="Q23"/>
  <c r="AL23"/>
  <c r="D23"/>
  <c r="AH23"/>
  <c r="O23"/>
  <c r="E23"/>
  <c r="M23"/>
  <c r="L23"/>
  <c r="F23"/>
  <c r="J23"/>
  <c r="K23"/>
  <c r="AD23"/>
  <c r="H23"/>
  <c r="S23"/>
  <c r="T23"/>
  <c r="N23"/>
  <c r="R23"/>
  <c r="I23"/>
  <c r="AJ23"/>
  <c r="S11"/>
  <c r="M11"/>
  <c r="AL11"/>
  <c r="J11"/>
  <c r="T11"/>
  <c r="U11"/>
  <c r="E11"/>
  <c r="N11"/>
  <c r="P11"/>
  <c r="O11"/>
  <c r="K11"/>
  <c r="F11"/>
  <c r="Q11"/>
  <c r="L11"/>
  <c r="C11"/>
  <c r="AH11"/>
  <c r="R11"/>
  <c r="H11"/>
  <c r="AF11"/>
  <c r="AD11"/>
  <c r="D11"/>
  <c r="I11"/>
  <c r="AJ11"/>
  <c r="E72"/>
  <c r="O72"/>
  <c r="Q72"/>
  <c r="R72"/>
  <c r="T72"/>
  <c r="S72"/>
  <c r="AL72"/>
  <c r="K72"/>
  <c r="C72"/>
  <c r="P72"/>
  <c r="N72"/>
  <c r="J72"/>
  <c r="D72"/>
  <c r="AD72"/>
  <c r="F72"/>
  <c r="M72"/>
  <c r="AH72"/>
  <c r="H72"/>
  <c r="L72"/>
  <c r="U72"/>
  <c r="AF72"/>
  <c r="I72"/>
  <c r="AJ72"/>
  <c r="AL56"/>
  <c r="C56"/>
  <c r="O56"/>
  <c r="R56"/>
  <c r="L56"/>
  <c r="AD56"/>
  <c r="H56"/>
  <c r="Q56"/>
  <c r="AF56"/>
  <c r="AH56"/>
  <c r="K56"/>
  <c r="S56"/>
  <c r="M56"/>
  <c r="U56"/>
  <c r="P56"/>
  <c r="J56"/>
  <c r="T56"/>
  <c r="N56"/>
  <c r="D56"/>
  <c r="E56"/>
  <c r="F56"/>
  <c r="I56"/>
  <c r="AJ56"/>
  <c r="T50"/>
  <c r="D50"/>
  <c r="AH50"/>
  <c r="C50"/>
  <c r="N50"/>
  <c r="K50"/>
  <c r="AL50"/>
  <c r="U50"/>
  <c r="P50"/>
  <c r="L50"/>
  <c r="R50"/>
  <c r="M50"/>
  <c r="J50"/>
  <c r="H50"/>
  <c r="Q50"/>
  <c r="F50"/>
  <c r="S50"/>
  <c r="AF50"/>
  <c r="O50"/>
  <c r="E50"/>
  <c r="AD50"/>
  <c r="I50"/>
  <c r="AJ50"/>
  <c r="K63"/>
  <c r="AF63"/>
  <c r="H63"/>
  <c r="E63"/>
  <c r="Q63"/>
  <c r="AD63"/>
  <c r="F63"/>
  <c r="L63"/>
  <c r="AL63"/>
  <c r="R63"/>
  <c r="O63"/>
  <c r="P63"/>
  <c r="U63"/>
  <c r="N63"/>
  <c r="D63"/>
  <c r="AH63"/>
  <c r="M63"/>
  <c r="T63"/>
  <c r="C63"/>
  <c r="J63"/>
  <c r="S63"/>
  <c r="I63"/>
  <c r="AJ63"/>
  <c r="F71"/>
  <c r="L71"/>
  <c r="U71"/>
  <c r="R71"/>
  <c r="H71"/>
  <c r="S71"/>
  <c r="N71"/>
  <c r="M71"/>
  <c r="T71"/>
  <c r="E71"/>
  <c r="AD71"/>
  <c r="D71"/>
  <c r="K71"/>
  <c r="AL71"/>
  <c r="P71"/>
  <c r="Q71"/>
  <c r="C71"/>
  <c r="J71"/>
  <c r="O71"/>
  <c r="AH71"/>
  <c r="AF71"/>
  <c r="AJ71"/>
  <c r="I71"/>
  <c r="T62"/>
  <c r="Q62"/>
  <c r="D62"/>
  <c r="R62"/>
  <c r="L62"/>
  <c r="AL62"/>
  <c r="H62"/>
  <c r="F62"/>
  <c r="I62"/>
  <c r="N62"/>
  <c r="J62"/>
  <c r="S62"/>
  <c r="C62"/>
  <c r="M62"/>
  <c r="O62"/>
  <c r="E62"/>
  <c r="K62"/>
  <c r="AF62"/>
  <c r="U62"/>
  <c r="AD62"/>
  <c r="AH62"/>
  <c r="P62"/>
  <c r="AJ62"/>
  <c r="F37"/>
  <c r="AF37"/>
  <c r="T37"/>
  <c r="D37"/>
  <c r="Q37"/>
  <c r="J37"/>
  <c r="O37"/>
  <c r="R37"/>
  <c r="E37"/>
  <c r="AL37"/>
  <c r="AD37"/>
  <c r="K37"/>
  <c r="H37"/>
  <c r="N37"/>
  <c r="AH37"/>
  <c r="L37"/>
  <c r="P37"/>
  <c r="I37"/>
  <c r="S37"/>
  <c r="M37"/>
  <c r="U37"/>
  <c r="C37"/>
  <c r="AJ37"/>
  <c r="S17"/>
  <c r="M17"/>
  <c r="O17"/>
  <c r="U17"/>
  <c r="C17"/>
  <c r="AL17"/>
  <c r="D17"/>
  <c r="H17"/>
  <c r="I17"/>
  <c r="J17"/>
  <c r="E17"/>
  <c r="AF17"/>
  <c r="N17"/>
  <c r="K17"/>
  <c r="AD17"/>
  <c r="P17"/>
  <c r="L17"/>
  <c r="Q17"/>
  <c r="F17"/>
  <c r="T17"/>
  <c r="AH17"/>
  <c r="R17"/>
  <c r="AJ17"/>
  <c r="R103"/>
  <c r="M103"/>
  <c r="J103"/>
  <c r="AH103"/>
  <c r="P103"/>
  <c r="AD103"/>
  <c r="U103"/>
  <c r="L103"/>
  <c r="T103"/>
  <c r="D103"/>
  <c r="S103"/>
  <c r="Q103"/>
  <c r="O103"/>
  <c r="H103"/>
  <c r="F103"/>
  <c r="C103"/>
  <c r="K103"/>
  <c r="E103"/>
  <c r="AL103"/>
  <c r="N103"/>
  <c r="AF103"/>
  <c r="I103"/>
  <c r="AJ103"/>
  <c r="AF34"/>
  <c r="F34"/>
  <c r="U34"/>
  <c r="J34"/>
  <c r="L34"/>
  <c r="AD34"/>
  <c r="M34"/>
  <c r="AH34"/>
  <c r="P34"/>
  <c r="K34"/>
  <c r="S34"/>
  <c r="Q34"/>
  <c r="R34"/>
  <c r="N34"/>
  <c r="AL34"/>
  <c r="C34"/>
  <c r="O34"/>
  <c r="E34"/>
  <c r="H34"/>
  <c r="D34"/>
  <c r="T34"/>
  <c r="AJ34"/>
  <c r="I34"/>
  <c r="S85"/>
  <c r="F85"/>
  <c r="K85"/>
  <c r="AF85"/>
  <c r="C85"/>
  <c r="H85"/>
  <c r="P85"/>
  <c r="M85"/>
  <c r="R85"/>
  <c r="L85"/>
  <c r="AL85"/>
  <c r="D85"/>
  <c r="AD85"/>
  <c r="N85"/>
  <c r="Q85"/>
  <c r="AH85"/>
  <c r="J85"/>
  <c r="T85"/>
  <c r="U85"/>
  <c r="O85"/>
  <c r="E85"/>
  <c r="I85"/>
  <c r="AJ85"/>
  <c r="U120"/>
  <c r="P120"/>
  <c r="O120"/>
  <c r="N120"/>
  <c r="E120"/>
  <c r="AF120"/>
  <c r="H120"/>
  <c r="C120"/>
  <c r="T120"/>
  <c r="J120"/>
  <c r="AL120"/>
  <c r="AM120" s="1"/>
  <c r="L120"/>
  <c r="R120"/>
  <c r="AH120"/>
  <c r="AI120" s="1"/>
  <c r="AD120"/>
  <c r="AE120" s="1"/>
  <c r="K120"/>
  <c r="D120"/>
  <c r="S120"/>
  <c r="Q120"/>
  <c r="M120"/>
  <c r="F120"/>
  <c r="AJ120"/>
  <c r="AK120" s="1"/>
  <c r="I120"/>
  <c r="E90"/>
  <c r="U90"/>
  <c r="I90"/>
  <c r="Q90"/>
  <c r="F90"/>
  <c r="S90"/>
  <c r="L90"/>
  <c r="H90"/>
  <c r="D90"/>
  <c r="R90"/>
  <c r="T90"/>
  <c r="C90"/>
  <c r="O90"/>
  <c r="AH90"/>
  <c r="N90"/>
  <c r="J90"/>
  <c r="M90"/>
  <c r="P90"/>
  <c r="AF90"/>
  <c r="AL90"/>
  <c r="AD90"/>
  <c r="K90"/>
  <c r="AJ90"/>
  <c r="D48"/>
  <c r="AH48"/>
  <c r="E48"/>
  <c r="R48"/>
  <c r="AL48"/>
  <c r="K48"/>
  <c r="C48"/>
  <c r="S48"/>
  <c r="O48"/>
  <c r="H48"/>
  <c r="AD48"/>
  <c r="Q48"/>
  <c r="AF48"/>
  <c r="J48"/>
  <c r="U48"/>
  <c r="N48"/>
  <c r="L48"/>
  <c r="T48"/>
  <c r="F48"/>
  <c r="M48"/>
  <c r="P48"/>
  <c r="I48"/>
  <c r="AJ48"/>
  <c r="E75"/>
  <c r="D75"/>
  <c r="J75"/>
  <c r="C75"/>
  <c r="R75"/>
  <c r="AL75"/>
  <c r="O75"/>
  <c r="H75"/>
  <c r="P75"/>
  <c r="K75"/>
  <c r="F75"/>
  <c r="L75"/>
  <c r="T75"/>
  <c r="AF75"/>
  <c r="U75"/>
  <c r="AD75"/>
  <c r="M75"/>
  <c r="Q75"/>
  <c r="I75"/>
  <c r="S75"/>
  <c r="N75"/>
  <c r="AH75"/>
  <c r="AJ75"/>
  <c r="N127" i="23"/>
  <c r="H119" i="27"/>
  <c r="AL119"/>
  <c r="AM119" s="1"/>
  <c r="AF119"/>
  <c r="AG119" s="1"/>
  <c r="AH119"/>
  <c r="AI119" s="1"/>
  <c r="E119"/>
  <c r="C119"/>
  <c r="L119"/>
  <c r="O119"/>
  <c r="N119"/>
  <c r="U119"/>
  <c r="K119"/>
  <c r="M119"/>
  <c r="S119"/>
  <c r="R119"/>
  <c r="F119"/>
  <c r="D119"/>
  <c r="T119"/>
  <c r="J119"/>
  <c r="AD119"/>
  <c r="P119"/>
  <c r="Q119"/>
  <c r="I119"/>
  <c r="AJ119"/>
  <c r="AK119" s="1"/>
  <c r="K53"/>
  <c r="M53"/>
  <c r="E53"/>
  <c r="D53"/>
  <c r="R53"/>
  <c r="T53"/>
  <c r="AF53"/>
  <c r="O53"/>
  <c r="N53"/>
  <c r="P53"/>
  <c r="Q53"/>
  <c r="U53"/>
  <c r="AH53"/>
  <c r="L53"/>
  <c r="H53"/>
  <c r="AL53"/>
  <c r="F53"/>
  <c r="J53"/>
  <c r="S53"/>
  <c r="AD53"/>
  <c r="I53"/>
  <c r="C53"/>
  <c r="AJ53"/>
  <c r="AL29"/>
  <c r="U29"/>
  <c r="O29"/>
  <c r="S29"/>
  <c r="E29"/>
  <c r="M29"/>
  <c r="K29"/>
  <c r="C29"/>
  <c r="N29"/>
  <c r="D29"/>
  <c r="AD29"/>
  <c r="R29"/>
  <c r="L29"/>
  <c r="F29"/>
  <c r="Q29"/>
  <c r="AF29"/>
  <c r="J29"/>
  <c r="P29"/>
  <c r="T29"/>
  <c r="AH29"/>
  <c r="H29"/>
  <c r="I29"/>
  <c r="AJ29"/>
  <c r="T100"/>
  <c r="J100"/>
  <c r="AH100"/>
  <c r="U100"/>
  <c r="R100"/>
  <c r="AD100"/>
  <c r="K100"/>
  <c r="L100"/>
  <c r="M100"/>
  <c r="H100"/>
  <c r="Q100"/>
  <c r="E100"/>
  <c r="O100"/>
  <c r="S100"/>
  <c r="P100"/>
  <c r="D100"/>
  <c r="N100"/>
  <c r="F100"/>
  <c r="C100"/>
  <c r="AL100"/>
  <c r="AF100"/>
  <c r="I100"/>
  <c r="AJ100"/>
  <c r="T59"/>
  <c r="E59"/>
  <c r="O59"/>
  <c r="M59"/>
  <c r="U59"/>
  <c r="AD59"/>
  <c r="AF59"/>
  <c r="K59"/>
  <c r="N59"/>
  <c r="AL59"/>
  <c r="Q59"/>
  <c r="J59"/>
  <c r="D59"/>
  <c r="R59"/>
  <c r="AH59"/>
  <c r="C59"/>
  <c r="L59"/>
  <c r="P59"/>
  <c r="S59"/>
  <c r="H59"/>
  <c r="F59"/>
  <c r="I59"/>
  <c r="AJ59"/>
  <c r="AF38"/>
  <c r="J38"/>
  <c r="T38"/>
  <c r="R38"/>
  <c r="AL38"/>
  <c r="E38"/>
  <c r="U38"/>
  <c r="M38"/>
  <c r="AD38"/>
  <c r="AH38"/>
  <c r="H38"/>
  <c r="K38"/>
  <c r="P38"/>
  <c r="D38"/>
  <c r="Q38"/>
  <c r="N38"/>
  <c r="S38"/>
  <c r="F38"/>
  <c r="C38"/>
  <c r="O38"/>
  <c r="L38"/>
  <c r="I38"/>
  <c r="AJ38"/>
  <c r="K31"/>
  <c r="Q31"/>
  <c r="C31"/>
  <c r="F31"/>
  <c r="R31"/>
  <c r="N31"/>
  <c r="J31"/>
  <c r="M31"/>
  <c r="AH31"/>
  <c r="P31"/>
  <c r="S31"/>
  <c r="H31"/>
  <c r="U31"/>
  <c r="E31"/>
  <c r="T31"/>
  <c r="D31"/>
  <c r="AF31"/>
  <c r="AD31"/>
  <c r="AL31"/>
  <c r="O31"/>
  <c r="L31"/>
  <c r="I31"/>
  <c r="AJ31"/>
  <c r="E10"/>
  <c r="K10"/>
  <c r="N10"/>
  <c r="O10"/>
  <c r="AF10"/>
  <c r="AD10"/>
  <c r="U10"/>
  <c r="R10"/>
  <c r="Q10"/>
  <c r="H10"/>
  <c r="S10"/>
  <c r="C10"/>
  <c r="AL10"/>
  <c r="T10"/>
  <c r="F10"/>
  <c r="L10"/>
  <c r="AH10"/>
  <c r="D10"/>
  <c r="M10"/>
  <c r="P10"/>
  <c r="J10"/>
  <c r="I10"/>
  <c r="AJ10"/>
  <c r="AH79"/>
  <c r="O79"/>
  <c r="D79"/>
  <c r="R79"/>
  <c r="L79"/>
  <c r="U79"/>
  <c r="AL79"/>
  <c r="Q79"/>
  <c r="H79"/>
  <c r="M79"/>
  <c r="F79"/>
  <c r="T79"/>
  <c r="K79"/>
  <c r="P79"/>
  <c r="C79"/>
  <c r="N79"/>
  <c r="AF79"/>
  <c r="AD79"/>
  <c r="E79"/>
  <c r="S79"/>
  <c r="J79"/>
  <c r="I79"/>
  <c r="AJ79"/>
  <c r="AF36"/>
  <c r="J36"/>
  <c r="K36"/>
  <c r="L36"/>
  <c r="U36"/>
  <c r="M36"/>
  <c r="H36"/>
  <c r="C36"/>
  <c r="F36"/>
  <c r="AH36"/>
  <c r="Q36"/>
  <c r="S36"/>
  <c r="E36"/>
  <c r="O36"/>
  <c r="D36"/>
  <c r="R36"/>
  <c r="T36"/>
  <c r="AD36"/>
  <c r="P36"/>
  <c r="AL36"/>
  <c r="N36"/>
  <c r="I36"/>
  <c r="AJ36"/>
  <c r="L54"/>
  <c r="R54"/>
  <c r="J54"/>
  <c r="AH54"/>
  <c r="P54"/>
  <c r="U54"/>
  <c r="Q54"/>
  <c r="H54"/>
  <c r="AF54"/>
  <c r="F54"/>
  <c r="S54"/>
  <c r="K54"/>
  <c r="C54"/>
  <c r="AD54"/>
  <c r="N54"/>
  <c r="O54"/>
  <c r="I54"/>
  <c r="AL54"/>
  <c r="E54"/>
  <c r="T54"/>
  <c r="M54"/>
  <c r="D54"/>
  <c r="AJ54"/>
  <c r="O9"/>
  <c r="H9"/>
  <c r="P9"/>
  <c r="F9"/>
  <c r="R9"/>
  <c r="K9"/>
  <c r="D9"/>
  <c r="AH9"/>
  <c r="S9"/>
  <c r="E9"/>
  <c r="M9"/>
  <c r="AL9"/>
  <c r="U9"/>
  <c r="C9"/>
  <c r="N9"/>
  <c r="AF9"/>
  <c r="L9"/>
  <c r="AD9"/>
  <c r="Q9"/>
  <c r="T9"/>
  <c r="J9"/>
  <c r="I9"/>
  <c r="AJ9"/>
  <c r="J98"/>
  <c r="D98"/>
  <c r="T98"/>
  <c r="AH98"/>
  <c r="AL98"/>
  <c r="L98"/>
  <c r="U98"/>
  <c r="S98"/>
  <c r="E98"/>
  <c r="R98"/>
  <c r="N98"/>
  <c r="O98"/>
  <c r="P98"/>
  <c r="Q98"/>
  <c r="K98"/>
  <c r="H98"/>
  <c r="AD98"/>
  <c r="F98"/>
  <c r="AF98"/>
  <c r="C98"/>
  <c r="M98"/>
  <c r="I98"/>
  <c r="AJ98"/>
  <c r="C44"/>
  <c r="F44"/>
  <c r="E44"/>
  <c r="N44"/>
  <c r="D44"/>
  <c r="T44"/>
  <c r="AF44"/>
  <c r="H44"/>
  <c r="L44"/>
  <c r="AL44"/>
  <c r="O44"/>
  <c r="K44"/>
  <c r="P44"/>
  <c r="S44"/>
  <c r="M44"/>
  <c r="U44"/>
  <c r="J44"/>
  <c r="AH44"/>
  <c r="AD44"/>
  <c r="R44"/>
  <c r="Q44"/>
  <c r="I44"/>
  <c r="AJ44"/>
  <c r="K86"/>
  <c r="R86"/>
  <c r="AH86"/>
  <c r="H86"/>
  <c r="J86"/>
  <c r="F86"/>
  <c r="T86"/>
  <c r="N86"/>
  <c r="D86"/>
  <c r="U86"/>
  <c r="Q86"/>
  <c r="AF86"/>
  <c r="AD86"/>
  <c r="AL86"/>
  <c r="O86"/>
  <c r="C86"/>
  <c r="S86"/>
  <c r="M86"/>
  <c r="E86"/>
  <c r="L86"/>
  <c r="P86"/>
  <c r="I86"/>
  <c r="AJ86"/>
  <c r="AH96"/>
  <c r="J96"/>
  <c r="E96"/>
  <c r="U96"/>
  <c r="H96"/>
  <c r="L96"/>
  <c r="C96"/>
  <c r="K96"/>
  <c r="F96"/>
  <c r="R96"/>
  <c r="N96"/>
  <c r="AF96"/>
  <c r="AD96"/>
  <c r="M96"/>
  <c r="P96"/>
  <c r="Q96"/>
  <c r="D96"/>
  <c r="S96"/>
  <c r="O96"/>
  <c r="AL96"/>
  <c r="T96"/>
  <c r="I96"/>
  <c r="AJ96"/>
  <c r="K33"/>
  <c r="J33"/>
  <c r="N33"/>
  <c r="D33"/>
  <c r="F33"/>
  <c r="AD33"/>
  <c r="U33"/>
  <c r="AF33"/>
  <c r="M33"/>
  <c r="L33"/>
  <c r="E33"/>
  <c r="O33"/>
  <c r="C33"/>
  <c r="H33"/>
  <c r="Q33"/>
  <c r="AH33"/>
  <c r="T33"/>
  <c r="AL33"/>
  <c r="S33"/>
  <c r="P33"/>
  <c r="R33"/>
  <c r="I33"/>
  <c r="AJ33"/>
  <c r="T57"/>
  <c r="Q57"/>
  <c r="M57"/>
  <c r="J57"/>
  <c r="O57"/>
  <c r="K57"/>
  <c r="L57"/>
  <c r="N57"/>
  <c r="AH57"/>
  <c r="S57"/>
  <c r="AD57"/>
  <c r="R57"/>
  <c r="U57"/>
  <c r="AF57"/>
  <c r="D57"/>
  <c r="AL57"/>
  <c r="E57"/>
  <c r="F57"/>
  <c r="P57"/>
  <c r="H57"/>
  <c r="C57"/>
  <c r="AJ57"/>
  <c r="I57"/>
  <c r="F49"/>
  <c r="AH49"/>
  <c r="AL49"/>
  <c r="H49"/>
  <c r="E49"/>
  <c r="AF49"/>
  <c r="D49"/>
  <c r="M49"/>
  <c r="R49"/>
  <c r="T49"/>
  <c r="O49"/>
  <c r="P49"/>
  <c r="C49"/>
  <c r="S49"/>
  <c r="J49"/>
  <c r="AD49"/>
  <c r="Q49"/>
  <c r="L49"/>
  <c r="N49"/>
  <c r="U49"/>
  <c r="K49"/>
  <c r="I49"/>
  <c r="AJ49"/>
  <c r="M91"/>
  <c r="Q91"/>
  <c r="D91"/>
  <c r="N91"/>
  <c r="AL91"/>
  <c r="F91"/>
  <c r="J91"/>
  <c r="H91"/>
  <c r="AF91"/>
  <c r="AH91"/>
  <c r="AD91"/>
  <c r="R91"/>
  <c r="L91"/>
  <c r="T91"/>
  <c r="E91"/>
  <c r="O91"/>
  <c r="U91"/>
  <c r="C91"/>
  <c r="P91"/>
  <c r="K91"/>
  <c r="S91"/>
  <c r="I91"/>
  <c r="AJ91"/>
  <c r="S73"/>
  <c r="U73"/>
  <c r="D73"/>
  <c r="N73"/>
  <c r="K73"/>
  <c r="L73"/>
  <c r="R73"/>
  <c r="AH73"/>
  <c r="AF73"/>
  <c r="M73"/>
  <c r="F73"/>
  <c r="T73"/>
  <c r="Q73"/>
  <c r="H73"/>
  <c r="O73"/>
  <c r="C73"/>
  <c r="P73"/>
  <c r="J73"/>
  <c r="E73"/>
  <c r="AD73"/>
  <c r="AL73"/>
  <c r="I73"/>
  <c r="AJ73"/>
  <c r="N92"/>
  <c r="F92"/>
  <c r="P92"/>
  <c r="L92"/>
  <c r="AH92"/>
  <c r="R92"/>
  <c r="Q92"/>
  <c r="AD92"/>
  <c r="S92"/>
  <c r="K92"/>
  <c r="D92"/>
  <c r="O92"/>
  <c r="J92"/>
  <c r="AF92"/>
  <c r="E92"/>
  <c r="M92"/>
  <c r="H92"/>
  <c r="C92"/>
  <c r="T92"/>
  <c r="U92"/>
  <c r="AL92"/>
  <c r="I92"/>
  <c r="AJ92"/>
  <c r="AH118"/>
  <c r="AI118" s="1"/>
  <c r="F118"/>
  <c r="AL118"/>
  <c r="AM118" s="1"/>
  <c r="T118"/>
  <c r="N118"/>
  <c r="U118"/>
  <c r="J118"/>
  <c r="P118"/>
  <c r="O118"/>
  <c r="S118"/>
  <c r="D118"/>
  <c r="C118"/>
  <c r="R118"/>
  <c r="AD118"/>
  <c r="AE118" s="1"/>
  <c r="L118"/>
  <c r="M118"/>
  <c r="Q118"/>
  <c r="H118"/>
  <c r="E118"/>
  <c r="K118"/>
  <c r="AF118"/>
  <c r="I118"/>
  <c r="AJ118"/>
  <c r="AK118" s="1"/>
  <c r="L19"/>
  <c r="AH19"/>
  <c r="H19"/>
  <c r="K19"/>
  <c r="T19"/>
  <c r="AL19"/>
  <c r="R19"/>
  <c r="M19"/>
  <c r="S19"/>
  <c r="J19"/>
  <c r="AD19"/>
  <c r="F19"/>
  <c r="Q19"/>
  <c r="O19"/>
  <c r="D19"/>
  <c r="I19"/>
  <c r="N19"/>
  <c r="P19"/>
  <c r="C19"/>
  <c r="U19"/>
  <c r="AF19"/>
  <c r="E19"/>
  <c r="AJ19"/>
  <c r="AH40"/>
  <c r="N40"/>
  <c r="E40"/>
  <c r="M40"/>
  <c r="K40"/>
  <c r="J40"/>
  <c r="AL40"/>
  <c r="O40"/>
  <c r="T40"/>
  <c r="L40"/>
  <c r="D40"/>
  <c r="H40"/>
  <c r="AD40"/>
  <c r="AF40"/>
  <c r="Q40"/>
  <c r="C40"/>
  <c r="U40"/>
  <c r="R40"/>
  <c r="F40"/>
  <c r="P40"/>
  <c r="S40"/>
  <c r="I40"/>
  <c r="AJ40"/>
  <c r="J70"/>
  <c r="P70"/>
  <c r="AF70"/>
  <c r="F70"/>
  <c r="K70"/>
  <c r="AD70"/>
  <c r="U70"/>
  <c r="C70"/>
  <c r="Q70"/>
  <c r="M70"/>
  <c r="AH70"/>
  <c r="S70"/>
  <c r="T70"/>
  <c r="E70"/>
  <c r="N70"/>
  <c r="L70"/>
  <c r="D70"/>
  <c r="H70"/>
  <c r="AL70"/>
  <c r="R70"/>
  <c r="O70"/>
  <c r="I70"/>
  <c r="AJ70"/>
  <c r="C24"/>
  <c r="K24"/>
  <c r="I24"/>
  <c r="M24"/>
  <c r="R24"/>
  <c r="AH24"/>
  <c r="S24"/>
  <c r="AF24"/>
  <c r="U24"/>
  <c r="O24"/>
  <c r="AL24"/>
  <c r="N24"/>
  <c r="H24"/>
  <c r="J24"/>
  <c r="AD24"/>
  <c r="F24"/>
  <c r="D24"/>
  <c r="T24"/>
  <c r="Q24"/>
  <c r="P24"/>
  <c r="L24"/>
  <c r="E24"/>
  <c r="AJ24"/>
  <c r="Q8"/>
  <c r="M8"/>
  <c r="H8"/>
  <c r="R8"/>
  <c r="AD8"/>
  <c r="AH8"/>
  <c r="L8"/>
  <c r="D8"/>
  <c r="S8"/>
  <c r="E8"/>
  <c r="AL8"/>
  <c r="T8"/>
  <c r="K8"/>
  <c r="C8"/>
  <c r="N8"/>
  <c r="P8"/>
  <c r="AF8"/>
  <c r="O8"/>
  <c r="F8"/>
  <c r="J8"/>
  <c r="U8"/>
  <c r="I8"/>
  <c r="AJ8"/>
  <c r="K74"/>
  <c r="P74"/>
  <c r="T74"/>
  <c r="H74"/>
  <c r="R74"/>
  <c r="L74"/>
  <c r="N74"/>
  <c r="D74"/>
  <c r="C74"/>
  <c r="U74"/>
  <c r="Q74"/>
  <c r="E74"/>
  <c r="AD74"/>
  <c r="S74"/>
  <c r="F74"/>
  <c r="O74"/>
  <c r="AL74"/>
  <c r="M74"/>
  <c r="AH74"/>
  <c r="J74"/>
  <c r="AF74"/>
  <c r="I74"/>
  <c r="AJ74"/>
  <c r="H122"/>
  <c r="T122"/>
  <c r="N122"/>
  <c r="AF122"/>
  <c r="C122"/>
  <c r="P122"/>
  <c r="M122"/>
  <c r="AL122"/>
  <c r="AM122" s="1"/>
  <c r="R122"/>
  <c r="E122"/>
  <c r="U122"/>
  <c r="K122"/>
  <c r="AD122"/>
  <c r="AE122" s="1"/>
  <c r="D122"/>
  <c r="O122"/>
  <c r="Q122"/>
  <c r="J122"/>
  <c r="S122"/>
  <c r="F122"/>
  <c r="AH122"/>
  <c r="AI122" s="1"/>
  <c r="L122"/>
  <c r="I122"/>
  <c r="AJ122"/>
  <c r="AK122" s="1"/>
  <c r="L22"/>
  <c r="H22"/>
  <c r="K22"/>
  <c r="AH22"/>
  <c r="C22"/>
  <c r="AD22"/>
  <c r="O22"/>
  <c r="AF22"/>
  <c r="P22"/>
  <c r="T22"/>
  <c r="N22"/>
  <c r="J22"/>
  <c r="S22"/>
  <c r="AL22"/>
  <c r="E22"/>
  <c r="D22"/>
  <c r="Q22"/>
  <c r="M22"/>
  <c r="R22"/>
  <c r="U22"/>
  <c r="F22"/>
  <c r="I22"/>
  <c r="AJ22"/>
  <c r="U61"/>
  <c r="H61"/>
  <c r="AL61"/>
  <c r="P61"/>
  <c r="L61"/>
  <c r="E61"/>
  <c r="N61"/>
  <c r="T61"/>
  <c r="S61"/>
  <c r="AH61"/>
  <c r="F61"/>
  <c r="M61"/>
  <c r="J61"/>
  <c r="R61"/>
  <c r="K61"/>
  <c r="O61"/>
  <c r="C61"/>
  <c r="AD61"/>
  <c r="D61"/>
  <c r="Q61"/>
  <c r="AF61"/>
  <c r="I61"/>
  <c r="AJ61"/>
  <c r="V12"/>
  <c r="P119" i="23"/>
  <c r="O127"/>
  <c r="V18" i="27" l="1"/>
  <c r="V26"/>
  <c r="V87"/>
  <c r="V47"/>
  <c r="V76"/>
  <c r="V88"/>
  <c r="V66"/>
  <c r="V14"/>
  <c r="V80"/>
  <c r="V67"/>
  <c r="V64"/>
  <c r="V95"/>
  <c r="V104"/>
  <c r="V51"/>
  <c r="V101"/>
  <c r="V106"/>
  <c r="V97"/>
  <c r="V32"/>
  <c r="V60"/>
  <c r="V25"/>
  <c r="V15"/>
  <c r="V46"/>
  <c r="V81"/>
  <c r="V21"/>
  <c r="V58"/>
  <c r="V68"/>
  <c r="V45"/>
  <c r="V35"/>
  <c r="V102"/>
  <c r="V94"/>
  <c r="V65"/>
  <c r="V105"/>
  <c r="V41"/>
  <c r="V78"/>
  <c r="V99"/>
  <c r="V83"/>
  <c r="V89"/>
  <c r="V108"/>
  <c r="V93"/>
  <c r="V39"/>
  <c r="V107"/>
  <c r="V84"/>
  <c r="V43"/>
  <c r="V77"/>
  <c r="V69"/>
  <c r="V42"/>
  <c r="F129"/>
  <c r="O111"/>
  <c r="O128" s="1"/>
  <c r="R129"/>
  <c r="C111"/>
  <c r="V8"/>
  <c r="V24"/>
  <c r="V70"/>
  <c r="V92"/>
  <c r="V33"/>
  <c r="V9"/>
  <c r="I129"/>
  <c r="AD129"/>
  <c r="C129"/>
  <c r="V10"/>
  <c r="V100"/>
  <c r="AE119"/>
  <c r="V11"/>
  <c r="V55"/>
  <c r="V20"/>
  <c r="V22"/>
  <c r="V122"/>
  <c r="AJ111"/>
  <c r="AL111"/>
  <c r="H111"/>
  <c r="V86"/>
  <c r="V29"/>
  <c r="V120"/>
  <c r="V85"/>
  <c r="V17"/>
  <c r="V23"/>
  <c r="V27"/>
  <c r="J111"/>
  <c r="D111"/>
  <c r="AG118"/>
  <c r="V91"/>
  <c r="V49"/>
  <c r="V44"/>
  <c r="AF129"/>
  <c r="AL129"/>
  <c r="AH129"/>
  <c r="V54"/>
  <c r="V36"/>
  <c r="V79"/>
  <c r="V38"/>
  <c r="V53"/>
  <c r="V63"/>
  <c r="V52"/>
  <c r="V82"/>
  <c r="V30"/>
  <c r="V16"/>
  <c r="AG121"/>
  <c r="AH111"/>
  <c r="K129"/>
  <c r="M111"/>
  <c r="P111"/>
  <c r="F111"/>
  <c r="N129"/>
  <c r="P129"/>
  <c r="T111"/>
  <c r="R111"/>
  <c r="T129"/>
  <c r="S117"/>
  <c r="H117"/>
  <c r="N117"/>
  <c r="T117"/>
  <c r="Q117"/>
  <c r="AD117"/>
  <c r="AE117" s="1"/>
  <c r="O117"/>
  <c r="D117"/>
  <c r="AL117"/>
  <c r="AM117" s="1"/>
  <c r="F117"/>
  <c r="P117"/>
  <c r="C117"/>
  <c r="J117"/>
  <c r="K117"/>
  <c r="AH117"/>
  <c r="AI117" s="1"/>
  <c r="U117"/>
  <c r="E117"/>
  <c r="AF117"/>
  <c r="AG117" s="1"/>
  <c r="I117"/>
  <c r="L117"/>
  <c r="M117"/>
  <c r="R117"/>
  <c r="P127" i="23"/>
  <c r="AJ117" i="27"/>
  <c r="AK117" s="1"/>
  <c r="V61"/>
  <c r="AG122"/>
  <c r="I111"/>
  <c r="V19"/>
  <c r="H129"/>
  <c r="AG120"/>
  <c r="V71"/>
  <c r="V56"/>
  <c r="V121"/>
  <c r="V57"/>
  <c r="AJ129"/>
  <c r="Q129"/>
  <c r="D129"/>
  <c r="V31"/>
  <c r="V59"/>
  <c r="V90"/>
  <c r="V50"/>
  <c r="V72"/>
  <c r="V74"/>
  <c r="AF111"/>
  <c r="AD111"/>
  <c r="Q111"/>
  <c r="V40"/>
  <c r="V118"/>
  <c r="V73"/>
  <c r="V96"/>
  <c r="V98"/>
  <c r="J129"/>
  <c r="V119"/>
  <c r="V75"/>
  <c r="V48"/>
  <c r="V34"/>
  <c r="V103"/>
  <c r="V37"/>
  <c r="V62"/>
  <c r="V28"/>
  <c r="V13"/>
  <c r="E111"/>
  <c r="AK49"/>
  <c r="E129"/>
  <c r="N111"/>
  <c r="L111"/>
  <c r="M129"/>
  <c r="U111"/>
  <c r="K111"/>
  <c r="S111"/>
  <c r="L129"/>
  <c r="U129"/>
  <c r="S129"/>
  <c r="O129"/>
  <c r="AM61" l="1"/>
  <c r="AM48"/>
  <c r="AG37"/>
  <c r="AI56"/>
  <c r="AG70"/>
  <c r="AM63"/>
  <c r="AG13"/>
  <c r="AG16"/>
  <c r="AE44"/>
  <c r="AI96"/>
  <c r="AG62"/>
  <c r="AE57"/>
  <c r="AK19"/>
  <c r="AI17"/>
  <c r="AG57"/>
  <c r="AI74"/>
  <c r="AK9"/>
  <c r="AG100"/>
  <c r="AE19"/>
  <c r="AI75"/>
  <c r="AG56"/>
  <c r="AG44"/>
  <c r="AK52"/>
  <c r="AG55"/>
  <c r="AG85"/>
  <c r="AG49"/>
  <c r="AG24"/>
  <c r="AG27"/>
  <c r="AG75"/>
  <c r="AI36"/>
  <c r="AG73"/>
  <c r="AK34"/>
  <c r="AI54"/>
  <c r="AK57"/>
  <c r="AI29"/>
  <c r="AI57"/>
  <c r="AK82"/>
  <c r="AI62"/>
  <c r="AK53"/>
  <c r="AK10"/>
  <c r="AI33"/>
  <c r="AI92"/>
  <c r="AI70"/>
  <c r="AI52"/>
  <c r="AK100"/>
  <c r="AK50"/>
  <c r="AI59"/>
  <c r="AG98"/>
  <c r="AI40"/>
  <c r="AG59"/>
  <c r="O124"/>
  <c r="AI22"/>
  <c r="AI63"/>
  <c r="AI79"/>
  <c r="AK48"/>
  <c r="AK38"/>
  <c r="AK96"/>
  <c r="AK91"/>
  <c r="AK55"/>
  <c r="AI103"/>
  <c r="AI53"/>
  <c r="AI24"/>
  <c r="AK28"/>
  <c r="AI34"/>
  <c r="AK8"/>
  <c r="AI11"/>
  <c r="AK79"/>
  <c r="AK24"/>
  <c r="AK62"/>
  <c r="AK92"/>
  <c r="AG23"/>
  <c r="AI38"/>
  <c r="AI19"/>
  <c r="AK20"/>
  <c r="AK74"/>
  <c r="AI28"/>
  <c r="AK75"/>
  <c r="AK33"/>
  <c r="AK13"/>
  <c r="AI37"/>
  <c r="AE100"/>
  <c r="AE56"/>
  <c r="AE52"/>
  <c r="S124"/>
  <c r="S128"/>
  <c r="S130" s="1"/>
  <c r="Y119"/>
  <c r="Y92" s="1"/>
  <c r="AE24"/>
  <c r="AD128"/>
  <c r="AD130" s="1"/>
  <c r="AD124"/>
  <c r="AE68"/>
  <c r="AE58"/>
  <c r="AE47"/>
  <c r="AE39"/>
  <c r="AE81"/>
  <c r="AE108"/>
  <c r="AE99"/>
  <c r="AE84"/>
  <c r="AE15"/>
  <c r="AE83"/>
  <c r="AE105"/>
  <c r="AE43"/>
  <c r="AE12"/>
  <c r="AE80"/>
  <c r="AE42"/>
  <c r="AE89"/>
  <c r="AE18"/>
  <c r="AE102"/>
  <c r="AE21"/>
  <c r="AE97"/>
  <c r="AE107"/>
  <c r="AE26"/>
  <c r="AE25"/>
  <c r="AE35"/>
  <c r="AE78"/>
  <c r="AE87"/>
  <c r="AE14"/>
  <c r="AE77"/>
  <c r="AE67"/>
  <c r="AE93"/>
  <c r="AE95"/>
  <c r="AE32"/>
  <c r="AE76"/>
  <c r="AE46"/>
  <c r="AE41"/>
  <c r="AE65"/>
  <c r="AE69"/>
  <c r="AE66"/>
  <c r="AE94"/>
  <c r="AE88"/>
  <c r="AE64"/>
  <c r="AE60"/>
  <c r="AE45"/>
  <c r="AE106"/>
  <c r="AE51"/>
  <c r="AE104"/>
  <c r="AE101"/>
  <c r="N124"/>
  <c r="N128"/>
  <c r="N130" s="1"/>
  <c r="M128"/>
  <c r="M130" s="1"/>
  <c r="M124"/>
  <c r="AI8"/>
  <c r="AH124"/>
  <c r="AH128"/>
  <c r="AH130" s="1"/>
  <c r="AK87"/>
  <c r="AI83"/>
  <c r="AI102"/>
  <c r="AI88"/>
  <c r="AI51"/>
  <c r="AI107"/>
  <c r="AI69"/>
  <c r="AK105"/>
  <c r="AI78"/>
  <c r="AK46"/>
  <c r="AI64"/>
  <c r="AK89"/>
  <c r="AK18"/>
  <c r="AI99"/>
  <c r="AK84"/>
  <c r="AK41"/>
  <c r="AK51"/>
  <c r="AI60"/>
  <c r="AK65"/>
  <c r="AI21"/>
  <c r="AK58"/>
  <c r="AK95"/>
  <c r="AI101"/>
  <c r="AI58"/>
  <c r="AK104"/>
  <c r="AI84"/>
  <c r="AI97"/>
  <c r="AK45"/>
  <c r="AK106"/>
  <c r="AI77"/>
  <c r="AK101"/>
  <c r="AK107"/>
  <c r="AI68"/>
  <c r="AI104"/>
  <c r="AI67"/>
  <c r="AI45"/>
  <c r="AK64"/>
  <c r="AK25"/>
  <c r="AI94"/>
  <c r="AI76"/>
  <c r="AI14"/>
  <c r="AI26"/>
  <c r="AK81"/>
  <c r="AI42"/>
  <c r="AK83"/>
  <c r="AI66"/>
  <c r="AK14"/>
  <c r="AK93"/>
  <c r="AI39"/>
  <c r="AI46"/>
  <c r="AI87"/>
  <c r="AI35"/>
  <c r="AK43"/>
  <c r="AI47"/>
  <c r="AK26"/>
  <c r="AK35"/>
  <c r="AK12"/>
  <c r="AK68"/>
  <c r="AI43"/>
  <c r="AK88"/>
  <c r="AK76"/>
  <c r="AI80"/>
  <c r="AK78"/>
  <c r="AI106"/>
  <c r="AK80"/>
  <c r="AK15"/>
  <c r="AK77"/>
  <c r="AK102"/>
  <c r="AI95"/>
  <c r="AK47"/>
  <c r="AI81"/>
  <c r="AK21"/>
  <c r="AK69"/>
  <c r="AI105"/>
  <c r="AI32"/>
  <c r="AK42"/>
  <c r="AI18"/>
  <c r="AI108"/>
  <c r="AK99"/>
  <c r="AK108"/>
  <c r="AI12"/>
  <c r="AI89"/>
  <c r="AI25"/>
  <c r="AI41"/>
  <c r="AK97"/>
  <c r="AK60"/>
  <c r="AI15"/>
  <c r="AI93"/>
  <c r="AK94"/>
  <c r="AK39"/>
  <c r="AK67"/>
  <c r="AI65"/>
  <c r="AK66"/>
  <c r="AK32"/>
  <c r="V129"/>
  <c r="U124"/>
  <c r="U128"/>
  <c r="U130" s="1"/>
  <c r="L128"/>
  <c r="L130" s="1"/>
  <c r="L124"/>
  <c r="X118"/>
  <c r="X47" s="1"/>
  <c r="Q128"/>
  <c r="Q130" s="1"/>
  <c r="Q124"/>
  <c r="AF128"/>
  <c r="AF130" s="1"/>
  <c r="AF124"/>
  <c r="AG26"/>
  <c r="AG68"/>
  <c r="AG47"/>
  <c r="AG88"/>
  <c r="AG77"/>
  <c r="AG25"/>
  <c r="AG81"/>
  <c r="AG69"/>
  <c r="AG39"/>
  <c r="AG78"/>
  <c r="AG89"/>
  <c r="AG32"/>
  <c r="AG102"/>
  <c r="AG21"/>
  <c r="AG105"/>
  <c r="AG42"/>
  <c r="AG93"/>
  <c r="AG43"/>
  <c r="AG84"/>
  <c r="AG104"/>
  <c r="AG97"/>
  <c r="AG45"/>
  <c r="AG107"/>
  <c r="AG99"/>
  <c r="AG106"/>
  <c r="AG67"/>
  <c r="AG12"/>
  <c r="AG14"/>
  <c r="AG94"/>
  <c r="AG15"/>
  <c r="AG58"/>
  <c r="AG64"/>
  <c r="AG18"/>
  <c r="AG66"/>
  <c r="AG83"/>
  <c r="AG101"/>
  <c r="AG87"/>
  <c r="AG51"/>
  <c r="AG46"/>
  <c r="AG80"/>
  <c r="AG76"/>
  <c r="AG108"/>
  <c r="AG41"/>
  <c r="AG95"/>
  <c r="AG65"/>
  <c r="AG35"/>
  <c r="AG60"/>
  <c r="V117"/>
  <c r="T128"/>
  <c r="T130" s="1"/>
  <c r="T124"/>
  <c r="D128"/>
  <c r="D130" s="1"/>
  <c r="D124"/>
  <c r="Z120"/>
  <c r="Z45" s="1"/>
  <c r="AM105"/>
  <c r="AL128"/>
  <c r="AL130" s="1"/>
  <c r="AL124"/>
  <c r="AM69"/>
  <c r="AM25"/>
  <c r="AM80"/>
  <c r="AM15"/>
  <c r="AM65"/>
  <c r="AM87"/>
  <c r="AM104"/>
  <c r="AM35"/>
  <c r="AM107"/>
  <c r="AM66"/>
  <c r="AM78"/>
  <c r="AM51"/>
  <c r="AM83"/>
  <c r="AM88"/>
  <c r="AM106"/>
  <c r="AM46"/>
  <c r="AM101"/>
  <c r="AM97"/>
  <c r="AM21"/>
  <c r="AM60"/>
  <c r="AM102"/>
  <c r="AM81"/>
  <c r="AM76"/>
  <c r="AM18"/>
  <c r="AM58"/>
  <c r="AM77"/>
  <c r="AM42"/>
  <c r="AM68"/>
  <c r="AM94"/>
  <c r="AM99"/>
  <c r="AM39"/>
  <c r="AM45"/>
  <c r="AM108"/>
  <c r="AM64"/>
  <c r="AM47"/>
  <c r="AM89"/>
  <c r="AM43"/>
  <c r="AM32"/>
  <c r="AM14"/>
  <c r="AM67"/>
  <c r="AM84"/>
  <c r="AM95"/>
  <c r="AM41"/>
  <c r="AM26"/>
  <c r="AM93"/>
  <c r="AM12"/>
  <c r="AB122"/>
  <c r="AB83" s="1"/>
  <c r="C124"/>
  <c r="C128"/>
  <c r="C130" s="1"/>
  <c r="AM16"/>
  <c r="AM82"/>
  <c r="AE63"/>
  <c r="AM100"/>
  <c r="AM31"/>
  <c r="AM44"/>
  <c r="AM19"/>
  <c r="AM90"/>
  <c r="AM20"/>
  <c r="AE61"/>
  <c r="AM13"/>
  <c r="AE103"/>
  <c r="AM54"/>
  <c r="AE91"/>
  <c r="AE55"/>
  <c r="AM62"/>
  <c r="AE8"/>
  <c r="AE16"/>
  <c r="AM27"/>
  <c r="AG63"/>
  <c r="AE62"/>
  <c r="AE96"/>
  <c r="AM103"/>
  <c r="AM53"/>
  <c r="AI61"/>
  <c r="AI9"/>
  <c r="AG82"/>
  <c r="AE28"/>
  <c r="AE23"/>
  <c r="AM37"/>
  <c r="AM86"/>
  <c r="AI49"/>
  <c r="AG61"/>
  <c r="AM75"/>
  <c r="AI100"/>
  <c r="AG86"/>
  <c r="AK30"/>
  <c r="AG71"/>
  <c r="AK37"/>
  <c r="AK103"/>
  <c r="AM29"/>
  <c r="AG79"/>
  <c r="AK86"/>
  <c r="AG92"/>
  <c r="AI30"/>
  <c r="AE27"/>
  <c r="AI55"/>
  <c r="AM52"/>
  <c r="AK23"/>
  <c r="AK72"/>
  <c r="AE50"/>
  <c r="AM17"/>
  <c r="AE34"/>
  <c r="AK85"/>
  <c r="AI48"/>
  <c r="AK29"/>
  <c r="AE10"/>
  <c r="AG54"/>
  <c r="AM98"/>
  <c r="AM57"/>
  <c r="AI91"/>
  <c r="AE92"/>
  <c r="AM40"/>
  <c r="AE70"/>
  <c r="AM24"/>
  <c r="AG74"/>
  <c r="AE20"/>
  <c r="AI82"/>
  <c r="AM23"/>
  <c r="AM10"/>
  <c r="AK36"/>
  <c r="AE22"/>
  <c r="AG30"/>
  <c r="AG72"/>
  <c r="AK90"/>
  <c r="AI31"/>
  <c r="AM96"/>
  <c r="AA121"/>
  <c r="AA92" s="1"/>
  <c r="I124"/>
  <c r="I128"/>
  <c r="I130" s="1"/>
  <c r="P124"/>
  <c r="P128"/>
  <c r="P130" s="1"/>
  <c r="J124"/>
  <c r="J128"/>
  <c r="J130" s="1"/>
  <c r="H124"/>
  <c r="H128"/>
  <c r="H130" s="1"/>
  <c r="G133" s="1"/>
  <c r="AJ124"/>
  <c r="AJ128"/>
  <c r="K128"/>
  <c r="K130" s="1"/>
  <c r="K124"/>
  <c r="E124"/>
  <c r="E128"/>
  <c r="E130" s="1"/>
  <c r="R124"/>
  <c r="R128"/>
  <c r="R130" s="1"/>
  <c r="F128"/>
  <c r="F130" s="1"/>
  <c r="F124"/>
  <c r="V111"/>
  <c r="AM30"/>
  <c r="AM85"/>
  <c r="AE29"/>
  <c r="AE86"/>
  <c r="AE74"/>
  <c r="AE31"/>
  <c r="AE49"/>
  <c r="AE40"/>
  <c r="AE72"/>
  <c r="AE79"/>
  <c r="AJ130"/>
  <c r="AM79"/>
  <c r="AE98"/>
  <c r="AM11"/>
  <c r="AM38"/>
  <c r="AG19"/>
  <c r="AM22"/>
  <c r="AE30"/>
  <c r="AE85"/>
  <c r="AG31"/>
  <c r="AK54"/>
  <c r="AI86"/>
  <c r="AG9"/>
  <c r="AE9"/>
  <c r="AE13"/>
  <c r="AK16"/>
  <c r="AG52"/>
  <c r="AM56"/>
  <c r="AG50"/>
  <c r="AK63"/>
  <c r="AK17"/>
  <c r="AM34"/>
  <c r="AI85"/>
  <c r="AE48"/>
  <c r="AG29"/>
  <c r="AM59"/>
  <c r="AE54"/>
  <c r="AG33"/>
  <c r="AE73"/>
  <c r="AM92"/>
  <c r="AK70"/>
  <c r="AM55"/>
  <c r="AG11"/>
  <c r="AK71"/>
  <c r="AG34"/>
  <c r="AE38"/>
  <c r="AI10"/>
  <c r="AG20"/>
  <c r="AI23"/>
  <c r="AI71"/>
  <c r="AE17"/>
  <c r="AI90"/>
  <c r="AE75"/>
  <c r="AG53"/>
  <c r="AE59"/>
  <c r="AG36"/>
  <c r="O130"/>
  <c r="AK44"/>
  <c r="AI73"/>
  <c r="AM70"/>
  <c r="AG22"/>
  <c r="AI27"/>
  <c r="AG28"/>
  <c r="AK56"/>
  <c r="AM71"/>
  <c r="AG48"/>
  <c r="AG38"/>
  <c r="AG10"/>
  <c r="AI98"/>
  <c r="AE33"/>
  <c r="AG91"/>
  <c r="AG40"/>
  <c r="AK61"/>
  <c r="AM50"/>
  <c r="AE37"/>
  <c r="AG90"/>
  <c r="AE53"/>
  <c r="AE36"/>
  <c r="AM49"/>
  <c r="AM73"/>
  <c r="AG8"/>
  <c r="AI20"/>
  <c r="AI13"/>
  <c r="AK27"/>
  <c r="AM28"/>
  <c r="AE11"/>
  <c r="AM72"/>
  <c r="AE71"/>
  <c r="AG103"/>
  <c r="AE90"/>
  <c r="AK31"/>
  <c r="AM36"/>
  <c r="AI44"/>
  <c r="AK73"/>
  <c r="AK40"/>
  <c r="AM74"/>
  <c r="AK22"/>
  <c r="AI16"/>
  <c r="AE82"/>
  <c r="AK11"/>
  <c r="AM33"/>
  <c r="AM91"/>
  <c r="AI72"/>
  <c r="AI50"/>
  <c r="AG17"/>
  <c r="AK59"/>
  <c r="AK98"/>
  <c r="AG96"/>
  <c r="AM9"/>
  <c r="AM8"/>
  <c r="Y40" l="1"/>
  <c r="Y15"/>
  <c r="Y22"/>
  <c r="Y91"/>
  <c r="Y79"/>
  <c r="Y54"/>
  <c r="AB49"/>
  <c r="Y100"/>
  <c r="Y27"/>
  <c r="Y47"/>
  <c r="Y56"/>
  <c r="X67"/>
  <c r="Y57"/>
  <c r="Y48"/>
  <c r="Y46"/>
  <c r="Y23"/>
  <c r="Y21"/>
  <c r="Z25"/>
  <c r="Y38"/>
  <c r="Z107"/>
  <c r="AB75"/>
  <c r="X25"/>
  <c r="AB53"/>
  <c r="AB23"/>
  <c r="AA67"/>
  <c r="Z47"/>
  <c r="X41"/>
  <c r="AA8"/>
  <c r="AA101"/>
  <c r="AB48"/>
  <c r="AB27"/>
  <c r="AB8"/>
  <c r="AA31"/>
  <c r="Y87"/>
  <c r="AA69"/>
  <c r="AB57"/>
  <c r="Y44"/>
  <c r="Y72"/>
  <c r="Y69"/>
  <c r="Y45"/>
  <c r="Y64"/>
  <c r="Y29"/>
  <c r="Y61"/>
  <c r="Z106"/>
  <c r="X30"/>
  <c r="Y103"/>
  <c r="Y96"/>
  <c r="T133"/>
  <c r="Y17"/>
  <c r="Y85"/>
  <c r="AA70"/>
  <c r="Y77"/>
  <c r="Y43"/>
  <c r="Y41"/>
  <c r="Y106"/>
  <c r="Y66"/>
  <c r="Y67"/>
  <c r="AA84"/>
  <c r="X19"/>
  <c r="Y86"/>
  <c r="AB59"/>
  <c r="Y8"/>
  <c r="Y33"/>
  <c r="Z102"/>
  <c r="Z14"/>
  <c r="Z15"/>
  <c r="AB26"/>
  <c r="X43"/>
  <c r="Y30"/>
  <c r="Y99"/>
  <c r="Y32"/>
  <c r="Y60"/>
  <c r="Y55"/>
  <c r="Z26"/>
  <c r="Z88"/>
  <c r="D133"/>
  <c r="Y74"/>
  <c r="AA91"/>
  <c r="Y11"/>
  <c r="Y18"/>
  <c r="Y58"/>
  <c r="Y97"/>
  <c r="Y105"/>
  <c r="Y35"/>
  <c r="Y25"/>
  <c r="AA64"/>
  <c r="X54"/>
  <c r="Y71"/>
  <c r="Y36"/>
  <c r="Z69"/>
  <c r="Z108"/>
  <c r="Z95"/>
  <c r="X69"/>
  <c r="AB81"/>
  <c r="Y20"/>
  <c r="Y19"/>
  <c r="AB38"/>
  <c r="Y50"/>
  <c r="U133"/>
  <c r="Y9"/>
  <c r="Y24"/>
  <c r="Y37"/>
  <c r="Y28"/>
  <c r="Y70"/>
  <c r="AA86"/>
  <c r="Y108"/>
  <c r="Y101"/>
  <c r="Y39"/>
  <c r="Y81"/>
  <c r="Y94"/>
  <c r="Y76"/>
  <c r="Y95"/>
  <c r="Y107"/>
  <c r="Y78"/>
  <c r="Y93"/>
  <c r="Y102"/>
  <c r="Y83"/>
  <c r="AA81"/>
  <c r="AA65"/>
  <c r="Y49"/>
  <c r="Y53"/>
  <c r="Y34"/>
  <c r="AB104"/>
  <c r="X104"/>
  <c r="O133"/>
  <c r="AB99"/>
  <c r="AA11"/>
  <c r="AA30"/>
  <c r="AA36"/>
  <c r="Y52"/>
  <c r="Y98"/>
  <c r="L133"/>
  <c r="AA34"/>
  <c r="Y16"/>
  <c r="Y31"/>
  <c r="Y82"/>
  <c r="AA73"/>
  <c r="M133"/>
  <c r="Y68"/>
  <c r="Y104"/>
  <c r="Y12"/>
  <c r="Y14"/>
  <c r="Y42"/>
  <c r="Y65"/>
  <c r="Y89"/>
  <c r="Y80"/>
  <c r="Y88"/>
  <c r="Y84"/>
  <c r="Y26"/>
  <c r="Y51"/>
  <c r="AA12"/>
  <c r="AA94"/>
  <c r="Y73"/>
  <c r="Y59"/>
  <c r="AB79"/>
  <c r="Y75"/>
  <c r="Y13"/>
  <c r="Y10"/>
  <c r="Y90"/>
  <c r="Y62"/>
  <c r="AC122"/>
  <c r="AN122" s="1"/>
  <c r="AO122" s="1"/>
  <c r="AB64"/>
  <c r="AB76"/>
  <c r="AA82"/>
  <c r="AA9"/>
  <c r="AA20"/>
  <c r="AA44"/>
  <c r="X103"/>
  <c r="AA24"/>
  <c r="AA48"/>
  <c r="AA16"/>
  <c r="AA19"/>
  <c r="AA72"/>
  <c r="AA63"/>
  <c r="AA75"/>
  <c r="AA33"/>
  <c r="AA37"/>
  <c r="AA88"/>
  <c r="AA83"/>
  <c r="AA66"/>
  <c r="AA14"/>
  <c r="AA77"/>
  <c r="AA102"/>
  <c r="AA26"/>
  <c r="AA97"/>
  <c r="AK129"/>
  <c r="F133"/>
  <c r="Z58"/>
  <c r="Z39"/>
  <c r="Z89"/>
  <c r="Z101"/>
  <c r="Z81"/>
  <c r="Z64"/>
  <c r="Z41"/>
  <c r="Z35"/>
  <c r="Z97"/>
  <c r="Z93"/>
  <c r="Z66"/>
  <c r="Z77"/>
  <c r="AB39"/>
  <c r="AB68"/>
  <c r="AB58"/>
  <c r="AB21"/>
  <c r="AB89"/>
  <c r="AB47"/>
  <c r="X94"/>
  <c r="X42"/>
  <c r="X78"/>
  <c r="X83"/>
  <c r="X87"/>
  <c r="X76"/>
  <c r="AK111"/>
  <c r="AK124" s="1"/>
  <c r="AA98"/>
  <c r="AA52"/>
  <c r="AA40"/>
  <c r="AA61"/>
  <c r="J133"/>
  <c r="AA87"/>
  <c r="AA106"/>
  <c r="AA89"/>
  <c r="AA60"/>
  <c r="AA58"/>
  <c r="AA51"/>
  <c r="AA108"/>
  <c r="AA15"/>
  <c r="AA105"/>
  <c r="AC121"/>
  <c r="AN121" s="1"/>
  <c r="AO121" s="1"/>
  <c r="N133"/>
  <c r="AA85"/>
  <c r="AA38"/>
  <c r="AA79"/>
  <c r="Z84"/>
  <c r="Z83"/>
  <c r="Z43"/>
  <c r="Z94"/>
  <c r="Z46"/>
  <c r="Z51"/>
  <c r="Z65"/>
  <c r="Z78"/>
  <c r="Z87"/>
  <c r="Z68"/>
  <c r="Z12"/>
  <c r="Z105"/>
  <c r="AC120"/>
  <c r="AN120" s="1"/>
  <c r="AO120" s="1"/>
  <c r="AB42"/>
  <c r="AB67"/>
  <c r="AB69"/>
  <c r="AB102"/>
  <c r="AB84"/>
  <c r="AB95"/>
  <c r="X45"/>
  <c r="X46"/>
  <c r="X106"/>
  <c r="X35"/>
  <c r="X21"/>
  <c r="X95"/>
  <c r="AB24"/>
  <c r="AA23"/>
  <c r="AA100"/>
  <c r="AA27"/>
  <c r="AA57"/>
  <c r="AA62"/>
  <c r="AA55"/>
  <c r="Z9"/>
  <c r="AA10"/>
  <c r="C133"/>
  <c r="AA56"/>
  <c r="AG111"/>
  <c r="AG124" s="1"/>
  <c r="AA54"/>
  <c r="K133"/>
  <c r="AA13"/>
  <c r="S133"/>
  <c r="AA21"/>
  <c r="AA104"/>
  <c r="AA107"/>
  <c r="AA42"/>
  <c r="AA39"/>
  <c r="AA99"/>
  <c r="AA80"/>
  <c r="AA95"/>
  <c r="AA68"/>
  <c r="X22"/>
  <c r="X13"/>
  <c r="X16"/>
  <c r="AA22"/>
  <c r="R133"/>
  <c r="Z32"/>
  <c r="Z99"/>
  <c r="Z18"/>
  <c r="Z60"/>
  <c r="Z21"/>
  <c r="Z104"/>
  <c r="Z42"/>
  <c r="Z80"/>
  <c r="Z76"/>
  <c r="Z67"/>
  <c r="AB15"/>
  <c r="AB105"/>
  <c r="AB87"/>
  <c r="AB78"/>
  <c r="AB108"/>
  <c r="X99"/>
  <c r="X65"/>
  <c r="X81"/>
  <c r="X32"/>
  <c r="AC119"/>
  <c r="AN119" s="1"/>
  <c r="AO119" s="1"/>
  <c r="AQ119" s="1"/>
  <c r="AA96"/>
  <c r="G137"/>
  <c r="U137"/>
  <c r="Q137"/>
  <c r="H137"/>
  <c r="L137"/>
  <c r="M137"/>
  <c r="R137"/>
  <c r="I137"/>
  <c r="T137"/>
  <c r="J137"/>
  <c r="P137"/>
  <c r="O137"/>
  <c r="N137"/>
  <c r="E137"/>
  <c r="S137"/>
  <c r="C137"/>
  <c r="F137"/>
  <c r="D137"/>
  <c r="K137"/>
  <c r="V137"/>
  <c r="AK128"/>
  <c r="G134"/>
  <c r="J134"/>
  <c r="M134"/>
  <c r="R134"/>
  <c r="I134"/>
  <c r="S134"/>
  <c r="H134"/>
  <c r="E134"/>
  <c r="N134"/>
  <c r="D134"/>
  <c r="C134"/>
  <c r="O134"/>
  <c r="K134"/>
  <c r="U134"/>
  <c r="L134"/>
  <c r="Q134"/>
  <c r="T134"/>
  <c r="F134"/>
  <c r="P134"/>
  <c r="X79"/>
  <c r="X38"/>
  <c r="X52"/>
  <c r="X55"/>
  <c r="X90"/>
  <c r="X98"/>
  <c r="X53"/>
  <c r="X73"/>
  <c r="X57"/>
  <c r="X48"/>
  <c r="X62"/>
  <c r="X70"/>
  <c r="X33"/>
  <c r="X56"/>
  <c r="X31"/>
  <c r="X11"/>
  <c r="X40"/>
  <c r="X37"/>
  <c r="X72"/>
  <c r="X27"/>
  <c r="X44"/>
  <c r="X74"/>
  <c r="X59"/>
  <c r="X50"/>
  <c r="X75"/>
  <c r="X24"/>
  <c r="X96"/>
  <c r="X82"/>
  <c r="X28"/>
  <c r="X86"/>
  <c r="X100"/>
  <c r="X49"/>
  <c r="X17"/>
  <c r="X34"/>
  <c r="X92"/>
  <c r="X71"/>
  <c r="AB65"/>
  <c r="AB34"/>
  <c r="AB92"/>
  <c r="AB36"/>
  <c r="AB29"/>
  <c r="AB37"/>
  <c r="AB19"/>
  <c r="AB91"/>
  <c r="AB33"/>
  <c r="AB98"/>
  <c r="AB31"/>
  <c r="AB85"/>
  <c r="AB16"/>
  <c r="AB56"/>
  <c r="AB100"/>
  <c r="AB13"/>
  <c r="AB72"/>
  <c r="AB22"/>
  <c r="AB71"/>
  <c r="AB82"/>
  <c r="AB70"/>
  <c r="AB30"/>
  <c r="AB73"/>
  <c r="AB54"/>
  <c r="AB103"/>
  <c r="AB63"/>
  <c r="AB11"/>
  <c r="AB55"/>
  <c r="AB62"/>
  <c r="AB40"/>
  <c r="AB86"/>
  <c r="AB52"/>
  <c r="AB9"/>
  <c r="AB44"/>
  <c r="AB61"/>
  <c r="AB28"/>
  <c r="AB10"/>
  <c r="AB90"/>
  <c r="AB20"/>
  <c r="AB74"/>
  <c r="AB96"/>
  <c r="AB17"/>
  <c r="AB50"/>
  <c r="B39" i="32"/>
  <c r="B40"/>
  <c r="B41"/>
  <c r="Z86" i="27"/>
  <c r="Z17"/>
  <c r="Z91"/>
  <c r="Z54"/>
  <c r="Z79"/>
  <c r="Z53"/>
  <c r="Z34"/>
  <c r="Z52"/>
  <c r="Z100"/>
  <c r="Z90"/>
  <c r="Z96"/>
  <c r="Z75"/>
  <c r="Z37"/>
  <c r="Z28"/>
  <c r="Z22"/>
  <c r="Z55"/>
  <c r="Z30"/>
  <c r="Z103"/>
  <c r="Z61"/>
  <c r="Z57"/>
  <c r="Z29"/>
  <c r="Z63"/>
  <c r="Z82"/>
  <c r="Z98"/>
  <c r="Z19"/>
  <c r="Z38"/>
  <c r="Z10"/>
  <c r="Z16"/>
  <c r="Z56"/>
  <c r="Z74"/>
  <c r="Z71"/>
  <c r="Z48"/>
  <c r="Z8"/>
  <c r="Z44"/>
  <c r="Z11"/>
  <c r="Z24"/>
  <c r="Z92"/>
  <c r="Z85"/>
  <c r="Z31"/>
  <c r="Z49"/>
  <c r="Z36"/>
  <c r="Z59"/>
  <c r="Z50"/>
  <c r="Z40"/>
  <c r="Z73"/>
  <c r="Z62"/>
  <c r="Z70"/>
  <c r="Z33"/>
  <c r="Z72"/>
  <c r="Z13"/>
  <c r="Z20"/>
  <c r="Z27"/>
  <c r="Z23"/>
  <c r="W117"/>
  <c r="V133"/>
  <c r="X10"/>
  <c r="X29"/>
  <c r="AA78"/>
  <c r="AA41"/>
  <c r="AA35"/>
  <c r="AA25"/>
  <c r="AA93"/>
  <c r="AA76"/>
  <c r="AA47"/>
  <c r="AA46"/>
  <c r="AA43"/>
  <c r="AA32"/>
  <c r="AA18"/>
  <c r="X20"/>
  <c r="AA29"/>
  <c r="AI129"/>
  <c r="AA53"/>
  <c r="H133"/>
  <c r="AA74"/>
  <c r="AA59"/>
  <c r="AA50"/>
  <c r="E133"/>
  <c r="AB25"/>
  <c r="AB12"/>
  <c r="AB51"/>
  <c r="AB97"/>
  <c r="AB88"/>
  <c r="AB66"/>
  <c r="AB18"/>
  <c r="AB106"/>
  <c r="AB77"/>
  <c r="AB46"/>
  <c r="AB94"/>
  <c r="X66"/>
  <c r="X84"/>
  <c r="X88"/>
  <c r="X39"/>
  <c r="X58"/>
  <c r="X77"/>
  <c r="X51"/>
  <c r="X101"/>
  <c r="X102"/>
  <c r="X12"/>
  <c r="X89"/>
  <c r="X15"/>
  <c r="AC118"/>
  <c r="AN118" s="1"/>
  <c r="AI111"/>
  <c r="V128"/>
  <c r="V130" s="1"/>
  <c r="V124"/>
  <c r="G136"/>
  <c r="I136"/>
  <c r="J136"/>
  <c r="L136"/>
  <c r="Q136"/>
  <c r="T136"/>
  <c r="M136"/>
  <c r="D136"/>
  <c r="C136"/>
  <c r="F136"/>
  <c r="E136"/>
  <c r="H136"/>
  <c r="K136"/>
  <c r="P136"/>
  <c r="R136"/>
  <c r="N136"/>
  <c r="S136"/>
  <c r="U136"/>
  <c r="O136"/>
  <c r="AA45"/>
  <c r="AA90"/>
  <c r="AA49"/>
  <c r="AA28"/>
  <c r="AE111"/>
  <c r="AG129"/>
  <c r="AF142" s="1"/>
  <c r="B18" i="32" s="1"/>
  <c r="AM111" i="27"/>
  <c r="AM129"/>
  <c r="X36"/>
  <c r="X63"/>
  <c r="X91"/>
  <c r="X85"/>
  <c r="X9"/>
  <c r="X8"/>
  <c r="AE129"/>
  <c r="X23"/>
  <c r="X61"/>
  <c r="AA71"/>
  <c r="P133"/>
  <c r="AA17"/>
  <c r="AA103"/>
  <c r="Q133"/>
  <c r="V136"/>
  <c r="AB14"/>
  <c r="AB107"/>
  <c r="AB93"/>
  <c r="AB35"/>
  <c r="AB32"/>
  <c r="AB80"/>
  <c r="AB43"/>
  <c r="AB101"/>
  <c r="AB41"/>
  <c r="AB60"/>
  <c r="AB45"/>
  <c r="I133"/>
  <c r="X97"/>
  <c r="X108"/>
  <c r="X14"/>
  <c r="X64"/>
  <c r="X26"/>
  <c r="X80"/>
  <c r="X105"/>
  <c r="X93"/>
  <c r="X68"/>
  <c r="X60"/>
  <c r="X18"/>
  <c r="X107"/>
  <c r="V134"/>
  <c r="Y63"/>
  <c r="Y111" l="1"/>
  <c r="Y128" s="1"/>
  <c r="AG128"/>
  <c r="AG130" s="1"/>
  <c r="AK130"/>
  <c r="AQ120"/>
  <c r="Y129"/>
  <c r="AQ122"/>
  <c r="AQ121"/>
  <c r="AJ142"/>
  <c r="B32" i="32" s="1"/>
  <c r="C32" s="1"/>
  <c r="F32" s="1"/>
  <c r="AA129" i="27"/>
  <c r="Z129"/>
  <c r="W29"/>
  <c r="AC29" s="1"/>
  <c r="AN29" s="1"/>
  <c r="AO29" s="1"/>
  <c r="AQ29" s="1"/>
  <c r="W52"/>
  <c r="AC52" s="1"/>
  <c r="AN52" s="1"/>
  <c r="AO52" s="1"/>
  <c r="AQ52" s="1"/>
  <c r="W23"/>
  <c r="AC23" s="1"/>
  <c r="AN23" s="1"/>
  <c r="AO23" s="1"/>
  <c r="AQ23" s="1"/>
  <c r="W40"/>
  <c r="AC40" s="1"/>
  <c r="AN40" s="1"/>
  <c r="AO40" s="1"/>
  <c r="AQ40" s="1"/>
  <c r="W31"/>
  <c r="AC31" s="1"/>
  <c r="AN31" s="1"/>
  <c r="AQ31" s="1"/>
  <c r="W38"/>
  <c r="AC38" s="1"/>
  <c r="AN38" s="1"/>
  <c r="AO38" s="1"/>
  <c r="AQ38" s="1"/>
  <c r="W82"/>
  <c r="AC82" s="1"/>
  <c r="AN82" s="1"/>
  <c r="AQ82" s="1"/>
  <c r="W27"/>
  <c r="AC27" s="1"/>
  <c r="AN27" s="1"/>
  <c r="W36"/>
  <c r="AC36" s="1"/>
  <c r="AN36" s="1"/>
  <c r="AO36" s="1"/>
  <c r="AQ36" s="1"/>
  <c r="W59"/>
  <c r="AC59" s="1"/>
  <c r="AN59" s="1"/>
  <c r="AQ59" s="1"/>
  <c r="W56"/>
  <c r="AC56" s="1"/>
  <c r="AN56" s="1"/>
  <c r="AO56" s="1"/>
  <c r="AQ56" s="1"/>
  <c r="W75"/>
  <c r="AC75" s="1"/>
  <c r="AN75" s="1"/>
  <c r="AQ75" s="1"/>
  <c r="W63"/>
  <c r="AC63" s="1"/>
  <c r="AN63" s="1"/>
  <c r="AQ63" s="1"/>
  <c r="W9"/>
  <c r="W10"/>
  <c r="AC10" s="1"/>
  <c r="AN10" s="1"/>
  <c r="AQ10" s="1"/>
  <c r="W8"/>
  <c r="W100"/>
  <c r="AC100" s="1"/>
  <c r="AN100" s="1"/>
  <c r="AO100" s="1"/>
  <c r="AQ100" s="1"/>
  <c r="W108"/>
  <c r="AC108" s="1"/>
  <c r="AN108" s="1"/>
  <c r="AQ108" s="1"/>
  <c r="W41"/>
  <c r="AC41" s="1"/>
  <c r="AN41" s="1"/>
  <c r="AO41" s="1"/>
  <c r="AQ41" s="1"/>
  <c r="W107"/>
  <c r="AC107" s="1"/>
  <c r="AN107" s="1"/>
  <c r="AQ107" s="1"/>
  <c r="W43"/>
  <c r="AC43" s="1"/>
  <c r="AN43" s="1"/>
  <c r="AO43" s="1"/>
  <c r="AQ43" s="1"/>
  <c r="W42"/>
  <c r="AC42" s="1"/>
  <c r="AN42" s="1"/>
  <c r="AO42" s="1"/>
  <c r="AQ42" s="1"/>
  <c r="W32"/>
  <c r="AC32" s="1"/>
  <c r="AN32" s="1"/>
  <c r="AQ32" s="1"/>
  <c r="W89"/>
  <c r="AC89" s="1"/>
  <c r="AN89" s="1"/>
  <c r="W83"/>
  <c r="AC83" s="1"/>
  <c r="AN83" s="1"/>
  <c r="W21"/>
  <c r="AC21" s="1"/>
  <c r="AN21" s="1"/>
  <c r="AO21" s="1"/>
  <c r="AQ21" s="1"/>
  <c r="W101"/>
  <c r="AC101" s="1"/>
  <c r="AN101" s="1"/>
  <c r="AO101" s="1"/>
  <c r="W26"/>
  <c r="AC26" s="1"/>
  <c r="AN26" s="1"/>
  <c r="W81"/>
  <c r="AC81" s="1"/>
  <c r="AN81" s="1"/>
  <c r="W34"/>
  <c r="AC34" s="1"/>
  <c r="AN34" s="1"/>
  <c r="AQ34" s="1"/>
  <c r="W85"/>
  <c r="AC85" s="1"/>
  <c r="AN85" s="1"/>
  <c r="W98"/>
  <c r="AC98" s="1"/>
  <c r="AN98" s="1"/>
  <c r="AQ98" s="1"/>
  <c r="W53"/>
  <c r="AC53" s="1"/>
  <c r="AN53" s="1"/>
  <c r="AO53" s="1"/>
  <c r="AQ53" s="1"/>
  <c r="W61"/>
  <c r="AC61" s="1"/>
  <c r="AN61" s="1"/>
  <c r="AO61" s="1"/>
  <c r="AQ61" s="1"/>
  <c r="W84"/>
  <c r="AC84" s="1"/>
  <c r="AN84" s="1"/>
  <c r="W88"/>
  <c r="AC88" s="1"/>
  <c r="AN88" s="1"/>
  <c r="AQ88" s="1"/>
  <c r="W45"/>
  <c r="AC45" s="1"/>
  <c r="AN45" s="1"/>
  <c r="AO45" s="1"/>
  <c r="AQ45" s="1"/>
  <c r="W106"/>
  <c r="AC106" s="1"/>
  <c r="AN106" s="1"/>
  <c r="AQ106" s="1"/>
  <c r="W25"/>
  <c r="AC25" s="1"/>
  <c r="AN25" s="1"/>
  <c r="AO25" s="1"/>
  <c r="AQ25" s="1"/>
  <c r="W76"/>
  <c r="AC76" s="1"/>
  <c r="AN76" s="1"/>
  <c r="W19"/>
  <c r="AC19" s="1"/>
  <c r="AN19" s="1"/>
  <c r="W17"/>
  <c r="AC17" s="1"/>
  <c r="AN17" s="1"/>
  <c r="AO17" s="1"/>
  <c r="W50"/>
  <c r="AC50" s="1"/>
  <c r="AN50" s="1"/>
  <c r="AO50" s="1"/>
  <c r="AQ50" s="1"/>
  <c r="W13"/>
  <c r="AC13" s="1"/>
  <c r="AN13" s="1"/>
  <c r="AQ13" s="1"/>
  <c r="W79"/>
  <c r="AC79" s="1"/>
  <c r="AN79" s="1"/>
  <c r="AO79" s="1"/>
  <c r="W37"/>
  <c r="AC37" s="1"/>
  <c r="AN37" s="1"/>
  <c r="W91"/>
  <c r="AC91" s="1"/>
  <c r="AN91" s="1"/>
  <c r="W48"/>
  <c r="AC48" s="1"/>
  <c r="AN48" s="1"/>
  <c r="AO48" s="1"/>
  <c r="AQ48" s="1"/>
  <c r="W33"/>
  <c r="AC33" s="1"/>
  <c r="AN33" s="1"/>
  <c r="AQ33" s="1"/>
  <c r="W80"/>
  <c r="AC80" s="1"/>
  <c r="AN80" s="1"/>
  <c r="W47"/>
  <c r="AC47" s="1"/>
  <c r="AN47" s="1"/>
  <c r="AO47" s="1"/>
  <c r="AQ47" s="1"/>
  <c r="W69"/>
  <c r="AC69" s="1"/>
  <c r="AN69" s="1"/>
  <c r="AQ69" s="1"/>
  <c r="W104"/>
  <c r="AC104" s="1"/>
  <c r="AN104" s="1"/>
  <c r="AO104" s="1"/>
  <c r="AQ104" s="1"/>
  <c r="W68"/>
  <c r="AC68" s="1"/>
  <c r="AN68" s="1"/>
  <c r="W22"/>
  <c r="AC22" s="1"/>
  <c r="AN22" s="1"/>
  <c r="AQ22" s="1"/>
  <c r="W71"/>
  <c r="AC71" s="1"/>
  <c r="AN71" s="1"/>
  <c r="W62"/>
  <c r="AC62" s="1"/>
  <c r="AN62" s="1"/>
  <c r="W28"/>
  <c r="AC28" s="1"/>
  <c r="AN28" s="1"/>
  <c r="AO28" s="1"/>
  <c r="W54"/>
  <c r="AC54" s="1"/>
  <c r="AN54" s="1"/>
  <c r="AO54" s="1"/>
  <c r="AQ54" s="1"/>
  <c r="W16"/>
  <c r="AC16" s="1"/>
  <c r="AN16" s="1"/>
  <c r="AO16" s="1"/>
  <c r="W96"/>
  <c r="AC96" s="1"/>
  <c r="AN96" s="1"/>
  <c r="AO96" s="1"/>
  <c r="AQ96" s="1"/>
  <c r="W74"/>
  <c r="AC74" s="1"/>
  <c r="AN74" s="1"/>
  <c r="AO74" s="1"/>
  <c r="AQ74" s="1"/>
  <c r="W55"/>
  <c r="AC55" s="1"/>
  <c r="AN55" s="1"/>
  <c r="AO55" s="1"/>
  <c r="AQ55" s="1"/>
  <c r="W44"/>
  <c r="AC44" s="1"/>
  <c r="AN44" s="1"/>
  <c r="AO44" s="1"/>
  <c r="AQ44" s="1"/>
  <c r="W78"/>
  <c r="AC78" s="1"/>
  <c r="AN78" s="1"/>
  <c r="AO78" s="1"/>
  <c r="AQ78" s="1"/>
  <c r="W67"/>
  <c r="AC67" s="1"/>
  <c r="AN67" s="1"/>
  <c r="W39"/>
  <c r="AC39" s="1"/>
  <c r="AN39" s="1"/>
  <c r="AO39" s="1"/>
  <c r="AQ39" s="1"/>
  <c r="W77"/>
  <c r="AC77" s="1"/>
  <c r="AN77" s="1"/>
  <c r="AQ77" s="1"/>
  <c r="W65"/>
  <c r="AC65" s="1"/>
  <c r="AN65" s="1"/>
  <c r="AQ65" s="1"/>
  <c r="W60"/>
  <c r="AC60" s="1"/>
  <c r="AN60" s="1"/>
  <c r="AQ60" s="1"/>
  <c r="W46"/>
  <c r="AC46" s="1"/>
  <c r="AN46" s="1"/>
  <c r="AO46" s="1"/>
  <c r="AQ46" s="1"/>
  <c r="W93"/>
  <c r="AC93" s="1"/>
  <c r="AN93" s="1"/>
  <c r="AO93" s="1"/>
  <c r="W12"/>
  <c r="AC12" s="1"/>
  <c r="AN12" s="1"/>
  <c r="W58"/>
  <c r="AC58" s="1"/>
  <c r="AN58" s="1"/>
  <c r="W14"/>
  <c r="AC14" s="1"/>
  <c r="AN14" s="1"/>
  <c r="AQ14" s="1"/>
  <c r="W70"/>
  <c r="AC70" s="1"/>
  <c r="AN70" s="1"/>
  <c r="W92"/>
  <c r="AC92" s="1"/>
  <c r="AN92" s="1"/>
  <c r="W86"/>
  <c r="AC86" s="1"/>
  <c r="AN86" s="1"/>
  <c r="AO86" s="1"/>
  <c r="AQ86" s="1"/>
  <c r="W11"/>
  <c r="AC11" s="1"/>
  <c r="AN11" s="1"/>
  <c r="W73"/>
  <c r="AC73" s="1"/>
  <c r="AN73" s="1"/>
  <c r="AO73" s="1"/>
  <c r="AQ73" s="1"/>
  <c r="W105"/>
  <c r="AC105" s="1"/>
  <c r="AN105" s="1"/>
  <c r="AQ105" s="1"/>
  <c r="W97"/>
  <c r="AC97" s="1"/>
  <c r="AN97" s="1"/>
  <c r="W66"/>
  <c r="AC66" s="1"/>
  <c r="AN66" s="1"/>
  <c r="AO66" s="1"/>
  <c r="W64"/>
  <c r="AC64" s="1"/>
  <c r="AN64" s="1"/>
  <c r="AQ64" s="1"/>
  <c r="W18"/>
  <c r="AC18" s="1"/>
  <c r="AN18" s="1"/>
  <c r="AO18" s="1"/>
  <c r="AQ18" s="1"/>
  <c r="W95"/>
  <c r="AC95" s="1"/>
  <c r="AN95" s="1"/>
  <c r="W90"/>
  <c r="AC90" s="1"/>
  <c r="AN90" s="1"/>
  <c r="AO90" s="1"/>
  <c r="W103"/>
  <c r="AC103" s="1"/>
  <c r="AN103" s="1"/>
  <c r="AQ103" s="1"/>
  <c r="W20"/>
  <c r="AC20" s="1"/>
  <c r="AN20" s="1"/>
  <c r="AO20" s="1"/>
  <c r="W30"/>
  <c r="AC30" s="1"/>
  <c r="AN30" s="1"/>
  <c r="AO30" s="1"/>
  <c r="AQ30" s="1"/>
  <c r="W57"/>
  <c r="AC57" s="1"/>
  <c r="AN57" s="1"/>
  <c r="AQ57" s="1"/>
  <c r="W72"/>
  <c r="AC72" s="1"/>
  <c r="AN72" s="1"/>
  <c r="AO72" s="1"/>
  <c r="W102"/>
  <c r="AC102" s="1"/>
  <c r="AN102" s="1"/>
  <c r="AO102" s="1"/>
  <c r="AQ102" s="1"/>
  <c r="W99"/>
  <c r="AC99" s="1"/>
  <c r="AN99" s="1"/>
  <c r="W35"/>
  <c r="AC35" s="1"/>
  <c r="AN35" s="1"/>
  <c r="AQ35" s="1"/>
  <c r="W94"/>
  <c r="AC94" s="1"/>
  <c r="AN94" s="1"/>
  <c r="AO94" s="1"/>
  <c r="AQ94" s="1"/>
  <c r="W51"/>
  <c r="AC51" s="1"/>
  <c r="AN51" s="1"/>
  <c r="AQ51" s="1"/>
  <c r="W15"/>
  <c r="AC15" s="1"/>
  <c r="AN15" s="1"/>
  <c r="W87"/>
  <c r="AC87" s="1"/>
  <c r="AN87" s="1"/>
  <c r="AO87" s="1"/>
  <c r="AQ87" s="1"/>
  <c r="W49"/>
  <c r="AC49" s="1"/>
  <c r="AN49" s="1"/>
  <c r="AO49" s="1"/>
  <c r="AQ49" s="1"/>
  <c r="W24"/>
  <c r="AC24" s="1"/>
  <c r="AN24" s="1"/>
  <c r="AO24" s="1"/>
  <c r="AQ24" s="1"/>
  <c r="AD142"/>
  <c r="B17" i="32" s="1"/>
  <c r="AM124" i="27"/>
  <c r="AM128"/>
  <c r="AM130" s="1"/>
  <c r="AO118"/>
  <c r="AQ118" s="1"/>
  <c r="AH142"/>
  <c r="B31" i="32" s="1"/>
  <c r="X129" i="27"/>
  <c r="AA111"/>
  <c r="AC117"/>
  <c r="AN117" s="1"/>
  <c r="AO117" s="1"/>
  <c r="AQ117" s="1"/>
  <c r="AB129"/>
  <c r="C18" i="32"/>
  <c r="F18" s="1"/>
  <c r="C39"/>
  <c r="F39" s="1"/>
  <c r="B43"/>
  <c r="AL142" i="27"/>
  <c r="AE128"/>
  <c r="AE130" s="1"/>
  <c r="AE124"/>
  <c r="AI128"/>
  <c r="AI130" s="1"/>
  <c r="AI124"/>
  <c r="X111"/>
  <c r="AB111"/>
  <c r="Z111"/>
  <c r="C111" i="28" l="1"/>
  <c r="AO70" i="27"/>
  <c r="AQ70" s="1"/>
  <c r="AS70" s="1"/>
  <c r="AO81"/>
  <c r="AQ81" s="1"/>
  <c r="AO71"/>
  <c r="AQ71" s="1"/>
  <c r="C73" i="28" s="1"/>
  <c r="Y130" i="27"/>
  <c r="F135" s="1"/>
  <c r="Y124"/>
  <c r="C58" i="28"/>
  <c r="AS56" i="27"/>
  <c r="C51" i="28"/>
  <c r="AS49" i="27"/>
  <c r="AS103"/>
  <c r="C105" i="28"/>
  <c r="C66"/>
  <c r="AS64" i="27"/>
  <c r="AO92"/>
  <c r="AQ92" s="1"/>
  <c r="AQ93"/>
  <c r="AS77"/>
  <c r="C79" i="28"/>
  <c r="C71"/>
  <c r="AS69" i="27"/>
  <c r="C15" i="28"/>
  <c r="AS13" i="27"/>
  <c r="C90" i="28"/>
  <c r="AS88" i="27"/>
  <c r="AS98"/>
  <c r="C100" i="28"/>
  <c r="AO26" i="27"/>
  <c r="AQ26" s="1"/>
  <c r="C109" i="28"/>
  <c r="AS107" i="27"/>
  <c r="W111"/>
  <c r="AC8"/>
  <c r="AS75"/>
  <c r="C77" i="28"/>
  <c r="C42"/>
  <c r="AS40" i="27"/>
  <c r="AS82"/>
  <c r="C84" i="28"/>
  <c r="C31" i="32"/>
  <c r="F31" s="1"/>
  <c r="C53" i="28"/>
  <c r="AS51" i="27"/>
  <c r="C104" i="28"/>
  <c r="AS102" i="27"/>
  <c r="AO19"/>
  <c r="AQ19" s="1"/>
  <c r="AQ20"/>
  <c r="AS18"/>
  <c r="C20" i="28"/>
  <c r="C107"/>
  <c r="AS105" i="27"/>
  <c r="AS65"/>
  <c r="C67" i="28"/>
  <c r="C80"/>
  <c r="AS78" i="27"/>
  <c r="C98" i="28"/>
  <c r="AS96" i="27"/>
  <c r="AS104"/>
  <c r="C106" i="28"/>
  <c r="AS33" i="27"/>
  <c r="C35" i="28"/>
  <c r="AQ79" i="27"/>
  <c r="AO80"/>
  <c r="AQ80" s="1"/>
  <c r="C47" i="28"/>
  <c r="AS45" i="27"/>
  <c r="AS53"/>
  <c r="C55" i="28"/>
  <c r="AS43" i="27"/>
  <c r="C45" i="28"/>
  <c r="AS100" i="27"/>
  <c r="C102" i="28"/>
  <c r="AS63" i="27"/>
  <c r="C65" i="28"/>
  <c r="AS36" i="27"/>
  <c r="C38" i="28"/>
  <c r="C33"/>
  <c r="AS31" i="27"/>
  <c r="C31" i="28"/>
  <c r="AS29" i="27"/>
  <c r="AQ72"/>
  <c r="AO11"/>
  <c r="AO15"/>
  <c r="AQ15" s="1"/>
  <c r="AQ16"/>
  <c r="AB128"/>
  <c r="AB130" s="1"/>
  <c r="AB124"/>
  <c r="AS24"/>
  <c r="C26" i="28"/>
  <c r="C32"/>
  <c r="AS30" i="27"/>
  <c r="C88" i="28"/>
  <c r="AS86" i="27"/>
  <c r="AO58"/>
  <c r="AQ58" s="1"/>
  <c r="AO76"/>
  <c r="AQ76" s="1"/>
  <c r="AS60"/>
  <c r="C62" i="28"/>
  <c r="AQ62" i="27"/>
  <c r="AQ67"/>
  <c r="C76" i="28"/>
  <c r="AS74" i="27"/>
  <c r="AQ91"/>
  <c r="AQ37"/>
  <c r="AQ17"/>
  <c r="AO12"/>
  <c r="C108" i="28"/>
  <c r="AS106" i="27"/>
  <c r="C63" i="28"/>
  <c r="AS61" i="27"/>
  <c r="AS34"/>
  <c r="C36" i="28"/>
  <c r="C23"/>
  <c r="AS21" i="27"/>
  <c r="AS42"/>
  <c r="C44" i="28"/>
  <c r="C110"/>
  <c r="AS108" i="27"/>
  <c r="W129"/>
  <c r="AC9"/>
  <c r="C61" i="28"/>
  <c r="AS59" i="27"/>
  <c r="AS38"/>
  <c r="C40" i="28"/>
  <c r="AS52" i="27"/>
  <c r="C54" i="28"/>
  <c r="X128" i="27"/>
  <c r="X130" s="1"/>
  <c r="X124"/>
  <c r="AQ28"/>
  <c r="AO27"/>
  <c r="AQ27" s="1"/>
  <c r="C96" i="28"/>
  <c r="AS94" i="27"/>
  <c r="AS73"/>
  <c r="C75" i="28"/>
  <c r="AS44" i="27"/>
  <c r="C46" i="28"/>
  <c r="AS48" i="27"/>
  <c r="C50" i="28"/>
  <c r="Z128" i="27"/>
  <c r="Z130" s="1"/>
  <c r="Z124"/>
  <c r="AS32"/>
  <c r="C34" i="28"/>
  <c r="AA124" i="27"/>
  <c r="AA128"/>
  <c r="AA130" s="1"/>
  <c r="C17" i="32"/>
  <c r="F17" s="1"/>
  <c r="C89" i="28"/>
  <c r="AS87" i="27"/>
  <c r="C37" i="28"/>
  <c r="AS35" i="27"/>
  <c r="AS57"/>
  <c r="C59" i="28"/>
  <c r="AQ90" i="27"/>
  <c r="AO89"/>
  <c r="AQ89" s="1"/>
  <c r="AO85"/>
  <c r="AQ85" s="1"/>
  <c r="AQ66"/>
  <c r="AO84"/>
  <c r="AQ84" s="1"/>
  <c r="AO97"/>
  <c r="AQ97" s="1"/>
  <c r="AO95"/>
  <c r="AQ95" s="1"/>
  <c r="AO68"/>
  <c r="AQ68" s="1"/>
  <c r="AO83"/>
  <c r="AQ83" s="1"/>
  <c r="AS14"/>
  <c r="C16" i="28"/>
  <c r="AS46" i="27"/>
  <c r="C48" i="28"/>
  <c r="AS39" i="27"/>
  <c r="C41" i="28"/>
  <c r="AS55" i="27"/>
  <c r="C57" i="28"/>
  <c r="AS54" i="27"/>
  <c r="C56" i="28"/>
  <c r="C24"/>
  <c r="AS22" i="27"/>
  <c r="AS47"/>
  <c r="C49" i="28"/>
  <c r="AS50" i="27"/>
  <c r="C52" i="28"/>
  <c r="C27"/>
  <c r="AS25" i="27"/>
  <c r="AO99"/>
  <c r="AQ99" s="1"/>
  <c r="AQ101"/>
  <c r="C43" i="28"/>
  <c r="AS41" i="27"/>
  <c r="C12" i="28"/>
  <c r="AS10" i="27"/>
  <c r="C25" i="28"/>
  <c r="AS23" i="27"/>
  <c r="G135" l="1"/>
  <c r="E135"/>
  <c r="P135"/>
  <c r="H135"/>
  <c r="C72" i="28"/>
  <c r="E72" s="1"/>
  <c r="E145" s="1"/>
  <c r="R135" i="27"/>
  <c r="C83" i="28"/>
  <c r="E83" s="1"/>
  <c r="E235" s="1"/>
  <c r="AS81" i="27"/>
  <c r="AS71"/>
  <c r="J135"/>
  <c r="I135"/>
  <c r="D135"/>
  <c r="M135"/>
  <c r="O135"/>
  <c r="V135"/>
  <c r="K135"/>
  <c r="Q135"/>
  <c r="U135"/>
  <c r="T135"/>
  <c r="S135"/>
  <c r="N135"/>
  <c r="L135"/>
  <c r="C135"/>
  <c r="AS68"/>
  <c r="C70" i="28"/>
  <c r="C136"/>
  <c r="E59"/>
  <c r="E136" s="1"/>
  <c r="E40"/>
  <c r="E199" s="1"/>
  <c r="C199"/>
  <c r="E44"/>
  <c r="E188" s="1"/>
  <c r="C188"/>
  <c r="AS37" i="27"/>
  <c r="C39" i="28"/>
  <c r="C78"/>
  <c r="AS76" i="27"/>
  <c r="G138"/>
  <c r="C138"/>
  <c r="Q138"/>
  <c r="J138"/>
  <c r="E138"/>
  <c r="U138"/>
  <c r="S138"/>
  <c r="I138"/>
  <c r="K138"/>
  <c r="K140" s="1"/>
  <c r="K142" s="1"/>
  <c r="B22" i="32" s="1"/>
  <c r="M138" i="27"/>
  <c r="M140" s="1"/>
  <c r="M142" s="1"/>
  <c r="B19" i="32" s="1"/>
  <c r="D138" i="27"/>
  <c r="L138"/>
  <c r="O138"/>
  <c r="H138"/>
  <c r="T138"/>
  <c r="F138"/>
  <c r="F140" s="1"/>
  <c r="F142" s="1"/>
  <c r="B15" i="32" s="1"/>
  <c r="C15" s="1"/>
  <c r="N138" i="27"/>
  <c r="R138"/>
  <c r="P138"/>
  <c r="V138"/>
  <c r="V140" s="1"/>
  <c r="V142" s="1"/>
  <c r="AN142" s="1"/>
  <c r="C181" i="28"/>
  <c r="E33"/>
  <c r="E181" s="1"/>
  <c r="AS79" i="27"/>
  <c r="C81" i="28"/>
  <c r="E80"/>
  <c r="E182" s="1"/>
  <c r="C182"/>
  <c r="C232"/>
  <c r="E107"/>
  <c r="E232" s="1"/>
  <c r="AS19" i="27"/>
  <c r="C21" i="28"/>
  <c r="E53"/>
  <c r="E176" s="1"/>
  <c r="C176"/>
  <c r="C234"/>
  <c r="E109"/>
  <c r="E234" s="1"/>
  <c r="E15"/>
  <c r="E171" s="1"/>
  <c r="C171"/>
  <c r="AS92" i="27"/>
  <c r="C94" i="28"/>
  <c r="C135"/>
  <c r="E58"/>
  <c r="E135" s="1"/>
  <c r="C103"/>
  <c r="AS101" i="27"/>
  <c r="C198" i="28"/>
  <c r="E52"/>
  <c r="E198" s="1"/>
  <c r="E57"/>
  <c r="E134" s="1"/>
  <c r="C134"/>
  <c r="C195"/>
  <c r="E48"/>
  <c r="E195" s="1"/>
  <c r="C85"/>
  <c r="AS83" i="27"/>
  <c r="AS84"/>
  <c r="C86" i="28"/>
  <c r="C92"/>
  <c r="AS90" i="27"/>
  <c r="E37" i="28"/>
  <c r="E178" s="1"/>
  <c r="C178"/>
  <c r="C30"/>
  <c r="AS28" i="27"/>
  <c r="E61" i="28"/>
  <c r="E160" s="1"/>
  <c r="C160"/>
  <c r="C149"/>
  <c r="E110"/>
  <c r="E149" s="1"/>
  <c r="C203"/>
  <c r="E23"/>
  <c r="E203" s="1"/>
  <c r="C139"/>
  <c r="E63"/>
  <c r="E139" s="1"/>
  <c r="C19"/>
  <c r="AS17" i="27"/>
  <c r="E76" i="28"/>
  <c r="E215" s="1"/>
  <c r="C215"/>
  <c r="C231"/>
  <c r="E88"/>
  <c r="E231" s="1"/>
  <c r="C17"/>
  <c r="AS15" i="27"/>
  <c r="AS72"/>
  <c r="C74" i="28"/>
  <c r="E65"/>
  <c r="E162" s="1"/>
  <c r="C162"/>
  <c r="E45"/>
  <c r="E189" s="1"/>
  <c r="C189"/>
  <c r="C187"/>
  <c r="E55"/>
  <c r="E187" s="1"/>
  <c r="AS80" i="27"/>
  <c r="C82" i="28"/>
  <c r="C223"/>
  <c r="E106"/>
  <c r="E223" s="1"/>
  <c r="C22"/>
  <c r="AS20" i="27"/>
  <c r="C230" i="28"/>
  <c r="E84"/>
  <c r="E230" s="1"/>
  <c r="E77"/>
  <c r="E222" s="1"/>
  <c r="C222"/>
  <c r="C207"/>
  <c r="E100"/>
  <c r="E207" s="1"/>
  <c r="E73"/>
  <c r="E146" s="1"/>
  <c r="C146"/>
  <c r="AS93" i="27"/>
  <c r="C95" i="28"/>
  <c r="C210"/>
  <c r="E105"/>
  <c r="E210" s="1"/>
  <c r="E12"/>
  <c r="E131" s="1"/>
  <c r="C131"/>
  <c r="E24"/>
  <c r="E170" s="1"/>
  <c r="C170"/>
  <c r="AS66" i="27"/>
  <c r="C68" i="28"/>
  <c r="E46"/>
  <c r="E193" s="1"/>
  <c r="C193"/>
  <c r="AN9" i="27"/>
  <c r="AC129"/>
  <c r="AS67"/>
  <c r="C69" i="28"/>
  <c r="C216"/>
  <c r="E25"/>
  <c r="E216" s="1"/>
  <c r="E43"/>
  <c r="E186" s="1"/>
  <c r="C186"/>
  <c r="C214"/>
  <c r="E27"/>
  <c r="E214" s="1"/>
  <c r="AS97" i="27"/>
  <c r="C99" i="28"/>
  <c r="C91"/>
  <c r="AS89" i="27"/>
  <c r="C158" i="28"/>
  <c r="E34"/>
  <c r="E158" s="1"/>
  <c r="E50"/>
  <c r="E196" s="1"/>
  <c r="C196"/>
  <c r="C206"/>
  <c r="E75"/>
  <c r="E206" s="1"/>
  <c r="C29"/>
  <c r="AS27" i="27"/>
  <c r="C173" i="28"/>
  <c r="E54"/>
  <c r="E173" s="1"/>
  <c r="AO129" i="27"/>
  <c r="AQ12"/>
  <c r="C138" i="28"/>
  <c r="E62"/>
  <c r="E138" s="1"/>
  <c r="E26"/>
  <c r="E217" s="1"/>
  <c r="C217"/>
  <c r="AS16" i="27"/>
  <c r="C18" i="28"/>
  <c r="AQ11" i="27"/>
  <c r="AO111"/>
  <c r="E31" i="28"/>
  <c r="E174" s="1"/>
  <c r="C174"/>
  <c r="E47"/>
  <c r="E190" s="1"/>
  <c r="C190"/>
  <c r="C205"/>
  <c r="E98"/>
  <c r="E205" s="1"/>
  <c r="C209"/>
  <c r="E104"/>
  <c r="E209" s="1"/>
  <c r="C185"/>
  <c r="E42"/>
  <c r="E185" s="1"/>
  <c r="W128" i="27"/>
  <c r="W130" s="1"/>
  <c r="W124"/>
  <c r="AS26"/>
  <c r="C28" i="28"/>
  <c r="E90"/>
  <c r="E167" s="1"/>
  <c r="C167"/>
  <c r="C144"/>
  <c r="E71"/>
  <c r="E144" s="1"/>
  <c r="E66"/>
  <c r="E161" s="1"/>
  <c r="C161"/>
  <c r="C197"/>
  <c r="E51"/>
  <c r="E197" s="1"/>
  <c r="C101"/>
  <c r="AS99" i="27"/>
  <c r="C172" i="28"/>
  <c r="E36"/>
  <c r="E172" s="1"/>
  <c r="E49"/>
  <c r="E192" s="1"/>
  <c r="C192"/>
  <c r="E56"/>
  <c r="E133" s="1"/>
  <c r="C133"/>
  <c r="C184"/>
  <c r="E41"/>
  <c r="E184" s="1"/>
  <c r="E16"/>
  <c r="E168" s="1"/>
  <c r="C168"/>
  <c r="C97"/>
  <c r="AS95" i="27"/>
  <c r="C87" i="28"/>
  <c r="AS85" i="27"/>
  <c r="E89" i="28"/>
  <c r="E204" s="1"/>
  <c r="C204"/>
  <c r="E96"/>
  <c r="E218" s="1"/>
  <c r="C218"/>
  <c r="E108"/>
  <c r="E233" s="1"/>
  <c r="C233"/>
  <c r="AS91" i="27"/>
  <c r="C93" i="28"/>
  <c r="AS62" i="27"/>
  <c r="C64" i="28"/>
  <c r="C60"/>
  <c r="AS58" i="27"/>
  <c r="E32" i="28"/>
  <c r="E180" s="1"/>
  <c r="C180"/>
  <c r="E38"/>
  <c r="E179" s="1"/>
  <c r="C179"/>
  <c r="C191"/>
  <c r="E102"/>
  <c r="E191" s="1"/>
  <c r="C155"/>
  <c r="E35"/>
  <c r="E155" s="1"/>
  <c r="E67"/>
  <c r="E141" s="1"/>
  <c r="C141"/>
  <c r="C200"/>
  <c r="E20"/>
  <c r="E200" s="1"/>
  <c r="AC111" i="27"/>
  <c r="AN8"/>
  <c r="C150" i="28"/>
  <c r="E111"/>
  <c r="E150" s="1"/>
  <c r="E79"/>
  <c r="E157" s="1"/>
  <c r="C157"/>
  <c r="G140" i="27" l="1"/>
  <c r="G142" s="1"/>
  <c r="I140"/>
  <c r="I142" s="1"/>
  <c r="B20" i="32" s="1"/>
  <c r="C20" s="1"/>
  <c r="F20" s="1"/>
  <c r="C145" i="28"/>
  <c r="E140" i="27"/>
  <c r="E142" s="1"/>
  <c r="B14" i="32" s="1"/>
  <c r="C235" i="28"/>
  <c r="R140" i="27"/>
  <c r="R142" s="1"/>
  <c r="B27" i="32" s="1"/>
  <c r="C27" s="1"/>
  <c r="F27" s="1"/>
  <c r="P140" i="27"/>
  <c r="P142" s="1"/>
  <c r="B25" i="32" s="1"/>
  <c r="C25" s="1"/>
  <c r="F25" s="1"/>
  <c r="N140" i="27"/>
  <c r="N142" s="1"/>
  <c r="B24" i="32" s="1"/>
  <c r="C24" s="1"/>
  <c r="F24" s="1"/>
  <c r="H140" i="27"/>
  <c r="H142" s="1"/>
  <c r="B16" i="32" s="1"/>
  <c r="B53" s="1"/>
  <c r="T140" i="27"/>
  <c r="T142" s="1"/>
  <c r="B29" i="32" s="1"/>
  <c r="C29" s="1"/>
  <c r="F29" s="1"/>
  <c r="Q140" i="27"/>
  <c r="Q142" s="1"/>
  <c r="B33" i="32" s="1"/>
  <c r="C33" s="1"/>
  <c r="F33" s="1"/>
  <c r="O140" i="27"/>
  <c r="O142" s="1"/>
  <c r="B26" i="32" s="1"/>
  <c r="C26" s="1"/>
  <c r="F26" s="1"/>
  <c r="C140" i="27"/>
  <c r="C142" s="1"/>
  <c r="B12" i="32" s="1"/>
  <c r="C12" s="1"/>
  <c r="F12" s="1"/>
  <c r="D140" i="27"/>
  <c r="D142" s="1"/>
  <c r="S140"/>
  <c r="S142" s="1"/>
  <c r="B28" i="32" s="1"/>
  <c r="C28" s="1"/>
  <c r="F28" s="1"/>
  <c r="L140" i="27"/>
  <c r="L142" s="1"/>
  <c r="B23" i="32" s="1"/>
  <c r="C23" s="1"/>
  <c r="F23" s="1"/>
  <c r="J140" i="27"/>
  <c r="J142" s="1"/>
  <c r="B21" i="32" s="1"/>
  <c r="C21" s="1"/>
  <c r="F21" s="1"/>
  <c r="U140" i="27"/>
  <c r="U142" s="1"/>
  <c r="B30" i="32" s="1"/>
  <c r="C30" s="1"/>
  <c r="F30" s="1"/>
  <c r="C156" i="28"/>
  <c r="E93"/>
  <c r="E156" s="1"/>
  <c r="AO128" i="27"/>
  <c r="AO130" s="1"/>
  <c r="AO124"/>
  <c r="AS12"/>
  <c r="C14" i="28"/>
  <c r="E30"/>
  <c r="E220" s="1"/>
  <c r="C220"/>
  <c r="C225"/>
  <c r="E85"/>
  <c r="E225" s="1"/>
  <c r="AC128" i="27"/>
  <c r="AC130" s="1"/>
  <c r="AC124"/>
  <c r="C169" i="28"/>
  <c r="E97"/>
  <c r="E169" s="1"/>
  <c r="C208"/>
  <c r="E101"/>
  <c r="E208" s="1"/>
  <c r="AQ9" i="27"/>
  <c r="AN129"/>
  <c r="E95" i="28"/>
  <c r="E202" s="1"/>
  <c r="C202"/>
  <c r="C164"/>
  <c r="E94"/>
  <c r="E164" s="1"/>
  <c r="C165"/>
  <c r="E21"/>
  <c r="E165" s="1"/>
  <c r="C19" i="32"/>
  <c r="F19" s="1"/>
  <c r="C159" i="28"/>
  <c r="E70"/>
  <c r="E226" s="1"/>
  <c r="C226"/>
  <c r="E69"/>
  <c r="E143" s="1"/>
  <c r="C143"/>
  <c r="C22" i="32"/>
  <c r="F22" s="1"/>
  <c r="AQ8" i="27"/>
  <c r="AN111"/>
  <c r="C140" i="28"/>
  <c r="E64"/>
  <c r="E140" s="1"/>
  <c r="E18"/>
  <c r="E175" s="1"/>
  <c r="C175"/>
  <c r="E99"/>
  <c r="E224" s="1"/>
  <c r="C224"/>
  <c r="E68"/>
  <c r="E142" s="1"/>
  <c r="C142"/>
  <c r="E22"/>
  <c r="E212" s="1"/>
  <c r="C212"/>
  <c r="C211"/>
  <c r="E19"/>
  <c r="E211" s="1"/>
  <c r="C147"/>
  <c r="E78"/>
  <c r="E147" s="1"/>
  <c r="C221"/>
  <c r="E28"/>
  <c r="E221" s="1"/>
  <c r="C154"/>
  <c r="E17"/>
  <c r="E154" s="1"/>
  <c r="E92"/>
  <c r="E201" s="1"/>
  <c r="C201"/>
  <c r="C194"/>
  <c r="E103"/>
  <c r="E194" s="1"/>
  <c r="C137"/>
  <c r="E60"/>
  <c r="E137" s="1"/>
  <c r="C229"/>
  <c r="E87"/>
  <c r="E229" s="1"/>
  <c r="C13"/>
  <c r="AS11" i="27"/>
  <c r="C219" i="28"/>
  <c r="E29"/>
  <c r="E219" s="1"/>
  <c r="E91"/>
  <c r="E166" s="1"/>
  <c r="C166"/>
  <c r="C148"/>
  <c r="E82"/>
  <c r="E148" s="1"/>
  <c r="C213"/>
  <c r="E74"/>
  <c r="E213" s="1"/>
  <c r="E86"/>
  <c r="E228" s="1"/>
  <c r="C228"/>
  <c r="C183"/>
  <c r="E81"/>
  <c r="E183" s="1"/>
  <c r="F15" i="32"/>
  <c r="B13" l="1"/>
  <c r="C14"/>
  <c r="F14" s="1"/>
  <c r="B54"/>
  <c r="B52"/>
  <c r="B51"/>
  <c r="B55"/>
  <c r="C16"/>
  <c r="F16" s="1"/>
  <c r="B50"/>
  <c r="B35"/>
  <c r="B45" s="1"/>
  <c r="B47" s="1"/>
  <c r="C163" i="28"/>
  <c r="E14"/>
  <c r="E163" s="1"/>
  <c r="C132"/>
  <c r="E13"/>
  <c r="E132" s="1"/>
  <c r="AS9" i="27"/>
  <c r="AS129" s="1"/>
  <c r="C11" i="28"/>
  <c r="AQ129" i="27"/>
  <c r="E45" i="32" s="1"/>
  <c r="C13"/>
  <c r="F13" s="1"/>
  <c r="C10" i="28"/>
  <c r="AS8" i="27"/>
  <c r="AQ111"/>
  <c r="AN124"/>
  <c r="AN128"/>
  <c r="AN130" s="1"/>
  <c r="B58" i="32" l="1"/>
  <c r="E32"/>
  <c r="E16"/>
  <c r="AS111" i="27"/>
  <c r="AS124" s="1"/>
  <c r="E21" i="32"/>
  <c r="E18"/>
  <c r="E23"/>
  <c r="E24"/>
  <c r="E13"/>
  <c r="E26"/>
  <c r="E10" i="28"/>
  <c r="C130"/>
  <c r="C152" s="1"/>
  <c r="C113"/>
  <c r="E22" i="32"/>
  <c r="E12"/>
  <c r="E15"/>
  <c r="E19"/>
  <c r="E40"/>
  <c r="E41"/>
  <c r="C177" i="28"/>
  <c r="C239" s="1"/>
  <c r="E11"/>
  <c r="C115"/>
  <c r="E25" i="32"/>
  <c r="E28"/>
  <c r="E20"/>
  <c r="E29"/>
  <c r="E31"/>
  <c r="E39"/>
  <c r="AQ128" i="27"/>
  <c r="AQ130" s="1"/>
  <c r="AQ124"/>
  <c r="E14" i="32"/>
  <c r="E30"/>
  <c r="E27"/>
  <c r="E33"/>
  <c r="E17"/>
  <c r="E55" l="1"/>
  <c r="E51"/>
  <c r="C116" i="28"/>
  <c r="AS128" i="27"/>
  <c r="E54" i="32"/>
  <c r="E50"/>
  <c r="E52"/>
  <c r="E53"/>
  <c r="E177" i="28"/>
  <c r="E35" i="32"/>
  <c r="C237" i="28"/>
  <c r="C238" s="1"/>
  <c r="E130"/>
  <c r="E152" s="1"/>
  <c r="E60" i="32"/>
  <c r="E43"/>
  <c r="E58" l="1"/>
  <c r="C240" i="28"/>
  <c r="D113" l="1"/>
  <c r="D115"/>
  <c r="E39"/>
  <c r="E113" s="1"/>
  <c r="D159"/>
  <c r="D237" s="1"/>
  <c r="E159" l="1"/>
  <c r="E237" s="1"/>
  <c r="E115"/>
  <c r="D239"/>
  <c r="E239" l="1"/>
</calcChain>
</file>

<file path=xl/comments1.xml><?xml version="1.0" encoding="utf-8"?>
<comments xmlns="http://schemas.openxmlformats.org/spreadsheetml/2006/main">
  <authors>
    <author>Maghami, Kourosh</author>
  </authors>
  <commentList>
    <comment ref="M26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include AMIN (PSAS0000000000GS) ONLY</t>
        </r>
      </text>
    </comment>
    <comment ref="L74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MFHR000010 PERSONAL SVCS &amp; M&amp;S EXTERNAL</t>
        </r>
      </text>
    </comment>
    <comment ref="L118" authorId="0">
      <text>
        <r>
          <rPr>
            <b/>
            <sz val="8"/>
            <color indexed="81"/>
            <rFont val="Tahoma"/>
            <family val="2"/>
          </rPr>
          <t>Maghami, Kourosh:</t>
        </r>
        <r>
          <rPr>
            <sz val="8"/>
            <color indexed="81"/>
            <rFont val="Tahoma"/>
            <family val="2"/>
          </rPr>
          <t xml:space="preserve">
MFPU000001, 2, &amp; 3
</t>
        </r>
      </text>
    </comment>
  </commentList>
</comments>
</file>

<file path=xl/comments2.xml><?xml version="1.0" encoding="utf-8"?>
<comments xmlns="http://schemas.openxmlformats.org/spreadsheetml/2006/main">
  <authors>
    <author>Maghami, Kourosh</author>
    <author>City of Portland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Josh E-Mail 12/13/12 at 9:15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Ouyang e-mail 11-30-2012 @ 1:21 PM</t>
        </r>
      </text>
    </comment>
    <comment ref="D23" authorId="0">
      <text>
        <r>
          <rPr>
            <b/>
            <sz val="9"/>
            <color indexed="81"/>
            <rFont val="Tahoma"/>
            <charset val="1"/>
          </rPr>
          <t>Maghami, Kourosh:</t>
        </r>
        <r>
          <rPr>
            <sz val="9"/>
            <color indexed="81"/>
            <rFont val="Tahoma"/>
            <charset val="1"/>
          </rPr>
          <t xml:space="preserve">
added per Jeramy's e-mail 12-17-2012</t>
        </r>
      </text>
    </comment>
    <comment ref="D26" authorId="0">
      <text>
        <r>
          <rPr>
            <b/>
            <sz val="9"/>
            <color indexed="81"/>
            <rFont val="Tahoma"/>
            <charset val="1"/>
          </rPr>
          <t>Maghami, Kourosh:</t>
        </r>
        <r>
          <rPr>
            <sz val="9"/>
            <color indexed="81"/>
            <rFont val="Tahoma"/>
            <charset val="1"/>
          </rPr>
          <t xml:space="preserve">
ADDED PER JERAMY'S E_MAIL 12/17/2012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PA less PACO000004 (domestic violance)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MY less MYMY000003 (youth violance)</t>
        </r>
      </text>
    </comment>
    <comment ref="D37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Steven Dotterrer's position - source Rod Morales 11/19/2010. Steve retired in FY12, and based on Bob Glasscock's e-mail on 11/28, he was replaced by Michele Crim
Used FY11 instead
</t>
        </r>
      </text>
    </comment>
    <comment ref="D38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Robert Glascock's position. Source Rod Morale's 11/19 e-mail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Jeramy's e-mail 11/29/2010
See also Ryan Kinsella's e-mail 12-10-2012 @ 11:42
</t>
        </r>
      </text>
    </comment>
    <comment ref="D46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Jeramy's E-mail 12/7/2012 @ 9:07</t>
        </r>
      </text>
    </comment>
    <comment ref="D52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88% based on FY 07/08 actual (FP/(grants + FP))</t>
        </r>
      </text>
    </comment>
    <comment ref="D54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88% based on FY 07/08 actual (FP/(grants + FP))</t>
        </r>
      </text>
    </comment>
    <comment ref="D55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12% was based on FY08 IBIS actual - no sepearate cost center for Grants</t>
        </r>
      </text>
    </comment>
    <comment ref="D81" authorId="1">
      <text>
        <r>
          <rPr>
            <b/>
            <sz val="8"/>
            <color indexed="81"/>
            <rFont val="Tahoma"/>
            <family val="2"/>
          </rPr>
          <t>City of Portland:</t>
        </r>
        <r>
          <rPr>
            <sz val="8"/>
            <color indexed="81"/>
            <rFont val="Tahoma"/>
            <family val="2"/>
          </rPr>
          <t xml:space="preserve">
Jay's 11/28/12 e-mail. </t>
        </r>
      </text>
    </comment>
    <comment ref="D83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JOSH e-mail 12/7/12 @ 9:01 AM</t>
        </r>
      </text>
    </comment>
  </commentList>
</comments>
</file>

<file path=xl/comments3.xml><?xml version="1.0" encoding="utf-8"?>
<comments xmlns="http://schemas.openxmlformats.org/spreadsheetml/2006/main">
  <authors>
    <author>Maghami, Kourosh</author>
  </authors>
  <commentList>
    <comment ref="AO81" authorId="0">
      <text>
        <r>
          <rPr>
            <b/>
            <sz val="9"/>
            <color indexed="81"/>
            <rFont val="Tahoma"/>
            <family val="2"/>
          </rPr>
          <t>Maghami, Kourosh:</t>
        </r>
        <r>
          <rPr>
            <sz val="9"/>
            <color indexed="81"/>
            <rFont val="Tahoma"/>
            <family val="2"/>
          </rPr>
          <t xml:space="preserve">
Jeramy's e-mail 12/13/12 @8:54:"IT NEEDS TO BE EXCLUDED"</t>
        </r>
      </text>
    </comment>
  </commentList>
</comments>
</file>

<file path=xl/sharedStrings.xml><?xml version="1.0" encoding="utf-8"?>
<sst xmlns="http://schemas.openxmlformats.org/spreadsheetml/2006/main" count="2507" uniqueCount="631">
  <si>
    <t>(M)</t>
  </si>
  <si>
    <t>M</t>
  </si>
  <si>
    <t>(K)</t>
  </si>
  <si>
    <t>(N) BIT</t>
  </si>
  <si>
    <t>N</t>
  </si>
  <si>
    <t>G</t>
  </si>
  <si>
    <t>(G)</t>
  </si>
  <si>
    <t>H</t>
  </si>
  <si>
    <t>(H)</t>
  </si>
  <si>
    <t>L</t>
  </si>
  <si>
    <t>(L)</t>
  </si>
  <si>
    <t>SUBTOTAL: OPERATING BUREAUS</t>
  </si>
  <si>
    <t>Operating Bureau Subtotal</t>
  </si>
  <si>
    <t>Recovery Amount from non-G.F. Bureaus</t>
  </si>
  <si>
    <t>Rate of Recovery</t>
  </si>
  <si>
    <t>Management and Finance</t>
  </si>
  <si>
    <t>Total Indirect Recovery</t>
  </si>
  <si>
    <t>Total Recovery Operating and Indirect Bureaus</t>
  </si>
  <si>
    <t>SAP</t>
  </si>
  <si>
    <t>FUND NO.</t>
  </si>
  <si>
    <t>Fund</t>
  </si>
  <si>
    <t>PL</t>
  </si>
  <si>
    <t/>
  </si>
  <si>
    <t>FR</t>
  </si>
  <si>
    <t>PK</t>
  </si>
  <si>
    <t>CB</t>
  </si>
  <si>
    <t>HN</t>
  </si>
  <si>
    <t>NI</t>
  </si>
  <si>
    <t>PN</t>
  </si>
  <si>
    <t>HC</t>
  </si>
  <si>
    <t>MFFM</t>
  </si>
  <si>
    <t>GR, MY, PA, PS, PU, PW</t>
  </si>
  <si>
    <t>EM</t>
  </si>
  <si>
    <t>MF</t>
  </si>
  <si>
    <t>AT</t>
  </si>
  <si>
    <t>AU</t>
  </si>
  <si>
    <t>OPERATING BUREAUS/FUNDS</t>
  </si>
  <si>
    <t>Portland Police Bureau</t>
  </si>
  <si>
    <t>Campaign Finance</t>
  </si>
  <si>
    <t>Portland Fire &amp;    Rescue</t>
  </si>
  <si>
    <t>Portland Parks &amp;    Recreation</t>
  </si>
  <si>
    <t>Sewer System Op</t>
  </si>
  <si>
    <t>Envtl Remediation</t>
  </si>
  <si>
    <t>Solid Waste Mgt</t>
  </si>
  <si>
    <t>Transportation Op</t>
  </si>
  <si>
    <t>Transportation Resv</t>
  </si>
  <si>
    <t>Sewer System Constr</t>
  </si>
  <si>
    <t>Sewer Sys Debt Rdmpt</t>
  </si>
  <si>
    <t>Water</t>
  </si>
  <si>
    <t>Water Construction</t>
  </si>
  <si>
    <t>Water Bond Sinking</t>
  </si>
  <si>
    <t>Spectator Fac Op</t>
  </si>
  <si>
    <t>Sewer Sys Rate Stblt</t>
  </si>
  <si>
    <t>Sewer Sys Safety Net</t>
  </si>
  <si>
    <t>Sewer Revolving Loan</t>
  </si>
  <si>
    <t>F&amp;P Suppl Retir Rsrv</t>
  </si>
  <si>
    <t>FPDR</t>
  </si>
  <si>
    <t>FPDR Reserve</t>
  </si>
  <si>
    <t>Spec Fin &amp; Resource</t>
  </si>
  <si>
    <t>Grants</t>
  </si>
  <si>
    <t>PDC Accounts</t>
  </si>
  <si>
    <t>Property Mgt License</t>
  </si>
  <si>
    <t>Assessmnt Collection</t>
  </si>
  <si>
    <t>Convention &amp; Tourism</t>
  </si>
  <si>
    <t>Parks Local Opt Levy</t>
  </si>
  <si>
    <t>Children Investment</t>
  </si>
  <si>
    <t>Public Safety</t>
  </si>
  <si>
    <t>Willamtte Ind URA DS</t>
  </si>
  <si>
    <t>River Dist URA DR</t>
  </si>
  <si>
    <t>Bonded Dbt Int&amp;Sinkg</t>
  </si>
  <si>
    <t>DTWF Renwl Bd Sink</t>
  </si>
  <si>
    <t>Pension Debt Rdmpt</t>
  </si>
  <si>
    <t>SO Park Block Rdmpt</t>
  </si>
  <si>
    <t>Cntrl E Ind Distr DS</t>
  </si>
  <si>
    <t>Airport Way Dbt Srvc</t>
  </si>
  <si>
    <t>Convention Cntr ADS</t>
  </si>
  <si>
    <t>Lents Twn Ctr URA DR</t>
  </si>
  <si>
    <t>N Macadam URA DR</t>
  </si>
  <si>
    <t>Special Prjt Dbt Svc</t>
  </si>
  <si>
    <t>Gateway URA DR</t>
  </si>
  <si>
    <t>Housing Investment</t>
  </si>
  <si>
    <t>General Reserve</t>
  </si>
  <si>
    <t>Interstate C Dbt Svc</t>
  </si>
  <si>
    <t>General Fund Contingency</t>
  </si>
  <si>
    <t>Gen Fund Reimb Expenditures</t>
  </si>
  <si>
    <t>General Fund Transfers</t>
  </si>
  <si>
    <t>Cable Communications    &amp; Franchise Management</t>
  </si>
  <si>
    <t>Office of Sustainable Development (OSD)</t>
  </si>
  <si>
    <t>Cable</t>
  </si>
  <si>
    <t>Office of Human Relations</t>
  </si>
  <si>
    <t>General Fund Revenues/Balance</t>
  </si>
  <si>
    <t>Business Licenses</t>
  </si>
  <si>
    <t>Business Lic Surchg</t>
  </si>
  <si>
    <t>Prvt Hire TR Safety</t>
  </si>
  <si>
    <t>Office of Neighborhood    Involvement</t>
  </si>
  <si>
    <t>General Services</t>
  </si>
  <si>
    <t>Utility Billing Sys Implent</t>
  </si>
  <si>
    <t>P&amp;D Srvcs Operating</t>
  </si>
  <si>
    <t>Revenue Bureau</t>
  </si>
  <si>
    <t>Special Appropriations</t>
  </si>
  <si>
    <t>Portland Park Mem Tr</t>
  </si>
  <si>
    <t>Parks Endowment</t>
  </si>
  <si>
    <t>Wtr Grwth Imp Chg Tr</t>
  </si>
  <si>
    <t>Health Insurance Op</t>
  </si>
  <si>
    <t>Bureau of Planning &amp;    Sustainability</t>
  </si>
  <si>
    <t>Development Services</t>
  </si>
  <si>
    <t>CDBG Incoming (Ext)</t>
  </si>
  <si>
    <t>HOME Incoming (Ext)</t>
  </si>
  <si>
    <t>Portland Housing Bureau</t>
  </si>
  <si>
    <t>Technology Services</t>
  </si>
  <si>
    <t>CityFleet Operating</t>
  </si>
  <si>
    <t>Insurance &amp; Claim Op</t>
  </si>
  <si>
    <t>Wkr Comp Self Ins Op</t>
  </si>
  <si>
    <t>PPA Health Insurance</t>
  </si>
  <si>
    <t>Portland Int Raceway</t>
  </si>
  <si>
    <t>Golf</t>
  </si>
  <si>
    <t>Golf Rev Bond Rdmpt</t>
  </si>
  <si>
    <t>Emergency Comm</t>
  </si>
  <si>
    <t>Hydroelectric Pwr Op</t>
  </si>
  <si>
    <t>Hydro Pwr Bond Rdmpt</t>
  </si>
  <si>
    <t>Hydro Pwr Rnwl Rplmt</t>
  </si>
  <si>
    <t>Parking Facilities</t>
  </si>
  <si>
    <t>Parking Fac Db Rdmpt</t>
  </si>
  <si>
    <t>Facilities Svcs Op</t>
  </si>
  <si>
    <t>BFRES Fac GO Bd Cstr</t>
  </si>
  <si>
    <t>LID Construction</t>
  </si>
  <si>
    <t>Gas Tax Bond Rdmpt</t>
  </si>
  <si>
    <t>Bancroft Int &amp; Sinkg</t>
  </si>
  <si>
    <t>Parks Cap Cstr Maint</t>
  </si>
  <si>
    <t>Governmentl Bd Rdmpt</t>
  </si>
  <si>
    <t>Enterprise Business Solutions Services</t>
  </si>
  <si>
    <t>Police Special Revenue</t>
  </si>
  <si>
    <t>Tax Increment Financing Reimbursment</t>
  </si>
  <si>
    <t>Fund Management</t>
  </si>
  <si>
    <t>Council</t>
  </si>
  <si>
    <t>Portland Office of    Emergency Management</t>
  </si>
  <si>
    <t>Office of Management    &amp; Finance</t>
  </si>
  <si>
    <t>Office of City Attorney</t>
  </si>
  <si>
    <t>Purchasing</t>
  </si>
  <si>
    <t>Office of the City    Auditor</t>
  </si>
  <si>
    <t>TOTAL</t>
  </si>
  <si>
    <t>%</t>
  </si>
  <si>
    <t>Office of Neighborhood Involvement</t>
  </si>
  <si>
    <t>Children's Investment Fund</t>
  </si>
  <si>
    <t>POEM</t>
  </si>
  <si>
    <t>Campaign Finance Fund</t>
  </si>
  <si>
    <t>Special Finance and Resource Fund</t>
  </si>
  <si>
    <t>Parks Local Option Levy Fund</t>
  </si>
  <si>
    <t>Pension Debt Redemption Fund</t>
  </si>
  <si>
    <t>Special Projects Debt Service Fund</t>
  </si>
  <si>
    <t>Housing Investment Fund</t>
  </si>
  <si>
    <t>Parks Endowment Fund</t>
  </si>
  <si>
    <t>Governmental Bond Redemption Fund</t>
  </si>
  <si>
    <t>Attorney</t>
  </si>
  <si>
    <t>Auditor</t>
  </si>
  <si>
    <t>FY 09/10</t>
  </si>
  <si>
    <t>THREE YEAR</t>
  </si>
  <si>
    <t>AVERAGE</t>
  </si>
  <si>
    <t>DR</t>
  </si>
  <si>
    <t>Office of the City Auditor</t>
  </si>
  <si>
    <t>Office of Government Relations</t>
  </si>
  <si>
    <t>Office of the Mayor</t>
  </si>
  <si>
    <t>Commissioner of Public Affairs</t>
  </si>
  <si>
    <t>Portland Parks &amp; Recreation</t>
  </si>
  <si>
    <t>Commissioner of Public Safety</t>
  </si>
  <si>
    <t>Commissioner of Public Utilities</t>
  </si>
  <si>
    <t>Commissioner of Public Works</t>
  </si>
  <si>
    <t>Transportation Operating Fund</t>
  </si>
  <si>
    <t>Assessment Collection Fund</t>
  </si>
  <si>
    <t>Emergency Communication Fund</t>
  </si>
  <si>
    <t>Development Services Fund</t>
  </si>
  <si>
    <t>Property Management License Fund</t>
  </si>
  <si>
    <t>Cable Fund</t>
  </si>
  <si>
    <t>Convention and Tourism Fund</t>
  </si>
  <si>
    <t>Grants Fund</t>
  </si>
  <si>
    <t>Community Development Block Grant Fund</t>
  </si>
  <si>
    <t>HOME Grant Fund</t>
  </si>
  <si>
    <t>Portland Parks Memorial Trust Fund</t>
  </si>
  <si>
    <t>Police Special Revenue Fund</t>
  </si>
  <si>
    <t>River District URA Debt Redemption Fund</t>
  </si>
  <si>
    <t>Bonded Debt Interest and Sinking Fund</t>
  </si>
  <si>
    <t>Waterfront Renewal Bond Sinking Fund</t>
  </si>
  <si>
    <t>Interstate Corridor Debt Service Fund</t>
  </si>
  <si>
    <t>Airport Way Debt Service Fund</t>
  </si>
  <si>
    <t>Gas Tax Bond Redemption Fund</t>
  </si>
  <si>
    <t>Central Eastside Ind District Debt Service Fund</t>
  </si>
  <si>
    <t>Bancroft Bond Interest and Sinking Fund</t>
  </si>
  <si>
    <t>Convention Center Area Debt Service Fund</t>
  </si>
  <si>
    <t>North Macadam URA Debt Redemption Fund</t>
  </si>
  <si>
    <t>Gateway URA Debt Redemption Fund</t>
  </si>
  <si>
    <t>Willamette Industrial URA Debt Service Fund</t>
  </si>
  <si>
    <t>Local Improvement District Construction Fund</t>
  </si>
  <si>
    <t>Parks Capital Construction &amp; Maintenance Fund</t>
  </si>
  <si>
    <t>Sewer System Operating Fund</t>
  </si>
  <si>
    <t>Hydroelectric Power Operating Fund</t>
  </si>
  <si>
    <t>Water Fund</t>
  </si>
  <si>
    <t>Golf Fund</t>
  </si>
  <si>
    <t>Portland International Raceway Fund</t>
  </si>
  <si>
    <t>Solid Waste Management Fund</t>
  </si>
  <si>
    <t>Parking Facilities Fund</t>
  </si>
  <si>
    <t>Spectator Facilities Operating Fund</t>
  </si>
  <si>
    <t>Environmental Remediation Fund</t>
  </si>
  <si>
    <t>Sewer System Debt Redemption Fund</t>
  </si>
  <si>
    <t>Golf Revenue Bond Redemption Fund</t>
  </si>
  <si>
    <t>Health Insurance Operating Fund</t>
  </si>
  <si>
    <t>Facilities Services Operating Fund</t>
  </si>
  <si>
    <t>CityFleet Operating Fund</t>
  </si>
  <si>
    <t>Insurance and Claims Operating Fund</t>
  </si>
  <si>
    <t>Technology Services Fund</t>
  </si>
  <si>
    <t>EBS Services Fund</t>
  </si>
  <si>
    <t>Fire &amp; Police Disability &amp; Retirement Fund</t>
  </si>
  <si>
    <t>Fire &amp; Police Supplemental Retirement Res Fund</t>
  </si>
  <si>
    <t>INDIRECT BUREAUS</t>
  </si>
  <si>
    <t>ATTORNEY</t>
  </si>
  <si>
    <t>COUNCIL</t>
  </si>
  <si>
    <t>CITY</t>
  </si>
  <si>
    <t>COSTS</t>
  </si>
  <si>
    <t>BUDGET</t>
  </si>
  <si>
    <t>INTERNAL</t>
  </si>
  <si>
    <t>AUDIT</t>
  </si>
  <si>
    <t>OMF</t>
  </si>
  <si>
    <t>PURCHASING</t>
  </si>
  <si>
    <t>RECORDS</t>
  </si>
  <si>
    <t>MANAGEMENT</t>
  </si>
  <si>
    <t>I &amp; R</t>
  </si>
  <si>
    <t>AUDITOR</t>
  </si>
  <si>
    <t>PLANNING</t>
  </si>
  <si>
    <t>REVENUE</t>
  </si>
  <si>
    <t>PUBLIC</t>
  </si>
  <si>
    <t>CITY OF PORTLAND</t>
  </si>
  <si>
    <t>BUREAU COST CATEGORIES</t>
  </si>
  <si>
    <t>ALLOCABLE</t>
  </si>
  <si>
    <t>OUTSIDE</t>
  </si>
  <si>
    <t>OVERHEAD</t>
  </si>
  <si>
    <t>EXPENSE</t>
  </si>
  <si>
    <t>$</t>
  </si>
  <si>
    <t>Subtotals</t>
  </si>
  <si>
    <t>SPECIFIC ALLOCATIONS:</t>
  </si>
  <si>
    <t>City-Wide Cost Allocation</t>
  </si>
  <si>
    <t>AUDA000002 Council/Contracts</t>
  </si>
  <si>
    <t>AUCA000003 Progress Board</t>
  </si>
  <si>
    <t>AUCA000005 Hearings Officer</t>
  </si>
  <si>
    <t>AT Office of City Attorney</t>
  </si>
  <si>
    <t>AUDA000001 Management</t>
  </si>
  <si>
    <t>AUCA000002 Ind Police Review</t>
  </si>
  <si>
    <t>AUDA000004 Assmts/Fin/Foreclose</t>
  </si>
  <si>
    <t>AUCA000004 Ombudsman Office</t>
  </si>
  <si>
    <t>LAAUAU00000000GL</t>
  </si>
  <si>
    <t>PW Commissioner of Public Works</t>
  </si>
  <si>
    <t>PS Commissioner of Public Safety</t>
  </si>
  <si>
    <t>PA Commissioner of Public Affairs</t>
  </si>
  <si>
    <t>PU Commissioner of Public Utilities</t>
  </si>
  <si>
    <t>GR Office of Governmental Relations</t>
  </si>
  <si>
    <t>MY Office of the Mayor</t>
  </si>
  <si>
    <t>Comprehensive Planning</t>
  </si>
  <si>
    <t>Governmental Coordination</t>
  </si>
  <si>
    <t>NIIR Information &amp; Referral</t>
  </si>
  <si>
    <t>MFPU000001 Procurement</t>
  </si>
  <si>
    <t>MFPU000002 Director</t>
  </si>
  <si>
    <t>MFPU000003 Outside Services</t>
  </si>
  <si>
    <t xml:space="preserve">MFFS000008 Financial Planning </t>
  </si>
  <si>
    <t>MFDR000001 CAO</t>
  </si>
  <si>
    <t>MFFS000001 Acct Admin</t>
  </si>
  <si>
    <t>MFFS000002 Acct Process</t>
  </si>
  <si>
    <t>MFFS000003 Acct Technical</t>
  </si>
  <si>
    <t>MFFS000004 Acct Customer</t>
  </si>
  <si>
    <t>LAAUAUCA000000GL CAFR audit</t>
  </si>
  <si>
    <t>MFSA000002 City Membership/Dues</t>
  </si>
  <si>
    <t>MFHR000001 Operations</t>
  </si>
  <si>
    <t>MFHR000002 Labor</t>
  </si>
  <si>
    <t>MFHR000003 Class/Comp</t>
  </si>
  <si>
    <t>MFHR000004 E&amp;D</t>
  </si>
  <si>
    <t>MFHR000005 Diversity</t>
  </si>
  <si>
    <t>MFHR000006 Benefits</t>
  </si>
  <si>
    <t>MFHR000007 Utilities</t>
  </si>
  <si>
    <t>MFHR000008 Safety</t>
  </si>
  <si>
    <t>MFHR000009 Admin</t>
  </si>
  <si>
    <t>PSEO000000000000/FREO000004</t>
  </si>
  <si>
    <t>EMEM Emergency Management</t>
  </si>
  <si>
    <t>AUDIT SERVICES</t>
  </si>
  <si>
    <t>RECORDS MANAGERMENT</t>
  </si>
  <si>
    <t>CITY COUNCIL</t>
  </si>
  <si>
    <t>FINANCIAL PLANNING</t>
  </si>
  <si>
    <t>GRANTS</t>
  </si>
  <si>
    <t>ACCOUNTING</t>
  </si>
  <si>
    <t>SPECIAL APPROPRIATION</t>
  </si>
  <si>
    <t>MFSA000003 Leaders Roundtable</t>
  </si>
  <si>
    <t>MFSA000005 Council E-Funds</t>
  </si>
  <si>
    <t>HR ORG 1..6</t>
  </si>
  <si>
    <t>HR UTILITIES</t>
  </si>
  <si>
    <t>HR SAFETY</t>
  </si>
  <si>
    <t>HR ADMIN</t>
  </si>
  <si>
    <t>OEM</t>
  </si>
  <si>
    <t>MFIB - MFOP000071</t>
  </si>
  <si>
    <t>MFEB EBS Ongoing</t>
  </si>
  <si>
    <t>9AUSA0000001 Single Audit</t>
  </si>
  <si>
    <t xml:space="preserve">% </t>
  </si>
  <si>
    <t>of Employees</t>
  </si>
  <si>
    <t>NUMBER OF EMPLOYEES</t>
  </si>
  <si>
    <t>ADJUSTED BUDGET SIZE</t>
  </si>
  <si>
    <t>COST CENTERS</t>
  </si>
  <si>
    <t>Schedule D</t>
  </si>
  <si>
    <t>SPECIAL</t>
  </si>
  <si>
    <t>INCREASE</t>
  </si>
  <si>
    <t>OMF/</t>
  </si>
  <si>
    <t>BUREAU</t>
  </si>
  <si>
    <t>BUREAU TOTAL</t>
  </si>
  <si>
    <t>CITY-WIDE</t>
  </si>
  <si>
    <t>APPROPS</t>
  </si>
  <si>
    <t>(DECREASE)</t>
  </si>
  <si>
    <t>FINANCIAL</t>
  </si>
  <si>
    <t>ALLOCATION</t>
  </si>
  <si>
    <t>BEFORE</t>
  </si>
  <si>
    <t>ADJUSTMENTS</t>
  </si>
  <si>
    <t>ACTUAL</t>
  </si>
  <si>
    <t>SPECIFIC</t>
  </si>
  <si>
    <t>SERVICES</t>
  </si>
  <si>
    <t>HR</t>
  </si>
  <si>
    <t>INDIRECT</t>
  </si>
  <si>
    <t>OTHER COST</t>
  </si>
  <si>
    <t>OF</t>
  </si>
  <si>
    <t>CITY WIDE</t>
  </si>
  <si>
    <t>ALL</t>
  </si>
  <si>
    <t>FOR BUDGET</t>
  </si>
  <si>
    <t>ADJ</t>
  </si>
  <si>
    <t>OVER</t>
  </si>
  <si>
    <t>SAP Fund</t>
  </si>
  <si>
    <t>ALLOCATIONS</t>
  </si>
  <si>
    <t>ADMIN</t>
  </si>
  <si>
    <t>PAYROLL</t>
  </si>
  <si>
    <t>ORG 41..49</t>
  </si>
  <si>
    <t>ORG 50</t>
  </si>
  <si>
    <t>ORG 51</t>
  </si>
  <si>
    <t>ORG 52</t>
  </si>
  <si>
    <t>BUREAUS</t>
  </si>
  <si>
    <t>PURPOSES</t>
  </si>
  <si>
    <t>CODE</t>
  </si>
  <si>
    <t>K</t>
  </si>
  <si>
    <t>A</t>
  </si>
  <si>
    <t>C</t>
  </si>
  <si>
    <t>(C)</t>
  </si>
  <si>
    <t>(A)</t>
  </si>
  <si>
    <t>LEGEND FOR</t>
  </si>
  <si>
    <t>ADJUSTMENT</t>
  </si>
  <si>
    <t>B</t>
  </si>
  <si>
    <t>(B)</t>
  </si>
  <si>
    <t>COLUMN</t>
  </si>
  <si>
    <t>(A) Env. Svcs.</t>
  </si>
  <si>
    <t>(B) Water</t>
  </si>
  <si>
    <t>(C) PDOT</t>
  </si>
  <si>
    <t>(D) FPD&amp;R</t>
  </si>
  <si>
    <t>(Z)</t>
  </si>
  <si>
    <t>(E) PDC</t>
  </si>
  <si>
    <t>D</t>
  </si>
  <si>
    <t>(F) Fire</t>
  </si>
  <si>
    <t>(D)</t>
  </si>
  <si>
    <t>(G) Golf</t>
  </si>
  <si>
    <t>(H) Hydro</t>
  </si>
  <si>
    <t>(I) Parking</t>
  </si>
  <si>
    <t>(K) Parks</t>
  </si>
  <si>
    <t>(L) LID</t>
  </si>
  <si>
    <t>(M) General Svcs.</t>
  </si>
  <si>
    <t>(o) Pub safe/BOEC</t>
  </si>
  <si>
    <t>(Z) General Fund</t>
  </si>
  <si>
    <t>BASED ON ACTUAL EXPENDITURES</t>
  </si>
  <si>
    <t>SCHEDULE C</t>
  </si>
  <si>
    <t>FUND</t>
  </si>
  <si>
    <t>TOTAL RECOVERY</t>
  </si>
  <si>
    <t>PERCENTAGE RECOVERY</t>
  </si>
  <si>
    <t>RETIREMENT</t>
  </si>
  <si>
    <t>TRUST FUND</t>
  </si>
  <si>
    <t xml:space="preserve">REVENUE FUND </t>
  </si>
  <si>
    <t>DEBT FUND</t>
  </si>
  <si>
    <t>CONSTRUCTION</t>
  </si>
  <si>
    <t>OPERATING</t>
  </si>
  <si>
    <t xml:space="preserve">TOTAL </t>
  </si>
  <si>
    <t>@ 0%</t>
  </si>
  <si>
    <t>@ 50%</t>
  </si>
  <si>
    <t>@ 100%</t>
  </si>
  <si>
    <t>OF BUDGET</t>
  </si>
  <si>
    <t>ALLOCATED</t>
  </si>
  <si>
    <t>Campaign Finance (closed)</t>
  </si>
  <si>
    <t>mfop000071</t>
  </si>
  <si>
    <t>mfcp</t>
  </si>
  <si>
    <t>mfsa</t>
  </si>
  <si>
    <t>Headwaters Apartment Complex Fund</t>
  </si>
  <si>
    <t>mffm</t>
  </si>
  <si>
    <t>Portland Office of Emergency Mgmnt</t>
  </si>
  <si>
    <t>Management &amp; Finance</t>
  </si>
  <si>
    <t>mayor</t>
  </si>
  <si>
    <t>ps</t>
  </si>
  <si>
    <t>pw</t>
  </si>
  <si>
    <t>pa</t>
  </si>
  <si>
    <t>pu</t>
  </si>
  <si>
    <t>gr</t>
  </si>
  <si>
    <t>mfdr</t>
  </si>
  <si>
    <t>mfhr</t>
  </si>
  <si>
    <t>mfop</t>
  </si>
  <si>
    <t>mfpu000001, 2 &amp; 3</t>
  </si>
  <si>
    <t>mfrb</t>
  </si>
  <si>
    <t>mffs</t>
  </si>
  <si>
    <t>Fund_Name</t>
  </si>
  <si>
    <t>Bureau</t>
  </si>
  <si>
    <t>Bureau_Name</t>
  </si>
  <si>
    <t>Type</t>
  </si>
  <si>
    <t>Personal</t>
  </si>
  <si>
    <t>EMS</t>
  </si>
  <si>
    <t>IMS</t>
  </si>
  <si>
    <t>CAPITAL_OUTLAY</t>
  </si>
  <si>
    <t>Debt_Service</t>
  </si>
  <si>
    <t>100</t>
  </si>
  <si>
    <t>General Fund</t>
  </si>
  <si>
    <t>Operating</t>
  </si>
  <si>
    <t>Cable Communications and Franchise Management</t>
  </si>
  <si>
    <t>Portland Office of Emergency Management</t>
  </si>
  <si>
    <t>Portland Fire and Rescue</t>
  </si>
  <si>
    <t>Capital</t>
  </si>
  <si>
    <t>GR</t>
  </si>
  <si>
    <t>Office of Management and Finance</t>
  </si>
  <si>
    <t>MY</t>
  </si>
  <si>
    <t>PA</t>
  </si>
  <si>
    <t>Bureau of Planning and Sustainability</t>
  </si>
  <si>
    <t>PS</t>
  </si>
  <si>
    <t>PU</t>
  </si>
  <si>
    <t>PW</t>
  </si>
  <si>
    <t>SD</t>
  </si>
  <si>
    <t>Office of Sustainable Development</t>
  </si>
  <si>
    <t>ZD</t>
  </si>
  <si>
    <t>Portland Development Commission</t>
  </si>
  <si>
    <t>200</t>
  </si>
  <si>
    <t>TR</t>
  </si>
  <si>
    <t>Portland Bureau of Transportation</t>
  </si>
  <si>
    <t>201</t>
  </si>
  <si>
    <t>202</t>
  </si>
  <si>
    <t>EC</t>
  </si>
  <si>
    <t>Bureau of Emergency Communications</t>
  </si>
  <si>
    <t>203</t>
  </si>
  <si>
    <t>DS</t>
  </si>
  <si>
    <t>Bureau of Development Services</t>
  </si>
  <si>
    <t>204</t>
  </si>
  <si>
    <t>206</t>
  </si>
  <si>
    <t>209</t>
  </si>
  <si>
    <t>211</t>
  </si>
  <si>
    <t>213</t>
  </si>
  <si>
    <t>214</t>
  </si>
  <si>
    <t>215</t>
  </si>
  <si>
    <t>216</t>
  </si>
  <si>
    <t>217</t>
  </si>
  <si>
    <t>ES</t>
  </si>
  <si>
    <t>Bureau of Environmental Services</t>
  </si>
  <si>
    <t>WA</t>
  </si>
  <si>
    <t>Portland Water Bureau</t>
  </si>
  <si>
    <t>218</t>
  </si>
  <si>
    <t>219</t>
  </si>
  <si>
    <t>220</t>
  </si>
  <si>
    <t>221</t>
  </si>
  <si>
    <t>Tax Increment Financing Reimbursement</t>
  </si>
  <si>
    <t>222</t>
  </si>
  <si>
    <t>301</t>
  </si>
  <si>
    <t>302</t>
  </si>
  <si>
    <t>303</t>
  </si>
  <si>
    <t>304</t>
  </si>
  <si>
    <t>305</t>
  </si>
  <si>
    <t>306</t>
  </si>
  <si>
    <t>South Park Block Redemption Fund</t>
  </si>
  <si>
    <t>307</t>
  </si>
  <si>
    <t>308</t>
  </si>
  <si>
    <t>309</t>
  </si>
  <si>
    <t>Lents Town Ctr URA Debt Redemption Fund</t>
  </si>
  <si>
    <t>310</t>
  </si>
  <si>
    <t>311</t>
  </si>
  <si>
    <t>312</t>
  </si>
  <si>
    <t>313</t>
  </si>
  <si>
    <t>314</t>
  </si>
  <si>
    <t>315</t>
  </si>
  <si>
    <t>316</t>
  </si>
  <si>
    <t>317</t>
  </si>
  <si>
    <t>400</t>
  </si>
  <si>
    <t>BFRES Facilties GO Bond Construction Fund</t>
  </si>
  <si>
    <t>401</t>
  </si>
  <si>
    <t>402</t>
  </si>
  <si>
    <t>403</t>
  </si>
  <si>
    <t>Public Safety GO Bond</t>
  </si>
  <si>
    <t>500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</si>
  <si>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</si>
  <si>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</si>
  <si>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</si>
  <si>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</si>
  <si>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</si>
  <si>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</si>
  <si>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</si>
  <si>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</si>
  <si>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</si>
  <si>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</si>
  <si>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</si>
  <si>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</si>
  <si>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Hydroelectric Power Bond Redemption</t>
  </si>
  <si>
    <t>612</t>
  </si>
  <si>
    <t>614</t>
  </si>
  <si>
    <t>Sewer System Construction</t>
  </si>
  <si>
    <t>621</t>
  </si>
  <si>
    <t>Headwaters Apartment Complex</t>
  </si>
  <si>
    <t>700</t>
  </si>
  <si>
    <t>701</t>
  </si>
  <si>
    <t>702</t>
  </si>
  <si>
    <t>703</t>
  </si>
  <si>
    <t>Printing and Distribution Services Operating Fnd</t>
  </si>
  <si>
    <t>704</t>
  </si>
  <si>
    <t>705</t>
  </si>
  <si>
    <t>Workers^ Comp Self Insurance Operating Fund</t>
  </si>
  <si>
    <t>706</t>
  </si>
  <si>
    <t>708</t>
  </si>
  <si>
    <t>800</t>
  </si>
  <si>
    <t>Bureau of Fire &amp; Police Disability &amp; Retirement</t>
  </si>
  <si>
    <t>802</t>
  </si>
  <si>
    <t>MFDR</t>
  </si>
  <si>
    <t>MFFS</t>
  </si>
  <si>
    <t>MFHR</t>
  </si>
  <si>
    <t>MFOP</t>
  </si>
  <si>
    <t>MFRB</t>
  </si>
  <si>
    <t>MFOP000010 (Maintenance and Repair)</t>
  </si>
  <si>
    <t>MFOP000042 (facilities)</t>
  </si>
  <si>
    <t>MFOP000045 (Portland Building)</t>
  </si>
  <si>
    <t>MFOP000061 (Union Station)</t>
  </si>
  <si>
    <t>MFTS000028 (BTS)</t>
  </si>
  <si>
    <t>Internal Business Sv</t>
  </si>
  <si>
    <t>Citywide Projects</t>
  </si>
  <si>
    <t>mfhr000010</t>
  </si>
  <si>
    <t>ADJUSTED</t>
  </si>
  <si>
    <t>Actual Expend.</t>
  </si>
  <si>
    <t>FY 10/11</t>
  </si>
  <si>
    <t>Unused</t>
  </si>
  <si>
    <t>AP WITH</t>
  </si>
  <si>
    <t>DISCOUNT</t>
  </si>
  <si>
    <t>INVOLVEMENT</t>
  </si>
  <si>
    <t>BEST</t>
  </si>
  <si>
    <t xml:space="preserve">PRACTICES </t>
  </si>
  <si>
    <t>(Q)</t>
  </si>
  <si>
    <t>Q</t>
  </si>
  <si>
    <t>R</t>
  </si>
  <si>
    <t>(R)</t>
  </si>
  <si>
    <t>P</t>
  </si>
  <si>
    <t>TABLE 3</t>
  </si>
  <si>
    <t>TABLE 5</t>
  </si>
  <si>
    <t>LOOK UP VALUES</t>
  </si>
  <si>
    <t>TABLE</t>
  </si>
  <si>
    <t>TABLE 3, TABLE 4</t>
  </si>
  <si>
    <t>TABLE4</t>
  </si>
  <si>
    <t>TABLE5</t>
  </si>
  <si>
    <t>TABLE3</t>
  </si>
  <si>
    <t>Excluded funds</t>
  </si>
  <si>
    <t>12/13</t>
  </si>
  <si>
    <t>Community Technology</t>
  </si>
  <si>
    <t>FY 2012 No.</t>
  </si>
  <si>
    <t>FY 11/12</t>
  </si>
  <si>
    <t>BLENDED</t>
  </si>
  <si>
    <t>FACTOR</t>
  </si>
  <si>
    <t>FINAL</t>
  </si>
  <si>
    <t>RATE</t>
  </si>
  <si>
    <t>OVERHEAD BUREAUS</t>
  </si>
  <si>
    <t>RECOVERY</t>
  </si>
  <si>
    <t>HR ORG 41..49</t>
  </si>
  <si>
    <t>HR ORG 50</t>
  </si>
  <si>
    <t>HR ORG 51</t>
  </si>
  <si>
    <t>HR ORG 52</t>
  </si>
  <si>
    <t>TOTAL SPECIAL APPROPRIATIONS</t>
  </si>
  <si>
    <t>GRAND TOTAL</t>
  </si>
  <si>
    <t>CITY COUNCIL COST CENTERS</t>
  </si>
  <si>
    <t>AU 190 Comm. Public Works</t>
  </si>
  <si>
    <t>AU 191 Comm. Public Safety</t>
  </si>
  <si>
    <t>AU 192 Comm. Public Affairs</t>
  </si>
  <si>
    <t>AU 193 Comm. Public Utilities</t>
  </si>
  <si>
    <t>AU 195 Office of the Mayor</t>
  </si>
  <si>
    <t>AU 303 Governmental Relations</t>
  </si>
  <si>
    <t>USING FY 11/12 DATA</t>
  </si>
  <si>
    <t>FY 11/12 GENERAL FUND OVERHEAD "TRUE-UP"</t>
  </si>
  <si>
    <t>MFOP000001 Fin &amp; Mgmt Srvs</t>
  </si>
  <si>
    <t>AUDA000003 Archives &amp; Records</t>
  </si>
  <si>
    <t>OE</t>
  </si>
  <si>
    <t>Office of Equity &amp; Human Rights</t>
  </si>
  <si>
    <t>Portland Fire &amp; Rescue</t>
  </si>
  <si>
    <t>Public Safety GO Bond Fund</t>
  </si>
  <si>
    <t>FY 2012 Adj</t>
  </si>
  <si>
    <t>MFDR000001</t>
  </si>
  <si>
    <t>MFOP000001</t>
  </si>
  <si>
    <t>MFCP</t>
  </si>
  <si>
    <t>MFIB</t>
  </si>
  <si>
    <t>FY 2012 EXP</t>
  </si>
  <si>
    <t>MFOP000001..3</t>
  </si>
  <si>
    <t>FOR PROPOSED</t>
  </si>
  <si>
    <t>BUDGET USING</t>
  </si>
  <si>
    <t>TARGET NOS.</t>
  </si>
  <si>
    <t>FY 2013/14</t>
  </si>
  <si>
    <t>BASED ON TARGET AMOUNTS</t>
  </si>
  <si>
    <t>OFFICE OF</t>
  </si>
  <si>
    <t>EQUITY</t>
  </si>
  <si>
    <t>OFFICE OF EQUITY</t>
  </si>
  <si>
    <t>FY 13/14 GENERAL FUND OVERHEAD</t>
  </si>
  <si>
    <t>FY 13-14 G.F. Overhead</t>
  </si>
  <si>
    <t>City Attorney</t>
  </si>
  <si>
    <t>Office of the Auditor</t>
  </si>
  <si>
    <t>Audit Services</t>
  </si>
  <si>
    <t>Records Management</t>
  </si>
  <si>
    <t>City Council</t>
  </si>
  <si>
    <t>Planning Bureau</t>
  </si>
  <si>
    <t>Information &amp; Referral/ONI</t>
  </si>
  <si>
    <t>OMF Administration/Financial Management</t>
  </si>
  <si>
    <t>Financial Planning</t>
  </si>
  <si>
    <t>Grants Compliance</t>
  </si>
  <si>
    <t>Accounting Admin/Technical Accounting</t>
  </si>
  <si>
    <t>Accounting/Accounts Payable</t>
  </si>
  <si>
    <t>Accounting/Payroll</t>
  </si>
  <si>
    <t xml:space="preserve">Public Involvement Best Practices </t>
  </si>
  <si>
    <t>Office of Emergency Management</t>
  </si>
  <si>
    <t>SUBTOTAL:</t>
  </si>
  <si>
    <t xml:space="preserve">  Special Appropriations:</t>
  </si>
  <si>
    <t>Memberships &amp; Dues</t>
  </si>
  <si>
    <t>Leaders Roundtable</t>
  </si>
  <si>
    <t>Council Emergency Funds</t>
  </si>
  <si>
    <t>PDX Office of Emergency Management</t>
  </si>
  <si>
    <t>Office of Equity</t>
  </si>
  <si>
    <t>BASED ON TARGET AMOUNTS (Exp. Rate 99%)</t>
  </si>
  <si>
    <t>TRUE-UP</t>
  </si>
  <si>
    <t>FY 13/14</t>
  </si>
  <si>
    <t xml:space="preserve">Minority Evaluator position </t>
  </si>
  <si>
    <t>District Planning CAPD10000</t>
  </si>
  <si>
    <t>ONI</t>
  </si>
  <si>
    <t>Public involvement best practices</t>
  </si>
  <si>
    <t>LAAUAUPD000000GL</t>
  </si>
  <si>
    <t>AUCA000006 City Auditor</t>
  </si>
  <si>
    <t>Public Safety GO Bond Construction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</si>
</sst>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mm/dd/yyyy"/>
    <numFmt numFmtId="165" formatCode="[$$-409]#,##0.00"/>
    <numFmt numFmtId="166" formatCode="#,##0.0000"/>
    <numFmt numFmtId="167" formatCode="[$$-409]#,##0"/>
    <numFmt numFmtId="168" formatCode="0.0%"/>
    <numFmt numFmtId="169" formatCode="&quot;$&quot;#,##0"/>
    <numFmt numFmtId="170" formatCode="_(* #,##0_);_(* \(#,##0\);_(* &quot;-&quot;??_);_(@_)"/>
    <numFmt numFmtId="171" formatCode="[$$-409]#,##0.000"/>
    <numFmt numFmtId="172" formatCode="mm/dd/yy;@"/>
    <numFmt numFmtId="173" formatCode="_(* #,##0.00000_);_(* \(#,##0.00000\);_(* &quot;-&quot;??_);_(@_)"/>
    <numFmt numFmtId="174" formatCode="_(* #,##0.000_);_(* \(#,##0.000\);_(* &quot;-&quot;??_);_(@_)"/>
  </numFmts>
  <fonts count="33">
    <font>
      <sz val="12"/>
      <name val="Arial"/>
    </font>
    <font>
      <b/>
      <sz val="10"/>
      <name val="Times"/>
    </font>
    <font>
      <sz val="10"/>
      <name val="Times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12"/>
      <name val="Times New Roman"/>
      <family val="1"/>
    </font>
    <font>
      <b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i/>
      <u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color indexed="8"/>
      <name val="Times"/>
    </font>
    <font>
      <b/>
      <sz val="10"/>
      <color indexed="8"/>
      <name val="Time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5"/>
      <color rgb="FF000000"/>
      <name val="Times New Roman"/>
      <family val="1"/>
    </font>
    <font>
      <sz val="7.5"/>
      <color rgb="FF000000"/>
      <name val="Time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0" fontId="19" fillId="0" borderId="0"/>
    <xf numFmtId="0" fontId="4" fillId="0" borderId="0"/>
    <xf numFmtId="9" fontId="20" fillId="0" borderId="0" applyFont="0" applyFill="0" applyBorder="0" applyAlignment="0" applyProtection="0"/>
  </cellStyleXfs>
  <cellXfs count="315">
    <xf numFmtId="0" fontId="0" fillId="0" borderId="0" xfId="0"/>
    <xf numFmtId="3" fontId="4" fillId="0" borderId="0" xfId="0" applyNumberFormat="1" applyFont="1" applyFill="1"/>
    <xf numFmtId="10" fontId="4" fillId="0" borderId="0" xfId="0" applyNumberFormat="1" applyFont="1" applyFill="1"/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/>
    <xf numFmtId="167" fontId="4" fillId="0" borderId="0" xfId="0" applyNumberFormat="1" applyFont="1" applyFill="1" applyAlignment="1"/>
    <xf numFmtId="3" fontId="4" fillId="0" borderId="0" xfId="0" applyNumberFormat="1" applyFont="1" applyFill="1" applyAlignment="1">
      <alignment horizontal="right"/>
    </xf>
    <xf numFmtId="167" fontId="4" fillId="0" borderId="0" xfId="0" applyNumberFormat="1" applyFont="1" applyFill="1" applyAlignment="1">
      <alignment horizontal="right"/>
    </xf>
    <xf numFmtId="3" fontId="4" fillId="0" borderId="0" xfId="0" quotePrefix="1" applyNumberFormat="1" applyFont="1" applyFill="1"/>
    <xf numFmtId="171" fontId="4" fillId="0" borderId="0" xfId="0" applyNumberFormat="1" applyFont="1" applyFill="1" applyAlignment="1"/>
    <xf numFmtId="3" fontId="4" fillId="3" borderId="0" xfId="0" quotePrefix="1" applyNumberFormat="1" applyFont="1" applyFill="1"/>
    <xf numFmtId="0" fontId="4" fillId="4" borderId="0" xfId="0" applyNumberFormat="1" applyFont="1" applyFill="1" applyAlignment="1"/>
    <xf numFmtId="3" fontId="4" fillId="4" borderId="0" xfId="0" applyNumberFormat="1" applyFont="1" applyFill="1"/>
    <xf numFmtId="167" fontId="4" fillId="4" borderId="0" xfId="0" applyNumberFormat="1" applyFont="1" applyFill="1" applyAlignment="1"/>
    <xf numFmtId="3" fontId="4" fillId="4" borderId="0" xfId="0" quotePrefix="1" applyNumberFormat="1" applyFont="1" applyFill="1"/>
    <xf numFmtId="0" fontId="4" fillId="4" borderId="0" xfId="0" applyNumberFormat="1" applyFont="1" applyFill="1" applyAlignment="1">
      <alignment horizontal="center"/>
    </xf>
    <xf numFmtId="1" fontId="16" fillId="0" borderId="0" xfId="0" applyNumberFormat="1" applyFont="1" applyFill="1" applyAlignment="1">
      <alignment horizontal="left"/>
    </xf>
    <xf numFmtId="3" fontId="16" fillId="0" borderId="0" xfId="0" applyNumberFormat="1" applyFont="1" applyFill="1" applyAlignment="1">
      <alignment horizontal="left"/>
    </xf>
    <xf numFmtId="3" fontId="18" fillId="0" borderId="0" xfId="0" applyNumberFormat="1" applyFont="1" applyFill="1" applyAlignment="1"/>
    <xf numFmtId="1" fontId="16" fillId="0" borderId="0" xfId="0" applyNumberFormat="1" applyFont="1" applyFill="1" applyAlignment="1">
      <alignment horizontal="right"/>
    </xf>
    <xf numFmtId="3" fontId="16" fillId="0" borderId="0" xfId="0" applyNumberFormat="1" applyFont="1" applyFill="1" applyAlignment="1"/>
    <xf numFmtId="1" fontId="14" fillId="0" borderId="0" xfId="0" applyNumberFormat="1" applyFont="1" applyFill="1" applyAlignment="1">
      <alignment horizontal="right"/>
    </xf>
    <xf numFmtId="1" fontId="18" fillId="0" borderId="0" xfId="0" applyNumberFormat="1" applyFont="1" applyFill="1" applyAlignment="1">
      <alignment horizontal="right"/>
    </xf>
    <xf numFmtId="1" fontId="8" fillId="0" borderId="0" xfId="0" applyNumberFormat="1" applyFont="1" applyFill="1" applyAlignment="1"/>
    <xf numFmtId="1" fontId="8" fillId="0" borderId="0" xfId="0" applyNumberFormat="1" applyFont="1" applyFill="1" applyAlignment="1">
      <alignment horizontal="center"/>
    </xf>
    <xf numFmtId="1" fontId="9" fillId="0" borderId="0" xfId="0" applyNumberFormat="1" applyFont="1" applyFill="1" applyAlignment="1"/>
    <xf numFmtId="0" fontId="9" fillId="0" borderId="0" xfId="0" applyFont="1" applyFill="1"/>
    <xf numFmtId="164" fontId="8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right"/>
    </xf>
    <xf numFmtId="3" fontId="8" fillId="0" borderId="0" xfId="0" applyNumberFormat="1" applyFont="1" applyFill="1" applyAlignment="1"/>
    <xf numFmtId="167" fontId="8" fillId="0" borderId="0" xfId="0" applyNumberFormat="1" applyFont="1" applyFill="1" applyAlignment="1">
      <alignment horizontal="right"/>
    </xf>
    <xf numFmtId="3" fontId="8" fillId="0" borderId="0" xfId="0" applyNumberFormat="1" applyFont="1" applyFill="1" applyAlignment="1">
      <alignment horizontal="right"/>
    </xf>
    <xf numFmtId="0" fontId="8" fillId="0" borderId="0" xfId="0" applyNumberFormat="1" applyFont="1" applyFill="1" applyAlignment="1"/>
    <xf numFmtId="0" fontId="0" fillId="0" borderId="0" xfId="0" applyFill="1"/>
    <xf numFmtId="1" fontId="8" fillId="0" borderId="0" xfId="0" applyNumberFormat="1" applyFont="1" applyFill="1" applyAlignment="1">
      <alignment horizontal="right"/>
    </xf>
    <xf numFmtId="0" fontId="27" fillId="0" borderId="0" xfId="0" applyFont="1" applyFill="1" applyAlignment="1">
      <alignment horizontal="right" wrapText="1"/>
    </xf>
    <xf numFmtId="0" fontId="28" fillId="0" borderId="0" xfId="0" applyFont="1" applyFill="1" applyAlignment="1">
      <alignment horizontal="right" wrapText="1"/>
    </xf>
    <xf numFmtId="170" fontId="9" fillId="0" borderId="0" xfId="1" applyNumberFormat="1" applyFont="1" applyFill="1" applyAlignment="1"/>
    <xf numFmtId="170" fontId="8" fillId="0" borderId="0" xfId="1" applyNumberFormat="1" applyFont="1" applyFill="1" applyAlignment="1"/>
    <xf numFmtId="170" fontId="8" fillId="0" borderId="0" xfId="1" applyNumberFormat="1" applyFont="1" applyFill="1" applyAlignment="1">
      <alignment horizontal="center"/>
    </xf>
    <xf numFmtId="170" fontId="13" fillId="0" borderId="0" xfId="1" applyNumberFormat="1" applyFont="1" applyFill="1" applyAlignment="1">
      <alignment horizontal="center"/>
    </xf>
    <xf numFmtId="170" fontId="27" fillId="0" borderId="0" xfId="1" applyNumberFormat="1" applyFont="1" applyFill="1" applyAlignment="1">
      <alignment horizontal="right" wrapText="1"/>
    </xf>
    <xf numFmtId="170" fontId="8" fillId="0" borderId="1" xfId="1" applyNumberFormat="1" applyFont="1" applyFill="1" applyBorder="1" applyAlignment="1"/>
    <xf numFmtId="170" fontId="8" fillId="0" borderId="2" xfId="1" applyNumberFormat="1" applyFont="1" applyFill="1" applyBorder="1" applyAlignment="1"/>
    <xf numFmtId="0" fontId="4" fillId="3" borderId="3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1" fillId="0" borderId="4" xfId="0" applyNumberFormat="1" applyFont="1" applyFill="1" applyBorder="1" applyAlignment="1">
      <alignment horizontal="center"/>
    </xf>
    <xf numFmtId="0" fontId="21" fillId="0" borderId="5" xfId="0" applyNumberFormat="1" applyFont="1" applyFill="1" applyBorder="1" applyAlignment="1"/>
    <xf numFmtId="3" fontId="21" fillId="0" borderId="5" xfId="0" applyNumberFormat="1" applyFont="1" applyFill="1" applyBorder="1"/>
    <xf numFmtId="0" fontId="21" fillId="0" borderId="5" xfId="0" applyNumberFormat="1" applyFont="1" applyFill="1" applyBorder="1" applyAlignment="1">
      <alignment horizontal="center"/>
    </xf>
    <xf numFmtId="0" fontId="21" fillId="0" borderId="6" xfId="0" applyNumberFormat="1" applyFont="1" applyFill="1" applyBorder="1" applyAlignment="1"/>
    <xf numFmtId="0" fontId="21" fillId="0" borderId="0" xfId="0" applyNumberFormat="1" applyFont="1" applyFill="1" applyBorder="1" applyAlignment="1"/>
    <xf numFmtId="3" fontId="21" fillId="0" borderId="0" xfId="0" applyNumberFormat="1" applyFont="1" applyFill="1" applyBorder="1"/>
    <xf numFmtId="0" fontId="21" fillId="0" borderId="0" xfId="0" applyNumberFormat="1" applyFont="1" applyFill="1" applyBorder="1" applyAlignment="1">
      <alignment horizontal="center"/>
    </xf>
    <xf numFmtId="0" fontId="21" fillId="0" borderId="7" xfId="0" applyNumberFormat="1" applyFont="1" applyFill="1" applyBorder="1" applyAlignment="1"/>
    <xf numFmtId="0" fontId="21" fillId="0" borderId="8" xfId="0" applyNumberFormat="1" applyFont="1" applyFill="1" applyBorder="1" applyAlignment="1">
      <alignment horizontal="center"/>
    </xf>
    <xf numFmtId="3" fontId="21" fillId="0" borderId="8" xfId="0" applyNumberFormat="1" applyFont="1" applyFill="1" applyBorder="1"/>
    <xf numFmtId="0" fontId="21" fillId="0" borderId="8" xfId="0" applyNumberFormat="1" applyFont="1" applyFill="1" applyBorder="1" applyAlignment="1"/>
    <xf numFmtId="0" fontId="22" fillId="2" borderId="0" xfId="0" applyNumberFormat="1" applyFont="1" applyFill="1" applyAlignment="1"/>
    <xf numFmtId="3" fontId="22" fillId="2" borderId="0" xfId="0" applyNumberFormat="1" applyFont="1" applyFill="1" applyAlignment="1"/>
    <xf numFmtId="0" fontId="22" fillId="5" borderId="0" xfId="0" applyNumberFormat="1" applyFont="1" applyFill="1" applyAlignment="1"/>
    <xf numFmtId="3" fontId="22" fillId="5" borderId="0" xfId="0" applyNumberFormat="1" applyFont="1" applyFill="1" applyAlignment="1"/>
    <xf numFmtId="3" fontId="22" fillId="5" borderId="0" xfId="0" applyNumberFormat="1" applyFont="1" applyFill="1" applyAlignment="1" applyProtection="1">
      <protection locked="0"/>
    </xf>
    <xf numFmtId="0" fontId="22" fillId="6" borderId="0" xfId="0" applyNumberFormat="1" applyFont="1" applyFill="1" applyAlignment="1"/>
    <xf numFmtId="3" fontId="22" fillId="5" borderId="0" xfId="0" applyNumberFormat="1" applyFont="1" applyFill="1" applyAlignment="1">
      <alignment horizontal="right"/>
    </xf>
    <xf numFmtId="0" fontId="22" fillId="5" borderId="0" xfId="0" applyNumberFormat="1" applyFont="1" applyFill="1" applyAlignment="1" applyProtection="1">
      <protection locked="0"/>
    </xf>
    <xf numFmtId="0" fontId="22" fillId="6" borderId="0" xfId="0" applyNumberFormat="1" applyFont="1" applyFill="1" applyAlignment="1" applyProtection="1">
      <protection locked="0"/>
    </xf>
    <xf numFmtId="3" fontId="22" fillId="6" borderId="0" xfId="0" applyNumberFormat="1" applyFont="1" applyFill="1" applyAlignment="1" applyProtection="1">
      <protection locked="0"/>
    </xf>
    <xf numFmtId="0" fontId="22" fillId="3" borderId="0" xfId="0" applyNumberFormat="1" applyFont="1" applyFill="1" applyAlignment="1"/>
    <xf numFmtId="0" fontId="22" fillId="4" borderId="0" xfId="0" applyNumberFormat="1" applyFont="1" applyFill="1" applyAlignment="1"/>
    <xf numFmtId="3" fontId="22" fillId="4" borderId="0" xfId="0" applyNumberFormat="1" applyFont="1" applyFill="1" applyAlignment="1"/>
    <xf numFmtId="4" fontId="22" fillId="4" borderId="0" xfId="0" applyNumberFormat="1" applyFont="1" applyFill="1" applyAlignment="1">
      <alignment horizontal="right"/>
    </xf>
    <xf numFmtId="3" fontId="22" fillId="4" borderId="0" xfId="0" applyNumberFormat="1" applyFont="1" applyFill="1" applyAlignment="1" applyProtection="1">
      <protection locked="0"/>
    </xf>
    <xf numFmtId="0" fontId="22" fillId="7" borderId="0" xfId="0" applyNumberFormat="1" applyFont="1" applyFill="1" applyAlignment="1"/>
    <xf numFmtId="0" fontId="22" fillId="7" borderId="0" xfId="0" applyNumberFormat="1" applyFont="1" applyFill="1" applyAlignment="1" applyProtection="1">
      <protection locked="0"/>
    </xf>
    <xf numFmtId="3" fontId="22" fillId="7" borderId="0" xfId="0" applyNumberFormat="1" applyFont="1" applyFill="1" applyAlignment="1" applyProtection="1">
      <protection locked="0"/>
    </xf>
    <xf numFmtId="3" fontId="22" fillId="7" borderId="0" xfId="0" applyNumberFormat="1" applyFont="1" applyFill="1" applyAlignment="1"/>
    <xf numFmtId="1" fontId="8" fillId="0" borderId="0" xfId="0" applyNumberFormat="1" applyFont="1" applyFill="1" applyAlignment="1">
      <alignment horizontal="left"/>
    </xf>
    <xf numFmtId="168" fontId="16" fillId="0" borderId="0" xfId="4" applyNumberFormat="1" applyFont="1" applyFill="1" applyAlignment="1">
      <alignment horizontal="right"/>
    </xf>
    <xf numFmtId="168" fontId="18" fillId="0" borderId="0" xfId="4" applyNumberFormat="1" applyFont="1" applyFill="1" applyAlignment="1">
      <alignment horizontal="right"/>
    </xf>
    <xf numFmtId="3" fontId="8" fillId="0" borderId="0" xfId="0" applyNumberFormat="1" applyFont="1" applyFill="1" applyAlignment="1">
      <alignment horizontal="left"/>
    </xf>
    <xf numFmtId="170" fontId="8" fillId="0" borderId="0" xfId="1" applyNumberFormat="1" applyFont="1" applyFill="1" applyAlignment="1">
      <alignment horizontal="right"/>
    </xf>
    <xf numFmtId="3" fontId="9" fillId="0" borderId="0" xfId="0" applyNumberFormat="1" applyFont="1" applyFill="1" applyAlignment="1"/>
    <xf numFmtId="1" fontId="11" fillId="0" borderId="0" xfId="0" applyNumberFormat="1" applyFont="1" applyFill="1" applyAlignment="1">
      <alignment horizontal="right"/>
    </xf>
    <xf numFmtId="3" fontId="11" fillId="0" borderId="0" xfId="0" applyNumberFormat="1" applyFont="1" applyFill="1" applyAlignment="1"/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/>
    <xf numFmtId="0" fontId="3" fillId="0" borderId="0" xfId="0" applyFont="1" applyFill="1"/>
    <xf numFmtId="0" fontId="2" fillId="0" borderId="0" xfId="0" applyNumberFormat="1" applyFont="1" applyFill="1" applyAlignment="1">
      <alignment horizontal="center"/>
    </xf>
    <xf numFmtId="3" fontId="0" fillId="0" borderId="0" xfId="0" applyNumberFormat="1" applyFill="1"/>
    <xf numFmtId="10" fontId="0" fillId="0" borderId="0" xfId="0" applyNumberFormat="1" applyFill="1"/>
    <xf numFmtId="10" fontId="3" fillId="0" borderId="0" xfId="0" applyNumberFormat="1" applyFont="1" applyFill="1"/>
    <xf numFmtId="37" fontId="0" fillId="0" borderId="0" xfId="0" applyNumberFormat="1" applyFill="1"/>
    <xf numFmtId="165" fontId="2" fillId="0" borderId="0" xfId="0" applyNumberFormat="1" applyFont="1" applyFill="1" applyAlignment="1"/>
    <xf numFmtId="3" fontId="2" fillId="0" borderId="9" xfId="0" applyNumberFormat="1" applyFont="1" applyFill="1" applyBorder="1" applyAlignment="1">
      <alignment horizontal="center"/>
    </xf>
    <xf numFmtId="3" fontId="2" fillId="0" borderId="10" xfId="0" applyNumberFormat="1" applyFont="1" applyFill="1" applyBorder="1" applyAlignment="1">
      <alignment horizontal="center"/>
    </xf>
    <xf numFmtId="3" fontId="2" fillId="0" borderId="10" xfId="0" quotePrefix="1" applyNumberFormat="1" applyFont="1" applyFill="1" applyBorder="1" applyAlignment="1">
      <alignment horizontal="center"/>
    </xf>
    <xf numFmtId="0" fontId="1" fillId="0" borderId="11" xfId="0" applyNumberFormat="1" applyFont="1" applyFill="1" applyBorder="1" applyAlignment="1">
      <alignment horizontal="center"/>
    </xf>
    <xf numFmtId="3" fontId="2" fillId="0" borderId="6" xfId="0" quotePrefix="1" applyNumberFormat="1" applyFont="1" applyFill="1" applyBorder="1" applyAlignment="1">
      <alignment horizontal="right"/>
    </xf>
    <xf numFmtId="3" fontId="2" fillId="0" borderId="0" xfId="0" quotePrefix="1" applyNumberFormat="1" applyFont="1" applyFill="1" applyBorder="1" applyAlignment="1">
      <alignment horizontal="right"/>
    </xf>
    <xf numFmtId="0" fontId="2" fillId="0" borderId="0" xfId="0" quotePrefix="1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" fillId="0" borderId="12" xfId="0" applyNumberFormat="1" applyFont="1" applyFill="1" applyBorder="1" applyAlignment="1">
      <alignment horizontal="right"/>
    </xf>
    <xf numFmtId="3" fontId="2" fillId="0" borderId="4" xfId="0" quotePrefix="1" applyNumberFormat="1" applyFont="1" applyFill="1" applyBorder="1" applyAlignment="1">
      <alignment horizontal="right"/>
    </xf>
    <xf numFmtId="0" fontId="1" fillId="0" borderId="13" xfId="0" applyNumberFormat="1" applyFont="1" applyFill="1" applyBorder="1" applyAlignment="1">
      <alignment horizontal="right"/>
    </xf>
    <xf numFmtId="3" fontId="2" fillId="0" borderId="7" xfId="0" quotePrefix="1" applyNumberFormat="1" applyFont="1" applyFill="1" applyBorder="1" applyAlignment="1">
      <alignment horizontal="right"/>
    </xf>
    <xf numFmtId="3" fontId="2" fillId="0" borderId="8" xfId="0" quotePrefix="1" applyNumberFormat="1" applyFont="1" applyFill="1" applyBorder="1" applyAlignment="1">
      <alignment horizontal="right"/>
    </xf>
    <xf numFmtId="0" fontId="2" fillId="0" borderId="8" xfId="0" quotePrefix="1" applyNumberFormat="1" applyFont="1" applyFill="1" applyBorder="1" applyAlignment="1">
      <alignment horizontal="center"/>
    </xf>
    <xf numFmtId="9" fontId="1" fillId="0" borderId="14" xfId="4" quotePrefix="1" applyFont="1" applyFill="1" applyBorder="1" applyAlignment="1">
      <alignment horizontal="right"/>
    </xf>
    <xf numFmtId="0" fontId="2" fillId="0" borderId="8" xfId="0" applyNumberFormat="1" applyFont="1" applyFill="1" applyBorder="1" applyAlignment="1">
      <alignment horizontal="center"/>
    </xf>
    <xf numFmtId="0" fontId="0" fillId="0" borderId="6" xfId="0" applyFill="1" applyBorder="1"/>
    <xf numFmtId="0" fontId="0" fillId="0" borderId="0" xfId="0" applyFill="1" applyBorder="1"/>
    <xf numFmtId="0" fontId="3" fillId="0" borderId="0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3" fillId="0" borderId="12" xfId="0" applyFont="1" applyFill="1" applyBorder="1"/>
    <xf numFmtId="10" fontId="2" fillId="0" borderId="6" xfId="0" applyNumberFormat="1" applyFont="1" applyFill="1" applyBorder="1" applyAlignment="1"/>
    <xf numFmtId="10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10" fontId="1" fillId="0" borderId="0" xfId="0" quotePrefix="1" applyNumberFormat="1" applyFont="1" applyFill="1" applyBorder="1" applyAlignment="1"/>
    <xf numFmtId="167" fontId="2" fillId="0" borderId="6" xfId="0" applyNumberFormat="1" applyFont="1" applyFill="1" applyBorder="1" applyAlignment="1"/>
    <xf numFmtId="167" fontId="2" fillId="0" borderId="0" xfId="0" applyNumberFormat="1" applyFont="1" applyFill="1" applyBorder="1" applyAlignment="1"/>
    <xf numFmtId="10" fontId="2" fillId="0" borderId="0" xfId="4" applyNumberFormat="1" applyFont="1" applyFill="1" applyBorder="1" applyAlignment="1"/>
    <xf numFmtId="10" fontId="1" fillId="0" borderId="13" xfId="0" quotePrefix="1" applyNumberFormat="1" applyFont="1" applyFill="1" applyBorder="1" applyAlignment="1"/>
    <xf numFmtId="168" fontId="2" fillId="0" borderId="0" xfId="0" applyNumberFormat="1" applyFont="1" applyFill="1" applyAlignment="1"/>
    <xf numFmtId="10" fontId="1" fillId="0" borderId="0" xfId="0" applyNumberFormat="1" applyFont="1" applyFill="1" applyBorder="1" applyAlignment="1"/>
    <xf numFmtId="167" fontId="2" fillId="0" borderId="0" xfId="0" applyNumberFormat="1" applyFont="1" applyFill="1" applyAlignment="1">
      <alignment horizontal="left"/>
    </xf>
    <xf numFmtId="3" fontId="2" fillId="0" borderId="6" xfId="0" applyNumberFormat="1" applyFont="1" applyFill="1" applyBorder="1" applyAlignment="1"/>
    <xf numFmtId="3" fontId="1" fillId="0" borderId="0" xfId="0" applyNumberFormat="1" applyFont="1" applyFill="1" applyBorder="1" applyAlignment="1"/>
    <xf numFmtId="166" fontId="2" fillId="0" borderId="6" xfId="0" applyNumberFormat="1" applyFont="1" applyFill="1" applyBorder="1" applyAlignment="1"/>
    <xf numFmtId="166" fontId="2" fillId="0" borderId="0" xfId="0" applyNumberFormat="1" applyFont="1" applyFill="1" applyBorder="1" applyAlignment="1"/>
    <xf numFmtId="167" fontId="1" fillId="0" borderId="13" xfId="0" applyNumberFormat="1" applyFont="1" applyFill="1" applyBorder="1" applyAlignment="1"/>
    <xf numFmtId="0" fontId="2" fillId="0" borderId="6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0" fontId="2" fillId="0" borderId="7" xfId="0" applyNumberFormat="1" applyFont="1" applyFill="1" applyBorder="1" applyAlignment="1"/>
    <xf numFmtId="10" fontId="2" fillId="0" borderId="8" xfId="0" applyNumberFormat="1" applyFont="1" applyFill="1" applyBorder="1" applyAlignment="1"/>
    <xf numFmtId="3" fontId="2" fillId="0" borderId="8" xfId="0" applyNumberFormat="1" applyFont="1" applyFill="1" applyBorder="1" applyAlignment="1"/>
    <xf numFmtId="10" fontId="1" fillId="0" borderId="14" xfId="0" quotePrefix="1" applyNumberFormat="1" applyFont="1" applyFill="1" applyBorder="1" applyAlignment="1"/>
    <xf numFmtId="167" fontId="2" fillId="0" borderId="7" xfId="0" applyNumberFormat="1" applyFont="1" applyFill="1" applyBorder="1" applyAlignment="1"/>
    <xf numFmtId="167" fontId="2" fillId="0" borderId="8" xfId="0" applyNumberFormat="1" applyFont="1" applyFill="1" applyBorder="1" applyAlignment="1"/>
    <xf numFmtId="10" fontId="2" fillId="0" borderId="8" xfId="4" applyNumberFormat="1" applyFont="1" applyFill="1" applyBorder="1" applyAlignment="1"/>
    <xf numFmtId="0" fontId="2" fillId="0" borderId="0" xfId="0" applyNumberFormat="1" applyFont="1" applyFill="1" applyBorder="1" applyAlignment="1">
      <alignment horizontal="right"/>
    </xf>
    <xf numFmtId="0" fontId="3" fillId="0" borderId="13" xfId="0" applyFont="1" applyFill="1" applyBorder="1"/>
    <xf numFmtId="168" fontId="2" fillId="0" borderId="7" xfId="0" applyNumberFormat="1" applyFont="1" applyFill="1" applyBorder="1" applyAlignment="1"/>
    <xf numFmtId="168" fontId="2" fillId="0" borderId="8" xfId="0" applyNumberFormat="1" applyFont="1" applyFill="1" applyBorder="1" applyAlignment="1"/>
    <xf numFmtId="169" fontId="2" fillId="0" borderId="8" xfId="0" applyNumberFormat="1" applyFont="1" applyFill="1" applyBorder="1" applyAlignment="1"/>
    <xf numFmtId="168" fontId="2" fillId="0" borderId="14" xfId="0" applyNumberFormat="1" applyFont="1" applyFill="1" applyBorder="1" applyAlignment="1"/>
    <xf numFmtId="1" fontId="2" fillId="0" borderId="0" xfId="0" applyNumberFormat="1" applyFont="1" applyFill="1" applyAlignment="1"/>
    <xf numFmtId="1" fontId="1" fillId="0" borderId="0" xfId="0" applyNumberFormat="1" applyFont="1" applyFill="1" applyAlignment="1"/>
    <xf numFmtId="0" fontId="1" fillId="0" borderId="0" xfId="0" quotePrefix="1" applyNumberFormat="1" applyFont="1" applyFill="1" applyAlignment="1"/>
    <xf numFmtId="3" fontId="0" fillId="0" borderId="0" xfId="0" applyNumberFormat="1" applyFill="1" applyBorder="1"/>
    <xf numFmtId="9" fontId="1" fillId="0" borderId="14" xfId="4" applyFont="1" applyFill="1" applyBorder="1" applyAlignment="1">
      <alignment horizontal="right"/>
    </xf>
    <xf numFmtId="0" fontId="23" fillId="0" borderId="0" xfId="0" applyNumberFormat="1" applyFont="1" applyFill="1" applyAlignment="1">
      <alignment horizontal="center"/>
    </xf>
    <xf numFmtId="3" fontId="23" fillId="0" borderId="0" xfId="0" applyNumberFormat="1" applyFont="1" applyFill="1" applyAlignment="1"/>
    <xf numFmtId="3" fontId="23" fillId="0" borderId="0" xfId="0" applyNumberFormat="1" applyFont="1" applyFill="1" applyAlignment="1">
      <alignment horizontal="center"/>
    </xf>
    <xf numFmtId="167" fontId="23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/>
    <xf numFmtId="164" fontId="23" fillId="0" borderId="0" xfId="0" applyNumberFormat="1" applyFont="1" applyFill="1" applyAlignment="1"/>
    <xf numFmtId="1" fontId="23" fillId="0" borderId="0" xfId="0" applyNumberFormat="1" applyFont="1" applyFill="1" applyAlignment="1"/>
    <xf numFmtId="1" fontId="23" fillId="0" borderId="0" xfId="0" applyNumberFormat="1" applyFont="1" applyFill="1" applyAlignment="1">
      <alignment horizontal="centerContinuous"/>
    </xf>
    <xf numFmtId="3" fontId="24" fillId="0" borderId="0" xfId="0" applyNumberFormat="1" applyFont="1" applyFill="1" applyAlignment="1"/>
    <xf numFmtId="10" fontId="23" fillId="0" borderId="0" xfId="0" applyNumberFormat="1" applyFont="1" applyFill="1" applyAlignment="1"/>
    <xf numFmtId="167" fontId="23" fillId="0" borderId="0" xfId="0" applyNumberFormat="1" applyFont="1" applyFill="1" applyAlignment="1"/>
    <xf numFmtId="10" fontId="2" fillId="0" borderId="0" xfId="0" applyNumberFormat="1" applyFont="1" applyFill="1" applyAlignment="1"/>
    <xf numFmtId="169" fontId="23" fillId="0" borderId="0" xfId="0" applyNumberFormat="1" applyFont="1" applyFill="1" applyAlignment="1"/>
    <xf numFmtId="168" fontId="8" fillId="0" borderId="0" xfId="4" applyNumberFormat="1" applyFont="1" applyFill="1" applyAlignment="1"/>
    <xf numFmtId="170" fontId="9" fillId="0" borderId="0" xfId="1" applyNumberFormat="1" applyFont="1" applyFill="1" applyAlignment="1">
      <alignment horizontal="center"/>
    </xf>
    <xf numFmtId="170" fontId="9" fillId="0" borderId="0" xfId="1" quotePrefix="1" applyNumberFormat="1" applyFont="1" applyFill="1" applyAlignment="1">
      <alignment horizontal="center"/>
    </xf>
    <xf numFmtId="170" fontId="9" fillId="0" borderId="0" xfId="1" applyNumberFormat="1" applyFont="1" applyFill="1" applyAlignment="1">
      <alignment horizontal="right"/>
    </xf>
    <xf numFmtId="170" fontId="8" fillId="0" borderId="0" xfId="1" quotePrefix="1" applyNumberFormat="1" applyFont="1" applyFill="1" applyAlignment="1">
      <alignment horizontal="left"/>
    </xf>
    <xf numFmtId="170" fontId="15" fillId="0" borderId="0" xfId="1" applyNumberFormat="1" applyFont="1" applyFill="1" applyAlignment="1"/>
    <xf numFmtId="170" fontId="15" fillId="0" borderId="0" xfId="1" applyNumberFormat="1" applyFont="1" applyFill="1" applyAlignment="1">
      <alignment horizontal="center"/>
    </xf>
    <xf numFmtId="170" fontId="27" fillId="0" borderId="0" xfId="1" applyNumberFormat="1" applyFont="1" applyFill="1" applyAlignment="1">
      <alignment horizontal="center" wrapText="1"/>
    </xf>
    <xf numFmtId="170" fontId="8" fillId="0" borderId="0" xfId="1" quotePrefix="1" applyNumberFormat="1" applyFont="1" applyFill="1" applyAlignment="1">
      <alignment horizontal="right"/>
    </xf>
    <xf numFmtId="170" fontId="27" fillId="8" borderId="0" xfId="1" applyNumberFormat="1" applyFont="1" applyFill="1" applyAlignment="1">
      <alignment horizontal="right" wrapText="1"/>
    </xf>
    <xf numFmtId="170" fontId="12" fillId="0" borderId="0" xfId="1" applyNumberFormat="1" applyFont="1" applyFill="1" applyAlignment="1"/>
    <xf numFmtId="170" fontId="15" fillId="0" borderId="2" xfId="1" applyNumberFormat="1" applyFont="1" applyFill="1" applyBorder="1" applyAlignment="1"/>
    <xf numFmtId="170" fontId="9" fillId="0" borderId="0" xfId="1" applyNumberFormat="1" applyFont="1" applyFill="1"/>
    <xf numFmtId="168" fontId="9" fillId="0" borderId="0" xfId="4" applyNumberFormat="1" applyFont="1" applyFill="1" applyAlignment="1">
      <alignment horizontal="right"/>
    </xf>
    <xf numFmtId="168" fontId="8" fillId="0" borderId="0" xfId="4" applyNumberFormat="1" applyFont="1" applyFill="1" applyAlignment="1">
      <alignment horizontal="right"/>
    </xf>
    <xf numFmtId="168" fontId="9" fillId="0" borderId="0" xfId="4" applyNumberFormat="1" applyFont="1" applyFill="1" applyAlignment="1"/>
    <xf numFmtId="168" fontId="9" fillId="0" borderId="0" xfId="4" applyNumberFormat="1" applyFont="1" applyFill="1"/>
    <xf numFmtId="0" fontId="23" fillId="0" borderId="0" xfId="0" applyNumberFormat="1" applyFont="1" applyFill="1" applyAlignment="1">
      <alignment horizontal="left"/>
    </xf>
    <xf numFmtId="170" fontId="0" fillId="0" borderId="0" xfId="1" applyNumberFormat="1" applyFont="1" applyFill="1"/>
    <xf numFmtId="170" fontId="0" fillId="0" borderId="0" xfId="0" applyNumberFormat="1" applyFill="1"/>
    <xf numFmtId="170" fontId="22" fillId="2" borderId="0" xfId="0" applyNumberFormat="1" applyFont="1" applyFill="1" applyAlignment="1"/>
    <xf numFmtId="3" fontId="22" fillId="3" borderId="0" xfId="0" applyNumberFormat="1" applyFont="1" applyFill="1" applyAlignment="1"/>
    <xf numFmtId="3" fontId="22" fillId="3" borderId="0" xfId="0" applyNumberFormat="1" applyFont="1" applyFill="1" applyAlignment="1" applyProtection="1">
      <protection locked="0"/>
    </xf>
    <xf numFmtId="4" fontId="22" fillId="3" borderId="0" xfId="0" applyNumberFormat="1" applyFont="1" applyFill="1" applyAlignment="1">
      <alignment horizontal="right"/>
    </xf>
    <xf numFmtId="0" fontId="22" fillId="3" borderId="0" xfId="0" applyNumberFormat="1" applyFont="1" applyFill="1" applyAlignment="1" applyProtection="1">
      <protection locked="0"/>
    </xf>
    <xf numFmtId="170" fontId="22" fillId="2" borderId="0" xfId="1" applyNumberFormat="1" applyFont="1" applyFill="1" applyAlignment="1"/>
    <xf numFmtId="0" fontId="2" fillId="3" borderId="0" xfId="0" applyNumberFormat="1" applyFont="1" applyFill="1" applyAlignment="1"/>
    <xf numFmtId="0" fontId="2" fillId="3" borderId="0" xfId="0" applyNumberFormat="1" applyFont="1" applyFill="1" applyAlignment="1">
      <alignment horizontal="center"/>
    </xf>
    <xf numFmtId="10" fontId="2" fillId="3" borderId="6" xfId="0" applyNumberFormat="1" applyFont="1" applyFill="1" applyBorder="1" applyAlignment="1"/>
    <xf numFmtId="10" fontId="2" fillId="3" borderId="0" xfId="0" applyNumberFormat="1" applyFont="1" applyFill="1" applyBorder="1" applyAlignment="1"/>
    <xf numFmtId="3" fontId="2" fillId="3" borderId="0" xfId="0" applyNumberFormat="1" applyFont="1" applyFill="1" applyBorder="1" applyAlignment="1"/>
    <xf numFmtId="10" fontId="1" fillId="3" borderId="0" xfId="0" quotePrefix="1" applyNumberFormat="1" applyFont="1" applyFill="1" applyBorder="1" applyAlignment="1"/>
    <xf numFmtId="167" fontId="2" fillId="3" borderId="6" xfId="0" applyNumberFormat="1" applyFont="1" applyFill="1" applyBorder="1" applyAlignment="1"/>
    <xf numFmtId="167" fontId="2" fillId="3" borderId="0" xfId="0" applyNumberFormat="1" applyFont="1" applyFill="1" applyBorder="1" applyAlignment="1"/>
    <xf numFmtId="10" fontId="2" fillId="3" borderId="0" xfId="4" applyNumberFormat="1" applyFont="1" applyFill="1" applyBorder="1" applyAlignment="1"/>
    <xf numFmtId="10" fontId="1" fillId="3" borderId="13" xfId="0" quotePrefix="1" applyNumberFormat="1" applyFont="1" applyFill="1" applyBorder="1" applyAlignment="1"/>
    <xf numFmtId="168" fontId="2" fillId="3" borderId="0" xfId="0" applyNumberFormat="1" applyFont="1" applyFill="1" applyAlignment="1"/>
    <xf numFmtId="0" fontId="0" fillId="3" borderId="0" xfId="0" applyFill="1"/>
    <xf numFmtId="0" fontId="4" fillId="3" borderId="0" xfId="0" applyNumberFormat="1" applyFont="1" applyFill="1" applyAlignment="1">
      <alignment horizontal="center"/>
    </xf>
    <xf numFmtId="0" fontId="4" fillId="3" borderId="0" xfId="0" applyNumberFormat="1" applyFont="1" applyFill="1" applyAlignment="1"/>
    <xf numFmtId="0" fontId="4" fillId="3" borderId="0" xfId="0" applyNumberFormat="1" applyFont="1" applyFill="1" applyBorder="1" applyAlignment="1"/>
    <xf numFmtId="3" fontId="4" fillId="3" borderId="0" xfId="0" applyNumberFormat="1" applyFont="1" applyFill="1"/>
    <xf numFmtId="3" fontId="4" fillId="3" borderId="0" xfId="0" applyNumberFormat="1" applyFont="1" applyFill="1" applyAlignment="1"/>
    <xf numFmtId="167" fontId="4" fillId="3" borderId="0" xfId="0" applyNumberFormat="1" applyFont="1" applyFill="1" applyAlignment="1"/>
    <xf numFmtId="0" fontId="4" fillId="6" borderId="0" xfId="0" applyNumberFormat="1" applyFont="1" applyFill="1" applyAlignment="1">
      <alignment horizontal="center"/>
    </xf>
    <xf numFmtId="0" fontId="4" fillId="6" borderId="0" xfId="0" applyNumberFormat="1" applyFont="1" applyFill="1" applyAlignment="1"/>
    <xf numFmtId="3" fontId="22" fillId="3" borderId="0" xfId="0" applyNumberFormat="1" applyFont="1" applyFill="1" applyAlignment="1">
      <alignment horizontal="right"/>
    </xf>
    <xf numFmtId="0" fontId="9" fillId="2" borderId="0" xfId="0" applyNumberFormat="1" applyFont="1" applyFill="1" applyAlignment="1"/>
    <xf numFmtId="3" fontId="9" fillId="2" borderId="0" xfId="0" applyNumberFormat="1" applyFont="1" applyFill="1" applyAlignment="1"/>
    <xf numFmtId="4" fontId="9" fillId="2" borderId="0" xfId="0" applyNumberFormat="1" applyFont="1" applyFill="1" applyAlignment="1">
      <alignment horizontal="right"/>
    </xf>
    <xf numFmtId="0" fontId="9" fillId="2" borderId="0" xfId="0" applyNumberFormat="1" applyFont="1" applyFill="1" applyAlignment="1" applyProtection="1">
      <protection locked="0"/>
    </xf>
    <xf numFmtId="3" fontId="9" fillId="2" borderId="0" xfId="0" applyNumberFormat="1" applyFont="1" applyFill="1" applyAlignment="1" applyProtection="1">
      <protection locked="0"/>
    </xf>
    <xf numFmtId="0" fontId="16" fillId="0" borderId="0" xfId="0" applyNumberFormat="1" applyFont="1" applyFill="1" applyAlignment="1"/>
    <xf numFmtId="0" fontId="8" fillId="0" borderId="0" xfId="0" applyNumberFormat="1" applyFont="1" applyFill="1" applyAlignment="1">
      <alignment horizontal="left"/>
    </xf>
    <xf numFmtId="3" fontId="8" fillId="0" borderId="0" xfId="0" applyNumberFormat="1" applyFont="1" applyFill="1" applyAlignment="1">
      <alignment horizontal="center"/>
    </xf>
    <xf numFmtId="0" fontId="8" fillId="0" borderId="0" xfId="0" quotePrefix="1" applyNumberFormat="1" applyFont="1" applyFill="1" applyAlignment="1">
      <alignment horizontal="left"/>
    </xf>
    <xf numFmtId="9" fontId="10" fillId="0" borderId="0" xfId="0" applyNumberFormat="1" applyFont="1" applyFill="1" applyAlignment="1"/>
    <xf numFmtId="1" fontId="8" fillId="0" borderId="15" xfId="0" applyNumberFormat="1" applyFont="1" applyFill="1" applyBorder="1" applyAlignment="1"/>
    <xf numFmtId="1" fontId="8" fillId="0" borderId="16" xfId="0" applyNumberFormat="1" applyFont="1" applyFill="1" applyBorder="1" applyAlignment="1"/>
    <xf numFmtId="3" fontId="8" fillId="0" borderId="16" xfId="0" applyNumberFormat="1" applyFont="1" applyFill="1" applyBorder="1" applyAlignment="1"/>
    <xf numFmtId="3" fontId="8" fillId="0" borderId="17" xfId="0" applyNumberFormat="1" applyFont="1" applyFill="1" applyBorder="1" applyAlignment="1"/>
    <xf numFmtId="3" fontId="8" fillId="0" borderId="15" xfId="0" applyNumberFormat="1" applyFont="1" applyFill="1" applyBorder="1" applyAlignment="1">
      <alignment horizontal="center"/>
    </xf>
    <xf numFmtId="0" fontId="9" fillId="0" borderId="0" xfId="0" applyFont="1" applyFill="1" applyBorder="1"/>
    <xf numFmtId="1" fontId="8" fillId="0" borderId="0" xfId="0" applyNumberFormat="1" applyFont="1" applyFill="1" applyBorder="1" applyAlignment="1"/>
    <xf numFmtId="1" fontId="8" fillId="0" borderId="13" xfId="0" applyNumberFormat="1" applyFont="1" applyFill="1" applyBorder="1" applyAlignment="1"/>
    <xf numFmtId="3" fontId="8" fillId="0" borderId="13" xfId="0" applyNumberFormat="1" applyFont="1" applyFill="1" applyBorder="1" applyAlignment="1">
      <alignment horizontal="center"/>
    </xf>
    <xf numFmtId="3" fontId="8" fillId="0" borderId="18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1" fontId="8" fillId="0" borderId="8" xfId="0" applyNumberFormat="1" applyFont="1" applyFill="1" applyBorder="1" applyAlignment="1"/>
    <xf numFmtId="1" fontId="8" fillId="0" borderId="14" xfId="0" applyNumberFormat="1" applyFont="1" applyFill="1" applyBorder="1" applyAlignment="1"/>
    <xf numFmtId="3" fontId="8" fillId="0" borderId="14" xfId="0" applyNumberFormat="1" applyFont="1" applyFill="1" applyBorder="1" applyAlignment="1">
      <alignment horizontal="center"/>
    </xf>
    <xf numFmtId="3" fontId="8" fillId="0" borderId="19" xfId="0" applyNumberFormat="1" applyFont="1" applyFill="1" applyBorder="1" applyAlignment="1">
      <alignment horizontal="center"/>
    </xf>
    <xf numFmtId="3" fontId="8" fillId="0" borderId="8" xfId="0" applyNumberFormat="1" applyFont="1" applyFill="1" applyBorder="1" applyAlignment="1">
      <alignment horizontal="center"/>
    </xf>
    <xf numFmtId="3" fontId="8" fillId="0" borderId="13" xfId="0" applyNumberFormat="1" applyFont="1" applyFill="1" applyBorder="1" applyAlignment="1"/>
    <xf numFmtId="3" fontId="8" fillId="0" borderId="18" xfId="0" applyNumberFormat="1" applyFont="1" applyFill="1" applyBorder="1" applyAlignment="1"/>
    <xf numFmtId="3" fontId="8" fillId="0" borderId="0" xfId="0" applyNumberFormat="1" applyFont="1" applyFill="1" applyBorder="1" applyAlignment="1"/>
    <xf numFmtId="1" fontId="29" fillId="0" borderId="0" xfId="0" applyNumberFormat="1" applyFont="1" applyFill="1" applyAlignment="1"/>
    <xf numFmtId="1" fontId="29" fillId="0" borderId="0" xfId="0" applyNumberFormat="1" applyFont="1" applyFill="1" applyBorder="1" applyAlignment="1"/>
    <xf numFmtId="0" fontId="30" fillId="0" borderId="13" xfId="0" applyFont="1" applyFill="1" applyBorder="1"/>
    <xf numFmtId="3" fontId="29" fillId="0" borderId="13" xfId="0" applyNumberFormat="1" applyFont="1" applyFill="1" applyBorder="1" applyAlignment="1"/>
    <xf numFmtId="3" fontId="29" fillId="0" borderId="18" xfId="0" applyNumberFormat="1" applyFont="1" applyFill="1" applyBorder="1" applyAlignment="1"/>
    <xf numFmtId="3" fontId="29" fillId="0" borderId="0" xfId="0" applyNumberFormat="1" applyFont="1" applyFill="1" applyAlignment="1"/>
    <xf numFmtId="1" fontId="30" fillId="0" borderId="0" xfId="0" applyNumberFormat="1" applyFont="1" applyFill="1" applyAlignment="1"/>
    <xf numFmtId="39" fontId="30" fillId="0" borderId="0" xfId="0" quotePrefix="1" applyNumberFormat="1" applyFont="1" applyFill="1" applyAlignment="1" applyProtection="1">
      <alignment horizontal="left"/>
    </xf>
    <xf numFmtId="1" fontId="30" fillId="0" borderId="13" xfId="0" applyNumberFormat="1" applyFont="1" applyFill="1" applyBorder="1" applyAlignment="1">
      <alignment horizontal="center"/>
    </xf>
    <xf numFmtId="3" fontId="30" fillId="0" borderId="13" xfId="0" applyNumberFormat="1" applyFont="1" applyFill="1" applyBorder="1" applyAlignment="1"/>
    <xf numFmtId="3" fontId="30" fillId="0" borderId="18" xfId="0" applyNumberFormat="1" applyFont="1" applyFill="1" applyBorder="1" applyAlignment="1">
      <alignment horizontal="right"/>
    </xf>
    <xf numFmtId="3" fontId="30" fillId="0" borderId="0" xfId="0" applyNumberFormat="1" applyFont="1" applyFill="1" applyAlignment="1"/>
    <xf numFmtId="43" fontId="9" fillId="0" borderId="0" xfId="1" applyFont="1" applyFill="1"/>
    <xf numFmtId="3" fontId="12" fillId="0" borderId="0" xfId="0" applyNumberFormat="1" applyFont="1" applyFill="1" applyAlignment="1"/>
    <xf numFmtId="39" fontId="29" fillId="0" borderId="0" xfId="0" applyNumberFormat="1" applyFont="1" applyFill="1" applyAlignment="1" applyProtection="1">
      <alignment horizontal="left"/>
    </xf>
    <xf numFmtId="39" fontId="30" fillId="0" borderId="0" xfId="0" applyNumberFormat="1" applyFont="1" applyFill="1" applyAlignment="1" applyProtection="1">
      <alignment horizontal="left"/>
    </xf>
    <xf numFmtId="3" fontId="30" fillId="0" borderId="13" xfId="0" applyNumberFormat="1" applyFont="1" applyFill="1" applyBorder="1" applyAlignment="1">
      <alignment horizontal="right"/>
    </xf>
    <xf numFmtId="1" fontId="30" fillId="0" borderId="0" xfId="0" quotePrefix="1" applyNumberFormat="1" applyFont="1" applyFill="1" applyAlignment="1">
      <alignment horizontal="left"/>
    </xf>
    <xf numFmtId="3" fontId="9" fillId="0" borderId="0" xfId="0" applyNumberFormat="1" applyFont="1" applyFill="1"/>
    <xf numFmtId="1" fontId="30" fillId="0" borderId="13" xfId="0" applyNumberFormat="1" applyFont="1" applyFill="1" applyBorder="1" applyAlignment="1"/>
    <xf numFmtId="3" fontId="30" fillId="0" borderId="18" xfId="0" applyNumberFormat="1" applyFont="1" applyFill="1" applyBorder="1" applyAlignment="1"/>
    <xf numFmtId="39" fontId="12" fillId="0" borderId="0" xfId="0" applyNumberFormat="1" applyFont="1" applyFill="1" applyAlignment="1" applyProtection="1">
      <alignment horizontal="left"/>
    </xf>
    <xf numFmtId="1" fontId="8" fillId="0" borderId="13" xfId="0" applyNumberFormat="1" applyFont="1" applyFill="1" applyBorder="1" applyAlignment="1">
      <alignment horizontal="center"/>
    </xf>
    <xf numFmtId="39" fontId="8" fillId="0" borderId="0" xfId="0" applyNumberFormat="1" applyFont="1" applyFill="1" applyAlignment="1" applyProtection="1">
      <alignment horizontal="left"/>
    </xf>
    <xf numFmtId="1" fontId="8" fillId="0" borderId="0" xfId="0" quotePrefix="1" applyNumberFormat="1" applyFont="1" applyFill="1" applyAlignment="1">
      <alignment horizontal="left"/>
    </xf>
    <xf numFmtId="3" fontId="9" fillId="0" borderId="13" xfId="0" applyNumberFormat="1" applyFont="1" applyFill="1" applyBorder="1" applyAlignment="1">
      <alignment horizontal="right"/>
    </xf>
    <xf numFmtId="3" fontId="9" fillId="0" borderId="18" xfId="0" applyNumberFormat="1" applyFont="1" applyFill="1" applyBorder="1" applyAlignment="1">
      <alignment horizontal="right"/>
    </xf>
    <xf numFmtId="14" fontId="9" fillId="0" borderId="0" xfId="0" applyNumberFormat="1" applyFont="1" applyFill="1"/>
    <xf numFmtId="3" fontId="12" fillId="0" borderId="13" xfId="0" applyNumberFormat="1" applyFont="1" applyFill="1" applyBorder="1" applyAlignment="1"/>
    <xf numFmtId="3" fontId="12" fillId="0" borderId="18" xfId="0" applyNumberFormat="1" applyFont="1" applyFill="1" applyBorder="1" applyAlignment="1"/>
    <xf numFmtId="1" fontId="12" fillId="0" borderId="0" xfId="0" applyNumberFormat="1" applyFont="1" applyFill="1" applyAlignment="1"/>
    <xf numFmtId="3" fontId="9" fillId="0" borderId="0" xfId="0" applyNumberFormat="1" applyFont="1" applyFill="1" applyAlignment="1">
      <alignment horizontal="right"/>
    </xf>
    <xf numFmtId="1" fontId="12" fillId="0" borderId="0" xfId="0" applyNumberFormat="1" applyFont="1" applyFill="1" applyAlignment="1">
      <alignment horizontal="left"/>
    </xf>
    <xf numFmtId="3" fontId="9" fillId="0" borderId="13" xfId="0" applyNumberFormat="1" applyFont="1" applyFill="1" applyBorder="1"/>
    <xf numFmtId="3" fontId="9" fillId="0" borderId="18" xfId="0" applyNumberFormat="1" applyFont="1" applyFill="1" applyBorder="1"/>
    <xf numFmtId="1" fontId="12" fillId="0" borderId="0" xfId="0" quotePrefix="1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3" fontId="9" fillId="0" borderId="13" xfId="0" applyNumberFormat="1" applyFont="1" applyFill="1" applyBorder="1" applyAlignment="1">
      <alignment horizontal="left"/>
    </xf>
    <xf numFmtId="1" fontId="8" fillId="0" borderId="8" xfId="0" quotePrefix="1" applyNumberFormat="1" applyFont="1" applyFill="1" applyBorder="1" applyAlignment="1">
      <alignment horizontal="left"/>
    </xf>
    <xf numFmtId="1" fontId="8" fillId="0" borderId="14" xfId="0" applyNumberFormat="1" applyFont="1" applyFill="1" applyBorder="1" applyAlignment="1">
      <alignment horizontal="center"/>
    </xf>
    <xf numFmtId="3" fontId="9" fillId="0" borderId="14" xfId="0" applyNumberFormat="1" applyFont="1" applyFill="1" applyBorder="1" applyAlignment="1">
      <alignment horizontal="right"/>
    </xf>
    <xf numFmtId="3" fontId="9" fillId="0" borderId="19" xfId="0" applyNumberFormat="1" applyFont="1" applyFill="1" applyBorder="1" applyAlignment="1">
      <alignment horizontal="right"/>
    </xf>
    <xf numFmtId="3" fontId="8" fillId="0" borderId="8" xfId="0" applyNumberFormat="1" applyFont="1" applyFill="1" applyBorder="1" applyAlignment="1"/>
    <xf numFmtId="3" fontId="8" fillId="0" borderId="1" xfId="0" applyNumberFormat="1" applyFont="1" applyFill="1" applyBorder="1" applyAlignment="1"/>
    <xf numFmtId="3" fontId="8" fillId="0" borderId="2" xfId="0" applyNumberFormat="1" applyFont="1" applyFill="1" applyBorder="1" applyAlignment="1"/>
    <xf numFmtId="2" fontId="9" fillId="0" borderId="0" xfId="0" applyNumberFormat="1" applyFont="1" applyFill="1"/>
    <xf numFmtId="9" fontId="9" fillId="0" borderId="0" xfId="4" applyFont="1" applyFill="1"/>
    <xf numFmtId="0" fontId="9" fillId="0" borderId="0" xfId="0" applyNumberFormat="1" applyFont="1" applyFill="1"/>
    <xf numFmtId="10" fontId="9" fillId="0" borderId="0" xfId="0" applyNumberFormat="1" applyFont="1" applyFill="1"/>
    <xf numFmtId="170" fontId="9" fillId="0" borderId="0" xfId="0" applyNumberFormat="1" applyFont="1" applyFill="1"/>
    <xf numFmtId="173" fontId="9" fillId="0" borderId="0" xfId="1" applyNumberFormat="1" applyFont="1" applyFill="1"/>
    <xf numFmtId="43" fontId="9" fillId="0" borderId="0" xfId="0" applyNumberFormat="1" applyFont="1" applyFill="1"/>
    <xf numFmtId="170" fontId="8" fillId="0" borderId="0" xfId="1" quotePrefix="1" applyNumberFormat="1" applyFont="1" applyFill="1" applyAlignment="1"/>
    <xf numFmtId="1" fontId="23" fillId="0" borderId="0" xfId="0" applyNumberFormat="1" applyFont="1" applyFill="1" applyAlignment="1">
      <alignment horizontal="left"/>
    </xf>
    <xf numFmtId="1" fontId="18" fillId="0" borderId="0" xfId="0" applyNumberFormat="1" applyFont="1" applyFill="1" applyAlignment="1">
      <alignment horizontal="left"/>
    </xf>
    <xf numFmtId="9" fontId="0" fillId="0" borderId="0" xfId="4" applyFont="1" applyFill="1"/>
    <xf numFmtId="174" fontId="0" fillId="0" borderId="0" xfId="1" applyNumberFormat="1" applyFont="1" applyFill="1"/>
    <xf numFmtId="0" fontId="9" fillId="0" borderId="0" xfId="0" applyNumberFormat="1" applyFont="1" applyFill="1" applyAlignment="1"/>
    <xf numFmtId="0" fontId="18" fillId="0" borderId="0" xfId="0" applyNumberFormat="1" applyFont="1" applyFill="1" applyAlignment="1"/>
    <xf numFmtId="170" fontId="18" fillId="0" borderId="0" xfId="1" applyNumberFormat="1" applyFont="1" applyFill="1" applyAlignment="1">
      <alignment horizontal="right"/>
    </xf>
    <xf numFmtId="170" fontId="16" fillId="0" borderId="0" xfId="1" applyNumberFormat="1" applyFont="1" applyFill="1" applyAlignment="1">
      <alignment horizontal="right"/>
    </xf>
    <xf numFmtId="170" fontId="11" fillId="0" borderId="0" xfId="1" applyNumberFormat="1" applyFont="1" applyFill="1" applyAlignment="1">
      <alignment horizontal="right"/>
    </xf>
    <xf numFmtId="170" fontId="17" fillId="0" borderId="0" xfId="1" applyNumberFormat="1" applyFont="1" applyFill="1" applyAlignment="1">
      <alignment horizontal="right"/>
    </xf>
    <xf numFmtId="170" fontId="27" fillId="0" borderId="0" xfId="1" applyNumberFormat="1" applyFont="1" applyFill="1" applyAlignment="1">
      <alignment horizontal="left" wrapText="1"/>
    </xf>
    <xf numFmtId="170" fontId="16" fillId="0" borderId="1" xfId="1" applyNumberFormat="1" applyFont="1" applyFill="1" applyBorder="1" applyAlignment="1">
      <alignment horizontal="right"/>
    </xf>
    <xf numFmtId="172" fontId="8" fillId="0" borderId="0" xfId="1" applyNumberFormat="1" applyFont="1" applyFill="1" applyAlignment="1">
      <alignment horizontal="right"/>
    </xf>
    <xf numFmtId="172" fontId="16" fillId="0" borderId="0" xfId="1" applyNumberFormat="1" applyFont="1" applyFill="1" applyAlignment="1">
      <alignment horizontal="right"/>
    </xf>
    <xf numFmtId="172" fontId="18" fillId="0" borderId="0" xfId="1" applyNumberFormat="1" applyFont="1" applyFill="1" applyAlignment="1">
      <alignment horizontal="right"/>
    </xf>
    <xf numFmtId="170" fontId="18" fillId="0" borderId="0" xfId="0" applyNumberFormat="1" applyFont="1" applyFill="1" applyAlignment="1"/>
    <xf numFmtId="0" fontId="21" fillId="0" borderId="8" xfId="0" applyNumberFormat="1" applyFont="1" applyFill="1" applyBorder="1" applyAlignment="1">
      <alignment horizontal="center"/>
    </xf>
    <xf numFmtId="1" fontId="10" fillId="0" borderId="20" xfId="0" applyNumberFormat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2"/>
    <cellStyle name="Normal 3" xfId="3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40"/>
  <sheetViews>
    <sheetView topLeftCell="B1" workbookViewId="0">
      <pane xSplit="1" topLeftCell="C1" activePane="topRight" state="frozen"/>
      <selection activeCell="B1" sqref="B1"/>
      <selection pane="topRight" activeCell="B36" sqref="B36"/>
    </sheetView>
  </sheetViews>
  <sheetFormatPr defaultColWidth="9.69140625" defaultRowHeight="12.5"/>
  <cols>
    <col min="1" max="1" width="9.69140625" style="3"/>
    <col min="2" max="2" width="34.69140625" style="3" bestFit="1" customWidth="1"/>
    <col min="3" max="4" width="3.07421875" style="47" bestFit="1" customWidth="1"/>
    <col min="5" max="5" width="3.4609375" style="47" bestFit="1" customWidth="1"/>
    <col min="6" max="7" width="2.765625" style="47" bestFit="1" customWidth="1"/>
    <col min="8" max="10" width="2.765625" style="47" customWidth="1"/>
    <col min="11" max="11" width="12.84375" style="47" bestFit="1" customWidth="1"/>
    <col min="12" max="12" width="12" style="1" bestFit="1" customWidth="1"/>
    <col min="13" max="21" width="12" style="1" customWidth="1"/>
    <col min="22" max="25" width="9.69140625" style="3" customWidth="1"/>
    <col min="26" max="16384" width="9.69140625" style="3"/>
  </cols>
  <sheetData>
    <row r="1" spans="1:25">
      <c r="C1" s="3"/>
      <c r="D1" s="3"/>
      <c r="E1" s="3"/>
      <c r="F1" s="3"/>
      <c r="G1" s="3"/>
      <c r="H1" s="3"/>
      <c r="I1" s="3"/>
      <c r="J1" s="3"/>
      <c r="K1" s="3"/>
    </row>
    <row r="2" spans="1:25">
      <c r="C2" s="3"/>
      <c r="D2" s="3"/>
      <c r="E2" s="3"/>
      <c r="F2" s="3"/>
      <c r="G2" s="3"/>
      <c r="H2" s="3"/>
      <c r="I2" s="3"/>
      <c r="J2" s="3"/>
      <c r="K2" s="3"/>
    </row>
    <row r="3" spans="1:25" s="49" customFormat="1" ht="13">
      <c r="A3" s="48"/>
      <c r="L3" s="50"/>
      <c r="M3" s="50"/>
      <c r="N3" s="50"/>
      <c r="O3" s="49" t="s">
        <v>369</v>
      </c>
      <c r="P3" s="49" t="s">
        <v>370</v>
      </c>
      <c r="Q3" s="49" t="s">
        <v>371</v>
      </c>
      <c r="R3" s="49" t="s">
        <v>372</v>
      </c>
      <c r="S3" s="49" t="s">
        <v>373</v>
      </c>
      <c r="T3" s="49" t="s">
        <v>374</v>
      </c>
      <c r="U3" s="51" t="s">
        <v>375</v>
      </c>
    </row>
    <row r="4" spans="1:25" s="53" customFormat="1" ht="13">
      <c r="A4" s="52" t="s">
        <v>18</v>
      </c>
      <c r="L4" s="54"/>
      <c r="M4" s="54"/>
      <c r="N4" s="54" t="s">
        <v>528</v>
      </c>
      <c r="O4" s="53" t="s">
        <v>376</v>
      </c>
      <c r="P4" s="53" t="s">
        <v>376</v>
      </c>
      <c r="Q4" s="53" t="s">
        <v>377</v>
      </c>
      <c r="R4" s="53" t="s">
        <v>377</v>
      </c>
      <c r="S4" s="53" t="s">
        <v>377</v>
      </c>
      <c r="T4" s="53" t="s">
        <v>378</v>
      </c>
      <c r="U4" s="55" t="s">
        <v>314</v>
      </c>
    </row>
    <row r="5" spans="1:25" s="59" customFormat="1" ht="13">
      <c r="A5" s="56" t="s">
        <v>19</v>
      </c>
      <c r="B5" s="57" t="s">
        <v>36</v>
      </c>
      <c r="C5" s="313" t="s">
        <v>544</v>
      </c>
      <c r="D5" s="313"/>
      <c r="E5" s="313"/>
      <c r="F5" s="313"/>
      <c r="G5" s="313"/>
      <c r="H5" s="313"/>
      <c r="I5" s="57"/>
      <c r="J5" s="57"/>
      <c r="K5" s="57" t="s">
        <v>545</v>
      </c>
      <c r="L5" s="58" t="s">
        <v>587</v>
      </c>
      <c r="M5" s="58" t="s">
        <v>313</v>
      </c>
      <c r="N5" s="58" t="s">
        <v>587</v>
      </c>
      <c r="O5" s="59" t="s">
        <v>379</v>
      </c>
      <c r="P5" s="59" t="s">
        <v>379</v>
      </c>
      <c r="Q5" s="59" t="s">
        <v>379</v>
      </c>
      <c r="R5" s="59" t="s">
        <v>379</v>
      </c>
      <c r="S5" s="59" t="s">
        <v>379</v>
      </c>
      <c r="T5" s="59" t="s">
        <v>379</v>
      </c>
      <c r="U5" s="57" t="s">
        <v>380</v>
      </c>
    </row>
    <row r="6" spans="1:25">
      <c r="C6" s="3"/>
      <c r="D6" s="3"/>
      <c r="E6" s="3"/>
      <c r="F6" s="3"/>
      <c r="G6" s="3"/>
      <c r="H6" s="3"/>
      <c r="I6" s="3"/>
      <c r="J6" s="3"/>
      <c r="K6" s="3"/>
      <c r="O6" s="3"/>
      <c r="P6" s="3"/>
      <c r="Q6" s="3"/>
      <c r="R6" s="3"/>
      <c r="S6" s="3"/>
      <c r="T6" s="3"/>
      <c r="U6" s="3"/>
    </row>
    <row r="7" spans="1:25">
      <c r="A7" s="4">
        <v>100000</v>
      </c>
      <c r="B7" s="3" t="s">
        <v>37</v>
      </c>
      <c r="C7" s="46">
        <v>18</v>
      </c>
      <c r="D7" s="46"/>
      <c r="E7" s="46">
        <v>61</v>
      </c>
      <c r="F7" s="46">
        <v>62</v>
      </c>
      <c r="G7" s="46"/>
      <c r="H7" s="46"/>
      <c r="I7" s="46"/>
      <c r="J7" s="46"/>
      <c r="K7" s="47" t="s">
        <v>542</v>
      </c>
      <c r="L7" s="9">
        <f>VLOOKUP(C7,table3,12)+VLOOKUP(D7,table3,12)+VLOOKUP(E7,table3,12)+VLOOKUP(F7,table3,12)+VLOOKUP(G7,table3,12)</f>
        <v>144206870.43000001</v>
      </c>
      <c r="N7" s="1">
        <f t="shared" ref="N7:N25" si="0">SUM(M7,L7)</f>
        <v>144206870.43000001</v>
      </c>
      <c r="O7" s="6"/>
      <c r="P7" s="6"/>
      <c r="Q7" s="6"/>
      <c r="R7" s="6"/>
      <c r="S7" s="9"/>
      <c r="T7" s="9">
        <f>SUM(N7)-SUM(O7:P7)-SUM(Q7:S7)*2</f>
        <v>144206870.43000001</v>
      </c>
      <c r="U7" s="9">
        <f>SUM(O7:T7)</f>
        <v>144206870.43000001</v>
      </c>
    </row>
    <row r="8" spans="1:25">
      <c r="A8" s="4">
        <v>214000</v>
      </c>
      <c r="B8" s="3" t="s">
        <v>381</v>
      </c>
      <c r="C8" s="46"/>
      <c r="D8" s="46"/>
      <c r="E8" s="46"/>
      <c r="F8" s="46"/>
      <c r="G8" s="46"/>
      <c r="H8" s="46"/>
      <c r="I8" s="46"/>
      <c r="J8" s="46"/>
      <c r="K8" s="47" t="s">
        <v>542</v>
      </c>
      <c r="L8" s="1">
        <f t="shared" ref="L8:L38" si="1">VLOOKUP(C8,table3,12)+VLOOKUP(D8,table3,12)+VLOOKUP(E8,table3,12)+VLOOKUP(F8,table3,12)+VLOOKUP(G8,table3,12)</f>
        <v>0</v>
      </c>
      <c r="N8" s="1">
        <f t="shared" si="0"/>
        <v>0</v>
      </c>
      <c r="O8" s="6"/>
      <c r="P8" s="6"/>
      <c r="Q8" s="6"/>
      <c r="R8" s="6"/>
      <c r="S8" s="6"/>
      <c r="T8" s="9">
        <f t="shared" ref="T8:T71" si="2">SUM(N8)-SUM(O8:P8)-SUM(Q8:S8)*2</f>
        <v>0</v>
      </c>
      <c r="U8" s="9">
        <f t="shared" ref="U8:U71" si="3">SUM(O8:T8)</f>
        <v>0</v>
      </c>
    </row>
    <row r="9" spans="1:25">
      <c r="A9" s="4">
        <v>100000</v>
      </c>
      <c r="B9" s="3" t="s">
        <v>39</v>
      </c>
      <c r="C9" s="46">
        <v>5</v>
      </c>
      <c r="D9" s="46">
        <v>6</v>
      </c>
      <c r="E9" s="46">
        <v>50</v>
      </c>
      <c r="F9" s="46">
        <v>51</v>
      </c>
      <c r="G9" s="46">
        <v>79</v>
      </c>
      <c r="H9" s="46">
        <v>81</v>
      </c>
      <c r="I9" s="46"/>
      <c r="J9" s="46"/>
      <c r="K9" s="47" t="s">
        <v>542</v>
      </c>
      <c r="L9" s="9">
        <f>VLOOKUP(C9,table3,12)+VLOOKUP(D9,table3,12)+VLOOKUP(E9,table3,12)+VLOOKUP(F9,table3,12)+VLOOKUP(G9,table3,12)+VLOOKUP(H9,table3,12)</f>
        <v>92119356.150000021</v>
      </c>
      <c r="N9" s="1">
        <f t="shared" si="0"/>
        <v>92119356.150000021</v>
      </c>
      <c r="O9" s="6"/>
      <c r="P9" s="6"/>
      <c r="Q9" s="6"/>
      <c r="R9" s="6"/>
      <c r="S9" s="9">
        <f>VLOOKUP(C9,table3,12)/2+VLOOKUP(G9,table3,12)/2+VLOOKUP(H9,table3,12)/2</f>
        <v>640574.40500000003</v>
      </c>
      <c r="T9" s="9">
        <f t="shared" si="2"/>
        <v>90838207.340000018</v>
      </c>
      <c r="U9" s="9">
        <f t="shared" si="3"/>
        <v>91478781.74500002</v>
      </c>
      <c r="V9" s="6"/>
      <c r="W9" s="6"/>
      <c r="X9" s="6"/>
      <c r="Y9" s="6"/>
    </row>
    <row r="10" spans="1:25">
      <c r="A10" s="4">
        <v>100000</v>
      </c>
      <c r="B10" s="3" t="s">
        <v>40</v>
      </c>
      <c r="C10" s="46">
        <v>16</v>
      </c>
      <c r="D10" s="46">
        <f>'BUDGET DETAIL'!A21</f>
        <v>17</v>
      </c>
      <c r="E10" s="46">
        <f>'BUDGET DETAIL'!A63</f>
        <v>59</v>
      </c>
      <c r="F10" s="46">
        <f>'BUDGET DETAIL'!A64</f>
        <v>60</v>
      </c>
      <c r="G10" s="46"/>
      <c r="H10" s="46"/>
      <c r="I10" s="46"/>
      <c r="J10" s="46"/>
      <c r="K10" s="47" t="s">
        <v>542</v>
      </c>
      <c r="L10" s="1">
        <f t="shared" si="1"/>
        <v>56151485.389999926</v>
      </c>
      <c r="N10" s="1">
        <f t="shared" si="0"/>
        <v>56151485.389999926</v>
      </c>
      <c r="O10" s="6"/>
      <c r="P10" s="6"/>
      <c r="Q10" s="6"/>
      <c r="R10" s="6"/>
      <c r="S10" s="9">
        <f>VLOOKUP(C10,table3,12)/2+VLOOKUP(E10,table3,12)/2</f>
        <v>919449.23999999976</v>
      </c>
      <c r="T10" s="9">
        <f t="shared" si="2"/>
        <v>54312586.909999929</v>
      </c>
      <c r="U10" s="9">
        <f t="shared" si="3"/>
        <v>55232036.149999931</v>
      </c>
      <c r="V10" s="6"/>
      <c r="W10" s="6"/>
      <c r="X10" s="6"/>
      <c r="Y10" s="6"/>
    </row>
    <row r="11" spans="1:25">
      <c r="A11" s="4">
        <v>600000</v>
      </c>
      <c r="B11" s="3" t="s">
        <v>41</v>
      </c>
      <c r="C11" s="46">
        <v>102</v>
      </c>
      <c r="D11" s="46">
        <v>103</v>
      </c>
      <c r="E11" s="46">
        <f>'BUDGET DETAIL'!A51</f>
        <v>47</v>
      </c>
      <c r="F11" s="46">
        <f>'BUDGET DETAIL'!A52</f>
        <v>48</v>
      </c>
      <c r="G11" s="46">
        <f>'BUDGET DETAIL'!A53</f>
        <v>49</v>
      </c>
      <c r="H11" s="46"/>
      <c r="I11" s="46"/>
      <c r="J11" s="46"/>
      <c r="K11" s="47" t="s">
        <v>542</v>
      </c>
      <c r="L11" s="1">
        <f t="shared" si="1"/>
        <v>168663739.69999999</v>
      </c>
      <c r="N11" s="1">
        <f t="shared" si="0"/>
        <v>168663739.69999999</v>
      </c>
      <c r="O11" s="6"/>
      <c r="P11" s="6"/>
      <c r="Q11" s="6"/>
      <c r="R11" s="7"/>
      <c r="S11" s="9">
        <f>(VLOOKUP(C11,table3,12)+VLOOKUP(D11,table3,10))/2+VLOOKUP(F11,table3,12)/2</f>
        <v>64557864.795000002</v>
      </c>
      <c r="T11" s="9">
        <f t="shared" si="2"/>
        <v>39548010.109999985</v>
      </c>
      <c r="U11" s="9">
        <f t="shared" si="3"/>
        <v>104105874.90499999</v>
      </c>
      <c r="V11" s="6"/>
      <c r="W11" s="6"/>
      <c r="X11" s="6"/>
      <c r="Y11" s="6"/>
    </row>
    <row r="12" spans="1:25">
      <c r="A12" s="4">
        <v>608000</v>
      </c>
      <c r="B12" s="3" t="s">
        <v>42</v>
      </c>
      <c r="C12" s="46">
        <f>'BUDGET DETAIL'!A119</f>
        <v>115</v>
      </c>
      <c r="D12" s="46">
        <v>83</v>
      </c>
      <c r="E12" s="46"/>
      <c r="F12" s="46"/>
      <c r="G12" s="46"/>
      <c r="H12" s="46"/>
      <c r="I12" s="46"/>
      <c r="J12" s="46"/>
      <c r="K12" s="47" t="s">
        <v>542</v>
      </c>
      <c r="L12" s="1">
        <f t="shared" si="1"/>
        <v>3395384.2199999997</v>
      </c>
      <c r="N12" s="1">
        <f t="shared" si="0"/>
        <v>3395384.2199999997</v>
      </c>
      <c r="O12" s="6"/>
      <c r="P12" s="6"/>
      <c r="Q12" s="6"/>
      <c r="R12" s="7">
        <v>0</v>
      </c>
      <c r="S12" s="9">
        <f>(VLOOKUP(D12,table3,12))</f>
        <v>60567</v>
      </c>
      <c r="T12" s="9">
        <f t="shared" si="2"/>
        <v>3274250.2199999997</v>
      </c>
      <c r="U12" s="9">
        <f t="shared" si="3"/>
        <v>3334817.2199999997</v>
      </c>
      <c r="V12" s="6"/>
      <c r="W12" s="6"/>
      <c r="X12" s="6"/>
      <c r="Y12" s="6"/>
    </row>
    <row r="13" spans="1:25">
      <c r="A13" s="4">
        <v>605000</v>
      </c>
      <c r="B13" s="3" t="s">
        <v>43</v>
      </c>
      <c r="C13" s="46">
        <f>'BUDGET DETAIL'!A114</f>
        <v>110</v>
      </c>
      <c r="D13" s="46"/>
      <c r="E13" s="46"/>
      <c r="F13" s="46"/>
      <c r="G13" s="46"/>
      <c r="H13" s="46"/>
      <c r="I13" s="46"/>
      <c r="J13" s="46"/>
      <c r="K13" s="47" t="s">
        <v>542</v>
      </c>
      <c r="L13" s="1">
        <f t="shared" si="1"/>
        <v>3494849.2000000007</v>
      </c>
      <c r="N13" s="1">
        <f t="shared" si="0"/>
        <v>3494849.2000000007</v>
      </c>
      <c r="O13" s="6"/>
      <c r="P13" s="6"/>
      <c r="Q13" s="6"/>
      <c r="R13" s="7">
        <v>0</v>
      </c>
      <c r="S13" s="6"/>
      <c r="T13" s="9">
        <f t="shared" si="2"/>
        <v>3494849.2000000007</v>
      </c>
      <c r="U13" s="9">
        <f t="shared" si="3"/>
        <v>3494849.2000000007</v>
      </c>
      <c r="V13" s="6"/>
      <c r="W13" s="6"/>
      <c r="X13" s="6"/>
      <c r="Y13" s="6"/>
    </row>
    <row r="14" spans="1:25">
      <c r="A14" s="4">
        <v>200000</v>
      </c>
      <c r="B14" s="3" t="s">
        <v>44</v>
      </c>
      <c r="C14" s="46">
        <v>26</v>
      </c>
      <c r="D14" s="46">
        <f>'BUDGET DETAIL'!A31</f>
        <v>27</v>
      </c>
      <c r="E14" s="46">
        <v>66</v>
      </c>
      <c r="F14" s="46">
        <f>'BUDGET DETAIL'!A71</f>
        <v>67</v>
      </c>
      <c r="G14" s="46">
        <f>'BUDGET DETAIL'!A72</f>
        <v>68</v>
      </c>
      <c r="H14" s="46"/>
      <c r="I14" s="46"/>
      <c r="J14" s="46"/>
      <c r="K14" s="47" t="s">
        <v>542</v>
      </c>
      <c r="L14" s="1">
        <f t="shared" si="1"/>
        <v>165825044.08999988</v>
      </c>
      <c r="N14" s="1">
        <f t="shared" si="0"/>
        <v>165825044.08999988</v>
      </c>
      <c r="O14" s="5"/>
      <c r="P14" s="6"/>
      <c r="Q14" s="6"/>
      <c r="R14" s="7">
        <v>0</v>
      </c>
      <c r="S14" s="9">
        <f>(VLOOKUP(F14,table3,12)+VLOOKUP(D14,table3,12))/2</f>
        <v>43351483.314999953</v>
      </c>
      <c r="T14" s="9">
        <f t="shared" si="2"/>
        <v>79122077.459999979</v>
      </c>
      <c r="U14" s="9">
        <f t="shared" si="3"/>
        <v>122473560.77499993</v>
      </c>
      <c r="V14" s="6"/>
      <c r="W14" s="6"/>
      <c r="X14" s="6"/>
      <c r="Y14" s="6"/>
    </row>
    <row r="15" spans="1:25">
      <c r="A15" s="4">
        <v>212000</v>
      </c>
      <c r="B15" s="3" t="s">
        <v>45</v>
      </c>
      <c r="C15" s="46"/>
      <c r="D15" s="46"/>
      <c r="E15" s="46"/>
      <c r="F15" s="46"/>
      <c r="G15" s="46"/>
      <c r="H15" s="46"/>
      <c r="I15" s="46"/>
      <c r="J15" s="46"/>
      <c r="K15" s="47" t="s">
        <v>542</v>
      </c>
      <c r="L15" s="1">
        <f t="shared" si="1"/>
        <v>0</v>
      </c>
      <c r="N15" s="1">
        <f t="shared" si="0"/>
        <v>0</v>
      </c>
      <c r="O15" s="6"/>
      <c r="P15" s="6"/>
      <c r="Q15" s="6">
        <f>N15*0.5</f>
        <v>0</v>
      </c>
      <c r="R15" s="6"/>
      <c r="S15" s="6"/>
      <c r="T15" s="9">
        <f t="shared" si="2"/>
        <v>0</v>
      </c>
      <c r="U15" s="9">
        <f t="shared" si="3"/>
        <v>0</v>
      </c>
      <c r="V15" s="6"/>
      <c r="W15" s="6"/>
      <c r="X15" s="6"/>
      <c r="Y15" s="6"/>
    </row>
    <row r="16" spans="1:25">
      <c r="A16" s="4">
        <v>614000</v>
      </c>
      <c r="B16" s="3" t="s">
        <v>46</v>
      </c>
      <c r="C16" s="46">
        <f>'BUDGET DETAIL'!A124</f>
        <v>120</v>
      </c>
      <c r="D16" s="46"/>
      <c r="E16" s="46"/>
      <c r="F16" s="46"/>
      <c r="G16" s="46"/>
      <c r="H16" s="46"/>
      <c r="I16" s="46"/>
      <c r="J16" s="46"/>
      <c r="K16" s="47" t="s">
        <v>542</v>
      </c>
      <c r="L16" s="1">
        <f t="shared" si="1"/>
        <v>0</v>
      </c>
      <c r="N16" s="1">
        <f t="shared" si="0"/>
        <v>0</v>
      </c>
      <c r="O16" s="7"/>
      <c r="P16" s="6"/>
      <c r="Q16" s="6"/>
      <c r="R16" s="6"/>
      <c r="S16" s="6"/>
      <c r="T16" s="9">
        <f t="shared" si="2"/>
        <v>0</v>
      </c>
      <c r="U16" s="9">
        <f t="shared" si="3"/>
        <v>0</v>
      </c>
      <c r="V16" s="6"/>
      <c r="W16" s="6"/>
      <c r="X16" s="6"/>
      <c r="Y16" s="6"/>
    </row>
    <row r="17" spans="1:25">
      <c r="A17" s="4">
        <v>609000</v>
      </c>
      <c r="B17" s="3" t="s">
        <v>47</v>
      </c>
      <c r="C17" s="46">
        <v>116</v>
      </c>
      <c r="D17" s="46"/>
      <c r="E17" s="46"/>
      <c r="F17" s="46"/>
      <c r="G17" s="46"/>
      <c r="H17" s="46"/>
      <c r="I17" s="46"/>
      <c r="J17" s="46"/>
      <c r="K17" s="47" t="s">
        <v>542</v>
      </c>
      <c r="L17" s="1">
        <f t="shared" si="1"/>
        <v>0</v>
      </c>
      <c r="N17" s="1">
        <f t="shared" si="0"/>
        <v>0</v>
      </c>
      <c r="O17" s="6"/>
      <c r="P17" s="6"/>
      <c r="Q17" s="6"/>
      <c r="R17" s="7">
        <v>0</v>
      </c>
      <c r="S17" s="9"/>
      <c r="T17" s="9">
        <f t="shared" si="2"/>
        <v>0</v>
      </c>
      <c r="U17" s="9">
        <f t="shared" si="3"/>
        <v>0</v>
      </c>
      <c r="V17" s="6"/>
      <c r="W17" s="6"/>
      <c r="X17" s="6"/>
      <c r="Y17" s="6"/>
    </row>
    <row r="18" spans="1:25">
      <c r="A18" s="4">
        <v>602000</v>
      </c>
      <c r="B18" s="3" t="s">
        <v>48</v>
      </c>
      <c r="C18" s="46">
        <v>105</v>
      </c>
      <c r="D18" s="46">
        <v>106</v>
      </c>
      <c r="E18" s="46">
        <f>'BUDGET DETAIL'!$A$73</f>
        <v>69</v>
      </c>
      <c r="F18" s="46">
        <f>'BUDGET DETAIL'!$A$74</f>
        <v>70</v>
      </c>
      <c r="G18" s="46"/>
      <c r="H18" s="46"/>
      <c r="I18" s="46"/>
      <c r="J18" s="46"/>
      <c r="K18" s="47" t="s">
        <v>542</v>
      </c>
      <c r="L18" s="1">
        <f t="shared" si="1"/>
        <v>121328367.88</v>
      </c>
      <c r="N18" s="1">
        <f t="shared" si="0"/>
        <v>121328367.88</v>
      </c>
      <c r="O18" s="5"/>
      <c r="P18" s="6"/>
      <c r="Q18" s="6"/>
      <c r="R18" s="7">
        <v>0</v>
      </c>
      <c r="S18" s="9">
        <f>(VLOOKUP(F18,table3,12)+VLOOKUP(D18,table3,12))/2</f>
        <v>34494078.294999987</v>
      </c>
      <c r="T18" s="9">
        <f t="shared" si="2"/>
        <v>52340211.290000021</v>
      </c>
      <c r="U18" s="9">
        <f t="shared" si="3"/>
        <v>86834289.585000008</v>
      </c>
      <c r="V18" s="6"/>
      <c r="W18" s="6"/>
      <c r="X18" s="6"/>
      <c r="Y18" s="6"/>
    </row>
    <row r="19" spans="1:25">
      <c r="A19" s="4">
        <v>615000</v>
      </c>
      <c r="B19" s="3" t="s">
        <v>49</v>
      </c>
      <c r="C19" s="46"/>
      <c r="D19" s="46"/>
      <c r="E19" s="46"/>
      <c r="F19" s="46"/>
      <c r="G19" s="46"/>
      <c r="H19" s="46"/>
      <c r="I19" s="46"/>
      <c r="J19" s="46"/>
      <c r="K19" s="47" t="s">
        <v>542</v>
      </c>
      <c r="L19" s="1">
        <f t="shared" si="1"/>
        <v>0</v>
      </c>
      <c r="N19" s="1">
        <f t="shared" si="0"/>
        <v>0</v>
      </c>
      <c r="O19" s="5"/>
      <c r="P19" s="6"/>
      <c r="Q19" s="6"/>
      <c r="R19" s="6"/>
      <c r="S19" s="6">
        <f>+N19*0.5</f>
        <v>0</v>
      </c>
      <c r="T19" s="9">
        <f t="shared" si="2"/>
        <v>0</v>
      </c>
      <c r="U19" s="9">
        <f t="shared" si="3"/>
        <v>0</v>
      </c>
      <c r="V19" s="6"/>
      <c r="W19" s="6"/>
      <c r="X19" s="6"/>
      <c r="Y19" s="6"/>
    </row>
    <row r="20" spans="1:25">
      <c r="A20" s="4">
        <v>612000</v>
      </c>
      <c r="B20" s="3" t="s">
        <v>50</v>
      </c>
      <c r="C20" s="46">
        <f>'BUDGET DETAIL'!A123</f>
        <v>119</v>
      </c>
      <c r="D20" s="46"/>
      <c r="E20" s="46"/>
      <c r="F20" s="46"/>
      <c r="G20" s="46"/>
      <c r="H20" s="46"/>
      <c r="I20" s="46"/>
      <c r="J20" s="46"/>
      <c r="K20" s="47" t="s">
        <v>542</v>
      </c>
      <c r="L20" s="1">
        <f t="shared" si="1"/>
        <v>0</v>
      </c>
      <c r="N20" s="1">
        <f t="shared" si="0"/>
        <v>0</v>
      </c>
      <c r="O20" s="5"/>
      <c r="P20" s="6"/>
      <c r="Q20" s="6"/>
      <c r="R20" s="7">
        <v>0</v>
      </c>
      <c r="S20" s="6"/>
      <c r="T20" s="9">
        <f t="shared" si="2"/>
        <v>0</v>
      </c>
      <c r="U20" s="9">
        <f t="shared" si="3"/>
        <v>0</v>
      </c>
      <c r="V20" s="6"/>
      <c r="W20" s="6"/>
      <c r="X20" s="6"/>
      <c r="Y20" s="6"/>
    </row>
    <row r="21" spans="1:25">
      <c r="A21" s="4">
        <v>607000</v>
      </c>
      <c r="B21" s="3" t="s">
        <v>51</v>
      </c>
      <c r="C21" s="46">
        <f>'BUDGET DETAIL'!$A$117</f>
        <v>113</v>
      </c>
      <c r="D21" s="46">
        <f>'BUDGET DETAIL'!$A$118</f>
        <v>114</v>
      </c>
      <c r="E21" s="46"/>
      <c r="F21" s="46"/>
      <c r="G21" s="46"/>
      <c r="H21" s="46"/>
      <c r="I21" s="46"/>
      <c r="J21" s="46"/>
      <c r="K21" s="47" t="s">
        <v>542</v>
      </c>
      <c r="L21" s="1">
        <f t="shared" si="1"/>
        <v>1619760.19</v>
      </c>
      <c r="N21" s="1">
        <f t="shared" si="0"/>
        <v>1619760.19</v>
      </c>
      <c r="O21" s="5"/>
      <c r="P21" s="6"/>
      <c r="Q21" s="6"/>
      <c r="R21" s="7">
        <v>0</v>
      </c>
      <c r="S21" s="9">
        <f>(VLOOKUP(C21,table3,12))/2</f>
        <v>193827.18</v>
      </c>
      <c r="T21" s="9">
        <f t="shared" si="2"/>
        <v>1232105.83</v>
      </c>
      <c r="U21" s="9">
        <f t="shared" si="3"/>
        <v>1425933.01</v>
      </c>
      <c r="V21" s="6"/>
      <c r="W21" s="6"/>
      <c r="X21" s="6"/>
      <c r="Y21" s="6"/>
    </row>
    <row r="22" spans="1:25">
      <c r="A22" s="4">
        <v>617000</v>
      </c>
      <c r="B22" s="3" t="s">
        <v>52</v>
      </c>
      <c r="C22" s="46"/>
      <c r="D22" s="46"/>
      <c r="E22" s="46"/>
      <c r="F22" s="46"/>
      <c r="G22" s="46"/>
      <c r="H22" s="46"/>
      <c r="I22" s="46"/>
      <c r="J22" s="46"/>
      <c r="K22" s="47" t="s">
        <v>542</v>
      </c>
      <c r="L22" s="1">
        <f t="shared" si="1"/>
        <v>0</v>
      </c>
      <c r="N22" s="1">
        <f t="shared" si="0"/>
        <v>0</v>
      </c>
      <c r="O22" s="6"/>
      <c r="P22" s="6">
        <f>+N22*0</f>
        <v>0</v>
      </c>
      <c r="Q22" s="6"/>
      <c r="R22" s="6"/>
      <c r="S22" s="6"/>
      <c r="T22" s="9">
        <f t="shared" si="2"/>
        <v>0</v>
      </c>
      <c r="U22" s="9">
        <f t="shared" si="3"/>
        <v>0</v>
      </c>
      <c r="V22" s="6"/>
      <c r="W22" s="6"/>
      <c r="X22" s="6"/>
      <c r="Y22" s="6"/>
    </row>
    <row r="23" spans="1:25">
      <c r="A23" s="4">
        <v>619000</v>
      </c>
      <c r="B23" s="3" t="s">
        <v>53</v>
      </c>
      <c r="C23" s="46"/>
      <c r="D23" s="46"/>
      <c r="E23" s="46"/>
      <c r="F23" s="46"/>
      <c r="G23" s="46"/>
      <c r="H23" s="46"/>
      <c r="I23" s="46"/>
      <c r="J23" s="46"/>
      <c r="K23" s="47" t="s">
        <v>542</v>
      </c>
      <c r="L23" s="1">
        <f t="shared" si="1"/>
        <v>0</v>
      </c>
      <c r="N23" s="1">
        <f t="shared" si="0"/>
        <v>0</v>
      </c>
      <c r="O23" s="6"/>
      <c r="P23" s="6"/>
      <c r="Q23" s="6"/>
      <c r="R23" s="6"/>
      <c r="S23" s="6"/>
      <c r="T23" s="9">
        <f t="shared" si="2"/>
        <v>0</v>
      </c>
      <c r="U23" s="9">
        <f t="shared" si="3"/>
        <v>0</v>
      </c>
      <c r="V23" s="6"/>
      <c r="W23" s="6"/>
      <c r="X23" s="6"/>
      <c r="Y23" s="6"/>
    </row>
    <row r="24" spans="1:25">
      <c r="A24" s="4">
        <v>620000</v>
      </c>
      <c r="B24" s="3" t="s">
        <v>54</v>
      </c>
      <c r="C24" s="46"/>
      <c r="D24" s="46"/>
      <c r="E24" s="46"/>
      <c r="F24" s="46"/>
      <c r="G24" s="46"/>
      <c r="H24" s="46"/>
      <c r="I24" s="46"/>
      <c r="J24" s="46"/>
      <c r="K24" s="47" t="s">
        <v>542</v>
      </c>
      <c r="L24" s="1">
        <f t="shared" si="1"/>
        <v>0</v>
      </c>
      <c r="N24" s="1">
        <f t="shared" si="0"/>
        <v>0</v>
      </c>
      <c r="O24" s="6"/>
      <c r="P24" s="6"/>
      <c r="Q24" s="6"/>
      <c r="R24" s="6"/>
      <c r="S24" s="6"/>
      <c r="T24" s="9">
        <f t="shared" si="2"/>
        <v>0</v>
      </c>
      <c r="U24" s="9">
        <f t="shared" si="3"/>
        <v>0</v>
      </c>
      <c r="V24" s="6"/>
      <c r="W24" s="6"/>
      <c r="X24" s="6"/>
      <c r="Y24" s="6"/>
    </row>
    <row r="25" spans="1:25">
      <c r="A25" s="4">
        <v>802000</v>
      </c>
      <c r="B25" s="3" t="s">
        <v>55</v>
      </c>
      <c r="C25" s="46">
        <v>136</v>
      </c>
      <c r="D25" s="46"/>
      <c r="E25" s="46"/>
      <c r="F25" s="46"/>
      <c r="G25" s="46"/>
      <c r="H25" s="46"/>
      <c r="I25" s="46"/>
      <c r="J25" s="46"/>
      <c r="K25" s="47" t="s">
        <v>542</v>
      </c>
      <c r="L25" s="1">
        <f t="shared" si="1"/>
        <v>8108.94</v>
      </c>
      <c r="N25" s="1">
        <f t="shared" si="0"/>
        <v>8108.94</v>
      </c>
      <c r="O25" s="6">
        <f>+N25*0</f>
        <v>0</v>
      </c>
      <c r="P25" s="6"/>
      <c r="Q25" s="6"/>
      <c r="R25" s="6"/>
      <c r="S25" s="6"/>
      <c r="T25" s="9"/>
      <c r="U25" s="9">
        <f t="shared" si="3"/>
        <v>0</v>
      </c>
      <c r="V25" s="6"/>
      <c r="W25" s="6"/>
      <c r="X25" s="6"/>
      <c r="Y25" s="6"/>
    </row>
    <row r="26" spans="1:25">
      <c r="A26" s="4">
        <v>800000</v>
      </c>
      <c r="B26" s="3" t="s">
        <v>56</v>
      </c>
      <c r="C26" s="46">
        <f>'BUDGET DETAIL'!A138</f>
        <v>134</v>
      </c>
      <c r="D26" s="46">
        <f>'BUDGET DETAIL'!A139</f>
        <v>135</v>
      </c>
      <c r="E26" s="46"/>
      <c r="F26" s="46"/>
      <c r="G26" s="46"/>
      <c r="H26" s="46"/>
      <c r="I26" s="46"/>
      <c r="J26" s="46"/>
      <c r="K26" s="47" t="s">
        <v>542</v>
      </c>
      <c r="L26" s="1">
        <f t="shared" si="1"/>
        <v>104123612.58000001</v>
      </c>
      <c r="M26" s="1">
        <f>-102662983.36</f>
        <v>-102662983.36</v>
      </c>
      <c r="N26" s="1">
        <f t="shared" ref="N26:N90" si="4">SUM(M26,L26)</f>
        <v>1460629.2200000137</v>
      </c>
      <c r="O26" s="6"/>
      <c r="P26" s="6"/>
      <c r="Q26" s="6"/>
      <c r="R26" s="6"/>
      <c r="S26" s="6"/>
      <c r="T26" s="9">
        <f t="shared" si="2"/>
        <v>1460629.2200000137</v>
      </c>
      <c r="U26" s="9">
        <f t="shared" si="3"/>
        <v>1460629.2200000137</v>
      </c>
      <c r="V26" s="6"/>
      <c r="W26" s="6"/>
      <c r="X26" s="6"/>
      <c r="Y26" s="6"/>
    </row>
    <row r="27" spans="1:25">
      <c r="A27" s="4">
        <v>801000</v>
      </c>
      <c r="B27" s="3" t="s">
        <v>57</v>
      </c>
      <c r="C27" s="46"/>
      <c r="D27" s="46"/>
      <c r="E27" s="46"/>
      <c r="F27" s="46"/>
      <c r="G27" s="46"/>
      <c r="H27" s="46"/>
      <c r="I27" s="46"/>
      <c r="J27" s="46"/>
      <c r="K27" s="47" t="s">
        <v>542</v>
      </c>
      <c r="L27" s="1">
        <f t="shared" si="1"/>
        <v>0</v>
      </c>
      <c r="N27" s="1">
        <f t="shared" si="4"/>
        <v>0</v>
      </c>
      <c r="O27" s="6">
        <f>+N27*0</f>
        <v>0</v>
      </c>
      <c r="P27" s="6"/>
      <c r="Q27" s="5"/>
      <c r="R27" s="5"/>
      <c r="S27" s="5"/>
      <c r="T27" s="9">
        <f t="shared" si="2"/>
        <v>0</v>
      </c>
      <c r="U27" s="9">
        <f t="shared" si="3"/>
        <v>0</v>
      </c>
      <c r="V27" s="6"/>
      <c r="W27" s="6"/>
      <c r="X27" s="6"/>
      <c r="Y27" s="6"/>
    </row>
    <row r="28" spans="1:25">
      <c r="A28" s="4">
        <v>211000</v>
      </c>
      <c r="B28" s="3" t="s">
        <v>58</v>
      </c>
      <c r="C28" s="46">
        <f>'BUDGET DETAIL'!A42</f>
        <v>38</v>
      </c>
      <c r="D28" s="46"/>
      <c r="E28" s="46"/>
      <c r="F28" s="46"/>
      <c r="G28" s="46"/>
      <c r="H28" s="46"/>
      <c r="I28" s="46"/>
      <c r="J28" s="46"/>
      <c r="K28" s="47" t="s">
        <v>542</v>
      </c>
      <c r="L28" s="1">
        <f t="shared" si="1"/>
        <v>133787306.77000001</v>
      </c>
      <c r="M28" s="1">
        <f>-L28</f>
        <v>-133787306.77000001</v>
      </c>
      <c r="N28" s="1">
        <f t="shared" si="4"/>
        <v>0</v>
      </c>
      <c r="O28" s="6"/>
      <c r="P28" s="6"/>
      <c r="Q28" s="5"/>
      <c r="R28" s="7">
        <v>0</v>
      </c>
      <c r="S28" s="5"/>
      <c r="T28" s="9">
        <f t="shared" si="2"/>
        <v>0</v>
      </c>
      <c r="U28" s="9">
        <f t="shared" si="3"/>
        <v>0</v>
      </c>
      <c r="V28" s="6"/>
      <c r="W28" s="6"/>
      <c r="X28" s="6"/>
      <c r="Y28" s="6"/>
    </row>
    <row r="29" spans="1:25">
      <c r="A29" s="4">
        <v>217000</v>
      </c>
      <c r="B29" s="3" t="s">
        <v>59</v>
      </c>
      <c r="C29" s="46"/>
      <c r="D29" s="46"/>
      <c r="E29" s="46"/>
      <c r="F29" s="46"/>
      <c r="G29" s="46"/>
      <c r="H29" s="46"/>
      <c r="I29" s="46"/>
      <c r="J29" s="46"/>
      <c r="K29" s="47" t="s">
        <v>542</v>
      </c>
      <c r="L29" s="1">
        <f t="shared" si="1"/>
        <v>0</v>
      </c>
      <c r="N29" s="1">
        <f t="shared" si="4"/>
        <v>0</v>
      </c>
      <c r="O29" s="5"/>
      <c r="P29" s="6"/>
      <c r="Q29" s="6">
        <f>N29*0.5</f>
        <v>0</v>
      </c>
      <c r="R29" s="6"/>
      <c r="S29" s="6"/>
      <c r="T29" s="9">
        <f t="shared" si="2"/>
        <v>0</v>
      </c>
      <c r="U29" s="9">
        <f t="shared" si="3"/>
        <v>0</v>
      </c>
      <c r="V29" s="6"/>
      <c r="W29" s="6"/>
      <c r="X29" s="6"/>
      <c r="Y29" s="6"/>
    </row>
    <row r="30" spans="1:25">
      <c r="A30" s="4">
        <v>853000</v>
      </c>
      <c r="B30" s="3" t="s">
        <v>60</v>
      </c>
      <c r="C30" s="46">
        <f>'BUDGET DETAIL'!A29</f>
        <v>25</v>
      </c>
      <c r="D30" s="46">
        <v>71</v>
      </c>
      <c r="E30" s="46"/>
      <c r="F30" s="46"/>
      <c r="G30" s="46"/>
      <c r="H30" s="46"/>
      <c r="I30" s="46"/>
      <c r="J30" s="46"/>
      <c r="K30" s="47" t="s">
        <v>542</v>
      </c>
      <c r="L30" s="1">
        <f t="shared" si="1"/>
        <v>4748443.3999999994</v>
      </c>
      <c r="N30" s="1">
        <f t="shared" si="4"/>
        <v>4748443.3999999994</v>
      </c>
      <c r="O30" s="6"/>
      <c r="P30" s="6"/>
      <c r="Q30" s="6"/>
      <c r="R30" s="6"/>
      <c r="S30" s="6"/>
      <c r="T30" s="9">
        <f t="shared" si="2"/>
        <v>4748443.3999999994</v>
      </c>
      <c r="U30" s="9">
        <f t="shared" si="3"/>
        <v>4748443.3999999994</v>
      </c>
      <c r="V30" s="6"/>
      <c r="W30" s="6"/>
      <c r="X30" s="6"/>
      <c r="Y30" s="6"/>
    </row>
    <row r="31" spans="1:25">
      <c r="A31" s="4">
        <v>204000</v>
      </c>
      <c r="B31" s="3" t="s">
        <v>61</v>
      </c>
      <c r="C31" s="46">
        <f>'BUDGET DETAIL'!A39</f>
        <v>35</v>
      </c>
      <c r="D31" s="46"/>
      <c r="E31" s="46"/>
      <c r="F31" s="46"/>
      <c r="G31" s="46"/>
      <c r="H31" s="46"/>
      <c r="I31" s="46"/>
      <c r="J31" s="46"/>
      <c r="K31" s="47" t="s">
        <v>542</v>
      </c>
      <c r="L31" s="1">
        <f t="shared" si="1"/>
        <v>4683824.95</v>
      </c>
      <c r="N31" s="1">
        <f t="shared" si="4"/>
        <v>4683824.95</v>
      </c>
      <c r="O31" s="6"/>
      <c r="P31" s="6"/>
      <c r="Q31" s="6"/>
      <c r="R31" s="6"/>
      <c r="S31" s="6"/>
      <c r="T31" s="9">
        <f t="shared" si="2"/>
        <v>4683824.95</v>
      </c>
      <c r="U31" s="9">
        <f t="shared" si="3"/>
        <v>4683824.95</v>
      </c>
      <c r="V31" s="6"/>
      <c r="W31" s="6"/>
      <c r="X31" s="6"/>
      <c r="Y31" s="6"/>
    </row>
    <row r="32" spans="1:25">
      <c r="A32" s="4">
        <v>201000</v>
      </c>
      <c r="B32" s="3" t="s">
        <v>62</v>
      </c>
      <c r="C32" s="46">
        <f>'BUDGET DETAIL'!A32</f>
        <v>28</v>
      </c>
      <c r="D32" s="46"/>
      <c r="E32" s="46"/>
      <c r="F32" s="46"/>
      <c r="G32" s="46"/>
      <c r="H32" s="46"/>
      <c r="I32" s="46"/>
      <c r="J32" s="46"/>
      <c r="K32" s="47" t="s">
        <v>542</v>
      </c>
      <c r="L32" s="1">
        <f t="shared" si="1"/>
        <v>0</v>
      </c>
      <c r="N32" s="1">
        <f t="shared" si="4"/>
        <v>0</v>
      </c>
      <c r="O32" s="6"/>
      <c r="P32" s="6"/>
      <c r="Q32" s="6"/>
      <c r="R32" s="6"/>
      <c r="S32" s="6"/>
      <c r="T32" s="9">
        <f t="shared" si="2"/>
        <v>0</v>
      </c>
      <c r="U32" s="9">
        <f t="shared" si="3"/>
        <v>0</v>
      </c>
      <c r="V32" s="6"/>
      <c r="W32" s="6"/>
      <c r="X32" s="6"/>
      <c r="Y32" s="6"/>
    </row>
    <row r="33" spans="1:25">
      <c r="A33" s="4">
        <v>209000</v>
      </c>
      <c r="B33" s="3" t="s">
        <v>63</v>
      </c>
      <c r="C33" s="46">
        <f>'BUDGET DETAIL'!A41</f>
        <v>37</v>
      </c>
      <c r="D33" s="46"/>
      <c r="E33" s="46"/>
      <c r="F33" s="46"/>
      <c r="G33" s="46"/>
      <c r="H33" s="46"/>
      <c r="I33" s="46"/>
      <c r="J33" s="46"/>
      <c r="K33" s="47" t="s">
        <v>542</v>
      </c>
      <c r="L33" s="1">
        <f t="shared" si="1"/>
        <v>3394785.18</v>
      </c>
      <c r="N33" s="1">
        <f t="shared" si="4"/>
        <v>3394785.18</v>
      </c>
      <c r="O33" s="6"/>
      <c r="P33" s="6"/>
      <c r="Q33" s="6">
        <f>+N33*0.5</f>
        <v>1697392.59</v>
      </c>
      <c r="R33" s="6"/>
      <c r="S33" s="6"/>
      <c r="T33" s="9">
        <f t="shared" si="2"/>
        <v>0</v>
      </c>
      <c r="U33" s="9">
        <f t="shared" si="3"/>
        <v>1697392.59</v>
      </c>
      <c r="V33" s="6"/>
      <c r="W33" s="6"/>
      <c r="X33" s="6"/>
      <c r="Y33" s="6"/>
    </row>
    <row r="34" spans="1:25">
      <c r="A34" s="4">
        <v>215000</v>
      </c>
      <c r="B34" s="3" t="s">
        <v>64</v>
      </c>
      <c r="C34" s="46">
        <f>'BUDGET DETAIL'!A45</f>
        <v>41</v>
      </c>
      <c r="D34" s="46"/>
      <c r="E34" s="46"/>
      <c r="F34" s="46"/>
      <c r="G34" s="46"/>
      <c r="H34" s="46"/>
      <c r="I34" s="46"/>
      <c r="J34" s="46"/>
      <c r="K34" s="47" t="s">
        <v>542</v>
      </c>
      <c r="L34" s="1">
        <f t="shared" si="1"/>
        <v>394304</v>
      </c>
      <c r="N34" s="1">
        <f t="shared" si="4"/>
        <v>394304</v>
      </c>
      <c r="O34" s="6"/>
      <c r="P34" s="6"/>
      <c r="Q34" s="6">
        <f>+N34*0.5</f>
        <v>197152</v>
      </c>
      <c r="R34" s="6"/>
      <c r="S34" s="6"/>
      <c r="T34" s="9">
        <f t="shared" si="2"/>
        <v>0</v>
      </c>
      <c r="U34" s="9">
        <f t="shared" si="3"/>
        <v>197152</v>
      </c>
      <c r="V34" s="6"/>
      <c r="W34" s="6"/>
      <c r="X34" s="6"/>
      <c r="Y34" s="6"/>
    </row>
    <row r="35" spans="1:25">
      <c r="A35" s="4">
        <v>216000</v>
      </c>
      <c r="B35" s="3" t="s">
        <v>65</v>
      </c>
      <c r="C35" s="46">
        <f>'BUDGET DETAIL'!A46</f>
        <v>42</v>
      </c>
      <c r="D35" s="46"/>
      <c r="E35" s="46"/>
      <c r="F35" s="46"/>
      <c r="G35" s="46"/>
      <c r="H35" s="46"/>
      <c r="I35" s="46"/>
      <c r="J35" s="46"/>
      <c r="K35" s="47" t="s">
        <v>542</v>
      </c>
      <c r="L35" s="1">
        <f t="shared" si="1"/>
        <v>13946516.630000001</v>
      </c>
      <c r="M35" s="1">
        <v>48701</v>
      </c>
      <c r="N35" s="1">
        <f t="shared" si="4"/>
        <v>13995217.630000001</v>
      </c>
      <c r="O35" s="5"/>
      <c r="P35" s="6"/>
      <c r="Q35" s="6">
        <f>+N35*0.5</f>
        <v>6997608.8150000004</v>
      </c>
      <c r="R35" s="6"/>
      <c r="S35" s="6"/>
      <c r="T35" s="9">
        <f t="shared" si="2"/>
        <v>0</v>
      </c>
      <c r="U35" s="9">
        <f t="shared" si="3"/>
        <v>6997608.8150000004</v>
      </c>
      <c r="V35" s="6"/>
      <c r="W35" s="6"/>
      <c r="X35" s="6"/>
      <c r="Y35" s="6"/>
    </row>
    <row r="36" spans="1:25">
      <c r="A36" s="4">
        <v>403000</v>
      </c>
      <c r="B36" s="3" t="s">
        <v>66</v>
      </c>
      <c r="C36" s="46">
        <f>'BUDGET DETAIL'!A103</f>
        <v>99</v>
      </c>
      <c r="D36" s="46"/>
      <c r="E36" s="46"/>
      <c r="F36" s="46"/>
      <c r="G36" s="46"/>
      <c r="H36" s="46"/>
      <c r="I36" s="46"/>
      <c r="J36" s="46"/>
      <c r="K36" s="47" t="s">
        <v>542</v>
      </c>
      <c r="L36" s="1">
        <f t="shared" si="1"/>
        <v>1838261.36</v>
      </c>
      <c r="N36" s="1">
        <f t="shared" si="4"/>
        <v>1838261.36</v>
      </c>
      <c r="O36" s="5"/>
      <c r="P36" s="6"/>
      <c r="Q36" s="6"/>
      <c r="R36" s="6">
        <v>0</v>
      </c>
      <c r="S36" s="9">
        <f>(VLOOKUP(C36,table3,12))/2</f>
        <v>919130.68</v>
      </c>
      <c r="T36" s="9">
        <f t="shared" si="2"/>
        <v>0</v>
      </c>
      <c r="U36" s="9">
        <f t="shared" si="3"/>
        <v>919130.68</v>
      </c>
      <c r="V36" s="6"/>
      <c r="W36" s="6"/>
      <c r="X36" s="6"/>
      <c r="Y36" s="6"/>
    </row>
    <row r="37" spans="1:25">
      <c r="A37" s="4">
        <v>316000</v>
      </c>
      <c r="B37" s="3" t="s">
        <v>67</v>
      </c>
      <c r="C37" s="46">
        <f>'BUDGET DETAIL'!A96</f>
        <v>92</v>
      </c>
      <c r="D37" s="46"/>
      <c r="E37" s="46"/>
      <c r="F37" s="46"/>
      <c r="G37" s="46"/>
      <c r="H37" s="46"/>
      <c r="I37" s="46"/>
      <c r="J37" s="46"/>
      <c r="K37" s="47" t="s">
        <v>542</v>
      </c>
      <c r="L37" s="1">
        <f t="shared" si="1"/>
        <v>0</v>
      </c>
      <c r="N37" s="1">
        <f t="shared" si="4"/>
        <v>0</v>
      </c>
      <c r="O37" s="8"/>
      <c r="P37" s="6"/>
      <c r="Q37" s="6"/>
      <c r="R37" s="6">
        <v>0</v>
      </c>
      <c r="S37" s="6"/>
      <c r="T37" s="9">
        <f t="shared" si="2"/>
        <v>0</v>
      </c>
      <c r="U37" s="9">
        <f t="shared" si="3"/>
        <v>0</v>
      </c>
    </row>
    <row r="38" spans="1:25">
      <c r="A38" s="4">
        <v>301000</v>
      </c>
      <c r="B38" s="3" t="s">
        <v>68</v>
      </c>
      <c r="C38" s="46"/>
      <c r="D38" s="46"/>
      <c r="E38" s="46"/>
      <c r="F38" s="46"/>
      <c r="G38" s="46"/>
      <c r="H38" s="46"/>
      <c r="I38" s="46"/>
      <c r="J38" s="46"/>
      <c r="K38" s="47" t="s">
        <v>542</v>
      </c>
      <c r="L38" s="1">
        <f t="shared" si="1"/>
        <v>0</v>
      </c>
      <c r="N38" s="1">
        <f t="shared" si="4"/>
        <v>0</v>
      </c>
      <c r="O38" s="6"/>
      <c r="P38" s="6"/>
      <c r="Q38" s="6"/>
      <c r="R38" s="6">
        <v>0</v>
      </c>
      <c r="S38" s="6"/>
      <c r="T38" s="9">
        <f t="shared" si="2"/>
        <v>0</v>
      </c>
      <c r="U38" s="9">
        <f t="shared" si="3"/>
        <v>0</v>
      </c>
      <c r="V38" s="6"/>
      <c r="W38" s="6"/>
      <c r="X38" s="6"/>
      <c r="Y38" s="6"/>
    </row>
    <row r="39" spans="1:25">
      <c r="A39" s="4">
        <v>302000</v>
      </c>
      <c r="B39" s="3" t="s">
        <v>69</v>
      </c>
      <c r="C39" s="46"/>
      <c r="D39" s="46"/>
      <c r="E39" s="46"/>
      <c r="F39" s="46"/>
      <c r="G39" s="46"/>
      <c r="H39" s="46"/>
      <c r="I39" s="46"/>
      <c r="J39" s="46"/>
      <c r="K39" s="47" t="s">
        <v>542</v>
      </c>
      <c r="L39" s="1">
        <f t="shared" ref="L39:L70" si="5">VLOOKUP(C39,table3,12)+VLOOKUP(D39,table3,12)+VLOOKUP(E39,table3,12)+VLOOKUP(F39,table3,12)+VLOOKUP(G39,table3,12)</f>
        <v>0</v>
      </c>
      <c r="N39" s="1">
        <f t="shared" si="4"/>
        <v>0</v>
      </c>
      <c r="O39" s="6"/>
      <c r="P39" s="6"/>
      <c r="Q39" s="6"/>
      <c r="R39" s="6">
        <v>0</v>
      </c>
      <c r="S39" s="6"/>
      <c r="T39" s="9">
        <f t="shared" si="2"/>
        <v>0</v>
      </c>
      <c r="U39" s="9">
        <f t="shared" si="3"/>
        <v>0</v>
      </c>
      <c r="V39" s="6"/>
      <c r="W39" s="6"/>
      <c r="X39" s="6"/>
      <c r="Y39" s="6"/>
    </row>
    <row r="40" spans="1:25">
      <c r="A40" s="4">
        <v>303000</v>
      </c>
      <c r="B40" s="3" t="s">
        <v>70</v>
      </c>
      <c r="C40" s="46"/>
      <c r="D40" s="46"/>
      <c r="E40" s="46"/>
      <c r="F40" s="46"/>
      <c r="G40" s="46"/>
      <c r="H40" s="46"/>
      <c r="I40" s="46"/>
      <c r="J40" s="46"/>
      <c r="K40" s="47" t="s">
        <v>542</v>
      </c>
      <c r="L40" s="1">
        <f t="shared" si="5"/>
        <v>0</v>
      </c>
      <c r="N40" s="1">
        <f t="shared" si="4"/>
        <v>0</v>
      </c>
      <c r="O40" s="6"/>
      <c r="P40" s="6"/>
      <c r="Q40" s="6"/>
      <c r="R40" s="6">
        <v>0</v>
      </c>
      <c r="S40" s="6"/>
      <c r="T40" s="9">
        <f t="shared" si="2"/>
        <v>0</v>
      </c>
      <c r="U40" s="9">
        <f t="shared" si="3"/>
        <v>0</v>
      </c>
      <c r="V40" s="6"/>
      <c r="W40" s="6"/>
      <c r="X40" s="6"/>
      <c r="Y40" s="6"/>
    </row>
    <row r="41" spans="1:25">
      <c r="A41" s="4">
        <v>305000</v>
      </c>
      <c r="B41" s="3" t="s">
        <v>71</v>
      </c>
      <c r="C41" s="46"/>
      <c r="D41" s="46"/>
      <c r="E41" s="46"/>
      <c r="F41" s="46"/>
      <c r="G41" s="46"/>
      <c r="H41" s="46"/>
      <c r="I41" s="46"/>
      <c r="J41" s="46"/>
      <c r="K41" s="47" t="s">
        <v>542</v>
      </c>
      <c r="L41" s="1">
        <f t="shared" si="5"/>
        <v>0</v>
      </c>
      <c r="N41" s="1">
        <f t="shared" si="4"/>
        <v>0</v>
      </c>
      <c r="O41" s="6"/>
      <c r="P41" s="6"/>
      <c r="Q41" s="6"/>
      <c r="R41" s="6">
        <v>0</v>
      </c>
      <c r="S41" s="6"/>
      <c r="T41" s="9">
        <f t="shared" si="2"/>
        <v>0</v>
      </c>
      <c r="U41" s="9">
        <f t="shared" si="3"/>
        <v>0</v>
      </c>
      <c r="V41" s="6"/>
      <c r="W41" s="6"/>
      <c r="X41" s="6"/>
      <c r="Y41" s="6"/>
    </row>
    <row r="42" spans="1:25">
      <c r="A42" s="4">
        <v>306000</v>
      </c>
      <c r="B42" s="3" t="s">
        <v>72</v>
      </c>
      <c r="C42" s="46"/>
      <c r="D42" s="46"/>
      <c r="E42" s="46"/>
      <c r="F42" s="46"/>
      <c r="G42" s="46"/>
      <c r="H42" s="46"/>
      <c r="I42" s="46"/>
      <c r="J42" s="46"/>
      <c r="K42" s="47" t="s">
        <v>542</v>
      </c>
      <c r="L42" s="1">
        <f t="shared" si="5"/>
        <v>0</v>
      </c>
      <c r="N42" s="1">
        <f t="shared" si="4"/>
        <v>0</v>
      </c>
      <c r="O42" s="6"/>
      <c r="P42" s="6"/>
      <c r="Q42" s="6"/>
      <c r="R42" s="6">
        <v>0</v>
      </c>
      <c r="S42" s="6"/>
      <c r="T42" s="9">
        <f t="shared" si="2"/>
        <v>0</v>
      </c>
      <c r="U42" s="9">
        <f t="shared" si="3"/>
        <v>0</v>
      </c>
      <c r="V42" s="6"/>
      <c r="W42" s="6"/>
      <c r="X42" s="6"/>
      <c r="Y42" s="6"/>
    </row>
    <row r="43" spans="1:25">
      <c r="A43" s="4">
        <v>310000</v>
      </c>
      <c r="B43" s="3" t="s">
        <v>73</v>
      </c>
      <c r="C43" s="46"/>
      <c r="D43" s="46"/>
      <c r="E43" s="46"/>
      <c r="F43" s="46"/>
      <c r="G43" s="46"/>
      <c r="H43" s="46"/>
      <c r="I43" s="46"/>
      <c r="J43" s="46"/>
      <c r="K43" s="47" t="s">
        <v>542</v>
      </c>
      <c r="L43" s="1">
        <f t="shared" si="5"/>
        <v>0</v>
      </c>
      <c r="N43" s="1">
        <f t="shared" si="4"/>
        <v>0</v>
      </c>
      <c r="O43" s="6"/>
      <c r="P43" s="6"/>
      <c r="Q43" s="6"/>
      <c r="R43" s="6">
        <v>0</v>
      </c>
      <c r="S43" s="6"/>
      <c r="T43" s="9">
        <f t="shared" si="2"/>
        <v>0</v>
      </c>
      <c r="U43" s="9">
        <f t="shared" si="3"/>
        <v>0</v>
      </c>
      <c r="V43" s="6"/>
      <c r="W43" s="6"/>
      <c r="X43" s="6"/>
      <c r="Y43" s="6"/>
    </row>
    <row r="44" spans="1:25">
      <c r="A44" s="4">
        <v>307000</v>
      </c>
      <c r="B44" s="3" t="s">
        <v>74</v>
      </c>
      <c r="C44" s="46"/>
      <c r="D44" s="46"/>
      <c r="E44" s="46"/>
      <c r="F44" s="46"/>
      <c r="G44" s="46"/>
      <c r="H44" s="46"/>
      <c r="I44" s="46"/>
      <c r="J44" s="46"/>
      <c r="K44" s="47" t="s">
        <v>542</v>
      </c>
      <c r="L44" s="1">
        <f t="shared" si="5"/>
        <v>0</v>
      </c>
      <c r="N44" s="1">
        <f t="shared" si="4"/>
        <v>0</v>
      </c>
      <c r="O44" s="6"/>
      <c r="P44" s="6"/>
      <c r="Q44" s="6"/>
      <c r="R44" s="6">
        <v>0</v>
      </c>
      <c r="S44" s="6"/>
      <c r="T44" s="9">
        <f t="shared" si="2"/>
        <v>0</v>
      </c>
      <c r="U44" s="9">
        <f t="shared" si="3"/>
        <v>0</v>
      </c>
      <c r="V44" s="6"/>
      <c r="W44" s="6"/>
      <c r="X44" s="6"/>
      <c r="Y44" s="6"/>
    </row>
    <row r="45" spans="1:25">
      <c r="A45" s="4">
        <v>312000</v>
      </c>
      <c r="B45" s="3" t="s">
        <v>75</v>
      </c>
      <c r="C45" s="46">
        <f>'BUDGET DETAIL'!A92</f>
        <v>88</v>
      </c>
      <c r="D45" s="46"/>
      <c r="E45" s="46"/>
      <c r="F45" s="46"/>
      <c r="G45" s="46"/>
      <c r="H45" s="46"/>
      <c r="I45" s="46"/>
      <c r="J45" s="46"/>
      <c r="K45" s="47" t="s">
        <v>542</v>
      </c>
      <c r="L45" s="1">
        <f t="shared" si="5"/>
        <v>0</v>
      </c>
      <c r="N45" s="1">
        <f t="shared" si="4"/>
        <v>0</v>
      </c>
      <c r="O45" s="6"/>
      <c r="P45" s="6"/>
      <c r="Q45" s="6"/>
      <c r="R45" s="6">
        <v>0</v>
      </c>
      <c r="S45" s="6"/>
      <c r="T45" s="9">
        <f t="shared" si="2"/>
        <v>0</v>
      </c>
      <c r="U45" s="9">
        <f t="shared" si="3"/>
        <v>0</v>
      </c>
      <c r="V45" s="6"/>
      <c r="W45" s="6"/>
      <c r="X45" s="6"/>
      <c r="Y45" s="6"/>
    </row>
    <row r="46" spans="1:25">
      <c r="A46" s="4">
        <v>309000</v>
      </c>
      <c r="B46" s="3" t="s">
        <v>76</v>
      </c>
      <c r="C46" s="46"/>
      <c r="D46" s="46"/>
      <c r="E46" s="46"/>
      <c r="F46" s="46"/>
      <c r="G46" s="46"/>
      <c r="H46" s="46"/>
      <c r="I46" s="46"/>
      <c r="J46" s="46"/>
      <c r="K46" s="47" t="s">
        <v>542</v>
      </c>
      <c r="L46" s="1">
        <f t="shared" si="5"/>
        <v>0</v>
      </c>
      <c r="N46" s="1">
        <f t="shared" si="4"/>
        <v>0</v>
      </c>
      <c r="O46" s="6"/>
      <c r="P46" s="6"/>
      <c r="Q46" s="6"/>
      <c r="R46" s="6">
        <v>0</v>
      </c>
      <c r="S46" s="6"/>
      <c r="T46" s="9">
        <f t="shared" si="2"/>
        <v>0</v>
      </c>
      <c r="U46" s="9">
        <f t="shared" si="3"/>
        <v>0</v>
      </c>
      <c r="V46" s="6"/>
      <c r="W46" s="6"/>
      <c r="X46" s="6"/>
      <c r="Y46" s="6"/>
    </row>
    <row r="47" spans="1:25">
      <c r="A47" s="4">
        <v>313000</v>
      </c>
      <c r="B47" s="3" t="s">
        <v>77</v>
      </c>
      <c r="C47" s="46">
        <f>'BUDGET DETAIL'!A93</f>
        <v>89</v>
      </c>
      <c r="D47" s="46"/>
      <c r="E47" s="46"/>
      <c r="F47" s="46"/>
      <c r="G47" s="46"/>
      <c r="H47" s="46"/>
      <c r="I47" s="46"/>
      <c r="J47" s="46"/>
      <c r="K47" s="47" t="s">
        <v>542</v>
      </c>
      <c r="L47" s="1">
        <f t="shared" si="5"/>
        <v>0</v>
      </c>
      <c r="N47" s="1">
        <f t="shared" si="4"/>
        <v>0</v>
      </c>
      <c r="O47" s="6"/>
      <c r="P47" s="6"/>
      <c r="Q47" s="6"/>
      <c r="R47" s="6">
        <v>0</v>
      </c>
      <c r="S47" s="6"/>
      <c r="T47" s="9">
        <f t="shared" si="2"/>
        <v>0</v>
      </c>
      <c r="U47" s="9">
        <f t="shared" si="3"/>
        <v>0</v>
      </c>
      <c r="V47" s="6"/>
      <c r="W47" s="6"/>
      <c r="X47" s="6"/>
      <c r="Y47" s="6"/>
    </row>
    <row r="48" spans="1:25">
      <c r="A48" s="4">
        <v>314000</v>
      </c>
      <c r="B48" s="3" t="s">
        <v>78</v>
      </c>
      <c r="C48" s="46">
        <f>'BUDGET DETAIL'!A94</f>
        <v>90</v>
      </c>
      <c r="D48" s="46"/>
      <c r="E48" s="46"/>
      <c r="F48" s="46"/>
      <c r="G48" s="46"/>
      <c r="H48" s="46"/>
      <c r="I48" s="46"/>
      <c r="J48" s="46"/>
      <c r="K48" s="47" t="s">
        <v>542</v>
      </c>
      <c r="L48" s="1">
        <f t="shared" si="5"/>
        <v>0</v>
      </c>
      <c r="N48" s="1">
        <f t="shared" si="4"/>
        <v>0</v>
      </c>
      <c r="O48" s="6"/>
      <c r="P48" s="6"/>
      <c r="Q48" s="6"/>
      <c r="R48" s="6">
        <v>0</v>
      </c>
      <c r="S48" s="6"/>
      <c r="T48" s="9">
        <f t="shared" si="2"/>
        <v>0</v>
      </c>
      <c r="U48" s="9">
        <f t="shared" si="3"/>
        <v>0</v>
      </c>
      <c r="V48" s="6"/>
      <c r="W48" s="6"/>
      <c r="X48" s="6"/>
      <c r="Y48" s="6"/>
    </row>
    <row r="49" spans="1:25">
      <c r="A49" s="4">
        <v>315000</v>
      </c>
      <c r="B49" s="3" t="s">
        <v>79</v>
      </c>
      <c r="C49" s="46">
        <f>'BUDGET DETAIL'!A95</f>
        <v>91</v>
      </c>
      <c r="D49" s="46"/>
      <c r="E49" s="46"/>
      <c r="F49" s="46"/>
      <c r="G49" s="46"/>
      <c r="H49" s="46"/>
      <c r="I49" s="46"/>
      <c r="J49" s="46"/>
      <c r="K49" s="47" t="s">
        <v>542</v>
      </c>
      <c r="L49" s="1">
        <f t="shared" si="5"/>
        <v>0</v>
      </c>
      <c r="N49" s="1">
        <f t="shared" si="4"/>
        <v>0</v>
      </c>
      <c r="O49" s="6"/>
      <c r="P49" s="6"/>
      <c r="Q49" s="6"/>
      <c r="R49" s="6">
        <v>0</v>
      </c>
      <c r="S49" s="6"/>
      <c r="T49" s="9">
        <f t="shared" si="2"/>
        <v>0</v>
      </c>
      <c r="U49" s="9">
        <f t="shared" si="3"/>
        <v>0</v>
      </c>
      <c r="V49" s="6"/>
      <c r="W49" s="6"/>
      <c r="X49" s="6"/>
      <c r="Y49" s="6"/>
    </row>
    <row r="50" spans="1:25">
      <c r="A50" s="4">
        <v>213000</v>
      </c>
      <c r="B50" s="3" t="s">
        <v>80</v>
      </c>
      <c r="C50" s="46">
        <f>'BUDGET DETAIL'!A43</f>
        <v>39</v>
      </c>
      <c r="D50" s="46">
        <f>'BUDGET DETAIL'!A56</f>
        <v>52</v>
      </c>
      <c r="E50" s="46">
        <f>'BUDGET DETAIL'!A57</f>
        <v>53</v>
      </c>
      <c r="F50" s="46"/>
      <c r="G50" s="46"/>
      <c r="H50" s="46"/>
      <c r="I50" s="46"/>
      <c r="J50" s="46"/>
      <c r="K50" s="47" t="s">
        <v>542</v>
      </c>
      <c r="L50" s="1">
        <f t="shared" si="5"/>
        <v>6142941.7800000012</v>
      </c>
      <c r="N50" s="1">
        <f t="shared" si="4"/>
        <v>6142941.7800000012</v>
      </c>
      <c r="O50" s="5"/>
      <c r="P50" s="6"/>
      <c r="Q50" s="6">
        <f>+N50*0.5</f>
        <v>3071470.8900000006</v>
      </c>
      <c r="R50" s="6"/>
      <c r="S50" s="6"/>
      <c r="T50" s="9">
        <f t="shared" si="2"/>
        <v>0</v>
      </c>
      <c r="U50" s="9">
        <f t="shared" si="3"/>
        <v>3071470.8900000006</v>
      </c>
      <c r="V50" s="6"/>
      <c r="W50" s="6"/>
      <c r="X50" s="6"/>
      <c r="Y50" s="6"/>
    </row>
    <row r="51" spans="1:25">
      <c r="A51" s="4">
        <v>210000</v>
      </c>
      <c r="B51" s="3" t="s">
        <v>81</v>
      </c>
      <c r="C51" s="46"/>
      <c r="D51" s="46"/>
      <c r="E51" s="46"/>
      <c r="F51" s="46"/>
      <c r="G51" s="46"/>
      <c r="H51" s="46"/>
      <c r="I51" s="46"/>
      <c r="J51" s="46"/>
      <c r="K51" s="47" t="s">
        <v>542</v>
      </c>
      <c r="L51" s="1">
        <f t="shared" si="5"/>
        <v>0</v>
      </c>
      <c r="N51" s="1">
        <f t="shared" si="4"/>
        <v>0</v>
      </c>
      <c r="O51" s="6"/>
      <c r="P51" s="6"/>
      <c r="Q51" s="6">
        <f>+N51*0.5</f>
        <v>0</v>
      </c>
      <c r="R51" s="6"/>
      <c r="S51" s="6"/>
      <c r="T51" s="9">
        <f t="shared" si="2"/>
        <v>0</v>
      </c>
      <c r="U51" s="9">
        <f t="shared" si="3"/>
        <v>0</v>
      </c>
      <c r="V51" s="6"/>
      <c r="W51" s="6"/>
      <c r="X51" s="6"/>
      <c r="Y51" s="6"/>
    </row>
    <row r="52" spans="1:25">
      <c r="A52" s="4">
        <v>304000</v>
      </c>
      <c r="B52" s="3" t="s">
        <v>82</v>
      </c>
      <c r="C52" s="46"/>
      <c r="D52" s="46"/>
      <c r="E52" s="46"/>
      <c r="F52" s="46"/>
      <c r="G52" s="46"/>
      <c r="H52" s="46"/>
      <c r="I52" s="46"/>
      <c r="J52" s="46"/>
      <c r="K52" s="47" t="s">
        <v>542</v>
      </c>
      <c r="L52" s="1">
        <f t="shared" si="5"/>
        <v>0</v>
      </c>
      <c r="N52" s="1">
        <f t="shared" si="4"/>
        <v>0</v>
      </c>
      <c r="O52" s="6"/>
      <c r="P52" s="6"/>
      <c r="Q52" s="6"/>
      <c r="R52" s="5">
        <v>0</v>
      </c>
      <c r="S52" s="6"/>
      <c r="T52" s="9">
        <f t="shared" si="2"/>
        <v>0</v>
      </c>
      <c r="U52" s="9">
        <f t="shared" si="3"/>
        <v>0</v>
      </c>
      <c r="V52" s="6"/>
      <c r="W52" s="6"/>
      <c r="X52" s="6"/>
      <c r="Y52" s="6"/>
    </row>
    <row r="53" spans="1:25">
      <c r="A53" s="4">
        <v>100000</v>
      </c>
      <c r="B53" s="3" t="s">
        <v>83</v>
      </c>
      <c r="C53" s="46"/>
      <c r="D53" s="46"/>
      <c r="E53" s="46"/>
      <c r="F53" s="46"/>
      <c r="G53" s="46"/>
      <c r="H53" s="46"/>
      <c r="I53" s="46"/>
      <c r="J53" s="46"/>
      <c r="K53" s="47" t="s">
        <v>542</v>
      </c>
      <c r="L53" s="1">
        <f t="shared" si="5"/>
        <v>0</v>
      </c>
      <c r="N53" s="1">
        <f t="shared" si="4"/>
        <v>0</v>
      </c>
      <c r="O53" s="6"/>
      <c r="P53" s="6"/>
      <c r="Q53" s="6"/>
      <c r="R53" s="6"/>
      <c r="S53" s="6"/>
      <c r="T53" s="9">
        <f t="shared" si="2"/>
        <v>0</v>
      </c>
      <c r="U53" s="9">
        <f t="shared" si="3"/>
        <v>0</v>
      </c>
      <c r="V53" s="6"/>
      <c r="W53" s="6"/>
      <c r="X53" s="6"/>
      <c r="Y53" s="6"/>
    </row>
    <row r="54" spans="1:25">
      <c r="A54" s="4">
        <v>100000</v>
      </c>
      <c r="B54" s="3" t="s">
        <v>84</v>
      </c>
      <c r="C54" s="46"/>
      <c r="D54" s="46"/>
      <c r="E54" s="46"/>
      <c r="F54" s="46"/>
      <c r="G54" s="46"/>
      <c r="H54" s="46"/>
      <c r="I54" s="46"/>
      <c r="J54" s="46"/>
      <c r="K54" s="47" t="s">
        <v>542</v>
      </c>
      <c r="L54" s="1">
        <f t="shared" si="5"/>
        <v>0</v>
      </c>
      <c r="N54" s="1">
        <f t="shared" si="4"/>
        <v>0</v>
      </c>
      <c r="O54" s="6"/>
      <c r="P54" s="6"/>
      <c r="Q54" s="6">
        <f>+N54*0.5</f>
        <v>0</v>
      </c>
      <c r="R54" s="6"/>
      <c r="S54" s="6"/>
      <c r="T54" s="9">
        <f t="shared" si="2"/>
        <v>0</v>
      </c>
      <c r="U54" s="9">
        <f t="shared" si="3"/>
        <v>0</v>
      </c>
      <c r="V54" s="6"/>
      <c r="W54" s="6"/>
      <c r="X54" s="6"/>
      <c r="Y54" s="6"/>
    </row>
    <row r="55" spans="1:25">
      <c r="A55" s="4">
        <v>100000</v>
      </c>
      <c r="B55" s="3" t="s">
        <v>85</v>
      </c>
      <c r="C55" s="46"/>
      <c r="D55" s="46"/>
      <c r="E55" s="46"/>
      <c r="F55" s="46"/>
      <c r="G55" s="46"/>
      <c r="H55" s="46"/>
      <c r="I55" s="46"/>
      <c r="J55" s="46"/>
      <c r="K55" s="47" t="s">
        <v>542</v>
      </c>
      <c r="L55" s="1">
        <f t="shared" si="5"/>
        <v>0</v>
      </c>
      <c r="N55" s="1">
        <f t="shared" si="4"/>
        <v>0</v>
      </c>
      <c r="O55" s="6"/>
      <c r="P55" s="6"/>
      <c r="Q55" s="6"/>
      <c r="R55" s="6"/>
      <c r="S55" s="6"/>
      <c r="T55" s="9">
        <f t="shared" si="2"/>
        <v>0</v>
      </c>
      <c r="U55" s="9">
        <f t="shared" si="3"/>
        <v>0</v>
      </c>
      <c r="V55" s="6"/>
      <c r="W55" s="6"/>
      <c r="X55" s="6"/>
      <c r="Y55" s="6"/>
    </row>
    <row r="56" spans="1:25">
      <c r="A56" s="4">
        <v>100000</v>
      </c>
      <c r="B56" s="3" t="s">
        <v>86</v>
      </c>
      <c r="C56" s="46">
        <f>'BUDGET DETAIL'!A7</f>
        <v>3</v>
      </c>
      <c r="D56" s="46"/>
      <c r="E56" s="46"/>
      <c r="F56" s="46"/>
      <c r="G56" s="46"/>
      <c r="H56" s="46"/>
      <c r="I56" s="46"/>
      <c r="J56" s="46"/>
      <c r="K56" s="47" t="s">
        <v>542</v>
      </c>
      <c r="L56" s="1">
        <f t="shared" si="5"/>
        <v>2173400.8199999998</v>
      </c>
      <c r="N56" s="1">
        <f t="shared" si="4"/>
        <v>2173400.8199999998</v>
      </c>
      <c r="O56" s="6"/>
      <c r="P56" s="6"/>
      <c r="Q56" s="6"/>
      <c r="R56" s="6"/>
      <c r="S56" s="6"/>
      <c r="T56" s="9">
        <f t="shared" si="2"/>
        <v>2173400.8199999998</v>
      </c>
      <c r="U56" s="9">
        <f t="shared" si="3"/>
        <v>2173400.8199999998</v>
      </c>
      <c r="V56" s="6"/>
      <c r="W56" s="6"/>
      <c r="X56" s="6"/>
      <c r="Y56" s="6"/>
    </row>
    <row r="57" spans="1:25">
      <c r="A57" s="4">
        <v>100000</v>
      </c>
      <c r="B57" s="3" t="s">
        <v>87</v>
      </c>
      <c r="C57" s="46"/>
      <c r="D57" s="46"/>
      <c r="E57" s="46"/>
      <c r="F57" s="46"/>
      <c r="G57" s="46"/>
      <c r="H57" s="46"/>
      <c r="I57" s="46"/>
      <c r="J57" s="46"/>
      <c r="K57" s="47" t="s">
        <v>542</v>
      </c>
      <c r="L57" s="1">
        <f t="shared" si="5"/>
        <v>0</v>
      </c>
      <c r="N57" s="1">
        <f t="shared" si="4"/>
        <v>0</v>
      </c>
      <c r="O57" s="6"/>
      <c r="P57" s="6"/>
      <c r="Q57" s="6"/>
      <c r="R57" s="6"/>
      <c r="S57" s="6"/>
      <c r="T57" s="9">
        <f t="shared" si="2"/>
        <v>0</v>
      </c>
      <c r="U57" s="9">
        <f t="shared" si="3"/>
        <v>0</v>
      </c>
      <c r="V57" s="6"/>
      <c r="W57" s="6"/>
      <c r="X57" s="6"/>
      <c r="Y57" s="6"/>
    </row>
    <row r="58" spans="1:25">
      <c r="A58" s="4">
        <v>206000</v>
      </c>
      <c r="B58" s="3" t="s">
        <v>88</v>
      </c>
      <c r="C58" s="46">
        <f>'BUDGET DETAIL'!A40</f>
        <v>36</v>
      </c>
      <c r="D58" s="46"/>
      <c r="E58" s="46"/>
      <c r="F58" s="46"/>
      <c r="G58" s="46"/>
      <c r="H58" s="46"/>
      <c r="I58" s="46"/>
      <c r="J58" s="46"/>
      <c r="K58" s="47" t="s">
        <v>542</v>
      </c>
      <c r="L58" s="1">
        <f t="shared" si="5"/>
        <v>5315702.4299999988</v>
      </c>
      <c r="N58" s="1">
        <f t="shared" si="4"/>
        <v>5315702.4299999988</v>
      </c>
      <c r="O58" s="6"/>
      <c r="P58" s="6"/>
      <c r="Q58" s="6">
        <f>+N58*0.5</f>
        <v>2657851.2149999994</v>
      </c>
      <c r="R58" s="6"/>
      <c r="S58" s="6"/>
      <c r="T58" s="9">
        <f t="shared" si="2"/>
        <v>0</v>
      </c>
      <c r="U58" s="9">
        <f t="shared" si="3"/>
        <v>2657851.2149999994</v>
      </c>
      <c r="V58" s="6"/>
      <c r="W58" s="6"/>
      <c r="X58" s="6"/>
      <c r="Y58" s="6"/>
    </row>
    <row r="59" spans="1:25">
      <c r="A59" s="4">
        <v>100000</v>
      </c>
      <c r="B59" s="3" t="s">
        <v>89</v>
      </c>
      <c r="C59" s="46">
        <f>'BUDGET DETAIL'!A13</f>
        <v>9</v>
      </c>
      <c r="D59" s="46"/>
      <c r="E59" s="46"/>
      <c r="F59" s="46"/>
      <c r="G59" s="46"/>
      <c r="H59" s="46"/>
      <c r="I59" s="46"/>
      <c r="J59" s="46"/>
      <c r="K59" s="47" t="s">
        <v>542</v>
      </c>
      <c r="L59" s="1">
        <f t="shared" si="5"/>
        <v>230029.91</v>
      </c>
      <c r="N59" s="1">
        <f t="shared" si="4"/>
        <v>230029.91</v>
      </c>
      <c r="O59" s="6"/>
      <c r="P59" s="6"/>
      <c r="Q59" s="6"/>
      <c r="R59" s="6"/>
      <c r="S59" s="6"/>
      <c r="T59" s="9">
        <f t="shared" si="2"/>
        <v>230029.91</v>
      </c>
      <c r="U59" s="9">
        <f t="shared" si="3"/>
        <v>230029.91</v>
      </c>
      <c r="V59" s="6"/>
      <c r="W59" s="6"/>
      <c r="X59" s="6"/>
      <c r="Y59" s="6"/>
    </row>
    <row r="60" spans="1:25" ht="12" customHeight="1">
      <c r="A60" s="4">
        <v>100000</v>
      </c>
      <c r="B60" s="3" t="s">
        <v>90</v>
      </c>
      <c r="C60" s="46"/>
      <c r="D60" s="46"/>
      <c r="E60" s="46"/>
      <c r="F60" s="46"/>
      <c r="G60" s="46"/>
      <c r="H60" s="46"/>
      <c r="I60" s="46"/>
      <c r="J60" s="46"/>
      <c r="K60" s="47" t="s">
        <v>542</v>
      </c>
      <c r="L60" s="1">
        <f t="shared" si="5"/>
        <v>0</v>
      </c>
      <c r="N60" s="1">
        <f t="shared" si="4"/>
        <v>0</v>
      </c>
      <c r="O60" s="6"/>
      <c r="P60" s="6"/>
      <c r="Q60" s="6"/>
      <c r="R60" s="6"/>
      <c r="S60" s="6"/>
      <c r="T60" s="9">
        <f t="shared" si="2"/>
        <v>0</v>
      </c>
      <c r="U60" s="9">
        <f t="shared" si="3"/>
        <v>0</v>
      </c>
      <c r="V60" s="6"/>
      <c r="W60" s="6"/>
      <c r="X60" s="6"/>
      <c r="Y60" s="6"/>
    </row>
    <row r="61" spans="1:25">
      <c r="A61" s="4">
        <v>100000</v>
      </c>
      <c r="B61" s="3" t="s">
        <v>91</v>
      </c>
      <c r="C61" s="46"/>
      <c r="D61" s="46"/>
      <c r="E61" s="46"/>
      <c r="F61" s="46"/>
      <c r="G61" s="46"/>
      <c r="H61" s="46"/>
      <c r="I61" s="46"/>
      <c r="J61" s="46"/>
      <c r="K61" s="47" t="s">
        <v>542</v>
      </c>
      <c r="L61" s="1">
        <f t="shared" si="5"/>
        <v>0</v>
      </c>
      <c r="N61" s="1">
        <f t="shared" si="4"/>
        <v>0</v>
      </c>
      <c r="O61" s="6"/>
      <c r="P61" s="6"/>
      <c r="Q61" s="6"/>
      <c r="R61" s="6"/>
      <c r="S61" s="6"/>
      <c r="T61" s="9">
        <f t="shared" si="2"/>
        <v>0</v>
      </c>
      <c r="U61" s="9">
        <f t="shared" si="3"/>
        <v>0</v>
      </c>
      <c r="V61" s="6"/>
      <c r="W61" s="6"/>
      <c r="X61" s="6"/>
      <c r="Y61" s="6"/>
    </row>
    <row r="62" spans="1:25">
      <c r="A62" s="4">
        <v>208000</v>
      </c>
      <c r="B62" s="3" t="s">
        <v>92</v>
      </c>
      <c r="C62" s="46"/>
      <c r="D62" s="46"/>
      <c r="E62" s="46"/>
      <c r="F62" s="46"/>
      <c r="G62" s="46"/>
      <c r="H62" s="46"/>
      <c r="I62" s="46"/>
      <c r="J62" s="46"/>
      <c r="K62" s="47" t="s">
        <v>542</v>
      </c>
      <c r="L62" s="1">
        <f t="shared" si="5"/>
        <v>0</v>
      </c>
      <c r="N62" s="1">
        <f t="shared" si="4"/>
        <v>0</v>
      </c>
      <c r="O62" s="6"/>
      <c r="P62" s="6"/>
      <c r="Q62" s="6">
        <f>+N62*0.5</f>
        <v>0</v>
      </c>
      <c r="R62" s="6"/>
      <c r="S62" s="6"/>
      <c r="T62" s="9">
        <f t="shared" si="2"/>
        <v>0</v>
      </c>
      <c r="U62" s="9">
        <f t="shared" si="3"/>
        <v>0</v>
      </c>
      <c r="V62" s="6"/>
      <c r="W62" s="6"/>
      <c r="X62" s="6"/>
      <c r="Y62" s="6"/>
    </row>
    <row r="63" spans="1:25">
      <c r="A63" s="4">
        <v>207000</v>
      </c>
      <c r="B63" s="3" t="s">
        <v>93</v>
      </c>
      <c r="C63" s="46"/>
      <c r="D63" s="46"/>
      <c r="E63" s="46"/>
      <c r="F63" s="46"/>
      <c r="G63" s="46"/>
      <c r="H63" s="46"/>
      <c r="I63" s="46"/>
      <c r="J63" s="46"/>
      <c r="K63" s="47" t="s">
        <v>542</v>
      </c>
      <c r="L63" s="1">
        <f t="shared" si="5"/>
        <v>0</v>
      </c>
      <c r="N63" s="1">
        <f t="shared" si="4"/>
        <v>0</v>
      </c>
      <c r="O63" s="6"/>
      <c r="P63" s="6"/>
      <c r="Q63" s="6">
        <f>+N63*0.5</f>
        <v>0</v>
      </c>
      <c r="R63" s="6"/>
      <c r="S63" s="6"/>
      <c r="T63" s="9">
        <f t="shared" si="2"/>
        <v>0</v>
      </c>
      <c r="U63" s="9">
        <f t="shared" si="3"/>
        <v>0</v>
      </c>
      <c r="V63" s="6"/>
      <c r="W63" s="6"/>
      <c r="X63" s="6"/>
      <c r="Y63" s="6"/>
    </row>
    <row r="64" spans="1:25">
      <c r="A64" s="4">
        <v>100000</v>
      </c>
      <c r="B64" s="3" t="s">
        <v>94</v>
      </c>
      <c r="C64" s="46">
        <f>'BUDGET DETAIL'!A17</f>
        <v>13</v>
      </c>
      <c r="D64" s="46">
        <f>'BUDGET DETAIL'!A18</f>
        <v>14</v>
      </c>
      <c r="E64" s="46">
        <v>57</v>
      </c>
      <c r="F64" s="46"/>
      <c r="G64" s="46"/>
      <c r="H64" s="46"/>
      <c r="I64" s="46"/>
      <c r="J64" s="46"/>
      <c r="K64" s="47" t="s">
        <v>542</v>
      </c>
      <c r="L64" s="1">
        <f t="shared" si="5"/>
        <v>6207640.7699999977</v>
      </c>
      <c r="M64" s="1">
        <f>45000*0</f>
        <v>0</v>
      </c>
      <c r="N64" s="1">
        <f t="shared" si="4"/>
        <v>6207640.7699999977</v>
      </c>
      <c r="O64" s="6"/>
      <c r="P64" s="6"/>
      <c r="Q64" s="6"/>
      <c r="R64" s="6"/>
      <c r="S64" s="9">
        <f>(VLOOKUP(D64,table3,12))/2</f>
        <v>4359.95</v>
      </c>
      <c r="T64" s="9">
        <f t="shared" si="2"/>
        <v>6198920.8699999973</v>
      </c>
      <c r="U64" s="9">
        <f t="shared" si="3"/>
        <v>6203280.8199999975</v>
      </c>
      <c r="V64" s="6"/>
      <c r="W64" s="6"/>
      <c r="X64" s="6"/>
      <c r="Y64" s="6"/>
    </row>
    <row r="65" spans="1:25">
      <c r="A65" s="4" t="s">
        <v>382</v>
      </c>
      <c r="B65" s="3" t="s">
        <v>525</v>
      </c>
      <c r="C65" s="46">
        <v>7</v>
      </c>
      <c r="D65" s="46">
        <v>8</v>
      </c>
      <c r="E65" s="46"/>
      <c r="F65" s="46"/>
      <c r="G65" s="46"/>
      <c r="H65" s="46"/>
      <c r="I65" s="46"/>
      <c r="J65" s="46"/>
      <c r="K65" s="47" t="s">
        <v>543</v>
      </c>
      <c r="L65" s="1">
        <f>VLOOKUP(C65,table5,12)-VLOOKUP(D65,table5,12)</f>
        <v>247782.87000000011</v>
      </c>
      <c r="N65" s="1">
        <f t="shared" si="4"/>
        <v>247782.87000000011</v>
      </c>
      <c r="O65" s="6"/>
      <c r="P65" s="6"/>
      <c r="Q65" s="6"/>
      <c r="R65" s="6"/>
      <c r="S65" s="6"/>
      <c r="T65" s="9">
        <f t="shared" si="2"/>
        <v>247782.87000000011</v>
      </c>
      <c r="U65" s="9">
        <f t="shared" si="3"/>
        <v>247782.87000000011</v>
      </c>
      <c r="V65" s="6"/>
      <c r="W65" s="6"/>
      <c r="X65" s="6"/>
      <c r="Y65" s="6"/>
    </row>
    <row r="66" spans="1:25">
      <c r="A66" s="4" t="s">
        <v>383</v>
      </c>
      <c r="B66" s="3" t="s">
        <v>526</v>
      </c>
      <c r="C66" s="46">
        <v>6</v>
      </c>
      <c r="D66" s="46"/>
      <c r="E66" s="46"/>
      <c r="F66" s="46"/>
      <c r="G66" s="46"/>
      <c r="H66" s="46"/>
      <c r="I66" s="46"/>
      <c r="J66" s="46"/>
      <c r="K66" s="47" t="s">
        <v>543</v>
      </c>
      <c r="L66" s="1">
        <f>VLOOKUP(C66,table5,12)</f>
        <v>1051576.8999999999</v>
      </c>
      <c r="N66" s="1">
        <f t="shared" si="4"/>
        <v>1051576.8999999999</v>
      </c>
      <c r="O66" s="6"/>
      <c r="P66" s="6"/>
      <c r="Q66" s="6"/>
      <c r="R66" s="6"/>
      <c r="S66" s="6"/>
      <c r="T66" s="9">
        <f t="shared" si="2"/>
        <v>1051576.8999999999</v>
      </c>
      <c r="U66" s="9">
        <f t="shared" si="3"/>
        <v>1051576.8999999999</v>
      </c>
      <c r="V66" s="6"/>
      <c r="W66" s="6"/>
      <c r="X66" s="6"/>
      <c r="Y66" s="6"/>
    </row>
    <row r="67" spans="1:25">
      <c r="A67" s="4">
        <v>703000</v>
      </c>
      <c r="B67" s="3" t="s">
        <v>97</v>
      </c>
      <c r="C67" s="46">
        <v>127</v>
      </c>
      <c r="D67" s="46"/>
      <c r="E67" s="46"/>
      <c r="F67" s="46"/>
      <c r="G67" s="46"/>
      <c r="H67" s="46"/>
      <c r="I67" s="46"/>
      <c r="J67" s="46"/>
      <c r="K67" s="47" t="s">
        <v>542</v>
      </c>
      <c r="L67" s="1">
        <f t="shared" si="5"/>
        <v>5514266.5199999996</v>
      </c>
      <c r="N67" s="1">
        <f t="shared" si="4"/>
        <v>5514266.5199999996</v>
      </c>
      <c r="O67" s="5"/>
      <c r="P67" s="6"/>
      <c r="Q67" s="6"/>
      <c r="R67" s="5">
        <v>0</v>
      </c>
      <c r="S67" s="6">
        <v>0</v>
      </c>
      <c r="T67" s="9">
        <f t="shared" si="2"/>
        <v>5514266.5199999996</v>
      </c>
      <c r="U67" s="9">
        <f t="shared" si="3"/>
        <v>5514266.5199999996</v>
      </c>
      <c r="V67" s="6"/>
      <c r="W67" s="6"/>
      <c r="X67" s="6"/>
      <c r="Y67" s="6"/>
    </row>
    <row r="68" spans="1:25" s="207" customFormat="1">
      <c r="A68" s="206">
        <v>0</v>
      </c>
      <c r="B68" s="207" t="str">
        <f>'BUDGET DETAIL'!E82</f>
        <v>Office of Equity &amp; Human Rights</v>
      </c>
      <c r="C68" s="46">
        <v>78</v>
      </c>
      <c r="D68" s="46"/>
      <c r="E68" s="46"/>
      <c r="F68" s="46"/>
      <c r="G68" s="46"/>
      <c r="H68" s="46"/>
      <c r="I68" s="46"/>
      <c r="J68" s="46"/>
      <c r="K68" s="208" t="s">
        <v>542</v>
      </c>
      <c r="L68" s="1">
        <f t="shared" si="5"/>
        <v>375051.66</v>
      </c>
      <c r="M68" s="209"/>
      <c r="N68" s="209">
        <f>SUM(M68,L68)</f>
        <v>375051.66</v>
      </c>
      <c r="O68" s="210"/>
      <c r="P68" s="211"/>
      <c r="Q68" s="211"/>
      <c r="R68" s="211">
        <v>0</v>
      </c>
      <c r="S68" s="211">
        <v>0</v>
      </c>
      <c r="T68" s="11">
        <f>SUM(N68)-SUM(O68:P68)-SUM(Q68:S68)*2</f>
        <v>375051.66</v>
      </c>
      <c r="U68" s="11">
        <f>SUM(O68:T68)</f>
        <v>375051.66</v>
      </c>
      <c r="V68" s="211"/>
      <c r="W68" s="211"/>
      <c r="X68" s="211"/>
      <c r="Y68" s="211"/>
    </row>
    <row r="69" spans="1:25" s="12" customFormat="1">
      <c r="A69" s="16">
        <v>100000</v>
      </c>
      <c r="B69" s="12" t="s">
        <v>98</v>
      </c>
      <c r="C69" s="46">
        <v>5</v>
      </c>
      <c r="D69" s="46"/>
      <c r="E69" s="46"/>
      <c r="F69" s="46"/>
      <c r="G69" s="46"/>
      <c r="H69" s="46"/>
      <c r="I69" s="46"/>
      <c r="J69" s="46"/>
      <c r="K69" s="15" t="s">
        <v>543</v>
      </c>
      <c r="L69" s="9">
        <f>VLOOKUP(C69,table5,12)+VLOOKUP(D69,table3,12)+VLOOKUP(E69,table3,12)+VLOOKUP(F69,table3,12)+VLOOKUP(G169,table3,12)+VLOOKUP(H69,table3,12)</f>
        <v>7398354.1900000004</v>
      </c>
      <c r="M69" s="13"/>
      <c r="N69" s="13">
        <f t="shared" si="4"/>
        <v>7398354.1900000004</v>
      </c>
      <c r="O69" s="13"/>
      <c r="P69" s="13"/>
      <c r="Q69" s="14"/>
      <c r="R69" s="14"/>
      <c r="S69" s="14"/>
      <c r="T69" s="15">
        <f t="shared" si="2"/>
        <v>7398354.1900000004</v>
      </c>
      <c r="U69" s="15">
        <f t="shared" si="3"/>
        <v>7398354.1900000004</v>
      </c>
      <c r="V69" s="14"/>
      <c r="W69" s="14"/>
      <c r="X69" s="14"/>
      <c r="Y69" s="14"/>
    </row>
    <row r="70" spans="1:25">
      <c r="A70" s="4" t="s">
        <v>384</v>
      </c>
      <c r="B70" s="3" t="s">
        <v>99</v>
      </c>
      <c r="C70" s="46"/>
      <c r="D70" s="46"/>
      <c r="E70" s="46"/>
      <c r="F70" s="46"/>
      <c r="G70" s="46"/>
      <c r="H70" s="46"/>
      <c r="I70" s="46"/>
      <c r="J70" s="46"/>
      <c r="K70" s="47" t="s">
        <v>542</v>
      </c>
      <c r="L70" s="1">
        <f t="shared" si="5"/>
        <v>0</v>
      </c>
      <c r="N70" s="1">
        <v>6476768.0599999996</v>
      </c>
      <c r="O70" s="6"/>
      <c r="P70" s="6"/>
      <c r="Q70" s="6"/>
      <c r="R70" s="6"/>
      <c r="S70" s="6"/>
      <c r="T70" s="9">
        <f t="shared" si="2"/>
        <v>6476768.0599999996</v>
      </c>
      <c r="U70" s="9">
        <f t="shared" si="3"/>
        <v>6476768.0599999996</v>
      </c>
    </row>
    <row r="71" spans="1:25">
      <c r="A71" s="4">
        <v>220000</v>
      </c>
      <c r="B71" s="3" t="s">
        <v>100</v>
      </c>
      <c r="C71" s="46">
        <f>'BUDGET DETAIL'!A78</f>
        <v>74</v>
      </c>
      <c r="D71" s="46"/>
      <c r="E71" s="46"/>
      <c r="F71" s="46"/>
      <c r="G71" s="46"/>
      <c r="H71" s="46"/>
      <c r="I71" s="46"/>
      <c r="J71" s="46"/>
      <c r="K71" s="47" t="s">
        <v>542</v>
      </c>
      <c r="L71" s="1">
        <f t="shared" ref="L71:L84" si="6">VLOOKUP(C71,table3,12)+VLOOKUP(D71,table3,12)+VLOOKUP(E71,table3,12)+VLOOKUP(F71,table3,12)+VLOOKUP(G71,table3,12)</f>
        <v>476962.71999999991</v>
      </c>
      <c r="N71" s="1">
        <v>0</v>
      </c>
      <c r="O71" s="5"/>
      <c r="P71" s="6">
        <v>818233</v>
      </c>
      <c r="Q71" s="6"/>
      <c r="R71" s="6"/>
      <c r="S71" s="9">
        <f>(VLOOKUP(C71,table3,10))/2</f>
        <v>0</v>
      </c>
      <c r="T71" s="9">
        <f t="shared" si="2"/>
        <v>-818233</v>
      </c>
      <c r="U71" s="9">
        <f t="shared" si="3"/>
        <v>0</v>
      </c>
      <c r="V71" s="6"/>
      <c r="W71" s="6"/>
      <c r="X71" s="6"/>
      <c r="Y71" s="6"/>
    </row>
    <row r="72" spans="1:25">
      <c r="A72" s="4">
        <v>500000</v>
      </c>
      <c r="B72" s="3" t="s">
        <v>101</v>
      </c>
      <c r="C72" s="46">
        <f>'BUDGET DETAIL'!A105</f>
        <v>101</v>
      </c>
      <c r="D72" s="46"/>
      <c r="E72" s="46"/>
      <c r="F72" s="46"/>
      <c r="G72" s="46"/>
      <c r="H72" s="46"/>
      <c r="I72" s="46"/>
      <c r="J72" s="46"/>
      <c r="K72" s="47" t="s">
        <v>542</v>
      </c>
      <c r="L72" s="1">
        <f t="shared" si="6"/>
        <v>0</v>
      </c>
      <c r="N72" s="1">
        <f t="shared" si="4"/>
        <v>0</v>
      </c>
      <c r="O72" s="6"/>
      <c r="P72" s="6">
        <v>225</v>
      </c>
      <c r="Q72" s="6"/>
      <c r="R72" s="6"/>
      <c r="S72" s="6"/>
      <c r="T72" s="9">
        <f t="shared" ref="T72:T107" si="7">SUM(N72)-SUM(O72:P72)-SUM(Q72:S72)*2</f>
        <v>-225</v>
      </c>
      <c r="U72" s="9">
        <f t="shared" ref="U72:U107" si="8">SUM(O72:T72)</f>
        <v>0</v>
      </c>
      <c r="V72" s="6"/>
      <c r="W72" s="6"/>
      <c r="X72" s="6"/>
      <c r="Y72" s="6"/>
    </row>
    <row r="73" spans="1:25">
      <c r="A73" s="4">
        <v>616000</v>
      </c>
      <c r="B73" s="3" t="s">
        <v>102</v>
      </c>
      <c r="C73" s="46"/>
      <c r="D73" s="46"/>
      <c r="E73" s="46"/>
      <c r="F73" s="46"/>
      <c r="G73" s="46"/>
      <c r="H73" s="46"/>
      <c r="I73" s="46"/>
      <c r="J73" s="46"/>
      <c r="K73" s="47" t="s">
        <v>542</v>
      </c>
      <c r="L73" s="1">
        <f t="shared" si="6"/>
        <v>0</v>
      </c>
      <c r="N73" s="1">
        <f t="shared" si="4"/>
        <v>0</v>
      </c>
      <c r="O73" s="6"/>
      <c r="P73" s="6">
        <f>+N73*0</f>
        <v>0</v>
      </c>
      <c r="Q73" s="6"/>
      <c r="R73" s="6"/>
      <c r="S73" s="6"/>
      <c r="T73" s="9">
        <f t="shared" si="7"/>
        <v>0</v>
      </c>
      <c r="U73" s="9">
        <f t="shared" si="8"/>
        <v>0</v>
      </c>
      <c r="V73" s="6"/>
      <c r="W73" s="6"/>
      <c r="X73" s="6"/>
      <c r="Y73" s="6"/>
    </row>
    <row r="74" spans="1:25">
      <c r="A74" s="4" t="s">
        <v>527</v>
      </c>
      <c r="B74" s="3" t="s">
        <v>103</v>
      </c>
      <c r="C74" s="46"/>
      <c r="D74" s="46"/>
      <c r="E74" s="46"/>
      <c r="F74" s="46"/>
      <c r="G74" s="46"/>
      <c r="H74" s="46"/>
      <c r="I74" s="46"/>
      <c r="J74" s="46"/>
      <c r="K74" s="47" t="s">
        <v>542</v>
      </c>
      <c r="L74" s="1">
        <f>1115804.32+94718.06</f>
        <v>1210522.3800000001</v>
      </c>
      <c r="N74" s="1">
        <f t="shared" si="4"/>
        <v>1210522.3800000001</v>
      </c>
      <c r="O74" s="6"/>
      <c r="P74" s="6"/>
      <c r="Q74" s="6"/>
      <c r="R74" s="5">
        <v>0</v>
      </c>
      <c r="S74" s="6"/>
      <c r="T74" s="9">
        <f t="shared" si="7"/>
        <v>1210522.3800000001</v>
      </c>
      <c r="U74" s="9">
        <f t="shared" si="8"/>
        <v>1210522.3800000001</v>
      </c>
      <c r="V74" s="6"/>
      <c r="W74" s="6"/>
      <c r="X74" s="6"/>
      <c r="Y74" s="6"/>
    </row>
    <row r="75" spans="1:25">
      <c r="A75" s="4">
        <v>100000</v>
      </c>
      <c r="B75" s="3" t="s">
        <v>104</v>
      </c>
      <c r="C75" s="46">
        <f>'BUDGET DETAIL'!A23</f>
        <v>19</v>
      </c>
      <c r="D75" s="46">
        <f>'BUDGET DETAIL'!A24</f>
        <v>20</v>
      </c>
      <c r="E75" s="46">
        <f>'BUDGET DETAIL'!A67</f>
        <v>63</v>
      </c>
      <c r="F75" s="46">
        <f>'BUDGET DETAIL'!A68</f>
        <v>64</v>
      </c>
      <c r="G75" s="46"/>
      <c r="H75" s="46"/>
      <c r="I75" s="46"/>
      <c r="J75" s="46"/>
      <c r="K75" s="47" t="s">
        <v>542</v>
      </c>
      <c r="L75" s="1">
        <f t="shared" si="6"/>
        <v>22876793.810000002</v>
      </c>
      <c r="N75" s="1">
        <f t="shared" si="4"/>
        <v>22876793.810000002</v>
      </c>
      <c r="O75" s="6"/>
      <c r="P75" s="6"/>
      <c r="Q75" s="6"/>
      <c r="R75" s="6"/>
      <c r="S75" s="9">
        <f>(VLOOKUP(D75,table3,12))/2</f>
        <v>1152.115</v>
      </c>
      <c r="T75" s="9">
        <f t="shared" si="7"/>
        <v>22874489.580000002</v>
      </c>
      <c r="U75" s="9">
        <f t="shared" si="8"/>
        <v>22875641.695</v>
      </c>
      <c r="V75" s="6"/>
      <c r="W75" s="6"/>
      <c r="X75" s="6"/>
      <c r="Y75" s="6"/>
    </row>
    <row r="76" spans="1:25">
      <c r="A76" s="4">
        <v>203000</v>
      </c>
      <c r="B76" s="3" t="s">
        <v>105</v>
      </c>
      <c r="C76" s="46">
        <f>'BUDGET DETAIL'!A37</f>
        <v>33</v>
      </c>
      <c r="D76" s="46">
        <f>'BUDGET DETAIL'!A38</f>
        <v>34</v>
      </c>
      <c r="E76" s="46">
        <f>'BUDGET DETAIL'!A47</f>
        <v>43</v>
      </c>
      <c r="F76" s="46"/>
      <c r="G76" s="46"/>
      <c r="H76" s="46"/>
      <c r="I76" s="46"/>
      <c r="J76" s="46"/>
      <c r="K76" s="47" t="s">
        <v>542</v>
      </c>
      <c r="L76" s="1">
        <f t="shared" si="6"/>
        <v>19345623.400000002</v>
      </c>
      <c r="N76" s="1">
        <f t="shared" si="4"/>
        <v>19345623.400000002</v>
      </c>
      <c r="O76" s="5"/>
      <c r="P76" s="6"/>
      <c r="Q76" s="6"/>
      <c r="R76" s="5">
        <v>0</v>
      </c>
      <c r="S76" s="9">
        <f>(VLOOKUP(D76,table3,12)+VLOOKUP(E76,table3,10))/2</f>
        <v>222651.35499999998</v>
      </c>
      <c r="T76" s="9">
        <f t="shared" si="7"/>
        <v>18900320.690000001</v>
      </c>
      <c r="U76" s="9">
        <f t="shared" si="8"/>
        <v>19122972.045000002</v>
      </c>
      <c r="V76" s="6"/>
      <c r="W76" s="6"/>
      <c r="X76" s="6"/>
      <c r="Y76" s="6"/>
    </row>
    <row r="77" spans="1:25">
      <c r="A77" s="4">
        <v>218000</v>
      </c>
      <c r="B77" s="3" t="s">
        <v>106</v>
      </c>
      <c r="C77" s="46">
        <f>'BUDGET DETAIL'!A76</f>
        <v>72</v>
      </c>
      <c r="D77" s="46"/>
      <c r="E77" s="46"/>
      <c r="F77" s="46"/>
      <c r="G77" s="46"/>
      <c r="H77" s="46"/>
      <c r="I77" s="46"/>
      <c r="J77" s="46"/>
      <c r="K77" s="47" t="s">
        <v>542</v>
      </c>
      <c r="L77" s="1">
        <f t="shared" si="6"/>
        <v>8788094.8700000048</v>
      </c>
      <c r="N77" s="1">
        <f t="shared" si="4"/>
        <v>8788094.8700000048</v>
      </c>
      <c r="O77" s="5"/>
      <c r="P77" s="6"/>
      <c r="Q77" s="6">
        <f>+N77*0.5</f>
        <v>4394047.4350000024</v>
      </c>
      <c r="R77" s="6"/>
      <c r="S77" s="6"/>
      <c r="T77" s="9">
        <f t="shared" si="7"/>
        <v>0</v>
      </c>
      <c r="U77" s="9">
        <f t="shared" si="8"/>
        <v>4394047.4350000024</v>
      </c>
      <c r="V77" s="6"/>
      <c r="W77" s="6"/>
      <c r="X77" s="6"/>
      <c r="Y77" s="6"/>
    </row>
    <row r="78" spans="1:25">
      <c r="A78" s="4">
        <v>219000</v>
      </c>
      <c r="B78" s="3" t="s">
        <v>107</v>
      </c>
      <c r="C78" s="46">
        <f>'BUDGET DETAIL'!A77</f>
        <v>73</v>
      </c>
      <c r="D78" s="46"/>
      <c r="E78" s="46"/>
      <c r="F78" s="46"/>
      <c r="G78" s="46"/>
      <c r="H78" s="46"/>
      <c r="I78" s="46"/>
      <c r="J78" s="46"/>
      <c r="K78" s="47" t="s">
        <v>542</v>
      </c>
      <c r="L78" s="1">
        <f t="shared" si="6"/>
        <v>3945472.1599999997</v>
      </c>
      <c r="N78" s="1">
        <f t="shared" si="4"/>
        <v>3945472.1599999997</v>
      </c>
      <c r="O78" s="6"/>
      <c r="P78" s="6"/>
      <c r="Q78" s="6">
        <f>+N78*0.5</f>
        <v>1972736.0799999998</v>
      </c>
      <c r="R78" s="6"/>
      <c r="S78" s="6"/>
      <c r="T78" s="9">
        <f t="shared" si="7"/>
        <v>0</v>
      </c>
      <c r="U78" s="9">
        <f t="shared" si="8"/>
        <v>1972736.0799999998</v>
      </c>
      <c r="V78" s="6"/>
      <c r="W78" s="6"/>
      <c r="X78" s="6"/>
      <c r="Y78" s="6"/>
    </row>
    <row r="79" spans="1:25">
      <c r="A79" s="4">
        <v>100000</v>
      </c>
      <c r="B79" s="3" t="s">
        <v>108</v>
      </c>
      <c r="C79" s="46">
        <f>'BUDGET DETAIL'!A12</f>
        <v>8</v>
      </c>
      <c r="D79" s="46"/>
      <c r="E79" s="46"/>
      <c r="F79" s="46"/>
      <c r="G79" s="46"/>
      <c r="H79" s="46"/>
      <c r="I79" s="46"/>
      <c r="J79" s="46"/>
      <c r="K79" s="47" t="s">
        <v>542</v>
      </c>
      <c r="L79" s="1">
        <f t="shared" si="6"/>
        <v>11593972.110000001</v>
      </c>
      <c r="N79" s="1">
        <f t="shared" si="4"/>
        <v>11593972.110000001</v>
      </c>
      <c r="O79" s="5"/>
      <c r="P79" s="6"/>
      <c r="Q79" s="6"/>
      <c r="R79" s="6">
        <f>0*0.5</f>
        <v>0</v>
      </c>
      <c r="S79" s="6"/>
      <c r="T79" s="9">
        <f t="shared" si="7"/>
        <v>11593972.110000001</v>
      </c>
      <c r="U79" s="9">
        <f t="shared" si="8"/>
        <v>11593972.110000001</v>
      </c>
      <c r="V79" s="6"/>
      <c r="W79" s="6"/>
      <c r="X79" s="6"/>
      <c r="Y79" s="6"/>
    </row>
    <row r="80" spans="1:25">
      <c r="A80" s="4">
        <v>621000</v>
      </c>
      <c r="B80" s="3" t="s">
        <v>385</v>
      </c>
      <c r="C80" s="46">
        <f>'BUDGET DETAIL'!A125</f>
        <v>121</v>
      </c>
      <c r="D80" s="46"/>
      <c r="E80" s="46"/>
      <c r="F80" s="46"/>
      <c r="G80" s="46"/>
      <c r="H80" s="46"/>
      <c r="I80" s="46"/>
      <c r="J80" s="46"/>
      <c r="K80" s="47" t="s">
        <v>542</v>
      </c>
      <c r="L80" s="1">
        <f t="shared" si="6"/>
        <v>175</v>
      </c>
      <c r="N80" s="1">
        <f t="shared" si="4"/>
        <v>175</v>
      </c>
      <c r="O80" s="5"/>
      <c r="P80" s="6"/>
      <c r="Q80" s="6"/>
      <c r="R80" s="5">
        <v>0</v>
      </c>
      <c r="S80" s="6"/>
      <c r="T80" s="9">
        <f t="shared" si="7"/>
        <v>175</v>
      </c>
      <c r="U80" s="9">
        <f t="shared" si="8"/>
        <v>175</v>
      </c>
      <c r="V80" s="6"/>
      <c r="W80" s="6"/>
      <c r="X80" s="6"/>
      <c r="Y80" s="6"/>
    </row>
    <row r="81" spans="1:25">
      <c r="A81" s="4">
        <v>706000</v>
      </c>
      <c r="B81" s="3" t="s">
        <v>109</v>
      </c>
      <c r="C81" s="46">
        <f>'BUDGET DETAIL'!A134</f>
        <v>130</v>
      </c>
      <c r="D81" s="46">
        <f>'BUDGET DETAIL'!A135</f>
        <v>131</v>
      </c>
      <c r="E81" s="46"/>
      <c r="F81" s="46"/>
      <c r="G81" s="46"/>
      <c r="H81" s="46"/>
      <c r="I81" s="46"/>
      <c r="J81" s="46"/>
      <c r="K81" s="47" t="s">
        <v>546</v>
      </c>
      <c r="L81" s="1">
        <f t="shared" si="6"/>
        <v>40853188.459999993</v>
      </c>
      <c r="M81" s="9">
        <f>VLOOKUP(5,table4,12)</f>
        <v>110679.3</v>
      </c>
      <c r="N81" s="1">
        <f t="shared" si="4"/>
        <v>40963867.75999999</v>
      </c>
      <c r="O81" s="7"/>
      <c r="P81" s="6"/>
      <c r="Q81" s="6"/>
      <c r="R81" s="5">
        <v>0</v>
      </c>
      <c r="S81" s="9">
        <f>(VLOOKUP(D81,table3,12)+VLOOKUP(E81,table3,10))/2</f>
        <v>1883096.3750000002</v>
      </c>
      <c r="T81" s="9">
        <f t="shared" si="7"/>
        <v>37197675.00999999</v>
      </c>
      <c r="U81" s="9">
        <f t="shared" si="8"/>
        <v>39080771.38499999</v>
      </c>
      <c r="V81" s="6"/>
      <c r="W81" s="6"/>
      <c r="X81" s="6"/>
      <c r="Y81" s="6"/>
    </row>
    <row r="82" spans="1:25">
      <c r="A82" s="4">
        <v>702000</v>
      </c>
      <c r="B82" s="3" t="s">
        <v>110</v>
      </c>
      <c r="C82" s="46">
        <v>125</v>
      </c>
      <c r="D82" s="46">
        <v>126</v>
      </c>
      <c r="E82" s="46"/>
      <c r="F82" s="46"/>
      <c r="G82" s="46"/>
      <c r="H82" s="46"/>
      <c r="I82" s="46"/>
      <c r="J82" s="46"/>
      <c r="K82" s="47" t="s">
        <v>546</v>
      </c>
      <c r="L82" s="1">
        <f t="shared" si="6"/>
        <v>24170630.639999993</v>
      </c>
      <c r="M82" s="9">
        <f>VLOOKUP(1,table4,12)</f>
        <v>0</v>
      </c>
      <c r="N82" s="1">
        <f t="shared" si="4"/>
        <v>24170630.639999993</v>
      </c>
      <c r="O82" s="5"/>
      <c r="P82" s="6"/>
      <c r="Q82" s="6"/>
      <c r="R82" s="5">
        <v>0</v>
      </c>
      <c r="S82" s="9">
        <f>(VLOOKUP(D82,table3,10))/2</f>
        <v>0</v>
      </c>
      <c r="T82" s="9">
        <f t="shared" si="7"/>
        <v>24170630.639999993</v>
      </c>
      <c r="U82" s="9">
        <f t="shared" si="8"/>
        <v>24170630.639999993</v>
      </c>
      <c r="V82" s="6"/>
      <c r="W82" s="6"/>
      <c r="X82" s="6"/>
      <c r="Y82" s="6"/>
    </row>
    <row r="83" spans="1:25">
      <c r="A83" s="4">
        <v>704000</v>
      </c>
      <c r="B83" s="3" t="s">
        <v>111</v>
      </c>
      <c r="C83" s="46">
        <f>'BUDGET DETAIL'!A132</f>
        <v>128</v>
      </c>
      <c r="D83" s="46"/>
      <c r="E83" s="46"/>
      <c r="F83" s="46"/>
      <c r="G83" s="46"/>
      <c r="H83" s="46"/>
      <c r="I83" s="46"/>
      <c r="J83" s="46"/>
      <c r="K83" s="47" t="s">
        <v>542</v>
      </c>
      <c r="L83" s="1">
        <f t="shared" si="6"/>
        <v>6440525.5600000015</v>
      </c>
      <c r="N83" s="1">
        <f t="shared" si="4"/>
        <v>6440525.5600000015</v>
      </c>
      <c r="O83" s="5"/>
      <c r="P83" s="6"/>
      <c r="Q83" s="6"/>
      <c r="R83" s="5">
        <v>0</v>
      </c>
      <c r="S83" s="9">
        <f>(VLOOKUP(D83,table3,10))/2</f>
        <v>0</v>
      </c>
      <c r="T83" s="9">
        <f t="shared" si="7"/>
        <v>6440525.5600000015</v>
      </c>
      <c r="U83" s="9">
        <f t="shared" si="8"/>
        <v>6440525.5600000015</v>
      </c>
      <c r="V83" s="6"/>
      <c r="W83" s="6"/>
      <c r="X83" s="6"/>
      <c r="Y83" s="6"/>
    </row>
    <row r="84" spans="1:25">
      <c r="A84" s="4">
        <v>705000</v>
      </c>
      <c r="B84" s="3" t="s">
        <v>112</v>
      </c>
      <c r="C84" s="46">
        <f>'BUDGET DETAIL'!A133</f>
        <v>129</v>
      </c>
      <c r="D84" s="46"/>
      <c r="E84" s="46"/>
      <c r="F84" s="46"/>
      <c r="G84" s="46"/>
      <c r="H84" s="46"/>
      <c r="I84" s="46"/>
      <c r="J84" s="46"/>
      <c r="K84" s="47" t="s">
        <v>542</v>
      </c>
      <c r="L84" s="1">
        <f t="shared" si="6"/>
        <v>3495172.9000000004</v>
      </c>
      <c r="N84" s="1">
        <f t="shared" si="4"/>
        <v>3495172.9000000004</v>
      </c>
      <c r="O84" s="5"/>
      <c r="P84" s="6"/>
      <c r="Q84" s="6"/>
      <c r="R84" s="5">
        <v>0</v>
      </c>
      <c r="S84" s="9">
        <f>(VLOOKUP(D84,table3,10))/2</f>
        <v>0</v>
      </c>
      <c r="T84" s="9">
        <f t="shared" si="7"/>
        <v>3495172.9000000004</v>
      </c>
      <c r="U84" s="9">
        <f t="shared" si="8"/>
        <v>3495172.9000000004</v>
      </c>
      <c r="V84" s="6"/>
      <c r="W84" s="6"/>
      <c r="X84" s="6"/>
      <c r="Y84" s="6"/>
    </row>
    <row r="85" spans="1:25">
      <c r="A85" s="4">
        <v>707000</v>
      </c>
      <c r="B85" s="3" t="s">
        <v>113</v>
      </c>
      <c r="C85" s="46"/>
      <c r="D85" s="46"/>
      <c r="E85" s="46"/>
      <c r="F85" s="46"/>
      <c r="G85" s="46"/>
      <c r="H85" s="46"/>
      <c r="I85" s="46"/>
      <c r="J85" s="46"/>
      <c r="K85" s="47" t="s">
        <v>542</v>
      </c>
      <c r="L85" s="1">
        <v>0</v>
      </c>
      <c r="N85" s="1">
        <f t="shared" si="4"/>
        <v>0</v>
      </c>
      <c r="O85" s="5"/>
      <c r="P85" s="6"/>
      <c r="Q85" s="6"/>
      <c r="R85" s="6"/>
      <c r="S85" s="6"/>
      <c r="T85" s="9">
        <f t="shared" si="7"/>
        <v>0</v>
      </c>
      <c r="U85" s="9">
        <f t="shared" si="8"/>
        <v>0</v>
      </c>
      <c r="V85" s="6"/>
      <c r="W85" s="6"/>
      <c r="X85" s="6"/>
      <c r="Y85" s="6"/>
    </row>
    <row r="86" spans="1:25">
      <c r="A86" s="4">
        <v>612000</v>
      </c>
      <c r="B86" s="3" t="s">
        <v>50</v>
      </c>
      <c r="C86" s="46"/>
      <c r="D86" s="46"/>
      <c r="E86" s="46"/>
      <c r="F86" s="46"/>
      <c r="G86" s="46"/>
      <c r="H86" s="46"/>
      <c r="I86" s="46"/>
      <c r="J86" s="46"/>
      <c r="K86" s="47" t="s">
        <v>542</v>
      </c>
      <c r="L86" s="1">
        <v>0</v>
      </c>
      <c r="N86" s="1">
        <f t="shared" si="4"/>
        <v>0</v>
      </c>
      <c r="O86" s="5"/>
      <c r="P86" s="6"/>
      <c r="Q86" s="6"/>
      <c r="R86" s="6"/>
      <c r="S86" s="10"/>
      <c r="T86" s="9">
        <f t="shared" si="7"/>
        <v>0</v>
      </c>
      <c r="U86" s="9">
        <f t="shared" si="8"/>
        <v>0</v>
      </c>
      <c r="V86" s="6"/>
      <c r="W86" s="6"/>
      <c r="X86" s="6"/>
      <c r="Y86" s="6"/>
    </row>
    <row r="87" spans="1:25">
      <c r="A87" s="4">
        <v>604000</v>
      </c>
      <c r="B87" s="3" t="s">
        <v>114</v>
      </c>
      <c r="C87" s="46">
        <f>'BUDGET DETAIL'!A113</f>
        <v>109</v>
      </c>
      <c r="D87" s="46">
        <v>82</v>
      </c>
      <c r="E87" s="46"/>
      <c r="F87" s="46"/>
      <c r="G87" s="46"/>
      <c r="H87" s="46"/>
      <c r="I87" s="46"/>
      <c r="J87" s="46"/>
      <c r="K87" s="47" t="s">
        <v>542</v>
      </c>
      <c r="L87" s="1">
        <f t="shared" ref="L87:L92" si="9">VLOOKUP(C87,table3,12)+VLOOKUP(D87,table3,12)+VLOOKUP(E87,table3,12)+VLOOKUP(F87,table3,12)+VLOOKUP(G87,table3,12)</f>
        <v>1263254.6500000001</v>
      </c>
      <c r="N87" s="1">
        <f t="shared" si="4"/>
        <v>1263254.6500000001</v>
      </c>
      <c r="O87" s="6"/>
      <c r="P87" s="6"/>
      <c r="Q87" s="6"/>
      <c r="R87" s="5">
        <v>0</v>
      </c>
      <c r="S87" s="9">
        <f>(VLOOKUP(D87,table3,12))/2</f>
        <v>7942.5249999999996</v>
      </c>
      <c r="T87" s="9">
        <f t="shared" si="7"/>
        <v>1247369.6000000001</v>
      </c>
      <c r="U87" s="9">
        <f t="shared" si="8"/>
        <v>1255312.125</v>
      </c>
      <c r="V87" s="6"/>
      <c r="W87" s="6"/>
      <c r="X87" s="6"/>
      <c r="Y87" s="6"/>
    </row>
    <row r="88" spans="1:25">
      <c r="A88" s="4">
        <v>603000</v>
      </c>
      <c r="B88" s="3" t="s">
        <v>115</v>
      </c>
      <c r="C88" s="46">
        <f>'BUDGET DETAIL'!A111</f>
        <v>107</v>
      </c>
      <c r="D88" s="46">
        <f>'BUDGET DETAIL'!A112</f>
        <v>108</v>
      </c>
      <c r="E88" s="46"/>
      <c r="F88" s="46"/>
      <c r="G88" s="46"/>
      <c r="H88" s="46"/>
      <c r="I88" s="46"/>
      <c r="J88" s="46"/>
      <c r="K88" s="47" t="s">
        <v>542</v>
      </c>
      <c r="L88" s="1">
        <f t="shared" si="9"/>
        <v>6364493.5</v>
      </c>
      <c r="N88" s="1">
        <f t="shared" si="4"/>
        <v>6364493.5</v>
      </c>
      <c r="O88" s="6"/>
      <c r="P88" s="6"/>
      <c r="Q88" s="6"/>
      <c r="R88" s="5">
        <v>0</v>
      </c>
      <c r="S88" s="9">
        <f>(VLOOKUP(C88,table3,12))/2</f>
        <v>136051.34999999998</v>
      </c>
      <c r="T88" s="9">
        <f t="shared" si="7"/>
        <v>6092390.7999999998</v>
      </c>
      <c r="U88" s="9">
        <f t="shared" si="8"/>
        <v>6228442.1499999994</v>
      </c>
      <c r="V88" s="6"/>
      <c r="W88" s="6"/>
      <c r="X88" s="6"/>
      <c r="Y88" s="6"/>
    </row>
    <row r="89" spans="1:25">
      <c r="A89" s="4">
        <v>610000</v>
      </c>
      <c r="B89" s="3" t="s">
        <v>116</v>
      </c>
      <c r="C89" s="46">
        <f>'BUDGET DETAIL'!A121</f>
        <v>117</v>
      </c>
      <c r="D89" s="46"/>
      <c r="E89" s="46"/>
      <c r="F89" s="46"/>
      <c r="G89" s="46"/>
      <c r="H89" s="46"/>
      <c r="I89" s="46"/>
      <c r="J89" s="46"/>
      <c r="K89" s="47" t="s">
        <v>542</v>
      </c>
      <c r="L89" s="1">
        <f t="shared" si="9"/>
        <v>0</v>
      </c>
      <c r="N89" s="1">
        <f t="shared" si="4"/>
        <v>0</v>
      </c>
      <c r="O89" s="6"/>
      <c r="P89" s="6"/>
      <c r="Q89" s="6"/>
      <c r="R89" s="5">
        <v>0</v>
      </c>
      <c r="S89" s="6"/>
      <c r="T89" s="9">
        <f t="shared" si="7"/>
        <v>0</v>
      </c>
      <c r="U89" s="9">
        <f t="shared" si="8"/>
        <v>0</v>
      </c>
      <c r="V89" s="6"/>
      <c r="W89" s="6"/>
      <c r="X89" s="6"/>
      <c r="Y89" s="6"/>
    </row>
    <row r="90" spans="1:25">
      <c r="A90" s="4">
        <v>202000</v>
      </c>
      <c r="B90" s="3" t="s">
        <v>117</v>
      </c>
      <c r="C90" s="46">
        <f>'BUDGET DETAIL'!A33</f>
        <v>29</v>
      </c>
      <c r="D90" s="46">
        <f>'BUDGET DETAIL'!A34</f>
        <v>30</v>
      </c>
      <c r="E90" s="46">
        <f>'BUDGET DETAIL'!A35</f>
        <v>31</v>
      </c>
      <c r="F90" s="46">
        <f>'BUDGET DETAIL'!A36</f>
        <v>32</v>
      </c>
      <c r="G90" s="46">
        <v>44</v>
      </c>
      <c r="H90" s="46">
        <v>56</v>
      </c>
      <c r="I90" s="46"/>
      <c r="J90" s="46"/>
      <c r="K90" s="47" t="s">
        <v>542</v>
      </c>
      <c r="L90" s="1">
        <f>VLOOKUP(C90,table3,12)+VLOOKUP(D90,table3,12)+VLOOKUP(E90,table3,12)+VLOOKUP(F90,table3,12)+VLOOKUP(G90,table3,12)+VLOOKUP(H90,table3,12)</f>
        <v>14302492.140000001</v>
      </c>
      <c r="N90" s="1">
        <f t="shared" si="4"/>
        <v>14302492.140000001</v>
      </c>
      <c r="O90" s="5"/>
      <c r="P90" s="6"/>
      <c r="Q90" s="6"/>
      <c r="R90" s="5">
        <v>0</v>
      </c>
      <c r="S90" s="9">
        <f>(VLOOKUP(D90,table3,12))/2+(VLOOKUP(H90,table3,12)/2)</f>
        <v>69586.845000000001</v>
      </c>
      <c r="T90" s="9">
        <f t="shared" si="7"/>
        <v>14163318.450000001</v>
      </c>
      <c r="U90" s="9">
        <f t="shared" si="8"/>
        <v>14232905.295000002</v>
      </c>
      <c r="V90" s="6"/>
      <c r="W90" s="6"/>
      <c r="X90" s="6"/>
      <c r="Y90" s="6"/>
    </row>
    <row r="91" spans="1:25">
      <c r="A91" s="4">
        <v>601000</v>
      </c>
      <c r="B91" s="3" t="s">
        <v>118</v>
      </c>
      <c r="C91" s="46">
        <f>'BUDGET DETAIL'!A108</f>
        <v>104</v>
      </c>
      <c r="D91" s="46"/>
      <c r="E91" s="46"/>
      <c r="F91" s="46"/>
      <c r="G91" s="46"/>
      <c r="H91" s="46"/>
      <c r="I91" s="46"/>
      <c r="J91" s="46"/>
      <c r="K91" s="47" t="s">
        <v>542</v>
      </c>
      <c r="L91" s="1">
        <f t="shared" si="9"/>
        <v>342322.09</v>
      </c>
      <c r="N91" s="1">
        <f t="shared" ref="N91:N107" si="10">SUM(M91,L91)</f>
        <v>342322.09</v>
      </c>
      <c r="O91" s="6"/>
      <c r="P91" s="6"/>
      <c r="Q91" s="6"/>
      <c r="R91" s="5">
        <v>0</v>
      </c>
      <c r="S91" s="6"/>
      <c r="T91" s="9">
        <f t="shared" si="7"/>
        <v>342322.09</v>
      </c>
      <c r="U91" s="9">
        <f t="shared" si="8"/>
        <v>342322.09</v>
      </c>
      <c r="V91" s="6"/>
      <c r="W91" s="6"/>
      <c r="X91" s="6"/>
      <c r="Y91" s="6"/>
    </row>
    <row r="92" spans="1:25">
      <c r="A92" s="4">
        <v>611000</v>
      </c>
      <c r="B92" s="3" t="s">
        <v>119</v>
      </c>
      <c r="C92" s="46">
        <f>'BUDGET DETAIL'!A122</f>
        <v>118</v>
      </c>
      <c r="D92" s="46"/>
      <c r="E92" s="46"/>
      <c r="F92" s="46"/>
      <c r="G92" s="46"/>
      <c r="H92" s="46"/>
      <c r="I92" s="46"/>
      <c r="J92" s="46"/>
      <c r="K92" s="47" t="s">
        <v>542</v>
      </c>
      <c r="L92" s="1">
        <f t="shared" si="9"/>
        <v>0</v>
      </c>
      <c r="N92" s="1">
        <f t="shared" si="10"/>
        <v>0</v>
      </c>
      <c r="O92" s="6"/>
      <c r="P92" s="6"/>
      <c r="Q92" s="6"/>
      <c r="R92" s="5">
        <v>0</v>
      </c>
      <c r="S92" s="6"/>
      <c r="T92" s="9">
        <f t="shared" si="7"/>
        <v>0</v>
      </c>
      <c r="U92" s="9">
        <f t="shared" si="8"/>
        <v>0</v>
      </c>
      <c r="V92" s="6"/>
      <c r="W92" s="6"/>
      <c r="X92" s="6"/>
      <c r="Y92" s="6"/>
    </row>
    <row r="93" spans="1:25">
      <c r="A93" s="4">
        <v>618000</v>
      </c>
      <c r="B93" s="3" t="s">
        <v>120</v>
      </c>
      <c r="C93" s="46"/>
      <c r="D93" s="46"/>
      <c r="E93" s="46"/>
      <c r="F93" s="46"/>
      <c r="G93" s="46"/>
      <c r="H93" s="46"/>
      <c r="I93" s="46"/>
      <c r="J93" s="46"/>
      <c r="K93" s="47" t="s">
        <v>542</v>
      </c>
      <c r="L93" s="1">
        <v>0</v>
      </c>
      <c r="N93" s="1">
        <f t="shared" si="10"/>
        <v>0</v>
      </c>
      <c r="O93" s="6"/>
      <c r="P93" s="6">
        <f>+N93*0</f>
        <v>0</v>
      </c>
      <c r="Q93" s="6"/>
      <c r="R93" s="6"/>
      <c r="S93" s="6"/>
      <c r="T93" s="9">
        <f t="shared" si="7"/>
        <v>0</v>
      </c>
      <c r="U93" s="9">
        <f t="shared" si="8"/>
        <v>0</v>
      </c>
      <c r="V93" s="6"/>
      <c r="W93" s="6"/>
      <c r="X93" s="6"/>
      <c r="Y93" s="6"/>
    </row>
    <row r="94" spans="1:25">
      <c r="A94" s="4">
        <v>606000</v>
      </c>
      <c r="B94" s="3" t="s">
        <v>121</v>
      </c>
      <c r="C94" s="46">
        <f>'BUDGET DETAIL'!A116</f>
        <v>112</v>
      </c>
      <c r="D94" s="46">
        <v>111</v>
      </c>
      <c r="E94" s="46"/>
      <c r="F94" s="46"/>
      <c r="G94" s="46"/>
      <c r="H94" s="46"/>
      <c r="I94" s="46"/>
      <c r="J94" s="46"/>
      <c r="K94" s="47" t="s">
        <v>542</v>
      </c>
      <c r="L94" s="1">
        <f>VLOOKUP(C94,table3,12)+VLOOKUP(D94,table3,12)+VLOOKUP(E94,table3,12)+VLOOKUP(F94,table3,12)+VLOOKUP(G94,table3,12)</f>
        <v>4996465.59</v>
      </c>
      <c r="N94" s="1">
        <f t="shared" si="10"/>
        <v>4996465.59</v>
      </c>
      <c r="O94" s="6"/>
      <c r="P94" s="6"/>
      <c r="Q94" s="6"/>
      <c r="R94" s="5">
        <v>0</v>
      </c>
      <c r="S94" s="9">
        <f>(VLOOKUP(D94,table3,12))/2</f>
        <v>620518.81499999994</v>
      </c>
      <c r="T94" s="9">
        <f t="shared" si="7"/>
        <v>3755427.96</v>
      </c>
      <c r="U94" s="9">
        <f t="shared" si="8"/>
        <v>4375946.7750000004</v>
      </c>
      <c r="V94" s="6"/>
      <c r="W94" s="6"/>
      <c r="X94" s="6"/>
      <c r="Y94" s="6"/>
    </row>
    <row r="95" spans="1:25">
      <c r="A95" s="4">
        <v>613000</v>
      </c>
      <c r="B95" s="3" t="s">
        <v>122</v>
      </c>
      <c r="C95" s="46"/>
      <c r="D95" s="46"/>
      <c r="E95" s="46"/>
      <c r="F95" s="46"/>
      <c r="G95" s="46"/>
      <c r="H95" s="46"/>
      <c r="I95" s="46"/>
      <c r="J95" s="46"/>
      <c r="K95" s="47" t="s">
        <v>542</v>
      </c>
      <c r="L95" s="1">
        <v>0</v>
      </c>
      <c r="N95" s="1">
        <f t="shared" si="10"/>
        <v>0</v>
      </c>
      <c r="O95" s="5"/>
      <c r="P95" s="6"/>
      <c r="Q95" s="6"/>
      <c r="R95" s="7">
        <v>0</v>
      </c>
      <c r="S95" s="6"/>
      <c r="T95" s="9">
        <f t="shared" si="7"/>
        <v>0</v>
      </c>
      <c r="U95" s="9">
        <f t="shared" si="8"/>
        <v>0</v>
      </c>
      <c r="V95" s="6"/>
      <c r="W95" s="6"/>
      <c r="X95" s="6"/>
      <c r="Y95" s="6"/>
    </row>
    <row r="96" spans="1:25">
      <c r="A96" s="4">
        <v>701000</v>
      </c>
      <c r="B96" s="3" t="s">
        <v>123</v>
      </c>
      <c r="C96" s="46">
        <f>'BUDGET DETAIL'!A127</f>
        <v>123</v>
      </c>
      <c r="D96" s="46">
        <f>'BUDGET DETAIL'!A128</f>
        <v>124</v>
      </c>
      <c r="E96" s="46"/>
      <c r="F96" s="46"/>
      <c r="G96" s="46"/>
      <c r="H96" s="46"/>
      <c r="I96" s="46"/>
      <c r="J96" s="46"/>
      <c r="K96" s="47" t="s">
        <v>546</v>
      </c>
      <c r="L96" s="1">
        <f>VLOOKUP(C96,table3,12)+VLOOKUP(D96,table3,12)+VLOOKUP(E96,table3,12)+VLOOKUP(F96,table3,12)+VLOOKUP(G96,table3,12)</f>
        <v>26946920.939999986</v>
      </c>
      <c r="M96" s="9">
        <f>VLOOKUP(2,table4,12)+VLOOKUP(3,table4,12)+VLOOKUP(4,table4,12)</f>
        <v>4470031.17</v>
      </c>
      <c r="N96" s="1">
        <f t="shared" si="10"/>
        <v>31416952.109999985</v>
      </c>
      <c r="O96" s="5"/>
      <c r="P96" s="6"/>
      <c r="Q96" s="6"/>
      <c r="R96" s="5">
        <v>0</v>
      </c>
      <c r="S96" s="11">
        <f>VLOOKUP(D96,table3,12)+VLOOKUP(3,table4,10)</f>
        <v>10369148.619999997</v>
      </c>
      <c r="T96" s="9">
        <f t="shared" si="7"/>
        <v>10678654.86999999</v>
      </c>
      <c r="U96" s="9">
        <f t="shared" si="8"/>
        <v>21047803.489999987</v>
      </c>
      <c r="V96" s="6"/>
      <c r="W96" s="6"/>
      <c r="X96" s="6"/>
      <c r="Y96" s="6"/>
    </row>
    <row r="97" spans="1:25">
      <c r="A97" s="4">
        <v>400000</v>
      </c>
      <c r="B97" s="3" t="s">
        <v>124</v>
      </c>
      <c r="C97" s="46">
        <f>'BUDGET DETAIL'!A98</f>
        <v>94</v>
      </c>
      <c r="D97" s="46">
        <f>'BUDGET DETAIL'!A99</f>
        <v>95</v>
      </c>
      <c r="E97" s="46"/>
      <c r="F97" s="46"/>
      <c r="G97" s="46"/>
      <c r="H97" s="46"/>
      <c r="I97" s="46"/>
      <c r="J97" s="46"/>
      <c r="K97" s="47" t="s">
        <v>542</v>
      </c>
      <c r="L97" s="1">
        <f>VLOOKUP(C97,table3,12)+VLOOKUP(D97,table3,12)+VLOOKUP(E97,table3,12)+VLOOKUP(F97,table3,12)+VLOOKUP(G97,table3,12)</f>
        <v>1643006.1800000002</v>
      </c>
      <c r="N97" s="1">
        <f t="shared" si="10"/>
        <v>1643006.1800000002</v>
      </c>
      <c r="O97" s="6"/>
      <c r="P97" s="6"/>
      <c r="Q97" s="6"/>
      <c r="R97" s="5">
        <v>0</v>
      </c>
      <c r="S97" s="9">
        <f>(VLOOKUP(D97,table3,12)/2)</f>
        <v>821328.09000000008</v>
      </c>
      <c r="T97" s="9">
        <f t="shared" si="7"/>
        <v>350</v>
      </c>
      <c r="U97" s="9">
        <f t="shared" si="8"/>
        <v>821678.09000000008</v>
      </c>
      <c r="V97" s="6"/>
      <c r="W97" s="6"/>
      <c r="X97" s="6"/>
      <c r="Y97" s="6"/>
    </row>
    <row r="98" spans="1:25">
      <c r="A98" s="4">
        <v>401000</v>
      </c>
      <c r="B98" s="3" t="s">
        <v>125</v>
      </c>
      <c r="C98" s="46">
        <f>'BUDGET DETAIL'!A100</f>
        <v>96</v>
      </c>
      <c r="D98" s="46"/>
      <c r="E98" s="46"/>
      <c r="F98" s="46"/>
      <c r="G98" s="46"/>
      <c r="H98" s="46"/>
      <c r="I98" s="46"/>
      <c r="J98" s="46"/>
      <c r="K98" s="47" t="s">
        <v>542</v>
      </c>
      <c r="L98" s="1">
        <f>VLOOKUP(C98,table3,12)+VLOOKUP(D98,table3,12)+VLOOKUP(E98,table3,12)+VLOOKUP(F98,table3,12)+VLOOKUP(G98,table3,12)</f>
        <v>2950</v>
      </c>
      <c r="N98" s="1">
        <f t="shared" si="10"/>
        <v>2950</v>
      </c>
      <c r="O98" s="5"/>
      <c r="P98" s="6"/>
      <c r="Q98" s="6"/>
      <c r="R98" s="5">
        <v>0</v>
      </c>
      <c r="S98" s="9">
        <f>(VLOOKUP(C98,table3,12)/2)</f>
        <v>1475</v>
      </c>
      <c r="T98" s="9">
        <f t="shared" si="7"/>
        <v>0</v>
      </c>
      <c r="U98" s="9">
        <f t="shared" si="8"/>
        <v>1475</v>
      </c>
      <c r="V98" s="6"/>
      <c r="W98" s="6"/>
      <c r="X98" s="6"/>
      <c r="Y98" s="6"/>
    </row>
    <row r="99" spans="1:25">
      <c r="A99" s="4">
        <v>308000</v>
      </c>
      <c r="B99" s="3" t="s">
        <v>126</v>
      </c>
      <c r="C99" s="46">
        <f>'BUDGET DETAIL'!A88</f>
        <v>84</v>
      </c>
      <c r="D99" s="46"/>
      <c r="E99" s="46"/>
      <c r="F99" s="46"/>
      <c r="G99" s="46"/>
      <c r="H99" s="46"/>
      <c r="I99" s="46"/>
      <c r="J99" s="46"/>
      <c r="K99" s="47" t="s">
        <v>542</v>
      </c>
      <c r="L99" s="1">
        <f>VLOOKUP(C99,table3,12)+VLOOKUP(D99,table3,12)+VLOOKUP(E99,table3,12)+VLOOKUP(F99,table3,12)+VLOOKUP(G99,table3,12)</f>
        <v>0</v>
      </c>
      <c r="N99" s="1">
        <f t="shared" si="10"/>
        <v>0</v>
      </c>
      <c r="O99" s="6"/>
      <c r="P99" s="6"/>
      <c r="Q99" s="6"/>
      <c r="R99" s="5">
        <v>0</v>
      </c>
      <c r="S99" s="6"/>
      <c r="T99" s="9">
        <f t="shared" si="7"/>
        <v>0</v>
      </c>
      <c r="U99" s="9">
        <f t="shared" si="8"/>
        <v>0</v>
      </c>
      <c r="V99" s="6"/>
      <c r="W99" s="6"/>
      <c r="X99" s="6"/>
      <c r="Y99" s="6"/>
    </row>
    <row r="100" spans="1:25">
      <c r="A100" s="4">
        <v>311000</v>
      </c>
      <c r="B100" s="3" t="s">
        <v>127</v>
      </c>
      <c r="C100" s="46">
        <f>'BUDGET DETAIL'!A91</f>
        <v>87</v>
      </c>
      <c r="D100" s="46"/>
      <c r="E100" s="46"/>
      <c r="F100" s="46"/>
      <c r="G100" s="46"/>
      <c r="H100" s="46"/>
      <c r="I100" s="46"/>
      <c r="J100" s="46"/>
      <c r="K100" s="47" t="s">
        <v>542</v>
      </c>
      <c r="L100" s="1">
        <f>VLOOKUP(C100,table3,12)+VLOOKUP(D100,table3,12)+VLOOKUP(E100,table3,12)+VLOOKUP(F100,table3,12)+VLOOKUP(G100,table3,12)</f>
        <v>0</v>
      </c>
      <c r="N100" s="1">
        <f t="shared" si="10"/>
        <v>0</v>
      </c>
      <c r="O100" s="6"/>
      <c r="P100" s="6"/>
      <c r="Q100" s="6"/>
      <c r="R100" s="5">
        <v>0</v>
      </c>
      <c r="S100" s="6"/>
      <c r="T100" s="9">
        <f t="shared" si="7"/>
        <v>0</v>
      </c>
      <c r="U100" s="9">
        <f t="shared" si="8"/>
        <v>0</v>
      </c>
      <c r="V100" s="6"/>
      <c r="W100" s="6"/>
      <c r="X100" s="6"/>
      <c r="Y100" s="6"/>
    </row>
    <row r="101" spans="1:25">
      <c r="A101" s="4">
        <v>401000</v>
      </c>
      <c r="B101" s="3" t="s">
        <v>125</v>
      </c>
      <c r="C101" s="46">
        <v>0</v>
      </c>
      <c r="D101" s="46"/>
      <c r="E101" s="46"/>
      <c r="F101" s="46"/>
      <c r="G101" s="46"/>
      <c r="H101" s="46"/>
      <c r="I101" s="46"/>
      <c r="J101" s="46"/>
      <c r="K101" s="47" t="s">
        <v>542</v>
      </c>
      <c r="L101" s="1">
        <v>0</v>
      </c>
      <c r="N101" s="1">
        <f t="shared" si="10"/>
        <v>0</v>
      </c>
      <c r="O101" s="6"/>
      <c r="P101" s="6"/>
      <c r="Q101" s="6"/>
      <c r="R101" s="7"/>
      <c r="S101" s="6"/>
      <c r="T101" s="9">
        <f t="shared" si="7"/>
        <v>0</v>
      </c>
      <c r="U101" s="9">
        <f t="shared" si="8"/>
        <v>0</v>
      </c>
      <c r="V101" s="6"/>
      <c r="W101" s="6"/>
      <c r="X101" s="6"/>
      <c r="Y101" s="6"/>
    </row>
    <row r="102" spans="1:25">
      <c r="A102" s="4">
        <v>402000</v>
      </c>
      <c r="B102" s="3" t="s">
        <v>128</v>
      </c>
      <c r="C102" s="46">
        <f>'BUDGET DETAIL'!A101</f>
        <v>97</v>
      </c>
      <c r="D102" s="46">
        <f>'BUDGET DETAIL'!A102</f>
        <v>98</v>
      </c>
      <c r="E102" s="46"/>
      <c r="F102" s="46"/>
      <c r="G102" s="46"/>
      <c r="H102" s="46"/>
      <c r="I102" s="46"/>
      <c r="J102" s="46"/>
      <c r="K102" s="47" t="s">
        <v>542</v>
      </c>
      <c r="L102" s="1">
        <f t="shared" ref="L102:L107" si="11">VLOOKUP(C102,table3,12)+VLOOKUP(D102,table3,12)+VLOOKUP(E102,table3,12)+VLOOKUP(F102,table3,12)+VLOOKUP(G102,table3,12)</f>
        <v>6655464.3000000035</v>
      </c>
      <c r="N102" s="1">
        <f t="shared" si="10"/>
        <v>6655464.3000000035</v>
      </c>
      <c r="O102" s="5"/>
      <c r="P102" s="6"/>
      <c r="Q102" s="6"/>
      <c r="R102" s="5">
        <v>0</v>
      </c>
      <c r="S102" s="9">
        <f>(VLOOKUP(D102,table3,12)/2)+(VLOOKUP(C102,table3,12)/2)</f>
        <v>3327732.1500000018</v>
      </c>
      <c r="T102" s="9">
        <f t="shared" si="7"/>
        <v>0</v>
      </c>
      <c r="U102" s="9">
        <f t="shared" si="8"/>
        <v>3327732.1500000018</v>
      </c>
      <c r="V102" s="6"/>
      <c r="W102" s="6"/>
      <c r="X102" s="6"/>
      <c r="Y102" s="6"/>
    </row>
    <row r="103" spans="1:25">
      <c r="A103" s="4">
        <v>317000</v>
      </c>
      <c r="B103" s="3" t="s">
        <v>129</v>
      </c>
      <c r="C103" s="46">
        <f>'BUDGET DETAIL'!A97</f>
        <v>93</v>
      </c>
      <c r="D103" s="46"/>
      <c r="E103" s="46"/>
      <c r="F103" s="46"/>
      <c r="G103" s="46"/>
      <c r="H103" s="46"/>
      <c r="I103" s="46"/>
      <c r="J103" s="46"/>
      <c r="K103" s="47" t="s">
        <v>542</v>
      </c>
      <c r="L103" s="1">
        <f t="shared" si="11"/>
        <v>0</v>
      </c>
      <c r="N103" s="1">
        <f t="shared" si="10"/>
        <v>0</v>
      </c>
      <c r="O103" s="6"/>
      <c r="P103" s="6"/>
      <c r="Q103" s="6"/>
      <c r="R103" s="5">
        <v>0</v>
      </c>
      <c r="S103" s="6"/>
      <c r="T103" s="9">
        <f t="shared" si="7"/>
        <v>0</v>
      </c>
      <c r="U103" s="9">
        <f t="shared" si="8"/>
        <v>0</v>
      </c>
      <c r="V103" s="6"/>
      <c r="W103" s="6"/>
      <c r="X103" s="6"/>
      <c r="Y103" s="6"/>
    </row>
    <row r="104" spans="1:25">
      <c r="A104" s="4">
        <v>708000</v>
      </c>
      <c r="B104" s="3" t="s">
        <v>130</v>
      </c>
      <c r="C104" s="46">
        <f>'BUDGET DETAIL'!A136</f>
        <v>132</v>
      </c>
      <c r="D104" s="46">
        <f>'BUDGET DETAIL'!A137</f>
        <v>133</v>
      </c>
      <c r="E104" s="46"/>
      <c r="F104" s="46"/>
      <c r="G104" s="46"/>
      <c r="H104" s="46"/>
      <c r="I104" s="46"/>
      <c r="J104" s="46"/>
      <c r="K104" s="47" t="s">
        <v>542</v>
      </c>
      <c r="L104" s="1">
        <f t="shared" si="11"/>
        <v>3712658.54</v>
      </c>
      <c r="N104" s="1">
        <f t="shared" si="10"/>
        <v>3712658.54</v>
      </c>
      <c r="O104" s="6"/>
      <c r="P104" s="6"/>
      <c r="Q104" s="6"/>
      <c r="R104" s="5">
        <v>0</v>
      </c>
      <c r="S104" s="9">
        <f>(VLOOKUP(D104,table3,12)/2)</f>
        <v>-10289.004999999999</v>
      </c>
      <c r="T104" s="9">
        <f t="shared" si="7"/>
        <v>3733236.55</v>
      </c>
      <c r="U104" s="9">
        <f t="shared" si="8"/>
        <v>3722947.5449999999</v>
      </c>
      <c r="V104" s="6"/>
      <c r="W104" s="6"/>
      <c r="X104" s="6"/>
      <c r="Y104" s="6"/>
    </row>
    <row r="105" spans="1:25">
      <c r="A105" s="4">
        <v>222000</v>
      </c>
      <c r="B105" s="3" t="s">
        <v>131</v>
      </c>
      <c r="C105" s="46">
        <f>'BUDGET DETAIL'!A80</f>
        <v>76</v>
      </c>
      <c r="D105" s="46"/>
      <c r="E105" s="46"/>
      <c r="F105" s="46"/>
      <c r="G105" s="46"/>
      <c r="H105" s="46"/>
      <c r="I105" s="46"/>
      <c r="J105" s="46"/>
      <c r="K105" s="47" t="s">
        <v>542</v>
      </c>
      <c r="L105" s="1">
        <f t="shared" si="11"/>
        <v>542911.21</v>
      </c>
      <c r="N105" s="1">
        <f t="shared" si="10"/>
        <v>542911.21</v>
      </c>
      <c r="O105" s="6"/>
      <c r="P105" s="6"/>
      <c r="Q105" s="6">
        <f>N105*0.5</f>
        <v>271455.60499999998</v>
      </c>
      <c r="R105" s="5">
        <v>0</v>
      </c>
      <c r="S105" s="6"/>
      <c r="T105" s="9">
        <f t="shared" si="7"/>
        <v>0</v>
      </c>
      <c r="U105" s="9">
        <f t="shared" si="8"/>
        <v>271455.60499999998</v>
      </c>
      <c r="V105" s="6"/>
      <c r="W105" s="6"/>
      <c r="X105" s="6"/>
      <c r="Y105" s="6"/>
    </row>
    <row r="106" spans="1:25">
      <c r="A106" s="4">
        <v>221000</v>
      </c>
      <c r="B106" s="3" t="s">
        <v>132</v>
      </c>
      <c r="C106" s="46">
        <f>'BUDGET DETAIL'!A79</f>
        <v>75</v>
      </c>
      <c r="D106" s="46"/>
      <c r="E106" s="46"/>
      <c r="F106" s="46"/>
      <c r="G106" s="46"/>
      <c r="H106" s="46"/>
      <c r="I106" s="46"/>
      <c r="J106" s="46"/>
      <c r="K106" s="47" t="s">
        <v>542</v>
      </c>
      <c r="L106" s="1">
        <f t="shared" si="11"/>
        <v>45073873.240000002</v>
      </c>
      <c r="N106" s="1">
        <f t="shared" si="10"/>
        <v>45073873.240000002</v>
      </c>
      <c r="O106" s="6"/>
      <c r="P106" s="6"/>
      <c r="Q106" s="6"/>
      <c r="R106" s="5">
        <v>0</v>
      </c>
      <c r="S106" s="9">
        <f>(VLOOKUP(C106,table3,12)/2)</f>
        <v>22536936.620000001</v>
      </c>
      <c r="T106" s="9">
        <f t="shared" si="7"/>
        <v>0</v>
      </c>
      <c r="U106" s="9">
        <f t="shared" si="8"/>
        <v>22536936.620000001</v>
      </c>
      <c r="V106" s="6"/>
      <c r="W106" s="6"/>
      <c r="X106" s="6"/>
      <c r="Y106" s="6"/>
    </row>
    <row r="107" spans="1:25">
      <c r="A107" s="4">
        <v>100000</v>
      </c>
      <c r="B107" s="3" t="s">
        <v>133</v>
      </c>
      <c r="C107" s="46"/>
      <c r="D107" s="46"/>
      <c r="E107" s="46"/>
      <c r="F107" s="46"/>
      <c r="G107" s="46"/>
      <c r="H107" s="46"/>
      <c r="I107" s="46"/>
      <c r="J107" s="46"/>
      <c r="K107" s="47" t="s">
        <v>542</v>
      </c>
      <c r="L107" s="1">
        <f t="shared" si="11"/>
        <v>0</v>
      </c>
      <c r="N107" s="1">
        <f t="shared" si="10"/>
        <v>0</v>
      </c>
      <c r="O107" s="6"/>
      <c r="P107" s="6"/>
      <c r="Q107" s="6"/>
      <c r="R107" s="5">
        <v>0</v>
      </c>
      <c r="S107" s="6"/>
      <c r="T107" s="9">
        <f t="shared" si="7"/>
        <v>0</v>
      </c>
      <c r="U107" s="9">
        <f t="shared" si="8"/>
        <v>0</v>
      </c>
      <c r="V107" s="6"/>
      <c r="W107" s="6"/>
      <c r="X107" s="6"/>
      <c r="Y107" s="6"/>
    </row>
    <row r="108" spans="1:25">
      <c r="A108" s="4"/>
      <c r="C108" s="46"/>
      <c r="D108" s="46"/>
      <c r="E108" s="46"/>
      <c r="F108" s="46"/>
      <c r="G108" s="46"/>
      <c r="H108" s="46"/>
      <c r="I108" s="46"/>
      <c r="J108" s="46"/>
      <c r="K108" s="47" t="s">
        <v>542</v>
      </c>
      <c r="M108" s="2"/>
      <c r="Q108" s="6"/>
      <c r="R108" s="6"/>
      <c r="S108" s="6"/>
      <c r="T108" s="6"/>
      <c r="U108" s="6"/>
      <c r="V108" s="6"/>
      <c r="W108" s="6"/>
      <c r="X108" s="6"/>
      <c r="Y108" s="6"/>
    </row>
    <row r="109" spans="1:25">
      <c r="A109" s="4"/>
      <c r="C109" s="46"/>
      <c r="D109" s="46"/>
      <c r="E109" s="46"/>
      <c r="F109" s="46"/>
      <c r="G109" s="46"/>
      <c r="H109" s="46"/>
      <c r="I109" s="46"/>
      <c r="J109" s="46"/>
      <c r="K109" s="47" t="s">
        <v>542</v>
      </c>
      <c r="Q109" s="6"/>
      <c r="R109" s="6"/>
      <c r="S109" s="6"/>
      <c r="T109" s="6"/>
      <c r="U109" s="6"/>
      <c r="V109" s="6"/>
      <c r="W109" s="6"/>
      <c r="X109" s="6"/>
      <c r="Y109" s="6"/>
    </row>
    <row r="110" spans="1:25">
      <c r="A110" s="4"/>
      <c r="C110" s="46"/>
      <c r="D110" s="46"/>
      <c r="E110" s="46"/>
      <c r="F110" s="46"/>
      <c r="G110" s="46"/>
      <c r="H110" s="46"/>
      <c r="I110" s="46"/>
      <c r="J110" s="46"/>
      <c r="K110" s="47" t="s">
        <v>542</v>
      </c>
      <c r="M110" s="2"/>
      <c r="Q110" s="6"/>
      <c r="R110" s="6"/>
      <c r="S110" s="6"/>
      <c r="T110" s="6"/>
      <c r="U110" s="6"/>
      <c r="V110" s="6"/>
      <c r="W110" s="6"/>
      <c r="X110" s="6"/>
      <c r="Y110" s="6"/>
    </row>
    <row r="111" spans="1:25">
      <c r="A111" s="4"/>
      <c r="C111" s="46"/>
      <c r="D111" s="46"/>
      <c r="E111" s="46"/>
      <c r="F111" s="46"/>
      <c r="G111" s="46"/>
      <c r="H111" s="46"/>
      <c r="I111" s="46"/>
      <c r="J111" s="46"/>
      <c r="K111" s="47" t="s">
        <v>542</v>
      </c>
      <c r="Q111" s="6"/>
      <c r="R111" s="6"/>
      <c r="S111" s="6"/>
      <c r="T111" s="6"/>
      <c r="U111" s="6"/>
      <c r="V111" s="6"/>
      <c r="W111" s="6"/>
      <c r="X111" s="6"/>
      <c r="Y111" s="6"/>
    </row>
    <row r="112" spans="1:25">
      <c r="A112" s="4"/>
      <c r="B112" s="3" t="s">
        <v>212</v>
      </c>
      <c r="C112" s="46"/>
      <c r="D112" s="46"/>
      <c r="E112" s="46"/>
      <c r="F112" s="46"/>
      <c r="G112" s="46"/>
      <c r="H112" s="46"/>
      <c r="I112" s="46"/>
      <c r="J112" s="46"/>
      <c r="K112" s="47" t="s">
        <v>542</v>
      </c>
      <c r="Q112" s="6"/>
      <c r="R112" s="6"/>
      <c r="S112" s="6"/>
      <c r="T112" s="6"/>
      <c r="U112" s="6"/>
      <c r="V112" s="6"/>
      <c r="W112" s="6"/>
      <c r="X112" s="6"/>
      <c r="Y112" s="6"/>
    </row>
    <row r="113" spans="1:25">
      <c r="A113" s="4"/>
      <c r="C113" s="46"/>
      <c r="D113" s="46"/>
      <c r="E113" s="46"/>
      <c r="F113" s="46"/>
      <c r="G113" s="46"/>
      <c r="H113" s="46"/>
      <c r="I113" s="46"/>
      <c r="J113" s="46"/>
      <c r="K113" s="47" t="s">
        <v>542</v>
      </c>
      <c r="Q113" s="6"/>
      <c r="R113" s="6"/>
      <c r="S113" s="6"/>
      <c r="T113" s="9"/>
      <c r="U113" s="9"/>
      <c r="V113" s="6"/>
      <c r="W113" s="6"/>
      <c r="X113" s="6"/>
      <c r="Y113" s="6"/>
    </row>
    <row r="114" spans="1:25">
      <c r="A114" s="4">
        <v>100000</v>
      </c>
      <c r="B114" s="3" t="s">
        <v>134</v>
      </c>
      <c r="C114" s="46">
        <f>'BUDGET DETAIL'!A16</f>
        <v>12</v>
      </c>
      <c r="D114" s="46">
        <f>'BUDGET DETAIL'!A19</f>
        <v>15</v>
      </c>
      <c r="E114" s="46">
        <f>'BUDGET DETAIL'!A25</f>
        <v>21</v>
      </c>
      <c r="F114" s="46">
        <f>'BUDGET DETAIL'!A26</f>
        <v>22</v>
      </c>
      <c r="G114" s="46">
        <f>'BUDGET DETAIL'!A27</f>
        <v>23</v>
      </c>
      <c r="H114" s="46">
        <f>'BUDGET DETAIL'!A11</f>
        <v>7</v>
      </c>
      <c r="I114" s="46">
        <v>80</v>
      </c>
      <c r="J114" s="46">
        <v>58</v>
      </c>
      <c r="K114" s="47" t="s">
        <v>542</v>
      </c>
      <c r="L114" s="9">
        <f>VLOOKUP(C114,table3,12)+VLOOKUP(D114,table3,12)+VLOOKUP(E114,table3,12)+VLOOKUP(F114,table3,12)+VLOOKUP(G114,table3,12)+VLOOKUP(H114,table3,12)+VLOOKUP(I114,table3,12)+VLOOKUP(J114,table3,12)</f>
        <v>8150723.7599999998</v>
      </c>
      <c r="N114" s="1">
        <f t="shared" ref="N114:N119" si="12">SUM(M114,L114)</f>
        <v>8150723.7599999998</v>
      </c>
      <c r="Q114" s="6"/>
      <c r="R114" s="6"/>
      <c r="S114" s="6"/>
      <c r="T114" s="9">
        <f t="shared" ref="T114:T119" si="13">SUM(N114)-SUM(O114:P114)-SUM(Q114:S114)*2</f>
        <v>8150723.7599999998</v>
      </c>
      <c r="U114" s="9">
        <f t="shared" ref="U114:U119" si="14">SUM(O114:T114)</f>
        <v>8150723.7599999998</v>
      </c>
      <c r="V114" s="6"/>
      <c r="W114" s="6"/>
      <c r="X114" s="6"/>
      <c r="Y114" s="6"/>
    </row>
    <row r="115" spans="1:25">
      <c r="A115" s="4">
        <v>100000</v>
      </c>
      <c r="B115" s="3" t="s">
        <v>387</v>
      </c>
      <c r="C115" s="46">
        <f>'BUDGET DETAIL'!A8</f>
        <v>4</v>
      </c>
      <c r="D115" s="46">
        <v>45</v>
      </c>
      <c r="E115" s="46">
        <v>46</v>
      </c>
      <c r="F115" s="46"/>
      <c r="G115" s="46"/>
      <c r="H115" s="46"/>
      <c r="I115" s="46"/>
      <c r="J115" s="46"/>
      <c r="K115" s="47" t="s">
        <v>542</v>
      </c>
      <c r="L115" s="1">
        <f>VLOOKUP(C115,table3,12)+VLOOKUP(D115,table3,12)+VLOOKUP(E115,table3,12)+VLOOKUP(F115,table3,12)+VLOOKUP(G115,table3,12)+VLOOKUP(H115,table3,12)</f>
        <v>8088010.410000002</v>
      </c>
      <c r="N115" s="1">
        <f t="shared" si="12"/>
        <v>8088010.410000002</v>
      </c>
      <c r="Q115" s="6"/>
      <c r="R115" s="6"/>
      <c r="S115" s="6"/>
      <c r="T115" s="9">
        <f t="shared" si="13"/>
        <v>8088010.410000002</v>
      </c>
      <c r="U115" s="9">
        <f t="shared" si="14"/>
        <v>8088010.410000002</v>
      </c>
      <c r="V115" s="6"/>
      <c r="W115" s="6"/>
      <c r="X115" s="6"/>
      <c r="Y115" s="6"/>
    </row>
    <row r="116" spans="1:25" s="213" customFormat="1">
      <c r="A116" s="212">
        <v>100000</v>
      </c>
      <c r="B116" s="3" t="s">
        <v>388</v>
      </c>
      <c r="C116" s="46">
        <v>1</v>
      </c>
      <c r="D116" s="46">
        <v>2</v>
      </c>
      <c r="E116" s="46">
        <v>3</v>
      </c>
      <c r="F116" s="46">
        <v>4</v>
      </c>
      <c r="G116" s="46"/>
      <c r="H116" s="46"/>
      <c r="I116" s="46"/>
      <c r="J116" s="46"/>
      <c r="K116" s="47" t="s">
        <v>543</v>
      </c>
      <c r="L116" s="9">
        <f>VLOOKUP(C116,table5,12)+VLOOKUP(D116,table5,12)+VLOOKUP(E116,table5,12)+VLOOKUP(F116,table5,12)+VLOOKUP(G116,table3,12)+VLOOKUP(H116,table3,12)</f>
        <v>17049029.25</v>
      </c>
      <c r="M116" s="1"/>
      <c r="N116" s="1">
        <f t="shared" si="12"/>
        <v>17049029.25</v>
      </c>
      <c r="O116" s="1"/>
      <c r="P116" s="1"/>
      <c r="Q116" s="6"/>
      <c r="R116" s="6"/>
      <c r="S116" s="6"/>
      <c r="T116" s="9">
        <f t="shared" si="13"/>
        <v>17049029.25</v>
      </c>
      <c r="U116" s="9">
        <f t="shared" si="14"/>
        <v>17049029.25</v>
      </c>
      <c r="V116" s="6"/>
      <c r="W116" s="6"/>
      <c r="X116" s="6"/>
      <c r="Y116" s="6"/>
    </row>
    <row r="117" spans="1:25">
      <c r="A117" s="4">
        <v>100000</v>
      </c>
      <c r="B117" s="3" t="s">
        <v>153</v>
      </c>
      <c r="C117" s="46">
        <f>'BUDGET DETAIL'!A5</f>
        <v>1</v>
      </c>
      <c r="D117" s="46"/>
      <c r="E117" s="46"/>
      <c r="F117" s="46"/>
      <c r="G117" s="46"/>
      <c r="H117" s="46"/>
      <c r="I117" s="46"/>
      <c r="J117" s="46"/>
      <c r="K117" s="47" t="s">
        <v>542</v>
      </c>
      <c r="L117" s="1">
        <f>VLOOKUP(C117,table3,12)+VLOOKUP(D117,table3,12)+VLOOKUP(E117,table3,12)+VLOOKUP(F117,table3,12)+VLOOKUP(G117,table3,12)+VLOOKUP(H117,table3,12)</f>
        <v>8387785.3600000003</v>
      </c>
      <c r="N117" s="1">
        <f t="shared" si="12"/>
        <v>8387785.3600000003</v>
      </c>
      <c r="Q117" s="6"/>
      <c r="R117" s="6"/>
      <c r="S117" s="6"/>
      <c r="T117" s="9">
        <f t="shared" si="13"/>
        <v>8387785.3600000003</v>
      </c>
      <c r="U117" s="9">
        <f t="shared" si="14"/>
        <v>8387785.3600000003</v>
      </c>
      <c r="V117" s="6"/>
      <c r="W117" s="6"/>
      <c r="X117" s="6"/>
      <c r="Y117" s="6"/>
    </row>
    <row r="118" spans="1:25">
      <c r="A118" s="4">
        <v>100000</v>
      </c>
      <c r="B118" s="3" t="s">
        <v>138</v>
      </c>
      <c r="C118" s="46"/>
      <c r="D118" s="46"/>
      <c r="E118" s="46"/>
      <c r="F118" s="46"/>
      <c r="G118" s="46"/>
      <c r="H118" s="46"/>
      <c r="I118" s="46"/>
      <c r="J118" s="46"/>
      <c r="K118" s="47" t="s">
        <v>542</v>
      </c>
      <c r="L118" s="1">
        <v>4210265.8</v>
      </c>
      <c r="N118" s="1">
        <f t="shared" si="12"/>
        <v>4210265.8</v>
      </c>
      <c r="Q118" s="6"/>
      <c r="R118" s="6"/>
      <c r="S118" s="6"/>
      <c r="T118" s="9">
        <f t="shared" si="13"/>
        <v>4210265.8</v>
      </c>
      <c r="U118" s="9">
        <f t="shared" si="14"/>
        <v>4210265.8</v>
      </c>
      <c r="V118" s="6"/>
      <c r="W118" s="6"/>
      <c r="X118" s="6"/>
      <c r="Y118" s="6"/>
    </row>
    <row r="119" spans="1:25">
      <c r="A119" s="4">
        <v>100000</v>
      </c>
      <c r="B119" s="3" t="s">
        <v>154</v>
      </c>
      <c r="C119" s="46">
        <f>'BUDGET DETAIL'!A6</f>
        <v>2</v>
      </c>
      <c r="D119" s="46">
        <v>77</v>
      </c>
      <c r="E119" s="46"/>
      <c r="F119" s="46"/>
      <c r="G119" s="46"/>
      <c r="H119" s="46"/>
      <c r="I119" s="46"/>
      <c r="J119" s="46"/>
      <c r="K119" s="47" t="s">
        <v>542</v>
      </c>
      <c r="L119" s="1">
        <f>VLOOKUP(C119,table3,12)+VLOOKUP(D119,table3,12)+VLOOKUP(E119,table3,12)+VLOOKUP(F119,table3,12)+VLOOKUP(G119,table3,12)+VLOOKUP(H119,table3,12)</f>
        <v>6291998.5199999996</v>
      </c>
      <c r="N119" s="1">
        <f t="shared" si="12"/>
        <v>6291998.5199999996</v>
      </c>
      <c r="Q119" s="6"/>
      <c r="R119" s="6"/>
      <c r="S119" s="9">
        <f>(VLOOKUP(D119,table3,12)/2)</f>
        <v>3262.6350000000002</v>
      </c>
      <c r="T119" s="9">
        <f t="shared" si="13"/>
        <v>6285473.25</v>
      </c>
      <c r="U119" s="9">
        <f t="shared" si="14"/>
        <v>6288735.8849999998</v>
      </c>
      <c r="V119" s="6"/>
      <c r="W119" s="6"/>
      <c r="X119" s="6"/>
      <c r="Y119" s="6"/>
    </row>
    <row r="120" spans="1:25">
      <c r="A120" s="4"/>
      <c r="V120" s="6"/>
      <c r="W120" s="6"/>
      <c r="X120" s="6"/>
      <c r="Y120" s="6"/>
    </row>
    <row r="121" spans="1:25">
      <c r="A121" s="4"/>
      <c r="V121" s="6"/>
      <c r="W121" s="6"/>
      <c r="X121" s="6"/>
      <c r="Y121" s="6"/>
    </row>
    <row r="122" spans="1:25">
      <c r="A122" s="4"/>
      <c r="B122" s="3" t="s">
        <v>140</v>
      </c>
      <c r="L122" s="9"/>
      <c r="T122" s="7">
        <f>SUM(T114:T119,T7:T107)</f>
        <v>726177602.17999983</v>
      </c>
      <c r="U122" s="7">
        <f>SUM(U114:U119,U7:U107)</f>
        <v>933387703.15999985</v>
      </c>
      <c r="V122" s="6"/>
      <c r="W122" s="6"/>
      <c r="X122" s="6"/>
      <c r="Y122" s="6"/>
    </row>
    <row r="123" spans="1:25">
      <c r="A123" s="4"/>
      <c r="V123" s="6"/>
      <c r="W123" s="6"/>
      <c r="X123" s="6"/>
      <c r="Y123" s="6"/>
    </row>
    <row r="124" spans="1:25">
      <c r="A124" s="4"/>
      <c r="B124" s="3" t="s">
        <v>389</v>
      </c>
      <c r="L124" s="9"/>
      <c r="V124" s="6"/>
      <c r="W124" s="6"/>
      <c r="X124" s="6"/>
      <c r="Y124" s="6"/>
    </row>
    <row r="125" spans="1:25">
      <c r="A125" s="4"/>
      <c r="B125" s="3" t="s">
        <v>390</v>
      </c>
      <c r="L125" s="9"/>
      <c r="V125" s="6"/>
      <c r="W125" s="6"/>
      <c r="X125" s="6"/>
      <c r="Y125" s="6"/>
    </row>
    <row r="126" spans="1:25">
      <c r="A126" s="4"/>
      <c r="B126" s="3" t="s">
        <v>391</v>
      </c>
      <c r="L126" s="9"/>
      <c r="V126" s="6"/>
      <c r="W126" s="6"/>
      <c r="X126" s="6"/>
      <c r="Y126" s="6"/>
    </row>
    <row r="127" spans="1:25">
      <c r="A127" s="4"/>
      <c r="B127" s="3" t="s">
        <v>392</v>
      </c>
      <c r="L127" s="9"/>
      <c r="V127" s="6"/>
      <c r="W127" s="6"/>
      <c r="X127" s="6"/>
      <c r="Y127" s="6"/>
    </row>
    <row r="128" spans="1:25">
      <c r="A128" s="4"/>
      <c r="B128" s="3" t="s">
        <v>393</v>
      </c>
      <c r="L128" s="9"/>
      <c r="V128" s="6"/>
      <c r="W128" s="6"/>
      <c r="X128" s="6"/>
      <c r="Y128" s="6"/>
    </row>
    <row r="129" spans="1:25">
      <c r="A129" s="4"/>
      <c r="B129" s="3" t="s">
        <v>394</v>
      </c>
      <c r="V129" s="6"/>
      <c r="W129" s="6"/>
      <c r="X129" s="6"/>
      <c r="Y129" s="6"/>
    </row>
    <row r="130" spans="1:25" ht="22" customHeight="1">
      <c r="A130" s="4"/>
      <c r="V130" s="6"/>
      <c r="W130" s="6"/>
      <c r="X130" s="6"/>
      <c r="Y130" s="6"/>
    </row>
    <row r="131" spans="1:25">
      <c r="A131" s="4"/>
      <c r="B131" s="6"/>
      <c r="V131" s="6"/>
      <c r="W131" s="6"/>
      <c r="X131" s="6"/>
      <c r="Y131" s="6"/>
    </row>
    <row r="132" spans="1:25">
      <c r="A132" s="4"/>
      <c r="B132" s="3" t="s">
        <v>395</v>
      </c>
      <c r="V132" s="6"/>
      <c r="W132" s="6"/>
      <c r="X132" s="6"/>
      <c r="Y132" s="6"/>
    </row>
    <row r="133" spans="1:25">
      <c r="A133" s="4"/>
      <c r="B133" s="3" t="s">
        <v>396</v>
      </c>
      <c r="V133" s="6"/>
      <c r="W133" s="6"/>
      <c r="X133" s="6"/>
      <c r="Y133" s="6"/>
    </row>
    <row r="134" spans="1:25">
      <c r="A134" s="4"/>
      <c r="B134" s="3" t="s">
        <v>397</v>
      </c>
      <c r="V134" s="6"/>
      <c r="W134" s="6"/>
      <c r="X134" s="6"/>
      <c r="Y134" s="6"/>
    </row>
    <row r="135" spans="1:25">
      <c r="A135" s="4"/>
      <c r="B135" s="3" t="s">
        <v>398</v>
      </c>
      <c r="V135" s="6"/>
      <c r="W135" s="6"/>
      <c r="X135" s="6"/>
      <c r="Y135" s="6"/>
    </row>
    <row r="136" spans="1:25">
      <c r="B136" s="3" t="s">
        <v>399</v>
      </c>
      <c r="V136" s="6"/>
      <c r="W136" s="6"/>
      <c r="X136" s="6"/>
      <c r="Y136" s="6"/>
    </row>
    <row r="137" spans="1:25">
      <c r="B137" s="3" t="s">
        <v>383</v>
      </c>
      <c r="V137" s="6"/>
      <c r="W137" s="6"/>
      <c r="X137" s="6"/>
      <c r="Y137" s="6"/>
    </row>
    <row r="138" spans="1:25">
      <c r="B138" s="3" t="s">
        <v>400</v>
      </c>
      <c r="V138" s="6"/>
      <c r="W138" s="6"/>
      <c r="X138" s="6"/>
      <c r="Y138" s="6"/>
    </row>
    <row r="139" spans="1:25">
      <c r="V139" s="6"/>
      <c r="W139" s="6"/>
      <c r="X139" s="6"/>
      <c r="Y139" s="6"/>
    </row>
    <row r="140" spans="1:25">
      <c r="B140" s="3" t="s">
        <v>386</v>
      </c>
    </row>
  </sheetData>
  <mergeCells count="1">
    <mergeCell ref="C5:H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0.79998168889431442"/>
  </sheetPr>
  <dimension ref="A2:L436"/>
  <sheetViews>
    <sheetView topLeftCell="A68" workbookViewId="0">
      <selection activeCell="A103" sqref="A103"/>
    </sheetView>
  </sheetViews>
  <sheetFormatPr defaultColWidth="9.69140625" defaultRowHeight="14"/>
  <cols>
    <col min="1" max="1" width="9.69140625" style="60"/>
    <col min="2" max="2" width="5.69140625" style="60" customWidth="1"/>
    <col min="3" max="3" width="27.84375" style="60" customWidth="1"/>
    <col min="4" max="4" width="4.69140625" style="60" customWidth="1"/>
    <col min="5" max="5" width="40.69140625" style="60" customWidth="1"/>
    <col min="6" max="12" width="12.69140625" style="60" customWidth="1"/>
    <col min="13" max="16384" width="9.69140625" style="60"/>
  </cols>
  <sheetData>
    <row r="2" spans="1:12">
      <c r="B2" s="60" t="s">
        <v>20</v>
      </c>
      <c r="C2" s="60" t="s">
        <v>401</v>
      </c>
      <c r="D2" s="60" t="s">
        <v>402</v>
      </c>
      <c r="E2" s="60" t="s">
        <v>403</v>
      </c>
      <c r="F2" s="60" t="s">
        <v>404</v>
      </c>
      <c r="G2" s="60" t="s">
        <v>405</v>
      </c>
      <c r="H2" s="60" t="s">
        <v>406</v>
      </c>
      <c r="I2" s="60" t="s">
        <v>407</v>
      </c>
      <c r="J2" s="60" t="s">
        <v>408</v>
      </c>
      <c r="K2" s="60" t="s">
        <v>409</v>
      </c>
    </row>
    <row r="3" spans="1:12">
      <c r="A3" s="70" t="s">
        <v>549</v>
      </c>
    </row>
    <row r="4" spans="1:12">
      <c r="A4" s="75">
        <v>0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>
      <c r="A5" s="75">
        <v>1</v>
      </c>
      <c r="B5" s="192" t="s">
        <v>410</v>
      </c>
      <c r="C5" s="192" t="s">
        <v>411</v>
      </c>
      <c r="D5" s="192" t="s">
        <v>34</v>
      </c>
      <c r="E5" s="192" t="s">
        <v>137</v>
      </c>
      <c r="F5" s="192" t="s">
        <v>412</v>
      </c>
      <c r="G5" s="190">
        <v>0</v>
      </c>
      <c r="H5" s="190">
        <v>0</v>
      </c>
      <c r="I5" s="190">
        <v>0</v>
      </c>
      <c r="J5" s="190">
        <v>0</v>
      </c>
      <c r="K5" s="190">
        <v>0</v>
      </c>
      <c r="L5" s="189">
        <v>8387785.3600000003</v>
      </c>
    </row>
    <row r="6" spans="1:12">
      <c r="A6" s="75">
        <f>A5+1</f>
        <v>2</v>
      </c>
      <c r="B6" s="192" t="s">
        <v>410</v>
      </c>
      <c r="C6" s="192" t="s">
        <v>411</v>
      </c>
      <c r="D6" s="192" t="s">
        <v>35</v>
      </c>
      <c r="E6" s="192" t="s">
        <v>159</v>
      </c>
      <c r="F6" s="192" t="s">
        <v>412</v>
      </c>
      <c r="G6" s="190">
        <v>0</v>
      </c>
      <c r="H6" s="190">
        <v>0</v>
      </c>
      <c r="I6" s="190">
        <v>0</v>
      </c>
      <c r="J6" s="190">
        <v>0</v>
      </c>
      <c r="K6" s="190">
        <v>0</v>
      </c>
      <c r="L6" s="189">
        <v>6285473.25</v>
      </c>
    </row>
    <row r="7" spans="1:12">
      <c r="A7" s="75">
        <f>A6+1</f>
        <v>3</v>
      </c>
      <c r="B7" s="192" t="s">
        <v>410</v>
      </c>
      <c r="C7" s="192" t="s">
        <v>411</v>
      </c>
      <c r="D7" s="192" t="s">
        <v>25</v>
      </c>
      <c r="E7" s="192" t="s">
        <v>413</v>
      </c>
      <c r="F7" s="192" t="s">
        <v>412</v>
      </c>
      <c r="G7" s="190">
        <v>0</v>
      </c>
      <c r="H7" s="190">
        <v>0</v>
      </c>
      <c r="I7" s="190">
        <v>0</v>
      </c>
      <c r="J7" s="190">
        <v>0</v>
      </c>
      <c r="K7" s="190">
        <v>0</v>
      </c>
      <c r="L7" s="189">
        <v>2173400.8199999998</v>
      </c>
    </row>
    <row r="8" spans="1:12">
      <c r="A8" s="75">
        <f t="shared" ref="A8:A70" si="0">A7+1</f>
        <v>4</v>
      </c>
      <c r="B8" s="192" t="s">
        <v>410</v>
      </c>
      <c r="C8" s="192" t="s">
        <v>411</v>
      </c>
      <c r="D8" s="192" t="s">
        <v>32</v>
      </c>
      <c r="E8" s="192" t="s">
        <v>414</v>
      </c>
      <c r="F8" s="192" t="s">
        <v>412</v>
      </c>
      <c r="G8" s="190">
        <v>0</v>
      </c>
      <c r="H8" s="190">
        <v>0</v>
      </c>
      <c r="I8" s="190">
        <v>0</v>
      </c>
      <c r="J8" s="190">
        <v>0</v>
      </c>
      <c r="K8" s="190">
        <v>0</v>
      </c>
      <c r="L8" s="189">
        <v>1273146.92</v>
      </c>
    </row>
    <row r="9" spans="1:12">
      <c r="A9" s="75">
        <f t="shared" si="0"/>
        <v>5</v>
      </c>
      <c r="B9" s="192" t="s">
        <v>410</v>
      </c>
      <c r="C9" s="192" t="s">
        <v>411</v>
      </c>
      <c r="D9" s="192" t="s">
        <v>23</v>
      </c>
      <c r="E9" s="192" t="s">
        <v>415</v>
      </c>
      <c r="F9" s="192" t="s">
        <v>416</v>
      </c>
      <c r="G9" s="190">
        <v>0</v>
      </c>
      <c r="H9" s="190">
        <v>0</v>
      </c>
      <c r="I9" s="190">
        <v>0</v>
      </c>
      <c r="J9" s="190">
        <v>0</v>
      </c>
      <c r="K9" s="190">
        <v>0</v>
      </c>
      <c r="L9" s="189">
        <v>513003.51</v>
      </c>
    </row>
    <row r="10" spans="1:12">
      <c r="A10" s="75">
        <f t="shared" si="0"/>
        <v>6</v>
      </c>
      <c r="B10" s="192" t="s">
        <v>410</v>
      </c>
      <c r="C10" s="192" t="s">
        <v>411</v>
      </c>
      <c r="D10" s="192" t="s">
        <v>23</v>
      </c>
      <c r="E10" s="192" t="s">
        <v>415</v>
      </c>
      <c r="F10" s="192" t="s">
        <v>412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  <c r="L10" s="189">
        <v>89278598.230000019</v>
      </c>
    </row>
    <row r="11" spans="1:12">
      <c r="A11" s="75">
        <f t="shared" si="0"/>
        <v>7</v>
      </c>
      <c r="B11" s="192" t="s">
        <v>410</v>
      </c>
      <c r="C11" s="192" t="s">
        <v>411</v>
      </c>
      <c r="D11" s="192" t="s">
        <v>417</v>
      </c>
      <c r="E11" s="192" t="s">
        <v>160</v>
      </c>
      <c r="F11" s="192" t="s">
        <v>412</v>
      </c>
      <c r="G11" s="190">
        <v>0</v>
      </c>
      <c r="H11" s="190">
        <v>0</v>
      </c>
      <c r="I11" s="190">
        <v>0</v>
      </c>
      <c r="J11" s="190">
        <v>0</v>
      </c>
      <c r="K11" s="190">
        <v>0</v>
      </c>
      <c r="L11" s="189">
        <v>1096031.55</v>
      </c>
    </row>
    <row r="12" spans="1:12">
      <c r="A12" s="75">
        <f t="shared" si="0"/>
        <v>8</v>
      </c>
      <c r="B12" s="192" t="s">
        <v>410</v>
      </c>
      <c r="C12" s="192" t="s">
        <v>411</v>
      </c>
      <c r="D12" s="192" t="s">
        <v>29</v>
      </c>
      <c r="E12" s="192" t="s">
        <v>108</v>
      </c>
      <c r="F12" s="192" t="s">
        <v>412</v>
      </c>
      <c r="G12" s="190">
        <v>0</v>
      </c>
      <c r="H12" s="190">
        <v>0</v>
      </c>
      <c r="I12" s="190">
        <v>0</v>
      </c>
      <c r="J12" s="190">
        <v>0</v>
      </c>
      <c r="K12" s="190">
        <v>0</v>
      </c>
      <c r="L12" s="189">
        <v>11593972.110000001</v>
      </c>
    </row>
    <row r="13" spans="1:12">
      <c r="A13" s="75">
        <f t="shared" si="0"/>
        <v>9</v>
      </c>
      <c r="B13" s="192" t="s">
        <v>410</v>
      </c>
      <c r="C13" s="192" t="s">
        <v>411</v>
      </c>
      <c r="D13" s="192" t="s">
        <v>26</v>
      </c>
      <c r="E13" s="192" t="s">
        <v>89</v>
      </c>
      <c r="F13" s="192" t="s">
        <v>412</v>
      </c>
      <c r="G13" s="190">
        <v>0</v>
      </c>
      <c r="H13" s="190">
        <v>0</v>
      </c>
      <c r="I13" s="190">
        <v>0</v>
      </c>
      <c r="J13" s="190">
        <v>0</v>
      </c>
      <c r="K13" s="190">
        <v>0</v>
      </c>
      <c r="L13" s="189">
        <v>230029.91</v>
      </c>
    </row>
    <row r="14" spans="1:12">
      <c r="A14" s="75">
        <f t="shared" si="0"/>
        <v>10</v>
      </c>
      <c r="B14" s="192" t="s">
        <v>410</v>
      </c>
      <c r="C14" s="192" t="s">
        <v>411</v>
      </c>
      <c r="D14" s="192" t="s">
        <v>33</v>
      </c>
      <c r="E14" s="192" t="s">
        <v>418</v>
      </c>
      <c r="F14" s="192" t="s">
        <v>412</v>
      </c>
      <c r="G14" s="190">
        <v>0</v>
      </c>
      <c r="H14" s="190">
        <v>0</v>
      </c>
      <c r="I14" s="190">
        <v>0</v>
      </c>
      <c r="J14" s="190">
        <v>0</v>
      </c>
      <c r="K14" s="190">
        <v>0</v>
      </c>
      <c r="L14" s="189">
        <v>37750742.820000015</v>
      </c>
    </row>
    <row r="15" spans="1:12">
      <c r="A15" s="75">
        <f t="shared" si="0"/>
        <v>11</v>
      </c>
      <c r="B15" s="192" t="s">
        <v>410</v>
      </c>
      <c r="C15" s="192" t="s">
        <v>411</v>
      </c>
      <c r="D15" s="192" t="s">
        <v>33</v>
      </c>
      <c r="E15" s="192" t="s">
        <v>418</v>
      </c>
      <c r="F15" s="192" t="s">
        <v>416</v>
      </c>
      <c r="G15" s="190">
        <v>0</v>
      </c>
      <c r="H15" s="190">
        <v>0</v>
      </c>
      <c r="I15" s="190">
        <v>0</v>
      </c>
      <c r="J15" s="190">
        <v>0</v>
      </c>
      <c r="K15" s="190">
        <v>0</v>
      </c>
      <c r="L15" s="189">
        <v>532438.52</v>
      </c>
    </row>
    <row r="16" spans="1:12">
      <c r="A16" s="75">
        <f t="shared" si="0"/>
        <v>12</v>
      </c>
      <c r="B16" s="192" t="s">
        <v>410</v>
      </c>
      <c r="C16" s="192" t="s">
        <v>411</v>
      </c>
      <c r="D16" s="192" t="s">
        <v>419</v>
      </c>
      <c r="E16" s="192" t="s">
        <v>161</v>
      </c>
      <c r="F16" s="192" t="s">
        <v>412</v>
      </c>
      <c r="G16" s="190">
        <v>0</v>
      </c>
      <c r="H16" s="190">
        <v>0</v>
      </c>
      <c r="I16" s="190">
        <v>0</v>
      </c>
      <c r="J16" s="190">
        <v>0</v>
      </c>
      <c r="K16" s="190">
        <v>0</v>
      </c>
      <c r="L16" s="189">
        <v>3538476.92</v>
      </c>
    </row>
    <row r="17" spans="1:12">
      <c r="A17" s="75">
        <f t="shared" si="0"/>
        <v>13</v>
      </c>
      <c r="B17" s="192" t="s">
        <v>410</v>
      </c>
      <c r="C17" s="192" t="s">
        <v>411</v>
      </c>
      <c r="D17" s="192" t="s">
        <v>27</v>
      </c>
      <c r="E17" s="192" t="s">
        <v>142</v>
      </c>
      <c r="F17" s="192" t="s">
        <v>412</v>
      </c>
      <c r="G17" s="190">
        <v>0</v>
      </c>
      <c r="H17" s="190">
        <v>0</v>
      </c>
      <c r="I17" s="190">
        <v>0</v>
      </c>
      <c r="J17" s="190">
        <v>0</v>
      </c>
      <c r="K17" s="190">
        <v>0</v>
      </c>
      <c r="L17" s="189">
        <v>6193920.8699999973</v>
      </c>
    </row>
    <row r="18" spans="1:12">
      <c r="A18" s="75">
        <f t="shared" si="0"/>
        <v>14</v>
      </c>
      <c r="B18" s="192" t="s">
        <v>410</v>
      </c>
      <c r="C18" s="192" t="s">
        <v>411</v>
      </c>
      <c r="D18" s="192" t="s">
        <v>27</v>
      </c>
      <c r="E18" s="192" t="s">
        <v>142</v>
      </c>
      <c r="F18" s="192" t="s">
        <v>416</v>
      </c>
      <c r="G18" s="190">
        <v>0</v>
      </c>
      <c r="H18" s="190">
        <v>0</v>
      </c>
      <c r="I18" s="190">
        <v>0</v>
      </c>
      <c r="J18" s="190">
        <v>0</v>
      </c>
      <c r="K18" s="190">
        <v>0</v>
      </c>
      <c r="L18" s="189">
        <v>8719.9</v>
      </c>
    </row>
    <row r="19" spans="1:12">
      <c r="A19" s="75">
        <f t="shared" si="0"/>
        <v>15</v>
      </c>
      <c r="B19" s="192" t="s">
        <v>410</v>
      </c>
      <c r="C19" s="192" t="s">
        <v>411</v>
      </c>
      <c r="D19" s="192" t="s">
        <v>420</v>
      </c>
      <c r="E19" s="192" t="s">
        <v>162</v>
      </c>
      <c r="F19" s="192" t="s">
        <v>412</v>
      </c>
      <c r="G19" s="190">
        <v>0</v>
      </c>
      <c r="H19" s="190">
        <v>0</v>
      </c>
      <c r="I19" s="190">
        <v>0</v>
      </c>
      <c r="J19" s="190">
        <v>0</v>
      </c>
      <c r="K19" s="190">
        <v>0</v>
      </c>
      <c r="L19" s="189">
        <v>1410556.93</v>
      </c>
    </row>
    <row r="20" spans="1:12">
      <c r="A20" s="75">
        <f t="shared" si="0"/>
        <v>16</v>
      </c>
      <c r="B20" s="192" t="s">
        <v>410</v>
      </c>
      <c r="C20" s="192" t="s">
        <v>411</v>
      </c>
      <c r="D20" s="192" t="s">
        <v>24</v>
      </c>
      <c r="E20" s="192" t="s">
        <v>163</v>
      </c>
      <c r="F20" s="192" t="s">
        <v>416</v>
      </c>
      <c r="G20" s="190">
        <v>0</v>
      </c>
      <c r="H20" s="190">
        <v>0</v>
      </c>
      <c r="I20" s="190">
        <v>0</v>
      </c>
      <c r="J20" s="190">
        <v>0</v>
      </c>
      <c r="K20" s="190">
        <v>0</v>
      </c>
      <c r="L20" s="189">
        <v>466255.50000000012</v>
      </c>
    </row>
    <row r="21" spans="1:12">
      <c r="A21" s="75">
        <f t="shared" si="0"/>
        <v>17</v>
      </c>
      <c r="B21" s="192" t="s">
        <v>410</v>
      </c>
      <c r="C21" s="192" t="s">
        <v>411</v>
      </c>
      <c r="D21" s="192" t="s">
        <v>24</v>
      </c>
      <c r="E21" s="192" t="s">
        <v>163</v>
      </c>
      <c r="F21" s="192" t="s">
        <v>412</v>
      </c>
      <c r="G21" s="190">
        <v>0</v>
      </c>
      <c r="H21" s="190">
        <v>0</v>
      </c>
      <c r="I21" s="190">
        <v>0</v>
      </c>
      <c r="J21" s="190">
        <v>0</v>
      </c>
      <c r="K21" s="190">
        <v>0</v>
      </c>
      <c r="L21" s="189">
        <v>54079087.789999932</v>
      </c>
    </row>
    <row r="22" spans="1:12">
      <c r="A22" s="75">
        <f t="shared" si="0"/>
        <v>18</v>
      </c>
      <c r="B22" s="192" t="s">
        <v>410</v>
      </c>
      <c r="C22" s="192" t="s">
        <v>411</v>
      </c>
      <c r="D22" s="192" t="s">
        <v>21</v>
      </c>
      <c r="E22" s="192" t="s">
        <v>37</v>
      </c>
      <c r="F22" s="192" t="s">
        <v>412</v>
      </c>
      <c r="G22" s="190">
        <v>0</v>
      </c>
      <c r="H22" s="190">
        <v>0</v>
      </c>
      <c r="I22" s="190">
        <v>0</v>
      </c>
      <c r="J22" s="190">
        <v>0</v>
      </c>
      <c r="K22" s="190">
        <v>0</v>
      </c>
      <c r="L22" s="189">
        <v>140126354.70000002</v>
      </c>
    </row>
    <row r="23" spans="1:12">
      <c r="A23" s="75">
        <f t="shared" si="0"/>
        <v>19</v>
      </c>
      <c r="B23" s="192" t="s">
        <v>410</v>
      </c>
      <c r="C23" s="192" t="s">
        <v>411</v>
      </c>
      <c r="D23" s="192" t="s">
        <v>28</v>
      </c>
      <c r="E23" s="192" t="s">
        <v>421</v>
      </c>
      <c r="F23" s="192" t="s">
        <v>412</v>
      </c>
      <c r="G23" s="190">
        <v>0</v>
      </c>
      <c r="H23" s="190">
        <v>0</v>
      </c>
      <c r="I23" s="190">
        <v>0</v>
      </c>
      <c r="J23" s="190">
        <v>0</v>
      </c>
      <c r="K23" s="190">
        <v>0</v>
      </c>
      <c r="L23" s="189">
        <v>8435410.3899999987</v>
      </c>
    </row>
    <row r="24" spans="1:12">
      <c r="A24" s="75">
        <f t="shared" si="0"/>
        <v>20</v>
      </c>
      <c r="B24" s="192" t="s">
        <v>410</v>
      </c>
      <c r="C24" s="192" t="s">
        <v>411</v>
      </c>
      <c r="D24" s="192" t="s">
        <v>28</v>
      </c>
      <c r="E24" s="192" t="s">
        <v>421</v>
      </c>
      <c r="F24" s="192" t="s">
        <v>416</v>
      </c>
      <c r="G24" s="190">
        <v>0</v>
      </c>
      <c r="H24" s="190">
        <v>0</v>
      </c>
      <c r="I24" s="190">
        <v>0</v>
      </c>
      <c r="J24" s="190">
        <v>0</v>
      </c>
      <c r="K24" s="190">
        <v>0</v>
      </c>
      <c r="L24" s="189">
        <v>2304.23</v>
      </c>
    </row>
    <row r="25" spans="1:12">
      <c r="A25" s="75">
        <f t="shared" si="0"/>
        <v>21</v>
      </c>
      <c r="B25" s="192" t="s">
        <v>410</v>
      </c>
      <c r="C25" s="192" t="s">
        <v>411</v>
      </c>
      <c r="D25" s="192" t="s">
        <v>422</v>
      </c>
      <c r="E25" s="192" t="s">
        <v>164</v>
      </c>
      <c r="F25" s="192" t="s">
        <v>412</v>
      </c>
      <c r="G25" s="190">
        <v>0</v>
      </c>
      <c r="H25" s="190">
        <v>0</v>
      </c>
      <c r="I25" s="190">
        <v>0</v>
      </c>
      <c r="J25" s="190">
        <v>0</v>
      </c>
      <c r="K25" s="190">
        <v>0</v>
      </c>
      <c r="L25" s="189">
        <v>631302.42999999993</v>
      </c>
    </row>
    <row r="26" spans="1:12">
      <c r="A26" s="75">
        <f t="shared" si="0"/>
        <v>22</v>
      </c>
      <c r="B26" s="192" t="s">
        <v>410</v>
      </c>
      <c r="C26" s="192" t="s">
        <v>411</v>
      </c>
      <c r="D26" s="192" t="s">
        <v>423</v>
      </c>
      <c r="E26" s="192" t="s">
        <v>165</v>
      </c>
      <c r="F26" s="192" t="s">
        <v>412</v>
      </c>
      <c r="G26" s="190">
        <v>0</v>
      </c>
      <c r="H26" s="190">
        <v>0</v>
      </c>
      <c r="I26" s="190">
        <v>0</v>
      </c>
      <c r="J26" s="190">
        <v>0</v>
      </c>
      <c r="K26" s="190">
        <v>0</v>
      </c>
      <c r="L26" s="189">
        <v>706902.27000000025</v>
      </c>
    </row>
    <row r="27" spans="1:12">
      <c r="A27" s="75">
        <f t="shared" si="0"/>
        <v>23</v>
      </c>
      <c r="B27" s="192" t="s">
        <v>410</v>
      </c>
      <c r="C27" s="192" t="s">
        <v>411</v>
      </c>
      <c r="D27" s="192" t="s">
        <v>424</v>
      </c>
      <c r="E27" s="192" t="s">
        <v>166</v>
      </c>
      <c r="F27" s="192" t="s">
        <v>412</v>
      </c>
      <c r="G27" s="190">
        <v>0</v>
      </c>
      <c r="H27" s="190">
        <v>0</v>
      </c>
      <c r="I27" s="190">
        <v>0</v>
      </c>
      <c r="J27" s="190">
        <v>0</v>
      </c>
      <c r="K27" s="190">
        <v>0</v>
      </c>
      <c r="L27" s="189">
        <v>711242.45000000007</v>
      </c>
    </row>
    <row r="28" spans="1:12">
      <c r="A28" s="75">
        <f t="shared" si="0"/>
        <v>24</v>
      </c>
      <c r="B28" s="192" t="s">
        <v>410</v>
      </c>
      <c r="C28" s="192" t="s">
        <v>411</v>
      </c>
      <c r="D28" s="192" t="s">
        <v>425</v>
      </c>
      <c r="E28" s="192" t="s">
        <v>426</v>
      </c>
      <c r="F28" s="192" t="s">
        <v>412</v>
      </c>
      <c r="G28" s="190">
        <v>0</v>
      </c>
      <c r="H28" s="190">
        <v>0</v>
      </c>
      <c r="I28" s="190">
        <v>0</v>
      </c>
      <c r="J28" s="190">
        <v>0</v>
      </c>
      <c r="K28" s="190">
        <v>0</v>
      </c>
      <c r="L28" s="189">
        <v>0</v>
      </c>
    </row>
    <row r="29" spans="1:12">
      <c r="A29" s="75">
        <f t="shared" si="0"/>
        <v>25</v>
      </c>
      <c r="B29" s="192" t="s">
        <v>410</v>
      </c>
      <c r="C29" s="192" t="s">
        <v>411</v>
      </c>
      <c r="D29" s="192" t="s">
        <v>427</v>
      </c>
      <c r="E29" s="192" t="s">
        <v>428</v>
      </c>
      <c r="F29" s="192" t="s">
        <v>412</v>
      </c>
      <c r="G29" s="190">
        <v>0</v>
      </c>
      <c r="H29" s="190">
        <v>0</v>
      </c>
      <c r="I29" s="190">
        <v>0</v>
      </c>
      <c r="J29" s="190">
        <v>0</v>
      </c>
      <c r="K29" s="190">
        <v>0</v>
      </c>
      <c r="L29" s="189">
        <v>4731295.3099999996</v>
      </c>
    </row>
    <row r="30" spans="1:12">
      <c r="A30" s="75">
        <f t="shared" si="0"/>
        <v>26</v>
      </c>
      <c r="B30" s="192" t="s">
        <v>429</v>
      </c>
      <c r="C30" s="192" t="s">
        <v>167</v>
      </c>
      <c r="D30" s="192" t="s">
        <v>430</v>
      </c>
      <c r="E30" s="192" t="s">
        <v>431</v>
      </c>
      <c r="F30" s="192" t="s">
        <v>412</v>
      </c>
      <c r="G30" s="190">
        <v>0</v>
      </c>
      <c r="H30" s="190">
        <v>0</v>
      </c>
      <c r="I30" s="190">
        <v>0</v>
      </c>
      <c r="J30" s="190">
        <v>0</v>
      </c>
      <c r="K30" s="190">
        <v>0</v>
      </c>
      <c r="L30" s="189">
        <v>79818978.179999962</v>
      </c>
    </row>
    <row r="31" spans="1:12">
      <c r="A31" s="75">
        <f t="shared" si="0"/>
        <v>27</v>
      </c>
      <c r="B31" s="192" t="s">
        <v>429</v>
      </c>
      <c r="C31" s="192" t="s">
        <v>167</v>
      </c>
      <c r="D31" s="192" t="s">
        <v>430</v>
      </c>
      <c r="E31" s="192" t="s">
        <v>431</v>
      </c>
      <c r="F31" s="192" t="s">
        <v>416</v>
      </c>
      <c r="G31" s="190">
        <v>0</v>
      </c>
      <c r="H31" s="190">
        <v>0</v>
      </c>
      <c r="I31" s="190">
        <v>0</v>
      </c>
      <c r="J31" s="190">
        <v>0</v>
      </c>
      <c r="K31" s="190">
        <v>0</v>
      </c>
      <c r="L31" s="189">
        <v>33220317.419999935</v>
      </c>
    </row>
    <row r="32" spans="1:12">
      <c r="A32" s="75">
        <f t="shared" si="0"/>
        <v>28</v>
      </c>
      <c r="B32" s="192" t="s">
        <v>432</v>
      </c>
      <c r="C32" s="192" t="s">
        <v>168</v>
      </c>
      <c r="D32" s="192" t="s">
        <v>35</v>
      </c>
      <c r="E32" s="192" t="s">
        <v>159</v>
      </c>
      <c r="F32" s="192" t="s">
        <v>412</v>
      </c>
      <c r="G32" s="190">
        <v>0</v>
      </c>
      <c r="H32" s="190">
        <v>0</v>
      </c>
      <c r="I32" s="190">
        <v>0</v>
      </c>
      <c r="J32" s="190">
        <v>0</v>
      </c>
      <c r="K32" s="190">
        <v>0</v>
      </c>
      <c r="L32" s="189">
        <v>0</v>
      </c>
    </row>
    <row r="33" spans="1:12">
      <c r="A33" s="75">
        <f t="shared" si="0"/>
        <v>29</v>
      </c>
      <c r="B33" s="192" t="s">
        <v>433</v>
      </c>
      <c r="C33" s="192" t="s">
        <v>169</v>
      </c>
      <c r="D33" s="192" t="s">
        <v>434</v>
      </c>
      <c r="E33" s="192" t="s">
        <v>435</v>
      </c>
      <c r="F33" s="192" t="s">
        <v>412</v>
      </c>
      <c r="G33" s="190">
        <v>0</v>
      </c>
      <c r="H33" s="190">
        <v>0</v>
      </c>
      <c r="I33" s="190">
        <v>0</v>
      </c>
      <c r="J33" s="190">
        <v>0</v>
      </c>
      <c r="K33" s="190">
        <v>0</v>
      </c>
      <c r="L33" s="189">
        <v>13690746.390000001</v>
      </c>
    </row>
    <row r="34" spans="1:12">
      <c r="A34" s="75">
        <f t="shared" si="0"/>
        <v>30</v>
      </c>
      <c r="B34" s="192" t="s">
        <v>433</v>
      </c>
      <c r="C34" s="192" t="s">
        <v>169</v>
      </c>
      <c r="D34" s="192" t="s">
        <v>434</v>
      </c>
      <c r="E34" s="192" t="s">
        <v>435</v>
      </c>
      <c r="F34" s="192" t="s">
        <v>416</v>
      </c>
      <c r="G34" s="190">
        <v>0</v>
      </c>
      <c r="H34" s="190">
        <v>0</v>
      </c>
      <c r="I34" s="190">
        <v>0</v>
      </c>
      <c r="J34" s="190">
        <v>0</v>
      </c>
      <c r="K34" s="190">
        <v>0</v>
      </c>
      <c r="L34" s="189">
        <v>36.69</v>
      </c>
    </row>
    <row r="35" spans="1:12">
      <c r="A35" s="75">
        <f t="shared" si="0"/>
        <v>31</v>
      </c>
      <c r="B35" s="192" t="s">
        <v>433</v>
      </c>
      <c r="C35" s="192" t="s">
        <v>169</v>
      </c>
      <c r="D35" s="192" t="s">
        <v>33</v>
      </c>
      <c r="E35" s="192" t="s">
        <v>418</v>
      </c>
      <c r="F35" s="192" t="s">
        <v>412</v>
      </c>
      <c r="G35" s="190">
        <v>0</v>
      </c>
      <c r="H35" s="190">
        <v>0</v>
      </c>
      <c r="I35" s="190">
        <v>0</v>
      </c>
      <c r="J35" s="190">
        <v>0</v>
      </c>
      <c r="K35" s="190">
        <v>0</v>
      </c>
      <c r="L35" s="189">
        <v>0</v>
      </c>
    </row>
    <row r="36" spans="1:12">
      <c r="A36" s="75">
        <f t="shared" si="0"/>
        <v>32</v>
      </c>
      <c r="B36" s="192" t="s">
        <v>433</v>
      </c>
      <c r="C36" s="192" t="s">
        <v>169</v>
      </c>
      <c r="D36" s="192" t="s">
        <v>33</v>
      </c>
      <c r="E36" s="192" t="s">
        <v>418</v>
      </c>
      <c r="F36" s="192" t="s">
        <v>416</v>
      </c>
      <c r="G36" s="190">
        <v>0</v>
      </c>
      <c r="H36" s="190">
        <v>0</v>
      </c>
      <c r="I36" s="190">
        <v>0</v>
      </c>
      <c r="J36" s="190">
        <v>0</v>
      </c>
      <c r="K36" s="190">
        <v>0</v>
      </c>
      <c r="L36" s="189">
        <v>309543.26</v>
      </c>
    </row>
    <row r="37" spans="1:12">
      <c r="A37" s="75">
        <f t="shared" si="0"/>
        <v>33</v>
      </c>
      <c r="B37" s="192" t="s">
        <v>436</v>
      </c>
      <c r="C37" s="192" t="s">
        <v>170</v>
      </c>
      <c r="D37" s="192" t="s">
        <v>437</v>
      </c>
      <c r="E37" s="192" t="s">
        <v>438</v>
      </c>
      <c r="F37" s="192" t="s">
        <v>412</v>
      </c>
      <c r="G37" s="190">
        <v>0</v>
      </c>
      <c r="H37" s="190">
        <v>0</v>
      </c>
      <c r="I37" s="190">
        <v>0</v>
      </c>
      <c r="J37" s="190">
        <v>0</v>
      </c>
      <c r="K37" s="190">
        <v>0</v>
      </c>
      <c r="L37" s="189">
        <v>18828444.400000002</v>
      </c>
    </row>
    <row r="38" spans="1:12">
      <c r="A38" s="75">
        <f t="shared" si="0"/>
        <v>34</v>
      </c>
      <c r="B38" s="192" t="s">
        <v>436</v>
      </c>
      <c r="C38" s="192" t="s">
        <v>170</v>
      </c>
      <c r="D38" s="192" t="s">
        <v>437</v>
      </c>
      <c r="E38" s="192" t="s">
        <v>438</v>
      </c>
      <c r="F38" s="192" t="s">
        <v>416</v>
      </c>
      <c r="G38" s="190">
        <v>0</v>
      </c>
      <c r="H38" s="190">
        <v>0</v>
      </c>
      <c r="I38" s="190">
        <v>0</v>
      </c>
      <c r="J38" s="190">
        <v>0</v>
      </c>
      <c r="K38" s="190">
        <v>0</v>
      </c>
      <c r="L38" s="189">
        <v>445302.70999999996</v>
      </c>
    </row>
    <row r="39" spans="1:12">
      <c r="A39" s="75">
        <f t="shared" si="0"/>
        <v>35</v>
      </c>
      <c r="B39" s="192" t="s">
        <v>439</v>
      </c>
      <c r="C39" s="192" t="s">
        <v>171</v>
      </c>
      <c r="D39" s="192" t="s">
        <v>33</v>
      </c>
      <c r="E39" s="192" t="s">
        <v>418</v>
      </c>
      <c r="F39" s="192" t="s">
        <v>412</v>
      </c>
      <c r="G39" s="190">
        <v>0</v>
      </c>
      <c r="H39" s="190">
        <v>0</v>
      </c>
      <c r="I39" s="190">
        <v>0</v>
      </c>
      <c r="J39" s="190">
        <v>0</v>
      </c>
      <c r="K39" s="190">
        <v>0</v>
      </c>
      <c r="L39" s="189">
        <v>4683824.95</v>
      </c>
    </row>
    <row r="40" spans="1:12">
      <c r="A40" s="75">
        <f t="shared" si="0"/>
        <v>36</v>
      </c>
      <c r="B40" s="192" t="s">
        <v>440</v>
      </c>
      <c r="C40" s="192" t="s">
        <v>172</v>
      </c>
      <c r="D40" s="192" t="s">
        <v>25</v>
      </c>
      <c r="E40" s="192" t="s">
        <v>413</v>
      </c>
      <c r="F40" s="192" t="s">
        <v>412</v>
      </c>
      <c r="G40" s="190">
        <v>0</v>
      </c>
      <c r="H40" s="190">
        <v>0</v>
      </c>
      <c r="I40" s="190">
        <v>0</v>
      </c>
      <c r="J40" s="190">
        <v>0</v>
      </c>
      <c r="K40" s="190">
        <v>0</v>
      </c>
      <c r="L40" s="189">
        <v>5315702.4299999988</v>
      </c>
    </row>
    <row r="41" spans="1:12">
      <c r="A41" s="75">
        <f t="shared" si="0"/>
        <v>37</v>
      </c>
      <c r="B41" s="192" t="s">
        <v>441</v>
      </c>
      <c r="C41" s="192" t="s">
        <v>173</v>
      </c>
      <c r="D41" s="192" t="s">
        <v>33</v>
      </c>
      <c r="E41" s="192" t="s">
        <v>418</v>
      </c>
      <c r="F41" s="192" t="s">
        <v>412</v>
      </c>
      <c r="G41" s="190">
        <v>0</v>
      </c>
      <c r="H41" s="190">
        <v>0</v>
      </c>
      <c r="I41" s="190">
        <v>0</v>
      </c>
      <c r="J41" s="190">
        <v>0</v>
      </c>
      <c r="K41" s="190">
        <v>0</v>
      </c>
      <c r="L41" s="189">
        <v>3394785.18</v>
      </c>
    </row>
    <row r="42" spans="1:12">
      <c r="A42" s="75">
        <f t="shared" si="0"/>
        <v>38</v>
      </c>
      <c r="B42" s="192" t="s">
        <v>442</v>
      </c>
      <c r="C42" s="192" t="s">
        <v>146</v>
      </c>
      <c r="D42" s="192" t="s">
        <v>33</v>
      </c>
      <c r="E42" s="192" t="s">
        <v>418</v>
      </c>
      <c r="F42" s="192" t="s">
        <v>412</v>
      </c>
      <c r="G42" s="190">
        <v>0</v>
      </c>
      <c r="H42" s="190">
        <v>0</v>
      </c>
      <c r="I42" s="190">
        <v>0</v>
      </c>
      <c r="J42" s="190">
        <v>0</v>
      </c>
      <c r="K42" s="190">
        <v>0</v>
      </c>
      <c r="L42" s="189">
        <v>133787306.77000001</v>
      </c>
    </row>
    <row r="43" spans="1:12">
      <c r="A43" s="75">
        <f t="shared" si="0"/>
        <v>39</v>
      </c>
      <c r="B43" s="192" t="s">
        <v>443</v>
      </c>
      <c r="C43" s="192" t="s">
        <v>150</v>
      </c>
      <c r="D43" s="192" t="s">
        <v>29</v>
      </c>
      <c r="E43" s="192" t="s">
        <v>108</v>
      </c>
      <c r="F43" s="192" t="s">
        <v>412</v>
      </c>
      <c r="G43" s="190">
        <v>0</v>
      </c>
      <c r="H43" s="190">
        <v>0</v>
      </c>
      <c r="I43" s="190">
        <v>0</v>
      </c>
      <c r="J43" s="190">
        <v>0</v>
      </c>
      <c r="K43" s="190">
        <v>0</v>
      </c>
      <c r="L43" s="189">
        <v>2274558.0699999998</v>
      </c>
    </row>
    <row r="44" spans="1:12">
      <c r="A44" s="75">
        <f t="shared" si="0"/>
        <v>40</v>
      </c>
      <c r="B44" s="192" t="s">
        <v>444</v>
      </c>
      <c r="C44" s="192" t="s">
        <v>145</v>
      </c>
      <c r="D44" s="192" t="s">
        <v>35</v>
      </c>
      <c r="E44" s="192" t="s">
        <v>159</v>
      </c>
      <c r="F44" s="192" t="s">
        <v>412</v>
      </c>
      <c r="G44" s="190">
        <v>0</v>
      </c>
      <c r="H44" s="190">
        <v>0</v>
      </c>
      <c r="I44" s="190">
        <v>0</v>
      </c>
      <c r="J44" s="190">
        <v>0</v>
      </c>
      <c r="K44" s="190">
        <v>0</v>
      </c>
      <c r="L44" s="189">
        <v>0</v>
      </c>
    </row>
    <row r="45" spans="1:12">
      <c r="A45" s="75">
        <f t="shared" si="0"/>
        <v>41</v>
      </c>
      <c r="B45" s="192" t="s">
        <v>445</v>
      </c>
      <c r="C45" s="192" t="s">
        <v>147</v>
      </c>
      <c r="D45" s="192" t="s">
        <v>24</v>
      </c>
      <c r="E45" s="192" t="s">
        <v>163</v>
      </c>
      <c r="F45" s="192" t="s">
        <v>412</v>
      </c>
      <c r="G45" s="190">
        <v>0</v>
      </c>
      <c r="H45" s="190">
        <v>0</v>
      </c>
      <c r="I45" s="190">
        <v>0</v>
      </c>
      <c r="J45" s="190">
        <v>0</v>
      </c>
      <c r="K45" s="190">
        <v>0</v>
      </c>
      <c r="L45" s="189">
        <v>394304</v>
      </c>
    </row>
    <row r="46" spans="1:12">
      <c r="A46" s="75">
        <f t="shared" si="0"/>
        <v>42</v>
      </c>
      <c r="B46" s="192" t="s">
        <v>446</v>
      </c>
      <c r="C46" s="192" t="s">
        <v>143</v>
      </c>
      <c r="D46" s="192" t="s">
        <v>420</v>
      </c>
      <c r="E46" s="192" t="s">
        <v>162</v>
      </c>
      <c r="F46" s="192" t="s">
        <v>412</v>
      </c>
      <c r="G46" s="190">
        <v>0</v>
      </c>
      <c r="H46" s="190">
        <v>0</v>
      </c>
      <c r="I46" s="190">
        <v>0</v>
      </c>
      <c r="J46" s="190">
        <v>0</v>
      </c>
      <c r="K46" s="190">
        <v>0</v>
      </c>
      <c r="L46" s="189">
        <v>13946516.630000001</v>
      </c>
    </row>
    <row r="47" spans="1:12">
      <c r="A47" s="75">
        <f t="shared" si="0"/>
        <v>43</v>
      </c>
      <c r="B47" s="192" t="s">
        <v>447</v>
      </c>
      <c r="C47" s="192" t="s">
        <v>174</v>
      </c>
      <c r="D47" s="192" t="s">
        <v>437</v>
      </c>
      <c r="E47" s="192" t="s">
        <v>438</v>
      </c>
      <c r="F47" s="192" t="s">
        <v>412</v>
      </c>
      <c r="G47" s="190">
        <v>0</v>
      </c>
      <c r="H47" s="190">
        <v>0</v>
      </c>
      <c r="I47" s="190">
        <v>0</v>
      </c>
      <c r="J47" s="190">
        <v>0</v>
      </c>
      <c r="K47" s="190">
        <v>0</v>
      </c>
      <c r="L47" s="189">
        <v>71876.289999999994</v>
      </c>
    </row>
    <row r="48" spans="1:12">
      <c r="A48" s="75">
        <f t="shared" si="0"/>
        <v>44</v>
      </c>
      <c r="B48" s="192" t="s">
        <v>447</v>
      </c>
      <c r="C48" s="192" t="s">
        <v>174</v>
      </c>
      <c r="D48" s="192" t="s">
        <v>434</v>
      </c>
      <c r="E48" s="192" t="s">
        <v>435</v>
      </c>
      <c r="F48" s="192" t="s">
        <v>412</v>
      </c>
      <c r="G48" s="190">
        <v>0</v>
      </c>
      <c r="H48" s="190">
        <v>0</v>
      </c>
      <c r="I48" s="190">
        <v>0</v>
      </c>
      <c r="J48" s="190">
        <v>0</v>
      </c>
      <c r="K48" s="190">
        <v>0</v>
      </c>
      <c r="L48" s="189">
        <v>163028.79999999999</v>
      </c>
    </row>
    <row r="49" spans="1:12">
      <c r="A49" s="75">
        <f t="shared" si="0"/>
        <v>45</v>
      </c>
      <c r="B49" s="192" t="s">
        <v>447</v>
      </c>
      <c r="C49" s="192" t="s">
        <v>174</v>
      </c>
      <c r="D49" s="192" t="s">
        <v>32</v>
      </c>
      <c r="E49" s="192" t="s">
        <v>414</v>
      </c>
      <c r="F49" s="192" t="s">
        <v>412</v>
      </c>
      <c r="G49" s="190">
        <v>0</v>
      </c>
      <c r="H49" s="190">
        <v>0</v>
      </c>
      <c r="I49" s="190">
        <v>0</v>
      </c>
      <c r="J49" s="190">
        <v>0</v>
      </c>
      <c r="K49" s="190">
        <v>0</v>
      </c>
      <c r="L49" s="189">
        <v>0</v>
      </c>
    </row>
    <row r="50" spans="1:12">
      <c r="A50" s="75">
        <f t="shared" si="0"/>
        <v>46</v>
      </c>
      <c r="B50" s="192" t="s">
        <v>447</v>
      </c>
      <c r="C50" s="192" t="s">
        <v>174</v>
      </c>
      <c r="D50" s="192" t="s">
        <v>32</v>
      </c>
      <c r="E50" s="192" t="s">
        <v>414</v>
      </c>
      <c r="F50" s="192" t="s">
        <v>412</v>
      </c>
      <c r="G50" s="190">
        <v>0</v>
      </c>
      <c r="H50" s="190">
        <v>0</v>
      </c>
      <c r="I50" s="190">
        <v>0</v>
      </c>
      <c r="J50" s="190">
        <v>0</v>
      </c>
      <c r="K50" s="190">
        <v>0</v>
      </c>
      <c r="L50" s="189">
        <v>6814863.4900000021</v>
      </c>
    </row>
    <row r="51" spans="1:12">
      <c r="A51" s="75">
        <f t="shared" si="0"/>
        <v>47</v>
      </c>
      <c r="B51" s="192" t="s">
        <v>447</v>
      </c>
      <c r="C51" s="192" t="s">
        <v>174</v>
      </c>
      <c r="D51" s="192" t="s">
        <v>448</v>
      </c>
      <c r="E51" s="192" t="s">
        <v>449</v>
      </c>
      <c r="F51" s="192" t="s">
        <v>412</v>
      </c>
      <c r="G51" s="190">
        <v>0</v>
      </c>
      <c r="H51" s="190">
        <v>0</v>
      </c>
      <c r="I51" s="190">
        <v>0</v>
      </c>
      <c r="J51" s="190">
        <v>0</v>
      </c>
      <c r="K51" s="190">
        <v>0</v>
      </c>
      <c r="L51" s="189">
        <v>298156.37999999995</v>
      </c>
    </row>
    <row r="52" spans="1:12">
      <c r="A52" s="75">
        <f t="shared" si="0"/>
        <v>48</v>
      </c>
      <c r="B52" s="192" t="s">
        <v>447</v>
      </c>
      <c r="C52" s="192" t="s">
        <v>174</v>
      </c>
      <c r="D52" s="192" t="s">
        <v>448</v>
      </c>
      <c r="E52" s="192" t="s">
        <v>449</v>
      </c>
      <c r="F52" s="192" t="s">
        <v>416</v>
      </c>
      <c r="G52" s="190">
        <v>0</v>
      </c>
      <c r="H52" s="190">
        <v>0</v>
      </c>
      <c r="I52" s="190">
        <v>0</v>
      </c>
      <c r="J52" s="190">
        <v>0</v>
      </c>
      <c r="K52" s="190">
        <v>0</v>
      </c>
      <c r="L52" s="189">
        <v>1513485.7899999998</v>
      </c>
    </row>
    <row r="53" spans="1:12">
      <c r="A53" s="75">
        <f t="shared" si="0"/>
        <v>49</v>
      </c>
      <c r="B53" s="192" t="s">
        <v>447</v>
      </c>
      <c r="C53" s="192" t="s">
        <v>174</v>
      </c>
      <c r="D53" s="192" t="s">
        <v>448</v>
      </c>
      <c r="E53" s="192" t="s">
        <v>449</v>
      </c>
      <c r="F53" s="192" t="s">
        <v>412</v>
      </c>
      <c r="G53" s="190">
        <v>0</v>
      </c>
      <c r="H53" s="190">
        <v>0</v>
      </c>
      <c r="I53" s="190">
        <v>0</v>
      </c>
      <c r="J53" s="190">
        <v>0</v>
      </c>
      <c r="K53" s="190">
        <v>0</v>
      </c>
      <c r="L53" s="189">
        <v>0</v>
      </c>
    </row>
    <row r="54" spans="1:12">
      <c r="A54" s="75">
        <f t="shared" si="0"/>
        <v>50</v>
      </c>
      <c r="B54" s="192" t="s">
        <v>447</v>
      </c>
      <c r="C54" s="192" t="s">
        <v>174</v>
      </c>
      <c r="D54" s="192" t="s">
        <v>23</v>
      </c>
      <c r="E54" s="192" t="s">
        <v>415</v>
      </c>
      <c r="F54" s="192" t="s">
        <v>412</v>
      </c>
      <c r="G54" s="190">
        <v>0</v>
      </c>
      <c r="H54" s="190">
        <v>0</v>
      </c>
      <c r="I54" s="190">
        <v>0</v>
      </c>
      <c r="J54" s="190">
        <v>0</v>
      </c>
      <c r="K54" s="190">
        <v>0</v>
      </c>
      <c r="L54" s="189">
        <v>1559609.11</v>
      </c>
    </row>
    <row r="55" spans="1:12">
      <c r="A55" s="75">
        <f t="shared" si="0"/>
        <v>51</v>
      </c>
      <c r="B55" s="192" t="s">
        <v>447</v>
      </c>
      <c r="C55" s="192" t="s">
        <v>174</v>
      </c>
      <c r="D55" s="192" t="s">
        <v>23</v>
      </c>
      <c r="E55" s="192" t="s">
        <v>415</v>
      </c>
      <c r="F55" s="192" t="s">
        <v>412</v>
      </c>
      <c r="G55" s="190">
        <v>0</v>
      </c>
      <c r="H55" s="190">
        <v>0</v>
      </c>
      <c r="I55" s="190">
        <v>0</v>
      </c>
      <c r="J55" s="190">
        <v>0</v>
      </c>
      <c r="K55" s="190">
        <v>0</v>
      </c>
      <c r="L55" s="189">
        <v>0</v>
      </c>
    </row>
    <row r="56" spans="1:12">
      <c r="A56" s="75">
        <f t="shared" si="0"/>
        <v>52</v>
      </c>
      <c r="B56" s="192" t="s">
        <v>447</v>
      </c>
      <c r="C56" s="192" t="s">
        <v>174</v>
      </c>
      <c r="D56" s="192" t="s">
        <v>29</v>
      </c>
      <c r="E56" s="192" t="s">
        <v>108</v>
      </c>
      <c r="F56" s="192" t="s">
        <v>412</v>
      </c>
      <c r="G56" s="190">
        <v>0</v>
      </c>
      <c r="H56" s="190">
        <v>0</v>
      </c>
      <c r="I56" s="190">
        <v>0</v>
      </c>
      <c r="J56" s="190">
        <v>0</v>
      </c>
      <c r="K56" s="190">
        <v>0</v>
      </c>
      <c r="L56" s="189">
        <v>3868383.7100000014</v>
      </c>
    </row>
    <row r="57" spans="1:12">
      <c r="A57" s="75">
        <f t="shared" si="0"/>
        <v>53</v>
      </c>
      <c r="B57" s="192" t="s">
        <v>447</v>
      </c>
      <c r="C57" s="192" t="s">
        <v>174</v>
      </c>
      <c r="D57" s="192" t="s">
        <v>29</v>
      </c>
      <c r="E57" s="192" t="s">
        <v>108</v>
      </c>
      <c r="F57" s="192" t="s">
        <v>412</v>
      </c>
      <c r="G57" s="190">
        <v>0</v>
      </c>
      <c r="H57" s="190">
        <v>0</v>
      </c>
      <c r="I57" s="190">
        <v>0</v>
      </c>
      <c r="J57" s="190">
        <v>0</v>
      </c>
      <c r="K57" s="190">
        <v>0</v>
      </c>
      <c r="L57" s="189">
        <v>0</v>
      </c>
    </row>
    <row r="58" spans="1:12">
      <c r="A58" s="75">
        <f t="shared" si="0"/>
        <v>54</v>
      </c>
      <c r="B58" s="192" t="s">
        <v>447</v>
      </c>
      <c r="C58" s="192" t="s">
        <v>174</v>
      </c>
      <c r="D58" s="192" t="s">
        <v>33</v>
      </c>
      <c r="E58" s="192" t="s">
        <v>418</v>
      </c>
      <c r="F58" s="192" t="s">
        <v>412</v>
      </c>
      <c r="G58" s="190">
        <v>0</v>
      </c>
      <c r="H58" s="190">
        <v>0</v>
      </c>
      <c r="I58" s="190">
        <v>0</v>
      </c>
      <c r="J58" s="190">
        <v>0</v>
      </c>
      <c r="K58" s="190">
        <v>0</v>
      </c>
      <c r="L58" s="189">
        <v>3724516.5200000005</v>
      </c>
    </row>
    <row r="59" spans="1:12">
      <c r="A59" s="75">
        <f t="shared" si="0"/>
        <v>55</v>
      </c>
      <c r="B59" s="192" t="s">
        <v>447</v>
      </c>
      <c r="C59" s="192" t="s">
        <v>174</v>
      </c>
      <c r="D59" s="192" t="s">
        <v>33</v>
      </c>
      <c r="E59" s="192" t="s">
        <v>418</v>
      </c>
      <c r="F59" s="192" t="s">
        <v>412</v>
      </c>
      <c r="G59" s="190">
        <v>0</v>
      </c>
      <c r="H59" s="190">
        <v>0</v>
      </c>
      <c r="I59" s="190">
        <v>0</v>
      </c>
      <c r="J59" s="190">
        <v>0</v>
      </c>
      <c r="K59" s="190">
        <v>0</v>
      </c>
      <c r="L59" s="189">
        <v>0</v>
      </c>
    </row>
    <row r="60" spans="1:12">
      <c r="A60" s="75">
        <f t="shared" si="0"/>
        <v>56</v>
      </c>
      <c r="B60" s="192" t="s">
        <v>447</v>
      </c>
      <c r="C60" s="192" t="s">
        <v>174</v>
      </c>
      <c r="D60" s="192" t="s">
        <v>33</v>
      </c>
      <c r="E60" s="192" t="s">
        <v>418</v>
      </c>
      <c r="F60" s="192" t="s">
        <v>416</v>
      </c>
      <c r="G60" s="190">
        <v>0</v>
      </c>
      <c r="H60" s="190">
        <v>0</v>
      </c>
      <c r="I60" s="190">
        <v>0</v>
      </c>
      <c r="J60" s="190">
        <v>0</v>
      </c>
      <c r="K60" s="190">
        <v>0</v>
      </c>
      <c r="L60" s="189">
        <v>139137</v>
      </c>
    </row>
    <row r="61" spans="1:12">
      <c r="A61" s="75">
        <f t="shared" si="0"/>
        <v>57</v>
      </c>
      <c r="B61" s="192" t="s">
        <v>447</v>
      </c>
      <c r="C61" s="192" t="s">
        <v>174</v>
      </c>
      <c r="D61" s="192" t="s">
        <v>27</v>
      </c>
      <c r="E61" s="192" t="s">
        <v>142</v>
      </c>
      <c r="F61" s="192" t="s">
        <v>412</v>
      </c>
      <c r="G61" s="190">
        <v>0</v>
      </c>
      <c r="H61" s="190">
        <v>0</v>
      </c>
      <c r="I61" s="190">
        <v>0</v>
      </c>
      <c r="J61" s="190">
        <v>0</v>
      </c>
      <c r="K61" s="190">
        <v>0</v>
      </c>
      <c r="L61" s="189">
        <v>5000</v>
      </c>
    </row>
    <row r="62" spans="1:12">
      <c r="A62" s="75">
        <f t="shared" si="0"/>
        <v>58</v>
      </c>
      <c r="B62" s="192" t="s">
        <v>447</v>
      </c>
      <c r="C62" s="192" t="s">
        <v>174</v>
      </c>
      <c r="D62" s="192" t="s">
        <v>420</v>
      </c>
      <c r="E62" s="192" t="s">
        <v>162</v>
      </c>
      <c r="F62" s="192" t="s">
        <v>412</v>
      </c>
      <c r="G62" s="190">
        <v>0</v>
      </c>
      <c r="H62" s="190">
        <v>0</v>
      </c>
      <c r="I62" s="190">
        <v>0</v>
      </c>
      <c r="J62" s="190">
        <v>0</v>
      </c>
      <c r="K62" s="190">
        <v>0</v>
      </c>
      <c r="L62" s="189">
        <v>53798.71</v>
      </c>
    </row>
    <row r="63" spans="1:12">
      <c r="A63" s="75">
        <f t="shared" si="0"/>
        <v>59</v>
      </c>
      <c r="B63" s="192" t="s">
        <v>447</v>
      </c>
      <c r="C63" s="192" t="s">
        <v>174</v>
      </c>
      <c r="D63" s="192" t="s">
        <v>24</v>
      </c>
      <c r="E63" s="192" t="s">
        <v>163</v>
      </c>
      <c r="F63" s="192" t="s">
        <v>416</v>
      </c>
      <c r="G63" s="190">
        <v>0</v>
      </c>
      <c r="H63" s="190">
        <v>0</v>
      </c>
      <c r="I63" s="190">
        <v>0</v>
      </c>
      <c r="J63" s="190">
        <v>0</v>
      </c>
      <c r="K63" s="190">
        <v>0</v>
      </c>
      <c r="L63" s="189">
        <v>1372642.9799999995</v>
      </c>
    </row>
    <row r="64" spans="1:12">
      <c r="A64" s="75">
        <f t="shared" si="0"/>
        <v>60</v>
      </c>
      <c r="B64" s="192" t="s">
        <v>447</v>
      </c>
      <c r="C64" s="192" t="s">
        <v>174</v>
      </c>
      <c r="D64" s="192" t="s">
        <v>24</v>
      </c>
      <c r="E64" s="192" t="s">
        <v>163</v>
      </c>
      <c r="F64" s="192" t="s">
        <v>412</v>
      </c>
      <c r="G64" s="190">
        <v>0</v>
      </c>
      <c r="H64" s="190">
        <v>0</v>
      </c>
      <c r="I64" s="190">
        <v>0</v>
      </c>
      <c r="J64" s="190">
        <v>0</v>
      </c>
      <c r="K64" s="190">
        <v>0</v>
      </c>
      <c r="L64" s="189">
        <v>233499.12</v>
      </c>
    </row>
    <row r="65" spans="1:12">
      <c r="A65" s="75">
        <f t="shared" si="0"/>
        <v>61</v>
      </c>
      <c r="B65" s="192" t="s">
        <v>447</v>
      </c>
      <c r="C65" s="192" t="s">
        <v>174</v>
      </c>
      <c r="D65" s="192" t="s">
        <v>21</v>
      </c>
      <c r="E65" s="192" t="s">
        <v>37</v>
      </c>
      <c r="F65" s="192" t="s">
        <v>412</v>
      </c>
      <c r="G65" s="190">
        <v>0</v>
      </c>
      <c r="H65" s="190">
        <v>0</v>
      </c>
      <c r="I65" s="190">
        <v>0</v>
      </c>
      <c r="J65" s="190">
        <v>0</v>
      </c>
      <c r="K65" s="190">
        <v>0</v>
      </c>
      <c r="L65" s="189">
        <v>0</v>
      </c>
    </row>
    <row r="66" spans="1:12">
      <c r="A66" s="75">
        <f t="shared" si="0"/>
        <v>62</v>
      </c>
      <c r="B66" s="192" t="s">
        <v>447</v>
      </c>
      <c r="C66" s="192" t="s">
        <v>174</v>
      </c>
      <c r="D66" s="192" t="s">
        <v>21</v>
      </c>
      <c r="E66" s="192" t="s">
        <v>37</v>
      </c>
      <c r="F66" s="192" t="s">
        <v>412</v>
      </c>
      <c r="G66" s="190">
        <v>0</v>
      </c>
      <c r="H66" s="190">
        <v>0</v>
      </c>
      <c r="I66" s="190">
        <v>0</v>
      </c>
      <c r="J66" s="190">
        <v>0</v>
      </c>
      <c r="K66" s="190">
        <v>0</v>
      </c>
      <c r="L66" s="189">
        <v>4080515.7299999991</v>
      </c>
    </row>
    <row r="67" spans="1:12">
      <c r="A67" s="75">
        <f t="shared" si="0"/>
        <v>63</v>
      </c>
      <c r="B67" s="192" t="s">
        <v>447</v>
      </c>
      <c r="C67" s="192" t="s">
        <v>174</v>
      </c>
      <c r="D67" s="192" t="s">
        <v>28</v>
      </c>
      <c r="E67" s="192" t="s">
        <v>421</v>
      </c>
      <c r="F67" s="192" t="s">
        <v>412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89">
        <v>0</v>
      </c>
    </row>
    <row r="68" spans="1:12">
      <c r="A68" s="75">
        <f t="shared" si="0"/>
        <v>64</v>
      </c>
      <c r="B68" s="192" t="s">
        <v>447</v>
      </c>
      <c r="C68" s="192" t="s">
        <v>174</v>
      </c>
      <c r="D68" s="192" t="s">
        <v>28</v>
      </c>
      <c r="E68" s="192" t="s">
        <v>421</v>
      </c>
      <c r="F68" s="192" t="s">
        <v>412</v>
      </c>
      <c r="G68" s="190">
        <v>0</v>
      </c>
      <c r="H68" s="190">
        <v>0</v>
      </c>
      <c r="I68" s="190">
        <v>0</v>
      </c>
      <c r="J68" s="190">
        <v>0</v>
      </c>
      <c r="K68" s="190">
        <v>0</v>
      </c>
      <c r="L68" s="189">
        <v>14439079.190000001</v>
      </c>
    </row>
    <row r="69" spans="1:12">
      <c r="A69" s="75">
        <f t="shared" si="0"/>
        <v>65</v>
      </c>
      <c r="B69" s="192" t="s">
        <v>447</v>
      </c>
      <c r="C69" s="192" t="s">
        <v>174</v>
      </c>
      <c r="D69" s="192" t="s">
        <v>425</v>
      </c>
      <c r="E69" s="192" t="s">
        <v>426</v>
      </c>
      <c r="F69" s="192" t="s">
        <v>412</v>
      </c>
      <c r="G69" s="190">
        <v>0</v>
      </c>
      <c r="H69" s="190">
        <v>0</v>
      </c>
      <c r="I69" s="190">
        <v>0</v>
      </c>
      <c r="J69" s="190">
        <v>0</v>
      </c>
      <c r="K69" s="190">
        <v>0</v>
      </c>
      <c r="L69" s="189">
        <v>-3</v>
      </c>
    </row>
    <row r="70" spans="1:12">
      <c r="A70" s="75">
        <f t="shared" si="0"/>
        <v>66</v>
      </c>
      <c r="B70" s="192" t="s">
        <v>447</v>
      </c>
      <c r="C70" s="192" t="s">
        <v>174</v>
      </c>
      <c r="D70" s="192" t="s">
        <v>430</v>
      </c>
      <c r="E70" s="192" t="s">
        <v>431</v>
      </c>
      <c r="F70" s="192" t="s">
        <v>412</v>
      </c>
      <c r="G70" s="190">
        <v>0</v>
      </c>
      <c r="H70" s="190">
        <v>0</v>
      </c>
      <c r="I70" s="190">
        <v>0</v>
      </c>
      <c r="J70" s="190">
        <v>0</v>
      </c>
      <c r="K70" s="190">
        <v>0</v>
      </c>
      <c r="L70" s="189">
        <v>-696900.72000000032</v>
      </c>
    </row>
    <row r="71" spans="1:12">
      <c r="A71" s="75">
        <f t="shared" ref="A71:A134" si="1">A70+1</f>
        <v>67</v>
      </c>
      <c r="B71" s="192" t="s">
        <v>447</v>
      </c>
      <c r="C71" s="192" t="s">
        <v>174</v>
      </c>
      <c r="D71" s="192" t="s">
        <v>430</v>
      </c>
      <c r="E71" s="192" t="s">
        <v>431</v>
      </c>
      <c r="F71" s="192" t="s">
        <v>416</v>
      </c>
      <c r="G71" s="190">
        <v>0</v>
      </c>
      <c r="H71" s="190">
        <v>0</v>
      </c>
      <c r="I71" s="190">
        <v>0</v>
      </c>
      <c r="J71" s="190">
        <v>0</v>
      </c>
      <c r="K71" s="190">
        <v>0</v>
      </c>
      <c r="L71" s="189">
        <v>53482649.209999971</v>
      </c>
    </row>
    <row r="72" spans="1:12">
      <c r="A72" s="75">
        <f t="shared" si="1"/>
        <v>68</v>
      </c>
      <c r="B72" s="192" t="s">
        <v>447</v>
      </c>
      <c r="C72" s="192" t="s">
        <v>174</v>
      </c>
      <c r="D72" s="192" t="s">
        <v>430</v>
      </c>
      <c r="E72" s="192" t="s">
        <v>431</v>
      </c>
      <c r="F72" s="192" t="s">
        <v>412</v>
      </c>
      <c r="G72" s="190">
        <v>0</v>
      </c>
      <c r="H72" s="190">
        <v>0</v>
      </c>
      <c r="I72" s="190">
        <v>0</v>
      </c>
      <c r="J72" s="190">
        <v>0</v>
      </c>
      <c r="K72" s="190">
        <v>0</v>
      </c>
      <c r="L72" s="189">
        <v>0</v>
      </c>
    </row>
    <row r="73" spans="1:12">
      <c r="A73" s="75">
        <f t="shared" si="1"/>
        <v>69</v>
      </c>
      <c r="B73" s="192" t="s">
        <v>447</v>
      </c>
      <c r="C73" s="192" t="s">
        <v>174</v>
      </c>
      <c r="D73" s="192" t="s">
        <v>450</v>
      </c>
      <c r="E73" s="192" t="s">
        <v>451</v>
      </c>
      <c r="F73" s="192" t="s">
        <v>412</v>
      </c>
      <c r="G73" s="190">
        <v>0</v>
      </c>
      <c r="H73" s="190">
        <v>0</v>
      </c>
      <c r="I73" s="190">
        <v>0</v>
      </c>
      <c r="J73" s="190">
        <v>0</v>
      </c>
      <c r="K73" s="190">
        <v>0</v>
      </c>
      <c r="L73" s="189">
        <v>221852.05</v>
      </c>
    </row>
    <row r="74" spans="1:12">
      <c r="A74" s="75">
        <f t="shared" si="1"/>
        <v>70</v>
      </c>
      <c r="B74" s="192" t="s">
        <v>447</v>
      </c>
      <c r="C74" s="192" t="s">
        <v>174</v>
      </c>
      <c r="D74" s="192" t="s">
        <v>450</v>
      </c>
      <c r="E74" s="192" t="s">
        <v>451</v>
      </c>
      <c r="F74" s="192" t="s">
        <v>416</v>
      </c>
      <c r="G74" s="190">
        <v>0</v>
      </c>
      <c r="H74" s="190">
        <v>0</v>
      </c>
      <c r="I74" s="190">
        <v>0</v>
      </c>
      <c r="J74" s="190">
        <v>0</v>
      </c>
      <c r="K74" s="190">
        <v>0</v>
      </c>
      <c r="L74" s="189">
        <v>929595.6100000001</v>
      </c>
    </row>
    <row r="75" spans="1:12">
      <c r="A75" s="75">
        <f t="shared" si="1"/>
        <v>71</v>
      </c>
      <c r="B75" s="192" t="s">
        <v>447</v>
      </c>
      <c r="C75" s="192" t="s">
        <v>174</v>
      </c>
      <c r="D75" s="192" t="s">
        <v>427</v>
      </c>
      <c r="E75" s="192" t="s">
        <v>428</v>
      </c>
      <c r="F75" s="192" t="s">
        <v>412</v>
      </c>
      <c r="G75" s="190">
        <v>0</v>
      </c>
      <c r="H75" s="190">
        <v>0</v>
      </c>
      <c r="I75" s="190">
        <v>0</v>
      </c>
      <c r="J75" s="190">
        <v>0</v>
      </c>
      <c r="K75" s="190">
        <v>0</v>
      </c>
      <c r="L75" s="189">
        <v>17148.09</v>
      </c>
    </row>
    <row r="76" spans="1:12">
      <c r="A76" s="75">
        <f t="shared" si="1"/>
        <v>72</v>
      </c>
      <c r="B76" s="192" t="s">
        <v>452</v>
      </c>
      <c r="C76" s="192" t="s">
        <v>175</v>
      </c>
      <c r="D76" s="192" t="s">
        <v>29</v>
      </c>
      <c r="E76" s="192" t="s">
        <v>108</v>
      </c>
      <c r="F76" s="192" t="s">
        <v>412</v>
      </c>
      <c r="G76" s="190">
        <v>0</v>
      </c>
      <c r="H76" s="190">
        <v>0</v>
      </c>
      <c r="I76" s="190">
        <v>0</v>
      </c>
      <c r="J76" s="190">
        <v>0</v>
      </c>
      <c r="K76" s="190">
        <v>0</v>
      </c>
      <c r="L76" s="189">
        <v>8788094.8700000048</v>
      </c>
    </row>
    <row r="77" spans="1:12">
      <c r="A77" s="75">
        <f t="shared" si="1"/>
        <v>73</v>
      </c>
      <c r="B77" s="192" t="s">
        <v>453</v>
      </c>
      <c r="C77" s="192" t="s">
        <v>176</v>
      </c>
      <c r="D77" s="192" t="s">
        <v>29</v>
      </c>
      <c r="E77" s="192" t="s">
        <v>108</v>
      </c>
      <c r="F77" s="192" t="s">
        <v>412</v>
      </c>
      <c r="G77" s="190">
        <v>0</v>
      </c>
      <c r="H77" s="190">
        <v>0</v>
      </c>
      <c r="I77" s="190">
        <v>0</v>
      </c>
      <c r="J77" s="190">
        <v>0</v>
      </c>
      <c r="K77" s="190">
        <v>0</v>
      </c>
      <c r="L77" s="189">
        <v>3945472.1599999997</v>
      </c>
    </row>
    <row r="78" spans="1:12">
      <c r="A78" s="75">
        <f t="shared" si="1"/>
        <v>74</v>
      </c>
      <c r="B78" s="192" t="s">
        <v>454</v>
      </c>
      <c r="C78" s="192" t="s">
        <v>177</v>
      </c>
      <c r="D78" s="192" t="s">
        <v>24</v>
      </c>
      <c r="E78" s="192" t="s">
        <v>163</v>
      </c>
      <c r="F78" s="192" t="s">
        <v>412</v>
      </c>
      <c r="G78" s="190">
        <v>0</v>
      </c>
      <c r="H78" s="190">
        <v>0</v>
      </c>
      <c r="I78" s="190">
        <v>0</v>
      </c>
      <c r="J78" s="190">
        <v>0</v>
      </c>
      <c r="K78" s="190">
        <v>0</v>
      </c>
      <c r="L78" s="189">
        <v>476962.71999999991</v>
      </c>
    </row>
    <row r="79" spans="1:12">
      <c r="A79" s="75">
        <f t="shared" si="1"/>
        <v>75</v>
      </c>
      <c r="B79" s="192" t="s">
        <v>455</v>
      </c>
      <c r="C79" s="192" t="s">
        <v>456</v>
      </c>
      <c r="D79" s="192" t="s">
        <v>29</v>
      </c>
      <c r="E79" s="192" t="s">
        <v>108</v>
      </c>
      <c r="F79" s="192" t="s">
        <v>412</v>
      </c>
      <c r="G79" s="190">
        <v>0</v>
      </c>
      <c r="H79" s="190">
        <v>0</v>
      </c>
      <c r="I79" s="190">
        <v>0</v>
      </c>
      <c r="J79" s="190">
        <v>0</v>
      </c>
      <c r="K79" s="190">
        <v>0</v>
      </c>
      <c r="L79" s="189">
        <v>45073873.240000002</v>
      </c>
    </row>
    <row r="80" spans="1:12">
      <c r="A80" s="75">
        <f t="shared" si="1"/>
        <v>76</v>
      </c>
      <c r="B80" s="192" t="s">
        <v>457</v>
      </c>
      <c r="C80" s="192" t="s">
        <v>178</v>
      </c>
      <c r="D80" s="192" t="s">
        <v>21</v>
      </c>
      <c r="E80" s="192" t="s">
        <v>37</v>
      </c>
      <c r="F80" s="192" t="s">
        <v>412</v>
      </c>
      <c r="G80" s="190">
        <v>0</v>
      </c>
      <c r="H80" s="190">
        <v>0</v>
      </c>
      <c r="I80" s="190">
        <v>0</v>
      </c>
      <c r="J80" s="190">
        <v>0</v>
      </c>
      <c r="K80" s="190">
        <v>0</v>
      </c>
      <c r="L80" s="189">
        <v>542911.21</v>
      </c>
    </row>
    <row r="81" spans="1:12">
      <c r="A81" s="75">
        <f t="shared" si="1"/>
        <v>77</v>
      </c>
      <c r="B81" s="60" t="s">
        <v>410</v>
      </c>
      <c r="C81" s="60" t="s">
        <v>411</v>
      </c>
      <c r="D81" s="60" t="s">
        <v>35</v>
      </c>
      <c r="E81" s="60" t="s">
        <v>159</v>
      </c>
      <c r="F81" s="60" t="s">
        <v>416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188">
        <v>6525.27</v>
      </c>
    </row>
    <row r="82" spans="1:12">
      <c r="A82" s="75">
        <f t="shared" si="1"/>
        <v>78</v>
      </c>
      <c r="B82" s="60" t="s">
        <v>410</v>
      </c>
      <c r="C82" s="60" t="s">
        <v>411</v>
      </c>
      <c r="D82" s="60" t="s">
        <v>578</v>
      </c>
      <c r="E82" s="60" t="s">
        <v>579</v>
      </c>
      <c r="F82" s="60" t="s">
        <v>412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375051.66</v>
      </c>
    </row>
    <row r="83" spans="1:12">
      <c r="A83" s="75">
        <f t="shared" si="1"/>
        <v>79</v>
      </c>
      <c r="B83" s="60" t="s">
        <v>447</v>
      </c>
      <c r="C83" s="60" t="s">
        <v>174</v>
      </c>
      <c r="D83" s="60" t="s">
        <v>23</v>
      </c>
      <c r="E83" s="60" t="s">
        <v>415</v>
      </c>
      <c r="F83" s="60" t="s">
        <v>416</v>
      </c>
      <c r="G83" s="61">
        <v>0</v>
      </c>
      <c r="H83" s="61">
        <v>0</v>
      </c>
      <c r="I83" s="61">
        <v>0</v>
      </c>
      <c r="J83" s="61">
        <v>0</v>
      </c>
      <c r="K83" s="61">
        <v>0</v>
      </c>
      <c r="L83" s="193">
        <v>336467.38</v>
      </c>
    </row>
    <row r="84" spans="1:12">
      <c r="A84" s="75">
        <f t="shared" si="1"/>
        <v>80</v>
      </c>
      <c r="B84" s="60" t="s">
        <v>447</v>
      </c>
      <c r="C84" s="60" t="s">
        <v>174</v>
      </c>
      <c r="D84" s="60" t="s">
        <v>419</v>
      </c>
      <c r="E84" s="60" t="e">
        <f>#REF!</f>
        <v>#REF!</v>
      </c>
      <c r="F84" s="60" t="s">
        <v>412</v>
      </c>
      <c r="G84" s="61">
        <v>0</v>
      </c>
      <c r="H84" s="60">
        <v>0</v>
      </c>
      <c r="I84" s="60">
        <v>0</v>
      </c>
      <c r="J84" s="60">
        <v>0</v>
      </c>
      <c r="K84" s="60">
        <v>0</v>
      </c>
      <c r="L84" s="188">
        <v>2412.5</v>
      </c>
    </row>
    <row r="85" spans="1:12">
      <c r="A85" s="75">
        <f t="shared" si="1"/>
        <v>81</v>
      </c>
      <c r="B85" s="60" t="s">
        <v>481</v>
      </c>
      <c r="C85" s="60" t="s">
        <v>581</v>
      </c>
      <c r="D85" s="60" t="s">
        <v>23</v>
      </c>
      <c r="E85" s="60" t="s">
        <v>580</v>
      </c>
      <c r="F85" s="60" t="s">
        <v>416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193">
        <v>431677.92</v>
      </c>
    </row>
    <row r="86" spans="1:12">
      <c r="A86" s="75">
        <f t="shared" si="1"/>
        <v>82</v>
      </c>
      <c r="B86" s="60" t="s">
        <v>488</v>
      </c>
      <c r="C86" s="60" t="s">
        <v>197</v>
      </c>
      <c r="D86" s="60" t="s">
        <v>24</v>
      </c>
      <c r="E86" s="60" t="s">
        <v>163</v>
      </c>
      <c r="F86" s="60" t="s">
        <v>416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188">
        <v>15885.05</v>
      </c>
    </row>
    <row r="87" spans="1:12">
      <c r="A87" s="75">
        <f t="shared" si="1"/>
        <v>83</v>
      </c>
      <c r="B87" s="60" t="s">
        <v>492</v>
      </c>
      <c r="C87" s="60" t="s">
        <v>201</v>
      </c>
      <c r="D87" s="60" t="s">
        <v>448</v>
      </c>
      <c r="E87" s="60" t="s">
        <v>449</v>
      </c>
      <c r="F87" s="60" t="s">
        <v>416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188">
        <v>60567</v>
      </c>
    </row>
    <row r="88" spans="1:12">
      <c r="A88" s="75">
        <f t="shared" si="1"/>
        <v>84</v>
      </c>
      <c r="B88" s="76" t="s">
        <v>466</v>
      </c>
      <c r="C88" s="76" t="s">
        <v>184</v>
      </c>
      <c r="D88" s="76" t="s">
        <v>430</v>
      </c>
      <c r="E88" s="76" t="s">
        <v>431</v>
      </c>
      <c r="F88" s="76" t="s">
        <v>412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8">
        <v>0</v>
      </c>
    </row>
    <row r="89" spans="1:12">
      <c r="A89" s="75">
        <f t="shared" si="1"/>
        <v>85</v>
      </c>
      <c r="B89" s="76" t="s">
        <v>467</v>
      </c>
      <c r="C89" s="76" t="s">
        <v>468</v>
      </c>
      <c r="D89" s="76" t="s">
        <v>33</v>
      </c>
      <c r="E89" s="76" t="s">
        <v>418</v>
      </c>
      <c r="F89" s="76" t="s">
        <v>412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8">
        <v>0</v>
      </c>
    </row>
    <row r="90" spans="1:12">
      <c r="A90" s="75">
        <f t="shared" si="1"/>
        <v>86</v>
      </c>
      <c r="B90" s="76" t="s">
        <v>469</v>
      </c>
      <c r="C90" s="76" t="s">
        <v>185</v>
      </c>
      <c r="D90" s="76" t="s">
        <v>33</v>
      </c>
      <c r="E90" s="76" t="s">
        <v>418</v>
      </c>
      <c r="F90" s="76" t="s">
        <v>412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8">
        <v>0</v>
      </c>
    </row>
    <row r="91" spans="1:12">
      <c r="A91" s="75">
        <f t="shared" si="1"/>
        <v>87</v>
      </c>
      <c r="B91" s="76" t="s">
        <v>470</v>
      </c>
      <c r="C91" s="76" t="s">
        <v>186</v>
      </c>
      <c r="D91" s="76" t="s">
        <v>35</v>
      </c>
      <c r="E91" s="76" t="s">
        <v>159</v>
      </c>
      <c r="F91" s="76" t="s">
        <v>412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8">
        <v>0</v>
      </c>
    </row>
    <row r="92" spans="1:12">
      <c r="A92" s="75">
        <f t="shared" si="1"/>
        <v>88</v>
      </c>
      <c r="B92" s="76" t="s">
        <v>471</v>
      </c>
      <c r="C92" s="76" t="s">
        <v>187</v>
      </c>
      <c r="D92" s="76" t="s">
        <v>33</v>
      </c>
      <c r="E92" s="76" t="s">
        <v>418</v>
      </c>
      <c r="F92" s="76" t="s">
        <v>412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8">
        <v>0</v>
      </c>
    </row>
    <row r="93" spans="1:12">
      <c r="A93" s="75">
        <f t="shared" si="1"/>
        <v>89</v>
      </c>
      <c r="B93" s="76" t="s">
        <v>472</v>
      </c>
      <c r="C93" s="76" t="s">
        <v>188</v>
      </c>
      <c r="D93" s="76" t="s">
        <v>33</v>
      </c>
      <c r="E93" s="76" t="s">
        <v>418</v>
      </c>
      <c r="F93" s="76" t="s">
        <v>412</v>
      </c>
      <c r="G93" s="77">
        <v>0</v>
      </c>
      <c r="H93" s="77">
        <v>0</v>
      </c>
      <c r="I93" s="77">
        <v>0</v>
      </c>
      <c r="J93" s="77">
        <v>0</v>
      </c>
      <c r="K93" s="77">
        <v>0</v>
      </c>
      <c r="L93" s="78">
        <v>0</v>
      </c>
    </row>
    <row r="94" spans="1:12">
      <c r="A94" s="75">
        <f t="shared" si="1"/>
        <v>90</v>
      </c>
      <c r="B94" s="76" t="s">
        <v>473</v>
      </c>
      <c r="C94" s="76" t="s">
        <v>149</v>
      </c>
      <c r="D94" s="76" t="s">
        <v>33</v>
      </c>
      <c r="E94" s="76" t="s">
        <v>418</v>
      </c>
      <c r="F94" s="76" t="s">
        <v>412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8">
        <v>0</v>
      </c>
    </row>
    <row r="95" spans="1:12">
      <c r="A95" s="75">
        <f t="shared" si="1"/>
        <v>91</v>
      </c>
      <c r="B95" s="76" t="s">
        <v>474</v>
      </c>
      <c r="C95" s="76" t="s">
        <v>189</v>
      </c>
      <c r="D95" s="76" t="s">
        <v>33</v>
      </c>
      <c r="E95" s="76" t="s">
        <v>418</v>
      </c>
      <c r="F95" s="76" t="s">
        <v>412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8">
        <v>0</v>
      </c>
    </row>
    <row r="96" spans="1:12">
      <c r="A96" s="75">
        <f t="shared" si="1"/>
        <v>92</v>
      </c>
      <c r="B96" s="76" t="s">
        <v>475</v>
      </c>
      <c r="C96" s="76" t="s">
        <v>190</v>
      </c>
      <c r="D96" s="76" t="s">
        <v>33</v>
      </c>
      <c r="E96" s="76" t="s">
        <v>418</v>
      </c>
      <c r="F96" s="76" t="s">
        <v>412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8">
        <v>0</v>
      </c>
    </row>
    <row r="97" spans="1:12">
      <c r="A97" s="75">
        <f t="shared" si="1"/>
        <v>93</v>
      </c>
      <c r="B97" s="76" t="s">
        <v>476</v>
      </c>
      <c r="C97" s="76" t="s">
        <v>152</v>
      </c>
      <c r="D97" s="76" t="s">
        <v>33</v>
      </c>
      <c r="E97" s="76" t="s">
        <v>418</v>
      </c>
      <c r="F97" s="76" t="s">
        <v>412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8">
        <v>0</v>
      </c>
    </row>
    <row r="98" spans="1:12">
      <c r="A98" s="75">
        <f t="shared" si="1"/>
        <v>94</v>
      </c>
      <c r="B98" s="192" t="s">
        <v>477</v>
      </c>
      <c r="C98" s="192" t="s">
        <v>478</v>
      </c>
      <c r="D98" s="192" t="s">
        <v>33</v>
      </c>
      <c r="E98" s="192" t="s">
        <v>418</v>
      </c>
      <c r="F98" s="192" t="s">
        <v>412</v>
      </c>
      <c r="G98" s="190">
        <v>0</v>
      </c>
      <c r="H98" s="190">
        <v>0</v>
      </c>
      <c r="I98" s="190">
        <v>0</v>
      </c>
      <c r="J98" s="190">
        <v>0</v>
      </c>
      <c r="K98" s="190">
        <v>0</v>
      </c>
      <c r="L98" s="189">
        <v>350</v>
      </c>
    </row>
    <row r="99" spans="1:12">
      <c r="A99" s="75">
        <f t="shared" si="1"/>
        <v>95</v>
      </c>
      <c r="B99" s="192" t="s">
        <v>477</v>
      </c>
      <c r="C99" s="192" t="s">
        <v>478</v>
      </c>
      <c r="D99" s="192" t="s">
        <v>33</v>
      </c>
      <c r="E99" s="192" t="s">
        <v>418</v>
      </c>
      <c r="F99" s="192" t="s">
        <v>416</v>
      </c>
      <c r="G99" s="190">
        <v>0</v>
      </c>
      <c r="H99" s="190">
        <v>0</v>
      </c>
      <c r="I99" s="190">
        <v>0</v>
      </c>
      <c r="J99" s="190">
        <v>0</v>
      </c>
      <c r="K99" s="190">
        <v>0</v>
      </c>
      <c r="L99" s="189">
        <v>1642656.1800000002</v>
      </c>
    </row>
    <row r="100" spans="1:12">
      <c r="A100" s="75">
        <f t="shared" si="1"/>
        <v>96</v>
      </c>
      <c r="B100" s="192" t="s">
        <v>479</v>
      </c>
      <c r="C100" s="192" t="s">
        <v>191</v>
      </c>
      <c r="D100" s="192" t="s">
        <v>35</v>
      </c>
      <c r="E100" s="192" t="s">
        <v>159</v>
      </c>
      <c r="F100" s="192" t="s">
        <v>412</v>
      </c>
      <c r="G100" s="190">
        <v>0</v>
      </c>
      <c r="H100" s="190">
        <v>0</v>
      </c>
      <c r="I100" s="190">
        <v>0</v>
      </c>
      <c r="J100" s="190">
        <v>0</v>
      </c>
      <c r="K100" s="190">
        <v>0</v>
      </c>
      <c r="L100" s="189">
        <v>2950</v>
      </c>
    </row>
    <row r="101" spans="1:12">
      <c r="A101" s="75">
        <f t="shared" si="1"/>
        <v>97</v>
      </c>
      <c r="B101" s="192" t="s">
        <v>480</v>
      </c>
      <c r="C101" s="192" t="s">
        <v>192</v>
      </c>
      <c r="D101" s="192" t="s">
        <v>24</v>
      </c>
      <c r="E101" s="192" t="s">
        <v>163</v>
      </c>
      <c r="F101" s="192" t="s">
        <v>416</v>
      </c>
      <c r="G101" s="190">
        <v>0</v>
      </c>
      <c r="H101" s="190">
        <v>0</v>
      </c>
      <c r="I101" s="190">
        <v>0</v>
      </c>
      <c r="J101" s="190">
        <v>0</v>
      </c>
      <c r="K101" s="190">
        <v>0</v>
      </c>
      <c r="L101" s="189">
        <v>5726858.9400000032</v>
      </c>
    </row>
    <row r="102" spans="1:12">
      <c r="A102" s="75">
        <f t="shared" si="1"/>
        <v>98</v>
      </c>
      <c r="B102" s="192" t="s">
        <v>480</v>
      </c>
      <c r="C102" s="192" t="s">
        <v>192</v>
      </c>
      <c r="D102" s="192" t="s">
        <v>24</v>
      </c>
      <c r="E102" s="192" t="s">
        <v>163</v>
      </c>
      <c r="F102" s="192" t="s">
        <v>412</v>
      </c>
      <c r="G102" s="190">
        <v>0</v>
      </c>
      <c r="H102" s="190">
        <v>0</v>
      </c>
      <c r="I102" s="190">
        <v>0</v>
      </c>
      <c r="J102" s="190">
        <v>0</v>
      </c>
      <c r="K102" s="190">
        <v>0</v>
      </c>
      <c r="L102" s="189">
        <v>928605.3600000001</v>
      </c>
    </row>
    <row r="103" spans="1:12">
      <c r="A103" s="75">
        <f t="shared" si="1"/>
        <v>99</v>
      </c>
      <c r="B103" s="192" t="s">
        <v>481</v>
      </c>
      <c r="C103" s="192" t="s">
        <v>482</v>
      </c>
      <c r="D103" s="192" t="s">
        <v>33</v>
      </c>
      <c r="E103" s="192" t="s">
        <v>418</v>
      </c>
      <c r="F103" s="192" t="s">
        <v>416</v>
      </c>
      <c r="G103" s="190">
        <v>0</v>
      </c>
      <c r="H103" s="190">
        <v>0</v>
      </c>
      <c r="I103" s="190">
        <v>0</v>
      </c>
      <c r="J103" s="190">
        <v>0</v>
      </c>
      <c r="K103" s="190">
        <v>0</v>
      </c>
      <c r="L103" s="189">
        <v>1838261.36</v>
      </c>
    </row>
    <row r="104" spans="1:12">
      <c r="A104" s="75">
        <f t="shared" si="1"/>
        <v>100</v>
      </c>
      <c r="B104" s="192" t="s">
        <v>481</v>
      </c>
      <c r="C104" s="192" t="s">
        <v>482</v>
      </c>
      <c r="D104" s="192" t="s">
        <v>33</v>
      </c>
      <c r="E104" s="192" t="s">
        <v>418</v>
      </c>
      <c r="F104" s="192" t="s">
        <v>412</v>
      </c>
      <c r="G104" s="190">
        <v>0</v>
      </c>
      <c r="H104" s="190">
        <v>0</v>
      </c>
      <c r="I104" s="190">
        <v>0</v>
      </c>
      <c r="J104" s="190">
        <v>0</v>
      </c>
      <c r="K104" s="190">
        <v>0</v>
      </c>
      <c r="L104" s="189">
        <v>555</v>
      </c>
    </row>
    <row r="105" spans="1:12">
      <c r="A105" s="75">
        <f t="shared" si="1"/>
        <v>101</v>
      </c>
      <c r="B105" s="192" t="s">
        <v>483</v>
      </c>
      <c r="C105" s="192" t="s">
        <v>151</v>
      </c>
      <c r="D105" s="192" t="s">
        <v>24</v>
      </c>
      <c r="E105" s="192" t="s">
        <v>163</v>
      </c>
      <c r="F105" s="192" t="s">
        <v>412</v>
      </c>
      <c r="G105" s="190">
        <v>0</v>
      </c>
      <c r="H105" s="190">
        <v>0</v>
      </c>
      <c r="I105" s="190">
        <v>0</v>
      </c>
      <c r="J105" s="190">
        <v>0</v>
      </c>
      <c r="K105" s="190">
        <v>0</v>
      </c>
      <c r="L105" s="189">
        <v>0</v>
      </c>
    </row>
    <row r="106" spans="1:12">
      <c r="A106" s="75">
        <f t="shared" si="1"/>
        <v>102</v>
      </c>
      <c r="B106" s="192" t="s">
        <v>484</v>
      </c>
      <c r="C106" s="192" t="s">
        <v>193</v>
      </c>
      <c r="D106" s="192" t="s">
        <v>448</v>
      </c>
      <c r="E106" s="192" t="s">
        <v>449</v>
      </c>
      <c r="F106" s="192" t="s">
        <v>416</v>
      </c>
      <c r="G106" s="190">
        <v>0</v>
      </c>
      <c r="H106" s="190">
        <v>0</v>
      </c>
      <c r="I106" s="190">
        <v>0</v>
      </c>
      <c r="J106" s="190">
        <v>0</v>
      </c>
      <c r="K106" s="190">
        <v>0</v>
      </c>
      <c r="L106" s="189">
        <v>127602243.8</v>
      </c>
    </row>
    <row r="107" spans="1:12">
      <c r="A107" s="75">
        <f t="shared" si="1"/>
        <v>103</v>
      </c>
      <c r="B107" s="192" t="s">
        <v>484</v>
      </c>
      <c r="C107" s="192" t="s">
        <v>193</v>
      </c>
      <c r="D107" s="192" t="s">
        <v>448</v>
      </c>
      <c r="E107" s="192" t="s">
        <v>449</v>
      </c>
      <c r="F107" s="192" t="s">
        <v>412</v>
      </c>
      <c r="G107" s="190">
        <v>0</v>
      </c>
      <c r="H107" s="190">
        <v>0</v>
      </c>
      <c r="I107" s="190">
        <v>0</v>
      </c>
      <c r="J107" s="190">
        <v>0</v>
      </c>
      <c r="K107" s="190">
        <v>0</v>
      </c>
      <c r="L107" s="189">
        <v>39249853.729999997</v>
      </c>
    </row>
    <row r="108" spans="1:12">
      <c r="A108" s="75">
        <f t="shared" si="1"/>
        <v>104</v>
      </c>
      <c r="B108" s="192" t="s">
        <v>485</v>
      </c>
      <c r="C108" s="192" t="s">
        <v>194</v>
      </c>
      <c r="D108" s="192" t="s">
        <v>450</v>
      </c>
      <c r="E108" s="192" t="s">
        <v>451</v>
      </c>
      <c r="F108" s="192" t="s">
        <v>412</v>
      </c>
      <c r="G108" s="190">
        <v>0</v>
      </c>
      <c r="H108" s="190">
        <v>0</v>
      </c>
      <c r="I108" s="190">
        <v>0</v>
      </c>
      <c r="J108" s="190">
        <v>0</v>
      </c>
      <c r="K108" s="190">
        <v>0</v>
      </c>
      <c r="L108" s="189">
        <v>342322.09</v>
      </c>
    </row>
    <row r="109" spans="1:12">
      <c r="A109" s="75">
        <f t="shared" si="1"/>
        <v>105</v>
      </c>
      <c r="B109" s="192" t="s">
        <v>486</v>
      </c>
      <c r="C109" s="192" t="s">
        <v>195</v>
      </c>
      <c r="D109" s="192" t="s">
        <v>450</v>
      </c>
      <c r="E109" s="192" t="s">
        <v>451</v>
      </c>
      <c r="F109" s="192" t="s">
        <v>412</v>
      </c>
      <c r="G109" s="190">
        <v>0</v>
      </c>
      <c r="H109" s="190">
        <v>0</v>
      </c>
      <c r="I109" s="190">
        <v>0</v>
      </c>
      <c r="J109" s="190">
        <v>0</v>
      </c>
      <c r="K109" s="190">
        <v>0</v>
      </c>
      <c r="L109" s="189">
        <v>52118359.240000032</v>
      </c>
    </row>
    <row r="110" spans="1:12">
      <c r="A110" s="75">
        <f t="shared" si="1"/>
        <v>106</v>
      </c>
      <c r="B110" s="192" t="s">
        <v>486</v>
      </c>
      <c r="C110" s="192" t="s">
        <v>195</v>
      </c>
      <c r="D110" s="192" t="s">
        <v>450</v>
      </c>
      <c r="E110" s="192" t="s">
        <v>451</v>
      </c>
      <c r="F110" s="192" t="s">
        <v>416</v>
      </c>
      <c r="G110" s="190">
        <v>0</v>
      </c>
      <c r="H110" s="190">
        <v>0</v>
      </c>
      <c r="I110" s="190">
        <v>0</v>
      </c>
      <c r="J110" s="190">
        <v>0</v>
      </c>
      <c r="K110" s="190">
        <v>0</v>
      </c>
      <c r="L110" s="189">
        <v>68058560.979999974</v>
      </c>
    </row>
    <row r="111" spans="1:12">
      <c r="A111" s="75">
        <f t="shared" si="1"/>
        <v>107</v>
      </c>
      <c r="B111" s="192" t="s">
        <v>487</v>
      </c>
      <c r="C111" s="192" t="s">
        <v>196</v>
      </c>
      <c r="D111" s="192" t="s">
        <v>24</v>
      </c>
      <c r="E111" s="192" t="s">
        <v>163</v>
      </c>
      <c r="F111" s="192" t="s">
        <v>416</v>
      </c>
      <c r="G111" s="190">
        <v>0</v>
      </c>
      <c r="H111" s="190">
        <v>0</v>
      </c>
      <c r="I111" s="190">
        <v>0</v>
      </c>
      <c r="J111" s="190">
        <v>0</v>
      </c>
      <c r="K111" s="190">
        <v>0</v>
      </c>
      <c r="L111" s="189">
        <v>272102.69999999995</v>
      </c>
    </row>
    <row r="112" spans="1:12">
      <c r="A112" s="75">
        <f t="shared" si="1"/>
        <v>108</v>
      </c>
      <c r="B112" s="192" t="s">
        <v>487</v>
      </c>
      <c r="C112" s="192" t="s">
        <v>196</v>
      </c>
      <c r="D112" s="192" t="s">
        <v>24</v>
      </c>
      <c r="E112" s="192" t="s">
        <v>163</v>
      </c>
      <c r="F112" s="192" t="s">
        <v>412</v>
      </c>
      <c r="G112" s="190">
        <v>0</v>
      </c>
      <c r="H112" s="190">
        <v>0</v>
      </c>
      <c r="I112" s="190">
        <v>0</v>
      </c>
      <c r="J112" s="190">
        <v>0</v>
      </c>
      <c r="K112" s="190">
        <v>0</v>
      </c>
      <c r="L112" s="189">
        <v>6092390.7999999998</v>
      </c>
    </row>
    <row r="113" spans="1:12">
      <c r="A113" s="75">
        <f t="shared" si="1"/>
        <v>109</v>
      </c>
      <c r="B113" s="192" t="s">
        <v>488</v>
      </c>
      <c r="C113" s="192" t="s">
        <v>197</v>
      </c>
      <c r="D113" s="192" t="s">
        <v>24</v>
      </c>
      <c r="E113" s="192" t="s">
        <v>163</v>
      </c>
      <c r="F113" s="192" t="s">
        <v>412</v>
      </c>
      <c r="G113" s="190">
        <v>0</v>
      </c>
      <c r="H113" s="190">
        <v>0</v>
      </c>
      <c r="I113" s="190">
        <v>0</v>
      </c>
      <c r="J113" s="190">
        <v>0</v>
      </c>
      <c r="K113" s="190">
        <v>0</v>
      </c>
      <c r="L113" s="189">
        <v>1247369.6000000001</v>
      </c>
    </row>
    <row r="114" spans="1:12">
      <c r="A114" s="75">
        <f t="shared" si="1"/>
        <v>110</v>
      </c>
      <c r="B114" s="192" t="s">
        <v>489</v>
      </c>
      <c r="C114" s="192" t="s">
        <v>198</v>
      </c>
      <c r="D114" s="192" t="s">
        <v>28</v>
      </c>
      <c r="E114" s="192" t="s">
        <v>421</v>
      </c>
      <c r="F114" s="192" t="s">
        <v>412</v>
      </c>
      <c r="G114" s="190">
        <v>0</v>
      </c>
      <c r="H114" s="190">
        <v>0</v>
      </c>
      <c r="I114" s="190">
        <v>0</v>
      </c>
      <c r="J114" s="190">
        <v>0</v>
      </c>
      <c r="K114" s="190">
        <v>0</v>
      </c>
      <c r="L114" s="189">
        <v>3494849.2000000007</v>
      </c>
    </row>
    <row r="115" spans="1:12">
      <c r="A115" s="75">
        <f t="shared" si="1"/>
        <v>111</v>
      </c>
      <c r="B115" s="192" t="s">
        <v>490</v>
      </c>
      <c r="C115" s="192" t="s">
        <v>199</v>
      </c>
      <c r="D115" s="192" t="s">
        <v>430</v>
      </c>
      <c r="E115" s="192" t="s">
        <v>431</v>
      </c>
      <c r="F115" s="192" t="s">
        <v>416</v>
      </c>
      <c r="G115" s="190">
        <v>0</v>
      </c>
      <c r="H115" s="190">
        <v>0</v>
      </c>
      <c r="I115" s="190">
        <v>0</v>
      </c>
      <c r="J115" s="190">
        <v>0</v>
      </c>
      <c r="K115" s="190">
        <v>0</v>
      </c>
      <c r="L115" s="189">
        <v>1241037.6299999999</v>
      </c>
    </row>
    <row r="116" spans="1:12">
      <c r="A116" s="75">
        <f t="shared" si="1"/>
        <v>112</v>
      </c>
      <c r="B116" s="192" t="s">
        <v>490</v>
      </c>
      <c r="C116" s="192" t="s">
        <v>199</v>
      </c>
      <c r="D116" s="192" t="s">
        <v>430</v>
      </c>
      <c r="E116" s="192" t="s">
        <v>431</v>
      </c>
      <c r="F116" s="192" t="s">
        <v>412</v>
      </c>
      <c r="G116" s="190">
        <v>0</v>
      </c>
      <c r="H116" s="190">
        <v>0</v>
      </c>
      <c r="I116" s="190">
        <v>0</v>
      </c>
      <c r="J116" s="190">
        <v>0</v>
      </c>
      <c r="K116" s="190">
        <v>0</v>
      </c>
      <c r="L116" s="189">
        <v>3755427.96</v>
      </c>
    </row>
    <row r="117" spans="1:12">
      <c r="A117" s="75">
        <f t="shared" si="1"/>
        <v>113</v>
      </c>
      <c r="B117" s="192" t="s">
        <v>491</v>
      </c>
      <c r="C117" s="192" t="s">
        <v>200</v>
      </c>
      <c r="D117" s="192" t="s">
        <v>33</v>
      </c>
      <c r="E117" s="192" t="s">
        <v>418</v>
      </c>
      <c r="F117" s="192" t="s">
        <v>416</v>
      </c>
      <c r="G117" s="190">
        <v>0</v>
      </c>
      <c r="H117" s="190">
        <v>0</v>
      </c>
      <c r="I117" s="190">
        <v>0</v>
      </c>
      <c r="J117" s="190">
        <v>0</v>
      </c>
      <c r="K117" s="190">
        <v>0</v>
      </c>
      <c r="L117" s="189">
        <v>387654.36</v>
      </c>
    </row>
    <row r="118" spans="1:12">
      <c r="A118" s="75">
        <f t="shared" si="1"/>
        <v>114</v>
      </c>
      <c r="B118" s="192" t="s">
        <v>491</v>
      </c>
      <c r="C118" s="192" t="s">
        <v>200</v>
      </c>
      <c r="D118" s="192" t="s">
        <v>33</v>
      </c>
      <c r="E118" s="192" t="s">
        <v>418</v>
      </c>
      <c r="F118" s="192" t="s">
        <v>412</v>
      </c>
      <c r="G118" s="190">
        <v>0</v>
      </c>
      <c r="H118" s="190">
        <v>0</v>
      </c>
      <c r="I118" s="190">
        <v>0</v>
      </c>
      <c r="J118" s="190">
        <v>0</v>
      </c>
      <c r="K118" s="190">
        <v>0</v>
      </c>
      <c r="L118" s="189">
        <v>1232105.83</v>
      </c>
    </row>
    <row r="119" spans="1:12">
      <c r="A119" s="75">
        <f t="shared" si="1"/>
        <v>115</v>
      </c>
      <c r="B119" s="192" t="s">
        <v>492</v>
      </c>
      <c r="C119" s="192" t="s">
        <v>201</v>
      </c>
      <c r="D119" s="192" t="s">
        <v>448</v>
      </c>
      <c r="E119" s="192" t="s">
        <v>449</v>
      </c>
      <c r="F119" s="192" t="s">
        <v>412</v>
      </c>
      <c r="G119" s="190">
        <v>0</v>
      </c>
      <c r="H119" s="190">
        <v>0</v>
      </c>
      <c r="I119" s="190">
        <v>0</v>
      </c>
      <c r="J119" s="190">
        <v>0</v>
      </c>
      <c r="K119" s="190">
        <v>0</v>
      </c>
      <c r="L119" s="189">
        <v>3334817.2199999997</v>
      </c>
    </row>
    <row r="120" spans="1:12">
      <c r="A120" s="75">
        <f t="shared" si="1"/>
        <v>116</v>
      </c>
      <c r="B120" s="76" t="s">
        <v>493</v>
      </c>
      <c r="C120" s="76" t="s">
        <v>202</v>
      </c>
      <c r="D120" s="76" t="s">
        <v>448</v>
      </c>
      <c r="E120" s="76" t="s">
        <v>449</v>
      </c>
      <c r="F120" s="76" t="s">
        <v>412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8">
        <v>0</v>
      </c>
    </row>
    <row r="121" spans="1:12">
      <c r="A121" s="75">
        <f t="shared" si="1"/>
        <v>117</v>
      </c>
      <c r="B121" s="76" t="s">
        <v>494</v>
      </c>
      <c r="C121" s="76" t="s">
        <v>203</v>
      </c>
      <c r="D121" s="76" t="s">
        <v>24</v>
      </c>
      <c r="E121" s="76" t="s">
        <v>163</v>
      </c>
      <c r="F121" s="76" t="s">
        <v>412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8">
        <v>0</v>
      </c>
    </row>
    <row r="122" spans="1:12">
      <c r="A122" s="75">
        <f t="shared" si="1"/>
        <v>118</v>
      </c>
      <c r="B122" s="76" t="s">
        <v>495</v>
      </c>
      <c r="C122" s="76" t="s">
        <v>496</v>
      </c>
      <c r="D122" s="76" t="s">
        <v>450</v>
      </c>
      <c r="E122" s="76" t="s">
        <v>451</v>
      </c>
      <c r="F122" s="76" t="s">
        <v>412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8">
        <v>0</v>
      </c>
    </row>
    <row r="123" spans="1:12">
      <c r="A123" s="75">
        <f t="shared" si="1"/>
        <v>119</v>
      </c>
      <c r="B123" s="76" t="s">
        <v>497</v>
      </c>
      <c r="C123" s="76" t="s">
        <v>50</v>
      </c>
      <c r="D123" s="76" t="s">
        <v>450</v>
      </c>
      <c r="E123" s="76" t="s">
        <v>451</v>
      </c>
      <c r="F123" s="76" t="s">
        <v>412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8">
        <v>0</v>
      </c>
    </row>
    <row r="124" spans="1:12">
      <c r="A124" s="75">
        <f t="shared" si="1"/>
        <v>120</v>
      </c>
      <c r="B124" s="76" t="s">
        <v>498</v>
      </c>
      <c r="C124" s="76" t="s">
        <v>499</v>
      </c>
      <c r="D124" s="76" t="s">
        <v>448</v>
      </c>
      <c r="E124" s="76" t="s">
        <v>449</v>
      </c>
      <c r="F124" s="76" t="s">
        <v>412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8">
        <v>0</v>
      </c>
    </row>
    <row r="125" spans="1:12" s="70" customFormat="1">
      <c r="A125" s="70">
        <f t="shared" si="1"/>
        <v>121</v>
      </c>
      <c r="B125" s="192" t="s">
        <v>500</v>
      </c>
      <c r="C125" s="192" t="s">
        <v>501</v>
      </c>
      <c r="D125" s="192" t="s">
        <v>29</v>
      </c>
      <c r="E125" s="192" t="s">
        <v>108</v>
      </c>
      <c r="F125" s="192" t="s">
        <v>412</v>
      </c>
      <c r="G125" s="190">
        <v>0</v>
      </c>
      <c r="H125" s="190">
        <v>0</v>
      </c>
      <c r="I125" s="190">
        <v>0</v>
      </c>
      <c r="J125" s="190">
        <v>0</v>
      </c>
      <c r="K125" s="190">
        <v>0</v>
      </c>
      <c r="L125" s="189">
        <v>175</v>
      </c>
    </row>
    <row r="126" spans="1:12" s="70" customFormat="1">
      <c r="A126" s="70">
        <f t="shared" si="1"/>
        <v>122</v>
      </c>
      <c r="B126" s="192" t="s">
        <v>502</v>
      </c>
      <c r="C126" s="192" t="s">
        <v>204</v>
      </c>
      <c r="D126" s="192" t="s">
        <v>33</v>
      </c>
      <c r="E126" s="192" t="s">
        <v>418</v>
      </c>
      <c r="F126" s="192" t="s">
        <v>412</v>
      </c>
      <c r="G126" s="190">
        <v>0</v>
      </c>
      <c r="H126" s="190">
        <v>0</v>
      </c>
      <c r="I126" s="190">
        <v>0</v>
      </c>
      <c r="J126" s="190">
        <v>0</v>
      </c>
      <c r="K126" s="190">
        <v>0</v>
      </c>
      <c r="L126" s="189">
        <v>51739395.730000004</v>
      </c>
    </row>
    <row r="127" spans="1:12" s="70" customFormat="1">
      <c r="A127" s="70">
        <f t="shared" si="1"/>
        <v>123</v>
      </c>
      <c r="B127" s="192" t="s">
        <v>503</v>
      </c>
      <c r="C127" s="192" t="s">
        <v>205</v>
      </c>
      <c r="D127" s="192" t="s">
        <v>33</v>
      </c>
      <c r="E127" s="192" t="s">
        <v>418</v>
      </c>
      <c r="F127" s="192" t="s">
        <v>412</v>
      </c>
      <c r="G127" s="190">
        <v>0</v>
      </c>
      <c r="H127" s="190">
        <v>0</v>
      </c>
      <c r="I127" s="190">
        <v>0</v>
      </c>
      <c r="J127" s="190">
        <v>0</v>
      </c>
      <c r="K127" s="190">
        <v>0</v>
      </c>
      <c r="L127" s="189">
        <v>16577772.319999989</v>
      </c>
    </row>
    <row r="128" spans="1:12" s="70" customFormat="1">
      <c r="A128" s="70">
        <f t="shared" si="1"/>
        <v>124</v>
      </c>
      <c r="B128" s="192" t="s">
        <v>503</v>
      </c>
      <c r="C128" s="192" t="s">
        <v>205</v>
      </c>
      <c r="D128" s="192" t="s">
        <v>33</v>
      </c>
      <c r="E128" s="192" t="s">
        <v>418</v>
      </c>
      <c r="F128" s="192" t="s">
        <v>416</v>
      </c>
      <c r="G128" s="190">
        <v>0</v>
      </c>
      <c r="H128" s="190">
        <v>0</v>
      </c>
      <c r="I128" s="190">
        <v>0</v>
      </c>
      <c r="J128" s="190">
        <v>0</v>
      </c>
      <c r="K128" s="190">
        <v>0</v>
      </c>
      <c r="L128" s="189">
        <v>10369148.619999997</v>
      </c>
    </row>
    <row r="129" spans="1:12" s="70" customFormat="1">
      <c r="A129" s="70">
        <f t="shared" si="1"/>
        <v>125</v>
      </c>
      <c r="B129" s="192" t="s">
        <v>504</v>
      </c>
      <c r="C129" s="192" t="s">
        <v>206</v>
      </c>
      <c r="D129" s="192" t="s">
        <v>33</v>
      </c>
      <c r="E129" s="192" t="s">
        <v>418</v>
      </c>
      <c r="F129" s="192" t="s">
        <v>412</v>
      </c>
      <c r="G129" s="190">
        <v>0</v>
      </c>
      <c r="H129" s="190">
        <v>0</v>
      </c>
      <c r="I129" s="190">
        <v>0</v>
      </c>
      <c r="J129" s="190">
        <v>0</v>
      </c>
      <c r="K129" s="190">
        <v>0</v>
      </c>
      <c r="L129" s="189">
        <v>17448851.049999993</v>
      </c>
    </row>
    <row r="130" spans="1:12" s="70" customFormat="1">
      <c r="A130" s="70">
        <f t="shared" si="1"/>
        <v>126</v>
      </c>
      <c r="B130" s="192" t="s">
        <v>504</v>
      </c>
      <c r="C130" s="192" t="s">
        <v>206</v>
      </c>
      <c r="D130" s="192" t="s">
        <v>33</v>
      </c>
      <c r="E130" s="192" t="s">
        <v>418</v>
      </c>
      <c r="F130" s="192" t="s">
        <v>416</v>
      </c>
      <c r="G130" s="190">
        <v>0</v>
      </c>
      <c r="H130" s="190">
        <v>0</v>
      </c>
      <c r="I130" s="190">
        <v>0</v>
      </c>
      <c r="J130" s="190">
        <v>0</v>
      </c>
      <c r="K130" s="190">
        <v>0</v>
      </c>
      <c r="L130" s="189">
        <v>6721779.5899999999</v>
      </c>
    </row>
    <row r="131" spans="1:12" s="70" customFormat="1">
      <c r="A131" s="70">
        <f t="shared" si="1"/>
        <v>127</v>
      </c>
      <c r="B131" s="192" t="s">
        <v>505</v>
      </c>
      <c r="C131" s="192" t="s">
        <v>506</v>
      </c>
      <c r="D131" s="192" t="s">
        <v>33</v>
      </c>
      <c r="E131" s="192" t="s">
        <v>418</v>
      </c>
      <c r="F131" s="192" t="s">
        <v>412</v>
      </c>
      <c r="G131" s="190">
        <v>0</v>
      </c>
      <c r="H131" s="190">
        <v>0</v>
      </c>
      <c r="I131" s="190">
        <v>0</v>
      </c>
      <c r="J131" s="190">
        <v>0</v>
      </c>
      <c r="K131" s="190">
        <v>0</v>
      </c>
      <c r="L131" s="189">
        <v>5514266.5199999996</v>
      </c>
    </row>
    <row r="132" spans="1:12" s="70" customFormat="1">
      <c r="A132" s="70">
        <f t="shared" si="1"/>
        <v>128</v>
      </c>
      <c r="B132" s="192" t="s">
        <v>507</v>
      </c>
      <c r="C132" s="192" t="s">
        <v>207</v>
      </c>
      <c r="D132" s="192" t="s">
        <v>33</v>
      </c>
      <c r="E132" s="192" t="s">
        <v>418</v>
      </c>
      <c r="F132" s="192" t="s">
        <v>412</v>
      </c>
      <c r="G132" s="190">
        <v>0</v>
      </c>
      <c r="H132" s="190">
        <v>0</v>
      </c>
      <c r="I132" s="190">
        <v>0</v>
      </c>
      <c r="J132" s="190">
        <v>0</v>
      </c>
      <c r="K132" s="190">
        <v>0</v>
      </c>
      <c r="L132" s="189">
        <v>6440525.5600000015</v>
      </c>
    </row>
    <row r="133" spans="1:12" s="70" customFormat="1">
      <c r="A133" s="70">
        <f t="shared" si="1"/>
        <v>129</v>
      </c>
      <c r="B133" s="192" t="s">
        <v>508</v>
      </c>
      <c r="C133" s="192" t="s">
        <v>509</v>
      </c>
      <c r="D133" s="192" t="s">
        <v>33</v>
      </c>
      <c r="E133" s="192" t="s">
        <v>418</v>
      </c>
      <c r="F133" s="192" t="s">
        <v>412</v>
      </c>
      <c r="G133" s="190">
        <v>0</v>
      </c>
      <c r="H133" s="190">
        <v>0</v>
      </c>
      <c r="I133" s="190">
        <v>0</v>
      </c>
      <c r="J133" s="190">
        <v>0</v>
      </c>
      <c r="K133" s="190">
        <v>0</v>
      </c>
      <c r="L133" s="189">
        <v>3495172.9000000004</v>
      </c>
    </row>
    <row r="134" spans="1:12" s="70" customFormat="1">
      <c r="A134" s="70">
        <f t="shared" si="1"/>
        <v>130</v>
      </c>
      <c r="B134" s="192" t="s">
        <v>510</v>
      </c>
      <c r="C134" s="192" t="s">
        <v>208</v>
      </c>
      <c r="D134" s="192" t="s">
        <v>33</v>
      </c>
      <c r="E134" s="192" t="s">
        <v>418</v>
      </c>
      <c r="F134" s="192" t="s">
        <v>412</v>
      </c>
      <c r="G134" s="190">
        <v>0</v>
      </c>
      <c r="H134" s="190">
        <v>0</v>
      </c>
      <c r="I134" s="190">
        <v>0</v>
      </c>
      <c r="J134" s="190">
        <v>0</v>
      </c>
      <c r="K134" s="190">
        <v>0</v>
      </c>
      <c r="L134" s="189">
        <v>37086995.709999993</v>
      </c>
    </row>
    <row r="135" spans="1:12" s="70" customFormat="1">
      <c r="A135" s="70">
        <f t="shared" ref="A135:A141" si="2">A134+1</f>
        <v>131</v>
      </c>
      <c r="B135" s="192" t="s">
        <v>510</v>
      </c>
      <c r="C135" s="192" t="s">
        <v>208</v>
      </c>
      <c r="D135" s="192" t="s">
        <v>33</v>
      </c>
      <c r="E135" s="192" t="s">
        <v>418</v>
      </c>
      <c r="F135" s="192" t="s">
        <v>416</v>
      </c>
      <c r="G135" s="190">
        <v>0</v>
      </c>
      <c r="H135" s="190">
        <v>0</v>
      </c>
      <c r="I135" s="190">
        <v>0</v>
      </c>
      <c r="J135" s="190">
        <v>0</v>
      </c>
      <c r="K135" s="190">
        <v>0</v>
      </c>
      <c r="L135" s="189">
        <v>3766192.7500000005</v>
      </c>
    </row>
    <row r="136" spans="1:12" s="70" customFormat="1">
      <c r="A136" s="70">
        <f t="shared" si="2"/>
        <v>132</v>
      </c>
      <c r="B136" s="192" t="s">
        <v>511</v>
      </c>
      <c r="C136" s="192" t="s">
        <v>209</v>
      </c>
      <c r="D136" s="192" t="s">
        <v>33</v>
      </c>
      <c r="E136" s="192" t="s">
        <v>418</v>
      </c>
      <c r="F136" s="192" t="s">
        <v>412</v>
      </c>
      <c r="G136" s="190">
        <v>0</v>
      </c>
      <c r="H136" s="190">
        <v>0</v>
      </c>
      <c r="I136" s="190">
        <v>0</v>
      </c>
      <c r="J136" s="190">
        <v>0</v>
      </c>
      <c r="K136" s="190">
        <v>0</v>
      </c>
      <c r="L136" s="189">
        <v>3733236.55</v>
      </c>
    </row>
    <row r="137" spans="1:12" s="70" customFormat="1">
      <c r="A137" s="70">
        <f t="shared" si="2"/>
        <v>133</v>
      </c>
      <c r="B137" s="192" t="s">
        <v>511</v>
      </c>
      <c r="C137" s="192" t="s">
        <v>209</v>
      </c>
      <c r="D137" s="192" t="s">
        <v>33</v>
      </c>
      <c r="E137" s="192" t="s">
        <v>418</v>
      </c>
      <c r="F137" s="192" t="s">
        <v>416</v>
      </c>
      <c r="G137" s="190">
        <v>0</v>
      </c>
      <c r="H137" s="190">
        <v>0</v>
      </c>
      <c r="I137" s="190">
        <v>0</v>
      </c>
      <c r="J137" s="190">
        <v>0</v>
      </c>
      <c r="K137" s="190">
        <v>0</v>
      </c>
      <c r="L137" s="189">
        <v>-20578.009999999998</v>
      </c>
    </row>
    <row r="138" spans="1:12" s="70" customFormat="1">
      <c r="A138" s="70">
        <f t="shared" si="2"/>
        <v>134</v>
      </c>
      <c r="B138" s="192" t="s">
        <v>512</v>
      </c>
      <c r="C138" s="192" t="s">
        <v>210</v>
      </c>
      <c r="D138" s="192" t="s">
        <v>158</v>
      </c>
      <c r="E138" s="192" t="s">
        <v>513</v>
      </c>
      <c r="F138" s="192" t="s">
        <v>416</v>
      </c>
      <c r="G138" s="190">
        <v>0</v>
      </c>
      <c r="H138" s="190">
        <v>0</v>
      </c>
      <c r="I138" s="190">
        <v>0</v>
      </c>
      <c r="J138" s="190">
        <v>0</v>
      </c>
      <c r="K138" s="190">
        <v>0</v>
      </c>
      <c r="L138" s="189">
        <v>138933.71</v>
      </c>
    </row>
    <row r="139" spans="1:12" s="70" customFormat="1">
      <c r="A139" s="70">
        <f t="shared" si="2"/>
        <v>135</v>
      </c>
      <c r="B139" s="192" t="s">
        <v>512</v>
      </c>
      <c r="C139" s="192" t="s">
        <v>210</v>
      </c>
      <c r="D139" s="192" t="s">
        <v>158</v>
      </c>
      <c r="E139" s="192" t="s">
        <v>513</v>
      </c>
      <c r="F139" s="192" t="s">
        <v>412</v>
      </c>
      <c r="G139" s="190">
        <v>0</v>
      </c>
      <c r="H139" s="190">
        <v>0</v>
      </c>
      <c r="I139" s="190">
        <v>0</v>
      </c>
      <c r="J139" s="190">
        <v>0</v>
      </c>
      <c r="K139" s="190">
        <v>0</v>
      </c>
      <c r="L139" s="189">
        <v>103984678.87000002</v>
      </c>
    </row>
    <row r="140" spans="1:12" s="70" customFormat="1">
      <c r="A140" s="70">
        <f t="shared" si="2"/>
        <v>136</v>
      </c>
      <c r="B140" s="192" t="s">
        <v>514</v>
      </c>
      <c r="C140" s="192" t="s">
        <v>211</v>
      </c>
      <c r="D140" s="192" t="s">
        <v>33</v>
      </c>
      <c r="E140" s="192" t="s">
        <v>418</v>
      </c>
      <c r="F140" s="192" t="s">
        <v>412</v>
      </c>
      <c r="G140" s="190">
        <v>0</v>
      </c>
      <c r="H140" s="190">
        <v>0</v>
      </c>
      <c r="I140" s="190">
        <v>0</v>
      </c>
      <c r="J140" s="190">
        <v>0</v>
      </c>
      <c r="K140" s="190">
        <v>0</v>
      </c>
      <c r="L140" s="189">
        <v>8108.94</v>
      </c>
    </row>
    <row r="141" spans="1:12">
      <c r="A141" s="60">
        <f t="shared" si="2"/>
        <v>137</v>
      </c>
    </row>
    <row r="142" spans="1:12">
      <c r="L142" s="61">
        <f>SUM(L5:L140)</f>
        <v>1428188642.5999997</v>
      </c>
    </row>
    <row r="149" spans="1:12">
      <c r="L149" s="61"/>
    </row>
    <row r="153" spans="1:12">
      <c r="A153" s="70" t="s">
        <v>547</v>
      </c>
      <c r="L153" s="61"/>
    </row>
    <row r="154" spans="1:12" s="70" customFormat="1">
      <c r="A154" s="70">
        <v>1</v>
      </c>
      <c r="E154" s="70" t="s">
        <v>520</v>
      </c>
      <c r="G154" s="189"/>
      <c r="H154" s="189"/>
      <c r="I154" s="190">
        <v>0</v>
      </c>
      <c r="J154" s="189"/>
      <c r="L154" s="189">
        <f>SUM(G154:K154)</f>
        <v>0</v>
      </c>
    </row>
    <row r="155" spans="1:12" s="70" customFormat="1">
      <c r="A155" s="70">
        <f>A154+1</f>
        <v>2</v>
      </c>
      <c r="E155" s="70" t="s">
        <v>521</v>
      </c>
      <c r="G155" s="214">
        <v>178000.5</v>
      </c>
      <c r="H155" s="214">
        <v>2585852.38</v>
      </c>
      <c r="I155" s="190">
        <v>0</v>
      </c>
      <c r="J155" s="189"/>
      <c r="L155" s="189">
        <f>SUM(G155:K155)</f>
        <v>2763852.88</v>
      </c>
    </row>
    <row r="156" spans="1:12" s="70" customFormat="1">
      <c r="A156" s="70">
        <f>A155+1</f>
        <v>3</v>
      </c>
      <c r="E156" s="70" t="s">
        <v>522</v>
      </c>
      <c r="G156" s="214"/>
      <c r="H156" s="214"/>
      <c r="I156" s="190">
        <v>0</v>
      </c>
      <c r="J156" s="189"/>
      <c r="L156" s="189">
        <f>SUM(G156:K156)</f>
        <v>0</v>
      </c>
    </row>
    <row r="157" spans="1:12" s="70" customFormat="1">
      <c r="A157" s="70">
        <f>A156+1</f>
        <v>4</v>
      </c>
      <c r="E157" s="70" t="s">
        <v>523</v>
      </c>
      <c r="G157" s="189">
        <v>50429.5</v>
      </c>
      <c r="H157" s="214">
        <v>1655748.79</v>
      </c>
      <c r="I157" s="190">
        <v>0</v>
      </c>
      <c r="J157" s="189"/>
      <c r="L157" s="189">
        <f>SUM(G157:K157)</f>
        <v>1706178.29</v>
      </c>
    </row>
    <row r="158" spans="1:12" s="70" customFormat="1">
      <c r="A158" s="70">
        <f>A157+1</f>
        <v>5</v>
      </c>
      <c r="B158" s="192"/>
      <c r="C158" s="192"/>
      <c r="D158" s="192"/>
      <c r="E158" s="192" t="s">
        <v>524</v>
      </c>
      <c r="F158" s="192"/>
      <c r="G158" s="190"/>
      <c r="H158" s="190">
        <v>110679.3</v>
      </c>
      <c r="I158" s="190">
        <v>0</v>
      </c>
      <c r="J158" s="190"/>
      <c r="L158" s="189">
        <f>SUM(G158:K158)</f>
        <v>110679.3</v>
      </c>
    </row>
    <row r="159" spans="1:12" s="65" customFormat="1">
      <c r="B159" s="68"/>
      <c r="C159" s="68"/>
      <c r="D159" s="68"/>
      <c r="E159" s="68"/>
      <c r="F159" s="68"/>
      <c r="G159" s="69"/>
      <c r="H159" s="69"/>
      <c r="I159" s="69"/>
      <c r="J159" s="69"/>
      <c r="L159" s="61"/>
    </row>
    <row r="160" spans="1:12">
      <c r="L160" s="61"/>
    </row>
    <row r="161" spans="1:12">
      <c r="A161" s="70" t="s">
        <v>548</v>
      </c>
    </row>
    <row r="162" spans="1:12" s="70" customFormat="1">
      <c r="A162" s="70">
        <v>1</v>
      </c>
      <c r="D162" s="70" t="s">
        <v>583</v>
      </c>
      <c r="F162" s="189"/>
      <c r="G162" s="189">
        <v>386521.09</v>
      </c>
      <c r="H162" s="189">
        <v>20950.169999999998</v>
      </c>
      <c r="L162" s="189">
        <f t="shared" ref="L162:L169" si="3">SUM(G162:K162)</f>
        <v>407471.26</v>
      </c>
    </row>
    <row r="163" spans="1:12" s="70" customFormat="1">
      <c r="A163" s="70">
        <f>A162+1</f>
        <v>2</v>
      </c>
      <c r="D163" s="70" t="s">
        <v>516</v>
      </c>
      <c r="E163" s="191"/>
      <c r="F163" s="189"/>
      <c r="G163" s="189">
        <v>6033127.29</v>
      </c>
      <c r="H163" s="189">
        <v>493623.2</v>
      </c>
      <c r="L163" s="189">
        <f t="shared" si="3"/>
        <v>6526750.4900000002</v>
      </c>
    </row>
    <row r="164" spans="1:12" s="70" customFormat="1">
      <c r="A164" s="70">
        <f>A163+1</f>
        <v>3</v>
      </c>
      <c r="D164" s="70" t="s">
        <v>517</v>
      </c>
      <c r="E164" s="191"/>
      <c r="F164" s="189"/>
      <c r="G164" s="189">
        <v>6529706.6699999999</v>
      </c>
      <c r="H164" s="189">
        <v>573448.95999999996</v>
      </c>
      <c r="L164" s="189">
        <f t="shared" si="3"/>
        <v>7103155.6299999999</v>
      </c>
    </row>
    <row r="165" spans="1:12" s="70" customFormat="1">
      <c r="A165" s="70">
        <f>A164+1</f>
        <v>4</v>
      </c>
      <c r="D165" s="70" t="s">
        <v>584</v>
      </c>
      <c r="E165" s="191"/>
      <c r="F165" s="189"/>
      <c r="G165" s="189">
        <v>2881192.97</v>
      </c>
      <c r="H165" s="189">
        <v>130458.9</v>
      </c>
      <c r="L165" s="189">
        <f t="shared" si="3"/>
        <v>3011651.87</v>
      </c>
    </row>
    <row r="166" spans="1:12" s="70" customFormat="1">
      <c r="A166" s="70">
        <v>5</v>
      </c>
      <c r="D166" s="70" t="s">
        <v>519</v>
      </c>
      <c r="E166" s="191"/>
      <c r="F166" s="189"/>
      <c r="G166" s="189">
        <v>6207502.0800000001</v>
      </c>
      <c r="H166" s="189">
        <v>1190852.1100000001</v>
      </c>
      <c r="I166" s="190"/>
      <c r="J166" s="189"/>
      <c r="K166" s="190"/>
      <c r="L166" s="189">
        <f t="shared" si="3"/>
        <v>7398354.1900000004</v>
      </c>
    </row>
    <row r="167" spans="1:12" s="70" customFormat="1">
      <c r="A167" s="70">
        <v>6</v>
      </c>
      <c r="D167" s="70" t="s">
        <v>585</v>
      </c>
      <c r="F167" s="189"/>
      <c r="G167" s="189">
        <v>830179.23</v>
      </c>
      <c r="H167" s="189">
        <v>221397.67</v>
      </c>
      <c r="L167" s="189">
        <f t="shared" si="3"/>
        <v>1051576.8999999999</v>
      </c>
    </row>
    <row r="168" spans="1:12" s="70" customFormat="1">
      <c r="A168" s="70">
        <v>7</v>
      </c>
      <c r="D168" s="70" t="s">
        <v>586</v>
      </c>
      <c r="F168" s="189"/>
      <c r="G168" s="189">
        <v>3981714.4</v>
      </c>
      <c r="H168" s="189">
        <v>476334.27</v>
      </c>
      <c r="L168" s="189">
        <f t="shared" si="3"/>
        <v>4458048.67</v>
      </c>
    </row>
    <row r="169" spans="1:12" s="70" customFormat="1">
      <c r="A169" s="70">
        <f>A168+1</f>
        <v>8</v>
      </c>
      <c r="D169" s="70" t="s">
        <v>588</v>
      </c>
      <c r="E169" s="191"/>
      <c r="F169" s="189"/>
      <c r="G169" s="189">
        <v>3738927.83</v>
      </c>
      <c r="H169" s="189">
        <v>471337.97</v>
      </c>
      <c r="L169" s="189">
        <f t="shared" si="3"/>
        <v>4210265.8</v>
      </c>
    </row>
    <row r="171" spans="1:12">
      <c r="D171" s="215"/>
      <c r="E171" s="215"/>
      <c r="F171" s="216"/>
      <c r="G171" s="216"/>
      <c r="H171" s="216"/>
    </row>
    <row r="172" spans="1:12">
      <c r="D172" s="215"/>
      <c r="E172" s="215"/>
      <c r="F172" s="216"/>
      <c r="G172" s="216"/>
      <c r="H172" s="216"/>
    </row>
    <row r="173" spans="1:12">
      <c r="D173" s="215"/>
      <c r="E173" s="217"/>
      <c r="F173" s="216"/>
      <c r="G173" s="216"/>
      <c r="H173" s="216"/>
    </row>
    <row r="174" spans="1:12">
      <c r="D174" s="215"/>
      <c r="E174" s="217"/>
      <c r="F174" s="216"/>
      <c r="G174" s="216"/>
      <c r="H174" s="216"/>
    </row>
    <row r="175" spans="1:12">
      <c r="D175" s="215"/>
      <c r="E175" s="217"/>
      <c r="F175" s="216"/>
      <c r="G175" s="216"/>
      <c r="H175" s="216"/>
    </row>
    <row r="176" spans="1:12">
      <c r="D176" s="218"/>
      <c r="E176" s="218"/>
      <c r="F176" s="218"/>
      <c r="G176" s="219"/>
      <c r="H176" s="219"/>
    </row>
    <row r="177" spans="4:8">
      <c r="D177" s="215"/>
      <c r="E177" s="217"/>
      <c r="F177" s="216"/>
      <c r="G177" s="216"/>
      <c r="H177" s="216"/>
    </row>
    <row r="178" spans="4:8">
      <c r="D178" s="215"/>
      <c r="E178" s="217"/>
      <c r="F178" s="216"/>
      <c r="G178" s="216"/>
      <c r="H178" s="216"/>
    </row>
    <row r="179" spans="4:8">
      <c r="D179" s="215"/>
      <c r="E179" s="217"/>
      <c r="F179" s="216"/>
      <c r="G179" s="216"/>
      <c r="H179" s="216"/>
    </row>
    <row r="278" spans="1:12">
      <c r="A278" s="75">
        <v>0</v>
      </c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</row>
    <row r="279" spans="1:12">
      <c r="A279" s="75">
        <v>1</v>
      </c>
      <c r="B279" s="76" t="s">
        <v>410</v>
      </c>
      <c r="C279" s="76" t="s">
        <v>411</v>
      </c>
      <c r="D279" s="76" t="s">
        <v>34</v>
      </c>
      <c r="E279" s="76" t="s">
        <v>137</v>
      </c>
      <c r="F279" s="76" t="s">
        <v>412</v>
      </c>
      <c r="G279" s="77">
        <v>7318606.1600000001</v>
      </c>
      <c r="H279" s="77">
        <v>386043.04</v>
      </c>
      <c r="I279" s="77">
        <v>0</v>
      </c>
      <c r="J279" s="77">
        <v>0</v>
      </c>
      <c r="K279" s="77">
        <v>0</v>
      </c>
      <c r="L279" s="78">
        <f>SUM(G279:K279)</f>
        <v>7704649.2000000002</v>
      </c>
    </row>
    <row r="280" spans="1:12">
      <c r="A280" s="75">
        <f>A279+1</f>
        <v>2</v>
      </c>
      <c r="B280" s="76" t="s">
        <v>410</v>
      </c>
      <c r="C280" s="76" t="s">
        <v>411</v>
      </c>
      <c r="D280" s="76" t="s">
        <v>35</v>
      </c>
      <c r="E280" s="76" t="s">
        <v>159</v>
      </c>
      <c r="F280" s="76" t="s">
        <v>412</v>
      </c>
      <c r="G280" s="77">
        <v>4733285.3100000005</v>
      </c>
      <c r="H280" s="77">
        <v>1120468.69</v>
      </c>
      <c r="I280" s="77">
        <v>0</v>
      </c>
      <c r="J280" s="77">
        <v>0</v>
      </c>
      <c r="K280" s="77">
        <v>0</v>
      </c>
      <c r="L280" s="78">
        <f t="shared" ref="L280:L343" si="4">SUM(G280:K280)</f>
        <v>5853754</v>
      </c>
    </row>
    <row r="281" spans="1:12">
      <c r="A281" s="75">
        <f t="shared" ref="A281:A344" si="5">A280+1</f>
        <v>3</v>
      </c>
      <c r="B281" s="76" t="s">
        <v>410</v>
      </c>
      <c r="C281" s="76" t="s">
        <v>411</v>
      </c>
      <c r="D281" s="76" t="s">
        <v>25</v>
      </c>
      <c r="E281" s="76" t="s">
        <v>413</v>
      </c>
      <c r="F281" s="76" t="s">
        <v>412</v>
      </c>
      <c r="G281" s="77">
        <v>567935.65</v>
      </c>
      <c r="H281" s="77">
        <v>301037.34999999998</v>
      </c>
      <c r="I281" s="77">
        <v>0</v>
      </c>
      <c r="J281" s="77">
        <v>0</v>
      </c>
      <c r="K281" s="77">
        <v>0</v>
      </c>
      <c r="L281" s="78">
        <f t="shared" si="4"/>
        <v>868973</v>
      </c>
    </row>
    <row r="282" spans="1:12">
      <c r="A282" s="75">
        <f t="shared" si="5"/>
        <v>4</v>
      </c>
      <c r="B282" s="76" t="s">
        <v>410</v>
      </c>
      <c r="C282" s="76" t="s">
        <v>411</v>
      </c>
      <c r="D282" s="76" t="s">
        <v>32</v>
      </c>
      <c r="E282" s="76" t="s">
        <v>414</v>
      </c>
      <c r="F282" s="76" t="s">
        <v>412</v>
      </c>
      <c r="G282" s="77">
        <v>1111465.78</v>
      </c>
      <c r="H282" s="77">
        <v>80517.850000000006</v>
      </c>
      <c r="I282" s="77">
        <v>0</v>
      </c>
      <c r="J282" s="77">
        <v>0</v>
      </c>
      <c r="K282" s="77">
        <v>0</v>
      </c>
      <c r="L282" s="78">
        <f t="shared" si="4"/>
        <v>1191983.6300000001</v>
      </c>
    </row>
    <row r="283" spans="1:12">
      <c r="A283" s="75">
        <f t="shared" si="5"/>
        <v>5</v>
      </c>
      <c r="B283" s="76" t="s">
        <v>410</v>
      </c>
      <c r="C283" s="76" t="s">
        <v>411</v>
      </c>
      <c r="D283" s="76" t="s">
        <v>23</v>
      </c>
      <c r="E283" s="76" t="s">
        <v>415</v>
      </c>
      <c r="F283" s="76" t="s">
        <v>416</v>
      </c>
      <c r="G283" s="77">
        <v>41992.93</v>
      </c>
      <c r="H283" s="77">
        <v>15000</v>
      </c>
      <c r="I283" s="77">
        <v>0</v>
      </c>
      <c r="J283" s="77">
        <v>1169052.6000000001</v>
      </c>
      <c r="K283" s="77">
        <v>0</v>
      </c>
      <c r="L283" s="78">
        <f t="shared" si="4"/>
        <v>1226045.53</v>
      </c>
    </row>
    <row r="284" spans="1:12">
      <c r="A284" s="75">
        <f t="shared" si="5"/>
        <v>6</v>
      </c>
      <c r="B284" s="76" t="s">
        <v>410</v>
      </c>
      <c r="C284" s="76" t="s">
        <v>411</v>
      </c>
      <c r="D284" s="76" t="s">
        <v>23</v>
      </c>
      <c r="E284" s="76" t="s">
        <v>415</v>
      </c>
      <c r="F284" s="76" t="s">
        <v>412</v>
      </c>
      <c r="G284" s="77">
        <v>78676733.890000001</v>
      </c>
      <c r="H284" s="77">
        <v>4993578.0300000012</v>
      </c>
      <c r="I284" s="77">
        <v>0</v>
      </c>
      <c r="J284" s="77">
        <v>330435.84999999998</v>
      </c>
      <c r="K284" s="77">
        <v>0</v>
      </c>
      <c r="L284" s="78">
        <f t="shared" si="4"/>
        <v>84000747.769999996</v>
      </c>
    </row>
    <row r="285" spans="1:12">
      <c r="A285" s="75">
        <f t="shared" si="5"/>
        <v>7</v>
      </c>
      <c r="B285" s="76" t="s">
        <v>410</v>
      </c>
      <c r="C285" s="76" t="s">
        <v>411</v>
      </c>
      <c r="D285" s="76" t="s">
        <v>417</v>
      </c>
      <c r="E285" s="76" t="s">
        <v>160</v>
      </c>
      <c r="F285" s="76" t="s">
        <v>412</v>
      </c>
      <c r="G285" s="77">
        <v>733225.74</v>
      </c>
      <c r="H285" s="77">
        <v>275449.90000000002</v>
      </c>
      <c r="I285" s="77">
        <v>0</v>
      </c>
      <c r="J285" s="77">
        <v>0</v>
      </c>
      <c r="K285" s="77">
        <v>0</v>
      </c>
      <c r="L285" s="78">
        <f t="shared" si="4"/>
        <v>1008675.64</v>
      </c>
    </row>
    <row r="286" spans="1:12">
      <c r="A286" s="75">
        <f t="shared" si="5"/>
        <v>8</v>
      </c>
      <c r="B286" s="76" t="s">
        <v>410</v>
      </c>
      <c r="C286" s="76" t="s">
        <v>411</v>
      </c>
      <c r="D286" s="76" t="s">
        <v>29</v>
      </c>
      <c r="E286" s="76" t="s">
        <v>108</v>
      </c>
      <c r="F286" s="76" t="s">
        <v>412</v>
      </c>
      <c r="G286" s="77">
        <v>412223.02</v>
      </c>
      <c r="H286" s="77">
        <v>9691609.4799999986</v>
      </c>
      <c r="I286" s="77">
        <v>0</v>
      </c>
      <c r="J286" s="77">
        <v>0</v>
      </c>
      <c r="K286" s="77">
        <v>0</v>
      </c>
      <c r="L286" s="78">
        <f t="shared" si="4"/>
        <v>10103832.499999998</v>
      </c>
    </row>
    <row r="287" spans="1:12">
      <c r="A287" s="75">
        <f t="shared" si="5"/>
        <v>9</v>
      </c>
      <c r="B287" s="76" t="s">
        <v>410</v>
      </c>
      <c r="C287" s="76" t="s">
        <v>411</v>
      </c>
      <c r="D287" s="76" t="s">
        <v>26</v>
      </c>
      <c r="E287" s="76" t="s">
        <v>89</v>
      </c>
      <c r="F287" s="76" t="s">
        <v>412</v>
      </c>
      <c r="G287" s="77">
        <v>420431.86</v>
      </c>
      <c r="H287" s="77">
        <v>64870.95</v>
      </c>
      <c r="I287" s="77">
        <v>0</v>
      </c>
      <c r="J287" s="77">
        <v>0</v>
      </c>
      <c r="K287" s="77">
        <v>0</v>
      </c>
      <c r="L287" s="78">
        <f t="shared" si="4"/>
        <v>485302.81</v>
      </c>
    </row>
    <row r="288" spans="1:12">
      <c r="A288" s="75">
        <f t="shared" si="5"/>
        <v>10</v>
      </c>
      <c r="B288" s="76" t="s">
        <v>410</v>
      </c>
      <c r="C288" s="76" t="s">
        <v>411</v>
      </c>
      <c r="D288" s="76" t="s">
        <v>33</v>
      </c>
      <c r="E288" s="76" t="s">
        <v>418</v>
      </c>
      <c r="F288" s="76" t="s">
        <v>412</v>
      </c>
      <c r="G288" s="77">
        <v>24830553.750000007</v>
      </c>
      <c r="H288" s="77">
        <v>10083617.490000002</v>
      </c>
      <c r="I288" s="77">
        <v>0</v>
      </c>
      <c r="J288" s="77">
        <v>0</v>
      </c>
      <c r="K288" s="77">
        <v>0</v>
      </c>
      <c r="L288" s="78">
        <f t="shared" si="4"/>
        <v>34914171.24000001</v>
      </c>
    </row>
    <row r="289" spans="1:12">
      <c r="A289" s="75">
        <f t="shared" si="5"/>
        <v>11</v>
      </c>
      <c r="B289" s="76" t="s">
        <v>410</v>
      </c>
      <c r="C289" s="76" t="s">
        <v>411</v>
      </c>
      <c r="D289" s="76" t="s">
        <v>33</v>
      </c>
      <c r="E289" s="76" t="s">
        <v>418</v>
      </c>
      <c r="F289" s="76" t="s">
        <v>416</v>
      </c>
      <c r="G289" s="77">
        <v>189143.31</v>
      </c>
      <c r="H289" s="77">
        <v>19602.8</v>
      </c>
      <c r="I289" s="77">
        <v>0</v>
      </c>
      <c r="J289" s="77">
        <v>0</v>
      </c>
      <c r="K289" s="77">
        <v>0</v>
      </c>
      <c r="L289" s="78">
        <f t="shared" si="4"/>
        <v>208746.11</v>
      </c>
    </row>
    <row r="290" spans="1:12">
      <c r="A290" s="75">
        <f t="shared" si="5"/>
        <v>12</v>
      </c>
      <c r="B290" s="76" t="s">
        <v>410</v>
      </c>
      <c r="C290" s="76" t="s">
        <v>411</v>
      </c>
      <c r="D290" s="76" t="s">
        <v>419</v>
      </c>
      <c r="E290" s="76" t="s">
        <v>161</v>
      </c>
      <c r="F290" s="76" t="s">
        <v>412</v>
      </c>
      <c r="G290" s="77">
        <v>2190710.85</v>
      </c>
      <c r="H290" s="77">
        <v>445622.06</v>
      </c>
      <c r="I290" s="77">
        <v>0</v>
      </c>
      <c r="J290" s="77">
        <v>0</v>
      </c>
      <c r="K290" s="77">
        <v>0</v>
      </c>
      <c r="L290" s="78">
        <f t="shared" si="4"/>
        <v>2636332.91</v>
      </c>
    </row>
    <row r="291" spans="1:12">
      <c r="A291" s="75">
        <f t="shared" si="5"/>
        <v>13</v>
      </c>
      <c r="B291" s="76" t="s">
        <v>410</v>
      </c>
      <c r="C291" s="76" t="s">
        <v>411</v>
      </c>
      <c r="D291" s="76" t="s">
        <v>27</v>
      </c>
      <c r="E291" s="76" t="s">
        <v>142</v>
      </c>
      <c r="F291" s="76" t="s">
        <v>412</v>
      </c>
      <c r="G291" s="77">
        <v>3185301.45</v>
      </c>
      <c r="H291" s="77">
        <v>2693800.46</v>
      </c>
      <c r="I291" s="77">
        <v>0</v>
      </c>
      <c r="J291" s="77">
        <v>0</v>
      </c>
      <c r="K291" s="77">
        <v>0</v>
      </c>
      <c r="L291" s="78">
        <f t="shared" si="4"/>
        <v>5879101.9100000001</v>
      </c>
    </row>
    <row r="292" spans="1:12">
      <c r="A292" s="75">
        <f t="shared" si="5"/>
        <v>14</v>
      </c>
      <c r="B292" s="76" t="s">
        <v>410</v>
      </c>
      <c r="C292" s="76" t="s">
        <v>411</v>
      </c>
      <c r="D292" s="76" t="s">
        <v>27</v>
      </c>
      <c r="E292" s="76" t="s">
        <v>142</v>
      </c>
      <c r="F292" s="76" t="s">
        <v>416</v>
      </c>
      <c r="G292" s="77">
        <v>2993.75</v>
      </c>
      <c r="H292" s="77">
        <v>0</v>
      </c>
      <c r="I292" s="77">
        <v>0</v>
      </c>
      <c r="J292" s="77">
        <v>0</v>
      </c>
      <c r="K292" s="77">
        <v>0</v>
      </c>
      <c r="L292" s="78">
        <f t="shared" si="4"/>
        <v>2993.75</v>
      </c>
    </row>
    <row r="293" spans="1:12">
      <c r="A293" s="75">
        <f t="shared" si="5"/>
        <v>15</v>
      </c>
      <c r="B293" s="76" t="s">
        <v>410</v>
      </c>
      <c r="C293" s="76" t="s">
        <v>411</v>
      </c>
      <c r="D293" s="76" t="s">
        <v>420</v>
      </c>
      <c r="E293" s="76" t="s">
        <v>162</v>
      </c>
      <c r="F293" s="76" t="s">
        <v>412</v>
      </c>
      <c r="G293" s="77">
        <v>907332.65</v>
      </c>
      <c r="H293" s="77">
        <v>506391.48</v>
      </c>
      <c r="I293" s="77">
        <v>0</v>
      </c>
      <c r="J293" s="77">
        <v>0</v>
      </c>
      <c r="K293" s="77">
        <v>0</v>
      </c>
      <c r="L293" s="78">
        <f t="shared" si="4"/>
        <v>1413724.13</v>
      </c>
    </row>
    <row r="294" spans="1:12">
      <c r="A294" s="75">
        <f t="shared" si="5"/>
        <v>16</v>
      </c>
      <c r="B294" s="76" t="s">
        <v>410</v>
      </c>
      <c r="C294" s="76" t="s">
        <v>411</v>
      </c>
      <c r="D294" s="76" t="s">
        <v>24</v>
      </c>
      <c r="E294" s="76" t="s">
        <v>163</v>
      </c>
      <c r="F294" s="76" t="s">
        <v>416</v>
      </c>
      <c r="G294" s="77">
        <v>220480.75</v>
      </c>
      <c r="H294" s="77">
        <v>0</v>
      </c>
      <c r="I294" s="77">
        <v>0</v>
      </c>
      <c r="J294" s="77">
        <v>0</v>
      </c>
      <c r="K294" s="77">
        <v>0</v>
      </c>
      <c r="L294" s="78">
        <f t="shared" si="4"/>
        <v>220480.75</v>
      </c>
    </row>
    <row r="295" spans="1:12">
      <c r="A295" s="75">
        <f t="shared" si="5"/>
        <v>17</v>
      </c>
      <c r="B295" s="76" t="s">
        <v>410</v>
      </c>
      <c r="C295" s="76" t="s">
        <v>411</v>
      </c>
      <c r="D295" s="76" t="s">
        <v>24</v>
      </c>
      <c r="E295" s="76" t="s">
        <v>163</v>
      </c>
      <c r="F295" s="76" t="s">
        <v>412</v>
      </c>
      <c r="G295" s="77">
        <v>38152911.910000026</v>
      </c>
      <c r="H295" s="77">
        <v>12676841.74</v>
      </c>
      <c r="I295" s="77">
        <v>0</v>
      </c>
      <c r="J295" s="77">
        <v>160262.12</v>
      </c>
      <c r="K295" s="77">
        <v>0</v>
      </c>
      <c r="L295" s="78">
        <f t="shared" si="4"/>
        <v>50990015.770000026</v>
      </c>
    </row>
    <row r="296" spans="1:12">
      <c r="A296" s="75">
        <f t="shared" si="5"/>
        <v>18</v>
      </c>
      <c r="B296" s="76" t="s">
        <v>410</v>
      </c>
      <c r="C296" s="76" t="s">
        <v>411</v>
      </c>
      <c r="D296" s="76" t="s">
        <v>21</v>
      </c>
      <c r="E296" s="76" t="s">
        <v>37</v>
      </c>
      <c r="F296" s="76" t="s">
        <v>412</v>
      </c>
      <c r="G296" s="77">
        <v>117485325.97999997</v>
      </c>
      <c r="H296" s="77">
        <v>7998152.160000002</v>
      </c>
      <c r="I296" s="77">
        <v>0</v>
      </c>
      <c r="J296" s="77">
        <v>22179.98</v>
      </c>
      <c r="K296" s="77">
        <v>0</v>
      </c>
      <c r="L296" s="78">
        <f t="shared" si="4"/>
        <v>125505658.11999997</v>
      </c>
    </row>
    <row r="297" spans="1:12">
      <c r="A297" s="75">
        <f t="shared" si="5"/>
        <v>19</v>
      </c>
      <c r="B297" s="76" t="s">
        <v>410</v>
      </c>
      <c r="C297" s="76" t="s">
        <v>411</v>
      </c>
      <c r="D297" s="76" t="s">
        <v>28</v>
      </c>
      <c r="E297" s="76" t="s">
        <v>421</v>
      </c>
      <c r="F297" s="76" t="s">
        <v>412</v>
      </c>
      <c r="G297" s="77">
        <v>7210606.4499999983</v>
      </c>
      <c r="H297" s="77">
        <v>939430.05</v>
      </c>
      <c r="I297" s="77">
        <v>0</v>
      </c>
      <c r="J297" s="77">
        <v>0</v>
      </c>
      <c r="K297" s="77">
        <v>0</v>
      </c>
      <c r="L297" s="78">
        <f t="shared" si="4"/>
        <v>8150036.4999999981</v>
      </c>
    </row>
    <row r="298" spans="1:12">
      <c r="A298" s="75">
        <f t="shared" si="5"/>
        <v>20</v>
      </c>
      <c r="B298" s="76" t="s">
        <v>410</v>
      </c>
      <c r="C298" s="76" t="s">
        <v>411</v>
      </c>
      <c r="D298" s="76" t="s">
        <v>28</v>
      </c>
      <c r="E298" s="76" t="s">
        <v>421</v>
      </c>
      <c r="F298" s="76" t="s">
        <v>416</v>
      </c>
      <c r="G298" s="77">
        <v>2185.4</v>
      </c>
      <c r="H298" s="77">
        <v>0</v>
      </c>
      <c r="I298" s="77">
        <v>0</v>
      </c>
      <c r="J298" s="77">
        <v>0</v>
      </c>
      <c r="K298" s="77">
        <v>0</v>
      </c>
      <c r="L298" s="78">
        <f t="shared" si="4"/>
        <v>2185.4</v>
      </c>
    </row>
    <row r="299" spans="1:12">
      <c r="A299" s="75">
        <f t="shared" si="5"/>
        <v>21</v>
      </c>
      <c r="B299" s="76" t="s">
        <v>410</v>
      </c>
      <c r="C299" s="76" t="s">
        <v>411</v>
      </c>
      <c r="D299" s="76" t="s">
        <v>422</v>
      </c>
      <c r="E299" s="76" t="s">
        <v>164</v>
      </c>
      <c r="F299" s="76" t="s">
        <v>412</v>
      </c>
      <c r="G299" s="77">
        <v>613700.96</v>
      </c>
      <c r="H299" s="77">
        <v>3963.31</v>
      </c>
      <c r="I299" s="77">
        <v>0</v>
      </c>
      <c r="J299" s="77">
        <v>0</v>
      </c>
      <c r="K299" s="77">
        <v>0</v>
      </c>
      <c r="L299" s="78">
        <f t="shared" si="4"/>
        <v>617664.27</v>
      </c>
    </row>
    <row r="300" spans="1:12">
      <c r="A300" s="75">
        <f t="shared" si="5"/>
        <v>22</v>
      </c>
      <c r="B300" s="76" t="s">
        <v>410</v>
      </c>
      <c r="C300" s="76" t="s">
        <v>411</v>
      </c>
      <c r="D300" s="76" t="s">
        <v>423</v>
      </c>
      <c r="E300" s="76" t="s">
        <v>165</v>
      </c>
      <c r="F300" s="76" t="s">
        <v>412</v>
      </c>
      <c r="G300" s="77">
        <v>686550.38000000012</v>
      </c>
      <c r="H300" s="77">
        <v>10996.91</v>
      </c>
      <c r="I300" s="77">
        <v>0</v>
      </c>
      <c r="J300" s="77">
        <v>0</v>
      </c>
      <c r="K300" s="77">
        <v>0</v>
      </c>
      <c r="L300" s="78">
        <f t="shared" si="4"/>
        <v>697547.29000000015</v>
      </c>
    </row>
    <row r="301" spans="1:12">
      <c r="A301" s="75">
        <f t="shared" si="5"/>
        <v>23</v>
      </c>
      <c r="B301" s="76" t="s">
        <v>410</v>
      </c>
      <c r="C301" s="76" t="s">
        <v>411</v>
      </c>
      <c r="D301" s="76" t="s">
        <v>424</v>
      </c>
      <c r="E301" s="76" t="s">
        <v>166</v>
      </c>
      <c r="F301" s="76" t="s">
        <v>412</v>
      </c>
      <c r="G301" s="77">
        <v>781553.87</v>
      </c>
      <c r="H301" s="77">
        <v>6146.8999999999942</v>
      </c>
      <c r="I301" s="77">
        <v>0</v>
      </c>
      <c r="J301" s="77">
        <v>0</v>
      </c>
      <c r="K301" s="77">
        <v>0</v>
      </c>
      <c r="L301" s="78">
        <f t="shared" si="4"/>
        <v>787700.77</v>
      </c>
    </row>
    <row r="302" spans="1:12">
      <c r="A302" s="75">
        <f t="shared" si="5"/>
        <v>24</v>
      </c>
      <c r="B302" s="76" t="s">
        <v>410</v>
      </c>
      <c r="C302" s="76" t="s">
        <v>411</v>
      </c>
      <c r="D302" s="76" t="s">
        <v>425</v>
      </c>
      <c r="E302" s="76" t="s">
        <v>426</v>
      </c>
      <c r="F302" s="76" t="s">
        <v>412</v>
      </c>
      <c r="G302" s="77">
        <v>-0.03</v>
      </c>
      <c r="H302" s="77">
        <v>0</v>
      </c>
      <c r="I302" s="77">
        <v>0</v>
      </c>
      <c r="J302" s="77">
        <v>0</v>
      </c>
      <c r="K302" s="77">
        <v>0</v>
      </c>
      <c r="L302" s="78">
        <f t="shared" si="4"/>
        <v>-0.03</v>
      </c>
    </row>
    <row r="303" spans="1:12">
      <c r="A303" s="75">
        <f t="shared" si="5"/>
        <v>25</v>
      </c>
      <c r="B303" s="76" t="s">
        <v>410</v>
      </c>
      <c r="C303" s="76" t="s">
        <v>411</v>
      </c>
      <c r="D303" s="76" t="s">
        <v>427</v>
      </c>
      <c r="E303" s="76" t="s">
        <v>428</v>
      </c>
      <c r="F303" s="76" t="s">
        <v>412</v>
      </c>
      <c r="G303" s="77">
        <v>0</v>
      </c>
      <c r="H303" s="77">
        <v>3839959.38</v>
      </c>
      <c r="I303" s="77">
        <v>0</v>
      </c>
      <c r="J303" s="77">
        <v>0</v>
      </c>
      <c r="K303" s="77">
        <v>0</v>
      </c>
      <c r="L303" s="78">
        <f t="shared" si="4"/>
        <v>3839959.38</v>
      </c>
    </row>
    <row r="304" spans="1:12">
      <c r="A304" s="75">
        <f t="shared" si="5"/>
        <v>26</v>
      </c>
      <c r="B304" s="76" t="s">
        <v>429</v>
      </c>
      <c r="C304" s="76" t="s">
        <v>167</v>
      </c>
      <c r="D304" s="76" t="s">
        <v>430</v>
      </c>
      <c r="E304" s="76" t="s">
        <v>431</v>
      </c>
      <c r="F304" s="76" t="s">
        <v>412</v>
      </c>
      <c r="G304" s="77">
        <v>52346694.579999968</v>
      </c>
      <c r="H304" s="77">
        <v>35404221.729999997</v>
      </c>
      <c r="I304" s="77">
        <v>0</v>
      </c>
      <c r="J304" s="77">
        <v>1282738</v>
      </c>
      <c r="K304" s="77">
        <v>0</v>
      </c>
      <c r="L304" s="78">
        <f t="shared" si="4"/>
        <v>89033654.309999973</v>
      </c>
    </row>
    <row r="305" spans="1:12">
      <c r="A305" s="75">
        <f t="shared" si="5"/>
        <v>27</v>
      </c>
      <c r="B305" s="76" t="s">
        <v>429</v>
      </c>
      <c r="C305" s="76" t="s">
        <v>167</v>
      </c>
      <c r="D305" s="76" t="s">
        <v>430</v>
      </c>
      <c r="E305" s="76" t="s">
        <v>431</v>
      </c>
      <c r="F305" s="76" t="s">
        <v>416</v>
      </c>
      <c r="G305" s="77">
        <v>5223186.5999999922</v>
      </c>
      <c r="H305" s="77">
        <v>12118172.950000003</v>
      </c>
      <c r="I305" s="77">
        <v>0</v>
      </c>
      <c r="J305" s="77">
        <v>6049526.8799999999</v>
      </c>
      <c r="K305" s="77">
        <v>0</v>
      </c>
      <c r="L305" s="78">
        <f t="shared" si="4"/>
        <v>23390886.429999996</v>
      </c>
    </row>
    <row r="306" spans="1:12">
      <c r="A306" s="75">
        <f t="shared" si="5"/>
        <v>28</v>
      </c>
      <c r="B306" s="76" t="s">
        <v>432</v>
      </c>
      <c r="C306" s="76" t="s">
        <v>168</v>
      </c>
      <c r="D306" s="76" t="s">
        <v>35</v>
      </c>
      <c r="E306" s="76" t="s">
        <v>159</v>
      </c>
      <c r="F306" s="76" t="s">
        <v>412</v>
      </c>
      <c r="G306" s="77">
        <v>0</v>
      </c>
      <c r="H306" s="77">
        <v>0</v>
      </c>
      <c r="I306" s="77">
        <v>0</v>
      </c>
      <c r="J306" s="77">
        <v>0</v>
      </c>
      <c r="K306" s="77">
        <v>0</v>
      </c>
      <c r="L306" s="78">
        <f t="shared" si="4"/>
        <v>0</v>
      </c>
    </row>
    <row r="307" spans="1:12">
      <c r="A307" s="75">
        <f t="shared" si="5"/>
        <v>29</v>
      </c>
      <c r="B307" s="76" t="s">
        <v>433</v>
      </c>
      <c r="C307" s="76" t="s">
        <v>169</v>
      </c>
      <c r="D307" s="76" t="s">
        <v>434</v>
      </c>
      <c r="E307" s="76" t="s">
        <v>435</v>
      </c>
      <c r="F307" s="76" t="s">
        <v>412</v>
      </c>
      <c r="G307" s="77">
        <v>12849880.949999999</v>
      </c>
      <c r="H307" s="77">
        <v>292224.24</v>
      </c>
      <c r="I307" s="77">
        <v>0</v>
      </c>
      <c r="J307" s="77">
        <v>0</v>
      </c>
      <c r="K307" s="77">
        <v>0</v>
      </c>
      <c r="L307" s="78">
        <f t="shared" si="4"/>
        <v>13142105.189999999</v>
      </c>
    </row>
    <row r="308" spans="1:12">
      <c r="A308" s="75">
        <f t="shared" si="5"/>
        <v>30</v>
      </c>
      <c r="B308" s="76" t="s">
        <v>433</v>
      </c>
      <c r="C308" s="76" t="s">
        <v>169</v>
      </c>
      <c r="D308" s="76" t="s">
        <v>434</v>
      </c>
      <c r="E308" s="76" t="s">
        <v>435</v>
      </c>
      <c r="F308" s="76" t="s">
        <v>416</v>
      </c>
      <c r="G308" s="77">
        <v>46808.45</v>
      </c>
      <c r="H308" s="77">
        <v>0</v>
      </c>
      <c r="I308" s="77">
        <v>0</v>
      </c>
      <c r="J308" s="77">
        <v>0</v>
      </c>
      <c r="K308" s="77">
        <v>0</v>
      </c>
      <c r="L308" s="78">
        <f t="shared" si="4"/>
        <v>46808.45</v>
      </c>
    </row>
    <row r="309" spans="1:12">
      <c r="A309" s="75">
        <f t="shared" si="5"/>
        <v>31</v>
      </c>
      <c r="B309" s="76" t="s">
        <v>433</v>
      </c>
      <c r="C309" s="76" t="s">
        <v>169</v>
      </c>
      <c r="D309" s="76" t="s">
        <v>33</v>
      </c>
      <c r="E309" s="76" t="s">
        <v>418</v>
      </c>
      <c r="F309" s="76" t="s">
        <v>412</v>
      </c>
      <c r="G309" s="77">
        <v>0</v>
      </c>
      <c r="H309" s="77">
        <v>0</v>
      </c>
      <c r="I309" s="77">
        <v>0</v>
      </c>
      <c r="J309" s="77">
        <v>0</v>
      </c>
      <c r="K309" s="77">
        <v>0</v>
      </c>
      <c r="L309" s="78">
        <f t="shared" si="4"/>
        <v>0</v>
      </c>
    </row>
    <row r="310" spans="1:12">
      <c r="A310" s="75">
        <f t="shared" si="5"/>
        <v>32</v>
      </c>
      <c r="B310" s="76" t="s">
        <v>433</v>
      </c>
      <c r="C310" s="76" t="s">
        <v>169</v>
      </c>
      <c r="D310" s="76" t="s">
        <v>33</v>
      </c>
      <c r="E310" s="76" t="s">
        <v>418</v>
      </c>
      <c r="F310" s="76" t="s">
        <v>416</v>
      </c>
      <c r="G310" s="77">
        <v>317681.43</v>
      </c>
      <c r="H310" s="77">
        <v>4365933.71</v>
      </c>
      <c r="I310" s="77">
        <v>0</v>
      </c>
      <c r="J310" s="77">
        <v>0</v>
      </c>
      <c r="K310" s="77">
        <v>0</v>
      </c>
      <c r="L310" s="78">
        <f t="shared" si="4"/>
        <v>4683615.1399999997</v>
      </c>
    </row>
    <row r="311" spans="1:12">
      <c r="A311" s="75">
        <f t="shared" si="5"/>
        <v>33</v>
      </c>
      <c r="B311" s="76" t="s">
        <v>436</v>
      </c>
      <c r="C311" s="76" t="s">
        <v>170</v>
      </c>
      <c r="D311" s="76" t="s">
        <v>437</v>
      </c>
      <c r="E311" s="76" t="s">
        <v>438</v>
      </c>
      <c r="F311" s="76" t="s">
        <v>412</v>
      </c>
      <c r="G311" s="77">
        <v>15427381.849999998</v>
      </c>
      <c r="H311" s="77">
        <v>629096.93000000005</v>
      </c>
      <c r="I311" s="77">
        <v>0</v>
      </c>
      <c r="J311" s="77">
        <v>7500</v>
      </c>
      <c r="K311" s="77">
        <v>0</v>
      </c>
      <c r="L311" s="78">
        <f t="shared" si="4"/>
        <v>16063978.779999997</v>
      </c>
    </row>
    <row r="312" spans="1:12">
      <c r="A312" s="75">
        <f t="shared" si="5"/>
        <v>34</v>
      </c>
      <c r="B312" s="76" t="s">
        <v>436</v>
      </c>
      <c r="C312" s="76" t="s">
        <v>170</v>
      </c>
      <c r="D312" s="76" t="s">
        <v>437</v>
      </c>
      <c r="E312" s="76" t="s">
        <v>438</v>
      </c>
      <c r="F312" s="76" t="s">
        <v>416</v>
      </c>
      <c r="G312" s="77">
        <v>261941.95</v>
      </c>
      <c r="H312" s="77">
        <v>10124.18</v>
      </c>
      <c r="I312" s="77">
        <v>0</v>
      </c>
      <c r="J312" s="77">
        <v>0</v>
      </c>
      <c r="K312" s="77">
        <v>0</v>
      </c>
      <c r="L312" s="78">
        <f t="shared" si="4"/>
        <v>272066.13</v>
      </c>
    </row>
    <row r="313" spans="1:12">
      <c r="A313" s="75">
        <f t="shared" si="5"/>
        <v>35</v>
      </c>
      <c r="B313" s="76" t="s">
        <v>439</v>
      </c>
      <c r="C313" s="76" t="s">
        <v>171</v>
      </c>
      <c r="D313" s="76" t="s">
        <v>33</v>
      </c>
      <c r="E313" s="76" t="s">
        <v>418</v>
      </c>
      <c r="F313" s="76" t="s">
        <v>412</v>
      </c>
      <c r="G313" s="77">
        <v>0</v>
      </c>
      <c r="H313" s="77">
        <v>4838737.0999999996</v>
      </c>
      <c r="I313" s="77">
        <v>0</v>
      </c>
      <c r="J313" s="77">
        <v>0</v>
      </c>
      <c r="K313" s="77">
        <v>0</v>
      </c>
      <c r="L313" s="78">
        <f t="shared" si="4"/>
        <v>4838737.0999999996</v>
      </c>
    </row>
    <row r="314" spans="1:12">
      <c r="A314" s="75">
        <f t="shared" si="5"/>
        <v>36</v>
      </c>
      <c r="B314" s="76" t="s">
        <v>440</v>
      </c>
      <c r="C314" s="76" t="s">
        <v>172</v>
      </c>
      <c r="D314" s="76" t="s">
        <v>25</v>
      </c>
      <c r="E314" s="76" t="s">
        <v>413</v>
      </c>
      <c r="F314" s="76" t="s">
        <v>412</v>
      </c>
      <c r="G314" s="77">
        <v>431597.63</v>
      </c>
      <c r="H314" s="77">
        <v>3836483.61</v>
      </c>
      <c r="I314" s="77">
        <v>0</v>
      </c>
      <c r="J314" s="77">
        <v>0</v>
      </c>
      <c r="K314" s="77">
        <v>0</v>
      </c>
      <c r="L314" s="78">
        <f t="shared" si="4"/>
        <v>4268081.24</v>
      </c>
    </row>
    <row r="315" spans="1:12">
      <c r="A315" s="75">
        <f t="shared" si="5"/>
        <v>37</v>
      </c>
      <c r="B315" s="76" t="s">
        <v>441</v>
      </c>
      <c r="C315" s="76" t="s">
        <v>173</v>
      </c>
      <c r="D315" s="76" t="s">
        <v>33</v>
      </c>
      <c r="E315" s="76" t="s">
        <v>418</v>
      </c>
      <c r="F315" s="76" t="s">
        <v>412</v>
      </c>
      <c r="G315" s="77">
        <v>0</v>
      </c>
      <c r="H315" s="77">
        <v>3040780.98</v>
      </c>
      <c r="I315" s="77">
        <v>0</v>
      </c>
      <c r="J315" s="77">
        <v>0</v>
      </c>
      <c r="K315" s="77">
        <v>0</v>
      </c>
      <c r="L315" s="78">
        <f t="shared" si="4"/>
        <v>3040780.98</v>
      </c>
    </row>
    <row r="316" spans="1:12">
      <c r="A316" s="75">
        <f t="shared" si="5"/>
        <v>38</v>
      </c>
      <c r="B316" s="76" t="s">
        <v>442</v>
      </c>
      <c r="C316" s="76" t="s">
        <v>146</v>
      </c>
      <c r="D316" s="76" t="s">
        <v>33</v>
      </c>
      <c r="E316" s="76" t="s">
        <v>418</v>
      </c>
      <c r="F316" s="76" t="s">
        <v>412</v>
      </c>
      <c r="G316" s="77">
        <v>0</v>
      </c>
      <c r="H316" s="77">
        <v>85388295.909999996</v>
      </c>
      <c r="I316" s="77">
        <v>0</v>
      </c>
      <c r="J316" s="77">
        <v>0</v>
      </c>
      <c r="K316" s="77">
        <v>0</v>
      </c>
      <c r="L316" s="78">
        <f t="shared" si="4"/>
        <v>85388295.909999996</v>
      </c>
    </row>
    <row r="317" spans="1:12">
      <c r="A317" s="75">
        <f t="shared" si="5"/>
        <v>39</v>
      </c>
      <c r="B317" s="76" t="s">
        <v>443</v>
      </c>
      <c r="C317" s="76" t="s">
        <v>150</v>
      </c>
      <c r="D317" s="76" t="s">
        <v>29</v>
      </c>
      <c r="E317" s="76" t="s">
        <v>108</v>
      </c>
      <c r="F317" s="76" t="s">
        <v>412</v>
      </c>
      <c r="G317" s="77">
        <v>735035.83</v>
      </c>
      <c r="H317" s="77">
        <v>5621744.1200000001</v>
      </c>
      <c r="I317" s="77">
        <v>0</v>
      </c>
      <c r="J317" s="77">
        <v>0</v>
      </c>
      <c r="K317" s="77">
        <v>0</v>
      </c>
      <c r="L317" s="78">
        <f t="shared" si="4"/>
        <v>6356779.9500000002</v>
      </c>
    </row>
    <row r="318" spans="1:12">
      <c r="A318" s="75">
        <f t="shared" si="5"/>
        <v>40</v>
      </c>
      <c r="B318" s="76" t="s">
        <v>444</v>
      </c>
      <c r="C318" s="76" t="s">
        <v>145</v>
      </c>
      <c r="D318" s="76" t="s">
        <v>35</v>
      </c>
      <c r="E318" s="76" t="s">
        <v>159</v>
      </c>
      <c r="F318" s="76" t="s">
        <v>412</v>
      </c>
      <c r="G318" s="77">
        <v>0</v>
      </c>
      <c r="H318" s="77">
        <v>109</v>
      </c>
      <c r="I318" s="77">
        <v>0</v>
      </c>
      <c r="J318" s="77">
        <v>0</v>
      </c>
      <c r="K318" s="77">
        <v>0</v>
      </c>
      <c r="L318" s="78">
        <f t="shared" si="4"/>
        <v>109</v>
      </c>
    </row>
    <row r="319" spans="1:12">
      <c r="A319" s="75">
        <f t="shared" si="5"/>
        <v>41</v>
      </c>
      <c r="B319" s="76" t="s">
        <v>445</v>
      </c>
      <c r="C319" s="76" t="s">
        <v>147</v>
      </c>
      <c r="D319" s="76" t="s">
        <v>24</v>
      </c>
      <c r="E319" s="76" t="s">
        <v>163</v>
      </c>
      <c r="F319" s="76" t="s">
        <v>412</v>
      </c>
      <c r="G319" s="77">
        <v>420755</v>
      </c>
      <c r="H319" s="77">
        <v>0</v>
      </c>
      <c r="I319" s="77">
        <v>0</v>
      </c>
      <c r="J319" s="77">
        <v>0</v>
      </c>
      <c r="K319" s="77">
        <v>0</v>
      </c>
      <c r="L319" s="78">
        <f t="shared" si="4"/>
        <v>420755</v>
      </c>
    </row>
    <row r="320" spans="1:12">
      <c r="A320" s="75">
        <f t="shared" si="5"/>
        <v>42</v>
      </c>
      <c r="B320" s="76" t="s">
        <v>446</v>
      </c>
      <c r="C320" s="76" t="s">
        <v>143</v>
      </c>
      <c r="D320" s="76" t="s">
        <v>420</v>
      </c>
      <c r="E320" s="76" t="s">
        <v>162</v>
      </c>
      <c r="F320" s="76" t="s">
        <v>412</v>
      </c>
      <c r="G320" s="77">
        <v>432741.08</v>
      </c>
      <c r="H320" s="77">
        <v>14300343.35</v>
      </c>
      <c r="I320" s="77">
        <v>0</v>
      </c>
      <c r="J320" s="77">
        <v>0</v>
      </c>
      <c r="K320" s="77">
        <v>0</v>
      </c>
      <c r="L320" s="78">
        <f t="shared" si="4"/>
        <v>14733084.43</v>
      </c>
    </row>
    <row r="321" spans="1:12">
      <c r="A321" s="75">
        <f t="shared" si="5"/>
        <v>43</v>
      </c>
      <c r="B321" s="76" t="s">
        <v>447</v>
      </c>
      <c r="C321" s="76" t="s">
        <v>174</v>
      </c>
      <c r="D321" s="76" t="s">
        <v>437</v>
      </c>
      <c r="E321" s="76" t="s">
        <v>438</v>
      </c>
      <c r="F321" s="76" t="s">
        <v>412</v>
      </c>
      <c r="G321" s="77">
        <v>9950.3700000000008</v>
      </c>
      <c r="H321" s="77">
        <v>4049.32</v>
      </c>
      <c r="I321" s="77">
        <v>0</v>
      </c>
      <c r="J321" s="77">
        <v>0</v>
      </c>
      <c r="K321" s="77">
        <v>0</v>
      </c>
      <c r="L321" s="78">
        <f t="shared" si="4"/>
        <v>13999.69</v>
      </c>
    </row>
    <row r="322" spans="1:12">
      <c r="A322" s="75">
        <f t="shared" si="5"/>
        <v>44</v>
      </c>
      <c r="B322" s="76" t="s">
        <v>447</v>
      </c>
      <c r="C322" s="76" t="s">
        <v>174</v>
      </c>
      <c r="D322" s="76" t="s">
        <v>434</v>
      </c>
      <c r="E322" s="76" t="s">
        <v>435</v>
      </c>
      <c r="F322" s="76" t="s">
        <v>412</v>
      </c>
      <c r="G322" s="77">
        <v>0</v>
      </c>
      <c r="H322" s="77">
        <v>18665</v>
      </c>
      <c r="I322" s="77">
        <v>0</v>
      </c>
      <c r="J322" s="77">
        <v>0</v>
      </c>
      <c r="K322" s="77">
        <v>0</v>
      </c>
      <c r="L322" s="78">
        <f t="shared" si="4"/>
        <v>18665</v>
      </c>
    </row>
    <row r="323" spans="1:12">
      <c r="A323" s="75">
        <f t="shared" si="5"/>
        <v>45</v>
      </c>
      <c r="B323" s="76" t="s">
        <v>447</v>
      </c>
      <c r="C323" s="76" t="s">
        <v>174</v>
      </c>
      <c r="D323" s="76" t="s">
        <v>32</v>
      </c>
      <c r="E323" s="76" t="s">
        <v>414</v>
      </c>
      <c r="F323" s="76" t="s">
        <v>412</v>
      </c>
      <c r="G323" s="77">
        <v>0</v>
      </c>
      <c r="H323" s="77">
        <v>17.34</v>
      </c>
      <c r="I323" s="77">
        <v>0</v>
      </c>
      <c r="J323" s="77">
        <v>0</v>
      </c>
      <c r="K323" s="77">
        <v>0</v>
      </c>
      <c r="L323" s="78">
        <f t="shared" si="4"/>
        <v>17.34</v>
      </c>
    </row>
    <row r="324" spans="1:12">
      <c r="A324" s="75">
        <f t="shared" si="5"/>
        <v>46</v>
      </c>
      <c r="B324" s="76" t="s">
        <v>447</v>
      </c>
      <c r="C324" s="76" t="s">
        <v>174</v>
      </c>
      <c r="D324" s="76" t="s">
        <v>32</v>
      </c>
      <c r="E324" s="76" t="s">
        <v>414</v>
      </c>
      <c r="F324" s="76" t="s">
        <v>412</v>
      </c>
      <c r="G324" s="77">
        <v>520228.59</v>
      </c>
      <c r="H324" s="77">
        <v>4375778.0600000005</v>
      </c>
      <c r="I324" s="77">
        <v>0</v>
      </c>
      <c r="J324" s="77">
        <v>32425</v>
      </c>
      <c r="K324" s="77">
        <v>0</v>
      </c>
      <c r="L324" s="78">
        <f t="shared" si="4"/>
        <v>4928431.6500000004</v>
      </c>
    </row>
    <row r="325" spans="1:12">
      <c r="A325" s="75">
        <f t="shared" si="5"/>
        <v>47</v>
      </c>
      <c r="B325" s="76" t="s">
        <v>447</v>
      </c>
      <c r="C325" s="76" t="s">
        <v>174</v>
      </c>
      <c r="D325" s="76" t="s">
        <v>448</v>
      </c>
      <c r="E325" s="76" t="s">
        <v>449</v>
      </c>
      <c r="F325" s="76" t="s">
        <v>412</v>
      </c>
      <c r="G325" s="77">
        <v>-182.09</v>
      </c>
      <c r="H325" s="77">
        <v>55.5</v>
      </c>
      <c r="I325" s="77">
        <v>0</v>
      </c>
      <c r="J325" s="77">
        <v>0</v>
      </c>
      <c r="K325" s="77">
        <v>0</v>
      </c>
      <c r="L325" s="78">
        <f t="shared" si="4"/>
        <v>-126.59</v>
      </c>
    </row>
    <row r="326" spans="1:12">
      <c r="A326" s="75">
        <f t="shared" si="5"/>
        <v>48</v>
      </c>
      <c r="B326" s="76" t="s">
        <v>447</v>
      </c>
      <c r="C326" s="76" t="s">
        <v>174</v>
      </c>
      <c r="D326" s="76" t="s">
        <v>448</v>
      </c>
      <c r="E326" s="76" t="s">
        <v>449</v>
      </c>
      <c r="F326" s="76" t="s">
        <v>416</v>
      </c>
      <c r="G326" s="77">
        <v>-88373.52</v>
      </c>
      <c r="H326" s="77">
        <v>75252.679999999993</v>
      </c>
      <c r="I326" s="77">
        <v>0</v>
      </c>
      <c r="J326" s="77">
        <v>-403450.87</v>
      </c>
      <c r="K326" s="77">
        <v>0</v>
      </c>
      <c r="L326" s="78">
        <f t="shared" si="4"/>
        <v>-416571.71</v>
      </c>
    </row>
    <row r="327" spans="1:12">
      <c r="A327" s="75">
        <f t="shared" si="5"/>
        <v>49</v>
      </c>
      <c r="B327" s="76" t="s">
        <v>447</v>
      </c>
      <c r="C327" s="76" t="s">
        <v>174</v>
      </c>
      <c r="D327" s="76" t="s">
        <v>448</v>
      </c>
      <c r="E327" s="76" t="s">
        <v>449</v>
      </c>
      <c r="F327" s="76" t="s">
        <v>412</v>
      </c>
      <c r="G327" s="77">
        <v>270903.5</v>
      </c>
      <c r="H327" s="77">
        <v>606802.96</v>
      </c>
      <c r="I327" s="77">
        <v>0</v>
      </c>
      <c r="J327" s="77">
        <v>717306.39</v>
      </c>
      <c r="K327" s="77">
        <v>0</v>
      </c>
      <c r="L327" s="78">
        <f t="shared" si="4"/>
        <v>1595012.85</v>
      </c>
    </row>
    <row r="328" spans="1:12">
      <c r="A328" s="75">
        <f t="shared" si="5"/>
        <v>50</v>
      </c>
      <c r="B328" s="76" t="s">
        <v>447</v>
      </c>
      <c r="C328" s="76" t="s">
        <v>174</v>
      </c>
      <c r="D328" s="76" t="s">
        <v>23</v>
      </c>
      <c r="E328" s="76" t="s">
        <v>415</v>
      </c>
      <c r="F328" s="76" t="s">
        <v>412</v>
      </c>
      <c r="G328" s="77">
        <v>0</v>
      </c>
      <c r="H328" s="77">
        <v>0</v>
      </c>
      <c r="I328" s="77">
        <v>0</v>
      </c>
      <c r="J328" s="77">
        <v>0</v>
      </c>
      <c r="K328" s="77">
        <v>0</v>
      </c>
      <c r="L328" s="78">
        <f t="shared" si="4"/>
        <v>0</v>
      </c>
    </row>
    <row r="329" spans="1:12">
      <c r="A329" s="75">
        <f t="shared" si="5"/>
        <v>51</v>
      </c>
      <c r="B329" s="76" t="s">
        <v>447</v>
      </c>
      <c r="C329" s="76" t="s">
        <v>174</v>
      </c>
      <c r="D329" s="76" t="s">
        <v>23</v>
      </c>
      <c r="E329" s="76" t="s">
        <v>415</v>
      </c>
      <c r="F329" s="76" t="s">
        <v>412</v>
      </c>
      <c r="G329" s="77">
        <v>33882.550000000003</v>
      </c>
      <c r="H329" s="77">
        <v>574190.34</v>
      </c>
      <c r="I329" s="77">
        <v>0</v>
      </c>
      <c r="J329" s="77">
        <v>125063.38</v>
      </c>
      <c r="K329" s="77">
        <v>0</v>
      </c>
      <c r="L329" s="78">
        <f t="shared" si="4"/>
        <v>733136.27</v>
      </c>
    </row>
    <row r="330" spans="1:12">
      <c r="A330" s="75">
        <f t="shared" si="5"/>
        <v>52</v>
      </c>
      <c r="B330" s="76" t="s">
        <v>447</v>
      </c>
      <c r="C330" s="76" t="s">
        <v>174</v>
      </c>
      <c r="D330" s="76" t="s">
        <v>29</v>
      </c>
      <c r="E330" s="76" t="s">
        <v>108</v>
      </c>
      <c r="F330" s="76" t="s">
        <v>412</v>
      </c>
      <c r="G330" s="77">
        <v>128595.27</v>
      </c>
      <c r="H330" s="77">
        <v>4039479.43</v>
      </c>
      <c r="I330" s="77">
        <v>0</v>
      </c>
      <c r="J330" s="77">
        <v>0</v>
      </c>
      <c r="K330" s="77">
        <v>0</v>
      </c>
      <c r="L330" s="78">
        <f t="shared" si="4"/>
        <v>4168074.7</v>
      </c>
    </row>
    <row r="331" spans="1:12">
      <c r="A331" s="75">
        <f t="shared" si="5"/>
        <v>53</v>
      </c>
      <c r="B331" s="76" t="s">
        <v>447</v>
      </c>
      <c r="C331" s="76" t="s">
        <v>174</v>
      </c>
      <c r="D331" s="76" t="s">
        <v>29</v>
      </c>
      <c r="E331" s="76" t="s">
        <v>108</v>
      </c>
      <c r="F331" s="76" t="s">
        <v>412</v>
      </c>
      <c r="G331" s="77">
        <v>498423.59</v>
      </c>
      <c r="H331" s="77">
        <v>4302938.0199999996</v>
      </c>
      <c r="I331" s="77">
        <v>0</v>
      </c>
      <c r="J331" s="77">
        <v>0</v>
      </c>
      <c r="K331" s="77">
        <v>0</v>
      </c>
      <c r="L331" s="78">
        <f t="shared" si="4"/>
        <v>4801361.6099999994</v>
      </c>
    </row>
    <row r="332" spans="1:12">
      <c r="A332" s="75">
        <f t="shared" si="5"/>
        <v>54</v>
      </c>
      <c r="B332" s="76" t="s">
        <v>447</v>
      </c>
      <c r="C332" s="76" t="s">
        <v>174</v>
      </c>
      <c r="D332" s="76" t="s">
        <v>33</v>
      </c>
      <c r="E332" s="76" t="s">
        <v>418</v>
      </c>
      <c r="F332" s="76" t="s">
        <v>412</v>
      </c>
      <c r="G332" s="77">
        <v>186474.48</v>
      </c>
      <c r="H332" s="77">
        <v>2932585.4200000004</v>
      </c>
      <c r="I332" s="77">
        <v>0</v>
      </c>
      <c r="J332" s="77">
        <v>294250</v>
      </c>
      <c r="K332" s="77">
        <v>0</v>
      </c>
      <c r="L332" s="78">
        <f t="shared" si="4"/>
        <v>3413309.9000000004</v>
      </c>
    </row>
    <row r="333" spans="1:12">
      <c r="A333" s="75">
        <f t="shared" si="5"/>
        <v>55</v>
      </c>
      <c r="B333" s="76" t="s">
        <v>447</v>
      </c>
      <c r="C333" s="76" t="s">
        <v>174</v>
      </c>
      <c r="D333" s="76" t="s">
        <v>33</v>
      </c>
      <c r="E333" s="76" t="s">
        <v>418</v>
      </c>
      <c r="F333" s="76" t="s">
        <v>412</v>
      </c>
      <c r="G333" s="77">
        <v>0</v>
      </c>
      <c r="H333" s="77">
        <v>0</v>
      </c>
      <c r="I333" s="77">
        <v>0</v>
      </c>
      <c r="J333" s="77">
        <v>0</v>
      </c>
      <c r="K333" s="77">
        <v>0</v>
      </c>
      <c r="L333" s="78">
        <f t="shared" si="4"/>
        <v>0</v>
      </c>
    </row>
    <row r="334" spans="1:12">
      <c r="A334" s="75">
        <f t="shared" si="5"/>
        <v>56</v>
      </c>
      <c r="B334" s="76" t="s">
        <v>447</v>
      </c>
      <c r="C334" s="76" t="s">
        <v>174</v>
      </c>
      <c r="D334" s="76" t="s">
        <v>33</v>
      </c>
      <c r="E334" s="76" t="s">
        <v>418</v>
      </c>
      <c r="F334" s="76" t="s">
        <v>416</v>
      </c>
      <c r="G334" s="77">
        <v>0</v>
      </c>
      <c r="H334" s="77">
        <v>965126</v>
      </c>
      <c r="I334" s="77">
        <v>0</v>
      </c>
      <c r="J334" s="77">
        <v>0</v>
      </c>
      <c r="K334" s="77">
        <v>0</v>
      </c>
      <c r="L334" s="78">
        <f t="shared" si="4"/>
        <v>965126</v>
      </c>
    </row>
    <row r="335" spans="1:12">
      <c r="A335" s="75">
        <f t="shared" si="5"/>
        <v>57</v>
      </c>
      <c r="B335" s="76" t="s">
        <v>447</v>
      </c>
      <c r="C335" s="76" t="s">
        <v>174</v>
      </c>
      <c r="D335" s="76" t="s">
        <v>27</v>
      </c>
      <c r="E335" s="76" t="s">
        <v>142</v>
      </c>
      <c r="F335" s="76" t="s">
        <v>412</v>
      </c>
      <c r="G335" s="77">
        <v>0</v>
      </c>
      <c r="H335" s="77">
        <v>45000</v>
      </c>
      <c r="I335" s="77">
        <v>0</v>
      </c>
      <c r="J335" s="77">
        <v>0</v>
      </c>
      <c r="K335" s="77">
        <v>0</v>
      </c>
      <c r="L335" s="78">
        <f t="shared" si="4"/>
        <v>45000</v>
      </c>
    </row>
    <row r="336" spans="1:12">
      <c r="A336" s="75">
        <f t="shared" si="5"/>
        <v>58</v>
      </c>
      <c r="B336" s="76" t="s">
        <v>447</v>
      </c>
      <c r="C336" s="76" t="s">
        <v>174</v>
      </c>
      <c r="D336" s="76" t="s">
        <v>420</v>
      </c>
      <c r="E336" s="76" t="s">
        <v>162</v>
      </c>
      <c r="F336" s="76" t="s">
        <v>412</v>
      </c>
      <c r="G336" s="77">
        <v>0</v>
      </c>
      <c r="H336" s="77">
        <v>48701.29</v>
      </c>
      <c r="I336" s="77">
        <v>0</v>
      </c>
      <c r="J336" s="77">
        <v>0</v>
      </c>
      <c r="K336" s="77">
        <v>0</v>
      </c>
      <c r="L336" s="78">
        <f t="shared" si="4"/>
        <v>48701.29</v>
      </c>
    </row>
    <row r="337" spans="1:12">
      <c r="A337" s="75">
        <f t="shared" si="5"/>
        <v>59</v>
      </c>
      <c r="B337" s="76" t="s">
        <v>447</v>
      </c>
      <c r="C337" s="76" t="s">
        <v>174</v>
      </c>
      <c r="D337" s="76" t="s">
        <v>24</v>
      </c>
      <c r="E337" s="76" t="s">
        <v>163</v>
      </c>
      <c r="F337" s="76" t="s">
        <v>416</v>
      </c>
      <c r="G337" s="77">
        <v>193011.84</v>
      </c>
      <c r="H337" s="77">
        <v>137224.88</v>
      </c>
      <c r="I337" s="77">
        <v>0</v>
      </c>
      <c r="J337" s="77">
        <v>908742.1</v>
      </c>
      <c r="K337" s="77">
        <v>0</v>
      </c>
      <c r="L337" s="78">
        <f t="shared" si="4"/>
        <v>1238978.8199999998</v>
      </c>
    </row>
    <row r="338" spans="1:12">
      <c r="A338" s="75">
        <f t="shared" si="5"/>
        <v>60</v>
      </c>
      <c r="B338" s="76" t="s">
        <v>447</v>
      </c>
      <c r="C338" s="76" t="s">
        <v>174</v>
      </c>
      <c r="D338" s="76" t="s">
        <v>24</v>
      </c>
      <c r="E338" s="76" t="s">
        <v>163</v>
      </c>
      <c r="F338" s="76" t="s">
        <v>412</v>
      </c>
      <c r="G338" s="77">
        <v>203500.23</v>
      </c>
      <c r="H338" s="77">
        <v>44733.15</v>
      </c>
      <c r="I338" s="77">
        <v>0</v>
      </c>
      <c r="J338" s="77">
        <v>0</v>
      </c>
      <c r="K338" s="77">
        <v>0</v>
      </c>
      <c r="L338" s="78">
        <f t="shared" si="4"/>
        <v>248233.38</v>
      </c>
    </row>
    <row r="339" spans="1:12">
      <c r="A339" s="75">
        <f t="shared" si="5"/>
        <v>61</v>
      </c>
      <c r="B339" s="76" t="s">
        <v>447</v>
      </c>
      <c r="C339" s="76" t="s">
        <v>174</v>
      </c>
      <c r="D339" s="76" t="s">
        <v>21</v>
      </c>
      <c r="E339" s="76" t="s">
        <v>37</v>
      </c>
      <c r="F339" s="76" t="s">
        <v>412</v>
      </c>
      <c r="G339" s="77">
        <v>-9130.58</v>
      </c>
      <c r="H339" s="77">
        <v>72620.160000000003</v>
      </c>
      <c r="I339" s="77">
        <v>0</v>
      </c>
      <c r="J339" s="77">
        <v>17519</v>
      </c>
      <c r="K339" s="77">
        <v>0</v>
      </c>
      <c r="L339" s="78">
        <f t="shared" si="4"/>
        <v>81008.58</v>
      </c>
    </row>
    <row r="340" spans="1:12">
      <c r="A340" s="75">
        <f t="shared" si="5"/>
        <v>62</v>
      </c>
      <c r="B340" s="76" t="s">
        <v>447</v>
      </c>
      <c r="C340" s="76" t="s">
        <v>174</v>
      </c>
      <c r="D340" s="76" t="s">
        <v>21</v>
      </c>
      <c r="E340" s="76" t="s">
        <v>37</v>
      </c>
      <c r="F340" s="76" t="s">
        <v>412</v>
      </c>
      <c r="G340" s="77">
        <v>1359555.69</v>
      </c>
      <c r="H340" s="77">
        <v>1957895.6099999999</v>
      </c>
      <c r="I340" s="77">
        <v>0</v>
      </c>
      <c r="J340" s="77">
        <v>669715.81000000006</v>
      </c>
      <c r="K340" s="77">
        <v>0</v>
      </c>
      <c r="L340" s="78">
        <f t="shared" si="4"/>
        <v>3987167.11</v>
      </c>
    </row>
    <row r="341" spans="1:12">
      <c r="A341" s="75">
        <f t="shared" si="5"/>
        <v>63</v>
      </c>
      <c r="B341" s="76" t="s">
        <v>447</v>
      </c>
      <c r="C341" s="76" t="s">
        <v>174</v>
      </c>
      <c r="D341" s="76" t="s">
        <v>28</v>
      </c>
      <c r="E341" s="76" t="s">
        <v>421</v>
      </c>
      <c r="F341" s="76" t="s">
        <v>412</v>
      </c>
      <c r="G341" s="77">
        <v>0</v>
      </c>
      <c r="H341" s="77">
        <v>65122.65</v>
      </c>
      <c r="I341" s="77">
        <v>0</v>
      </c>
      <c r="J341" s="77">
        <v>0</v>
      </c>
      <c r="K341" s="77">
        <v>0</v>
      </c>
      <c r="L341" s="78">
        <f t="shared" si="4"/>
        <v>65122.65</v>
      </c>
    </row>
    <row r="342" spans="1:12">
      <c r="A342" s="75">
        <f t="shared" si="5"/>
        <v>64</v>
      </c>
      <c r="B342" s="76" t="s">
        <v>447</v>
      </c>
      <c r="C342" s="76" t="s">
        <v>174</v>
      </c>
      <c r="D342" s="76" t="s">
        <v>28</v>
      </c>
      <c r="E342" s="76" t="s">
        <v>421</v>
      </c>
      <c r="F342" s="76" t="s">
        <v>412</v>
      </c>
      <c r="G342" s="77">
        <v>1504531.4</v>
      </c>
      <c r="H342" s="77">
        <v>4059271.7499999995</v>
      </c>
      <c r="I342" s="77">
        <v>0</v>
      </c>
      <c r="J342" s="77">
        <v>0</v>
      </c>
      <c r="K342" s="77">
        <v>0</v>
      </c>
      <c r="L342" s="78">
        <f t="shared" si="4"/>
        <v>5563803.1499999994</v>
      </c>
    </row>
    <row r="343" spans="1:12">
      <c r="A343" s="75">
        <f t="shared" si="5"/>
        <v>65</v>
      </c>
      <c r="B343" s="76" t="s">
        <v>447</v>
      </c>
      <c r="C343" s="76" t="s">
        <v>174</v>
      </c>
      <c r="D343" s="76" t="s">
        <v>425</v>
      </c>
      <c r="E343" s="76" t="s">
        <v>426</v>
      </c>
      <c r="F343" s="76" t="s">
        <v>412</v>
      </c>
      <c r="G343" s="77">
        <v>2.21</v>
      </c>
      <c r="H343" s="77">
        <v>0</v>
      </c>
      <c r="I343" s="77">
        <v>0</v>
      </c>
      <c r="J343" s="77">
        <v>0</v>
      </c>
      <c r="K343" s="77">
        <v>0</v>
      </c>
      <c r="L343" s="78">
        <f t="shared" si="4"/>
        <v>2.21</v>
      </c>
    </row>
    <row r="344" spans="1:12">
      <c r="A344" s="75">
        <f t="shared" si="5"/>
        <v>66</v>
      </c>
      <c r="B344" s="76" t="s">
        <v>447</v>
      </c>
      <c r="C344" s="76" t="s">
        <v>174</v>
      </c>
      <c r="D344" s="76" t="s">
        <v>430</v>
      </c>
      <c r="E344" s="76" t="s">
        <v>431</v>
      </c>
      <c r="F344" s="76" t="s">
        <v>412</v>
      </c>
      <c r="G344" s="77">
        <v>0</v>
      </c>
      <c r="H344" s="77">
        <v>-234.65</v>
      </c>
      <c r="I344" s="77">
        <v>0</v>
      </c>
      <c r="J344" s="77">
        <v>0</v>
      </c>
      <c r="K344" s="77">
        <v>0</v>
      </c>
      <c r="L344" s="78">
        <f t="shared" ref="L344:L407" si="6">SUM(G344:K344)</f>
        <v>-234.65</v>
      </c>
    </row>
    <row r="345" spans="1:12">
      <c r="A345" s="75">
        <f t="shared" ref="A345:A408" si="7">A344+1</f>
        <v>67</v>
      </c>
      <c r="B345" s="76" t="s">
        <v>447</v>
      </c>
      <c r="C345" s="76" t="s">
        <v>174</v>
      </c>
      <c r="D345" s="76" t="s">
        <v>430</v>
      </c>
      <c r="E345" s="76" t="s">
        <v>431</v>
      </c>
      <c r="F345" s="76" t="s">
        <v>416</v>
      </c>
      <c r="G345" s="77">
        <v>4398936.5199999986</v>
      </c>
      <c r="H345" s="77">
        <v>7454668</v>
      </c>
      <c r="I345" s="77">
        <v>0</v>
      </c>
      <c r="J345" s="77">
        <v>78788634.789999992</v>
      </c>
      <c r="K345" s="77">
        <v>0</v>
      </c>
      <c r="L345" s="78">
        <f t="shared" si="6"/>
        <v>90642239.309999987</v>
      </c>
    </row>
    <row r="346" spans="1:12">
      <c r="A346" s="75">
        <f t="shared" si="7"/>
        <v>68</v>
      </c>
      <c r="B346" s="76" t="s">
        <v>447</v>
      </c>
      <c r="C346" s="76" t="s">
        <v>174</v>
      </c>
      <c r="D346" s="76" t="s">
        <v>430</v>
      </c>
      <c r="E346" s="76" t="s">
        <v>431</v>
      </c>
      <c r="F346" s="76" t="s">
        <v>412</v>
      </c>
      <c r="G346" s="77">
        <v>728521.16</v>
      </c>
      <c r="H346" s="77">
        <v>441260.99</v>
      </c>
      <c r="I346" s="77">
        <v>0</v>
      </c>
      <c r="J346" s="77">
        <v>0</v>
      </c>
      <c r="K346" s="77">
        <v>0</v>
      </c>
      <c r="L346" s="78">
        <f t="shared" si="6"/>
        <v>1169782.1499999999</v>
      </c>
    </row>
    <row r="347" spans="1:12">
      <c r="A347" s="75">
        <f t="shared" si="7"/>
        <v>69</v>
      </c>
      <c r="B347" s="76" t="s">
        <v>447</v>
      </c>
      <c r="C347" s="76" t="s">
        <v>174</v>
      </c>
      <c r="D347" s="76" t="s">
        <v>450</v>
      </c>
      <c r="E347" s="76" t="s">
        <v>451</v>
      </c>
      <c r="F347" s="76" t="s">
        <v>412</v>
      </c>
      <c r="G347" s="77">
        <v>0</v>
      </c>
      <c r="H347" s="77">
        <v>26700.14</v>
      </c>
      <c r="I347" s="77">
        <v>0</v>
      </c>
      <c r="J347" s="77">
        <v>0</v>
      </c>
      <c r="K347" s="77">
        <v>0</v>
      </c>
      <c r="L347" s="78">
        <f t="shared" si="6"/>
        <v>26700.14</v>
      </c>
    </row>
    <row r="348" spans="1:12">
      <c r="A348" s="75">
        <f t="shared" si="7"/>
        <v>70</v>
      </c>
      <c r="B348" s="76" t="s">
        <v>447</v>
      </c>
      <c r="C348" s="76" t="s">
        <v>174</v>
      </c>
      <c r="D348" s="76" t="s">
        <v>450</v>
      </c>
      <c r="E348" s="76" t="s">
        <v>451</v>
      </c>
      <c r="F348" s="76" t="s">
        <v>416</v>
      </c>
      <c r="G348" s="77">
        <v>112922.92</v>
      </c>
      <c r="H348" s="77">
        <v>107439.99</v>
      </c>
      <c r="I348" s="77">
        <v>0</v>
      </c>
      <c r="J348" s="77">
        <v>776112.34000000008</v>
      </c>
      <c r="K348" s="77">
        <v>0</v>
      </c>
      <c r="L348" s="78">
        <f t="shared" si="6"/>
        <v>996475.25000000012</v>
      </c>
    </row>
    <row r="349" spans="1:12">
      <c r="A349" s="75">
        <f t="shared" si="7"/>
        <v>71</v>
      </c>
      <c r="B349" s="76" t="s">
        <v>447</v>
      </c>
      <c r="C349" s="76" t="s">
        <v>174</v>
      </c>
      <c r="D349" s="76" t="s">
        <v>427</v>
      </c>
      <c r="E349" s="76" t="s">
        <v>428</v>
      </c>
      <c r="F349" s="76" t="s">
        <v>412</v>
      </c>
      <c r="G349" s="77">
        <v>0</v>
      </c>
      <c r="H349" s="77">
        <v>200000</v>
      </c>
      <c r="I349" s="77">
        <v>0</v>
      </c>
      <c r="J349" s="77">
        <v>0</v>
      </c>
      <c r="K349" s="77">
        <v>0</v>
      </c>
      <c r="L349" s="78">
        <f t="shared" si="6"/>
        <v>200000</v>
      </c>
    </row>
    <row r="350" spans="1:12">
      <c r="A350" s="75">
        <f t="shared" si="7"/>
        <v>72</v>
      </c>
      <c r="B350" s="76" t="s">
        <v>452</v>
      </c>
      <c r="C350" s="76" t="s">
        <v>175</v>
      </c>
      <c r="D350" s="76" t="s">
        <v>29</v>
      </c>
      <c r="E350" s="76" t="s">
        <v>108</v>
      </c>
      <c r="F350" s="76" t="s">
        <v>412</v>
      </c>
      <c r="G350" s="77">
        <v>2058697.4600000002</v>
      </c>
      <c r="H350" s="77">
        <v>8626024.0500000007</v>
      </c>
      <c r="I350" s="77">
        <v>0</v>
      </c>
      <c r="J350" s="77">
        <v>0</v>
      </c>
      <c r="K350" s="77">
        <v>0</v>
      </c>
      <c r="L350" s="78">
        <f t="shared" si="6"/>
        <v>10684721.510000002</v>
      </c>
    </row>
    <row r="351" spans="1:12">
      <c r="A351" s="75">
        <f t="shared" si="7"/>
        <v>73</v>
      </c>
      <c r="B351" s="76" t="s">
        <v>453</v>
      </c>
      <c r="C351" s="76" t="s">
        <v>176</v>
      </c>
      <c r="D351" s="76" t="s">
        <v>29</v>
      </c>
      <c r="E351" s="76" t="s">
        <v>108</v>
      </c>
      <c r="F351" s="76" t="s">
        <v>412</v>
      </c>
      <c r="G351" s="77">
        <v>361973.82</v>
      </c>
      <c r="H351" s="77">
        <v>4768223.3100000005</v>
      </c>
      <c r="I351" s="77">
        <v>0</v>
      </c>
      <c r="J351" s="77">
        <v>0</v>
      </c>
      <c r="K351" s="77">
        <v>0</v>
      </c>
      <c r="L351" s="78">
        <f t="shared" si="6"/>
        <v>5130197.1300000008</v>
      </c>
    </row>
    <row r="352" spans="1:12">
      <c r="A352" s="75">
        <f t="shared" si="7"/>
        <v>74</v>
      </c>
      <c r="B352" s="76" t="s">
        <v>454</v>
      </c>
      <c r="C352" s="76" t="s">
        <v>177</v>
      </c>
      <c r="D352" s="76" t="s">
        <v>24</v>
      </c>
      <c r="E352" s="76" t="s">
        <v>163</v>
      </c>
      <c r="F352" s="76" t="s">
        <v>412</v>
      </c>
      <c r="G352" s="77">
        <v>453950.79</v>
      </c>
      <c r="H352" s="77">
        <v>364282.11</v>
      </c>
      <c r="I352" s="77">
        <v>0</v>
      </c>
      <c r="J352" s="77">
        <v>0</v>
      </c>
      <c r="K352" s="77">
        <v>0</v>
      </c>
      <c r="L352" s="78">
        <f t="shared" si="6"/>
        <v>818232.89999999991</v>
      </c>
    </row>
    <row r="353" spans="1:12">
      <c r="A353" s="75">
        <f t="shared" si="7"/>
        <v>75</v>
      </c>
      <c r="B353" s="76" t="s">
        <v>455</v>
      </c>
      <c r="C353" s="76" t="s">
        <v>456</v>
      </c>
      <c r="D353" s="76" t="s">
        <v>29</v>
      </c>
      <c r="E353" s="76" t="s">
        <v>108</v>
      </c>
      <c r="F353" s="76" t="s">
        <v>412</v>
      </c>
      <c r="G353" s="77">
        <v>2069019.8</v>
      </c>
      <c r="H353" s="77">
        <v>33773961.529999994</v>
      </c>
      <c r="I353" s="77">
        <v>0</v>
      </c>
      <c r="J353" s="77">
        <v>0</v>
      </c>
      <c r="K353" s="77">
        <v>0</v>
      </c>
      <c r="L353" s="78">
        <f t="shared" si="6"/>
        <v>35842981.329999991</v>
      </c>
    </row>
    <row r="354" spans="1:12">
      <c r="A354" s="75">
        <f t="shared" si="7"/>
        <v>76</v>
      </c>
      <c r="B354" s="76" t="s">
        <v>457</v>
      </c>
      <c r="C354" s="76" t="s">
        <v>178</v>
      </c>
      <c r="D354" s="76" t="s">
        <v>21</v>
      </c>
      <c r="E354" s="76" t="s">
        <v>37</v>
      </c>
      <c r="F354" s="76" t="s">
        <v>412</v>
      </c>
      <c r="G354" s="77">
        <v>0</v>
      </c>
      <c r="H354" s="77">
        <v>478281.36</v>
      </c>
      <c r="I354" s="77">
        <v>0</v>
      </c>
      <c r="J354" s="77">
        <v>50183.99</v>
      </c>
      <c r="K354" s="77">
        <v>0</v>
      </c>
      <c r="L354" s="78">
        <f t="shared" si="6"/>
        <v>528465.35</v>
      </c>
    </row>
    <row r="355" spans="1:12">
      <c r="A355" s="75">
        <f t="shared" si="7"/>
        <v>77</v>
      </c>
      <c r="B355" s="76" t="s">
        <v>458</v>
      </c>
      <c r="C355" s="76" t="s">
        <v>179</v>
      </c>
      <c r="D355" s="76" t="s">
        <v>33</v>
      </c>
      <c r="E355" s="76" t="s">
        <v>418</v>
      </c>
      <c r="F355" s="76" t="s">
        <v>412</v>
      </c>
      <c r="G355" s="77">
        <v>0</v>
      </c>
      <c r="H355" s="77">
        <v>0</v>
      </c>
      <c r="I355" s="77">
        <v>0</v>
      </c>
      <c r="J355" s="77">
        <v>0</v>
      </c>
      <c r="K355" s="77">
        <v>0</v>
      </c>
      <c r="L355" s="78">
        <f t="shared" si="6"/>
        <v>0</v>
      </c>
    </row>
    <row r="356" spans="1:12">
      <c r="A356" s="75">
        <f t="shared" si="7"/>
        <v>78</v>
      </c>
      <c r="B356" s="76" t="s">
        <v>459</v>
      </c>
      <c r="C356" s="76" t="s">
        <v>180</v>
      </c>
      <c r="D356" s="76" t="s">
        <v>33</v>
      </c>
      <c r="E356" s="76" t="s">
        <v>418</v>
      </c>
      <c r="F356" s="76" t="s">
        <v>412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8">
        <f t="shared" si="6"/>
        <v>0</v>
      </c>
    </row>
    <row r="357" spans="1:12">
      <c r="A357" s="75">
        <f t="shared" si="7"/>
        <v>79</v>
      </c>
      <c r="B357" s="76" t="s">
        <v>460</v>
      </c>
      <c r="C357" s="76" t="s">
        <v>181</v>
      </c>
      <c r="D357" s="76" t="s">
        <v>33</v>
      </c>
      <c r="E357" s="76" t="s">
        <v>418</v>
      </c>
      <c r="F357" s="76" t="s">
        <v>412</v>
      </c>
      <c r="G357" s="77">
        <v>0</v>
      </c>
      <c r="H357" s="77">
        <v>0</v>
      </c>
      <c r="I357" s="77">
        <v>0</v>
      </c>
      <c r="J357" s="77">
        <v>0</v>
      </c>
      <c r="K357" s="77">
        <v>0</v>
      </c>
      <c r="L357" s="78">
        <f t="shared" si="6"/>
        <v>0</v>
      </c>
    </row>
    <row r="358" spans="1:12">
      <c r="A358" s="75">
        <f t="shared" si="7"/>
        <v>80</v>
      </c>
      <c r="B358" s="76" t="s">
        <v>461</v>
      </c>
      <c r="C358" s="76" t="s">
        <v>182</v>
      </c>
      <c r="D358" s="76" t="s">
        <v>33</v>
      </c>
      <c r="E358" s="76" t="s">
        <v>418</v>
      </c>
      <c r="F358" s="76" t="s">
        <v>412</v>
      </c>
      <c r="G358" s="77">
        <v>0</v>
      </c>
      <c r="H358" s="77">
        <v>0</v>
      </c>
      <c r="I358" s="77">
        <v>0</v>
      </c>
      <c r="J358" s="77">
        <v>0</v>
      </c>
      <c r="K358" s="77">
        <v>0</v>
      </c>
      <c r="L358" s="78">
        <f t="shared" si="6"/>
        <v>0</v>
      </c>
    </row>
    <row r="359" spans="1:12">
      <c r="A359" s="75">
        <f t="shared" si="7"/>
        <v>81</v>
      </c>
      <c r="B359" s="76" t="s">
        <v>462</v>
      </c>
      <c r="C359" s="76" t="s">
        <v>148</v>
      </c>
      <c r="D359" s="76" t="s">
        <v>33</v>
      </c>
      <c r="E359" s="76" t="s">
        <v>418</v>
      </c>
      <c r="F359" s="76" t="s">
        <v>412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8">
        <f t="shared" si="6"/>
        <v>0</v>
      </c>
    </row>
    <row r="360" spans="1:12">
      <c r="A360" s="75">
        <f t="shared" si="7"/>
        <v>82</v>
      </c>
      <c r="B360" s="76" t="s">
        <v>463</v>
      </c>
      <c r="C360" s="76" t="s">
        <v>464</v>
      </c>
      <c r="D360" s="76" t="s">
        <v>33</v>
      </c>
      <c r="E360" s="76" t="s">
        <v>418</v>
      </c>
      <c r="F360" s="76" t="s">
        <v>412</v>
      </c>
      <c r="G360" s="77">
        <v>0</v>
      </c>
      <c r="H360" s="77">
        <v>0</v>
      </c>
      <c r="I360" s="77">
        <v>0</v>
      </c>
      <c r="J360" s="77">
        <v>0</v>
      </c>
      <c r="K360" s="77">
        <v>0</v>
      </c>
      <c r="L360" s="78">
        <f t="shared" si="6"/>
        <v>0</v>
      </c>
    </row>
    <row r="361" spans="1:12">
      <c r="A361" s="75">
        <f t="shared" si="7"/>
        <v>83</v>
      </c>
      <c r="B361" s="76" t="s">
        <v>465</v>
      </c>
      <c r="C361" s="76" t="s">
        <v>183</v>
      </c>
      <c r="D361" s="76" t="s">
        <v>33</v>
      </c>
      <c r="E361" s="76" t="s">
        <v>418</v>
      </c>
      <c r="F361" s="76" t="s">
        <v>412</v>
      </c>
      <c r="G361" s="77">
        <v>0</v>
      </c>
      <c r="H361" s="77">
        <v>0</v>
      </c>
      <c r="I361" s="77">
        <v>0</v>
      </c>
      <c r="J361" s="77">
        <v>0</v>
      </c>
      <c r="K361" s="77">
        <v>0</v>
      </c>
      <c r="L361" s="78">
        <f t="shared" si="6"/>
        <v>0</v>
      </c>
    </row>
    <row r="362" spans="1:12">
      <c r="A362" s="75">
        <f t="shared" si="7"/>
        <v>84</v>
      </c>
      <c r="B362" s="76" t="s">
        <v>466</v>
      </c>
      <c r="C362" s="76" t="s">
        <v>184</v>
      </c>
      <c r="D362" s="76" t="s">
        <v>430</v>
      </c>
      <c r="E362" s="76" t="s">
        <v>431</v>
      </c>
      <c r="F362" s="76" t="s">
        <v>412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8">
        <f t="shared" si="6"/>
        <v>0</v>
      </c>
    </row>
    <row r="363" spans="1:12">
      <c r="A363" s="75">
        <f t="shared" si="7"/>
        <v>85</v>
      </c>
      <c r="B363" s="76" t="s">
        <v>467</v>
      </c>
      <c r="C363" s="76" t="s">
        <v>468</v>
      </c>
      <c r="D363" s="76" t="s">
        <v>33</v>
      </c>
      <c r="E363" s="76" t="s">
        <v>418</v>
      </c>
      <c r="F363" s="76" t="s">
        <v>412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8">
        <f t="shared" si="6"/>
        <v>0</v>
      </c>
    </row>
    <row r="364" spans="1:12">
      <c r="A364" s="75">
        <f t="shared" si="7"/>
        <v>86</v>
      </c>
      <c r="B364" s="76" t="s">
        <v>469</v>
      </c>
      <c r="C364" s="76" t="s">
        <v>185</v>
      </c>
      <c r="D364" s="76" t="s">
        <v>33</v>
      </c>
      <c r="E364" s="76" t="s">
        <v>418</v>
      </c>
      <c r="F364" s="76" t="s">
        <v>412</v>
      </c>
      <c r="G364" s="77">
        <v>0</v>
      </c>
      <c r="H364" s="77">
        <v>0</v>
      </c>
      <c r="I364" s="77">
        <v>0</v>
      </c>
      <c r="J364" s="77">
        <v>0</v>
      </c>
      <c r="K364" s="77">
        <v>0</v>
      </c>
      <c r="L364" s="78">
        <f t="shared" si="6"/>
        <v>0</v>
      </c>
    </row>
    <row r="365" spans="1:12">
      <c r="A365" s="75">
        <f t="shared" si="7"/>
        <v>87</v>
      </c>
      <c r="B365" s="76" t="s">
        <v>470</v>
      </c>
      <c r="C365" s="76" t="s">
        <v>186</v>
      </c>
      <c r="D365" s="76" t="s">
        <v>35</v>
      </c>
      <c r="E365" s="76" t="s">
        <v>159</v>
      </c>
      <c r="F365" s="76" t="s">
        <v>412</v>
      </c>
      <c r="G365" s="77">
        <v>0</v>
      </c>
      <c r="H365" s="77">
        <v>0</v>
      </c>
      <c r="I365" s="77">
        <v>0</v>
      </c>
      <c r="J365" s="77">
        <v>0</v>
      </c>
      <c r="K365" s="77">
        <v>0</v>
      </c>
      <c r="L365" s="78">
        <f t="shared" si="6"/>
        <v>0</v>
      </c>
    </row>
    <row r="366" spans="1:12">
      <c r="A366" s="75">
        <f t="shared" si="7"/>
        <v>88</v>
      </c>
      <c r="B366" s="76" t="s">
        <v>471</v>
      </c>
      <c r="C366" s="76" t="s">
        <v>187</v>
      </c>
      <c r="D366" s="76" t="s">
        <v>33</v>
      </c>
      <c r="E366" s="76" t="s">
        <v>418</v>
      </c>
      <c r="F366" s="76" t="s">
        <v>412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8">
        <f t="shared" si="6"/>
        <v>0</v>
      </c>
    </row>
    <row r="367" spans="1:12">
      <c r="A367" s="75">
        <f t="shared" si="7"/>
        <v>89</v>
      </c>
      <c r="B367" s="76" t="s">
        <v>472</v>
      </c>
      <c r="C367" s="76" t="s">
        <v>188</v>
      </c>
      <c r="D367" s="76" t="s">
        <v>33</v>
      </c>
      <c r="E367" s="76" t="s">
        <v>418</v>
      </c>
      <c r="F367" s="76" t="s">
        <v>412</v>
      </c>
      <c r="G367" s="77">
        <v>0</v>
      </c>
      <c r="H367" s="77">
        <v>0</v>
      </c>
      <c r="I367" s="77">
        <v>0</v>
      </c>
      <c r="J367" s="77">
        <v>0</v>
      </c>
      <c r="K367" s="77">
        <v>0</v>
      </c>
      <c r="L367" s="78">
        <f t="shared" si="6"/>
        <v>0</v>
      </c>
    </row>
    <row r="368" spans="1:12">
      <c r="A368" s="75">
        <f t="shared" si="7"/>
        <v>90</v>
      </c>
      <c r="B368" s="76" t="s">
        <v>473</v>
      </c>
      <c r="C368" s="76" t="s">
        <v>149</v>
      </c>
      <c r="D368" s="76" t="s">
        <v>33</v>
      </c>
      <c r="E368" s="76" t="s">
        <v>418</v>
      </c>
      <c r="F368" s="76" t="s">
        <v>412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8">
        <f t="shared" si="6"/>
        <v>0</v>
      </c>
    </row>
    <row r="369" spans="1:12">
      <c r="A369" s="75">
        <f t="shared" si="7"/>
        <v>91</v>
      </c>
      <c r="B369" s="76" t="s">
        <v>474</v>
      </c>
      <c r="C369" s="76" t="s">
        <v>189</v>
      </c>
      <c r="D369" s="76" t="s">
        <v>33</v>
      </c>
      <c r="E369" s="76" t="s">
        <v>418</v>
      </c>
      <c r="F369" s="76" t="s">
        <v>412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8">
        <f t="shared" si="6"/>
        <v>0</v>
      </c>
    </row>
    <row r="370" spans="1:12">
      <c r="A370" s="75">
        <f t="shared" si="7"/>
        <v>92</v>
      </c>
      <c r="B370" s="76" t="s">
        <v>475</v>
      </c>
      <c r="C370" s="76" t="s">
        <v>190</v>
      </c>
      <c r="D370" s="76" t="s">
        <v>33</v>
      </c>
      <c r="E370" s="76" t="s">
        <v>418</v>
      </c>
      <c r="F370" s="76" t="s">
        <v>412</v>
      </c>
      <c r="G370" s="77">
        <v>0</v>
      </c>
      <c r="H370" s="77">
        <v>0</v>
      </c>
      <c r="I370" s="77">
        <v>0</v>
      </c>
      <c r="J370" s="77">
        <v>0</v>
      </c>
      <c r="K370" s="77">
        <v>0</v>
      </c>
      <c r="L370" s="78">
        <f t="shared" si="6"/>
        <v>0</v>
      </c>
    </row>
    <row r="371" spans="1:12">
      <c r="A371" s="75">
        <f t="shared" si="7"/>
        <v>93</v>
      </c>
      <c r="B371" s="76" t="s">
        <v>476</v>
      </c>
      <c r="C371" s="76" t="s">
        <v>152</v>
      </c>
      <c r="D371" s="76" t="s">
        <v>33</v>
      </c>
      <c r="E371" s="76" t="s">
        <v>418</v>
      </c>
      <c r="F371" s="76" t="s">
        <v>412</v>
      </c>
      <c r="G371" s="77">
        <v>0</v>
      </c>
      <c r="H371" s="77">
        <v>0</v>
      </c>
      <c r="I371" s="77">
        <v>0</v>
      </c>
      <c r="J371" s="77">
        <v>0</v>
      </c>
      <c r="K371" s="77">
        <v>0</v>
      </c>
      <c r="L371" s="78">
        <f t="shared" si="6"/>
        <v>0</v>
      </c>
    </row>
    <row r="372" spans="1:12">
      <c r="A372" s="75">
        <f t="shared" si="7"/>
        <v>94</v>
      </c>
      <c r="B372" s="76" t="s">
        <v>477</v>
      </c>
      <c r="C372" s="76" t="s">
        <v>478</v>
      </c>
      <c r="D372" s="76" t="s">
        <v>33</v>
      </c>
      <c r="E372" s="76" t="s">
        <v>418</v>
      </c>
      <c r="F372" s="76" t="s">
        <v>412</v>
      </c>
      <c r="G372" s="77">
        <v>0</v>
      </c>
      <c r="H372" s="77">
        <v>1366.06</v>
      </c>
      <c r="I372" s="77">
        <v>0</v>
      </c>
      <c r="J372" s="77">
        <v>0</v>
      </c>
      <c r="K372" s="77">
        <v>0</v>
      </c>
      <c r="L372" s="78">
        <f t="shared" si="6"/>
        <v>1366.06</v>
      </c>
    </row>
    <row r="373" spans="1:12">
      <c r="A373" s="75">
        <f t="shared" si="7"/>
        <v>95</v>
      </c>
      <c r="B373" s="76" t="s">
        <v>477</v>
      </c>
      <c r="C373" s="76" t="s">
        <v>478</v>
      </c>
      <c r="D373" s="76" t="s">
        <v>33</v>
      </c>
      <c r="E373" s="76" t="s">
        <v>418</v>
      </c>
      <c r="F373" s="76" t="s">
        <v>416</v>
      </c>
      <c r="G373" s="77">
        <v>-323.32</v>
      </c>
      <c r="H373" s="77">
        <v>311483.2</v>
      </c>
      <c r="I373" s="77">
        <v>0</v>
      </c>
      <c r="J373" s="77">
        <v>2317125.3200000003</v>
      </c>
      <c r="K373" s="77">
        <v>0</v>
      </c>
      <c r="L373" s="78">
        <f t="shared" si="6"/>
        <v>2628285.2000000002</v>
      </c>
    </row>
    <row r="374" spans="1:12">
      <c r="A374" s="75">
        <f t="shared" si="7"/>
        <v>96</v>
      </c>
      <c r="B374" s="76" t="s">
        <v>479</v>
      </c>
      <c r="C374" s="76" t="s">
        <v>191</v>
      </c>
      <c r="D374" s="76" t="s">
        <v>35</v>
      </c>
      <c r="E374" s="76" t="s">
        <v>159</v>
      </c>
      <c r="F374" s="76" t="s">
        <v>412</v>
      </c>
      <c r="G374" s="77">
        <v>0</v>
      </c>
      <c r="H374" s="77">
        <v>435607.34</v>
      </c>
      <c r="I374" s="77">
        <v>0</v>
      </c>
      <c r="J374" s="77">
        <v>0</v>
      </c>
      <c r="K374" s="77">
        <v>0</v>
      </c>
      <c r="L374" s="78">
        <f t="shared" si="6"/>
        <v>435607.34</v>
      </c>
    </row>
    <row r="375" spans="1:12">
      <c r="A375" s="75">
        <f t="shared" si="7"/>
        <v>97</v>
      </c>
      <c r="B375" s="76" t="s">
        <v>480</v>
      </c>
      <c r="C375" s="76" t="s">
        <v>192</v>
      </c>
      <c r="D375" s="76" t="s">
        <v>24</v>
      </c>
      <c r="E375" s="76" t="s">
        <v>163</v>
      </c>
      <c r="F375" s="76" t="s">
        <v>416</v>
      </c>
      <c r="G375" s="77">
        <v>557066.55000000005</v>
      </c>
      <c r="H375" s="77">
        <v>1729809.54</v>
      </c>
      <c r="I375" s="77">
        <v>0</v>
      </c>
      <c r="J375" s="77">
        <v>3344739.4400000009</v>
      </c>
      <c r="K375" s="77">
        <v>0</v>
      </c>
      <c r="L375" s="78">
        <f t="shared" si="6"/>
        <v>5631615.5300000012</v>
      </c>
    </row>
    <row r="376" spans="1:12">
      <c r="A376" s="75">
        <f t="shared" si="7"/>
        <v>98</v>
      </c>
      <c r="B376" s="76" t="s">
        <v>480</v>
      </c>
      <c r="C376" s="76" t="s">
        <v>192</v>
      </c>
      <c r="D376" s="76" t="s">
        <v>24</v>
      </c>
      <c r="E376" s="76" t="s">
        <v>163</v>
      </c>
      <c r="F376" s="76" t="s">
        <v>412</v>
      </c>
      <c r="G376" s="77">
        <v>671161.19000000006</v>
      </c>
      <c r="H376" s="77">
        <v>-228925.94</v>
      </c>
      <c r="I376" s="77">
        <v>0</v>
      </c>
      <c r="J376" s="77">
        <v>-950000</v>
      </c>
      <c r="K376" s="77">
        <v>0</v>
      </c>
      <c r="L376" s="78">
        <f t="shared" si="6"/>
        <v>-507764.74999999994</v>
      </c>
    </row>
    <row r="377" spans="1:12">
      <c r="A377" s="75">
        <f t="shared" si="7"/>
        <v>99</v>
      </c>
      <c r="B377" s="76" t="s">
        <v>481</v>
      </c>
      <c r="C377" s="76" t="s">
        <v>482</v>
      </c>
      <c r="D377" s="76" t="s">
        <v>33</v>
      </c>
      <c r="E377" s="76" t="s">
        <v>418</v>
      </c>
      <c r="F377" s="76" t="s">
        <v>416</v>
      </c>
      <c r="G377" s="77">
        <v>130632.25</v>
      </c>
      <c r="H377" s="77">
        <v>4160330.79</v>
      </c>
      <c r="I377" s="77">
        <v>0</v>
      </c>
      <c r="J377" s="77">
        <v>0</v>
      </c>
      <c r="K377" s="77">
        <v>0</v>
      </c>
      <c r="L377" s="78">
        <f t="shared" si="6"/>
        <v>4290963.04</v>
      </c>
    </row>
    <row r="378" spans="1:12">
      <c r="A378" s="75">
        <f t="shared" si="7"/>
        <v>100</v>
      </c>
      <c r="B378" s="76" t="s">
        <v>481</v>
      </c>
      <c r="C378" s="76" t="s">
        <v>482</v>
      </c>
      <c r="D378" s="76" t="s">
        <v>33</v>
      </c>
      <c r="E378" s="76" t="s">
        <v>418</v>
      </c>
      <c r="F378" s="76" t="s">
        <v>412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8">
        <f t="shared" si="6"/>
        <v>0</v>
      </c>
    </row>
    <row r="379" spans="1:12">
      <c r="A379" s="75">
        <f t="shared" si="7"/>
        <v>101</v>
      </c>
      <c r="B379" s="76" t="s">
        <v>483</v>
      </c>
      <c r="C379" s="76" t="s">
        <v>151</v>
      </c>
      <c r="D379" s="76" t="s">
        <v>24</v>
      </c>
      <c r="E379" s="76" t="s">
        <v>163</v>
      </c>
      <c r="F379" s="76" t="s">
        <v>412</v>
      </c>
      <c r="G379" s="77">
        <v>0</v>
      </c>
      <c r="H379" s="77">
        <v>225</v>
      </c>
      <c r="I379" s="77">
        <v>0</v>
      </c>
      <c r="J379" s="77">
        <v>0</v>
      </c>
      <c r="K379" s="77">
        <v>0</v>
      </c>
      <c r="L379" s="78">
        <f t="shared" si="6"/>
        <v>225</v>
      </c>
    </row>
    <row r="380" spans="1:12">
      <c r="A380" s="75">
        <f t="shared" si="7"/>
        <v>102</v>
      </c>
      <c r="B380" s="76" t="s">
        <v>484</v>
      </c>
      <c r="C380" s="76" t="s">
        <v>193</v>
      </c>
      <c r="D380" s="76" t="s">
        <v>448</v>
      </c>
      <c r="E380" s="76" t="s">
        <v>449</v>
      </c>
      <c r="F380" s="76" t="s">
        <v>416</v>
      </c>
      <c r="G380" s="77">
        <v>12641392.939999996</v>
      </c>
      <c r="H380" s="77">
        <v>29465987.980000012</v>
      </c>
      <c r="I380" s="77">
        <v>0</v>
      </c>
      <c r="J380" s="77">
        <v>187757635.09999985</v>
      </c>
      <c r="K380" s="77">
        <v>0</v>
      </c>
      <c r="L380" s="78">
        <f t="shared" si="6"/>
        <v>229865016.01999986</v>
      </c>
    </row>
    <row r="381" spans="1:12">
      <c r="A381" s="75">
        <f t="shared" si="7"/>
        <v>103</v>
      </c>
      <c r="B381" s="76" t="s">
        <v>484</v>
      </c>
      <c r="C381" s="76" t="s">
        <v>193</v>
      </c>
      <c r="D381" s="76" t="s">
        <v>448</v>
      </c>
      <c r="E381" s="76" t="s">
        <v>449</v>
      </c>
      <c r="F381" s="76" t="s">
        <v>412</v>
      </c>
      <c r="G381" s="77">
        <v>40558374.279999986</v>
      </c>
      <c r="H381" s="77">
        <v>20592770.579999994</v>
      </c>
      <c r="I381" s="77">
        <v>0</v>
      </c>
      <c r="J381" s="77">
        <v>-28339867.069999997</v>
      </c>
      <c r="K381" s="77">
        <v>0</v>
      </c>
      <c r="L381" s="78">
        <f t="shared" si="6"/>
        <v>32811277.789999988</v>
      </c>
    </row>
    <row r="382" spans="1:12">
      <c r="A382" s="75">
        <f t="shared" si="7"/>
        <v>104</v>
      </c>
      <c r="B382" s="76" t="s">
        <v>485</v>
      </c>
      <c r="C382" s="76" t="s">
        <v>194</v>
      </c>
      <c r="D382" s="76" t="s">
        <v>450</v>
      </c>
      <c r="E382" s="76" t="s">
        <v>451</v>
      </c>
      <c r="F382" s="76" t="s">
        <v>412</v>
      </c>
      <c r="G382" s="77">
        <v>234999.12</v>
      </c>
      <c r="H382" s="77">
        <v>146837.49</v>
      </c>
      <c r="I382" s="77">
        <v>0</v>
      </c>
      <c r="J382" s="77">
        <v>0</v>
      </c>
      <c r="K382" s="77">
        <v>0</v>
      </c>
      <c r="L382" s="78">
        <f t="shared" si="6"/>
        <v>381836.61</v>
      </c>
    </row>
    <row r="383" spans="1:12">
      <c r="A383" s="75">
        <f t="shared" si="7"/>
        <v>105</v>
      </c>
      <c r="B383" s="76" t="s">
        <v>486</v>
      </c>
      <c r="C383" s="76" t="s">
        <v>195</v>
      </c>
      <c r="D383" s="76" t="s">
        <v>450</v>
      </c>
      <c r="E383" s="76" t="s">
        <v>451</v>
      </c>
      <c r="F383" s="76" t="s">
        <v>412</v>
      </c>
      <c r="G383" s="77">
        <v>42339583.299999997</v>
      </c>
      <c r="H383" s="77">
        <v>12910032.580000004</v>
      </c>
      <c r="I383" s="77">
        <v>0</v>
      </c>
      <c r="J383" s="77">
        <v>-2520589.52</v>
      </c>
      <c r="K383" s="77">
        <v>0</v>
      </c>
      <c r="L383" s="78">
        <f t="shared" si="6"/>
        <v>52729026.359999999</v>
      </c>
    </row>
    <row r="384" spans="1:12">
      <c r="A384" s="75">
        <f t="shared" si="7"/>
        <v>106</v>
      </c>
      <c r="B384" s="76" t="s">
        <v>486</v>
      </c>
      <c r="C384" s="76" t="s">
        <v>195</v>
      </c>
      <c r="D384" s="76" t="s">
        <v>450</v>
      </c>
      <c r="E384" s="76" t="s">
        <v>451</v>
      </c>
      <c r="F384" s="76" t="s">
        <v>416</v>
      </c>
      <c r="G384" s="77">
        <v>13730073.889999997</v>
      </c>
      <c r="H384" s="77">
        <v>4980162.0999999996</v>
      </c>
      <c r="I384" s="77">
        <v>0</v>
      </c>
      <c r="J384" s="77">
        <v>34278797.610000022</v>
      </c>
      <c r="K384" s="77">
        <v>0</v>
      </c>
      <c r="L384" s="78">
        <f t="shared" si="6"/>
        <v>52989033.600000016</v>
      </c>
    </row>
    <row r="385" spans="1:12">
      <c r="A385" s="75">
        <f t="shared" si="7"/>
        <v>107</v>
      </c>
      <c r="B385" s="76" t="s">
        <v>487</v>
      </c>
      <c r="C385" s="76" t="s">
        <v>196</v>
      </c>
      <c r="D385" s="76" t="s">
        <v>24</v>
      </c>
      <c r="E385" s="76" t="s">
        <v>163</v>
      </c>
      <c r="F385" s="76" t="s">
        <v>416</v>
      </c>
      <c r="G385" s="77">
        <v>0</v>
      </c>
      <c r="H385" s="77">
        <v>53556.91</v>
      </c>
      <c r="I385" s="77">
        <v>0</v>
      </c>
      <c r="J385" s="77">
        <v>61307.67</v>
      </c>
      <c r="K385" s="77">
        <v>0</v>
      </c>
      <c r="L385" s="78">
        <f t="shared" si="6"/>
        <v>114864.58</v>
      </c>
    </row>
    <row r="386" spans="1:12">
      <c r="A386" s="75">
        <f t="shared" si="7"/>
        <v>108</v>
      </c>
      <c r="B386" s="76" t="s">
        <v>487</v>
      </c>
      <c r="C386" s="76" t="s">
        <v>196</v>
      </c>
      <c r="D386" s="76" t="s">
        <v>24</v>
      </c>
      <c r="E386" s="76" t="s">
        <v>163</v>
      </c>
      <c r="F386" s="76" t="s">
        <v>412</v>
      </c>
      <c r="G386" s="77">
        <v>3058329.37</v>
      </c>
      <c r="H386" s="77">
        <v>2956544.87</v>
      </c>
      <c r="I386" s="77">
        <v>0</v>
      </c>
      <c r="J386" s="77">
        <v>10360</v>
      </c>
      <c r="K386" s="77">
        <v>0</v>
      </c>
      <c r="L386" s="78">
        <f t="shared" si="6"/>
        <v>6025234.2400000002</v>
      </c>
    </row>
    <row r="387" spans="1:12">
      <c r="A387" s="75">
        <f t="shared" si="7"/>
        <v>109</v>
      </c>
      <c r="B387" s="76" t="s">
        <v>488</v>
      </c>
      <c r="C387" s="76" t="s">
        <v>197</v>
      </c>
      <c r="D387" s="76" t="s">
        <v>24</v>
      </c>
      <c r="E387" s="76" t="s">
        <v>163</v>
      </c>
      <c r="F387" s="76" t="s">
        <v>412</v>
      </c>
      <c r="G387" s="77">
        <v>736218.6</v>
      </c>
      <c r="H387" s="77">
        <v>529511.71</v>
      </c>
      <c r="I387" s="77">
        <v>0</v>
      </c>
      <c r="J387" s="77">
        <v>30000</v>
      </c>
      <c r="K387" s="77">
        <v>0</v>
      </c>
      <c r="L387" s="78">
        <f t="shared" si="6"/>
        <v>1295730.31</v>
      </c>
    </row>
    <row r="388" spans="1:12">
      <c r="A388" s="75">
        <f t="shared" si="7"/>
        <v>110</v>
      </c>
      <c r="B388" s="76" t="s">
        <v>489</v>
      </c>
      <c r="C388" s="76" t="s">
        <v>198</v>
      </c>
      <c r="D388" s="76" t="s">
        <v>28</v>
      </c>
      <c r="E388" s="76" t="s">
        <v>421</v>
      </c>
      <c r="F388" s="76" t="s">
        <v>412</v>
      </c>
      <c r="G388" s="77">
        <v>1543159.8600000003</v>
      </c>
      <c r="H388" s="77">
        <v>1563067.2199999997</v>
      </c>
      <c r="I388" s="77">
        <v>0</v>
      </c>
      <c r="J388" s="77">
        <v>0</v>
      </c>
      <c r="K388" s="77">
        <v>0</v>
      </c>
      <c r="L388" s="78">
        <f t="shared" si="6"/>
        <v>3106227.08</v>
      </c>
    </row>
    <row r="389" spans="1:12">
      <c r="A389" s="75">
        <f t="shared" si="7"/>
        <v>111</v>
      </c>
      <c r="B389" s="76" t="s">
        <v>490</v>
      </c>
      <c r="C389" s="76" t="s">
        <v>199</v>
      </c>
      <c r="D389" s="76" t="s">
        <v>430</v>
      </c>
      <c r="E389" s="76" t="s">
        <v>431</v>
      </c>
      <c r="F389" s="76" t="s">
        <v>416</v>
      </c>
      <c r="G389" s="77">
        <v>0</v>
      </c>
      <c r="H389" s="77">
        <v>0</v>
      </c>
      <c r="I389" s="77">
        <v>0</v>
      </c>
      <c r="J389" s="77">
        <v>0</v>
      </c>
      <c r="K389" s="77">
        <v>0</v>
      </c>
      <c r="L389" s="78">
        <f t="shared" si="6"/>
        <v>0</v>
      </c>
    </row>
    <row r="390" spans="1:12">
      <c r="A390" s="75">
        <f t="shared" si="7"/>
        <v>112</v>
      </c>
      <c r="B390" s="76" t="s">
        <v>490</v>
      </c>
      <c r="C390" s="76" t="s">
        <v>199</v>
      </c>
      <c r="D390" s="76" t="s">
        <v>430</v>
      </c>
      <c r="E390" s="76" t="s">
        <v>431</v>
      </c>
      <c r="F390" s="76" t="s">
        <v>412</v>
      </c>
      <c r="G390" s="77">
        <v>111381.12</v>
      </c>
      <c r="H390" s="77">
        <v>3061371.1799999997</v>
      </c>
      <c r="I390" s="77">
        <v>0</v>
      </c>
      <c r="J390" s="77">
        <v>0</v>
      </c>
      <c r="K390" s="77">
        <v>0</v>
      </c>
      <c r="L390" s="78">
        <f t="shared" si="6"/>
        <v>3172752.3</v>
      </c>
    </row>
    <row r="391" spans="1:12">
      <c r="A391" s="75">
        <f t="shared" si="7"/>
        <v>113</v>
      </c>
      <c r="B391" s="76" t="s">
        <v>491</v>
      </c>
      <c r="C391" s="76" t="s">
        <v>200</v>
      </c>
      <c r="D391" s="76" t="s">
        <v>33</v>
      </c>
      <c r="E391" s="76" t="s">
        <v>418</v>
      </c>
      <c r="F391" s="76" t="s">
        <v>416</v>
      </c>
      <c r="G391" s="77">
        <v>0</v>
      </c>
      <c r="H391" s="77">
        <v>48816.24</v>
      </c>
      <c r="I391" s="77">
        <v>0</v>
      </c>
      <c r="J391" s="77">
        <v>9840145.7200000007</v>
      </c>
      <c r="K391" s="77">
        <v>0</v>
      </c>
      <c r="L391" s="78">
        <f t="shared" si="6"/>
        <v>9888961.9600000009</v>
      </c>
    </row>
    <row r="392" spans="1:12">
      <c r="A392" s="75">
        <f t="shared" si="7"/>
        <v>114</v>
      </c>
      <c r="B392" s="76" t="s">
        <v>491</v>
      </c>
      <c r="C392" s="76" t="s">
        <v>200</v>
      </c>
      <c r="D392" s="76" t="s">
        <v>33</v>
      </c>
      <c r="E392" s="76" t="s">
        <v>418</v>
      </c>
      <c r="F392" s="76" t="s">
        <v>412</v>
      </c>
      <c r="G392" s="77">
        <v>0</v>
      </c>
      <c r="H392" s="77">
        <v>1874369.42</v>
      </c>
      <c r="I392" s="77">
        <v>0</v>
      </c>
      <c r="J392" s="77">
        <v>0</v>
      </c>
      <c r="K392" s="77">
        <v>0</v>
      </c>
      <c r="L392" s="78">
        <f t="shared" si="6"/>
        <v>1874369.42</v>
      </c>
    </row>
    <row r="393" spans="1:12">
      <c r="A393" s="75">
        <f t="shared" si="7"/>
        <v>115</v>
      </c>
      <c r="B393" s="76" t="s">
        <v>492</v>
      </c>
      <c r="C393" s="76" t="s">
        <v>201</v>
      </c>
      <c r="D393" s="76" t="s">
        <v>448</v>
      </c>
      <c r="E393" s="76" t="s">
        <v>449</v>
      </c>
      <c r="F393" s="76" t="s">
        <v>412</v>
      </c>
      <c r="G393" s="77">
        <v>630846.80000000005</v>
      </c>
      <c r="H393" s="77">
        <v>2113740.8499999996</v>
      </c>
      <c r="I393" s="77">
        <v>0</v>
      </c>
      <c r="J393" s="77">
        <v>0</v>
      </c>
      <c r="K393" s="77">
        <v>0</v>
      </c>
      <c r="L393" s="78">
        <f t="shared" si="6"/>
        <v>2744587.6499999994</v>
      </c>
    </row>
    <row r="394" spans="1:12">
      <c r="A394" s="75">
        <f t="shared" si="7"/>
        <v>116</v>
      </c>
      <c r="B394" s="76" t="s">
        <v>493</v>
      </c>
      <c r="C394" s="76" t="s">
        <v>202</v>
      </c>
      <c r="D394" s="76" t="s">
        <v>448</v>
      </c>
      <c r="E394" s="76" t="s">
        <v>449</v>
      </c>
      <c r="F394" s="76" t="s">
        <v>412</v>
      </c>
      <c r="G394" s="77">
        <v>0</v>
      </c>
      <c r="H394" s="77">
        <v>0</v>
      </c>
      <c r="I394" s="77">
        <v>0</v>
      </c>
      <c r="J394" s="77">
        <v>0</v>
      </c>
      <c r="K394" s="77">
        <v>0</v>
      </c>
      <c r="L394" s="78">
        <f t="shared" si="6"/>
        <v>0</v>
      </c>
    </row>
    <row r="395" spans="1:12">
      <c r="A395" s="75">
        <f t="shared" si="7"/>
        <v>117</v>
      </c>
      <c r="B395" s="76" t="s">
        <v>494</v>
      </c>
      <c r="C395" s="76" t="s">
        <v>203</v>
      </c>
      <c r="D395" s="76" t="s">
        <v>24</v>
      </c>
      <c r="E395" s="76" t="s">
        <v>163</v>
      </c>
      <c r="F395" s="76" t="s">
        <v>412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8">
        <f t="shared" si="6"/>
        <v>0</v>
      </c>
    </row>
    <row r="396" spans="1:12">
      <c r="A396" s="75">
        <f t="shared" si="7"/>
        <v>118</v>
      </c>
      <c r="B396" s="76" t="s">
        <v>495</v>
      </c>
      <c r="C396" s="76" t="s">
        <v>496</v>
      </c>
      <c r="D396" s="76" t="s">
        <v>450</v>
      </c>
      <c r="E396" s="76" t="s">
        <v>451</v>
      </c>
      <c r="F396" s="76" t="s">
        <v>412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8">
        <f t="shared" si="6"/>
        <v>0</v>
      </c>
    </row>
    <row r="397" spans="1:12">
      <c r="A397" s="75">
        <f t="shared" si="7"/>
        <v>119</v>
      </c>
      <c r="B397" s="76" t="s">
        <v>497</v>
      </c>
      <c r="C397" s="76" t="s">
        <v>50</v>
      </c>
      <c r="D397" s="76" t="s">
        <v>450</v>
      </c>
      <c r="E397" s="76" t="s">
        <v>451</v>
      </c>
      <c r="F397" s="76" t="s">
        <v>412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8">
        <f t="shared" si="6"/>
        <v>0</v>
      </c>
    </row>
    <row r="398" spans="1:12">
      <c r="A398" s="75">
        <f t="shared" si="7"/>
        <v>120</v>
      </c>
      <c r="B398" s="76" t="s">
        <v>498</v>
      </c>
      <c r="C398" s="76" t="s">
        <v>499</v>
      </c>
      <c r="D398" s="76" t="s">
        <v>448</v>
      </c>
      <c r="E398" s="76" t="s">
        <v>449</v>
      </c>
      <c r="F398" s="76" t="s">
        <v>412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8">
        <f t="shared" si="6"/>
        <v>0</v>
      </c>
    </row>
    <row r="399" spans="1:12">
      <c r="A399" s="75">
        <f t="shared" si="7"/>
        <v>121</v>
      </c>
      <c r="B399" s="76" t="s">
        <v>500</v>
      </c>
      <c r="C399" s="76" t="s">
        <v>501</v>
      </c>
      <c r="D399" s="76" t="s">
        <v>29</v>
      </c>
      <c r="E399" s="76" t="s">
        <v>108</v>
      </c>
      <c r="F399" s="76" t="s">
        <v>412</v>
      </c>
      <c r="G399" s="77">
        <v>0</v>
      </c>
      <c r="H399" s="77">
        <v>729.12</v>
      </c>
      <c r="I399" s="77">
        <v>0</v>
      </c>
      <c r="J399" s="77">
        <v>0</v>
      </c>
      <c r="K399" s="77">
        <v>0</v>
      </c>
      <c r="L399" s="78">
        <f t="shared" si="6"/>
        <v>729.12</v>
      </c>
    </row>
    <row r="400" spans="1:12">
      <c r="A400" s="75">
        <f t="shared" si="7"/>
        <v>122</v>
      </c>
      <c r="B400" s="76" t="s">
        <v>502</v>
      </c>
      <c r="C400" s="76" t="s">
        <v>204</v>
      </c>
      <c r="D400" s="76" t="s">
        <v>33</v>
      </c>
      <c r="E400" s="76" t="s">
        <v>418</v>
      </c>
      <c r="F400" s="76" t="s">
        <v>412</v>
      </c>
      <c r="G400" s="77">
        <v>955104.71</v>
      </c>
      <c r="H400" s="77">
        <v>39297215.199999996</v>
      </c>
      <c r="I400" s="77">
        <v>0</v>
      </c>
      <c r="J400" s="77">
        <v>0</v>
      </c>
      <c r="K400" s="77">
        <v>0</v>
      </c>
      <c r="L400" s="78">
        <f t="shared" si="6"/>
        <v>40252319.909999996</v>
      </c>
    </row>
    <row r="401" spans="1:12">
      <c r="A401" s="75">
        <f t="shared" si="7"/>
        <v>123</v>
      </c>
      <c r="B401" s="76" t="s">
        <v>503</v>
      </c>
      <c r="C401" s="76" t="s">
        <v>205</v>
      </c>
      <c r="D401" s="76" t="s">
        <v>33</v>
      </c>
      <c r="E401" s="76" t="s">
        <v>418</v>
      </c>
      <c r="F401" s="76" t="s">
        <v>412</v>
      </c>
      <c r="G401" s="77">
        <v>2702032.4899999998</v>
      </c>
      <c r="H401" s="77">
        <v>12885299.810000001</v>
      </c>
      <c r="I401" s="77">
        <v>0</v>
      </c>
      <c r="J401" s="77">
        <v>710235</v>
      </c>
      <c r="K401" s="77">
        <v>0</v>
      </c>
      <c r="L401" s="78">
        <f t="shared" si="6"/>
        <v>16297567.300000001</v>
      </c>
    </row>
    <row r="402" spans="1:12">
      <c r="A402" s="75">
        <f t="shared" si="7"/>
        <v>124</v>
      </c>
      <c r="B402" s="76" t="s">
        <v>503</v>
      </c>
      <c r="C402" s="76" t="s">
        <v>205</v>
      </c>
      <c r="D402" s="76" t="s">
        <v>33</v>
      </c>
      <c r="E402" s="76" t="s">
        <v>418</v>
      </c>
      <c r="F402" s="76" t="s">
        <v>416</v>
      </c>
      <c r="G402" s="77">
        <v>444191.42</v>
      </c>
      <c r="H402" s="77">
        <v>1005393.56</v>
      </c>
      <c r="I402" s="77">
        <v>0</v>
      </c>
      <c r="J402" s="77">
        <v>0</v>
      </c>
      <c r="K402" s="77">
        <v>0</v>
      </c>
      <c r="L402" s="78">
        <f t="shared" si="6"/>
        <v>1449584.98</v>
      </c>
    </row>
    <row r="403" spans="1:12">
      <c r="A403" s="75">
        <f t="shared" si="7"/>
        <v>125</v>
      </c>
      <c r="B403" s="76" t="s">
        <v>504</v>
      </c>
      <c r="C403" s="76" t="s">
        <v>206</v>
      </c>
      <c r="D403" s="76" t="s">
        <v>33</v>
      </c>
      <c r="E403" s="76" t="s">
        <v>418</v>
      </c>
      <c r="F403" s="76" t="s">
        <v>412</v>
      </c>
      <c r="G403" s="77">
        <v>6156214.2299999995</v>
      </c>
      <c r="H403" s="77">
        <v>10518855.92</v>
      </c>
      <c r="I403" s="77">
        <v>0</v>
      </c>
      <c r="J403" s="77">
        <v>0</v>
      </c>
      <c r="K403" s="77">
        <v>0</v>
      </c>
      <c r="L403" s="78">
        <f t="shared" si="6"/>
        <v>16675070.149999999</v>
      </c>
    </row>
    <row r="404" spans="1:12">
      <c r="A404" s="75">
        <f t="shared" si="7"/>
        <v>126</v>
      </c>
      <c r="B404" s="76" t="s">
        <v>504</v>
      </c>
      <c r="C404" s="76" t="s">
        <v>206</v>
      </c>
      <c r="D404" s="76" t="s">
        <v>33</v>
      </c>
      <c r="E404" s="76" t="s">
        <v>418</v>
      </c>
      <c r="F404" s="76" t="s">
        <v>416</v>
      </c>
      <c r="G404" s="77">
        <v>419.85</v>
      </c>
      <c r="H404" s="77">
        <v>12095.42</v>
      </c>
      <c r="I404" s="77">
        <v>0</v>
      </c>
      <c r="J404" s="77">
        <v>9800120.0099999998</v>
      </c>
      <c r="K404" s="77">
        <v>0</v>
      </c>
      <c r="L404" s="78">
        <f t="shared" si="6"/>
        <v>9812635.2799999993</v>
      </c>
    </row>
    <row r="405" spans="1:12">
      <c r="A405" s="75">
        <f t="shared" si="7"/>
        <v>127</v>
      </c>
      <c r="B405" s="76" t="s">
        <v>505</v>
      </c>
      <c r="C405" s="76" t="s">
        <v>506</v>
      </c>
      <c r="D405" s="76" t="s">
        <v>33</v>
      </c>
      <c r="E405" s="76" t="s">
        <v>418</v>
      </c>
      <c r="F405" s="76" t="s">
        <v>412</v>
      </c>
      <c r="G405" s="77">
        <v>1712339.87</v>
      </c>
      <c r="H405" s="77">
        <v>3575234.7500000005</v>
      </c>
      <c r="I405" s="77">
        <v>0</v>
      </c>
      <c r="J405" s="77">
        <v>312259.67</v>
      </c>
      <c r="K405" s="77">
        <v>0</v>
      </c>
      <c r="L405" s="78">
        <f t="shared" si="6"/>
        <v>5599834.290000001</v>
      </c>
    </row>
    <row r="406" spans="1:12">
      <c r="A406" s="75">
        <f t="shared" si="7"/>
        <v>128</v>
      </c>
      <c r="B406" s="76" t="s">
        <v>507</v>
      </c>
      <c r="C406" s="76" t="s">
        <v>207</v>
      </c>
      <c r="D406" s="76" t="s">
        <v>33</v>
      </c>
      <c r="E406" s="76" t="s">
        <v>418</v>
      </c>
      <c r="F406" s="76" t="s">
        <v>412</v>
      </c>
      <c r="G406" s="77">
        <v>1067884.9099999999</v>
      </c>
      <c r="H406" s="77">
        <v>4330762.32</v>
      </c>
      <c r="I406" s="77">
        <v>0</v>
      </c>
      <c r="J406" s="77">
        <v>0</v>
      </c>
      <c r="K406" s="77">
        <v>0</v>
      </c>
      <c r="L406" s="78">
        <f t="shared" si="6"/>
        <v>5398647.2300000004</v>
      </c>
    </row>
    <row r="407" spans="1:12">
      <c r="A407" s="75">
        <f t="shared" si="7"/>
        <v>129</v>
      </c>
      <c r="B407" s="76" t="s">
        <v>508</v>
      </c>
      <c r="C407" s="76" t="s">
        <v>509</v>
      </c>
      <c r="D407" s="76" t="s">
        <v>33</v>
      </c>
      <c r="E407" s="76" t="s">
        <v>418</v>
      </c>
      <c r="F407" s="76" t="s">
        <v>412</v>
      </c>
      <c r="G407" s="77">
        <v>929342.17999999993</v>
      </c>
      <c r="H407" s="77">
        <v>2757104.7499999995</v>
      </c>
      <c r="I407" s="77">
        <v>0</v>
      </c>
      <c r="J407" s="77">
        <v>0</v>
      </c>
      <c r="K407" s="77">
        <v>0</v>
      </c>
      <c r="L407" s="78">
        <f t="shared" si="6"/>
        <v>3686446.9299999997</v>
      </c>
    </row>
    <row r="408" spans="1:12">
      <c r="A408" s="75">
        <f t="shared" si="7"/>
        <v>130</v>
      </c>
      <c r="B408" s="76" t="s">
        <v>510</v>
      </c>
      <c r="C408" s="76" t="s">
        <v>208</v>
      </c>
      <c r="D408" s="76" t="s">
        <v>33</v>
      </c>
      <c r="E408" s="76" t="s">
        <v>418</v>
      </c>
      <c r="F408" s="76" t="s">
        <v>412</v>
      </c>
      <c r="G408" s="77">
        <v>22097092.600000005</v>
      </c>
      <c r="H408" s="77">
        <v>10111331.82</v>
      </c>
      <c r="I408" s="77">
        <v>0</v>
      </c>
      <c r="J408" s="77">
        <v>677465.99</v>
      </c>
      <c r="K408" s="77">
        <v>0</v>
      </c>
      <c r="L408" s="78">
        <f t="shared" ref="L408:L414" si="8">SUM(G408:K408)</f>
        <v>32885890.410000004</v>
      </c>
    </row>
    <row r="409" spans="1:12">
      <c r="A409" s="75">
        <f t="shared" ref="A409:A415" si="9">A408+1</f>
        <v>131</v>
      </c>
      <c r="B409" s="76" t="s">
        <v>510</v>
      </c>
      <c r="C409" s="76" t="s">
        <v>208</v>
      </c>
      <c r="D409" s="76" t="s">
        <v>33</v>
      </c>
      <c r="E409" s="76" t="s">
        <v>418</v>
      </c>
      <c r="F409" s="76" t="s">
        <v>416</v>
      </c>
      <c r="G409" s="77">
        <v>1570364.9599999997</v>
      </c>
      <c r="H409" s="77">
        <v>1865999.7200000002</v>
      </c>
      <c r="I409" s="77">
        <v>0</v>
      </c>
      <c r="J409" s="77">
        <v>0</v>
      </c>
      <c r="K409" s="77">
        <v>0</v>
      </c>
      <c r="L409" s="78">
        <f t="shared" si="8"/>
        <v>3436364.6799999997</v>
      </c>
    </row>
    <row r="410" spans="1:12">
      <c r="A410" s="75">
        <f t="shared" si="9"/>
        <v>132</v>
      </c>
      <c r="B410" s="76" t="s">
        <v>511</v>
      </c>
      <c r="C410" s="76" t="s">
        <v>209</v>
      </c>
      <c r="D410" s="76" t="s">
        <v>33</v>
      </c>
      <c r="E410" s="76" t="s">
        <v>418</v>
      </c>
      <c r="F410" s="76" t="s">
        <v>412</v>
      </c>
      <c r="G410" s="77">
        <v>1848327.87</v>
      </c>
      <c r="H410" s="77">
        <v>853249.78</v>
      </c>
      <c r="I410" s="77">
        <v>0</v>
      </c>
      <c r="J410" s="77">
        <v>0</v>
      </c>
      <c r="K410" s="77">
        <v>0</v>
      </c>
      <c r="L410" s="78">
        <f t="shared" si="8"/>
        <v>2701577.6500000004</v>
      </c>
    </row>
    <row r="411" spans="1:12">
      <c r="A411" s="75">
        <f t="shared" si="9"/>
        <v>133</v>
      </c>
      <c r="B411" s="76" t="s">
        <v>511</v>
      </c>
      <c r="C411" s="76" t="s">
        <v>209</v>
      </c>
      <c r="D411" s="76" t="s">
        <v>33</v>
      </c>
      <c r="E411" s="76" t="s">
        <v>418</v>
      </c>
      <c r="F411" s="76" t="s">
        <v>416</v>
      </c>
      <c r="G411" s="77">
        <v>6768.15</v>
      </c>
      <c r="H411" s="77">
        <v>120945.57</v>
      </c>
      <c r="I411" s="77">
        <v>0</v>
      </c>
      <c r="J411" s="77">
        <v>0</v>
      </c>
      <c r="K411" s="77">
        <v>0</v>
      </c>
      <c r="L411" s="78">
        <f t="shared" si="8"/>
        <v>127713.72</v>
      </c>
    </row>
    <row r="412" spans="1:12">
      <c r="A412" s="75">
        <f t="shared" si="9"/>
        <v>134</v>
      </c>
      <c r="B412" s="76" t="s">
        <v>512</v>
      </c>
      <c r="C412" s="76" t="s">
        <v>210</v>
      </c>
      <c r="D412" s="76" t="s">
        <v>158</v>
      </c>
      <c r="E412" s="76" t="s">
        <v>513</v>
      </c>
      <c r="F412" s="76" t="s">
        <v>416</v>
      </c>
      <c r="G412" s="77">
        <v>0</v>
      </c>
      <c r="H412" s="77">
        <v>0</v>
      </c>
      <c r="I412" s="77">
        <v>0</v>
      </c>
      <c r="J412" s="77">
        <v>9900</v>
      </c>
      <c r="K412" s="77">
        <v>0</v>
      </c>
      <c r="L412" s="78">
        <f t="shared" si="8"/>
        <v>9900</v>
      </c>
    </row>
    <row r="413" spans="1:12">
      <c r="A413" s="75">
        <f t="shared" si="9"/>
        <v>135</v>
      </c>
      <c r="B413" s="76" t="s">
        <v>512</v>
      </c>
      <c r="C413" s="76" t="s">
        <v>210</v>
      </c>
      <c r="D413" s="76" t="s">
        <v>158</v>
      </c>
      <c r="E413" s="76" t="s">
        <v>513</v>
      </c>
      <c r="F413" s="76" t="s">
        <v>412</v>
      </c>
      <c r="G413" s="77">
        <v>1597808.12</v>
      </c>
      <c r="H413" s="77">
        <v>98767265.120000005</v>
      </c>
      <c r="I413" s="77">
        <v>0</v>
      </c>
      <c r="J413" s="77">
        <v>0</v>
      </c>
      <c r="K413" s="77">
        <v>0</v>
      </c>
      <c r="L413" s="78">
        <f t="shared" si="8"/>
        <v>100365073.24000001</v>
      </c>
    </row>
    <row r="414" spans="1:12">
      <c r="A414" s="75">
        <f t="shared" si="9"/>
        <v>136</v>
      </c>
      <c r="B414" s="76" t="s">
        <v>514</v>
      </c>
      <c r="C414" s="76" t="s">
        <v>211</v>
      </c>
      <c r="D414" s="76" t="s">
        <v>33</v>
      </c>
      <c r="E414" s="76" t="s">
        <v>418</v>
      </c>
      <c r="F414" s="76" t="s">
        <v>412</v>
      </c>
      <c r="G414" s="77">
        <v>0</v>
      </c>
      <c r="H414" s="77">
        <v>8160.1</v>
      </c>
      <c r="I414" s="77">
        <v>0</v>
      </c>
      <c r="J414" s="77">
        <v>0</v>
      </c>
      <c r="K414" s="77">
        <v>0</v>
      </c>
      <c r="L414" s="78">
        <f t="shared" si="8"/>
        <v>8160.1</v>
      </c>
    </row>
    <row r="415" spans="1:12">
      <c r="A415" s="60">
        <f t="shared" si="9"/>
        <v>137</v>
      </c>
    </row>
    <row r="416" spans="1:12">
      <c r="G416" s="61">
        <f>SUM(G279:G414)</f>
        <v>551995140.43000007</v>
      </c>
      <c r="H416" s="61">
        <f>SUM(H279:H414)</f>
        <v>579381792.31000018</v>
      </c>
      <c r="I416" s="61">
        <f>SUM(I279:I414)</f>
        <v>0</v>
      </c>
      <c r="J416" s="61">
        <f>SUM(J279:J414)</f>
        <v>308337832.29999995</v>
      </c>
      <c r="K416" s="61">
        <f>SUM(K279:K414)</f>
        <v>0</v>
      </c>
    </row>
    <row r="417" spans="1:12">
      <c r="G417" s="61"/>
      <c r="H417" s="61"/>
      <c r="I417" s="61"/>
      <c r="J417" s="61"/>
      <c r="K417" s="61"/>
    </row>
    <row r="418" spans="1:12">
      <c r="G418" s="61">
        <f>SUM(G416:K416)</f>
        <v>1439714765.0400002</v>
      </c>
    </row>
    <row r="423" spans="1:12">
      <c r="A423" s="70" t="s">
        <v>547</v>
      </c>
      <c r="L423" s="61"/>
    </row>
    <row r="424" spans="1:12">
      <c r="A424" s="62">
        <v>1</v>
      </c>
      <c r="B424" s="62"/>
      <c r="C424" s="62"/>
      <c r="D424" s="62"/>
      <c r="E424" s="62" t="s">
        <v>520</v>
      </c>
      <c r="F424" s="62"/>
      <c r="G424" s="63">
        <v>39209.1</v>
      </c>
      <c r="H424" s="63">
        <v>14496.64</v>
      </c>
      <c r="I424" s="64">
        <v>0</v>
      </c>
      <c r="J424" s="63"/>
      <c r="K424" s="62"/>
      <c r="L424" s="63">
        <f>SUM(G424:K424)</f>
        <v>53705.74</v>
      </c>
    </row>
    <row r="425" spans="1:12">
      <c r="A425" s="62">
        <f>A424+1</f>
        <v>2</v>
      </c>
      <c r="B425" s="62"/>
      <c r="C425" s="62"/>
      <c r="D425" s="62"/>
      <c r="E425" s="62" t="s">
        <v>521</v>
      </c>
      <c r="F425" s="62"/>
      <c r="G425" s="66">
        <v>151177.71</v>
      </c>
      <c r="H425" s="66">
        <v>2734288.78</v>
      </c>
      <c r="I425" s="64">
        <v>0</v>
      </c>
      <c r="J425" s="63"/>
      <c r="K425" s="62"/>
      <c r="L425" s="63">
        <f>SUM(G425:K425)</f>
        <v>2885466.4899999998</v>
      </c>
    </row>
    <row r="426" spans="1:12">
      <c r="A426" s="62">
        <f>A425+1</f>
        <v>3</v>
      </c>
      <c r="B426" s="62"/>
      <c r="C426" s="62"/>
      <c r="D426" s="62"/>
      <c r="E426" s="62" t="s">
        <v>522</v>
      </c>
      <c r="F426" s="62"/>
      <c r="G426" s="66"/>
      <c r="H426" s="66">
        <v>175000</v>
      </c>
      <c r="I426" s="64">
        <v>0</v>
      </c>
      <c r="J426" s="63">
        <v>294250</v>
      </c>
      <c r="K426" s="62"/>
      <c r="L426" s="63">
        <f>SUM(G426:K426)</f>
        <v>469250</v>
      </c>
    </row>
    <row r="427" spans="1:12">
      <c r="A427" s="62">
        <f>A426+1</f>
        <v>4</v>
      </c>
      <c r="B427" s="62"/>
      <c r="C427" s="62"/>
      <c r="D427" s="62"/>
      <c r="E427" s="62" t="s">
        <v>523</v>
      </c>
      <c r="F427" s="62"/>
      <c r="G427" s="63">
        <v>-3907.63</v>
      </c>
      <c r="H427" s="66"/>
      <c r="I427" s="64">
        <v>0</v>
      </c>
      <c r="J427" s="63"/>
      <c r="K427" s="62"/>
      <c r="L427" s="63">
        <f>SUM(G427:K427)</f>
        <v>-3907.63</v>
      </c>
    </row>
    <row r="428" spans="1:12">
      <c r="A428" s="62">
        <f>A427+1</f>
        <v>5</v>
      </c>
      <c r="B428" s="67"/>
      <c r="C428" s="67"/>
      <c r="D428" s="67"/>
      <c r="E428" s="67" t="s">
        <v>524</v>
      </c>
      <c r="F428" s="67"/>
      <c r="G428" s="64"/>
      <c r="H428" s="64">
        <v>8800</v>
      </c>
      <c r="I428" s="64">
        <v>0</v>
      </c>
      <c r="J428" s="64"/>
      <c r="K428" s="62"/>
      <c r="L428" s="63">
        <f>SUM(G428:K428)</f>
        <v>8800</v>
      </c>
    </row>
    <row r="429" spans="1:12">
      <c r="A429" s="65"/>
      <c r="B429" s="68"/>
      <c r="C429" s="68"/>
      <c r="D429" s="68"/>
      <c r="E429" s="68"/>
      <c r="F429" s="68"/>
      <c r="G429" s="69"/>
      <c r="H429" s="69"/>
      <c r="I429" s="69"/>
      <c r="J429" s="69"/>
      <c r="K429" s="65"/>
      <c r="L429" s="61"/>
    </row>
    <row r="431" spans="1:12">
      <c r="A431" s="70" t="s">
        <v>548</v>
      </c>
    </row>
    <row r="432" spans="1:12">
      <c r="A432" s="71">
        <v>1</v>
      </c>
      <c r="B432" s="71"/>
      <c r="C432" s="71"/>
      <c r="D432" s="71" t="s">
        <v>515</v>
      </c>
      <c r="E432" s="71"/>
      <c r="F432" s="72"/>
      <c r="G432" s="72">
        <v>313194.68</v>
      </c>
      <c r="H432" s="72">
        <v>4861.45</v>
      </c>
      <c r="I432" s="71"/>
      <c r="J432" s="71"/>
      <c r="K432" s="71"/>
      <c r="L432" s="72">
        <f>SUM(G432:K432)</f>
        <v>318056.13</v>
      </c>
    </row>
    <row r="433" spans="1:12">
      <c r="A433" s="71">
        <f>A432+1</f>
        <v>2</v>
      </c>
      <c r="B433" s="71"/>
      <c r="C433" s="71"/>
      <c r="D433" s="71" t="s">
        <v>516</v>
      </c>
      <c r="E433" s="73"/>
      <c r="F433" s="72"/>
      <c r="G433" s="72">
        <v>5573123.9000000004</v>
      </c>
      <c r="H433" s="72">
        <v>610453.68999999994</v>
      </c>
      <c r="I433" s="71"/>
      <c r="J433" s="71"/>
      <c r="K433" s="71"/>
      <c r="L433" s="72">
        <f>SUM(G433:K433)</f>
        <v>6183577.5899999999</v>
      </c>
    </row>
    <row r="434" spans="1:12">
      <c r="A434" s="71">
        <f>A433+1</f>
        <v>3</v>
      </c>
      <c r="B434" s="71"/>
      <c r="C434" s="71"/>
      <c r="D434" s="71" t="s">
        <v>517</v>
      </c>
      <c r="E434" s="73"/>
      <c r="F434" s="72"/>
      <c r="G434" s="72">
        <v>6027343.4699999997</v>
      </c>
      <c r="H434" s="72">
        <v>444684.54</v>
      </c>
      <c r="I434" s="71"/>
      <c r="J434" s="71"/>
      <c r="K434" s="71"/>
      <c r="L434" s="72">
        <f>SUM(G434:K434)</f>
        <v>6472028.0099999998</v>
      </c>
    </row>
    <row r="435" spans="1:12">
      <c r="A435" s="71">
        <f>A434+1</f>
        <v>4</v>
      </c>
      <c r="B435" s="71"/>
      <c r="C435" s="71"/>
      <c r="D435" s="71" t="s">
        <v>518</v>
      </c>
      <c r="E435" s="73"/>
      <c r="F435" s="72"/>
      <c r="G435" s="72">
        <v>2773047.97</v>
      </c>
      <c r="H435" s="72">
        <v>4714.47</v>
      </c>
      <c r="I435" s="71"/>
      <c r="J435" s="71"/>
      <c r="K435" s="71"/>
      <c r="L435" s="72">
        <f>SUM(G435:K435)</f>
        <v>2777762.4400000004</v>
      </c>
    </row>
    <row r="436" spans="1:12">
      <c r="A436" s="71">
        <v>5</v>
      </c>
      <c r="B436" s="71"/>
      <c r="C436" s="71"/>
      <c r="D436" s="71" t="s">
        <v>519</v>
      </c>
      <c r="E436" s="73"/>
      <c r="F436" s="72"/>
      <c r="G436" s="72">
        <v>5732252.5700000003</v>
      </c>
      <c r="H436" s="72">
        <v>1308842.1499999999</v>
      </c>
      <c r="I436" s="74"/>
      <c r="J436" s="72"/>
      <c r="K436" s="74"/>
      <c r="L436" s="72">
        <f>SUM(G436:K436)</f>
        <v>7041094.7200000007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1"/>
  <sheetViews>
    <sheetView topLeftCell="A15" workbookViewId="0">
      <selection activeCell="A41" sqref="A41"/>
    </sheetView>
  </sheetViews>
  <sheetFormatPr defaultColWidth="8.84375" defaultRowHeight="15.5"/>
  <cols>
    <col min="1" max="2" width="8.84375" style="35"/>
    <col min="3" max="3" width="31.53515625" style="35" bestFit="1" customWidth="1"/>
    <col min="4" max="5" width="11" style="35" customWidth="1"/>
    <col min="6" max="8" width="8.84375" style="35"/>
    <col min="9" max="9" width="8.84375" style="89"/>
    <col min="10" max="10" width="12.23046875" style="35" customWidth="1"/>
    <col min="11" max="11" width="8.84375" style="35"/>
    <col min="12" max="14" width="9.4609375" style="35" customWidth="1"/>
    <col min="15" max="16" width="9.4609375" style="89" customWidth="1"/>
    <col min="17" max="17" width="8.84375" style="35"/>
    <col min="18" max="18" width="23.53515625" style="35" bestFit="1" customWidth="1"/>
    <col min="19" max="16384" width="8.84375" style="35"/>
  </cols>
  <sheetData>
    <row r="1" spans="1:17">
      <c r="A1" s="152" t="s">
        <v>551</v>
      </c>
      <c r="B1" s="87" t="str">
        <f>$A$1&amp;+" CENTRAL SERVICES ALLOCATIONS"</f>
        <v>12/13 CENTRAL SERVICES ALLOCATIONS</v>
      </c>
      <c r="C1" s="88"/>
    </row>
    <row r="2" spans="1:17">
      <c r="A2" s="88"/>
      <c r="B2" s="90"/>
      <c r="C2" s="88"/>
    </row>
    <row r="3" spans="1:17">
      <c r="A3" s="88"/>
      <c r="B3" s="90"/>
      <c r="C3" s="88"/>
    </row>
    <row r="4" spans="1:17">
      <c r="A4" s="90" t="s">
        <v>18</v>
      </c>
      <c r="B4" s="90"/>
      <c r="C4" s="88"/>
    </row>
    <row r="5" spans="1:17">
      <c r="A5" s="90" t="s">
        <v>19</v>
      </c>
      <c r="B5" s="90"/>
      <c r="C5" s="90" t="s">
        <v>36</v>
      </c>
      <c r="D5" s="91"/>
      <c r="E5" s="91"/>
      <c r="J5" s="92"/>
      <c r="O5" s="93"/>
      <c r="P5" s="93"/>
    </row>
    <row r="6" spans="1:17">
      <c r="A6" s="88"/>
      <c r="B6" s="90"/>
      <c r="C6" s="88"/>
      <c r="D6" s="94"/>
      <c r="E6" s="94"/>
    </row>
    <row r="7" spans="1:17">
      <c r="A7" s="88"/>
      <c r="B7" s="90"/>
      <c r="C7" s="88"/>
      <c r="J7" s="92"/>
      <c r="O7" s="93"/>
      <c r="P7" s="93"/>
    </row>
    <row r="8" spans="1:17">
      <c r="A8" s="88"/>
      <c r="B8" s="90"/>
      <c r="C8" s="95"/>
      <c r="D8" s="96"/>
      <c r="E8" s="97"/>
      <c r="F8" s="98" t="s">
        <v>298</v>
      </c>
      <c r="G8" s="97"/>
      <c r="H8" s="97"/>
      <c r="I8" s="99"/>
      <c r="J8" s="96"/>
      <c r="K8" s="97"/>
      <c r="L8" s="98" t="s">
        <v>299</v>
      </c>
      <c r="M8" s="98"/>
      <c r="N8" s="98"/>
      <c r="O8" s="99"/>
      <c r="P8" s="99"/>
    </row>
    <row r="9" spans="1:17">
      <c r="A9" s="88"/>
      <c r="B9" s="90"/>
      <c r="C9" s="88"/>
      <c r="D9" s="100" t="s">
        <v>155</v>
      </c>
      <c r="E9" s="101" t="s">
        <v>530</v>
      </c>
      <c r="F9" s="102" t="s">
        <v>553</v>
      </c>
      <c r="G9" s="103" t="s">
        <v>554</v>
      </c>
      <c r="H9" s="103" t="s">
        <v>156</v>
      </c>
      <c r="I9" s="104"/>
      <c r="J9" s="105" t="s">
        <v>155</v>
      </c>
      <c r="K9" s="101" t="s">
        <v>530</v>
      </c>
      <c r="L9" s="103" t="s">
        <v>582</v>
      </c>
      <c r="M9" s="103"/>
      <c r="N9" s="103" t="s">
        <v>156</v>
      </c>
      <c r="O9" s="106"/>
      <c r="P9" s="106" t="s">
        <v>555</v>
      </c>
    </row>
    <row r="10" spans="1:17">
      <c r="A10" s="88"/>
      <c r="B10" s="90"/>
      <c r="C10" s="95"/>
      <c r="D10" s="107" t="s">
        <v>296</v>
      </c>
      <c r="E10" s="108" t="s">
        <v>141</v>
      </c>
      <c r="F10" s="109" t="s">
        <v>297</v>
      </c>
      <c r="G10" s="108" t="s">
        <v>141</v>
      </c>
      <c r="H10" s="108" t="s">
        <v>157</v>
      </c>
      <c r="I10" s="110">
        <v>0.25</v>
      </c>
      <c r="J10" s="107" t="s">
        <v>296</v>
      </c>
      <c r="K10" s="108" t="s">
        <v>141</v>
      </c>
      <c r="L10" s="111" t="s">
        <v>529</v>
      </c>
      <c r="M10" s="111"/>
      <c r="N10" s="111" t="s">
        <v>157</v>
      </c>
      <c r="O10" s="110">
        <v>0.75</v>
      </c>
      <c r="P10" s="154" t="s">
        <v>556</v>
      </c>
    </row>
    <row r="11" spans="1:17">
      <c r="A11" s="88"/>
      <c r="B11" s="90"/>
      <c r="C11" s="88"/>
      <c r="D11" s="112"/>
      <c r="E11" s="113"/>
      <c r="F11" s="153"/>
      <c r="G11" s="113"/>
      <c r="H11" s="153"/>
      <c r="I11" s="114"/>
      <c r="J11" s="115"/>
      <c r="K11" s="116"/>
      <c r="L11" s="116"/>
      <c r="M11" s="116"/>
      <c r="N11" s="116"/>
      <c r="O11" s="117"/>
      <c r="P11" s="117"/>
    </row>
    <row r="12" spans="1:17">
      <c r="A12" s="88">
        <v>100000</v>
      </c>
      <c r="B12" s="90" t="s">
        <v>21</v>
      </c>
      <c r="C12" s="88" t="s">
        <v>37</v>
      </c>
      <c r="D12" s="118">
        <v>0.19509939898289413</v>
      </c>
      <c r="E12" s="119">
        <v>0.18715825652241838</v>
      </c>
      <c r="F12" s="120">
        <v>1207</v>
      </c>
      <c r="G12" s="119">
        <f>F12/$F$127</f>
        <v>0.19287312240332374</v>
      </c>
      <c r="H12" s="119">
        <f>AVERAGE(G12,E12,D12)</f>
        <v>0.19171025930287877</v>
      </c>
      <c r="I12" s="121">
        <f>H12*$I$10</f>
        <v>4.7927564825719693E-2</v>
      </c>
      <c r="J12" s="122">
        <v>157297509</v>
      </c>
      <c r="K12" s="123">
        <v>129573833.80999997</v>
      </c>
      <c r="L12" s="123">
        <f>BUDGETSIZE!U7</f>
        <v>144206870.43000001</v>
      </c>
      <c r="M12" s="124">
        <f t="shared" ref="M12:M44" si="0">((J12/$J$127)+(K12/$K$127)+(L12/$L$127))/3</f>
        <v>0.13342631227420207</v>
      </c>
      <c r="N12" s="124">
        <f>M12/$M$127</f>
        <v>0.13342631227420201</v>
      </c>
      <c r="O12" s="125">
        <f>$O$10*N12</f>
        <v>0.10006973420565152</v>
      </c>
      <c r="P12" s="125">
        <f>(O12+I12)</f>
        <v>0.14799729903137121</v>
      </c>
      <c r="Q12" s="126"/>
    </row>
    <row r="13" spans="1:17">
      <c r="A13" s="88">
        <v>214000</v>
      </c>
      <c r="B13" s="90" t="s">
        <v>22</v>
      </c>
      <c r="C13" s="88" t="s">
        <v>38</v>
      </c>
      <c r="D13" s="118">
        <v>0</v>
      </c>
      <c r="E13" s="119">
        <v>0</v>
      </c>
      <c r="F13" s="120">
        <v>0</v>
      </c>
      <c r="G13" s="119">
        <f t="shared" ref="G13:G76" si="1">F13/$F$127</f>
        <v>0</v>
      </c>
      <c r="H13" s="119">
        <f t="shared" ref="H13:H76" si="2">AVERAGE(G13,E13,D13)</f>
        <v>0</v>
      </c>
      <c r="I13" s="121">
        <f t="shared" ref="I13:I76" si="3">H13*$I$10</f>
        <v>0</v>
      </c>
      <c r="J13" s="122">
        <v>0</v>
      </c>
      <c r="K13" s="123">
        <v>0</v>
      </c>
      <c r="L13" s="123">
        <f>BUDGETSIZE!U8</f>
        <v>0</v>
      </c>
      <c r="M13" s="124">
        <f t="shared" si="0"/>
        <v>0</v>
      </c>
      <c r="N13" s="124">
        <f t="shared" ref="N13:N76" si="4">M13/$M$127</f>
        <v>0</v>
      </c>
      <c r="O13" s="125">
        <f t="shared" ref="O13:O76" si="5">$O$10*N13</f>
        <v>0</v>
      </c>
      <c r="P13" s="125">
        <f t="shared" ref="P13:P76" si="6">(O13+I13)</f>
        <v>0</v>
      </c>
      <c r="Q13" s="126"/>
    </row>
    <row r="14" spans="1:17">
      <c r="A14" s="88">
        <v>100000</v>
      </c>
      <c r="B14" s="90" t="s">
        <v>23</v>
      </c>
      <c r="C14" s="88" t="s">
        <v>39</v>
      </c>
      <c r="D14" s="118">
        <v>0.11126521806133456</v>
      </c>
      <c r="E14" s="119">
        <v>0.119512576159975</v>
      </c>
      <c r="F14" s="120">
        <v>750</v>
      </c>
      <c r="G14" s="119">
        <f t="shared" si="1"/>
        <v>0.11984659635666348</v>
      </c>
      <c r="H14" s="119">
        <f t="shared" si="2"/>
        <v>0.11687479685932434</v>
      </c>
      <c r="I14" s="121">
        <f t="shared" si="3"/>
        <v>2.9218699214831084E-2</v>
      </c>
      <c r="J14" s="122">
        <v>92615296</v>
      </c>
      <c r="K14" s="123">
        <v>85346906.804999992</v>
      </c>
      <c r="L14" s="123">
        <f>BUDGETSIZE!U9</f>
        <v>91478781.74500002</v>
      </c>
      <c r="M14" s="124">
        <f t="shared" si="0"/>
        <v>8.4031754124698418E-2</v>
      </c>
      <c r="N14" s="124">
        <f t="shared" si="4"/>
        <v>8.4031754124698377E-2</v>
      </c>
      <c r="O14" s="125">
        <f t="shared" si="5"/>
        <v>6.3023815593523783E-2</v>
      </c>
      <c r="P14" s="125">
        <f t="shared" si="6"/>
        <v>9.2242514808354867E-2</v>
      </c>
      <c r="Q14" s="126"/>
    </row>
    <row r="15" spans="1:17">
      <c r="A15" s="88">
        <v>100000</v>
      </c>
      <c r="B15" s="90" t="s">
        <v>24</v>
      </c>
      <c r="C15" s="88" t="s">
        <v>40</v>
      </c>
      <c r="D15" s="118">
        <v>0.1701340730466944</v>
      </c>
      <c r="E15" s="119">
        <v>0.16872363693172943</v>
      </c>
      <c r="F15" s="120">
        <v>974</v>
      </c>
      <c r="G15" s="119">
        <f t="shared" si="1"/>
        <v>0.15564077980185362</v>
      </c>
      <c r="H15" s="119">
        <f t="shared" si="2"/>
        <v>0.16483282992675916</v>
      </c>
      <c r="I15" s="121">
        <f t="shared" si="3"/>
        <v>4.1208207481689789E-2</v>
      </c>
      <c r="J15" s="122">
        <v>60130076</v>
      </c>
      <c r="K15" s="123">
        <v>51967978.935000025</v>
      </c>
      <c r="L15" s="123">
        <f>BUDGETSIZE!U10</f>
        <v>55232036.149999931</v>
      </c>
      <c r="M15" s="124">
        <f t="shared" si="0"/>
        <v>5.1883339488479778E-2</v>
      </c>
      <c r="N15" s="124">
        <f t="shared" si="4"/>
        <v>5.1883339488479757E-2</v>
      </c>
      <c r="O15" s="125">
        <f t="shared" si="5"/>
        <v>3.8912504616359818E-2</v>
      </c>
      <c r="P15" s="125">
        <f t="shared" si="6"/>
        <v>8.0120712098049607E-2</v>
      </c>
      <c r="Q15" s="126"/>
    </row>
    <row r="16" spans="1:17">
      <c r="A16" s="88">
        <v>600000</v>
      </c>
      <c r="B16" s="90" t="s">
        <v>22</v>
      </c>
      <c r="C16" s="88" t="s">
        <v>41</v>
      </c>
      <c r="D16" s="118">
        <v>7.3971336107258437E-2</v>
      </c>
      <c r="E16" s="119">
        <v>8.4674269645367908E-2</v>
      </c>
      <c r="F16" s="120">
        <v>534</v>
      </c>
      <c r="G16" s="119">
        <f t="shared" si="1"/>
        <v>8.5330776605944389E-2</v>
      </c>
      <c r="H16" s="119">
        <f t="shared" si="2"/>
        <v>8.132546078619024E-2</v>
      </c>
      <c r="I16" s="121">
        <f t="shared" si="3"/>
        <v>2.033136519654756E-2</v>
      </c>
      <c r="J16" s="122">
        <v>99640069</v>
      </c>
      <c r="K16" s="123">
        <v>163300319.73999989</v>
      </c>
      <c r="L16" s="123">
        <f>BUDGETSIZE!U11</f>
        <v>104105874.90499999</v>
      </c>
      <c r="M16" s="124">
        <f t="shared" si="0"/>
        <v>0.11710470640594096</v>
      </c>
      <c r="N16" s="124">
        <f t="shared" si="4"/>
        <v>0.11710470640594091</v>
      </c>
      <c r="O16" s="125">
        <f t="shared" si="5"/>
        <v>8.7828529804455685E-2</v>
      </c>
      <c r="P16" s="125">
        <f t="shared" si="6"/>
        <v>0.10815989500100325</v>
      </c>
      <c r="Q16" s="126"/>
    </row>
    <row r="17" spans="1:17">
      <c r="A17" s="88">
        <v>608000</v>
      </c>
      <c r="B17" s="90" t="s">
        <v>22</v>
      </c>
      <c r="C17" s="88" t="s">
        <v>42</v>
      </c>
      <c r="D17" s="118">
        <v>8.321775312066574E-3</v>
      </c>
      <c r="E17" s="119">
        <v>9.3735353850960793E-4</v>
      </c>
      <c r="F17" s="120">
        <v>3</v>
      </c>
      <c r="G17" s="119">
        <f t="shared" si="1"/>
        <v>4.7938638542665386E-4</v>
      </c>
      <c r="H17" s="119">
        <f t="shared" si="2"/>
        <v>3.2461717453342782E-3</v>
      </c>
      <c r="I17" s="121">
        <f t="shared" si="3"/>
        <v>8.1154293633356955E-4</v>
      </c>
      <c r="J17" s="122">
        <v>5556186</v>
      </c>
      <c r="K17" s="123">
        <v>2744587.6499999994</v>
      </c>
      <c r="L17" s="123">
        <f>BUDGETSIZE!U12</f>
        <v>3334817.2199999997</v>
      </c>
      <c r="M17" s="124">
        <f t="shared" si="0"/>
        <v>3.4524873847726592E-3</v>
      </c>
      <c r="N17" s="124">
        <f t="shared" si="4"/>
        <v>3.4524873847726575E-3</v>
      </c>
      <c r="O17" s="125">
        <f t="shared" si="5"/>
        <v>2.5893655385794932E-3</v>
      </c>
      <c r="P17" s="125">
        <f t="shared" si="6"/>
        <v>3.4009084749130627E-3</v>
      </c>
      <c r="Q17" s="126"/>
    </row>
    <row r="18" spans="1:17">
      <c r="A18" s="88">
        <v>605000</v>
      </c>
      <c r="B18" s="90" t="s">
        <v>22</v>
      </c>
      <c r="C18" s="88" t="s">
        <v>43</v>
      </c>
      <c r="D18" s="118">
        <v>3.3903529049160116E-3</v>
      </c>
      <c r="E18" s="119">
        <v>4.2180909232932351E-3</v>
      </c>
      <c r="F18" s="120">
        <v>32</v>
      </c>
      <c r="G18" s="119">
        <f t="shared" si="1"/>
        <v>5.1134547778843081E-3</v>
      </c>
      <c r="H18" s="119">
        <f t="shared" si="2"/>
        <v>4.2406328686978518E-3</v>
      </c>
      <c r="I18" s="121">
        <f t="shared" si="3"/>
        <v>1.0601582171744629E-3</v>
      </c>
      <c r="J18" s="122">
        <v>5397170</v>
      </c>
      <c r="K18" s="123">
        <v>3106227.08</v>
      </c>
      <c r="L18" s="123">
        <f>BUDGETSIZE!U13</f>
        <v>3494849.2000000007</v>
      </c>
      <c r="M18" s="124">
        <f t="shared" si="0"/>
        <v>3.596822691722614E-3</v>
      </c>
      <c r="N18" s="124">
        <f t="shared" si="4"/>
        <v>3.5968226917226123E-3</v>
      </c>
      <c r="O18" s="125">
        <f t="shared" si="5"/>
        <v>2.6976170187919591E-3</v>
      </c>
      <c r="P18" s="125">
        <f t="shared" si="6"/>
        <v>3.7577752359664223E-3</v>
      </c>
      <c r="Q18" s="126"/>
    </row>
    <row r="19" spans="1:17">
      <c r="A19" s="88">
        <v>200000</v>
      </c>
      <c r="B19" s="90" t="s">
        <v>22</v>
      </c>
      <c r="C19" s="88" t="s">
        <v>44</v>
      </c>
      <c r="D19" s="118">
        <v>0.11126521806133456</v>
      </c>
      <c r="E19" s="119">
        <v>0.11248242462115295</v>
      </c>
      <c r="F19" s="120">
        <v>718</v>
      </c>
      <c r="G19" s="119">
        <f t="shared" si="1"/>
        <v>0.11473314157877916</v>
      </c>
      <c r="H19" s="119">
        <f t="shared" si="2"/>
        <v>0.11282692808708888</v>
      </c>
      <c r="I19" s="121">
        <f t="shared" si="3"/>
        <v>2.8206732021772221E-2</v>
      </c>
      <c r="J19" s="122">
        <v>180216986</v>
      </c>
      <c r="K19" s="123">
        <v>147219764.67999995</v>
      </c>
      <c r="L19" s="123">
        <f>BUDGETSIZE!U14</f>
        <v>122473560.77499993</v>
      </c>
      <c r="M19" s="124">
        <f t="shared" si="0"/>
        <v>0.13717640195677641</v>
      </c>
      <c r="N19" s="124">
        <f t="shared" si="4"/>
        <v>0.13717640195677636</v>
      </c>
      <c r="O19" s="125">
        <f t="shared" si="5"/>
        <v>0.10288230146758226</v>
      </c>
      <c r="P19" s="125">
        <f t="shared" si="6"/>
        <v>0.13108903348935447</v>
      </c>
      <c r="Q19" s="126"/>
    </row>
    <row r="20" spans="1:17">
      <c r="A20" s="88">
        <v>212000</v>
      </c>
      <c r="B20" s="90" t="s">
        <v>22</v>
      </c>
      <c r="C20" s="88" t="s">
        <v>45</v>
      </c>
      <c r="D20" s="118">
        <v>0</v>
      </c>
      <c r="E20" s="119">
        <v>0</v>
      </c>
      <c r="F20" s="120">
        <v>0</v>
      </c>
      <c r="G20" s="119">
        <f t="shared" si="1"/>
        <v>0</v>
      </c>
      <c r="H20" s="119">
        <f t="shared" si="2"/>
        <v>0</v>
      </c>
      <c r="I20" s="121">
        <f t="shared" si="3"/>
        <v>0</v>
      </c>
      <c r="J20" s="122">
        <v>0</v>
      </c>
      <c r="K20" s="123">
        <v>0</v>
      </c>
      <c r="L20" s="123">
        <f>BUDGETSIZE!U15</f>
        <v>0</v>
      </c>
      <c r="M20" s="124">
        <f t="shared" si="0"/>
        <v>0</v>
      </c>
      <c r="N20" s="124">
        <f t="shared" si="4"/>
        <v>0</v>
      </c>
      <c r="O20" s="125">
        <f t="shared" si="5"/>
        <v>0</v>
      </c>
      <c r="P20" s="125">
        <f t="shared" si="6"/>
        <v>0</v>
      </c>
      <c r="Q20" s="126"/>
    </row>
    <row r="21" spans="1:17">
      <c r="A21" s="88">
        <v>614000</v>
      </c>
      <c r="B21" s="90" t="s">
        <v>22</v>
      </c>
      <c r="C21" s="88" t="s">
        <v>46</v>
      </c>
      <c r="D21" s="118">
        <v>0</v>
      </c>
      <c r="E21" s="119">
        <v>0</v>
      </c>
      <c r="F21" s="120">
        <v>0</v>
      </c>
      <c r="G21" s="119">
        <f t="shared" si="1"/>
        <v>0</v>
      </c>
      <c r="H21" s="119">
        <f t="shared" si="2"/>
        <v>0</v>
      </c>
      <c r="I21" s="121">
        <f t="shared" si="3"/>
        <v>0</v>
      </c>
      <c r="J21" s="122">
        <v>111275102</v>
      </c>
      <c r="K21" s="123">
        <v>0</v>
      </c>
      <c r="L21" s="123">
        <f>BUDGETSIZE!U16</f>
        <v>0</v>
      </c>
      <c r="M21" s="124">
        <f t="shared" si="0"/>
        <v>2.6323673987176346E-2</v>
      </c>
      <c r="N21" s="124">
        <f t="shared" si="4"/>
        <v>2.6323673987176336E-2</v>
      </c>
      <c r="O21" s="125">
        <f t="shared" si="5"/>
        <v>1.9742755490382253E-2</v>
      </c>
      <c r="P21" s="125">
        <f t="shared" si="6"/>
        <v>1.9742755490382253E-2</v>
      </c>
      <c r="Q21" s="126"/>
    </row>
    <row r="22" spans="1:17">
      <c r="A22" s="88">
        <v>609000</v>
      </c>
      <c r="B22" s="90" t="s">
        <v>22</v>
      </c>
      <c r="C22" s="88" t="s">
        <v>47</v>
      </c>
      <c r="D22" s="118">
        <v>0</v>
      </c>
      <c r="E22" s="119">
        <v>0</v>
      </c>
      <c r="F22" s="120">
        <v>0</v>
      </c>
      <c r="G22" s="119">
        <f t="shared" si="1"/>
        <v>0</v>
      </c>
      <c r="H22" s="119">
        <f t="shared" si="2"/>
        <v>0</v>
      </c>
      <c r="I22" s="121">
        <f t="shared" si="3"/>
        <v>0</v>
      </c>
      <c r="J22" s="122">
        <v>75647150</v>
      </c>
      <c r="K22" s="123">
        <v>0</v>
      </c>
      <c r="L22" s="123">
        <f>BUDGETSIZE!U17</f>
        <v>0</v>
      </c>
      <c r="M22" s="124">
        <f t="shared" si="0"/>
        <v>1.789538610945535E-2</v>
      </c>
      <c r="N22" s="124">
        <f t="shared" si="4"/>
        <v>1.7895386109455343E-2</v>
      </c>
      <c r="O22" s="125">
        <f t="shared" si="5"/>
        <v>1.3421539582091507E-2</v>
      </c>
      <c r="P22" s="125">
        <f t="shared" si="6"/>
        <v>1.3421539582091507E-2</v>
      </c>
      <c r="Q22" s="126"/>
    </row>
    <row r="23" spans="1:17">
      <c r="A23" s="88">
        <v>602000</v>
      </c>
      <c r="B23" s="90" t="s">
        <v>22</v>
      </c>
      <c r="C23" s="88" t="s">
        <v>48</v>
      </c>
      <c r="D23" s="118">
        <v>9.7549699491447067E-2</v>
      </c>
      <c r="E23" s="119">
        <v>9.6703640056241214E-2</v>
      </c>
      <c r="F23" s="120">
        <v>595</v>
      </c>
      <c r="G23" s="119">
        <f t="shared" si="1"/>
        <v>9.507829977628636E-2</v>
      </c>
      <c r="H23" s="119">
        <f t="shared" si="2"/>
        <v>9.6443879774658223E-2</v>
      </c>
      <c r="I23" s="121">
        <f t="shared" si="3"/>
        <v>2.4110969943664556E-2</v>
      </c>
      <c r="J23" s="122">
        <v>76779020</v>
      </c>
      <c r="K23" s="123">
        <v>79748480.924999997</v>
      </c>
      <c r="L23" s="123">
        <f>BUDGETSIZE!U18</f>
        <v>86834289.585000008</v>
      </c>
      <c r="M23" s="124">
        <f t="shared" si="0"/>
        <v>7.6694794704791749E-2</v>
      </c>
      <c r="N23" s="124">
        <f t="shared" si="4"/>
        <v>7.6694794704791722E-2</v>
      </c>
      <c r="O23" s="125">
        <f t="shared" si="5"/>
        <v>5.7521096028593788E-2</v>
      </c>
      <c r="P23" s="125">
        <f t="shared" si="6"/>
        <v>8.1632065972258347E-2</v>
      </c>
      <c r="Q23" s="126"/>
    </row>
    <row r="24" spans="1:17">
      <c r="A24" s="88">
        <v>615000</v>
      </c>
      <c r="B24" s="90" t="s">
        <v>22</v>
      </c>
      <c r="C24" s="88" t="s">
        <v>49</v>
      </c>
      <c r="D24" s="118">
        <v>0</v>
      </c>
      <c r="E24" s="119">
        <v>0</v>
      </c>
      <c r="F24" s="120">
        <v>0</v>
      </c>
      <c r="G24" s="119">
        <f t="shared" si="1"/>
        <v>0</v>
      </c>
      <c r="H24" s="119">
        <f t="shared" si="2"/>
        <v>0</v>
      </c>
      <c r="I24" s="121">
        <f t="shared" si="3"/>
        <v>0</v>
      </c>
      <c r="J24" s="122">
        <v>36338000</v>
      </c>
      <c r="K24" s="123">
        <v>0</v>
      </c>
      <c r="L24" s="123">
        <f>BUDGETSIZE!U19</f>
        <v>0</v>
      </c>
      <c r="M24" s="124">
        <f t="shared" si="0"/>
        <v>8.5962596138174207E-3</v>
      </c>
      <c r="N24" s="124">
        <f t="shared" si="4"/>
        <v>8.5962596138174172E-3</v>
      </c>
      <c r="O24" s="125">
        <f t="shared" si="5"/>
        <v>6.4471947103630634E-3</v>
      </c>
      <c r="P24" s="125">
        <f t="shared" si="6"/>
        <v>6.4471947103630634E-3</v>
      </c>
      <c r="Q24" s="126"/>
    </row>
    <row r="25" spans="1:17">
      <c r="A25" s="88">
        <v>612000</v>
      </c>
      <c r="B25" s="90" t="s">
        <v>22</v>
      </c>
      <c r="C25" s="88" t="s">
        <v>50</v>
      </c>
      <c r="D25" s="118">
        <v>0</v>
      </c>
      <c r="E25" s="119">
        <v>0</v>
      </c>
      <c r="F25" s="120">
        <v>0</v>
      </c>
      <c r="G25" s="119">
        <f t="shared" si="1"/>
        <v>0</v>
      </c>
      <c r="H25" s="119">
        <f t="shared" si="2"/>
        <v>0</v>
      </c>
      <c r="I25" s="121">
        <f t="shared" si="3"/>
        <v>0</v>
      </c>
      <c r="J25" s="122">
        <v>14153186</v>
      </c>
      <c r="K25" s="123">
        <v>0</v>
      </c>
      <c r="L25" s="123">
        <f>BUDGETSIZE!U20</f>
        <v>0</v>
      </c>
      <c r="M25" s="124">
        <f t="shared" si="0"/>
        <v>3.3481331173605077E-3</v>
      </c>
      <c r="N25" s="124">
        <f t="shared" si="4"/>
        <v>3.3481331173605064E-3</v>
      </c>
      <c r="O25" s="125">
        <f t="shared" si="5"/>
        <v>2.5110998380203798E-3</v>
      </c>
      <c r="P25" s="125">
        <f t="shared" si="6"/>
        <v>2.5110998380203798E-3</v>
      </c>
      <c r="Q25" s="126"/>
    </row>
    <row r="26" spans="1:17">
      <c r="A26" s="88">
        <v>607000</v>
      </c>
      <c r="B26" s="90" t="s">
        <v>22</v>
      </c>
      <c r="C26" s="88" t="s">
        <v>51</v>
      </c>
      <c r="D26" s="118">
        <v>0</v>
      </c>
      <c r="E26" s="119">
        <v>0</v>
      </c>
      <c r="F26" s="120">
        <v>0</v>
      </c>
      <c r="G26" s="119">
        <f t="shared" si="1"/>
        <v>0</v>
      </c>
      <c r="H26" s="119">
        <f t="shared" si="2"/>
        <v>0</v>
      </c>
      <c r="I26" s="121">
        <f t="shared" si="3"/>
        <v>0</v>
      </c>
      <c r="J26" s="122">
        <v>10184872</v>
      </c>
      <c r="K26" s="123">
        <v>6818850.4000000004</v>
      </c>
      <c r="L26" s="123">
        <f>BUDGETSIZE!U21</f>
        <v>1425933.01</v>
      </c>
      <c r="M26" s="124">
        <f t="shared" si="0"/>
        <v>5.271791330807356E-3</v>
      </c>
      <c r="N26" s="124">
        <f t="shared" si="4"/>
        <v>5.2717913308073534E-3</v>
      </c>
      <c r="O26" s="125">
        <f t="shared" si="5"/>
        <v>3.9538434981055155E-3</v>
      </c>
      <c r="P26" s="125">
        <f t="shared" si="6"/>
        <v>3.9538434981055155E-3</v>
      </c>
      <c r="Q26" s="126"/>
    </row>
    <row r="27" spans="1:17">
      <c r="A27" s="88">
        <v>617000</v>
      </c>
      <c r="B27" s="90" t="s">
        <v>22</v>
      </c>
      <c r="C27" s="88" t="s">
        <v>52</v>
      </c>
      <c r="D27" s="118">
        <v>0</v>
      </c>
      <c r="E27" s="119">
        <v>0</v>
      </c>
      <c r="F27" s="120">
        <v>0</v>
      </c>
      <c r="G27" s="119">
        <f t="shared" si="1"/>
        <v>0</v>
      </c>
      <c r="H27" s="119">
        <f t="shared" si="2"/>
        <v>0</v>
      </c>
      <c r="I27" s="121">
        <f t="shared" si="3"/>
        <v>0</v>
      </c>
      <c r="J27" s="122">
        <v>0</v>
      </c>
      <c r="K27" s="123">
        <v>0</v>
      </c>
      <c r="L27" s="123">
        <f>BUDGETSIZE!U22</f>
        <v>0</v>
      </c>
      <c r="M27" s="124">
        <f t="shared" si="0"/>
        <v>0</v>
      </c>
      <c r="N27" s="124">
        <f t="shared" si="4"/>
        <v>0</v>
      </c>
      <c r="O27" s="125">
        <f t="shared" si="5"/>
        <v>0</v>
      </c>
      <c r="P27" s="125">
        <f t="shared" si="6"/>
        <v>0</v>
      </c>
      <c r="Q27" s="126"/>
    </row>
    <row r="28" spans="1:17">
      <c r="A28" s="88">
        <v>619000</v>
      </c>
      <c r="B28" s="90" t="s">
        <v>22</v>
      </c>
      <c r="C28" s="88" t="s">
        <v>53</v>
      </c>
      <c r="D28" s="118">
        <v>0</v>
      </c>
      <c r="E28" s="119">
        <v>0</v>
      </c>
      <c r="F28" s="120">
        <v>0</v>
      </c>
      <c r="G28" s="119">
        <f t="shared" si="1"/>
        <v>0</v>
      </c>
      <c r="H28" s="119">
        <f t="shared" si="2"/>
        <v>0</v>
      </c>
      <c r="I28" s="121">
        <f t="shared" si="3"/>
        <v>0</v>
      </c>
      <c r="J28" s="122">
        <v>0</v>
      </c>
      <c r="K28" s="123">
        <v>0</v>
      </c>
      <c r="L28" s="123">
        <f>BUDGETSIZE!U23</f>
        <v>0</v>
      </c>
      <c r="M28" s="124">
        <f t="shared" si="0"/>
        <v>0</v>
      </c>
      <c r="N28" s="124">
        <f t="shared" si="4"/>
        <v>0</v>
      </c>
      <c r="O28" s="125">
        <f t="shared" si="5"/>
        <v>0</v>
      </c>
      <c r="P28" s="125">
        <f t="shared" si="6"/>
        <v>0</v>
      </c>
      <c r="Q28" s="126"/>
    </row>
    <row r="29" spans="1:17">
      <c r="A29" s="88">
        <v>620000</v>
      </c>
      <c r="B29" s="90" t="s">
        <v>22</v>
      </c>
      <c r="C29" s="88" t="s">
        <v>54</v>
      </c>
      <c r="D29" s="118">
        <v>0</v>
      </c>
      <c r="E29" s="119">
        <v>0</v>
      </c>
      <c r="F29" s="120">
        <v>0</v>
      </c>
      <c r="G29" s="119">
        <f t="shared" si="1"/>
        <v>0</v>
      </c>
      <c r="H29" s="119">
        <f t="shared" si="2"/>
        <v>0</v>
      </c>
      <c r="I29" s="121">
        <f t="shared" si="3"/>
        <v>0</v>
      </c>
      <c r="J29" s="122">
        <v>0</v>
      </c>
      <c r="K29" s="123">
        <v>0</v>
      </c>
      <c r="L29" s="123">
        <f>BUDGETSIZE!U24</f>
        <v>0</v>
      </c>
      <c r="M29" s="124">
        <f t="shared" si="0"/>
        <v>0</v>
      </c>
      <c r="N29" s="124">
        <f t="shared" si="4"/>
        <v>0</v>
      </c>
      <c r="O29" s="125">
        <f t="shared" si="5"/>
        <v>0</v>
      </c>
      <c r="P29" s="125">
        <f t="shared" si="6"/>
        <v>0</v>
      </c>
      <c r="Q29" s="126"/>
    </row>
    <row r="30" spans="1:17">
      <c r="A30" s="88">
        <v>802000</v>
      </c>
      <c r="B30" s="90" t="s">
        <v>22</v>
      </c>
      <c r="C30" s="88" t="s">
        <v>55</v>
      </c>
      <c r="D30" s="118">
        <v>0</v>
      </c>
      <c r="E30" s="119">
        <v>0</v>
      </c>
      <c r="F30" s="120">
        <v>0</v>
      </c>
      <c r="G30" s="119">
        <f t="shared" si="1"/>
        <v>0</v>
      </c>
      <c r="H30" s="119">
        <f t="shared" si="2"/>
        <v>0</v>
      </c>
      <c r="I30" s="121">
        <f t="shared" si="3"/>
        <v>0</v>
      </c>
      <c r="J30" s="122">
        <v>0</v>
      </c>
      <c r="K30" s="123">
        <v>0</v>
      </c>
      <c r="L30" s="123">
        <f>BUDGETSIZE!U25</f>
        <v>0</v>
      </c>
      <c r="M30" s="124">
        <f t="shared" si="0"/>
        <v>0</v>
      </c>
      <c r="N30" s="124">
        <f t="shared" si="4"/>
        <v>0</v>
      </c>
      <c r="O30" s="125">
        <f t="shared" si="5"/>
        <v>0</v>
      </c>
      <c r="P30" s="125">
        <f t="shared" si="6"/>
        <v>0</v>
      </c>
      <c r="Q30" s="126"/>
    </row>
    <row r="31" spans="1:17">
      <c r="A31" s="88">
        <v>800000</v>
      </c>
      <c r="B31" s="90" t="s">
        <v>22</v>
      </c>
      <c r="C31" s="88" t="s">
        <v>56</v>
      </c>
      <c r="D31" s="118">
        <v>2.6198181537987362E-3</v>
      </c>
      <c r="E31" s="119">
        <v>2.8120606155288236E-3</v>
      </c>
      <c r="F31" s="120">
        <v>18</v>
      </c>
      <c r="G31" s="119">
        <f t="shared" si="1"/>
        <v>2.8763183125599234E-3</v>
      </c>
      <c r="H31" s="119">
        <f t="shared" si="2"/>
        <v>2.7693990272958276E-3</v>
      </c>
      <c r="I31" s="121">
        <f t="shared" si="3"/>
        <v>6.9234975682395689E-4</v>
      </c>
      <c r="J31" s="122">
        <v>1944461</v>
      </c>
      <c r="K31" s="123">
        <v>1960776.4399999976</v>
      </c>
      <c r="L31" s="123">
        <f>BUDGETSIZE!U26</f>
        <v>1460629.2200000137</v>
      </c>
      <c r="M31" s="124">
        <f t="shared" si="0"/>
        <v>1.6582763732823794E-3</v>
      </c>
      <c r="N31" s="124">
        <f t="shared" si="4"/>
        <v>1.6582763732823787E-3</v>
      </c>
      <c r="O31" s="125">
        <f t="shared" si="5"/>
        <v>1.2437072799617839E-3</v>
      </c>
      <c r="P31" s="125">
        <f t="shared" si="6"/>
        <v>1.9360570367857408E-3</v>
      </c>
      <c r="Q31" s="126"/>
    </row>
    <row r="32" spans="1:17">
      <c r="A32" s="88">
        <v>801000</v>
      </c>
      <c r="B32" s="90" t="s">
        <v>22</v>
      </c>
      <c r="C32" s="88" t="s">
        <v>57</v>
      </c>
      <c r="D32" s="118">
        <v>0</v>
      </c>
      <c r="E32" s="119">
        <v>0</v>
      </c>
      <c r="F32" s="120">
        <v>0</v>
      </c>
      <c r="G32" s="119">
        <f t="shared" si="1"/>
        <v>0</v>
      </c>
      <c r="H32" s="119">
        <f t="shared" si="2"/>
        <v>0</v>
      </c>
      <c r="I32" s="121">
        <f t="shared" si="3"/>
        <v>0</v>
      </c>
      <c r="J32" s="122">
        <v>0</v>
      </c>
      <c r="K32" s="123">
        <v>0</v>
      </c>
      <c r="L32" s="123">
        <f>BUDGETSIZE!U27</f>
        <v>0</v>
      </c>
      <c r="M32" s="124">
        <f t="shared" si="0"/>
        <v>0</v>
      </c>
      <c r="N32" s="124">
        <f t="shared" si="4"/>
        <v>0</v>
      </c>
      <c r="O32" s="125">
        <f t="shared" si="5"/>
        <v>0</v>
      </c>
      <c r="P32" s="125">
        <f t="shared" si="6"/>
        <v>0</v>
      </c>
      <c r="Q32" s="126"/>
    </row>
    <row r="33" spans="1:17">
      <c r="A33" s="88">
        <v>211000</v>
      </c>
      <c r="B33" s="90" t="s">
        <v>22</v>
      </c>
      <c r="C33" s="88" t="s">
        <v>58</v>
      </c>
      <c r="D33" s="118">
        <v>0</v>
      </c>
      <c r="E33" s="119">
        <v>0</v>
      </c>
      <c r="F33" s="120">
        <v>0</v>
      </c>
      <c r="G33" s="119">
        <f t="shared" si="1"/>
        <v>0</v>
      </c>
      <c r="H33" s="119">
        <f t="shared" si="2"/>
        <v>0</v>
      </c>
      <c r="I33" s="121">
        <f t="shared" si="3"/>
        <v>0</v>
      </c>
      <c r="J33" s="122">
        <v>0</v>
      </c>
      <c r="K33" s="123">
        <v>0</v>
      </c>
      <c r="L33" s="123">
        <f>BUDGETSIZE!U28</f>
        <v>0</v>
      </c>
      <c r="M33" s="124">
        <f t="shared" si="0"/>
        <v>0</v>
      </c>
      <c r="N33" s="124">
        <f t="shared" si="4"/>
        <v>0</v>
      </c>
      <c r="O33" s="125">
        <f t="shared" si="5"/>
        <v>0</v>
      </c>
      <c r="P33" s="125">
        <f t="shared" si="6"/>
        <v>0</v>
      </c>
      <c r="Q33" s="126"/>
    </row>
    <row r="34" spans="1:17">
      <c r="A34" s="88">
        <v>217000</v>
      </c>
      <c r="B34" s="90" t="s">
        <v>22</v>
      </c>
      <c r="C34" s="88" t="s">
        <v>59</v>
      </c>
      <c r="D34" s="118">
        <v>0</v>
      </c>
      <c r="E34" s="119">
        <v>0</v>
      </c>
      <c r="F34" s="120">
        <v>0</v>
      </c>
      <c r="G34" s="119">
        <f t="shared" si="1"/>
        <v>0</v>
      </c>
      <c r="H34" s="119">
        <f t="shared" si="2"/>
        <v>0</v>
      </c>
      <c r="I34" s="121">
        <f t="shared" si="3"/>
        <v>0</v>
      </c>
      <c r="J34" s="122">
        <v>0</v>
      </c>
      <c r="K34" s="123">
        <v>0</v>
      </c>
      <c r="L34" s="123">
        <f>BUDGETSIZE!U29</f>
        <v>0</v>
      </c>
      <c r="M34" s="124">
        <f t="shared" si="0"/>
        <v>0</v>
      </c>
      <c r="N34" s="124">
        <f t="shared" si="4"/>
        <v>0</v>
      </c>
      <c r="O34" s="125">
        <f t="shared" si="5"/>
        <v>0</v>
      </c>
      <c r="P34" s="125">
        <f t="shared" si="6"/>
        <v>0</v>
      </c>
      <c r="Q34" s="126"/>
    </row>
    <row r="35" spans="1:17">
      <c r="A35" s="88">
        <v>853000</v>
      </c>
      <c r="B35" s="90" t="s">
        <v>22</v>
      </c>
      <c r="C35" s="88" t="s">
        <v>60</v>
      </c>
      <c r="D35" s="118">
        <v>0</v>
      </c>
      <c r="E35" s="119">
        <v>0</v>
      </c>
      <c r="F35" s="120">
        <v>0</v>
      </c>
      <c r="G35" s="119">
        <f t="shared" si="1"/>
        <v>0</v>
      </c>
      <c r="H35" s="119">
        <f t="shared" si="2"/>
        <v>0</v>
      </c>
      <c r="I35" s="121">
        <f t="shared" si="3"/>
        <v>0</v>
      </c>
      <c r="J35" s="122">
        <v>3475126</v>
      </c>
      <c r="K35" s="123">
        <v>4039959.38</v>
      </c>
      <c r="L35" s="123">
        <f>BUDGETSIZE!U30</f>
        <v>4748443.3999999994</v>
      </c>
      <c r="M35" s="124">
        <f t="shared" si="0"/>
        <v>3.9120536848020557E-3</v>
      </c>
      <c r="N35" s="124">
        <f t="shared" si="4"/>
        <v>3.912053684802054E-3</v>
      </c>
      <c r="O35" s="125">
        <f t="shared" si="5"/>
        <v>2.9340402636015405E-3</v>
      </c>
      <c r="P35" s="125">
        <f t="shared" si="6"/>
        <v>2.9340402636015405E-3</v>
      </c>
      <c r="Q35" s="126"/>
    </row>
    <row r="36" spans="1:17">
      <c r="A36" s="88">
        <v>204000</v>
      </c>
      <c r="B36" s="90" t="s">
        <v>22</v>
      </c>
      <c r="C36" s="88" t="s">
        <v>61</v>
      </c>
      <c r="D36" s="118">
        <v>0</v>
      </c>
      <c r="E36" s="119">
        <v>0</v>
      </c>
      <c r="F36" s="120">
        <v>0</v>
      </c>
      <c r="G36" s="119">
        <f t="shared" si="1"/>
        <v>0</v>
      </c>
      <c r="H36" s="119">
        <f t="shared" si="2"/>
        <v>0</v>
      </c>
      <c r="I36" s="121">
        <f t="shared" si="3"/>
        <v>0</v>
      </c>
      <c r="J36" s="122">
        <v>4370400</v>
      </c>
      <c r="K36" s="123">
        <v>4838737.0999999996</v>
      </c>
      <c r="L36" s="123">
        <f>BUDGETSIZE!U31</f>
        <v>4683824.95</v>
      </c>
      <c r="M36" s="124">
        <f t="shared" si="0"/>
        <v>4.3764248108254947E-3</v>
      </c>
      <c r="N36" s="124">
        <f t="shared" si="4"/>
        <v>4.376424810825493E-3</v>
      </c>
      <c r="O36" s="125">
        <f t="shared" si="5"/>
        <v>3.2823186081191195E-3</v>
      </c>
      <c r="P36" s="125">
        <f t="shared" si="6"/>
        <v>3.2823186081191195E-3</v>
      </c>
      <c r="Q36" s="126"/>
    </row>
    <row r="37" spans="1:17">
      <c r="A37" s="88">
        <v>201000</v>
      </c>
      <c r="B37" s="90" t="s">
        <v>22</v>
      </c>
      <c r="C37" s="88" t="s">
        <v>62</v>
      </c>
      <c r="D37" s="118">
        <v>0</v>
      </c>
      <c r="E37" s="119">
        <v>0</v>
      </c>
      <c r="F37" s="120">
        <v>0</v>
      </c>
      <c r="G37" s="119">
        <f t="shared" si="1"/>
        <v>0</v>
      </c>
      <c r="H37" s="119">
        <f t="shared" si="2"/>
        <v>0</v>
      </c>
      <c r="I37" s="121">
        <f t="shared" si="3"/>
        <v>0</v>
      </c>
      <c r="J37" s="122">
        <v>1321</v>
      </c>
      <c r="K37" s="123">
        <v>0</v>
      </c>
      <c r="L37" s="123">
        <f>BUDGETSIZE!U32</f>
        <v>0</v>
      </c>
      <c r="M37" s="124">
        <f t="shared" si="0"/>
        <v>3.1250093427961947E-7</v>
      </c>
      <c r="N37" s="124">
        <f t="shared" si="4"/>
        <v>3.1250093427961931E-7</v>
      </c>
      <c r="O37" s="125">
        <f t="shared" si="5"/>
        <v>2.3437570070971448E-7</v>
      </c>
      <c r="P37" s="125">
        <f t="shared" si="6"/>
        <v>2.3437570070971448E-7</v>
      </c>
      <c r="Q37" s="126"/>
    </row>
    <row r="38" spans="1:17">
      <c r="A38" s="88">
        <v>209000</v>
      </c>
      <c r="B38" s="90" t="s">
        <v>22</v>
      </c>
      <c r="C38" s="88" t="s">
        <v>63</v>
      </c>
      <c r="D38" s="118">
        <v>0</v>
      </c>
      <c r="E38" s="119">
        <v>0</v>
      </c>
      <c r="F38" s="120">
        <v>0</v>
      </c>
      <c r="G38" s="119">
        <f t="shared" si="1"/>
        <v>0</v>
      </c>
      <c r="H38" s="119">
        <f t="shared" si="2"/>
        <v>0</v>
      </c>
      <c r="I38" s="121">
        <f t="shared" si="3"/>
        <v>0</v>
      </c>
      <c r="J38" s="122">
        <v>1620077</v>
      </c>
      <c r="K38" s="123">
        <v>1520390.49</v>
      </c>
      <c r="L38" s="123">
        <f>BUDGETSIZE!U33</f>
        <v>1697392.59</v>
      </c>
      <c r="M38" s="124">
        <f t="shared" si="0"/>
        <v>1.5141150067670616E-3</v>
      </c>
      <c r="N38" s="124">
        <f t="shared" si="4"/>
        <v>1.514115006767061E-3</v>
      </c>
      <c r="O38" s="125">
        <f t="shared" si="5"/>
        <v>1.1355862550752958E-3</v>
      </c>
      <c r="P38" s="125">
        <f t="shared" si="6"/>
        <v>1.1355862550752958E-3</v>
      </c>
      <c r="Q38" s="126"/>
    </row>
    <row r="39" spans="1:17">
      <c r="A39" s="88">
        <v>215000</v>
      </c>
      <c r="B39" s="90" t="s">
        <v>22</v>
      </c>
      <c r="C39" s="88" t="s">
        <v>64</v>
      </c>
      <c r="D39" s="118">
        <v>0</v>
      </c>
      <c r="E39" s="119">
        <v>0</v>
      </c>
      <c r="F39" s="120">
        <v>0</v>
      </c>
      <c r="G39" s="119">
        <f t="shared" si="1"/>
        <v>0</v>
      </c>
      <c r="H39" s="119">
        <f t="shared" si="2"/>
        <v>0</v>
      </c>
      <c r="I39" s="121">
        <f t="shared" si="3"/>
        <v>0</v>
      </c>
      <c r="J39" s="122">
        <v>480476</v>
      </c>
      <c r="K39" s="123">
        <v>210377.5</v>
      </c>
      <c r="L39" s="123">
        <f>BUDGETSIZE!U34</f>
        <v>197152</v>
      </c>
      <c r="M39" s="124">
        <f t="shared" si="0"/>
        <v>2.5667190909881986E-4</v>
      </c>
      <c r="N39" s="124">
        <f t="shared" si="4"/>
        <v>2.5667190909881975E-4</v>
      </c>
      <c r="O39" s="125">
        <f t="shared" si="5"/>
        <v>1.9250393182411481E-4</v>
      </c>
      <c r="P39" s="125">
        <f t="shared" si="6"/>
        <v>1.9250393182411481E-4</v>
      </c>
      <c r="Q39" s="126"/>
    </row>
    <row r="40" spans="1:17">
      <c r="A40" s="88">
        <v>216000</v>
      </c>
      <c r="B40" s="90" t="s">
        <v>22</v>
      </c>
      <c r="C40" s="88" t="s">
        <v>65</v>
      </c>
      <c r="D40" s="118">
        <v>0</v>
      </c>
      <c r="E40" s="119">
        <v>0</v>
      </c>
      <c r="F40" s="120">
        <v>0</v>
      </c>
      <c r="G40" s="119">
        <f t="shared" si="1"/>
        <v>0</v>
      </c>
      <c r="H40" s="119">
        <f t="shared" si="2"/>
        <v>0</v>
      </c>
      <c r="I40" s="121">
        <f t="shared" si="3"/>
        <v>0</v>
      </c>
      <c r="J40" s="122">
        <v>8116886</v>
      </c>
      <c r="K40" s="123">
        <v>7390892.7149999999</v>
      </c>
      <c r="L40" s="123">
        <f>BUDGETSIZE!U35</f>
        <v>6997608.8150000004</v>
      </c>
      <c r="M40" s="124">
        <f t="shared" si="0"/>
        <v>6.9697606310317704E-3</v>
      </c>
      <c r="N40" s="124">
        <f t="shared" si="4"/>
        <v>6.969760631031767E-3</v>
      </c>
      <c r="O40" s="125">
        <f t="shared" si="5"/>
        <v>5.2273204732738252E-3</v>
      </c>
      <c r="P40" s="125">
        <f t="shared" si="6"/>
        <v>5.2273204732738252E-3</v>
      </c>
      <c r="Q40" s="126"/>
    </row>
    <row r="41" spans="1:17">
      <c r="A41" s="88">
        <v>403000</v>
      </c>
      <c r="B41" s="90" t="s">
        <v>22</v>
      </c>
      <c r="C41" s="88" t="s">
        <v>630</v>
      </c>
      <c r="D41" s="118">
        <v>0</v>
      </c>
      <c r="E41" s="119">
        <v>0</v>
      </c>
      <c r="F41" s="120">
        <v>0</v>
      </c>
      <c r="G41" s="119">
        <f t="shared" si="1"/>
        <v>0</v>
      </c>
      <c r="H41" s="119">
        <f t="shared" si="2"/>
        <v>0</v>
      </c>
      <c r="I41" s="121">
        <f t="shared" si="3"/>
        <v>0</v>
      </c>
      <c r="J41" s="122">
        <v>0</v>
      </c>
      <c r="K41" s="123">
        <v>2145481.52</v>
      </c>
      <c r="L41" s="123">
        <f>BUDGETSIZE!U36</f>
        <v>919130.68</v>
      </c>
      <c r="M41" s="124">
        <f t="shared" si="0"/>
        <v>1.0686477347571863E-3</v>
      </c>
      <c r="N41" s="124">
        <f t="shared" si="4"/>
        <v>1.0686477347571859E-3</v>
      </c>
      <c r="O41" s="125">
        <f t="shared" si="5"/>
        <v>8.0148580106788943E-4</v>
      </c>
      <c r="P41" s="125">
        <f t="shared" si="6"/>
        <v>8.0148580106788943E-4</v>
      </c>
      <c r="Q41" s="126"/>
    </row>
    <row r="42" spans="1:17">
      <c r="A42" s="88">
        <v>316000</v>
      </c>
      <c r="B42" s="90" t="s">
        <v>22</v>
      </c>
      <c r="C42" s="88" t="s">
        <v>67</v>
      </c>
      <c r="D42" s="118">
        <v>0</v>
      </c>
      <c r="E42" s="119">
        <v>0</v>
      </c>
      <c r="F42" s="120">
        <v>0</v>
      </c>
      <c r="G42" s="119">
        <f t="shared" si="1"/>
        <v>0</v>
      </c>
      <c r="H42" s="119">
        <f t="shared" si="2"/>
        <v>0</v>
      </c>
      <c r="I42" s="121">
        <f t="shared" si="3"/>
        <v>0</v>
      </c>
      <c r="J42" s="122">
        <v>437844</v>
      </c>
      <c r="K42" s="123">
        <v>0</v>
      </c>
      <c r="L42" s="123">
        <f>BUDGETSIZE!U37</f>
        <v>0</v>
      </c>
      <c r="M42" s="124">
        <f t="shared" si="0"/>
        <v>1.0357809164930031E-4</v>
      </c>
      <c r="N42" s="124">
        <f t="shared" si="4"/>
        <v>1.0357809164930027E-4</v>
      </c>
      <c r="O42" s="125">
        <f t="shared" si="5"/>
        <v>7.7683568736975207E-5</v>
      </c>
      <c r="P42" s="125">
        <f t="shared" si="6"/>
        <v>7.7683568736975207E-5</v>
      </c>
      <c r="Q42" s="126"/>
    </row>
    <row r="43" spans="1:17">
      <c r="A43" s="88">
        <v>301000</v>
      </c>
      <c r="B43" s="90" t="s">
        <v>22</v>
      </c>
      <c r="C43" s="88" t="s">
        <v>68</v>
      </c>
      <c r="D43" s="118">
        <v>0</v>
      </c>
      <c r="E43" s="119">
        <v>0</v>
      </c>
      <c r="F43" s="120">
        <v>0</v>
      </c>
      <c r="G43" s="119">
        <f t="shared" si="1"/>
        <v>0</v>
      </c>
      <c r="H43" s="119">
        <f t="shared" si="2"/>
        <v>0</v>
      </c>
      <c r="I43" s="121">
        <f t="shared" si="3"/>
        <v>0</v>
      </c>
      <c r="J43" s="122">
        <v>15144774</v>
      </c>
      <c r="K43" s="123">
        <v>0</v>
      </c>
      <c r="L43" s="123">
        <f>BUDGETSIZE!U38</f>
        <v>0</v>
      </c>
      <c r="M43" s="124">
        <f t="shared" si="0"/>
        <v>3.5827070586326188E-3</v>
      </c>
      <c r="N43" s="124">
        <f t="shared" si="4"/>
        <v>3.5827070586326171E-3</v>
      </c>
      <c r="O43" s="125">
        <f t="shared" si="5"/>
        <v>2.6870302939744628E-3</v>
      </c>
      <c r="P43" s="125">
        <f t="shared" si="6"/>
        <v>2.6870302939744628E-3</v>
      </c>
      <c r="Q43" s="126"/>
    </row>
    <row r="44" spans="1:17">
      <c r="A44" s="88">
        <v>302000</v>
      </c>
      <c r="B44" s="90" t="s">
        <v>22</v>
      </c>
      <c r="C44" s="88" t="s">
        <v>69</v>
      </c>
      <c r="D44" s="118">
        <v>0</v>
      </c>
      <c r="E44" s="119">
        <v>0</v>
      </c>
      <c r="F44" s="120">
        <v>0</v>
      </c>
      <c r="G44" s="119">
        <f t="shared" si="1"/>
        <v>0</v>
      </c>
      <c r="H44" s="119">
        <f t="shared" si="2"/>
        <v>0</v>
      </c>
      <c r="I44" s="121">
        <f t="shared" si="3"/>
        <v>0</v>
      </c>
      <c r="J44" s="122">
        <v>4231105</v>
      </c>
      <c r="K44" s="123">
        <v>0</v>
      </c>
      <c r="L44" s="123">
        <f>BUDGETSIZE!U39</f>
        <v>0</v>
      </c>
      <c r="M44" s="124">
        <f t="shared" si="0"/>
        <v>1.0009267717904387E-3</v>
      </c>
      <c r="N44" s="124">
        <f t="shared" si="4"/>
        <v>1.0009267717904383E-3</v>
      </c>
      <c r="O44" s="125">
        <f t="shared" si="5"/>
        <v>7.5069507884282876E-4</v>
      </c>
      <c r="P44" s="125">
        <f t="shared" si="6"/>
        <v>7.5069507884282876E-4</v>
      </c>
      <c r="Q44" s="126"/>
    </row>
    <row r="45" spans="1:17">
      <c r="A45" s="88">
        <v>303000</v>
      </c>
      <c r="B45" s="90" t="s">
        <v>22</v>
      </c>
      <c r="C45" s="88" t="s">
        <v>70</v>
      </c>
      <c r="D45" s="118">
        <v>0</v>
      </c>
      <c r="E45" s="119">
        <v>0</v>
      </c>
      <c r="F45" s="120">
        <v>0</v>
      </c>
      <c r="G45" s="119">
        <f t="shared" si="1"/>
        <v>0</v>
      </c>
      <c r="H45" s="119">
        <f t="shared" si="2"/>
        <v>0</v>
      </c>
      <c r="I45" s="121">
        <f t="shared" si="3"/>
        <v>0</v>
      </c>
      <c r="J45" s="122">
        <v>5098081</v>
      </c>
      <c r="K45" s="123">
        <v>0</v>
      </c>
      <c r="L45" s="123">
        <f>BUDGETSIZE!U40</f>
        <v>0</v>
      </c>
      <c r="M45" s="124">
        <f t="shared" ref="M45:M76" si="7">((J45/$J$127)+(K45/$K$127)+(L45/$L$127))/3</f>
        <v>1.2060220102446454E-3</v>
      </c>
      <c r="N45" s="124">
        <f t="shared" si="4"/>
        <v>1.2060220102446449E-3</v>
      </c>
      <c r="O45" s="125">
        <f t="shared" si="5"/>
        <v>9.0451650768348375E-4</v>
      </c>
      <c r="P45" s="125">
        <f t="shared" si="6"/>
        <v>9.0451650768348375E-4</v>
      </c>
      <c r="Q45" s="126"/>
    </row>
    <row r="46" spans="1:17">
      <c r="A46" s="88">
        <v>305000</v>
      </c>
      <c r="B46" s="90" t="s">
        <v>22</v>
      </c>
      <c r="C46" s="88" t="s">
        <v>71</v>
      </c>
      <c r="D46" s="118">
        <v>0</v>
      </c>
      <c r="E46" s="119">
        <v>0</v>
      </c>
      <c r="F46" s="120">
        <v>0</v>
      </c>
      <c r="G46" s="119">
        <f t="shared" si="1"/>
        <v>0</v>
      </c>
      <c r="H46" s="119">
        <f t="shared" si="2"/>
        <v>0</v>
      </c>
      <c r="I46" s="121">
        <f t="shared" si="3"/>
        <v>0</v>
      </c>
      <c r="J46" s="122">
        <v>1630796</v>
      </c>
      <c r="K46" s="123">
        <v>0</v>
      </c>
      <c r="L46" s="123">
        <f>BUDGETSIZE!U41</f>
        <v>0</v>
      </c>
      <c r="M46" s="124">
        <f t="shared" si="7"/>
        <v>3.8578748949240452E-4</v>
      </c>
      <c r="N46" s="124">
        <f t="shared" si="4"/>
        <v>3.8578748949240436E-4</v>
      </c>
      <c r="O46" s="125">
        <f t="shared" si="5"/>
        <v>2.8934061711930327E-4</v>
      </c>
      <c r="P46" s="125">
        <f t="shared" si="6"/>
        <v>2.8934061711930327E-4</v>
      </c>
      <c r="Q46" s="126"/>
    </row>
    <row r="47" spans="1:17">
      <c r="A47" s="88">
        <v>306000</v>
      </c>
      <c r="B47" s="90" t="s">
        <v>22</v>
      </c>
      <c r="C47" s="88" t="s">
        <v>72</v>
      </c>
      <c r="D47" s="118">
        <v>0</v>
      </c>
      <c r="E47" s="119">
        <v>0</v>
      </c>
      <c r="F47" s="120">
        <v>0</v>
      </c>
      <c r="G47" s="119">
        <f t="shared" si="1"/>
        <v>0</v>
      </c>
      <c r="H47" s="119">
        <f t="shared" si="2"/>
        <v>0</v>
      </c>
      <c r="I47" s="121">
        <f t="shared" si="3"/>
        <v>0</v>
      </c>
      <c r="J47" s="122">
        <v>3592858</v>
      </c>
      <c r="K47" s="123">
        <v>0</v>
      </c>
      <c r="L47" s="123">
        <f>BUDGETSIZE!U42</f>
        <v>0</v>
      </c>
      <c r="M47" s="124">
        <f t="shared" si="7"/>
        <v>8.4994056149432628E-4</v>
      </c>
      <c r="N47" s="124">
        <f t="shared" si="4"/>
        <v>8.4994056149432595E-4</v>
      </c>
      <c r="O47" s="125">
        <f t="shared" si="5"/>
        <v>6.3745542112074449E-4</v>
      </c>
      <c r="P47" s="125">
        <f t="shared" si="6"/>
        <v>6.3745542112074449E-4</v>
      </c>
      <c r="Q47" s="126"/>
    </row>
    <row r="48" spans="1:17">
      <c r="A48" s="88">
        <v>310000</v>
      </c>
      <c r="B48" s="90" t="s">
        <v>22</v>
      </c>
      <c r="C48" s="88" t="s">
        <v>73</v>
      </c>
      <c r="D48" s="118">
        <v>0</v>
      </c>
      <c r="E48" s="119">
        <v>0</v>
      </c>
      <c r="F48" s="120">
        <v>0</v>
      </c>
      <c r="G48" s="119">
        <f t="shared" si="1"/>
        <v>0</v>
      </c>
      <c r="H48" s="119">
        <f t="shared" si="2"/>
        <v>0</v>
      </c>
      <c r="I48" s="121">
        <f t="shared" si="3"/>
        <v>0</v>
      </c>
      <c r="J48" s="122">
        <v>3680482</v>
      </c>
      <c r="K48" s="123">
        <v>0</v>
      </c>
      <c r="L48" s="123">
        <f>BUDGETSIZE!U43</f>
        <v>0</v>
      </c>
      <c r="M48" s="124">
        <f t="shared" si="7"/>
        <v>8.7066923815240158E-4</v>
      </c>
      <c r="N48" s="124">
        <f t="shared" si="4"/>
        <v>8.7066923815240114E-4</v>
      </c>
      <c r="O48" s="125">
        <f t="shared" si="5"/>
        <v>6.5300192861430086E-4</v>
      </c>
      <c r="P48" s="125">
        <f t="shared" si="6"/>
        <v>6.5300192861430086E-4</v>
      </c>
      <c r="Q48" s="126"/>
    </row>
    <row r="49" spans="1:17">
      <c r="A49" s="88">
        <v>307000</v>
      </c>
      <c r="B49" s="90" t="s">
        <v>22</v>
      </c>
      <c r="C49" s="88" t="s">
        <v>74</v>
      </c>
      <c r="D49" s="118">
        <v>0</v>
      </c>
      <c r="E49" s="119">
        <v>0</v>
      </c>
      <c r="F49" s="120">
        <v>0</v>
      </c>
      <c r="G49" s="119">
        <f t="shared" si="1"/>
        <v>0</v>
      </c>
      <c r="H49" s="119">
        <f t="shared" si="2"/>
        <v>0</v>
      </c>
      <c r="I49" s="121">
        <f t="shared" si="3"/>
        <v>0</v>
      </c>
      <c r="J49" s="122">
        <v>2793850</v>
      </c>
      <c r="K49" s="123">
        <v>0</v>
      </c>
      <c r="L49" s="123">
        <f>BUDGETSIZE!U44</f>
        <v>0</v>
      </c>
      <c r="M49" s="124">
        <f t="shared" si="7"/>
        <v>6.6092409934679405E-4</v>
      </c>
      <c r="N49" s="124">
        <f t="shared" si="4"/>
        <v>6.6092409934679372E-4</v>
      </c>
      <c r="O49" s="125">
        <f t="shared" si="5"/>
        <v>4.9569307451009532E-4</v>
      </c>
      <c r="P49" s="125">
        <f t="shared" si="6"/>
        <v>4.9569307451009532E-4</v>
      </c>
      <c r="Q49" s="126"/>
    </row>
    <row r="50" spans="1:17">
      <c r="A50" s="88">
        <v>312000</v>
      </c>
      <c r="B50" s="90" t="s">
        <v>22</v>
      </c>
      <c r="C50" s="88" t="s">
        <v>75</v>
      </c>
      <c r="D50" s="118">
        <v>0</v>
      </c>
      <c r="E50" s="119">
        <v>0</v>
      </c>
      <c r="F50" s="120">
        <v>0</v>
      </c>
      <c r="G50" s="119">
        <f t="shared" si="1"/>
        <v>0</v>
      </c>
      <c r="H50" s="119">
        <f t="shared" si="2"/>
        <v>0</v>
      </c>
      <c r="I50" s="121">
        <f t="shared" si="3"/>
        <v>0</v>
      </c>
      <c r="J50" s="122">
        <v>6378010</v>
      </c>
      <c r="K50" s="123">
        <v>0</v>
      </c>
      <c r="L50" s="123">
        <f>BUDGETSIZE!U45</f>
        <v>0</v>
      </c>
      <c r="M50" s="124">
        <f t="shared" si="7"/>
        <v>1.5088070278915639E-3</v>
      </c>
      <c r="N50" s="124">
        <f t="shared" si="4"/>
        <v>1.5088070278915632E-3</v>
      </c>
      <c r="O50" s="125">
        <f t="shared" si="5"/>
        <v>1.1316052709186724E-3</v>
      </c>
      <c r="P50" s="125">
        <f t="shared" si="6"/>
        <v>1.1316052709186724E-3</v>
      </c>
      <c r="Q50" s="126"/>
    </row>
    <row r="51" spans="1:17">
      <c r="A51" s="88">
        <v>309000</v>
      </c>
      <c r="B51" s="90" t="s">
        <v>22</v>
      </c>
      <c r="C51" s="88" t="s">
        <v>76</v>
      </c>
      <c r="D51" s="118">
        <v>0</v>
      </c>
      <c r="E51" s="119">
        <v>0</v>
      </c>
      <c r="F51" s="120">
        <v>0</v>
      </c>
      <c r="G51" s="119">
        <f t="shared" si="1"/>
        <v>0</v>
      </c>
      <c r="H51" s="119">
        <f t="shared" si="2"/>
        <v>0</v>
      </c>
      <c r="I51" s="121">
        <f t="shared" si="3"/>
        <v>0</v>
      </c>
      <c r="J51" s="122">
        <v>5167503</v>
      </c>
      <c r="K51" s="123">
        <v>0</v>
      </c>
      <c r="L51" s="123">
        <f>BUDGETSIZE!U46</f>
        <v>0</v>
      </c>
      <c r="M51" s="124">
        <f t="shared" si="7"/>
        <v>1.2224447504865529E-3</v>
      </c>
      <c r="N51" s="124">
        <f t="shared" si="4"/>
        <v>1.2224447504865523E-3</v>
      </c>
      <c r="O51" s="125">
        <f t="shared" si="5"/>
        <v>9.1683356286491422E-4</v>
      </c>
      <c r="P51" s="125">
        <f t="shared" si="6"/>
        <v>9.1683356286491422E-4</v>
      </c>
      <c r="Q51" s="126"/>
    </row>
    <row r="52" spans="1:17">
      <c r="A52" s="88">
        <v>313000</v>
      </c>
      <c r="B52" s="90" t="s">
        <v>22</v>
      </c>
      <c r="C52" s="88" t="s">
        <v>77</v>
      </c>
      <c r="D52" s="118">
        <v>0</v>
      </c>
      <c r="E52" s="119">
        <v>0</v>
      </c>
      <c r="F52" s="120">
        <v>0</v>
      </c>
      <c r="G52" s="119">
        <f t="shared" si="1"/>
        <v>0</v>
      </c>
      <c r="H52" s="119">
        <f t="shared" si="2"/>
        <v>0</v>
      </c>
      <c r="I52" s="121">
        <f t="shared" si="3"/>
        <v>0</v>
      </c>
      <c r="J52" s="122">
        <v>7771296</v>
      </c>
      <c r="K52" s="123">
        <v>0</v>
      </c>
      <c r="L52" s="123">
        <f>BUDGETSIZE!U47</f>
        <v>0</v>
      </c>
      <c r="M52" s="124">
        <f t="shared" si="7"/>
        <v>1.8384082214712109E-3</v>
      </c>
      <c r="N52" s="124">
        <f t="shared" si="4"/>
        <v>1.83840822147121E-3</v>
      </c>
      <c r="O52" s="125">
        <f t="shared" si="5"/>
        <v>1.3788061661034075E-3</v>
      </c>
      <c r="P52" s="125">
        <f t="shared" si="6"/>
        <v>1.3788061661034075E-3</v>
      </c>
      <c r="Q52" s="126"/>
    </row>
    <row r="53" spans="1:17">
      <c r="A53" s="88">
        <v>314000</v>
      </c>
      <c r="B53" s="90" t="s">
        <v>22</v>
      </c>
      <c r="C53" s="88" t="s">
        <v>78</v>
      </c>
      <c r="D53" s="118">
        <v>0</v>
      </c>
      <c r="E53" s="119">
        <v>0</v>
      </c>
      <c r="F53" s="120">
        <v>0</v>
      </c>
      <c r="G53" s="119">
        <f t="shared" si="1"/>
        <v>0</v>
      </c>
      <c r="H53" s="119">
        <f t="shared" si="2"/>
        <v>0</v>
      </c>
      <c r="I53" s="121">
        <f t="shared" si="3"/>
        <v>0</v>
      </c>
      <c r="J53" s="122">
        <v>3224922</v>
      </c>
      <c r="K53" s="123">
        <v>0</v>
      </c>
      <c r="L53" s="123">
        <f>BUDGETSIZE!U48</f>
        <v>0</v>
      </c>
      <c r="M53" s="124">
        <f t="shared" si="7"/>
        <v>7.6290018015056705E-4</v>
      </c>
      <c r="N53" s="124">
        <f t="shared" si="4"/>
        <v>7.6290018015056672E-4</v>
      </c>
      <c r="O53" s="125">
        <f t="shared" si="5"/>
        <v>5.7217513511292504E-4</v>
      </c>
      <c r="P53" s="125">
        <f t="shared" si="6"/>
        <v>5.7217513511292504E-4</v>
      </c>
      <c r="Q53" s="126"/>
    </row>
    <row r="54" spans="1:17">
      <c r="A54" s="88">
        <v>315000</v>
      </c>
      <c r="B54" s="90" t="s">
        <v>22</v>
      </c>
      <c r="C54" s="88" t="s">
        <v>79</v>
      </c>
      <c r="D54" s="118">
        <v>0</v>
      </c>
      <c r="E54" s="119">
        <v>0</v>
      </c>
      <c r="F54" s="120">
        <v>0</v>
      </c>
      <c r="G54" s="119">
        <f t="shared" si="1"/>
        <v>0</v>
      </c>
      <c r="H54" s="119">
        <f t="shared" si="2"/>
        <v>0</v>
      </c>
      <c r="I54" s="121">
        <f t="shared" si="3"/>
        <v>0</v>
      </c>
      <c r="J54" s="122">
        <v>1683325</v>
      </c>
      <c r="K54" s="123">
        <v>0</v>
      </c>
      <c r="L54" s="123">
        <f>BUDGETSIZE!U49</f>
        <v>0</v>
      </c>
      <c r="M54" s="124">
        <f t="shared" si="7"/>
        <v>3.9821395548542046E-4</v>
      </c>
      <c r="N54" s="124">
        <f t="shared" si="4"/>
        <v>3.9821395548542029E-4</v>
      </c>
      <c r="O54" s="125">
        <f t="shared" si="5"/>
        <v>2.9866046661406522E-4</v>
      </c>
      <c r="P54" s="125">
        <f t="shared" si="6"/>
        <v>2.9866046661406522E-4</v>
      </c>
      <c r="Q54" s="126"/>
    </row>
    <row r="55" spans="1:17">
      <c r="A55" s="88">
        <v>213000</v>
      </c>
      <c r="B55" s="90" t="s">
        <v>22</v>
      </c>
      <c r="C55" s="88" t="s">
        <v>80</v>
      </c>
      <c r="D55" s="118">
        <v>0</v>
      </c>
      <c r="E55" s="119">
        <v>0</v>
      </c>
      <c r="F55" s="120">
        <v>0</v>
      </c>
      <c r="G55" s="119">
        <f t="shared" si="1"/>
        <v>0</v>
      </c>
      <c r="H55" s="119">
        <f t="shared" si="2"/>
        <v>0</v>
      </c>
      <c r="I55" s="121">
        <f t="shared" si="3"/>
        <v>0</v>
      </c>
      <c r="J55" s="122">
        <v>8848334</v>
      </c>
      <c r="K55" s="123">
        <v>7663108.1299999999</v>
      </c>
      <c r="L55" s="123">
        <f>BUDGETSIZE!U50</f>
        <v>3071470.8900000006</v>
      </c>
      <c r="M55" s="124">
        <f t="shared" si="7"/>
        <v>5.8346259649835934E-3</v>
      </c>
      <c r="N55" s="124">
        <f t="shared" si="4"/>
        <v>5.8346259649835908E-3</v>
      </c>
      <c r="O55" s="125">
        <f t="shared" si="5"/>
        <v>4.3759694737376936E-3</v>
      </c>
      <c r="P55" s="125">
        <f t="shared" si="6"/>
        <v>4.3759694737376936E-3</v>
      </c>
      <c r="Q55" s="126"/>
    </row>
    <row r="56" spans="1:17">
      <c r="A56" s="88">
        <v>210000</v>
      </c>
      <c r="B56" s="90" t="s">
        <v>22</v>
      </c>
      <c r="C56" s="88" t="s">
        <v>81</v>
      </c>
      <c r="D56" s="118">
        <v>0</v>
      </c>
      <c r="E56" s="119">
        <v>0</v>
      </c>
      <c r="F56" s="120">
        <v>0</v>
      </c>
      <c r="G56" s="119">
        <f t="shared" si="1"/>
        <v>0</v>
      </c>
      <c r="H56" s="119">
        <f t="shared" si="2"/>
        <v>0</v>
      </c>
      <c r="I56" s="121">
        <f t="shared" si="3"/>
        <v>0</v>
      </c>
      <c r="J56" s="122">
        <v>0</v>
      </c>
      <c r="K56" s="123">
        <v>0</v>
      </c>
      <c r="L56" s="123">
        <f>BUDGETSIZE!U51</f>
        <v>0</v>
      </c>
      <c r="M56" s="124">
        <f t="shared" si="7"/>
        <v>0</v>
      </c>
      <c r="N56" s="124">
        <f t="shared" si="4"/>
        <v>0</v>
      </c>
      <c r="O56" s="125">
        <f t="shared" si="5"/>
        <v>0</v>
      </c>
      <c r="P56" s="125">
        <f t="shared" si="6"/>
        <v>0</v>
      </c>
      <c r="Q56" s="126"/>
    </row>
    <row r="57" spans="1:17">
      <c r="A57" s="88">
        <v>304000</v>
      </c>
      <c r="B57" s="90" t="s">
        <v>22</v>
      </c>
      <c r="C57" s="88" t="s">
        <v>82</v>
      </c>
      <c r="D57" s="118">
        <v>0</v>
      </c>
      <c r="E57" s="119">
        <v>0</v>
      </c>
      <c r="F57" s="120">
        <v>0</v>
      </c>
      <c r="G57" s="119">
        <f t="shared" si="1"/>
        <v>0</v>
      </c>
      <c r="H57" s="119">
        <f t="shared" si="2"/>
        <v>0</v>
      </c>
      <c r="I57" s="121">
        <f t="shared" si="3"/>
        <v>0</v>
      </c>
      <c r="J57" s="122">
        <v>7098455</v>
      </c>
      <c r="K57" s="123">
        <v>0</v>
      </c>
      <c r="L57" s="123">
        <f>BUDGETSIZE!U52</f>
        <v>0</v>
      </c>
      <c r="M57" s="124">
        <f t="shared" si="7"/>
        <v>1.679238319032427E-3</v>
      </c>
      <c r="N57" s="124">
        <f t="shared" si="4"/>
        <v>1.6792383190324263E-3</v>
      </c>
      <c r="O57" s="125">
        <f t="shared" si="5"/>
        <v>1.2594287392743196E-3</v>
      </c>
      <c r="P57" s="125">
        <f t="shared" si="6"/>
        <v>1.2594287392743196E-3</v>
      </c>
      <c r="Q57" s="126"/>
    </row>
    <row r="58" spans="1:17">
      <c r="A58" s="88">
        <v>100000</v>
      </c>
      <c r="B58" s="90" t="s">
        <v>22</v>
      </c>
      <c r="C58" s="88" t="s">
        <v>83</v>
      </c>
      <c r="D58" s="118">
        <v>0</v>
      </c>
      <c r="E58" s="119">
        <v>0</v>
      </c>
      <c r="F58" s="120">
        <v>0</v>
      </c>
      <c r="G58" s="119">
        <f t="shared" si="1"/>
        <v>0</v>
      </c>
      <c r="H58" s="119">
        <f t="shared" si="2"/>
        <v>0</v>
      </c>
      <c r="I58" s="121">
        <f t="shared" si="3"/>
        <v>0</v>
      </c>
      <c r="J58" s="122">
        <v>0</v>
      </c>
      <c r="K58" s="123">
        <v>0</v>
      </c>
      <c r="L58" s="123">
        <f>BUDGETSIZE!U53</f>
        <v>0</v>
      </c>
      <c r="M58" s="124">
        <f t="shared" si="7"/>
        <v>0</v>
      </c>
      <c r="N58" s="124">
        <f t="shared" si="4"/>
        <v>0</v>
      </c>
      <c r="O58" s="125">
        <f t="shared" si="5"/>
        <v>0</v>
      </c>
      <c r="P58" s="125">
        <f t="shared" si="6"/>
        <v>0</v>
      </c>
      <c r="Q58" s="126"/>
    </row>
    <row r="59" spans="1:17">
      <c r="A59" s="88">
        <v>100000</v>
      </c>
      <c r="B59" s="90" t="s">
        <v>22</v>
      </c>
      <c r="C59" s="88" t="s">
        <v>84</v>
      </c>
      <c r="D59" s="118">
        <v>0</v>
      </c>
      <c r="E59" s="119">
        <v>0</v>
      </c>
      <c r="F59" s="120">
        <v>0</v>
      </c>
      <c r="G59" s="119">
        <f t="shared" si="1"/>
        <v>0</v>
      </c>
      <c r="H59" s="119">
        <f t="shared" si="2"/>
        <v>0</v>
      </c>
      <c r="I59" s="121">
        <f t="shared" si="3"/>
        <v>0</v>
      </c>
      <c r="J59" s="122">
        <v>0</v>
      </c>
      <c r="K59" s="123">
        <v>0</v>
      </c>
      <c r="L59" s="123">
        <f>BUDGETSIZE!U54</f>
        <v>0</v>
      </c>
      <c r="M59" s="124">
        <f t="shared" si="7"/>
        <v>0</v>
      </c>
      <c r="N59" s="124">
        <f t="shared" si="4"/>
        <v>0</v>
      </c>
      <c r="O59" s="125">
        <f t="shared" si="5"/>
        <v>0</v>
      </c>
      <c r="P59" s="125">
        <f t="shared" si="6"/>
        <v>0</v>
      </c>
      <c r="Q59" s="126"/>
    </row>
    <row r="60" spans="1:17">
      <c r="A60" s="88">
        <v>100000</v>
      </c>
      <c r="B60" s="90" t="s">
        <v>22</v>
      </c>
      <c r="C60" s="88" t="s">
        <v>85</v>
      </c>
      <c r="D60" s="118">
        <v>0</v>
      </c>
      <c r="E60" s="119">
        <v>0</v>
      </c>
      <c r="F60" s="120">
        <v>0</v>
      </c>
      <c r="G60" s="119">
        <f t="shared" si="1"/>
        <v>0</v>
      </c>
      <c r="H60" s="119">
        <f t="shared" si="2"/>
        <v>0</v>
      </c>
      <c r="I60" s="121">
        <f t="shared" si="3"/>
        <v>0</v>
      </c>
      <c r="J60" s="122">
        <v>0</v>
      </c>
      <c r="K60" s="123">
        <v>0</v>
      </c>
      <c r="L60" s="123">
        <f>BUDGETSIZE!U55</f>
        <v>0</v>
      </c>
      <c r="M60" s="124">
        <f t="shared" si="7"/>
        <v>0</v>
      </c>
      <c r="N60" s="124">
        <f t="shared" si="4"/>
        <v>0</v>
      </c>
      <c r="O60" s="125">
        <f t="shared" si="5"/>
        <v>0</v>
      </c>
      <c r="P60" s="125">
        <f t="shared" si="6"/>
        <v>0</v>
      </c>
      <c r="Q60" s="126"/>
    </row>
    <row r="61" spans="1:17">
      <c r="A61" s="88">
        <v>100000</v>
      </c>
      <c r="B61" s="90" t="s">
        <v>25</v>
      </c>
      <c r="C61" s="88" t="s">
        <v>552</v>
      </c>
      <c r="D61" s="118">
        <v>1.3869625520110957E-3</v>
      </c>
      <c r="E61" s="119">
        <v>1.4060303077644118E-3</v>
      </c>
      <c r="F61" s="120">
        <v>9</v>
      </c>
      <c r="G61" s="119">
        <f t="shared" si="1"/>
        <v>1.4381591562799617E-3</v>
      </c>
      <c r="H61" s="119">
        <f t="shared" si="2"/>
        <v>1.4103840053518231E-3</v>
      </c>
      <c r="I61" s="121">
        <f t="shared" si="3"/>
        <v>3.5259600133795578E-4</v>
      </c>
      <c r="J61" s="122">
        <v>1816671</v>
      </c>
      <c r="K61" s="123">
        <v>868973</v>
      </c>
      <c r="L61" s="123">
        <f>BUDGETSIZE!U56</f>
        <v>2173400.8199999998</v>
      </c>
      <c r="M61" s="124">
        <f t="shared" si="7"/>
        <v>1.5058108455731078E-3</v>
      </c>
      <c r="N61" s="124">
        <f t="shared" si="4"/>
        <v>1.5058108455731072E-3</v>
      </c>
      <c r="O61" s="125">
        <f t="shared" si="5"/>
        <v>1.1293581341798305E-3</v>
      </c>
      <c r="P61" s="125">
        <f t="shared" si="6"/>
        <v>1.4819541355177862E-3</v>
      </c>
      <c r="Q61" s="126"/>
    </row>
    <row r="62" spans="1:17">
      <c r="A62" s="88">
        <v>100000</v>
      </c>
      <c r="B62" s="90" t="s">
        <v>22</v>
      </c>
      <c r="C62" s="88" t="s">
        <v>87</v>
      </c>
      <c r="D62" s="118">
        <v>7.551240560949299E-3</v>
      </c>
      <c r="E62" s="119">
        <v>0</v>
      </c>
      <c r="F62" s="120">
        <v>0</v>
      </c>
      <c r="G62" s="119">
        <f t="shared" si="1"/>
        <v>0</v>
      </c>
      <c r="H62" s="119">
        <f t="shared" si="2"/>
        <v>2.5170801869830997E-3</v>
      </c>
      <c r="I62" s="121">
        <f t="shared" si="3"/>
        <v>6.2927004674577492E-4</v>
      </c>
      <c r="J62" s="122">
        <v>0</v>
      </c>
      <c r="K62" s="123">
        <v>0</v>
      </c>
      <c r="L62" s="123">
        <f>BUDGETSIZE!U57</f>
        <v>0</v>
      </c>
      <c r="M62" s="124">
        <f t="shared" si="7"/>
        <v>0</v>
      </c>
      <c r="N62" s="124">
        <f t="shared" si="4"/>
        <v>0</v>
      </c>
      <c r="O62" s="125">
        <f t="shared" si="5"/>
        <v>0</v>
      </c>
      <c r="P62" s="125">
        <f t="shared" si="6"/>
        <v>6.2927004674577492E-4</v>
      </c>
      <c r="Q62" s="126"/>
    </row>
    <row r="63" spans="1:17">
      <c r="A63" s="88">
        <v>206000</v>
      </c>
      <c r="B63" s="90" t="s">
        <v>22</v>
      </c>
      <c r="C63" s="88" t="s">
        <v>88</v>
      </c>
      <c r="D63" s="118">
        <v>0</v>
      </c>
      <c r="E63" s="119">
        <v>0</v>
      </c>
      <c r="F63" s="120">
        <v>0</v>
      </c>
      <c r="G63" s="119">
        <f t="shared" si="1"/>
        <v>0</v>
      </c>
      <c r="H63" s="119">
        <f t="shared" si="2"/>
        <v>0</v>
      </c>
      <c r="I63" s="121">
        <f t="shared" si="3"/>
        <v>0</v>
      </c>
      <c r="J63" s="122">
        <v>2563138</v>
      </c>
      <c r="K63" s="123">
        <v>2134040.62</v>
      </c>
      <c r="L63" s="123">
        <f>BUDGETSIZE!U58</f>
        <v>2657851.2149999994</v>
      </c>
      <c r="M63" s="124">
        <f t="shared" si="7"/>
        <v>2.2919808919527416E-3</v>
      </c>
      <c r="N63" s="124">
        <f t="shared" si="4"/>
        <v>2.2919808919527407E-3</v>
      </c>
      <c r="O63" s="125">
        <f t="shared" si="5"/>
        <v>1.7189856689645555E-3</v>
      </c>
      <c r="P63" s="125">
        <f t="shared" si="6"/>
        <v>1.7189856689645555E-3</v>
      </c>
      <c r="Q63" s="126"/>
    </row>
    <row r="64" spans="1:17">
      <c r="A64" s="88">
        <v>100000</v>
      </c>
      <c r="B64" s="90" t="s">
        <v>26</v>
      </c>
      <c r="C64" s="88" t="s">
        <v>89</v>
      </c>
      <c r="D64" s="118">
        <v>6.1642780089382035E-4</v>
      </c>
      <c r="E64" s="119">
        <v>6.2490235900640521E-4</v>
      </c>
      <c r="F64" s="120">
        <v>3</v>
      </c>
      <c r="G64" s="119">
        <f t="shared" si="1"/>
        <v>4.7938638542665386E-4</v>
      </c>
      <c r="H64" s="119">
        <f t="shared" si="2"/>
        <v>5.7357218177562651E-4</v>
      </c>
      <c r="I64" s="121">
        <f t="shared" si="3"/>
        <v>1.4339304544390663E-4</v>
      </c>
      <c r="J64" s="122">
        <v>589509</v>
      </c>
      <c r="K64" s="123">
        <v>485302.81</v>
      </c>
      <c r="L64" s="123">
        <f>BUDGETSIZE!U59</f>
        <v>230029.91</v>
      </c>
      <c r="M64" s="124">
        <f t="shared" si="7"/>
        <v>3.8908336286550216E-4</v>
      </c>
      <c r="N64" s="124">
        <f t="shared" si="4"/>
        <v>3.89083362865502E-4</v>
      </c>
      <c r="O64" s="125">
        <f t="shared" si="5"/>
        <v>2.9181252214912647E-4</v>
      </c>
      <c r="P64" s="125">
        <f t="shared" si="6"/>
        <v>4.352055675930331E-4</v>
      </c>
      <c r="Q64" s="126"/>
    </row>
    <row r="65" spans="1:17">
      <c r="A65" s="88">
        <v>100000</v>
      </c>
      <c r="B65" s="90" t="s">
        <v>22</v>
      </c>
      <c r="C65" s="88" t="s">
        <v>90</v>
      </c>
      <c r="D65" s="118">
        <v>0</v>
      </c>
      <c r="E65" s="119">
        <v>0</v>
      </c>
      <c r="F65" s="120">
        <v>0</v>
      </c>
      <c r="G65" s="119">
        <f t="shared" si="1"/>
        <v>0</v>
      </c>
      <c r="H65" s="119">
        <f t="shared" si="2"/>
        <v>0</v>
      </c>
      <c r="I65" s="121">
        <f t="shared" si="3"/>
        <v>0</v>
      </c>
      <c r="J65" s="122">
        <v>0</v>
      </c>
      <c r="K65" s="123">
        <v>0</v>
      </c>
      <c r="L65" s="123">
        <f>BUDGETSIZE!U60</f>
        <v>0</v>
      </c>
      <c r="M65" s="124">
        <f t="shared" si="7"/>
        <v>0</v>
      </c>
      <c r="N65" s="124">
        <f t="shared" si="4"/>
        <v>0</v>
      </c>
      <c r="O65" s="125">
        <f t="shared" si="5"/>
        <v>0</v>
      </c>
      <c r="P65" s="125">
        <f t="shared" si="6"/>
        <v>0</v>
      </c>
      <c r="Q65" s="126"/>
    </row>
    <row r="66" spans="1:17">
      <c r="A66" s="88">
        <v>100000</v>
      </c>
      <c r="B66" s="90" t="s">
        <v>22</v>
      </c>
      <c r="C66" s="88" t="s">
        <v>91</v>
      </c>
      <c r="D66" s="118">
        <v>0</v>
      </c>
      <c r="E66" s="119">
        <v>0</v>
      </c>
      <c r="F66" s="120">
        <v>0</v>
      </c>
      <c r="G66" s="119">
        <f t="shared" si="1"/>
        <v>0</v>
      </c>
      <c r="H66" s="119">
        <f t="shared" si="2"/>
        <v>0</v>
      </c>
      <c r="I66" s="121">
        <f t="shared" si="3"/>
        <v>0</v>
      </c>
      <c r="J66" s="122">
        <v>0</v>
      </c>
      <c r="K66" s="123">
        <v>0</v>
      </c>
      <c r="L66" s="123">
        <f>BUDGETSIZE!U61</f>
        <v>0</v>
      </c>
      <c r="M66" s="124">
        <f t="shared" si="7"/>
        <v>0</v>
      </c>
      <c r="N66" s="124">
        <f t="shared" si="4"/>
        <v>0</v>
      </c>
      <c r="O66" s="125">
        <f t="shared" si="5"/>
        <v>0</v>
      </c>
      <c r="P66" s="125">
        <f t="shared" si="6"/>
        <v>0</v>
      </c>
      <c r="Q66" s="126"/>
    </row>
    <row r="67" spans="1:17">
      <c r="A67" s="88">
        <v>208000</v>
      </c>
      <c r="B67" s="90" t="s">
        <v>22</v>
      </c>
      <c r="C67" s="88" t="s">
        <v>92</v>
      </c>
      <c r="D67" s="118">
        <v>0</v>
      </c>
      <c r="E67" s="119">
        <v>0</v>
      </c>
      <c r="F67" s="120">
        <v>0</v>
      </c>
      <c r="G67" s="119">
        <f t="shared" si="1"/>
        <v>0</v>
      </c>
      <c r="H67" s="119">
        <f t="shared" si="2"/>
        <v>0</v>
      </c>
      <c r="I67" s="121">
        <f t="shared" si="3"/>
        <v>0</v>
      </c>
      <c r="J67" s="122">
        <v>0</v>
      </c>
      <c r="K67" s="123">
        <v>0</v>
      </c>
      <c r="L67" s="123">
        <f>BUDGETSIZE!U62</f>
        <v>0</v>
      </c>
      <c r="M67" s="124">
        <f t="shared" si="7"/>
        <v>0</v>
      </c>
      <c r="N67" s="124">
        <f t="shared" si="4"/>
        <v>0</v>
      </c>
      <c r="O67" s="125">
        <f t="shared" si="5"/>
        <v>0</v>
      </c>
      <c r="P67" s="125">
        <f t="shared" si="6"/>
        <v>0</v>
      </c>
      <c r="Q67" s="126"/>
    </row>
    <row r="68" spans="1:17">
      <c r="A68" s="88">
        <v>207000</v>
      </c>
      <c r="B68" s="90" t="s">
        <v>22</v>
      </c>
      <c r="C68" s="88" t="s">
        <v>93</v>
      </c>
      <c r="D68" s="118">
        <v>0</v>
      </c>
      <c r="E68" s="119">
        <v>0</v>
      </c>
      <c r="F68" s="120">
        <v>0</v>
      </c>
      <c r="G68" s="119">
        <f t="shared" si="1"/>
        <v>0</v>
      </c>
      <c r="H68" s="119">
        <f t="shared" si="2"/>
        <v>0</v>
      </c>
      <c r="I68" s="121">
        <f t="shared" si="3"/>
        <v>0</v>
      </c>
      <c r="J68" s="122">
        <v>15000</v>
      </c>
      <c r="K68" s="123">
        <v>0</v>
      </c>
      <c r="L68" s="123">
        <f>BUDGETSIZE!U63</f>
        <v>0</v>
      </c>
      <c r="M68" s="124">
        <f t="shared" si="7"/>
        <v>3.5484587541213414E-6</v>
      </c>
      <c r="N68" s="124">
        <f t="shared" si="4"/>
        <v>3.5484587541213397E-6</v>
      </c>
      <c r="O68" s="125">
        <f t="shared" si="5"/>
        <v>2.6613440655910049E-6</v>
      </c>
      <c r="P68" s="125">
        <f t="shared" si="6"/>
        <v>2.6613440655910049E-6</v>
      </c>
      <c r="Q68" s="126"/>
    </row>
    <row r="69" spans="1:17">
      <c r="A69" s="88">
        <v>100000</v>
      </c>
      <c r="B69" s="90" t="s">
        <v>27</v>
      </c>
      <c r="C69" s="88" t="s">
        <v>94</v>
      </c>
      <c r="D69" s="118">
        <v>7.0889197102789337E-3</v>
      </c>
      <c r="E69" s="119">
        <v>7.3426027183252614E-3</v>
      </c>
      <c r="F69" s="120">
        <v>46</v>
      </c>
      <c r="G69" s="119">
        <f t="shared" si="1"/>
        <v>7.3505912432086928E-3</v>
      </c>
      <c r="H69" s="119">
        <f t="shared" si="2"/>
        <v>7.2607045572709627E-3</v>
      </c>
      <c r="I69" s="121">
        <f t="shared" si="3"/>
        <v>1.8151761393177407E-3</v>
      </c>
      <c r="J69" s="122">
        <v>6439822</v>
      </c>
      <c r="K69" s="123">
        <v>5925598.7850000001</v>
      </c>
      <c r="L69" s="123">
        <f>BUDGETSIZE!U64</f>
        <v>6203280.8199999975</v>
      </c>
      <c r="M69" s="124">
        <f t="shared" si="7"/>
        <v>5.7836826676728867E-3</v>
      </c>
      <c r="N69" s="124">
        <f t="shared" si="4"/>
        <v>5.7836826676728841E-3</v>
      </c>
      <c r="O69" s="125">
        <f t="shared" si="5"/>
        <v>4.337762000754663E-3</v>
      </c>
      <c r="P69" s="125">
        <f t="shared" si="6"/>
        <v>6.1529381400724035E-3</v>
      </c>
      <c r="Q69" s="126"/>
    </row>
    <row r="70" spans="1:17">
      <c r="A70" s="88">
        <v>100000</v>
      </c>
      <c r="B70" s="90" t="s">
        <v>22</v>
      </c>
      <c r="C70" s="88" t="s">
        <v>95</v>
      </c>
      <c r="D70" s="118">
        <v>0</v>
      </c>
      <c r="E70" s="119">
        <v>0</v>
      </c>
      <c r="F70" s="120">
        <v>0</v>
      </c>
      <c r="G70" s="119">
        <f t="shared" si="1"/>
        <v>0</v>
      </c>
      <c r="H70" s="119">
        <f t="shared" si="2"/>
        <v>0</v>
      </c>
      <c r="I70" s="121">
        <f t="shared" si="3"/>
        <v>0</v>
      </c>
      <c r="J70" s="122">
        <v>200320</v>
      </c>
      <c r="K70" s="123">
        <v>193750</v>
      </c>
      <c r="L70" s="123">
        <f>BUDGETSIZE!U65</f>
        <v>247782.87000000011</v>
      </c>
      <c r="M70" s="124">
        <f t="shared" si="7"/>
        <v>2.0274035664930154E-4</v>
      </c>
      <c r="N70" s="124">
        <f t="shared" si="4"/>
        <v>2.0274035664930145E-4</v>
      </c>
      <c r="O70" s="125">
        <f t="shared" si="5"/>
        <v>1.520552674869761E-4</v>
      </c>
      <c r="P70" s="125">
        <f t="shared" si="6"/>
        <v>1.520552674869761E-4</v>
      </c>
      <c r="Q70" s="126"/>
    </row>
    <row r="71" spans="1:17">
      <c r="A71" s="88">
        <v>100000</v>
      </c>
      <c r="B71" s="90" t="s">
        <v>22</v>
      </c>
      <c r="C71" s="88" t="s">
        <v>96</v>
      </c>
      <c r="D71" s="118">
        <v>0</v>
      </c>
      <c r="E71" s="119">
        <v>0</v>
      </c>
      <c r="F71" s="120">
        <v>0</v>
      </c>
      <c r="G71" s="119">
        <f t="shared" si="1"/>
        <v>0</v>
      </c>
      <c r="H71" s="119">
        <f t="shared" si="2"/>
        <v>0</v>
      </c>
      <c r="I71" s="121">
        <f t="shared" si="3"/>
        <v>0</v>
      </c>
      <c r="J71" s="122">
        <v>1576023</v>
      </c>
      <c r="K71" s="123">
        <v>973016</v>
      </c>
      <c r="L71" s="123">
        <f>BUDGETSIZE!U66</f>
        <v>1051576.8999999999</v>
      </c>
      <c r="M71" s="124">
        <f t="shared" si="7"/>
        <v>1.0841594003022992E-3</v>
      </c>
      <c r="N71" s="124">
        <f t="shared" si="4"/>
        <v>1.0841594003022988E-3</v>
      </c>
      <c r="O71" s="125">
        <f t="shared" si="5"/>
        <v>8.1311955022672416E-4</v>
      </c>
      <c r="P71" s="125">
        <f t="shared" si="6"/>
        <v>8.1311955022672416E-4</v>
      </c>
      <c r="Q71" s="126"/>
    </row>
    <row r="72" spans="1:17">
      <c r="A72" s="88">
        <v>703000</v>
      </c>
      <c r="B72" s="90" t="s">
        <v>22</v>
      </c>
      <c r="C72" s="88" t="s">
        <v>97</v>
      </c>
      <c r="D72" s="118">
        <v>4.160887656033287E-3</v>
      </c>
      <c r="E72" s="119">
        <v>3.7494141540384317E-3</v>
      </c>
      <c r="F72" s="120">
        <v>24</v>
      </c>
      <c r="G72" s="119">
        <f t="shared" si="1"/>
        <v>3.8350910834132309E-3</v>
      </c>
      <c r="H72" s="119">
        <f t="shared" si="2"/>
        <v>3.9151309644949832E-3</v>
      </c>
      <c r="I72" s="121">
        <f t="shared" si="3"/>
        <v>9.787827411237458E-4</v>
      </c>
      <c r="J72" s="122">
        <v>6668958</v>
      </c>
      <c r="K72" s="123">
        <v>5599834.290000001</v>
      </c>
      <c r="L72" s="123">
        <f>BUDGETSIZE!U67</f>
        <v>5514266.5199999996</v>
      </c>
      <c r="M72" s="124">
        <f t="shared" si="7"/>
        <v>5.4794044140079011E-3</v>
      </c>
      <c r="N72" s="124">
        <f t="shared" si="4"/>
        <v>5.4794044140078985E-3</v>
      </c>
      <c r="O72" s="125">
        <f t="shared" si="5"/>
        <v>4.1095533105059241E-3</v>
      </c>
      <c r="P72" s="125">
        <f t="shared" si="6"/>
        <v>5.0883360516296699E-3</v>
      </c>
      <c r="Q72" s="126"/>
    </row>
    <row r="73" spans="1:17" s="205" customFormat="1">
      <c r="A73" s="194">
        <v>100000</v>
      </c>
      <c r="B73" s="195" t="s">
        <v>578</v>
      </c>
      <c r="C73" s="194" t="str">
        <f>'BUDGET DETAIL'!E82</f>
        <v>Office of Equity &amp; Human Rights</v>
      </c>
      <c r="D73" s="196">
        <v>0</v>
      </c>
      <c r="E73" s="197">
        <v>0</v>
      </c>
      <c r="F73" s="198">
        <v>0</v>
      </c>
      <c r="G73" s="197">
        <f t="shared" si="1"/>
        <v>0</v>
      </c>
      <c r="H73" s="197">
        <f t="shared" si="2"/>
        <v>0</v>
      </c>
      <c r="I73" s="199">
        <f t="shared" si="3"/>
        <v>0</v>
      </c>
      <c r="J73" s="200">
        <v>0</v>
      </c>
      <c r="K73" s="201">
        <v>0</v>
      </c>
      <c r="L73" s="201">
        <f>BUDGETSIZE!U68</f>
        <v>375051.66</v>
      </c>
      <c r="M73" s="202">
        <f t="shared" si="7"/>
        <v>1.3393921901558387E-4</v>
      </c>
      <c r="N73" s="202">
        <f t="shared" si="4"/>
        <v>1.3393921901558382E-4</v>
      </c>
      <c r="O73" s="203">
        <f t="shared" si="5"/>
        <v>1.0045441426168787E-4</v>
      </c>
      <c r="P73" s="203">
        <f t="shared" si="6"/>
        <v>1.0045441426168787E-4</v>
      </c>
      <c r="Q73" s="204"/>
    </row>
    <row r="74" spans="1:17">
      <c r="A74" s="88">
        <v>100000</v>
      </c>
      <c r="B74" s="90" t="s">
        <v>22</v>
      </c>
      <c r="C74" s="88" t="s">
        <v>98</v>
      </c>
      <c r="D74" s="118">
        <v>1.032516566497149E-2</v>
      </c>
      <c r="E74" s="119">
        <v>1.0154663333854085E-2</v>
      </c>
      <c r="F74" s="120">
        <v>67</v>
      </c>
      <c r="G74" s="119">
        <f t="shared" si="1"/>
        <v>1.070629594119527E-2</v>
      </c>
      <c r="H74" s="119">
        <f t="shared" si="2"/>
        <v>1.0395374980006949E-2</v>
      </c>
      <c r="I74" s="121">
        <f t="shared" si="3"/>
        <v>2.5988437450017374E-3</v>
      </c>
      <c r="J74" s="122">
        <v>9942050</v>
      </c>
      <c r="K74" s="123">
        <v>7041094.7200000007</v>
      </c>
      <c r="L74" s="123">
        <f>BUDGETSIZE!U69</f>
        <v>7398354.1900000004</v>
      </c>
      <c r="M74" s="124">
        <f t="shared" si="7"/>
        <v>7.423928262248687E-3</v>
      </c>
      <c r="N74" s="124">
        <f t="shared" si="4"/>
        <v>7.4239282622486835E-3</v>
      </c>
      <c r="O74" s="125">
        <f t="shared" si="5"/>
        <v>5.5679461966865124E-3</v>
      </c>
      <c r="P74" s="125">
        <f t="shared" si="6"/>
        <v>8.1667899416882489E-3</v>
      </c>
      <c r="Q74" s="126"/>
    </row>
    <row r="75" spans="1:17">
      <c r="A75" s="88">
        <v>100000</v>
      </c>
      <c r="B75" s="90" t="s">
        <v>22</v>
      </c>
      <c r="C75" s="88" t="s">
        <v>99</v>
      </c>
      <c r="D75" s="118">
        <v>0</v>
      </c>
      <c r="E75" s="119">
        <v>0</v>
      </c>
      <c r="F75" s="120">
        <v>0</v>
      </c>
      <c r="G75" s="119">
        <f t="shared" si="1"/>
        <v>0</v>
      </c>
      <c r="H75" s="119">
        <f t="shared" si="2"/>
        <v>0</v>
      </c>
      <c r="I75" s="121">
        <f t="shared" si="3"/>
        <v>0</v>
      </c>
      <c r="J75" s="122">
        <v>11168785</v>
      </c>
      <c r="K75" s="123">
        <v>6476768.0599999996</v>
      </c>
      <c r="L75" s="123">
        <f>BUDGETSIZE!U70</f>
        <v>6476768.0599999996</v>
      </c>
      <c r="M75" s="124">
        <f t="shared" si="7"/>
        <v>7.190261577727397E-3</v>
      </c>
      <c r="N75" s="124">
        <f t="shared" si="4"/>
        <v>7.1902615777273936E-3</v>
      </c>
      <c r="O75" s="125">
        <f t="shared" si="5"/>
        <v>5.3926961832955452E-3</v>
      </c>
      <c r="P75" s="125">
        <f t="shared" si="6"/>
        <v>5.3926961832955452E-3</v>
      </c>
      <c r="Q75" s="126"/>
    </row>
    <row r="76" spans="1:17">
      <c r="A76" s="88">
        <v>220000</v>
      </c>
      <c r="B76" s="90" t="s">
        <v>22</v>
      </c>
      <c r="C76" s="88" t="s">
        <v>100</v>
      </c>
      <c r="D76" s="118">
        <v>0</v>
      </c>
      <c r="E76" s="119">
        <v>0</v>
      </c>
      <c r="F76" s="120">
        <v>0</v>
      </c>
      <c r="G76" s="119">
        <f t="shared" si="1"/>
        <v>0</v>
      </c>
      <c r="H76" s="119">
        <f t="shared" si="2"/>
        <v>0</v>
      </c>
      <c r="I76" s="121">
        <f t="shared" si="3"/>
        <v>0</v>
      </c>
      <c r="J76" s="122">
        <v>53252</v>
      </c>
      <c r="K76" s="123">
        <v>0</v>
      </c>
      <c r="L76" s="123">
        <f>BUDGETSIZE!U71</f>
        <v>0</v>
      </c>
      <c r="M76" s="124">
        <f t="shared" si="7"/>
        <v>1.2597501704964645E-5</v>
      </c>
      <c r="N76" s="124">
        <f t="shared" si="4"/>
        <v>1.259750170496464E-5</v>
      </c>
      <c r="O76" s="125">
        <f t="shared" si="5"/>
        <v>9.4481262787234788E-6</v>
      </c>
      <c r="P76" s="125">
        <f t="shared" si="6"/>
        <v>9.4481262787234788E-6</v>
      </c>
      <c r="Q76" s="126"/>
    </row>
    <row r="77" spans="1:17">
      <c r="A77" s="88">
        <v>500000</v>
      </c>
      <c r="B77" s="90" t="s">
        <v>22</v>
      </c>
      <c r="C77" s="88" t="s">
        <v>101</v>
      </c>
      <c r="D77" s="118">
        <v>0</v>
      </c>
      <c r="E77" s="119">
        <v>0</v>
      </c>
      <c r="F77" s="120">
        <v>0</v>
      </c>
      <c r="G77" s="119">
        <f t="shared" ref="G77:G112" si="8">F77/$F$127</f>
        <v>0</v>
      </c>
      <c r="H77" s="119">
        <f t="shared" ref="H77:H124" si="9">AVERAGE(G77,E77,D77)</f>
        <v>0</v>
      </c>
      <c r="I77" s="121">
        <f t="shared" ref="I77:I112" si="10">H77*$I$10</f>
        <v>0</v>
      </c>
      <c r="J77" s="122">
        <v>0</v>
      </c>
      <c r="K77" s="123">
        <v>225</v>
      </c>
      <c r="L77" s="123">
        <f>BUDGETSIZE!U72</f>
        <v>0</v>
      </c>
      <c r="M77" s="124">
        <f t="shared" ref="M77:M108" si="11">((J77/$J$127)+(K77/$K$127)+(L77/$L$127))/3</f>
        <v>7.7647523728303345E-8</v>
      </c>
      <c r="N77" s="124">
        <f t="shared" ref="N77:N112" si="12">M77/$M$127</f>
        <v>7.7647523728303305E-8</v>
      </c>
      <c r="O77" s="125">
        <f t="shared" ref="O77:O112" si="13">$O$10*N77</f>
        <v>5.8235642796227479E-8</v>
      </c>
      <c r="P77" s="125">
        <f t="shared" ref="P77:P112" si="14">(O77+I77)</f>
        <v>5.8235642796227479E-8</v>
      </c>
      <c r="Q77" s="126"/>
    </row>
    <row r="78" spans="1:17">
      <c r="A78" s="88">
        <v>616000</v>
      </c>
      <c r="B78" s="90" t="s">
        <v>22</v>
      </c>
      <c r="C78" s="88" t="s">
        <v>102</v>
      </c>
      <c r="D78" s="118">
        <v>0</v>
      </c>
      <c r="E78" s="119">
        <v>0</v>
      </c>
      <c r="F78" s="120">
        <v>0</v>
      </c>
      <c r="G78" s="119">
        <f t="shared" si="8"/>
        <v>0</v>
      </c>
      <c r="H78" s="119">
        <f t="shared" si="9"/>
        <v>0</v>
      </c>
      <c r="I78" s="121">
        <f t="shared" si="10"/>
        <v>0</v>
      </c>
      <c r="J78" s="122">
        <v>0</v>
      </c>
      <c r="K78" s="123">
        <v>0</v>
      </c>
      <c r="L78" s="123">
        <f>BUDGETSIZE!U73</f>
        <v>0</v>
      </c>
      <c r="M78" s="124">
        <f t="shared" si="11"/>
        <v>0</v>
      </c>
      <c r="N78" s="124">
        <f t="shared" si="12"/>
        <v>0</v>
      </c>
      <c r="O78" s="125">
        <f t="shared" si="13"/>
        <v>0</v>
      </c>
      <c r="P78" s="125">
        <f t="shared" si="14"/>
        <v>0</v>
      </c>
      <c r="Q78" s="126"/>
    </row>
    <row r="79" spans="1:17">
      <c r="A79" s="88">
        <v>700000</v>
      </c>
      <c r="B79" s="90" t="s">
        <v>22</v>
      </c>
      <c r="C79" s="88" t="s">
        <v>103</v>
      </c>
      <c r="D79" s="118">
        <v>1.6951764524580058E-3</v>
      </c>
      <c r="E79" s="119">
        <v>1.7184814872676145E-3</v>
      </c>
      <c r="F79" s="120">
        <v>11</v>
      </c>
      <c r="G79" s="119">
        <f t="shared" si="8"/>
        <v>1.757750079897731E-3</v>
      </c>
      <c r="H79" s="119">
        <f t="shared" si="9"/>
        <v>1.7238026732077838E-3</v>
      </c>
      <c r="I79" s="121">
        <f t="shared" si="10"/>
        <v>4.3095066830194594E-4</v>
      </c>
      <c r="J79" s="122">
        <v>2304009</v>
      </c>
      <c r="K79" s="123">
        <v>2365925.46</v>
      </c>
      <c r="L79" s="123">
        <f>BUDGETSIZE!U74</f>
        <v>1210522.3800000001</v>
      </c>
      <c r="M79" s="124">
        <f t="shared" si="11"/>
        <v>1.793830757705757E-3</v>
      </c>
      <c r="N79" s="124">
        <f t="shared" si="12"/>
        <v>1.7938307577057562E-3</v>
      </c>
      <c r="O79" s="125">
        <f t="shared" si="13"/>
        <v>1.3453730682793171E-3</v>
      </c>
      <c r="P79" s="125">
        <f t="shared" si="14"/>
        <v>1.776323736581263E-3</v>
      </c>
      <c r="Q79" s="126"/>
    </row>
    <row r="80" spans="1:17">
      <c r="A80" s="88">
        <v>100000</v>
      </c>
      <c r="B80" s="90" t="s">
        <v>28</v>
      </c>
      <c r="C80" s="88" t="s">
        <v>104</v>
      </c>
      <c r="D80" s="118">
        <v>1.2944983818770227E-2</v>
      </c>
      <c r="E80" s="119">
        <v>1.4372754257147321E-2</v>
      </c>
      <c r="F80" s="120">
        <v>98</v>
      </c>
      <c r="G80" s="119">
        <f t="shared" si="8"/>
        <v>1.5659955257270694E-2</v>
      </c>
      <c r="H80" s="119">
        <f t="shared" si="9"/>
        <v>1.4325897777729413E-2</v>
      </c>
      <c r="I80" s="121">
        <f t="shared" si="10"/>
        <v>3.5814744444323532E-3</v>
      </c>
      <c r="J80" s="122">
        <v>11099756</v>
      </c>
      <c r="K80" s="123">
        <v>13780054.999999998</v>
      </c>
      <c r="L80" s="123">
        <f>BUDGETSIZE!U75</f>
        <v>22875641.695</v>
      </c>
      <c r="M80" s="124">
        <f t="shared" si="11"/>
        <v>1.5550696329130852E-2</v>
      </c>
      <c r="N80" s="124">
        <f t="shared" si="12"/>
        <v>1.5550696329130845E-2</v>
      </c>
      <c r="O80" s="125">
        <f t="shared" si="13"/>
        <v>1.1663022246848134E-2</v>
      </c>
      <c r="P80" s="125">
        <f t="shared" si="14"/>
        <v>1.5244496691280487E-2</v>
      </c>
      <c r="Q80" s="126"/>
    </row>
    <row r="81" spans="1:17">
      <c r="A81" s="88">
        <v>203000</v>
      </c>
      <c r="B81" s="90" t="s">
        <v>22</v>
      </c>
      <c r="C81" s="88" t="s">
        <v>105</v>
      </c>
      <c r="D81" s="118">
        <v>2.5427646786870088E-2</v>
      </c>
      <c r="E81" s="119">
        <v>2.4214966411498205E-2</v>
      </c>
      <c r="F81" s="120">
        <v>174</v>
      </c>
      <c r="G81" s="119">
        <f t="shared" si="8"/>
        <v>2.7804410354745925E-2</v>
      </c>
      <c r="H81" s="119">
        <f t="shared" si="9"/>
        <v>2.581567451770474E-2</v>
      </c>
      <c r="I81" s="121">
        <f t="shared" si="10"/>
        <v>6.4539186294261851E-3</v>
      </c>
      <c r="J81" s="122">
        <v>28801272</v>
      </c>
      <c r="K81" s="123">
        <v>16214011.534999996</v>
      </c>
      <c r="L81" s="123">
        <f>BUDGETSIZE!U76</f>
        <v>19122972.045000002</v>
      </c>
      <c r="M81" s="124">
        <f t="shared" si="11"/>
        <v>1.9238033855010262E-2</v>
      </c>
      <c r="N81" s="124">
        <f t="shared" si="12"/>
        <v>1.9238033855010255E-2</v>
      </c>
      <c r="O81" s="125">
        <f t="shared" si="13"/>
        <v>1.4428525391257691E-2</v>
      </c>
      <c r="P81" s="125">
        <f t="shared" si="14"/>
        <v>2.0882444020683875E-2</v>
      </c>
      <c r="Q81" s="126"/>
    </row>
    <row r="82" spans="1:17">
      <c r="A82" s="88">
        <v>218000</v>
      </c>
      <c r="B82" s="90" t="s">
        <v>22</v>
      </c>
      <c r="C82" s="88" t="s">
        <v>106</v>
      </c>
      <c r="D82" s="118">
        <v>0</v>
      </c>
      <c r="E82" s="119">
        <v>0</v>
      </c>
      <c r="F82" s="120">
        <v>0</v>
      </c>
      <c r="G82" s="119">
        <f t="shared" si="8"/>
        <v>0</v>
      </c>
      <c r="H82" s="119">
        <f t="shared" si="9"/>
        <v>0</v>
      </c>
      <c r="I82" s="121">
        <f t="shared" si="10"/>
        <v>0</v>
      </c>
      <c r="J82" s="122">
        <v>8242403</v>
      </c>
      <c r="K82" s="123">
        <v>5342360.7550000008</v>
      </c>
      <c r="L82" s="123">
        <f>BUDGETSIZE!U77</f>
        <v>4394047.4350000024</v>
      </c>
      <c r="M82" s="124">
        <f t="shared" si="11"/>
        <v>5.3627156421302393E-3</v>
      </c>
      <c r="N82" s="124">
        <f t="shared" si="12"/>
        <v>5.3627156421302367E-3</v>
      </c>
      <c r="O82" s="125">
        <f t="shared" si="13"/>
        <v>4.0220367315976779E-3</v>
      </c>
      <c r="P82" s="125">
        <f t="shared" si="14"/>
        <v>4.0220367315976779E-3</v>
      </c>
      <c r="Q82" s="126"/>
    </row>
    <row r="83" spans="1:17">
      <c r="A83" s="88">
        <v>219000</v>
      </c>
      <c r="B83" s="90" t="s">
        <v>22</v>
      </c>
      <c r="C83" s="88" t="s">
        <v>107</v>
      </c>
      <c r="D83" s="118">
        <v>0</v>
      </c>
      <c r="E83" s="119">
        <v>0</v>
      </c>
      <c r="F83" s="120">
        <v>0</v>
      </c>
      <c r="G83" s="119">
        <f t="shared" si="8"/>
        <v>0</v>
      </c>
      <c r="H83" s="119">
        <f t="shared" si="9"/>
        <v>0</v>
      </c>
      <c r="I83" s="121">
        <f t="shared" si="10"/>
        <v>0</v>
      </c>
      <c r="J83" s="122">
        <v>2498261</v>
      </c>
      <c r="K83" s="123">
        <v>2565098.5650000004</v>
      </c>
      <c r="L83" s="123">
        <f>BUDGETSIZE!U78</f>
        <v>1972736.0799999998</v>
      </c>
      <c r="M83" s="124">
        <f t="shared" si="11"/>
        <v>2.1807217530459143E-3</v>
      </c>
      <c r="N83" s="124">
        <f t="shared" si="12"/>
        <v>2.1807217530459134E-3</v>
      </c>
      <c r="O83" s="125">
        <f t="shared" si="13"/>
        <v>1.635541314784435E-3</v>
      </c>
      <c r="P83" s="125">
        <f t="shared" si="14"/>
        <v>1.635541314784435E-3</v>
      </c>
      <c r="Q83" s="126"/>
    </row>
    <row r="84" spans="1:17">
      <c r="A84" s="88">
        <v>100000</v>
      </c>
      <c r="B84" s="90" t="s">
        <v>29</v>
      </c>
      <c r="C84" s="88" t="s">
        <v>108</v>
      </c>
      <c r="D84" s="118">
        <v>5.0855293573740176E-3</v>
      </c>
      <c r="E84" s="119">
        <v>9.9984377441024834E-3</v>
      </c>
      <c r="F84" s="120">
        <v>54</v>
      </c>
      <c r="G84" s="119">
        <f t="shared" si="8"/>
        <v>8.6289549376797701E-3</v>
      </c>
      <c r="H84" s="119">
        <f t="shared" si="9"/>
        <v>7.9043073463854249E-3</v>
      </c>
      <c r="I84" s="121">
        <f t="shared" si="10"/>
        <v>1.9760768365963562E-3</v>
      </c>
      <c r="J84" s="122">
        <v>9989120</v>
      </c>
      <c r="K84" s="123">
        <v>10103832.499999998</v>
      </c>
      <c r="L84" s="123">
        <f>BUDGETSIZE!U79</f>
        <v>11593972.110000001</v>
      </c>
      <c r="M84" s="124">
        <f t="shared" si="11"/>
        <v>9.9903621442935606E-3</v>
      </c>
      <c r="N84" s="124">
        <f t="shared" si="12"/>
        <v>9.9903621442935554E-3</v>
      </c>
      <c r="O84" s="125">
        <f t="shared" si="13"/>
        <v>7.4927716082201666E-3</v>
      </c>
      <c r="P84" s="125">
        <f t="shared" si="14"/>
        <v>9.4688484448165224E-3</v>
      </c>
      <c r="Q84" s="126"/>
    </row>
    <row r="85" spans="1:17">
      <c r="A85" s="88"/>
      <c r="B85" s="90"/>
      <c r="C85" s="88"/>
      <c r="D85" s="118"/>
      <c r="E85" s="119"/>
      <c r="F85" s="120">
        <v>0</v>
      </c>
      <c r="G85" s="119"/>
      <c r="H85" s="119"/>
      <c r="I85" s="127"/>
      <c r="J85" s="122">
        <v>875305</v>
      </c>
      <c r="K85" s="123">
        <v>729.12</v>
      </c>
      <c r="L85" s="123">
        <f>BUDGETSIZE!U80</f>
        <v>175</v>
      </c>
      <c r="M85" s="124">
        <f t="shared" si="11"/>
        <v>2.0737969506667991E-4</v>
      </c>
      <c r="N85" s="124">
        <f t="shared" si="12"/>
        <v>2.0737969506667983E-4</v>
      </c>
      <c r="O85" s="125">
        <f t="shared" si="13"/>
        <v>1.5553477130000987E-4</v>
      </c>
      <c r="P85" s="125">
        <f t="shared" si="14"/>
        <v>1.5553477130000987E-4</v>
      </c>
      <c r="Q85" s="126"/>
    </row>
    <row r="86" spans="1:17">
      <c r="A86" s="88">
        <v>706000</v>
      </c>
      <c r="B86" s="90" t="s">
        <v>22</v>
      </c>
      <c r="C86" s="88" t="s">
        <v>109</v>
      </c>
      <c r="D86" s="118">
        <v>3.3749422098936659E-2</v>
      </c>
      <c r="E86" s="119">
        <v>3.2494922668333072E-2</v>
      </c>
      <c r="F86" s="120">
        <v>202</v>
      </c>
      <c r="G86" s="119">
        <f t="shared" si="8"/>
        <v>3.2278683285394696E-2</v>
      </c>
      <c r="H86" s="119">
        <f t="shared" si="9"/>
        <v>3.2841009350888149E-2</v>
      </c>
      <c r="I86" s="121">
        <f t="shared" si="10"/>
        <v>8.2102523377220373E-3</v>
      </c>
      <c r="J86" s="122">
        <v>45641587</v>
      </c>
      <c r="K86" s="123">
        <v>34612872.75</v>
      </c>
      <c r="L86" s="123">
        <f>BUDGETSIZE!U81</f>
        <v>39080771.38499999</v>
      </c>
      <c r="M86" s="124">
        <f t="shared" si="11"/>
        <v>3.6698663964683062E-2</v>
      </c>
      <c r="N86" s="124">
        <f t="shared" si="12"/>
        <v>3.6698663964683048E-2</v>
      </c>
      <c r="O86" s="125">
        <f t="shared" si="13"/>
        <v>2.7523997973512286E-2</v>
      </c>
      <c r="P86" s="125">
        <f t="shared" si="14"/>
        <v>3.5734250311234325E-2</v>
      </c>
      <c r="Q86" s="126"/>
    </row>
    <row r="87" spans="1:17">
      <c r="A87" s="88">
        <v>702000</v>
      </c>
      <c r="B87" s="90" t="s">
        <v>22</v>
      </c>
      <c r="C87" s="88" t="s">
        <v>110</v>
      </c>
      <c r="D87" s="118">
        <v>1.1866235167206042E-2</v>
      </c>
      <c r="E87" s="119">
        <v>1.1560693641618497E-2</v>
      </c>
      <c r="F87" s="120">
        <v>74</v>
      </c>
      <c r="G87" s="119">
        <f t="shared" si="8"/>
        <v>1.1824864173857462E-2</v>
      </c>
      <c r="H87" s="119">
        <f t="shared" si="9"/>
        <v>1.1750597660894001E-2</v>
      </c>
      <c r="I87" s="121">
        <f t="shared" si="10"/>
        <v>2.9376494152235002E-3</v>
      </c>
      <c r="J87" s="122">
        <v>23925207</v>
      </c>
      <c r="K87" s="123">
        <v>21641351.164999999</v>
      </c>
      <c r="L87" s="123">
        <f>BUDGETSIZE!U82</f>
        <v>24170630.639999993</v>
      </c>
      <c r="M87" s="124">
        <f t="shared" si="11"/>
        <v>2.1760138501212251E-2</v>
      </c>
      <c r="N87" s="124">
        <f t="shared" si="12"/>
        <v>2.176013850121224E-2</v>
      </c>
      <c r="O87" s="125">
        <f t="shared" si="13"/>
        <v>1.6320103875909181E-2</v>
      </c>
      <c r="P87" s="125">
        <f t="shared" si="14"/>
        <v>1.9257753291132683E-2</v>
      </c>
      <c r="Q87" s="126"/>
    </row>
    <row r="88" spans="1:17">
      <c r="A88" s="88">
        <v>704000</v>
      </c>
      <c r="B88" s="90" t="s">
        <v>22</v>
      </c>
      <c r="C88" s="88" t="s">
        <v>111</v>
      </c>
      <c r="D88" s="118">
        <v>2.3116042533518262E-3</v>
      </c>
      <c r="E88" s="119">
        <v>2.1871582565224186E-3</v>
      </c>
      <c r="F88" s="120">
        <v>14</v>
      </c>
      <c r="G88" s="119">
        <f t="shared" si="8"/>
        <v>2.2371364653243847E-3</v>
      </c>
      <c r="H88" s="119">
        <f t="shared" si="9"/>
        <v>2.2452996583995429E-3</v>
      </c>
      <c r="I88" s="121">
        <f t="shared" si="10"/>
        <v>5.6132491459988572E-4</v>
      </c>
      <c r="J88" s="122">
        <v>9534393</v>
      </c>
      <c r="K88" s="123">
        <v>5398647.2300000004</v>
      </c>
      <c r="L88" s="123">
        <f>BUDGETSIZE!U83</f>
        <v>6440525.5600000015</v>
      </c>
      <c r="M88" s="124">
        <f t="shared" si="11"/>
        <v>6.4186207962323326E-3</v>
      </c>
      <c r="N88" s="124">
        <f t="shared" si="12"/>
        <v>6.41862079623233E-3</v>
      </c>
      <c r="O88" s="125">
        <f t="shared" si="13"/>
        <v>4.8139655971742475E-3</v>
      </c>
      <c r="P88" s="125">
        <f t="shared" si="14"/>
        <v>5.3752905117741331E-3</v>
      </c>
      <c r="Q88" s="126"/>
    </row>
    <row r="89" spans="1:17">
      <c r="A89" s="88">
        <v>705000</v>
      </c>
      <c r="B89" s="90" t="s">
        <v>22</v>
      </c>
      <c r="C89" s="88" t="s">
        <v>112</v>
      </c>
      <c r="D89" s="118">
        <v>7.7053475111727538E-4</v>
      </c>
      <c r="E89" s="119">
        <v>1.0935791282612093E-3</v>
      </c>
      <c r="F89" s="120">
        <v>7</v>
      </c>
      <c r="G89" s="119">
        <f t="shared" si="8"/>
        <v>1.1185682326621924E-3</v>
      </c>
      <c r="H89" s="119">
        <f t="shared" si="9"/>
        <v>9.9422737068022575E-4</v>
      </c>
      <c r="I89" s="121">
        <f t="shared" si="10"/>
        <v>2.4855684267005644E-4</v>
      </c>
      <c r="J89" s="122">
        <v>4418094</v>
      </c>
      <c r="K89" s="123">
        <v>3686446.9299999997</v>
      </c>
      <c r="L89" s="123">
        <f>BUDGETSIZE!U84</f>
        <v>3495172.9000000004</v>
      </c>
      <c r="M89" s="124">
        <f t="shared" si="11"/>
        <v>3.5655581700124936E-3</v>
      </c>
      <c r="N89" s="124">
        <f t="shared" si="12"/>
        <v>3.5655581700124919E-3</v>
      </c>
      <c r="O89" s="125">
        <f t="shared" si="13"/>
        <v>2.6741686275093689E-3</v>
      </c>
      <c r="P89" s="125">
        <f t="shared" si="14"/>
        <v>2.9227254701794255E-3</v>
      </c>
      <c r="Q89" s="126"/>
    </row>
    <row r="90" spans="1:17">
      <c r="A90" s="88">
        <v>707000</v>
      </c>
      <c r="B90" s="90" t="s">
        <v>22</v>
      </c>
      <c r="C90" s="88" t="s">
        <v>113</v>
      </c>
      <c r="D90" s="118">
        <v>0</v>
      </c>
      <c r="E90" s="119">
        <v>0</v>
      </c>
      <c r="F90" s="120">
        <v>0</v>
      </c>
      <c r="G90" s="119">
        <f t="shared" si="8"/>
        <v>0</v>
      </c>
      <c r="H90" s="119">
        <f t="shared" si="9"/>
        <v>0</v>
      </c>
      <c r="I90" s="121">
        <f t="shared" si="10"/>
        <v>0</v>
      </c>
      <c r="J90" s="122">
        <v>0</v>
      </c>
      <c r="K90" s="123">
        <v>0</v>
      </c>
      <c r="L90" s="123">
        <f>BUDGETSIZE!U85</f>
        <v>0</v>
      </c>
      <c r="M90" s="124">
        <f t="shared" si="11"/>
        <v>0</v>
      </c>
      <c r="N90" s="124">
        <f t="shared" si="12"/>
        <v>0</v>
      </c>
      <c r="O90" s="125">
        <f t="shared" si="13"/>
        <v>0</v>
      </c>
      <c r="P90" s="125">
        <f t="shared" si="14"/>
        <v>0</v>
      </c>
      <c r="Q90" s="126"/>
    </row>
    <row r="91" spans="1:17">
      <c r="A91" s="88">
        <v>612000</v>
      </c>
      <c r="B91" s="90" t="s">
        <v>22</v>
      </c>
      <c r="C91" s="88" t="s">
        <v>50</v>
      </c>
      <c r="D91" s="118">
        <v>0</v>
      </c>
      <c r="E91" s="119">
        <v>0</v>
      </c>
      <c r="F91" s="120">
        <v>0</v>
      </c>
      <c r="G91" s="119">
        <f t="shared" si="8"/>
        <v>0</v>
      </c>
      <c r="H91" s="119">
        <f t="shared" si="9"/>
        <v>0</v>
      </c>
      <c r="I91" s="121">
        <f t="shared" si="10"/>
        <v>0</v>
      </c>
      <c r="J91" s="122">
        <v>0</v>
      </c>
      <c r="K91" s="123">
        <v>0</v>
      </c>
      <c r="L91" s="123">
        <f>BUDGETSIZE!U86</f>
        <v>0</v>
      </c>
      <c r="M91" s="124">
        <f t="shared" si="11"/>
        <v>0</v>
      </c>
      <c r="N91" s="124">
        <f t="shared" si="12"/>
        <v>0</v>
      </c>
      <c r="O91" s="125">
        <f t="shared" si="13"/>
        <v>0</v>
      </c>
      <c r="P91" s="125">
        <f t="shared" si="14"/>
        <v>0</v>
      </c>
      <c r="Q91" s="126"/>
    </row>
    <row r="92" spans="1:17">
      <c r="A92" s="88">
        <v>604000</v>
      </c>
      <c r="B92" s="90" t="s">
        <v>22</v>
      </c>
      <c r="C92" s="88" t="s">
        <v>114</v>
      </c>
      <c r="D92" s="118">
        <v>1.5410695022345508E-3</v>
      </c>
      <c r="E92" s="119">
        <v>9.3735353850960793E-4</v>
      </c>
      <c r="F92" s="120">
        <v>6</v>
      </c>
      <c r="G92" s="119">
        <f t="shared" si="8"/>
        <v>9.5877277085330771E-4</v>
      </c>
      <c r="H92" s="119">
        <f t="shared" si="9"/>
        <v>1.1457319371991554E-3</v>
      </c>
      <c r="I92" s="121">
        <f t="shared" si="10"/>
        <v>2.8643298429978885E-4</v>
      </c>
      <c r="J92" s="122">
        <v>1699679</v>
      </c>
      <c r="K92" s="123">
        <v>1295730.31</v>
      </c>
      <c r="L92" s="123">
        <f>BUDGETSIZE!U87</f>
        <v>1255312.125</v>
      </c>
      <c r="M92" s="124">
        <f t="shared" si="11"/>
        <v>1.2975390323671631E-3</v>
      </c>
      <c r="N92" s="124">
        <f t="shared" si="12"/>
        <v>1.2975390323671624E-3</v>
      </c>
      <c r="O92" s="125">
        <f t="shared" si="13"/>
        <v>9.7315427427537189E-4</v>
      </c>
      <c r="P92" s="125">
        <f t="shared" si="14"/>
        <v>1.2595872585751608E-3</v>
      </c>
      <c r="Q92" s="126"/>
    </row>
    <row r="93" spans="1:17">
      <c r="A93" s="88">
        <v>603000</v>
      </c>
      <c r="B93" s="90" t="s">
        <v>22</v>
      </c>
      <c r="C93" s="88" t="s">
        <v>115</v>
      </c>
      <c r="D93" s="118">
        <v>5.7019571582678378E-3</v>
      </c>
      <c r="E93" s="119">
        <v>6.4052491798156537E-3</v>
      </c>
      <c r="F93" s="120">
        <v>37</v>
      </c>
      <c r="G93" s="119">
        <f t="shared" si="8"/>
        <v>5.9124320869287312E-3</v>
      </c>
      <c r="H93" s="119">
        <f t="shared" si="9"/>
        <v>6.00654614167074E-3</v>
      </c>
      <c r="I93" s="121">
        <f t="shared" si="10"/>
        <v>1.501636535417685E-3</v>
      </c>
      <c r="J93" s="122">
        <v>6898605</v>
      </c>
      <c r="K93" s="123">
        <v>6082666.5300000003</v>
      </c>
      <c r="L93" s="123">
        <f>BUDGETSIZE!U88</f>
        <v>6228442.1499999994</v>
      </c>
      <c r="M93" s="124">
        <f t="shared" si="11"/>
        <v>5.9554039323830065E-3</v>
      </c>
      <c r="N93" s="124">
        <f t="shared" si="12"/>
        <v>5.9554039323830039E-3</v>
      </c>
      <c r="O93" s="125">
        <f t="shared" si="13"/>
        <v>4.4665529492872533E-3</v>
      </c>
      <c r="P93" s="125">
        <f t="shared" si="14"/>
        <v>5.9681894847049381E-3</v>
      </c>
      <c r="Q93" s="126"/>
    </row>
    <row r="94" spans="1:17">
      <c r="A94" s="88">
        <v>610000</v>
      </c>
      <c r="B94" s="90" t="s">
        <v>22</v>
      </c>
      <c r="C94" s="88" t="s">
        <v>116</v>
      </c>
      <c r="D94" s="118">
        <v>0</v>
      </c>
      <c r="E94" s="119">
        <v>0</v>
      </c>
      <c r="F94" s="120">
        <v>0</v>
      </c>
      <c r="G94" s="119">
        <f t="shared" si="8"/>
        <v>0</v>
      </c>
      <c r="H94" s="119">
        <f t="shared" si="9"/>
        <v>0</v>
      </c>
      <c r="I94" s="121">
        <f t="shared" si="10"/>
        <v>0</v>
      </c>
      <c r="J94" s="122">
        <v>403640</v>
      </c>
      <c r="K94" s="123">
        <v>0</v>
      </c>
      <c r="L94" s="123">
        <f>BUDGETSIZE!U89</f>
        <v>0</v>
      </c>
      <c r="M94" s="124">
        <f t="shared" si="11"/>
        <v>9.5486659434235882E-5</v>
      </c>
      <c r="N94" s="124">
        <f t="shared" si="12"/>
        <v>9.5486659434235841E-5</v>
      </c>
      <c r="O94" s="125">
        <f t="shared" si="13"/>
        <v>7.1614994575676884E-5</v>
      </c>
      <c r="P94" s="125">
        <f t="shared" si="14"/>
        <v>7.1614994575676884E-5</v>
      </c>
      <c r="Q94" s="126"/>
    </row>
    <row r="95" spans="1:17">
      <c r="A95" s="88">
        <v>202000</v>
      </c>
      <c r="B95" s="90" t="s">
        <v>22</v>
      </c>
      <c r="C95" s="88" t="s">
        <v>117</v>
      </c>
      <c r="D95" s="118">
        <v>2.2345507782400985E-2</v>
      </c>
      <c r="E95" s="119">
        <v>2.1559131385720982E-2</v>
      </c>
      <c r="F95" s="120">
        <v>132</v>
      </c>
      <c r="G95" s="119">
        <f t="shared" si="8"/>
        <v>2.109300095877277E-2</v>
      </c>
      <c r="H95" s="119">
        <f t="shared" si="9"/>
        <v>2.1665880042298247E-2</v>
      </c>
      <c r="I95" s="121">
        <f t="shared" si="10"/>
        <v>5.4164700105745617E-3</v>
      </c>
      <c r="J95" s="122">
        <v>20040533</v>
      </c>
      <c r="K95" s="123">
        <v>18350352.555</v>
      </c>
      <c r="L95" s="123">
        <f>BUDGETSIZE!U90</f>
        <v>14232905.295000002</v>
      </c>
      <c r="M95" s="124">
        <f t="shared" si="11"/>
        <v>1.6156459953292897E-2</v>
      </c>
      <c r="N95" s="124">
        <f t="shared" si="12"/>
        <v>1.6156459953292891E-2</v>
      </c>
      <c r="O95" s="125">
        <f t="shared" si="13"/>
        <v>1.2117344964969669E-2</v>
      </c>
      <c r="P95" s="125">
        <f t="shared" si="14"/>
        <v>1.753381497554423E-2</v>
      </c>
      <c r="Q95" s="126"/>
    </row>
    <row r="96" spans="1:17">
      <c r="A96" s="88">
        <v>601000</v>
      </c>
      <c r="B96" s="90" t="s">
        <v>22</v>
      </c>
      <c r="C96" s="88" t="s">
        <v>118</v>
      </c>
      <c r="D96" s="118">
        <v>4.6232085067036521E-4</v>
      </c>
      <c r="E96" s="119">
        <v>0</v>
      </c>
      <c r="F96" s="120">
        <v>0</v>
      </c>
      <c r="G96" s="119">
        <f t="shared" si="8"/>
        <v>0</v>
      </c>
      <c r="H96" s="119">
        <f t="shared" si="9"/>
        <v>1.5410695022345506E-4</v>
      </c>
      <c r="I96" s="121">
        <f t="shared" si="10"/>
        <v>3.8526737555863765E-5</v>
      </c>
      <c r="J96" s="122">
        <v>687311</v>
      </c>
      <c r="K96" s="123">
        <v>381836.61</v>
      </c>
      <c r="L96" s="123">
        <f>BUDGETSIZE!U91</f>
        <v>342322.09</v>
      </c>
      <c r="M96" s="124">
        <f t="shared" si="11"/>
        <v>4.1661560446066724E-4</v>
      </c>
      <c r="N96" s="124">
        <f t="shared" si="12"/>
        <v>4.1661560446066707E-4</v>
      </c>
      <c r="O96" s="125">
        <f t="shared" si="13"/>
        <v>3.1246170334550032E-4</v>
      </c>
      <c r="P96" s="125">
        <f t="shared" si="14"/>
        <v>3.5098844090136408E-4</v>
      </c>
      <c r="Q96" s="126"/>
    </row>
    <row r="97" spans="1:17">
      <c r="A97" s="88">
        <v>611000</v>
      </c>
      <c r="B97" s="90" t="s">
        <v>22</v>
      </c>
      <c r="C97" s="88" t="s">
        <v>119</v>
      </c>
      <c r="D97" s="118">
        <v>0</v>
      </c>
      <c r="E97" s="119">
        <v>0</v>
      </c>
      <c r="F97" s="120">
        <v>0</v>
      </c>
      <c r="G97" s="119">
        <f t="shared" si="8"/>
        <v>0</v>
      </c>
      <c r="H97" s="119">
        <f t="shared" si="9"/>
        <v>0</v>
      </c>
      <c r="I97" s="121">
        <f t="shared" si="10"/>
        <v>0</v>
      </c>
      <c r="J97" s="122">
        <v>1358405</v>
      </c>
      <c r="K97" s="123">
        <v>0</v>
      </c>
      <c r="L97" s="123">
        <f>BUDGETSIZE!U92</f>
        <v>0</v>
      </c>
      <c r="M97" s="124">
        <f t="shared" si="11"/>
        <v>3.2134960759281337E-4</v>
      </c>
      <c r="N97" s="124">
        <f t="shared" si="12"/>
        <v>3.2134960759281321E-4</v>
      </c>
      <c r="O97" s="125">
        <f t="shared" si="13"/>
        <v>2.4101220569460992E-4</v>
      </c>
      <c r="P97" s="125">
        <f t="shared" si="14"/>
        <v>2.4101220569460992E-4</v>
      </c>
      <c r="Q97" s="126"/>
    </row>
    <row r="98" spans="1:17">
      <c r="A98" s="88">
        <v>618000</v>
      </c>
      <c r="B98" s="90" t="s">
        <v>22</v>
      </c>
      <c r="C98" s="88" t="s">
        <v>120</v>
      </c>
      <c r="D98" s="118">
        <v>0</v>
      </c>
      <c r="E98" s="119">
        <v>0</v>
      </c>
      <c r="F98" s="120">
        <v>0</v>
      </c>
      <c r="G98" s="119">
        <f t="shared" si="8"/>
        <v>0</v>
      </c>
      <c r="H98" s="119">
        <f t="shared" si="9"/>
        <v>0</v>
      </c>
      <c r="I98" s="121">
        <f t="shared" si="10"/>
        <v>0</v>
      </c>
      <c r="J98" s="122">
        <v>0</v>
      </c>
      <c r="K98" s="123">
        <v>0</v>
      </c>
      <c r="L98" s="123">
        <f>BUDGETSIZE!U93</f>
        <v>0</v>
      </c>
      <c r="M98" s="124">
        <f t="shared" si="11"/>
        <v>0</v>
      </c>
      <c r="N98" s="124">
        <f t="shared" si="12"/>
        <v>0</v>
      </c>
      <c r="O98" s="125">
        <f t="shared" si="13"/>
        <v>0</v>
      </c>
      <c r="P98" s="125">
        <f t="shared" si="14"/>
        <v>0</v>
      </c>
      <c r="Q98" s="126"/>
    </row>
    <row r="99" spans="1:17">
      <c r="A99" s="88">
        <v>606000</v>
      </c>
      <c r="B99" s="90" t="s">
        <v>22</v>
      </c>
      <c r="C99" s="88" t="s">
        <v>121</v>
      </c>
      <c r="D99" s="118">
        <v>0</v>
      </c>
      <c r="E99" s="119">
        <v>0</v>
      </c>
      <c r="F99" s="120">
        <v>0</v>
      </c>
      <c r="G99" s="119">
        <f t="shared" si="8"/>
        <v>0</v>
      </c>
      <c r="H99" s="119">
        <f t="shared" si="9"/>
        <v>0</v>
      </c>
      <c r="I99" s="121">
        <f t="shared" si="10"/>
        <v>0</v>
      </c>
      <c r="J99" s="122">
        <v>7768681</v>
      </c>
      <c r="K99" s="123">
        <v>3172752.3</v>
      </c>
      <c r="L99" s="123">
        <f>BUDGETSIZE!U94</f>
        <v>4375946.7750000004</v>
      </c>
      <c r="M99" s="124">
        <f t="shared" si="11"/>
        <v>4.4954538587731558E-3</v>
      </c>
      <c r="N99" s="124">
        <f t="shared" si="12"/>
        <v>4.4954538587731541E-3</v>
      </c>
      <c r="O99" s="125">
        <f t="shared" si="13"/>
        <v>3.3715903940798658E-3</v>
      </c>
      <c r="P99" s="125">
        <f t="shared" si="14"/>
        <v>3.3715903940798658E-3</v>
      </c>
      <c r="Q99" s="126"/>
    </row>
    <row r="100" spans="1:17">
      <c r="A100" s="88">
        <v>613000</v>
      </c>
      <c r="B100" s="90" t="s">
        <v>22</v>
      </c>
      <c r="C100" s="88" t="s">
        <v>122</v>
      </c>
      <c r="D100" s="118">
        <v>0</v>
      </c>
      <c r="E100" s="119">
        <v>0</v>
      </c>
      <c r="F100" s="120">
        <v>0</v>
      </c>
      <c r="G100" s="119">
        <f t="shared" si="8"/>
        <v>0</v>
      </c>
      <c r="H100" s="119">
        <f t="shared" si="9"/>
        <v>0</v>
      </c>
      <c r="I100" s="121">
        <f t="shared" si="10"/>
        <v>0</v>
      </c>
      <c r="J100" s="122">
        <v>0</v>
      </c>
      <c r="K100" s="123">
        <v>0</v>
      </c>
      <c r="L100" s="123">
        <f>BUDGETSIZE!U95</f>
        <v>0</v>
      </c>
      <c r="M100" s="124">
        <f t="shared" si="11"/>
        <v>0</v>
      </c>
      <c r="N100" s="124">
        <f t="shared" si="12"/>
        <v>0</v>
      </c>
      <c r="O100" s="125">
        <f t="shared" si="13"/>
        <v>0</v>
      </c>
      <c r="P100" s="125">
        <f t="shared" si="14"/>
        <v>0</v>
      </c>
      <c r="Q100" s="126"/>
    </row>
    <row r="101" spans="1:17">
      <c r="A101" s="88">
        <v>701000</v>
      </c>
      <c r="B101" s="90" t="s">
        <v>22</v>
      </c>
      <c r="C101" s="88" t="s">
        <v>123</v>
      </c>
      <c r="D101" s="118">
        <v>5.5478502080443829E-3</v>
      </c>
      <c r="E101" s="119">
        <v>5.467895641306046E-3</v>
      </c>
      <c r="F101" s="120">
        <v>36</v>
      </c>
      <c r="G101" s="119">
        <f t="shared" si="8"/>
        <v>5.7526366251198467E-3</v>
      </c>
      <c r="H101" s="119">
        <f t="shared" si="9"/>
        <v>5.5894608248234258E-3</v>
      </c>
      <c r="I101" s="121">
        <f t="shared" si="10"/>
        <v>1.3973652062058564E-3</v>
      </c>
      <c r="J101" s="122">
        <v>29914922</v>
      </c>
      <c r="K101" s="123">
        <v>19354126.16</v>
      </c>
      <c r="L101" s="123">
        <f>BUDGETSIZE!U96</f>
        <v>21047803.489999987</v>
      </c>
      <c r="M101" s="124">
        <f t="shared" si="11"/>
        <v>2.1272536907775762E-2</v>
      </c>
      <c r="N101" s="124">
        <f t="shared" si="12"/>
        <v>2.1272536907775752E-2</v>
      </c>
      <c r="O101" s="125">
        <f t="shared" si="13"/>
        <v>1.5954402680831814E-2</v>
      </c>
      <c r="P101" s="125">
        <f t="shared" si="14"/>
        <v>1.735176788703767E-2</v>
      </c>
      <c r="Q101" s="126"/>
    </row>
    <row r="102" spans="1:17">
      <c r="A102" s="88">
        <v>400000</v>
      </c>
      <c r="B102" s="90" t="s">
        <v>22</v>
      </c>
      <c r="C102" s="88" t="s">
        <v>124</v>
      </c>
      <c r="D102" s="118">
        <v>0</v>
      </c>
      <c r="E102" s="119">
        <v>0</v>
      </c>
      <c r="F102" s="120">
        <v>0</v>
      </c>
      <c r="G102" s="119">
        <f t="shared" si="8"/>
        <v>0</v>
      </c>
      <c r="H102" s="119">
        <f t="shared" si="9"/>
        <v>0</v>
      </c>
      <c r="I102" s="121">
        <f t="shared" si="10"/>
        <v>0</v>
      </c>
      <c r="J102" s="122">
        <v>2076839</v>
      </c>
      <c r="K102" s="123">
        <v>1315508.6600000001</v>
      </c>
      <c r="L102" s="123">
        <f>BUDGETSIZE!U97</f>
        <v>821678.09000000008</v>
      </c>
      <c r="M102" s="124">
        <f t="shared" si="11"/>
        <v>1.2387267128727644E-3</v>
      </c>
      <c r="N102" s="124">
        <f t="shared" si="12"/>
        <v>1.2387267128727637E-3</v>
      </c>
      <c r="O102" s="125">
        <f t="shared" si="13"/>
        <v>9.2904503465457281E-4</v>
      </c>
      <c r="P102" s="125">
        <f t="shared" si="14"/>
        <v>9.2904503465457281E-4</v>
      </c>
      <c r="Q102" s="126"/>
    </row>
    <row r="103" spans="1:17">
      <c r="A103" s="88">
        <v>401000</v>
      </c>
      <c r="B103" s="90" t="s">
        <v>22</v>
      </c>
      <c r="C103" s="88" t="s">
        <v>125</v>
      </c>
      <c r="D103" s="118">
        <v>0</v>
      </c>
      <c r="E103" s="119">
        <v>0</v>
      </c>
      <c r="F103" s="120">
        <v>0</v>
      </c>
      <c r="G103" s="119">
        <f t="shared" si="8"/>
        <v>0</v>
      </c>
      <c r="H103" s="119">
        <f t="shared" si="9"/>
        <v>0</v>
      </c>
      <c r="I103" s="121">
        <f t="shared" si="10"/>
        <v>0</v>
      </c>
      <c r="J103" s="122">
        <v>802544</v>
      </c>
      <c r="K103" s="123">
        <v>217803.67</v>
      </c>
      <c r="L103" s="123">
        <f>BUDGETSIZE!U98</f>
        <v>1475</v>
      </c>
      <c r="M103" s="124">
        <f t="shared" si="11"/>
        <v>2.6554377667324371E-4</v>
      </c>
      <c r="N103" s="124">
        <f t="shared" si="12"/>
        <v>2.655437766732436E-4</v>
      </c>
      <c r="O103" s="125">
        <f t="shared" si="13"/>
        <v>1.9915783250493271E-4</v>
      </c>
      <c r="P103" s="125">
        <f t="shared" si="14"/>
        <v>1.9915783250493271E-4</v>
      </c>
      <c r="Q103" s="126"/>
    </row>
    <row r="104" spans="1:17">
      <c r="A104" s="88">
        <v>308000</v>
      </c>
      <c r="B104" s="90" t="s">
        <v>22</v>
      </c>
      <c r="C104" s="88" t="s">
        <v>126</v>
      </c>
      <c r="D104" s="118">
        <v>0</v>
      </c>
      <c r="E104" s="119">
        <v>0</v>
      </c>
      <c r="F104" s="120">
        <v>0</v>
      </c>
      <c r="G104" s="119">
        <f t="shared" si="8"/>
        <v>0</v>
      </c>
      <c r="H104" s="119">
        <f t="shared" si="9"/>
        <v>0</v>
      </c>
      <c r="I104" s="121">
        <f t="shared" si="10"/>
        <v>0</v>
      </c>
      <c r="J104" s="122">
        <v>542775</v>
      </c>
      <c r="K104" s="123">
        <v>0</v>
      </c>
      <c r="L104" s="123">
        <f>BUDGETSIZE!U99</f>
        <v>0</v>
      </c>
      <c r="M104" s="124">
        <f t="shared" si="11"/>
        <v>1.2840098001788073E-4</v>
      </c>
      <c r="N104" s="124">
        <f t="shared" si="12"/>
        <v>1.2840098001788068E-4</v>
      </c>
      <c r="O104" s="125">
        <f t="shared" si="13"/>
        <v>9.630073501341051E-5</v>
      </c>
      <c r="P104" s="125">
        <f t="shared" si="14"/>
        <v>9.630073501341051E-5</v>
      </c>
      <c r="Q104" s="126"/>
    </row>
    <row r="105" spans="1:17">
      <c r="A105" s="88">
        <v>311000</v>
      </c>
      <c r="B105" s="90" t="s">
        <v>22</v>
      </c>
      <c r="C105" s="88" t="s">
        <v>127</v>
      </c>
      <c r="D105" s="118">
        <v>0</v>
      </c>
      <c r="E105" s="119">
        <v>0</v>
      </c>
      <c r="F105" s="120">
        <v>0</v>
      </c>
      <c r="G105" s="119">
        <f t="shared" si="8"/>
        <v>0</v>
      </c>
      <c r="H105" s="119">
        <f t="shared" si="9"/>
        <v>0</v>
      </c>
      <c r="I105" s="121">
        <f t="shared" si="10"/>
        <v>0</v>
      </c>
      <c r="J105" s="122">
        <v>4306371</v>
      </c>
      <c r="K105" s="123">
        <v>0</v>
      </c>
      <c r="L105" s="123">
        <f>BUDGETSIZE!U100</f>
        <v>0</v>
      </c>
      <c r="M105" s="124">
        <f t="shared" si="11"/>
        <v>1.0187319915629517E-3</v>
      </c>
      <c r="N105" s="124">
        <f t="shared" si="12"/>
        <v>1.0187319915629513E-3</v>
      </c>
      <c r="O105" s="125">
        <f t="shared" si="13"/>
        <v>7.6404899367221344E-4</v>
      </c>
      <c r="P105" s="125">
        <f t="shared" si="14"/>
        <v>7.6404899367221344E-4</v>
      </c>
      <c r="Q105" s="126"/>
    </row>
    <row r="106" spans="1:17">
      <c r="A106" s="88">
        <v>401000</v>
      </c>
      <c r="B106" s="90" t="s">
        <v>22</v>
      </c>
      <c r="C106" s="88" t="s">
        <v>125</v>
      </c>
      <c r="D106" s="118">
        <v>0</v>
      </c>
      <c r="E106" s="119">
        <v>0</v>
      </c>
      <c r="F106" s="120">
        <v>0</v>
      </c>
      <c r="G106" s="119">
        <f t="shared" si="8"/>
        <v>0</v>
      </c>
      <c r="H106" s="119">
        <f t="shared" si="9"/>
        <v>0</v>
      </c>
      <c r="I106" s="121">
        <f t="shared" si="10"/>
        <v>0</v>
      </c>
      <c r="J106" s="122">
        <v>0</v>
      </c>
      <c r="K106" s="123">
        <v>0</v>
      </c>
      <c r="L106" s="123">
        <f>BUDGETSIZE!U101</f>
        <v>0</v>
      </c>
      <c r="M106" s="124">
        <f t="shared" si="11"/>
        <v>0</v>
      </c>
      <c r="N106" s="124">
        <f t="shared" si="12"/>
        <v>0</v>
      </c>
      <c r="O106" s="125">
        <f t="shared" si="13"/>
        <v>0</v>
      </c>
      <c r="P106" s="125">
        <f t="shared" si="14"/>
        <v>0</v>
      </c>
      <c r="Q106" s="126"/>
    </row>
    <row r="107" spans="1:17">
      <c r="A107" s="88">
        <v>402000</v>
      </c>
      <c r="B107" s="90" t="s">
        <v>22</v>
      </c>
      <c r="C107" s="88" t="s">
        <v>128</v>
      </c>
      <c r="D107" s="118">
        <v>1.6951764524580058E-3</v>
      </c>
      <c r="E107" s="119">
        <v>1.7184814872676145E-3</v>
      </c>
      <c r="F107" s="120">
        <v>10</v>
      </c>
      <c r="G107" s="119">
        <f t="shared" si="8"/>
        <v>1.5979546180888463E-3</v>
      </c>
      <c r="H107" s="119">
        <f t="shared" si="9"/>
        <v>1.670537519271489E-3</v>
      </c>
      <c r="I107" s="121">
        <f t="shared" si="10"/>
        <v>4.1763437981787226E-4</v>
      </c>
      <c r="J107" s="122">
        <v>10380686</v>
      </c>
      <c r="K107" s="123">
        <v>2561925.3900000006</v>
      </c>
      <c r="L107" s="123">
        <f>BUDGETSIZE!U102</f>
        <v>3327732.1500000018</v>
      </c>
      <c r="M107" s="124">
        <f t="shared" si="11"/>
        <v>4.5282230021190363E-3</v>
      </c>
      <c r="N107" s="124">
        <f t="shared" si="12"/>
        <v>4.5282230021190346E-3</v>
      </c>
      <c r="O107" s="125">
        <f t="shared" si="13"/>
        <v>3.3961672515892757E-3</v>
      </c>
      <c r="P107" s="125">
        <f t="shared" si="14"/>
        <v>3.8138016314071478E-3</v>
      </c>
      <c r="Q107" s="126"/>
    </row>
    <row r="108" spans="1:17">
      <c r="A108" s="88">
        <v>317000</v>
      </c>
      <c r="B108" s="90" t="s">
        <v>22</v>
      </c>
      <c r="C108" s="88" t="s">
        <v>129</v>
      </c>
      <c r="D108" s="118">
        <v>0</v>
      </c>
      <c r="E108" s="119">
        <v>0</v>
      </c>
      <c r="F108" s="120">
        <v>0</v>
      </c>
      <c r="G108" s="119">
        <f t="shared" si="8"/>
        <v>0</v>
      </c>
      <c r="H108" s="119">
        <f t="shared" si="9"/>
        <v>0</v>
      </c>
      <c r="I108" s="121">
        <f t="shared" si="10"/>
        <v>0</v>
      </c>
      <c r="J108" s="122">
        <v>2471735</v>
      </c>
      <c r="K108" s="123">
        <v>0</v>
      </c>
      <c r="L108" s="123">
        <f>BUDGETSIZE!U103</f>
        <v>0</v>
      </c>
      <c r="M108" s="124">
        <f t="shared" si="11"/>
        <v>5.847233132412076E-4</v>
      </c>
      <c r="N108" s="124">
        <f t="shared" si="12"/>
        <v>5.8472331324120738E-4</v>
      </c>
      <c r="O108" s="125">
        <f t="shared" si="13"/>
        <v>4.3854248493090553E-4</v>
      </c>
      <c r="P108" s="125">
        <f t="shared" si="14"/>
        <v>4.3854248493090553E-4</v>
      </c>
      <c r="Q108" s="126"/>
    </row>
    <row r="109" spans="1:17">
      <c r="A109" s="88">
        <v>708000</v>
      </c>
      <c r="B109" s="90" t="s">
        <v>22</v>
      </c>
      <c r="C109" s="128" t="s">
        <v>130</v>
      </c>
      <c r="D109" s="118">
        <v>2.9280320542456463E-3</v>
      </c>
      <c r="E109" s="119">
        <v>2.8120606155288236E-3</v>
      </c>
      <c r="F109" s="120">
        <v>19</v>
      </c>
      <c r="G109" s="119">
        <f t="shared" si="8"/>
        <v>3.0361137743688078E-3</v>
      </c>
      <c r="H109" s="119">
        <f t="shared" si="9"/>
        <v>2.9254021480477591E-3</v>
      </c>
      <c r="I109" s="121">
        <f t="shared" si="10"/>
        <v>7.3135053701193977E-4</v>
      </c>
      <c r="J109" s="122">
        <v>9931533</v>
      </c>
      <c r="K109" s="123">
        <v>2765434.5100000002</v>
      </c>
      <c r="L109" s="123">
        <f>BUDGETSIZE!U104</f>
        <v>3722947.5449999999</v>
      </c>
      <c r="M109" s="124">
        <f>((J109/$J$127)+(K109/$K$127)+(L109/$L$127))/3</f>
        <v>4.6333407613734466E-3</v>
      </c>
      <c r="N109" s="124">
        <f t="shared" si="12"/>
        <v>4.6333407613734449E-3</v>
      </c>
      <c r="O109" s="125">
        <f t="shared" si="13"/>
        <v>3.4750055710300837E-3</v>
      </c>
      <c r="P109" s="125">
        <f t="shared" si="14"/>
        <v>4.2063561080420237E-3</v>
      </c>
      <c r="Q109" s="126"/>
    </row>
    <row r="110" spans="1:17">
      <c r="A110" s="88">
        <v>222000</v>
      </c>
      <c r="B110" s="90" t="s">
        <v>22</v>
      </c>
      <c r="C110" s="128" t="s">
        <v>131</v>
      </c>
      <c r="D110" s="118">
        <v>0</v>
      </c>
      <c r="E110" s="119">
        <v>0</v>
      </c>
      <c r="F110" s="120">
        <v>0</v>
      </c>
      <c r="G110" s="119">
        <f t="shared" si="8"/>
        <v>0</v>
      </c>
      <c r="H110" s="119">
        <f t="shared" si="9"/>
        <v>0</v>
      </c>
      <c r="I110" s="121">
        <f t="shared" si="10"/>
        <v>0</v>
      </c>
      <c r="J110" s="122">
        <v>459136</v>
      </c>
      <c r="K110" s="123">
        <v>264232.67499999999</v>
      </c>
      <c r="L110" s="123">
        <f>BUDGETSIZE!U105</f>
        <v>271455.60499999998</v>
      </c>
      <c r="M110" s="124">
        <f>((J110/$J$127)+(K110/$K$127)+(L110/$L$127))/3</f>
        <v>2.9674451768887006E-4</v>
      </c>
      <c r="N110" s="124">
        <f t="shared" si="12"/>
        <v>2.9674451768886995E-4</v>
      </c>
      <c r="O110" s="125">
        <f t="shared" si="13"/>
        <v>2.2255838826665248E-4</v>
      </c>
      <c r="P110" s="125">
        <f t="shared" si="14"/>
        <v>2.2255838826665248E-4</v>
      </c>
      <c r="Q110" s="126"/>
    </row>
    <row r="111" spans="1:17">
      <c r="A111" s="88">
        <v>221000</v>
      </c>
      <c r="B111" s="90" t="s">
        <v>22</v>
      </c>
      <c r="C111" s="128" t="s">
        <v>132</v>
      </c>
      <c r="D111" s="118">
        <v>0</v>
      </c>
      <c r="E111" s="119">
        <v>0</v>
      </c>
      <c r="F111" s="120">
        <v>0</v>
      </c>
      <c r="G111" s="119">
        <f t="shared" si="8"/>
        <v>0</v>
      </c>
      <c r="H111" s="119">
        <f t="shared" si="9"/>
        <v>0</v>
      </c>
      <c r="I111" s="121">
        <f t="shared" si="10"/>
        <v>0</v>
      </c>
      <c r="J111" s="122">
        <v>33993769</v>
      </c>
      <c r="K111" s="123">
        <v>17921490.664999995</v>
      </c>
      <c r="L111" s="123">
        <f>BUDGETSIZE!U106</f>
        <v>22536936.620000001</v>
      </c>
      <c r="M111" s="124">
        <f>((J111/$J$127)+(K111/$K$127)+(L111/$L$127))/3</f>
        <v>2.2274844551722416E-2</v>
      </c>
      <c r="N111" s="124">
        <f t="shared" si="12"/>
        <v>2.2274844551722406E-2</v>
      </c>
      <c r="O111" s="125">
        <f t="shared" si="13"/>
        <v>1.6706133413791804E-2</v>
      </c>
      <c r="P111" s="125">
        <f t="shared" si="14"/>
        <v>1.6706133413791804E-2</v>
      </c>
      <c r="Q111" s="126"/>
    </row>
    <row r="112" spans="1:17">
      <c r="A112" s="88">
        <v>100000</v>
      </c>
      <c r="B112" s="90" t="s">
        <v>30</v>
      </c>
      <c r="C112" s="88" t="s">
        <v>133</v>
      </c>
      <c r="D112" s="118">
        <v>0</v>
      </c>
      <c r="E112" s="119">
        <v>0</v>
      </c>
      <c r="F112" s="120">
        <v>0</v>
      </c>
      <c r="G112" s="119">
        <f t="shared" si="8"/>
        <v>0</v>
      </c>
      <c r="H112" s="119">
        <f t="shared" si="9"/>
        <v>0</v>
      </c>
      <c r="I112" s="121">
        <f t="shared" si="10"/>
        <v>0</v>
      </c>
      <c r="J112" s="122">
        <v>2742562</v>
      </c>
      <c r="K112" s="123">
        <v>0</v>
      </c>
      <c r="L112" s="123">
        <f>BUDGETSIZE!U107</f>
        <v>0</v>
      </c>
      <c r="M112" s="124">
        <f>((J112/$J$127)+(K112/$K$127)+(L112/$L$127))/3</f>
        <v>6.4879120917470231E-4</v>
      </c>
      <c r="N112" s="124">
        <f t="shared" si="12"/>
        <v>6.4879120917470199E-4</v>
      </c>
      <c r="O112" s="125">
        <f t="shared" si="13"/>
        <v>4.8659340688102649E-4</v>
      </c>
      <c r="P112" s="125">
        <f t="shared" si="14"/>
        <v>4.8659340688102649E-4</v>
      </c>
      <c r="Q112" s="126"/>
    </row>
    <row r="113" spans="1:17">
      <c r="A113" s="88"/>
      <c r="B113" s="90"/>
      <c r="C113" s="88"/>
      <c r="D113" s="129"/>
      <c r="E113" s="120"/>
      <c r="F113" s="120"/>
      <c r="G113" s="120"/>
      <c r="H113" s="119"/>
      <c r="I113" s="130"/>
      <c r="J113" s="131"/>
      <c r="K113" s="132"/>
      <c r="L113" s="123"/>
      <c r="M113" s="123"/>
      <c r="N113" s="123"/>
      <c r="O113" s="133"/>
      <c r="P113" s="133"/>
    </row>
    <row r="114" spans="1:17">
      <c r="A114" s="88"/>
      <c r="B114" s="90"/>
      <c r="C114" s="88"/>
      <c r="D114" s="134"/>
      <c r="E114" s="135"/>
      <c r="F114" s="120"/>
      <c r="G114" s="135"/>
      <c r="H114" s="119"/>
      <c r="I114" s="136"/>
      <c r="J114" s="131"/>
      <c r="K114" s="132"/>
      <c r="L114" s="123"/>
      <c r="M114" s="123"/>
      <c r="N114" s="123"/>
      <c r="O114" s="133"/>
      <c r="P114" s="133"/>
    </row>
    <row r="115" spans="1:17">
      <c r="A115" s="88"/>
      <c r="B115" s="90"/>
      <c r="C115" s="88"/>
      <c r="D115" s="134"/>
      <c r="E115" s="135"/>
      <c r="F115" s="120"/>
      <c r="G115" s="135"/>
      <c r="H115" s="119"/>
      <c r="I115" s="136"/>
      <c r="J115" s="131"/>
      <c r="K115" s="132"/>
      <c r="L115" s="123"/>
      <c r="M115" s="123"/>
      <c r="N115" s="123"/>
      <c r="O115" s="133"/>
      <c r="P115" s="133"/>
    </row>
    <row r="116" spans="1:17">
      <c r="A116" s="88"/>
      <c r="B116" s="90"/>
      <c r="C116" s="88"/>
      <c r="D116" s="134"/>
      <c r="E116" s="135"/>
      <c r="F116" s="120"/>
      <c r="G116" s="135"/>
      <c r="H116" s="119"/>
      <c r="I116" s="136"/>
      <c r="J116" s="131"/>
      <c r="K116" s="132"/>
      <c r="L116" s="123"/>
      <c r="M116" s="123"/>
      <c r="N116" s="123"/>
      <c r="O116" s="133"/>
      <c r="P116" s="133"/>
    </row>
    <row r="117" spans="1:17">
      <c r="A117" s="88"/>
      <c r="B117" s="90"/>
      <c r="C117" s="88"/>
      <c r="D117" s="129"/>
      <c r="E117" s="120"/>
      <c r="F117" s="120"/>
      <c r="G117" s="135"/>
      <c r="H117" s="119"/>
      <c r="I117" s="136"/>
      <c r="J117" s="131"/>
      <c r="K117" s="132"/>
      <c r="L117" s="123"/>
      <c r="M117" s="123"/>
      <c r="N117" s="123"/>
      <c r="O117" s="133"/>
      <c r="P117" s="133"/>
    </row>
    <row r="118" spans="1:17">
      <c r="A118" s="88"/>
      <c r="B118" s="90"/>
      <c r="C118" s="88"/>
      <c r="D118" s="129"/>
      <c r="E118" s="120"/>
      <c r="F118" s="120"/>
      <c r="G118" s="135"/>
      <c r="H118" s="119"/>
      <c r="I118" s="136"/>
      <c r="J118" s="131"/>
      <c r="K118" s="132"/>
      <c r="L118" s="123"/>
      <c r="M118" s="123"/>
      <c r="N118" s="123"/>
      <c r="O118" s="133"/>
      <c r="P118" s="133"/>
    </row>
    <row r="119" spans="1:17">
      <c r="A119" s="88">
        <v>100000</v>
      </c>
      <c r="B119" s="90" t="s">
        <v>31</v>
      </c>
      <c r="C119" s="88" t="s">
        <v>134</v>
      </c>
      <c r="D119" s="118">
        <v>1.0941593465865311E-2</v>
      </c>
      <c r="E119" s="119">
        <v>1.1404468051866895E-2</v>
      </c>
      <c r="F119" s="120">
        <v>75</v>
      </c>
      <c r="G119" s="119">
        <f t="shared" ref="G119:G124" si="15">F119/$F$127</f>
        <v>1.1984659635666348E-2</v>
      </c>
      <c r="H119" s="119">
        <f t="shared" si="9"/>
        <v>1.1443573717799518E-2</v>
      </c>
      <c r="I119" s="121">
        <f t="shared" ref="I119:I124" si="16">H119*$I$10</f>
        <v>2.8608934294498795E-3</v>
      </c>
      <c r="J119" s="122">
        <v>9198637</v>
      </c>
      <c r="K119" s="123">
        <v>7161645.0100000007</v>
      </c>
      <c r="L119" s="123">
        <f>BUDGETSIZE!U114</f>
        <v>8150723.7599999998</v>
      </c>
      <c r="M119" s="124">
        <f t="shared" ref="M119:M124" si="17">((J119/$J$127)+(K119/$K$127)+(L119/$L$127))/3</f>
        <v>7.558353254740721E-3</v>
      </c>
      <c r="N119" s="124">
        <f t="shared" ref="N119:N124" si="18">M119/$M$127</f>
        <v>7.5583532547407175E-3</v>
      </c>
      <c r="O119" s="125">
        <f t="shared" ref="O119:O124" si="19">$O$10*N119</f>
        <v>5.6687649410555379E-3</v>
      </c>
      <c r="P119" s="125">
        <f t="shared" ref="P119:P124" si="20">(O119+I119)</f>
        <v>8.529658370505417E-3</v>
      </c>
      <c r="Q119" s="126"/>
    </row>
    <row r="120" spans="1:17">
      <c r="A120" s="88">
        <v>100000</v>
      </c>
      <c r="B120" s="90" t="s">
        <v>32</v>
      </c>
      <c r="C120" s="88" t="s">
        <v>135</v>
      </c>
      <c r="D120" s="118">
        <v>2.4657112035752814E-3</v>
      </c>
      <c r="E120" s="119">
        <v>2.6558350257772224E-3</v>
      </c>
      <c r="F120" s="120">
        <v>18</v>
      </c>
      <c r="G120" s="119">
        <f t="shared" si="15"/>
        <v>2.8763183125599234E-3</v>
      </c>
      <c r="H120" s="119">
        <f t="shared" si="9"/>
        <v>2.665954847304143E-3</v>
      </c>
      <c r="I120" s="121">
        <f t="shared" si="16"/>
        <v>6.6648871182603574E-4</v>
      </c>
      <c r="J120" s="122">
        <v>10305359</v>
      </c>
      <c r="K120" s="123">
        <v>6120432.620000001</v>
      </c>
      <c r="L120" s="123">
        <f>BUDGETSIZE!U115</f>
        <v>8088010.410000002</v>
      </c>
      <c r="M120" s="124">
        <f t="shared" si="17"/>
        <v>7.4384449200931057E-3</v>
      </c>
      <c r="N120" s="124">
        <f t="shared" si="18"/>
        <v>7.4384449200931022E-3</v>
      </c>
      <c r="O120" s="125">
        <f t="shared" si="19"/>
        <v>5.5788336900698269E-3</v>
      </c>
      <c r="P120" s="125">
        <f t="shared" si="20"/>
        <v>6.2453224018958623E-3</v>
      </c>
      <c r="Q120" s="126"/>
    </row>
    <row r="121" spans="1:17">
      <c r="A121" s="88">
        <v>100000</v>
      </c>
      <c r="B121" s="90" t="s">
        <v>33</v>
      </c>
      <c r="C121" s="88" t="s">
        <v>136</v>
      </c>
      <c r="D121" s="118">
        <v>3.0204962243797196E-2</v>
      </c>
      <c r="E121" s="119">
        <v>3.1088892360568662E-2</v>
      </c>
      <c r="F121" s="120">
        <v>193</v>
      </c>
      <c r="G121" s="119">
        <f t="shared" si="15"/>
        <v>3.0840524129114734E-2</v>
      </c>
      <c r="H121" s="119">
        <f t="shared" si="9"/>
        <v>3.0711459577826863E-2</v>
      </c>
      <c r="I121" s="121">
        <f t="shared" si="16"/>
        <v>7.6778648944567157E-3</v>
      </c>
      <c r="J121" s="122">
        <v>20245606</v>
      </c>
      <c r="K121" s="123">
        <v>15751424.170000002</v>
      </c>
      <c r="L121" s="123">
        <f>BUDGETSIZE!U116</f>
        <v>17049029.25</v>
      </c>
      <c r="M121" s="124">
        <f t="shared" si="17"/>
        <v>1.6313782335616492E-2</v>
      </c>
      <c r="N121" s="124">
        <f t="shared" si="18"/>
        <v>1.6313782335616485E-2</v>
      </c>
      <c r="O121" s="125">
        <f t="shared" si="19"/>
        <v>1.2235336751712364E-2</v>
      </c>
      <c r="P121" s="125">
        <f t="shared" si="20"/>
        <v>1.9913201646169078E-2</v>
      </c>
      <c r="Q121" s="126"/>
    </row>
    <row r="122" spans="1:17">
      <c r="A122" s="88">
        <v>100000</v>
      </c>
      <c r="B122" s="90" t="s">
        <v>34</v>
      </c>
      <c r="C122" s="88" t="s">
        <v>137</v>
      </c>
      <c r="D122" s="118">
        <v>9.4005239636307594E-3</v>
      </c>
      <c r="E122" s="119">
        <v>9.3735353850960788E-3</v>
      </c>
      <c r="F122" s="120">
        <v>63</v>
      </c>
      <c r="G122" s="119">
        <f t="shared" si="15"/>
        <v>1.0067114093959731E-2</v>
      </c>
      <c r="H122" s="119">
        <f t="shared" si="9"/>
        <v>9.6137244808955236E-3</v>
      </c>
      <c r="I122" s="121">
        <f t="shared" si="16"/>
        <v>2.4034311202238809E-3</v>
      </c>
      <c r="J122" s="122">
        <v>8586319</v>
      </c>
      <c r="K122" s="123">
        <v>7704649.2000000002</v>
      </c>
      <c r="L122" s="123">
        <f>BUDGETSIZE!U117</f>
        <v>8387785.3600000003</v>
      </c>
      <c r="M122" s="124">
        <f t="shared" si="17"/>
        <v>7.6855516388962984E-3</v>
      </c>
      <c r="N122" s="124">
        <f t="shared" si="18"/>
        <v>7.6855516388962949E-3</v>
      </c>
      <c r="O122" s="125">
        <f t="shared" si="19"/>
        <v>5.764163729172221E-3</v>
      </c>
      <c r="P122" s="125">
        <f t="shared" si="20"/>
        <v>8.1675948493961023E-3</v>
      </c>
      <c r="Q122" s="126"/>
    </row>
    <row r="123" spans="1:17">
      <c r="A123" s="88">
        <v>100000</v>
      </c>
      <c r="B123" s="90" t="s">
        <v>22</v>
      </c>
      <c r="C123" s="88" t="s">
        <v>138</v>
      </c>
      <c r="D123" s="118">
        <v>0</v>
      </c>
      <c r="E123" s="119">
        <v>0</v>
      </c>
      <c r="F123" s="120">
        <v>0</v>
      </c>
      <c r="G123" s="119">
        <f t="shared" si="15"/>
        <v>0</v>
      </c>
      <c r="H123" s="119">
        <f t="shared" si="9"/>
        <v>0</v>
      </c>
      <c r="I123" s="121">
        <f t="shared" si="16"/>
        <v>0</v>
      </c>
      <c r="J123" s="122">
        <v>4825133</v>
      </c>
      <c r="K123" s="123">
        <v>4620935.0199999996</v>
      </c>
      <c r="L123" s="123">
        <f>BUDGETSIZE!U118</f>
        <v>4210265.8</v>
      </c>
      <c r="M123" s="124">
        <f t="shared" si="17"/>
        <v>4.2397162935539851E-3</v>
      </c>
      <c r="N123" s="124">
        <f t="shared" si="18"/>
        <v>4.2397162935539833E-3</v>
      </c>
      <c r="O123" s="125">
        <f t="shared" si="19"/>
        <v>3.1797872201654873E-3</v>
      </c>
      <c r="P123" s="125">
        <f t="shared" si="20"/>
        <v>3.1797872201654873E-3</v>
      </c>
      <c r="Q123" s="126"/>
    </row>
    <row r="124" spans="1:17">
      <c r="A124" s="88">
        <v>100000</v>
      </c>
      <c r="B124" s="90" t="s">
        <v>35</v>
      </c>
      <c r="C124" s="88" t="s">
        <v>139</v>
      </c>
      <c r="D124" s="137">
        <v>8.1676683618431192E-3</v>
      </c>
      <c r="E124" s="138">
        <v>8.4361818465864703E-3</v>
      </c>
      <c r="F124" s="139">
        <v>55</v>
      </c>
      <c r="G124" s="138">
        <f t="shared" si="15"/>
        <v>8.7887503994886554E-3</v>
      </c>
      <c r="H124" s="138">
        <f t="shared" si="9"/>
        <v>8.4642002026394155E-3</v>
      </c>
      <c r="I124" s="140">
        <f t="shared" si="16"/>
        <v>2.1160500506598539E-3</v>
      </c>
      <c r="J124" s="141">
        <v>9037735</v>
      </c>
      <c r="K124" s="142">
        <v>5853754</v>
      </c>
      <c r="L124" s="142">
        <f>BUDGETSIZE!U119</f>
        <v>6288735.8849999998</v>
      </c>
      <c r="M124" s="143">
        <f t="shared" si="17"/>
        <v>6.4039793882468511E-3</v>
      </c>
      <c r="N124" s="143">
        <f t="shared" si="18"/>
        <v>6.4039793882468485E-3</v>
      </c>
      <c r="O124" s="140">
        <f t="shared" si="19"/>
        <v>4.8029845411851364E-3</v>
      </c>
      <c r="P124" s="125">
        <f t="shared" si="20"/>
        <v>6.9190345918449907E-3</v>
      </c>
      <c r="Q124" s="126"/>
    </row>
    <row r="125" spans="1:17">
      <c r="A125" s="88"/>
      <c r="B125" s="90"/>
      <c r="C125" s="88"/>
      <c r="D125" s="129"/>
      <c r="E125" s="120"/>
      <c r="F125" s="135"/>
      <c r="G125" s="135"/>
      <c r="H125" s="135"/>
      <c r="I125" s="136"/>
      <c r="J125" s="144"/>
      <c r="K125" s="144"/>
      <c r="L125" s="113"/>
      <c r="M125" s="113"/>
      <c r="N125" s="113"/>
      <c r="O125" s="114"/>
      <c r="P125" s="145"/>
    </row>
    <row r="126" spans="1:17">
      <c r="A126" s="88"/>
      <c r="B126" s="90"/>
      <c r="C126" s="88"/>
      <c r="D126" s="134"/>
      <c r="E126" s="135"/>
      <c r="F126" s="135"/>
      <c r="G126" s="135"/>
      <c r="H126" s="135"/>
      <c r="I126" s="136"/>
      <c r="J126" s="144"/>
      <c r="K126" s="144"/>
      <c r="L126" s="113"/>
      <c r="M126" s="113"/>
      <c r="N126" s="113"/>
      <c r="O126" s="114"/>
      <c r="P126" s="145"/>
    </row>
    <row r="127" spans="1:17">
      <c r="A127" s="88"/>
      <c r="B127" s="90"/>
      <c r="C127" s="88" t="s">
        <v>140</v>
      </c>
      <c r="D127" s="146">
        <f t="shared" ref="D127:P127" si="21">SUM(D119:D124,D12:D112)</f>
        <v>0.99999999999999978</v>
      </c>
      <c r="E127" s="147">
        <f t="shared" si="21"/>
        <v>1</v>
      </c>
      <c r="F127" s="139">
        <f t="shared" si="21"/>
        <v>6258</v>
      </c>
      <c r="G127" s="147">
        <f t="shared" si="21"/>
        <v>1</v>
      </c>
      <c r="H127" s="147">
        <f t="shared" si="21"/>
        <v>1.0000000000000004</v>
      </c>
      <c r="I127" s="147">
        <f t="shared" si="21"/>
        <v>0.25000000000000011</v>
      </c>
      <c r="J127" s="148">
        <f t="shared" si="21"/>
        <v>1409062454</v>
      </c>
      <c r="K127" s="148">
        <f t="shared" si="21"/>
        <v>965903307.64999914</v>
      </c>
      <c r="L127" s="139">
        <f t="shared" si="21"/>
        <v>933387703.15999985</v>
      </c>
      <c r="M127" s="147">
        <f t="shared" si="21"/>
        <v>1.0000000000000004</v>
      </c>
      <c r="N127" s="147">
        <f t="shared" si="21"/>
        <v>1</v>
      </c>
      <c r="O127" s="147">
        <f t="shared" si="21"/>
        <v>0.74999999999999944</v>
      </c>
      <c r="P127" s="149">
        <f t="shared" si="21"/>
        <v>0.999999999999999</v>
      </c>
      <c r="Q127" s="126"/>
    </row>
    <row r="128" spans="1:17">
      <c r="A128" s="88"/>
      <c r="B128" s="90"/>
      <c r="C128" s="88"/>
      <c r="D128" s="88"/>
      <c r="E128" s="88"/>
      <c r="F128" s="150"/>
      <c r="G128" s="150"/>
      <c r="H128" s="150"/>
      <c r="I128" s="151"/>
    </row>
    <row r="129" spans="1:3">
      <c r="A129" s="88"/>
      <c r="B129" s="90"/>
      <c r="C129" s="88"/>
    </row>
    <row r="130" spans="1:3">
      <c r="A130" s="88"/>
      <c r="B130" s="90"/>
      <c r="C130" s="88"/>
    </row>
    <row r="131" spans="1:3">
      <c r="A131" s="88"/>
      <c r="B131" s="90"/>
      <c r="C131" s="88"/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transitionEntry="1">
    <tabColor theme="9" tint="0.79998168889431442"/>
  </sheetPr>
  <dimension ref="A1:L94"/>
  <sheetViews>
    <sheetView workbookViewId="0">
      <selection activeCell="F18" sqref="F18"/>
    </sheetView>
  </sheetViews>
  <sheetFormatPr defaultColWidth="8.84375" defaultRowHeight="13"/>
  <cols>
    <col min="1" max="1" width="5.23046875" style="27" customWidth="1"/>
    <col min="2" max="2" width="8.84375" style="27"/>
    <col min="3" max="3" width="16.765625" style="27" customWidth="1"/>
    <col min="4" max="4" width="9.07421875" style="262" bestFit="1" customWidth="1"/>
    <col min="5" max="5" width="10.4609375" style="262" bestFit="1" customWidth="1"/>
    <col min="6" max="7" width="8.84375" style="262"/>
    <col min="8" max="8" width="8.84375" style="27"/>
    <col min="9" max="9" width="11.69140625" style="27" bestFit="1" customWidth="1"/>
    <col min="10" max="10" width="9.84375" style="27" bestFit="1" customWidth="1"/>
    <col min="11" max="11" width="9.3046875" style="27" bestFit="1" customWidth="1"/>
    <col min="12" max="12" width="8.84375" style="27"/>
    <col min="13" max="13" width="9.69140625" style="27" bestFit="1" customWidth="1"/>
    <col min="14" max="16384" width="8.84375" style="27"/>
  </cols>
  <sheetData>
    <row r="1" spans="1:11">
      <c r="A1" s="221" t="s">
        <v>229</v>
      </c>
      <c r="B1" s="25"/>
      <c r="C1" s="25"/>
      <c r="D1" s="222"/>
      <c r="E1" s="222"/>
      <c r="F1" s="222"/>
      <c r="G1" s="222"/>
    </row>
    <row r="2" spans="1:11">
      <c r="A2" s="221" t="s">
        <v>575</v>
      </c>
      <c r="B2" s="25"/>
      <c r="C2" s="25"/>
      <c r="D2" s="222"/>
      <c r="E2" s="222"/>
      <c r="F2" s="222"/>
      <c r="G2" s="222"/>
    </row>
    <row r="3" spans="1:11">
      <c r="A3" s="223" t="s">
        <v>364</v>
      </c>
      <c r="B3" s="25"/>
      <c r="C3" s="25"/>
      <c r="D3" s="222"/>
      <c r="E3" s="222"/>
      <c r="F3" s="222"/>
      <c r="G3" s="222"/>
    </row>
    <row r="4" spans="1:11">
      <c r="A4" s="221" t="s">
        <v>574</v>
      </c>
      <c r="B4" s="25"/>
      <c r="C4" s="25"/>
      <c r="D4" s="222"/>
      <c r="E4" s="222"/>
      <c r="F4" s="222"/>
      <c r="G4" s="222"/>
    </row>
    <row r="5" spans="1:11">
      <c r="A5" s="224">
        <v>0.99</v>
      </c>
      <c r="B5" s="26"/>
      <c r="C5" s="26"/>
      <c r="D5" s="84"/>
      <c r="E5" s="84"/>
      <c r="F5" s="84"/>
      <c r="G5" s="84"/>
    </row>
    <row r="6" spans="1:11">
      <c r="A6" s="24"/>
      <c r="B6" s="24"/>
      <c r="C6" s="24"/>
      <c r="D6" s="222" t="s">
        <v>230</v>
      </c>
      <c r="E6" s="222"/>
      <c r="F6" s="222"/>
      <c r="G6" s="222"/>
    </row>
    <row r="7" spans="1:11" ht="13.5" thickBot="1">
      <c r="A7" s="314"/>
      <c r="B7" s="314"/>
      <c r="C7" s="314"/>
      <c r="D7" s="314"/>
      <c r="E7" s="314"/>
      <c r="F7" s="314"/>
      <c r="G7" s="314"/>
    </row>
    <row r="8" spans="1:11" ht="13.5" thickTop="1">
      <c r="A8" s="225"/>
      <c r="B8" s="225"/>
      <c r="C8" s="226"/>
      <c r="D8" s="227"/>
      <c r="E8" s="228"/>
      <c r="F8" s="228"/>
      <c r="G8" s="229" t="s">
        <v>231</v>
      </c>
      <c r="H8" s="230"/>
    </row>
    <row r="9" spans="1:11">
      <c r="A9" s="231"/>
      <c r="B9" s="231"/>
      <c r="C9" s="232"/>
      <c r="D9" s="233" t="s">
        <v>140</v>
      </c>
      <c r="E9" s="234" t="s">
        <v>218</v>
      </c>
      <c r="F9" s="234" t="s">
        <v>232</v>
      </c>
      <c r="G9" s="235" t="s">
        <v>233</v>
      </c>
      <c r="H9" s="25"/>
    </row>
    <row r="10" spans="1:11">
      <c r="A10" s="236"/>
      <c r="B10" s="236" t="s">
        <v>300</v>
      </c>
      <c r="C10" s="237"/>
      <c r="D10" s="238" t="s">
        <v>234</v>
      </c>
      <c r="E10" s="239" t="s">
        <v>227</v>
      </c>
      <c r="F10" s="239" t="s">
        <v>227</v>
      </c>
      <c r="G10" s="240" t="s">
        <v>216</v>
      </c>
      <c r="H10" s="230"/>
    </row>
    <row r="11" spans="1:11">
      <c r="A11" s="24"/>
      <c r="B11" s="24"/>
      <c r="C11" s="232"/>
      <c r="D11" s="241"/>
      <c r="E11" s="242"/>
      <c r="F11" s="242"/>
      <c r="G11" s="243"/>
    </row>
    <row r="12" spans="1:11">
      <c r="A12" s="244" t="s">
        <v>213</v>
      </c>
      <c r="B12" s="245"/>
      <c r="C12" s="246"/>
      <c r="D12" s="247"/>
      <c r="E12" s="248"/>
      <c r="F12" s="248"/>
      <c r="G12" s="249"/>
    </row>
    <row r="13" spans="1:11">
      <c r="A13" s="250"/>
      <c r="B13" s="251" t="s">
        <v>242</v>
      </c>
      <c r="C13" s="252"/>
      <c r="D13" s="253">
        <f>5339928*A5</f>
        <v>5286528.72</v>
      </c>
      <c r="E13" s="254">
        <v>0</v>
      </c>
      <c r="F13" s="254">
        <v>0</v>
      </c>
      <c r="G13" s="255">
        <f t="shared" ref="G13:G73" si="0">+D13-E13-F13</f>
        <v>5286528.72</v>
      </c>
      <c r="H13" s="256"/>
      <c r="I13" s="257"/>
      <c r="K13" s="257"/>
    </row>
    <row r="14" spans="1:11">
      <c r="A14" s="258" t="s">
        <v>225</v>
      </c>
      <c r="B14" s="259"/>
      <c r="C14" s="252"/>
      <c r="D14" s="260"/>
      <c r="E14" s="254"/>
      <c r="F14" s="254"/>
      <c r="G14" s="255"/>
      <c r="J14" s="262"/>
    </row>
    <row r="15" spans="1:11">
      <c r="A15" s="250"/>
      <c r="B15" s="261" t="s">
        <v>243</v>
      </c>
      <c r="C15" s="252"/>
      <c r="D15" s="253">
        <f>8612471*A5</f>
        <v>8526346.2899999991</v>
      </c>
      <c r="E15" s="254">
        <v>0</v>
      </c>
      <c r="F15" s="254">
        <v>0</v>
      </c>
      <c r="G15" s="255">
        <f t="shared" si="0"/>
        <v>8526346.2899999991</v>
      </c>
      <c r="H15" s="262"/>
    </row>
    <row r="16" spans="1:11">
      <c r="A16" s="250"/>
      <c r="B16" s="261" t="s">
        <v>244</v>
      </c>
      <c r="C16" s="263"/>
      <c r="D16" s="253">
        <v>0</v>
      </c>
      <c r="E16" s="264">
        <v>0</v>
      </c>
      <c r="F16" s="264">
        <v>0</v>
      </c>
      <c r="G16" s="255">
        <f t="shared" si="0"/>
        <v>0</v>
      </c>
      <c r="H16" s="257"/>
    </row>
    <row r="17" spans="1:8">
      <c r="A17" s="250"/>
      <c r="B17" s="250" t="s">
        <v>239</v>
      </c>
      <c r="C17" s="263"/>
      <c r="D17" s="253">
        <v>0</v>
      </c>
      <c r="E17" s="264">
        <v>0</v>
      </c>
      <c r="F17" s="264">
        <v>0</v>
      </c>
      <c r="G17" s="255">
        <f t="shared" si="0"/>
        <v>0</v>
      </c>
      <c r="H17" s="257"/>
    </row>
    <row r="18" spans="1:8">
      <c r="A18" s="250"/>
      <c r="B18" s="261" t="s">
        <v>245</v>
      </c>
      <c r="C18" s="263"/>
      <c r="D18" s="253">
        <v>0</v>
      </c>
      <c r="E18" s="264">
        <v>0</v>
      </c>
      <c r="F18" s="264">
        <v>0</v>
      </c>
      <c r="G18" s="255">
        <f t="shared" si="0"/>
        <v>0</v>
      </c>
      <c r="H18" s="257"/>
    </row>
    <row r="19" spans="1:8">
      <c r="A19" s="250"/>
      <c r="B19" s="250" t="s">
        <v>240</v>
      </c>
      <c r="C19" s="263"/>
      <c r="D19" s="253">
        <v>0</v>
      </c>
      <c r="E19" s="264">
        <v>0</v>
      </c>
      <c r="F19" s="264">
        <v>0</v>
      </c>
      <c r="G19" s="255">
        <f t="shared" si="0"/>
        <v>0</v>
      </c>
      <c r="H19" s="257"/>
    </row>
    <row r="20" spans="1:8">
      <c r="A20" s="250"/>
      <c r="B20" s="250" t="s">
        <v>241</v>
      </c>
      <c r="C20" s="263"/>
      <c r="D20" s="253">
        <v>0</v>
      </c>
      <c r="E20" s="264">
        <v>0</v>
      </c>
      <c r="F20" s="264">
        <v>0</v>
      </c>
      <c r="G20" s="255">
        <f t="shared" si="0"/>
        <v>0</v>
      </c>
      <c r="H20" s="257"/>
    </row>
    <row r="21" spans="1:8">
      <c r="A21" s="250"/>
      <c r="B21" s="250" t="s">
        <v>627</v>
      </c>
      <c r="C21" s="263"/>
      <c r="D21" s="253">
        <f>95752.74*1.027</f>
        <v>98338.063979999992</v>
      </c>
      <c r="E21" s="264">
        <v>0</v>
      </c>
      <c r="F21" s="264">
        <v>0</v>
      </c>
      <c r="G21" s="255">
        <f t="shared" si="0"/>
        <v>98338.063979999992</v>
      </c>
      <c r="H21" s="257"/>
    </row>
    <row r="22" spans="1:8">
      <c r="A22" s="250"/>
      <c r="B22" s="261" t="s">
        <v>246</v>
      </c>
      <c r="C22" s="263"/>
      <c r="D22" s="253">
        <v>0</v>
      </c>
      <c r="E22" s="264">
        <v>0</v>
      </c>
      <c r="F22" s="264">
        <v>0</v>
      </c>
      <c r="G22" s="255">
        <f t="shared" si="0"/>
        <v>0</v>
      </c>
      <c r="H22" s="257"/>
    </row>
    <row r="23" spans="1:8">
      <c r="A23" s="250"/>
      <c r="B23" s="261" t="s">
        <v>629</v>
      </c>
      <c r="C23" s="263"/>
      <c r="D23" s="253">
        <v>0</v>
      </c>
      <c r="E23" s="264">
        <v>0</v>
      </c>
      <c r="F23" s="264">
        <v>0</v>
      </c>
      <c r="G23" s="255">
        <f t="shared" si="0"/>
        <v>0</v>
      </c>
      <c r="H23" s="257"/>
    </row>
    <row r="24" spans="1:8">
      <c r="A24" s="265" t="s">
        <v>279</v>
      </c>
      <c r="C24" s="232"/>
      <c r="D24" s="241"/>
      <c r="E24" s="242"/>
      <c r="F24" s="242"/>
      <c r="G24" s="31"/>
      <c r="H24" s="257"/>
    </row>
    <row r="25" spans="1:8">
      <c r="A25" s="24"/>
      <c r="B25" s="24" t="s">
        <v>247</v>
      </c>
      <c r="C25" s="266"/>
      <c r="D25" s="241">
        <v>0</v>
      </c>
      <c r="E25" s="242">
        <v>0</v>
      </c>
      <c r="F25" s="242">
        <v>0</v>
      </c>
      <c r="G25" s="31">
        <f t="shared" si="0"/>
        <v>0</v>
      </c>
    </row>
    <row r="26" spans="1:8">
      <c r="A26" s="24"/>
      <c r="B26" s="24" t="s">
        <v>628</v>
      </c>
      <c r="C26" s="266"/>
      <c r="D26" s="241">
        <v>0</v>
      </c>
      <c r="E26" s="242">
        <v>0</v>
      </c>
      <c r="F26" s="242">
        <v>0</v>
      </c>
      <c r="G26" s="31">
        <f t="shared" si="0"/>
        <v>0</v>
      </c>
    </row>
    <row r="27" spans="1:8">
      <c r="A27" s="24"/>
      <c r="B27" s="267" t="s">
        <v>280</v>
      </c>
      <c r="C27" s="266"/>
      <c r="D27" s="241">
        <v>0</v>
      </c>
      <c r="E27" s="242">
        <v>0</v>
      </c>
      <c r="F27" s="242">
        <v>0</v>
      </c>
      <c r="G27" s="31">
        <f t="shared" si="0"/>
        <v>0</v>
      </c>
    </row>
    <row r="28" spans="1:8">
      <c r="A28" s="24"/>
      <c r="B28" s="24" t="s">
        <v>577</v>
      </c>
      <c r="C28" s="266"/>
      <c r="D28" s="241">
        <v>0</v>
      </c>
      <c r="E28" s="242">
        <v>0</v>
      </c>
      <c r="F28" s="242">
        <v>0</v>
      </c>
      <c r="G28" s="31">
        <f t="shared" si="0"/>
        <v>0</v>
      </c>
      <c r="H28" s="262"/>
    </row>
    <row r="29" spans="1:8">
      <c r="A29" s="265" t="s">
        <v>281</v>
      </c>
      <c r="C29" s="266"/>
      <c r="D29" s="241"/>
      <c r="E29" s="242"/>
      <c r="F29" s="242"/>
      <c r="G29" s="31"/>
    </row>
    <row r="30" spans="1:8">
      <c r="A30" s="24"/>
      <c r="B30" s="268" t="s">
        <v>248</v>
      </c>
      <c r="C30" s="266"/>
      <c r="D30" s="241">
        <f>865896*A5</f>
        <v>857237.04</v>
      </c>
      <c r="E30" s="242">
        <v>0</v>
      </c>
      <c r="F30" s="242">
        <v>0</v>
      </c>
      <c r="G30" s="31">
        <f t="shared" si="0"/>
        <v>857237.04</v>
      </c>
      <c r="H30" s="262"/>
    </row>
    <row r="31" spans="1:8">
      <c r="A31" s="24"/>
      <c r="B31" s="268" t="s">
        <v>249</v>
      </c>
      <c r="C31" s="266"/>
      <c r="D31" s="241">
        <f>819242*A5</f>
        <v>811049.58</v>
      </c>
      <c r="E31" s="242">
        <v>0</v>
      </c>
      <c r="F31" s="242">
        <v>0</v>
      </c>
      <c r="G31" s="31">
        <f t="shared" si="0"/>
        <v>811049.58</v>
      </c>
      <c r="H31" s="262"/>
    </row>
    <row r="32" spans="1:8">
      <c r="A32" s="24"/>
      <c r="B32" s="268" t="s">
        <v>250</v>
      </c>
      <c r="C32" s="266"/>
      <c r="D32" s="241">
        <f>1641395*0.666*A5</f>
        <v>1082237.3793000001</v>
      </c>
      <c r="E32" s="242">
        <v>0</v>
      </c>
      <c r="F32" s="242">
        <f>420.93-420.93</f>
        <v>0</v>
      </c>
      <c r="G32" s="31">
        <f t="shared" si="0"/>
        <v>1082237.3793000001</v>
      </c>
      <c r="H32" s="262"/>
    </row>
    <row r="33" spans="1:11">
      <c r="A33" s="24"/>
      <c r="B33" s="268" t="s">
        <v>251</v>
      </c>
      <c r="C33" s="266"/>
      <c r="D33" s="241">
        <f>837912*A5</f>
        <v>829532.88</v>
      </c>
      <c r="E33" s="242">
        <v>0</v>
      </c>
      <c r="F33" s="242">
        <v>0</v>
      </c>
      <c r="G33" s="31">
        <f t="shared" si="0"/>
        <v>829532.88</v>
      </c>
      <c r="H33" s="262"/>
    </row>
    <row r="34" spans="1:11">
      <c r="A34" s="24"/>
      <c r="B34" s="268" t="s">
        <v>253</v>
      </c>
      <c r="C34" s="266"/>
      <c r="D34" s="241">
        <f>2874982*A5</f>
        <v>2846232.18</v>
      </c>
      <c r="E34" s="242">
        <v>0</v>
      </c>
      <c r="F34" s="242">
        <v>0</v>
      </c>
      <c r="G34" s="31">
        <f t="shared" si="0"/>
        <v>2846232.18</v>
      </c>
      <c r="H34" s="262"/>
      <c r="I34" s="262"/>
    </row>
    <row r="35" spans="1:11">
      <c r="A35" s="24"/>
      <c r="B35" s="268" t="s">
        <v>252</v>
      </c>
      <c r="C35" s="266"/>
      <c r="D35" s="241">
        <f>1238725*A5</f>
        <v>1226337.75</v>
      </c>
      <c r="E35" s="242">
        <v>0</v>
      </c>
      <c r="F35" s="242">
        <v>0</v>
      </c>
      <c r="G35" s="31">
        <f t="shared" si="0"/>
        <v>1226337.75</v>
      </c>
      <c r="H35" s="262"/>
      <c r="I35" s="262"/>
      <c r="J35" s="256"/>
    </row>
    <row r="36" spans="1:11">
      <c r="A36" s="265" t="s">
        <v>226</v>
      </c>
      <c r="C36" s="266"/>
      <c r="D36" s="241"/>
      <c r="E36" s="242"/>
      <c r="F36" s="242"/>
      <c r="G36" s="31"/>
      <c r="H36" s="262"/>
      <c r="I36" s="262"/>
    </row>
    <row r="37" spans="1:11">
      <c r="A37" s="24"/>
      <c r="B37" s="268" t="s">
        <v>254</v>
      </c>
      <c r="C37" s="266"/>
      <c r="D37" s="269">
        <f>150820.53*1.027</f>
        <v>154892.68430999998</v>
      </c>
      <c r="E37" s="242">
        <v>0</v>
      </c>
      <c r="F37" s="242">
        <v>0</v>
      </c>
      <c r="G37" s="31">
        <f t="shared" si="0"/>
        <v>154892.68430999998</v>
      </c>
      <c r="H37" s="262"/>
      <c r="I37" s="262"/>
    </row>
    <row r="38" spans="1:11">
      <c r="A38" s="24"/>
      <c r="B38" s="268" t="s">
        <v>255</v>
      </c>
      <c r="C38" s="266"/>
      <c r="D38" s="269">
        <f>115820.48*1.027</f>
        <v>118947.63295999999</v>
      </c>
      <c r="E38" s="242">
        <v>0</v>
      </c>
      <c r="F38" s="242">
        <v>0</v>
      </c>
      <c r="G38" s="31">
        <f t="shared" si="0"/>
        <v>118947.63295999999</v>
      </c>
      <c r="H38" s="262"/>
      <c r="I38" s="262"/>
    </row>
    <row r="39" spans="1:11">
      <c r="A39" s="24"/>
      <c r="B39" s="24" t="s">
        <v>625</v>
      </c>
      <c r="C39" s="266"/>
      <c r="D39" s="269">
        <f>(1276723*1.027)/2</f>
        <v>655597.26049999997</v>
      </c>
      <c r="E39" s="242">
        <v>0</v>
      </c>
      <c r="F39" s="242">
        <v>0</v>
      </c>
      <c r="G39" s="31">
        <f t="shared" si="0"/>
        <v>655597.26049999997</v>
      </c>
      <c r="H39" s="262"/>
      <c r="I39" s="262"/>
    </row>
    <row r="40" spans="1:11">
      <c r="A40" s="265" t="s">
        <v>626</v>
      </c>
      <c r="C40" s="266"/>
      <c r="D40" s="269"/>
      <c r="E40" s="242"/>
      <c r="F40" s="242"/>
      <c r="G40" s="31"/>
      <c r="I40" s="262"/>
    </row>
    <row r="41" spans="1:11">
      <c r="A41" s="24"/>
      <c r="B41" s="24" t="s">
        <v>256</v>
      </c>
      <c r="C41" s="266"/>
      <c r="D41" s="241">
        <f>519862.03*1.027</f>
        <v>533898.30481</v>
      </c>
      <c r="E41" s="270">
        <v>0</v>
      </c>
      <c r="F41" s="242">
        <f>249095*1.027</f>
        <v>255820.56499999997</v>
      </c>
      <c r="G41" s="31">
        <f t="shared" si="0"/>
        <v>278077.73981000006</v>
      </c>
      <c r="H41" s="262"/>
      <c r="I41" s="262"/>
      <c r="J41" s="294"/>
    </row>
    <row r="42" spans="1:11">
      <c r="A42" s="265" t="s">
        <v>221</v>
      </c>
      <c r="B42" s="267"/>
      <c r="C42" s="266"/>
      <c r="D42" s="272"/>
      <c r="E42" s="270"/>
      <c r="F42" s="273"/>
      <c r="G42" s="31"/>
      <c r="I42" s="262"/>
      <c r="J42" s="180"/>
    </row>
    <row r="43" spans="1:11">
      <c r="A43" s="24"/>
      <c r="B43" s="24" t="s">
        <v>257</v>
      </c>
      <c r="C43" s="266"/>
      <c r="D43" s="269">
        <f>3611652.54*1.15493*A5</f>
        <v>4129493.8093419783</v>
      </c>
      <c r="E43" s="270">
        <f>467908*1.15493*A5</f>
        <v>534996.97657559998</v>
      </c>
      <c r="F43" s="270">
        <f>280193.93*1.15493*A5</f>
        <v>320368.331819151</v>
      </c>
      <c r="G43" s="31">
        <f t="shared" si="0"/>
        <v>3274128.5009472272</v>
      </c>
      <c r="H43" s="262"/>
      <c r="I43" s="290"/>
      <c r="J43" s="293"/>
      <c r="K43" s="295"/>
    </row>
    <row r="44" spans="1:11">
      <c r="A44" s="24"/>
      <c r="B44" s="24" t="s">
        <v>258</v>
      </c>
      <c r="C44" s="266"/>
      <c r="D44" s="269">
        <v>0</v>
      </c>
      <c r="E44" s="270">
        <v>0.25</v>
      </c>
      <c r="F44" s="270">
        <v>0</v>
      </c>
      <c r="G44" s="31">
        <f t="shared" si="0"/>
        <v>-0.25</v>
      </c>
      <c r="H44" s="262"/>
      <c r="I44" s="290"/>
      <c r="K44" s="295"/>
    </row>
    <row r="45" spans="1:11">
      <c r="A45" s="24"/>
      <c r="B45" s="24" t="s">
        <v>259</v>
      </c>
      <c r="C45" s="266"/>
      <c r="D45" s="269">
        <f>1103199.97*1.15493*A5</f>
        <v>1261377.5539385788</v>
      </c>
      <c r="E45" s="270">
        <v>0</v>
      </c>
      <c r="F45" s="270">
        <f>27647.25*1.15493*A5</f>
        <v>31611.332058075001</v>
      </c>
      <c r="G45" s="31">
        <f t="shared" si="0"/>
        <v>1229766.2218805039</v>
      </c>
      <c r="H45" s="262"/>
      <c r="I45" s="290"/>
      <c r="J45" s="271"/>
      <c r="K45" s="295"/>
    </row>
    <row r="46" spans="1:11">
      <c r="A46" s="24"/>
      <c r="B46" s="24" t="s">
        <v>624</v>
      </c>
      <c r="C46" s="266"/>
      <c r="D46" s="269">
        <f>118526</f>
        <v>118526</v>
      </c>
      <c r="E46" s="270">
        <v>0</v>
      </c>
      <c r="F46" s="270">
        <v>0</v>
      </c>
      <c r="G46" s="31">
        <f t="shared" si="0"/>
        <v>118526</v>
      </c>
      <c r="H46" s="262"/>
      <c r="I46" s="290"/>
      <c r="J46" s="271"/>
      <c r="K46" s="295"/>
    </row>
    <row r="47" spans="1:11">
      <c r="A47" s="24"/>
      <c r="B47" s="24" t="s">
        <v>293</v>
      </c>
      <c r="C47" s="266"/>
      <c r="D47" s="269">
        <v>0</v>
      </c>
      <c r="E47" s="270">
        <v>0</v>
      </c>
      <c r="F47" s="270">
        <v>0</v>
      </c>
      <c r="G47" s="31">
        <f t="shared" si="0"/>
        <v>0</v>
      </c>
      <c r="H47" s="262"/>
      <c r="I47" s="290"/>
      <c r="J47" s="271"/>
      <c r="K47" s="295"/>
    </row>
    <row r="48" spans="1:11">
      <c r="A48" s="274" t="s">
        <v>220</v>
      </c>
      <c r="B48" s="24"/>
      <c r="C48" s="266"/>
      <c r="D48" s="269"/>
      <c r="E48" s="270"/>
      <c r="F48" s="270"/>
      <c r="G48" s="275"/>
      <c r="J48" s="271"/>
    </row>
    <row r="49" spans="1:11">
      <c r="A49" s="24"/>
      <c r="B49" s="268" t="s">
        <v>261</v>
      </c>
      <c r="C49" s="266"/>
      <c r="D49" s="269">
        <f>441845.07*(1.290751519)*A5</f>
        <v>564609.07331250969</v>
      </c>
      <c r="E49" s="270">
        <f>40633*(1.290751519)*A5</f>
        <v>51922.635406811736</v>
      </c>
      <c r="F49" s="270">
        <f>7138*(1.290751519)*A5</f>
        <v>9121.2504991957812</v>
      </c>
      <c r="G49" s="31">
        <f t="shared" si="0"/>
        <v>503565.1874065022</v>
      </c>
      <c r="H49" s="262"/>
      <c r="I49" s="262"/>
      <c r="J49" s="289"/>
    </row>
    <row r="50" spans="1:11">
      <c r="A50" s="24"/>
      <c r="B50" s="268" t="s">
        <v>576</v>
      </c>
      <c r="C50" s="266"/>
      <c r="D50" s="269">
        <f>3622806.49*(1.290751519)*A5</f>
        <v>4629381.5502104536</v>
      </c>
      <c r="E50" s="270">
        <f>2121341*(1.290751519)*A5</f>
        <v>2710742.8768863091</v>
      </c>
      <c r="F50" s="270">
        <f>160227.25*(1.290751519)*A5</f>
        <v>204745.43065946584</v>
      </c>
      <c r="G50" s="31">
        <f t="shared" si="0"/>
        <v>1713893.2426646785</v>
      </c>
      <c r="H50" s="262"/>
      <c r="J50" s="271"/>
    </row>
    <row r="51" spans="1:11">
      <c r="A51" s="276" t="s">
        <v>282</v>
      </c>
      <c r="B51" s="79"/>
      <c r="C51" s="266"/>
      <c r="D51" s="269"/>
      <c r="E51" s="270"/>
      <c r="F51" s="270"/>
      <c r="G51" s="275"/>
      <c r="J51" s="291"/>
    </row>
    <row r="52" spans="1:11">
      <c r="A52" s="24"/>
      <c r="B52" s="24" t="s">
        <v>260</v>
      </c>
      <c r="C52" s="266"/>
      <c r="D52" s="269">
        <f>2406719.93*0.88*1.15493*A5</f>
        <v>2421581.4640752692</v>
      </c>
      <c r="E52" s="270">
        <f>80863.34*0.88*1.15493*A5</f>
        <v>81362.672418313436</v>
      </c>
      <c r="F52" s="270">
        <v>0</v>
      </c>
      <c r="G52" s="31">
        <f t="shared" si="0"/>
        <v>2340218.7916569556</v>
      </c>
      <c r="H52" s="262"/>
      <c r="I52" s="290"/>
      <c r="K52" s="295"/>
    </row>
    <row r="53" spans="1:11">
      <c r="A53" s="24"/>
      <c r="B53" s="24" t="s">
        <v>294</v>
      </c>
      <c r="C53" s="266"/>
      <c r="D53" s="269">
        <v>0</v>
      </c>
      <c r="E53" s="270">
        <v>0</v>
      </c>
      <c r="F53" s="270">
        <v>0</v>
      </c>
      <c r="G53" s="31">
        <f t="shared" si="0"/>
        <v>0</v>
      </c>
      <c r="H53" s="262"/>
      <c r="I53" s="290"/>
      <c r="K53" s="295"/>
    </row>
    <row r="54" spans="1:11">
      <c r="A54" s="24"/>
      <c r="B54" s="24" t="s">
        <v>283</v>
      </c>
      <c r="C54" s="266"/>
      <c r="D54" s="269">
        <f>2406719.93*0.12*1.15493*A5</f>
        <v>330215.65419208218</v>
      </c>
      <c r="E54" s="270">
        <f>80863.34*0.12*1.15493*A5</f>
        <v>11094.909875224559</v>
      </c>
      <c r="F54" s="270">
        <v>0</v>
      </c>
      <c r="G54" s="275">
        <f t="shared" si="0"/>
        <v>319120.7443168576</v>
      </c>
      <c r="H54" s="262"/>
      <c r="I54" s="290"/>
      <c r="K54" s="295"/>
    </row>
    <row r="55" spans="1:11">
      <c r="A55" s="24"/>
      <c r="B55" s="24" t="s">
        <v>531</v>
      </c>
      <c r="C55" s="266"/>
      <c r="D55" s="269">
        <v>0</v>
      </c>
      <c r="E55" s="270">
        <v>0</v>
      </c>
      <c r="F55" s="270">
        <v>0</v>
      </c>
      <c r="G55" s="31">
        <f t="shared" si="0"/>
        <v>0</v>
      </c>
      <c r="I55" s="290"/>
      <c r="K55" s="295"/>
    </row>
    <row r="56" spans="1:11">
      <c r="A56" s="24"/>
      <c r="B56" s="24" t="s">
        <v>295</v>
      </c>
      <c r="C56" s="266"/>
      <c r="D56" s="269">
        <v>0</v>
      </c>
      <c r="E56" s="270">
        <v>0</v>
      </c>
      <c r="F56" s="270">
        <v>0</v>
      </c>
      <c r="G56" s="31">
        <f t="shared" si="0"/>
        <v>0</v>
      </c>
      <c r="H56" s="262"/>
      <c r="I56" s="290"/>
      <c r="K56" s="295"/>
    </row>
    <row r="57" spans="1:11">
      <c r="A57" s="274" t="s">
        <v>284</v>
      </c>
      <c r="B57" s="24"/>
      <c r="C57" s="266"/>
      <c r="D57" s="269"/>
      <c r="E57" s="270"/>
      <c r="F57" s="270"/>
      <c r="G57" s="275"/>
    </row>
    <row r="58" spans="1:11">
      <c r="A58" s="24"/>
      <c r="B58" s="268" t="s">
        <v>262</v>
      </c>
      <c r="C58" s="266"/>
      <c r="D58" s="269">
        <f>718070*1.15493*A5</f>
        <v>821027.37924899999</v>
      </c>
      <c r="E58" s="270">
        <f>803.25*1.15493*A5</f>
        <v>918.42054727499999</v>
      </c>
      <c r="F58" s="270">
        <f>48.15*1.15493*A5</f>
        <v>55.053780705000001</v>
      </c>
      <c r="G58" s="31">
        <f t="shared" si="0"/>
        <v>820053.90492102003</v>
      </c>
      <c r="H58" s="262"/>
      <c r="I58" s="290"/>
      <c r="K58" s="295"/>
    </row>
    <row r="59" spans="1:11">
      <c r="A59" s="24"/>
      <c r="B59" s="268" t="s">
        <v>263</v>
      </c>
      <c r="C59" s="266"/>
      <c r="D59" s="277">
        <f>903564.4*1.15493*A5</f>
        <v>1033118.09616708</v>
      </c>
      <c r="E59" s="278">
        <v>0</v>
      </c>
      <c r="F59" s="278">
        <f>42384.48*1.15493*A5</f>
        <v>48461.596411536004</v>
      </c>
      <c r="G59" s="31">
        <f>+D59-E59-F59</f>
        <v>984656.49975554401</v>
      </c>
      <c r="I59" s="290"/>
      <c r="K59" s="295"/>
    </row>
    <row r="60" spans="1:11">
      <c r="A60" s="24"/>
      <c r="B60" s="268" t="s">
        <v>264</v>
      </c>
      <c r="C60" s="266"/>
      <c r="D60" s="269">
        <f>1177367.39*1.15493*A5</f>
        <v>1346179.1505353728</v>
      </c>
      <c r="E60" s="270">
        <f>8785.05*1.15493*A5</f>
        <v>10044.656618534998</v>
      </c>
      <c r="F60" s="270">
        <f>(10255.44-8765.052)*1.15493*A5</f>
        <v>1704.0808747116009</v>
      </c>
      <c r="G60" s="31">
        <f>+D60-E60-F60</f>
        <v>1334430.4130421262</v>
      </c>
      <c r="H60" s="262"/>
      <c r="I60" s="290"/>
      <c r="K60" s="295"/>
    </row>
    <row r="61" spans="1:11">
      <c r="A61" s="24"/>
      <c r="B61" s="268" t="s">
        <v>265</v>
      </c>
      <c r="C61" s="266"/>
      <c r="D61" s="269">
        <f>768014.67*1.15493*A5</f>
        <v>878133.15099486895</v>
      </c>
      <c r="E61" s="270">
        <f>1247.29*1.15493*A5</f>
        <v>1426.1273133029999</v>
      </c>
      <c r="F61" s="270">
        <f>45*1.15493*A5</f>
        <v>51.4521315</v>
      </c>
      <c r="G61" s="31">
        <f t="shared" si="0"/>
        <v>876655.571550066</v>
      </c>
      <c r="H61" s="262"/>
      <c r="I61" s="290"/>
      <c r="K61" s="295"/>
    </row>
    <row r="62" spans="1:11">
      <c r="A62" s="24"/>
      <c r="B62" s="268" t="s">
        <v>266</v>
      </c>
      <c r="C62" s="266"/>
      <c r="D62" s="269">
        <v>0</v>
      </c>
      <c r="E62" s="270">
        <v>0</v>
      </c>
      <c r="F62" s="270">
        <v>0</v>
      </c>
      <c r="G62" s="31">
        <f t="shared" si="0"/>
        <v>0</v>
      </c>
      <c r="H62" s="262"/>
      <c r="I62" s="290"/>
      <c r="K62" s="295"/>
    </row>
    <row r="63" spans="1:11">
      <c r="A63" s="276" t="s">
        <v>285</v>
      </c>
      <c r="B63" s="79"/>
      <c r="C63" s="266"/>
      <c r="D63" s="269"/>
      <c r="E63" s="270"/>
      <c r="F63" s="270"/>
      <c r="G63" s="275"/>
      <c r="H63" s="262"/>
    </row>
    <row r="64" spans="1:11">
      <c r="A64" s="24"/>
      <c r="B64" s="268" t="s">
        <v>267</v>
      </c>
      <c r="C64" s="266"/>
      <c r="D64" s="269">
        <f>280513*A5</f>
        <v>277707.87</v>
      </c>
      <c r="E64" s="270">
        <v>0</v>
      </c>
      <c r="F64" s="270">
        <v>0</v>
      </c>
      <c r="G64" s="31">
        <f t="shared" si="0"/>
        <v>277707.87</v>
      </c>
    </row>
    <row r="65" spans="1:11">
      <c r="A65" s="24"/>
      <c r="B65" s="268" t="s">
        <v>286</v>
      </c>
      <c r="C65" s="266"/>
      <c r="D65" s="269">
        <v>0</v>
      </c>
      <c r="E65" s="270">
        <v>0</v>
      </c>
      <c r="F65" s="270">
        <v>0</v>
      </c>
      <c r="G65" s="31">
        <f t="shared" si="0"/>
        <v>0</v>
      </c>
    </row>
    <row r="66" spans="1:11">
      <c r="A66" s="24"/>
      <c r="B66" s="268" t="s">
        <v>287</v>
      </c>
      <c r="C66" s="266"/>
      <c r="D66" s="269">
        <v>0</v>
      </c>
      <c r="E66" s="270">
        <v>0</v>
      </c>
      <c r="F66" s="270">
        <v>0</v>
      </c>
      <c r="G66" s="31">
        <f t="shared" si="0"/>
        <v>0</v>
      </c>
    </row>
    <row r="67" spans="1:11">
      <c r="A67" s="274" t="s">
        <v>288</v>
      </c>
      <c r="B67" s="24"/>
      <c r="C67" s="266"/>
      <c r="D67" s="269"/>
      <c r="E67" s="270"/>
      <c r="F67" s="270"/>
      <c r="G67" s="275"/>
    </row>
    <row r="68" spans="1:11">
      <c r="A68" s="24"/>
      <c r="B68" s="24" t="s">
        <v>268</v>
      </c>
      <c r="C68" s="266"/>
      <c r="D68" s="269">
        <f>5455763.04*1.15493*A5</f>
        <v>6238014.1637093276</v>
      </c>
      <c r="E68" s="270">
        <f>55397.42*1.15493*A5</f>
        <v>63340.340857793999</v>
      </c>
      <c r="F68" s="270">
        <f>(498337.48-55397.42)*1.15493*A5</f>
        <v>506449.11586084199</v>
      </c>
      <c r="G68" s="31">
        <f t="shared" si="0"/>
        <v>5668224.7069906918</v>
      </c>
      <c r="I68" s="290"/>
      <c r="K68" s="295"/>
    </row>
    <row r="69" spans="1:11">
      <c r="A69" s="24"/>
      <c r="B69" s="24" t="s">
        <v>269</v>
      </c>
      <c r="C69" s="266"/>
      <c r="D69" s="269">
        <v>0</v>
      </c>
      <c r="E69" s="270">
        <v>0</v>
      </c>
      <c r="F69" s="270">
        <v>0</v>
      </c>
      <c r="G69" s="31">
        <f t="shared" si="0"/>
        <v>0</v>
      </c>
      <c r="I69" s="290"/>
      <c r="K69" s="295"/>
    </row>
    <row r="70" spans="1:11">
      <c r="A70" s="24"/>
      <c r="B70" s="24" t="s">
        <v>270</v>
      </c>
      <c r="C70" s="266"/>
      <c r="D70" s="269">
        <v>0</v>
      </c>
      <c r="E70" s="270">
        <v>0</v>
      </c>
      <c r="F70" s="270">
        <v>0</v>
      </c>
      <c r="G70" s="31">
        <f t="shared" si="0"/>
        <v>0</v>
      </c>
      <c r="I70" s="290"/>
      <c r="K70" s="295"/>
    </row>
    <row r="71" spans="1:11">
      <c r="A71" s="24"/>
      <c r="B71" s="24" t="s">
        <v>271</v>
      </c>
      <c r="C71" s="266"/>
      <c r="D71" s="269">
        <v>0</v>
      </c>
      <c r="E71" s="270">
        <v>0</v>
      </c>
      <c r="F71" s="270">
        <v>0</v>
      </c>
      <c r="G71" s="31">
        <f t="shared" si="0"/>
        <v>0</v>
      </c>
      <c r="I71" s="290"/>
      <c r="K71" s="295"/>
    </row>
    <row r="72" spans="1:11">
      <c r="A72" s="24"/>
      <c r="B72" s="24" t="s">
        <v>272</v>
      </c>
      <c r="C72" s="266"/>
      <c r="D72" s="269">
        <v>0</v>
      </c>
      <c r="E72" s="270">
        <v>0</v>
      </c>
      <c r="F72" s="270">
        <v>0</v>
      </c>
      <c r="G72" s="31">
        <f t="shared" si="0"/>
        <v>0</v>
      </c>
      <c r="I72" s="290"/>
      <c r="K72" s="295"/>
    </row>
    <row r="73" spans="1:11">
      <c r="A73" s="24"/>
      <c r="B73" s="24" t="s">
        <v>273</v>
      </c>
      <c r="C73" s="266"/>
      <c r="D73" s="269">
        <v>0</v>
      </c>
      <c r="E73" s="270">
        <v>0</v>
      </c>
      <c r="F73" s="270">
        <v>0</v>
      </c>
      <c r="G73" s="31">
        <f t="shared" si="0"/>
        <v>0</v>
      </c>
      <c r="I73" s="290"/>
      <c r="K73" s="295"/>
    </row>
    <row r="74" spans="1:11">
      <c r="A74" s="279" t="s">
        <v>289</v>
      </c>
      <c r="B74" s="268"/>
      <c r="C74" s="266"/>
      <c r="D74" s="269"/>
      <c r="E74" s="270"/>
      <c r="F74" s="270"/>
      <c r="G74" s="275"/>
    </row>
    <row r="75" spans="1:11">
      <c r="A75" s="24"/>
      <c r="B75" s="268" t="s">
        <v>274</v>
      </c>
      <c r="C75" s="266"/>
      <c r="D75" s="269">
        <f>694271*1.15493*A5</f>
        <v>793816.06196969992</v>
      </c>
      <c r="E75" s="270">
        <v>0</v>
      </c>
      <c r="F75" s="270">
        <v>0</v>
      </c>
      <c r="G75" s="31">
        <f t="shared" ref="G75:G85" si="1">+D75-E75-F75</f>
        <v>793816.06196969992</v>
      </c>
      <c r="I75" s="290"/>
      <c r="K75" s="295"/>
    </row>
    <row r="76" spans="1:11">
      <c r="A76" s="276" t="s">
        <v>290</v>
      </c>
      <c r="B76" s="79"/>
      <c r="C76" s="266"/>
      <c r="D76" s="269"/>
      <c r="E76" s="270"/>
      <c r="F76" s="270"/>
      <c r="G76" s="275"/>
    </row>
    <row r="77" spans="1:11">
      <c r="A77" s="24"/>
      <c r="B77" s="268" t="s">
        <v>275</v>
      </c>
      <c r="C77" s="266"/>
      <c r="D77" s="269">
        <f>455855.52*1.15493*A5</f>
        <v>521216.40355646407</v>
      </c>
      <c r="E77" s="270">
        <v>0</v>
      </c>
      <c r="F77" s="270">
        <v>0</v>
      </c>
      <c r="G77" s="31">
        <f t="shared" si="1"/>
        <v>521216.40355646407</v>
      </c>
      <c r="I77" s="290"/>
      <c r="K77" s="295"/>
    </row>
    <row r="78" spans="1:11">
      <c r="A78" s="276" t="s">
        <v>291</v>
      </c>
      <c r="B78" s="79"/>
      <c r="C78" s="266"/>
      <c r="D78" s="269"/>
      <c r="E78" s="270"/>
      <c r="F78" s="270"/>
      <c r="G78" s="275"/>
    </row>
    <row r="79" spans="1:11">
      <c r="A79" s="24"/>
      <c r="B79" s="268" t="s">
        <v>276</v>
      </c>
      <c r="C79" s="266"/>
      <c r="D79" s="269">
        <f>690843.92*1.15493*A5</f>
        <v>789897.60484034405</v>
      </c>
      <c r="E79" s="270">
        <v>0</v>
      </c>
      <c r="F79" s="270">
        <v>0</v>
      </c>
      <c r="G79" s="31">
        <f t="shared" si="1"/>
        <v>789897.60484034405</v>
      </c>
      <c r="H79" s="280"/>
      <c r="I79" s="290"/>
      <c r="K79" s="295"/>
    </row>
    <row r="80" spans="1:11">
      <c r="A80" s="276" t="s">
        <v>292</v>
      </c>
      <c r="B80" s="79"/>
      <c r="C80" s="266"/>
      <c r="D80" s="281"/>
      <c r="E80" s="270"/>
      <c r="F80" s="270"/>
      <c r="G80" s="275"/>
      <c r="H80" s="280"/>
    </row>
    <row r="81" spans="1:12">
      <c r="A81" s="24"/>
      <c r="B81" s="268" t="s">
        <v>277</v>
      </c>
      <c r="C81" s="266"/>
      <c r="D81" s="269">
        <f>112785*1.027</f>
        <v>115830.19499999999</v>
      </c>
      <c r="E81" s="270">
        <v>0</v>
      </c>
      <c r="F81" s="270">
        <v>0</v>
      </c>
      <c r="G81" s="31">
        <f t="shared" si="1"/>
        <v>115830.19499999999</v>
      </c>
      <c r="I81" s="290"/>
    </row>
    <row r="82" spans="1:12">
      <c r="A82" s="274" t="s">
        <v>596</v>
      </c>
      <c r="B82" s="268"/>
      <c r="C82" s="266"/>
      <c r="D82" s="269"/>
      <c r="E82" s="270"/>
      <c r="F82" s="270"/>
      <c r="G82" s="31"/>
      <c r="I82" s="290"/>
    </row>
    <row r="83" spans="1:12">
      <c r="A83" s="24"/>
      <c r="B83" s="268"/>
      <c r="C83" s="266"/>
      <c r="D83" s="269">
        <f>(1645705*A5*0)+860000</f>
        <v>860000</v>
      </c>
      <c r="E83" s="270">
        <v>0</v>
      </c>
      <c r="F83" s="270">
        <v>0</v>
      </c>
      <c r="G83" s="31">
        <f t="shared" si="1"/>
        <v>860000</v>
      </c>
      <c r="I83" s="290"/>
    </row>
    <row r="84" spans="1:12">
      <c r="A84" s="276" t="s">
        <v>144</v>
      </c>
      <c r="B84" s="79"/>
      <c r="C84" s="266"/>
      <c r="D84" s="269"/>
      <c r="E84" s="270"/>
      <c r="F84" s="270"/>
      <c r="G84" s="275"/>
      <c r="K84" s="295"/>
    </row>
    <row r="85" spans="1:12">
      <c r="A85" s="236"/>
      <c r="B85" s="282" t="s">
        <v>278</v>
      </c>
      <c r="C85" s="283"/>
      <c r="D85" s="284">
        <f>1723697.01*1.231430397*A5</f>
        <v>2101386.7643986926</v>
      </c>
      <c r="E85" s="285">
        <f>17000*1.231430397*A5</f>
        <v>20724.973581510003</v>
      </c>
      <c r="F85" s="285">
        <f>2035.5*1.231430397*A5</f>
        <v>2481.5108073625652</v>
      </c>
      <c r="G85" s="286">
        <f t="shared" si="1"/>
        <v>2078180.2800098201</v>
      </c>
      <c r="H85" s="230"/>
      <c r="I85" s="180"/>
      <c r="J85" s="180"/>
      <c r="K85" s="180"/>
      <c r="L85" s="180"/>
    </row>
    <row r="86" spans="1:12">
      <c r="A86" s="24"/>
      <c r="B86" s="268"/>
      <c r="C86" s="25"/>
      <c r="D86" s="275"/>
      <c r="E86" s="275"/>
      <c r="F86" s="275"/>
      <c r="G86" s="31"/>
      <c r="K86" s="262"/>
    </row>
    <row r="87" spans="1:12">
      <c r="A87" s="24"/>
      <c r="B87" s="24"/>
      <c r="C87" s="24"/>
      <c r="D87" s="31"/>
      <c r="E87" s="31"/>
      <c r="F87" s="31"/>
      <c r="G87" s="31"/>
    </row>
    <row r="88" spans="1:12">
      <c r="A88" s="24"/>
      <c r="B88" s="24" t="s">
        <v>236</v>
      </c>
      <c r="C88" s="25" t="s">
        <v>235</v>
      </c>
      <c r="D88" s="287">
        <f>SUM(D13:D87)</f>
        <v>52258687.711351715</v>
      </c>
      <c r="E88" s="287">
        <f>SUM(E13:E87)</f>
        <v>3486574.8400806757</v>
      </c>
      <c r="F88" s="287">
        <f>SUM(F13:F87)</f>
        <v>1380869.7199025447</v>
      </c>
      <c r="G88" s="287">
        <f>SUM(G13:G87)</f>
        <v>47391243.151368499</v>
      </c>
      <c r="I88" s="292"/>
      <c r="K88" s="293"/>
    </row>
    <row r="89" spans="1:12">
      <c r="A89" s="24"/>
      <c r="B89" s="24"/>
      <c r="C89" s="24"/>
      <c r="D89" s="31"/>
      <c r="E89" s="31"/>
      <c r="F89" s="31"/>
      <c r="G89" s="31"/>
    </row>
    <row r="90" spans="1:12">
      <c r="A90" s="24"/>
      <c r="B90" s="24"/>
      <c r="C90" s="24"/>
      <c r="D90" s="31"/>
      <c r="E90" s="31"/>
      <c r="F90" s="31"/>
      <c r="G90" s="31"/>
    </row>
    <row r="91" spans="1:12">
      <c r="A91" s="24"/>
      <c r="B91" s="24" t="s">
        <v>237</v>
      </c>
      <c r="C91" s="24"/>
      <c r="D91" s="31"/>
      <c r="E91" s="31"/>
      <c r="F91" s="31"/>
      <c r="G91" s="31">
        <v>0</v>
      </c>
    </row>
    <row r="92" spans="1:12">
      <c r="A92" s="24"/>
      <c r="B92" s="24"/>
      <c r="C92" s="24"/>
      <c r="D92" s="31"/>
      <c r="E92" s="31"/>
      <c r="F92" s="31"/>
      <c r="G92" s="287"/>
    </row>
    <row r="93" spans="1:12" ht="13.5" thickBot="1">
      <c r="A93" s="24"/>
      <c r="B93" s="24" t="s">
        <v>238</v>
      </c>
      <c r="C93" s="24"/>
      <c r="D93" s="31"/>
      <c r="E93" s="31"/>
      <c r="F93" s="31"/>
      <c r="G93" s="31">
        <f>+G88-G91</f>
        <v>47391243.151368499</v>
      </c>
    </row>
    <row r="94" spans="1:12" ht="13.5" thickTop="1">
      <c r="A94" s="24"/>
      <c r="B94" s="24"/>
      <c r="C94" s="24"/>
      <c r="D94" s="31"/>
      <c r="E94" s="31"/>
      <c r="F94" s="31"/>
      <c r="G94" s="288"/>
    </row>
  </sheetData>
  <mergeCells count="1">
    <mergeCell ref="A7:G7"/>
  </mergeCells>
  <phoneticPr fontId="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S199"/>
  <sheetViews>
    <sheetView topLeftCell="A89" workbookViewId="0">
      <pane xSplit="2" topLeftCell="AO1" activePane="topRight" state="frozen"/>
      <selection pane="topRight" activeCell="AO105" sqref="AO105"/>
    </sheetView>
  </sheetViews>
  <sheetFormatPr defaultColWidth="8.69140625" defaultRowHeight="13"/>
  <cols>
    <col min="1" max="1" width="8.69140625" style="26"/>
    <col min="2" max="2" width="25.69140625" style="26" customWidth="1"/>
    <col min="3" max="44" width="10.765625" style="39" customWidth="1"/>
    <col min="45" max="45" width="10.765625" style="171" customWidth="1"/>
    <col min="46" max="47" width="10.765625" style="39" customWidth="1"/>
    <col min="48" max="55" width="10.765625" style="26" customWidth="1"/>
    <col min="56" max="184" width="15.69140625" style="26" customWidth="1"/>
    <col min="185" max="16384" width="8.69140625" style="26"/>
  </cols>
  <sheetData>
    <row r="1" spans="1:253" ht="13.5">
      <c r="A1" s="24" t="s">
        <v>301</v>
      </c>
      <c r="B1" s="24" t="s">
        <v>598</v>
      </c>
      <c r="C1" s="40"/>
      <c r="D1" s="40"/>
      <c r="E1" s="40"/>
      <c r="F1" s="40"/>
      <c r="G1" s="172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173"/>
      <c r="AI1" s="41"/>
      <c r="AJ1" s="41"/>
      <c r="AK1" s="41"/>
      <c r="AL1" s="40"/>
      <c r="AM1" s="41" t="s">
        <v>302</v>
      </c>
      <c r="AN1" s="41" t="s">
        <v>554</v>
      </c>
      <c r="AO1" s="40"/>
      <c r="AP1" s="40"/>
      <c r="AQ1" s="40" t="s">
        <v>592</v>
      </c>
      <c r="AR1" s="41"/>
      <c r="AS1" s="169" t="s">
        <v>303</v>
      </c>
      <c r="AT1" s="40"/>
      <c r="AU1" s="40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</row>
    <row r="2" spans="1:253" ht="13.5">
      <c r="A2" s="24"/>
      <c r="B2" s="24" t="s">
        <v>593</v>
      </c>
      <c r="C2" s="40"/>
      <c r="D2" s="40"/>
      <c r="E2" s="40"/>
      <c r="F2" s="40"/>
      <c r="G2" s="172"/>
      <c r="H2" s="40"/>
      <c r="I2" s="40"/>
      <c r="J2" s="41" t="s">
        <v>304</v>
      </c>
      <c r="K2" s="41"/>
      <c r="L2" s="41"/>
      <c r="M2" s="41" t="s">
        <v>228</v>
      </c>
      <c r="N2" s="41"/>
      <c r="O2" s="41"/>
      <c r="P2" s="41" t="s">
        <v>220</v>
      </c>
      <c r="Q2" s="41"/>
      <c r="R2" s="41"/>
      <c r="S2" s="41"/>
      <c r="T2" s="41"/>
      <c r="U2" s="41"/>
      <c r="V2" s="41" t="s">
        <v>305</v>
      </c>
      <c r="W2" s="41" t="s">
        <v>215</v>
      </c>
      <c r="X2" s="41"/>
      <c r="Y2" s="41"/>
      <c r="Z2" s="41"/>
      <c r="AA2" s="41"/>
      <c r="AB2" s="41"/>
      <c r="AC2" s="41" t="s">
        <v>306</v>
      </c>
      <c r="AD2" s="41"/>
      <c r="AE2" s="41"/>
      <c r="AF2" s="41"/>
      <c r="AG2" s="41" t="s">
        <v>307</v>
      </c>
      <c r="AH2" s="173"/>
      <c r="AI2" s="41"/>
      <c r="AJ2" s="41"/>
      <c r="AK2" s="41" t="s">
        <v>594</v>
      </c>
      <c r="AL2" s="41"/>
      <c r="AM2" s="41" t="s">
        <v>308</v>
      </c>
      <c r="AN2" s="41" t="s">
        <v>140</v>
      </c>
      <c r="AO2" s="40"/>
      <c r="AP2" s="40"/>
      <c r="AQ2" s="40" t="s">
        <v>233</v>
      </c>
      <c r="AR2" s="41"/>
      <c r="AS2" s="170" t="s">
        <v>309</v>
      </c>
      <c r="AT2" s="40"/>
      <c r="AU2" s="40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</row>
    <row r="3" spans="1:253" ht="13.5">
      <c r="A3" s="28">
        <f ca="1">NOW()</f>
        <v>41276.678453009263</v>
      </c>
      <c r="B3" s="24"/>
      <c r="C3" s="40"/>
      <c r="D3" s="40"/>
      <c r="E3" s="40"/>
      <c r="F3" s="40"/>
      <c r="G3" s="41" t="s">
        <v>225</v>
      </c>
      <c r="H3" s="40"/>
      <c r="I3" s="40"/>
      <c r="J3" s="41" t="s">
        <v>310</v>
      </c>
      <c r="K3" s="41" t="s">
        <v>220</v>
      </c>
      <c r="L3" s="41"/>
      <c r="M3" s="41" t="s">
        <v>534</v>
      </c>
      <c r="N3" s="41"/>
      <c r="O3" s="41" t="s">
        <v>220</v>
      </c>
      <c r="P3" s="41" t="s">
        <v>284</v>
      </c>
      <c r="Q3" s="41"/>
      <c r="R3" s="41"/>
      <c r="S3" s="41"/>
      <c r="T3" s="41"/>
      <c r="U3" s="41"/>
      <c r="V3" s="41" t="s">
        <v>311</v>
      </c>
      <c r="W3" s="41" t="s">
        <v>214</v>
      </c>
      <c r="X3" s="41" t="s">
        <v>144</v>
      </c>
      <c r="Y3" s="41" t="s">
        <v>220</v>
      </c>
      <c r="Z3" s="41" t="s">
        <v>213</v>
      </c>
      <c r="AA3" s="41" t="s">
        <v>221</v>
      </c>
      <c r="AB3" s="41" t="s">
        <v>225</v>
      </c>
      <c r="AC3" s="41" t="s">
        <v>312</v>
      </c>
      <c r="AD3" s="41" t="s">
        <v>305</v>
      </c>
      <c r="AE3" s="41" t="s">
        <v>226</v>
      </c>
      <c r="AF3" s="40"/>
      <c r="AG3" s="41" t="s">
        <v>224</v>
      </c>
      <c r="AH3" s="174"/>
      <c r="AI3" s="41" t="s">
        <v>292</v>
      </c>
      <c r="AJ3" s="174"/>
      <c r="AK3" s="41" t="s">
        <v>595</v>
      </c>
      <c r="AL3" s="41" t="s">
        <v>302</v>
      </c>
      <c r="AM3" s="41" t="s">
        <v>214</v>
      </c>
      <c r="AN3" s="41" t="s">
        <v>311</v>
      </c>
      <c r="AO3" s="41" t="s">
        <v>313</v>
      </c>
      <c r="AP3" s="40"/>
      <c r="AQ3" s="40" t="s">
        <v>589</v>
      </c>
      <c r="AR3" s="41"/>
      <c r="AS3" s="169" t="s">
        <v>314</v>
      </c>
      <c r="AT3" s="40"/>
      <c r="AU3" s="40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</row>
    <row r="4" spans="1:253" ht="13.5">
      <c r="A4" s="24"/>
      <c r="B4" s="24"/>
      <c r="C4" s="41" t="s">
        <v>215</v>
      </c>
      <c r="D4" s="40"/>
      <c r="E4" s="41" t="s">
        <v>219</v>
      </c>
      <c r="F4" s="41" t="s">
        <v>222</v>
      </c>
      <c r="G4" s="41" t="s">
        <v>315</v>
      </c>
      <c r="H4" s="41" t="s">
        <v>215</v>
      </c>
      <c r="I4" s="41"/>
      <c r="J4" s="41" t="s">
        <v>316</v>
      </c>
      <c r="K4" s="41" t="s">
        <v>310</v>
      </c>
      <c r="L4" s="41" t="s">
        <v>220</v>
      </c>
      <c r="M4" s="41" t="s">
        <v>535</v>
      </c>
      <c r="N4" s="41"/>
      <c r="O4" s="41" t="s">
        <v>284</v>
      </c>
      <c r="P4" s="41" t="s">
        <v>532</v>
      </c>
      <c r="Q4" s="41"/>
      <c r="R4" s="41" t="s">
        <v>317</v>
      </c>
      <c r="S4" s="41" t="s">
        <v>317</v>
      </c>
      <c r="T4" s="41" t="s">
        <v>317</v>
      </c>
      <c r="U4" s="41" t="s">
        <v>317</v>
      </c>
      <c r="V4" s="41" t="s">
        <v>312</v>
      </c>
      <c r="W4" s="41" t="s">
        <v>318</v>
      </c>
      <c r="X4" s="41" t="s">
        <v>318</v>
      </c>
      <c r="Y4" s="41" t="s">
        <v>318</v>
      </c>
      <c r="Z4" s="41" t="s">
        <v>318</v>
      </c>
      <c r="AA4" s="41" t="s">
        <v>318</v>
      </c>
      <c r="AB4" s="41" t="s">
        <v>318</v>
      </c>
      <c r="AC4" s="41" t="s">
        <v>319</v>
      </c>
      <c r="AD4" s="41" t="s">
        <v>320</v>
      </c>
      <c r="AE4" s="41" t="s">
        <v>318</v>
      </c>
      <c r="AF4" s="41" t="s">
        <v>321</v>
      </c>
      <c r="AG4" s="41" t="s">
        <v>318</v>
      </c>
      <c r="AH4" s="174"/>
      <c r="AI4" s="41" t="s">
        <v>318</v>
      </c>
      <c r="AJ4" s="41" t="s">
        <v>594</v>
      </c>
      <c r="AK4" s="41" t="s">
        <v>318</v>
      </c>
      <c r="AL4" s="41" t="s">
        <v>308</v>
      </c>
      <c r="AM4" s="41" t="s">
        <v>318</v>
      </c>
      <c r="AN4" s="41" t="s">
        <v>322</v>
      </c>
      <c r="AO4" s="41" t="s">
        <v>323</v>
      </c>
      <c r="AP4" s="41" t="s">
        <v>324</v>
      </c>
      <c r="AQ4" s="41" t="s">
        <v>590</v>
      </c>
      <c r="AR4" s="41"/>
      <c r="AS4" s="169" t="s">
        <v>325</v>
      </c>
      <c r="AT4" s="40"/>
      <c r="AU4" s="40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</row>
    <row r="5" spans="1:253">
      <c r="A5" s="25" t="s">
        <v>326</v>
      </c>
      <c r="B5" s="24" t="s">
        <v>36</v>
      </c>
      <c r="C5" s="42" t="s">
        <v>213</v>
      </c>
      <c r="D5" s="42" t="s">
        <v>225</v>
      </c>
      <c r="E5" s="42" t="s">
        <v>316</v>
      </c>
      <c r="F5" s="42" t="s">
        <v>223</v>
      </c>
      <c r="G5" s="42" t="s">
        <v>327</v>
      </c>
      <c r="H5" s="42" t="s">
        <v>214</v>
      </c>
      <c r="I5" s="42" t="s">
        <v>221</v>
      </c>
      <c r="J5" s="42" t="s">
        <v>328</v>
      </c>
      <c r="K5" s="42" t="s">
        <v>226</v>
      </c>
      <c r="L5" s="42" t="s">
        <v>283</v>
      </c>
      <c r="M5" s="42" t="s">
        <v>536</v>
      </c>
      <c r="N5" s="42" t="s">
        <v>284</v>
      </c>
      <c r="O5" s="42" t="s">
        <v>329</v>
      </c>
      <c r="P5" s="42" t="s">
        <v>533</v>
      </c>
      <c r="Q5" s="42" t="s">
        <v>144</v>
      </c>
      <c r="R5" s="42" t="s">
        <v>330</v>
      </c>
      <c r="S5" s="42" t="s">
        <v>331</v>
      </c>
      <c r="T5" s="42" t="s">
        <v>332</v>
      </c>
      <c r="U5" s="42" t="s">
        <v>333</v>
      </c>
      <c r="V5" s="42" t="s">
        <v>318</v>
      </c>
      <c r="W5" s="42" t="s">
        <v>311</v>
      </c>
      <c r="X5" s="42" t="s">
        <v>311</v>
      </c>
      <c r="Y5" s="42" t="s">
        <v>311</v>
      </c>
      <c r="Z5" s="42" t="s">
        <v>311</v>
      </c>
      <c r="AA5" s="42" t="s">
        <v>311</v>
      </c>
      <c r="AB5" s="42" t="s">
        <v>311</v>
      </c>
      <c r="AC5" s="42" t="s">
        <v>327</v>
      </c>
      <c r="AD5" s="42" t="s">
        <v>226</v>
      </c>
      <c r="AE5" s="42" t="s">
        <v>311</v>
      </c>
      <c r="AF5" s="42" t="s">
        <v>224</v>
      </c>
      <c r="AG5" s="42" t="s">
        <v>311</v>
      </c>
      <c r="AH5" s="42" t="s">
        <v>292</v>
      </c>
      <c r="AI5" s="42" t="s">
        <v>311</v>
      </c>
      <c r="AJ5" s="42" t="s">
        <v>595</v>
      </c>
      <c r="AK5" s="42" t="s">
        <v>311</v>
      </c>
      <c r="AL5" s="42" t="s">
        <v>214</v>
      </c>
      <c r="AM5" s="42" t="s">
        <v>311</v>
      </c>
      <c r="AN5" s="42" t="s">
        <v>334</v>
      </c>
      <c r="AO5" s="42" t="s">
        <v>335</v>
      </c>
      <c r="AP5" s="42" t="s">
        <v>336</v>
      </c>
      <c r="AQ5" s="42" t="s">
        <v>591</v>
      </c>
      <c r="AR5" s="42"/>
      <c r="AS5" s="42" t="s">
        <v>217</v>
      </c>
      <c r="AT5" s="40"/>
      <c r="AU5" s="40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</row>
    <row r="6" spans="1:253" ht="13.5">
      <c r="A6" s="29"/>
      <c r="B6" s="24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173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83"/>
      <c r="AT6" s="40"/>
      <c r="AU6" s="40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</row>
    <row r="7" spans="1:253">
      <c r="A7" s="25"/>
      <c r="B7" s="24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175"/>
      <c r="AV7" s="37"/>
      <c r="AW7" s="37"/>
      <c r="AX7" s="37"/>
      <c r="AY7" s="37"/>
      <c r="AZ7" s="37"/>
      <c r="BA7" s="38"/>
      <c r="BB7" s="37"/>
      <c r="BC7" s="37"/>
      <c r="BD7" s="37"/>
      <c r="BE7" s="37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</row>
    <row r="8" spans="1:253" ht="13" customHeight="1">
      <c r="A8" s="25">
        <f>ALLOCATION!A12</f>
        <v>100000</v>
      </c>
      <c r="B8" s="24" t="str">
        <f>ALLOCATION!C12</f>
        <v>Portland Police Bureau</v>
      </c>
      <c r="C8" s="40">
        <f>'ACTUAL EXP'!$G$13*(ALLOCATION!P12)</f>
        <v>782391.97181177209</v>
      </c>
      <c r="D8" s="40">
        <f>(SUM('ACTUAL EXP'!$G$15,'ACTUAL EXP'!$G$17:$G$19,'ACTUAL EXP'!$G$22))*ALLOCATION!P12</f>
        <v>1261876.2215261525</v>
      </c>
      <c r="E8" s="176">
        <f>(('ACTUAL EXP'!$G$25)*(ALLOCATION!P12))</f>
        <v>0</v>
      </c>
      <c r="F8" s="40">
        <f>'ACTUAL EXP'!$G$28*ALLOCATION!P12</f>
        <v>0</v>
      </c>
      <c r="G8" s="176">
        <f>'ACTUAL EXP'!$G$16+'ACTUAL EXP'!$G$20*0.25</f>
        <v>0</v>
      </c>
      <c r="H8" s="40">
        <f>SUM('ACTUAL EXP'!$G$30:$G$35)*ALLOCATION!P12</f>
        <v>1132568.0982714603</v>
      </c>
      <c r="I8" s="40">
        <f>SUM('ACTUAL EXP'!$G$43:$G$47)*ALLOCATION!P12</f>
        <v>684105.74496581801</v>
      </c>
      <c r="J8" s="176">
        <f>(SUM('ACTUAL EXP'!$G$49:$G$50)*ALLOCATION!P12*0.5)+(SUM('ACTUAL EXP'!$G$49:$G$50)*ALLOCATION!P12*0.5)</f>
        <v>328177.85836487944</v>
      </c>
      <c r="K8" s="40">
        <f>SUM('ACTUAL EXP'!$G$52:$G$53)*ALLOCATION!P12</f>
        <v>346346.06030768866</v>
      </c>
      <c r="L8" s="40">
        <f>SUM('ACTUAL EXP'!$G$54:$G$54)*ALLOCATION!P12</f>
        <v>47229.008223775731</v>
      </c>
      <c r="M8" s="40">
        <f>SUM('ACTUAL EXP'!$G$21:$G$21)*ALLOCATION!P12</f>
        <v>14553.767861014172</v>
      </c>
      <c r="N8" s="176">
        <f>SUM('ACTUAL EXP'!$G$58:$G$62)*0.39*ALLOCATION!P12</f>
        <v>231787.5374379665</v>
      </c>
      <c r="O8" s="176">
        <f>SUM('ACTUAL EXP'!$G$58:$G$62)*0.27*ALLOCATION!P12</f>
        <v>160468.29514936142</v>
      </c>
      <c r="P8" s="176">
        <f>SUM('ACTUAL EXP'!$G$58:$G$62)*0.34*ALLOCATION!P12</f>
        <v>202071.18648438103</v>
      </c>
      <c r="Q8" s="40">
        <f>'ACTUAL EXP'!$G$85*ALLOCATION!P12</f>
        <v>307565.06834171212</v>
      </c>
      <c r="R8" s="40">
        <f>SUM('ACTUAL EXP'!$G$68:$G$73)*ALLOCATION!P12</f>
        <v>838881.94693750783</v>
      </c>
      <c r="S8" s="40">
        <f>SUM('ACTUAL EXP'!$G$75)*ALLOCATION!P12</f>
        <v>117482.63309923517</v>
      </c>
      <c r="T8" s="40">
        <f>SUM('ACTUAL EXP'!$G$77)*ALLOCATION!P12</f>
        <v>77138.61993720186</v>
      </c>
      <c r="U8" s="40">
        <f>SUM('ACTUAL EXP'!$G$79)*ALLOCATION!P12</f>
        <v>116902.71202772029</v>
      </c>
      <c r="V8" s="40">
        <f t="shared" ref="V8:V71" si="0">SUM(C8:U8)</f>
        <v>6649546.7307476476</v>
      </c>
      <c r="W8" s="40">
        <f t="shared" ref="W8:W39" si="1">-(H8/$H$111)*($W$117)</f>
        <v>59889.802407454386</v>
      </c>
      <c r="X8" s="40">
        <f t="shared" ref="X8:X71" si="2">-(Q8/$Q$111)*($X$118)</f>
        <v>43850.657127575992</v>
      </c>
      <c r="Y8" s="40">
        <f t="shared" ref="Y8:Y39" si="3">-(SUM(J8:O8,R8:U8)/SUM($J$111:$O$111,$R$111:$U$111))*$Y$119</f>
        <v>139817.75823668716</v>
      </c>
      <c r="Z8" s="40">
        <f t="shared" ref="Z8:Z39" si="4">-(C8/$C$111)*($Z$120)</f>
        <v>57347.624069671911</v>
      </c>
      <c r="AA8" s="40">
        <f t="shared" ref="AA8:AA39" si="5">-(I8/$I$111)*($AA$121)</f>
        <v>22326.430912165066</v>
      </c>
      <c r="AB8" s="40">
        <f t="shared" ref="AB8:AB39" si="6">-(SUM(D8:G8)/SUM($D$111:$G$111))*SUM($AB$117:$AB$122)</f>
        <v>48581.032974171096</v>
      </c>
      <c r="AC8" s="40">
        <f t="shared" ref="AC8:AC71" si="7">SUM(V8:AB8)</f>
        <v>7021360.0364753744</v>
      </c>
      <c r="AD8" s="40">
        <f>SUM('ACTUAL EXP'!$G$37:$G$39)*ALLOCATION!P12</f>
        <v>137554.25112822003</v>
      </c>
      <c r="AE8" s="40">
        <f t="shared" ref="AE8:AE71" si="8">(AD8/$AD$111)*SUM($AD$117:$AD$122)</f>
        <v>7691.4266339977685</v>
      </c>
      <c r="AF8" s="40">
        <f>SUM('ACTUAL EXP'!$G$41)*ALLOCATION!P12</f>
        <v>41154.754412628419</v>
      </c>
      <c r="AG8" s="40">
        <f t="shared" ref="AG8:AG71" si="9">(AF8/$AF$111)*SUM($AF$117:$AF$122)</f>
        <v>2301.192232218752</v>
      </c>
      <c r="AH8" s="296">
        <f>SUM('ACTUAL EXP'!$G$81)*ALLOCATION!P12</f>
        <v>17142.556006277038</v>
      </c>
      <c r="AI8" s="40">
        <f t="shared" ref="AI8:AK71" si="10">(AH8/$AH$111)*SUM($AH$117:$AH$122)</f>
        <v>958.53607402198054</v>
      </c>
      <c r="AJ8" s="296">
        <f>SUM('ACTUAL EXP'!$G$83)*ALLOCATION!P12</f>
        <v>127277.67716697924</v>
      </c>
      <c r="AK8" s="40">
        <f t="shared" si="10"/>
        <v>7116.8059732516485</v>
      </c>
      <c r="AL8" s="40">
        <f>SUM('ACTUAL EXP'!$G$64:$G$66)*ALLOCATION!P12</f>
        <v>41100.014679755164</v>
      </c>
      <c r="AM8" s="40">
        <f t="shared" ref="AM8:AM71" si="11">(AL8/$AL$111)*SUM($AL$117:$AL$122)</f>
        <v>2298.1314279476646</v>
      </c>
      <c r="AN8" s="40">
        <f t="shared" ref="AN8:AN71" si="12">SUM(AC8:AM8)</f>
        <v>7405955.382210671</v>
      </c>
      <c r="AO8" s="40"/>
      <c r="AP8" s="41"/>
      <c r="AQ8" s="83">
        <f>SUM(AO8,AN8)</f>
        <v>7405955.382210671</v>
      </c>
      <c r="AR8" s="40"/>
      <c r="AS8" s="171">
        <f>AQ8-AR8</f>
        <v>7405955.382210671</v>
      </c>
      <c r="AT8" s="40"/>
      <c r="AU8" s="171"/>
      <c r="AV8" s="33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</row>
    <row r="9" spans="1:253" ht="13" customHeight="1">
      <c r="A9" s="25">
        <f>ALLOCATION!A13</f>
        <v>214000</v>
      </c>
      <c r="B9" s="24" t="str">
        <f>ALLOCATION!C13</f>
        <v>Campaign Finance</v>
      </c>
      <c r="C9" s="40">
        <f>'ACTUAL EXP'!$G$13*(ALLOCATION!P13)</f>
        <v>0</v>
      </c>
      <c r="D9" s="40">
        <f>(SUM('ACTUAL EXP'!$G$15,'ACTUAL EXP'!$G$17:$G$19,'ACTUAL EXP'!$G$22))*ALLOCATION!P13</f>
        <v>0</v>
      </c>
      <c r="E9" s="176">
        <f>(('ACTUAL EXP'!$G$25)*(ALLOCATION!P13))</f>
        <v>0</v>
      </c>
      <c r="F9" s="40">
        <f>'ACTUAL EXP'!$G$28*ALLOCATION!P13</f>
        <v>0</v>
      </c>
      <c r="G9" s="40">
        <v>0</v>
      </c>
      <c r="H9" s="40">
        <f>SUM('ACTUAL EXP'!$G$30:$G$35)*ALLOCATION!P13</f>
        <v>0</v>
      </c>
      <c r="I9" s="40">
        <f>SUM('ACTUAL EXP'!$G$43:$G$47)*ALLOCATION!P13</f>
        <v>0</v>
      </c>
      <c r="J9" s="176">
        <f>(SUM('ACTUAL EXP'!$G$49:$G$50)*ALLOCATION!P13*0.5)+(SUM('ACTUAL EXP'!$G$49:$G$50)*ALLOCATION!P13*0.5)</f>
        <v>0</v>
      </c>
      <c r="K9" s="40">
        <f>SUM('ACTUAL EXP'!$G$52:$G$53)*ALLOCATION!P13</f>
        <v>0</v>
      </c>
      <c r="L9" s="40">
        <f>SUM('ACTUAL EXP'!$G$54:$G$54)*ALLOCATION!P13</f>
        <v>0</v>
      </c>
      <c r="M9" s="40">
        <f>SUM('ACTUAL EXP'!$G$21:$G$21)*ALLOCATION!P13</f>
        <v>0</v>
      </c>
      <c r="N9" s="176">
        <f>SUM('ACTUAL EXP'!$G$58:$G$62)*0.39*ALLOCATION!P13</f>
        <v>0</v>
      </c>
      <c r="O9" s="176">
        <f>SUM('ACTUAL EXP'!$G$58:$G$62)*0.27*ALLOCATION!P13</f>
        <v>0</v>
      </c>
      <c r="P9" s="176">
        <f>SUM('ACTUAL EXP'!$G$58:$G$62)*0.34*ALLOCATION!P13</f>
        <v>0</v>
      </c>
      <c r="Q9" s="40">
        <f>'ACTUAL EXP'!$G$85*ALLOCATION!P13</f>
        <v>0</v>
      </c>
      <c r="R9" s="40">
        <f>SUM('ACTUAL EXP'!$G$68:$G$73)*ALLOCATION!P13</f>
        <v>0</v>
      </c>
      <c r="S9" s="40">
        <f>SUM('ACTUAL EXP'!$G$75)*ALLOCATION!P13</f>
        <v>0</v>
      </c>
      <c r="T9" s="40">
        <f>SUM('ACTUAL EXP'!$G$77)*ALLOCATION!P13</f>
        <v>0</v>
      </c>
      <c r="U9" s="40">
        <f>SUM('ACTUAL EXP'!$G$79)*ALLOCATION!P13</f>
        <v>0</v>
      </c>
      <c r="V9" s="40">
        <f t="shared" si="0"/>
        <v>0</v>
      </c>
      <c r="W9" s="40">
        <f t="shared" si="1"/>
        <v>0</v>
      </c>
      <c r="X9" s="40">
        <f t="shared" si="2"/>
        <v>0</v>
      </c>
      <c r="Y9" s="40">
        <f t="shared" si="3"/>
        <v>0</v>
      </c>
      <c r="Z9" s="40">
        <f t="shared" si="4"/>
        <v>0</v>
      </c>
      <c r="AA9" s="40">
        <f t="shared" si="5"/>
        <v>0</v>
      </c>
      <c r="AB9" s="40">
        <f t="shared" si="6"/>
        <v>0</v>
      </c>
      <c r="AC9" s="40">
        <f t="shared" si="7"/>
        <v>0</v>
      </c>
      <c r="AD9" s="40">
        <f>SUM('ACTUAL EXP'!$G$37:$G$39)*ALLOCATION!P13</f>
        <v>0</v>
      </c>
      <c r="AE9" s="40">
        <f t="shared" si="8"/>
        <v>0</v>
      </c>
      <c r="AF9" s="40">
        <f>SUM('ACTUAL EXP'!$G$41)*ALLOCATION!P13</f>
        <v>0</v>
      </c>
      <c r="AG9" s="40">
        <f t="shared" si="9"/>
        <v>0</v>
      </c>
      <c r="AH9" s="40">
        <f>SUM('ACTUAL EXP'!$G$81)*ALLOCATION!P13</f>
        <v>0</v>
      </c>
      <c r="AI9" s="40">
        <f t="shared" si="10"/>
        <v>0</v>
      </c>
      <c r="AJ9" s="296">
        <f>SUM('ACTUAL EXP'!$G$83)*ALLOCATION!P13</f>
        <v>0</v>
      </c>
      <c r="AK9" s="40">
        <f t="shared" si="10"/>
        <v>0</v>
      </c>
      <c r="AL9" s="40">
        <f>SUM('ACTUAL EXP'!$G$64:$G$66)*ALLOCATION!P13</f>
        <v>0</v>
      </c>
      <c r="AM9" s="40">
        <f t="shared" si="11"/>
        <v>0</v>
      </c>
      <c r="AN9" s="40">
        <f t="shared" si="12"/>
        <v>0</v>
      </c>
      <c r="AO9" s="40"/>
      <c r="AP9" s="41"/>
      <c r="AQ9" s="83">
        <f t="shared" ref="AQ9:AQ72" si="13">SUM(AO9,AN9)</f>
        <v>0</v>
      </c>
      <c r="AR9" s="40"/>
      <c r="AS9" s="171">
        <f t="shared" ref="AS9:AS72" si="14">AQ9-AR9</f>
        <v>0</v>
      </c>
      <c r="AT9" s="40"/>
      <c r="AU9" s="171"/>
      <c r="AV9" s="33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</row>
    <row r="10" spans="1:253" ht="13" customHeight="1">
      <c r="A10" s="25">
        <f>ALLOCATION!A14</f>
        <v>100000</v>
      </c>
      <c r="B10" s="24" t="str">
        <f>ALLOCATION!C14</f>
        <v>Portland Fire &amp;    Rescue</v>
      </c>
      <c r="C10" s="40">
        <f>'ACTUAL EXP'!$G$13*(ALLOCATION!P14)</f>
        <v>487642.70373939327</v>
      </c>
      <c r="D10" s="40">
        <f>(SUM('ACTUAL EXP'!$G$15,'ACTUAL EXP'!$G$17:$G$19,'ACTUAL EXP'!$G$22))*ALLOCATION!P14</f>
        <v>786491.62391648651</v>
      </c>
      <c r="E10" s="176">
        <f>(('ACTUAL EXP'!$G$25)*(ALLOCATION!P14))</f>
        <v>0</v>
      </c>
      <c r="F10" s="40">
        <f>'ACTUAL EXP'!$G$28*ALLOCATION!P14</f>
        <v>0</v>
      </c>
      <c r="G10" s="40">
        <v>0</v>
      </c>
      <c r="H10" s="40">
        <f>SUM('ACTUAL EXP'!$G$30:$G$35)*ALLOCATION!P14</f>
        <v>705897.54177966865</v>
      </c>
      <c r="I10" s="40">
        <f>SUM('ACTUAL EXP'!$G$43:$G$47)*ALLOCATION!P14</f>
        <v>426383.68891525466</v>
      </c>
      <c r="J10" s="176">
        <f>(SUM('ACTUAL EXP'!$G$49:$G$50)*ALLOCATION!P14*0.5)+(SUM('ACTUAL EXP'!$G$49:$G$50)*ALLOCATION!P14*0.5)</f>
        <v>204543.94207275222</v>
      </c>
      <c r="K10" s="40">
        <f>SUM('ACTUAL EXP'!$G$52:$G$53)*ALLOCATION!P14</f>
        <v>215867.66654420705</v>
      </c>
      <c r="L10" s="40">
        <f>SUM('ACTUAL EXP'!$G$54:$G$54)*ALLOCATION!P14</f>
        <v>29436.499983300964</v>
      </c>
      <c r="M10" s="40">
        <f>SUM('ACTUAL EXP'!$G$21:$G$21)*ALLOCATION!P14</f>
        <v>9070.9503229000984</v>
      </c>
      <c r="N10" s="176">
        <f>SUM('ACTUAL EXP'!$G$58:$G$62)*0.39*ALLOCATION!P14</f>
        <v>144466.5915827399</v>
      </c>
      <c r="O10" s="176">
        <f>SUM('ACTUAL EXP'!$G$58:$G$62)*0.27*ALLOCATION!P14</f>
        <v>100015.33263420456</v>
      </c>
      <c r="P10" s="176">
        <f>SUM('ACTUAL EXP'!$G$58:$G$62)*0.34*ALLOCATION!P14</f>
        <v>125945.23368751683</v>
      </c>
      <c r="Q10" s="40">
        <f>'ACTUAL EXP'!$G$85*ALLOCATION!P14</f>
        <v>191696.57525323689</v>
      </c>
      <c r="R10" s="40">
        <f>SUM('ACTUAL EXP'!$G$68:$G$73)*ALLOCATION!P14</f>
        <v>522851.30147167185</v>
      </c>
      <c r="S10" s="40">
        <f>SUM('ACTUAL EXP'!$G$75)*ALLOCATION!P14</f>
        <v>73223.589851349985</v>
      </c>
      <c r="T10" s="40">
        <f>SUM('ACTUAL EXP'!$G$77)*ALLOCATION!P14</f>
        <v>48078.311823414602</v>
      </c>
      <c r="U10" s="40">
        <f>SUM('ACTUAL EXP'!$G$79)*ALLOCATION!P14</f>
        <v>72862.141511569484</v>
      </c>
      <c r="V10" s="40">
        <f t="shared" si="0"/>
        <v>4144473.6950896671</v>
      </c>
      <c r="W10" s="40">
        <f t="shared" si="1"/>
        <v>37327.613555082818</v>
      </c>
      <c r="X10" s="40">
        <f t="shared" si="2"/>
        <v>27330.869657216634</v>
      </c>
      <c r="Y10" s="40">
        <f t="shared" si="3"/>
        <v>87144.439250102616</v>
      </c>
      <c r="Z10" s="40">
        <f t="shared" si="4"/>
        <v>35743.14597017999</v>
      </c>
      <c r="AA10" s="40">
        <f t="shared" si="5"/>
        <v>13915.430534962359</v>
      </c>
      <c r="AB10" s="40">
        <f t="shared" si="6"/>
        <v>30279.178625923836</v>
      </c>
      <c r="AC10" s="40">
        <f t="shared" si="7"/>
        <v>4376214.3726831349</v>
      </c>
      <c r="AD10" s="40">
        <f>SUM('ACTUAL EXP'!$G$37:$G$39)*ALLOCATION!P14</f>
        <v>85733.659530890698</v>
      </c>
      <c r="AE10" s="40">
        <f t="shared" si="8"/>
        <v>4793.8478595715815</v>
      </c>
      <c r="AF10" s="40">
        <f>SUM('ACTUAL EXP'!$G$41)*ALLOCATION!P14</f>
        <v>25650.590032297783</v>
      </c>
      <c r="AG10" s="40">
        <f t="shared" si="9"/>
        <v>1434.2677869568058</v>
      </c>
      <c r="AH10" s="40">
        <f>SUM('ACTUAL EXP'!$G$81)*ALLOCATION!P14</f>
        <v>10684.468477542132</v>
      </c>
      <c r="AI10" s="40">
        <f t="shared" si="10"/>
        <v>597.42832187479871</v>
      </c>
      <c r="AJ10" s="296">
        <f>SUM('ACTUAL EXP'!$G$83)*ALLOCATION!P14</f>
        <v>79328.562735185187</v>
      </c>
      <c r="AK10" s="40">
        <f t="shared" si="10"/>
        <v>4435.7031153433436</v>
      </c>
      <c r="AL10" s="40">
        <f>SUM('ACTUAL EXP'!$G$64:$G$66)*ALLOCATION!P14</f>
        <v>25616.472310871686</v>
      </c>
      <c r="AM10" s="40">
        <f t="shared" si="11"/>
        <v>1432.3600745515853</v>
      </c>
      <c r="AN10" s="40">
        <f t="shared" si="12"/>
        <v>4615921.7329282211</v>
      </c>
      <c r="AO10" s="40"/>
      <c r="AP10" s="41"/>
      <c r="AQ10" s="83">
        <f t="shared" si="13"/>
        <v>4615921.7329282211</v>
      </c>
      <c r="AR10" s="40"/>
      <c r="AS10" s="171">
        <f t="shared" si="14"/>
        <v>4615921.7329282211</v>
      </c>
      <c r="AT10" s="40"/>
      <c r="AU10" s="171"/>
      <c r="AV10" s="33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</row>
    <row r="11" spans="1:253" ht="13" customHeight="1">
      <c r="A11" s="25">
        <f>ALLOCATION!A15</f>
        <v>100000</v>
      </c>
      <c r="B11" s="24" t="str">
        <f>ALLOCATION!C15</f>
        <v>Portland Parks &amp;    Recreation</v>
      </c>
      <c r="C11" s="40">
        <f>'ACTUAL EXP'!$G$13*(ALLOCATION!P15)</f>
        <v>423560.44557319069</v>
      </c>
      <c r="D11" s="40">
        <f>(SUM('ACTUAL EXP'!$G$15,'ACTUAL EXP'!$G$17:$G$19,'ACTUAL EXP'!$G$22))*ALLOCATION!P15</f>
        <v>683136.9363493633</v>
      </c>
      <c r="E11" s="176">
        <f>(('ACTUAL EXP'!$G$25)*(ALLOCATION!P15))</f>
        <v>0</v>
      </c>
      <c r="F11" s="40">
        <f>'ACTUAL EXP'!$G$28*ALLOCATION!P15</f>
        <v>0</v>
      </c>
      <c r="G11" s="40">
        <v>0</v>
      </c>
      <c r="H11" s="40">
        <f>SUM('ACTUAL EXP'!$G$30:$G$35)*ALLOCATION!P15</f>
        <v>613133.90938174131</v>
      </c>
      <c r="I11" s="40">
        <f>SUM('ACTUAL EXP'!$G$43:$G$47)*ALLOCATION!P15</f>
        <v>370351.61989956093</v>
      </c>
      <c r="J11" s="176">
        <f>(SUM('ACTUAL EXP'!$G$49:$G$50)*ALLOCATION!P15*0.5)+(SUM('ACTUAL EXP'!$G$49:$G$50)*ALLOCATION!P15*0.5)</f>
        <v>177664.34846512612</v>
      </c>
      <c r="K11" s="40">
        <f>SUM('ACTUAL EXP'!$G$52:$G$53)*ALLOCATION!P15</f>
        <v>187499.99605279247</v>
      </c>
      <c r="L11" s="40">
        <f>SUM('ACTUAL EXP'!$G$54:$G$54)*ALLOCATION!P15</f>
        <v>25568.181279926248</v>
      </c>
      <c r="M11" s="40">
        <f>SUM('ACTUAL EXP'!$G$21:$G$21)*ALLOCATION!P15</f>
        <v>7878.9157124211615</v>
      </c>
      <c r="N11" s="176">
        <f>SUM('ACTUAL EXP'!$G$58:$G$62)*0.39*ALLOCATION!P15</f>
        <v>125481.90187610578</v>
      </c>
      <c r="O11" s="176">
        <f>SUM('ACTUAL EXP'!$G$58:$G$62)*0.27*ALLOCATION!P15</f>
        <v>86872.085914227093</v>
      </c>
      <c r="P11" s="176">
        <f>SUM('ACTUAL EXP'!$G$58:$G$62)*0.34*ALLOCATION!P15</f>
        <v>109394.47855865632</v>
      </c>
      <c r="Q11" s="40">
        <f>'ACTUAL EXP'!$G$85*ALLOCATION!P15</f>
        <v>166505.28390251091</v>
      </c>
      <c r="R11" s="40">
        <f>SUM('ACTUAL EXP'!$G$68:$G$73)*ALLOCATION!P15</f>
        <v>454142.19985585281</v>
      </c>
      <c r="S11" s="40">
        <f>SUM('ACTUAL EXP'!$G$75)*ALLOCATION!P15</f>
        <v>63601.108159881835</v>
      </c>
      <c r="T11" s="40">
        <f>SUM('ACTUAL EXP'!$G$77)*ALLOCATION!P15</f>
        <v>41760.229410128297</v>
      </c>
      <c r="U11" s="40">
        <f>SUM('ACTUAL EXP'!$G$79)*ALLOCATION!P15</f>
        <v>63287.158584352161</v>
      </c>
      <c r="V11" s="40">
        <f t="shared" si="0"/>
        <v>3599838.7989758379</v>
      </c>
      <c r="W11" s="40">
        <f t="shared" si="1"/>
        <v>32422.305323826244</v>
      </c>
      <c r="X11" s="40">
        <f t="shared" si="2"/>
        <v>23739.256716327465</v>
      </c>
      <c r="Y11" s="40">
        <f t="shared" si="3"/>
        <v>75692.586467417539</v>
      </c>
      <c r="Z11" s="40">
        <f t="shared" si="4"/>
        <v>31046.056297415336</v>
      </c>
      <c r="AA11" s="40">
        <f t="shared" si="5"/>
        <v>12086.771549198311</v>
      </c>
      <c r="AB11" s="40">
        <f t="shared" si="6"/>
        <v>26300.121568599374</v>
      </c>
      <c r="AC11" s="40">
        <f t="shared" si="7"/>
        <v>3801125.8968986217</v>
      </c>
      <c r="AD11" s="40">
        <f>SUM('ACTUAL EXP'!$G$37:$G$39)*ALLOCATION!P15</f>
        <v>74467.200581618759</v>
      </c>
      <c r="AE11" s="40">
        <f t="shared" si="8"/>
        <v>4163.877199104696</v>
      </c>
      <c r="AF11" s="40">
        <f>SUM('ACTUAL EXP'!$G$41)*ALLOCATION!P15</f>
        <v>22279.786532193364</v>
      </c>
      <c r="AG11" s="40">
        <f t="shared" si="9"/>
        <v>1245.7873321106008</v>
      </c>
      <c r="AH11" s="40">
        <f>SUM('ACTUAL EXP'!$G$81)*ALLOCATION!P15</f>
        <v>9280.3977058559449</v>
      </c>
      <c r="AI11" s="40">
        <f t="shared" si="10"/>
        <v>518.91888112113963</v>
      </c>
      <c r="AJ11" s="296">
        <f>SUM('ACTUAL EXP'!$G$83)*ALLOCATION!P15</f>
        <v>68903.812404322656</v>
      </c>
      <c r="AK11" s="40">
        <f t="shared" si="10"/>
        <v>3852.7970859772795</v>
      </c>
      <c r="AL11" s="40">
        <f>SUM('ACTUAL EXP'!$G$64:$G$66)*ALLOCATION!P15</f>
        <v>22250.152299632588</v>
      </c>
      <c r="AM11" s="40">
        <f t="shared" si="11"/>
        <v>1244.130316615066</v>
      </c>
      <c r="AN11" s="40">
        <f t="shared" si="12"/>
        <v>4009332.7572371732</v>
      </c>
      <c r="AO11" s="40">
        <f>-AO72-AO73</f>
        <v>475.70930482317704</v>
      </c>
      <c r="AP11" s="41" t="s">
        <v>337</v>
      </c>
      <c r="AQ11" s="83">
        <f t="shared" si="13"/>
        <v>4009808.4665419962</v>
      </c>
      <c r="AR11" s="40"/>
      <c r="AS11" s="171">
        <f t="shared" si="14"/>
        <v>4009808.4665419962</v>
      </c>
      <c r="AT11" s="40"/>
      <c r="AU11" s="171"/>
      <c r="AV11" s="33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</row>
    <row r="12" spans="1:253" ht="13" customHeight="1">
      <c r="A12" s="25">
        <f>ALLOCATION!A16</f>
        <v>600000</v>
      </c>
      <c r="B12" s="24" t="str">
        <f>ALLOCATION!C16</f>
        <v>Sewer System Op</v>
      </c>
      <c r="C12" s="40">
        <f>'ACTUAL EXP'!$G$13*(ALLOCATION!P16)</f>
        <v>571790.39127498807</v>
      </c>
      <c r="D12" s="40">
        <f>(SUM('ACTUAL EXP'!$G$15,'ACTUAL EXP'!$G$17:$G$19,'ACTUAL EXP'!$G$22))*ALLOCATION!P16</f>
        <v>922208.71946859348</v>
      </c>
      <c r="E12" s="176">
        <f>(('ACTUAL EXP'!$G$25)*(ALLOCATION!P16))</f>
        <v>0</v>
      </c>
      <c r="F12" s="40">
        <f>'ACTUAL EXP'!$G$28*ALLOCATION!P16</f>
        <v>0</v>
      </c>
      <c r="G12" s="40">
        <v>0</v>
      </c>
      <c r="H12" s="40">
        <f>SUM('ACTUAL EXP'!$G$30:$G$35)*ALLOCATION!P16</f>
        <v>827707.3121757505</v>
      </c>
      <c r="I12" s="40">
        <f>SUM('ACTUAL EXP'!$G$43:$G$47)*ALLOCATION!P16</f>
        <v>499960.51299153513</v>
      </c>
      <c r="J12" s="176">
        <f>(SUM('ACTUAL EXP'!$G$49:$G$50)*ALLOCATION!P16*0.5)+(SUM('ACTUAL EXP'!$G$49:$G$50)*ALLOCATION!P16*0.5)</f>
        <v>239840.07096558841</v>
      </c>
      <c r="K12" s="40">
        <f>SUM('ACTUAL EXP'!$G$52:$G$53)*ALLOCATION!P16</f>
        <v>253117.81878499102</v>
      </c>
      <c r="L12" s="40">
        <f>SUM('ACTUAL EXP'!$G$54:$G$54)*ALLOCATION!P16</f>
        <v>34516.066197953318</v>
      </c>
      <c r="M12" s="40">
        <f>SUM('ACTUAL EXP'!$G$21:$G$21)*ALLOCATION!P16</f>
        <v>10636.234674678739</v>
      </c>
      <c r="N12" s="176">
        <f>SUM('ACTUAL EXP'!$G$58:$G$62)*0.39*ALLOCATION!P16</f>
        <v>169395.7651653995</v>
      </c>
      <c r="O12" s="176">
        <f>SUM('ACTUAL EXP'!$G$58:$G$62)*0.27*ALLOCATION!P16</f>
        <v>117273.99126835351</v>
      </c>
      <c r="P12" s="176">
        <f>SUM('ACTUAL EXP'!$G$58:$G$62)*0.34*ALLOCATION!P16</f>
        <v>147678.35937496365</v>
      </c>
      <c r="Q12" s="40">
        <f>'ACTUAL EXP'!$G$85*ALLOCATION!P16</f>
        <v>224775.76087901767</v>
      </c>
      <c r="R12" s="40">
        <f>SUM('ACTUAL EXP'!$G$68:$G$73)*ALLOCATION!P16</f>
        <v>613074.5891502056</v>
      </c>
      <c r="S12" s="40">
        <f>SUM('ACTUAL EXP'!$G$75)*ALLOCATION!P16</f>
        <v>85859.06191275263</v>
      </c>
      <c r="T12" s="40">
        <f>SUM('ACTUAL EXP'!$G$77)*ALLOCATION!P16</f>
        <v>56374.71148146769</v>
      </c>
      <c r="U12" s="40">
        <f>SUM('ACTUAL EXP'!$G$79)*ALLOCATION!P16</f>
        <v>85435.24200107556</v>
      </c>
      <c r="V12" s="40">
        <f t="shared" si="0"/>
        <v>4859644.6077673137</v>
      </c>
      <c r="W12" s="40">
        <f t="shared" si="1"/>
        <v>43768.871340334495</v>
      </c>
      <c r="X12" s="40">
        <f t="shared" si="2"/>
        <v>32047.088032588072</v>
      </c>
      <c r="Y12" s="40">
        <f t="shared" si="3"/>
        <v>102182.09487019197</v>
      </c>
      <c r="Z12" s="40">
        <f t="shared" si="4"/>
        <v>41910.98782564891</v>
      </c>
      <c r="AA12" s="40">
        <f t="shared" si="5"/>
        <v>16316.679013818033</v>
      </c>
      <c r="AB12" s="40">
        <f t="shared" si="6"/>
        <v>35504.157575286656</v>
      </c>
      <c r="AC12" s="40">
        <f t="shared" si="7"/>
        <v>5131374.4864251819</v>
      </c>
      <c r="AD12" s="40">
        <f>SUM('ACTUAL EXP'!$G$37:$G$39)*ALLOCATION!P16</f>
        <v>100527.87082158998</v>
      </c>
      <c r="AE12" s="40">
        <f t="shared" si="8"/>
        <v>5621.0748614052654</v>
      </c>
      <c r="AF12" s="40">
        <f>SUM('ACTUAL EXP'!$G$41)*ALLOCATION!P16</f>
        <v>30076.859139965905</v>
      </c>
      <c r="AG12" s="40">
        <f t="shared" si="9"/>
        <v>1681.7652203311188</v>
      </c>
      <c r="AH12" s="40">
        <f>SUM('ACTUAL EXP'!$G$81)*ALLOCATION!P16</f>
        <v>12528.18172914573</v>
      </c>
      <c r="AI12" s="40">
        <f t="shared" si="10"/>
        <v>700.52062976443312</v>
      </c>
      <c r="AJ12" s="296">
        <f>SUM('ACTUAL EXP'!$G$83)*ALLOCATION!P16</f>
        <v>93017.509700862793</v>
      </c>
      <c r="AK12" s="40">
        <f t="shared" si="10"/>
        <v>5201.1286141529199</v>
      </c>
      <c r="AL12" s="40">
        <f>SUM('ACTUAL EXP'!$G$64:$G$66)*ALLOCATION!P16</f>
        <v>30036.854060152258</v>
      </c>
      <c r="AM12" s="40">
        <f t="shared" si="11"/>
        <v>1679.5283128284402</v>
      </c>
      <c r="AN12" s="40">
        <f t="shared" si="12"/>
        <v>5412445.77951538</v>
      </c>
      <c r="AO12" s="40">
        <f>-AO17-AO18-AO23-AO24-AO25</f>
        <v>1659579.5409559933</v>
      </c>
      <c r="AP12" s="41" t="s">
        <v>338</v>
      </c>
      <c r="AQ12" s="83">
        <f t="shared" si="13"/>
        <v>7072025.3204713734</v>
      </c>
      <c r="AR12" s="40"/>
      <c r="AS12" s="171">
        <f t="shared" si="14"/>
        <v>7072025.3204713734</v>
      </c>
      <c r="AT12" s="40"/>
      <c r="AU12" s="171"/>
      <c r="AV12" s="3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</row>
    <row r="13" spans="1:253" ht="13" customHeight="1">
      <c r="A13" s="25">
        <f>ALLOCATION!A17</f>
        <v>608000</v>
      </c>
      <c r="B13" s="24" t="str">
        <f>ALLOCATION!C17</f>
        <v>Envtl Remediation</v>
      </c>
      <c r="C13" s="40">
        <f>'ACTUAL EXP'!$G$13*(ALLOCATION!P17)</f>
        <v>17979.000326719306</v>
      </c>
      <c r="D13" s="40">
        <f>(SUM('ACTUAL EXP'!$G$15,'ACTUAL EXP'!$G$17:$G$19,'ACTUAL EXP'!$G$22))*ALLOCATION!P17</f>
        <v>28997.323357704547</v>
      </c>
      <c r="E13" s="176">
        <f>(('ACTUAL EXP'!$G$25)*(ALLOCATION!P17))</f>
        <v>0</v>
      </c>
      <c r="F13" s="40">
        <f>'ACTUAL EXP'!$G$28*ALLOCATION!P17</f>
        <v>0</v>
      </c>
      <c r="G13" s="40">
        <v>0</v>
      </c>
      <c r="H13" s="40">
        <f>SUM('ACTUAL EXP'!$G$30:$G$35)*ALLOCATION!P17</f>
        <v>26025.883371095279</v>
      </c>
      <c r="I13" s="40">
        <f>SUM('ACTUAL EXP'!$G$43:$G$47)*ALLOCATION!P17</f>
        <v>15720.428960651476</v>
      </c>
      <c r="J13" s="176">
        <f>(SUM('ACTUAL EXP'!$G$49:$G$50)*ALLOCATION!P17*0.5)+(SUM('ACTUAL EXP'!$G$49:$G$50)*ALLOCATION!P17*0.5)</f>
        <v>7541.3731675964937</v>
      </c>
      <c r="K13" s="40">
        <f>SUM('ACTUAL EXP'!$G$52:$G$53)*ALLOCATION!P17</f>
        <v>7958.8699216969471</v>
      </c>
      <c r="L13" s="40">
        <f>SUM('ACTUAL EXP'!$G$54:$G$54)*ALLOCATION!P17</f>
        <v>1085.3004438677656</v>
      </c>
      <c r="M13" s="40">
        <f>SUM('ACTUAL EXP'!$G$21:$G$21)*ALLOCATION!P17</f>
        <v>334.43875519612493</v>
      </c>
      <c r="N13" s="176">
        <f>SUM('ACTUAL EXP'!$G$58:$G$62)*0.39*ALLOCATION!P17</f>
        <v>5326.3688297778626</v>
      </c>
      <c r="O13" s="176">
        <f>SUM('ACTUAL EXP'!$G$58:$G$62)*0.27*ALLOCATION!P17</f>
        <v>3687.4861129231358</v>
      </c>
      <c r="P13" s="176">
        <f>SUM('ACTUAL EXP'!$G$58:$G$62)*0.34*ALLOCATION!P17</f>
        <v>4643.5010310883927</v>
      </c>
      <c r="Q13" s="40">
        <f>'ACTUAL EXP'!$G$85*ALLOCATION!P17</f>
        <v>7067.7009266825989</v>
      </c>
      <c r="R13" s="40">
        <f>SUM('ACTUAL EXP'!$G$68:$G$73)*ALLOCATION!P17</f>
        <v>19277.113443716255</v>
      </c>
      <c r="S13" s="40">
        <f>SUM('ACTUAL EXP'!$G$75)*ALLOCATION!P17</f>
        <v>2699.6957726748656</v>
      </c>
      <c r="T13" s="40">
        <f>SUM('ACTUAL EXP'!$G$77)*ALLOCATION!P17</f>
        <v>1772.6092841188856</v>
      </c>
      <c r="U13" s="40">
        <f>SUM('ACTUAL EXP'!$G$79)*ALLOCATION!P17</f>
        <v>2686.3694586150555</v>
      </c>
      <c r="V13" s="40">
        <f t="shared" si="0"/>
        <v>152803.46316412502</v>
      </c>
      <c r="W13" s="40">
        <f t="shared" si="1"/>
        <v>1376.2395523529524</v>
      </c>
      <c r="X13" s="40">
        <f t="shared" si="2"/>
        <v>1007.6675211759665</v>
      </c>
      <c r="Y13" s="40">
        <f t="shared" si="3"/>
        <v>3212.9464662034206</v>
      </c>
      <c r="Z13" s="40">
        <f t="shared" si="4"/>
        <v>1317.8214872241276</v>
      </c>
      <c r="AA13" s="40">
        <f t="shared" si="5"/>
        <v>513.05090431176131</v>
      </c>
      <c r="AB13" s="40">
        <f t="shared" si="6"/>
        <v>1116.3693381111475</v>
      </c>
      <c r="AC13" s="40">
        <f t="shared" si="7"/>
        <v>161347.5584335044</v>
      </c>
      <c r="AD13" s="40">
        <f>SUM('ACTUAL EXP'!$G$37:$G$39)*ALLOCATION!P17</f>
        <v>3160.9321351406616</v>
      </c>
      <c r="AE13" s="40">
        <f t="shared" si="8"/>
        <v>176.74537437463871</v>
      </c>
      <c r="AF13" s="40">
        <f>SUM('ACTUAL EXP'!$G$41)*ALLOCATION!P17</f>
        <v>945.71694200449872</v>
      </c>
      <c r="AG13" s="40">
        <f t="shared" si="9"/>
        <v>52.880317520510573</v>
      </c>
      <c r="AH13" s="40">
        <f>SUM('ACTUAL EXP'!$G$81)*ALLOCATION!P17</f>
        <v>393.92789182633265</v>
      </c>
      <c r="AI13" s="40">
        <f t="shared" si="10"/>
        <v>22.026709129064876</v>
      </c>
      <c r="AJ13" s="296">
        <f>SUM('ACTUAL EXP'!$G$83)*ALLOCATION!P17</f>
        <v>2924.7812884252339</v>
      </c>
      <c r="AK13" s="40">
        <f t="shared" si="10"/>
        <v>163.54086126675165</v>
      </c>
      <c r="AL13" s="40">
        <f>SUM('ACTUAL EXP'!$G$64:$G$66)*ALLOCATION!P17</f>
        <v>944.45904863305509</v>
      </c>
      <c r="AM13" s="40">
        <f t="shared" si="11"/>
        <v>52.809981674831498</v>
      </c>
      <c r="AN13" s="40">
        <f t="shared" si="12"/>
        <v>170185.37898350004</v>
      </c>
      <c r="AO13" s="40"/>
      <c r="AP13" s="41"/>
      <c r="AQ13" s="83">
        <f t="shared" si="13"/>
        <v>170185.37898350004</v>
      </c>
      <c r="AR13" s="40"/>
      <c r="AS13" s="171">
        <f t="shared" si="14"/>
        <v>170185.37898350004</v>
      </c>
      <c r="AT13" s="40"/>
      <c r="AU13" s="171"/>
      <c r="AV13" s="3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</row>
    <row r="14" spans="1:253" ht="13" customHeight="1">
      <c r="A14" s="25">
        <f>ALLOCATION!A18</f>
        <v>605000</v>
      </c>
      <c r="B14" s="24" t="str">
        <f>ALLOCATION!C18</f>
        <v>Solid Waste Mgt</v>
      </c>
      <c r="C14" s="40">
        <f>'ACTUAL EXP'!$G$13*(ALLOCATION!P18)</f>
        <v>19865.586708241266</v>
      </c>
      <c r="D14" s="40">
        <f>(SUM('ACTUAL EXP'!$G$15,'ACTUAL EXP'!$G$17:$G$19,'ACTUAL EXP'!$G$22))*ALLOCATION!P18</f>
        <v>32040.092941836177</v>
      </c>
      <c r="E14" s="176">
        <f>(('ACTUAL EXP'!$G$25)*(ALLOCATION!P18))</f>
        <v>0</v>
      </c>
      <c r="F14" s="40">
        <f>'ACTUAL EXP'!$G$28*ALLOCATION!P18</f>
        <v>0</v>
      </c>
      <c r="G14" s="40">
        <v>0</v>
      </c>
      <c r="H14" s="40">
        <f>SUM('ACTUAL EXP'!$G$30:$G$35)*ALLOCATION!P18</f>
        <v>28756.851514080277</v>
      </c>
      <c r="I14" s="40">
        <f>SUM('ACTUAL EXP'!$G$43:$G$47)*ALLOCATION!P18</f>
        <v>17370.017183016247</v>
      </c>
      <c r="J14" s="176">
        <f>(SUM('ACTUAL EXP'!$G$49:$G$50)*ALLOCATION!P18*0.5)+(SUM('ACTUAL EXP'!$G$49:$G$50)*ALLOCATION!P18*0.5)</f>
        <v>8332.7103753064639</v>
      </c>
      <c r="K14" s="40">
        <f>SUM('ACTUAL EXP'!$G$52:$G$53)*ALLOCATION!P18</f>
        <v>8794.0162220317725</v>
      </c>
      <c r="L14" s="40">
        <f>SUM('ACTUAL EXP'!$G$54:$G$54)*ALLOCATION!P18</f>
        <v>1199.1840302770599</v>
      </c>
      <c r="M14" s="40">
        <f>SUM('ACTUAL EXP'!$G$21:$G$21)*ALLOCATION!P18</f>
        <v>369.5323415769256</v>
      </c>
      <c r="N14" s="176">
        <f>SUM('ACTUAL EXP'!$G$58:$G$62)*0.39*ALLOCATION!P18</f>
        <v>5885.2794874682286</v>
      </c>
      <c r="O14" s="176">
        <f>SUM('ACTUAL EXP'!$G$58:$G$62)*0.27*ALLOCATION!P18</f>
        <v>4074.4242605549275</v>
      </c>
      <c r="P14" s="176">
        <f>SUM('ACTUAL EXP'!$G$58:$G$62)*0.34*ALLOCATION!P18</f>
        <v>5130.7564762543525</v>
      </c>
      <c r="Q14" s="40">
        <f>'ACTUAL EXP'!$G$85*ALLOCATION!P18</f>
        <v>7809.3343920946672</v>
      </c>
      <c r="R14" s="40">
        <f>SUM('ACTUAL EXP'!$G$68:$G$73)*ALLOCATION!P18</f>
        <v>21299.914435822651</v>
      </c>
      <c r="S14" s="40">
        <f>SUM('ACTUAL EXP'!$G$75)*ALLOCATION!P18</f>
        <v>2982.9823395821254</v>
      </c>
      <c r="T14" s="40">
        <f>SUM('ACTUAL EXP'!$G$77)*ALLOCATION!P18</f>
        <v>1958.6140938639617</v>
      </c>
      <c r="U14" s="40">
        <f>SUM('ACTUAL EXP'!$G$79)*ALLOCATION!P18</f>
        <v>2968.2576584182357</v>
      </c>
      <c r="V14" s="40">
        <f t="shared" si="0"/>
        <v>168837.55446042534</v>
      </c>
      <c r="W14" s="40">
        <f t="shared" si="1"/>
        <v>1520.652186537199</v>
      </c>
      <c r="X14" s="40">
        <f t="shared" si="2"/>
        <v>1113.4048696384027</v>
      </c>
      <c r="Y14" s="40">
        <f t="shared" si="3"/>
        <v>3550.0898522397542</v>
      </c>
      <c r="Z14" s="40">
        <f t="shared" si="4"/>
        <v>1456.1041517713459</v>
      </c>
      <c r="AA14" s="40">
        <f t="shared" si="5"/>
        <v>566.88675900406258</v>
      </c>
      <c r="AB14" s="40">
        <f t="shared" si="6"/>
        <v>1233.5130697845475</v>
      </c>
      <c r="AC14" s="40">
        <f t="shared" si="7"/>
        <v>178278.20534940067</v>
      </c>
      <c r="AD14" s="40">
        <f>SUM('ACTUAL EXP'!$G$37:$G$39)*ALLOCATION!P18</f>
        <v>3492.6175131207215</v>
      </c>
      <c r="AE14" s="40">
        <f t="shared" si="8"/>
        <v>195.29175683377068</v>
      </c>
      <c r="AF14" s="40">
        <f>SUM('ACTUAL EXP'!$G$41)*ALLOCATION!P18</f>
        <v>1044.9536443315324</v>
      </c>
      <c r="AG14" s="40">
        <f t="shared" si="9"/>
        <v>58.429195938210484</v>
      </c>
      <c r="AH14" s="40">
        <f>SUM('ACTUAL EXP'!$G$81)*ALLOCATION!P18</f>
        <v>435.2638383481617</v>
      </c>
      <c r="AI14" s="40">
        <f t="shared" si="10"/>
        <v>24.33803282434744</v>
      </c>
      <c r="AJ14" s="296">
        <f>SUM('ACTUAL EXP'!$G$83)*ALLOCATION!P18</f>
        <v>3231.6867029311234</v>
      </c>
      <c r="AK14" s="40">
        <f t="shared" si="10"/>
        <v>180.7016575335887</v>
      </c>
      <c r="AL14" s="40">
        <f>SUM('ACTUAL EXP'!$G$64:$G$66)*ALLOCATION!P18</f>
        <v>1043.5637567189824</v>
      </c>
      <c r="AM14" s="40">
        <f t="shared" si="11"/>
        <v>58.351479557118992</v>
      </c>
      <c r="AN14" s="40">
        <f t="shared" si="12"/>
        <v>188043.40292753821</v>
      </c>
      <c r="AO14" s="40"/>
      <c r="AP14" s="41"/>
      <c r="AQ14" s="83">
        <f t="shared" si="13"/>
        <v>188043.40292753821</v>
      </c>
      <c r="AR14" s="40"/>
      <c r="AS14" s="171">
        <f t="shared" si="14"/>
        <v>188043.40292753821</v>
      </c>
      <c r="AT14" s="40"/>
      <c r="AU14" s="171"/>
      <c r="AV14" s="3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</row>
    <row r="15" spans="1:253" ht="13" customHeight="1">
      <c r="A15" s="25">
        <f>ALLOCATION!A19</f>
        <v>200000</v>
      </c>
      <c r="B15" s="24" t="str">
        <f>ALLOCATION!C19</f>
        <v>Transportation Op</v>
      </c>
      <c r="C15" s="40">
        <f>'ACTUAL EXP'!$G$13*(ALLOCATION!P19)</f>
        <v>693005.94041851419</v>
      </c>
      <c r="D15" s="40">
        <f>(SUM('ACTUAL EXP'!$G$15,'ACTUAL EXP'!$G$17:$G$19,'ACTUAL EXP'!$G$22))*ALLOCATION!P19</f>
        <v>1117710.4943516431</v>
      </c>
      <c r="E15" s="176">
        <f>(('ACTUAL EXP'!$G$25)*(ALLOCATION!P19))</f>
        <v>0</v>
      </c>
      <c r="F15" s="40">
        <f>'ACTUAL EXP'!$G$28*ALLOCATION!P19</f>
        <v>0</v>
      </c>
      <c r="G15" s="176">
        <f>'ACTUAL EXP'!$G$20*0.25</f>
        <v>0</v>
      </c>
      <c r="H15" s="40">
        <f>SUM('ACTUAL EXP'!$G$30:$G$35)*ALLOCATION!P19</f>
        <v>1003175.4520858595</v>
      </c>
      <c r="I15" s="40">
        <f>SUM('ACTUAL EXP'!$G$43:$G$47)*ALLOCATION!P19</f>
        <v>605948.63216439215</v>
      </c>
      <c r="J15" s="176">
        <f>(SUM('ACTUAL EXP'!$G$49:$G$50)*ALLOCATION!P19*0.5)+(SUM('ACTUAL EXP'!$G$49:$G$50)*ALLOCATION!P19*0.5)</f>
        <v>290684.48240085237</v>
      </c>
      <c r="K15" s="40">
        <f>SUM('ACTUAL EXP'!$G$52:$G$53)*ALLOCATION!P19</f>
        <v>306777.01955193531</v>
      </c>
      <c r="L15" s="40">
        <f>SUM('ACTUAL EXP'!$G$54:$G$54)*ALLOCATION!P19</f>
        <v>41833.229938900273</v>
      </c>
      <c r="M15" s="40">
        <f>SUM('ACTUAL EXP'!$G$21:$G$21)*ALLOCATION!P19</f>
        <v>12891.041762352501</v>
      </c>
      <c r="N15" s="176">
        <f>SUM('ACTUAL EXP'!$G$58:$G$62)*0.39*ALLOCATION!P19</f>
        <v>205306.47827011949</v>
      </c>
      <c r="O15" s="176">
        <f>SUM('ACTUAL EXP'!$G$58:$G$62)*0.27*ALLOCATION!P19</f>
        <v>142135.25418700583</v>
      </c>
      <c r="P15" s="176">
        <f>SUM('ACTUAL EXP'!$G$58:$G$62)*0.34*ALLOCATION!P19</f>
        <v>178985.13490215546</v>
      </c>
      <c r="Q15" s="40">
        <f>'ACTUAL EXP'!$G$85*ALLOCATION!P19</f>
        <v>272426.64432312333</v>
      </c>
      <c r="R15" s="40">
        <f>SUM('ACTUAL EXP'!$G$68:$G$73)*ALLOCATION!P19</f>
        <v>743042.09843988926</v>
      </c>
      <c r="S15" s="40">
        <f>SUM('ACTUAL EXP'!$G$75)*ALLOCATION!P19</f>
        <v>104060.58033193348</v>
      </c>
      <c r="T15" s="40">
        <f>SUM('ACTUAL EXP'!$G$77)*ALLOCATION!P19</f>
        <v>68325.754581014204</v>
      </c>
      <c r="U15" s="40">
        <f>SUM('ACTUAL EXP'!$G$79)*ALLOCATION!P19</f>
        <v>103546.91357407674</v>
      </c>
      <c r="V15" s="40">
        <f t="shared" si="0"/>
        <v>5889855.1512837671</v>
      </c>
      <c r="W15" s="40">
        <f t="shared" si="1"/>
        <v>53047.564819392035</v>
      </c>
      <c r="X15" s="40">
        <f t="shared" si="2"/>
        <v>38840.845734005765</v>
      </c>
      <c r="Y15" s="40">
        <f t="shared" si="3"/>
        <v>123843.9816932768</v>
      </c>
      <c r="Z15" s="40">
        <f t="shared" si="4"/>
        <v>50795.82304140972</v>
      </c>
      <c r="AA15" s="40">
        <f t="shared" si="5"/>
        <v>19775.700426277224</v>
      </c>
      <c r="AB15" s="40">
        <f t="shared" si="6"/>
        <v>43030.789752106364</v>
      </c>
      <c r="AC15" s="40">
        <f t="shared" si="7"/>
        <v>6219189.856750234</v>
      </c>
      <c r="AD15" s="40">
        <f>SUM('ACTUAL EXP'!$G$37:$G$39)*ALLOCATION!P19</f>
        <v>121839.07375855603</v>
      </c>
      <c r="AE15" s="40">
        <f t="shared" si="8"/>
        <v>6812.703273668013</v>
      </c>
      <c r="AF15" s="40">
        <f>SUM('ACTUAL EXP'!$G$41)*ALLOCATION!P19</f>
        <v>36452.942146597095</v>
      </c>
      <c r="AG15" s="40">
        <f t="shared" si="9"/>
        <v>2038.2876415252872</v>
      </c>
      <c r="AH15" s="40">
        <f>SUM('ACTUAL EXP'!$G$81)*ALLOCATION!P19</f>
        <v>15184.068311433457</v>
      </c>
      <c r="AI15" s="40">
        <f t="shared" si="10"/>
        <v>849.02608581786865</v>
      </c>
      <c r="AJ15" s="296">
        <f>SUM('ACTUAL EXP'!$G$83)*ALLOCATION!P19</f>
        <v>112736.56880084485</v>
      </c>
      <c r="AK15" s="40">
        <f t="shared" si="10"/>
        <v>6303.7313699020115</v>
      </c>
      <c r="AL15" s="40">
        <f>SUM('ACTUAL EXP'!$G$64:$G$66)*ALLOCATION!P19</f>
        <v>36404.456270687297</v>
      </c>
      <c r="AM15" s="40">
        <f t="shared" si="11"/>
        <v>2035.5765253344989</v>
      </c>
      <c r="AN15" s="40">
        <f t="shared" si="12"/>
        <v>6559846.2909346009</v>
      </c>
      <c r="AO15" s="40">
        <f>-AO16-AO100</f>
        <v>4818.9997483145498</v>
      </c>
      <c r="AP15" s="41" t="s">
        <v>339</v>
      </c>
      <c r="AQ15" s="83">
        <f t="shared" si="13"/>
        <v>6564665.2906829156</v>
      </c>
      <c r="AR15" s="40"/>
      <c r="AS15" s="171">
        <f t="shared" si="14"/>
        <v>6564665.2906829156</v>
      </c>
      <c r="AT15" s="40"/>
      <c r="AU15" s="171"/>
      <c r="AV15" s="33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</row>
    <row r="16" spans="1:253" ht="13" customHeight="1">
      <c r="A16" s="25">
        <f>ALLOCATION!A20</f>
        <v>212000</v>
      </c>
      <c r="B16" s="24" t="str">
        <f>ALLOCATION!C20</f>
        <v>Transportation Resv</v>
      </c>
      <c r="C16" s="40">
        <f>'ACTUAL EXP'!$G$13*(ALLOCATION!P20)</f>
        <v>0</v>
      </c>
      <c r="D16" s="40">
        <f>(SUM('ACTUAL EXP'!$G$15,'ACTUAL EXP'!$G$17:$G$19,'ACTUAL EXP'!$G$22))*ALLOCATION!P20</f>
        <v>0</v>
      </c>
      <c r="E16" s="176">
        <f>(('ACTUAL EXP'!$G$25)*(ALLOCATION!P20))</f>
        <v>0</v>
      </c>
      <c r="F16" s="40">
        <f>'ACTUAL EXP'!$G$28*ALLOCATION!P20</f>
        <v>0</v>
      </c>
      <c r="G16" s="40">
        <v>0</v>
      </c>
      <c r="H16" s="40">
        <f>SUM('ACTUAL EXP'!$G$30:$G$35)*ALLOCATION!P20</f>
        <v>0</v>
      </c>
      <c r="I16" s="40">
        <f>SUM('ACTUAL EXP'!$G$43:$G$47)*ALLOCATION!P20</f>
        <v>0</v>
      </c>
      <c r="J16" s="176">
        <f>(SUM('ACTUAL EXP'!$G$49:$G$50)*ALLOCATION!P20*0.5)+(SUM('ACTUAL EXP'!$G$49:$G$50)*ALLOCATION!P20*0.5)</f>
        <v>0</v>
      </c>
      <c r="K16" s="40">
        <f>SUM('ACTUAL EXP'!$G$52:$G$53)*ALLOCATION!P20</f>
        <v>0</v>
      </c>
      <c r="L16" s="40">
        <f>SUM('ACTUAL EXP'!$G$54:$G$54)*ALLOCATION!P20</f>
        <v>0</v>
      </c>
      <c r="M16" s="40">
        <f>SUM('ACTUAL EXP'!$G$21:$G$21)*ALLOCATION!P20</f>
        <v>0</v>
      </c>
      <c r="N16" s="176">
        <f>SUM('ACTUAL EXP'!$G$58:$G$62)*0.39*ALLOCATION!P20</f>
        <v>0</v>
      </c>
      <c r="O16" s="176">
        <f>SUM('ACTUAL EXP'!$G$58:$G$62)*0.27*ALLOCATION!P20</f>
        <v>0</v>
      </c>
      <c r="P16" s="176">
        <f>SUM('ACTUAL EXP'!$G$58:$G$62)*0.34*ALLOCATION!P20</f>
        <v>0</v>
      </c>
      <c r="Q16" s="40">
        <f>'ACTUAL EXP'!$G$85*ALLOCATION!P20</f>
        <v>0</v>
      </c>
      <c r="R16" s="40">
        <f>SUM('ACTUAL EXP'!$G$68:$G$73)*ALLOCATION!P20</f>
        <v>0</v>
      </c>
      <c r="S16" s="40">
        <f>SUM('ACTUAL EXP'!$G$75)*ALLOCATION!P20</f>
        <v>0</v>
      </c>
      <c r="T16" s="40">
        <f>SUM('ACTUAL EXP'!$G$77)*ALLOCATION!P20</f>
        <v>0</v>
      </c>
      <c r="U16" s="40">
        <f>SUM('ACTUAL EXP'!$G$79)*ALLOCATION!P20</f>
        <v>0</v>
      </c>
      <c r="V16" s="40">
        <f t="shared" si="0"/>
        <v>0</v>
      </c>
      <c r="W16" s="40">
        <f t="shared" si="1"/>
        <v>0</v>
      </c>
      <c r="X16" s="40">
        <f t="shared" si="2"/>
        <v>0</v>
      </c>
      <c r="Y16" s="40">
        <f t="shared" si="3"/>
        <v>0</v>
      </c>
      <c r="Z16" s="40">
        <f t="shared" si="4"/>
        <v>0</v>
      </c>
      <c r="AA16" s="40">
        <f t="shared" si="5"/>
        <v>0</v>
      </c>
      <c r="AB16" s="40">
        <f t="shared" si="6"/>
        <v>0</v>
      </c>
      <c r="AC16" s="40">
        <f t="shared" si="7"/>
        <v>0</v>
      </c>
      <c r="AD16" s="40">
        <f>SUM('ACTUAL EXP'!$G$37:$G$39)*ALLOCATION!P20</f>
        <v>0</v>
      </c>
      <c r="AE16" s="40">
        <f t="shared" si="8"/>
        <v>0</v>
      </c>
      <c r="AF16" s="40">
        <f>SUM('ACTUAL EXP'!$G$41)*ALLOCATION!P20</f>
        <v>0</v>
      </c>
      <c r="AG16" s="40">
        <f t="shared" si="9"/>
        <v>0</v>
      </c>
      <c r="AH16" s="40">
        <f>SUM('ACTUAL EXP'!$G$81)*ALLOCATION!P20</f>
        <v>0</v>
      </c>
      <c r="AI16" s="40">
        <f t="shared" si="10"/>
        <v>0</v>
      </c>
      <c r="AJ16" s="296">
        <f>SUM('ACTUAL EXP'!$G$83)*ALLOCATION!P20</f>
        <v>0</v>
      </c>
      <c r="AK16" s="40">
        <f t="shared" si="10"/>
        <v>0</v>
      </c>
      <c r="AL16" s="40">
        <f>SUM('ACTUAL EXP'!$G$64:$G$66)*ALLOCATION!P20</f>
        <v>0</v>
      </c>
      <c r="AM16" s="40">
        <f t="shared" si="11"/>
        <v>0</v>
      </c>
      <c r="AN16" s="40">
        <f t="shared" si="12"/>
        <v>0</v>
      </c>
      <c r="AO16" s="40">
        <f>-AN16</f>
        <v>0</v>
      </c>
      <c r="AP16" s="41" t="s">
        <v>340</v>
      </c>
      <c r="AQ16" s="83">
        <f t="shared" si="13"/>
        <v>0</v>
      </c>
      <c r="AR16" s="40"/>
      <c r="AS16" s="171">
        <f t="shared" si="14"/>
        <v>0</v>
      </c>
      <c r="AT16" s="40"/>
      <c r="AU16" s="171"/>
      <c r="AV16" s="33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</row>
    <row r="17" spans="1:253" ht="13" customHeight="1">
      <c r="A17" s="25">
        <f>ALLOCATION!A21</f>
        <v>614000</v>
      </c>
      <c r="B17" s="24" t="str">
        <f>ALLOCATION!C21</f>
        <v>Sewer System Constr</v>
      </c>
      <c r="C17" s="40">
        <f>'ACTUAL EXP'!$G$13*(ALLOCATION!P21)</f>
        <v>104370.64391184346</v>
      </c>
      <c r="D17" s="40">
        <f>(SUM('ACTUAL EXP'!$G$15,'ACTUAL EXP'!$G$17:$G$19,'ACTUAL EXP'!$G$22))*ALLOCATION!P21</f>
        <v>168333.57002979785</v>
      </c>
      <c r="E17" s="176">
        <f>(('ACTUAL EXP'!$G$25)*(ALLOCATION!P21))</f>
        <v>0</v>
      </c>
      <c r="F17" s="40">
        <f>'ACTUAL EXP'!$G$28*ALLOCATION!P21</f>
        <v>0</v>
      </c>
      <c r="G17" s="40">
        <v>0</v>
      </c>
      <c r="H17" s="40">
        <f>SUM('ACTUAL EXP'!$G$30:$G$35)*ALLOCATION!P21</f>
        <v>151083.939955154</v>
      </c>
      <c r="I17" s="40">
        <f>SUM('ACTUAL EXP'!$G$43:$G$47)*ALLOCATION!P21</f>
        <v>91259.317168775015</v>
      </c>
      <c r="J17" s="176">
        <f>(SUM('ACTUAL EXP'!$G$49:$G$50)*ALLOCATION!P21*0.5)+(SUM('ACTUAL EXP'!$G$49:$G$50)*ALLOCATION!P21*0.5)</f>
        <v>43778.739594982217</v>
      </c>
      <c r="K17" s="40">
        <f>SUM('ACTUAL EXP'!$G$52:$G$53)*ALLOCATION!P21</f>
        <v>46202.367397681082</v>
      </c>
      <c r="L17" s="40">
        <f>SUM('ACTUAL EXP'!$G$54:$G$54)*ALLOCATION!P21</f>
        <v>6300.3228269565116</v>
      </c>
      <c r="M17" s="40">
        <f>SUM('ACTUAL EXP'!$G$21:$G$21)*ALLOCATION!P21</f>
        <v>1941.464352554706</v>
      </c>
      <c r="N17" s="176">
        <f>SUM('ACTUAL EXP'!$G$58:$G$62)*0.39*ALLOCATION!P21</f>
        <v>30920.32562287226</v>
      </c>
      <c r="O17" s="176">
        <f>SUM('ACTUAL EXP'!$G$58:$G$62)*0.27*ALLOCATION!P21</f>
        <v>21406.379277373104</v>
      </c>
      <c r="P17" s="176">
        <f>SUM('ACTUAL EXP'!$G$58:$G$62)*0.34*ALLOCATION!P21</f>
        <v>26956.181312247609</v>
      </c>
      <c r="Q17" s="40">
        <f>'ACTUAL EXP'!$G$85*ALLOCATION!P21</f>
        <v>41029.005133168001</v>
      </c>
      <c r="R17" s="40">
        <f>SUM('ACTUAL EXP'!$G$68:$G$73)*ALLOCATION!P21</f>
        <v>111906.37445466082</v>
      </c>
      <c r="S17" s="40">
        <f>SUM('ACTUAL EXP'!$G$75)*ALLOCATION!P21</f>
        <v>15672.116415805911</v>
      </c>
      <c r="T17" s="40">
        <f>SUM('ACTUAL EXP'!$G$77)*ALLOCATION!P21</f>
        <v>10290.248012991673</v>
      </c>
      <c r="U17" s="40">
        <f>SUM('ACTUAL EXP'!$G$79)*ALLOCATION!P21</f>
        <v>15594.755274801493</v>
      </c>
      <c r="V17" s="40">
        <f t="shared" si="0"/>
        <v>887045.75074166572</v>
      </c>
      <c r="W17" s="40">
        <f t="shared" si="1"/>
        <v>7989.2655679280024</v>
      </c>
      <c r="X17" s="40">
        <f t="shared" si="2"/>
        <v>5849.652712775589</v>
      </c>
      <c r="Y17" s="40">
        <f t="shared" si="3"/>
        <v>18651.609401974089</v>
      </c>
      <c r="Z17" s="40">
        <f t="shared" si="4"/>
        <v>7650.1404239944832</v>
      </c>
      <c r="AA17" s="40">
        <f t="shared" si="5"/>
        <v>2978.3331814613252</v>
      </c>
      <c r="AB17" s="40">
        <f t="shared" si="6"/>
        <v>6480.6821594490784</v>
      </c>
      <c r="AC17" s="40">
        <f t="shared" si="7"/>
        <v>936645.43418924836</v>
      </c>
      <c r="AD17" s="40">
        <f>SUM('ACTUAL EXP'!$G$37:$G$39)*ALLOCATION!P21</f>
        <v>18349.658841486249</v>
      </c>
      <c r="AE17" s="40">
        <f t="shared" si="8"/>
        <v>1026.0319370763914</v>
      </c>
      <c r="AF17" s="40">
        <f>SUM('ACTUAL EXP'!$G$41)*ALLOCATION!P21</f>
        <v>5490.0208243869665</v>
      </c>
      <c r="AG17" s="40">
        <f t="shared" si="9"/>
        <v>306.97773455603061</v>
      </c>
      <c r="AH17" s="40">
        <f>SUM('ACTUAL EXP'!$G$81)*ALLOCATION!P21</f>
        <v>2286.807218288297</v>
      </c>
      <c r="AI17" s="40">
        <f t="shared" si="10"/>
        <v>127.86816693266493</v>
      </c>
      <c r="AJ17" s="296">
        <f>SUM('ACTUAL EXP'!$G$83)*ALLOCATION!P21</f>
        <v>16978.769721728739</v>
      </c>
      <c r="AK17" s="40">
        <f t="shared" si="10"/>
        <v>949.37786785295373</v>
      </c>
      <c r="AL17" s="40">
        <f>SUM('ACTUAL EXP'!$G$64:$G$66)*ALLOCATION!P21</f>
        <v>5482.7185751648612</v>
      </c>
      <c r="AM17" s="40">
        <f t="shared" si="11"/>
        <v>306.56942500765712</v>
      </c>
      <c r="AN17" s="40">
        <f t="shared" si="12"/>
        <v>987950.23450172925</v>
      </c>
      <c r="AO17" s="40">
        <f>-AN17</f>
        <v>-987950.23450172925</v>
      </c>
      <c r="AP17" s="41" t="s">
        <v>341</v>
      </c>
      <c r="AQ17" s="83">
        <f t="shared" si="13"/>
        <v>0</v>
      </c>
      <c r="AR17" s="40"/>
      <c r="AS17" s="171">
        <f t="shared" si="14"/>
        <v>0</v>
      </c>
      <c r="AT17" s="41" t="s">
        <v>342</v>
      </c>
      <c r="AU17" s="171"/>
      <c r="AV17" s="33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</row>
    <row r="18" spans="1:253" ht="13" customHeight="1">
      <c r="A18" s="25">
        <f>ALLOCATION!A22</f>
        <v>609000</v>
      </c>
      <c r="B18" s="24" t="str">
        <f>ALLOCATION!C22</f>
        <v>Sewer Sys Debt Rdmpt</v>
      </c>
      <c r="C18" s="40">
        <f>'ACTUAL EXP'!$G$13*(ALLOCATION!P22)</f>
        <v>70953.354467343539</v>
      </c>
      <c r="D18" s="40">
        <f>(SUM('ACTUAL EXP'!$G$15,'ACTUAL EXP'!$G$17:$G$19,'ACTUAL EXP'!$G$22))*ALLOCATION!P22</f>
        <v>114436.69422185405</v>
      </c>
      <c r="E18" s="176">
        <f>(('ACTUAL EXP'!$G$25)*(ALLOCATION!P22))</f>
        <v>0</v>
      </c>
      <c r="F18" s="40">
        <f>'ACTUAL EXP'!$G$28*ALLOCATION!P22</f>
        <v>0</v>
      </c>
      <c r="G18" s="40">
        <v>0</v>
      </c>
      <c r="H18" s="40">
        <f>SUM('ACTUAL EXP'!$G$30:$G$35)*ALLOCATION!P22</f>
        <v>102710.03362799458</v>
      </c>
      <c r="I18" s="40">
        <f>SUM('ACTUAL EXP'!$G$43:$G$47)*ALLOCATION!P22</f>
        <v>62039.999341127528</v>
      </c>
      <c r="J18" s="176">
        <f>(SUM('ACTUAL EXP'!$G$49:$G$50)*ALLOCATION!P22*0.5)+(SUM('ACTUAL EXP'!$G$49:$G$50)*ALLOCATION!P22*0.5)</f>
        <v>29761.706090842843</v>
      </c>
      <c r="K18" s="40">
        <f>SUM('ACTUAL EXP'!$G$52:$G$53)*ALLOCATION!P22</f>
        <v>31409.339142978188</v>
      </c>
      <c r="L18" s="40">
        <f>SUM('ACTUAL EXP'!$G$54:$G$54)*ALLOCATION!P22</f>
        <v>4283.0917013152075</v>
      </c>
      <c r="M18" s="40">
        <f>SUM('ACTUAL EXP'!$G$21:$G$21)*ALLOCATION!P22</f>
        <v>1319.848218133817</v>
      </c>
      <c r="N18" s="176">
        <f>SUM('ACTUAL EXP'!$G$58:$G$62)*0.39*ALLOCATION!P22</f>
        <v>21020.286374954401</v>
      </c>
      <c r="O18" s="176">
        <f>SUM('ACTUAL EXP'!$G$58:$G$62)*0.27*ALLOCATION!P22</f>
        <v>14552.50595189151</v>
      </c>
      <c r="P18" s="176">
        <f>SUM('ACTUAL EXP'!$G$58:$G$62)*0.34*ALLOCATION!P22</f>
        <v>18325.377865344861</v>
      </c>
      <c r="Q18" s="40">
        <f>'ACTUAL EXP'!$G$85*ALLOCATION!P22</f>
        <v>27892.378886873812</v>
      </c>
      <c r="R18" s="40">
        <f>SUM('ACTUAL EXP'!$G$68:$G$73)*ALLOCATION!P22</f>
        <v>76076.302265064602</v>
      </c>
      <c r="S18" s="40">
        <f>SUM('ACTUAL EXP'!$G$75)*ALLOCATION!P22</f>
        <v>10654.233696626332</v>
      </c>
      <c r="T18" s="40">
        <f>SUM('ACTUAL EXP'!$G$77)*ALLOCATION!P22</f>
        <v>6995.5265911684628</v>
      </c>
      <c r="U18" s="40">
        <f>SUM('ACTUAL EXP'!$G$79)*ALLOCATION!P22</f>
        <v>10601.641969163953</v>
      </c>
      <c r="V18" s="40">
        <f t="shared" si="0"/>
        <v>603032.32041267771</v>
      </c>
      <c r="W18" s="40">
        <f t="shared" si="1"/>
        <v>5431.2704274751841</v>
      </c>
      <c r="X18" s="40">
        <f t="shared" si="2"/>
        <v>3976.7166981454834</v>
      </c>
      <c r="Y18" s="40">
        <f t="shared" si="3"/>
        <v>12679.755568074375</v>
      </c>
      <c r="Z18" s="40">
        <f t="shared" si="4"/>
        <v>5200.7260364045687</v>
      </c>
      <c r="AA18" s="40">
        <f t="shared" si="5"/>
        <v>2024.7334118640672</v>
      </c>
      <c r="AB18" s="40">
        <f t="shared" si="6"/>
        <v>4405.7037612795739</v>
      </c>
      <c r="AC18" s="40">
        <f t="shared" si="7"/>
        <v>636751.22631592106</v>
      </c>
      <c r="AD18" s="40">
        <f>SUM('ACTUAL EXP'!$G$37:$G$39)*ALLOCATION!P22</f>
        <v>12474.483239123309</v>
      </c>
      <c r="AE18" s="40">
        <f t="shared" si="8"/>
        <v>697.51804719809058</v>
      </c>
      <c r="AF18" s="40">
        <f>SUM('ACTUAL EXP'!$G$41)*ALLOCATION!P22</f>
        <v>3732.2313917584588</v>
      </c>
      <c r="AG18" s="40">
        <f t="shared" si="9"/>
        <v>208.68990740282788</v>
      </c>
      <c r="AH18" s="40">
        <f>SUM('ACTUAL EXP'!$G$81)*ALLOCATION!P22</f>
        <v>1554.6195469938775</v>
      </c>
      <c r="AI18" s="40">
        <f t="shared" si="10"/>
        <v>86.927463829063427</v>
      </c>
      <c r="AJ18" s="296">
        <f>SUM('ACTUAL EXP'!$G$83)*ALLOCATION!P22</f>
        <v>11542.524040598695</v>
      </c>
      <c r="AK18" s="40">
        <f t="shared" si="10"/>
        <v>645.40700197383376</v>
      </c>
      <c r="AL18" s="40">
        <f>SUM('ACTUAL EXP'!$G$64:$G$66)*ALLOCATION!P22</f>
        <v>3727.2671694633223</v>
      </c>
      <c r="AM18" s="40">
        <f t="shared" si="11"/>
        <v>208.41233000144081</v>
      </c>
      <c r="AN18" s="40">
        <f t="shared" si="12"/>
        <v>671629.30645426398</v>
      </c>
      <c r="AO18" s="40">
        <f>-AN18</f>
        <v>-671629.30645426398</v>
      </c>
      <c r="AP18" s="41" t="s">
        <v>341</v>
      </c>
      <c r="AQ18" s="83">
        <f t="shared" si="13"/>
        <v>0</v>
      </c>
      <c r="AR18" s="40"/>
      <c r="AS18" s="171">
        <f t="shared" si="14"/>
        <v>0</v>
      </c>
      <c r="AT18" s="41" t="s">
        <v>343</v>
      </c>
      <c r="AU18" s="171"/>
      <c r="AV18" s="33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</row>
    <row r="19" spans="1:253" ht="13" customHeight="1">
      <c r="A19" s="25">
        <f>ALLOCATION!A23</f>
        <v>602000</v>
      </c>
      <c r="B19" s="24" t="str">
        <f>ALLOCATION!C23</f>
        <v>Water</v>
      </c>
      <c r="C19" s="40">
        <f>'ACTUAL EXP'!$G$13*(ALLOCATION!P23)</f>
        <v>431550.26123527845</v>
      </c>
      <c r="D19" s="40">
        <f>(SUM('ACTUAL EXP'!$G$15,'ACTUAL EXP'!$G$17:$G$19,'ACTUAL EXP'!$G$22))*ALLOCATION!P23</f>
        <v>696023.26284760016</v>
      </c>
      <c r="E19" s="176">
        <f>(('ACTUAL EXP'!$G$25)*(ALLOCATION!P23))</f>
        <v>0</v>
      </c>
      <c r="F19" s="40">
        <f>'ACTUAL EXP'!$G$28*ALLOCATION!P23</f>
        <v>0</v>
      </c>
      <c r="G19" s="40">
        <v>0</v>
      </c>
      <c r="H19" s="40">
        <f>SUM('ACTUAL EXP'!$G$30:$G$35)*ALLOCATION!P23</f>
        <v>624699.7365578505</v>
      </c>
      <c r="I19" s="40">
        <f>SUM('ACTUAL EXP'!$G$43:$G$47)*ALLOCATION!P23</f>
        <v>377337.73298939096</v>
      </c>
      <c r="J19" s="176">
        <f>(SUM('ACTUAL EXP'!$G$49:$G$50)*ALLOCATION!P23*0.5)+(SUM('ACTUAL EXP'!$G$49:$G$50)*ALLOCATION!P23*0.5)</f>
        <v>181015.71285431104</v>
      </c>
      <c r="K19" s="40">
        <f>SUM('ACTUAL EXP'!$G$52:$G$53)*ALLOCATION!P23</f>
        <v>191036.8947900593</v>
      </c>
      <c r="L19" s="40">
        <f>SUM('ACTUAL EXP'!$G$54:$G$54)*ALLOCATION!P23</f>
        <v>26050.485653189906</v>
      </c>
      <c r="M19" s="40">
        <f>SUM('ACTUAL EXP'!$G$21:$G$21)*ALLOCATION!P23</f>
        <v>8027.539326399522</v>
      </c>
      <c r="N19" s="176">
        <f>SUM('ACTUAL EXP'!$G$58:$G$62)*0.39*ALLOCATION!P23</f>
        <v>127848.92475417817</v>
      </c>
      <c r="O19" s="176">
        <f>SUM('ACTUAL EXP'!$G$58:$G$62)*0.27*ALLOCATION!P23</f>
        <v>88510.794060584885</v>
      </c>
      <c r="P19" s="176">
        <f>SUM('ACTUAL EXP'!$G$58:$G$62)*0.34*ALLOCATION!P23</f>
        <v>111458.03696518096</v>
      </c>
      <c r="Q19" s="40">
        <f>'ACTUAL EXP'!$G$85*ALLOCATION!P23</f>
        <v>169646.14972000796</v>
      </c>
      <c r="R19" s="40">
        <f>SUM('ACTUAL EXP'!$G$68:$G$73)*ALLOCATION!P23</f>
        <v>462708.89322664891</v>
      </c>
      <c r="S19" s="40">
        <f>SUM('ACTUAL EXP'!$G$75)*ALLOCATION!P23</f>
        <v>64800.845140548867</v>
      </c>
      <c r="T19" s="40">
        <f>SUM('ACTUAL EXP'!$G$77)*ALLOCATION!P23</f>
        <v>42547.971840944505</v>
      </c>
      <c r="U19" s="40">
        <f>SUM('ACTUAL EXP'!$G$79)*ALLOCATION!P23</f>
        <v>64480.973389655817</v>
      </c>
      <c r="V19" s="40">
        <f t="shared" si="0"/>
        <v>3667744.2153518307</v>
      </c>
      <c r="W19" s="40">
        <f t="shared" si="1"/>
        <v>33033.902194083414</v>
      </c>
      <c r="X19" s="40">
        <f t="shared" si="2"/>
        <v>24187.061243640579</v>
      </c>
      <c r="Y19" s="40">
        <f t="shared" si="3"/>
        <v>77120.41056946016</v>
      </c>
      <c r="Z19" s="40">
        <f t="shared" si="4"/>
        <v>31631.692348759709</v>
      </c>
      <c r="AA19" s="40">
        <f t="shared" si="5"/>
        <v>12314.769884824706</v>
      </c>
      <c r="AB19" s="40">
        <f t="shared" si="6"/>
        <v>26796.232868461764</v>
      </c>
      <c r="AC19" s="40">
        <f t="shared" si="7"/>
        <v>3872828.284461061</v>
      </c>
      <c r="AD19" s="40">
        <f>SUM('ACTUAL EXP'!$G$37:$G$39)*ALLOCATION!P23</f>
        <v>75871.909665616637</v>
      </c>
      <c r="AE19" s="40">
        <f t="shared" si="8"/>
        <v>4242.4223314656638</v>
      </c>
      <c r="AF19" s="40">
        <f>SUM('ACTUAL EXP'!$G$41)*ALLOCATION!P23</f>
        <v>22700.060401586416</v>
      </c>
      <c r="AG19" s="40">
        <f t="shared" si="9"/>
        <v>1269.2871920284877</v>
      </c>
      <c r="AH19" s="40">
        <f>SUM('ACTUAL EXP'!$G$81)*ALLOCATION!P23</f>
        <v>9455.4581198195483</v>
      </c>
      <c r="AI19" s="40">
        <f t="shared" si="10"/>
        <v>528.70748684924058</v>
      </c>
      <c r="AJ19" s="296">
        <f>SUM('ACTUAL EXP'!$G$83)*ALLOCATION!P23</f>
        <v>70203.576736142175</v>
      </c>
      <c r="AK19" s="40">
        <f t="shared" si="10"/>
        <v>3925.4741709650657</v>
      </c>
      <c r="AL19" s="40">
        <f>SUM('ACTUAL EXP'!$G$64:$G$66)*ALLOCATION!P23</f>
        <v>22669.867164855343</v>
      </c>
      <c r="AM19" s="40">
        <f t="shared" si="11"/>
        <v>1267.598919486888</v>
      </c>
      <c r="AN19" s="40">
        <f t="shared" si="12"/>
        <v>4084962.6466498771</v>
      </c>
      <c r="AO19" s="40">
        <f>-AO20-AO21-AO74-AO87</f>
        <v>448283.38192824495</v>
      </c>
      <c r="AP19" s="41" t="s">
        <v>344</v>
      </c>
      <c r="AQ19" s="83">
        <f t="shared" si="13"/>
        <v>4533246.0285781221</v>
      </c>
      <c r="AR19" s="40"/>
      <c r="AS19" s="171">
        <f t="shared" si="14"/>
        <v>4533246.0285781221</v>
      </c>
      <c r="AT19" s="41" t="s">
        <v>336</v>
      </c>
      <c r="AU19" s="171"/>
      <c r="AV19" s="33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</row>
    <row r="20" spans="1:253" ht="13" customHeight="1">
      <c r="A20" s="25">
        <f>ALLOCATION!A24</f>
        <v>615000</v>
      </c>
      <c r="B20" s="24" t="str">
        <f>ALLOCATION!C24</f>
        <v>Water Construction</v>
      </c>
      <c r="C20" s="40">
        <f>'ACTUAL EXP'!$G$13*(ALLOCATION!P24)</f>
        <v>34083.279999766411</v>
      </c>
      <c r="D20" s="40">
        <f>(SUM('ACTUAL EXP'!$G$15,'ACTUAL EXP'!$G$17:$G$19,'ACTUAL EXP'!$G$22))*ALLOCATION!P24</f>
        <v>54971.014699611726</v>
      </c>
      <c r="E20" s="176">
        <f>(('ACTUAL EXP'!$G$25)*(ALLOCATION!P24))</f>
        <v>0</v>
      </c>
      <c r="F20" s="40">
        <f>'ACTUAL EXP'!$G$28*ALLOCATION!P24</f>
        <v>0</v>
      </c>
      <c r="G20" s="40">
        <v>0</v>
      </c>
      <c r="H20" s="40">
        <f>SUM('ACTUAL EXP'!$G$30:$G$35)*ALLOCATION!P24</f>
        <v>49337.975085301528</v>
      </c>
      <c r="I20" s="40">
        <f>SUM('ACTUAL EXP'!$G$43:$G$47)*ALLOCATION!P24</f>
        <v>29801.644821488877</v>
      </c>
      <c r="J20" s="176">
        <f>(SUM('ACTUAL EXP'!$G$49:$G$50)*ALLOCATION!P24*0.5)+(SUM('ACTUAL EXP'!$G$49:$G$50)*ALLOCATION!P24*0.5)</f>
        <v>14296.386260804898</v>
      </c>
      <c r="K20" s="40">
        <f>SUM('ACTUAL EXP'!$G$52:$G$53)*ALLOCATION!P24</f>
        <v>15087.846214662964</v>
      </c>
      <c r="L20" s="40">
        <f>SUM('ACTUAL EXP'!$G$54:$G$54)*ALLOCATION!P24</f>
        <v>2057.4335747267678</v>
      </c>
      <c r="M20" s="40">
        <f>SUM('ACTUAL EXP'!$G$21:$G$21)*ALLOCATION!P24</f>
        <v>634.00464591920047</v>
      </c>
      <c r="N20" s="176">
        <f>SUM('ACTUAL EXP'!$G$58:$G$62)*0.39*ALLOCATION!P24</f>
        <v>10097.34228312756</v>
      </c>
      <c r="O20" s="176">
        <f>SUM('ACTUAL EXP'!$G$58:$G$62)*0.27*ALLOCATION!P24</f>
        <v>6990.4677344729271</v>
      </c>
      <c r="P20" s="176">
        <f>SUM('ACTUAL EXP'!$G$58:$G$62)*0.34*ALLOCATION!P24</f>
        <v>8802.8112211881289</v>
      </c>
      <c r="Q20" s="40">
        <f>'ACTUAL EXP'!$G$85*ALLOCATION!P24</f>
        <v>13398.432908460141</v>
      </c>
      <c r="R20" s="40">
        <f>SUM('ACTUAL EXP'!$G$68:$G$73)*ALLOCATION!P24</f>
        <v>36544.148348059614</v>
      </c>
      <c r="S20" s="40">
        <f>SUM('ACTUAL EXP'!$G$75)*ALLOCATION!P24</f>
        <v>5117.8867157322866</v>
      </c>
      <c r="T20" s="40">
        <f>SUM('ACTUAL EXP'!$G$77)*ALLOCATION!P24</f>
        <v>3360.3836399636948</v>
      </c>
      <c r="U20" s="40">
        <f>SUM('ACTUAL EXP'!$G$79)*ALLOCATION!P24</f>
        <v>5092.6236596551198</v>
      </c>
      <c r="V20" s="40">
        <f t="shared" si="0"/>
        <v>289673.68181294185</v>
      </c>
      <c r="W20" s="40">
        <f t="shared" si="1"/>
        <v>2608.9747570608183</v>
      </c>
      <c r="X20" s="40">
        <f t="shared" si="2"/>
        <v>1910.2627313416378</v>
      </c>
      <c r="Y20" s="40">
        <f t="shared" si="3"/>
        <v>6090.8700173461493</v>
      </c>
      <c r="Z20" s="40">
        <f t="shared" si="4"/>
        <v>2498.2300418570858</v>
      </c>
      <c r="AA20" s="40">
        <f t="shared" si="5"/>
        <v>972.60455576074537</v>
      </c>
      <c r="AB20" s="40">
        <f t="shared" si="6"/>
        <v>2116.3317227070311</v>
      </c>
      <c r="AC20" s="40">
        <f t="shared" si="7"/>
        <v>305870.95563901536</v>
      </c>
      <c r="AD20" s="40">
        <f>SUM('ACTUAL EXP'!$G$37:$G$39)*ALLOCATION!P24</f>
        <v>5992.2650350114018</v>
      </c>
      <c r="AE20" s="40">
        <f t="shared" si="8"/>
        <v>335.06101418340563</v>
      </c>
      <c r="AF20" s="40">
        <f>SUM('ACTUAL EXP'!$G$41)*ALLOCATION!P24</f>
        <v>1792.8213331727486</v>
      </c>
      <c r="AG20" s="40">
        <f t="shared" si="9"/>
        <v>100.24665642002323</v>
      </c>
      <c r="AH20" s="40">
        <f>SUM('ACTUAL EXP'!$G$81)*ALLOCATION!P24</f>
        <v>746.77982050432206</v>
      </c>
      <c r="AI20" s="40">
        <f t="shared" si="10"/>
        <v>41.75663168566836</v>
      </c>
      <c r="AJ20" s="296">
        <f>SUM('ACTUAL EXP'!$G$83)*ALLOCATION!P24</f>
        <v>5544.5874509122341</v>
      </c>
      <c r="AK20" s="40">
        <f t="shared" si="10"/>
        <v>310.02885948413353</v>
      </c>
      <c r="AL20" s="40">
        <f>SUM('ACTUAL EXP'!$G$64:$G$66)*ALLOCATION!P24</f>
        <v>1790.4367104901933</v>
      </c>
      <c r="AM20" s="40">
        <f t="shared" si="11"/>
        <v>100.11331884403255</v>
      </c>
      <c r="AN20" s="40">
        <f t="shared" si="12"/>
        <v>322625.05246972345</v>
      </c>
      <c r="AO20" s="40">
        <f>-AN20</f>
        <v>-322625.05246972345</v>
      </c>
      <c r="AP20" s="41" t="s">
        <v>345</v>
      </c>
      <c r="AQ20" s="83">
        <f t="shared" si="13"/>
        <v>0</v>
      </c>
      <c r="AR20" s="40"/>
      <c r="AS20" s="171">
        <f t="shared" si="14"/>
        <v>0</v>
      </c>
      <c r="AT20" s="41" t="s">
        <v>346</v>
      </c>
      <c r="AU20" s="171"/>
      <c r="AV20" s="33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</row>
    <row r="21" spans="1:253" ht="13" customHeight="1">
      <c r="A21" s="25">
        <f>ALLOCATION!A25</f>
        <v>612000</v>
      </c>
      <c r="B21" s="24" t="str">
        <f>ALLOCATION!C25</f>
        <v>Water Bond Sinking</v>
      </c>
      <c r="C21" s="40">
        <f>'ACTUAL EXP'!$G$13*(ALLOCATION!P25)</f>
        <v>13275.001412482085</v>
      </c>
      <c r="D21" s="40">
        <f>(SUM('ACTUAL EXP'!$G$15,'ACTUAL EXP'!$G$17:$G$19,'ACTUAL EXP'!$G$22))*ALLOCATION!P25</f>
        <v>21410.506787724666</v>
      </c>
      <c r="E21" s="176">
        <f>(('ACTUAL EXP'!$G$25)*(ALLOCATION!P25))</f>
        <v>0</v>
      </c>
      <c r="F21" s="40">
        <f>'ACTUAL EXP'!$G$28*ALLOCATION!P25</f>
        <v>0</v>
      </c>
      <c r="G21" s="40">
        <v>0</v>
      </c>
      <c r="H21" s="40">
        <f>SUM('ACTUAL EXP'!$G$30:$G$35)*ALLOCATION!P25</f>
        <v>19216.509941263645</v>
      </c>
      <c r="I21" s="40">
        <f>SUM('ACTUAL EXP'!$G$43:$G$47)*ALLOCATION!P25</f>
        <v>11607.359300579801</v>
      </c>
      <c r="J21" s="176">
        <f>(SUM('ACTUAL EXP'!$G$49:$G$50)*ALLOCATION!P25*0.5)+(SUM('ACTUAL EXP'!$G$49:$G$50)*ALLOCATION!P25*0.5)</f>
        <v>5568.2595045686676</v>
      </c>
      <c r="K21" s="40">
        <f>SUM('ACTUAL EXP'!$G$52:$G$53)*ALLOCATION!P25</f>
        <v>5876.5230286620299</v>
      </c>
      <c r="L21" s="40">
        <f>SUM('ACTUAL EXP'!$G$54:$G$54)*ALLOCATION!P25</f>
        <v>801.34404936300416</v>
      </c>
      <c r="M21" s="40">
        <f>SUM('ACTUAL EXP'!$G$21:$G$21)*ALLOCATION!P25</f>
        <v>246.93669653141572</v>
      </c>
      <c r="N21" s="176">
        <f>SUM('ACTUAL EXP'!$G$58:$G$62)*0.39*ALLOCATION!P25</f>
        <v>3932.7856084200844</v>
      </c>
      <c r="O21" s="176">
        <f>SUM('ACTUAL EXP'!$G$58:$G$62)*0.27*ALLOCATION!P25</f>
        <v>2722.6977289062124</v>
      </c>
      <c r="P21" s="176">
        <f>SUM('ACTUAL EXP'!$G$58:$G$62)*0.34*ALLOCATION!P25</f>
        <v>3428.5823252893042</v>
      </c>
      <c r="Q21" s="40">
        <f>'ACTUAL EXP'!$G$85*ALLOCATION!P25</f>
        <v>5218.5181645098064</v>
      </c>
      <c r="R21" s="40">
        <f>SUM('ACTUAL EXP'!$G$68:$G$73)*ALLOCATION!P25</f>
        <v>14233.478143587441</v>
      </c>
      <c r="S21" s="40">
        <f>SUM('ACTUAL EXP'!$G$75)*ALLOCATION!P25</f>
        <v>1993.3513846300893</v>
      </c>
      <c r="T21" s="40">
        <f>SUM('ACTUAL EXP'!$G$77)*ALLOCATION!P25</f>
        <v>1308.8264265442019</v>
      </c>
      <c r="U21" s="40">
        <f>SUM('ACTUAL EXP'!$G$79)*ALLOCATION!P25</f>
        <v>1983.5117475672739</v>
      </c>
      <c r="V21" s="40">
        <f t="shared" si="0"/>
        <v>112824.19225062973</v>
      </c>
      <c r="W21" s="40">
        <f t="shared" si="1"/>
        <v>1016.1622820734924</v>
      </c>
      <c r="X21" s="40">
        <f t="shared" si="2"/>
        <v>744.02288913936457</v>
      </c>
      <c r="Y21" s="40">
        <f t="shared" si="3"/>
        <v>2372.315929806904</v>
      </c>
      <c r="Z21" s="40">
        <f t="shared" si="4"/>
        <v>973.02863264877317</v>
      </c>
      <c r="AA21" s="40">
        <f t="shared" si="5"/>
        <v>378.81702851365515</v>
      </c>
      <c r="AB21" s="40">
        <f t="shared" si="6"/>
        <v>824.28412430989704</v>
      </c>
      <c r="AC21" s="40">
        <f t="shared" si="7"/>
        <v>119132.82313712181</v>
      </c>
      <c r="AD21" s="40">
        <f>SUM('ACTUAL EXP'!$G$37:$G$39)*ALLOCATION!P25</f>
        <v>2333.9105509883011</v>
      </c>
      <c r="AE21" s="40">
        <f t="shared" si="8"/>
        <v>130.50197740894873</v>
      </c>
      <c r="AF21" s="40">
        <f>SUM('ACTUAL EXP'!$G$41)*ALLOCATION!P25</f>
        <v>698.28096739396449</v>
      </c>
      <c r="AG21" s="40">
        <f t="shared" si="9"/>
        <v>39.044789867100086</v>
      </c>
      <c r="AH21" s="40">
        <f>SUM('ACTUAL EXP'!$G$81)*ALLOCATION!P25</f>
        <v>290.86118390236896</v>
      </c>
      <c r="AI21" s="40">
        <f t="shared" si="10"/>
        <v>16.263673701930699</v>
      </c>
      <c r="AJ21" s="296">
        <f>SUM('ACTUAL EXP'!$G$83)*ALLOCATION!P25</f>
        <v>2159.5458606975267</v>
      </c>
      <c r="AK21" s="40">
        <f t="shared" si="10"/>
        <v>120.75227347808922</v>
      </c>
      <c r="AL21" s="40">
        <f>SUM('ACTUAL EXP'!$G$64:$G$66)*ALLOCATION!P25</f>
        <v>697.35218737398463</v>
      </c>
      <c r="AM21" s="40">
        <f t="shared" si="11"/>
        <v>38.992856587508875</v>
      </c>
      <c r="AN21" s="40">
        <f t="shared" si="12"/>
        <v>125658.32945852153</v>
      </c>
      <c r="AO21" s="40">
        <f>-AN21</f>
        <v>-125658.32945852153</v>
      </c>
      <c r="AP21" s="41" t="s">
        <v>345</v>
      </c>
      <c r="AQ21" s="83">
        <f t="shared" si="13"/>
        <v>0</v>
      </c>
      <c r="AR21" s="40"/>
      <c r="AS21" s="171">
        <f t="shared" si="14"/>
        <v>0</v>
      </c>
      <c r="AT21" s="40"/>
      <c r="AU21" s="171"/>
      <c r="AV21" s="33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</row>
    <row r="22" spans="1:253" ht="13" customHeight="1">
      <c r="A22" s="25">
        <f>ALLOCATION!A26</f>
        <v>607000</v>
      </c>
      <c r="B22" s="24" t="str">
        <f>ALLOCATION!C26</f>
        <v>Spectator Fac Op</v>
      </c>
      <c r="C22" s="40">
        <f>'ACTUAL EXP'!$G$13*(ALLOCATION!P26)</f>
        <v>20902.107207120072</v>
      </c>
      <c r="D22" s="40">
        <f>(SUM('ACTUAL EXP'!$G$15,'ACTUAL EXP'!$G$17:$G$19,'ACTUAL EXP'!$G$22))*ALLOCATION!P26</f>
        <v>33711.838841312579</v>
      </c>
      <c r="E22" s="176">
        <f>(('ACTUAL EXP'!$G$25)*(ALLOCATION!P26))</f>
        <v>0</v>
      </c>
      <c r="F22" s="40">
        <f>'ACTUAL EXP'!$G$28*ALLOCATION!P26</f>
        <v>0</v>
      </c>
      <c r="G22" s="40">
        <v>0</v>
      </c>
      <c r="H22" s="40">
        <f>SUM('ACTUAL EXP'!$G$30:$G$35)*ALLOCATION!P26</f>
        <v>30257.288753378762</v>
      </c>
      <c r="I22" s="40">
        <f>SUM('ACTUAL EXP'!$G$43:$G$47)*ALLOCATION!P26</f>
        <v>18276.327131999744</v>
      </c>
      <c r="J22" s="176">
        <f>(SUM('ACTUAL EXP'!$G$49:$G$50)*ALLOCATION!P26*0.5)+(SUM('ACTUAL EXP'!$G$49:$G$50)*ALLOCATION!P26*0.5)</f>
        <v>8767.4835960562013</v>
      </c>
      <c r="K22" s="40">
        <f>SUM('ACTUAL EXP'!$G$52:$G$53)*ALLOCATION!P26</f>
        <v>9252.8588535372</v>
      </c>
      <c r="L22" s="40">
        <f>SUM('ACTUAL EXP'!$G$54:$G$54)*ALLOCATION!P26</f>
        <v>1261.7534800278002</v>
      </c>
      <c r="M22" s="40">
        <f>SUM('ACTUAL EXP'!$G$21:$G$21)*ALLOCATION!P26</f>
        <v>388.81331488360718</v>
      </c>
      <c r="N22" s="176">
        <f>SUM('ACTUAL EXP'!$G$58:$G$62)*0.39*ALLOCATION!P26</f>
        <v>6192.3538729360926</v>
      </c>
      <c r="O22" s="176">
        <f>SUM('ACTUAL EXP'!$G$58:$G$62)*0.27*ALLOCATION!P26</f>
        <v>4287.0142197249879</v>
      </c>
      <c r="P22" s="176">
        <f>SUM('ACTUAL EXP'!$G$58:$G$62)*0.34*ALLOCATION!P26</f>
        <v>5398.4623507647984</v>
      </c>
      <c r="Q22" s="40">
        <f>'ACTUAL EXP'!$G$85*ALLOCATION!P26</f>
        <v>8216.799588007927</v>
      </c>
      <c r="R22" s="40">
        <f>SUM('ACTUAL EXP'!$G$68:$G$73)*ALLOCATION!P26</f>
        <v>22411.273403536186</v>
      </c>
      <c r="S22" s="40">
        <f>SUM('ACTUAL EXP'!$G$75)*ALLOCATION!P26</f>
        <v>3138.624475310623</v>
      </c>
      <c r="T22" s="40">
        <f>SUM('ACTUAL EXP'!$G$77)*ALLOCATION!P26</f>
        <v>2060.8080883076659</v>
      </c>
      <c r="U22" s="40">
        <f>SUM('ACTUAL EXP'!$G$79)*ALLOCATION!P26</f>
        <v>3123.1315090671142</v>
      </c>
      <c r="V22" s="40">
        <f t="shared" si="0"/>
        <v>177646.93868597137</v>
      </c>
      <c r="W22" s="40">
        <f t="shared" si="1"/>
        <v>1599.9947796435379</v>
      </c>
      <c r="X22" s="40">
        <f t="shared" si="2"/>
        <v>1171.498646977127</v>
      </c>
      <c r="Y22" s="40">
        <f t="shared" si="3"/>
        <v>3735.3217791267452</v>
      </c>
      <c r="Z22" s="40">
        <f t="shared" si="4"/>
        <v>1532.0788422740638</v>
      </c>
      <c r="AA22" s="40">
        <f t="shared" si="5"/>
        <v>596.46503196827939</v>
      </c>
      <c r="AB22" s="40">
        <f t="shared" si="6"/>
        <v>1297.8736950831797</v>
      </c>
      <c r="AC22" s="40">
        <f t="shared" si="7"/>
        <v>187580.17146104429</v>
      </c>
      <c r="AD22" s="40">
        <f>SUM('ACTUAL EXP'!$G$37:$G$39)*ALLOCATION!P26</f>
        <v>3674.8507237608537</v>
      </c>
      <c r="AE22" s="40">
        <f t="shared" si="8"/>
        <v>205.4814336952289</v>
      </c>
      <c r="AF22" s="40">
        <f>SUM('ACTUAL EXP'!$G$41)*ALLOCATION!P26</f>
        <v>1099.4758635156459</v>
      </c>
      <c r="AG22" s="40">
        <f t="shared" si="9"/>
        <v>61.477837803785832</v>
      </c>
      <c r="AH22" s="40">
        <f>SUM('ACTUAL EXP'!$G$81)*ALLOCATION!P26</f>
        <v>457.97446338504398</v>
      </c>
      <c r="AI22" s="40">
        <f t="shared" si="10"/>
        <v>25.607910744155159</v>
      </c>
      <c r="AJ22" s="296">
        <f>SUM('ACTUAL EXP'!$G$83)*ALLOCATION!P26</f>
        <v>3400.3054083707434</v>
      </c>
      <c r="AK22" s="40">
        <f t="shared" si="10"/>
        <v>190.13007135120023</v>
      </c>
      <c r="AL22" s="40">
        <f>SUM('ACTUAL EXP'!$G$64:$G$66)*ALLOCATION!P26</f>
        <v>1098.0134561722318</v>
      </c>
      <c r="AM22" s="40">
        <f t="shared" si="11"/>
        <v>61.396066439406773</v>
      </c>
      <c r="AN22" s="40">
        <f t="shared" si="12"/>
        <v>197854.8846962825</v>
      </c>
      <c r="AO22" s="40"/>
      <c r="AP22" s="41"/>
      <c r="AQ22" s="83">
        <f t="shared" si="13"/>
        <v>197854.8846962825</v>
      </c>
      <c r="AR22" s="40"/>
      <c r="AS22" s="171">
        <f t="shared" si="14"/>
        <v>197854.8846962825</v>
      </c>
      <c r="AT22" s="40" t="s">
        <v>347</v>
      </c>
      <c r="AU22" s="171"/>
      <c r="AV22" s="33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</row>
    <row r="23" spans="1:253" ht="13" customHeight="1">
      <c r="A23" s="25">
        <f>ALLOCATION!A27</f>
        <v>617000</v>
      </c>
      <c r="B23" s="24" t="str">
        <f>ALLOCATION!C27</f>
        <v>Sewer Sys Rate Stblt</v>
      </c>
      <c r="C23" s="40">
        <f>'ACTUAL EXP'!$G$13*(ALLOCATION!P27)</f>
        <v>0</v>
      </c>
      <c r="D23" s="40">
        <f>(SUM('ACTUAL EXP'!$G$15,'ACTUAL EXP'!$G$17:$G$19,'ACTUAL EXP'!$G$22))*ALLOCATION!P27</f>
        <v>0</v>
      </c>
      <c r="E23" s="176">
        <f>(('ACTUAL EXP'!$G$25)*(ALLOCATION!P27))</f>
        <v>0</v>
      </c>
      <c r="F23" s="40">
        <f>'ACTUAL EXP'!$G$28*ALLOCATION!P27</f>
        <v>0</v>
      </c>
      <c r="G23" s="40">
        <v>0</v>
      </c>
      <c r="H23" s="40">
        <f>SUM('ACTUAL EXP'!$G$30:$G$35)*ALLOCATION!P27</f>
        <v>0</v>
      </c>
      <c r="I23" s="40">
        <f>SUM('ACTUAL EXP'!$G$43:$G$47)*ALLOCATION!P27</f>
        <v>0</v>
      </c>
      <c r="J23" s="176">
        <f>(SUM('ACTUAL EXP'!$G$49:$G$50)*ALLOCATION!P27*0.5)+(SUM('ACTUAL EXP'!$G$49:$G$50)*ALLOCATION!P27*0.5)</f>
        <v>0</v>
      </c>
      <c r="K23" s="40">
        <f>SUM('ACTUAL EXP'!$G$52:$G$53)*ALLOCATION!P27</f>
        <v>0</v>
      </c>
      <c r="L23" s="40">
        <f>SUM('ACTUAL EXP'!$G$54:$G$54)*ALLOCATION!P27</f>
        <v>0</v>
      </c>
      <c r="M23" s="40">
        <f>SUM('ACTUAL EXP'!$G$21:$G$21)*ALLOCATION!P27</f>
        <v>0</v>
      </c>
      <c r="N23" s="176">
        <f>SUM('ACTUAL EXP'!$G$58:$G$62)*0.39*ALLOCATION!P27</f>
        <v>0</v>
      </c>
      <c r="O23" s="176">
        <f>SUM('ACTUAL EXP'!$G$58:$G$62)*0.27*ALLOCATION!P27</f>
        <v>0</v>
      </c>
      <c r="P23" s="176">
        <f>SUM('ACTUAL EXP'!$G$58:$G$62)*0.34*ALLOCATION!P27</f>
        <v>0</v>
      </c>
      <c r="Q23" s="40">
        <f>'ACTUAL EXP'!$G$85*ALLOCATION!P27</f>
        <v>0</v>
      </c>
      <c r="R23" s="40">
        <f>SUM('ACTUAL EXP'!$G$68:$G$73)*ALLOCATION!P27</f>
        <v>0</v>
      </c>
      <c r="S23" s="40">
        <f>SUM('ACTUAL EXP'!$G$75)*ALLOCATION!P27</f>
        <v>0</v>
      </c>
      <c r="T23" s="40">
        <f>SUM('ACTUAL EXP'!$G$77)*ALLOCATION!P27</f>
        <v>0</v>
      </c>
      <c r="U23" s="40">
        <f>SUM('ACTUAL EXP'!$G$79)*ALLOCATION!P27</f>
        <v>0</v>
      </c>
      <c r="V23" s="40">
        <f t="shared" si="0"/>
        <v>0</v>
      </c>
      <c r="W23" s="40">
        <f t="shared" si="1"/>
        <v>0</v>
      </c>
      <c r="X23" s="40">
        <f t="shared" si="2"/>
        <v>0</v>
      </c>
      <c r="Y23" s="40">
        <f t="shared" si="3"/>
        <v>0</v>
      </c>
      <c r="Z23" s="40">
        <f t="shared" si="4"/>
        <v>0</v>
      </c>
      <c r="AA23" s="40">
        <f t="shared" si="5"/>
        <v>0</v>
      </c>
      <c r="AB23" s="40">
        <f t="shared" si="6"/>
        <v>0</v>
      </c>
      <c r="AC23" s="40">
        <f t="shared" si="7"/>
        <v>0</v>
      </c>
      <c r="AD23" s="40">
        <f>SUM('ACTUAL EXP'!$G$37:$G$39)*ALLOCATION!P27</f>
        <v>0</v>
      </c>
      <c r="AE23" s="40">
        <f t="shared" si="8"/>
        <v>0</v>
      </c>
      <c r="AF23" s="40">
        <f>SUM('ACTUAL EXP'!$G$41)*ALLOCATION!P27</f>
        <v>0</v>
      </c>
      <c r="AG23" s="40">
        <f t="shared" si="9"/>
        <v>0</v>
      </c>
      <c r="AH23" s="40">
        <f>SUM('ACTUAL EXP'!$G$81)*ALLOCATION!P27</f>
        <v>0</v>
      </c>
      <c r="AI23" s="40">
        <f t="shared" si="10"/>
        <v>0</v>
      </c>
      <c r="AJ23" s="296">
        <f>SUM('ACTUAL EXP'!$G$83)*ALLOCATION!P27</f>
        <v>0</v>
      </c>
      <c r="AK23" s="40">
        <f t="shared" si="10"/>
        <v>0</v>
      </c>
      <c r="AL23" s="40">
        <f>SUM('ACTUAL EXP'!$G$64:$G$66)*ALLOCATION!P27</f>
        <v>0</v>
      </c>
      <c r="AM23" s="40">
        <f t="shared" si="11"/>
        <v>0</v>
      </c>
      <c r="AN23" s="40">
        <f t="shared" si="12"/>
        <v>0</v>
      </c>
      <c r="AO23" s="40">
        <f>-AN23</f>
        <v>0</v>
      </c>
      <c r="AP23" s="41" t="s">
        <v>341</v>
      </c>
      <c r="AQ23" s="83">
        <f t="shared" si="13"/>
        <v>0</v>
      </c>
      <c r="AR23" s="40"/>
      <c r="AS23" s="171">
        <f t="shared" si="14"/>
        <v>0</v>
      </c>
      <c r="AT23" s="40" t="s">
        <v>348</v>
      </c>
      <c r="AU23" s="171"/>
      <c r="AV23" s="33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</row>
    <row r="24" spans="1:253" ht="13" customHeight="1">
      <c r="A24" s="25">
        <f>ALLOCATION!A28</f>
        <v>619000</v>
      </c>
      <c r="B24" s="24" t="str">
        <f>ALLOCATION!C28</f>
        <v>Sewer Sys Safety Net</v>
      </c>
      <c r="C24" s="40">
        <f>'ACTUAL EXP'!$G$13*(ALLOCATION!P28)</f>
        <v>0</v>
      </c>
      <c r="D24" s="40">
        <f>(SUM('ACTUAL EXP'!$G$15,'ACTUAL EXP'!$G$17:$G$19,'ACTUAL EXP'!$G$22))*ALLOCATION!P28</f>
        <v>0</v>
      </c>
      <c r="E24" s="176">
        <f>(('ACTUAL EXP'!$G$25)*(ALLOCATION!P28))</f>
        <v>0</v>
      </c>
      <c r="F24" s="40">
        <f>'ACTUAL EXP'!$G$28*ALLOCATION!P28</f>
        <v>0</v>
      </c>
      <c r="G24" s="40">
        <v>0</v>
      </c>
      <c r="H24" s="40">
        <f>SUM('ACTUAL EXP'!$G$30:$G$35)*ALLOCATION!P28</f>
        <v>0</v>
      </c>
      <c r="I24" s="40">
        <f>SUM('ACTUAL EXP'!$G$43:$G$47)*ALLOCATION!P28</f>
        <v>0</v>
      </c>
      <c r="J24" s="176">
        <f>(SUM('ACTUAL EXP'!$G$49:$G$50)*ALLOCATION!P28*0.5)+(SUM('ACTUAL EXP'!$G$49:$G$50)*ALLOCATION!P28*0.5)</f>
        <v>0</v>
      </c>
      <c r="K24" s="40">
        <f>SUM('ACTUAL EXP'!$G$52:$G$53)*ALLOCATION!P28</f>
        <v>0</v>
      </c>
      <c r="L24" s="40">
        <f>SUM('ACTUAL EXP'!$G$54:$G$54)*ALLOCATION!P28</f>
        <v>0</v>
      </c>
      <c r="M24" s="40">
        <f>SUM('ACTUAL EXP'!$G$21:$G$21)*ALLOCATION!P28</f>
        <v>0</v>
      </c>
      <c r="N24" s="176">
        <f>SUM('ACTUAL EXP'!$G$58:$G$62)*0.39*ALLOCATION!P28</f>
        <v>0</v>
      </c>
      <c r="O24" s="176">
        <f>SUM('ACTUAL EXP'!$G$58:$G$62)*0.27*ALLOCATION!P28</f>
        <v>0</v>
      </c>
      <c r="P24" s="176">
        <f>SUM('ACTUAL EXP'!$G$58:$G$62)*0.34*ALLOCATION!P28</f>
        <v>0</v>
      </c>
      <c r="Q24" s="40">
        <f>'ACTUAL EXP'!$G$85*ALLOCATION!P28</f>
        <v>0</v>
      </c>
      <c r="R24" s="40">
        <f>SUM('ACTUAL EXP'!$G$68:$G$73)*ALLOCATION!P28</f>
        <v>0</v>
      </c>
      <c r="S24" s="40">
        <f>SUM('ACTUAL EXP'!$G$75)*ALLOCATION!P28</f>
        <v>0</v>
      </c>
      <c r="T24" s="40">
        <f>SUM('ACTUAL EXP'!$G$77)*ALLOCATION!P28</f>
        <v>0</v>
      </c>
      <c r="U24" s="40">
        <f>SUM('ACTUAL EXP'!$G$79)*ALLOCATION!P28</f>
        <v>0</v>
      </c>
      <c r="V24" s="40">
        <f t="shared" si="0"/>
        <v>0</v>
      </c>
      <c r="W24" s="40">
        <f t="shared" si="1"/>
        <v>0</v>
      </c>
      <c r="X24" s="40">
        <f t="shared" si="2"/>
        <v>0</v>
      </c>
      <c r="Y24" s="40">
        <f t="shared" si="3"/>
        <v>0</v>
      </c>
      <c r="Z24" s="40">
        <f t="shared" si="4"/>
        <v>0</v>
      </c>
      <c r="AA24" s="40">
        <f t="shared" si="5"/>
        <v>0</v>
      </c>
      <c r="AB24" s="40">
        <f t="shared" si="6"/>
        <v>0</v>
      </c>
      <c r="AC24" s="40">
        <f t="shared" si="7"/>
        <v>0</v>
      </c>
      <c r="AD24" s="40">
        <f>SUM('ACTUAL EXP'!$G$37:$G$39)*ALLOCATION!P28</f>
        <v>0</v>
      </c>
      <c r="AE24" s="40">
        <f t="shared" si="8"/>
        <v>0</v>
      </c>
      <c r="AF24" s="40">
        <f>SUM('ACTUAL EXP'!$G$41)*ALLOCATION!P28</f>
        <v>0</v>
      </c>
      <c r="AG24" s="40">
        <f t="shared" si="9"/>
        <v>0</v>
      </c>
      <c r="AH24" s="40">
        <f>SUM('ACTUAL EXP'!$G$81)*ALLOCATION!P28</f>
        <v>0</v>
      </c>
      <c r="AI24" s="40">
        <f t="shared" si="10"/>
        <v>0</v>
      </c>
      <c r="AJ24" s="296">
        <f>SUM('ACTUAL EXP'!$G$83)*ALLOCATION!P28</f>
        <v>0</v>
      </c>
      <c r="AK24" s="40">
        <f t="shared" si="10"/>
        <v>0</v>
      </c>
      <c r="AL24" s="40">
        <f>SUM('ACTUAL EXP'!$G$64:$G$66)*ALLOCATION!P28</f>
        <v>0</v>
      </c>
      <c r="AM24" s="40">
        <f t="shared" si="11"/>
        <v>0</v>
      </c>
      <c r="AN24" s="40">
        <f t="shared" si="12"/>
        <v>0</v>
      </c>
      <c r="AO24" s="40">
        <f>-AN24</f>
        <v>0</v>
      </c>
      <c r="AP24" s="41" t="s">
        <v>341</v>
      </c>
      <c r="AQ24" s="83">
        <f t="shared" si="13"/>
        <v>0</v>
      </c>
      <c r="AR24" s="40"/>
      <c r="AS24" s="171">
        <f t="shared" si="14"/>
        <v>0</v>
      </c>
      <c r="AT24" s="40" t="s">
        <v>349</v>
      </c>
      <c r="AU24" s="171"/>
      <c r="AV24" s="33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</row>
    <row r="25" spans="1:253" ht="13" customHeight="1">
      <c r="A25" s="25">
        <f>ALLOCATION!A29</f>
        <v>620000</v>
      </c>
      <c r="B25" s="24" t="str">
        <f>ALLOCATION!C29</f>
        <v>Sewer Revolving Loan</v>
      </c>
      <c r="C25" s="40">
        <f>'ACTUAL EXP'!$G$13*(ALLOCATION!P29)</f>
        <v>0</v>
      </c>
      <c r="D25" s="40">
        <f>(SUM('ACTUAL EXP'!$G$15,'ACTUAL EXP'!$G$17:$G$19,'ACTUAL EXP'!$G$22))*ALLOCATION!P29</f>
        <v>0</v>
      </c>
      <c r="E25" s="176">
        <f>(('ACTUAL EXP'!$G$25)*(ALLOCATION!P29))</f>
        <v>0</v>
      </c>
      <c r="F25" s="40">
        <f>'ACTUAL EXP'!$G$28*ALLOCATION!P29</f>
        <v>0</v>
      </c>
      <c r="G25" s="40">
        <v>0</v>
      </c>
      <c r="H25" s="40">
        <f>SUM('ACTUAL EXP'!$G$30:$G$35)*ALLOCATION!P29</f>
        <v>0</v>
      </c>
      <c r="I25" s="40">
        <f>SUM('ACTUAL EXP'!$G$43:$G$47)*ALLOCATION!P29</f>
        <v>0</v>
      </c>
      <c r="J25" s="176">
        <f>(SUM('ACTUAL EXP'!$G$49:$G$50)*ALLOCATION!P29*0.5)+(SUM('ACTUAL EXP'!$G$49:$G$50)*ALLOCATION!P29*0.5)</f>
        <v>0</v>
      </c>
      <c r="K25" s="40">
        <f>SUM('ACTUAL EXP'!$G$52:$G$53)*ALLOCATION!P29</f>
        <v>0</v>
      </c>
      <c r="L25" s="40">
        <f>SUM('ACTUAL EXP'!$G$54:$G$54)*ALLOCATION!P29</f>
        <v>0</v>
      </c>
      <c r="M25" s="40">
        <f>SUM('ACTUAL EXP'!$G$21:$G$21)*ALLOCATION!P29</f>
        <v>0</v>
      </c>
      <c r="N25" s="176">
        <f>SUM('ACTUAL EXP'!$G$58:$G$62)*0.39*ALLOCATION!P29</f>
        <v>0</v>
      </c>
      <c r="O25" s="176">
        <f>SUM('ACTUAL EXP'!$G$58:$G$62)*0.27*ALLOCATION!P29</f>
        <v>0</v>
      </c>
      <c r="P25" s="176">
        <f>SUM('ACTUAL EXP'!$G$58:$G$62)*0.34*ALLOCATION!P29</f>
        <v>0</v>
      </c>
      <c r="Q25" s="40">
        <f>'ACTUAL EXP'!$G$85*ALLOCATION!P29</f>
        <v>0</v>
      </c>
      <c r="R25" s="40">
        <f>SUM('ACTUAL EXP'!$G$68:$G$73)*ALLOCATION!P29</f>
        <v>0</v>
      </c>
      <c r="S25" s="40">
        <f>SUM('ACTUAL EXP'!$G$75)*ALLOCATION!P29</f>
        <v>0</v>
      </c>
      <c r="T25" s="40">
        <f>SUM('ACTUAL EXP'!$G$77)*ALLOCATION!P29</f>
        <v>0</v>
      </c>
      <c r="U25" s="40">
        <f>SUM('ACTUAL EXP'!$G$79)*ALLOCATION!P29</f>
        <v>0</v>
      </c>
      <c r="V25" s="40">
        <f t="shared" si="0"/>
        <v>0</v>
      </c>
      <c r="W25" s="40">
        <f t="shared" si="1"/>
        <v>0</v>
      </c>
      <c r="X25" s="40">
        <f t="shared" si="2"/>
        <v>0</v>
      </c>
      <c r="Y25" s="40">
        <f t="shared" si="3"/>
        <v>0</v>
      </c>
      <c r="Z25" s="40">
        <f t="shared" si="4"/>
        <v>0</v>
      </c>
      <c r="AA25" s="40">
        <f t="shared" si="5"/>
        <v>0</v>
      </c>
      <c r="AB25" s="40">
        <f t="shared" si="6"/>
        <v>0</v>
      </c>
      <c r="AC25" s="40">
        <f t="shared" si="7"/>
        <v>0</v>
      </c>
      <c r="AD25" s="40">
        <f>SUM('ACTUAL EXP'!$G$37:$G$39)*ALLOCATION!P29</f>
        <v>0</v>
      </c>
      <c r="AE25" s="40">
        <f t="shared" si="8"/>
        <v>0</v>
      </c>
      <c r="AF25" s="40">
        <f>SUM('ACTUAL EXP'!$G$41)*ALLOCATION!P29</f>
        <v>0</v>
      </c>
      <c r="AG25" s="40">
        <f t="shared" si="9"/>
        <v>0</v>
      </c>
      <c r="AH25" s="40">
        <f>SUM('ACTUAL EXP'!$G$81)*ALLOCATION!P29</f>
        <v>0</v>
      </c>
      <c r="AI25" s="40">
        <f t="shared" si="10"/>
        <v>0</v>
      </c>
      <c r="AJ25" s="296">
        <f>SUM('ACTUAL EXP'!$G$83)*ALLOCATION!P29</f>
        <v>0</v>
      </c>
      <c r="AK25" s="40">
        <f t="shared" si="10"/>
        <v>0</v>
      </c>
      <c r="AL25" s="40">
        <f>SUM('ACTUAL EXP'!$G$64:$G$66)*ALLOCATION!P29</f>
        <v>0</v>
      </c>
      <c r="AM25" s="40">
        <f t="shared" si="11"/>
        <v>0</v>
      </c>
      <c r="AN25" s="40">
        <f t="shared" si="12"/>
        <v>0</v>
      </c>
      <c r="AO25" s="40">
        <f>-AN25</f>
        <v>0</v>
      </c>
      <c r="AP25" s="41" t="s">
        <v>341</v>
      </c>
      <c r="AQ25" s="83">
        <f t="shared" si="13"/>
        <v>0</v>
      </c>
      <c r="AR25" s="40"/>
      <c r="AS25" s="171">
        <f t="shared" si="14"/>
        <v>0</v>
      </c>
      <c r="AT25" s="40" t="s">
        <v>350</v>
      </c>
      <c r="AU25" s="171"/>
      <c r="AV25" s="33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</row>
    <row r="26" spans="1:253" ht="13" customHeight="1">
      <c r="A26" s="25">
        <f>ALLOCATION!A30</f>
        <v>802000</v>
      </c>
      <c r="B26" s="24" t="str">
        <f>ALLOCATION!C30</f>
        <v>F&amp;P Suppl Retir Rsrv</v>
      </c>
      <c r="C26" s="40">
        <f>'ACTUAL EXP'!$G$13*(ALLOCATION!P30)</f>
        <v>0</v>
      </c>
      <c r="D26" s="40">
        <f>(SUM('ACTUAL EXP'!$G$15,'ACTUAL EXP'!$G$17:$G$19,'ACTUAL EXP'!$G$22))*ALLOCATION!P30</f>
        <v>0</v>
      </c>
      <c r="E26" s="176">
        <f>(('ACTUAL EXP'!$G$25)*(ALLOCATION!P30))</f>
        <v>0</v>
      </c>
      <c r="F26" s="40">
        <f>'ACTUAL EXP'!$G$28*ALLOCATION!P30</f>
        <v>0</v>
      </c>
      <c r="G26" s="40">
        <v>0</v>
      </c>
      <c r="H26" s="40">
        <f>SUM('ACTUAL EXP'!$G$30:$G$35)*ALLOCATION!P30</f>
        <v>0</v>
      </c>
      <c r="I26" s="40">
        <f>SUM('ACTUAL EXP'!$G$43:$G$47)*ALLOCATION!P30</f>
        <v>0</v>
      </c>
      <c r="J26" s="176">
        <f>(SUM('ACTUAL EXP'!$G$49:$G$50)*ALLOCATION!P30*0.5)+(SUM('ACTUAL EXP'!$G$49:$G$50)*ALLOCATION!P30*0.5)</f>
        <v>0</v>
      </c>
      <c r="K26" s="40">
        <f>SUM('ACTUAL EXP'!$G$52:$G$53)*ALLOCATION!P30</f>
        <v>0</v>
      </c>
      <c r="L26" s="40">
        <f>SUM('ACTUAL EXP'!$G$54:$G$54)*ALLOCATION!P30</f>
        <v>0</v>
      </c>
      <c r="M26" s="40">
        <f>SUM('ACTUAL EXP'!$G$21:$G$21)*ALLOCATION!P30</f>
        <v>0</v>
      </c>
      <c r="N26" s="176">
        <f>SUM('ACTUAL EXP'!$G$58:$G$62)*0.39*ALLOCATION!P30</f>
        <v>0</v>
      </c>
      <c r="O26" s="176">
        <f>SUM('ACTUAL EXP'!$G$58:$G$62)*0.27*ALLOCATION!P30</f>
        <v>0</v>
      </c>
      <c r="P26" s="176">
        <f>SUM('ACTUAL EXP'!$G$58:$G$62)*0.34*ALLOCATION!P30</f>
        <v>0</v>
      </c>
      <c r="Q26" s="40">
        <f>'ACTUAL EXP'!$G$85*ALLOCATION!P30</f>
        <v>0</v>
      </c>
      <c r="R26" s="40">
        <f>SUM('ACTUAL EXP'!$G$68:$G$73)*ALLOCATION!P30</f>
        <v>0</v>
      </c>
      <c r="S26" s="40">
        <f>SUM('ACTUAL EXP'!$G$75)*ALLOCATION!P30</f>
        <v>0</v>
      </c>
      <c r="T26" s="40">
        <f>SUM('ACTUAL EXP'!$G$77)*ALLOCATION!P30</f>
        <v>0</v>
      </c>
      <c r="U26" s="40">
        <f>SUM('ACTUAL EXP'!$G$79)*ALLOCATION!P30</f>
        <v>0</v>
      </c>
      <c r="V26" s="40">
        <f t="shared" si="0"/>
        <v>0</v>
      </c>
      <c r="W26" s="40">
        <f t="shared" si="1"/>
        <v>0</v>
      </c>
      <c r="X26" s="40">
        <f t="shared" si="2"/>
        <v>0</v>
      </c>
      <c r="Y26" s="40">
        <f t="shared" si="3"/>
        <v>0</v>
      </c>
      <c r="Z26" s="40">
        <f t="shared" si="4"/>
        <v>0</v>
      </c>
      <c r="AA26" s="40">
        <f t="shared" si="5"/>
        <v>0</v>
      </c>
      <c r="AB26" s="40">
        <f t="shared" si="6"/>
        <v>0</v>
      </c>
      <c r="AC26" s="40">
        <f t="shared" si="7"/>
        <v>0</v>
      </c>
      <c r="AD26" s="40">
        <f>SUM('ACTUAL EXP'!$G$37:$G$39)*ALLOCATION!P30</f>
        <v>0</v>
      </c>
      <c r="AE26" s="40">
        <f t="shared" si="8"/>
        <v>0</v>
      </c>
      <c r="AF26" s="40">
        <f>SUM('ACTUAL EXP'!$G$41)*ALLOCATION!P30</f>
        <v>0</v>
      </c>
      <c r="AG26" s="40">
        <f t="shared" si="9"/>
        <v>0</v>
      </c>
      <c r="AH26" s="40">
        <f>SUM('ACTUAL EXP'!$G$81)*ALLOCATION!P30</f>
        <v>0</v>
      </c>
      <c r="AI26" s="40">
        <f t="shared" si="10"/>
        <v>0</v>
      </c>
      <c r="AJ26" s="296">
        <f>SUM('ACTUAL EXP'!$G$83)*ALLOCATION!P30</f>
        <v>0</v>
      </c>
      <c r="AK26" s="40">
        <f t="shared" si="10"/>
        <v>0</v>
      </c>
      <c r="AL26" s="40">
        <f>SUM('ACTUAL EXP'!$G$64:$G$66)*ALLOCATION!P30</f>
        <v>0</v>
      </c>
      <c r="AM26" s="40">
        <f t="shared" si="11"/>
        <v>0</v>
      </c>
      <c r="AN26" s="40">
        <f t="shared" si="12"/>
        <v>0</v>
      </c>
      <c r="AO26" s="40">
        <f>-AN26</f>
        <v>0</v>
      </c>
      <c r="AP26" s="41" t="s">
        <v>351</v>
      </c>
      <c r="AQ26" s="83">
        <f t="shared" si="13"/>
        <v>0</v>
      </c>
      <c r="AR26" s="40"/>
      <c r="AS26" s="171">
        <f t="shared" si="14"/>
        <v>0</v>
      </c>
      <c r="AT26" s="40" t="s">
        <v>352</v>
      </c>
      <c r="AU26" s="171"/>
      <c r="AV26" s="33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</row>
    <row r="27" spans="1:253" ht="13" customHeight="1">
      <c r="A27" s="25">
        <f>ALLOCATION!A31</f>
        <v>800000</v>
      </c>
      <c r="B27" s="24" t="str">
        <f>ALLOCATION!C31</f>
        <v>FPDR</v>
      </c>
      <c r="C27" s="40">
        <f>'ACTUAL EXP'!$G$13*(ALLOCATION!P31)</f>
        <v>10235.021128525916</v>
      </c>
      <c r="D27" s="40">
        <f>(SUM('ACTUAL EXP'!$G$15,'ACTUAL EXP'!$G$17:$G$19,'ACTUAL EXP'!$G$22))*ALLOCATION!P31</f>
        <v>16507.492732826493</v>
      </c>
      <c r="E27" s="176">
        <f>(('ACTUAL EXP'!$G$25)*(ALLOCATION!P31))</f>
        <v>0</v>
      </c>
      <c r="F27" s="40">
        <f>'ACTUAL EXP'!$G$28*ALLOCATION!P31</f>
        <v>0</v>
      </c>
      <c r="G27" s="40">
        <v>0</v>
      </c>
      <c r="H27" s="40">
        <f>SUM('ACTUAL EXP'!$G$30:$G$35)*ALLOCATION!P31</f>
        <v>14815.921984040477</v>
      </c>
      <c r="I27" s="40">
        <f>SUM('ACTUAL EXP'!$G$43:$G$47)*ALLOCATION!P31</f>
        <v>8949.2696834006001</v>
      </c>
      <c r="J27" s="176">
        <f>(SUM('ACTUAL EXP'!$G$49:$G$50)*ALLOCATION!P31*0.5)+(SUM('ACTUAL EXP'!$G$49:$G$50)*ALLOCATION!P31*0.5)</f>
        <v>4293.1259973191709</v>
      </c>
      <c r="K27" s="40">
        <f>SUM('ACTUAL EXP'!$G$52:$G$53)*ALLOCATION!P31</f>
        <v>4530.7970592056727</v>
      </c>
      <c r="L27" s="40">
        <f>SUM('ACTUAL EXP'!$G$54:$G$54)*ALLOCATION!P31</f>
        <v>617.83596261895536</v>
      </c>
      <c r="M27" s="40">
        <f>SUM('ACTUAL EXP'!$G$21:$G$21)*ALLOCATION!P31</f>
        <v>190.38810075236538</v>
      </c>
      <c r="N27" s="176">
        <f>SUM('ACTUAL EXP'!$G$58:$G$62)*0.39*ALLOCATION!P31</f>
        <v>3032.176234519593</v>
      </c>
      <c r="O27" s="176">
        <f>SUM('ACTUAL EXP'!$G$58:$G$62)*0.27*ALLOCATION!P31</f>
        <v>2099.1989315904875</v>
      </c>
      <c r="P27" s="176">
        <f>SUM('ACTUAL EXP'!$G$58:$G$62)*0.34*ALLOCATION!P31</f>
        <v>2643.4356916324655</v>
      </c>
      <c r="Q27" s="40">
        <f>'ACTUAL EXP'!$G$85*ALLOCATION!P31</f>
        <v>4023.4755548223734</v>
      </c>
      <c r="R27" s="40">
        <f>SUM('ACTUAL EXP'!$G$68:$G$73)*ALLOCATION!P31</f>
        <v>10974.006330052123</v>
      </c>
      <c r="S27" s="40">
        <f>SUM('ACTUAL EXP'!$G$75)*ALLOCATION!P31</f>
        <v>1536.8731726899832</v>
      </c>
      <c r="T27" s="40">
        <f>SUM('ACTUAL EXP'!$G$77)*ALLOCATION!P31</f>
        <v>1009.1046857936487</v>
      </c>
      <c r="U27" s="40">
        <f>SUM('ACTUAL EXP'!$G$79)*ALLOCATION!P31</f>
        <v>1529.2868161913505</v>
      </c>
      <c r="V27" s="40">
        <f t="shared" si="0"/>
        <v>86987.41006598169</v>
      </c>
      <c r="W27" s="40">
        <f t="shared" si="1"/>
        <v>783.46073976715979</v>
      </c>
      <c r="X27" s="40">
        <f t="shared" si="2"/>
        <v>573.64136950584816</v>
      </c>
      <c r="Y27" s="40">
        <f t="shared" si="3"/>
        <v>1829.0546954128267</v>
      </c>
      <c r="Z27" s="40">
        <f t="shared" si="4"/>
        <v>750.2047121785431</v>
      </c>
      <c r="AA27" s="40">
        <f t="shared" si="5"/>
        <v>292.06778743067019</v>
      </c>
      <c r="AB27" s="40">
        <f t="shared" si="6"/>
        <v>635.52275183094343</v>
      </c>
      <c r="AC27" s="40">
        <f t="shared" si="7"/>
        <v>91851.362122107676</v>
      </c>
      <c r="AD27" s="40">
        <f>SUM('ACTUAL EXP'!$G$37:$G$39)*ALLOCATION!P31</f>
        <v>1799.4441626947028</v>
      </c>
      <c r="AE27" s="40">
        <f t="shared" si="8"/>
        <v>100.61697581735037</v>
      </c>
      <c r="AF27" s="40">
        <f>SUM('ACTUAL EXP'!$G$41)*ALLOCATION!P31</f>
        <v>538.37436493262499</v>
      </c>
      <c r="AG27" s="40">
        <f t="shared" si="9"/>
        <v>30.103518397585194</v>
      </c>
      <c r="AH27" s="40">
        <f>SUM('ACTUAL EXP'!$G$81)*ALLOCATION!P31</f>
        <v>224.25386410201452</v>
      </c>
      <c r="AI27" s="40">
        <f t="shared" si="10"/>
        <v>12.539286346907321</v>
      </c>
      <c r="AJ27" s="296">
        <f>SUM('ACTUAL EXP'!$G$83)*ALLOCATION!P31</f>
        <v>1665.009051635737</v>
      </c>
      <c r="AK27" s="40">
        <f t="shared" si="10"/>
        <v>93.099957729850118</v>
      </c>
      <c r="AL27" s="40">
        <f>SUM('ACTUAL EXP'!$G$64:$G$66)*ALLOCATION!P31</f>
        <v>537.65827588427976</v>
      </c>
      <c r="AM27" s="40">
        <f t="shared" si="11"/>
        <v>30.063477858426399</v>
      </c>
      <c r="AN27" s="40">
        <f t="shared" si="12"/>
        <v>96882.52505750714</v>
      </c>
      <c r="AO27" s="40">
        <f>-AO28</f>
        <v>0</v>
      </c>
      <c r="AP27" s="41" t="s">
        <v>353</v>
      </c>
      <c r="AQ27" s="83">
        <f t="shared" si="13"/>
        <v>96882.52505750714</v>
      </c>
      <c r="AR27" s="40"/>
      <c r="AS27" s="171">
        <f t="shared" si="14"/>
        <v>96882.52505750714</v>
      </c>
      <c r="AT27" s="40" t="s">
        <v>354</v>
      </c>
      <c r="AU27" s="171"/>
      <c r="AV27" s="33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</row>
    <row r="28" spans="1:253" ht="13" customHeight="1">
      <c r="A28" s="25">
        <f>ALLOCATION!A32</f>
        <v>801000</v>
      </c>
      <c r="B28" s="24" t="str">
        <f>ALLOCATION!C32</f>
        <v>FPDR Reserve</v>
      </c>
      <c r="C28" s="40">
        <f>'ACTUAL EXP'!$G$13*(ALLOCATION!P32)</f>
        <v>0</v>
      </c>
      <c r="D28" s="40">
        <f>(SUM('ACTUAL EXP'!$G$15,'ACTUAL EXP'!$G$17:$G$19,'ACTUAL EXP'!$G$22))*ALLOCATION!P32</f>
        <v>0</v>
      </c>
      <c r="E28" s="176">
        <f>(('ACTUAL EXP'!$G$25)*(ALLOCATION!P32))</f>
        <v>0</v>
      </c>
      <c r="F28" s="40">
        <f>'ACTUAL EXP'!$G$28*ALLOCATION!P32</f>
        <v>0</v>
      </c>
      <c r="G28" s="40">
        <v>0</v>
      </c>
      <c r="H28" s="40">
        <f>SUM('ACTUAL EXP'!$G$30:$G$35)*ALLOCATION!P32</f>
        <v>0</v>
      </c>
      <c r="I28" s="40">
        <f>SUM('ACTUAL EXP'!$G$43:$G$47)*ALLOCATION!P32</f>
        <v>0</v>
      </c>
      <c r="J28" s="176">
        <f>(SUM('ACTUAL EXP'!$G$49:$G$50)*ALLOCATION!P32*0.5)+(SUM('ACTUAL EXP'!$G$49:$G$50)*ALLOCATION!P32*0.5)</f>
        <v>0</v>
      </c>
      <c r="K28" s="40">
        <f>SUM('ACTUAL EXP'!$G$52:$G$53)*ALLOCATION!P32</f>
        <v>0</v>
      </c>
      <c r="L28" s="40">
        <f>SUM('ACTUAL EXP'!$G$54:$G$54)*ALLOCATION!P32</f>
        <v>0</v>
      </c>
      <c r="M28" s="40">
        <f>SUM('ACTUAL EXP'!$G$21:$G$21)*ALLOCATION!P32</f>
        <v>0</v>
      </c>
      <c r="N28" s="176">
        <f>SUM('ACTUAL EXP'!$G$58:$G$62)*0.39*ALLOCATION!P32</f>
        <v>0</v>
      </c>
      <c r="O28" s="176">
        <f>SUM('ACTUAL EXP'!$G$58:$G$62)*0.27*ALLOCATION!P32</f>
        <v>0</v>
      </c>
      <c r="P28" s="176">
        <f>SUM('ACTUAL EXP'!$G$58:$G$62)*0.34*ALLOCATION!P32</f>
        <v>0</v>
      </c>
      <c r="Q28" s="40">
        <f>'ACTUAL EXP'!$G$85*ALLOCATION!P32</f>
        <v>0</v>
      </c>
      <c r="R28" s="40">
        <f>SUM('ACTUAL EXP'!$G$68:$G$73)*ALLOCATION!P32</f>
        <v>0</v>
      </c>
      <c r="S28" s="40">
        <f>SUM('ACTUAL EXP'!$G$75)*ALLOCATION!P32</f>
        <v>0</v>
      </c>
      <c r="T28" s="40">
        <f>SUM('ACTUAL EXP'!$G$77)*ALLOCATION!P32</f>
        <v>0</v>
      </c>
      <c r="U28" s="40">
        <f>SUM('ACTUAL EXP'!$G$79)*ALLOCATION!P32</f>
        <v>0</v>
      </c>
      <c r="V28" s="40">
        <f t="shared" si="0"/>
        <v>0</v>
      </c>
      <c r="W28" s="40">
        <f t="shared" si="1"/>
        <v>0</v>
      </c>
      <c r="X28" s="40">
        <f t="shared" si="2"/>
        <v>0</v>
      </c>
      <c r="Y28" s="40">
        <f t="shared" si="3"/>
        <v>0</v>
      </c>
      <c r="Z28" s="40">
        <f t="shared" si="4"/>
        <v>0</v>
      </c>
      <c r="AA28" s="40">
        <f t="shared" si="5"/>
        <v>0</v>
      </c>
      <c r="AB28" s="40">
        <f t="shared" si="6"/>
        <v>0</v>
      </c>
      <c r="AC28" s="40">
        <f t="shared" si="7"/>
        <v>0</v>
      </c>
      <c r="AD28" s="40">
        <f>SUM('ACTUAL EXP'!$G$37:$G$39)*ALLOCATION!P32</f>
        <v>0</v>
      </c>
      <c r="AE28" s="40">
        <f t="shared" si="8"/>
        <v>0</v>
      </c>
      <c r="AF28" s="40">
        <f>SUM('ACTUAL EXP'!$G$41)*ALLOCATION!P32</f>
        <v>0</v>
      </c>
      <c r="AG28" s="40">
        <f t="shared" si="9"/>
        <v>0</v>
      </c>
      <c r="AH28" s="40">
        <f>SUM('ACTUAL EXP'!$G$81)*ALLOCATION!P32</f>
        <v>0</v>
      </c>
      <c r="AI28" s="40">
        <f t="shared" si="10"/>
        <v>0</v>
      </c>
      <c r="AJ28" s="296">
        <f>SUM('ACTUAL EXP'!$G$83)*ALLOCATION!P32</f>
        <v>0</v>
      </c>
      <c r="AK28" s="40">
        <f t="shared" si="10"/>
        <v>0</v>
      </c>
      <c r="AL28" s="40">
        <f>SUM('ACTUAL EXP'!$G$64:$G$66)*ALLOCATION!P32</f>
        <v>0</v>
      </c>
      <c r="AM28" s="40">
        <f t="shared" si="11"/>
        <v>0</v>
      </c>
      <c r="AN28" s="40">
        <f t="shared" si="12"/>
        <v>0</v>
      </c>
      <c r="AO28" s="40">
        <f>-AN28</f>
        <v>0</v>
      </c>
      <c r="AP28" s="41" t="s">
        <v>355</v>
      </c>
      <c r="AQ28" s="83">
        <f t="shared" si="13"/>
        <v>0</v>
      </c>
      <c r="AR28" s="40"/>
      <c r="AS28" s="171">
        <f t="shared" si="14"/>
        <v>0</v>
      </c>
      <c r="AT28" s="40" t="s">
        <v>356</v>
      </c>
      <c r="AU28" s="171"/>
      <c r="AV28" s="33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</row>
    <row r="29" spans="1:253" ht="13" customHeight="1">
      <c r="A29" s="25">
        <f>ALLOCATION!A33</f>
        <v>211000</v>
      </c>
      <c r="B29" s="24" t="str">
        <f>ALLOCATION!C33</f>
        <v>Spec Fin &amp; Resource</v>
      </c>
      <c r="C29" s="40">
        <f>'ACTUAL EXP'!$G$13*(ALLOCATION!P33)</f>
        <v>0</v>
      </c>
      <c r="D29" s="40">
        <f>(SUM('ACTUAL EXP'!$G$15,'ACTUAL EXP'!$G$17:$G$19,'ACTUAL EXP'!$G$22))*ALLOCATION!P33</f>
        <v>0</v>
      </c>
      <c r="E29" s="176">
        <f>(('ACTUAL EXP'!$G$25)*(ALLOCATION!P33))</f>
        <v>0</v>
      </c>
      <c r="F29" s="40">
        <f>'ACTUAL EXP'!$G$28*ALLOCATION!P33</f>
        <v>0</v>
      </c>
      <c r="G29" s="40">
        <v>0</v>
      </c>
      <c r="H29" s="40">
        <f>SUM('ACTUAL EXP'!$G$30:$G$35)*ALLOCATION!P33</f>
        <v>0</v>
      </c>
      <c r="I29" s="40">
        <f>SUM('ACTUAL EXP'!$G$43:$G$47)*ALLOCATION!P33</f>
        <v>0</v>
      </c>
      <c r="J29" s="176">
        <f>(SUM('ACTUAL EXP'!$G$49:$G$50)*ALLOCATION!P33*0.5)+(SUM('ACTUAL EXP'!$G$49:$G$50)*ALLOCATION!P33*0.5)</f>
        <v>0</v>
      </c>
      <c r="K29" s="40">
        <f>SUM('ACTUAL EXP'!$G$52:$G$53)*ALLOCATION!P33</f>
        <v>0</v>
      </c>
      <c r="L29" s="40">
        <f>SUM('ACTUAL EXP'!$G$54:$G$54)*ALLOCATION!P33</f>
        <v>0</v>
      </c>
      <c r="M29" s="40">
        <f>SUM('ACTUAL EXP'!$G$21:$G$21)*ALLOCATION!P33</f>
        <v>0</v>
      </c>
      <c r="N29" s="176">
        <f>SUM('ACTUAL EXP'!$G$58:$G$62)*0.39*ALLOCATION!P33</f>
        <v>0</v>
      </c>
      <c r="O29" s="176">
        <f>SUM('ACTUAL EXP'!$G$58:$G$62)*0.27*ALLOCATION!P33</f>
        <v>0</v>
      </c>
      <c r="P29" s="176">
        <f>SUM('ACTUAL EXP'!$G$58:$G$62)*0.34*ALLOCATION!P33</f>
        <v>0</v>
      </c>
      <c r="Q29" s="40">
        <f>'ACTUAL EXP'!$G$85*ALLOCATION!P33</f>
        <v>0</v>
      </c>
      <c r="R29" s="40">
        <f>SUM('ACTUAL EXP'!$G$68:$G$73)*ALLOCATION!P33</f>
        <v>0</v>
      </c>
      <c r="S29" s="40">
        <f>SUM('ACTUAL EXP'!$G$75)*ALLOCATION!P33</f>
        <v>0</v>
      </c>
      <c r="T29" s="40">
        <f>SUM('ACTUAL EXP'!$G$77)*ALLOCATION!P33</f>
        <v>0</v>
      </c>
      <c r="U29" s="40">
        <f>SUM('ACTUAL EXP'!$G$79)*ALLOCATION!P33</f>
        <v>0</v>
      </c>
      <c r="V29" s="40">
        <f t="shared" si="0"/>
        <v>0</v>
      </c>
      <c r="W29" s="40">
        <f t="shared" si="1"/>
        <v>0</v>
      </c>
      <c r="X29" s="40">
        <f t="shared" si="2"/>
        <v>0</v>
      </c>
      <c r="Y29" s="40">
        <f t="shared" si="3"/>
        <v>0</v>
      </c>
      <c r="Z29" s="40">
        <f t="shared" si="4"/>
        <v>0</v>
      </c>
      <c r="AA29" s="40">
        <f t="shared" si="5"/>
        <v>0</v>
      </c>
      <c r="AB29" s="40">
        <f t="shared" si="6"/>
        <v>0</v>
      </c>
      <c r="AC29" s="40">
        <f t="shared" si="7"/>
        <v>0</v>
      </c>
      <c r="AD29" s="40">
        <f>SUM('ACTUAL EXP'!$G$37:$G$39)*ALLOCATION!P33</f>
        <v>0</v>
      </c>
      <c r="AE29" s="40">
        <f t="shared" si="8"/>
        <v>0</v>
      </c>
      <c r="AF29" s="40">
        <f>SUM('ACTUAL EXP'!$G$41)*ALLOCATION!P33</f>
        <v>0</v>
      </c>
      <c r="AG29" s="40">
        <f t="shared" si="9"/>
        <v>0</v>
      </c>
      <c r="AH29" s="40">
        <f>SUM('ACTUAL EXP'!$G$81)*ALLOCATION!P33</f>
        <v>0</v>
      </c>
      <c r="AI29" s="40">
        <f t="shared" si="10"/>
        <v>0</v>
      </c>
      <c r="AJ29" s="296">
        <f>SUM('ACTUAL EXP'!$G$83)*ALLOCATION!P33</f>
        <v>0</v>
      </c>
      <c r="AK29" s="40">
        <f t="shared" si="10"/>
        <v>0</v>
      </c>
      <c r="AL29" s="40">
        <f>SUM('ACTUAL EXP'!$G$64:$G$66)*ALLOCATION!P33</f>
        <v>0</v>
      </c>
      <c r="AM29" s="40">
        <f t="shared" si="11"/>
        <v>0</v>
      </c>
      <c r="AN29" s="40">
        <f t="shared" si="12"/>
        <v>0</v>
      </c>
      <c r="AO29" s="40">
        <f>-AN29</f>
        <v>0</v>
      </c>
      <c r="AP29" s="41" t="s">
        <v>351</v>
      </c>
      <c r="AQ29" s="83">
        <f t="shared" si="13"/>
        <v>0</v>
      </c>
      <c r="AR29" s="40"/>
      <c r="AS29" s="171">
        <f t="shared" si="14"/>
        <v>0</v>
      </c>
      <c r="AT29" s="40" t="s">
        <v>357</v>
      </c>
      <c r="AU29" s="171"/>
      <c r="AV29" s="33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</row>
    <row r="30" spans="1:253" ht="13" customHeight="1">
      <c r="A30" s="25">
        <f>ALLOCATION!A34</f>
        <v>217000</v>
      </c>
      <c r="B30" s="24" t="str">
        <f>ALLOCATION!C34</f>
        <v>Grants</v>
      </c>
      <c r="C30" s="40">
        <f>'ACTUAL EXP'!$G$13*(ALLOCATION!P34)</f>
        <v>0</v>
      </c>
      <c r="D30" s="40">
        <f>(SUM('ACTUAL EXP'!$G$15,'ACTUAL EXP'!$G$17:$G$19,'ACTUAL EXP'!$G$22))*ALLOCATION!P34</f>
        <v>0</v>
      </c>
      <c r="E30" s="176">
        <f>(('ACTUAL EXP'!$G$25)*(ALLOCATION!P34))</f>
        <v>0</v>
      </c>
      <c r="F30" s="40">
        <f>'ACTUAL EXP'!$G$28*ALLOCATION!P34</f>
        <v>0</v>
      </c>
      <c r="G30" s="40">
        <v>0</v>
      </c>
      <c r="H30" s="40">
        <f>SUM('ACTUAL EXP'!$G$30:$G$35)*ALLOCATION!P34</f>
        <v>0</v>
      </c>
      <c r="I30" s="40">
        <f>SUM('ACTUAL EXP'!$G$43:$G$47)*ALLOCATION!P34</f>
        <v>0</v>
      </c>
      <c r="J30" s="176">
        <f>(SUM('ACTUAL EXP'!$G$49:$G$50)*ALLOCATION!P34*0.5)+(SUM('ACTUAL EXP'!$G$49:$G$50)*ALLOCATION!P34*0.5)</f>
        <v>0</v>
      </c>
      <c r="K30" s="40">
        <f>SUM('ACTUAL EXP'!$G$52:$G$53)*ALLOCATION!P34</f>
        <v>0</v>
      </c>
      <c r="L30" s="40">
        <f>SUM('ACTUAL EXP'!$G$54:$G$54)*ALLOCATION!P34</f>
        <v>0</v>
      </c>
      <c r="M30" s="40">
        <f>SUM('ACTUAL EXP'!$G$21:$G$21)*ALLOCATION!P34</f>
        <v>0</v>
      </c>
      <c r="N30" s="176">
        <f>SUM('ACTUAL EXP'!$G$58:$G$62)*0.39*ALLOCATION!P34</f>
        <v>0</v>
      </c>
      <c r="O30" s="176">
        <f>SUM('ACTUAL EXP'!$G$58:$G$62)*0.27*ALLOCATION!P34</f>
        <v>0</v>
      </c>
      <c r="P30" s="176">
        <f>SUM('ACTUAL EXP'!$G$58:$G$62)*0.34*ALLOCATION!P34</f>
        <v>0</v>
      </c>
      <c r="Q30" s="40">
        <f>'ACTUAL EXP'!$G$85*ALLOCATION!P34</f>
        <v>0</v>
      </c>
      <c r="R30" s="40">
        <f>SUM('ACTUAL EXP'!$G$68:$G$73)*ALLOCATION!P34</f>
        <v>0</v>
      </c>
      <c r="S30" s="40">
        <f>SUM('ACTUAL EXP'!$G$75)*ALLOCATION!P34</f>
        <v>0</v>
      </c>
      <c r="T30" s="40">
        <f>SUM('ACTUAL EXP'!$G$77)*ALLOCATION!P34</f>
        <v>0</v>
      </c>
      <c r="U30" s="40">
        <f>SUM('ACTUAL EXP'!$G$79)*ALLOCATION!P34</f>
        <v>0</v>
      </c>
      <c r="V30" s="40">
        <f t="shared" si="0"/>
        <v>0</v>
      </c>
      <c r="W30" s="40">
        <f t="shared" si="1"/>
        <v>0</v>
      </c>
      <c r="X30" s="40">
        <f t="shared" si="2"/>
        <v>0</v>
      </c>
      <c r="Y30" s="40">
        <f t="shared" si="3"/>
        <v>0</v>
      </c>
      <c r="Z30" s="40">
        <f t="shared" si="4"/>
        <v>0</v>
      </c>
      <c r="AA30" s="40">
        <f t="shared" si="5"/>
        <v>0</v>
      </c>
      <c r="AB30" s="40">
        <f t="shared" si="6"/>
        <v>0</v>
      </c>
      <c r="AC30" s="40">
        <f t="shared" si="7"/>
        <v>0</v>
      </c>
      <c r="AD30" s="40">
        <f>SUM('ACTUAL EXP'!$G$37:$G$39)*ALLOCATION!P34</f>
        <v>0</v>
      </c>
      <c r="AE30" s="40">
        <f t="shared" si="8"/>
        <v>0</v>
      </c>
      <c r="AF30" s="40">
        <f>SUM('ACTUAL EXP'!$G$41)*ALLOCATION!P34</f>
        <v>0</v>
      </c>
      <c r="AG30" s="40">
        <f t="shared" si="9"/>
        <v>0</v>
      </c>
      <c r="AH30" s="40">
        <f>SUM('ACTUAL EXP'!$G$81)*ALLOCATION!P34</f>
        <v>0</v>
      </c>
      <c r="AI30" s="40">
        <f t="shared" si="10"/>
        <v>0</v>
      </c>
      <c r="AJ30" s="296">
        <f>SUM('ACTUAL EXP'!$G$83)*ALLOCATION!P34</f>
        <v>0</v>
      </c>
      <c r="AK30" s="40">
        <f t="shared" si="10"/>
        <v>0</v>
      </c>
      <c r="AL30" s="40">
        <f>SUM('ACTUAL EXP'!$G$64:$G$66)*ALLOCATION!P34</f>
        <v>0</v>
      </c>
      <c r="AM30" s="40">
        <f t="shared" si="11"/>
        <v>0</v>
      </c>
      <c r="AN30" s="40">
        <f t="shared" si="12"/>
        <v>0</v>
      </c>
      <c r="AO30" s="40">
        <f>-AN30</f>
        <v>0</v>
      </c>
      <c r="AP30" s="41" t="s">
        <v>351</v>
      </c>
      <c r="AQ30" s="83">
        <f t="shared" si="13"/>
        <v>0</v>
      </c>
      <c r="AR30" s="40"/>
      <c r="AS30" s="171">
        <f t="shared" si="14"/>
        <v>0</v>
      </c>
      <c r="AT30" s="40" t="s">
        <v>358</v>
      </c>
      <c r="AU30" s="171"/>
      <c r="AV30" s="33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</row>
    <row r="31" spans="1:253" ht="13" customHeight="1">
      <c r="A31" s="25">
        <f>ALLOCATION!A35</f>
        <v>853000</v>
      </c>
      <c r="B31" s="24" t="str">
        <f>ALLOCATION!C35</f>
        <v>PDC Accounts</v>
      </c>
      <c r="C31" s="40">
        <f>'ACTUAL EXP'!$G$13*(ALLOCATION!P35)</f>
        <v>15510.888119165913</v>
      </c>
      <c r="D31" s="40">
        <f>(SUM('ACTUAL EXP'!$G$15,'ACTUAL EXP'!$G$17:$G$19,'ACTUAL EXP'!$G$22))*ALLOCATION!P35</f>
        <v>25016.643316269616</v>
      </c>
      <c r="E31" s="176">
        <f>(('ACTUAL EXP'!$G$25)*(ALLOCATION!P35))</f>
        <v>0</v>
      </c>
      <c r="F31" s="40">
        <f>'ACTUAL EXP'!$G$28*ALLOCATION!P35</f>
        <v>0</v>
      </c>
      <c r="G31" s="40">
        <v>0</v>
      </c>
      <c r="H31" s="40">
        <f>SUM('ACTUAL EXP'!$G$30:$G$35)*ALLOCATION!P35</f>
        <v>22453.115180802786</v>
      </c>
      <c r="I31" s="40">
        <f>SUM('ACTUAL EXP'!$G$43:$G$47)*ALLOCATION!P35</f>
        <v>13562.367782572632</v>
      </c>
      <c r="J31" s="176">
        <f>(SUM('ACTUAL EXP'!$G$49:$G$50)*ALLOCATION!P35*0.5)+(SUM('ACTUAL EXP'!$G$49:$G$50)*ALLOCATION!P35*0.5)</f>
        <v>6506.1123166915049</v>
      </c>
      <c r="K31" s="40">
        <f>SUM('ACTUAL EXP'!$G$52:$G$53)*ALLOCATION!P35</f>
        <v>6866.2961603584527</v>
      </c>
      <c r="L31" s="40">
        <f>SUM('ACTUAL EXP'!$G$54:$G$54)*ALLOCATION!P35</f>
        <v>936.31311277615271</v>
      </c>
      <c r="M31" s="40">
        <f>SUM('ACTUAL EXP'!$G$21:$G$21)*ALLOCATION!P35</f>
        <v>288.52783916194431</v>
      </c>
      <c r="N31" s="176">
        <f>SUM('ACTUAL EXP'!$G$58:$G$62)*0.39*ALLOCATION!P35</f>
        <v>4595.1782356506847</v>
      </c>
      <c r="O31" s="176">
        <f>SUM('ACTUAL EXP'!$G$58:$G$62)*0.27*ALLOCATION!P35</f>
        <v>3181.2772400658587</v>
      </c>
      <c r="P31" s="176">
        <f>SUM('ACTUAL EXP'!$G$58:$G$62)*0.34*ALLOCATION!P35</f>
        <v>4006.0528208236738</v>
      </c>
      <c r="Q31" s="40">
        <f>'ACTUAL EXP'!$G$85*ALLOCATION!P35</f>
        <v>6097.4646165715358</v>
      </c>
      <c r="R31" s="40">
        <f>SUM('ACTUAL EXP'!$G$68:$G$73)*ALLOCATION!P35</f>
        <v>16630.799513451733</v>
      </c>
      <c r="S31" s="40">
        <f>SUM('ACTUAL EXP'!$G$75)*ALLOCATION!P35</f>
        <v>2329.0882877127151</v>
      </c>
      <c r="T31" s="40">
        <f>SUM('ACTUAL EXP'!$G$77)*ALLOCATION!P35</f>
        <v>1529.2699140842547</v>
      </c>
      <c r="U31" s="40">
        <f>SUM('ACTUAL EXP'!$G$79)*ALLOCATION!P35</f>
        <v>2317.5913767239886</v>
      </c>
      <c r="V31" s="40">
        <f t="shared" si="0"/>
        <v>131826.98583288348</v>
      </c>
      <c r="W31" s="40">
        <f t="shared" si="1"/>
        <v>1187.3128279548141</v>
      </c>
      <c r="X31" s="40">
        <f t="shared" si="2"/>
        <v>869.33744358687034</v>
      </c>
      <c r="Y31" s="40">
        <f t="shared" si="3"/>
        <v>2771.8812094401046</v>
      </c>
      <c r="Z31" s="40">
        <f t="shared" si="4"/>
        <v>1136.9142487298759</v>
      </c>
      <c r="AA31" s="40">
        <f t="shared" si="5"/>
        <v>442.62055907469522</v>
      </c>
      <c r="AB31" s="40">
        <f t="shared" si="6"/>
        <v>963.11694690697004</v>
      </c>
      <c r="AC31" s="40">
        <f t="shared" si="7"/>
        <v>139198.1690685768</v>
      </c>
      <c r="AD31" s="40">
        <f>SUM('ACTUAL EXP'!$G$37:$G$39)*ALLOCATION!P35</f>
        <v>2727.0072756814679</v>
      </c>
      <c r="AE31" s="40">
        <f t="shared" si="8"/>
        <v>152.48221134024325</v>
      </c>
      <c r="AF31" s="40">
        <f>SUM('ACTUAL EXP'!$G$41)*ALLOCATION!P35</f>
        <v>815.89128501385312</v>
      </c>
      <c r="AG31" s="40">
        <f t="shared" si="9"/>
        <v>45.621039760906292</v>
      </c>
      <c r="AH31" s="40">
        <f>SUM('ACTUAL EXP'!$G$81)*ALLOCATION!P35</f>
        <v>339.85045587081783</v>
      </c>
      <c r="AI31" s="40">
        <f t="shared" si="10"/>
        <v>19.002937578603323</v>
      </c>
      <c r="AJ31" s="296">
        <f>SUM('ACTUAL EXP'!$G$83)*ALLOCATION!P35</f>
        <v>2523.2746266973249</v>
      </c>
      <c r="AK31" s="40">
        <f t="shared" si="10"/>
        <v>141.09038077332823</v>
      </c>
      <c r="AL31" s="40">
        <f>SUM('ACTUAL EXP'!$G$64:$G$66)*ALLOCATION!P35</f>
        <v>814.80607209902234</v>
      </c>
      <c r="AM31" s="40">
        <f t="shared" si="11"/>
        <v>45.560359444244092</v>
      </c>
      <c r="AN31" s="40">
        <f t="shared" si="12"/>
        <v>146822.7557128366</v>
      </c>
      <c r="AO31" s="40"/>
      <c r="AP31" s="41"/>
      <c r="AQ31" s="83">
        <f t="shared" si="13"/>
        <v>146822.7557128366</v>
      </c>
      <c r="AR31" s="40"/>
      <c r="AS31" s="171">
        <f t="shared" si="14"/>
        <v>146822.7557128366</v>
      </c>
      <c r="AT31" s="40" t="s">
        <v>359</v>
      </c>
      <c r="AU31" s="171"/>
      <c r="AV31" s="33"/>
      <c r="AY31" s="24"/>
      <c r="AZ31" s="24"/>
      <c r="BA31" s="31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</row>
    <row r="32" spans="1:253" ht="13" customHeight="1">
      <c r="A32" s="25">
        <f>ALLOCATION!A36</f>
        <v>204000</v>
      </c>
      <c r="B32" s="24" t="str">
        <f>ALLOCATION!C36</f>
        <v>Property Mgt License</v>
      </c>
      <c r="C32" s="40">
        <f>'ACTUAL EXP'!$G$13*(ALLOCATION!P36)</f>
        <v>17352.07159001215</v>
      </c>
      <c r="D32" s="40">
        <f>(SUM('ACTUAL EXP'!$G$15,'ACTUAL EXP'!$G$17:$G$19,'ACTUAL EXP'!$G$22))*ALLOCATION!P36</f>
        <v>27986.185086934416</v>
      </c>
      <c r="E32" s="176">
        <f>(('ACTUAL EXP'!$G$25)*(ALLOCATION!P36))</f>
        <v>0</v>
      </c>
      <c r="F32" s="40">
        <f>'ACTUAL EXP'!$G$28*ALLOCATION!P36</f>
        <v>0</v>
      </c>
      <c r="G32" s="40">
        <v>0</v>
      </c>
      <c r="H32" s="40">
        <f>SUM('ACTUAL EXP'!$G$30:$G$35)*ALLOCATION!P36</f>
        <v>25118.359377156634</v>
      </c>
      <c r="I32" s="40">
        <f>SUM('ACTUAL EXP'!$G$43:$G$47)*ALLOCATION!P36</f>
        <v>15172.256732513239</v>
      </c>
      <c r="J32" s="176">
        <f>(SUM('ACTUAL EXP'!$G$49:$G$50)*ALLOCATION!P36*0.5)+(SUM('ACTUAL EXP'!$G$49:$G$50)*ALLOCATION!P36*0.5)</f>
        <v>7278.4050677532459</v>
      </c>
      <c r="K32" s="40">
        <f>SUM('ACTUAL EXP'!$G$52:$G$53)*ALLOCATION!P36</f>
        <v>7681.3436869256666</v>
      </c>
      <c r="L32" s="40">
        <f>SUM('ACTUAL EXP'!$G$54:$G$54)*ALLOCATION!P36</f>
        <v>1047.4559573080455</v>
      </c>
      <c r="M32" s="40">
        <f>SUM('ACTUAL EXP'!$G$21:$G$21)*ALLOCATION!P36</f>
        <v>322.77685728796251</v>
      </c>
      <c r="N32" s="176">
        <f>SUM('ACTUAL EXP'!$G$58:$G$62)*0.39*ALLOCATION!P36</f>
        <v>5140.6380538166204</v>
      </c>
      <c r="O32" s="176">
        <f>SUM('ACTUAL EXP'!$G$58:$G$62)*0.27*ALLOCATION!P36</f>
        <v>3558.9032680268911</v>
      </c>
      <c r="P32" s="176">
        <f>SUM('ACTUAL EXP'!$G$58:$G$62)*0.34*ALLOCATION!P36</f>
        <v>4481.5818930708992</v>
      </c>
      <c r="Q32" s="40">
        <f>'ACTUAL EXP'!$G$85*ALLOCATION!P36</f>
        <v>6821.2498041024346</v>
      </c>
      <c r="R32" s="40">
        <f>SUM('ACTUAL EXP'!$G$68:$G$73)*ALLOCATION!P36</f>
        <v>18604.91943075609</v>
      </c>
      <c r="S32" s="40">
        <f>SUM('ACTUAL EXP'!$G$75)*ALLOCATION!P36</f>
        <v>2605.5572316269863</v>
      </c>
      <c r="T32" s="40">
        <f>SUM('ACTUAL EXP'!$G$77)*ALLOCATION!P36</f>
        <v>1710.7983002503065</v>
      </c>
      <c r="U32" s="40">
        <f>SUM('ACTUAL EXP'!$G$79)*ALLOCATION!P36</f>
        <v>2592.6956068761842</v>
      </c>
      <c r="V32" s="40">
        <f t="shared" si="0"/>
        <v>147475.19794441783</v>
      </c>
      <c r="W32" s="40">
        <f t="shared" si="1"/>
        <v>1328.2500029740133</v>
      </c>
      <c r="X32" s="40">
        <f t="shared" si="2"/>
        <v>972.53009892825503</v>
      </c>
      <c r="Y32" s="40">
        <f t="shared" si="3"/>
        <v>3100.9108450587282</v>
      </c>
      <c r="Z32" s="40">
        <f t="shared" si="4"/>
        <v>1271.8689790102449</v>
      </c>
      <c r="AA32" s="40">
        <f t="shared" si="5"/>
        <v>495.16079087599786</v>
      </c>
      <c r="AB32" s="40">
        <f t="shared" si="6"/>
        <v>1077.4414774891918</v>
      </c>
      <c r="AC32" s="40">
        <f t="shared" si="7"/>
        <v>155721.36013875424</v>
      </c>
      <c r="AD32" s="40">
        <f>SUM('ACTUAL EXP'!$G$37:$G$39)*ALLOCATION!P36</f>
        <v>3050.7102565996324</v>
      </c>
      <c r="AE32" s="40">
        <f t="shared" si="8"/>
        <v>170.58225338560072</v>
      </c>
      <c r="AF32" s="40">
        <f>SUM('ACTUAL EXP'!$G$41)*ALLOCATION!P36</f>
        <v>912.73973988207001</v>
      </c>
      <c r="AG32" s="40">
        <f t="shared" si="9"/>
        <v>51.036377921124831</v>
      </c>
      <c r="AH32" s="40">
        <f>SUM('ACTUAL EXP'!$G$81)*ALLOCATION!P36</f>
        <v>380.19160443056614</v>
      </c>
      <c r="AI32" s="40">
        <f t="shared" si="10"/>
        <v>21.258636562339444</v>
      </c>
      <c r="AJ32" s="296">
        <f>SUM('ACTUAL EXP'!$G$83)*ALLOCATION!P36</f>
        <v>2822.7940029824426</v>
      </c>
      <c r="AK32" s="40">
        <f t="shared" si="10"/>
        <v>157.8381823807853</v>
      </c>
      <c r="AL32" s="40">
        <f>SUM('ACTUAL EXP'!$G$64:$G$66)*ALLOCATION!P36</f>
        <v>911.52570932212541</v>
      </c>
      <c r="AM32" s="40">
        <f t="shared" si="11"/>
        <v>50.968494690278362</v>
      </c>
      <c r="AN32" s="40">
        <f t="shared" si="12"/>
        <v>164251.00539691118</v>
      </c>
      <c r="AO32" s="40"/>
      <c r="AP32" s="41"/>
      <c r="AQ32" s="83">
        <f t="shared" si="13"/>
        <v>164251.00539691118</v>
      </c>
      <c r="AR32" s="40"/>
      <c r="AS32" s="171">
        <f t="shared" si="14"/>
        <v>164251.00539691118</v>
      </c>
      <c r="AT32" s="40" t="s">
        <v>360</v>
      </c>
      <c r="AU32" s="171"/>
      <c r="AV32" s="33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</row>
    <row r="33" spans="1:253" ht="13" customHeight="1">
      <c r="A33" s="25">
        <f>ALLOCATION!A37</f>
        <v>201000</v>
      </c>
      <c r="B33" s="24" t="str">
        <f>ALLOCATION!C37</f>
        <v>Assessmnt Collection</v>
      </c>
      <c r="C33" s="40">
        <f>'ACTUAL EXP'!$G$13*(ALLOCATION!P37)</f>
        <v>1.2390338730720298</v>
      </c>
      <c r="D33" s="40">
        <f>(SUM('ACTUAL EXP'!$G$15,'ACTUAL EXP'!$G$17:$G$19,'ACTUAL EXP'!$G$22))*ALLOCATION!P37</f>
        <v>1.9983683862124242</v>
      </c>
      <c r="E33" s="176">
        <f>(('ACTUAL EXP'!$G$25)*(ALLOCATION!P37))</f>
        <v>0</v>
      </c>
      <c r="F33" s="40">
        <f>'ACTUAL EXP'!$G$28*ALLOCATION!P37</f>
        <v>0</v>
      </c>
      <c r="G33" s="40">
        <v>0</v>
      </c>
      <c r="H33" s="40">
        <f>SUM('ACTUAL EXP'!$G$30:$G$35)*ALLOCATION!P37</f>
        <v>1.793589770699634</v>
      </c>
      <c r="I33" s="40">
        <f>SUM('ACTUAL EXP'!$G$43:$G$47)*ALLOCATION!P37</f>
        <v>1.083383037293929</v>
      </c>
      <c r="J33" s="176">
        <f>(SUM('ACTUAL EXP'!$G$49:$G$50)*ALLOCATION!P37*0.5)+(SUM('ACTUAL EXP'!$G$49:$G$50)*ALLOCATION!P37*0.5)</f>
        <v>0.51971837334259641</v>
      </c>
      <c r="K33" s="40">
        <f>SUM('ACTUAL EXP'!$G$52:$G$53)*ALLOCATION!P37</f>
        <v>0.54849041910864027</v>
      </c>
      <c r="L33" s="40">
        <f>SUM('ACTUAL EXP'!$G$54:$G$54)*ALLOCATION!P37</f>
        <v>7.4794148060269142E-2</v>
      </c>
      <c r="M33" s="40">
        <f>SUM('ACTUAL EXP'!$G$21:$G$21)*ALLOCATION!P37</f>
        <v>2.3048052651749234E-2</v>
      </c>
      <c r="N33" s="176">
        <f>SUM('ACTUAL EXP'!$G$58:$G$62)*0.39*ALLOCATION!P37</f>
        <v>0.36706998613053843</v>
      </c>
      <c r="O33" s="176">
        <f>SUM('ACTUAL EXP'!$G$58:$G$62)*0.27*ALLOCATION!P37</f>
        <v>0.25412537501344967</v>
      </c>
      <c r="P33" s="176">
        <f>SUM('ACTUAL EXP'!$G$58:$G$62)*0.34*ALLOCATION!P37</f>
        <v>0.3200097314984181</v>
      </c>
      <c r="Q33" s="40">
        <f>'ACTUAL EXP'!$G$85*ALLOCATION!P37</f>
        <v>0.48707495932841227</v>
      </c>
      <c r="R33" s="40">
        <f>SUM('ACTUAL EXP'!$G$68:$G$73)*ALLOCATION!P37</f>
        <v>1.3284941374810595</v>
      </c>
      <c r="S33" s="40">
        <f>SUM('ACTUAL EXP'!$G$75)*ALLOCATION!P37</f>
        <v>0.18605119575877455</v>
      </c>
      <c r="T33" s="40">
        <f>SUM('ACTUAL EXP'!$G$77)*ALLOCATION!P37</f>
        <v>0.12216045980494358</v>
      </c>
      <c r="U33" s="40">
        <f>SUM('ACTUAL EXP'!$G$79)*ALLOCATION!P37</f>
        <v>0.1851328046233808</v>
      </c>
      <c r="V33" s="40">
        <f t="shared" si="0"/>
        <v>10.53054471008025</v>
      </c>
      <c r="W33" s="40">
        <f t="shared" si="1"/>
        <v>9.4844395786156083E-2</v>
      </c>
      <c r="X33" s="40">
        <f t="shared" si="2"/>
        <v>6.9444027412138898E-2</v>
      </c>
      <c r="Y33" s="40">
        <f t="shared" si="3"/>
        <v>0.22142218319429413</v>
      </c>
      <c r="Z33" s="40">
        <f t="shared" si="4"/>
        <v>9.0818478873168865E-2</v>
      </c>
      <c r="AA33" s="40">
        <f t="shared" si="5"/>
        <v>3.535721883867974E-2</v>
      </c>
      <c r="AB33" s="40">
        <f t="shared" si="6"/>
        <v>7.6935280029060138E-2</v>
      </c>
      <c r="AC33" s="40">
        <f t="shared" si="7"/>
        <v>11.119366294213748</v>
      </c>
      <c r="AD33" s="40">
        <f>SUM('ACTUAL EXP'!$G$37:$G$39)*ALLOCATION!P37</f>
        <v>0.2178375835557835</v>
      </c>
      <c r="AE33" s="40">
        <f t="shared" si="8"/>
        <v>1.2180516256708648E-2</v>
      </c>
      <c r="AF33" s="40">
        <f>SUM('ACTUAL EXP'!$G$41)*ALLOCATION!P37</f>
        <v>6.5174665119742431E-2</v>
      </c>
      <c r="AG33" s="40">
        <f t="shared" si="9"/>
        <v>3.6442796282362996E-3</v>
      </c>
      <c r="AH33" s="40">
        <f>SUM('ACTUAL EXP'!$G$81)*ALLOCATION!P37</f>
        <v>2.7147783116467865E-2</v>
      </c>
      <c r="AI33" s="40">
        <f t="shared" si="10"/>
        <v>1.5179842164337028E-3</v>
      </c>
      <c r="AJ33" s="296">
        <f>SUM('ACTUAL EXP'!$G$83)*ALLOCATION!P37</f>
        <v>0.20156310261035446</v>
      </c>
      <c r="AK33" s="40">
        <f t="shared" si="10"/>
        <v>1.127051910888162E-2</v>
      </c>
      <c r="AL33" s="40">
        <f>SUM('ACTUAL EXP'!$G$64:$G$66)*ALLOCATION!P37</f>
        <v>6.5087976623852295E-2</v>
      </c>
      <c r="AM33" s="40">
        <f t="shared" si="11"/>
        <v>3.639432390141641E-3</v>
      </c>
      <c r="AN33" s="40">
        <f t="shared" si="12"/>
        <v>11.72843013684035</v>
      </c>
      <c r="AO33" s="40"/>
      <c r="AP33" s="41"/>
      <c r="AQ33" s="83">
        <f t="shared" si="13"/>
        <v>11.72843013684035</v>
      </c>
      <c r="AR33" s="40"/>
      <c r="AS33" s="171">
        <f t="shared" si="14"/>
        <v>11.72843013684035</v>
      </c>
      <c r="AT33" s="40" t="s">
        <v>361</v>
      </c>
      <c r="AU33" s="171"/>
      <c r="AV33" s="33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</row>
    <row r="34" spans="1:253" ht="13" customHeight="1">
      <c r="A34" s="25">
        <f>ALLOCATION!A38</f>
        <v>209000</v>
      </c>
      <c r="B34" s="24" t="str">
        <f>ALLOCATION!C38</f>
        <v>Convention &amp; Tourism</v>
      </c>
      <c r="C34" s="40">
        <f>'ACTUAL EXP'!$G$13*(ALLOCATION!P38)</f>
        <v>6003.3093514927968</v>
      </c>
      <c r="D34" s="40">
        <f>(SUM('ACTUAL EXP'!$G$15,'ACTUAL EXP'!$G$17:$G$19,'ACTUAL EXP'!$G$22))*ALLOCATION!P38</f>
        <v>9682.4016529362416</v>
      </c>
      <c r="E34" s="176">
        <f>(('ACTUAL EXP'!$G$25)*(ALLOCATION!P38))</f>
        <v>0</v>
      </c>
      <c r="F34" s="40">
        <f>'ACTUAL EXP'!$G$28*ALLOCATION!P38</f>
        <v>0</v>
      </c>
      <c r="G34" s="40">
        <v>0</v>
      </c>
      <c r="H34" s="40">
        <f>SUM('ACTUAL EXP'!$G$30:$G$35)*ALLOCATION!P38</f>
        <v>8690.2178198617967</v>
      </c>
      <c r="I34" s="40">
        <f>SUM('ACTUAL EXP'!$G$43:$G$47)*ALLOCATION!P38</f>
        <v>5249.1571541218209</v>
      </c>
      <c r="J34" s="176">
        <f>(SUM('ACTUAL EXP'!$G$49:$G$50)*ALLOCATION!P38*0.5)+(SUM('ACTUAL EXP'!$G$49:$G$50)*ALLOCATION!P38*0.5)</f>
        <v>2518.1153143896768</v>
      </c>
      <c r="K34" s="40">
        <f>SUM('ACTUAL EXP'!$G$52:$G$53)*ALLOCATION!P38</f>
        <v>2657.5202936745559</v>
      </c>
      <c r="L34" s="40">
        <f>SUM('ACTUAL EXP'!$G$54:$G$54)*ALLOCATION!P38</f>
        <v>362.38913095562128</v>
      </c>
      <c r="M34" s="40">
        <f>SUM('ACTUAL EXP'!$G$21:$G$21)*ALLOCATION!P38</f>
        <v>111.67135380640303</v>
      </c>
      <c r="N34" s="176">
        <f>SUM('ACTUAL EXP'!$G$58:$G$62)*0.39*ALLOCATION!P38</f>
        <v>1778.5104413054949</v>
      </c>
      <c r="O34" s="176">
        <f>SUM('ACTUAL EXP'!$G$58:$G$62)*0.27*ALLOCATION!P38</f>
        <v>1231.2764593653426</v>
      </c>
      <c r="P34" s="176">
        <f>SUM('ACTUAL EXP'!$G$58:$G$62)*0.34*ALLOCATION!P38</f>
        <v>1550.4962821637646</v>
      </c>
      <c r="Q34" s="40">
        <f>'ACTUAL EXP'!$G$85*ALLOCATION!P38</f>
        <v>2359.9529615476813</v>
      </c>
      <c r="R34" s="40">
        <f>SUM('ACTUAL EXP'!$G$68:$G$73)*ALLOCATION!P38</f>
        <v>6436.7580679368257</v>
      </c>
      <c r="S34" s="40">
        <f>SUM('ACTUAL EXP'!$G$75)*ALLOCATION!P38</f>
        <v>901.44660903079046</v>
      </c>
      <c r="T34" s="40">
        <f>SUM('ACTUAL EXP'!$G$77)*ALLOCATION!P38</f>
        <v>591.88618379849913</v>
      </c>
      <c r="U34" s="40">
        <f>SUM('ACTUAL EXP'!$G$79)*ALLOCATION!P38</f>
        <v>896.9968629735921</v>
      </c>
      <c r="V34" s="40">
        <f t="shared" si="0"/>
        <v>51022.105939360903</v>
      </c>
      <c r="W34" s="40">
        <f t="shared" si="1"/>
        <v>459.5356596248717</v>
      </c>
      <c r="X34" s="40">
        <f t="shared" si="2"/>
        <v>336.46697497864119</v>
      </c>
      <c r="Y34" s="40">
        <f t="shared" si="3"/>
        <v>1072.8244738802082</v>
      </c>
      <c r="Z34" s="40">
        <f t="shared" si="4"/>
        <v>440.02947405776877</v>
      </c>
      <c r="AA34" s="40">
        <f t="shared" si="5"/>
        <v>171.31115388375167</v>
      </c>
      <c r="AB34" s="40">
        <f t="shared" si="6"/>
        <v>372.76324408551795</v>
      </c>
      <c r="AC34" s="40">
        <f t="shared" si="7"/>
        <v>53875.036919871665</v>
      </c>
      <c r="AD34" s="40">
        <f>SUM('ACTUAL EXP'!$G$37:$G$39)*ALLOCATION!P38</f>
        <v>1055.4565382660883</v>
      </c>
      <c r="AE34" s="40">
        <f t="shared" si="8"/>
        <v>59.016471413012042</v>
      </c>
      <c r="AF34" s="40">
        <f>SUM('ACTUAL EXP'!$G$41)*ALLOCATION!P38</f>
        <v>315.78125917064045</v>
      </c>
      <c r="AG34" s="40">
        <f t="shared" si="9"/>
        <v>17.657094327375042</v>
      </c>
      <c r="AH34" s="40">
        <f>SUM('ACTUAL EXP'!$G$81)*ALLOCATION!P38</f>
        <v>131.53517736469124</v>
      </c>
      <c r="AI34" s="40">
        <f t="shared" si="10"/>
        <v>7.3548665940347071</v>
      </c>
      <c r="AJ34" s="296">
        <f>SUM('ACTUAL EXP'!$G$83)*ALLOCATION!P38</f>
        <v>976.60417936475437</v>
      </c>
      <c r="AK34" s="40">
        <f t="shared" si="10"/>
        <v>54.607395514354856</v>
      </c>
      <c r="AL34" s="40">
        <f>SUM('ACTUAL EXP'!$G$64:$G$66)*ALLOCATION!P38</f>
        <v>315.36124009823709</v>
      </c>
      <c r="AM34" s="40">
        <f t="shared" si="11"/>
        <v>17.633608714580273</v>
      </c>
      <c r="AN34" s="40">
        <f t="shared" si="12"/>
        <v>56826.044750699439</v>
      </c>
      <c r="AO34" s="40"/>
      <c r="AP34" s="41"/>
      <c r="AQ34" s="83">
        <f t="shared" si="13"/>
        <v>56826.044750699439</v>
      </c>
      <c r="AR34" s="40"/>
      <c r="AS34" s="171">
        <f t="shared" si="14"/>
        <v>56826.044750699439</v>
      </c>
      <c r="AT34" s="39" t="s">
        <v>362</v>
      </c>
      <c r="AU34" s="171"/>
      <c r="AV34" s="33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</row>
    <row r="35" spans="1:253" ht="13" customHeight="1">
      <c r="A35" s="25">
        <f>ALLOCATION!A39</f>
        <v>215000</v>
      </c>
      <c r="B35" s="24" t="str">
        <f>ALLOCATION!C39</f>
        <v>Parks Local Opt Levy</v>
      </c>
      <c r="C35" s="40">
        <f>'ACTUAL EXP'!$G$13*(ALLOCATION!P39)</f>
        <v>1017.6775643011049</v>
      </c>
      <c r="D35" s="40">
        <f>(SUM('ACTUAL EXP'!$G$15,'ACTUAL EXP'!$G$17:$G$19,'ACTUAL EXP'!$G$22))*ALLOCATION!P39</f>
        <v>1641.3551849189541</v>
      </c>
      <c r="E35" s="176">
        <f>(('ACTUAL EXP'!$G$25)*(ALLOCATION!P39))</f>
        <v>0</v>
      </c>
      <c r="F35" s="40">
        <f>'ACTUAL EXP'!$G$28*ALLOCATION!P39</f>
        <v>0</v>
      </c>
      <c r="G35" s="40">
        <v>0</v>
      </c>
      <c r="H35" s="40">
        <f>SUM('ACTUAL EXP'!$G$30:$G$35)*ALLOCATION!P39</f>
        <v>1473.1607495728804</v>
      </c>
      <c r="I35" s="40">
        <f>SUM('ACTUAL EXP'!$G$43:$G$47)*ALLOCATION!P39</f>
        <v>889.83411556362205</v>
      </c>
      <c r="J35" s="176">
        <f>(SUM('ACTUAL EXP'!$G$49:$G$50)*ALLOCATION!P39*0.5)+(SUM('ACTUAL EXP'!$G$49:$G$50)*ALLOCATION!P39*0.5)</f>
        <v>426.86946644523124</v>
      </c>
      <c r="K35" s="40">
        <f>SUM('ACTUAL EXP'!$G$52:$G$53)*ALLOCATION!P39</f>
        <v>450.50131872264291</v>
      </c>
      <c r="L35" s="40">
        <f>SUM('ACTUAL EXP'!$G$54:$G$54)*ALLOCATION!P39</f>
        <v>61.431998007633133</v>
      </c>
      <c r="M35" s="40">
        <f>SUM('ACTUAL EXP'!$G$21:$G$21)*ALLOCATION!P39</f>
        <v>18.930463964121358</v>
      </c>
      <c r="N35" s="176">
        <f>SUM('ACTUAL EXP'!$G$58:$G$62)*0.39*ALLOCATION!P39</f>
        <v>301.49207179233446</v>
      </c>
      <c r="O35" s="176">
        <f>SUM('ACTUAL EXP'!$G$58:$G$62)*0.27*ALLOCATION!P39</f>
        <v>208.7252804716162</v>
      </c>
      <c r="P35" s="176">
        <f>SUM('ACTUAL EXP'!$G$58:$G$62)*0.34*ALLOCATION!P39</f>
        <v>262.83924207536847</v>
      </c>
      <c r="Q35" s="40">
        <f>'ACTUAL EXP'!$G$85*ALLOCATION!P39</f>
        <v>400.05787494123024</v>
      </c>
      <c r="R35" s="40">
        <f>SUM('ACTUAL EXP'!$G$68:$G$73)*ALLOCATION!P39</f>
        <v>1091.1555425582992</v>
      </c>
      <c r="S35" s="40">
        <f>SUM('ACTUAL EXP'!$G$75)*ALLOCATION!P39</f>
        <v>152.81271307430242</v>
      </c>
      <c r="T35" s="40">
        <f>SUM('ACTUAL EXP'!$G$77)*ALLOCATION!P39</f>
        <v>100.33620701584387</v>
      </c>
      <c r="U35" s="40">
        <f>SUM('ACTUAL EXP'!$G$79)*ALLOCATION!P39</f>
        <v>152.05839467021718</v>
      </c>
      <c r="V35" s="40">
        <f t="shared" si="0"/>
        <v>8649.2381880954035</v>
      </c>
      <c r="W35" s="40">
        <f t="shared" si="1"/>
        <v>77.900221930134549</v>
      </c>
      <c r="X35" s="40">
        <f t="shared" si="2"/>
        <v>57.037688967149208</v>
      </c>
      <c r="Y35" s="40">
        <f t="shared" si="3"/>
        <v>181.86459060776832</v>
      </c>
      <c r="Z35" s="40">
        <f t="shared" si="4"/>
        <v>74.593544520315845</v>
      </c>
      <c r="AA35" s="40">
        <f t="shared" si="5"/>
        <v>29.040568728758998</v>
      </c>
      <c r="AB35" s="40">
        <f t="shared" si="6"/>
        <v>63.190611726113602</v>
      </c>
      <c r="AC35" s="40">
        <f t="shared" si="7"/>
        <v>9132.8654145756445</v>
      </c>
      <c r="AD35" s="40">
        <f>SUM('ACTUAL EXP'!$G$37:$G$39)*ALLOCATION!P39</f>
        <v>178.9203881058065</v>
      </c>
      <c r="AE35" s="40">
        <f t="shared" si="8"/>
        <v>10.00443844632216</v>
      </c>
      <c r="AF35" s="40">
        <f>SUM('ACTUAL EXP'!$G$41)*ALLOCATION!P39</f>
        <v>53.53105826618819</v>
      </c>
      <c r="AG35" s="40">
        <f t="shared" si="9"/>
        <v>2.99322052148614</v>
      </c>
      <c r="AH35" s="40">
        <f>SUM('ACTUAL EXP'!$G$81)*ALLOCATION!P39</f>
        <v>22.297767961453925</v>
      </c>
      <c r="AI35" s="40">
        <f t="shared" si="10"/>
        <v>1.2467927742746752</v>
      </c>
      <c r="AJ35" s="296">
        <f>SUM('ACTUAL EXP'!$G$83)*ALLOCATION!P39</f>
        <v>165.55338136873874</v>
      </c>
      <c r="AK35" s="40">
        <f t="shared" si="10"/>
        <v>9.2570144242286787</v>
      </c>
      <c r="AL35" s="40">
        <f>SUM('ACTUAL EXP'!$G$64:$G$66)*ALLOCATION!P39</f>
        <v>53.459856873500136</v>
      </c>
      <c r="AM35" s="40">
        <f t="shared" si="11"/>
        <v>2.9892392538509553</v>
      </c>
      <c r="AN35" s="40">
        <f t="shared" si="12"/>
        <v>9633.1185725714931</v>
      </c>
      <c r="AO35" s="40"/>
      <c r="AP35" s="41"/>
      <c r="AQ35" s="83">
        <f t="shared" si="13"/>
        <v>9633.1185725714931</v>
      </c>
      <c r="AR35" s="40"/>
      <c r="AS35" s="171">
        <f t="shared" si="14"/>
        <v>9633.1185725714931</v>
      </c>
      <c r="AT35" s="40" t="s">
        <v>363</v>
      </c>
      <c r="AU35" s="171"/>
      <c r="AV35" s="33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</row>
    <row r="36" spans="1:253" ht="13" customHeight="1">
      <c r="A36" s="25">
        <f>ALLOCATION!A40</f>
        <v>216000</v>
      </c>
      <c r="B36" s="24" t="str">
        <f>ALLOCATION!C40</f>
        <v>Children Investment</v>
      </c>
      <c r="C36" s="40">
        <f>'ACTUAL EXP'!$G$13*(ALLOCATION!P40)</f>
        <v>27634.379810606068</v>
      </c>
      <c r="D36" s="40">
        <f>(SUM('ACTUAL EXP'!$G$15,'ACTUAL EXP'!$G$17:$G$19,'ACTUAL EXP'!$G$22))*ALLOCATION!P40</f>
        <v>44569.944523939317</v>
      </c>
      <c r="E36" s="176">
        <f>(('ACTUAL EXP'!$G$25)*(ALLOCATION!P40))</f>
        <v>0</v>
      </c>
      <c r="F36" s="40">
        <f>'ACTUAL EXP'!$G$28*ALLOCATION!P40</f>
        <v>0</v>
      </c>
      <c r="G36" s="40">
        <v>0</v>
      </c>
      <c r="H36" s="40">
        <f>SUM('ACTUAL EXP'!$G$30:$G$35)*ALLOCATION!P40</f>
        <v>40002.732794578042</v>
      </c>
      <c r="I36" s="40">
        <f>SUM('ACTUAL EXP'!$G$43:$G$47)*ALLOCATION!P40</f>
        <v>24162.873173692471</v>
      </c>
      <c r="J36" s="176">
        <f>(SUM('ACTUAL EXP'!$G$49:$G$50)*ALLOCATION!P40*0.5)+(SUM('ACTUAL EXP'!$G$49:$G$50)*ALLOCATION!P40*0.5)</f>
        <v>11591.365850144717</v>
      </c>
      <c r="K36" s="40">
        <f>SUM('ACTUAL EXP'!$G$52:$G$53)*ALLOCATION!P40</f>
        <v>12233.073601568536</v>
      </c>
      <c r="L36" s="40">
        <f>SUM('ACTUAL EXP'!$G$54:$G$54)*ALLOCATION!P40</f>
        <v>1668.1464002138914</v>
      </c>
      <c r="M36" s="40">
        <f>SUM('ACTUAL EXP'!$G$21:$G$21)*ALLOCATION!P40</f>
        <v>514.0445751447653</v>
      </c>
      <c r="N36" s="176">
        <f>SUM('ACTUAL EXP'!$G$58:$G$62)*0.39*ALLOCATION!P40</f>
        <v>8186.8233260282332</v>
      </c>
      <c r="O36" s="176">
        <f>SUM('ACTUAL EXP'!$G$58:$G$62)*0.27*ALLOCATION!P40</f>
        <v>5667.800764173393</v>
      </c>
      <c r="P36" s="176">
        <f>SUM('ACTUAL EXP'!$G$58:$G$62)*0.34*ALLOCATION!P40</f>
        <v>7137.2305919220489</v>
      </c>
      <c r="Q36" s="40">
        <f>'ACTUAL EXP'!$G$85*ALLOCATION!P40</f>
        <v>10863.314324849263</v>
      </c>
      <c r="R36" s="40">
        <f>SUM('ACTUAL EXP'!$G$68:$G$73)*ALLOCATION!P40</f>
        <v>29629.627057968974</v>
      </c>
      <c r="S36" s="40">
        <f>SUM('ACTUAL EXP'!$G$75)*ALLOCATION!P40</f>
        <v>4149.5309527478157</v>
      </c>
      <c r="T36" s="40">
        <f>SUM('ACTUAL EXP'!$G$77)*ALLOCATION!P40</f>
        <v>2724.565177316857</v>
      </c>
      <c r="U36" s="40">
        <f>SUM('ACTUAL EXP'!$G$79)*ALLOCATION!P40</f>
        <v>4129.0479215718879</v>
      </c>
      <c r="V36" s="40">
        <f t="shared" si="0"/>
        <v>234864.50084646622</v>
      </c>
      <c r="W36" s="40">
        <f t="shared" si="1"/>
        <v>2115.3304304455573</v>
      </c>
      <c r="X36" s="40">
        <f t="shared" si="2"/>
        <v>1548.8217641113868</v>
      </c>
      <c r="Y36" s="40">
        <f t="shared" si="3"/>
        <v>4938.4160044904656</v>
      </c>
      <c r="Z36" s="40">
        <f t="shared" si="4"/>
        <v>2025.5397318397218</v>
      </c>
      <c r="AA36" s="40">
        <f t="shared" si="5"/>
        <v>788.5779684232981</v>
      </c>
      <c r="AB36" s="40">
        <f t="shared" si="6"/>
        <v>1715.9004248100873</v>
      </c>
      <c r="AC36" s="40">
        <f t="shared" si="7"/>
        <v>247997.08717058672</v>
      </c>
      <c r="AD36" s="40">
        <f>SUM('ACTUAL EXP'!$G$37:$G$39)*ALLOCATION!P40</f>
        <v>4858.4680789071544</v>
      </c>
      <c r="AE36" s="40">
        <f t="shared" si="8"/>
        <v>271.66409235656181</v>
      </c>
      <c r="AF36" s="40">
        <f>SUM('ACTUAL EXP'!$G$41)*ALLOCATION!P40</f>
        <v>1453.6014624705251</v>
      </c>
      <c r="AG36" s="40">
        <f t="shared" si="9"/>
        <v>81.278978380990296</v>
      </c>
      <c r="AH36" s="40">
        <f>SUM('ACTUAL EXP'!$G$81)*ALLOCATION!P40</f>
        <v>605.48154974679937</v>
      </c>
      <c r="AI36" s="40">
        <f t="shared" si="10"/>
        <v>33.855855998051112</v>
      </c>
      <c r="AJ36" s="296">
        <f>SUM('ACTUAL EXP'!$G$83)*ALLOCATION!P40</f>
        <v>4495.4956070154894</v>
      </c>
      <c r="AK36" s="40">
        <f t="shared" si="10"/>
        <v>251.36827368998178</v>
      </c>
      <c r="AL36" s="40">
        <f>SUM('ACTUAL EXP'!$G$64:$G$66)*ALLOCATION!P40</f>
        <v>1451.668034440266</v>
      </c>
      <c r="AM36" s="40">
        <f t="shared" si="11"/>
        <v>81.170869618630064</v>
      </c>
      <c r="AN36" s="40">
        <f t="shared" si="12"/>
        <v>261581.13997321116</v>
      </c>
      <c r="AO36" s="40">
        <f>-AN36+25000</f>
        <v>-236581.13997321116</v>
      </c>
      <c r="AP36" s="41" t="s">
        <v>351</v>
      </c>
      <c r="AQ36" s="83">
        <f t="shared" si="13"/>
        <v>25000</v>
      </c>
      <c r="AR36" s="40"/>
      <c r="AS36" s="171">
        <f t="shared" si="14"/>
        <v>25000</v>
      </c>
      <c r="AT36" s="40"/>
      <c r="AU36" s="171"/>
      <c r="AV36" s="33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</row>
    <row r="37" spans="1:253" ht="13" customHeight="1">
      <c r="A37" s="25">
        <f>ALLOCATION!A41</f>
        <v>403000</v>
      </c>
      <c r="B37" s="24" t="str">
        <f>ALLOCATION!C41</f>
        <v>Public Safety GO Bond Construction</v>
      </c>
      <c r="C37" s="40">
        <f>'ACTUAL EXP'!$G$13*(ALLOCATION!P41)</f>
        <v>4237.0777060176042</v>
      </c>
      <c r="D37" s="40">
        <f>(SUM('ACTUAL EXP'!$G$15,'ACTUAL EXP'!$G$17:$G$19,'ACTUAL EXP'!$G$22))*ALLOCATION!P41</f>
        <v>6833.7454864228766</v>
      </c>
      <c r="E37" s="176">
        <f>(('ACTUAL EXP'!$G$25)*(ALLOCATION!P41))</f>
        <v>0</v>
      </c>
      <c r="F37" s="40">
        <f>'ACTUAL EXP'!$G$28*ALLOCATION!P41</f>
        <v>0</v>
      </c>
      <c r="G37" s="40">
        <v>0</v>
      </c>
      <c r="H37" s="40">
        <f>SUM('ACTUAL EXP'!$G$30:$G$35)*ALLOCATION!P41</f>
        <v>6133.4717285254173</v>
      </c>
      <c r="I37" s="40">
        <f>SUM('ACTUAL EXP'!$G$43:$G$47)*ALLOCATION!P41</f>
        <v>3704.8043755369458</v>
      </c>
      <c r="J37" s="176">
        <f>(SUM('ACTUAL EXP'!$G$49:$G$50)*ALLOCATION!P41*0.5)+(SUM('ACTUAL EXP'!$G$49:$G$50)*ALLOCATION!P41*0.5)</f>
        <v>1777.2614461603448</v>
      </c>
      <c r="K37" s="40">
        <f>SUM('ACTUAL EXP'!$G$52:$G$53)*ALLOCATION!P41</f>
        <v>1875.6521329053032</v>
      </c>
      <c r="L37" s="40">
        <f>SUM('ACTUAL EXP'!$G$54:$G$54)*ALLOCATION!P41</f>
        <v>255.77074539617774</v>
      </c>
      <c r="M37" s="40">
        <f>SUM('ACTUAL EXP'!$G$21:$G$21)*ALLOCATION!P41</f>
        <v>78.816561984475655</v>
      </c>
      <c r="N37" s="176">
        <f>SUM('ACTUAL EXP'!$G$58:$G$62)*0.39*ALLOCATION!P41</f>
        <v>1255.2554765316568</v>
      </c>
      <c r="O37" s="176">
        <f>SUM('ACTUAL EXP'!$G$58:$G$62)*0.27*ALLOCATION!P41</f>
        <v>869.02302221422406</v>
      </c>
      <c r="P37" s="176">
        <f>SUM('ACTUAL EXP'!$G$58:$G$62)*0.34*ALLOCATION!P41</f>
        <v>1094.3252872327264</v>
      </c>
      <c r="Q37" s="40">
        <f>'ACTUAL EXP'!$G$85*ALLOCATION!P41</f>
        <v>1665.6319864871614</v>
      </c>
      <c r="R37" s="40">
        <f>SUM('ACTUAL EXP'!$G$68:$G$73)*ALLOCATION!P41</f>
        <v>4543.0016199152378</v>
      </c>
      <c r="S37" s="40">
        <f>SUM('ACTUAL EXP'!$G$75)*ALLOCATION!P41</f>
        <v>636.23230232834226</v>
      </c>
      <c r="T37" s="40">
        <f>SUM('ACTUAL EXP'!$G$77)*ALLOCATION!P41</f>
        <v>417.74754673417692</v>
      </c>
      <c r="U37" s="40">
        <f>SUM('ACTUAL EXP'!$G$79)*ALLOCATION!P41</f>
        <v>633.09171457707032</v>
      </c>
      <c r="V37" s="40">
        <f t="shared" si="0"/>
        <v>36010.909138969742</v>
      </c>
      <c r="W37" s="40">
        <f t="shared" si="1"/>
        <v>324.33582621099987</v>
      </c>
      <c r="X37" s="40">
        <f t="shared" si="2"/>
        <v>237.47513829829231</v>
      </c>
      <c r="Y37" s="40">
        <f t="shared" si="3"/>
        <v>757.18914262140538</v>
      </c>
      <c r="Z37" s="40">
        <f t="shared" si="4"/>
        <v>310.56854900492647</v>
      </c>
      <c r="AA37" s="40">
        <f t="shared" si="5"/>
        <v>120.90975633839386</v>
      </c>
      <c r="AB37" s="40">
        <f t="shared" si="6"/>
        <v>263.09269415623277</v>
      </c>
      <c r="AC37" s="40">
        <f t="shared" si="7"/>
        <v>38024.480245599996</v>
      </c>
      <c r="AD37" s="40">
        <f>SUM('ACTUAL EXP'!$G$37:$G$39)*ALLOCATION!P41</f>
        <v>744.93102156158716</v>
      </c>
      <c r="AE37" s="40">
        <f t="shared" si="8"/>
        <v>41.653255008376128</v>
      </c>
      <c r="AF37" s="40">
        <f>SUM('ACTUAL EXP'!$G$41)*ALLOCATION!P41</f>
        <v>222.87536005076603</v>
      </c>
      <c r="AG37" s="40">
        <f t="shared" si="9"/>
        <v>12.462206484323044</v>
      </c>
      <c r="AH37" s="40">
        <f>SUM('ACTUAL EXP'!$G$81)*ALLOCATION!P41</f>
        <v>92.836256627424831</v>
      </c>
      <c r="AI37" s="40">
        <f t="shared" si="10"/>
        <v>5.1909937422380183</v>
      </c>
      <c r="AJ37" s="296">
        <f>SUM('ACTUAL EXP'!$G$83)*ALLOCATION!P41</f>
        <v>689.27778891838489</v>
      </c>
      <c r="AK37" s="40">
        <f t="shared" si="10"/>
        <v>38.541371861842215</v>
      </c>
      <c r="AL37" s="40">
        <f>SUM('ACTUAL EXP'!$G$64:$G$66)*ALLOCATION!P41</f>
        <v>222.5789146498073</v>
      </c>
      <c r="AM37" s="40">
        <f t="shared" si="11"/>
        <v>12.445630565848989</v>
      </c>
      <c r="AN37" s="40">
        <f t="shared" si="12"/>
        <v>40107.273045070586</v>
      </c>
      <c r="AO37" s="40"/>
      <c r="AP37" s="41"/>
      <c r="AQ37" s="83">
        <f t="shared" si="13"/>
        <v>40107.273045070586</v>
      </c>
      <c r="AR37" s="40"/>
      <c r="AS37" s="171">
        <f t="shared" si="14"/>
        <v>40107.273045070586</v>
      </c>
      <c r="AT37" s="40"/>
      <c r="AU37" s="171"/>
      <c r="AV37" s="33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</row>
    <row r="38" spans="1:253" ht="13" customHeight="1">
      <c r="A38" s="25">
        <f>ALLOCATION!A42</f>
        <v>316000</v>
      </c>
      <c r="B38" s="24" t="str">
        <f>ALLOCATION!C42</f>
        <v>Willamtte Ind URA DS</v>
      </c>
      <c r="C38" s="40">
        <f>'ACTUAL EXP'!$G$13*(ALLOCATION!P42)</f>
        <v>410.67641720011352</v>
      </c>
      <c r="D38" s="40">
        <f>(SUM('ACTUAL EXP'!$G$15,'ACTUAL EXP'!$G$17:$G$19,'ACTUAL EXP'!$G$22))*ALLOCATION!P42</f>
        <v>662.35700809446848</v>
      </c>
      <c r="E38" s="176">
        <f>(('ACTUAL EXP'!$G$25)*(ALLOCATION!P42))</f>
        <v>0</v>
      </c>
      <c r="F38" s="40">
        <f>'ACTUAL EXP'!$G$28*ALLOCATION!P42</f>
        <v>0</v>
      </c>
      <c r="G38" s="40">
        <v>0</v>
      </c>
      <c r="H38" s="40">
        <f>SUM('ACTUAL EXP'!$G$30:$G$35)*ALLOCATION!P42</f>
        <v>594.48336075867576</v>
      </c>
      <c r="I38" s="40">
        <f>SUM('ACTUAL EXP'!$G$43:$G$47)*ALLOCATION!P42</f>
        <v>359.08611853211448</v>
      </c>
      <c r="J38" s="176">
        <f>(SUM('ACTUAL EXP'!$G$49:$G$50)*ALLOCATION!P42*0.5)+(SUM('ACTUAL EXP'!$G$49:$G$50)*ALLOCATION!P42*0.5)</f>
        <v>172.26008437381969</v>
      </c>
      <c r="K38" s="40">
        <f>SUM('ACTUAL EXP'!$G$52:$G$53)*ALLOCATION!P42</f>
        <v>181.79654736124417</v>
      </c>
      <c r="L38" s="40">
        <f>SUM('ACTUAL EXP'!$G$54:$G$54)*ALLOCATION!P42</f>
        <v>24.790438276533298</v>
      </c>
      <c r="M38" s="40">
        <f>SUM('ACTUAL EXP'!$G$21:$G$21)*ALLOCATION!P42</f>
        <v>7.6392517526513952</v>
      </c>
      <c r="N38" s="176">
        <f>SUM('ACTUAL EXP'!$G$58:$G$62)*0.39*ALLOCATION!P42</f>
        <v>121.66494398738796</v>
      </c>
      <c r="O38" s="176">
        <f>SUM('ACTUAL EXP'!$G$58:$G$62)*0.27*ALLOCATION!P42</f>
        <v>84.229576606653211</v>
      </c>
      <c r="P38" s="176">
        <f>SUM('ACTUAL EXP'!$G$58:$G$62)*0.34*ALLOCATION!P42</f>
        <v>106.06687424541514</v>
      </c>
      <c r="Q38" s="40">
        <f>'ACTUAL EXP'!$G$85*ALLOCATION!P42</f>
        <v>161.44046062996924</v>
      </c>
      <c r="R38" s="40">
        <f>SUM('ACTUAL EXP'!$G$68:$G$73)*ALLOCATION!P42</f>
        <v>440.32792364213259</v>
      </c>
      <c r="S38" s="40">
        <f>SUM('ACTUAL EXP'!$G$75)*ALLOCATION!P42</f>
        <v>61.666464614538157</v>
      </c>
      <c r="T38" s="40">
        <f>SUM('ACTUAL EXP'!$G$77)*ALLOCATION!P42</f>
        <v>40.489950312517585</v>
      </c>
      <c r="U38" s="40">
        <f>SUM('ACTUAL EXP'!$G$79)*ALLOCATION!P42</f>
        <v>61.362064880786946</v>
      </c>
      <c r="V38" s="40">
        <f t="shared" si="0"/>
        <v>3490.3374852690213</v>
      </c>
      <c r="W38" s="40">
        <f t="shared" si="1"/>
        <v>31.436070877058086</v>
      </c>
      <c r="X38" s="40">
        <f t="shared" si="2"/>
        <v>23.017146660288073</v>
      </c>
      <c r="Y38" s="40">
        <f t="shared" si="3"/>
        <v>73.390139574960301</v>
      </c>
      <c r="Z38" s="40">
        <f t="shared" si="4"/>
        <v>30.101685135309427</v>
      </c>
      <c r="AA38" s="40">
        <f t="shared" si="5"/>
        <v>11.719111374112716</v>
      </c>
      <c r="AB38" s="40">
        <f t="shared" si="6"/>
        <v>25.500114117368522</v>
      </c>
      <c r="AC38" s="40">
        <f t="shared" si="7"/>
        <v>3685.5017530081186</v>
      </c>
      <c r="AD38" s="40">
        <f>SUM('ACTUAL EXP'!$G$37:$G$39)*ALLOCATION!P42</f>
        <v>72.202027959423532</v>
      </c>
      <c r="AE38" s="40">
        <f t="shared" si="8"/>
        <v>4.0372187433023026</v>
      </c>
      <c r="AF38" s="40">
        <f>SUM('ACTUAL EXP'!$G$41)*ALLOCATION!P42</f>
        <v>21.602071214752847</v>
      </c>
      <c r="AG38" s="40">
        <f t="shared" si="9"/>
        <v>1.2078924826233874</v>
      </c>
      <c r="AH38" s="40">
        <f>SUM('ACTUAL EXP'!$G$81)*ALLOCATION!P42</f>
        <v>8.9981029150997411</v>
      </c>
      <c r="AI38" s="40">
        <f t="shared" si="10"/>
        <v>0.50313420231657702</v>
      </c>
      <c r="AJ38" s="296">
        <f>SUM('ACTUAL EXP'!$G$83)*ALLOCATION!P42</f>
        <v>66.807869113798674</v>
      </c>
      <c r="AK38" s="40">
        <f t="shared" si="10"/>
        <v>3.7356011875164006</v>
      </c>
      <c r="AL38" s="40">
        <f>SUM('ACTUAL EXP'!$G$64:$G$66)*ALLOCATION!P42</f>
        <v>21.573338407943975</v>
      </c>
      <c r="AM38" s="40">
        <f t="shared" si="11"/>
        <v>1.2062858708774997</v>
      </c>
      <c r="AN38" s="40">
        <f t="shared" si="12"/>
        <v>3887.3752951057731</v>
      </c>
      <c r="AO38" s="40">
        <f t="shared" ref="AO38:AO56" si="15">-AN38</f>
        <v>-3887.3752951057731</v>
      </c>
      <c r="AP38" s="41" t="s">
        <v>351</v>
      </c>
      <c r="AQ38" s="83">
        <f t="shared" si="13"/>
        <v>0</v>
      </c>
      <c r="AR38" s="40"/>
      <c r="AS38" s="171">
        <f t="shared" si="14"/>
        <v>0</v>
      </c>
      <c r="AT38" s="40"/>
      <c r="AU38" s="171"/>
      <c r="AV38" s="33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</row>
    <row r="39" spans="1:253" ht="13" customHeight="1">
      <c r="A39" s="25">
        <f>ALLOCATION!A43</f>
        <v>301000</v>
      </c>
      <c r="B39" s="24" t="str">
        <f>ALLOCATION!C43</f>
        <v>River Dist URA DR</v>
      </c>
      <c r="C39" s="40">
        <f>'ACTUAL EXP'!$G$13*(ALLOCATION!P43)</f>
        <v>14205.062820606039</v>
      </c>
      <c r="D39" s="40">
        <f>(SUM('ACTUAL EXP'!$G$15,'ACTUAL EXP'!$G$17:$G$19,'ACTUAL EXP'!$G$22))*ALLOCATION!P43</f>
        <v>22910.550778146768</v>
      </c>
      <c r="E39" s="176">
        <f>(('ACTUAL EXP'!$G$25)*(ALLOCATION!P43))</f>
        <v>0</v>
      </c>
      <c r="F39" s="40">
        <f>'ACTUAL EXP'!$G$28*ALLOCATION!P43</f>
        <v>0</v>
      </c>
      <c r="G39" s="40">
        <v>0</v>
      </c>
      <c r="H39" s="40">
        <f>SUM('ACTUAL EXP'!$G$30:$G$35)*ALLOCATION!P43</f>
        <v>20562.840065070235</v>
      </c>
      <c r="I39" s="40">
        <f>SUM('ACTUAL EXP'!$G$43:$G$47)*ALLOCATION!P43</f>
        <v>12420.583841975873</v>
      </c>
      <c r="J39" s="176">
        <f>(SUM('ACTUAL EXP'!$G$49:$G$50)*ALLOCATION!P43*0.5)+(SUM('ACTUAL EXP'!$G$49:$G$50)*ALLOCATION!P43*0.5)</f>
        <v>5958.3779772303151</v>
      </c>
      <c r="K39" s="40">
        <f>SUM('ACTUAL EXP'!$G$52:$G$53)*ALLOCATION!P43</f>
        <v>6288.2387877105512</v>
      </c>
      <c r="L39" s="40">
        <f>SUM('ACTUAL EXP'!$G$54:$G$54)*ALLOCATION!P43</f>
        <v>857.48710741507523</v>
      </c>
      <c r="M39" s="40">
        <f>SUM('ACTUAL EXP'!$G$21:$G$21)*ALLOCATION!P43</f>
        <v>264.23735696505889</v>
      </c>
      <c r="N39" s="176">
        <f>SUM('ACTUAL EXP'!$G$58:$G$62)*0.39*ALLOCATION!P43</f>
        <v>4208.3209554353816</v>
      </c>
      <c r="O39" s="176">
        <f>SUM('ACTUAL EXP'!$G$58:$G$62)*0.27*ALLOCATION!P43</f>
        <v>2913.4529691475718</v>
      </c>
      <c r="P39" s="176">
        <f>SUM('ACTUAL EXP'!$G$58:$G$62)*0.34*ALLOCATION!P43</f>
        <v>3668.7926278154605</v>
      </c>
      <c r="Q39" s="40">
        <f>'ACTUAL EXP'!$G$85*ALLOCATION!P43</f>
        <v>5584.1333687267188</v>
      </c>
      <c r="R39" s="40">
        <f>SUM('ACTUAL EXP'!$G$68:$G$73)*ALLOCATION!P43</f>
        <v>15230.691500738512</v>
      </c>
      <c r="S39" s="40">
        <f>SUM('ACTUAL EXP'!$G$75)*ALLOCATION!P43</f>
        <v>2133.0078063560932</v>
      </c>
      <c r="T39" s="40">
        <f>SUM('ACTUAL EXP'!$G$77)*ALLOCATION!P43</f>
        <v>1400.5242660726378</v>
      </c>
      <c r="U39" s="40">
        <f>SUM('ACTUAL EXP'!$G$79)*ALLOCATION!P43</f>
        <v>2122.4787933438738</v>
      </c>
      <c r="V39" s="40">
        <f t="shared" si="0"/>
        <v>120728.78102275616</v>
      </c>
      <c r="W39" s="40">
        <f t="shared" si="1"/>
        <v>1087.3557451535853</v>
      </c>
      <c r="X39" s="40">
        <f t="shared" si="2"/>
        <v>796.14996276052113</v>
      </c>
      <c r="Y39" s="40">
        <f t="shared" si="3"/>
        <v>2538.5230303286776</v>
      </c>
      <c r="Z39" s="40">
        <f t="shared" si="4"/>
        <v>1041.2001041316555</v>
      </c>
      <c r="AA39" s="40">
        <f t="shared" si="5"/>
        <v>405.35737212743919</v>
      </c>
      <c r="AB39" s="40">
        <f t="shared" si="6"/>
        <v>882.03438960395852</v>
      </c>
      <c r="AC39" s="40">
        <f t="shared" si="7"/>
        <v>127479.401626862</v>
      </c>
      <c r="AD39" s="40">
        <f>SUM('ACTUAL EXP'!$G$37:$G$39)*ALLOCATION!P43</f>
        <v>2497.4269278262354</v>
      </c>
      <c r="AE39" s="40">
        <f t="shared" si="8"/>
        <v>139.64509153003664</v>
      </c>
      <c r="AF39" s="40">
        <f>SUM('ACTUAL EXP'!$G$41)*ALLOCATION!P43</f>
        <v>747.20331094941866</v>
      </c>
      <c r="AG39" s="40">
        <f t="shared" si="9"/>
        <v>41.78031140230339</v>
      </c>
      <c r="AH39" s="40">
        <f>SUM('ACTUAL EXP'!$G$81)*ALLOCATION!P43</f>
        <v>311.23924292196932</v>
      </c>
      <c r="AI39" s="40">
        <f t="shared" si="10"/>
        <v>17.403124824720297</v>
      </c>
      <c r="AJ39" s="296">
        <f>SUM('ACTUAL EXP'!$G$83)*ALLOCATION!P43</f>
        <v>2310.8460528180381</v>
      </c>
      <c r="AK39" s="40">
        <f t="shared" si="10"/>
        <v>129.2123124653244</v>
      </c>
      <c r="AL39" s="40">
        <f>SUM('ACTUAL EXP'!$G$64:$G$66)*ALLOCATION!P43</f>
        <v>746.20945956512185</v>
      </c>
      <c r="AM39" s="40">
        <f t="shared" si="11"/>
        <v>41.724739619208918</v>
      </c>
      <c r="AN39" s="40">
        <f t="shared" si="12"/>
        <v>134462.09220078436</v>
      </c>
      <c r="AO39" s="40">
        <f t="shared" si="15"/>
        <v>-134462.09220078436</v>
      </c>
      <c r="AP39" s="41" t="s">
        <v>351</v>
      </c>
      <c r="AQ39" s="83">
        <f t="shared" si="13"/>
        <v>0</v>
      </c>
      <c r="AR39" s="40"/>
      <c r="AS39" s="171">
        <f t="shared" si="14"/>
        <v>0</v>
      </c>
      <c r="AT39" s="40"/>
      <c r="AU39" s="171"/>
      <c r="AV39" s="33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</row>
    <row r="40" spans="1:253" ht="13" customHeight="1">
      <c r="A40" s="25">
        <f>ALLOCATION!A44</f>
        <v>302000</v>
      </c>
      <c r="B40" s="24" t="str">
        <f>ALLOCATION!C44</f>
        <v>Bonded Dbt Int&amp;Sinkg</v>
      </c>
      <c r="C40" s="40">
        <f>'ACTUAL EXP'!$G$13*(ALLOCATION!P44)</f>
        <v>3968.5710942652786</v>
      </c>
      <c r="D40" s="40">
        <f>(SUM('ACTUAL EXP'!$G$15,'ACTUAL EXP'!$G$17:$G$19,'ACTUAL EXP'!$G$22))*ALLOCATION!P44</f>
        <v>6400.6862004128097</v>
      </c>
      <c r="E40" s="176">
        <f>(('ACTUAL EXP'!$G$25)*(ALLOCATION!P44))</f>
        <v>0</v>
      </c>
      <c r="F40" s="40">
        <f>'ACTUAL EXP'!$G$28*ALLOCATION!P44</f>
        <v>0</v>
      </c>
      <c r="G40" s="40">
        <v>0</v>
      </c>
      <c r="H40" s="40">
        <f>SUM('ACTUAL EXP'!$G$30:$G$35)*ALLOCATION!P44</f>
        <v>5744.7892859622089</v>
      </c>
      <c r="I40" s="40">
        <f>SUM('ACTUAL EXP'!$G$43:$G$47)*ALLOCATION!P44</f>
        <v>3470.028301294119</v>
      </c>
      <c r="J40" s="176">
        <f>(SUM('ACTUAL EXP'!$G$49:$G$50)*ALLOCATION!P44*0.5)+(SUM('ACTUAL EXP'!$G$49:$G$50)*ALLOCATION!P44*0.5)</f>
        <v>1664.6351309929803</v>
      </c>
      <c r="K40" s="40">
        <f>SUM('ACTUAL EXP'!$G$52:$G$53)*ALLOCATION!P44</f>
        <v>1756.7907303123877</v>
      </c>
      <c r="L40" s="40">
        <f>SUM('ACTUAL EXP'!$G$54:$G$54)*ALLOCATION!P44</f>
        <v>239.5623723153256</v>
      </c>
      <c r="M40" s="40">
        <f>SUM('ACTUAL EXP'!$G$21:$G$21)*ALLOCATION!P44</f>
        <v>73.821900692717236</v>
      </c>
      <c r="N40" s="176">
        <f>SUM('ACTUAL EXP'!$G$58:$G$62)*0.39*ALLOCATION!P44</f>
        <v>1175.7090489529539</v>
      </c>
      <c r="O40" s="176">
        <f>SUM('ACTUAL EXP'!$G$58:$G$62)*0.27*ALLOCATION!P44</f>
        <v>813.95241850589127</v>
      </c>
      <c r="P40" s="176">
        <f>SUM('ACTUAL EXP'!$G$58:$G$62)*0.34*ALLOCATION!P44</f>
        <v>1024.9771196000111</v>
      </c>
      <c r="Q40" s="40">
        <f>'ACTUAL EXP'!$G$85*ALLOCATION!P44</f>
        <v>1560.0797091515838</v>
      </c>
      <c r="R40" s="40">
        <f>SUM('ACTUAL EXP'!$G$68:$G$73)*ALLOCATION!P44</f>
        <v>4255.1083933132477</v>
      </c>
      <c r="S40" s="40">
        <f>SUM('ACTUAL EXP'!$G$75)*ALLOCATION!P44</f>
        <v>595.91381122704774</v>
      </c>
      <c r="T40" s="40">
        <f>SUM('ACTUAL EXP'!$G$77)*ALLOCATION!P44</f>
        <v>391.27458916199544</v>
      </c>
      <c r="U40" s="40">
        <f>SUM('ACTUAL EXP'!$G$79)*ALLOCATION!P44</f>
        <v>592.97224474338373</v>
      </c>
      <c r="V40" s="40">
        <f t="shared" si="0"/>
        <v>33728.872350903941</v>
      </c>
      <c r="W40" s="40">
        <f t="shared" ref="W40:W71" si="16">-(H40/$H$111)*($W$117)</f>
        <v>303.78243545252394</v>
      </c>
      <c r="X40" s="40">
        <f t="shared" si="2"/>
        <v>222.42617078246633</v>
      </c>
      <c r="Y40" s="40">
        <f t="shared" ref="Y40:Y71" si="17">-(SUM(J40:O40,R40:U40)/SUM($J$111:$O$111,$R$111:$U$111))*$Y$119</f>
        <v>709.2055309797837</v>
      </c>
      <c r="Z40" s="40">
        <f t="shared" ref="Z40:Z71" si="18">-(C40/$C$111)*($Z$120)</f>
        <v>290.88760034266409</v>
      </c>
      <c r="AA40" s="40">
        <f t="shared" ref="AA40:AA71" si="19">-(I40/$I$111)*($AA$121)</f>
        <v>113.24761954158372</v>
      </c>
      <c r="AB40" s="40">
        <f t="shared" ref="AB40:AB71" si="20">-(SUM(D40:G40)/SUM($D$111:$G$111))*SUM($AB$117:$AB$122)</f>
        <v>246.42032400254095</v>
      </c>
      <c r="AC40" s="40">
        <f t="shared" si="7"/>
        <v>35614.842032005501</v>
      </c>
      <c r="AD40" s="40">
        <f>SUM('ACTUAL EXP'!$G$37:$G$39)*ALLOCATION!P44</f>
        <v>697.7242157235379</v>
      </c>
      <c r="AE40" s="40">
        <f t="shared" si="8"/>
        <v>39.013658770886636</v>
      </c>
      <c r="AF40" s="40">
        <f>SUM('ACTUAL EXP'!$G$41)*ALLOCATION!P44</f>
        <v>208.75159081110363</v>
      </c>
      <c r="AG40" s="40">
        <f t="shared" si="9"/>
        <v>11.672467643019496</v>
      </c>
      <c r="AH40" s="40">
        <f>SUM('ACTUAL EXP'!$G$81)*ALLOCATION!P44</f>
        <v>86.95315736790522</v>
      </c>
      <c r="AI40" s="40">
        <f t="shared" si="10"/>
        <v>4.8620367964221982</v>
      </c>
      <c r="AJ40" s="296">
        <f>SUM('ACTUAL EXP'!$G$83)*ALLOCATION!P44</f>
        <v>645.59776780483276</v>
      </c>
      <c r="AK40" s="40">
        <f t="shared" si="10"/>
        <v>36.098977860851313</v>
      </c>
      <c r="AL40" s="40">
        <f>SUM('ACTUAL EXP'!$G$64:$G$66)*ALLOCATION!P44</f>
        <v>208.47393136492403</v>
      </c>
      <c r="AM40" s="40">
        <f t="shared" si="11"/>
        <v>11.656942152225779</v>
      </c>
      <c r="AN40" s="40">
        <f t="shared" si="12"/>
        <v>37565.646778301205</v>
      </c>
      <c r="AO40" s="40">
        <f t="shared" si="15"/>
        <v>-37565.646778301205</v>
      </c>
      <c r="AP40" s="41" t="s">
        <v>351</v>
      </c>
      <c r="AQ40" s="83">
        <f t="shared" si="13"/>
        <v>0</v>
      </c>
      <c r="AR40" s="40"/>
      <c r="AS40" s="171">
        <f t="shared" si="14"/>
        <v>0</v>
      </c>
      <c r="AT40" s="40"/>
      <c r="AU40" s="171"/>
      <c r="AV40" s="33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</row>
    <row r="41" spans="1:253" ht="13" customHeight="1">
      <c r="A41" s="25">
        <f>ALLOCATION!A45</f>
        <v>303000</v>
      </c>
      <c r="B41" s="24" t="str">
        <f>ALLOCATION!C45</f>
        <v>DTWF Renwl Bd Sink</v>
      </c>
      <c r="C41" s="40">
        <f>'ACTUAL EXP'!$G$13*(ALLOCATION!P45)</f>
        <v>4781.7524955828376</v>
      </c>
      <c r="D41" s="40">
        <f>(SUM('ACTUAL EXP'!$G$15,'ACTUAL EXP'!$G$17:$G$19,'ACTUAL EXP'!$G$22))*ALLOCATION!P45</f>
        <v>7712.2209695308275</v>
      </c>
      <c r="E41" s="176">
        <f>(('ACTUAL EXP'!$G$25)*(ALLOCATION!P45))</f>
        <v>0</v>
      </c>
      <c r="F41" s="40">
        <f>'ACTUAL EXP'!$G$28*ALLOCATION!P45</f>
        <v>0</v>
      </c>
      <c r="G41" s="40">
        <v>0</v>
      </c>
      <c r="H41" s="40">
        <f>SUM('ACTUAL EXP'!$G$30:$G$35)*ALLOCATION!P45</f>
        <v>6921.9272761530374</v>
      </c>
      <c r="I41" s="40">
        <f>SUM('ACTUAL EXP'!$G$43:$G$47)*ALLOCATION!P45</f>
        <v>4181.0556231267765</v>
      </c>
      <c r="J41" s="176">
        <f>(SUM('ACTUAL EXP'!$G$49:$G$50)*ALLOCATION!P45*0.5)+(SUM('ACTUAL EXP'!$G$49:$G$50)*ALLOCATION!P45*0.5)</f>
        <v>2005.7277551012849</v>
      </c>
      <c r="K41" s="40">
        <f>SUM('ACTUAL EXP'!$G$52:$G$53)*ALLOCATION!P45</f>
        <v>2116.7665286448118</v>
      </c>
      <c r="L41" s="40">
        <f>SUM('ACTUAL EXP'!$G$54:$G$54)*ALLOCATION!P45</f>
        <v>288.649981178838</v>
      </c>
      <c r="M41" s="40">
        <f>SUM('ACTUAL EXP'!$G$21:$G$21)*ALLOCATION!P45</f>
        <v>88.948402203544575</v>
      </c>
      <c r="N41" s="176">
        <f>SUM('ACTUAL EXP'!$G$58:$G$62)*0.39*ALLOCATION!P45</f>
        <v>1416.6181089798347</v>
      </c>
      <c r="O41" s="176">
        <f>SUM('ACTUAL EXP'!$G$58:$G$62)*0.27*ALLOCATION!P45</f>
        <v>980.73561390911641</v>
      </c>
      <c r="P41" s="176">
        <f>SUM('ACTUAL EXP'!$G$58:$G$62)*0.34*ALLOCATION!P45</f>
        <v>1235.0004027003686</v>
      </c>
      <c r="Q41" s="40">
        <f>'ACTUAL EXP'!$G$85*ALLOCATION!P45</f>
        <v>1879.7483692111668</v>
      </c>
      <c r="R41" s="40">
        <f>SUM('ACTUAL EXP'!$G$68:$G$73)*ALLOCATION!P45</f>
        <v>5127.002816732459</v>
      </c>
      <c r="S41" s="40">
        <f>SUM('ACTUAL EXP'!$G$75)*ALLOCATION!P45</f>
        <v>718.01973211588893</v>
      </c>
      <c r="T41" s="40">
        <f>SUM('ACTUAL EXP'!$G$77)*ALLOCATION!P45</f>
        <v>471.44884109223818</v>
      </c>
      <c r="U41" s="40">
        <f>SUM('ACTUAL EXP'!$G$79)*ALLOCATION!P45</f>
        <v>714.47542295773644</v>
      </c>
      <c r="V41" s="40">
        <f t="shared" si="0"/>
        <v>40640.098339220756</v>
      </c>
      <c r="W41" s="40">
        <f t="shared" si="16"/>
        <v>366.0290780574432</v>
      </c>
      <c r="X41" s="40">
        <f t="shared" si="2"/>
        <v>268.00248047941295</v>
      </c>
      <c r="Y41" s="40">
        <f t="shared" si="17"/>
        <v>854.52552999345232</v>
      </c>
      <c r="Z41" s="40">
        <f t="shared" si="18"/>
        <v>350.49202240136538</v>
      </c>
      <c r="AA41" s="40">
        <f t="shared" si="19"/>
        <v>136.45266129774055</v>
      </c>
      <c r="AB41" s="40">
        <f t="shared" si="20"/>
        <v>296.91316377428541</v>
      </c>
      <c r="AC41" s="40">
        <f t="shared" si="7"/>
        <v>42912.513275224454</v>
      </c>
      <c r="AD41" s="40">
        <f>SUM('ACTUAL EXP'!$G$37:$G$39)*ALLOCATION!P45</f>
        <v>840.69163195431668</v>
      </c>
      <c r="AE41" s="40">
        <f t="shared" si="8"/>
        <v>47.007765706674846</v>
      </c>
      <c r="AF41" s="40">
        <f>SUM('ACTUAL EXP'!$G$41)*ALLOCATION!P45</f>
        <v>251.52590607745771</v>
      </c>
      <c r="AG41" s="40">
        <f t="shared" si="9"/>
        <v>14.064218570324408</v>
      </c>
      <c r="AH41" s="40">
        <f>SUM('ACTUAL EXP'!$G$81)*ALLOCATION!P45</f>
        <v>104.77032346569692</v>
      </c>
      <c r="AI41" s="40">
        <f t="shared" si="10"/>
        <v>5.8582940894023832</v>
      </c>
      <c r="AJ41" s="296">
        <f>SUM('ACTUAL EXP'!$G$83)*ALLOCATION!P45</f>
        <v>777.88419660779607</v>
      </c>
      <c r="AK41" s="40">
        <f t="shared" si="10"/>
        <v>43.495851119701996</v>
      </c>
      <c r="AL41" s="40">
        <f>SUM('ACTUAL EXP'!$G$64:$G$66)*ALLOCATION!P45</f>
        <v>251.19135272861891</v>
      </c>
      <c r="AM41" s="40">
        <f t="shared" si="11"/>
        <v>14.0455118235925</v>
      </c>
      <c r="AN41" s="40">
        <f t="shared" si="12"/>
        <v>45263.048327368029</v>
      </c>
      <c r="AO41" s="40">
        <f t="shared" si="15"/>
        <v>-45263.048327368029</v>
      </c>
      <c r="AP41" s="41" t="s">
        <v>351</v>
      </c>
      <c r="AQ41" s="83">
        <f t="shared" si="13"/>
        <v>0</v>
      </c>
      <c r="AR41" s="40"/>
      <c r="AS41" s="171">
        <f t="shared" si="14"/>
        <v>0</v>
      </c>
      <c r="AT41" s="40"/>
      <c r="AU41" s="171"/>
      <c r="AV41" s="33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</row>
    <row r="42" spans="1:253" ht="13" customHeight="1">
      <c r="A42" s="25">
        <f>ALLOCATION!A46</f>
        <v>305000</v>
      </c>
      <c r="B42" s="24" t="str">
        <f>ALLOCATION!C46</f>
        <v>Pension Debt Rdmpt</v>
      </c>
      <c r="C42" s="40">
        <f>'ACTUAL EXP'!$G$13*(ALLOCATION!P46)</f>
        <v>1529.6074822637204</v>
      </c>
      <c r="D42" s="40">
        <f>(SUM('ACTUAL EXP'!$G$15,'ACTUAL EXP'!$G$17:$G$19,'ACTUAL EXP'!$G$22))*ALLOCATION!P46</f>
        <v>2467.0182973214814</v>
      </c>
      <c r="E42" s="176">
        <f>(('ACTUAL EXP'!$G$25)*(ALLOCATION!P46))</f>
        <v>0</v>
      </c>
      <c r="F42" s="40">
        <f>'ACTUAL EXP'!$G$28*ALLOCATION!P46</f>
        <v>0</v>
      </c>
      <c r="G42" s="40">
        <v>0</v>
      </c>
      <c r="H42" s="40">
        <f>SUM('ACTUAL EXP'!$G$30:$G$35)*ALLOCATION!P46</f>
        <v>2214.2157635865865</v>
      </c>
      <c r="I42" s="40">
        <f>SUM('ACTUAL EXP'!$G$43:$G$47)*ALLOCATION!P46</f>
        <v>1337.4539921928772</v>
      </c>
      <c r="J42" s="176">
        <f>(SUM('ACTUAL EXP'!$G$49:$G$50)*ALLOCATION!P46*0.5)+(SUM('ACTUAL EXP'!$G$49:$G$50)*ALLOCATION!P46*0.5)</f>
        <v>641.60079059319685</v>
      </c>
      <c r="K42" s="40">
        <f>SUM('ACTUAL EXP'!$G$52:$G$53)*ALLOCATION!P46</f>
        <v>677.1203493722137</v>
      </c>
      <c r="L42" s="40">
        <f>SUM('ACTUAL EXP'!$G$54:$G$54)*ALLOCATION!P46</f>
        <v>92.334593096210966</v>
      </c>
      <c r="M42" s="40">
        <f>SUM('ACTUAL EXP'!$G$21:$G$21)*ALLOCATION!P46</f>
        <v>28.453196118290727</v>
      </c>
      <c r="N42" s="176">
        <f>SUM('ACTUAL EXP'!$G$58:$G$62)*0.39*ALLOCATION!P46</f>
        <v>453.15387214363182</v>
      </c>
      <c r="O42" s="176">
        <f>SUM('ACTUAL EXP'!$G$58:$G$62)*0.27*ALLOCATION!P46</f>
        <v>313.72191148405284</v>
      </c>
      <c r="P42" s="176">
        <f>SUM('ACTUAL EXP'!$G$58:$G$62)*0.34*ALLOCATION!P46</f>
        <v>395.05722186880723</v>
      </c>
      <c r="Q42" s="40">
        <f>'ACTUAL EXP'!$G$85*ALLOCATION!P46</f>
        <v>601.30196470320777</v>
      </c>
      <c r="R42" s="40">
        <f>SUM('ACTUAL EXP'!$G$68:$G$73)*ALLOCATION!P46</f>
        <v>1640.0476346915686</v>
      </c>
      <c r="S42" s="40">
        <f>SUM('ACTUAL EXP'!$G$75)*ALLOCATION!P46</f>
        <v>229.68322924952807</v>
      </c>
      <c r="T42" s="40">
        <f>SUM('ACTUAL EXP'!$G$77)*ALLOCATION!P46</f>
        <v>150.80907585773113</v>
      </c>
      <c r="U42" s="40">
        <f>SUM('ACTUAL EXP'!$G$79)*ALLOCATION!P46</f>
        <v>228.5494604455647</v>
      </c>
      <c r="V42" s="40">
        <f t="shared" si="0"/>
        <v>13000.128834988669</v>
      </c>
      <c r="W42" s="40">
        <f t="shared" si="16"/>
        <v>117.08695024260426</v>
      </c>
      <c r="X42" s="40">
        <f t="shared" si="2"/>
        <v>85.729782079944343</v>
      </c>
      <c r="Y42" s="40">
        <f t="shared" si="17"/>
        <v>273.34928892091006</v>
      </c>
      <c r="Z42" s="40">
        <f t="shared" si="18"/>
        <v>112.11689028951426</v>
      </c>
      <c r="AA42" s="40">
        <f t="shared" si="19"/>
        <v>43.649062114491734</v>
      </c>
      <c r="AB42" s="40">
        <f t="shared" si="20"/>
        <v>94.977855359781358</v>
      </c>
      <c r="AC42" s="40">
        <f t="shared" si="7"/>
        <v>13727.038663995916</v>
      </c>
      <c r="AD42" s="40">
        <f>SUM('ACTUAL EXP'!$G$37:$G$39)*ALLOCATION!P46</f>
        <v>268.92404232584221</v>
      </c>
      <c r="AE42" s="40">
        <f t="shared" si="8"/>
        <v>15.037045563493896</v>
      </c>
      <c r="AF42" s="40">
        <f>SUM('ACTUAL EXP'!$G$41)*ALLOCATION!P46</f>
        <v>80.459184843766465</v>
      </c>
      <c r="AG42" s="40">
        <f t="shared" si="9"/>
        <v>4.4989225137087407</v>
      </c>
      <c r="AH42" s="40">
        <f>SUM('ACTUAL EXP'!$G$81)*ALLOCATION!P46</f>
        <v>33.514380102349236</v>
      </c>
      <c r="AI42" s="40">
        <f t="shared" si="10"/>
        <v>1.8739762212136393</v>
      </c>
      <c r="AJ42" s="296">
        <f>SUM('ACTUAL EXP'!$G$83)*ALLOCATION!P46</f>
        <v>248.83293072260082</v>
      </c>
      <c r="AK42" s="40">
        <f t="shared" si="10"/>
        <v>13.913639273798422</v>
      </c>
      <c r="AL42" s="40">
        <f>SUM('ACTUAL EXP'!$G$64:$G$66)*ALLOCATION!P46</f>
        <v>80.352166484687245</v>
      </c>
      <c r="AM42" s="40">
        <f t="shared" si="11"/>
        <v>4.4929385193894245</v>
      </c>
      <c r="AN42" s="40">
        <f t="shared" si="12"/>
        <v>14478.937890566767</v>
      </c>
      <c r="AO42" s="40">
        <f t="shared" si="15"/>
        <v>-14478.937890566767</v>
      </c>
      <c r="AP42" s="41" t="s">
        <v>351</v>
      </c>
      <c r="AQ42" s="83">
        <f t="shared" si="13"/>
        <v>0</v>
      </c>
      <c r="AR42" s="40"/>
      <c r="AS42" s="171">
        <f t="shared" si="14"/>
        <v>0</v>
      </c>
      <c r="AT42" s="40"/>
      <c r="AU42" s="171"/>
      <c r="AV42" s="33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</row>
    <row r="43" spans="1:253" ht="13" customHeight="1">
      <c r="A43" s="25">
        <f>ALLOCATION!A47</f>
        <v>306000</v>
      </c>
      <c r="B43" s="24" t="str">
        <f>ALLOCATION!C47</f>
        <v>SO Park Block Rdmpt</v>
      </c>
      <c r="C43" s="40">
        <f>'ACTUAL EXP'!$G$13*(ALLOCATION!P47)</f>
        <v>3369.9263914745102</v>
      </c>
      <c r="D43" s="40">
        <f>(SUM('ACTUAL EXP'!$G$15,'ACTUAL EXP'!$G$17:$G$19,'ACTUAL EXP'!$G$22))*ALLOCATION!P47</f>
        <v>5435.1656649132465</v>
      </c>
      <c r="E43" s="176">
        <f>(('ACTUAL EXP'!$G$25)*(ALLOCATION!P47))</f>
        <v>0</v>
      </c>
      <c r="F43" s="40">
        <f>'ACTUAL EXP'!$G$28*ALLOCATION!P47</f>
        <v>0</v>
      </c>
      <c r="G43" s="40">
        <v>0</v>
      </c>
      <c r="H43" s="40">
        <f>SUM('ACTUAL EXP'!$G$30:$G$35)*ALLOCATION!P47</f>
        <v>4878.2084454022306</v>
      </c>
      <c r="I43" s="40">
        <f>SUM('ACTUAL EXP'!$G$43:$G$47)*ALLOCATION!P47</f>
        <v>2946.5869891035518</v>
      </c>
      <c r="J43" s="176">
        <f>(SUM('ACTUAL EXP'!$G$49:$G$50)*ALLOCATION!P47*0.5)+(SUM('ACTUAL EXP'!$G$49:$G$50)*ALLOCATION!P47*0.5)</f>
        <v>1413.5308973587694</v>
      </c>
      <c r="K43" s="40">
        <f>SUM('ACTUAL EXP'!$G$52:$G$53)*ALLOCATION!P47</f>
        <v>1491.7851553503644</v>
      </c>
      <c r="L43" s="40">
        <f>SUM('ACTUAL EXP'!$G$54:$G$54)*ALLOCATION!P47</f>
        <v>203.42524845686788</v>
      </c>
      <c r="M43" s="40">
        <f>SUM('ACTUAL EXP'!$G$21:$G$21)*ALLOCATION!P47</f>
        <v>62.686131986569613</v>
      </c>
      <c r="N43" s="176">
        <f>SUM('ACTUAL EXP'!$G$58:$G$62)*0.39*ALLOCATION!P47</f>
        <v>998.35755959802736</v>
      </c>
      <c r="O43" s="176">
        <f>SUM('ACTUAL EXP'!$G$58:$G$62)*0.27*ALLOCATION!P47</f>
        <v>691.17061818324976</v>
      </c>
      <c r="P43" s="176">
        <f>SUM('ACTUAL EXP'!$G$58:$G$62)*0.34*ALLOCATION!P47</f>
        <v>870.36300067520335</v>
      </c>
      <c r="Q43" s="40">
        <f>'ACTUAL EXP'!$G$85*ALLOCATION!P47</f>
        <v>1324.7472855584865</v>
      </c>
      <c r="R43" s="40">
        <f>SUM('ACTUAL EXP'!$G$68:$G$73)*ALLOCATION!P47</f>
        <v>3613.2405676017602</v>
      </c>
      <c r="S43" s="40">
        <f>SUM('ACTUAL EXP'!$G$75)*ALLOCATION!P47</f>
        <v>506.02235207530606</v>
      </c>
      <c r="T43" s="40">
        <f>SUM('ACTUAL EXP'!$G$77)*ALLOCATION!P47</f>
        <v>332.25222202412573</v>
      </c>
      <c r="U43" s="40">
        <f>SUM('ACTUAL EXP'!$G$79)*ALLOCATION!P47</f>
        <v>503.52451033576892</v>
      </c>
      <c r="V43" s="40">
        <f t="shared" si="0"/>
        <v>28640.993040098041</v>
      </c>
      <c r="W43" s="40">
        <f t="shared" si="16"/>
        <v>257.95794561351801</v>
      </c>
      <c r="X43" s="40">
        <f t="shared" si="2"/>
        <v>188.8739814079656</v>
      </c>
      <c r="Y43" s="40">
        <f t="shared" si="17"/>
        <v>602.22442260945149</v>
      </c>
      <c r="Z43" s="40">
        <f t="shared" si="18"/>
        <v>247.00825008879318</v>
      </c>
      <c r="AA43" s="40">
        <f t="shared" si="19"/>
        <v>96.164622681530076</v>
      </c>
      <c r="AB43" s="40">
        <f t="shared" si="20"/>
        <v>209.24870275143755</v>
      </c>
      <c r="AC43" s="40">
        <f t="shared" si="7"/>
        <v>30242.470965250737</v>
      </c>
      <c r="AD43" s="40">
        <f>SUM('ACTUAL EXP'!$G$37:$G$39)*ALLOCATION!P47</f>
        <v>592.47502254282006</v>
      </c>
      <c r="AE43" s="40">
        <f t="shared" si="8"/>
        <v>33.128588400488809</v>
      </c>
      <c r="AF43" s="40">
        <f>SUM('ACTUAL EXP'!$G$41)*ALLOCATION!P47</f>
        <v>177.26216273488839</v>
      </c>
      <c r="AG43" s="40">
        <f t="shared" si="9"/>
        <v>9.9117178020785897</v>
      </c>
      <c r="AH43" s="40">
        <f>SUM('ACTUAL EXP'!$G$81)*ALLOCATION!P47</f>
        <v>73.836585732222943</v>
      </c>
      <c r="AI43" s="40">
        <f t="shared" si="10"/>
        <v>4.1286159999148833</v>
      </c>
      <c r="AJ43" s="296">
        <f>SUM('ACTUAL EXP'!$G$83)*ALLOCATION!P47</f>
        <v>548.21166216384029</v>
      </c>
      <c r="AK43" s="40">
        <f t="shared" si="10"/>
        <v>30.65357664231507</v>
      </c>
      <c r="AL43" s="40">
        <f>SUM('ACTUAL EXP'!$G$64:$G$66)*ALLOCATION!P47</f>
        <v>177.02638721939496</v>
      </c>
      <c r="AM43" s="40">
        <f t="shared" si="11"/>
        <v>9.8985342758361252</v>
      </c>
      <c r="AN43" s="40">
        <f t="shared" si="12"/>
        <v>31899.00381876454</v>
      </c>
      <c r="AO43" s="40">
        <f t="shared" si="15"/>
        <v>-31899.00381876454</v>
      </c>
      <c r="AP43" s="41" t="s">
        <v>351</v>
      </c>
      <c r="AQ43" s="83">
        <f t="shared" si="13"/>
        <v>0</v>
      </c>
      <c r="AR43" s="40"/>
      <c r="AS43" s="171">
        <f t="shared" si="14"/>
        <v>0</v>
      </c>
      <c r="AT43" s="40"/>
      <c r="AU43" s="171"/>
      <c r="AV43" s="33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</row>
    <row r="44" spans="1:253" ht="13" customHeight="1">
      <c r="A44" s="25">
        <f>ALLOCATION!A48</f>
        <v>310000</v>
      </c>
      <c r="B44" s="24" t="str">
        <f>ALLOCATION!C48</f>
        <v>Cntrl E Ind Distr DS</v>
      </c>
      <c r="C44" s="40">
        <f>'ACTUAL EXP'!$G$13*(ALLOCATION!P48)</f>
        <v>3452.1134498348911</v>
      </c>
      <c r="D44" s="40">
        <f>(SUM('ACTUAL EXP'!$G$15,'ACTUAL EXP'!$G$17:$G$19,'ACTUAL EXP'!$G$22))*ALLOCATION!P48</f>
        <v>5567.720571403388</v>
      </c>
      <c r="E44" s="176">
        <f>(('ACTUAL EXP'!$G$25)*(ALLOCATION!P48))</f>
        <v>0</v>
      </c>
      <c r="F44" s="40">
        <f>'ACTUAL EXP'!$G$28*ALLOCATION!P48</f>
        <v>0</v>
      </c>
      <c r="G44" s="40">
        <v>0</v>
      </c>
      <c r="H44" s="40">
        <f>SUM('ACTUAL EXP'!$G$30:$G$35)*ALLOCATION!P48</f>
        <v>4997.1800654384033</v>
      </c>
      <c r="I44" s="40">
        <f>SUM('ACTUAL EXP'!$G$43:$G$47)*ALLOCATION!P48</f>
        <v>3018.4494836227368</v>
      </c>
      <c r="J44" s="176">
        <f>(SUM('ACTUAL EXP'!$G$49:$G$50)*ALLOCATION!P48*0.5)+(SUM('ACTUAL EXP'!$G$49:$G$50)*ALLOCATION!P48*0.5)</f>
        <v>1448.0046314585209</v>
      </c>
      <c r="K44" s="40">
        <f>SUM('ACTUAL EXP'!$G$52:$G$53)*ALLOCATION!P48</f>
        <v>1528.1673843314206</v>
      </c>
      <c r="L44" s="40">
        <f>SUM('ACTUAL EXP'!$G$54:$G$54)*ALLOCATION!P48</f>
        <v>208.3864614997392</v>
      </c>
      <c r="M44" s="40">
        <f>SUM('ACTUAL EXP'!$G$21:$G$21)*ALLOCATION!P48</f>
        <v>64.214945435136499</v>
      </c>
      <c r="N44" s="176">
        <f>SUM('ACTUAL EXP'!$G$58:$G$62)*0.39*ALLOCATION!P48</f>
        <v>1022.705886974789</v>
      </c>
      <c r="O44" s="176">
        <f>SUM('ACTUAL EXP'!$G$58:$G$62)*0.27*ALLOCATION!P48</f>
        <v>708.02715252100791</v>
      </c>
      <c r="P44" s="176">
        <f>SUM('ACTUAL EXP'!$G$58:$G$62)*0.34*ALLOCATION!P48</f>
        <v>891.58974761904688</v>
      </c>
      <c r="Q44" s="40">
        <f>'ACTUAL EXP'!$G$85*ALLOCATION!P48</f>
        <v>1357.0557308546204</v>
      </c>
      <c r="R44" s="40">
        <f>SUM('ACTUAL EXP'!$G$68:$G$73)*ALLOCATION!P48</f>
        <v>3701.3616654841521</v>
      </c>
      <c r="S44" s="40">
        <f>SUM('ACTUAL EXP'!$G$75)*ALLOCATION!P48</f>
        <v>518.36341943122341</v>
      </c>
      <c r="T44" s="40">
        <f>SUM('ACTUAL EXP'!$G$77)*ALLOCATION!P48</f>
        <v>340.35531674778076</v>
      </c>
      <c r="U44" s="40">
        <f>SUM('ACTUAL EXP'!$G$79)*ALLOCATION!P48</f>
        <v>515.8046593685616</v>
      </c>
      <c r="V44" s="40">
        <f t="shared" si="0"/>
        <v>29339.500572025416</v>
      </c>
      <c r="W44" s="40">
        <f t="shared" si="16"/>
        <v>264.24912300667927</v>
      </c>
      <c r="X44" s="40">
        <f t="shared" si="2"/>
        <v>193.48031256463574</v>
      </c>
      <c r="Y44" s="40">
        <f t="shared" si="17"/>
        <v>616.91170298811676</v>
      </c>
      <c r="Z44" s="40">
        <f t="shared" si="18"/>
        <v>253.03238210452557</v>
      </c>
      <c r="AA44" s="40">
        <f t="shared" si="19"/>
        <v>98.509922411674268</v>
      </c>
      <c r="AB44" s="40">
        <f t="shared" si="20"/>
        <v>214.35194043294121</v>
      </c>
      <c r="AC44" s="40">
        <f t="shared" si="7"/>
        <v>30980.035955533989</v>
      </c>
      <c r="AD44" s="40">
        <f>SUM('ACTUAL EXP'!$G$37:$G$39)*ALLOCATION!P48</f>
        <v>606.92453081041424</v>
      </c>
      <c r="AE44" s="40">
        <f t="shared" si="8"/>
        <v>33.936541130600723</v>
      </c>
      <c r="AF44" s="40">
        <f>SUM('ACTUAL EXP'!$G$41)*ALLOCATION!P48</f>
        <v>181.58530040063579</v>
      </c>
      <c r="AG44" s="40">
        <f t="shared" si="9"/>
        <v>10.153448580386369</v>
      </c>
      <c r="AH44" s="40">
        <f>SUM('ACTUAL EXP'!$G$81)*ALLOCATION!P48</f>
        <v>75.637340726770546</v>
      </c>
      <c r="AI44" s="40">
        <f t="shared" si="10"/>
        <v>4.2293062716641545</v>
      </c>
      <c r="AJ44" s="296">
        <f>SUM('ACTUAL EXP'!$G$83)*ALLOCATION!P48</f>
        <v>561.58165860829877</v>
      </c>
      <c r="AK44" s="40">
        <f t="shared" si="10"/>
        <v>31.401167835650913</v>
      </c>
      <c r="AL44" s="40">
        <f>SUM('ACTUAL EXP'!$G$64:$G$66)*ALLOCATION!P48</f>
        <v>181.34377470136954</v>
      </c>
      <c r="AM44" s="40">
        <f t="shared" si="11"/>
        <v>10.139943529245487</v>
      </c>
      <c r="AN44" s="40">
        <f t="shared" si="12"/>
        <v>32676.968968129022</v>
      </c>
      <c r="AO44" s="40">
        <f t="shared" si="15"/>
        <v>-32676.968968129022</v>
      </c>
      <c r="AP44" s="41" t="s">
        <v>351</v>
      </c>
      <c r="AQ44" s="83">
        <f t="shared" si="13"/>
        <v>0</v>
      </c>
      <c r="AR44" s="40"/>
      <c r="AS44" s="171">
        <f t="shared" si="14"/>
        <v>0</v>
      </c>
      <c r="AT44" s="40"/>
      <c r="AU44" s="171"/>
      <c r="AV44" s="33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</row>
    <row r="45" spans="1:253" ht="13" customHeight="1">
      <c r="A45" s="25">
        <f>ALLOCATION!A49</f>
        <v>307000</v>
      </c>
      <c r="B45" s="24" t="str">
        <f>ALLOCATION!C49</f>
        <v>Airport Way Dbt Srvc</v>
      </c>
      <c r="C45" s="40">
        <f>'ACTUAL EXP'!$G$13*(ALLOCATION!P49)</f>
        <v>2620.4956747027186</v>
      </c>
      <c r="D45" s="40">
        <f>(SUM('ACTUAL EXP'!$G$15,'ACTUAL EXP'!$G$17:$G$19,'ACTUAL EXP'!$G$22))*ALLOCATION!P49</f>
        <v>4226.4508068278446</v>
      </c>
      <c r="E45" s="176">
        <f>(('ACTUAL EXP'!$G$25)*(ALLOCATION!P49))</f>
        <v>0</v>
      </c>
      <c r="F45" s="40">
        <f>'ACTUAL EXP'!$G$28*ALLOCATION!P49</f>
        <v>0</v>
      </c>
      <c r="G45" s="40">
        <v>0</v>
      </c>
      <c r="H45" s="40">
        <f>SUM('ACTUAL EXP'!$G$30:$G$35)*ALLOCATION!P49</f>
        <v>3793.3541111802979</v>
      </c>
      <c r="I45" s="40">
        <f>SUM('ACTUAL EXP'!$G$43:$G$47)*ALLOCATION!P49</f>
        <v>2291.3018158543864</v>
      </c>
      <c r="J45" s="176">
        <f>(SUM('ACTUAL EXP'!$G$49:$G$50)*ALLOCATION!P49*0.5)+(SUM('ACTUAL EXP'!$G$49:$G$50)*ALLOCATION!P49*0.5)</f>
        <v>1099.1787868003128</v>
      </c>
      <c r="K45" s="40">
        <f>SUM('ACTUAL EXP'!$G$52:$G$53)*ALLOCATION!P49</f>
        <v>1160.0302478627366</v>
      </c>
      <c r="L45" s="40">
        <f>SUM('ACTUAL EXP'!$G$54:$G$54)*ALLOCATION!P49</f>
        <v>158.18594289037318</v>
      </c>
      <c r="M45" s="40">
        <f>SUM('ACTUAL EXP'!$G$21:$G$21)*ALLOCATION!P49</f>
        <v>48.745497275616657</v>
      </c>
      <c r="N45" s="176">
        <f>SUM('ACTUAL EXP'!$G$58:$G$62)*0.39*ALLOCATION!P49</f>
        <v>776.33495893323607</v>
      </c>
      <c r="O45" s="176">
        <f>SUM('ACTUAL EXP'!$G$58:$G$62)*0.27*ALLOCATION!P49</f>
        <v>537.4626638768558</v>
      </c>
      <c r="P45" s="176">
        <f>SUM('ACTUAL EXP'!$G$58:$G$62)*0.34*ALLOCATION!P49</f>
        <v>676.80483599307763</v>
      </c>
      <c r="Q45" s="40">
        <f>'ACTUAL EXP'!$G$85*ALLOCATION!P49</f>
        <v>1030.1395723843186</v>
      </c>
      <c r="R45" s="40">
        <f>SUM('ACTUAL EXP'!$G$68:$G$73)*ALLOCATION!P49</f>
        <v>2809.6997320223004</v>
      </c>
      <c r="S45" s="40">
        <f>SUM('ACTUAL EXP'!$G$75)*ALLOCATION!P49</f>
        <v>393.4891243532569</v>
      </c>
      <c r="T45" s="40">
        <f>SUM('ACTUAL EXP'!$G$77)*ALLOCATION!P49</f>
        <v>258.36336156399824</v>
      </c>
      <c r="U45" s="40">
        <f>SUM('ACTUAL EXP'!$G$79)*ALLOCATION!P49</f>
        <v>391.54677229147052</v>
      </c>
      <c r="V45" s="40">
        <f t="shared" si="0"/>
        <v>22271.5839048128</v>
      </c>
      <c r="W45" s="40">
        <f t="shared" si="16"/>
        <v>200.59123025522501</v>
      </c>
      <c r="X45" s="40">
        <f t="shared" si="2"/>
        <v>146.87070097305397</v>
      </c>
      <c r="Y45" s="40">
        <f t="shared" si="17"/>
        <v>468.29702234472279</v>
      </c>
      <c r="Z45" s="40">
        <f t="shared" si="18"/>
        <v>192.07661408009301</v>
      </c>
      <c r="AA45" s="40">
        <f t="shared" si="19"/>
        <v>74.778778086635441</v>
      </c>
      <c r="AB45" s="40">
        <f t="shared" si="20"/>
        <v>162.7143316496516</v>
      </c>
      <c r="AC45" s="40">
        <f t="shared" si="7"/>
        <v>23516.912582202178</v>
      </c>
      <c r="AD45" s="40">
        <f>SUM('ACTUAL EXP'!$G$37:$G$39)*ALLOCATION!P49</f>
        <v>460.71577049002713</v>
      </c>
      <c r="AE45" s="40">
        <f t="shared" si="8"/>
        <v>25.761192538838351</v>
      </c>
      <c r="AF45" s="40">
        <f>SUM('ACTUAL EXP'!$G$41)*ALLOCATION!P49</f>
        <v>137.84120979923725</v>
      </c>
      <c r="AG45" s="40">
        <f t="shared" si="9"/>
        <v>7.7074720964027161</v>
      </c>
      <c r="AH45" s="40">
        <f>SUM('ACTUAL EXP'!$G$81)*ALLOCATION!P49</f>
        <v>57.416225480653864</v>
      </c>
      <c r="AI45" s="40">
        <f t="shared" si="10"/>
        <v>3.2104619251198345</v>
      </c>
      <c r="AJ45" s="296">
        <f>SUM('ACTUAL EXP'!$G$83)*ALLOCATION!P49</f>
        <v>426.29604407868197</v>
      </c>
      <c r="AK45" s="40">
        <f t="shared" si="10"/>
        <v>23.836593347728179</v>
      </c>
      <c r="AL45" s="40">
        <f>SUM('ACTUAL EXP'!$G$64:$G$66)*ALLOCATION!P49</f>
        <v>137.65786789594986</v>
      </c>
      <c r="AM45" s="40">
        <f t="shared" si="11"/>
        <v>7.6972204263415795</v>
      </c>
      <c r="AN45" s="40">
        <f t="shared" si="12"/>
        <v>24805.052640281152</v>
      </c>
      <c r="AO45" s="40">
        <f t="shared" si="15"/>
        <v>-24805.052640281152</v>
      </c>
      <c r="AP45" s="41" t="s">
        <v>351</v>
      </c>
      <c r="AQ45" s="83">
        <f t="shared" si="13"/>
        <v>0</v>
      </c>
      <c r="AR45" s="40"/>
      <c r="AS45" s="171">
        <f t="shared" si="14"/>
        <v>0</v>
      </c>
      <c r="AT45" s="40"/>
      <c r="AU45" s="171"/>
      <c r="AV45" s="33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</row>
    <row r="46" spans="1:253" ht="13" customHeight="1">
      <c r="A46" s="25">
        <f>ALLOCATION!A50</f>
        <v>312000</v>
      </c>
      <c r="B46" s="24" t="str">
        <f>ALLOCATION!C50</f>
        <v>Convention Cntr ADS</v>
      </c>
      <c r="C46" s="40">
        <f>'ACTUAL EXP'!$G$13*(ALLOCATION!P50)</f>
        <v>5982.2637644149418</v>
      </c>
      <c r="D46" s="40">
        <f>(SUM('ACTUAL EXP'!$G$15,'ACTUAL EXP'!$G$17:$G$19,'ACTUAL EXP'!$G$22))*ALLOCATION!P50</f>
        <v>9648.4584034418658</v>
      </c>
      <c r="E46" s="176">
        <f>(('ACTUAL EXP'!$G$25)*(ALLOCATION!P50))</f>
        <v>0</v>
      </c>
      <c r="F46" s="40">
        <f>'ACTUAL EXP'!$G$28*ALLOCATION!P50</f>
        <v>0</v>
      </c>
      <c r="G46" s="40">
        <v>0</v>
      </c>
      <c r="H46" s="40">
        <f>SUM('ACTUAL EXP'!$G$30:$G$35)*ALLOCATION!P50</f>
        <v>8659.752833777422</v>
      </c>
      <c r="I46" s="40">
        <f>SUM('ACTUAL EXP'!$G$43:$G$47)*ALLOCATION!P50</f>
        <v>5230.7553714542419</v>
      </c>
      <c r="J46" s="176">
        <f>(SUM('ACTUAL EXP'!$G$49:$G$50)*ALLOCATION!P50*0.5)+(SUM('ACTUAL EXP'!$G$49:$G$50)*ALLOCATION!P50*0.5)</f>
        <v>2509.2876475115922</v>
      </c>
      <c r="K46" s="40">
        <f>SUM('ACTUAL EXP'!$G$52:$G$53)*ALLOCATION!P50</f>
        <v>2648.2039197419376</v>
      </c>
      <c r="L46" s="40">
        <f>SUM('ACTUAL EXP'!$G$54:$G$54)*ALLOCATION!P50</f>
        <v>361.11871632844606</v>
      </c>
      <c r="M46" s="40">
        <f>SUM('ACTUAL EXP'!$G$21:$G$21)*ALLOCATION!P50</f>
        <v>111.27987153170564</v>
      </c>
      <c r="N46" s="176">
        <f>SUM('ACTUAL EXP'!$G$58:$G$62)*0.39*ALLOCATION!P50</f>
        <v>1772.2755808027521</v>
      </c>
      <c r="O46" s="176">
        <f>SUM('ACTUAL EXP'!$G$58:$G$62)*0.27*ALLOCATION!P50</f>
        <v>1226.9600174788286</v>
      </c>
      <c r="P46" s="176">
        <f>SUM('ACTUAL EXP'!$G$58:$G$62)*0.34*ALLOCATION!P50</f>
        <v>1545.0607627511172</v>
      </c>
      <c r="Q46" s="40">
        <f>'ACTUAL EXP'!$G$85*ALLOCATION!P50</f>
        <v>2351.6797587783549</v>
      </c>
      <c r="R46" s="40">
        <f>SUM('ACTUAL EXP'!$G$68:$G$73)*ALLOCATION!P50</f>
        <v>6414.192955182114</v>
      </c>
      <c r="S46" s="40">
        <f>SUM('ACTUAL EXP'!$G$75)*ALLOCATION!P50</f>
        <v>898.28643986481597</v>
      </c>
      <c r="T46" s="40">
        <f>SUM('ACTUAL EXP'!$G$77)*ALLOCATION!P50</f>
        <v>589.81122955376861</v>
      </c>
      <c r="U46" s="40">
        <f>SUM('ACTUAL EXP'!$G$79)*ALLOCATION!P50</f>
        <v>893.85229312336799</v>
      </c>
      <c r="V46" s="40">
        <f t="shared" si="0"/>
        <v>50843.239565737276</v>
      </c>
      <c r="W46" s="40">
        <f t="shared" si="16"/>
        <v>457.92468188346822</v>
      </c>
      <c r="X46" s="40">
        <f t="shared" si="2"/>
        <v>335.28743472740047</v>
      </c>
      <c r="Y46" s="40">
        <f t="shared" si="17"/>
        <v>1069.0635114572599</v>
      </c>
      <c r="Z46" s="40">
        <f t="shared" si="18"/>
        <v>438.48687845409518</v>
      </c>
      <c r="AA46" s="40">
        <f t="shared" si="19"/>
        <v>170.71059449302635</v>
      </c>
      <c r="AB46" s="40">
        <f t="shared" si="20"/>
        <v>371.45646130064034</v>
      </c>
      <c r="AC46" s="40">
        <f t="shared" si="7"/>
        <v>53686.16912805316</v>
      </c>
      <c r="AD46" s="40">
        <f>SUM('ACTUAL EXP'!$G$37:$G$39)*ALLOCATION!P50</f>
        <v>1051.7564619944155</v>
      </c>
      <c r="AE46" s="40">
        <f t="shared" si="8"/>
        <v>58.809579478009333</v>
      </c>
      <c r="AF46" s="40">
        <f>SUM('ACTUAL EXP'!$G$41)*ALLOCATION!P50</f>
        <v>314.6742360941472</v>
      </c>
      <c r="AG46" s="40">
        <f t="shared" si="9"/>
        <v>17.595194482730815</v>
      </c>
      <c r="AH46" s="40">
        <f>SUM('ACTUAL EXP'!$G$81)*ALLOCATION!P50</f>
        <v>131.07405919353764</v>
      </c>
      <c r="AI46" s="40">
        <f t="shared" si="10"/>
        <v>7.3290829010267382</v>
      </c>
      <c r="AJ46" s="296">
        <f>SUM('ACTUAL EXP'!$G$83)*ALLOCATION!P50</f>
        <v>973.18053299005828</v>
      </c>
      <c r="AK46" s="40">
        <f t="shared" si="10"/>
        <v>54.415960319180982</v>
      </c>
      <c r="AL46" s="40">
        <f>SUM('ACTUAL EXP'!$G$64:$G$66)*ALLOCATION!P50</f>
        <v>314.25568946759745</v>
      </c>
      <c r="AM46" s="40">
        <f t="shared" si="11"/>
        <v>17.571791202609607</v>
      </c>
      <c r="AN46" s="40">
        <f t="shared" si="12"/>
        <v>56626.831716176479</v>
      </c>
      <c r="AO46" s="40">
        <f t="shared" si="15"/>
        <v>-56626.831716176479</v>
      </c>
      <c r="AP46" s="41" t="s">
        <v>351</v>
      </c>
      <c r="AQ46" s="83">
        <f t="shared" si="13"/>
        <v>0</v>
      </c>
      <c r="AR46" s="40"/>
      <c r="AS46" s="171">
        <f t="shared" si="14"/>
        <v>0</v>
      </c>
      <c r="AT46" s="40"/>
      <c r="AU46" s="171"/>
      <c r="AV46" s="33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</row>
    <row r="47" spans="1:253" ht="13" customHeight="1">
      <c r="A47" s="25">
        <f>ALLOCATION!A51</f>
        <v>309000</v>
      </c>
      <c r="B47" s="24" t="str">
        <f>ALLOCATION!C51</f>
        <v>Lents Twn Ctr URA DR</v>
      </c>
      <c r="C47" s="40">
        <f>'ACTUAL EXP'!$G$13*(ALLOCATION!P51)</f>
        <v>4846.8669615452945</v>
      </c>
      <c r="D47" s="40">
        <f>(SUM('ACTUAL EXP'!$G$15,'ACTUAL EXP'!$G$17:$G$19,'ACTUAL EXP'!$G$22))*ALLOCATION!P51</f>
        <v>7817.240447280742</v>
      </c>
      <c r="E47" s="176">
        <f>(('ACTUAL EXP'!$G$25)*(ALLOCATION!P51))</f>
        <v>0</v>
      </c>
      <c r="F47" s="40">
        <f>'ACTUAL EXP'!$G$28*ALLOCATION!P51</f>
        <v>0</v>
      </c>
      <c r="G47" s="40">
        <v>0</v>
      </c>
      <c r="H47" s="40">
        <f>SUM('ACTUAL EXP'!$G$30:$G$35)*ALLOCATION!P51</f>
        <v>7016.1851028460796</v>
      </c>
      <c r="I47" s="40">
        <f>SUM('ACTUAL EXP'!$G$43:$G$47)*ALLOCATION!P51</f>
        <v>4237.99023116237</v>
      </c>
      <c r="J47" s="176">
        <f>(SUM('ACTUAL EXP'!$G$49:$G$50)*ALLOCATION!P51*0.5)+(SUM('ACTUAL EXP'!$G$49:$G$50)*ALLOCATION!P51*0.5)</f>
        <v>2033.0403129469998</v>
      </c>
      <c r="K47" s="40">
        <f>SUM('ACTUAL EXP'!$G$52:$G$53)*ALLOCATION!P51</f>
        <v>2145.5911326382711</v>
      </c>
      <c r="L47" s="40">
        <f>SUM('ACTUAL EXP'!$G$54:$G$54)*ALLOCATION!P51</f>
        <v>292.58060899612786</v>
      </c>
      <c r="M47" s="40">
        <f>SUM('ACTUAL EXP'!$G$21:$G$21)*ALLOCATION!P51</f>
        <v>90.159637564021281</v>
      </c>
      <c r="N47" s="176">
        <f>SUM('ACTUAL EXP'!$G$58:$G$62)*0.39*ALLOCATION!P51</f>
        <v>1435.9085954121995</v>
      </c>
      <c r="O47" s="176">
        <f>SUM('ACTUAL EXP'!$G$58:$G$62)*0.27*ALLOCATION!P51</f>
        <v>994.09056605459978</v>
      </c>
      <c r="P47" s="176">
        <f>SUM('ACTUAL EXP'!$G$58:$G$62)*0.34*ALLOCATION!P51</f>
        <v>1251.8177498465329</v>
      </c>
      <c r="Q47" s="40">
        <f>'ACTUAL EXP'!$G$85*ALLOCATION!P51</f>
        <v>1905.3454303970084</v>
      </c>
      <c r="R47" s="40">
        <f>SUM('ACTUAL EXP'!$G$68:$G$73)*ALLOCATION!P51</f>
        <v>5196.8186532292102</v>
      </c>
      <c r="S47" s="40">
        <f>SUM('ACTUAL EXP'!$G$75)*ALLOCATION!P51</f>
        <v>727.79720835507555</v>
      </c>
      <c r="T47" s="40">
        <f>SUM('ACTUAL EXP'!$G$77)*ALLOCATION!P51</f>
        <v>477.86869229630992</v>
      </c>
      <c r="U47" s="40">
        <f>SUM('ACTUAL EXP'!$G$79)*ALLOCATION!P51</f>
        <v>724.2046353442347</v>
      </c>
      <c r="V47" s="40">
        <f t="shared" si="0"/>
        <v>41193.505965915079</v>
      </c>
      <c r="W47" s="40">
        <f t="shared" si="16"/>
        <v>371.013398757115</v>
      </c>
      <c r="X47" s="40">
        <f t="shared" si="2"/>
        <v>271.65194548395908</v>
      </c>
      <c r="Y47" s="40">
        <f t="shared" si="17"/>
        <v>866.16184399929182</v>
      </c>
      <c r="Z47" s="40">
        <f t="shared" si="18"/>
        <v>355.26477065294222</v>
      </c>
      <c r="AA47" s="40">
        <f t="shared" si="19"/>
        <v>138.31077548867077</v>
      </c>
      <c r="AB47" s="40">
        <f t="shared" si="20"/>
        <v>300.95631366843935</v>
      </c>
      <c r="AC47" s="40">
        <f t="shared" si="7"/>
        <v>43496.865013965493</v>
      </c>
      <c r="AD47" s="40">
        <f>SUM('ACTUAL EXP'!$G$37:$G$39)*ALLOCATION!P51</f>
        <v>852.13956588740484</v>
      </c>
      <c r="AE47" s="40">
        <f t="shared" si="8"/>
        <v>47.647883647305598</v>
      </c>
      <c r="AF47" s="40">
        <f>SUM('ACTUAL EXP'!$G$41)*ALLOCATION!P51</f>
        <v>254.95100494342495</v>
      </c>
      <c r="AG47" s="40">
        <f t="shared" si="9"/>
        <v>14.25573498239967</v>
      </c>
      <c r="AH47" s="40">
        <f>SUM('ACTUAL EXP'!$G$81)*ALLOCATION!P51</f>
        <v>106.19701036918777</v>
      </c>
      <c r="AI47" s="40">
        <f t="shared" si="10"/>
        <v>5.9380681244313456</v>
      </c>
      <c r="AJ47" s="296">
        <f>SUM('ACTUAL EXP'!$G$83)*ALLOCATION!P51</f>
        <v>788.47686406382627</v>
      </c>
      <c r="AK47" s="40">
        <f t="shared" si="10"/>
        <v>44.088146333613253</v>
      </c>
      <c r="AL47" s="40">
        <f>SUM('ACTUAL EXP'!$G$64:$G$66)*ALLOCATION!P51</f>
        <v>254.61189588772643</v>
      </c>
      <c r="AM47" s="40">
        <f t="shared" si="11"/>
        <v>14.236773500646558</v>
      </c>
      <c r="AN47" s="40">
        <f t="shared" si="12"/>
        <v>45879.407961705452</v>
      </c>
      <c r="AO47" s="40">
        <f t="shared" si="15"/>
        <v>-45879.407961705452</v>
      </c>
      <c r="AP47" s="41" t="s">
        <v>351</v>
      </c>
      <c r="AQ47" s="83">
        <f t="shared" si="13"/>
        <v>0</v>
      </c>
      <c r="AR47" s="40"/>
      <c r="AS47" s="171">
        <f t="shared" si="14"/>
        <v>0</v>
      </c>
      <c r="AT47" s="40"/>
      <c r="AU47" s="171"/>
      <c r="AV47" s="33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</row>
    <row r="48" spans="1:253" ht="13" customHeight="1">
      <c r="A48" s="25">
        <f>ALLOCATION!A52</f>
        <v>313000</v>
      </c>
      <c r="B48" s="24" t="str">
        <f>ALLOCATION!C52</f>
        <v>N Macadam URA DR</v>
      </c>
      <c r="C48" s="40">
        <f>'ACTUAL EXP'!$G$13*(ALLOCATION!P52)</f>
        <v>7289.0983964187535</v>
      </c>
      <c r="D48" s="40">
        <f>(SUM('ACTUAL EXP'!$G$15,'ACTUAL EXP'!$G$17:$G$19,'ACTUAL EXP'!$G$22))*ALLOCATION!P52</f>
        <v>11756.178838984912</v>
      </c>
      <c r="E48" s="176">
        <f>(('ACTUAL EXP'!$G$25)*(ALLOCATION!P52))</f>
        <v>0</v>
      </c>
      <c r="F48" s="40">
        <f>'ACTUAL EXP'!$G$28*ALLOCATION!P52</f>
        <v>0</v>
      </c>
      <c r="G48" s="40">
        <v>0</v>
      </c>
      <c r="H48" s="40">
        <f>SUM('ACTUAL EXP'!$G$30:$G$35)*ALLOCATION!P52</f>
        <v>10551.489031551086</v>
      </c>
      <c r="I48" s="40">
        <f>SUM('ACTUAL EXP'!$G$43:$G$47)*ALLOCATION!P52</f>
        <v>6373.4218502575031</v>
      </c>
      <c r="J48" s="176">
        <f>(SUM('ACTUAL EXP'!$G$49:$G$50)*ALLOCATION!P52*0.5)+(SUM('ACTUAL EXP'!$G$49:$G$50)*ALLOCATION!P52*0.5)</f>
        <v>3057.4453564601254</v>
      </c>
      <c r="K48" s="40">
        <f>SUM('ACTUAL EXP'!$G$52:$G$53)*ALLOCATION!P52</f>
        <v>3226.7080999676759</v>
      </c>
      <c r="L48" s="40">
        <f>SUM('ACTUAL EXP'!$G$54:$G$54)*ALLOCATION!P52</f>
        <v>440.00564999559219</v>
      </c>
      <c r="M48" s="40">
        <f>SUM('ACTUAL EXP'!$G$21:$G$21)*ALLOCATION!P52</f>
        <v>135.58912897829538</v>
      </c>
      <c r="N48" s="176">
        <f>SUM('ACTUAL EXP'!$G$58:$G$62)*0.39*ALLOCATION!P52</f>
        <v>2159.4318811024291</v>
      </c>
      <c r="O48" s="176">
        <f>SUM('ACTUAL EXP'!$G$58:$G$62)*0.27*ALLOCATION!P52</f>
        <v>1494.9913023016816</v>
      </c>
      <c r="P48" s="176">
        <f>SUM('ACTUAL EXP'!$G$58:$G$62)*0.34*ALLOCATION!P52</f>
        <v>1882.5816399354508</v>
      </c>
      <c r="Q48" s="40">
        <f>'ACTUAL EXP'!$G$85*ALLOCATION!P52</f>
        <v>2865.4077843520458</v>
      </c>
      <c r="R48" s="40">
        <f>SUM('ACTUAL EXP'!$G$68:$G$73)*ALLOCATION!P52</f>
        <v>7815.3831768584459</v>
      </c>
      <c r="S48" s="40">
        <f>SUM('ACTUAL EXP'!$G$75)*ALLOCATION!P52</f>
        <v>1094.5184809957468</v>
      </c>
      <c r="T48" s="40">
        <f>SUM('ACTUAL EXP'!$G$77)*ALLOCATION!P52</f>
        <v>718.6563910978947</v>
      </c>
      <c r="U48" s="40">
        <f>SUM('ACTUAL EXP'!$G$79)*ALLOCATION!P52</f>
        <v>1089.1156881441791</v>
      </c>
      <c r="V48" s="40">
        <f t="shared" si="0"/>
        <v>61950.022697401808</v>
      </c>
      <c r="W48" s="40">
        <f t="shared" si="16"/>
        <v>557.95902618877494</v>
      </c>
      <c r="X48" s="40">
        <f t="shared" si="2"/>
        <v>408.53148558050361</v>
      </c>
      <c r="Y48" s="40">
        <f t="shared" si="17"/>
        <v>1302.6020640189897</v>
      </c>
      <c r="Z48" s="40">
        <f t="shared" si="18"/>
        <v>534.27500499102325</v>
      </c>
      <c r="AA48" s="40">
        <f t="shared" si="19"/>
        <v>208.00258390019417</v>
      </c>
      <c r="AB48" s="40">
        <f t="shared" si="20"/>
        <v>452.60169110425062</v>
      </c>
      <c r="AC48" s="40">
        <f t="shared" si="7"/>
        <v>65413.994553185548</v>
      </c>
      <c r="AD48" s="40">
        <f>SUM('ACTUAL EXP'!$G$37:$G$39)*ALLOCATION!P52</f>
        <v>1281.5142632374914</v>
      </c>
      <c r="AE48" s="40">
        <f t="shared" si="8"/>
        <v>71.656621698482127</v>
      </c>
      <c r="AF48" s="40">
        <f>SUM('ACTUAL EXP'!$G$41)*ALLOCATION!P52</f>
        <v>383.41530230612705</v>
      </c>
      <c r="AG48" s="40">
        <f t="shared" si="9"/>
        <v>21.4388915199048</v>
      </c>
      <c r="AH48" s="40">
        <f>SUM('ACTUAL EXP'!$G$81)*ALLOCATION!P52</f>
        <v>159.70738708696007</v>
      </c>
      <c r="AI48" s="40">
        <f t="shared" si="10"/>
        <v>8.9301322250070907</v>
      </c>
      <c r="AJ48" s="296">
        <f>SUM('ACTUAL EXP'!$G$83)*ALLOCATION!P52</f>
        <v>1185.7733028489304</v>
      </c>
      <c r="AK48" s="40">
        <f t="shared" si="10"/>
        <v>66.303209741692129</v>
      </c>
      <c r="AL48" s="40">
        <f>SUM('ACTUAL EXP'!$G$64:$G$66)*ALLOCATION!P52</f>
        <v>382.90532353144351</v>
      </c>
      <c r="AM48" s="40">
        <f t="shared" si="11"/>
        <v>21.410375757591353</v>
      </c>
      <c r="AN48" s="40">
        <f t="shared" si="12"/>
        <v>68997.049363139187</v>
      </c>
      <c r="AO48" s="40">
        <f t="shared" si="15"/>
        <v>-68997.049363139187</v>
      </c>
      <c r="AP48" s="41" t="s">
        <v>351</v>
      </c>
      <c r="AQ48" s="83">
        <f t="shared" si="13"/>
        <v>0</v>
      </c>
      <c r="AR48" s="40"/>
      <c r="AS48" s="171">
        <f t="shared" si="14"/>
        <v>0</v>
      </c>
      <c r="AT48" s="40"/>
      <c r="AU48" s="171"/>
      <c r="AV48" s="33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</row>
    <row r="49" spans="1:253" ht="13" customHeight="1">
      <c r="A49" s="25">
        <f>ALLOCATION!A53</f>
        <v>314000</v>
      </c>
      <c r="B49" s="24" t="str">
        <f>ALLOCATION!C53</f>
        <v>Special Prjt Dbt Svc</v>
      </c>
      <c r="C49" s="40">
        <f>'ACTUAL EXP'!$G$13*(ALLOCATION!P53)</f>
        <v>3024.8202846443587</v>
      </c>
      <c r="D49" s="40">
        <f>(SUM('ACTUAL EXP'!$G$15,'ACTUAL EXP'!$G$17:$G$19,'ACTUAL EXP'!$G$22))*ALLOCATION!P53</f>
        <v>4878.5633405003364</v>
      </c>
      <c r="E49" s="176">
        <f>(('ACTUAL EXP'!$G$25)*(ALLOCATION!P53))</f>
        <v>0</v>
      </c>
      <c r="F49" s="40">
        <f>'ACTUAL EXP'!$G$28*ALLOCATION!P53</f>
        <v>0</v>
      </c>
      <c r="G49" s="40">
        <v>0</v>
      </c>
      <c r="H49" s="40">
        <f>SUM('ACTUAL EXP'!$G$30:$G$35)*ALLOCATION!P53</f>
        <v>4378.6427785800197</v>
      </c>
      <c r="I49" s="40">
        <f>SUM('ACTUAL EXP'!$G$43:$G$47)*ALLOCATION!P53</f>
        <v>2644.8340585889578</v>
      </c>
      <c r="J49" s="176">
        <f>(SUM('ACTUAL EXP'!$G$49:$G$50)*ALLOCATION!P53*0.5)+(SUM('ACTUAL EXP'!$G$49:$G$50)*ALLOCATION!P53*0.5)</f>
        <v>1268.7745768332725</v>
      </c>
      <c r="K49" s="40">
        <f>SUM('ACTUAL EXP'!$G$52:$G$53)*ALLOCATION!P53</f>
        <v>1339.0150033101247</v>
      </c>
      <c r="L49" s="40">
        <f>SUM('ACTUAL EXP'!$G$54:$G$54)*ALLOCATION!P53</f>
        <v>182.5929549968352</v>
      </c>
      <c r="M49" s="40">
        <f>SUM('ACTUAL EXP'!$G$21:$G$21)*ALLOCATION!P53</f>
        <v>56.266595044499965</v>
      </c>
      <c r="N49" s="176">
        <f>SUM('ACTUAL EXP'!$G$58:$G$62)*0.39*ALLOCATION!P53</f>
        <v>896.11814823018051</v>
      </c>
      <c r="O49" s="176">
        <f>SUM('ACTUAL EXP'!$G$58:$G$62)*0.27*ALLOCATION!P53</f>
        <v>620.3894872362788</v>
      </c>
      <c r="P49" s="176">
        <f>SUM('ACTUAL EXP'!$G$58:$G$62)*0.34*ALLOCATION!P53</f>
        <v>781.23120614938807</v>
      </c>
      <c r="Q49" s="40">
        <f>'ACTUAL EXP'!$G$85*ALLOCATION!P53</f>
        <v>1189.0830825036353</v>
      </c>
      <c r="R49" s="40">
        <f>SUM('ACTUAL EXP'!$G$68:$G$73)*ALLOCATION!P53</f>
        <v>3243.2172375728192</v>
      </c>
      <c r="S49" s="40">
        <f>SUM('ACTUAL EXP'!$G$75)*ALLOCATION!P53</f>
        <v>454.20181251232316</v>
      </c>
      <c r="T49" s="40">
        <f>SUM('ACTUAL EXP'!$G$77)*ALLOCATION!P53</f>
        <v>298.22706612799271</v>
      </c>
      <c r="U49" s="40">
        <f>SUM('ACTUAL EXP'!$G$79)*ALLOCATION!P53</f>
        <v>451.95976877489971</v>
      </c>
      <c r="V49" s="40">
        <f t="shared" si="0"/>
        <v>25707.937401605923</v>
      </c>
      <c r="W49" s="40">
        <f t="shared" si="16"/>
        <v>231.54108898371089</v>
      </c>
      <c r="X49" s="40">
        <f t="shared" si="2"/>
        <v>169.53184842544275</v>
      </c>
      <c r="Y49" s="40">
        <f t="shared" si="17"/>
        <v>540.55205894875814</v>
      </c>
      <c r="Z49" s="40">
        <f t="shared" si="18"/>
        <v>221.7127256053123</v>
      </c>
      <c r="AA49" s="40">
        <f t="shared" si="19"/>
        <v>86.316633528896887</v>
      </c>
      <c r="AB49" s="40">
        <f t="shared" si="20"/>
        <v>187.82004325653045</v>
      </c>
      <c r="AC49" s="40">
        <f t="shared" si="7"/>
        <v>27145.411800354574</v>
      </c>
      <c r="AD49" s="40">
        <f>SUM('ACTUAL EXP'!$G$37:$G$39)*ALLOCATION!P53</f>
        <v>531.8010716395795</v>
      </c>
      <c r="AE49" s="40">
        <f t="shared" si="8"/>
        <v>29.735968847552886</v>
      </c>
      <c r="AF49" s="40">
        <f>SUM('ACTUAL EXP'!$G$41)*ALLOCATION!P53</f>
        <v>159.10916834768361</v>
      </c>
      <c r="AG49" s="40">
        <f t="shared" si="9"/>
        <v>8.8966824733164778</v>
      </c>
      <c r="AH49" s="40">
        <f>SUM('ACTUAL EXP'!$G$81)*ALLOCATION!P53</f>
        <v>66.275157474281457</v>
      </c>
      <c r="AI49" s="40">
        <f t="shared" si="10"/>
        <v>3.7058143037318776</v>
      </c>
      <c r="AJ49" s="296">
        <f>SUM('ACTUAL EXP'!$G$83)*ALLOCATION!P53</f>
        <v>492.07061619711556</v>
      </c>
      <c r="AK49" s="40">
        <f t="shared" si="10"/>
        <v>27.514417127670512</v>
      </c>
      <c r="AL49" s="40">
        <f>SUM('ACTUAL EXP'!$G$64:$G$66)*ALLOCATION!P53</f>
        <v>158.89753803917262</v>
      </c>
      <c r="AM49" s="40">
        <f t="shared" si="11"/>
        <v>8.8848490404847578</v>
      </c>
      <c r="AN49" s="40">
        <f t="shared" si="12"/>
        <v>28632.30308384516</v>
      </c>
      <c r="AO49" s="40">
        <f t="shared" si="15"/>
        <v>-28632.30308384516</v>
      </c>
      <c r="AP49" s="41" t="s">
        <v>351</v>
      </c>
      <c r="AQ49" s="83">
        <f t="shared" si="13"/>
        <v>0</v>
      </c>
      <c r="AR49" s="40"/>
      <c r="AS49" s="171">
        <f t="shared" si="14"/>
        <v>0</v>
      </c>
      <c r="AT49" s="40"/>
      <c r="AU49" s="171"/>
      <c r="AV49" s="33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</row>
    <row r="50" spans="1:253" ht="13" customHeight="1">
      <c r="A50" s="25">
        <f>ALLOCATION!A54</f>
        <v>315000</v>
      </c>
      <c r="B50" s="24" t="str">
        <f>ALLOCATION!C54</f>
        <v>Gateway URA DR</v>
      </c>
      <c r="C50" s="40">
        <f>'ACTUAL EXP'!$G$13*(ALLOCATION!P54)</f>
        <v>1578.8771342838568</v>
      </c>
      <c r="D50" s="40">
        <f>(SUM('ACTUAL EXP'!$G$15,'ACTUAL EXP'!$G$17:$G$19,'ACTUAL EXP'!$G$22))*ALLOCATION!P54</f>
        <v>2546.4825614845035</v>
      </c>
      <c r="E50" s="176">
        <f>(('ACTUAL EXP'!$G$25)*(ALLOCATION!P54))</f>
        <v>0</v>
      </c>
      <c r="F50" s="40">
        <f>'ACTUAL EXP'!$G$28*ALLOCATION!P54</f>
        <v>0</v>
      </c>
      <c r="G50" s="40">
        <v>0</v>
      </c>
      <c r="H50" s="40">
        <f>SUM('ACTUAL EXP'!$G$30:$G$35)*ALLOCATION!P54</f>
        <v>2285.537093688843</v>
      </c>
      <c r="I50" s="40">
        <f>SUM('ACTUAL EXP'!$G$43:$G$47)*ALLOCATION!P54</f>
        <v>1380.534255301138</v>
      </c>
      <c r="J50" s="176">
        <f>(SUM('ACTUAL EXP'!$G$49:$G$50)*ALLOCATION!P54*0.5)+(SUM('ACTUAL EXP'!$G$49:$G$50)*ALLOCATION!P54*0.5)</f>
        <v>662.26716942235134</v>
      </c>
      <c r="K50" s="40">
        <f>SUM('ACTUAL EXP'!$G$52:$G$53)*ALLOCATION!P54</f>
        <v>698.9308362952703</v>
      </c>
      <c r="L50" s="40">
        <f>SUM('ACTUAL EXP'!$G$54:$G$54)*ALLOCATION!P54</f>
        <v>95.30875040390049</v>
      </c>
      <c r="M50" s="40">
        <f>SUM('ACTUAL EXP'!$G$21:$G$21)*ALLOCATION!P54</f>
        <v>29.369692074190596</v>
      </c>
      <c r="N50" s="176">
        <f>SUM('ACTUAL EXP'!$G$58:$G$62)*0.39*ALLOCATION!P54</f>
        <v>467.75025314397323</v>
      </c>
      <c r="O50" s="176">
        <f>SUM('ACTUAL EXP'!$G$58:$G$62)*0.27*ALLOCATION!P54</f>
        <v>323.82709833044299</v>
      </c>
      <c r="P50" s="176">
        <f>SUM('ACTUAL EXP'!$G$58:$G$62)*0.34*ALLOCATION!P54</f>
        <v>407.78227197166893</v>
      </c>
      <c r="Q50" s="40">
        <f>'ACTUAL EXP'!$G$85*ALLOCATION!P54</f>
        <v>620.6702921358816</v>
      </c>
      <c r="R50" s="40">
        <f>SUM('ACTUAL EXP'!$G$68:$G$73)*ALLOCATION!P54</f>
        <v>1692.8746358632131</v>
      </c>
      <c r="S50" s="40">
        <f>SUM('ACTUAL EXP'!$G$75)*ALLOCATION!P54</f>
        <v>237.08147547361028</v>
      </c>
      <c r="T50" s="40">
        <f>SUM('ACTUAL EXP'!$G$77)*ALLOCATION!P54</f>
        <v>155.66673429307849</v>
      </c>
      <c r="U50" s="40">
        <f>SUM('ACTUAL EXP'!$G$79)*ALLOCATION!P54</f>
        <v>235.91118723894965</v>
      </c>
      <c r="V50" s="40">
        <f t="shared" si="0"/>
        <v>13418.871441404874</v>
      </c>
      <c r="W50" s="40">
        <f t="shared" si="16"/>
        <v>120.85839707549675</v>
      </c>
      <c r="X50" s="40">
        <f t="shared" si="2"/>
        <v>88.491194128341178</v>
      </c>
      <c r="Y50" s="40">
        <f t="shared" si="17"/>
        <v>282.15404733197209</v>
      </c>
      <c r="Z50" s="40">
        <f t="shared" si="18"/>
        <v>115.72824825827175</v>
      </c>
      <c r="AA50" s="40">
        <f t="shared" si="19"/>
        <v>45.055026799107175</v>
      </c>
      <c r="AB50" s="40">
        <f t="shared" si="20"/>
        <v>98.037153864434273</v>
      </c>
      <c r="AC50" s="40">
        <f t="shared" si="7"/>
        <v>14169.195508862498</v>
      </c>
      <c r="AD50" s="40">
        <f>SUM('ACTUAL EXP'!$G$37:$G$39)*ALLOCATION!P54</f>
        <v>277.58626066543474</v>
      </c>
      <c r="AE50" s="40">
        <f t="shared" si="8"/>
        <v>15.521398582758579</v>
      </c>
      <c r="AF50" s="40">
        <f>SUM('ACTUAL EXP'!$G$41)*ALLOCATION!P54</f>
        <v>83.050827526639239</v>
      </c>
      <c r="AG50" s="40">
        <f t="shared" si="9"/>
        <v>4.6438357344442611</v>
      </c>
      <c r="AH50" s="40">
        <f>SUM('ACTUAL EXP'!$G$81)*ALLOCATION!P54</f>
        <v>34.593900086698163</v>
      </c>
      <c r="AI50" s="40">
        <f t="shared" si="10"/>
        <v>1.934338214328738</v>
      </c>
      <c r="AJ50" s="296">
        <f>SUM('ACTUAL EXP'!$G$83)*ALLOCATION!P54</f>
        <v>256.8480012880961</v>
      </c>
      <c r="AK50" s="40">
        <f t="shared" si="10"/>
        <v>14.361806645691264</v>
      </c>
      <c r="AL50" s="40">
        <f>SUM('ACTUAL EXP'!$G$64:$G$66)*ALLOCATION!P54</f>
        <v>82.94036203659816</v>
      </c>
      <c r="AM50" s="40">
        <f t="shared" si="11"/>
        <v>4.6376589917753055</v>
      </c>
      <c r="AN50" s="40">
        <f t="shared" si="12"/>
        <v>14945.31389863496</v>
      </c>
      <c r="AO50" s="40">
        <f t="shared" si="15"/>
        <v>-14945.31389863496</v>
      </c>
      <c r="AP50" s="41" t="s">
        <v>351</v>
      </c>
      <c r="AQ50" s="83">
        <f t="shared" si="13"/>
        <v>0</v>
      </c>
      <c r="AR50" s="40"/>
      <c r="AS50" s="171">
        <f t="shared" si="14"/>
        <v>0</v>
      </c>
      <c r="AT50" s="40"/>
      <c r="AU50" s="171"/>
      <c r="AV50" s="33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</row>
    <row r="51" spans="1:253" ht="13" customHeight="1">
      <c r="A51" s="25">
        <f>ALLOCATION!A55</f>
        <v>213000</v>
      </c>
      <c r="B51" s="24" t="str">
        <f>ALLOCATION!C55</f>
        <v>Housing Investment</v>
      </c>
      <c r="C51" s="40">
        <f>'ACTUAL EXP'!$G$13*(ALLOCATION!P55)</f>
        <v>23133.6883007576</v>
      </c>
      <c r="D51" s="40">
        <f>(SUM('ACTUAL EXP'!$G$15,'ACTUAL EXP'!$G$17:$G$19,'ACTUAL EXP'!$G$22))*ALLOCATION!P55</f>
        <v>37311.031087556636</v>
      </c>
      <c r="E51" s="176">
        <f>(('ACTUAL EXP'!$G$25)*(ALLOCATION!P55))</f>
        <v>0</v>
      </c>
      <c r="F51" s="40">
        <f>'ACTUAL EXP'!$G$28*ALLOCATION!P55</f>
        <v>0</v>
      </c>
      <c r="G51" s="40">
        <v>0</v>
      </c>
      <c r="H51" s="40">
        <f>SUM('ACTUAL EXP'!$G$30:$G$35)*ALLOCATION!P55</f>
        <v>33487.661311403484</v>
      </c>
      <c r="I51" s="40">
        <f>SUM('ACTUAL EXP'!$G$43:$G$47)*ALLOCATION!P55</f>
        <v>20227.570883874305</v>
      </c>
      <c r="J51" s="176">
        <f>(SUM('ACTUAL EXP'!$G$49:$G$50)*ALLOCATION!P55*0.5)+(SUM('ACTUAL EXP'!$G$49:$G$50)*ALLOCATION!P55*0.5)</f>
        <v>9703.5303992737972</v>
      </c>
      <c r="K51" s="40">
        <f>SUM('ACTUAL EXP'!$G$52:$G$53)*ALLOCATION!P55</f>
        <v>10240.725994158149</v>
      </c>
      <c r="L51" s="40">
        <f>SUM('ACTUAL EXP'!$G$54:$G$54)*ALLOCATION!P55</f>
        <v>1396.4626355670205</v>
      </c>
      <c r="M51" s="40">
        <f>SUM('ACTUAL EXP'!$G$21:$G$21)*ALLOCATION!P55</f>
        <v>430.32436608294421</v>
      </c>
      <c r="N51" s="176">
        <f>SUM('ACTUAL EXP'!$G$58:$G$62)*0.39*ALLOCATION!P55</f>
        <v>6853.4709407525906</v>
      </c>
      <c r="O51" s="176">
        <f>SUM('ACTUAL EXP'!$G$58:$G$62)*0.27*ALLOCATION!P55</f>
        <v>4744.7106512902556</v>
      </c>
      <c r="P51" s="176">
        <f>SUM('ACTUAL EXP'!$G$58:$G$62)*0.34*ALLOCATION!P55</f>
        <v>5974.8208201432844</v>
      </c>
      <c r="Q51" s="40">
        <f>'ACTUAL EXP'!$G$85*ALLOCATION!P55</f>
        <v>9094.0534662466252</v>
      </c>
      <c r="R51" s="40">
        <f>SUM('ACTUAL EXP'!$G$68:$G$73)*ALLOCATION!P55</f>
        <v>24803.978288077051</v>
      </c>
      <c r="S51" s="40">
        <f>SUM('ACTUAL EXP'!$G$75)*ALLOCATION!P55</f>
        <v>3473.7148549420763</v>
      </c>
      <c r="T51" s="40">
        <f>SUM('ACTUAL EXP'!$G$77)*ALLOCATION!P55</f>
        <v>2280.8270711744335</v>
      </c>
      <c r="U51" s="40">
        <f>SUM('ACTUAL EXP'!$G$79)*ALLOCATION!P55</f>
        <v>3456.5678061598651</v>
      </c>
      <c r="V51" s="40">
        <f t="shared" si="0"/>
        <v>196613.13887746012</v>
      </c>
      <c r="W51" s="40">
        <f t="shared" si="16"/>
        <v>1770.8157435200894</v>
      </c>
      <c r="X51" s="40">
        <f t="shared" si="2"/>
        <v>1296.571885091874</v>
      </c>
      <c r="Y51" s="40">
        <f t="shared" si="17"/>
        <v>4134.117621974221</v>
      </c>
      <c r="Z51" s="40">
        <f t="shared" si="18"/>
        <v>1695.6488663152877</v>
      </c>
      <c r="AA51" s="40">
        <f t="shared" si="19"/>
        <v>660.14569704031135</v>
      </c>
      <c r="AB51" s="40">
        <f t="shared" si="20"/>
        <v>1436.4391694239921</v>
      </c>
      <c r="AC51" s="40">
        <f t="shared" si="7"/>
        <v>207606.87786082592</v>
      </c>
      <c r="AD51" s="40">
        <f>SUM('ACTUAL EXP'!$G$37:$G$39)*ALLOCATION!P55</f>
        <v>4067.1904680662233</v>
      </c>
      <c r="AE51" s="40">
        <f t="shared" si="8"/>
        <v>227.41934062413446</v>
      </c>
      <c r="AF51" s="40">
        <f>SUM('ACTUAL EXP'!$G$41)*ALLOCATION!P55</f>
        <v>1216.8597007345331</v>
      </c>
      <c r="AG51" s="40">
        <f t="shared" si="9"/>
        <v>68.041423913128426</v>
      </c>
      <c r="AH51" s="40">
        <f>SUM('ACTUAL EXP'!$G$81)*ALLOCATION!P55</f>
        <v>506.8693974570844</v>
      </c>
      <c r="AI51" s="40">
        <f t="shared" si="10"/>
        <v>28.341899662016406</v>
      </c>
      <c r="AJ51" s="296">
        <f>SUM('ACTUAL EXP'!$G$83)*ALLOCATION!P55</f>
        <v>3763.3337474144164</v>
      </c>
      <c r="AK51" s="40">
        <f t="shared" si="10"/>
        <v>210.42901386235354</v>
      </c>
      <c r="AL51" s="40">
        <f>SUM('ACTUAL EXP'!$G$64:$G$66)*ALLOCATION!P55</f>
        <v>1215.2411617367159</v>
      </c>
      <c r="AM51" s="40">
        <f t="shared" si="11"/>
        <v>67.950922355714695</v>
      </c>
      <c r="AN51" s="40">
        <f t="shared" si="12"/>
        <v>218978.55493665222</v>
      </c>
      <c r="AO51" s="40"/>
      <c r="AP51" s="41"/>
      <c r="AQ51" s="83">
        <f t="shared" si="13"/>
        <v>218978.55493665222</v>
      </c>
      <c r="AR51" s="40"/>
      <c r="AS51" s="171">
        <f t="shared" si="14"/>
        <v>218978.55493665222</v>
      </c>
      <c r="AT51" s="40"/>
      <c r="AU51" s="171"/>
      <c r="AV51" s="33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</row>
    <row r="52" spans="1:253" ht="13" customHeight="1">
      <c r="A52" s="25">
        <f>ALLOCATION!A56</f>
        <v>210000</v>
      </c>
      <c r="B52" s="24" t="str">
        <f>ALLOCATION!C56</f>
        <v>General Reserve</v>
      </c>
      <c r="C52" s="40">
        <f>'ACTUAL EXP'!$G$13*(ALLOCATION!P56)</f>
        <v>0</v>
      </c>
      <c r="D52" s="40">
        <f>(SUM('ACTUAL EXP'!$G$15,'ACTUAL EXP'!$G$17:$G$19,'ACTUAL EXP'!$G$22))*ALLOCATION!P56</f>
        <v>0</v>
      </c>
      <c r="E52" s="176">
        <f>(('ACTUAL EXP'!$G$25)*(ALLOCATION!P56))</f>
        <v>0</v>
      </c>
      <c r="F52" s="40">
        <f>'ACTUAL EXP'!$G$28*ALLOCATION!P56</f>
        <v>0</v>
      </c>
      <c r="G52" s="40">
        <v>0</v>
      </c>
      <c r="H52" s="40">
        <f>SUM('ACTUAL EXP'!$G$30:$G$35)*ALLOCATION!P56</f>
        <v>0</v>
      </c>
      <c r="I52" s="40">
        <f>SUM('ACTUAL EXP'!$G$43:$G$47)*ALLOCATION!P56</f>
        <v>0</v>
      </c>
      <c r="J52" s="176">
        <f>(SUM('ACTUAL EXP'!$G$49:$G$50)*ALLOCATION!P56*0.5)+(SUM('ACTUAL EXP'!$G$49:$G$50)*ALLOCATION!P56*0.5)</f>
        <v>0</v>
      </c>
      <c r="K52" s="40">
        <f>SUM('ACTUAL EXP'!$G$52:$G$53)*ALLOCATION!P56</f>
        <v>0</v>
      </c>
      <c r="L52" s="40">
        <f>SUM('ACTUAL EXP'!$G$54:$G$54)*ALLOCATION!P56</f>
        <v>0</v>
      </c>
      <c r="M52" s="40">
        <f>SUM('ACTUAL EXP'!$G$21:$G$21)*ALLOCATION!P56</f>
        <v>0</v>
      </c>
      <c r="N52" s="176">
        <f>SUM('ACTUAL EXP'!$G$58:$G$62)*0.39*ALLOCATION!P56</f>
        <v>0</v>
      </c>
      <c r="O52" s="176">
        <f>SUM('ACTUAL EXP'!$G$58:$G$62)*0.27*ALLOCATION!P56</f>
        <v>0</v>
      </c>
      <c r="P52" s="176">
        <f>SUM('ACTUAL EXP'!$G$58:$G$62)*0.34*ALLOCATION!P56</f>
        <v>0</v>
      </c>
      <c r="Q52" s="40">
        <f>'ACTUAL EXP'!$G$85*ALLOCATION!P56</f>
        <v>0</v>
      </c>
      <c r="R52" s="40">
        <f>SUM('ACTUAL EXP'!$G$68:$G$73)*ALLOCATION!P56</f>
        <v>0</v>
      </c>
      <c r="S52" s="40">
        <f>SUM('ACTUAL EXP'!$G$75)*ALLOCATION!P56</f>
        <v>0</v>
      </c>
      <c r="T52" s="40">
        <f>SUM('ACTUAL EXP'!$G$77)*ALLOCATION!P56</f>
        <v>0</v>
      </c>
      <c r="U52" s="40">
        <f>SUM('ACTUAL EXP'!$G$79)*ALLOCATION!P56</f>
        <v>0</v>
      </c>
      <c r="V52" s="40">
        <f t="shared" si="0"/>
        <v>0</v>
      </c>
      <c r="W52" s="40">
        <f t="shared" si="16"/>
        <v>0</v>
      </c>
      <c r="X52" s="40">
        <f t="shared" si="2"/>
        <v>0</v>
      </c>
      <c r="Y52" s="40">
        <f t="shared" si="17"/>
        <v>0</v>
      </c>
      <c r="Z52" s="40">
        <f t="shared" si="18"/>
        <v>0</v>
      </c>
      <c r="AA52" s="40">
        <f t="shared" si="19"/>
        <v>0</v>
      </c>
      <c r="AB52" s="40">
        <f t="shared" si="20"/>
        <v>0</v>
      </c>
      <c r="AC52" s="40">
        <f t="shared" si="7"/>
        <v>0</v>
      </c>
      <c r="AD52" s="40">
        <f>SUM('ACTUAL EXP'!$G$37:$G$39)*ALLOCATION!P56</f>
        <v>0</v>
      </c>
      <c r="AE52" s="40">
        <f t="shared" si="8"/>
        <v>0</v>
      </c>
      <c r="AF52" s="40">
        <f>SUM('ACTUAL EXP'!$G$41)*ALLOCATION!P56</f>
        <v>0</v>
      </c>
      <c r="AG52" s="40">
        <f t="shared" si="9"/>
        <v>0</v>
      </c>
      <c r="AH52" s="40">
        <f>SUM('ACTUAL EXP'!$G$81)*ALLOCATION!P56</f>
        <v>0</v>
      </c>
      <c r="AI52" s="40">
        <f t="shared" si="10"/>
        <v>0</v>
      </c>
      <c r="AJ52" s="296">
        <f>SUM('ACTUAL EXP'!$G$83)*ALLOCATION!P56</f>
        <v>0</v>
      </c>
      <c r="AK52" s="40">
        <f t="shared" si="10"/>
        <v>0</v>
      </c>
      <c r="AL52" s="40">
        <f>SUM('ACTUAL EXP'!$G$64:$G$66)*ALLOCATION!P56</f>
        <v>0</v>
      </c>
      <c r="AM52" s="40">
        <f t="shared" si="11"/>
        <v>0</v>
      </c>
      <c r="AN52" s="40">
        <f t="shared" si="12"/>
        <v>0</v>
      </c>
      <c r="AO52" s="40">
        <f t="shared" si="15"/>
        <v>0</v>
      </c>
      <c r="AP52" s="41" t="s">
        <v>351</v>
      </c>
      <c r="AQ52" s="83">
        <f t="shared" si="13"/>
        <v>0</v>
      </c>
      <c r="AR52" s="40"/>
      <c r="AS52" s="171">
        <f t="shared" si="14"/>
        <v>0</v>
      </c>
      <c r="AT52" s="40"/>
      <c r="AU52" s="171"/>
      <c r="AV52" s="33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</row>
    <row r="53" spans="1:253" ht="13" customHeight="1">
      <c r="A53" s="25">
        <f>ALLOCATION!A57</f>
        <v>304000</v>
      </c>
      <c r="B53" s="24" t="str">
        <f>ALLOCATION!C57</f>
        <v>Interstate C Dbt Svc</v>
      </c>
      <c r="C53" s="40">
        <f>'ACTUAL EXP'!$G$13*(ALLOCATION!P57)</f>
        <v>6658.0062009670828</v>
      </c>
      <c r="D53" s="40">
        <f>(SUM('ACTUAL EXP'!$G$15,'ACTUAL EXP'!$G$17:$G$19,'ACTUAL EXP'!$G$22))*ALLOCATION!P57</f>
        <v>10738.325558630971</v>
      </c>
      <c r="E53" s="176">
        <f>(('ACTUAL EXP'!$G$25)*(ALLOCATION!P57))</f>
        <v>0</v>
      </c>
      <c r="F53" s="40">
        <f>'ACTUAL EXP'!$G$28*ALLOCATION!P57</f>
        <v>0</v>
      </c>
      <c r="G53" s="40">
        <v>0</v>
      </c>
      <c r="H53" s="40">
        <f>SUM('ACTUAL EXP'!$G$30:$G$35)*ALLOCATION!P57</f>
        <v>9637.9381345735583</v>
      </c>
      <c r="I53" s="40">
        <f>SUM('ACTUAL EXP'!$G$43:$G$47)*ALLOCATION!P57</f>
        <v>5821.609188489233</v>
      </c>
      <c r="J53" s="176">
        <f>(SUM('ACTUAL EXP'!$G$49:$G$50)*ALLOCATION!P57*0.5)+(SUM('ACTUAL EXP'!$G$49:$G$50)*ALLOCATION!P57*0.5)</f>
        <v>2792.7308749777594</v>
      </c>
      <c r="K53" s="40">
        <f>SUM('ACTUAL EXP'!$G$52:$G$53)*ALLOCATION!P57</f>
        <v>2947.3388024025912</v>
      </c>
      <c r="L53" s="40">
        <f>SUM('ACTUAL EXP'!$G$54:$G$54)*ALLOCATION!P57</f>
        <v>401.90983669126246</v>
      </c>
      <c r="M53" s="40">
        <f>SUM('ACTUAL EXP'!$G$21:$G$21)*ALLOCATION!P57</f>
        <v>123.84978394100878</v>
      </c>
      <c r="N53" s="176">
        <f>SUM('ACTUAL EXP'!$G$58:$G$62)*0.39*ALLOCATION!P57</f>
        <v>1972.4676596504548</v>
      </c>
      <c r="O53" s="176">
        <f>SUM('ACTUAL EXP'!$G$58:$G$62)*0.27*ALLOCATION!P57</f>
        <v>1365.5545336041612</v>
      </c>
      <c r="P53" s="176">
        <f>SUM('ACTUAL EXP'!$G$58:$G$62)*0.34*ALLOCATION!P57</f>
        <v>1719.5871904644991</v>
      </c>
      <c r="Q53" s="40">
        <f>'ACTUAL EXP'!$G$85*ALLOCATION!P57</f>
        <v>2617.3199700375203</v>
      </c>
      <c r="R53" s="40">
        <f>SUM('ACTUAL EXP'!$G$68:$G$73)*ALLOCATION!P57</f>
        <v>7138.7250966488373</v>
      </c>
      <c r="S53" s="40">
        <f>SUM('ACTUAL EXP'!$G$75)*ALLOCATION!P57</f>
        <v>999.75476214220441</v>
      </c>
      <c r="T53" s="40">
        <f>SUM('ACTUAL EXP'!$G$77)*ALLOCATION!P57</f>
        <v>656.43491802021254</v>
      </c>
      <c r="U53" s="40">
        <f>SUM('ACTUAL EXP'!$G$79)*ALLOCATION!P57</f>
        <v>994.8197446198792</v>
      </c>
      <c r="V53" s="40">
        <f t="shared" si="0"/>
        <v>56586.372255861235</v>
      </c>
      <c r="W53" s="40">
        <f t="shared" si="16"/>
        <v>509.65077629842432</v>
      </c>
      <c r="X53" s="40">
        <f t="shared" si="2"/>
        <v>373.16071431024557</v>
      </c>
      <c r="Y53" s="40">
        <f t="shared" si="17"/>
        <v>1189.8224098459148</v>
      </c>
      <c r="Z53" s="40">
        <f t="shared" si="18"/>
        <v>488.01732433735043</v>
      </c>
      <c r="AA53" s="40">
        <f t="shared" si="19"/>
        <v>189.99366150758547</v>
      </c>
      <c r="AB53" s="40">
        <f t="shared" si="20"/>
        <v>413.41530900732937</v>
      </c>
      <c r="AC53" s="40">
        <f t="shared" si="7"/>
        <v>59750.43245116809</v>
      </c>
      <c r="AD53" s="40">
        <f>SUM('ACTUAL EXP'!$G$37:$G$39)*ALLOCATION!P57</f>
        <v>1170.5603968050484</v>
      </c>
      <c r="AE53" s="40">
        <f t="shared" si="8"/>
        <v>65.452571177149707</v>
      </c>
      <c r="AF53" s="40">
        <f>SUM('ACTUAL EXP'!$G$41)*ALLOCATION!P57</f>
        <v>350.21909726916067</v>
      </c>
      <c r="AG53" s="40">
        <f t="shared" si="9"/>
        <v>19.582706244096975</v>
      </c>
      <c r="AH53" s="40">
        <f>SUM('ACTUAL EXP'!$G$81)*ALLOCATION!P57</f>
        <v>145.87987645874858</v>
      </c>
      <c r="AI53" s="40">
        <f t="shared" si="10"/>
        <v>8.1569588577327004</v>
      </c>
      <c r="AJ53" s="296">
        <f>SUM('ACTUAL EXP'!$G$83)*ALLOCATION!P57</f>
        <v>1083.1087157759148</v>
      </c>
      <c r="AK53" s="40">
        <f t="shared" si="10"/>
        <v>60.562659137801873</v>
      </c>
      <c r="AL53" s="40">
        <f>SUM('ACTUAL EXP'!$G$64:$G$66)*ALLOCATION!P57</f>
        <v>349.75327260065666</v>
      </c>
      <c r="AM53" s="40">
        <f t="shared" si="11"/>
        <v>19.556659384529056</v>
      </c>
      <c r="AN53" s="40">
        <f t="shared" si="12"/>
        <v>63023.265364878927</v>
      </c>
      <c r="AO53" s="40">
        <f t="shared" si="15"/>
        <v>-63023.265364878927</v>
      </c>
      <c r="AP53" s="41" t="s">
        <v>351</v>
      </c>
      <c r="AQ53" s="83">
        <f t="shared" si="13"/>
        <v>0</v>
      </c>
      <c r="AR53" s="40"/>
      <c r="AS53" s="171">
        <f t="shared" si="14"/>
        <v>0</v>
      </c>
      <c r="AT53" s="40"/>
      <c r="AU53" s="171"/>
      <c r="AV53" s="33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</row>
    <row r="54" spans="1:253" ht="13" customHeight="1">
      <c r="A54" s="25">
        <f>ALLOCATION!A58</f>
        <v>100000</v>
      </c>
      <c r="B54" s="24" t="str">
        <f>ALLOCATION!C58</f>
        <v>General Fund Contingency</v>
      </c>
      <c r="C54" s="40">
        <f>'ACTUAL EXP'!$G$13*(ALLOCATION!P58)</f>
        <v>0</v>
      </c>
      <c r="D54" s="40">
        <f>(SUM('ACTUAL EXP'!$G$15,'ACTUAL EXP'!$G$17:$G$19,'ACTUAL EXP'!$G$22))*ALLOCATION!P58</f>
        <v>0</v>
      </c>
      <c r="E54" s="176">
        <f>(('ACTUAL EXP'!$G$25)*(ALLOCATION!P58))</f>
        <v>0</v>
      </c>
      <c r="F54" s="40">
        <f>'ACTUAL EXP'!$G$28*ALLOCATION!P58</f>
        <v>0</v>
      </c>
      <c r="G54" s="40">
        <v>0</v>
      </c>
      <c r="H54" s="40">
        <f>SUM('ACTUAL EXP'!$G$30:$G$35)*ALLOCATION!P58</f>
        <v>0</v>
      </c>
      <c r="I54" s="40">
        <f>SUM('ACTUAL EXP'!$G$43:$G$47)*ALLOCATION!P58</f>
        <v>0</v>
      </c>
      <c r="J54" s="176">
        <f>(SUM('ACTUAL EXP'!$G$49:$G$50)*ALLOCATION!P58*0.5)+(SUM('ACTUAL EXP'!$G$49:$G$50)*ALLOCATION!P58*0.5)</f>
        <v>0</v>
      </c>
      <c r="K54" s="40">
        <f>SUM('ACTUAL EXP'!$G$52:$G$53)*ALLOCATION!P58</f>
        <v>0</v>
      </c>
      <c r="L54" s="40">
        <f>SUM('ACTUAL EXP'!$G$54:$G$54)*ALLOCATION!P58</f>
        <v>0</v>
      </c>
      <c r="M54" s="40">
        <f>SUM('ACTUAL EXP'!$G$21:$G$21)*ALLOCATION!P58</f>
        <v>0</v>
      </c>
      <c r="N54" s="176">
        <f>SUM('ACTUAL EXP'!$G$58:$G$62)*0.39*ALLOCATION!P58</f>
        <v>0</v>
      </c>
      <c r="O54" s="176">
        <f>SUM('ACTUAL EXP'!$G$58:$G$62)*0.27*ALLOCATION!P58</f>
        <v>0</v>
      </c>
      <c r="P54" s="176">
        <f>SUM('ACTUAL EXP'!$G$58:$G$62)*0.34*ALLOCATION!P58</f>
        <v>0</v>
      </c>
      <c r="Q54" s="40">
        <f>'ACTUAL EXP'!$G$85*ALLOCATION!P58</f>
        <v>0</v>
      </c>
      <c r="R54" s="40">
        <f>SUM('ACTUAL EXP'!$G$68:$G$73)*ALLOCATION!P58</f>
        <v>0</v>
      </c>
      <c r="S54" s="40">
        <f>SUM('ACTUAL EXP'!$G$75)*ALLOCATION!P58</f>
        <v>0</v>
      </c>
      <c r="T54" s="40">
        <f>SUM('ACTUAL EXP'!$G$77)*ALLOCATION!P58</f>
        <v>0</v>
      </c>
      <c r="U54" s="40">
        <f>SUM('ACTUAL EXP'!$G$79)*ALLOCATION!P58</f>
        <v>0</v>
      </c>
      <c r="V54" s="40">
        <f t="shared" si="0"/>
        <v>0</v>
      </c>
      <c r="W54" s="40">
        <f t="shared" si="16"/>
        <v>0</v>
      </c>
      <c r="X54" s="40">
        <f t="shared" si="2"/>
        <v>0</v>
      </c>
      <c r="Y54" s="40">
        <f t="shared" si="17"/>
        <v>0</v>
      </c>
      <c r="Z54" s="40">
        <f t="shared" si="18"/>
        <v>0</v>
      </c>
      <c r="AA54" s="40">
        <f t="shared" si="19"/>
        <v>0</v>
      </c>
      <c r="AB54" s="40">
        <f t="shared" si="20"/>
        <v>0</v>
      </c>
      <c r="AC54" s="40">
        <f t="shared" si="7"/>
        <v>0</v>
      </c>
      <c r="AD54" s="40">
        <f>SUM('ACTUAL EXP'!$G$37:$G$39)*ALLOCATION!P58</f>
        <v>0</v>
      </c>
      <c r="AE54" s="40">
        <f t="shared" si="8"/>
        <v>0</v>
      </c>
      <c r="AF54" s="40">
        <f>SUM('ACTUAL EXP'!$G$41)*ALLOCATION!P58</f>
        <v>0</v>
      </c>
      <c r="AG54" s="40">
        <f t="shared" si="9"/>
        <v>0</v>
      </c>
      <c r="AH54" s="40">
        <f>SUM('ACTUAL EXP'!$G$81)*ALLOCATION!P58</f>
        <v>0</v>
      </c>
      <c r="AI54" s="40">
        <f t="shared" si="10"/>
        <v>0</v>
      </c>
      <c r="AJ54" s="296">
        <f>SUM('ACTUAL EXP'!$G$83)*ALLOCATION!P58</f>
        <v>0</v>
      </c>
      <c r="AK54" s="40">
        <f t="shared" si="10"/>
        <v>0</v>
      </c>
      <c r="AL54" s="40">
        <f>SUM('ACTUAL EXP'!$G$64:$G$66)*ALLOCATION!P58</f>
        <v>0</v>
      </c>
      <c r="AM54" s="40">
        <f t="shared" si="11"/>
        <v>0</v>
      </c>
      <c r="AN54" s="40">
        <f t="shared" si="12"/>
        <v>0</v>
      </c>
      <c r="AO54" s="40">
        <f t="shared" si="15"/>
        <v>0</v>
      </c>
      <c r="AP54" s="41" t="s">
        <v>351</v>
      </c>
      <c r="AQ54" s="83">
        <f t="shared" si="13"/>
        <v>0</v>
      </c>
      <c r="AR54" s="40"/>
      <c r="AS54" s="171">
        <f t="shared" si="14"/>
        <v>0</v>
      </c>
      <c r="AT54" s="40"/>
      <c r="AU54" s="171"/>
      <c r="AV54" s="33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</row>
    <row r="55" spans="1:253" ht="13" customHeight="1">
      <c r="A55" s="25">
        <f>ALLOCATION!A59</f>
        <v>100000</v>
      </c>
      <c r="B55" s="24" t="str">
        <f>ALLOCATION!C59</f>
        <v>Gen Fund Reimb Expenditures</v>
      </c>
      <c r="C55" s="40">
        <f>'ACTUAL EXP'!$G$13*(ALLOCATION!P59)</f>
        <v>0</v>
      </c>
      <c r="D55" s="40">
        <f>(SUM('ACTUAL EXP'!$G$15,'ACTUAL EXP'!$G$17:$G$19,'ACTUAL EXP'!$G$22))*ALLOCATION!P59</f>
        <v>0</v>
      </c>
      <c r="E55" s="176">
        <f>(('ACTUAL EXP'!$G$25)*(ALLOCATION!P59))</f>
        <v>0</v>
      </c>
      <c r="F55" s="40">
        <f>'ACTUAL EXP'!$G$28*ALLOCATION!P59</f>
        <v>0</v>
      </c>
      <c r="G55" s="40">
        <v>0</v>
      </c>
      <c r="H55" s="40">
        <f>SUM('ACTUAL EXP'!$G$30:$G$35)*ALLOCATION!P59</f>
        <v>0</v>
      </c>
      <c r="I55" s="40">
        <f>SUM('ACTUAL EXP'!$G$43:$G$47)*ALLOCATION!P59</f>
        <v>0</v>
      </c>
      <c r="J55" s="176">
        <f>(SUM('ACTUAL EXP'!$G$49:$G$50)*ALLOCATION!P59*0.5)+(SUM('ACTUAL EXP'!$G$49:$G$50)*ALLOCATION!P59*0.5)</f>
        <v>0</v>
      </c>
      <c r="K55" s="40">
        <f>SUM('ACTUAL EXP'!$G$52:$G$53)*ALLOCATION!P59</f>
        <v>0</v>
      </c>
      <c r="L55" s="40">
        <f>SUM('ACTUAL EXP'!$G$54:$G$54)*ALLOCATION!P59</f>
        <v>0</v>
      </c>
      <c r="M55" s="40">
        <f>SUM('ACTUAL EXP'!$G$21:$G$21)*ALLOCATION!P59</f>
        <v>0</v>
      </c>
      <c r="N55" s="176">
        <f>SUM('ACTUAL EXP'!$G$58:$G$62)*0.39*ALLOCATION!P59</f>
        <v>0</v>
      </c>
      <c r="O55" s="176">
        <f>SUM('ACTUAL EXP'!$G$58:$G$62)*0.27*ALLOCATION!P59</f>
        <v>0</v>
      </c>
      <c r="P55" s="176">
        <f>SUM('ACTUAL EXP'!$G$58:$G$62)*0.34*ALLOCATION!P59</f>
        <v>0</v>
      </c>
      <c r="Q55" s="40">
        <f>'ACTUAL EXP'!$G$85*ALLOCATION!P59</f>
        <v>0</v>
      </c>
      <c r="R55" s="40">
        <f>SUM('ACTUAL EXP'!$G$68:$G$73)*ALLOCATION!P59</f>
        <v>0</v>
      </c>
      <c r="S55" s="40">
        <f>SUM('ACTUAL EXP'!$G$75)*ALLOCATION!P59</f>
        <v>0</v>
      </c>
      <c r="T55" s="40">
        <f>SUM('ACTUAL EXP'!$G$77)*ALLOCATION!P59</f>
        <v>0</v>
      </c>
      <c r="U55" s="40">
        <f>SUM('ACTUAL EXP'!$G$79)*ALLOCATION!P59</f>
        <v>0</v>
      </c>
      <c r="V55" s="40">
        <f t="shared" si="0"/>
        <v>0</v>
      </c>
      <c r="W55" s="40">
        <f t="shared" si="16"/>
        <v>0</v>
      </c>
      <c r="X55" s="40">
        <f t="shared" si="2"/>
        <v>0</v>
      </c>
      <c r="Y55" s="40">
        <f t="shared" si="17"/>
        <v>0</v>
      </c>
      <c r="Z55" s="40">
        <f t="shared" si="18"/>
        <v>0</v>
      </c>
      <c r="AA55" s="40">
        <f t="shared" si="19"/>
        <v>0</v>
      </c>
      <c r="AB55" s="40">
        <f t="shared" si="20"/>
        <v>0</v>
      </c>
      <c r="AC55" s="40">
        <f t="shared" si="7"/>
        <v>0</v>
      </c>
      <c r="AD55" s="40">
        <f>SUM('ACTUAL EXP'!$G$37:$G$39)*ALLOCATION!P59</f>
        <v>0</v>
      </c>
      <c r="AE55" s="40">
        <f t="shared" si="8"/>
        <v>0</v>
      </c>
      <c r="AF55" s="40">
        <f>SUM('ACTUAL EXP'!$G$41)*ALLOCATION!P59</f>
        <v>0</v>
      </c>
      <c r="AG55" s="40">
        <f t="shared" si="9"/>
        <v>0</v>
      </c>
      <c r="AH55" s="40">
        <f>SUM('ACTUAL EXP'!$G$81)*ALLOCATION!P59</f>
        <v>0</v>
      </c>
      <c r="AI55" s="40">
        <f t="shared" si="10"/>
        <v>0</v>
      </c>
      <c r="AJ55" s="296">
        <f>SUM('ACTUAL EXP'!$G$83)*ALLOCATION!P59</f>
        <v>0</v>
      </c>
      <c r="AK55" s="40">
        <f t="shared" si="10"/>
        <v>0</v>
      </c>
      <c r="AL55" s="40">
        <f>SUM('ACTUAL EXP'!$G$64:$G$66)*ALLOCATION!P59</f>
        <v>0</v>
      </c>
      <c r="AM55" s="40">
        <f t="shared" si="11"/>
        <v>0</v>
      </c>
      <c r="AN55" s="40">
        <f t="shared" si="12"/>
        <v>0</v>
      </c>
      <c r="AO55" s="40">
        <f t="shared" si="15"/>
        <v>0</v>
      </c>
      <c r="AP55" s="41" t="s">
        <v>351</v>
      </c>
      <c r="AQ55" s="83">
        <f t="shared" si="13"/>
        <v>0</v>
      </c>
      <c r="AR55" s="40"/>
      <c r="AS55" s="171">
        <f t="shared" si="14"/>
        <v>0</v>
      </c>
      <c r="AT55" s="41" t="s">
        <v>342</v>
      </c>
      <c r="AU55" s="171"/>
      <c r="AV55" s="33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</row>
    <row r="56" spans="1:253" ht="13" customHeight="1">
      <c r="A56" s="25">
        <f>ALLOCATION!A60</f>
        <v>100000</v>
      </c>
      <c r="B56" s="24" t="str">
        <f>ALLOCATION!C60</f>
        <v>General Fund Transfers</v>
      </c>
      <c r="C56" s="40">
        <f>'ACTUAL EXP'!$G$13*(ALLOCATION!P60)</f>
        <v>0</v>
      </c>
      <c r="D56" s="40">
        <f>(SUM('ACTUAL EXP'!$G$15,'ACTUAL EXP'!$G$17:$G$19,'ACTUAL EXP'!$G$22))*ALLOCATION!P60</f>
        <v>0</v>
      </c>
      <c r="E56" s="176">
        <f>(('ACTUAL EXP'!$G$25)*(ALLOCATION!P60))</f>
        <v>0</v>
      </c>
      <c r="F56" s="40">
        <f>'ACTUAL EXP'!$G$28*ALLOCATION!P60</f>
        <v>0</v>
      </c>
      <c r="G56" s="40">
        <v>0</v>
      </c>
      <c r="H56" s="40">
        <f>SUM('ACTUAL EXP'!$G$30:$G$35)*ALLOCATION!P60</f>
        <v>0</v>
      </c>
      <c r="I56" s="40">
        <f>SUM('ACTUAL EXP'!$G$43:$G$47)*ALLOCATION!P60</f>
        <v>0</v>
      </c>
      <c r="J56" s="176">
        <f>(SUM('ACTUAL EXP'!$G$49:$G$50)*ALLOCATION!P60*0.5)+(SUM('ACTUAL EXP'!$G$49:$G$50)*ALLOCATION!P60*0.5)</f>
        <v>0</v>
      </c>
      <c r="K56" s="40">
        <f>SUM('ACTUAL EXP'!$G$52:$G$53)*ALLOCATION!P60</f>
        <v>0</v>
      </c>
      <c r="L56" s="40">
        <f>SUM('ACTUAL EXP'!$G$54:$G$54)*ALLOCATION!P60</f>
        <v>0</v>
      </c>
      <c r="M56" s="40">
        <f>SUM('ACTUAL EXP'!$G$21:$G$21)*ALLOCATION!P60</f>
        <v>0</v>
      </c>
      <c r="N56" s="176">
        <f>SUM('ACTUAL EXP'!$G$58:$G$62)*0.39*ALLOCATION!P60</f>
        <v>0</v>
      </c>
      <c r="O56" s="176">
        <f>SUM('ACTUAL EXP'!$G$58:$G$62)*0.27*ALLOCATION!P60</f>
        <v>0</v>
      </c>
      <c r="P56" s="176">
        <f>SUM('ACTUAL EXP'!$G$58:$G$62)*0.34*ALLOCATION!P60</f>
        <v>0</v>
      </c>
      <c r="Q56" s="40">
        <f>'ACTUAL EXP'!$G$85*ALLOCATION!P60</f>
        <v>0</v>
      </c>
      <c r="R56" s="40">
        <f>SUM('ACTUAL EXP'!$G$68:$G$73)*ALLOCATION!P60</f>
        <v>0</v>
      </c>
      <c r="S56" s="40">
        <f>SUM('ACTUAL EXP'!$G$75)*ALLOCATION!P60</f>
        <v>0</v>
      </c>
      <c r="T56" s="40">
        <f>SUM('ACTUAL EXP'!$G$77)*ALLOCATION!P60</f>
        <v>0</v>
      </c>
      <c r="U56" s="40">
        <f>SUM('ACTUAL EXP'!$G$79)*ALLOCATION!P60</f>
        <v>0</v>
      </c>
      <c r="V56" s="40">
        <f t="shared" si="0"/>
        <v>0</v>
      </c>
      <c r="W56" s="40">
        <f t="shared" si="16"/>
        <v>0</v>
      </c>
      <c r="X56" s="40">
        <f t="shared" si="2"/>
        <v>0</v>
      </c>
      <c r="Y56" s="40">
        <f t="shared" si="17"/>
        <v>0</v>
      </c>
      <c r="Z56" s="40">
        <f t="shared" si="18"/>
        <v>0</v>
      </c>
      <c r="AA56" s="40">
        <f t="shared" si="19"/>
        <v>0</v>
      </c>
      <c r="AB56" s="40">
        <f t="shared" si="20"/>
        <v>0</v>
      </c>
      <c r="AC56" s="40">
        <f t="shared" si="7"/>
        <v>0</v>
      </c>
      <c r="AD56" s="40">
        <f>SUM('ACTUAL EXP'!$G$37:$G$39)*ALLOCATION!P60</f>
        <v>0</v>
      </c>
      <c r="AE56" s="40">
        <f t="shared" si="8"/>
        <v>0</v>
      </c>
      <c r="AF56" s="40">
        <f>SUM('ACTUAL EXP'!$G$41)*ALLOCATION!P60</f>
        <v>0</v>
      </c>
      <c r="AG56" s="40">
        <f t="shared" si="9"/>
        <v>0</v>
      </c>
      <c r="AH56" s="40">
        <f>SUM('ACTUAL EXP'!$G$81)*ALLOCATION!P60</f>
        <v>0</v>
      </c>
      <c r="AI56" s="40">
        <f t="shared" si="10"/>
        <v>0</v>
      </c>
      <c r="AJ56" s="296">
        <f>SUM('ACTUAL EXP'!$G$83)*ALLOCATION!P60</f>
        <v>0</v>
      </c>
      <c r="AK56" s="40">
        <f t="shared" si="10"/>
        <v>0</v>
      </c>
      <c r="AL56" s="40">
        <f>SUM('ACTUAL EXP'!$G$64:$G$66)*ALLOCATION!P60</f>
        <v>0</v>
      </c>
      <c r="AM56" s="40">
        <f t="shared" si="11"/>
        <v>0</v>
      </c>
      <c r="AN56" s="40">
        <f t="shared" si="12"/>
        <v>0</v>
      </c>
      <c r="AO56" s="40">
        <f t="shared" si="15"/>
        <v>0</v>
      </c>
      <c r="AP56" s="41" t="s">
        <v>351</v>
      </c>
      <c r="AQ56" s="83">
        <f t="shared" si="13"/>
        <v>0</v>
      </c>
      <c r="AR56" s="40"/>
      <c r="AS56" s="171">
        <f t="shared" si="14"/>
        <v>0</v>
      </c>
      <c r="AT56" s="41" t="s">
        <v>343</v>
      </c>
      <c r="AU56" s="171"/>
      <c r="AV56" s="33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</row>
    <row r="57" spans="1:253" ht="13" customHeight="1">
      <c r="A57" s="25">
        <f>ALLOCATION!A61</f>
        <v>100000</v>
      </c>
      <c r="B57" s="24" t="str">
        <f>ALLOCATION!C61</f>
        <v>Community Technology</v>
      </c>
      <c r="C57" s="40">
        <f>'ACTUAL EXP'!$G$13*(ALLOCATION!P61)</f>
        <v>7834.3930991375482</v>
      </c>
      <c r="D57" s="40">
        <f>(SUM('ACTUAL EXP'!$G$15,'ACTUAL EXP'!$G$17:$G$19,'ACTUAL EXP'!$G$22))*ALLOCATION!P61</f>
        <v>12635.654145322233</v>
      </c>
      <c r="E57" s="176">
        <f>(('ACTUAL EXP'!$G$25)*(ALLOCATION!P61))</f>
        <v>0</v>
      </c>
      <c r="F57" s="40">
        <f>'ACTUAL EXP'!$G$28*ALLOCATION!P61</f>
        <v>0</v>
      </c>
      <c r="G57" s="40">
        <v>0</v>
      </c>
      <c r="H57" s="40">
        <f>SUM('ACTUAL EXP'!$G$30:$G$35)*ALLOCATION!P61</f>
        <v>11340.841947616416</v>
      </c>
      <c r="I57" s="40">
        <f>SUM('ACTUAL EXP'!$G$43:$G$47)*ALLOCATION!P61</f>
        <v>6850.215135809136</v>
      </c>
      <c r="J57" s="176">
        <f>(SUM('ACTUAL EXP'!$G$49:$G$50)*ALLOCATION!P61*0.5)+(SUM('ACTUAL EXP'!$G$49:$G$50)*ALLOCATION!P61*0.5)</f>
        <v>3286.171690782764</v>
      </c>
      <c r="K57" s="40">
        <f>SUM('ACTUAL EXP'!$G$52:$G$53)*ALLOCATION!P61</f>
        <v>3468.0969163124619</v>
      </c>
      <c r="L57" s="40">
        <f>SUM('ACTUAL EXP'!$G$54:$G$54)*ALLOCATION!P61</f>
        <v>472.92230676988117</v>
      </c>
      <c r="M57" s="40">
        <f>SUM('ACTUAL EXP'!$G$21:$G$21)*ALLOCATION!P61</f>
        <v>145.73250059397364</v>
      </c>
      <c r="N57" s="176">
        <f>SUM('ACTUAL EXP'!$G$58:$G$62)*0.39*ALLOCATION!P61</f>
        <v>2320.9781659249488</v>
      </c>
      <c r="O57" s="176">
        <f>SUM('ACTUAL EXP'!$G$58:$G$62)*0.27*ALLOCATION!P61</f>
        <v>1606.8310379480415</v>
      </c>
      <c r="P57" s="176">
        <f>SUM('ACTUAL EXP'!$G$58:$G$62)*0.34*ALLOCATION!P61</f>
        <v>2023.4168626012372</v>
      </c>
      <c r="Q57" s="40">
        <f>'ACTUAL EXP'!$G$85*ALLOCATION!P61</f>
        <v>3079.7678603120639</v>
      </c>
      <c r="R57" s="40">
        <f>SUM('ACTUAL EXP'!$G$68:$G$73)*ALLOCATION!P61</f>
        <v>8400.0490455689469</v>
      </c>
      <c r="S57" s="40">
        <f>SUM('ACTUAL EXP'!$G$75)*ALLOCATION!P61</f>
        <v>1176.39899587644</v>
      </c>
      <c r="T57" s="40">
        <f>SUM('ACTUAL EXP'!$G$77)*ALLOCATION!P61</f>
        <v>772.41880475020923</v>
      </c>
      <c r="U57" s="40">
        <f>SUM('ACTUAL EXP'!$G$79)*ALLOCATION!P61</f>
        <v>1170.592022128742</v>
      </c>
      <c r="V57" s="40">
        <f t="shared" si="0"/>
        <v>66584.480537455049</v>
      </c>
      <c r="W57" s="40">
        <f t="shared" si="16"/>
        <v>599.69973056235835</v>
      </c>
      <c r="X57" s="40">
        <f t="shared" si="2"/>
        <v>439.09357198207272</v>
      </c>
      <c r="Y57" s="40">
        <f t="shared" si="17"/>
        <v>1400.0492332888005</v>
      </c>
      <c r="Z57" s="40">
        <f t="shared" si="18"/>
        <v>574.24391666874192</v>
      </c>
      <c r="AA57" s="40">
        <f t="shared" si="19"/>
        <v>223.56317877545666</v>
      </c>
      <c r="AB57" s="40">
        <f t="shared" si="20"/>
        <v>486.46065296460534</v>
      </c>
      <c r="AC57" s="40">
        <f t="shared" si="7"/>
        <v>70307.590821697071</v>
      </c>
      <c r="AD57" s="40">
        <f>SUM('ACTUAL EXP'!$G$37:$G$39)*ALLOCATION!P61</f>
        <v>1377.3838620818856</v>
      </c>
      <c r="AE57" s="40">
        <f t="shared" si="8"/>
        <v>77.017226549982624</v>
      </c>
      <c r="AF57" s="40">
        <f>SUM('ACTUAL EXP'!$G$41)*ALLOCATION!P61</f>
        <v>412.0984565068685</v>
      </c>
      <c r="AG57" s="40">
        <f t="shared" si="9"/>
        <v>23.042726911084415</v>
      </c>
      <c r="AH57" s="40">
        <f>SUM('ACTUAL EXP'!$G$81)*ALLOCATION!P61</f>
        <v>171.65503649808159</v>
      </c>
      <c r="AI57" s="40">
        <f t="shared" si="10"/>
        <v>9.5981920496991631</v>
      </c>
      <c r="AJ57" s="296">
        <f>SUM('ACTUAL EXP'!$G$83)*ALLOCATION!P61</f>
        <v>1274.4805565452962</v>
      </c>
      <c r="AK57" s="40">
        <f t="shared" si="10"/>
        <v>71.2633278631818</v>
      </c>
      <c r="AL57" s="40">
        <f>SUM('ACTUAL EXP'!$G$64:$G$66)*ALLOCATION!P61</f>
        <v>411.55032641233572</v>
      </c>
      <c r="AM57" s="40">
        <f t="shared" si="11"/>
        <v>23.012077895344017</v>
      </c>
      <c r="AN57" s="40">
        <f t="shared" si="12"/>
        <v>74158.692611010832</v>
      </c>
      <c r="AO57" s="40"/>
      <c r="AP57" s="41"/>
      <c r="AQ57" s="83">
        <f t="shared" si="13"/>
        <v>74158.692611010832</v>
      </c>
      <c r="AR57" s="40"/>
      <c r="AS57" s="171">
        <f t="shared" si="14"/>
        <v>74158.692611010832</v>
      </c>
      <c r="AT57" s="41" t="s">
        <v>336</v>
      </c>
      <c r="AU57" s="171"/>
      <c r="AV57" s="33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</row>
    <row r="58" spans="1:253" ht="13" customHeight="1">
      <c r="A58" s="25">
        <f>ALLOCATION!A62</f>
        <v>100000</v>
      </c>
      <c r="B58" s="24" t="str">
        <f>ALLOCATION!C62</f>
        <v>Office of Sustainable Development (OSD)</v>
      </c>
      <c r="C58" s="40">
        <f>'ACTUAL EXP'!$G$13*(ALLOCATION!P62)</f>
        <v>3326.6541747572815</v>
      </c>
      <c r="D58" s="40">
        <f>(SUM('ACTUAL EXP'!$G$15,'ACTUAL EXP'!$G$17:$G$19,'ACTUAL EXP'!$G$22))*ALLOCATION!P62</f>
        <v>5365.3743284789643</v>
      </c>
      <c r="E58" s="176">
        <f>(('ACTUAL EXP'!$G$25)*(ALLOCATION!P62))</f>
        <v>0</v>
      </c>
      <c r="F58" s="40">
        <f>'ACTUAL EXP'!$G$28*ALLOCATION!P62</f>
        <v>0</v>
      </c>
      <c r="G58" s="40">
        <v>0</v>
      </c>
      <c r="H58" s="40">
        <f>SUM('ACTUAL EXP'!$G$30:$G$35)*ALLOCATION!P62</f>
        <v>4815.568830016181</v>
      </c>
      <c r="I58" s="40">
        <f>SUM('ACTUAL EXP'!$G$43:$G$47)*ALLOCATION!P62</f>
        <v>2908.750747014933</v>
      </c>
      <c r="J58" s="176">
        <f>(SUM('ACTUAL EXP'!$G$49:$G$50)*ALLOCATION!P62*0.5)+(SUM('ACTUAL EXP'!$G$49:$G$50)*ALLOCATION!P62*0.5)</f>
        <v>1395.3801699477046</v>
      </c>
      <c r="K58" s="40">
        <f>SUM('ACTUAL EXP'!$G$52:$G$53)*ALLOCATION!P62</f>
        <v>1472.6295884213134</v>
      </c>
      <c r="L58" s="40">
        <f>SUM('ACTUAL EXP'!$G$54:$G$54)*ALLOCATION!P62</f>
        <v>200.81312569381546</v>
      </c>
      <c r="M58" s="40">
        <f>SUM('ACTUAL EXP'!$G$21:$G$21)*ALLOCATION!P62</f>
        <v>61.881198117583601</v>
      </c>
      <c r="N58" s="176">
        <f>SUM('ACTUAL EXP'!$G$58:$G$62)*0.39*ALLOCATION!P62</f>
        <v>985.53794882269915</v>
      </c>
      <c r="O58" s="176">
        <f>SUM('ACTUAL EXP'!$G$58:$G$62)*0.27*ALLOCATION!P62</f>
        <v>682.29550303109954</v>
      </c>
      <c r="P58" s="176">
        <f>SUM('ACTUAL EXP'!$G$58:$G$62)*0.34*ALLOCATION!P62</f>
        <v>859.18692974286591</v>
      </c>
      <c r="Q58" s="40">
        <f>'ACTUAL EXP'!$G$85*ALLOCATION!P62</f>
        <v>1307.7366019479271</v>
      </c>
      <c r="R58" s="40">
        <f>SUM('ACTUAL EXP'!$G$68:$G$73)*ALLOCATION!P62</f>
        <v>3566.8440263335888</v>
      </c>
      <c r="S58" s="40">
        <f>SUM('ACTUAL EXP'!$G$75)*ALLOCATION!P62</f>
        <v>499.52467042322002</v>
      </c>
      <c r="T58" s="40">
        <f>SUM('ACTUAL EXP'!$G$77)*ALLOCATION!P62</f>
        <v>327.98587063064082</v>
      </c>
      <c r="U58" s="40">
        <f>SUM('ACTUAL EXP'!$G$79)*ALLOCATION!P62</f>
        <v>497.05890272225895</v>
      </c>
      <c r="V58" s="40">
        <f t="shared" si="0"/>
        <v>28273.222616102074</v>
      </c>
      <c r="W58" s="40">
        <f t="shared" si="16"/>
        <v>254.64558479912188</v>
      </c>
      <c r="X58" s="40">
        <f t="shared" si="2"/>
        <v>186.44870711223973</v>
      </c>
      <c r="Y58" s="40">
        <f t="shared" si="17"/>
        <v>594.49143894740723</v>
      </c>
      <c r="Z58" s="40">
        <f t="shared" si="18"/>
        <v>243.83649103915147</v>
      </c>
      <c r="AA58" s="40">
        <f t="shared" si="19"/>
        <v>94.929801528245193</v>
      </c>
      <c r="AB58" s="40">
        <f t="shared" si="20"/>
        <v>206.56180275380964</v>
      </c>
      <c r="AC58" s="40">
        <f t="shared" si="7"/>
        <v>29854.136442282044</v>
      </c>
      <c r="AD58" s="40">
        <f>SUM('ACTUAL EXP'!$G$37:$G$39)*ALLOCATION!P62</f>
        <v>584.86722801060773</v>
      </c>
      <c r="AE58" s="40">
        <f t="shared" si="8"/>
        <v>32.703194106883906</v>
      </c>
      <c r="AF58" s="40">
        <f>SUM('ACTUAL EXP'!$G$41)*ALLOCATION!P62</f>
        <v>174.98599232919818</v>
      </c>
      <c r="AG58" s="40">
        <f t="shared" si="9"/>
        <v>9.7844443987613481</v>
      </c>
      <c r="AH58" s="40">
        <f>SUM('ACTUAL EXP'!$G$81)*ALLOCATION!P62</f>
        <v>72.888472222222219</v>
      </c>
      <c r="AI58" s="40">
        <f t="shared" si="10"/>
        <v>4.0756016768891614</v>
      </c>
      <c r="AJ58" s="296">
        <f>SUM('ACTUAL EXP'!$G$83)*ALLOCATION!P62</f>
        <v>541.17224020136644</v>
      </c>
      <c r="AK58" s="40">
        <f t="shared" si="10"/>
        <v>30.259963234324857</v>
      </c>
      <c r="AL58" s="40">
        <f>SUM('ACTUAL EXP'!$G$64:$G$66)*ALLOCATION!P62</f>
        <v>174.75324433656959</v>
      </c>
      <c r="AM58" s="40">
        <f t="shared" si="11"/>
        <v>9.7714301582356562</v>
      </c>
      <c r="AN58" s="40">
        <f t="shared" si="12"/>
        <v>31489.398252957104</v>
      </c>
      <c r="AO58" s="40">
        <f>-AN58</f>
        <v>-31489.398252957104</v>
      </c>
      <c r="AP58" s="41" t="s">
        <v>537</v>
      </c>
      <c r="AQ58" s="83">
        <f t="shared" si="13"/>
        <v>0</v>
      </c>
      <c r="AR58" s="40"/>
      <c r="AS58" s="171">
        <f t="shared" si="14"/>
        <v>0</v>
      </c>
      <c r="AT58" s="41" t="s">
        <v>346</v>
      </c>
      <c r="AU58" s="171"/>
      <c r="AV58" s="33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</row>
    <row r="59" spans="1:253" ht="13" customHeight="1">
      <c r="A59" s="25">
        <f>ALLOCATION!A63</f>
        <v>206000</v>
      </c>
      <c r="B59" s="24" t="str">
        <f>ALLOCATION!C63</f>
        <v>Cable</v>
      </c>
      <c r="C59" s="40">
        <f>'ACTUAL EXP'!$G$13*(ALLOCATION!P63)</f>
        <v>9087.4671082495352</v>
      </c>
      <c r="D59" s="40">
        <f>(SUM('ACTUAL EXP'!$G$15,'ACTUAL EXP'!$G$17:$G$19,'ACTUAL EXP'!$G$22))*ALLOCATION!P63</f>
        <v>14656.667081139105</v>
      </c>
      <c r="E59" s="176">
        <f>(('ACTUAL EXP'!$G$25)*(ALLOCATION!P63))</f>
        <v>0</v>
      </c>
      <c r="F59" s="40">
        <f>'ACTUAL EXP'!$G$28*ALLOCATION!P63</f>
        <v>0</v>
      </c>
      <c r="G59" s="40">
        <v>0</v>
      </c>
      <c r="H59" s="40">
        <f>SUM('ACTUAL EXP'!$G$30:$G$35)*ALLOCATION!P63</f>
        <v>13154.755815120652</v>
      </c>
      <c r="I59" s="40">
        <f>SUM('ACTUAL EXP'!$G$43:$G$47)*ALLOCATION!P63</f>
        <v>7945.8745487192336</v>
      </c>
      <c r="J59" s="176">
        <f>(SUM('ACTUAL EXP'!$G$49:$G$50)*ALLOCATION!P63*0.5)+(SUM('ACTUAL EXP'!$G$49:$G$50)*ALLOCATION!P63*0.5)</f>
        <v>3811.7792628170018</v>
      </c>
      <c r="K59" s="40">
        <f>SUM('ACTUAL EXP'!$G$52:$G$53)*ALLOCATION!P63</f>
        <v>4022.8025650998557</v>
      </c>
      <c r="L59" s="40">
        <f>SUM('ACTUAL EXP'!$G$54:$G$54)*ALLOCATION!P63</f>
        <v>548.56398614998034</v>
      </c>
      <c r="M59" s="40">
        <f>SUM('ACTUAL EXP'!$G$21:$G$21)*ALLOCATION!P63</f>
        <v>169.04172269533956</v>
      </c>
      <c r="N59" s="176">
        <f>SUM('ACTUAL EXP'!$G$58:$G$62)*0.39*ALLOCATION!P63</f>
        <v>2692.2076126267143</v>
      </c>
      <c r="O59" s="176">
        <f>SUM('ACTUAL EXP'!$G$58:$G$62)*0.27*ALLOCATION!P63</f>
        <v>1863.8360395108023</v>
      </c>
      <c r="P59" s="176">
        <f>SUM('ACTUAL EXP'!$G$58:$G$62)*0.34*ALLOCATION!P63</f>
        <v>2347.0527904950841</v>
      </c>
      <c r="Q59" s="40">
        <f>'ACTUAL EXP'!$G$85*ALLOCATION!P63</f>
        <v>3572.362118861628</v>
      </c>
      <c r="R59" s="40">
        <f>SUM('ACTUAL EXP'!$G$68:$G$73)*ALLOCATION!P63</f>
        <v>9743.5970397878154</v>
      </c>
      <c r="S59" s="40">
        <f>SUM('ACTUAL EXP'!$G$75)*ALLOCATION!P63</f>
        <v>1364.5584343197936</v>
      </c>
      <c r="T59" s="40">
        <f>SUM('ACTUAL EXP'!$G$77)*ALLOCATION!P63</f>
        <v>895.96352814280817</v>
      </c>
      <c r="U59" s="40">
        <f>SUM('ACTUAL EXP'!$G$79)*ALLOCATION!P63</f>
        <v>1357.8226626699789</v>
      </c>
      <c r="V59" s="40">
        <f t="shared" si="0"/>
        <v>77234.352316405333</v>
      </c>
      <c r="W59" s="40">
        <f t="shared" si="16"/>
        <v>695.6188574340847</v>
      </c>
      <c r="X59" s="40">
        <f t="shared" si="2"/>
        <v>509.32450571954996</v>
      </c>
      <c r="Y59" s="40">
        <f t="shared" si="17"/>
        <v>1623.9804661885755</v>
      </c>
      <c r="Z59" s="40">
        <f t="shared" si="18"/>
        <v>666.09150687295119</v>
      </c>
      <c r="AA59" s="40">
        <f t="shared" si="19"/>
        <v>259.32104861591955</v>
      </c>
      <c r="AB59" s="40">
        <f t="shared" si="20"/>
        <v>564.26772659136748</v>
      </c>
      <c r="AC59" s="40">
        <f t="shared" si="7"/>
        <v>81552.956427827768</v>
      </c>
      <c r="AD59" s="40">
        <f>SUM('ACTUAL EXP'!$G$37:$G$39)*ALLOCATION!P63</f>
        <v>1597.6898763837596</v>
      </c>
      <c r="AE59" s="40">
        <f t="shared" si="8"/>
        <v>89.335766559711914</v>
      </c>
      <c r="AF59" s="40">
        <f>SUM('ACTUAL EXP'!$G$41)*ALLOCATION!P63</f>
        <v>478.01164959144455</v>
      </c>
      <c r="AG59" s="40">
        <f t="shared" si="9"/>
        <v>26.728301763656447</v>
      </c>
      <c r="AH59" s="40">
        <f>SUM('ACTUAL EXP'!$G$81)*ALLOCATION!P63</f>
        <v>199.11044523836989</v>
      </c>
      <c r="AI59" s="40">
        <f t="shared" si="10"/>
        <v>11.133377333325964</v>
      </c>
      <c r="AJ59" s="296">
        <f>SUM('ACTUAL EXP'!$G$83)*ALLOCATION!P63</f>
        <v>1478.3276753095179</v>
      </c>
      <c r="AK59" s="40">
        <f t="shared" si="10"/>
        <v>82.661559074991885</v>
      </c>
      <c r="AL59" s="40">
        <f>SUM('ACTUAL EXP'!$G$64:$G$66)*ALLOCATION!P63</f>
        <v>477.37584868867179</v>
      </c>
      <c r="AM59" s="40">
        <f t="shared" si="11"/>
        <v>26.692750583250181</v>
      </c>
      <c r="AN59" s="40">
        <f t="shared" si="12"/>
        <v>86020.023678354453</v>
      </c>
      <c r="AO59" s="40"/>
      <c r="AP59" s="41"/>
      <c r="AQ59" s="83">
        <f t="shared" si="13"/>
        <v>86020.023678354453</v>
      </c>
      <c r="AR59" s="40"/>
      <c r="AS59" s="171">
        <f t="shared" si="14"/>
        <v>86020.023678354453</v>
      </c>
      <c r="AT59" s="40"/>
      <c r="AU59" s="171"/>
      <c r="AV59" s="33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</row>
    <row r="60" spans="1:253" ht="13" customHeight="1">
      <c r="A60" s="25">
        <f>ALLOCATION!A64</f>
        <v>100000</v>
      </c>
      <c r="B60" s="24" t="str">
        <f>ALLOCATION!C64</f>
        <v>Office of Human Relations</v>
      </c>
      <c r="C60" s="40">
        <f>'ACTUAL EXP'!$G$13*(ALLOCATION!P64)</f>
        <v>2300.7267321844706</v>
      </c>
      <c r="D60" s="40">
        <f>(SUM('ACTUAL EXP'!$G$15,'ACTUAL EXP'!$G$17:$G$19,'ACTUAL EXP'!$G$22))*ALLOCATION!P64</f>
        <v>3710.7133766342017</v>
      </c>
      <c r="E60" s="176">
        <f>(('ACTUAL EXP'!$G$25)*(ALLOCATION!P64))</f>
        <v>0</v>
      </c>
      <c r="F60" s="40">
        <f>'ACTUAL EXP'!$G$28*ALLOCATION!P64</f>
        <v>0</v>
      </c>
      <c r="G60" s="40">
        <v>0</v>
      </c>
      <c r="H60" s="40">
        <f>SUM('ACTUAL EXP'!$G$30:$G$35)*ALLOCATION!P64</f>
        <v>3330.4657941190685</v>
      </c>
      <c r="I60" s="40">
        <f>SUM('ACTUAL EXP'!$G$43:$G$47)*ALLOCATION!P64</f>
        <v>2011.703125530649</v>
      </c>
      <c r="J60" s="176">
        <f>(SUM('ACTUAL EXP'!$G$49:$G$50)*ALLOCATION!P64*0.5)+(SUM('ACTUAL EXP'!$G$49:$G$50)*ALLOCATION!P64*0.5)</f>
        <v>965.05025467308428</v>
      </c>
      <c r="K60" s="40">
        <f>SUM('ACTUAL EXP'!$G$52:$G$53)*ALLOCATION!P64</f>
        <v>1018.4762475149474</v>
      </c>
      <c r="L60" s="40">
        <f>SUM('ACTUAL EXP'!$G$54:$G$54)*ALLOCATION!P64</f>
        <v>138.88312466112922</v>
      </c>
      <c r="M60" s="40">
        <f>SUM('ACTUAL EXP'!$G$21:$G$21)*ALLOCATION!P64</f>
        <v>42.797272950415902</v>
      </c>
      <c r="N60" s="176">
        <f>SUM('ACTUAL EXP'!$G$58:$G$62)*0.39*ALLOCATION!P64</f>
        <v>681.60180930260719</v>
      </c>
      <c r="O60" s="176">
        <f>SUM('ACTUAL EXP'!$G$58:$G$62)*0.27*ALLOCATION!P64</f>
        <v>471.87817567103582</v>
      </c>
      <c r="P60" s="176">
        <f>SUM('ACTUAL EXP'!$G$58:$G$62)*0.34*ALLOCATION!P64</f>
        <v>594.21696195611912</v>
      </c>
      <c r="Q60" s="40">
        <f>'ACTUAL EXP'!$G$85*ALLOCATION!P64</f>
        <v>904.43562832232226</v>
      </c>
      <c r="R60" s="40">
        <f>SUM('ACTUAL EXP'!$G$68:$G$73)*ALLOCATION!P64</f>
        <v>2466.8429508507379</v>
      </c>
      <c r="S60" s="40">
        <f>SUM('ACTUAL EXP'!$G$75)*ALLOCATION!P64</f>
        <v>345.47316981398961</v>
      </c>
      <c r="T60" s="40">
        <f>SUM('ACTUAL EXP'!$G$77)*ALLOCATION!P64</f>
        <v>226.83628074859033</v>
      </c>
      <c r="U60" s="40">
        <f>SUM('ACTUAL EXP'!$G$79)*ALLOCATION!P64</f>
        <v>343.76783545491929</v>
      </c>
      <c r="V60" s="40">
        <f t="shared" si="0"/>
        <v>19553.86874038829</v>
      </c>
      <c r="W60" s="40">
        <f t="shared" si="16"/>
        <v>176.11385897147949</v>
      </c>
      <c r="X60" s="40">
        <f t="shared" si="2"/>
        <v>128.94863791053996</v>
      </c>
      <c r="Y60" s="40">
        <f t="shared" si="17"/>
        <v>411.15254961568291</v>
      </c>
      <c r="Z60" s="40">
        <f t="shared" si="18"/>
        <v>168.63824844575754</v>
      </c>
      <c r="AA60" s="40">
        <f t="shared" si="19"/>
        <v>65.653813286118123</v>
      </c>
      <c r="AB60" s="40">
        <f t="shared" si="20"/>
        <v>142.85893167076199</v>
      </c>
      <c r="AC60" s="40">
        <f t="shared" si="7"/>
        <v>20647.234780288629</v>
      </c>
      <c r="AD60" s="40">
        <f>SUM('ACTUAL EXP'!$G$37:$G$39)*ALLOCATION!P64</f>
        <v>404.4964085756867</v>
      </c>
      <c r="AE60" s="40">
        <f t="shared" si="8"/>
        <v>22.617653942046793</v>
      </c>
      <c r="AF60" s="40">
        <f>SUM('ACTUAL EXP'!$G$41)*ALLOCATION!P64</f>
        <v>121.02098058899885</v>
      </c>
      <c r="AG60" s="40">
        <f t="shared" si="9"/>
        <v>6.766959114241355</v>
      </c>
      <c r="AH60" s="40">
        <f>SUM('ACTUAL EXP'!$G$81)*ALLOCATION!P64</f>
        <v>50.409945759386702</v>
      </c>
      <c r="AI60" s="40">
        <f t="shared" si="10"/>
        <v>2.8187016849862072</v>
      </c>
      <c r="AJ60" s="296">
        <f>SUM('ACTUAL EXP'!$G$83)*ALLOCATION!P64</f>
        <v>374.27678813000847</v>
      </c>
      <c r="AK60" s="40">
        <f t="shared" si="10"/>
        <v>20.927906139570418</v>
      </c>
      <c r="AL60" s="40">
        <f>SUM('ACTUAL EXP'!$G$64:$G$66)*ALLOCATION!P64</f>
        <v>120.86001118840224</v>
      </c>
      <c r="AM60" s="40">
        <f t="shared" si="11"/>
        <v>6.7579584157907204</v>
      </c>
      <c r="AN60" s="40">
        <f t="shared" si="12"/>
        <v>21778.18809382775</v>
      </c>
      <c r="AO60" s="40"/>
      <c r="AP60" s="41"/>
      <c r="AQ60" s="83">
        <f t="shared" si="13"/>
        <v>21778.18809382775</v>
      </c>
      <c r="AR60" s="40"/>
      <c r="AS60" s="171">
        <f t="shared" si="14"/>
        <v>21778.18809382775</v>
      </c>
      <c r="AT60" s="40"/>
      <c r="AU60" s="171"/>
      <c r="AV60" s="33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</row>
    <row r="61" spans="1:253" ht="13" customHeight="1">
      <c r="A61" s="25">
        <f>ALLOCATION!A65</f>
        <v>100000</v>
      </c>
      <c r="B61" s="24" t="str">
        <f>ALLOCATION!C65</f>
        <v>General Fund Revenues/Balance</v>
      </c>
      <c r="C61" s="40">
        <f>'ACTUAL EXP'!$G$13*(ALLOCATION!P65)</f>
        <v>0</v>
      </c>
      <c r="D61" s="40">
        <f>(SUM('ACTUAL EXP'!$G$15,'ACTUAL EXP'!$G$17:$G$19,'ACTUAL EXP'!$G$22))*ALLOCATION!P65</f>
        <v>0</v>
      </c>
      <c r="E61" s="176">
        <f>(('ACTUAL EXP'!$G$25)*(ALLOCATION!P65))</f>
        <v>0</v>
      </c>
      <c r="F61" s="40">
        <f>'ACTUAL EXP'!$G$28*ALLOCATION!P65</f>
        <v>0</v>
      </c>
      <c r="G61" s="40">
        <v>0</v>
      </c>
      <c r="H61" s="40">
        <f>SUM('ACTUAL EXP'!$G$30:$G$35)*ALLOCATION!P65</f>
        <v>0</v>
      </c>
      <c r="I61" s="40">
        <f>SUM('ACTUAL EXP'!$G$43:$G$47)*ALLOCATION!P65</f>
        <v>0</v>
      </c>
      <c r="J61" s="176">
        <f>(SUM('ACTUAL EXP'!$G$49:$G$50)*ALLOCATION!P65*0.5)+(SUM('ACTUAL EXP'!$G$49:$G$50)*ALLOCATION!P65*0.5)</f>
        <v>0</v>
      </c>
      <c r="K61" s="40">
        <f>SUM('ACTUAL EXP'!$G$52:$G$53)*ALLOCATION!P65</f>
        <v>0</v>
      </c>
      <c r="L61" s="40">
        <f>SUM('ACTUAL EXP'!$G$54:$G$54)*ALLOCATION!P65</f>
        <v>0</v>
      </c>
      <c r="M61" s="40">
        <f>SUM('ACTUAL EXP'!$G$21:$G$21)*ALLOCATION!P65</f>
        <v>0</v>
      </c>
      <c r="N61" s="176">
        <f>SUM('ACTUAL EXP'!$G$58:$G$62)*0.39*ALLOCATION!P65</f>
        <v>0</v>
      </c>
      <c r="O61" s="176">
        <f>SUM('ACTUAL EXP'!$G$58:$G$62)*0.27*ALLOCATION!P65</f>
        <v>0</v>
      </c>
      <c r="P61" s="176">
        <f>SUM('ACTUAL EXP'!$G$58:$G$62)*0.34*ALLOCATION!P65</f>
        <v>0</v>
      </c>
      <c r="Q61" s="40">
        <f>'ACTUAL EXP'!$G$85*ALLOCATION!P65</f>
        <v>0</v>
      </c>
      <c r="R61" s="40">
        <f>SUM('ACTUAL EXP'!$G$68:$G$73)*ALLOCATION!P65</f>
        <v>0</v>
      </c>
      <c r="S61" s="40">
        <f>SUM('ACTUAL EXP'!$G$75)*ALLOCATION!P65</f>
        <v>0</v>
      </c>
      <c r="T61" s="40">
        <f>SUM('ACTUAL EXP'!$G$77)*ALLOCATION!P65</f>
        <v>0</v>
      </c>
      <c r="U61" s="40">
        <f>SUM('ACTUAL EXP'!$G$79)*ALLOCATION!P65</f>
        <v>0</v>
      </c>
      <c r="V61" s="40">
        <f t="shared" si="0"/>
        <v>0</v>
      </c>
      <c r="W61" s="40">
        <f t="shared" si="16"/>
        <v>0</v>
      </c>
      <c r="X61" s="40">
        <f t="shared" si="2"/>
        <v>0</v>
      </c>
      <c r="Y61" s="40">
        <f t="shared" si="17"/>
        <v>0</v>
      </c>
      <c r="Z61" s="40">
        <f t="shared" si="18"/>
        <v>0</v>
      </c>
      <c r="AA61" s="40">
        <f t="shared" si="19"/>
        <v>0</v>
      </c>
      <c r="AB61" s="40">
        <f t="shared" si="20"/>
        <v>0</v>
      </c>
      <c r="AC61" s="40">
        <f t="shared" si="7"/>
        <v>0</v>
      </c>
      <c r="AD61" s="40">
        <f>SUM('ACTUAL EXP'!$G$37:$G$39)*ALLOCATION!P65</f>
        <v>0</v>
      </c>
      <c r="AE61" s="40">
        <f t="shared" si="8"/>
        <v>0</v>
      </c>
      <c r="AF61" s="40">
        <f>SUM('ACTUAL EXP'!$G$41)*ALLOCATION!P65</f>
        <v>0</v>
      </c>
      <c r="AG61" s="40">
        <f t="shared" si="9"/>
        <v>0</v>
      </c>
      <c r="AH61" s="40">
        <f>SUM('ACTUAL EXP'!$G$81)*ALLOCATION!P65</f>
        <v>0</v>
      </c>
      <c r="AI61" s="40">
        <f t="shared" si="10"/>
        <v>0</v>
      </c>
      <c r="AJ61" s="296">
        <f>SUM('ACTUAL EXP'!$G$83)*ALLOCATION!P65</f>
        <v>0</v>
      </c>
      <c r="AK61" s="40">
        <f t="shared" si="10"/>
        <v>0</v>
      </c>
      <c r="AL61" s="40">
        <f>SUM('ACTUAL EXP'!$G$64:$G$66)*ALLOCATION!P65</f>
        <v>0</v>
      </c>
      <c r="AM61" s="40">
        <f t="shared" si="11"/>
        <v>0</v>
      </c>
      <c r="AN61" s="40">
        <f t="shared" si="12"/>
        <v>0</v>
      </c>
      <c r="AO61" s="40">
        <f>-AN61</f>
        <v>0</v>
      </c>
      <c r="AP61" s="41" t="s">
        <v>351</v>
      </c>
      <c r="AQ61" s="83">
        <f t="shared" si="13"/>
        <v>0</v>
      </c>
      <c r="AR61" s="40"/>
      <c r="AS61" s="171">
        <f t="shared" si="14"/>
        <v>0</v>
      </c>
      <c r="AT61" s="40" t="s">
        <v>347</v>
      </c>
      <c r="AU61" s="171"/>
      <c r="AV61" s="33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</row>
    <row r="62" spans="1:253" ht="13" customHeight="1">
      <c r="A62" s="25">
        <f>ALLOCATION!A66</f>
        <v>100000</v>
      </c>
      <c r="B62" s="24" t="s">
        <v>15</v>
      </c>
      <c r="C62" s="40">
        <f>'ACTUAL EXP'!$G$13*(ALLOCATION!P66)</f>
        <v>0</v>
      </c>
      <c r="D62" s="40">
        <f>(SUM('ACTUAL EXP'!$G$15,'ACTUAL EXP'!$G$17:$G$19,'ACTUAL EXP'!$G$22))*ALLOCATION!P66</f>
        <v>0</v>
      </c>
      <c r="E62" s="176">
        <f>(('ACTUAL EXP'!$G$25)*(ALLOCATION!P66))</f>
        <v>0</v>
      </c>
      <c r="F62" s="40">
        <f>'ACTUAL EXP'!$G$28*ALLOCATION!P66</f>
        <v>0</v>
      </c>
      <c r="G62" s="40">
        <v>0</v>
      </c>
      <c r="H62" s="40">
        <f>SUM('ACTUAL EXP'!$G$30:$G$35)*ALLOCATION!P66</f>
        <v>0</v>
      </c>
      <c r="I62" s="40">
        <f>SUM('ACTUAL EXP'!$G$43:$G$47)*ALLOCATION!P66</f>
        <v>0</v>
      </c>
      <c r="J62" s="176">
        <f>(SUM('ACTUAL EXP'!$G$49:$G$50)*ALLOCATION!P66*0.5)+(SUM('ACTUAL EXP'!$G$49:$G$50)*ALLOCATION!P66*0.5)</f>
        <v>0</v>
      </c>
      <c r="K62" s="40">
        <f>SUM('ACTUAL EXP'!$G$52:$G$53)*ALLOCATION!P66</f>
        <v>0</v>
      </c>
      <c r="L62" s="40">
        <f>SUM('ACTUAL EXP'!$G$54:$G$54)*ALLOCATION!P66</f>
        <v>0</v>
      </c>
      <c r="M62" s="40">
        <f>SUM('ACTUAL EXP'!$G$21:$G$21)*ALLOCATION!P66</f>
        <v>0</v>
      </c>
      <c r="N62" s="176">
        <f>SUM('ACTUAL EXP'!$G$58:$G$62)*0.39*ALLOCATION!P66</f>
        <v>0</v>
      </c>
      <c r="O62" s="176">
        <f>SUM('ACTUAL EXP'!$G$58:$G$62)*0.27*ALLOCATION!P66</f>
        <v>0</v>
      </c>
      <c r="P62" s="176">
        <f>SUM('ACTUAL EXP'!$G$58:$G$62)*0.34*ALLOCATION!P66</f>
        <v>0</v>
      </c>
      <c r="Q62" s="40">
        <f>'ACTUAL EXP'!$G$85*ALLOCATION!P66</f>
        <v>0</v>
      </c>
      <c r="R62" s="40">
        <f>SUM('ACTUAL EXP'!$G$68:$G$73)*ALLOCATION!P66</f>
        <v>0</v>
      </c>
      <c r="S62" s="40">
        <f>SUM('ACTUAL EXP'!$G$75)*ALLOCATION!P66</f>
        <v>0</v>
      </c>
      <c r="T62" s="40">
        <f>SUM('ACTUAL EXP'!$G$77)*ALLOCATION!P66</f>
        <v>0</v>
      </c>
      <c r="U62" s="40">
        <f>SUM('ACTUAL EXP'!$G$79)*ALLOCATION!P66</f>
        <v>0</v>
      </c>
      <c r="V62" s="40">
        <f t="shared" si="0"/>
        <v>0</v>
      </c>
      <c r="W62" s="40">
        <f t="shared" si="16"/>
        <v>0</v>
      </c>
      <c r="X62" s="40">
        <f t="shared" si="2"/>
        <v>0</v>
      </c>
      <c r="Y62" s="40">
        <f t="shared" si="17"/>
        <v>0</v>
      </c>
      <c r="Z62" s="40">
        <f t="shared" si="18"/>
        <v>0</v>
      </c>
      <c r="AA62" s="40">
        <f t="shared" si="19"/>
        <v>0</v>
      </c>
      <c r="AB62" s="40">
        <f t="shared" si="20"/>
        <v>0</v>
      </c>
      <c r="AC62" s="40">
        <f t="shared" si="7"/>
        <v>0</v>
      </c>
      <c r="AD62" s="40">
        <f>SUM('ACTUAL EXP'!$G$37:$G$39)*ALLOCATION!P66</f>
        <v>0</v>
      </c>
      <c r="AE62" s="40">
        <f t="shared" si="8"/>
        <v>0</v>
      </c>
      <c r="AF62" s="40">
        <f>SUM('ACTUAL EXP'!$G$41)*ALLOCATION!P66</f>
        <v>0</v>
      </c>
      <c r="AG62" s="40">
        <f t="shared" si="9"/>
        <v>0</v>
      </c>
      <c r="AH62" s="40">
        <f>SUM('ACTUAL EXP'!$G$81)*ALLOCATION!P66</f>
        <v>0</v>
      </c>
      <c r="AI62" s="40">
        <f t="shared" si="10"/>
        <v>0</v>
      </c>
      <c r="AJ62" s="296">
        <f>SUM('ACTUAL EXP'!$G$83)*ALLOCATION!P66</f>
        <v>0</v>
      </c>
      <c r="AK62" s="40">
        <f t="shared" si="10"/>
        <v>0</v>
      </c>
      <c r="AL62" s="40">
        <f>SUM('ACTUAL EXP'!$G$64:$G$66)*ALLOCATION!P66</f>
        <v>0</v>
      </c>
      <c r="AM62" s="40">
        <f t="shared" si="11"/>
        <v>0</v>
      </c>
      <c r="AN62" s="40">
        <f t="shared" si="12"/>
        <v>0</v>
      </c>
      <c r="AO62" s="40"/>
      <c r="AP62" s="41" t="s">
        <v>539</v>
      </c>
      <c r="AQ62" s="83">
        <f t="shared" si="13"/>
        <v>0</v>
      </c>
      <c r="AR62" s="40"/>
      <c r="AS62" s="171">
        <f t="shared" si="14"/>
        <v>0</v>
      </c>
      <c r="AT62" s="40" t="s">
        <v>348</v>
      </c>
      <c r="AU62" s="171"/>
      <c r="AV62" s="33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</row>
    <row r="63" spans="1:253" ht="13" customHeight="1">
      <c r="A63" s="25">
        <f>ALLOCATION!A67</f>
        <v>208000</v>
      </c>
      <c r="B63" s="24" t="str">
        <f>ALLOCATION!C67</f>
        <v>Business Lic Surchg</v>
      </c>
      <c r="C63" s="40">
        <f>'ACTUAL EXP'!$G$13*(ALLOCATION!P67)</f>
        <v>0</v>
      </c>
      <c r="D63" s="40">
        <f>(SUM('ACTUAL EXP'!$G$15,'ACTUAL EXP'!$G$17:$G$19,'ACTUAL EXP'!$G$22))*ALLOCATION!P67</f>
        <v>0</v>
      </c>
      <c r="E63" s="176">
        <f>(('ACTUAL EXP'!$G$25)*(ALLOCATION!P67))</f>
        <v>0</v>
      </c>
      <c r="F63" s="40">
        <f>'ACTUAL EXP'!$G$28*ALLOCATION!P67</f>
        <v>0</v>
      </c>
      <c r="G63" s="40">
        <v>0</v>
      </c>
      <c r="H63" s="40">
        <f>SUM('ACTUAL EXP'!$G$30:$G$35)*ALLOCATION!P67</f>
        <v>0</v>
      </c>
      <c r="I63" s="40">
        <f>SUM('ACTUAL EXP'!$G$43:$G$47)*ALLOCATION!P67</f>
        <v>0</v>
      </c>
      <c r="J63" s="176">
        <f>(SUM('ACTUAL EXP'!$G$49:$G$50)*ALLOCATION!P67*0.5)+(SUM('ACTUAL EXP'!$G$49:$G$50)*ALLOCATION!P67*0.5)</f>
        <v>0</v>
      </c>
      <c r="K63" s="40">
        <f>SUM('ACTUAL EXP'!$G$52:$G$53)*ALLOCATION!P67</f>
        <v>0</v>
      </c>
      <c r="L63" s="40">
        <f>SUM('ACTUAL EXP'!$G$54:$G$54)*ALLOCATION!P67</f>
        <v>0</v>
      </c>
      <c r="M63" s="40">
        <f>SUM('ACTUAL EXP'!$G$21:$G$21)*ALLOCATION!P67</f>
        <v>0</v>
      </c>
      <c r="N63" s="176">
        <f>SUM('ACTUAL EXP'!$G$58:$G$62)*0.39*ALLOCATION!P67</f>
        <v>0</v>
      </c>
      <c r="O63" s="176">
        <f>SUM('ACTUAL EXP'!$G$58:$G$62)*0.27*ALLOCATION!P67</f>
        <v>0</v>
      </c>
      <c r="P63" s="176">
        <f>SUM('ACTUAL EXP'!$G$58:$G$62)*0.34*ALLOCATION!P67</f>
        <v>0</v>
      </c>
      <c r="Q63" s="40">
        <f>'ACTUAL EXP'!$G$85*ALLOCATION!P67</f>
        <v>0</v>
      </c>
      <c r="R63" s="40">
        <f>SUM('ACTUAL EXP'!$G$68:$G$73)*ALLOCATION!P67</f>
        <v>0</v>
      </c>
      <c r="S63" s="40">
        <f>SUM('ACTUAL EXP'!$G$75)*ALLOCATION!P67</f>
        <v>0</v>
      </c>
      <c r="T63" s="40">
        <f>SUM('ACTUAL EXP'!$G$77)*ALLOCATION!P67</f>
        <v>0</v>
      </c>
      <c r="U63" s="40">
        <f>SUM('ACTUAL EXP'!$G$79)*ALLOCATION!P67</f>
        <v>0</v>
      </c>
      <c r="V63" s="40">
        <f t="shared" si="0"/>
        <v>0</v>
      </c>
      <c r="W63" s="40">
        <f t="shared" si="16"/>
        <v>0</v>
      </c>
      <c r="X63" s="40">
        <f t="shared" si="2"/>
        <v>0</v>
      </c>
      <c r="Y63" s="40">
        <f t="shared" si="17"/>
        <v>0</v>
      </c>
      <c r="Z63" s="40">
        <f t="shared" si="18"/>
        <v>0</v>
      </c>
      <c r="AA63" s="40">
        <f t="shared" si="19"/>
        <v>0</v>
      </c>
      <c r="AB63" s="40">
        <f t="shared" si="20"/>
        <v>0</v>
      </c>
      <c r="AC63" s="40">
        <f t="shared" si="7"/>
        <v>0</v>
      </c>
      <c r="AD63" s="40">
        <f>SUM('ACTUAL EXP'!$G$37:$G$39)*ALLOCATION!P67</f>
        <v>0</v>
      </c>
      <c r="AE63" s="40">
        <f t="shared" si="8"/>
        <v>0</v>
      </c>
      <c r="AF63" s="40">
        <f>SUM('ACTUAL EXP'!$G$41)*ALLOCATION!P67</f>
        <v>0</v>
      </c>
      <c r="AG63" s="40">
        <f t="shared" si="9"/>
        <v>0</v>
      </c>
      <c r="AH63" s="40">
        <f>SUM('ACTUAL EXP'!$G$81)*ALLOCATION!P67</f>
        <v>0</v>
      </c>
      <c r="AI63" s="40">
        <f t="shared" si="10"/>
        <v>0</v>
      </c>
      <c r="AJ63" s="296">
        <f>SUM('ACTUAL EXP'!$G$83)*ALLOCATION!P67</f>
        <v>0</v>
      </c>
      <c r="AK63" s="40">
        <f t="shared" si="10"/>
        <v>0</v>
      </c>
      <c r="AL63" s="40">
        <f>SUM('ACTUAL EXP'!$G$64:$G$66)*ALLOCATION!P67</f>
        <v>0</v>
      </c>
      <c r="AM63" s="40">
        <f t="shared" si="11"/>
        <v>0</v>
      </c>
      <c r="AN63" s="40">
        <f t="shared" si="12"/>
        <v>0</v>
      </c>
      <c r="AO63" s="40"/>
      <c r="AP63" s="41" t="s">
        <v>351</v>
      </c>
      <c r="AQ63" s="83">
        <f t="shared" si="13"/>
        <v>0</v>
      </c>
      <c r="AR63" s="40"/>
      <c r="AS63" s="171">
        <f t="shared" si="14"/>
        <v>0</v>
      </c>
      <c r="AT63" s="40" t="s">
        <v>349</v>
      </c>
      <c r="AU63" s="171"/>
      <c r="AV63" s="33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</row>
    <row r="64" spans="1:253" ht="13" customHeight="1">
      <c r="A64" s="25">
        <f>ALLOCATION!A68</f>
        <v>207000</v>
      </c>
      <c r="B64" s="24" t="str">
        <f>ALLOCATION!C68</f>
        <v>Prvt Hire TR Safety</v>
      </c>
      <c r="C64" s="40">
        <f>'ACTUAL EXP'!$G$13*(ALLOCATION!P68)</f>
        <v>14.06927183654841</v>
      </c>
      <c r="D64" s="40">
        <f>(SUM('ACTUAL EXP'!$G$15,'ACTUAL EXP'!$G$17:$G$19,'ACTUAL EXP'!$G$22))*ALLOCATION!P68</f>
        <v>22.691541100065379</v>
      </c>
      <c r="E64" s="176">
        <f>(('ACTUAL EXP'!$G$25)*(ALLOCATION!P68))</f>
        <v>0</v>
      </c>
      <c r="F64" s="40">
        <f>'ACTUAL EXP'!$G$28*ALLOCATION!P68</f>
        <v>0</v>
      </c>
      <c r="G64" s="40">
        <v>0</v>
      </c>
      <c r="H64" s="40">
        <f>SUM('ACTUAL EXP'!$G$30:$G$35)*ALLOCATION!P68</f>
        <v>20.366272945113181</v>
      </c>
      <c r="I64" s="40">
        <f>SUM('ACTUAL EXP'!$G$43:$G$47)*ALLOCATION!P68</f>
        <v>12.301851294026449</v>
      </c>
      <c r="J64" s="176">
        <f>(SUM('ACTUAL EXP'!$G$49:$G$50)*ALLOCATION!P68*0.5)+(SUM('ACTUAL EXP'!$G$49:$G$50)*ALLOCATION!P68*0.5)</f>
        <v>5.9014198335646828</v>
      </c>
      <c r="K64" s="40">
        <f>SUM('ACTUAL EXP'!$G$52:$G$53)*ALLOCATION!P68</f>
        <v>6.2281273933607908</v>
      </c>
      <c r="L64" s="40">
        <f>SUM('ACTUAL EXP'!$G$54:$G$54)*ALLOCATION!P68</f>
        <v>0.84929009909465336</v>
      </c>
      <c r="M64" s="40">
        <f>SUM('ACTUAL EXP'!$G$21:$G$21)*ALLOCATION!P68</f>
        <v>0.26171142299488154</v>
      </c>
      <c r="N64" s="176">
        <f>SUM('ACTUAL EXP'!$G$58:$G$62)*0.39*ALLOCATION!P68</f>
        <v>4.1680921967888542</v>
      </c>
      <c r="O64" s="176">
        <f>SUM('ACTUAL EXP'!$G$58:$G$62)*0.27*ALLOCATION!P68</f>
        <v>2.8856022900845915</v>
      </c>
      <c r="P64" s="176">
        <f>SUM('ACTUAL EXP'!$G$58:$G$62)*0.34*ALLOCATION!P68</f>
        <v>3.6337214023287445</v>
      </c>
      <c r="Q64" s="40">
        <f>'ACTUAL EXP'!$G$85*ALLOCATION!P68</f>
        <v>5.5307527554323874</v>
      </c>
      <c r="R64" s="40">
        <f>SUM('ACTUAL EXP'!$G$68:$G$73)*ALLOCATION!P68</f>
        <v>15.085096186385989</v>
      </c>
      <c r="S64" s="40">
        <f>SUM('ACTUAL EXP'!$G$75)*ALLOCATION!P68</f>
        <v>2.1126176656938824</v>
      </c>
      <c r="T64" s="40">
        <f>SUM('ACTUAL EXP'!$G$77)*ALLOCATION!P68</f>
        <v>1.3871361824936819</v>
      </c>
      <c r="U64" s="40">
        <f>SUM('ACTUAL EXP'!$G$79)*ALLOCATION!P68</f>
        <v>2.1021893030663983</v>
      </c>
      <c r="V64" s="40">
        <f t="shared" si="0"/>
        <v>119.57469390704296</v>
      </c>
      <c r="W64" s="40">
        <f t="shared" si="16"/>
        <v>1.0769613450358375</v>
      </c>
      <c r="X64" s="40">
        <f t="shared" si="2"/>
        <v>0.78853929688272772</v>
      </c>
      <c r="Y64" s="40">
        <f t="shared" si="17"/>
        <v>2.5142564329405088</v>
      </c>
      <c r="Z64" s="40">
        <f t="shared" si="18"/>
        <v>1.0312469213455964</v>
      </c>
      <c r="AA64" s="40">
        <f t="shared" si="19"/>
        <v>0.40148242436048159</v>
      </c>
      <c r="AB64" s="40">
        <f t="shared" si="20"/>
        <v>0.87360272553815455</v>
      </c>
      <c r="AC64" s="40">
        <f t="shared" si="7"/>
        <v>126.26078305314627</v>
      </c>
      <c r="AD64" s="40">
        <f>SUM('ACTUAL EXP'!$G$37:$G$39)*ALLOCATION!P68</f>
        <v>2.4735531819354675</v>
      </c>
      <c r="AE64" s="40">
        <f t="shared" si="8"/>
        <v>0.13831017702545775</v>
      </c>
      <c r="AF64" s="40">
        <f>SUM('ACTUAL EXP'!$G$41)*ALLOCATION!P68</f>
        <v>0.74006054261630316</v>
      </c>
      <c r="AG64" s="40">
        <f t="shared" si="9"/>
        <v>4.1380919321381146E-2</v>
      </c>
      <c r="AH64" s="40">
        <f>SUM('ACTUAL EXP'!$G$81)*ALLOCATION!P68</f>
        <v>0.30826400207949889</v>
      </c>
      <c r="AI64" s="40">
        <f t="shared" si="10"/>
        <v>1.723676248789216E-2</v>
      </c>
      <c r="AJ64" s="296">
        <f>SUM('ACTUAL EXP'!$G$83)*ALLOCATION!P68</f>
        <v>2.2887558964082642</v>
      </c>
      <c r="AK64" s="40">
        <f t="shared" si="10"/>
        <v>0.12797712841273606</v>
      </c>
      <c r="AL64" s="40">
        <f>SUM('ACTUAL EXP'!$G$64:$G$66)*ALLOCATION!P68</f>
        <v>0.73907619179241824</v>
      </c>
      <c r="AM64" s="40">
        <f t="shared" si="11"/>
        <v>4.1325878767694647E-2</v>
      </c>
      <c r="AN64" s="40">
        <f t="shared" si="12"/>
        <v>133.17672373399341</v>
      </c>
      <c r="AO64" s="40"/>
      <c r="AP64" s="41"/>
      <c r="AQ64" s="83">
        <f t="shared" si="13"/>
        <v>133.17672373399341</v>
      </c>
      <c r="AR64" s="40"/>
      <c r="AS64" s="171">
        <f t="shared" si="14"/>
        <v>133.17672373399341</v>
      </c>
      <c r="AT64" s="40"/>
      <c r="AU64" s="171"/>
      <c r="AV64" s="33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</row>
    <row r="65" spans="1:253" ht="13" customHeight="1">
      <c r="A65" s="25">
        <f>ALLOCATION!A69</f>
        <v>100000</v>
      </c>
      <c r="B65" s="24" t="str">
        <f>ALLOCATION!C69</f>
        <v>Office of Neighborhood    Involvement</v>
      </c>
      <c r="C65" s="40">
        <f>'ACTUAL EXP'!$G$13*(ALLOCATION!P69)</f>
        <v>32527.684189876141</v>
      </c>
      <c r="D65" s="40">
        <f>(SUM('ACTUAL EXP'!$G$15,'ACTUAL EXP'!$G$17:$G$19,'ACTUAL EXP'!$G$22))*ALLOCATION!P69</f>
        <v>52462.081283205829</v>
      </c>
      <c r="E65" s="176">
        <f>(('ACTUAL EXP'!$G$25)*(ALLOCATION!P69))</f>
        <v>0</v>
      </c>
      <c r="F65" s="40">
        <f>'ACTUAL EXP'!$G$28*ALLOCATION!P69</f>
        <v>0</v>
      </c>
      <c r="G65" s="40">
        <v>0</v>
      </c>
      <c r="H65" s="40">
        <f>SUM('ACTUAL EXP'!$G$30:$G$35)*ALLOCATION!P69</f>
        <v>47086.139366682553</v>
      </c>
      <c r="I65" s="40">
        <f>SUM('ACTUAL EXP'!$G$43:$G$47)*ALLOCATION!P69</f>
        <v>28441.467226713256</v>
      </c>
      <c r="J65" s="176">
        <f>(SUM('ACTUAL EXP'!$G$49:$G$50)*ALLOCATION!P69*0.5)+(SUM('ACTUAL EXP'!$G$49:$G$50)*ALLOCATION!P69*0.5)</f>
        <v>13643.884548410042</v>
      </c>
      <c r="K65" s="40">
        <f>SUM('ACTUAL EXP'!$G$52:$G$53)*ALLOCATION!P69</f>
        <v>14399.221459300235</v>
      </c>
      <c r="L65" s="40">
        <f>SUM('ACTUAL EXP'!$G$54:$G$54)*ALLOCATION!P69</f>
        <v>1963.5301989954869</v>
      </c>
      <c r="M65" s="40">
        <f>SUM('ACTUAL EXP'!$G$21:$G$21)*ALLOCATION!P69</f>
        <v>605.06802448342216</v>
      </c>
      <c r="N65" s="176">
        <f>SUM('ACTUAL EXP'!$G$58:$G$62)*0.39*ALLOCATION!P69</f>
        <v>9636.4892388557437</v>
      </c>
      <c r="O65" s="176">
        <f>SUM('ACTUAL EXP'!$G$58:$G$62)*0.27*ALLOCATION!P69</f>
        <v>6671.4156269001305</v>
      </c>
      <c r="P65" s="176">
        <f>SUM('ACTUAL EXP'!$G$58:$G$62)*0.34*ALLOCATION!P69</f>
        <v>8401.041900540904</v>
      </c>
      <c r="Q65" s="40">
        <f>'ACTUAL EXP'!$G$85*ALLOCATION!P69</f>
        <v>12786.914706818769</v>
      </c>
      <c r="R65" s="40">
        <f>SUM('ACTUAL EXP'!$G$68:$G$73)*ALLOCATION!P69</f>
        <v>34876.235986143751</v>
      </c>
      <c r="S65" s="40">
        <f>SUM('ACTUAL EXP'!$G$75)*ALLOCATION!P69</f>
        <v>4884.301123895445</v>
      </c>
      <c r="T65" s="40">
        <f>SUM('ACTUAL EXP'!$G$77)*ALLOCATION!P69</f>
        <v>3207.0122886739373</v>
      </c>
      <c r="U65" s="40">
        <f>SUM('ACTUAL EXP'!$G$79)*ALLOCATION!P69</f>
        <v>4860.1910995739927</v>
      </c>
      <c r="V65" s="40">
        <f t="shared" si="0"/>
        <v>276452.67826906964</v>
      </c>
      <c r="W65" s="40">
        <f t="shared" si="16"/>
        <v>2489.8984768371683</v>
      </c>
      <c r="X65" s="40">
        <f t="shared" si="2"/>
        <v>1823.0763836460826</v>
      </c>
      <c r="Y65" s="40">
        <f t="shared" si="17"/>
        <v>5812.876471019772</v>
      </c>
      <c r="Z65" s="40">
        <f t="shared" si="18"/>
        <v>2384.2082638685379</v>
      </c>
      <c r="AA65" s="40">
        <f t="shared" si="19"/>
        <v>928.21388761988646</v>
      </c>
      <c r="AB65" s="40">
        <f t="shared" si="20"/>
        <v>2019.7401751739451</v>
      </c>
      <c r="AC65" s="40">
        <f t="shared" si="7"/>
        <v>291910.69192723499</v>
      </c>
      <c r="AD65" s="40">
        <f>SUM('ACTUAL EXP'!$G$37:$G$39)*ALLOCATION!P69</f>
        <v>5718.7719210775431</v>
      </c>
      <c r="AE65" s="40">
        <f t="shared" si="8"/>
        <v>319.76848630096993</v>
      </c>
      <c r="AF65" s="40">
        <f>SUM('ACTUAL EXP'!$G$41)*ALLOCATION!P69</f>
        <v>1710.9951311820796</v>
      </c>
      <c r="AG65" s="40">
        <f t="shared" si="9"/>
        <v>95.671296340724339</v>
      </c>
      <c r="AH65" s="40">
        <f>SUM('ACTUAL EXP'!$G$81)*ALLOCATION!P69</f>
        <v>712.69602458752377</v>
      </c>
      <c r="AI65" s="40">
        <f t="shared" si="10"/>
        <v>39.850816245200122</v>
      </c>
      <c r="AJ65" s="296">
        <f>SUM('ACTUAL EXP'!$G$83)*ALLOCATION!P69</f>
        <v>5291.5268004622667</v>
      </c>
      <c r="AK65" s="40">
        <f t="shared" si="10"/>
        <v>295.87882478201908</v>
      </c>
      <c r="AL65" s="40">
        <f>SUM('ACTUAL EXP'!$G$64:$G$66)*ALLOCATION!P69</f>
        <v>1708.7193451212688</v>
      </c>
      <c r="AM65" s="40">
        <f t="shared" si="11"/>
        <v>95.544044428276408</v>
      </c>
      <c r="AN65" s="40">
        <f t="shared" si="12"/>
        <v>307900.11461776291</v>
      </c>
      <c r="AO65" s="40"/>
      <c r="AP65" s="41"/>
      <c r="AQ65" s="83">
        <f t="shared" si="13"/>
        <v>307900.11461776291</v>
      </c>
      <c r="AR65" s="40"/>
      <c r="AS65" s="171">
        <f t="shared" si="14"/>
        <v>307900.11461776291</v>
      </c>
      <c r="AT65" s="40" t="s">
        <v>350</v>
      </c>
      <c r="AU65" s="171"/>
      <c r="AV65" s="33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</row>
    <row r="66" spans="1:253" ht="13" customHeight="1">
      <c r="A66" s="25">
        <f>ALLOCATION!A70</f>
        <v>100000</v>
      </c>
      <c r="B66" s="24" t="str">
        <f>ALLOCATION!C70</f>
        <v>General Services</v>
      </c>
      <c r="C66" s="40">
        <f>'ACTUAL EXP'!$G$13*(ALLOCATION!P70)</f>
        <v>803.84453859718133</v>
      </c>
      <c r="D66" s="40">
        <f>(SUM('ACTUAL EXP'!$G$15,'ACTUAL EXP'!$G$17:$G$19,'ACTUAL EXP'!$G$22))*ALLOCATION!P70</f>
        <v>1296.4758658125361</v>
      </c>
      <c r="E66" s="176">
        <f>(('ACTUAL EXP'!$G$25)*(ALLOCATION!P70))</f>
        <v>0</v>
      </c>
      <c r="F66" s="40">
        <f>'ACTUAL EXP'!$G$28*ALLOCATION!P70</f>
        <v>0</v>
      </c>
      <c r="G66" s="40">
        <v>0</v>
      </c>
      <c r="H66" s="40">
        <f>SUM('ACTUAL EXP'!$G$30:$G$35)*ALLOCATION!P70</f>
        <v>1163.622216466116</v>
      </c>
      <c r="I66" s="40">
        <f>SUM('ACTUAL EXP'!$G$43:$G$47)*ALLOCATION!P70</f>
        <v>702.86338143309513</v>
      </c>
      <c r="J66" s="176">
        <f>(SUM('ACTUAL EXP'!$G$49:$G$50)*ALLOCATION!P70*0.5)+(SUM('ACTUAL EXP'!$G$49:$G$50)*ALLOCATION!P70*0.5)</f>
        <v>337.17623472572348</v>
      </c>
      <c r="K66" s="40">
        <f>SUM('ACTUAL EXP'!$G$52:$G$53)*ALLOCATION!P70</f>
        <v>355.84259434344636</v>
      </c>
      <c r="L66" s="40">
        <f>SUM('ACTUAL EXP'!$G$54:$G$54)*ALLOCATION!P70</f>
        <v>48.523990137742693</v>
      </c>
      <c r="M66" s="40">
        <f>SUM('ACTUAL EXP'!$G$21:$G$21)*ALLOCATION!P70</f>
        <v>14.952820622630268</v>
      </c>
      <c r="N66" s="176">
        <f>SUM('ACTUAL EXP'!$G$58:$G$62)*0.39*ALLOCATION!P70</f>
        <v>238.1429677159625</v>
      </c>
      <c r="O66" s="176">
        <f>SUM('ACTUAL EXP'!$G$58:$G$62)*0.27*ALLOCATION!P70</f>
        <v>164.86820841874328</v>
      </c>
      <c r="P66" s="176">
        <f>SUM('ACTUAL EXP'!$G$58:$G$62)*0.34*ALLOCATION!P70</f>
        <v>207.61181800878779</v>
      </c>
      <c r="Q66" s="40">
        <f>'ACTUAL EXP'!$G$85*ALLOCATION!P70</f>
        <v>315.99825836305206</v>
      </c>
      <c r="R66" s="40">
        <f>SUM('ACTUAL EXP'!$G$68:$G$73)*ALLOCATION!P70</f>
        <v>861.88342399775638</v>
      </c>
      <c r="S66" s="40">
        <f>SUM('ACTUAL EXP'!$G$75)*ALLOCATION!P70</f>
        <v>120.70391363826072</v>
      </c>
      <c r="T66" s="40">
        <f>SUM('ACTUAL EXP'!$G$77)*ALLOCATION!P70</f>
        <v>79.253699661377823</v>
      </c>
      <c r="U66" s="40">
        <f>SUM('ACTUAL EXP'!$G$79)*ALLOCATION!P70</f>
        <v>120.10809159132026</v>
      </c>
      <c r="V66" s="40">
        <f t="shared" si="0"/>
        <v>6831.8720235337323</v>
      </c>
      <c r="W66" s="40">
        <f t="shared" si="16"/>
        <v>61.531933247493193</v>
      </c>
      <c r="X66" s="40">
        <f t="shared" si="2"/>
        <v>45.05300733630196</v>
      </c>
      <c r="Y66" s="40">
        <f t="shared" si="17"/>
        <v>143.65145017681914</v>
      </c>
      <c r="Z66" s="40">
        <f t="shared" si="18"/>
        <v>58.920050397731359</v>
      </c>
      <c r="AA66" s="40">
        <f t="shared" si="19"/>
        <v>22.938603924515807</v>
      </c>
      <c r="AB66" s="40">
        <f t="shared" si="20"/>
        <v>49.913086333523957</v>
      </c>
      <c r="AC66" s="40">
        <f t="shared" si="7"/>
        <v>7213.8801549501168</v>
      </c>
      <c r="AD66" s="40">
        <f>SUM('ACTUAL EXP'!$G$37:$G$39)*ALLOCATION!P70</f>
        <v>141.32587950026451</v>
      </c>
      <c r="AE66" s="40">
        <f t="shared" si="8"/>
        <v>7.9023194466615081</v>
      </c>
      <c r="AF66" s="40">
        <f>SUM('ACTUAL EXP'!$G$41)*ALLOCATION!P70</f>
        <v>42.283185108983304</v>
      </c>
      <c r="AG66" s="40">
        <f t="shared" si="9"/>
        <v>2.3642890964841414</v>
      </c>
      <c r="AH66" s="40">
        <f>SUM('ACTUAL EXP'!$G$81)*ALLOCATION!P70</f>
        <v>17.612591283793599</v>
      </c>
      <c r="AI66" s="40">
        <f t="shared" si="10"/>
        <v>0.98481837226254521</v>
      </c>
      <c r="AJ66" s="296">
        <f>SUM('ACTUAL EXP'!$G$83)*ALLOCATION!P70</f>
        <v>130.76753003879944</v>
      </c>
      <c r="AK66" s="40">
        <f t="shared" si="10"/>
        <v>7.3119431435455056</v>
      </c>
      <c r="AL66" s="40">
        <f>SUM('ACTUAL EXP'!$G$64:$G$66)*ALLOCATION!P70</f>
        <v>42.226944456088383</v>
      </c>
      <c r="AM66" s="40">
        <f t="shared" si="11"/>
        <v>2.3611443673896813</v>
      </c>
      <c r="AN66" s="40">
        <f t="shared" si="12"/>
        <v>7609.0207997643884</v>
      </c>
      <c r="AO66" s="40">
        <f>-AN66</f>
        <v>-7609.0207997643884</v>
      </c>
      <c r="AP66" s="41" t="s">
        <v>0</v>
      </c>
      <c r="AQ66" s="83">
        <f t="shared" si="13"/>
        <v>0</v>
      </c>
      <c r="AR66" s="40"/>
      <c r="AS66" s="171">
        <f t="shared" si="14"/>
        <v>0</v>
      </c>
      <c r="AT66" s="40" t="s">
        <v>352</v>
      </c>
      <c r="AU66" s="171"/>
      <c r="AV66" s="33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</row>
    <row r="67" spans="1:253" ht="13" customHeight="1">
      <c r="A67" s="25">
        <f>ALLOCATION!A71</f>
        <v>100000</v>
      </c>
      <c r="B67" s="24" t="str">
        <f>ALLOCATION!C71</f>
        <v>Utility Billing Sys Implent</v>
      </c>
      <c r="C67" s="40">
        <f>'ACTUAL EXP'!$G$13*(ALLOCATION!P71)</f>
        <v>4298.5798550670597</v>
      </c>
      <c r="D67" s="40">
        <f>(SUM('ACTUAL EXP'!$G$15,'ACTUAL EXP'!$G$17:$G$19,'ACTUAL EXP'!$G$22))*ALLOCATION!P71</f>
        <v>6932.9388604020978</v>
      </c>
      <c r="E67" s="176">
        <f>(('ACTUAL EXP'!$G$25)*(ALLOCATION!P71))</f>
        <v>0</v>
      </c>
      <c r="F67" s="40">
        <f>'ACTUAL EXP'!$G$28*ALLOCATION!P71</f>
        <v>0</v>
      </c>
      <c r="G67" s="40">
        <v>0</v>
      </c>
      <c r="H67" s="40">
        <f>SUM('ACTUAL EXP'!$G$30:$G$35)*ALLOCATION!P71</f>
        <v>6222.5004692309867</v>
      </c>
      <c r="I67" s="40">
        <f>SUM('ACTUAL EXP'!$G$43:$G$47)*ALLOCATION!P71</f>
        <v>3758.5804558244859</v>
      </c>
      <c r="J67" s="176">
        <f>(SUM('ACTUAL EXP'!$G$49:$G$50)*ALLOCATION!P71*0.5)+(SUM('ACTUAL EXP'!$G$49:$G$50)*ALLOCATION!P71*0.5)</f>
        <v>1803.0588013059364</v>
      </c>
      <c r="K67" s="40">
        <f>SUM('ACTUAL EXP'!$G$52:$G$53)*ALLOCATION!P71</f>
        <v>1902.8776513042317</v>
      </c>
      <c r="L67" s="40">
        <f>SUM('ACTUAL EXP'!$G$54:$G$54)*ALLOCATION!P71</f>
        <v>259.4833160869407</v>
      </c>
      <c r="M67" s="40">
        <f>SUM('ACTUAL EXP'!$G$21:$G$21)*ALLOCATION!P71</f>
        <v>79.96060235358442</v>
      </c>
      <c r="N67" s="176">
        <f>SUM('ACTUAL EXP'!$G$58:$G$62)*0.39*ALLOCATION!P71</f>
        <v>1273.4757959992826</v>
      </c>
      <c r="O67" s="176">
        <f>SUM('ACTUAL EXP'!$G$58:$G$62)*0.27*ALLOCATION!P71</f>
        <v>881.63708953796493</v>
      </c>
      <c r="P67" s="176">
        <f>SUM('ACTUAL EXP'!$G$58:$G$62)*0.34*ALLOCATION!P71</f>
        <v>1110.2096683070667</v>
      </c>
      <c r="Q67" s="40">
        <f>'ACTUAL EXP'!$G$85*ALLOCATION!P71</f>
        <v>1689.8090145716326</v>
      </c>
      <c r="R67" s="40">
        <f>SUM('ACTUAL EXP'!$G$68:$G$73)*ALLOCATION!P71</f>
        <v>4608.9443243322767</v>
      </c>
      <c r="S67" s="40">
        <f>SUM('ACTUAL EXP'!$G$75)*ALLOCATION!P71</f>
        <v>645.4673592715518</v>
      </c>
      <c r="T67" s="40">
        <f>SUM('ACTUAL EXP'!$G$77)*ALLOCATION!P71</f>
        <v>423.8112476306228</v>
      </c>
      <c r="U67" s="40">
        <f>SUM('ACTUAL EXP'!$G$79)*ALLOCATION!P71</f>
        <v>642.28118517294729</v>
      </c>
      <c r="V67" s="40">
        <f t="shared" si="0"/>
        <v>36533.615696398672</v>
      </c>
      <c r="W67" s="40">
        <f t="shared" si="16"/>
        <v>329.04363468413152</v>
      </c>
      <c r="X67" s="40">
        <f t="shared" si="2"/>
        <v>240.92214408022994</v>
      </c>
      <c r="Y67" s="40">
        <f t="shared" si="17"/>
        <v>768.17991568228013</v>
      </c>
      <c r="Z67" s="40">
        <f t="shared" si="18"/>
        <v>315.07652231017101</v>
      </c>
      <c r="AA67" s="40">
        <f t="shared" si="19"/>
        <v>122.66478902172089</v>
      </c>
      <c r="AB67" s="40">
        <f t="shared" si="20"/>
        <v>266.9115446028128</v>
      </c>
      <c r="AC67" s="40">
        <f t="shared" si="7"/>
        <v>38576.414246780019</v>
      </c>
      <c r="AD67" s="40">
        <f>SUM('ACTUAL EXP'!$G$37:$G$39)*ALLOCATION!P71</f>
        <v>755.74386520015833</v>
      </c>
      <c r="AE67" s="40">
        <f t="shared" si="8"/>
        <v>42.257861502678047</v>
      </c>
      <c r="AF67" s="40">
        <f>SUM('ACTUAL EXP'!$G$41)*ALLOCATION!P71</f>
        <v>226.11044672237128</v>
      </c>
      <c r="AG67" s="40">
        <f t="shared" si="9"/>
        <v>12.643098253099291</v>
      </c>
      <c r="AH67" s="40">
        <f>SUM('ACTUAL EXP'!$G$81)*ALLOCATION!P71</f>
        <v>94.18379606107375</v>
      </c>
      <c r="AI67" s="40">
        <f t="shared" si="10"/>
        <v>5.2663422000669842</v>
      </c>
      <c r="AJ67" s="296">
        <f>SUM('ACTUAL EXP'!$G$83)*ALLOCATION!P71</f>
        <v>699.28281319498274</v>
      </c>
      <c r="AK67" s="40">
        <f t="shared" si="10"/>
        <v>39.100808662694611</v>
      </c>
      <c r="AL67" s="40">
        <f>SUM('ACTUAL EXP'!$G$64:$G$66)*ALLOCATION!P71</f>
        <v>225.80969834882157</v>
      </c>
      <c r="AM67" s="40">
        <f t="shared" si="11"/>
        <v>12.626281731388911</v>
      </c>
      <c r="AN67" s="40">
        <f t="shared" si="12"/>
        <v>40689.439258657359</v>
      </c>
      <c r="AO67" s="40"/>
      <c r="AP67" s="41" t="s">
        <v>540</v>
      </c>
      <c r="AQ67" s="83">
        <f t="shared" si="13"/>
        <v>40689.439258657359</v>
      </c>
      <c r="AR67" s="40"/>
      <c r="AS67" s="171">
        <f t="shared" si="14"/>
        <v>40689.439258657359</v>
      </c>
      <c r="AT67" s="40"/>
      <c r="AU67" s="171"/>
      <c r="AV67" s="33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</row>
    <row r="68" spans="1:253" ht="13" customHeight="1">
      <c r="A68" s="25">
        <f>ALLOCATION!A72</f>
        <v>703000</v>
      </c>
      <c r="B68" s="24" t="str">
        <f>ALLOCATION!C72</f>
        <v>P&amp;D Srvcs Operating</v>
      </c>
      <c r="C68" s="40">
        <f>'ACTUAL EXP'!$G$13*(ALLOCATION!P72)</f>
        <v>26899.634673951652</v>
      </c>
      <c r="D68" s="40">
        <f>(SUM('ACTUAL EXP'!$G$15,'ACTUAL EXP'!$G$17:$G$19,'ACTUAL EXP'!$G$22))*ALLOCATION!P72</f>
        <v>43384.915216085879</v>
      </c>
      <c r="E68" s="176">
        <f>(('ACTUAL EXP'!$G$25)*(ALLOCATION!P72))</f>
        <v>0</v>
      </c>
      <c r="F68" s="40">
        <f>'ACTUAL EXP'!$G$28*ALLOCATION!P72</f>
        <v>0</v>
      </c>
      <c r="G68" s="40">
        <v>0</v>
      </c>
      <c r="H68" s="40">
        <f>SUM('ACTUAL EXP'!$G$30:$G$35)*ALLOCATION!P72</f>
        <v>38939.136883428917</v>
      </c>
      <c r="I68" s="40">
        <f>SUM('ACTUAL EXP'!$G$43:$G$47)*ALLOCATION!P72</f>
        <v>23520.428737680406</v>
      </c>
      <c r="J68" s="176">
        <f>(SUM('ACTUAL EXP'!$G$49:$G$50)*ALLOCATION!P72*0.5)+(SUM('ACTUAL EXP'!$G$49:$G$50)*ALLOCATION!P72*0.5)</f>
        <v>11283.173672721317</v>
      </c>
      <c r="K68" s="40">
        <f>SUM('ACTUAL EXP'!$G$52:$G$53)*ALLOCATION!P72</f>
        <v>11907.81964628931</v>
      </c>
      <c r="L68" s="40">
        <f>SUM('ACTUAL EXP'!$G$54:$G$54)*ALLOCATION!P72</f>
        <v>1623.7935881303606</v>
      </c>
      <c r="M68" s="40">
        <f>SUM('ACTUAL EXP'!$G$21:$G$21)*ALLOCATION!P72</f>
        <v>500.37711619689901</v>
      </c>
      <c r="N68" s="176">
        <f>SUM('ACTUAL EXP'!$G$58:$G$62)*0.39*ALLOCATION!P72</f>
        <v>7969.151401972983</v>
      </c>
      <c r="O68" s="176">
        <f>SUM('ACTUAL EXP'!$G$58:$G$62)*0.27*ALLOCATION!P72</f>
        <v>5517.1048167505269</v>
      </c>
      <c r="P68" s="176">
        <f>SUM('ACTUAL EXP'!$G$58:$G$62)*0.34*ALLOCATION!P72</f>
        <v>6947.4653247969591</v>
      </c>
      <c r="Q68" s="40">
        <f>'ACTUAL EXP'!$G$85*ALLOCATION!P72</f>
        <v>10574.47964055981</v>
      </c>
      <c r="R68" s="40">
        <f>SUM('ACTUAL EXP'!$G$68:$G$73)*ALLOCATION!P72</f>
        <v>28841.832125318761</v>
      </c>
      <c r="S68" s="40">
        <f>SUM('ACTUAL EXP'!$G$75)*ALLOCATION!P72</f>
        <v>4039.2028864831163</v>
      </c>
      <c r="T68" s="40">
        <f>SUM('ACTUAL EXP'!$G$77)*ALLOCATION!P72</f>
        <v>2652.1242169171151</v>
      </c>
      <c r="U68" s="40">
        <f>SUM('ACTUAL EXP'!$G$79)*ALLOCATION!P72</f>
        <v>4019.2644598050497</v>
      </c>
      <c r="V68" s="40">
        <f t="shared" si="0"/>
        <v>228619.90440708908</v>
      </c>
      <c r="W68" s="40">
        <f t="shared" si="16"/>
        <v>2059.0878530170435</v>
      </c>
      <c r="X68" s="40">
        <f t="shared" si="2"/>
        <v>1507.6415651518068</v>
      </c>
      <c r="Y68" s="40">
        <f t="shared" si="17"/>
        <v>4807.1129983458122</v>
      </c>
      <c r="Z68" s="40">
        <f t="shared" si="18"/>
        <v>1971.6845168043428</v>
      </c>
      <c r="AA68" s="40">
        <f t="shared" si="19"/>
        <v>767.61119329960002</v>
      </c>
      <c r="AB68" s="40">
        <f t="shared" si="20"/>
        <v>1670.2779248389249</v>
      </c>
      <c r="AC68" s="40">
        <f t="shared" si="7"/>
        <v>241403.3204585466</v>
      </c>
      <c r="AD68" s="40">
        <f>SUM('ACTUAL EXP'!$G$37:$G$39)*ALLOCATION!P72</f>
        <v>4729.2907347064456</v>
      </c>
      <c r="AE68" s="40">
        <f t="shared" si="8"/>
        <v>264.44106538687339</v>
      </c>
      <c r="AF68" s="40">
        <f>SUM('ACTUAL EXP'!$G$41)*ALLOCATION!P72</f>
        <v>1414.9529886309183</v>
      </c>
      <c r="AG68" s="40">
        <f t="shared" si="9"/>
        <v>79.117926297065765</v>
      </c>
      <c r="AH68" s="40">
        <f>SUM('ACTUAL EXP'!$G$81)*ALLOCATION!P72</f>
        <v>589.38295708579471</v>
      </c>
      <c r="AI68" s="40">
        <f t="shared" si="10"/>
        <v>32.955693746814589</v>
      </c>
      <c r="AJ68" s="296">
        <f>SUM('ACTUAL EXP'!$G$83)*ALLOCATION!P72</f>
        <v>4375.969004401516</v>
      </c>
      <c r="AK68" s="40">
        <f t="shared" si="10"/>
        <v>244.68487359673833</v>
      </c>
      <c r="AL68" s="40">
        <f>SUM('ACTUAL EXP'!$G$64:$G$66)*ALLOCATION!P72</f>
        <v>1413.0709667422857</v>
      </c>
      <c r="AM68" s="40">
        <f t="shared" si="11"/>
        <v>79.012691939266745</v>
      </c>
      <c r="AN68" s="40">
        <f t="shared" si="12"/>
        <v>254626.19936108033</v>
      </c>
      <c r="AO68" s="40">
        <f>-AO66*0.101</f>
        <v>768.51110077620331</v>
      </c>
      <c r="AP68" s="41" t="s">
        <v>1</v>
      </c>
      <c r="AQ68" s="83">
        <f t="shared" si="13"/>
        <v>255394.71046185654</v>
      </c>
      <c r="AR68" s="40"/>
      <c r="AS68" s="171">
        <f t="shared" si="14"/>
        <v>255394.71046185654</v>
      </c>
      <c r="AT68" s="40" t="s">
        <v>354</v>
      </c>
      <c r="AU68" s="171"/>
      <c r="AV68" s="33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</row>
    <row r="69" spans="1:253" ht="13" customHeight="1">
      <c r="A69" s="25">
        <f>ALLOCATION!A73</f>
        <v>100000</v>
      </c>
      <c r="B69" s="24" t="str">
        <f>ALLOCATION!C73</f>
        <v>Office of Equity &amp; Human Rights</v>
      </c>
      <c r="C69" s="40">
        <f>'ACTUAL EXP'!$G$13*(ALLOCATION!P73)</f>
        <v>531.05514604519055</v>
      </c>
      <c r="D69" s="40">
        <f>(SUM('ACTUAL EXP'!$G$15,'ACTUAL EXP'!$G$17:$G$19,'ACTUAL EXP'!$G$22))*ALLOCATION!P73</f>
        <v>856.5091223542654</v>
      </c>
      <c r="E69" s="176">
        <f>(('ACTUAL EXP'!$G$25)*(ALLOCATION!P73))</f>
        <v>0</v>
      </c>
      <c r="F69" s="40">
        <f>'ACTUAL EXP'!$G$28*ALLOCATION!P73</f>
        <v>0</v>
      </c>
      <c r="G69" s="40">
        <v>0</v>
      </c>
      <c r="H69" s="40">
        <f>SUM('ACTUAL EXP'!$G$30:$G$35)*ALLOCATION!P73</f>
        <v>768.74014369152087</v>
      </c>
      <c r="I69" s="40">
        <f>SUM('ACTUAL EXP'!$G$43:$G$47)*ALLOCATION!P73</f>
        <v>464.34254106914398</v>
      </c>
      <c r="J69" s="176">
        <f>(SUM('ACTUAL EXP'!$G$49:$G$50)*ALLOCATION!P73*0.5)+(SUM('ACTUAL EXP'!$G$49:$G$50)*ALLOCATION!P73*0.5)</f>
        <v>222.75348774244242</v>
      </c>
      <c r="K69" s="40">
        <f>SUM('ACTUAL EXP'!$G$52:$G$53)*ALLOCATION!P73</f>
        <v>235.08530796009444</v>
      </c>
      <c r="L69" s="40">
        <f>SUM('ACTUAL EXP'!$G$54:$G$54)*ALLOCATION!P73</f>
        <v>32.05708744910379</v>
      </c>
      <c r="M69" s="40">
        <f>SUM('ACTUAL EXP'!$G$21:$G$21)*ALLOCATION!P73</f>
        <v>9.878492616739285</v>
      </c>
      <c r="N69" s="176">
        <f>SUM('ACTUAL EXP'!$G$58:$G$62)*0.39*ALLOCATION!P73</f>
        <v>157.32774489049567</v>
      </c>
      <c r="O69" s="176">
        <f>SUM('ACTUAL EXP'!$G$58:$G$62)*0.27*ALLOCATION!P73</f>
        <v>108.91920800111239</v>
      </c>
      <c r="P69" s="176">
        <f>SUM('ACTUAL EXP'!$G$58:$G$62)*0.34*ALLOCATION!P73</f>
        <v>137.15752118658597</v>
      </c>
      <c r="Q69" s="40">
        <f>'ACTUAL EXP'!$G$85*ALLOCATION!P73</f>
        <v>208.76238275857696</v>
      </c>
      <c r="R69" s="40">
        <f>SUM('ACTUAL EXP'!$G$68:$G$73)*ALLOCATION!P73</f>
        <v>569.39819284437726</v>
      </c>
      <c r="S69" s="40">
        <f>SUM('ACTUAL EXP'!$G$75)*ALLOCATION!P73</f>
        <v>79.74232753668592</v>
      </c>
      <c r="T69" s="40">
        <f>SUM('ACTUAL EXP'!$G$77)*ALLOCATION!P73</f>
        <v>52.358488522848127</v>
      </c>
      <c r="U69" s="40">
        <f>SUM('ACTUAL EXP'!$G$79)*ALLOCATION!P73</f>
        <v>79.34870122094695</v>
      </c>
      <c r="V69" s="40">
        <f t="shared" si="0"/>
        <v>4513.4358958901294</v>
      </c>
      <c r="W69" s="40">
        <f t="shared" si="16"/>
        <v>40.650708225518308</v>
      </c>
      <c r="X69" s="40">
        <f t="shared" si="2"/>
        <v>29.764003164726827</v>
      </c>
      <c r="Y69" s="40">
        <f t="shared" si="17"/>
        <v>94.902481997806518</v>
      </c>
      <c r="Z69" s="40">
        <f t="shared" si="18"/>
        <v>38.925183249440479</v>
      </c>
      <c r="AA69" s="40">
        <f t="shared" si="19"/>
        <v>15.154253182419067</v>
      </c>
      <c r="AB69" s="40">
        <f t="shared" si="20"/>
        <v>32.974785645335615</v>
      </c>
      <c r="AC69" s="40">
        <f t="shared" si="7"/>
        <v>4765.8073113553764</v>
      </c>
      <c r="AD69" s="40">
        <f>SUM('ACTUAL EXP'!$G$37:$G$39)*ALLOCATION!P73</f>
        <v>93.366107467687314</v>
      </c>
      <c r="AE69" s="40">
        <f t="shared" si="8"/>
        <v>5.220620662754218</v>
      </c>
      <c r="AF69" s="40">
        <f>SUM('ACTUAL EXP'!$G$41)*ALLOCATION!P73</f>
        <v>27.9341364718276</v>
      </c>
      <c r="AG69" s="40">
        <f t="shared" si="9"/>
        <v>1.5619536255325872</v>
      </c>
      <c r="AH69" s="40">
        <f>SUM('ACTUAL EXP'!$G$81)*ALLOCATION!P73</f>
        <v>11.635654392542087</v>
      </c>
      <c r="AI69" s="40">
        <f t="shared" si="10"/>
        <v>0.65061444022816506</v>
      </c>
      <c r="AJ69" s="296">
        <f>SUM('ACTUAL EXP'!$G$83)*ALLOCATION!P73</f>
        <v>86.390796265051563</v>
      </c>
      <c r="AK69" s="40">
        <f t="shared" si="10"/>
        <v>4.8305920455043863</v>
      </c>
      <c r="AL69" s="40">
        <f>SUM('ACTUAL EXP'!$G$64:$G$66)*ALLOCATION!P73</f>
        <v>27.896981416710961</v>
      </c>
      <c r="AM69" s="40">
        <f t="shared" si="11"/>
        <v>1.5598760788325183</v>
      </c>
      <c r="AN69" s="40">
        <f t="shared" si="12"/>
        <v>5026.8546442220486</v>
      </c>
      <c r="AO69" s="40"/>
      <c r="AP69" s="41"/>
      <c r="AQ69" s="83">
        <f t="shared" si="13"/>
        <v>5026.8546442220486</v>
      </c>
      <c r="AR69" s="40"/>
      <c r="AS69" s="171">
        <f t="shared" si="14"/>
        <v>5026.8546442220486</v>
      </c>
      <c r="AT69" s="40" t="s">
        <v>356</v>
      </c>
      <c r="AU69" s="171"/>
      <c r="AV69" s="33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</row>
    <row r="70" spans="1:253" ht="13" customHeight="1">
      <c r="A70" s="25">
        <f>ALLOCATION!A74</f>
        <v>100000</v>
      </c>
      <c r="B70" s="24" t="str">
        <f>ALLOCATION!C74</f>
        <v>Revenue Bureau</v>
      </c>
      <c r="C70" s="40">
        <f>'ACTUAL EXP'!$G$13*(ALLOCATION!P74)</f>
        <v>43173.96957694205</v>
      </c>
      <c r="D70" s="40">
        <f>(SUM('ACTUAL EXP'!$G$15,'ACTUAL EXP'!$G$17:$G$19,'ACTUAL EXP'!$G$22))*ALLOCATION!P74</f>
        <v>69632.879120522906</v>
      </c>
      <c r="E70" s="176">
        <f>(('ACTUAL EXP'!$G$25)*(ALLOCATION!P74))</f>
        <v>0</v>
      </c>
      <c r="F70" s="40">
        <f>'ACTUAL EXP'!$G$28*ALLOCATION!P74</f>
        <v>0</v>
      </c>
      <c r="G70" s="40">
        <v>0</v>
      </c>
      <c r="H70" s="40">
        <f>SUM('ACTUAL EXP'!$G$30:$G$35)*ALLOCATION!P74</f>
        <v>62497.395653685075</v>
      </c>
      <c r="I70" s="40">
        <f>SUM('ACTUAL EXP'!$G$43:$G$47)*ALLOCATION!P74</f>
        <v>37750.337023743348</v>
      </c>
      <c r="J70" s="176">
        <f>(SUM('ACTUAL EXP'!$G$49:$G$50)*ALLOCATION!P74*0.5)+(SUM('ACTUAL EXP'!$G$49:$G$50)*ALLOCATION!P74*0.5)</f>
        <v>18109.517202817133</v>
      </c>
      <c r="K70" s="40">
        <f>SUM('ACTUAL EXP'!$G$52:$G$53)*ALLOCATION!P74</f>
        <v>19112.075289053853</v>
      </c>
      <c r="L70" s="40">
        <f>SUM('ACTUAL EXP'!$G$54:$G$54)*ALLOCATION!P74</f>
        <v>2606.1920848709801</v>
      </c>
      <c r="M70" s="40">
        <f>SUM('ACTUAL EXP'!$G$21:$G$21)*ALLOCATION!P74</f>
        <v>803.1063117969594</v>
      </c>
      <c r="N70" s="176">
        <f>SUM('ACTUAL EXP'!$G$58:$G$62)*0.39*ALLOCATION!P74</f>
        <v>12790.504568301747</v>
      </c>
      <c r="O70" s="176">
        <f>SUM('ACTUAL EXP'!$G$58:$G$62)*0.27*ALLOCATION!P74</f>
        <v>8854.9647011319794</v>
      </c>
      <c r="P70" s="176">
        <f>SUM('ACTUAL EXP'!$G$58:$G$62)*0.34*ALLOCATION!P74</f>
        <v>11150.696290314343</v>
      </c>
      <c r="Q70" s="40">
        <f>'ACTUAL EXP'!$G$85*ALLOCATION!P74</f>
        <v>16972.061807799069</v>
      </c>
      <c r="R70" s="40">
        <f>SUM('ACTUAL EXP'!$G$68:$G$73)*ALLOCATION!P74</f>
        <v>46291.200524280401</v>
      </c>
      <c r="S70" s="40">
        <f>SUM('ACTUAL EXP'!$G$75)*ALLOCATION!P74</f>
        <v>6482.9290304447213</v>
      </c>
      <c r="T70" s="40">
        <f>SUM('ACTUAL EXP'!$G$77)*ALLOCATION!P74</f>
        <v>4256.6648820078535</v>
      </c>
      <c r="U70" s="40">
        <f>SUM('ACTUAL EXP'!$G$79)*ALLOCATION!P74</f>
        <v>6450.9278141737605</v>
      </c>
      <c r="V70" s="40">
        <f t="shared" si="0"/>
        <v>366935.42188188608</v>
      </c>
      <c r="W70" s="40">
        <f t="shared" si="16"/>
        <v>3304.8402850055954</v>
      </c>
      <c r="X70" s="40">
        <f t="shared" si="2"/>
        <v>2419.76784650642</v>
      </c>
      <c r="Y70" s="40">
        <f t="shared" si="17"/>
        <v>7715.4263564954244</v>
      </c>
      <c r="Z70" s="40">
        <f t="shared" si="18"/>
        <v>3164.5577486697198</v>
      </c>
      <c r="AA70" s="40">
        <f t="shared" si="19"/>
        <v>1232.0175611354728</v>
      </c>
      <c r="AB70" s="40">
        <f t="shared" si="20"/>
        <v>2680.7995419307331</v>
      </c>
      <c r="AC70" s="40">
        <f t="shared" si="7"/>
        <v>387452.8312216294</v>
      </c>
      <c r="AD70" s="40">
        <f>SUM('ACTUAL EXP'!$G$37:$G$39)*ALLOCATION!P74</f>
        <v>7590.5214615591258</v>
      </c>
      <c r="AE70" s="40">
        <f t="shared" si="8"/>
        <v>424.42845972784443</v>
      </c>
      <c r="AF70" s="40">
        <f>SUM('ACTUAL EXP'!$G$41)*ALLOCATION!P74</f>
        <v>2271.0024884877103</v>
      </c>
      <c r="AG70" s="40">
        <f t="shared" si="9"/>
        <v>126.98443619563336</v>
      </c>
      <c r="AH70" s="40">
        <f>SUM('ACTUAL EXP'!$G$81)*ALLOCATION!P74</f>
        <v>945.96087146978846</v>
      </c>
      <c r="AI70" s="40">
        <f t="shared" si="10"/>
        <v>52.893956979638567</v>
      </c>
      <c r="AJ70" s="296">
        <f>SUM('ACTUAL EXP'!$G$83)*ALLOCATION!P74</f>
        <v>7023.4393498518939</v>
      </c>
      <c r="AK70" s="40">
        <f t="shared" si="10"/>
        <v>392.7197308308871</v>
      </c>
      <c r="AL70" s="40">
        <f>SUM('ACTUAL EXP'!$G$64:$G$66)*ALLOCATION!P74</f>
        <v>2267.9818394436679</v>
      </c>
      <c r="AM70" s="40">
        <f t="shared" si="11"/>
        <v>126.81553483258017</v>
      </c>
      <c r="AN70" s="40">
        <f t="shared" si="12"/>
        <v>408675.57935100817</v>
      </c>
      <c r="AO70" s="39">
        <f>-AN70*0</f>
        <v>0</v>
      </c>
      <c r="AP70" s="41"/>
      <c r="AQ70" s="83">
        <f t="shared" si="13"/>
        <v>408675.57935100817</v>
      </c>
      <c r="AR70" s="40"/>
      <c r="AS70" s="171">
        <f t="shared" si="14"/>
        <v>408675.57935100817</v>
      </c>
      <c r="AT70" s="40" t="s">
        <v>357</v>
      </c>
      <c r="AU70" s="171"/>
      <c r="AV70" s="33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</row>
    <row r="71" spans="1:253" ht="13" customHeight="1">
      <c r="A71" s="25">
        <f>ALLOCATION!A75</f>
        <v>100000</v>
      </c>
      <c r="B71" s="24" t="str">
        <f>ALLOCATION!C75</f>
        <v>Special Appropriations</v>
      </c>
      <c r="C71" s="40">
        <f>'ACTUAL EXP'!$G$13*(ALLOCATION!P75)</f>
        <v>28508.643251226284</v>
      </c>
      <c r="D71" s="40">
        <f>(SUM('ACTUAL EXP'!$G$15,'ACTUAL EXP'!$G$17:$G$19,'ACTUAL EXP'!$G$22))*ALLOCATION!P75</f>
        <v>45979.995095539125</v>
      </c>
      <c r="E71" s="176">
        <f>(('ACTUAL EXP'!$G$25)*(ALLOCATION!P75))</f>
        <v>0</v>
      </c>
      <c r="F71" s="40">
        <f>'ACTUAL EXP'!$G$28*ALLOCATION!P75</f>
        <v>0</v>
      </c>
      <c r="G71" s="40">
        <v>0</v>
      </c>
      <c r="H71" s="40">
        <f>SUM('ACTUAL EXP'!$G$30:$G$35)*ALLOCATION!P75</f>
        <v>41268.291386697274</v>
      </c>
      <c r="I71" s="40">
        <f>SUM('ACTUAL EXP'!$G$43:$G$47)*ALLOCATION!P75</f>
        <v>24927.309241405292</v>
      </c>
      <c r="J71" s="176">
        <f>(SUM('ACTUAL EXP'!$G$49:$G$50)*ALLOCATION!P75*0.5)+(SUM('ACTUAL EXP'!$G$49:$G$50)*ALLOCATION!P75*0.5)</f>
        <v>11958.079612461388</v>
      </c>
      <c r="K71" s="40">
        <f>SUM('ACTUAL EXP'!$G$52:$G$53)*ALLOCATION!P75</f>
        <v>12620.088945844976</v>
      </c>
      <c r="L71" s="40">
        <f>SUM('ACTUAL EXP'!$G$54:$G$54)*ALLOCATION!P75</f>
        <v>1720.9212198879516</v>
      </c>
      <c r="M71" s="40">
        <f>SUM('ACTUAL EXP'!$G$21:$G$21)*ALLOCATION!P75</f>
        <v>530.30730229761912</v>
      </c>
      <c r="N71" s="176">
        <f>SUM('ACTUAL EXP'!$G$58:$G$62)*0.39*ALLOCATION!P75</f>
        <v>8445.8282459076454</v>
      </c>
      <c r="O71" s="176">
        <f>SUM('ACTUAL EXP'!$G$58:$G$62)*0.27*ALLOCATION!P75</f>
        <v>5847.1118625514473</v>
      </c>
      <c r="P71" s="176">
        <f>SUM('ACTUAL EXP'!$G$58:$G$62)*0.34*ALLOCATION!P75</f>
        <v>7363.0297528425626</v>
      </c>
      <c r="Q71" s="40">
        <f>'ACTUAL EXP'!$G$85*ALLOCATION!P75</f>
        <v>11206.994864209024</v>
      </c>
      <c r="R71" s="40">
        <f>SUM('ACTUAL EXP'!$G$68:$G$73)*ALLOCATION!P75</f>
        <v>30567.013743450214</v>
      </c>
      <c r="S71" s="40">
        <f>SUM('ACTUAL EXP'!$G$75)*ALLOCATION!P75</f>
        <v>4280.8088476227003</v>
      </c>
      <c r="T71" s="40">
        <f>SUM('ACTUAL EXP'!$G$77)*ALLOCATION!P75</f>
        <v>2810.7617101299743</v>
      </c>
      <c r="U71" s="40">
        <f>SUM('ACTUAL EXP'!$G$79)*ALLOCATION!P75</f>
        <v>4259.677798816816</v>
      </c>
      <c r="V71" s="40">
        <f t="shared" si="0"/>
        <v>242294.86288089029</v>
      </c>
      <c r="W71" s="40">
        <f t="shared" si="16"/>
        <v>2182.2527233591181</v>
      </c>
      <c r="X71" s="40">
        <f t="shared" si="2"/>
        <v>1597.8215337345789</v>
      </c>
      <c r="Y71" s="40">
        <f t="shared" si="17"/>
        <v>5094.6517006374334</v>
      </c>
      <c r="Z71" s="40">
        <f t="shared" si="18"/>
        <v>2089.6213340760596</v>
      </c>
      <c r="AA71" s="40">
        <f t="shared" si="19"/>
        <v>813.52605456078584</v>
      </c>
      <c r="AB71" s="40">
        <f t="shared" si="20"/>
        <v>1770.186029170942</v>
      </c>
      <c r="AC71" s="40">
        <f t="shared" si="7"/>
        <v>255842.92225642921</v>
      </c>
      <c r="AD71" s="40">
        <f>SUM('ACTUAL EXP'!$G$37:$G$39)*ALLOCATION!P75</f>
        <v>5012.1744782517353</v>
      </c>
      <c r="AE71" s="40">
        <f t="shared" si="8"/>
        <v>280.25867583208674</v>
      </c>
      <c r="AF71" s="40">
        <f>SUM('ACTUAL EXP'!$G$41)*ALLOCATION!P75</f>
        <v>1499.5887661328391</v>
      </c>
      <c r="AG71" s="40">
        <f t="shared" si="9"/>
        <v>83.850385439027036</v>
      </c>
      <c r="AH71" s="40">
        <f>SUM('ACTUAL EXP'!$G$81)*ALLOCATION!P75</f>
        <v>624.63705048687871</v>
      </c>
      <c r="AI71" s="40">
        <f t="shared" si="10"/>
        <v>34.926947057552248</v>
      </c>
      <c r="AJ71" s="296">
        <f>SUM('ACTUAL EXP'!$G$83)*ALLOCATION!P75</f>
        <v>4637.7187176341686</v>
      </c>
      <c r="AK71" s="40">
        <f t="shared" si="10"/>
        <v>259.32076234089851</v>
      </c>
      <c r="AL71" s="40">
        <f>SUM('ACTUAL EXP'!$G$64:$G$66)*ALLOCATION!P75</f>
        <v>1497.5941706201354</v>
      </c>
      <c r="AM71" s="40">
        <f t="shared" si="11"/>
        <v>83.738856461008254</v>
      </c>
      <c r="AN71" s="40">
        <f t="shared" si="12"/>
        <v>269856.73106668552</v>
      </c>
      <c r="AO71" s="39">
        <f>-AN71*0</f>
        <v>0</v>
      </c>
      <c r="AP71" s="41"/>
      <c r="AQ71" s="83">
        <f t="shared" si="13"/>
        <v>269856.73106668552</v>
      </c>
      <c r="AR71" s="40"/>
      <c r="AS71" s="171">
        <f t="shared" si="14"/>
        <v>269856.73106668552</v>
      </c>
      <c r="AT71" s="40" t="s">
        <v>358</v>
      </c>
      <c r="AU71" s="171"/>
      <c r="AV71" s="33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</row>
    <row r="72" spans="1:253" ht="13" customHeight="1">
      <c r="A72" s="25">
        <f>ALLOCATION!A76</f>
        <v>220000</v>
      </c>
      <c r="B72" s="24" t="str">
        <f>ALLOCATION!C76</f>
        <v>Portland Park Mem Tr</v>
      </c>
      <c r="C72" s="40">
        <f>'ACTUAL EXP'!$G$13*(ALLOCATION!P76)</f>
        <v>49.947790922658392</v>
      </c>
      <c r="D72" s="40">
        <f>(SUM('ACTUAL EXP'!$G$15,'ACTUAL EXP'!$G$17:$G$19,'ACTUAL EXP'!$G$22))*ALLOCATION!P76</f>
        <v>80.557996444045429</v>
      </c>
      <c r="E72" s="176">
        <f>(('ACTUAL EXP'!$G$25)*(ALLOCATION!P76))</f>
        <v>0</v>
      </c>
      <c r="F72" s="40">
        <f>'ACTUAL EXP'!$G$28*ALLOCATION!P76</f>
        <v>0</v>
      </c>
      <c r="G72" s="40">
        <v>0</v>
      </c>
      <c r="H72" s="40">
        <f>SUM('ACTUAL EXP'!$G$30:$G$35)*ALLOCATION!P76</f>
        <v>72.302984458211142</v>
      </c>
      <c r="I72" s="40">
        <f>SUM('ACTUAL EXP'!$G$43:$G$47)*ALLOCATION!P76</f>
        <v>43.673212340633093</v>
      </c>
      <c r="J72" s="176">
        <f>(SUM('ACTUAL EXP'!$G$49:$G$50)*ALLOCATION!P76*0.5)+(SUM('ACTUAL EXP'!$G$49:$G$50)*ALLOCATION!P76*0.5)</f>
        <v>20.950827265132432</v>
      </c>
      <c r="K72" s="40">
        <f>SUM('ACTUAL EXP'!$G$52:$G$53)*ALLOCATION!P76</f>
        <v>22.11068266341659</v>
      </c>
      <c r="L72" s="40">
        <f>SUM('ACTUAL EXP'!$G$54:$G$54)*ALLOCATION!P76</f>
        <v>3.0150930904658986</v>
      </c>
      <c r="M72" s="40">
        <f>SUM('ACTUAL EXP'!$G$21:$G$21)*ALLOCATION!P76</f>
        <v>0.92911044648822871</v>
      </c>
      <c r="N72" s="176">
        <f>SUM('ACTUAL EXP'!$G$58:$G$62)*0.39*ALLOCATION!P76</f>
        <v>14.797283044226671</v>
      </c>
      <c r="O72" s="176">
        <f>SUM('ACTUAL EXP'!$G$58:$G$62)*0.27*ALLOCATION!P76</f>
        <v>10.24427287677231</v>
      </c>
      <c r="P72" s="176">
        <f>SUM('ACTUAL EXP'!$G$58:$G$62)*0.34*ALLOCATION!P76</f>
        <v>12.900195474454019</v>
      </c>
      <c r="Q72" s="40">
        <f>'ACTUAL EXP'!$G$85*ALLOCATION!P76</f>
        <v>19.634909715485698</v>
      </c>
      <c r="R72" s="40">
        <f>SUM('ACTUAL EXP'!$G$68:$G$73)*ALLOCATION!P76</f>
        <v>53.55410280782845</v>
      </c>
      <c r="S72" s="40">
        <f>SUM('ACTUAL EXP'!$G$75)*ALLOCATION!P76</f>
        <v>7.5000743955687073</v>
      </c>
      <c r="T72" s="40">
        <f>SUM('ACTUAL EXP'!$G$77)*ALLOCATION!P76</f>
        <v>4.9245183993435697</v>
      </c>
      <c r="U72" s="40">
        <f>SUM('ACTUAL EXP'!$G$79)*ALLOCATION!P76</f>
        <v>7.4630523177927888</v>
      </c>
      <c r="V72" s="40">
        <f t="shared" ref="V72:V108" si="21">SUM(C72:U72)</f>
        <v>424.50610666252339</v>
      </c>
      <c r="W72" s="40">
        <f t="shared" ref="W72:W108" si="22">-(H72/$H$111)*($W$117)</f>
        <v>3.8233563697232285</v>
      </c>
      <c r="X72" s="40">
        <f t="shared" ref="X72:X108" si="23">-(Q72/$Q$111)*($X$118)</f>
        <v>2.7994196425066011</v>
      </c>
      <c r="Y72" s="40">
        <f t="shared" ref="Y72:Y108" si="24">-(SUM(J72:O72,R72:U72)/SUM($J$111:$O$111,$R$111:$U$111))*$Y$119</f>
        <v>8.9259455711298674</v>
      </c>
      <c r="Z72" s="40">
        <f t="shared" ref="Z72:Z108" si="25">-(C72/$C$111)*($Z$120)</f>
        <v>3.6610640703663799</v>
      </c>
      <c r="AA72" s="40">
        <f t="shared" ref="AA72:AA108" si="26">-(I72/$I$111)*($AA$121)</f>
        <v>1.4253161374696242</v>
      </c>
      <c r="AB72" s="40">
        <f t="shared" ref="AB72:AB108" si="27">-(SUM(D72:G72)/SUM($D$111:$G$111))*SUM($AB$117:$AB$122)</f>
        <v>3.1014061560238537</v>
      </c>
      <c r="AC72" s="40">
        <f t="shared" ref="AC72:AC108" si="28">SUM(V72:AB72)</f>
        <v>448.24261460974299</v>
      </c>
      <c r="AD72" s="40">
        <f>SUM('ACTUAL EXP'!$G$37:$G$39)*ALLOCATION!P76</f>
        <v>8.7814436029618346</v>
      </c>
      <c r="AE72" s="40">
        <f t="shared" ref="AE72:AE108" si="29">(AD72/$AD$111)*SUM($AD$117:$AD$122)</f>
        <v>0.49101956979731182</v>
      </c>
      <c r="AF72" s="40">
        <f>SUM('ACTUAL EXP'!$G$41)*ALLOCATION!P76</f>
        <v>2.6273136010268918</v>
      </c>
      <c r="AG72" s="40">
        <f t="shared" ref="AG72:AG108" si="30">(AF72/$AF$111)*SUM($AF$117:$AF$122)</f>
        <v>0.1469077810468126</v>
      </c>
      <c r="AH72" s="40">
        <f>SUM('ACTUAL EXP'!$G$81)*ALLOCATION!P76</f>
        <v>1.0943783092491648</v>
      </c>
      <c r="AI72" s="40">
        <f t="shared" ref="AI72:AK108" si="31">(AH72/$AH$111)*SUM($AH$117:$AH$122)</f>
        <v>6.1192805067015542E-2</v>
      </c>
      <c r="AJ72" s="296">
        <f>SUM('ACTUAL EXP'!$G$83)*ALLOCATION!P76</f>
        <v>8.1253885997021911</v>
      </c>
      <c r="AK72" s="40">
        <f t="shared" si="31"/>
        <v>0.45433586948233462</v>
      </c>
      <c r="AL72" s="40">
        <f>SUM('ACTUAL EXP'!$G$64:$G$66)*ALLOCATION!P76</f>
        <v>2.6238190243553237</v>
      </c>
      <c r="AM72" s="40">
        <f t="shared" ref="AM72:AM108" si="32">(AL72/$AL$111)*SUM($AL$117:$AL$122)</f>
        <v>0.14671237974248499</v>
      </c>
      <c r="AN72" s="40">
        <f t="shared" ref="AN72:AN108" si="33">SUM(AC72:AM72)</f>
        <v>472.79512615217442</v>
      </c>
      <c r="AO72" s="40">
        <f>-AN72</f>
        <v>-472.79512615217442</v>
      </c>
      <c r="AP72" s="41" t="s">
        <v>2</v>
      </c>
      <c r="AQ72" s="83">
        <f t="shared" si="13"/>
        <v>0</v>
      </c>
      <c r="AR72" s="40"/>
      <c r="AS72" s="171">
        <f t="shared" si="14"/>
        <v>0</v>
      </c>
      <c r="AT72" s="40" t="s">
        <v>359</v>
      </c>
      <c r="AU72" s="171"/>
      <c r="AV72" s="33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</row>
    <row r="73" spans="1:253" ht="13" customHeight="1">
      <c r="A73" s="25">
        <f>ALLOCATION!A77</f>
        <v>500000</v>
      </c>
      <c r="B73" s="24" t="str">
        <f>ALLOCATION!C77</f>
        <v>Parks Endowment</v>
      </c>
      <c r="C73" s="40">
        <f>'ACTUAL EXP'!$G$13*(ALLOCATION!P77)</f>
        <v>0.30786439816991767</v>
      </c>
      <c r="D73" s="40">
        <f>(SUM('ACTUAL EXP'!$G$15,'ACTUAL EXP'!$G$17:$G$19,'ACTUAL EXP'!$G$22))*ALLOCATION!P77</f>
        <v>0.49653725690137934</v>
      </c>
      <c r="E73" s="176">
        <f>(('ACTUAL EXP'!$G$25)*(ALLOCATION!P77))</f>
        <v>0</v>
      </c>
      <c r="F73" s="40">
        <f>'ACTUAL EXP'!$G$28*ALLOCATION!P77</f>
        <v>0</v>
      </c>
      <c r="G73" s="40">
        <v>0</v>
      </c>
      <c r="H73" s="40">
        <f>SUM('ACTUAL EXP'!$G$30:$G$35)*ALLOCATION!P77</f>
        <v>0.4456556413192288</v>
      </c>
      <c r="I73" s="40">
        <f>SUM('ACTUAL EXP'!$G$43:$G$47)*ALLOCATION!P77</f>
        <v>0.26918962750956466</v>
      </c>
      <c r="J73" s="176">
        <f>(SUM('ACTUAL EXP'!$G$49:$G$50)*ALLOCATION!P77*0.5)+(SUM('ACTUAL EXP'!$G$49:$G$50)*ALLOCATION!P77*0.5)</f>
        <v>0.12913511704910866</v>
      </c>
      <c r="K73" s="40">
        <f>SUM('ACTUAL EXP'!$G$52:$G$53)*ALLOCATION!P77</f>
        <v>0.13628414561595356</v>
      </c>
      <c r="L73" s="40">
        <f>SUM('ACTUAL EXP'!$G$54:$G$54)*ALLOCATION!P77</f>
        <v>1.858420167490276E-2</v>
      </c>
      <c r="M73" s="40">
        <f>SUM('ACTUAL EXP'!$G$21:$G$21)*ALLOCATION!P77</f>
        <v>5.7267803672118433E-3</v>
      </c>
      <c r="N73" s="176">
        <f>SUM('ACTUAL EXP'!$G$58:$G$62)*0.39*ALLOCATION!P77</f>
        <v>9.1206368786455799E-2</v>
      </c>
      <c r="O73" s="176">
        <f>SUM('ACTUAL EXP'!$G$58:$G$62)*0.27*ALLOCATION!P77</f>
        <v>6.3142870698315562E-2</v>
      </c>
      <c r="P73" s="176">
        <f>SUM('ACTUAL EXP'!$G$58:$G$62)*0.34*ALLOCATION!P77</f>
        <v>7.9513244583064024E-2</v>
      </c>
      <c r="Q73" s="40">
        <f>'ACTUAL EXP'!$G$85*ALLOCATION!P77</f>
        <v>0.12102416445281589</v>
      </c>
      <c r="R73" s="40">
        <f>SUM('ACTUAL EXP'!$G$68:$G$73)*ALLOCATION!P77</f>
        <v>0.33009270932506107</v>
      </c>
      <c r="S73" s="40">
        <f>SUM('ACTUAL EXP'!$G$75)*ALLOCATION!P77</f>
        <v>4.622838863077542E-2</v>
      </c>
      <c r="T73" s="40">
        <f>SUM('ACTUAL EXP'!$G$77)*ALLOCATION!P77</f>
        <v>3.0353372297048591E-2</v>
      </c>
      <c r="U73" s="40">
        <f>SUM('ACTUAL EXP'!$G$79)*ALLOCATION!P77</f>
        <v>4.6000194761077924E-2</v>
      </c>
      <c r="V73" s="40">
        <f t="shared" si="21"/>
        <v>2.6165384821418813</v>
      </c>
      <c r="W73" s="40">
        <f t="shared" si="22"/>
        <v>2.3566113455880434E-2</v>
      </c>
      <c r="X73" s="40">
        <f t="shared" si="23"/>
        <v>1.72548500653384E-2</v>
      </c>
      <c r="Y73" s="40">
        <f t="shared" si="24"/>
        <v>5.5017065031133142E-2</v>
      </c>
      <c r="Z73" s="40">
        <f t="shared" si="25"/>
        <v>2.2565788513652766E-2</v>
      </c>
      <c r="AA73" s="40">
        <f t="shared" si="26"/>
        <v>8.7852552987463094E-3</v>
      </c>
      <c r="AB73" s="40">
        <f t="shared" si="27"/>
        <v>1.9116211589482308E-2</v>
      </c>
      <c r="AC73" s="40">
        <f t="shared" si="28"/>
        <v>2.7628437660961147</v>
      </c>
      <c r="AD73" s="40">
        <f>SUM('ACTUAL EXP'!$G$37:$G$39)*ALLOCATION!P77</f>
        <v>5.4126394780404617E-2</v>
      </c>
      <c r="AE73" s="40">
        <f t="shared" si="29"/>
        <v>3.0265091118719615E-3</v>
      </c>
      <c r="AF73" s="40">
        <f>SUM('ACTUAL EXP'!$G$41)*ALLOCATION!P77</f>
        <v>1.619403592515745E-2</v>
      </c>
      <c r="AG73" s="40">
        <f t="shared" si="30"/>
        <v>9.0549901733367447E-4</v>
      </c>
      <c r="AH73" s="40">
        <f>SUM('ACTUAL EXP'!$G$81)*ALLOCATION!P77</f>
        <v>6.7454458610373734E-3</v>
      </c>
      <c r="AI73" s="40">
        <f t="shared" si="31"/>
        <v>3.7717556184731357E-4</v>
      </c>
      <c r="AJ73" s="296">
        <f>SUM('ACTUAL EXP'!$G$83)*ALLOCATION!P77</f>
        <v>5.0082652804755629E-2</v>
      </c>
      <c r="AK73" s="40">
        <f t="shared" si="31"/>
        <v>2.8004009074550007E-3</v>
      </c>
      <c r="AL73" s="40">
        <f>SUM('ACTUAL EXP'!$G$64:$G$66)*ALLOCATION!P77</f>
        <v>1.6172496319021176E-2</v>
      </c>
      <c r="AM73" s="40">
        <f t="shared" si="32"/>
        <v>9.0429461762255221E-4</v>
      </c>
      <c r="AN73" s="40">
        <f t="shared" si="33"/>
        <v>2.9141786710026212</v>
      </c>
      <c r="AO73" s="40">
        <f>-AN73</f>
        <v>-2.9141786710026212</v>
      </c>
      <c r="AP73" s="41" t="s">
        <v>2</v>
      </c>
      <c r="AQ73" s="83">
        <f t="shared" ref="AQ73:AQ108" si="34">SUM(AO73,AN73)</f>
        <v>0</v>
      </c>
      <c r="AR73" s="40"/>
      <c r="AS73" s="171">
        <f t="shared" ref="AS73:AS108" si="35">AQ73-AR73</f>
        <v>0</v>
      </c>
      <c r="AT73" s="40" t="s">
        <v>360</v>
      </c>
      <c r="AU73" s="171"/>
      <c r="AV73" s="33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</row>
    <row r="74" spans="1:253" ht="13" customHeight="1">
      <c r="A74" s="25">
        <f>ALLOCATION!A78</f>
        <v>616000</v>
      </c>
      <c r="B74" s="24" t="str">
        <f>ALLOCATION!C78</f>
        <v>Wtr Grwth Imp Chg Tr</v>
      </c>
      <c r="C74" s="40">
        <f>'ACTUAL EXP'!$G$13*(ALLOCATION!P78)</f>
        <v>0</v>
      </c>
      <c r="D74" s="40">
        <f>(SUM('ACTUAL EXP'!$G$15,'ACTUAL EXP'!$G$17:$G$19,'ACTUAL EXP'!$G$22))*ALLOCATION!P78</f>
        <v>0</v>
      </c>
      <c r="E74" s="176">
        <f>(('ACTUAL EXP'!$G$25)*(ALLOCATION!P78))</f>
        <v>0</v>
      </c>
      <c r="F74" s="40">
        <f>'ACTUAL EXP'!$G$28*ALLOCATION!P78</f>
        <v>0</v>
      </c>
      <c r="G74" s="40">
        <v>0</v>
      </c>
      <c r="H74" s="40">
        <f>SUM('ACTUAL EXP'!$G$30:$G$35)*ALLOCATION!P78</f>
        <v>0</v>
      </c>
      <c r="I74" s="40">
        <f>SUM('ACTUAL EXP'!$G$43:$G$47)*ALLOCATION!P78</f>
        <v>0</v>
      </c>
      <c r="J74" s="176">
        <f>(SUM('ACTUAL EXP'!$G$49:$G$50)*ALLOCATION!P78*0.5)+(SUM('ACTUAL EXP'!$G$49:$G$50)*ALLOCATION!P78*0.5)</f>
        <v>0</v>
      </c>
      <c r="K74" s="40">
        <f>SUM('ACTUAL EXP'!$G$52:$G$53)*ALLOCATION!P78</f>
        <v>0</v>
      </c>
      <c r="L74" s="40">
        <f>SUM('ACTUAL EXP'!$G$54:$G$54)*ALLOCATION!P78</f>
        <v>0</v>
      </c>
      <c r="M74" s="40">
        <f>SUM('ACTUAL EXP'!$G$21:$G$21)*ALLOCATION!P78</f>
        <v>0</v>
      </c>
      <c r="N74" s="176">
        <f>SUM('ACTUAL EXP'!$G$58:$G$62)*0.39*ALLOCATION!P78</f>
        <v>0</v>
      </c>
      <c r="O74" s="176">
        <f>SUM('ACTUAL EXP'!$G$58:$G$62)*0.27*ALLOCATION!P78</f>
        <v>0</v>
      </c>
      <c r="P74" s="176">
        <f>SUM('ACTUAL EXP'!$G$58:$G$62)*0.34*ALLOCATION!P78</f>
        <v>0</v>
      </c>
      <c r="Q74" s="40">
        <f>'ACTUAL EXP'!$G$85*ALLOCATION!P78</f>
        <v>0</v>
      </c>
      <c r="R74" s="40">
        <f>SUM('ACTUAL EXP'!$G$68:$G$73)*ALLOCATION!P78</f>
        <v>0</v>
      </c>
      <c r="S74" s="40">
        <f>SUM('ACTUAL EXP'!$G$75)*ALLOCATION!P78</f>
        <v>0</v>
      </c>
      <c r="T74" s="40">
        <f>SUM('ACTUAL EXP'!$G$77)*ALLOCATION!P78</f>
        <v>0</v>
      </c>
      <c r="U74" s="40">
        <f>SUM('ACTUAL EXP'!$G$79)*ALLOCATION!P78</f>
        <v>0</v>
      </c>
      <c r="V74" s="40">
        <f t="shared" si="21"/>
        <v>0</v>
      </c>
      <c r="W74" s="40">
        <f t="shared" si="22"/>
        <v>0</v>
      </c>
      <c r="X74" s="40">
        <f t="shared" si="23"/>
        <v>0</v>
      </c>
      <c r="Y74" s="40">
        <f t="shared" si="24"/>
        <v>0</v>
      </c>
      <c r="Z74" s="40">
        <f t="shared" si="25"/>
        <v>0</v>
      </c>
      <c r="AA74" s="40">
        <f t="shared" si="26"/>
        <v>0</v>
      </c>
      <c r="AB74" s="40">
        <f t="shared" si="27"/>
        <v>0</v>
      </c>
      <c r="AC74" s="40">
        <f t="shared" si="28"/>
        <v>0</v>
      </c>
      <c r="AD74" s="40">
        <f>SUM('ACTUAL EXP'!$G$37:$G$39)*ALLOCATION!P78</f>
        <v>0</v>
      </c>
      <c r="AE74" s="40">
        <f t="shared" si="29"/>
        <v>0</v>
      </c>
      <c r="AF74" s="40">
        <f>SUM('ACTUAL EXP'!$G$41)*ALLOCATION!P78</f>
        <v>0</v>
      </c>
      <c r="AG74" s="40">
        <f t="shared" si="30"/>
        <v>0</v>
      </c>
      <c r="AH74" s="40">
        <f>SUM('ACTUAL EXP'!$G$81)*ALLOCATION!P78</f>
        <v>0</v>
      </c>
      <c r="AI74" s="40">
        <f t="shared" si="31"/>
        <v>0</v>
      </c>
      <c r="AJ74" s="296">
        <f>SUM('ACTUAL EXP'!$G$83)*ALLOCATION!P78</f>
        <v>0</v>
      </c>
      <c r="AK74" s="40">
        <f t="shared" si="31"/>
        <v>0</v>
      </c>
      <c r="AL74" s="40">
        <f>SUM('ACTUAL EXP'!$G$64:$G$66)*ALLOCATION!P78</f>
        <v>0</v>
      </c>
      <c r="AM74" s="40">
        <f t="shared" si="32"/>
        <v>0</v>
      </c>
      <c r="AN74" s="40">
        <f t="shared" si="33"/>
        <v>0</v>
      </c>
      <c r="AO74" s="40">
        <f>-AN74</f>
        <v>0</v>
      </c>
      <c r="AP74" s="41" t="s">
        <v>345</v>
      </c>
      <c r="AQ74" s="83">
        <f t="shared" si="34"/>
        <v>0</v>
      </c>
      <c r="AR74" s="40"/>
      <c r="AS74" s="171">
        <f t="shared" si="35"/>
        <v>0</v>
      </c>
      <c r="AT74" s="40" t="s">
        <v>361</v>
      </c>
      <c r="AU74" s="171"/>
      <c r="AV74" s="33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</row>
    <row r="75" spans="1:253" ht="13" customHeight="1">
      <c r="A75" s="25">
        <f>ALLOCATION!A79</f>
        <v>700000</v>
      </c>
      <c r="B75" s="24" t="str">
        <f>ALLOCATION!C79</f>
        <v>Health Insurance Op</v>
      </c>
      <c r="C75" s="40">
        <f>'ACTUAL EXP'!$G$13*(ALLOCATION!P79)</f>
        <v>9390.5864494545604</v>
      </c>
      <c r="D75" s="40">
        <f>(SUM('ACTUAL EXP'!$G$15,'ACTUAL EXP'!$G$17:$G$19,'ACTUAL EXP'!$G$22))*ALLOCATION!P79</f>
        <v>15145.551301238587</v>
      </c>
      <c r="E75" s="176">
        <f>(('ACTUAL EXP'!$G$25)*(ALLOCATION!P79))</f>
        <v>0</v>
      </c>
      <c r="F75" s="40">
        <f>'ACTUAL EXP'!$G$28*ALLOCATION!P79</f>
        <v>0</v>
      </c>
      <c r="G75" s="40">
        <v>0</v>
      </c>
      <c r="H75" s="40">
        <f>SUM('ACTUAL EXP'!$G$30:$G$35)*ALLOCATION!P79</f>
        <v>13593.542648557725</v>
      </c>
      <c r="I75" s="40">
        <f>SUM('ACTUAL EXP'!$G$43:$G$47)*ALLOCATION!P79</f>
        <v>8210.9152063430829</v>
      </c>
      <c r="J75" s="176">
        <f>(SUM('ACTUAL EXP'!$G$49:$G$50)*ALLOCATION!P79*0.5)+(SUM('ACTUAL EXP'!$G$49:$G$50)*ALLOCATION!P79*0.5)</f>
        <v>3938.924044217661</v>
      </c>
      <c r="K75" s="40">
        <f>SUM('ACTUAL EXP'!$G$52:$G$53)*ALLOCATION!P79</f>
        <v>4156.9861884137717</v>
      </c>
      <c r="L75" s="40">
        <f>SUM('ACTUAL EXP'!$G$54:$G$54)*ALLOCATION!P79</f>
        <v>566.86175296551437</v>
      </c>
      <c r="M75" s="40">
        <f>SUM('ACTUAL EXP'!$G$21:$G$21)*ALLOCATION!P79</f>
        <v>174.68023725712089</v>
      </c>
      <c r="N75" s="176">
        <f>SUM('ACTUAL EXP'!$G$58:$G$62)*0.39*ALLOCATION!P79</f>
        <v>2782.0082345388146</v>
      </c>
      <c r="O75" s="176">
        <f>SUM('ACTUAL EXP'!$G$58:$G$62)*0.27*ALLOCATION!P79</f>
        <v>1926.0057008345641</v>
      </c>
      <c r="P75" s="176">
        <f>SUM('ACTUAL EXP'!$G$58:$G$62)*0.34*ALLOCATION!P79</f>
        <v>2425.3405121620435</v>
      </c>
      <c r="Q75" s="40">
        <f>'ACTUAL EXP'!$G$85*ALLOCATION!P79</f>
        <v>3691.520960276539</v>
      </c>
      <c r="R75" s="40">
        <f>SUM('ACTUAL EXP'!$G$68:$G$73)*ALLOCATION!P79</f>
        <v>10068.602091303941</v>
      </c>
      <c r="S75" s="40">
        <f>SUM('ACTUAL EXP'!$G$75)*ALLOCATION!P79</f>
        <v>1410.0743133562407</v>
      </c>
      <c r="T75" s="40">
        <f>SUM('ACTUAL EXP'!$G$77)*ALLOCATION!P79</f>
        <v>925.84906953286577</v>
      </c>
      <c r="U75" s="40">
        <f>SUM('ACTUAL EXP'!$G$79)*ALLOCATION!P79</f>
        <v>1403.11386494659</v>
      </c>
      <c r="V75" s="40">
        <f t="shared" si="21"/>
        <v>79810.562575399614</v>
      </c>
      <c r="W75" s="40">
        <f t="shared" si="22"/>
        <v>718.82175074676582</v>
      </c>
      <c r="X75" s="40">
        <f t="shared" si="23"/>
        <v>526.31340997573534</v>
      </c>
      <c r="Y75" s="40">
        <f t="shared" si="24"/>
        <v>1678.1495633833306</v>
      </c>
      <c r="Z75" s="40">
        <f t="shared" si="25"/>
        <v>688.30949306651917</v>
      </c>
      <c r="AA75" s="40">
        <f t="shared" si="26"/>
        <v>267.97089840142212</v>
      </c>
      <c r="AB75" s="40">
        <f t="shared" si="27"/>
        <v>583.08930355117445</v>
      </c>
      <c r="AC75" s="40">
        <f t="shared" si="28"/>
        <v>84273.216994524555</v>
      </c>
      <c r="AD75" s="40">
        <f>SUM('ACTUAL EXP'!$G$37:$G$39)*ALLOCATION!P79</f>
        <v>1650.9820310634445</v>
      </c>
      <c r="AE75" s="40">
        <f t="shared" si="29"/>
        <v>92.315628647030309</v>
      </c>
      <c r="AF75" s="40">
        <f>SUM('ACTUAL EXP'!$G$41)*ALLOCATION!P79</f>
        <v>493.95608983937154</v>
      </c>
      <c r="AG75" s="40">
        <f t="shared" si="30"/>
        <v>27.619844492297947</v>
      </c>
      <c r="AH75" s="40">
        <f>SUM('ACTUAL EXP'!$G$81)*ALLOCATION!P79</f>
        <v>205.75192479133631</v>
      </c>
      <c r="AI75" s="40">
        <f t="shared" si="31"/>
        <v>11.504739558076265</v>
      </c>
      <c r="AJ75" s="296">
        <f>SUM('ACTUAL EXP'!$G$83)*ALLOCATION!P79</f>
        <v>1527.6384134598861</v>
      </c>
      <c r="AK75" s="40">
        <f t="shared" si="31"/>
        <v>85.418797921781859</v>
      </c>
      <c r="AL75" s="40">
        <f>SUM('ACTUAL EXP'!$G$64:$G$66)*ALLOCATION!P79</f>
        <v>493.29908131642361</v>
      </c>
      <c r="AM75" s="40">
        <f t="shared" si="32"/>
        <v>27.583107475370298</v>
      </c>
      <c r="AN75" s="40">
        <f t="shared" si="33"/>
        <v>88889.286653089555</v>
      </c>
      <c r="AO75" s="40"/>
      <c r="AP75" s="41"/>
      <c r="AQ75" s="83">
        <f t="shared" si="34"/>
        <v>88889.286653089555</v>
      </c>
      <c r="AR75" s="40"/>
      <c r="AS75" s="171">
        <f t="shared" si="35"/>
        <v>88889.286653089555</v>
      </c>
      <c r="AT75" s="40" t="s">
        <v>3</v>
      </c>
      <c r="AU75" s="171"/>
      <c r="AV75" s="33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</row>
    <row r="76" spans="1:253" ht="13" customHeight="1">
      <c r="A76" s="25">
        <f>ALLOCATION!A80</f>
        <v>100000</v>
      </c>
      <c r="B76" s="24" t="str">
        <f>ALLOCATION!C80</f>
        <v>Bureau of Planning &amp;    Sustainability</v>
      </c>
      <c r="C76" s="40">
        <f>'ACTUAL EXP'!$G$13*(ALLOCATION!P80)</f>
        <v>80590.469580399265</v>
      </c>
      <c r="D76" s="40">
        <f>(SUM('ACTUAL EXP'!$G$15,'ACTUAL EXP'!$G$17:$G$19,'ACTUAL EXP'!$G$22))*ALLOCATION!P80</f>
        <v>129979.85780661665</v>
      </c>
      <c r="E76" s="176">
        <f>(('ACTUAL EXP'!$G$25)*(ALLOCATION!P80))</f>
        <v>0</v>
      </c>
      <c r="F76" s="40">
        <f>'ACTUAL EXP'!$G$28*ALLOCATION!P80</f>
        <v>0</v>
      </c>
      <c r="G76" s="176">
        <f>'ACTUAL EXP'!$G$20*0.5</f>
        <v>0</v>
      </c>
      <c r="H76" s="40">
        <f>SUM('ACTUAL EXP'!$G$30:$G$35)*ALLOCATION!P80</f>
        <v>116660.4440739782</v>
      </c>
      <c r="I76" s="40">
        <f>SUM('ACTUAL EXP'!$G$43:$G$47)*ALLOCATION!P80</f>
        <v>70466.473603729522</v>
      </c>
      <c r="J76" s="176">
        <f>(SUM('ACTUAL EXP'!$G$49:$G$50)*ALLOCATION!P80*0.5)+(SUM('ACTUAL EXP'!$G$49:$G$50)*ALLOCATION!P80*0.5)</f>
        <v>33804.037700272136</v>
      </c>
      <c r="K76" s="40">
        <f>SUM('ACTUAL EXP'!$G$52:$G$53)*ALLOCATION!P80</f>
        <v>35675.45762628688</v>
      </c>
      <c r="L76" s="40">
        <f>SUM('ACTUAL EXP'!$G$54:$G$54)*ALLOCATION!P80</f>
        <v>4864.8351308573019</v>
      </c>
      <c r="M76" s="40">
        <f>SUM('ACTUAL EXP'!$G$21:$G$21)*ALLOCATION!P80</f>
        <v>1499.1142909700388</v>
      </c>
      <c r="N76" s="176">
        <f>SUM('ACTUAL EXP'!$G$58:$G$62)*0.39*ALLOCATION!P80</f>
        <v>23875.329959934839</v>
      </c>
      <c r="O76" s="176">
        <f>SUM('ACTUAL EXP'!$G$58:$G$62)*0.27*ALLOCATION!P80</f>
        <v>16529.074587647196</v>
      </c>
      <c r="P76" s="176">
        <f>SUM('ACTUAL EXP'!$G$58:$G$62)*0.34*ALLOCATION!P80</f>
        <v>20814.390221481652</v>
      </c>
      <c r="Q76" s="40">
        <f>'ACTUAL EXP'!$G$85*ALLOCATION!P80</f>
        <v>31680.812402494059</v>
      </c>
      <c r="R76" s="40">
        <f>SUM('ACTUAL EXP'!$G$68:$G$73)*ALLOCATION!P80</f>
        <v>86409.232791153918</v>
      </c>
      <c r="S76" s="40">
        <f>SUM('ACTUAL EXP'!$G$75)*ALLOCATION!P80</f>
        <v>12101.326330182397</v>
      </c>
      <c r="T76" s="40">
        <f>SUM('ACTUAL EXP'!$G$77)*ALLOCATION!P80</f>
        <v>7945.6817394576319</v>
      </c>
      <c r="U76" s="40">
        <f>SUM('ACTUAL EXP'!$G$79)*ALLOCATION!P80</f>
        <v>12041.591423439007</v>
      </c>
      <c r="V76" s="40">
        <f t="shared" si="21"/>
        <v>684938.12926890072</v>
      </c>
      <c r="W76" s="40">
        <f t="shared" si="22"/>
        <v>6168.9632217433418</v>
      </c>
      <c r="X76" s="40">
        <f t="shared" si="23"/>
        <v>4516.8472794230411</v>
      </c>
      <c r="Y76" s="40">
        <f t="shared" si="24"/>
        <v>14401.961162613014</v>
      </c>
      <c r="Z76" s="40">
        <f t="shared" si="25"/>
        <v>5907.1055424977558</v>
      </c>
      <c r="AA76" s="40">
        <f t="shared" si="26"/>
        <v>2299.7392817044392</v>
      </c>
      <c r="AB76" s="40">
        <f t="shared" si="27"/>
        <v>5004.1007591412526</v>
      </c>
      <c r="AC76" s="40">
        <f t="shared" si="28"/>
        <v>723236.84651602351</v>
      </c>
      <c r="AD76" s="40">
        <f>SUM('ACTUAL EXP'!$G$37:$G$39)*ALLOCATION!P80</f>
        <v>14168.808079066515</v>
      </c>
      <c r="AE76" s="40">
        <f t="shared" si="29"/>
        <v>792.25721442626821</v>
      </c>
      <c r="AF76" s="40">
        <f>SUM('ACTUAL EXP'!$G$41)*ALLOCATION!P80</f>
        <v>4239.1551844523019</v>
      </c>
      <c r="AG76" s="40">
        <f t="shared" si="30"/>
        <v>237.03484860641308</v>
      </c>
      <c r="AH76" s="40">
        <f>SUM('ACTUAL EXP'!$G$81)*ALLOCATION!P80</f>
        <v>1765.7730244278735</v>
      </c>
      <c r="AI76" s="40">
        <f t="shared" si="31"/>
        <v>98.734234371423611</v>
      </c>
      <c r="AJ76" s="296">
        <f>SUM('ACTUAL EXP'!$G$83)*ALLOCATION!P80</f>
        <v>13110.26715450122</v>
      </c>
      <c r="AK76" s="40">
        <f t="shared" si="31"/>
        <v>733.06827774419537</v>
      </c>
      <c r="AL76" s="40">
        <f>SUM('ACTUAL EXP'!$G$64:$G$66)*ALLOCATION!P80</f>
        <v>4233.5167053575515</v>
      </c>
      <c r="AM76" s="40">
        <f t="shared" si="32"/>
        <v>236.71956974059162</v>
      </c>
      <c r="AN76" s="40">
        <f t="shared" si="33"/>
        <v>762852.18080871797</v>
      </c>
      <c r="AO76" s="39">
        <f>AN58</f>
        <v>31489.398252957104</v>
      </c>
      <c r="AP76" s="41" t="s">
        <v>538</v>
      </c>
      <c r="AQ76" s="83">
        <f t="shared" si="34"/>
        <v>794341.57906167512</v>
      </c>
      <c r="AR76" s="40"/>
      <c r="AS76" s="171">
        <f t="shared" si="35"/>
        <v>794341.57906167512</v>
      </c>
      <c r="AT76" s="40" t="s">
        <v>363</v>
      </c>
      <c r="AU76" s="171"/>
      <c r="AV76" s="33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</row>
    <row r="77" spans="1:253" ht="13" customHeight="1">
      <c r="A77" s="25">
        <f>ALLOCATION!A81</f>
        <v>203000</v>
      </c>
      <c r="B77" s="24" t="str">
        <f>ALLOCATION!C81</f>
        <v>Development Services</v>
      </c>
      <c r="C77" s="40">
        <f>'ACTUAL EXP'!$G$13*(ALLOCATION!P81)</f>
        <v>110395.64005913757</v>
      </c>
      <c r="D77" s="40">
        <f>(SUM('ACTUAL EXP'!$G$15,'ACTUAL EXP'!$G$17:$G$19,'ACTUAL EXP'!$G$22))*ALLOCATION!P81</f>
        <v>178050.94910189061</v>
      </c>
      <c r="E77" s="176">
        <f>(('ACTUAL EXP'!$G$25)*(ALLOCATION!P81))</f>
        <v>0</v>
      </c>
      <c r="F77" s="40">
        <f>'ACTUAL EXP'!$G$28*ALLOCATION!P81</f>
        <v>0</v>
      </c>
      <c r="G77" s="40">
        <v>0</v>
      </c>
      <c r="H77" s="40">
        <f>SUM('ACTUAL EXP'!$G$30:$G$35)*ALLOCATION!P81</f>
        <v>159805.5509563919</v>
      </c>
      <c r="I77" s="40">
        <f>SUM('ACTUAL EXP'!$G$43:$G$47)*ALLOCATION!P81</f>
        <v>96527.436763888181</v>
      </c>
      <c r="J77" s="176">
        <f>(SUM('ACTUAL EXP'!$G$49:$G$50)*ALLOCATION!P81*0.5)+(SUM('ACTUAL EXP'!$G$49:$G$50)*ALLOCATION!P81*0.5)</f>
        <v>46305.951534154978</v>
      </c>
      <c r="K77" s="40">
        <f>SUM('ACTUAL EXP'!$G$52:$G$53)*ALLOCATION!P81</f>
        <v>48869.487912928838</v>
      </c>
      <c r="L77" s="40">
        <f>SUM('ACTUAL EXP'!$G$54:$G$54)*ALLOCATION!P81</f>
        <v>6664.0210790357505</v>
      </c>
      <c r="M77" s="40">
        <f>SUM('ACTUAL EXP'!$G$21:$G$21)*ALLOCATION!P81</f>
        <v>2053.539116164779</v>
      </c>
      <c r="N77" s="176">
        <f>SUM('ACTUAL EXP'!$G$58:$G$62)*0.39*ALLOCATION!P81</f>
        <v>32705.260885974003</v>
      </c>
      <c r="O77" s="176">
        <f>SUM('ACTUAL EXP'!$G$58:$G$62)*0.27*ALLOCATION!P81</f>
        <v>22642.103690289696</v>
      </c>
      <c r="P77" s="176">
        <f>SUM('ACTUAL EXP'!$G$58:$G$62)*0.34*ALLOCATION!P81</f>
        <v>28512.27872110554</v>
      </c>
      <c r="Q77" s="40">
        <f>'ACTUAL EXP'!$G$85*ALLOCATION!P81</f>
        <v>43397.483362194209</v>
      </c>
      <c r="R77" s="40">
        <f>SUM('ACTUAL EXP'!$G$68:$G$73)*ALLOCATION!P81</f>
        <v>118366.38514039038</v>
      </c>
      <c r="S77" s="40">
        <f>SUM('ACTUAL EXP'!$G$75)*ALLOCATION!P81</f>
        <v>16576.819476801982</v>
      </c>
      <c r="T77" s="40">
        <f>SUM('ACTUAL EXP'!$G$77)*ALLOCATION!P81</f>
        <v>10884.272369930037</v>
      </c>
      <c r="U77" s="40">
        <f>SUM('ACTUAL EXP'!$G$79)*ALLOCATION!P81</f>
        <v>16494.992515150756</v>
      </c>
      <c r="V77" s="40">
        <f t="shared" si="21"/>
        <v>938252.17268542922</v>
      </c>
      <c r="W77" s="40">
        <f t="shared" si="22"/>
        <v>8450.4612879346096</v>
      </c>
      <c r="X77" s="40">
        <f t="shared" si="23"/>
        <v>6187.3351657769363</v>
      </c>
      <c r="Y77" s="40">
        <f t="shared" si="24"/>
        <v>19728.309425810741</v>
      </c>
      <c r="Z77" s="40">
        <f t="shared" si="25"/>
        <v>8091.7594928560047</v>
      </c>
      <c r="AA77" s="40">
        <f t="shared" si="26"/>
        <v>3150.2631923446488</v>
      </c>
      <c r="AB77" s="40">
        <f t="shared" si="27"/>
        <v>6854.7920008667343</v>
      </c>
      <c r="AC77" s="40">
        <f t="shared" si="28"/>
        <v>990715.09325101878</v>
      </c>
      <c r="AD77" s="40">
        <f>SUM('ACTUAL EXP'!$G$37:$G$39)*ALLOCATION!P81</f>
        <v>19408.928188502039</v>
      </c>
      <c r="AE77" s="40">
        <f t="shared" si="29"/>
        <v>1085.2616039270381</v>
      </c>
      <c r="AF77" s="40">
        <f>SUM('ACTUAL EXP'!$G$41)*ALLOCATION!P81</f>
        <v>5806.9428349806221</v>
      </c>
      <c r="AG77" s="40">
        <f t="shared" si="30"/>
        <v>324.69861466832896</v>
      </c>
      <c r="AH77" s="40">
        <f>SUM('ACTUAL EXP'!$G$81)*ALLOCATION!P81</f>
        <v>2418.8175629923971</v>
      </c>
      <c r="AI77" s="40">
        <f t="shared" si="31"/>
        <v>135.24960278719112</v>
      </c>
      <c r="AJ77" s="296">
        <f>SUM('ACTUAL EXP'!$G$83)*ALLOCATION!P81</f>
        <v>17958.901857788132</v>
      </c>
      <c r="AK77" s="40">
        <f t="shared" si="31"/>
        <v>1004.1825311352051</v>
      </c>
      <c r="AL77" s="40">
        <f>SUM('ACTUAL EXP'!$G$64:$G$66)*ALLOCATION!P81</f>
        <v>5799.2190493783546</v>
      </c>
      <c r="AM77" s="40">
        <f t="shared" si="32"/>
        <v>324.26673466600738</v>
      </c>
      <c r="AN77" s="40">
        <f t="shared" si="33"/>
        <v>1044981.561831844</v>
      </c>
      <c r="AQ77" s="83">
        <f t="shared" si="34"/>
        <v>1044981.561831844</v>
      </c>
      <c r="AR77" s="40"/>
      <c r="AS77" s="171">
        <f t="shared" si="35"/>
        <v>1044981.561831844</v>
      </c>
      <c r="AT77" s="40"/>
      <c r="AU77" s="171"/>
      <c r="AV77" s="33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</row>
    <row r="78" spans="1:253" ht="13" customHeight="1">
      <c r="A78" s="25">
        <f>ALLOCATION!A82</f>
        <v>218000</v>
      </c>
      <c r="B78" s="24" t="str">
        <f>ALLOCATION!C82</f>
        <v>CDBG Incoming (Ext)</v>
      </c>
      <c r="C78" s="40">
        <f>'ACTUAL EXP'!$G$13*(ALLOCATION!P82)</f>
        <v>21262.612694486055</v>
      </c>
      <c r="D78" s="40">
        <f>(SUM('ACTUAL EXP'!$G$15,'ACTUAL EXP'!$G$17:$G$19,'ACTUAL EXP'!$G$22))*ALLOCATION!P82</f>
        <v>34293.277964701585</v>
      </c>
      <c r="E78" s="176">
        <f>(('ACTUAL EXP'!$G$25)*(ALLOCATION!P82))</f>
        <v>0</v>
      </c>
      <c r="F78" s="40">
        <f>'ACTUAL EXP'!$G$28*ALLOCATION!P82</f>
        <v>0</v>
      </c>
      <c r="G78" s="40">
        <v>0</v>
      </c>
      <c r="H78" s="40">
        <f>SUM('ACTUAL EXP'!$G$30:$G$35)*ALLOCATION!P82</f>
        <v>30779.14612021374</v>
      </c>
      <c r="I78" s="40">
        <f>SUM('ACTUAL EXP'!$G$43:$G$47)*ALLOCATION!P82</f>
        <v>18591.544930602238</v>
      </c>
      <c r="J78" s="176">
        <f>(SUM('ACTUAL EXP'!$G$49:$G$50)*ALLOCATION!P82*0.5)+(SUM('ACTUAL EXP'!$G$49:$G$50)*ALLOCATION!P82*0.5)</f>
        <v>8918.6992565372093</v>
      </c>
      <c r="K78" s="40">
        <f>SUM('ACTUAL EXP'!$G$52:$G$53)*ALLOCATION!P82</f>
        <v>9412.4459400194082</v>
      </c>
      <c r="L78" s="40">
        <f>SUM('ACTUAL EXP'!$G$54:$G$54)*ALLOCATION!P82</f>
        <v>1283.5153554571923</v>
      </c>
      <c r="M78" s="40">
        <f>SUM('ACTUAL EXP'!$G$21:$G$21)*ALLOCATION!P82</f>
        <v>395.51930544176253</v>
      </c>
      <c r="N78" s="176">
        <f>SUM('ACTUAL EXP'!$G$58:$G$62)*0.39*ALLOCATION!P82</f>
        <v>6299.1554278599442</v>
      </c>
      <c r="O78" s="176">
        <f>SUM('ACTUAL EXP'!$G$58:$G$62)*0.27*ALLOCATION!P82</f>
        <v>4360.9537577491919</v>
      </c>
      <c r="P78" s="176">
        <f>SUM('ACTUAL EXP'!$G$58:$G$62)*0.34*ALLOCATION!P82</f>
        <v>5491.5713986471301</v>
      </c>
      <c r="Q78" s="40">
        <f>'ACTUAL EXP'!$G$85*ALLOCATION!P82</f>
        <v>8358.5174210814439</v>
      </c>
      <c r="R78" s="40">
        <f>SUM('ACTUAL EXP'!$G$68:$G$73)*ALLOCATION!P82</f>
        <v>22797.807974466046</v>
      </c>
      <c r="S78" s="40">
        <f>SUM('ACTUAL EXP'!$G$75)*ALLOCATION!P82</f>
        <v>3192.7573593743518</v>
      </c>
      <c r="T78" s="40">
        <f>SUM('ACTUAL EXP'!$G$77)*ALLOCATION!P82</f>
        <v>2096.3515202153371</v>
      </c>
      <c r="U78" s="40">
        <f>SUM('ACTUAL EXP'!$G$79)*ALLOCATION!P82</f>
        <v>3176.9971808688915</v>
      </c>
      <c r="V78" s="40">
        <f t="shared" si="21"/>
        <v>180710.8736077215</v>
      </c>
      <c r="W78" s="40">
        <f t="shared" si="22"/>
        <v>1627.5904135240271</v>
      </c>
      <c r="X78" s="40">
        <f t="shared" si="23"/>
        <v>1191.7038677470794</v>
      </c>
      <c r="Y78" s="40">
        <f t="shared" si="24"/>
        <v>3799.7460969770596</v>
      </c>
      <c r="Z78" s="40">
        <f t="shared" si="25"/>
        <v>1558.5031077437663</v>
      </c>
      <c r="AA78" s="40">
        <f t="shared" si="26"/>
        <v>606.75245968624859</v>
      </c>
      <c r="AB78" s="40">
        <f t="shared" si="27"/>
        <v>1320.2585476891443</v>
      </c>
      <c r="AC78" s="40">
        <f t="shared" si="28"/>
        <v>190815.42810108885</v>
      </c>
      <c r="AD78" s="40">
        <f>SUM('ACTUAL EXP'!$G$37:$G$39)*ALLOCATION!P82</f>
        <v>3738.2320775181133</v>
      </c>
      <c r="AE78" s="40">
        <f t="shared" si="29"/>
        <v>209.02543926676887</v>
      </c>
      <c r="AF78" s="40">
        <f>SUM('ACTUAL EXP'!$G$41)*ALLOCATION!P82</f>
        <v>1118.438883755482</v>
      </c>
      <c r="AG78" s="40">
        <f t="shared" si="30"/>
        <v>62.538166203216818</v>
      </c>
      <c r="AH78" s="40">
        <f>SUM('ACTUAL EXP'!$G$81)*ALLOCATION!P82</f>
        <v>465.87329891812169</v>
      </c>
      <c r="AI78" s="40">
        <f t="shared" si="31"/>
        <v>26.049578766032951</v>
      </c>
      <c r="AJ78" s="296">
        <f>SUM('ACTUAL EXP'!$G$83)*ALLOCATION!P82</f>
        <v>3458.9515891740029</v>
      </c>
      <c r="AK78" s="40">
        <f t="shared" si="31"/>
        <v>193.40930694961133</v>
      </c>
      <c r="AL78" s="40">
        <f>SUM('ACTUAL EXP'!$G$64:$G$66)*ALLOCATION!P82</f>
        <v>1116.9512537937528</v>
      </c>
      <c r="AM78" s="40">
        <f t="shared" si="32"/>
        <v>62.454984501340391</v>
      </c>
      <c r="AN78" s="40">
        <f t="shared" si="33"/>
        <v>201267.35267993531</v>
      </c>
      <c r="AO78" s="40">
        <f>-AN78</f>
        <v>-201267.35267993531</v>
      </c>
      <c r="AP78" s="41" t="s">
        <v>351</v>
      </c>
      <c r="AQ78" s="83">
        <f t="shared" si="34"/>
        <v>0</v>
      </c>
      <c r="AR78" s="40"/>
      <c r="AS78" s="171">
        <f t="shared" si="35"/>
        <v>0</v>
      </c>
      <c r="AT78" s="40"/>
      <c r="AU78" s="171"/>
      <c r="AV78" s="33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</row>
    <row r="79" spans="1:253" ht="13" customHeight="1">
      <c r="A79" s="25">
        <f>ALLOCATION!A83</f>
        <v>219000</v>
      </c>
      <c r="B79" s="24" t="str">
        <f>ALLOCATION!C83</f>
        <v>HOME Incoming (Ext)</v>
      </c>
      <c r="C79" s="40">
        <f>'ACTUAL EXP'!$G$13*(ALLOCATION!P83)</f>
        <v>8646.3361333544763</v>
      </c>
      <c r="D79" s="40">
        <f>(SUM('ACTUAL EXP'!$G$15,'ACTUAL EXP'!$G$17:$G$19,'ACTUAL EXP'!$G$22))*ALLOCATION!P83</f>
        <v>13945.191621453987</v>
      </c>
      <c r="E79" s="176">
        <f>(('ACTUAL EXP'!$G$25)*(ALLOCATION!P83))</f>
        <v>0</v>
      </c>
      <c r="F79" s="40">
        <f>'ACTUAL EXP'!$G$28*ALLOCATION!P83</f>
        <v>0</v>
      </c>
      <c r="G79" s="40">
        <v>0</v>
      </c>
      <c r="H79" s="40">
        <f>SUM('ACTUAL EXP'!$G$30:$G$35)*ALLOCATION!P83</f>
        <v>12516.187313237137</v>
      </c>
      <c r="I79" s="40">
        <f>SUM('ACTUAL EXP'!$G$43:$G$47)*ALLOCATION!P83</f>
        <v>7560.159657615156</v>
      </c>
      <c r="J79" s="176">
        <f>(SUM('ACTUAL EXP'!$G$49:$G$50)*ALLOCATION!P83*0.5)+(SUM('ACTUAL EXP'!$G$49:$G$50)*ALLOCATION!P83*0.5)</f>
        <v>3626.7448761984479</v>
      </c>
      <c r="K79" s="40">
        <f>SUM('ACTUAL EXP'!$G$52:$G$53)*ALLOCATION!P83</f>
        <v>3827.5245193898591</v>
      </c>
      <c r="L79" s="40">
        <f>SUM('ACTUAL EXP'!$G$54:$G$54)*ALLOCATION!P83</f>
        <v>521.93516173498074</v>
      </c>
      <c r="M79" s="40">
        <f>SUM('ACTUAL EXP'!$G$21:$G$21)*ALLOCATION!P83</f>
        <v>160.83596645520507</v>
      </c>
      <c r="N79" s="176">
        <f>SUM('ACTUAL EXP'!$G$58:$G$62)*0.39*ALLOCATION!P83</f>
        <v>2561.5203535003716</v>
      </c>
      <c r="O79" s="176">
        <f>SUM('ACTUAL EXP'!$G$58:$G$62)*0.27*ALLOCATION!P83</f>
        <v>1773.3602447310266</v>
      </c>
      <c r="P79" s="176">
        <f>SUM('ACTUAL EXP'!$G$58:$G$62)*0.34*ALLOCATION!P83</f>
        <v>2233.1203081798108</v>
      </c>
      <c r="Q79" s="40">
        <f>'ACTUAL EXP'!$G$85*ALLOCATION!P83</f>
        <v>3398.9497075263466</v>
      </c>
      <c r="R79" s="40">
        <f>SUM('ACTUAL EXP'!$G$68:$G$73)*ALLOCATION!P83</f>
        <v>9270.6156897651745</v>
      </c>
      <c r="S79" s="40">
        <f>SUM('ACTUAL EXP'!$G$75)*ALLOCATION!P83</f>
        <v>1298.3189656909256</v>
      </c>
      <c r="T79" s="40">
        <f>SUM('ACTUAL EXP'!$G$77)*ALLOCATION!P83</f>
        <v>852.47096195995391</v>
      </c>
      <c r="U79" s="40">
        <f>SUM('ACTUAL EXP'!$G$79)*ALLOCATION!P83</f>
        <v>1291.9101671656524</v>
      </c>
      <c r="V79" s="40">
        <f t="shared" si="21"/>
        <v>73485.181647958525</v>
      </c>
      <c r="W79" s="40">
        <f t="shared" si="22"/>
        <v>661.85157981095904</v>
      </c>
      <c r="X79" s="40">
        <f t="shared" si="23"/>
        <v>484.60047502214621</v>
      </c>
      <c r="Y79" s="40">
        <f t="shared" si="24"/>
        <v>1545.1479292751851</v>
      </c>
      <c r="Z79" s="40">
        <f t="shared" si="25"/>
        <v>633.75756912153486</v>
      </c>
      <c r="AA79" s="40">
        <f t="shared" si="26"/>
        <v>246.73288233987293</v>
      </c>
      <c r="AB79" s="40">
        <f t="shared" si="27"/>
        <v>536.87659885819482</v>
      </c>
      <c r="AC79" s="40">
        <f t="shared" si="28"/>
        <v>77594.148682386425</v>
      </c>
      <c r="AD79" s="40">
        <f>SUM('ACTUAL EXP'!$G$37:$G$39)*ALLOCATION!P83</f>
        <v>1520.1335579560064</v>
      </c>
      <c r="AE79" s="40">
        <f t="shared" si="29"/>
        <v>84.999159524324881</v>
      </c>
      <c r="AF79" s="40">
        <f>SUM('ACTUAL EXP'!$G$41)*ALLOCATION!P83</f>
        <v>454.80763218113151</v>
      </c>
      <c r="AG79" s="40">
        <f t="shared" si="30"/>
        <v>25.43083551989006</v>
      </c>
      <c r="AH79" s="40">
        <f>SUM('ACTUAL EXP'!$G$81)*ALLOCATION!P83</f>
        <v>189.44506942203748</v>
      </c>
      <c r="AI79" s="40">
        <f t="shared" si="31"/>
        <v>10.592932175349411</v>
      </c>
      <c r="AJ79" s="296">
        <f>SUM('ACTUAL EXP'!$G$83)*ALLOCATION!P83</f>
        <v>1406.5655307146142</v>
      </c>
      <c r="AK79" s="40">
        <f t="shared" si="31"/>
        <v>78.648936668029393</v>
      </c>
      <c r="AL79" s="40">
        <f>SUM('ACTUAL EXP'!$G$64:$G$66)*ALLOCATION!P83</f>
        <v>454.20269482578493</v>
      </c>
      <c r="AM79" s="40">
        <f t="shared" si="32"/>
        <v>25.397010092841079</v>
      </c>
      <c r="AN79" s="40">
        <f t="shared" si="33"/>
        <v>81844.372041466442</v>
      </c>
      <c r="AO79" s="40">
        <f>-AN79</f>
        <v>-81844.372041466442</v>
      </c>
      <c r="AP79" s="41" t="s">
        <v>351</v>
      </c>
      <c r="AQ79" s="83">
        <f t="shared" si="34"/>
        <v>0</v>
      </c>
      <c r="AR79" s="40"/>
      <c r="AS79" s="171">
        <f t="shared" si="35"/>
        <v>0</v>
      </c>
      <c r="AT79" s="40"/>
      <c r="AU79" s="171"/>
      <c r="AV79" s="33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</row>
    <row r="80" spans="1:253" ht="13" customHeight="1">
      <c r="A80" s="25">
        <f>ALLOCATION!A84</f>
        <v>100000</v>
      </c>
      <c r="B80" s="24" t="str">
        <f>ALLOCATION!C84</f>
        <v>Portland Housing Bureau</v>
      </c>
      <c r="C80" s="40">
        <f>'ACTUAL EXP'!$G$13*(ALLOCATION!P84)</f>
        <v>50057.339248849879</v>
      </c>
      <c r="D80" s="40">
        <f>(SUM('ACTUAL EXP'!$G$15,'ACTUAL EXP'!$G$17:$G$19,'ACTUAL EXP'!$G$22))*ALLOCATION!P84</f>
        <v>80734.68080803362</v>
      </c>
      <c r="E80" s="176">
        <f>(('ACTUAL EXP'!$G$25)*(ALLOCATION!P84))</f>
        <v>0</v>
      </c>
      <c r="F80" s="40">
        <f>'ACTUAL EXP'!$G$28*ALLOCATION!P84</f>
        <v>0</v>
      </c>
      <c r="G80" s="40">
        <v>0</v>
      </c>
      <c r="H80" s="40">
        <f>SUM('ACTUAL EXP'!$G$30:$G$35)*ALLOCATION!P84</f>
        <v>72461.563462001533</v>
      </c>
      <c r="I80" s="40">
        <f>SUM('ACTUAL EXP'!$G$43:$G$47)*ALLOCATION!P84</f>
        <v>43768.998905422908</v>
      </c>
      <c r="J80" s="176">
        <f>(SUM('ACTUAL EXP'!$G$49:$G$50)*ALLOCATION!P84*0.5)+(SUM('ACTUAL EXP'!$G$49:$G$50)*ALLOCATION!P84*0.5)</f>
        <v>20996.777807024788</v>
      </c>
      <c r="K80" s="40">
        <f>SUM('ACTUAL EXP'!$G$52:$G$53)*ALLOCATION!P84</f>
        <v>22159.177065911364</v>
      </c>
      <c r="L80" s="40">
        <f>SUM('ACTUAL EXP'!$G$54:$G$54)*ALLOCATION!P84</f>
        <v>3021.705963533368</v>
      </c>
      <c r="M80" s="40">
        <f>SUM('ACTUAL EXP'!$G$21:$G$21)*ALLOCATION!P84</f>
        <v>931.14822418329061</v>
      </c>
      <c r="N80" s="176">
        <f>SUM('ACTUAL EXP'!$G$58:$G$62)*0.39*ALLOCATION!P84</f>
        <v>14829.737284138635</v>
      </c>
      <c r="O80" s="176">
        <f>SUM('ACTUAL EXP'!$G$58:$G$62)*0.27*ALLOCATION!P84</f>
        <v>10266.741196711364</v>
      </c>
      <c r="P80" s="176">
        <f>SUM('ACTUAL EXP'!$G$58:$G$62)*0.34*ALLOCATION!P84</f>
        <v>12928.488914377273</v>
      </c>
      <c r="Q80" s="40">
        <f>'ACTUAL EXP'!$G$85*ALLOCATION!P84</f>
        <v>19677.97411241935</v>
      </c>
      <c r="R80" s="40">
        <f>SUM('ACTUAL EXP'!$G$68:$G$73)*ALLOCATION!P84</f>
        <v>53671.5607016594</v>
      </c>
      <c r="S80" s="40">
        <f>SUM('ACTUAL EXP'!$G$75)*ALLOCATION!P84</f>
        <v>7516.5239838521693</v>
      </c>
      <c r="T80" s="40">
        <f>SUM('ACTUAL EXP'!$G$77)*ALLOCATION!P84</f>
        <v>4935.3191322284856</v>
      </c>
      <c r="U80" s="40">
        <f>SUM('ACTUAL EXP'!$G$79)*ALLOCATION!P84</f>
        <v>7479.420707156788</v>
      </c>
      <c r="V80" s="40">
        <f t="shared" si="21"/>
        <v>425437.15751750424</v>
      </c>
      <c r="W80" s="40">
        <f t="shared" si="22"/>
        <v>3831.7419716287318</v>
      </c>
      <c r="X80" s="40">
        <f t="shared" si="23"/>
        <v>2805.5594883432077</v>
      </c>
      <c r="Y80" s="40">
        <f t="shared" si="24"/>
        <v>8945.5224608967783</v>
      </c>
      <c r="Z80" s="40">
        <f t="shared" si="25"/>
        <v>3669.0937236018849</v>
      </c>
      <c r="AA80" s="40">
        <f t="shared" si="26"/>
        <v>1428.4422216120697</v>
      </c>
      <c r="AB80" s="40">
        <f t="shared" si="27"/>
        <v>3108.2083357991014</v>
      </c>
      <c r="AC80" s="40">
        <f t="shared" si="28"/>
        <v>449225.72571938601</v>
      </c>
      <c r="AD80" s="40">
        <f>SUM('ACTUAL EXP'!$G$37:$G$39)*ALLOCATION!P84</f>
        <v>8800.7035628214999</v>
      </c>
      <c r="AE80" s="40">
        <f t="shared" si="29"/>
        <v>492.09650174975479</v>
      </c>
      <c r="AF80" s="40">
        <f>SUM('ACTUAL EXP'!$G$41)*ALLOCATION!P84</f>
        <v>2633.0759741380125</v>
      </c>
      <c r="AG80" s="40">
        <f t="shared" si="30"/>
        <v>147.22998751922904</v>
      </c>
      <c r="AH80" s="40">
        <f>SUM('ACTUAL EXP'!$G$81)*ALLOCATION!P84</f>
        <v>1096.7785617885445</v>
      </c>
      <c r="AI80" s="40">
        <f t="shared" si="31"/>
        <v>61.327016595618154</v>
      </c>
      <c r="AJ80" s="296">
        <f>SUM('ACTUAL EXP'!$G$83)*ALLOCATION!P84</f>
        <v>8143.2096625422091</v>
      </c>
      <c r="AK80" s="40">
        <f t="shared" si="31"/>
        <v>455.33234466394202</v>
      </c>
      <c r="AL80" s="40">
        <f>SUM('ACTUAL EXP'!$G$64:$G$66)*ALLOCATION!P84</f>
        <v>2629.5737329628091</v>
      </c>
      <c r="AM80" s="40">
        <f t="shared" si="32"/>
        <v>147.03415764968506</v>
      </c>
      <c r="AN80" s="40">
        <f t="shared" si="33"/>
        <v>473832.08722181735</v>
      </c>
      <c r="AO80" s="40">
        <f>-AO79-AO78</f>
        <v>283111.72472140176</v>
      </c>
      <c r="AP80" s="41" t="s">
        <v>541</v>
      </c>
      <c r="AQ80" s="83">
        <f t="shared" si="34"/>
        <v>756943.81194321904</v>
      </c>
      <c r="AR80" s="40"/>
      <c r="AS80" s="171">
        <f t="shared" si="35"/>
        <v>756943.81194321904</v>
      </c>
      <c r="AT80" s="40"/>
      <c r="AU80" s="171"/>
      <c r="AV80" s="33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</row>
    <row r="81" spans="1:253" ht="13" customHeight="1">
      <c r="A81" s="25">
        <f>ALLOCATION!A85</f>
        <v>0</v>
      </c>
      <c r="B81" s="24" t="s">
        <v>385</v>
      </c>
      <c r="C81" s="40">
        <f>'ACTUAL EXP'!$G$13*(ALLOCATION!P85)</f>
        <v>822.23903543613392</v>
      </c>
      <c r="D81" s="40">
        <f>(SUM('ACTUAL EXP'!$G$15,'ACTUAL EXP'!$G$17:$G$19,'ACTUAL EXP'!$G$22))*ALLOCATION!P85</f>
        <v>1326.1433202398375</v>
      </c>
      <c r="E81" s="176">
        <f>(('ACTUAL EXP'!$G$25)*(ALLOCATION!P85))</f>
        <v>0</v>
      </c>
      <c r="F81" s="40">
        <f>'ACTUAL EXP'!$G$28*ALLOCATION!P85</f>
        <v>0</v>
      </c>
      <c r="G81" s="40">
        <v>0</v>
      </c>
      <c r="H81" s="40">
        <f>SUM('ACTUAL EXP'!$G$30:$G$35)*ALLOCATION!P85</f>
        <v>1190.2495606287996</v>
      </c>
      <c r="I81" s="40">
        <f>SUM('ACTUAL EXP'!$G$43:$G$47)*ALLOCATION!P85</f>
        <v>718.94711109374452</v>
      </c>
      <c r="J81" s="176">
        <f>(SUM('ACTUAL EXP'!$G$49:$G$50)*ALLOCATION!P85*0.5)+(SUM('ACTUAL EXP'!$G$49:$G$50)*ALLOCATION!P85*0.5)</f>
        <v>344.89188978840002</v>
      </c>
      <c r="K81" s="40">
        <f>SUM('ACTUAL EXP'!$G$52:$G$53)*ALLOCATION!P85</f>
        <v>363.98539455235004</v>
      </c>
      <c r="L81" s="40">
        <f>SUM('ACTUAL EXP'!$G$54:$G$54)*ALLOCATION!P85</f>
        <v>49.634371984411374</v>
      </c>
      <c r="M81" s="40">
        <f>SUM('ACTUAL EXP'!$G$21:$G$21)*ALLOCATION!P85</f>
        <v>15.294988291215036</v>
      </c>
      <c r="N81" s="176">
        <f>SUM('ACTUAL EXP'!$G$58:$G$62)*0.39*ALLOCATION!P85</f>
        <v>243.59242946700536</v>
      </c>
      <c r="O81" s="176">
        <f>SUM('ACTUAL EXP'!$G$58:$G$62)*0.27*ALLOCATION!P85</f>
        <v>168.64091270792682</v>
      </c>
      <c r="P81" s="176">
        <f>SUM('ACTUAL EXP'!$G$58:$G$62)*0.34*ALLOCATION!P85</f>
        <v>212.36263081738929</v>
      </c>
      <c r="Q81" s="40">
        <f>'ACTUAL EXP'!$G$85*ALLOCATION!P85</f>
        <v>323.22929457151787</v>
      </c>
      <c r="R81" s="40">
        <f>SUM('ACTUAL EXP'!$G$68:$G$73)*ALLOCATION!P85</f>
        <v>881.60603347886274</v>
      </c>
      <c r="S81" s="40">
        <f>SUM('ACTUAL EXP'!$G$75)*ALLOCATION!P85</f>
        <v>123.46599965273174</v>
      </c>
      <c r="T81" s="40">
        <f>SUM('ACTUAL EXP'!$G$77)*ALLOCATION!P85</f>
        <v>81.067274124968293</v>
      </c>
      <c r="U81" s="40">
        <f>SUM('ACTUAL EXP'!$G$79)*ALLOCATION!P85</f>
        <v>122.85654331926848</v>
      </c>
      <c r="V81" s="40">
        <f>SUM(C81:U81)</f>
        <v>6988.2067901545643</v>
      </c>
      <c r="W81" s="40">
        <f t="shared" si="22"/>
        <v>62.939977834809632</v>
      </c>
      <c r="X81" s="40">
        <f>-(Q81/$Q$111)*($X$118)</f>
        <v>46.083962155599686</v>
      </c>
      <c r="Y81" s="40">
        <f t="shared" si="24"/>
        <v>146.93864816015031</v>
      </c>
      <c r="Z81" s="40">
        <f t="shared" si="25"/>
        <v>60.268326872537521</v>
      </c>
      <c r="AA81" s="40">
        <f t="shared" si="26"/>
        <v>23.463511487010212</v>
      </c>
      <c r="AB81" s="40">
        <f t="shared" si="27"/>
        <v>51.055255079717874</v>
      </c>
      <c r="AC81" s="40">
        <f>SUM(V81:AB81)</f>
        <v>7378.9564717443891</v>
      </c>
      <c r="AD81" s="40">
        <f>SUM('ACTUAL EXP'!$G$37:$G$39)*ALLOCATION!P85</f>
        <v>144.55986109609208</v>
      </c>
      <c r="AE81" s="40">
        <f>(AD81/$AD$111)*SUM($AD$117:$AD$122)</f>
        <v>8.0831494244774671</v>
      </c>
      <c r="AF81" s="40">
        <f>SUM('ACTUAL EXP'!$G$41)*ALLOCATION!P85</f>
        <v>43.250757664972006</v>
      </c>
      <c r="AG81" s="40">
        <f>(AF81/$AF$111)*SUM($AF$117:$AF$122)</f>
        <v>2.4183914834799443</v>
      </c>
      <c r="AH81" s="40">
        <f>SUM('ACTUAL EXP'!$G$81)*ALLOCATION!P85</f>
        <v>18.015622888960547</v>
      </c>
      <c r="AI81" s="40">
        <f>(AH81/$AH$111)*SUM($AH$117:$AH$122)</f>
        <v>1.0073541208628147</v>
      </c>
      <c r="AJ81" s="296">
        <f>SUM('ACTUAL EXP'!$G$83)*ALLOCATION!P85</f>
        <v>133.7599033180085</v>
      </c>
      <c r="AK81" s="40">
        <f>(AJ81/$AH$111)*SUM($AH$117:$AH$122)</f>
        <v>7.4792634506228781</v>
      </c>
      <c r="AL81" s="40">
        <f>SUM('ACTUAL EXP'!$G$64:$G$66)*ALLOCATION!P85</f>
        <v>43.193230048662869</v>
      </c>
      <c r="AM81" s="40">
        <f>(AL81/$AL$111)*SUM($AL$117:$AL$122)</f>
        <v>2.4151747930713121</v>
      </c>
      <c r="AN81" s="40">
        <f>SUM(AC81:AM81)</f>
        <v>7783.1391800336014</v>
      </c>
      <c r="AO81" s="40">
        <f>-AN81</f>
        <v>-7783.1391800336014</v>
      </c>
      <c r="AP81" s="41" t="s">
        <v>351</v>
      </c>
      <c r="AQ81" s="83">
        <f t="shared" si="34"/>
        <v>0</v>
      </c>
      <c r="AR81" s="40"/>
      <c r="AS81" s="171">
        <f t="shared" si="35"/>
        <v>0</v>
      </c>
      <c r="AT81" s="40"/>
      <c r="AU81" s="171"/>
      <c r="AV81" s="33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</row>
    <row r="82" spans="1:253" ht="13" customHeight="1">
      <c r="A82" s="25">
        <f>ALLOCATION!A86</f>
        <v>706000</v>
      </c>
      <c r="B82" s="24" t="str">
        <f>ALLOCATION!C86</f>
        <v>Technology Services</v>
      </c>
      <c r="C82" s="40">
        <f>'ACTUAL EXP'!$G$13*(ALLOCATION!P86)</f>
        <v>188910.14055800918</v>
      </c>
      <c r="D82" s="40">
        <f>(SUM('ACTUAL EXP'!$G$15,'ACTUAL EXP'!$G$17:$G$19,'ACTUAL EXP'!$G$22))*ALLOCATION!P86</f>
        <v>304682.59256712411</v>
      </c>
      <c r="E82" s="176">
        <f>(('ACTUAL EXP'!$G$25)*(ALLOCATION!P86))</f>
        <v>0</v>
      </c>
      <c r="F82" s="40">
        <f>'ACTUAL EXP'!$G$28*ALLOCATION!P86</f>
        <v>0</v>
      </c>
      <c r="G82" s="40">
        <v>0</v>
      </c>
      <c r="H82" s="40">
        <f>SUM('ACTUAL EXP'!$G$30:$G$35)*ALLOCATION!P86</f>
        <v>273460.88194198866</v>
      </c>
      <c r="I82" s="40">
        <f>SUM('ACTUAL EXP'!$G$43:$G$47)*ALLOCATION!P86</f>
        <v>165178.73021980026</v>
      </c>
      <c r="J82" s="176">
        <f>(SUM('ACTUAL EXP'!$G$49:$G$50)*ALLOCATION!P86*0.5)+(SUM('ACTUAL EXP'!$G$49:$G$50)*ALLOCATION!P86*0.5)</f>
        <v>79239.214594920268</v>
      </c>
      <c r="K82" s="40">
        <f>SUM('ACTUAL EXP'!$G$52:$G$53)*ALLOCATION!P86</f>
        <v>83625.964084123989</v>
      </c>
      <c r="L82" s="40">
        <f>SUM('ACTUAL EXP'!$G$54:$G$54)*ALLOCATION!P86</f>
        <v>11403.540556925998</v>
      </c>
      <c r="M82" s="40">
        <f>SUM('ACTUAL EXP'!$G$21:$G$21)*ALLOCATION!P86</f>
        <v>3514.0369933834959</v>
      </c>
      <c r="N82" s="176">
        <f>SUM('ACTUAL EXP'!$G$58:$G$62)*0.39*ALLOCATION!P86</f>
        <v>55965.574615501493</v>
      </c>
      <c r="O82" s="176">
        <f>SUM('ACTUAL EXP'!$G$58:$G$62)*0.27*ALLOCATION!P86</f>
        <v>38745.397810731803</v>
      </c>
      <c r="P82" s="176">
        <f>SUM('ACTUAL EXP'!$G$58:$G$62)*0.34*ALLOCATION!P86</f>
        <v>48790.500946847453</v>
      </c>
      <c r="Q82" s="40">
        <f>'ACTUAL EXP'!$G$85*ALLOCATION!P86</f>
        <v>74262.214317741949</v>
      </c>
      <c r="R82" s="40">
        <f>SUM('ACTUAL EXP'!$G$68:$G$73)*ALLOCATION!P86</f>
        <v>202549.76049992823</v>
      </c>
      <c r="S82" s="40">
        <f>SUM('ACTUAL EXP'!$G$75)*ALLOCATION!P86</f>
        <v>28366.421859503556</v>
      </c>
      <c r="T82" s="40">
        <f>SUM('ACTUAL EXP'!$G$77)*ALLOCATION!P86</f>
        <v>18625.277431008013</v>
      </c>
      <c r="U82" s="40">
        <f>SUM('ACTUAL EXP'!$G$79)*ALLOCATION!P86</f>
        <v>28226.398731609312</v>
      </c>
      <c r="V82" s="40">
        <f t="shared" si="21"/>
        <v>1605546.6477291479</v>
      </c>
      <c r="W82" s="40">
        <f t="shared" si="22"/>
        <v>14460.515187271731</v>
      </c>
      <c r="X82" s="40">
        <f t="shared" si="23"/>
        <v>10587.830780457412</v>
      </c>
      <c r="Y82" s="40">
        <f t="shared" si="24"/>
        <v>33759.283469939233</v>
      </c>
      <c r="Z82" s="40">
        <f t="shared" si="25"/>
        <v>13846.701032198123</v>
      </c>
      <c r="AA82" s="40">
        <f t="shared" si="26"/>
        <v>5390.7623719718795</v>
      </c>
      <c r="AB82" s="40">
        <f t="shared" si="27"/>
        <v>11729.989696023944</v>
      </c>
      <c r="AC82" s="40">
        <f t="shared" si="28"/>
        <v>1695321.7302670102</v>
      </c>
      <c r="AD82" s="40">
        <f>SUM('ACTUAL EXP'!$G$37:$G$39)*ALLOCATION!P86</f>
        <v>33212.755052700501</v>
      </c>
      <c r="AE82" s="40">
        <f t="shared" si="29"/>
        <v>1857.1106796449776</v>
      </c>
      <c r="AF82" s="40">
        <f>SUM('ACTUAL EXP'!$G$41)*ALLOCATION!P86</f>
        <v>9936.8995603528329</v>
      </c>
      <c r="AG82" s="40">
        <f t="shared" si="30"/>
        <v>555.6275673851469</v>
      </c>
      <c r="AH82" s="40">
        <f>SUM('ACTUAL EXP'!$G$81)*ALLOCATION!P86</f>
        <v>4139.1051817290827</v>
      </c>
      <c r="AI82" s="40">
        <f t="shared" si="31"/>
        <v>231.44049402002071</v>
      </c>
      <c r="AJ82" s="296">
        <f>SUM('ACTUAL EXP'!$G$83)*ALLOCATION!P86</f>
        <v>30731.45526766152</v>
      </c>
      <c r="AK82" s="40">
        <f t="shared" si="31"/>
        <v>1718.3673467632325</v>
      </c>
      <c r="AL82" s="40">
        <f>SUM('ACTUAL EXP'!$G$64:$G$66)*ALLOCATION!P86</f>
        <v>9923.6825399797217</v>
      </c>
      <c r="AM82" s="40">
        <f t="shared" si="32"/>
        <v>554.8885299385679</v>
      </c>
      <c r="AN82" s="40">
        <f t="shared" si="33"/>
        <v>1788183.0624871857</v>
      </c>
      <c r="AO82" s="39">
        <f>-AO69</f>
        <v>0</v>
      </c>
      <c r="AP82" s="169" t="s">
        <v>4</v>
      </c>
      <c r="AQ82" s="83">
        <f t="shared" si="34"/>
        <v>1788183.0624871857</v>
      </c>
      <c r="AR82" s="40"/>
      <c r="AS82" s="171">
        <f t="shared" si="35"/>
        <v>1788183.0624871857</v>
      </c>
      <c r="AT82" s="40"/>
      <c r="AU82" s="171"/>
      <c r="AV82" s="33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</row>
    <row r="83" spans="1:253" ht="13" customHeight="1">
      <c r="A83" s="25">
        <f>ALLOCATION!A87</f>
        <v>702000</v>
      </c>
      <c r="B83" s="24" t="str">
        <f>ALLOCATION!C87</f>
        <v>CityFleet Operating</v>
      </c>
      <c r="C83" s="40">
        <f>'ACTUAL EXP'!$G$13*(ALLOCATION!P87)</f>
        <v>101806.66585624745</v>
      </c>
      <c r="D83" s="40">
        <f>(SUM('ACTUAL EXP'!$G$15,'ACTUAL EXP'!$G$17:$G$19,'ACTUAL EXP'!$G$22))*ALLOCATION!P87</f>
        <v>164198.27332758444</v>
      </c>
      <c r="E83" s="176">
        <f>(('ACTUAL EXP'!$G$25)*(ALLOCATION!P87))</f>
        <v>0</v>
      </c>
      <c r="F83" s="40">
        <f>'ACTUAL EXP'!$G$28*ALLOCATION!P87</f>
        <v>0</v>
      </c>
      <c r="G83" s="40">
        <v>0</v>
      </c>
      <c r="H83" s="40">
        <f>SUM('ACTUAL EXP'!$G$30:$G$35)*ALLOCATION!P87</f>
        <v>147372.39912260728</v>
      </c>
      <c r="I83" s="40">
        <f>SUM('ACTUAL EXP'!$G$43:$G$47)*ALLOCATION!P87</f>
        <v>89017.43307359732</v>
      </c>
      <c r="J83" s="176">
        <f>(SUM('ACTUAL EXP'!$G$49:$G$50)*ALLOCATION!P87*0.5)+(SUM('ACTUAL EXP'!$G$49:$G$50)*ALLOCATION!P87*0.5)</f>
        <v>42703.267379653189</v>
      </c>
      <c r="K83" s="40">
        <f>SUM('ACTUAL EXP'!$G$52:$G$53)*ALLOCATION!P87</f>
        <v>45067.356137002287</v>
      </c>
      <c r="L83" s="40">
        <f>SUM('ACTUAL EXP'!$G$54:$G$54)*ALLOCATION!P87</f>
        <v>6145.5485641366759</v>
      </c>
      <c r="M83" s="40">
        <f>SUM('ACTUAL EXP'!$G$21:$G$21)*ALLOCATION!P87</f>
        <v>1893.7701752544613</v>
      </c>
      <c r="N83" s="176">
        <f>SUM('ACTUAL EXP'!$G$58:$G$62)*0.39*ALLOCATION!P87</f>
        <v>30160.734291464065</v>
      </c>
      <c r="O83" s="176">
        <f>SUM('ACTUAL EXP'!$G$58:$G$62)*0.27*ALLOCATION!P87</f>
        <v>20880.508355628968</v>
      </c>
      <c r="P83" s="176">
        <f>SUM('ACTUAL EXP'!$G$58:$G$62)*0.34*ALLOCATION!P87</f>
        <v>26293.973484866106</v>
      </c>
      <c r="Q83" s="40">
        <f>'ACTUAL EXP'!$G$85*ALLOCATION!P87</f>
        <v>40021.083126926154</v>
      </c>
      <c r="R83" s="40">
        <f>SUM('ACTUAL EXP'!$G$68:$G$73)*ALLOCATION!P87</f>
        <v>109157.27300592959</v>
      </c>
      <c r="S83" s="40">
        <f>SUM('ACTUAL EXP'!$G$75)*ALLOCATION!P87</f>
        <v>15287.113879950974</v>
      </c>
      <c r="T83" s="40">
        <f>SUM('ACTUAL EXP'!$G$77)*ALLOCATION!P87</f>
        <v>10037.456910981837</v>
      </c>
      <c r="U83" s="40">
        <f>SUM('ACTUAL EXP'!$G$79)*ALLOCATION!P87</f>
        <v>15211.653199271959</v>
      </c>
      <c r="V83" s="40">
        <f t="shared" si="21"/>
        <v>865254.50989110279</v>
      </c>
      <c r="W83" s="40">
        <f t="shared" si="22"/>
        <v>7793.0005950511631</v>
      </c>
      <c r="X83" s="40">
        <f t="shared" si="23"/>
        <v>5705.9496500534433</v>
      </c>
      <c r="Y83" s="40">
        <f t="shared" si="24"/>
        <v>18193.412389712641</v>
      </c>
      <c r="Z83" s="40">
        <f t="shared" si="25"/>
        <v>7462.2064280528903</v>
      </c>
      <c r="AA83" s="40">
        <f t="shared" si="26"/>
        <v>2905.1671969152262</v>
      </c>
      <c r="AB83" s="40">
        <f t="shared" si="27"/>
        <v>6321.4771740304295</v>
      </c>
      <c r="AC83" s="40">
        <f t="shared" si="28"/>
        <v>913635.72332491854</v>
      </c>
      <c r="AD83" s="40">
        <f>SUM('ACTUAL EXP'!$G$37:$G$39)*ALLOCATION!P87</f>
        <v>17898.879572202604</v>
      </c>
      <c r="AE83" s="40">
        <f t="shared" si="29"/>
        <v>1000.8263498307423</v>
      </c>
      <c r="AF83" s="40">
        <f>SUM('ACTUAL EXP'!$G$41)*ALLOCATION!P87</f>
        <v>5355.1525090167661</v>
      </c>
      <c r="AG83" s="40">
        <f t="shared" si="30"/>
        <v>299.43649359537261</v>
      </c>
      <c r="AH83" s="40">
        <f>SUM('ACTUAL EXP'!$G$81)*ALLOCATION!P87</f>
        <v>2230.6293189737903</v>
      </c>
      <c r="AI83" s="40">
        <f t="shared" si="31"/>
        <v>124.7269467414629</v>
      </c>
      <c r="AJ83" s="296">
        <f>SUM('ACTUAL EXP'!$G$83)*ALLOCATION!P87</f>
        <v>16561.667830374106</v>
      </c>
      <c r="AK83" s="40">
        <f t="shared" si="31"/>
        <v>926.05537094760223</v>
      </c>
      <c r="AL83" s="40">
        <f>SUM('ACTUAL EXP'!$G$64:$G$66)*ALLOCATION!P87</f>
        <v>5348.0296474659472</v>
      </c>
      <c r="AM83" s="40">
        <f t="shared" si="32"/>
        <v>299.0382146138586</v>
      </c>
      <c r="AN83" s="40">
        <f t="shared" si="33"/>
        <v>963680.1655786807</v>
      </c>
      <c r="AO83" s="40">
        <f>-AO66*0.315</f>
        <v>2396.8415519257824</v>
      </c>
      <c r="AP83" s="41" t="s">
        <v>1</v>
      </c>
      <c r="AQ83" s="83">
        <f t="shared" si="34"/>
        <v>966077.00713060645</v>
      </c>
      <c r="AR83" s="40"/>
      <c r="AS83" s="171">
        <f t="shared" si="35"/>
        <v>966077.00713060645</v>
      </c>
      <c r="AT83" s="40"/>
      <c r="AU83" s="171"/>
      <c r="AV83" s="33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</row>
    <row r="84" spans="1:253" ht="13" customHeight="1">
      <c r="A84" s="25">
        <f>ALLOCATION!A88</f>
        <v>704000</v>
      </c>
      <c r="B84" s="24" t="str">
        <f>ALLOCATION!C88</f>
        <v>Insurance &amp; Claim Op</v>
      </c>
      <c r="C84" s="40">
        <f>'ACTUAL EXP'!$G$13*(ALLOCATION!P88)</f>
        <v>28416.627668837453</v>
      </c>
      <c r="D84" s="40">
        <f>(SUM('ACTUAL EXP'!$G$15,'ACTUAL EXP'!$G$17:$G$19,'ACTUAL EXP'!$G$22))*ALLOCATION!P88</f>
        <v>45831.588312737578</v>
      </c>
      <c r="E84" s="176">
        <f>(('ACTUAL EXP'!$G$25)*(ALLOCATION!P88))</f>
        <v>0</v>
      </c>
      <c r="F84" s="40">
        <f>'ACTUAL EXP'!$G$28*ALLOCATION!P88</f>
        <v>0</v>
      </c>
      <c r="G84" s="40">
        <v>0</v>
      </c>
      <c r="H84" s="40">
        <f>SUM('ACTUAL EXP'!$G$30:$G$35)*ALLOCATION!P88</f>
        <v>41135.09227817865</v>
      </c>
      <c r="I84" s="40">
        <f>SUM('ACTUAL EXP'!$G$43:$G$47)*ALLOCATION!P88</f>
        <v>24846.852909021403</v>
      </c>
      <c r="J84" s="176">
        <f>(SUM('ACTUAL EXP'!$G$49:$G$50)*ALLOCATION!P88*0.5)+(SUM('ACTUAL EXP'!$G$49:$G$50)*ALLOCATION!P88*0.5)</f>
        <v>11919.483259415183</v>
      </c>
      <c r="K84" s="40">
        <f>SUM('ACTUAL EXP'!$G$52:$G$53)*ALLOCATION!P88</f>
        <v>12579.355866269159</v>
      </c>
      <c r="L84" s="40">
        <f>SUM('ACTUAL EXP'!$G$54:$G$54)*ALLOCATION!P88</f>
        <v>1715.3667090367037</v>
      </c>
      <c r="M84" s="40">
        <f>SUM('ACTUAL EXP'!$G$21:$G$21)*ALLOCATION!P88</f>
        <v>528.59566225793162</v>
      </c>
      <c r="N84" s="176">
        <f>SUM('ACTUAL EXP'!$G$58:$G$62)*0.39*ALLOCATION!P88</f>
        <v>8418.5681690967358</v>
      </c>
      <c r="O84" s="176">
        <f>SUM('ACTUAL EXP'!$G$58:$G$62)*0.27*ALLOCATION!P88</f>
        <v>5828.2395016823566</v>
      </c>
      <c r="P84" s="176">
        <f>SUM('ACTUAL EXP'!$G$58:$G$62)*0.34*ALLOCATION!P88</f>
        <v>7339.2645576740779</v>
      </c>
      <c r="Q84" s="40">
        <f>'ACTUAL EXP'!$G$85*ALLOCATION!P88</f>
        <v>11170.822740892898</v>
      </c>
      <c r="R84" s="40">
        <f>SUM('ACTUAL EXP'!$G$68:$G$73)*ALLOCATION!P88</f>
        <v>30468.354486090782</v>
      </c>
      <c r="S84" s="40">
        <f>SUM('ACTUAL EXP'!$G$75)*ALLOCATION!P88</f>
        <v>4266.9919459996354</v>
      </c>
      <c r="T84" s="40">
        <f>SUM('ACTUAL EXP'!$G$77)*ALLOCATION!P88</f>
        <v>2801.6895886180987</v>
      </c>
      <c r="U84" s="40">
        <f>SUM('ACTUAL EXP'!$G$79)*ALLOCATION!P88</f>
        <v>4245.9291005714149</v>
      </c>
      <c r="V84" s="40">
        <f t="shared" si="21"/>
        <v>241512.82275638005</v>
      </c>
      <c r="W84" s="40">
        <f t="shared" si="22"/>
        <v>2175.2092013826432</v>
      </c>
      <c r="X84" s="40">
        <f t="shared" si="23"/>
        <v>1592.6643441172275</v>
      </c>
      <c r="Y84" s="40">
        <f t="shared" si="24"/>
        <v>5078.2080088359226</v>
      </c>
      <c r="Z84" s="40">
        <f t="shared" si="25"/>
        <v>2082.8767926984597</v>
      </c>
      <c r="AA84" s="40">
        <f t="shared" si="26"/>
        <v>810.90028689309167</v>
      </c>
      <c r="AB84" s="40">
        <f t="shared" si="27"/>
        <v>1764.4725093455561</v>
      </c>
      <c r="AC84" s="40">
        <f t="shared" si="28"/>
        <v>255017.15389965297</v>
      </c>
      <c r="AD84" s="40">
        <f>SUM('ACTUAL EXP'!$G$37:$G$39)*ALLOCATION!P88</f>
        <v>4995.9969930734142</v>
      </c>
      <c r="AE84" s="40">
        <f t="shared" si="29"/>
        <v>279.35410225947027</v>
      </c>
      <c r="AF84" s="40">
        <f>SUM('ACTUAL EXP'!$G$41)*ALLOCATION!P88</f>
        <v>1494.7486363362893</v>
      </c>
      <c r="AG84" s="40">
        <f t="shared" si="30"/>
        <v>83.579746742484772</v>
      </c>
      <c r="AH84" s="40">
        <f>SUM('ACTUAL EXP'!$G$81)*ALLOCATION!P88</f>
        <v>622.6209481604476</v>
      </c>
      <c r="AI84" s="40">
        <f t="shared" si="31"/>
        <v>34.814215513429168</v>
      </c>
      <c r="AJ84" s="296">
        <f>SUM('ACTUAL EXP'!$G$83)*ALLOCATION!P88</f>
        <v>4622.7498401257544</v>
      </c>
      <c r="AK84" s="40">
        <f t="shared" si="31"/>
        <v>258.4837687750512</v>
      </c>
      <c r="AL84" s="40">
        <f>SUM('ACTUAL EXP'!$G$64:$G$66)*ALLOCATION!P88</f>
        <v>1492.7604786560044</v>
      </c>
      <c r="AM84" s="40">
        <f t="shared" si="32"/>
        <v>83.468577739641788</v>
      </c>
      <c r="AN84" s="40">
        <f t="shared" si="33"/>
        <v>268985.73120703496</v>
      </c>
      <c r="AO84" s="40">
        <f>-AO66*0.095</f>
        <v>722.85697597761691</v>
      </c>
      <c r="AP84" s="41" t="s">
        <v>1</v>
      </c>
      <c r="AQ84" s="83">
        <f t="shared" si="34"/>
        <v>269708.58818301256</v>
      </c>
      <c r="AR84" s="40"/>
      <c r="AS84" s="171">
        <f t="shared" si="35"/>
        <v>269708.58818301256</v>
      </c>
      <c r="AT84" s="40"/>
      <c r="AU84" s="171"/>
      <c r="AV84" s="33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</row>
    <row r="85" spans="1:253" ht="13" customHeight="1">
      <c r="A85" s="25">
        <f>ALLOCATION!A89</f>
        <v>705000</v>
      </c>
      <c r="B85" s="24" t="str">
        <f>ALLOCATION!C89</f>
        <v>Wkr Comp Self Ins Op</v>
      </c>
      <c r="C85" s="40">
        <f>'ACTUAL EXP'!$G$13*(ALLOCATION!P89)</f>
        <v>15451.072138779036</v>
      </c>
      <c r="D85" s="40">
        <f>(SUM('ACTUAL EXP'!$G$15,'ACTUAL EXP'!$G$17:$G$19,'ACTUAL EXP'!$G$22))*ALLOCATION!P89</f>
        <v>24920.169469352848</v>
      </c>
      <c r="E85" s="176">
        <f>(('ACTUAL EXP'!$G$25)*(ALLOCATION!P89))</f>
        <v>0</v>
      </c>
      <c r="F85" s="40">
        <f>'ACTUAL EXP'!$G$28*ALLOCATION!P89</f>
        <v>0</v>
      </c>
      <c r="G85" s="40">
        <v>0</v>
      </c>
      <c r="H85" s="40">
        <f>SUM('ACTUAL EXP'!$G$30:$G$35)*ALLOCATION!P89</f>
        <v>22366.527289319019</v>
      </c>
      <c r="I85" s="40">
        <f>SUM('ACTUAL EXP'!$G$43:$G$47)*ALLOCATION!P89</f>
        <v>13510.066049812431</v>
      </c>
      <c r="J85" s="176">
        <f>(SUM('ACTUAL EXP'!$G$49:$G$50)*ALLOCATION!P89*0.5)+(SUM('ACTUAL EXP'!$G$49:$G$50)*ALLOCATION!P89*0.5)</f>
        <v>6481.0222326331223</v>
      </c>
      <c r="K85" s="40">
        <f>SUM('ACTUAL EXP'!$G$52:$G$53)*ALLOCATION!P89</f>
        <v>6839.8170681683023</v>
      </c>
      <c r="L85" s="40">
        <f>SUM('ACTUAL EXP'!$G$54:$G$54)*ALLOCATION!P89</f>
        <v>932.70232747749583</v>
      </c>
      <c r="M85" s="40">
        <f>SUM('ACTUAL EXP'!$G$21:$G$21)*ALLOCATION!P89</f>
        <v>287.41516428247991</v>
      </c>
      <c r="N85" s="176">
        <f>SUM('ACTUAL EXP'!$G$58:$G$62)*0.39*ALLOCATION!P89</f>
        <v>4577.4574520884426</v>
      </c>
      <c r="O85" s="176">
        <f>SUM('ACTUAL EXP'!$G$58:$G$62)*0.27*ALLOCATION!P89</f>
        <v>3169.0090052919991</v>
      </c>
      <c r="P85" s="176">
        <f>SUM('ACTUAL EXP'!$G$58:$G$62)*0.34*ALLOCATION!P89</f>
        <v>3990.6039325899242</v>
      </c>
      <c r="Q85" s="40">
        <f>'ACTUAL EXP'!$G$85*ALLOCATION!P89</f>
        <v>6073.9504360093115</v>
      </c>
      <c r="R85" s="40">
        <f>SUM('ACTUAL EXP'!$G$68:$G$73)*ALLOCATION!P89</f>
        <v>16566.664721822006</v>
      </c>
      <c r="S85" s="40">
        <f>SUM('ACTUAL EXP'!$G$75)*ALLOCATION!P89</f>
        <v>2320.1064229563713</v>
      </c>
      <c r="T85" s="40">
        <f>SUM('ACTUAL EXP'!$G$77)*ALLOCATION!P89</f>
        <v>1523.3724581497956</v>
      </c>
      <c r="U85" s="40">
        <f>SUM('ACTUAL EXP'!$G$79)*ALLOCATION!P89</f>
        <v>2308.6538485005967</v>
      </c>
      <c r="V85" s="40">
        <f t="shared" si="21"/>
        <v>131318.61001723318</v>
      </c>
      <c r="W85" s="40">
        <f t="shared" si="22"/>
        <v>1182.7340907294274</v>
      </c>
      <c r="X85" s="40">
        <f t="shared" si="23"/>
        <v>865.98494235833527</v>
      </c>
      <c r="Y85" s="40">
        <f t="shared" si="24"/>
        <v>2761.1917640141037</v>
      </c>
      <c r="Z85" s="40">
        <f t="shared" si="25"/>
        <v>1132.5298679077646</v>
      </c>
      <c r="AA85" s="40">
        <f t="shared" si="26"/>
        <v>440.91364310205489</v>
      </c>
      <c r="AB85" s="40">
        <f t="shared" si="27"/>
        <v>959.40279566276922</v>
      </c>
      <c r="AC85" s="40">
        <f t="shared" si="28"/>
        <v>138661.36712100764</v>
      </c>
      <c r="AD85" s="40">
        <f>SUM('ACTUAL EXP'!$G$37:$G$39)*ALLOCATION!P89</f>
        <v>2716.4908814902496</v>
      </c>
      <c r="AE85" s="40">
        <f t="shared" si="29"/>
        <v>151.89418099067188</v>
      </c>
      <c r="AF85" s="40">
        <f>SUM('ACTUAL EXP'!$G$41)*ALLOCATION!P89</f>
        <v>812.74489283261437</v>
      </c>
      <c r="AG85" s="40">
        <f t="shared" si="30"/>
        <v>45.445107396582458</v>
      </c>
      <c r="AH85" s="40">
        <f>SUM('ACTUAL EXP'!$G$81)*ALLOCATION!P89</f>
        <v>338.53986114234954</v>
      </c>
      <c r="AI85" s="40">
        <f t="shared" si="31"/>
        <v>18.929654905634376</v>
      </c>
      <c r="AJ85" s="296">
        <f>SUM('ACTUAL EXP'!$G$83)*ALLOCATION!P89</f>
        <v>2513.5439043543061</v>
      </c>
      <c r="AK85" s="40">
        <f t="shared" si="31"/>
        <v>140.54628172598314</v>
      </c>
      <c r="AL85" s="40">
        <f>SUM('ACTUAL EXP'!$G$64:$G$66)*ALLOCATION!P89</f>
        <v>811.66386491827677</v>
      </c>
      <c r="AM85" s="40">
        <f t="shared" si="32"/>
        <v>45.384661086677539</v>
      </c>
      <c r="AN85" s="40">
        <f t="shared" si="33"/>
        <v>146256.550411851</v>
      </c>
      <c r="AO85" s="40">
        <f>-AO66*0.066</f>
        <v>502.19537278444966</v>
      </c>
      <c r="AP85" s="41" t="s">
        <v>1</v>
      </c>
      <c r="AQ85" s="83">
        <f t="shared" si="34"/>
        <v>146758.74578463545</v>
      </c>
      <c r="AR85" s="40"/>
      <c r="AS85" s="171">
        <f t="shared" si="35"/>
        <v>146758.74578463545</v>
      </c>
      <c r="AT85" s="40"/>
      <c r="AU85" s="171"/>
      <c r="AV85" s="33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</row>
    <row r="86" spans="1:253" ht="13" customHeight="1">
      <c r="A86" s="25">
        <f>ALLOCATION!A90</f>
        <v>707000</v>
      </c>
      <c r="B86" s="24" t="str">
        <f>ALLOCATION!C90</f>
        <v>PPA Health Insurance</v>
      </c>
      <c r="C86" s="40">
        <f>'ACTUAL EXP'!$G$13*(ALLOCATION!P90)</f>
        <v>0</v>
      </c>
      <c r="D86" s="40">
        <f>(SUM('ACTUAL EXP'!$G$15,'ACTUAL EXP'!$G$17:$G$19,'ACTUAL EXP'!$G$22))*ALLOCATION!P90</f>
        <v>0</v>
      </c>
      <c r="E86" s="176">
        <f>(('ACTUAL EXP'!$G$25)*(ALLOCATION!P90))</f>
        <v>0</v>
      </c>
      <c r="F86" s="40">
        <f>'ACTUAL EXP'!$G$28*ALLOCATION!P90</f>
        <v>0</v>
      </c>
      <c r="G86" s="40">
        <v>0</v>
      </c>
      <c r="H86" s="40">
        <f>SUM('ACTUAL EXP'!$G$30:$G$35)*ALLOCATION!P90</f>
        <v>0</v>
      </c>
      <c r="I86" s="40">
        <f>SUM('ACTUAL EXP'!$G$43:$G$47)*ALLOCATION!P90</f>
        <v>0</v>
      </c>
      <c r="J86" s="176">
        <f>(SUM('ACTUAL EXP'!$G$49:$G$50)*ALLOCATION!P90*0.5)+(SUM('ACTUAL EXP'!$G$49:$G$50)*ALLOCATION!P90*0.5)</f>
        <v>0</v>
      </c>
      <c r="K86" s="40">
        <f>SUM('ACTUAL EXP'!$G$52:$G$53)*ALLOCATION!P90</f>
        <v>0</v>
      </c>
      <c r="L86" s="40">
        <f>SUM('ACTUAL EXP'!$G$54:$G$54)*ALLOCATION!P90</f>
        <v>0</v>
      </c>
      <c r="M86" s="40">
        <f>SUM('ACTUAL EXP'!$G$21:$G$21)*ALLOCATION!P90</f>
        <v>0</v>
      </c>
      <c r="N86" s="176">
        <f>SUM('ACTUAL EXP'!$G$58:$G$62)*0.39*ALLOCATION!P90</f>
        <v>0</v>
      </c>
      <c r="O86" s="176">
        <f>SUM('ACTUAL EXP'!$G$58:$G$62)*0.27*ALLOCATION!P90</f>
        <v>0</v>
      </c>
      <c r="P86" s="176">
        <f>SUM('ACTUAL EXP'!$G$58:$G$62)*0.34*ALLOCATION!P90</f>
        <v>0</v>
      </c>
      <c r="Q86" s="40">
        <f>'ACTUAL EXP'!$G$85*ALLOCATION!P90</f>
        <v>0</v>
      </c>
      <c r="R86" s="40">
        <f>SUM('ACTUAL EXP'!$G$68:$G$73)*ALLOCATION!P90</f>
        <v>0</v>
      </c>
      <c r="S86" s="40">
        <f>SUM('ACTUAL EXP'!$G$75)*ALLOCATION!P90</f>
        <v>0</v>
      </c>
      <c r="T86" s="40">
        <f>SUM('ACTUAL EXP'!$G$77)*ALLOCATION!P90</f>
        <v>0</v>
      </c>
      <c r="U86" s="40">
        <f>SUM('ACTUAL EXP'!$G$79)*ALLOCATION!P90</f>
        <v>0</v>
      </c>
      <c r="V86" s="40">
        <f t="shared" si="21"/>
        <v>0</v>
      </c>
      <c r="W86" s="40">
        <f t="shared" si="22"/>
        <v>0</v>
      </c>
      <c r="X86" s="40">
        <f t="shared" si="23"/>
        <v>0</v>
      </c>
      <c r="Y86" s="40">
        <f t="shared" si="24"/>
        <v>0</v>
      </c>
      <c r="Z86" s="40">
        <f t="shared" si="25"/>
        <v>0</v>
      </c>
      <c r="AA86" s="40">
        <f t="shared" si="26"/>
        <v>0</v>
      </c>
      <c r="AB86" s="40">
        <f t="shared" si="27"/>
        <v>0</v>
      </c>
      <c r="AC86" s="40">
        <f t="shared" si="28"/>
        <v>0</v>
      </c>
      <c r="AD86" s="40">
        <f>SUM('ACTUAL EXP'!$G$37:$G$39)*ALLOCATION!P90</f>
        <v>0</v>
      </c>
      <c r="AE86" s="40">
        <f t="shared" si="29"/>
        <v>0</v>
      </c>
      <c r="AF86" s="40">
        <f>SUM('ACTUAL EXP'!$G$41)*ALLOCATION!P90</f>
        <v>0</v>
      </c>
      <c r="AG86" s="40">
        <f t="shared" si="30"/>
        <v>0</v>
      </c>
      <c r="AH86" s="40">
        <f>SUM('ACTUAL EXP'!$G$81)*ALLOCATION!P90</f>
        <v>0</v>
      </c>
      <c r="AI86" s="40">
        <f t="shared" si="31"/>
        <v>0</v>
      </c>
      <c r="AJ86" s="296">
        <f>SUM('ACTUAL EXP'!$G$83)*ALLOCATION!P90</f>
        <v>0</v>
      </c>
      <c r="AK86" s="40">
        <f t="shared" si="31"/>
        <v>0</v>
      </c>
      <c r="AL86" s="40">
        <f>SUM('ACTUAL EXP'!$G$64:$G$66)*ALLOCATION!P90</f>
        <v>0</v>
      </c>
      <c r="AM86" s="40">
        <f t="shared" si="32"/>
        <v>0</v>
      </c>
      <c r="AN86" s="40">
        <f t="shared" si="33"/>
        <v>0</v>
      </c>
      <c r="AO86" s="39">
        <f>-AN86</f>
        <v>0</v>
      </c>
      <c r="AP86" s="41" t="s">
        <v>351</v>
      </c>
      <c r="AQ86" s="83">
        <f t="shared" si="34"/>
        <v>0</v>
      </c>
      <c r="AR86" s="40"/>
      <c r="AS86" s="171">
        <f t="shared" si="35"/>
        <v>0</v>
      </c>
      <c r="AT86" s="40"/>
      <c r="AU86" s="171"/>
      <c r="AV86" s="33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</row>
    <row r="87" spans="1:253" ht="13" customHeight="1">
      <c r="A87" s="25">
        <f>ALLOCATION!A91</f>
        <v>612000</v>
      </c>
      <c r="B87" s="24" t="str">
        <f>ALLOCATION!C91</f>
        <v>Water Bond Sinking</v>
      </c>
      <c r="C87" s="40">
        <f>'ACTUAL EXP'!$G$13*(ALLOCATION!P91)</f>
        <v>0</v>
      </c>
      <c r="D87" s="40">
        <f>(SUM('ACTUAL EXP'!$G$15,'ACTUAL EXP'!$G$17:$G$19,'ACTUAL EXP'!$G$22))*ALLOCATION!P91</f>
        <v>0</v>
      </c>
      <c r="E87" s="176">
        <f>(('ACTUAL EXP'!$G$25)*(ALLOCATION!P91))</f>
        <v>0</v>
      </c>
      <c r="F87" s="40">
        <f>'ACTUAL EXP'!$G$28*ALLOCATION!P91</f>
        <v>0</v>
      </c>
      <c r="G87" s="40">
        <v>0</v>
      </c>
      <c r="H87" s="40">
        <f>SUM('ACTUAL EXP'!$G$30:$G$35)*ALLOCATION!P91</f>
        <v>0</v>
      </c>
      <c r="I87" s="40">
        <f>SUM('ACTUAL EXP'!$G$43:$G$47)*ALLOCATION!P91</f>
        <v>0</v>
      </c>
      <c r="J87" s="176">
        <f>(SUM('ACTUAL EXP'!$G$49:$G$50)*ALLOCATION!P91*0.5)+(SUM('ACTUAL EXP'!$G$49:$G$50)*ALLOCATION!P91*0.5)</f>
        <v>0</v>
      </c>
      <c r="K87" s="40">
        <f>SUM('ACTUAL EXP'!$G$52:$G$53)*ALLOCATION!P91</f>
        <v>0</v>
      </c>
      <c r="L87" s="40">
        <f>SUM('ACTUAL EXP'!$G$54:$G$54)*ALLOCATION!P91</f>
        <v>0</v>
      </c>
      <c r="M87" s="40">
        <f>SUM('ACTUAL EXP'!$G$21:$G$21)*ALLOCATION!P91</f>
        <v>0</v>
      </c>
      <c r="N87" s="176">
        <f>SUM('ACTUAL EXP'!$G$58:$G$62)*0.39*ALLOCATION!P91</f>
        <v>0</v>
      </c>
      <c r="O87" s="176">
        <f>SUM('ACTUAL EXP'!$G$58:$G$62)*0.27*ALLOCATION!P91</f>
        <v>0</v>
      </c>
      <c r="P87" s="176">
        <f>SUM('ACTUAL EXP'!$G$58:$G$62)*0.34*ALLOCATION!P91</f>
        <v>0</v>
      </c>
      <c r="Q87" s="40">
        <f>'ACTUAL EXP'!$G$85*ALLOCATION!P91</f>
        <v>0</v>
      </c>
      <c r="R87" s="40">
        <f>SUM('ACTUAL EXP'!$G$68:$G$73)*ALLOCATION!P91</f>
        <v>0</v>
      </c>
      <c r="S87" s="40">
        <f>SUM('ACTUAL EXP'!$G$75)*ALLOCATION!P91</f>
        <v>0</v>
      </c>
      <c r="T87" s="40">
        <f>SUM('ACTUAL EXP'!$G$77)*ALLOCATION!P91</f>
        <v>0</v>
      </c>
      <c r="U87" s="40">
        <f>SUM('ACTUAL EXP'!$G$79)*ALLOCATION!P91</f>
        <v>0</v>
      </c>
      <c r="V87" s="40">
        <f t="shared" si="21"/>
        <v>0</v>
      </c>
      <c r="W87" s="40">
        <f t="shared" si="22"/>
        <v>0</v>
      </c>
      <c r="X87" s="40">
        <f t="shared" si="23"/>
        <v>0</v>
      </c>
      <c r="Y87" s="40">
        <f t="shared" si="24"/>
        <v>0</v>
      </c>
      <c r="Z87" s="40">
        <f t="shared" si="25"/>
        <v>0</v>
      </c>
      <c r="AA87" s="40">
        <f t="shared" si="26"/>
        <v>0</v>
      </c>
      <c r="AB87" s="40">
        <f t="shared" si="27"/>
        <v>0</v>
      </c>
      <c r="AC87" s="40">
        <f t="shared" si="28"/>
        <v>0</v>
      </c>
      <c r="AD87" s="40">
        <f>SUM('ACTUAL EXP'!$G$37:$G$39)*ALLOCATION!P91</f>
        <v>0</v>
      </c>
      <c r="AE87" s="40">
        <f t="shared" si="29"/>
        <v>0</v>
      </c>
      <c r="AF87" s="40">
        <f>SUM('ACTUAL EXP'!$G$41)*ALLOCATION!P91</f>
        <v>0</v>
      </c>
      <c r="AG87" s="40">
        <f t="shared" si="30"/>
        <v>0</v>
      </c>
      <c r="AH87" s="40">
        <f>SUM('ACTUAL EXP'!$G$81)*ALLOCATION!P91</f>
        <v>0</v>
      </c>
      <c r="AI87" s="40">
        <f t="shared" si="31"/>
        <v>0</v>
      </c>
      <c r="AJ87" s="296">
        <f>SUM('ACTUAL EXP'!$G$83)*ALLOCATION!P91</f>
        <v>0</v>
      </c>
      <c r="AK87" s="40">
        <f t="shared" si="31"/>
        <v>0</v>
      </c>
      <c r="AL87" s="40">
        <f>SUM('ACTUAL EXP'!$G$64:$G$66)*ALLOCATION!P91</f>
        <v>0</v>
      </c>
      <c r="AM87" s="40">
        <f t="shared" si="32"/>
        <v>0</v>
      </c>
      <c r="AN87" s="40">
        <f t="shared" si="33"/>
        <v>0</v>
      </c>
      <c r="AO87" s="40">
        <f>-AN87</f>
        <v>0</v>
      </c>
      <c r="AP87" s="41" t="s">
        <v>345</v>
      </c>
      <c r="AQ87" s="83">
        <f t="shared" si="34"/>
        <v>0</v>
      </c>
      <c r="AR87" s="40"/>
      <c r="AS87" s="171">
        <f t="shared" si="35"/>
        <v>0</v>
      </c>
      <c r="AT87" s="40"/>
      <c r="AU87" s="171"/>
      <c r="AV87" s="33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</row>
    <row r="88" spans="1:253" ht="13" customHeight="1">
      <c r="A88" s="25">
        <f>ALLOCATION!A92</f>
        <v>604000</v>
      </c>
      <c r="B88" s="24" t="str">
        <f>ALLOCATION!C92</f>
        <v>Portland Int Raceway</v>
      </c>
      <c r="C88" s="40">
        <f>'ACTUAL EXP'!$G$13*(ALLOCATION!P92)</f>
        <v>6658.8442178036539</v>
      </c>
      <c r="D88" s="40">
        <f>(SUM('ACTUAL EXP'!$G$15,'ACTUAL EXP'!$G$17:$G$19,'ACTUAL EXP'!$G$22))*ALLOCATION!P92</f>
        <v>10739.677149083593</v>
      </c>
      <c r="E88" s="176">
        <f>(('ACTUAL EXP'!$G$25)*(ALLOCATION!P92))</f>
        <v>0</v>
      </c>
      <c r="F88" s="40">
        <f>'ACTUAL EXP'!$G$28*ALLOCATION!P92</f>
        <v>0</v>
      </c>
      <c r="G88" s="40">
        <v>0</v>
      </c>
      <c r="H88" s="40">
        <f>SUM('ACTUAL EXP'!$G$30:$G$35)*ALLOCATION!P92</f>
        <v>9639.1512236249673</v>
      </c>
      <c r="I88" s="40">
        <f>SUM('ACTUAL EXP'!$G$43:$G$47)*ALLOCATION!P92</f>
        <v>5822.3419313507802</v>
      </c>
      <c r="J88" s="176">
        <f>(SUM('ACTUAL EXP'!$G$49:$G$50)*ALLOCATION!P92*0.5)+(SUM('ACTUAL EXP'!$G$49:$G$50)*ALLOCATION!P92*0.5)</f>
        <v>2793.0823849377384</v>
      </c>
      <c r="K88" s="40">
        <f>SUM('ACTUAL EXP'!$G$52:$G$53)*ALLOCATION!P92</f>
        <v>2947.7097722492599</v>
      </c>
      <c r="L88" s="40">
        <f>SUM('ACTUAL EXP'!$G$54:$G$54)*ALLOCATION!P92</f>
        <v>401.96042348853547</v>
      </c>
      <c r="M88" s="40">
        <f>SUM('ACTUAL EXP'!$G$21:$G$21)*ALLOCATION!P92</f>
        <v>123.86537242215695</v>
      </c>
      <c r="N88" s="176">
        <f>SUM('ACTUAL EXP'!$G$58:$G$62)*0.39*ALLOCATION!P92</f>
        <v>1972.7159263324743</v>
      </c>
      <c r="O88" s="176">
        <f>SUM('ACTUAL EXP'!$G$58:$G$62)*0.27*ALLOCATION!P92</f>
        <v>1365.726410537867</v>
      </c>
      <c r="P88" s="176">
        <f>SUM('ACTUAL EXP'!$G$58:$G$62)*0.34*ALLOCATION!P92</f>
        <v>1719.8036280847211</v>
      </c>
      <c r="Q88" s="40">
        <f>'ACTUAL EXP'!$G$85*ALLOCATION!P92</f>
        <v>2617.6494017225295</v>
      </c>
      <c r="R88" s="40">
        <f>SUM('ACTUAL EXP'!$G$68:$G$73)*ALLOCATION!P92</f>
        <v>7139.6236196663995</v>
      </c>
      <c r="S88" s="40">
        <f>SUM('ACTUAL EXP'!$G$75)*ALLOCATION!P92</f>
        <v>999.88059730934424</v>
      </c>
      <c r="T88" s="40">
        <f>SUM('ACTUAL EXP'!$G$77)*ALLOCATION!P92</f>
        <v>656.51754088009125</v>
      </c>
      <c r="U88" s="40">
        <f>SUM('ACTUAL EXP'!$G$79)*ALLOCATION!P92</f>
        <v>994.94495863593465</v>
      </c>
      <c r="V88" s="40">
        <f t="shared" si="21"/>
        <v>56593.494558130049</v>
      </c>
      <c r="W88" s="40">
        <f t="shared" si="22"/>
        <v>509.71492402049284</v>
      </c>
      <c r="X88" s="40">
        <f t="shared" si="23"/>
        <v>373.20768256949611</v>
      </c>
      <c r="Y88" s="40">
        <f t="shared" si="24"/>
        <v>1189.9721680741113</v>
      </c>
      <c r="Z88" s="40">
        <f t="shared" si="25"/>
        <v>488.07874914261322</v>
      </c>
      <c r="AA88" s="40">
        <f t="shared" si="26"/>
        <v>190.01757525629333</v>
      </c>
      <c r="AB88" s="40">
        <f t="shared" si="27"/>
        <v>413.46734395277514</v>
      </c>
      <c r="AC88" s="40">
        <f t="shared" si="28"/>
        <v>59757.953001145841</v>
      </c>
      <c r="AD88" s="40">
        <f>SUM('ACTUAL EXP'!$G$37:$G$39)*ALLOCATION!P92</f>
        <v>1170.7077306000522</v>
      </c>
      <c r="AE88" s="40">
        <f t="shared" si="29"/>
        <v>65.460809432715678</v>
      </c>
      <c r="AF88" s="40">
        <f>SUM('ACTUAL EXP'!$G$41)*ALLOCATION!P92</f>
        <v>350.26317795805483</v>
      </c>
      <c r="AG88" s="40">
        <f t="shared" si="30"/>
        <v>19.585171041671931</v>
      </c>
      <c r="AH88" s="40">
        <f>SUM('ACTUAL EXP'!$G$81)*ALLOCATION!P92</f>
        <v>145.89823778027628</v>
      </c>
      <c r="AI88" s="40">
        <f t="shared" si="31"/>
        <v>8.1579855417957177</v>
      </c>
      <c r="AJ88" s="296">
        <f>SUM('ACTUAL EXP'!$G$83)*ALLOCATION!P92</f>
        <v>1083.2450423746384</v>
      </c>
      <c r="AK88" s="40">
        <f t="shared" si="31"/>
        <v>60.570281919531595</v>
      </c>
      <c r="AL88" s="40">
        <f>SUM('ACTUAL EXP'!$G$64:$G$66)*ALLOCATION!P92</f>
        <v>349.79729465804712</v>
      </c>
      <c r="AM88" s="40">
        <f t="shared" si="32"/>
        <v>19.559120903689092</v>
      </c>
      <c r="AN88" s="40">
        <f t="shared" si="33"/>
        <v>63031.197853356309</v>
      </c>
      <c r="AO88" s="40"/>
      <c r="AP88" s="41"/>
      <c r="AQ88" s="83">
        <f t="shared" si="34"/>
        <v>63031.197853356309</v>
      </c>
      <c r="AR88" s="40"/>
      <c r="AS88" s="171">
        <f t="shared" si="35"/>
        <v>63031.197853356309</v>
      </c>
      <c r="AT88" s="40"/>
      <c r="AU88" s="171"/>
      <c r="AV88" s="33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</row>
    <row r="89" spans="1:253" ht="13" customHeight="1">
      <c r="A89" s="25">
        <f>ALLOCATION!A93</f>
        <v>603000</v>
      </c>
      <c r="B89" s="24" t="str">
        <f>ALLOCATION!C93</f>
        <v>Golf</v>
      </c>
      <c r="C89" s="40">
        <f>'ACTUAL EXP'!$G$13*(ALLOCATION!P93)</f>
        <v>31551.005117294655</v>
      </c>
      <c r="D89" s="40">
        <f>(SUM('ACTUAL EXP'!$G$15,'ACTUAL EXP'!$G$17:$G$19,'ACTUAL EXP'!$G$22))*ALLOCATION!P93</f>
        <v>50886.850270930954</v>
      </c>
      <c r="E89" s="176">
        <f>(('ACTUAL EXP'!$G$25)*(ALLOCATION!P93))</f>
        <v>0</v>
      </c>
      <c r="F89" s="40">
        <f>'ACTUAL EXP'!$G$28*ALLOCATION!P93</f>
        <v>0</v>
      </c>
      <c r="G89" s="40">
        <v>0</v>
      </c>
      <c r="H89" s="40">
        <f>SUM('ACTUAL EXP'!$G$30:$G$35)*ALLOCATION!P93</f>
        <v>45672.326853635364</v>
      </c>
      <c r="I89" s="40">
        <f>SUM('ACTUAL EXP'!$G$43:$G$47)*ALLOCATION!P93</f>
        <v>27587.481259815289</v>
      </c>
      <c r="J89" s="176">
        <f>(SUM('ACTUAL EXP'!$G$49:$G$50)*ALLOCATION!P93*0.5)+(SUM('ACTUAL EXP'!$G$49:$G$50)*ALLOCATION!P93*0.5)</f>
        <v>13234.21208512114</v>
      </c>
      <c r="K89" s="40">
        <f>SUM('ACTUAL EXP'!$G$52:$G$53)*ALLOCATION!P93</f>
        <v>13966.869184275938</v>
      </c>
      <c r="L89" s="40">
        <f>SUM('ACTUAL EXP'!$G$54:$G$54)*ALLOCATION!P93</f>
        <v>1904.5730705830827</v>
      </c>
      <c r="M89" s="40">
        <f>SUM('ACTUAL EXP'!$G$21:$G$21)*ALLOCATION!P93</f>
        <v>586.90019939167735</v>
      </c>
      <c r="N89" s="176">
        <f>SUM('ACTUAL EXP'!$G$58:$G$62)*0.39*ALLOCATION!P93</f>
        <v>9347.1431754284422</v>
      </c>
      <c r="O89" s="176">
        <f>SUM('ACTUAL EXP'!$G$58:$G$62)*0.27*ALLOCATION!P93</f>
        <v>6471.0991214504602</v>
      </c>
      <c r="P89" s="176">
        <f>SUM('ACTUAL EXP'!$G$58:$G$62)*0.34*ALLOCATION!P93</f>
        <v>8148.7914862709495</v>
      </c>
      <c r="Q89" s="40">
        <f>'ACTUAL EXP'!$G$85*ALLOCATION!P93</f>
        <v>12402.973694475773</v>
      </c>
      <c r="R89" s="40">
        <f>SUM('ACTUAL EXP'!$G$68:$G$73)*ALLOCATION!P93</f>
        <v>33829.039093206578</v>
      </c>
      <c r="S89" s="40">
        <f>SUM('ACTUAL EXP'!$G$75)*ALLOCATION!P93</f>
        <v>4737.644673837447</v>
      </c>
      <c r="T89" s="40">
        <f>SUM('ACTUAL EXP'!$G$77)*ALLOCATION!P93</f>
        <v>3110.7182589614144</v>
      </c>
      <c r="U89" s="40">
        <f>SUM('ACTUAL EXP'!$G$79)*ALLOCATION!P93</f>
        <v>4714.258579201758</v>
      </c>
      <c r="V89" s="40">
        <f t="shared" si="21"/>
        <v>268151.88612388092</v>
      </c>
      <c r="W89" s="40">
        <f t="shared" si="22"/>
        <v>2415.1365687657585</v>
      </c>
      <c r="X89" s="40">
        <f t="shared" si="23"/>
        <v>1768.3365337006985</v>
      </c>
      <c r="Y89" s="40">
        <f t="shared" si="24"/>
        <v>5638.338536883246</v>
      </c>
      <c r="Z89" s="40">
        <f t="shared" si="25"/>
        <v>2312.6198193176351</v>
      </c>
      <c r="AA89" s="40">
        <f t="shared" si="26"/>
        <v>900.34325675585444</v>
      </c>
      <c r="AB89" s="40">
        <f t="shared" si="27"/>
        <v>1959.0952811313982</v>
      </c>
      <c r="AC89" s="40">
        <f t="shared" si="28"/>
        <v>283145.75612043549</v>
      </c>
      <c r="AD89" s="40">
        <f>SUM('ACTUAL EXP'!$G$37:$G$39)*ALLOCATION!P93</f>
        <v>5547.0595783365416</v>
      </c>
      <c r="AE89" s="40">
        <f t="shared" si="29"/>
        <v>310.16708993908503</v>
      </c>
      <c r="AF89" s="40">
        <f>SUM('ACTUAL EXP'!$G$41)*ALLOCATION!P93</f>
        <v>1659.6206426645581</v>
      </c>
      <c r="AG89" s="40">
        <f t="shared" si="30"/>
        <v>92.798661681666445</v>
      </c>
      <c r="AH89" s="40">
        <f>SUM('ACTUAL EXP'!$G$81)*ALLOCATION!P93</f>
        <v>691.2965518103224</v>
      </c>
      <c r="AI89" s="40">
        <f t="shared" si="31"/>
        <v>38.654252173046125</v>
      </c>
      <c r="AJ89" s="296">
        <f>SUM('ACTUAL EXP'!$G$83)*ALLOCATION!P93</f>
        <v>5132.6429568462472</v>
      </c>
      <c r="AK89" s="40">
        <f t="shared" si="31"/>
        <v>286.99474147323741</v>
      </c>
      <c r="AL89" s="40">
        <f>SUM('ACTUAL EXP'!$G$64:$G$66)*ALLOCATION!P93</f>
        <v>1657.413189553806</v>
      </c>
      <c r="AM89" s="40">
        <f t="shared" si="32"/>
        <v>92.675230646201598</v>
      </c>
      <c r="AN89" s="40">
        <f t="shared" si="33"/>
        <v>298655.07901556016</v>
      </c>
      <c r="AO89" s="40">
        <f>-AO90</f>
        <v>3583.6968511992714</v>
      </c>
      <c r="AP89" s="41" t="s">
        <v>5</v>
      </c>
      <c r="AQ89" s="83">
        <f t="shared" si="34"/>
        <v>302238.77586675942</v>
      </c>
      <c r="AR89" s="40"/>
      <c r="AS89" s="171">
        <f t="shared" si="35"/>
        <v>302238.77586675942</v>
      </c>
      <c r="AT89" s="40"/>
      <c r="AU89" s="171"/>
      <c r="AV89" s="33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</row>
    <row r="90" spans="1:253" ht="13" customHeight="1">
      <c r="A90" s="25">
        <f>ALLOCATION!A94</f>
        <v>610000</v>
      </c>
      <c r="B90" s="24" t="str">
        <f>ALLOCATION!C94</f>
        <v>Golf Rev Bond Rdmpt</v>
      </c>
      <c r="C90" s="40">
        <f>'ACTUAL EXP'!$G$13*(ALLOCATION!P94)</f>
        <v>378.59472560696003</v>
      </c>
      <c r="D90" s="40">
        <f>(SUM('ACTUAL EXP'!$G$15,'ACTUAL EXP'!$G$17:$G$19,'ACTUAL EXP'!$G$22))*ALLOCATION!P94</f>
        <v>610.61424330869261</v>
      </c>
      <c r="E90" s="176">
        <f>(('ACTUAL EXP'!$G$25)*(ALLOCATION!P94))</f>
        <v>0</v>
      </c>
      <c r="F90" s="40">
        <f>'ACTUAL EXP'!$G$28*ALLOCATION!P94</f>
        <v>0</v>
      </c>
      <c r="G90" s="40">
        <v>0</v>
      </c>
      <c r="H90" s="40">
        <f>SUM('ACTUAL EXP'!$G$30:$G$35)*ALLOCATION!P94</f>
        <v>548.04282743769897</v>
      </c>
      <c r="I90" s="40">
        <f>SUM('ACTUAL EXP'!$G$43:$G$47)*ALLOCATION!P94</f>
        <v>331.03461708805571</v>
      </c>
      <c r="J90" s="176">
        <f>(SUM('ACTUAL EXP'!$G$49:$G$50)*ALLOCATION!P94*0.5)+(SUM('ACTUAL EXP'!$G$49:$G$50)*ALLOCATION!P94*0.5)</f>
        <v>158.80327344133659</v>
      </c>
      <c r="K90" s="40">
        <f>SUM('ACTUAL EXP'!$G$52:$G$53)*ALLOCATION!P94</f>
        <v>167.59475607041</v>
      </c>
      <c r="L90" s="40">
        <f>SUM('ACTUAL EXP'!$G$54:$G$54)*ALLOCATION!P94</f>
        <v>22.853830373237727</v>
      </c>
      <c r="M90" s="40">
        <f>SUM('ACTUAL EXP'!$G$21:$G$21)*ALLOCATION!P94</f>
        <v>7.0424799185102662</v>
      </c>
      <c r="N90" s="176">
        <f>SUM('ACTUAL EXP'!$G$58:$G$62)*0.39*ALLOCATION!P94</f>
        <v>112.16058228745688</v>
      </c>
      <c r="O90" s="176">
        <f>SUM('ACTUAL EXP'!$G$58:$G$62)*0.27*ALLOCATION!P94</f>
        <v>77.649633891316313</v>
      </c>
      <c r="P90" s="176">
        <f>SUM('ACTUAL EXP'!$G$58:$G$62)*0.34*ALLOCATION!P94</f>
        <v>97.781020455731635</v>
      </c>
      <c r="Q90" s="40">
        <f>'ACTUAL EXP'!$G$85*ALLOCATION!P94</f>
        <v>148.82886948018194</v>
      </c>
      <c r="R90" s="40">
        <f>SUM('ACTUAL EXP'!$G$68:$G$73)*ALLOCATION!P94</f>
        <v>405.9298816448561</v>
      </c>
      <c r="S90" s="40">
        <f>SUM('ACTUAL EXP'!$G$75)*ALLOCATION!P94</f>
        <v>56.849132972045247</v>
      </c>
      <c r="T90" s="40">
        <f>SUM('ACTUAL EXP'!$G$77)*ALLOCATION!P94</f>
        <v>37.326909913449988</v>
      </c>
      <c r="U90" s="40">
        <f>SUM('ACTUAL EXP'!$G$79)*ALLOCATION!P94</f>
        <v>56.568512685981403</v>
      </c>
      <c r="V90" s="40">
        <f t="shared" si="21"/>
        <v>3217.6752965759201</v>
      </c>
      <c r="W90" s="40">
        <f t="shared" si="22"/>
        <v>28.980311820684367</v>
      </c>
      <c r="X90" s="40">
        <f t="shared" si="23"/>
        <v>21.219066786249616</v>
      </c>
      <c r="Y90" s="40">
        <f t="shared" si="24"/>
        <v>67.656964439473811</v>
      </c>
      <c r="Z90" s="40">
        <f t="shared" si="25"/>
        <v>27.750167155462435</v>
      </c>
      <c r="AA90" s="40">
        <f t="shared" si="26"/>
        <v>10.803624384590986</v>
      </c>
      <c r="AB90" s="40">
        <f t="shared" si="27"/>
        <v>23.508066942414715</v>
      </c>
      <c r="AC90" s="40">
        <f t="shared" si="28"/>
        <v>3397.5934981047958</v>
      </c>
      <c r="AD90" s="40">
        <f>SUM('ACTUAL EXP'!$G$37:$G$39)*ALLOCATION!P94</f>
        <v>66.561667090428813</v>
      </c>
      <c r="AE90" s="40">
        <f t="shared" si="29"/>
        <v>3.7218346569703851</v>
      </c>
      <c r="AF90" s="40">
        <f>SUM('ACTUAL EXP'!$G$41)*ALLOCATION!P94</f>
        <v>19.914535828109642</v>
      </c>
      <c r="AG90" s="40">
        <f t="shared" si="30"/>
        <v>1.1135329516588193</v>
      </c>
      <c r="AH90" s="40">
        <f>SUM('ACTUAL EXP'!$G$81)*ALLOCATION!P94</f>
        <v>8.2951787866245947</v>
      </c>
      <c r="AI90" s="40">
        <f t="shared" si="31"/>
        <v>0.46382978737418606</v>
      </c>
      <c r="AJ90" s="296">
        <f>SUM('ACTUAL EXP'!$G$83)*ALLOCATION!P94</f>
        <v>61.588895335082121</v>
      </c>
      <c r="AK90" s="40">
        <f t="shared" si="31"/>
        <v>3.4437792075011191</v>
      </c>
      <c r="AL90" s="40">
        <f>SUM('ACTUAL EXP'!$G$64:$G$66)*ALLOCATION!P94</f>
        <v>19.888047603672781</v>
      </c>
      <c r="AM90" s="40">
        <f t="shared" si="32"/>
        <v>1.1120518470528178</v>
      </c>
      <c r="AN90" s="40">
        <f t="shared" si="33"/>
        <v>3583.6968511992714</v>
      </c>
      <c r="AO90" s="40">
        <f>-AN90</f>
        <v>-3583.6968511992714</v>
      </c>
      <c r="AP90" s="41" t="s">
        <v>6</v>
      </c>
      <c r="AQ90" s="83">
        <f t="shared" si="34"/>
        <v>0</v>
      </c>
      <c r="AR90" s="40"/>
      <c r="AS90" s="171">
        <f t="shared" si="35"/>
        <v>0</v>
      </c>
      <c r="AT90" s="41" t="s">
        <v>342</v>
      </c>
      <c r="AU90" s="171"/>
      <c r="AV90" s="33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</row>
    <row r="91" spans="1:253" ht="13" customHeight="1">
      <c r="A91" s="25">
        <f>ALLOCATION!A95</f>
        <v>202000</v>
      </c>
      <c r="B91" s="24" t="str">
        <f>ALLOCATION!C95</f>
        <v>Emergency Comm</v>
      </c>
      <c r="C91" s="40">
        <f>'ACTUAL EXP'!$G$13*(ALLOCATION!P95)</f>
        <v>92693.016439380663</v>
      </c>
      <c r="D91" s="40">
        <f>(SUM('ACTUAL EXP'!$G$15,'ACTUAL EXP'!$G$17:$G$19,'ACTUAL EXP'!$G$22))*ALLOCATION!P95</f>
        <v>149499.37826627798</v>
      </c>
      <c r="E91" s="176">
        <f>(('ACTUAL EXP'!$G$25)*(ALLOCATION!P95))</f>
        <v>0</v>
      </c>
      <c r="F91" s="40">
        <f>'ACTUAL EXP'!$G$28*ALLOCATION!P95</f>
        <v>0</v>
      </c>
      <c r="G91" s="40">
        <v>0</v>
      </c>
      <c r="H91" s="40">
        <f>SUM('ACTUAL EXP'!$G$30:$G$35)*ALLOCATION!P95</f>
        <v>134179.74255115559</v>
      </c>
      <c r="I91" s="40">
        <f>SUM('ACTUAL EXP'!$G$43:$G$47)*ALLOCATION!P95</f>
        <v>81048.665309729113</v>
      </c>
      <c r="J91" s="176">
        <f>(SUM('ACTUAL EXP'!$G$49:$G$50)*ALLOCATION!P95*0.5)+(SUM('ACTUAL EXP'!$G$49:$G$50)*ALLOCATION!P95*0.5)</f>
        <v>38880.505828828864</v>
      </c>
      <c r="K91" s="40">
        <f>SUM('ACTUAL EXP'!$G$52:$G$53)*ALLOCATION!P95</f>
        <v>41032.963295204754</v>
      </c>
      <c r="L91" s="40">
        <f>SUM('ACTUAL EXP'!$G$54:$G$54)*ALLOCATION!P95</f>
        <v>5595.4040857097389</v>
      </c>
      <c r="M91" s="40">
        <f>SUM('ACTUAL EXP'!$G$21:$G$21)*ALLOCATION!P95</f>
        <v>1724.2414188785506</v>
      </c>
      <c r="N91" s="176">
        <f>SUM('ACTUAL EXP'!$G$58:$G$62)*0.39*ALLOCATION!P95</f>
        <v>27460.770038869818</v>
      </c>
      <c r="O91" s="176">
        <f>SUM('ACTUAL EXP'!$G$58:$G$62)*0.27*ALLOCATION!P95</f>
        <v>19011.302334602184</v>
      </c>
      <c r="P91" s="176">
        <f>SUM('ACTUAL EXP'!$G$58:$G$62)*0.34*ALLOCATION!P95</f>
        <v>23940.15849542497</v>
      </c>
      <c r="Q91" s="40">
        <f>'ACTUAL EXP'!$G$85*ALLOCATION!P95</f>
        <v>36438.428515516884</v>
      </c>
      <c r="R91" s="40">
        <f>SUM('ACTUAL EXP'!$G$68:$G$73)*ALLOCATION!P95</f>
        <v>99385.603252183195</v>
      </c>
      <c r="S91" s="40">
        <f>SUM('ACTUAL EXP'!$G$75)*ALLOCATION!P95</f>
        <v>13918.623955191872</v>
      </c>
      <c r="T91" s="40">
        <f>SUM('ACTUAL EXP'!$G$77)*ALLOCATION!P95</f>
        <v>9138.9119821776349</v>
      </c>
      <c r="U91" s="40">
        <f>SUM('ACTUAL EXP'!$G$79)*ALLOCATION!P95</f>
        <v>13849.918452896143</v>
      </c>
      <c r="V91" s="40">
        <f t="shared" si="21"/>
        <v>787797.63422202819</v>
      </c>
      <c r="W91" s="40">
        <f t="shared" si="22"/>
        <v>7095.3775589621937</v>
      </c>
      <c r="X91" s="40">
        <f t="shared" si="23"/>
        <v>5195.1577066819909</v>
      </c>
      <c r="Y91" s="40">
        <f t="shared" si="24"/>
        <v>16564.753000646258</v>
      </c>
      <c r="Z91" s="40">
        <f t="shared" si="25"/>
        <v>6794.1958150976243</v>
      </c>
      <c r="AA91" s="40">
        <f t="shared" si="26"/>
        <v>2645.0990068081819</v>
      </c>
      <c r="AB91" s="40">
        <f t="shared" si="27"/>
        <v>5755.5837104119701</v>
      </c>
      <c r="AC91" s="40">
        <f t="shared" si="28"/>
        <v>831847.80102063634</v>
      </c>
      <c r="AD91" s="40">
        <f>SUM('ACTUAL EXP'!$G$37:$G$39)*ALLOCATION!P95</f>
        <v>16296.58651993718</v>
      </c>
      <c r="AE91" s="40">
        <f t="shared" si="29"/>
        <v>911.23319399162369</v>
      </c>
      <c r="AF91" s="40">
        <f>SUM('ACTUAL EXP'!$G$41)*ALLOCATION!P95</f>
        <v>4875.7636386460708</v>
      </c>
      <c r="AG91" s="40">
        <f t="shared" si="30"/>
        <v>272.63118372403829</v>
      </c>
      <c r="AH91" s="40">
        <f>SUM('ACTUAL EXP'!$G$81)*ALLOCATION!P95</f>
        <v>2030.9452077112082</v>
      </c>
      <c r="AI91" s="40">
        <f t="shared" si="31"/>
        <v>113.56149253591047</v>
      </c>
      <c r="AJ91" s="296">
        <f>SUM('ACTUAL EXP'!$G$83)*ALLOCATION!P95</f>
        <v>15079.080878968038</v>
      </c>
      <c r="AK91" s="40">
        <f t="shared" si="31"/>
        <v>843.15565195140198</v>
      </c>
      <c r="AL91" s="40">
        <f>SUM('ACTUAL EXP'!$G$64:$G$66)*ALLOCATION!P95</f>
        <v>4869.2784098324901</v>
      </c>
      <c r="AM91" s="40">
        <f t="shared" si="32"/>
        <v>272.26855835102913</v>
      </c>
      <c r="AN91" s="40">
        <f t="shared" si="33"/>
        <v>877412.3057562852</v>
      </c>
      <c r="AO91" s="40"/>
      <c r="AP91" s="41"/>
      <c r="AQ91" s="83">
        <f t="shared" si="34"/>
        <v>877412.3057562852</v>
      </c>
      <c r="AR91" s="40"/>
      <c r="AS91" s="171">
        <f t="shared" si="35"/>
        <v>877412.3057562852</v>
      </c>
      <c r="AT91" s="41" t="s">
        <v>343</v>
      </c>
      <c r="AU91" s="171"/>
      <c r="AV91" s="33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</row>
    <row r="92" spans="1:253" ht="13" customHeight="1">
      <c r="A92" s="25">
        <f>ALLOCATION!A96</f>
        <v>601000</v>
      </c>
      <c r="B92" s="24" t="str">
        <f>ALLOCATION!C96</f>
        <v>Hydroelectric Pwr Op</v>
      </c>
      <c r="C92" s="40">
        <f>'ACTUAL EXP'!$G$13*(ALLOCATION!P96)</f>
        <v>1855.5104732130837</v>
      </c>
      <c r="D92" s="40">
        <f>(SUM('ACTUAL EXP'!$G$15,'ACTUAL EXP'!$G$17:$G$19,'ACTUAL EXP'!$G$22))*ALLOCATION!P96</f>
        <v>2992.6489909122297</v>
      </c>
      <c r="E92" s="176">
        <f>(('ACTUAL EXP'!$G$25)*(ALLOCATION!P96))</f>
        <v>0</v>
      </c>
      <c r="F92" s="40">
        <f>'ACTUAL EXP'!$G$28*ALLOCATION!P96</f>
        <v>0</v>
      </c>
      <c r="G92" s="40">
        <v>0</v>
      </c>
      <c r="H92" s="40">
        <f>SUM('ACTUAL EXP'!$G$30:$G$35)*ALLOCATION!P96</f>
        <v>2685.9835525961876</v>
      </c>
      <c r="I92" s="40">
        <f>SUM('ACTUAL EXP'!$G$43:$G$47)*ALLOCATION!P96</f>
        <v>1622.4161549483513</v>
      </c>
      <c r="J92" s="176">
        <f>(SUM('ACTUAL EXP'!$G$49:$G$50)*ALLOCATION!P96*0.5)+(SUM('ACTUAL EXP'!$G$49:$G$50)*ALLOCATION!P96*0.5)</f>
        <v>778.30227713427018</v>
      </c>
      <c r="K92" s="40">
        <f>SUM('ACTUAL EXP'!$G$52:$G$53)*ALLOCATION!P96</f>
        <v>821.38974505174906</v>
      </c>
      <c r="L92" s="40">
        <f>SUM('ACTUAL EXP'!$G$54:$G$54)*ALLOCATION!P96</f>
        <v>112.00769250705669</v>
      </c>
      <c r="M92" s="40">
        <f>SUM('ACTUAL EXP'!$G$21:$G$21)*ALLOCATION!P96</f>
        <v>34.515523757598785</v>
      </c>
      <c r="N92" s="176">
        <f>SUM('ACTUAL EXP'!$G$58:$G$62)*0.39*ALLOCATION!P96</f>
        <v>549.70426432223962</v>
      </c>
      <c r="O92" s="176">
        <f>SUM('ACTUAL EXP'!$G$58:$G$62)*0.27*ALLOCATION!P96</f>
        <v>380.56449068462746</v>
      </c>
      <c r="P92" s="176">
        <f>SUM('ACTUAL EXP'!$G$58:$G$62)*0.34*ALLOCATION!P96</f>
        <v>479.22935863990119</v>
      </c>
      <c r="Q92" s="40">
        <f>'ACTUAL EXP'!$G$85*ALLOCATION!P96</f>
        <v>729.41725639260699</v>
      </c>
      <c r="R92" s="40">
        <f>SUM('ACTUAL EXP'!$G$68:$G$73)*ALLOCATION!P96</f>
        <v>1989.4813525852542</v>
      </c>
      <c r="S92" s="40">
        <f>SUM('ACTUAL EXP'!$G$75)*ALLOCATION!P96</f>
        <v>278.62026195320561</v>
      </c>
      <c r="T92" s="40">
        <f>SUM('ACTUAL EXP'!$G$77)*ALLOCATION!P96</f>
        <v>182.94093285649953</v>
      </c>
      <c r="U92" s="40">
        <f>SUM('ACTUAL EXP'!$G$79)*ALLOCATION!P96</f>
        <v>277.24492879463412</v>
      </c>
      <c r="V92" s="40">
        <f t="shared" si="21"/>
        <v>15769.977256349495</v>
      </c>
      <c r="W92" s="40">
        <f t="shared" si="22"/>
        <v>142.03386487767861</v>
      </c>
      <c r="X92" s="40">
        <f t="shared" si="23"/>
        <v>103.99563963965123</v>
      </c>
      <c r="Y92" s="40">
        <f t="shared" si="24"/>
        <v>331.58994991804758</v>
      </c>
      <c r="Z92" s="40">
        <f t="shared" si="25"/>
        <v>136.00486828712357</v>
      </c>
      <c r="AA92" s="40">
        <f t="shared" si="26"/>
        <v>52.949068854910379</v>
      </c>
      <c r="AB92" s="40">
        <f t="shared" si="27"/>
        <v>115.21413655912509</v>
      </c>
      <c r="AC92" s="40">
        <f t="shared" si="28"/>
        <v>16651.764784486029</v>
      </c>
      <c r="AD92" s="40">
        <f>SUM('ACTUAL EXP'!$G$37:$G$39)*ALLOCATION!P96</f>
        <v>326.22184633663261</v>
      </c>
      <c r="AE92" s="40">
        <f t="shared" si="29"/>
        <v>18.240885882666444</v>
      </c>
      <c r="AF92" s="40">
        <f>SUM('ACTUAL EXP'!$G$41)*ALLOCATION!P96</f>
        <v>97.602072345287098</v>
      </c>
      <c r="AG92" s="40">
        <f t="shared" si="30"/>
        <v>5.4574771234817048</v>
      </c>
      <c r="AH92" s="40">
        <f>SUM('ACTUAL EXP'!$G$81)*ALLOCATION!P96</f>
        <v>40.655059552350977</v>
      </c>
      <c r="AI92" s="40">
        <f t="shared" si="31"/>
        <v>2.273251501011345</v>
      </c>
      <c r="AJ92" s="296">
        <f>SUM('ACTUAL EXP'!$G$83)*ALLOCATION!P96</f>
        <v>301.8500591751731</v>
      </c>
      <c r="AK92" s="40">
        <f t="shared" si="31"/>
        <v>16.878123108311755</v>
      </c>
      <c r="AL92" s="40">
        <f>SUM('ACTUAL EXP'!$G$64:$G$66)*ALLOCATION!P96</f>
        <v>97.4722523173387</v>
      </c>
      <c r="AM92" s="40">
        <f t="shared" si="32"/>
        <v>5.4502181604732955</v>
      </c>
      <c r="AN92" s="40">
        <f t="shared" si="33"/>
        <v>17563.866029988756</v>
      </c>
      <c r="AO92" s="40">
        <f>-AO93-AO94</f>
        <v>12060.528493591681</v>
      </c>
      <c r="AP92" s="41" t="s">
        <v>7</v>
      </c>
      <c r="AQ92" s="83">
        <f t="shared" si="34"/>
        <v>29624.394523580435</v>
      </c>
      <c r="AR92" s="40"/>
      <c r="AS92" s="171">
        <f t="shared" si="35"/>
        <v>29624.394523580435</v>
      </c>
      <c r="AT92" s="41" t="s">
        <v>336</v>
      </c>
      <c r="AU92" s="171"/>
      <c r="AV92" s="33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</row>
    <row r="93" spans="1:253" ht="13" customHeight="1">
      <c r="A93" s="25">
        <f>ALLOCATION!A97</f>
        <v>611000</v>
      </c>
      <c r="B93" s="24" t="str">
        <f>ALLOCATION!C97</f>
        <v>Hydro Pwr Bond Rdmpt</v>
      </c>
      <c r="C93" s="40">
        <f>'ACTUAL EXP'!$G$13*(ALLOCATION!P97)</f>
        <v>1274.1179472751028</v>
      </c>
      <c r="D93" s="40">
        <f>(SUM('ACTUAL EXP'!$G$15,'ACTUAL EXP'!$G$17:$G$19,'ACTUAL EXP'!$G$22))*ALLOCATION!P97</f>
        <v>2054.9535258689539</v>
      </c>
      <c r="E93" s="176">
        <f>(('ACTUAL EXP'!$G$25)*(ALLOCATION!P97))</f>
        <v>0</v>
      </c>
      <c r="F93" s="40">
        <f>'ACTUAL EXP'!$G$28*ALLOCATION!P97</f>
        <v>0</v>
      </c>
      <c r="G93" s="40">
        <v>0</v>
      </c>
      <c r="H93" s="40">
        <f>SUM('ACTUAL EXP'!$G$30:$G$35)*ALLOCATION!P97</f>
        <v>1844.3764666670979</v>
      </c>
      <c r="I93" s="40">
        <f>SUM('ACTUAL EXP'!$G$43:$G$47)*ALLOCATION!P97</f>
        <v>1114.0597538041332</v>
      </c>
      <c r="J93" s="176">
        <f>(SUM('ACTUAL EXP'!$G$49:$G$50)*ALLOCATION!P97*0.5)+(SUM('ACTUAL EXP'!$G$49:$G$50)*ALLOCATION!P97*0.5)</f>
        <v>534.43454726756215</v>
      </c>
      <c r="K93" s="40">
        <f>SUM('ACTUAL EXP'!$G$52:$G$53)*ALLOCATION!P97</f>
        <v>564.02129278521761</v>
      </c>
      <c r="L93" s="40">
        <f>SUM('ACTUAL EXP'!$G$54:$G$54)*ALLOCATION!P97</f>
        <v>76.911994470711505</v>
      </c>
      <c r="M93" s="40">
        <f>SUM('ACTUAL EXP'!$G$21:$G$21)*ALLOCATION!P97</f>
        <v>23.70067370355747</v>
      </c>
      <c r="N93" s="176">
        <f>SUM('ACTUAL EXP'!$G$58:$G$62)*0.39*ALLOCATION!P97</f>
        <v>377.4638187052642</v>
      </c>
      <c r="O93" s="176">
        <f>SUM('ACTUAL EXP'!$G$58:$G$62)*0.27*ALLOCATION!P97</f>
        <v>261.32110525749061</v>
      </c>
      <c r="P93" s="176">
        <f>SUM('ACTUAL EXP'!$G$58:$G$62)*0.34*ALLOCATION!P97</f>
        <v>329.07102143535855</v>
      </c>
      <c r="Q93" s="40">
        <f>'ACTUAL EXP'!$G$85*ALLOCATION!P97</f>
        <v>500.86681311620879</v>
      </c>
      <c r="R93" s="40">
        <f>SUM('ACTUAL EXP'!$G$68:$G$73)*ALLOCATION!P97</f>
        <v>1366.1113390045107</v>
      </c>
      <c r="S93" s="40">
        <f>SUM('ACTUAL EXP'!$G$75)*ALLOCATION!P97</f>
        <v>191.31936001112652</v>
      </c>
      <c r="T93" s="40">
        <f>SUM('ACTUAL EXP'!$G$77)*ALLOCATION!P97</f>
        <v>125.61951506535533</v>
      </c>
      <c r="U93" s="40">
        <f>SUM('ACTUAL EXP'!$G$79)*ALLOCATION!P97</f>
        <v>190.37496401546071</v>
      </c>
      <c r="V93" s="40">
        <f t="shared" si="21"/>
        <v>10828.72413845311</v>
      </c>
      <c r="W93" s="40">
        <f t="shared" si="22"/>
        <v>97.529978393560455</v>
      </c>
      <c r="X93" s="40">
        <f t="shared" si="23"/>
        <v>71.410381572132124</v>
      </c>
      <c r="Y93" s="40">
        <f t="shared" si="24"/>
        <v>227.69190065257015</v>
      </c>
      <c r="Z93" s="40">
        <f t="shared" si="25"/>
        <v>93.390064946030989</v>
      </c>
      <c r="AA93" s="40">
        <f t="shared" si="26"/>
        <v>36.358382177559996</v>
      </c>
      <c r="AB93" s="40">
        <f t="shared" si="27"/>
        <v>79.113754025643786</v>
      </c>
      <c r="AC93" s="40">
        <f t="shared" si="28"/>
        <v>11434.218600220605</v>
      </c>
      <c r="AD93" s="40">
        <f>SUM('ACTUAL EXP'!$G$37:$G$39)*ALLOCATION!P97</f>
        <v>224.00580067380324</v>
      </c>
      <c r="AE93" s="40">
        <f t="shared" si="29"/>
        <v>12.525415734817797</v>
      </c>
      <c r="AF93" s="40">
        <f>SUM('ACTUAL EXP'!$G$41)*ALLOCATION!P97</f>
        <v>67.020129426179949</v>
      </c>
      <c r="AG93" s="40">
        <f t="shared" si="30"/>
        <v>3.7474698473840502</v>
      </c>
      <c r="AH93" s="40">
        <f>SUM('ACTUAL EXP'!$G$81)*ALLOCATION!P97</f>
        <v>27.916490782986777</v>
      </c>
      <c r="AI93" s="40">
        <f t="shared" si="31"/>
        <v>1.56096695649101</v>
      </c>
      <c r="AJ93" s="296">
        <f>SUM('ACTUAL EXP'!$G$83)*ALLOCATION!P97</f>
        <v>207.27049689736452</v>
      </c>
      <c r="AK93" s="40">
        <f t="shared" si="31"/>
        <v>11.589651408100181</v>
      </c>
      <c r="AL93" s="40">
        <f>SUM('ACTUAL EXP'!$G$64:$G$66)*ALLOCATION!P97</f>
        <v>66.930986287451987</v>
      </c>
      <c r="AM93" s="40">
        <f t="shared" si="32"/>
        <v>3.7424853564953495</v>
      </c>
      <c r="AN93" s="40">
        <f t="shared" si="33"/>
        <v>12060.528493591681</v>
      </c>
      <c r="AO93" s="40">
        <f>-AN93</f>
        <v>-12060.528493591681</v>
      </c>
      <c r="AP93" s="41" t="s">
        <v>8</v>
      </c>
      <c r="AQ93" s="83">
        <f t="shared" si="34"/>
        <v>0</v>
      </c>
      <c r="AR93" s="40"/>
      <c r="AS93" s="171">
        <f t="shared" si="35"/>
        <v>0</v>
      </c>
      <c r="AT93" s="41" t="s">
        <v>346</v>
      </c>
      <c r="AU93" s="171"/>
      <c r="AV93" s="33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</row>
    <row r="94" spans="1:253" ht="13" customHeight="1">
      <c r="A94" s="25">
        <f>ALLOCATION!A98</f>
        <v>618000</v>
      </c>
      <c r="B94" s="24" t="str">
        <f>ALLOCATION!C98</f>
        <v>Hydro Pwr Rnwl Rplmt</v>
      </c>
      <c r="C94" s="40">
        <f>'ACTUAL EXP'!$G$13*(ALLOCATION!P98)</f>
        <v>0</v>
      </c>
      <c r="D94" s="40">
        <f>(SUM('ACTUAL EXP'!$G$15,'ACTUAL EXP'!$G$17:$G$19,'ACTUAL EXP'!$G$22))*ALLOCATION!P98</f>
        <v>0</v>
      </c>
      <c r="E94" s="176">
        <f>(('ACTUAL EXP'!$G$25)*(ALLOCATION!P98))</f>
        <v>0</v>
      </c>
      <c r="F94" s="40">
        <f>'ACTUAL EXP'!$G$28*ALLOCATION!P98</f>
        <v>0</v>
      </c>
      <c r="G94" s="40">
        <v>0</v>
      </c>
      <c r="H94" s="40">
        <f>SUM('ACTUAL EXP'!$G$30:$G$35)*ALLOCATION!P98</f>
        <v>0</v>
      </c>
      <c r="I94" s="40">
        <f>SUM('ACTUAL EXP'!$G$43:$G$47)*ALLOCATION!P98</f>
        <v>0</v>
      </c>
      <c r="J94" s="176">
        <f>(SUM('ACTUAL EXP'!$G$49:$G$50)*ALLOCATION!P98*0.5)+(SUM('ACTUAL EXP'!$G$49:$G$50)*ALLOCATION!P98*0.5)</f>
        <v>0</v>
      </c>
      <c r="K94" s="40">
        <f>SUM('ACTUAL EXP'!$G$52:$G$53)*ALLOCATION!P98</f>
        <v>0</v>
      </c>
      <c r="L94" s="40">
        <f>SUM('ACTUAL EXP'!$G$54:$G$54)*ALLOCATION!P98</f>
        <v>0</v>
      </c>
      <c r="M94" s="40">
        <f>SUM('ACTUAL EXP'!$G$21:$G$21)*ALLOCATION!P98</f>
        <v>0</v>
      </c>
      <c r="N94" s="176">
        <f>SUM('ACTUAL EXP'!$G$58:$G$62)*0.39*ALLOCATION!P98</f>
        <v>0</v>
      </c>
      <c r="O94" s="176">
        <f>SUM('ACTUAL EXP'!$G$58:$G$62)*0.27*ALLOCATION!P98</f>
        <v>0</v>
      </c>
      <c r="P94" s="176">
        <f>SUM('ACTUAL EXP'!$G$58:$G$62)*0.34*ALLOCATION!P98</f>
        <v>0</v>
      </c>
      <c r="Q94" s="40">
        <f>'ACTUAL EXP'!$G$85*ALLOCATION!P98</f>
        <v>0</v>
      </c>
      <c r="R94" s="40">
        <f>SUM('ACTUAL EXP'!$G$68:$G$73)*ALLOCATION!P98</f>
        <v>0</v>
      </c>
      <c r="S94" s="40">
        <f>SUM('ACTUAL EXP'!$G$75)*ALLOCATION!P98</f>
        <v>0</v>
      </c>
      <c r="T94" s="40">
        <f>SUM('ACTUAL EXP'!$G$77)*ALLOCATION!P98</f>
        <v>0</v>
      </c>
      <c r="U94" s="40">
        <f>SUM('ACTUAL EXP'!$G$79)*ALLOCATION!P98</f>
        <v>0</v>
      </c>
      <c r="V94" s="40">
        <f t="shared" si="21"/>
        <v>0</v>
      </c>
      <c r="W94" s="40">
        <f t="shared" si="22"/>
        <v>0</v>
      </c>
      <c r="X94" s="40">
        <f t="shared" si="23"/>
        <v>0</v>
      </c>
      <c r="Y94" s="40">
        <f t="shared" si="24"/>
        <v>0</v>
      </c>
      <c r="Z94" s="40">
        <f t="shared" si="25"/>
        <v>0</v>
      </c>
      <c r="AA94" s="40">
        <f t="shared" si="26"/>
        <v>0</v>
      </c>
      <c r="AB94" s="40">
        <f t="shared" si="27"/>
        <v>0</v>
      </c>
      <c r="AC94" s="40">
        <f t="shared" si="28"/>
        <v>0</v>
      </c>
      <c r="AD94" s="40">
        <f>SUM('ACTUAL EXP'!$G$37:$G$39)*ALLOCATION!P98</f>
        <v>0</v>
      </c>
      <c r="AE94" s="40">
        <f t="shared" si="29"/>
        <v>0</v>
      </c>
      <c r="AF94" s="40">
        <f>SUM('ACTUAL EXP'!$G$41)*ALLOCATION!P98</f>
        <v>0</v>
      </c>
      <c r="AG94" s="40">
        <f t="shared" si="30"/>
        <v>0</v>
      </c>
      <c r="AH94" s="40">
        <f>SUM('ACTUAL EXP'!$G$81)*ALLOCATION!P98</f>
        <v>0</v>
      </c>
      <c r="AI94" s="40">
        <f t="shared" si="31"/>
        <v>0</v>
      </c>
      <c r="AJ94" s="296">
        <f>SUM('ACTUAL EXP'!$G$83)*ALLOCATION!P98</f>
        <v>0</v>
      </c>
      <c r="AK94" s="40">
        <f t="shared" si="31"/>
        <v>0</v>
      </c>
      <c r="AL94" s="40">
        <f>SUM('ACTUAL EXP'!$G$64:$G$66)*ALLOCATION!P98</f>
        <v>0</v>
      </c>
      <c r="AM94" s="40">
        <f t="shared" si="32"/>
        <v>0</v>
      </c>
      <c r="AN94" s="40">
        <f t="shared" si="33"/>
        <v>0</v>
      </c>
      <c r="AO94" s="40">
        <f>-AN94</f>
        <v>0</v>
      </c>
      <c r="AP94" s="41" t="s">
        <v>8</v>
      </c>
      <c r="AQ94" s="83">
        <f t="shared" si="34"/>
        <v>0</v>
      </c>
      <c r="AR94" s="40"/>
      <c r="AS94" s="171">
        <f t="shared" si="35"/>
        <v>0</v>
      </c>
      <c r="AT94" s="40"/>
      <c r="AU94" s="171"/>
      <c r="AV94" s="33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</row>
    <row r="95" spans="1:253" ht="13" customHeight="1">
      <c r="A95" s="25">
        <f>ALLOCATION!A99</f>
        <v>606000</v>
      </c>
      <c r="B95" s="24" t="str">
        <f>ALLOCATION!C99</f>
        <v>Parking Facilities</v>
      </c>
      <c r="C95" s="40">
        <f>'ACTUAL EXP'!$G$13*(ALLOCATION!P99)</f>
        <v>17824.009450379326</v>
      </c>
      <c r="D95" s="40">
        <f>(SUM('ACTUAL EXP'!$G$15,'ACTUAL EXP'!$G$17:$G$19,'ACTUAL EXP'!$G$22))*ALLOCATION!P99</f>
        <v>28747.347247962498</v>
      </c>
      <c r="E95" s="176">
        <f>(('ACTUAL EXP'!$G$25)*(ALLOCATION!P99))</f>
        <v>0</v>
      </c>
      <c r="F95" s="40">
        <f>'ACTUAL EXP'!$G$28*ALLOCATION!P99</f>
        <v>0</v>
      </c>
      <c r="G95" s="40">
        <v>0</v>
      </c>
      <c r="H95" s="40">
        <f>SUM('ACTUAL EXP'!$G$30:$G$35)*ALLOCATION!P99</f>
        <v>25801.523039713931</v>
      </c>
      <c r="I95" s="40">
        <f>SUM('ACTUAL EXP'!$G$43:$G$47)*ALLOCATION!P99</f>
        <v>15584.908463584088</v>
      </c>
      <c r="J95" s="176">
        <f>(SUM('ACTUAL EXP'!$G$49:$G$50)*ALLOCATION!P99*0.5)+(SUM('ACTUAL EXP'!$G$49:$G$50)*ALLOCATION!P99*0.5)</f>
        <v>7476.3615420994129</v>
      </c>
      <c r="K95" s="40">
        <f>SUM('ACTUAL EXP'!$G$52:$G$53)*ALLOCATION!P99</f>
        <v>7890.2591979957824</v>
      </c>
      <c r="L95" s="40">
        <f>SUM('ACTUAL EXP'!$G$54:$G$54)*ALLOCATION!P99</f>
        <v>1075.944436090334</v>
      </c>
      <c r="M95" s="40">
        <f>SUM('ACTUAL EXP'!$G$21:$G$21)*ALLOCATION!P99</f>
        <v>331.55567188737922</v>
      </c>
      <c r="N95" s="176">
        <f>SUM('ACTUAL EXP'!$G$58:$G$62)*0.39*ALLOCATION!P99</f>
        <v>5280.4520069492683</v>
      </c>
      <c r="O95" s="176">
        <f>SUM('ACTUAL EXP'!$G$58:$G$62)*0.27*ALLOCATION!P99</f>
        <v>3655.6975432725708</v>
      </c>
      <c r="P95" s="176">
        <f>SUM('ACTUAL EXP'!$G$58:$G$62)*0.34*ALLOCATION!P99</f>
        <v>4603.4709804173108</v>
      </c>
      <c r="Q95" s="40">
        <f>'ACTUAL EXP'!$G$85*ALLOCATION!P99</f>
        <v>7006.7726692473152</v>
      </c>
      <c r="R95" s="40">
        <f>SUM('ACTUAL EXP'!$G$68:$G$73)*ALLOCATION!P99</f>
        <v>19110.931973575978</v>
      </c>
      <c r="S95" s="40">
        <f>SUM('ACTUAL EXP'!$G$75)*ALLOCATION!P99</f>
        <v>2676.4226092033477</v>
      </c>
      <c r="T95" s="40">
        <f>SUM('ACTUAL EXP'!$G$77)*ALLOCATION!P99</f>
        <v>1757.3282194678291</v>
      </c>
      <c r="U95" s="40">
        <f>SUM('ACTUAL EXP'!$G$79)*ALLOCATION!P99</f>
        <v>2663.2111767863976</v>
      </c>
      <c r="V95" s="40">
        <f t="shared" si="21"/>
        <v>151486.19622863279</v>
      </c>
      <c r="W95" s="40">
        <f t="shared" si="22"/>
        <v>1364.3754569974437</v>
      </c>
      <c r="X95" s="40">
        <f t="shared" si="23"/>
        <v>998.98076054810838</v>
      </c>
      <c r="Y95" s="40">
        <f t="shared" si="24"/>
        <v>3185.2487422265081</v>
      </c>
      <c r="Z95" s="40">
        <f t="shared" si="25"/>
        <v>1306.4609942349273</v>
      </c>
      <c r="AA95" s="40">
        <f t="shared" si="26"/>
        <v>508.62806612157993</v>
      </c>
      <c r="AB95" s="40">
        <f t="shared" si="27"/>
        <v>1106.7454959125473</v>
      </c>
      <c r="AC95" s="40">
        <f t="shared" si="28"/>
        <v>159956.63574467393</v>
      </c>
      <c r="AD95" s="40">
        <f>SUM('ACTUAL EXP'!$G$37:$G$39)*ALLOCATION!P99</f>
        <v>3133.6828091061902</v>
      </c>
      <c r="AE95" s="40">
        <f t="shared" si="29"/>
        <v>175.22171232638507</v>
      </c>
      <c r="AF95" s="40">
        <f>SUM('ACTUAL EXP'!$G$41)*ALLOCATION!P99</f>
        <v>937.5642363508365</v>
      </c>
      <c r="AG95" s="40">
        <f t="shared" si="30"/>
        <v>52.424454201933301</v>
      </c>
      <c r="AH95" s="40">
        <f>SUM('ACTUAL EXP'!$G$81)*ALLOCATION!P99</f>
        <v>390.53197280639768</v>
      </c>
      <c r="AI95" s="40">
        <f t="shared" si="31"/>
        <v>21.836824325195888</v>
      </c>
      <c r="AJ95" s="296">
        <f>SUM('ACTUAL EXP'!$G$83)*ALLOCATION!P99</f>
        <v>2899.5677389086845</v>
      </c>
      <c r="AK95" s="40">
        <f t="shared" si="31"/>
        <v>162.13103085657815</v>
      </c>
      <c r="AL95" s="40">
        <f>SUM('ACTUAL EXP'!$G$64:$G$66)*ALLOCATION!P99</f>
        <v>936.31718685238013</v>
      </c>
      <c r="AM95" s="40">
        <f t="shared" si="32"/>
        <v>52.35472469777276</v>
      </c>
      <c r="AN95" s="40">
        <f t="shared" si="33"/>
        <v>168718.26843510632</v>
      </c>
      <c r="AO95" s="40">
        <f>-AO66*0.106</f>
        <v>806.55620477502509</v>
      </c>
      <c r="AP95" s="41" t="s">
        <v>1</v>
      </c>
      <c r="AQ95" s="83">
        <f t="shared" si="34"/>
        <v>169524.82463988135</v>
      </c>
      <c r="AR95" s="40"/>
      <c r="AS95" s="171">
        <f t="shared" si="35"/>
        <v>169524.82463988135</v>
      </c>
      <c r="AT95" s="40" t="s">
        <v>347</v>
      </c>
      <c r="AU95" s="171"/>
      <c r="AV95" s="33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</row>
    <row r="96" spans="1:253" ht="13" customHeight="1">
      <c r="A96" s="25">
        <f>ALLOCATION!A100</f>
        <v>613000</v>
      </c>
      <c r="B96" s="24" t="str">
        <f>ALLOCATION!C100</f>
        <v>Parking Fac Db Rdmpt</v>
      </c>
      <c r="C96" s="40">
        <f>'ACTUAL EXP'!$G$13*(ALLOCATION!P100)</f>
        <v>0</v>
      </c>
      <c r="D96" s="40">
        <f>(SUM('ACTUAL EXP'!$G$15,'ACTUAL EXP'!$G$17:$G$19,'ACTUAL EXP'!$G$22))*ALLOCATION!P100</f>
        <v>0</v>
      </c>
      <c r="E96" s="176">
        <f>(('ACTUAL EXP'!$G$25)*(ALLOCATION!P100))</f>
        <v>0</v>
      </c>
      <c r="F96" s="40">
        <f>'ACTUAL EXP'!$G$28*ALLOCATION!P100</f>
        <v>0</v>
      </c>
      <c r="G96" s="40">
        <v>0</v>
      </c>
      <c r="H96" s="40">
        <f>SUM('ACTUAL EXP'!$G$30:$G$35)*ALLOCATION!P100</f>
        <v>0</v>
      </c>
      <c r="I96" s="40">
        <f>SUM('ACTUAL EXP'!$G$43:$G$47)*ALLOCATION!P100</f>
        <v>0</v>
      </c>
      <c r="J96" s="176">
        <f>(SUM('ACTUAL EXP'!$G$49:$G$50)*ALLOCATION!P100*0.5)+(SUM('ACTUAL EXP'!$G$49:$G$50)*ALLOCATION!P100*0.5)</f>
        <v>0</v>
      </c>
      <c r="K96" s="40">
        <f>SUM('ACTUAL EXP'!$G$52:$G$53)*ALLOCATION!P100</f>
        <v>0</v>
      </c>
      <c r="L96" s="40">
        <f>SUM('ACTUAL EXP'!$G$54:$G$54)*ALLOCATION!P100</f>
        <v>0</v>
      </c>
      <c r="M96" s="40">
        <f>SUM('ACTUAL EXP'!$G$21:$G$21)*ALLOCATION!P100</f>
        <v>0</v>
      </c>
      <c r="N96" s="176">
        <f>SUM('ACTUAL EXP'!$G$58:$G$62)*0.39*ALLOCATION!P100</f>
        <v>0</v>
      </c>
      <c r="O96" s="176">
        <f>SUM('ACTUAL EXP'!$G$58:$G$62)*0.27*ALLOCATION!P100</f>
        <v>0</v>
      </c>
      <c r="P96" s="176">
        <f>SUM('ACTUAL EXP'!$G$58:$G$62)*0.34*ALLOCATION!P100</f>
        <v>0</v>
      </c>
      <c r="Q96" s="40">
        <f>'ACTUAL EXP'!$G$85*ALLOCATION!P100</f>
        <v>0</v>
      </c>
      <c r="R96" s="40">
        <f>SUM('ACTUAL EXP'!$G$68:$G$73)*ALLOCATION!P100</f>
        <v>0</v>
      </c>
      <c r="S96" s="40">
        <f>SUM('ACTUAL EXP'!$G$75)*ALLOCATION!P100</f>
        <v>0</v>
      </c>
      <c r="T96" s="40">
        <f>SUM('ACTUAL EXP'!$G$77)*ALLOCATION!P100</f>
        <v>0</v>
      </c>
      <c r="U96" s="40">
        <f>SUM('ACTUAL EXP'!$G$79)*ALLOCATION!P100</f>
        <v>0</v>
      </c>
      <c r="V96" s="40">
        <f t="shared" si="21"/>
        <v>0</v>
      </c>
      <c r="W96" s="40">
        <f t="shared" si="22"/>
        <v>0</v>
      </c>
      <c r="X96" s="40">
        <f t="shared" si="23"/>
        <v>0</v>
      </c>
      <c r="Y96" s="40">
        <f t="shared" si="24"/>
        <v>0</v>
      </c>
      <c r="Z96" s="40">
        <f t="shared" si="25"/>
        <v>0</v>
      </c>
      <c r="AA96" s="40">
        <f t="shared" si="26"/>
        <v>0</v>
      </c>
      <c r="AB96" s="40">
        <f t="shared" si="27"/>
        <v>0</v>
      </c>
      <c r="AC96" s="40">
        <f t="shared" si="28"/>
        <v>0</v>
      </c>
      <c r="AD96" s="40">
        <f>SUM('ACTUAL EXP'!$G$37:$G$39)*ALLOCATION!P100</f>
        <v>0</v>
      </c>
      <c r="AE96" s="40">
        <f t="shared" si="29"/>
        <v>0</v>
      </c>
      <c r="AF96" s="40">
        <f>SUM('ACTUAL EXP'!$G$41)*ALLOCATION!P100</f>
        <v>0</v>
      </c>
      <c r="AG96" s="40">
        <f t="shared" si="30"/>
        <v>0</v>
      </c>
      <c r="AH96" s="40">
        <f>SUM('ACTUAL EXP'!$G$81)*ALLOCATION!P100</f>
        <v>0</v>
      </c>
      <c r="AI96" s="40">
        <f t="shared" si="31"/>
        <v>0</v>
      </c>
      <c r="AJ96" s="296">
        <f>SUM('ACTUAL EXP'!$G$83)*ALLOCATION!P100</f>
        <v>0</v>
      </c>
      <c r="AK96" s="40">
        <f t="shared" si="31"/>
        <v>0</v>
      </c>
      <c r="AL96" s="40">
        <f>SUM('ACTUAL EXP'!$G$64:$G$66)*ALLOCATION!P100</f>
        <v>0</v>
      </c>
      <c r="AM96" s="40">
        <f t="shared" si="32"/>
        <v>0</v>
      </c>
      <c r="AN96" s="40">
        <f t="shared" si="33"/>
        <v>0</v>
      </c>
      <c r="AO96" s="40">
        <f>-AN96</f>
        <v>0</v>
      </c>
      <c r="AP96" s="41" t="s">
        <v>351</v>
      </c>
      <c r="AQ96" s="83">
        <f t="shared" si="34"/>
        <v>0</v>
      </c>
      <c r="AR96" s="40"/>
      <c r="AS96" s="171">
        <f t="shared" si="35"/>
        <v>0</v>
      </c>
      <c r="AT96" s="40" t="s">
        <v>348</v>
      </c>
      <c r="AU96" s="171"/>
      <c r="AV96" s="33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</row>
    <row r="97" spans="1:253" ht="13" customHeight="1">
      <c r="A97" s="25">
        <f>ALLOCATION!A101</f>
        <v>701000</v>
      </c>
      <c r="B97" s="24" t="str">
        <f>ALLOCATION!C101</f>
        <v>Facilities Svcs Op</v>
      </c>
      <c r="C97" s="40">
        <f>'ACTUAL EXP'!$G$13*(ALLOCATION!P101)</f>
        <v>91730.619277598351</v>
      </c>
      <c r="D97" s="40">
        <f>(SUM('ACTUAL EXP'!$G$15,'ACTUAL EXP'!$G$17:$G$19,'ACTUAL EXP'!$G$22))*ALLOCATION!P101</f>
        <v>147947.18174858476</v>
      </c>
      <c r="E97" s="176">
        <f>(('ACTUAL EXP'!$G$25)*(ALLOCATION!P101))</f>
        <v>0</v>
      </c>
      <c r="F97" s="40">
        <f>'ACTUAL EXP'!$G$28*ALLOCATION!P101</f>
        <v>0</v>
      </c>
      <c r="G97" s="40">
        <v>0</v>
      </c>
      <c r="H97" s="40">
        <f>SUM('ACTUAL EXP'!$G$30:$G$35)*ALLOCATION!P101</f>
        <v>132786.60412109527</v>
      </c>
      <c r="I97" s="40">
        <f>SUM('ACTUAL EXP'!$G$43:$G$47)*ALLOCATION!P101</f>
        <v>80207.167120797705</v>
      </c>
      <c r="J97" s="176">
        <f>(SUM('ACTUAL EXP'!$G$49:$G$50)*ALLOCATION!P101*0.5)+(SUM('ACTUAL EXP'!$G$49:$G$50)*ALLOCATION!P101*0.5)</f>
        <v>38476.823977750078</v>
      </c>
      <c r="K97" s="40">
        <f>SUM('ACTUAL EXP'!$G$52:$G$53)*ALLOCATION!P101</f>
        <v>40606.933277715259</v>
      </c>
      <c r="L97" s="40">
        <f>SUM('ACTUAL EXP'!$G$54:$G$54)*ALLOCATION!P101</f>
        <v>5537.3090833248089</v>
      </c>
      <c r="M97" s="40">
        <f>SUM('ACTUAL EXP'!$G$21:$G$21)*ALLOCATION!P101</f>
        <v>1706.3392606416196</v>
      </c>
      <c r="N97" s="176">
        <f>SUM('ACTUAL EXP'!$G$58:$G$62)*0.39*ALLOCATION!P101</f>
        <v>27175.655062996218</v>
      </c>
      <c r="O97" s="176">
        <f>SUM('ACTUAL EXP'!$G$58:$G$62)*0.27*ALLOCATION!P101</f>
        <v>18813.915043612767</v>
      </c>
      <c r="P97" s="176">
        <f>SUM('ACTUAL EXP'!$G$58:$G$62)*0.34*ALLOCATION!P101</f>
        <v>23691.596721586448</v>
      </c>
      <c r="Q97" s="40">
        <f>'ACTUAL EXP'!$G$85*ALLOCATION!P101</f>
        <v>36060.101846149351</v>
      </c>
      <c r="R97" s="40">
        <f>SUM('ACTUAL EXP'!$G$68:$G$73)*ALLOCATION!P101</f>
        <v>98353.71944727459</v>
      </c>
      <c r="S97" s="40">
        <f>SUM('ACTUAL EXP'!$G$75)*ALLOCATION!P101</f>
        <v>13774.112052300543</v>
      </c>
      <c r="T97" s="40">
        <f>SUM('ACTUAL EXP'!$G$77)*ALLOCATION!P101</f>
        <v>9044.0260534283207</v>
      </c>
      <c r="U97" s="40">
        <f>SUM('ACTUAL EXP'!$G$79)*ALLOCATION!P101</f>
        <v>13706.119893716654</v>
      </c>
      <c r="V97" s="40">
        <f t="shared" si="21"/>
        <v>779618.22398857272</v>
      </c>
      <c r="W97" s="40">
        <f t="shared" si="22"/>
        <v>7021.7088891224876</v>
      </c>
      <c r="X97" s="40">
        <f t="shared" si="23"/>
        <v>5141.2183137915672</v>
      </c>
      <c r="Y97" s="40">
        <f t="shared" si="24"/>
        <v>16392.767322697448</v>
      </c>
      <c r="Z97" s="40">
        <f t="shared" si="25"/>
        <v>6723.6542034399708</v>
      </c>
      <c r="AA97" s="40">
        <f t="shared" si="26"/>
        <v>2617.6359262593878</v>
      </c>
      <c r="AB97" s="40">
        <f t="shared" si="27"/>
        <v>5695.8256224774423</v>
      </c>
      <c r="AC97" s="40">
        <f t="shared" si="28"/>
        <v>823211.03426636092</v>
      </c>
      <c r="AD97" s="40">
        <f>SUM('ACTUAL EXP'!$G$37:$G$39)*ALLOCATION!P101</f>
        <v>16127.385114955563</v>
      </c>
      <c r="AE97" s="40">
        <f t="shared" si="29"/>
        <v>901.77219818734011</v>
      </c>
      <c r="AF97" s="40">
        <f>SUM('ACTUAL EXP'!$G$41)*ALLOCATION!P101</f>
        <v>4825.1403957351758</v>
      </c>
      <c r="AG97" s="40">
        <f t="shared" si="30"/>
        <v>269.80055540371654</v>
      </c>
      <c r="AH97" s="40">
        <f>SUM('ACTUAL EXP'!$G$81)*ALLOCATION!P101</f>
        <v>2009.858657950311</v>
      </c>
      <c r="AI97" s="40">
        <f t="shared" si="31"/>
        <v>112.38242573775747</v>
      </c>
      <c r="AJ97" s="296">
        <f>SUM('ACTUAL EXP'!$G$83)*ALLOCATION!P101</f>
        <v>14922.520382852395</v>
      </c>
      <c r="AK97" s="40">
        <f t="shared" si="31"/>
        <v>834.40147998085854</v>
      </c>
      <c r="AL97" s="40">
        <f>SUM('ACTUAL EXP'!$G$64:$G$66)*ALLOCATION!P101</f>
        <v>4818.722500643632</v>
      </c>
      <c r="AM97" s="40">
        <f t="shared" si="32"/>
        <v>269.4416950352695</v>
      </c>
      <c r="AN97" s="40">
        <f t="shared" si="33"/>
        <v>868302.45967284299</v>
      </c>
      <c r="AO97" s="40">
        <f>-AO66*0.317</f>
        <v>2412.0595935253114</v>
      </c>
      <c r="AP97" s="41" t="s">
        <v>1</v>
      </c>
      <c r="AQ97" s="83">
        <f t="shared" si="34"/>
        <v>870714.51926636836</v>
      </c>
      <c r="AR97" s="40"/>
      <c r="AS97" s="171">
        <f t="shared" si="35"/>
        <v>870714.51926636836</v>
      </c>
      <c r="AT97" s="40" t="s">
        <v>349</v>
      </c>
      <c r="AU97" s="171"/>
      <c r="AV97" s="33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</row>
    <row r="98" spans="1:253" ht="13" customHeight="1">
      <c r="A98" s="25">
        <f>ALLOCATION!A102</f>
        <v>400000</v>
      </c>
      <c r="B98" s="24" t="str">
        <f>ALLOCATION!C102</f>
        <v>BFRES Fac GO Bd Cstr</v>
      </c>
      <c r="C98" s="40">
        <f>'ACTUAL EXP'!$G$13*(ALLOCATION!P102)</f>
        <v>4911.4232578747942</v>
      </c>
      <c r="D98" s="40">
        <f>(SUM('ACTUAL EXP'!$G$15,'ACTUAL EXP'!$G$17:$G$19,'ACTUAL EXP'!$G$22))*ALLOCATION!P102</f>
        <v>7921.3596844699377</v>
      </c>
      <c r="E98" s="176">
        <f>(('ACTUAL EXP'!$G$25)*(ALLOCATION!P102))</f>
        <v>0</v>
      </c>
      <c r="F98" s="40">
        <f>'ACTUAL EXP'!$G$28*ALLOCATION!P102</f>
        <v>0</v>
      </c>
      <c r="G98" s="40">
        <v>0</v>
      </c>
      <c r="H98" s="40">
        <f>SUM('ACTUAL EXP'!$G$30:$G$35)*ALLOCATION!P102</f>
        <v>7109.6349392446309</v>
      </c>
      <c r="I98" s="40">
        <f>SUM('ACTUAL EXP'!$G$43:$G$47)*ALLOCATION!P102</f>
        <v>4294.4367883662462</v>
      </c>
      <c r="J98" s="176">
        <f>(SUM('ACTUAL EXP'!$G$49:$G$50)*ALLOCATION!P102*0.5)+(SUM('ACTUAL EXP'!$G$49:$G$50)*ALLOCATION!P102*0.5)</f>
        <v>2060.1187440105546</v>
      </c>
      <c r="K98" s="40">
        <f>SUM('ACTUAL EXP'!$G$52:$G$53)*ALLOCATION!P102</f>
        <v>2174.168648394219</v>
      </c>
      <c r="L98" s="40">
        <f>SUM('ACTUAL EXP'!$G$54:$G$54)*ALLOCATION!P102</f>
        <v>296.47754296284802</v>
      </c>
      <c r="M98" s="40">
        <f>SUM('ACTUAL EXP'!$G$21:$G$21)*ALLOCATION!P102</f>
        <v>91.360490058162696</v>
      </c>
      <c r="N98" s="176">
        <f>SUM('ACTUAL EXP'!$G$58:$G$62)*0.39*ALLOCATION!P102</f>
        <v>1455.0337212972211</v>
      </c>
      <c r="O98" s="176">
        <f>SUM('ACTUAL EXP'!$G$58:$G$62)*0.27*ALLOCATION!P102</f>
        <v>1007.3310378211531</v>
      </c>
      <c r="P98" s="176">
        <f>SUM('ACTUAL EXP'!$G$58:$G$62)*0.34*ALLOCATION!P102</f>
        <v>1268.4909365155261</v>
      </c>
      <c r="Q98" s="40">
        <f>'ACTUAL EXP'!$G$85*ALLOCATION!P102</f>
        <v>1930.7230702601732</v>
      </c>
      <c r="R98" s="40">
        <f>SUM('ACTUAL EXP'!$G$68:$G$73)*ALLOCATION!P102</f>
        <v>5266.036019336073</v>
      </c>
      <c r="S98" s="40">
        <f>SUM('ACTUAL EXP'!$G$75)*ALLOCATION!P102</f>
        <v>737.49087080199638</v>
      </c>
      <c r="T98" s="40">
        <f>SUM('ACTUAL EXP'!$G$77)*ALLOCATION!P102</f>
        <v>484.23351170464696</v>
      </c>
      <c r="U98" s="40">
        <f>SUM('ACTUAL EXP'!$G$79)*ALLOCATION!P102</f>
        <v>733.85044766246153</v>
      </c>
      <c r="V98" s="40">
        <f t="shared" si="21"/>
        <v>41742.169710780639</v>
      </c>
      <c r="W98" s="40">
        <f t="shared" si="22"/>
        <v>375.9549932144019</v>
      </c>
      <c r="X98" s="40">
        <f t="shared" si="23"/>
        <v>275.27012680197004</v>
      </c>
      <c r="Y98" s="40">
        <f t="shared" si="24"/>
        <v>877.69841001485622</v>
      </c>
      <c r="Z98" s="40">
        <f t="shared" si="25"/>
        <v>359.9966062885527</v>
      </c>
      <c r="AA98" s="40">
        <f t="shared" si="26"/>
        <v>140.15296168417609</v>
      </c>
      <c r="AB98" s="40">
        <f t="shared" si="27"/>
        <v>304.96480515821185</v>
      </c>
      <c r="AC98" s="40">
        <f t="shared" si="28"/>
        <v>44076.207613942803</v>
      </c>
      <c r="AD98" s="40">
        <f>SUM('ACTUAL EXP'!$G$37:$G$39)*ALLOCATION!P102</f>
        <v>863.48936664859184</v>
      </c>
      <c r="AE98" s="40">
        <f t="shared" si="29"/>
        <v>48.282514414069688</v>
      </c>
      <c r="AF98" s="40">
        <f>SUM('ACTUAL EXP'!$G$41)*ALLOCATION!P102</f>
        <v>258.34674341844681</v>
      </c>
      <c r="AG98" s="40">
        <f t="shared" si="30"/>
        <v>14.445609690993942</v>
      </c>
      <c r="AH98" s="40">
        <f>SUM('ACTUAL EXP'!$G$81)*ALLOCATION!P102</f>
        <v>107.61146752782092</v>
      </c>
      <c r="AI98" s="40">
        <f t="shared" si="31"/>
        <v>6.0171583261032584</v>
      </c>
      <c r="AJ98" s="296">
        <f>SUM('ACTUAL EXP'!$G$83)*ALLOCATION!P102</f>
        <v>798.97872980293266</v>
      </c>
      <c r="AK98" s="40">
        <f t="shared" si="31"/>
        <v>44.675364316263156</v>
      </c>
      <c r="AL98" s="40">
        <f>SUM('ACTUAL EXP'!$G$64:$G$66)*ALLOCATION!P102</f>
        <v>258.0031177079976</v>
      </c>
      <c r="AM98" s="40">
        <f t="shared" si="32"/>
        <v>14.42639565784121</v>
      </c>
      <c r="AN98" s="40">
        <f t="shared" si="33"/>
        <v>46490.484081453869</v>
      </c>
      <c r="AO98" s="40"/>
      <c r="AP98" s="41"/>
      <c r="AQ98" s="83">
        <f t="shared" si="34"/>
        <v>46490.484081453869</v>
      </c>
      <c r="AR98" s="40"/>
      <c r="AS98" s="171">
        <f t="shared" si="35"/>
        <v>46490.484081453869</v>
      </c>
      <c r="AT98" s="40" t="s">
        <v>350</v>
      </c>
      <c r="AU98" s="171"/>
      <c r="AV98" s="33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</row>
    <row r="99" spans="1:253" ht="13" customHeight="1">
      <c r="A99" s="25">
        <f>ALLOCATION!A103</f>
        <v>401000</v>
      </c>
      <c r="B99" s="24" t="str">
        <f>ALLOCATION!C103</f>
        <v>LID Construction</v>
      </c>
      <c r="C99" s="40">
        <f>'ACTUAL EXP'!$G$13*(ALLOCATION!P103)</f>
        <v>1052.8536013502762</v>
      </c>
      <c r="D99" s="40">
        <f>(SUM('ACTUAL EXP'!$G$15,'ACTUAL EXP'!$G$17:$G$19,'ACTUAL EXP'!$G$22))*ALLOCATION!P103</f>
        <v>1698.0886463028742</v>
      </c>
      <c r="E99" s="176">
        <f>(('ACTUAL EXP'!$G$25)*(ALLOCATION!P103))</f>
        <v>0</v>
      </c>
      <c r="F99" s="40">
        <f>'ACTUAL EXP'!$G$28*ALLOCATION!P103</f>
        <v>0</v>
      </c>
      <c r="G99" s="40">
        <v>0</v>
      </c>
      <c r="H99" s="40">
        <f>SUM('ACTUAL EXP'!$G$30:$G$35)*ALLOCATION!P103</f>
        <v>1524.080568309327</v>
      </c>
      <c r="I99" s="40">
        <f>SUM('ACTUAL EXP'!$G$43:$G$47)*ALLOCATION!P103</f>
        <v>920.5912422947971</v>
      </c>
      <c r="J99" s="176">
        <f>(SUM('ACTUAL EXP'!$G$49:$G$50)*ALLOCATION!P103*0.5)+(SUM('ACTUAL EXP'!$G$49:$G$50)*ALLOCATION!P103*0.5)</f>
        <v>441.62421460276727</v>
      </c>
      <c r="K99" s="40">
        <f>SUM('ACTUAL EXP'!$G$52:$G$53)*ALLOCATION!P103</f>
        <v>466.07290213371198</v>
      </c>
      <c r="L99" s="40">
        <f>SUM('ACTUAL EXP'!$G$54:$G$54)*ALLOCATION!P103</f>
        <v>63.555395745506182</v>
      </c>
      <c r="M99" s="40">
        <f>SUM('ACTUAL EXP'!$G$21:$G$21)*ALLOCATION!P103</f>
        <v>19.584795674988197</v>
      </c>
      <c r="N99" s="176">
        <f>SUM('ACTUAL EXP'!$G$58:$G$62)*0.39*ALLOCATION!P103</f>
        <v>311.91314882048124</v>
      </c>
      <c r="O99" s="176">
        <f>SUM('ACTUAL EXP'!$G$58:$G$62)*0.27*ALLOCATION!P103</f>
        <v>215.93987226033317</v>
      </c>
      <c r="P99" s="176">
        <f>SUM('ACTUAL EXP'!$G$58:$G$62)*0.34*ALLOCATION!P103</f>
        <v>271.92428358708617</v>
      </c>
      <c r="Q99" s="40">
        <f>'ACTUAL EXP'!$G$85*ALLOCATION!P103</f>
        <v>413.8858801212499</v>
      </c>
      <c r="R99" s="40">
        <f>SUM('ACTUAL EXP'!$G$68:$G$73)*ALLOCATION!P103</f>
        <v>1128.8713467951734</v>
      </c>
      <c r="S99" s="40">
        <f>SUM('ACTUAL EXP'!$G$75)*ALLOCATION!P103</f>
        <v>158.09468630948678</v>
      </c>
      <c r="T99" s="40">
        <f>SUM('ACTUAL EXP'!$G$77)*ALLOCATION!P103</f>
        <v>103.80432919832168</v>
      </c>
      <c r="U99" s="40">
        <f>SUM('ACTUAL EXP'!$G$79)*ALLOCATION!P103</f>
        <v>157.31429488084078</v>
      </c>
      <c r="V99" s="40">
        <f t="shared" si="21"/>
        <v>8948.1992083872192</v>
      </c>
      <c r="W99" s="40">
        <f t="shared" si="22"/>
        <v>80.592844022707595</v>
      </c>
      <c r="X99" s="40">
        <f t="shared" si="23"/>
        <v>59.009197361053346</v>
      </c>
      <c r="Y99" s="40">
        <f t="shared" si="24"/>
        <v>188.15074233358004</v>
      </c>
      <c r="Z99" s="40">
        <f t="shared" si="25"/>
        <v>77.171871269100592</v>
      </c>
      <c r="AA99" s="40">
        <f t="shared" si="26"/>
        <v>30.044356330417859</v>
      </c>
      <c r="AB99" s="40">
        <f t="shared" si="27"/>
        <v>65.374795967970286</v>
      </c>
      <c r="AC99" s="40">
        <f t="shared" si="28"/>
        <v>9448.5430156720486</v>
      </c>
      <c r="AD99" s="40">
        <f>SUM('ACTUAL EXP'!$G$37:$G$39)*ALLOCATION!P103</f>
        <v>185.10477343730801</v>
      </c>
      <c r="AE99" s="40">
        <f t="shared" si="29"/>
        <v>10.350241979571575</v>
      </c>
      <c r="AF99" s="40">
        <f>SUM('ACTUAL EXP'!$G$41)*ALLOCATION!P103</f>
        <v>55.38135992843025</v>
      </c>
      <c r="AG99" s="40">
        <f t="shared" si="30"/>
        <v>3.0966812242210429</v>
      </c>
      <c r="AH99" s="40">
        <f>SUM('ACTUAL EXP'!$G$81)*ALLOCATION!P103</f>
        <v>23.068490574823691</v>
      </c>
      <c r="AI99" s="40">
        <f t="shared" si="31"/>
        <v>1.2898881812670109</v>
      </c>
      <c r="AJ99" s="296">
        <f>SUM('ACTUAL EXP'!$G$83)*ALLOCATION!P103</f>
        <v>171.27573595424212</v>
      </c>
      <c r="AK99" s="40">
        <f t="shared" si="31"/>
        <v>9.5769832373124242</v>
      </c>
      <c r="AL99" s="40">
        <f>SUM('ACTUAL EXP'!$G$64:$G$66)*ALLOCATION!P103</f>
        <v>55.307697458761623</v>
      </c>
      <c r="AM99" s="40">
        <f t="shared" si="32"/>
        <v>3.0925623440229497</v>
      </c>
      <c r="AN99" s="40">
        <f t="shared" si="33"/>
        <v>9966.0874299920088</v>
      </c>
      <c r="AO99" s="40">
        <f>-AO101</f>
        <v>38233.892064205385</v>
      </c>
      <c r="AP99" s="41" t="s">
        <v>9</v>
      </c>
      <c r="AQ99" s="83">
        <f t="shared" si="34"/>
        <v>48199.979494197396</v>
      </c>
      <c r="AR99" s="40"/>
      <c r="AS99" s="171">
        <f t="shared" si="35"/>
        <v>48199.979494197396</v>
      </c>
      <c r="AT99" s="40" t="s">
        <v>352</v>
      </c>
      <c r="AU99" s="171"/>
      <c r="AV99" s="33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</row>
    <row r="100" spans="1:253" ht="13" customHeight="1">
      <c r="A100" s="25">
        <f>ALLOCATION!A104</f>
        <v>308000</v>
      </c>
      <c r="B100" s="24" t="str">
        <f>ALLOCATION!C104</f>
        <v>Gas Tax Bond Rdmpt</v>
      </c>
      <c r="C100" s="40">
        <f>'ACTUAL EXP'!$G$13*(ALLOCATION!P104)</f>
        <v>509.0966014055042</v>
      </c>
      <c r="D100" s="40">
        <f>(SUM('ACTUAL EXP'!$G$15,'ACTUAL EXP'!$G$17:$G$19,'ACTUAL EXP'!$G$22))*ALLOCATION!P104</f>
        <v>821.09341470586571</v>
      </c>
      <c r="E100" s="176">
        <f>(('ACTUAL EXP'!$G$25)*(ALLOCATION!P104))</f>
        <v>0</v>
      </c>
      <c r="F100" s="40">
        <f>'ACTUAL EXP'!$G$28*ALLOCATION!P104</f>
        <v>0</v>
      </c>
      <c r="G100" s="40">
        <v>0</v>
      </c>
      <c r="H100" s="40">
        <f>SUM('ACTUAL EXP'!$G$30:$G$35)*ALLOCATION!P104</f>
        <v>736.95358651892047</v>
      </c>
      <c r="I100" s="40">
        <f>SUM('ACTUAL EXP'!$G$43:$G$47)*ALLOCATION!P104</f>
        <v>445.142489074347</v>
      </c>
      <c r="J100" s="176">
        <f>(SUM('ACTUAL EXP'!$G$49:$G$50)*ALLOCATION!P104*0.5)+(SUM('ACTUAL EXP'!$G$49:$G$50)*ALLOCATION!P104*0.5)</f>
        <v>213.54287667753806</v>
      </c>
      <c r="K100" s="40">
        <f>SUM('ACTUAL EXP'!$G$52:$G$53)*ALLOCATION!P104</f>
        <v>225.36478972876023</v>
      </c>
      <c r="L100" s="40">
        <f>SUM('ACTUAL EXP'!$G$54:$G$54)*ALLOCATION!P104</f>
        <v>30.731562235740032</v>
      </c>
      <c r="M100" s="40">
        <f>SUM('ACTUAL EXP'!$G$21:$G$21)*ALLOCATION!P104</f>
        <v>9.470027841069788</v>
      </c>
      <c r="N100" s="176">
        <f>SUM('ACTUAL EXP'!$G$58:$G$62)*0.39*ALLOCATION!P104</f>
        <v>150.82241614080468</v>
      </c>
      <c r="O100" s="176">
        <f>SUM('ACTUAL EXP'!$G$58:$G$62)*0.27*ALLOCATION!P104</f>
        <v>104.41551886671094</v>
      </c>
      <c r="P100" s="176">
        <f>SUM('ACTUAL EXP'!$G$58:$G$62)*0.34*ALLOCATION!P104</f>
        <v>131.48620894326561</v>
      </c>
      <c r="Q100" s="40">
        <f>'ACTUAL EXP'!$G$85*ALLOCATION!P104</f>
        <v>200.13028845532094</v>
      </c>
      <c r="R100" s="40">
        <f>SUM('ACTUAL EXP'!$G$68:$G$73)*ALLOCATION!P104</f>
        <v>545.85420550437709</v>
      </c>
      <c r="S100" s="40">
        <f>SUM('ACTUAL EXP'!$G$75)*ALLOCATION!P104</f>
        <v>76.445070233133123</v>
      </c>
      <c r="T100" s="40">
        <f>SUM('ACTUAL EXP'!$G$77)*ALLOCATION!P104</f>
        <v>50.193522763533885</v>
      </c>
      <c r="U100" s="40">
        <f>SUM('ACTUAL EXP'!$G$79)*ALLOCATION!P104</f>
        <v>76.067719931457617</v>
      </c>
      <c r="V100" s="40">
        <f t="shared" si="21"/>
        <v>4326.8102990263496</v>
      </c>
      <c r="W100" s="40">
        <f t="shared" si="22"/>
        <v>38.969846270121785</v>
      </c>
      <c r="X100" s="40">
        <f t="shared" si="23"/>
        <v>28.533294457701505</v>
      </c>
      <c r="Y100" s="40">
        <f t="shared" si="24"/>
        <v>90.978369025952304</v>
      </c>
      <c r="Z100" s="40">
        <f t="shared" si="25"/>
        <v>37.315669848890408</v>
      </c>
      <c r="AA100" s="40">
        <f t="shared" si="26"/>
        <v>14.527641525484025</v>
      </c>
      <c r="AB100" s="40">
        <f t="shared" si="27"/>
        <v>31.611314623598123</v>
      </c>
      <c r="AC100" s="40">
        <f t="shared" si="28"/>
        <v>4568.746434778097</v>
      </c>
      <c r="AD100" s="40">
        <f>SUM('ACTUAL EXP'!$G$37:$G$39)*ALLOCATION!P104</f>
        <v>89.505521888334897</v>
      </c>
      <c r="AE100" s="40">
        <f t="shared" si="29"/>
        <v>5.0047537556661892</v>
      </c>
      <c r="AF100" s="40">
        <f>SUM('ACTUAL EXP'!$G$41)*ALLOCATION!P104</f>
        <v>26.779090734570929</v>
      </c>
      <c r="AG100" s="40">
        <f t="shared" si="30"/>
        <v>1.4973685656441769</v>
      </c>
      <c r="AH100" s="40">
        <f>SUM('ACTUAL EXP'!$G$81)*ALLOCATION!P104</f>
        <v>11.154532915246666</v>
      </c>
      <c r="AI100" s="40">
        <f t="shared" si="31"/>
        <v>0.62371225062437774</v>
      </c>
      <c r="AJ100" s="296">
        <f>SUM('ACTUAL EXP'!$G$83)*ALLOCATION!P104</f>
        <v>82.818632111533034</v>
      </c>
      <c r="AK100" s="40">
        <f t="shared" si="31"/>
        <v>4.6308523916148543</v>
      </c>
      <c r="AL100" s="40">
        <f>SUM('ACTUAL EXP'!$G$64:$G$66)*ALLOCATION!P104</f>
        <v>26.743472000008655</v>
      </c>
      <c r="AM100" s="40">
        <f t="shared" si="32"/>
        <v>1.4953769232090308</v>
      </c>
      <c r="AN100" s="40">
        <f t="shared" si="33"/>
        <v>4818.9997483145498</v>
      </c>
      <c r="AO100" s="40">
        <f>-AN100</f>
        <v>-4818.9997483145498</v>
      </c>
      <c r="AP100" s="41" t="s">
        <v>340</v>
      </c>
      <c r="AQ100" s="83">
        <f t="shared" si="34"/>
        <v>0</v>
      </c>
      <c r="AR100" s="40"/>
      <c r="AS100" s="171">
        <f t="shared" si="35"/>
        <v>0</v>
      </c>
      <c r="AT100" s="40" t="s">
        <v>354</v>
      </c>
      <c r="AU100" s="171"/>
      <c r="AV100" s="33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</row>
    <row r="101" spans="1:253" ht="13" customHeight="1">
      <c r="A101" s="25">
        <f>ALLOCATION!A105</f>
        <v>311000</v>
      </c>
      <c r="B101" s="24" t="str">
        <f>ALLOCATION!C105</f>
        <v>Bancroft Int &amp; Sinkg</v>
      </c>
      <c r="C101" s="40">
        <f>'ACTUAL EXP'!$G$13*(ALLOCATION!P105)</f>
        <v>4039.1669485352545</v>
      </c>
      <c r="D101" s="40">
        <f>(SUM('ACTUAL EXP'!$G$15,'ACTUAL EXP'!$G$17:$G$19,'ACTUAL EXP'!$G$22))*ALLOCATION!P105</f>
        <v>6514.5463025753097</v>
      </c>
      <c r="E101" s="176">
        <f>(('ACTUAL EXP'!$G$25)*(ALLOCATION!P105))</f>
        <v>0</v>
      </c>
      <c r="F101" s="40">
        <f>'ACTUAL EXP'!$G$28*ALLOCATION!P105</f>
        <v>0</v>
      </c>
      <c r="G101" s="40">
        <v>0</v>
      </c>
      <c r="H101" s="40">
        <f>SUM('ACTUAL EXP'!$G$30:$G$35)*ALLOCATION!P105</f>
        <v>5846.9818125946667</v>
      </c>
      <c r="I101" s="40">
        <f>SUM('ACTUAL EXP'!$G$43:$G$47)*ALLOCATION!P105</f>
        <v>3531.7557105938645</v>
      </c>
      <c r="J101" s="176">
        <f>(SUM('ACTUAL EXP'!$G$49:$G$50)*ALLOCATION!P105*0.5)+(SUM('ACTUAL EXP'!$G$49:$G$50)*ALLOCATION!P105*0.5)</f>
        <v>1694.2468820058518</v>
      </c>
      <c r="K101" s="40">
        <f>SUM('ACTUAL EXP'!$G$52:$G$53)*ALLOCATION!P105</f>
        <v>1788.0418127383002</v>
      </c>
      <c r="L101" s="40">
        <f>SUM('ACTUAL EXP'!$G$54:$G$54)*ALLOCATION!P105</f>
        <v>243.82388355522278</v>
      </c>
      <c r="M101" s="40">
        <f>SUM('ACTUAL EXP'!$G$21:$G$21)*ALLOCATION!P105</f>
        <v>75.135098823592728</v>
      </c>
      <c r="N101" s="176">
        <f>SUM('ACTUAL EXP'!$G$58:$G$62)*0.39*ALLOCATION!P105</f>
        <v>1196.6234241051877</v>
      </c>
      <c r="O101" s="176">
        <f>SUM('ACTUAL EXP'!$G$58:$G$62)*0.27*ALLOCATION!P105</f>
        <v>828.43160130359161</v>
      </c>
      <c r="P101" s="176">
        <f>SUM('ACTUAL EXP'!$G$58:$G$62)*0.34*ALLOCATION!P105</f>
        <v>1043.2101646045226</v>
      </c>
      <c r="Q101" s="40">
        <f>'ACTUAL EXP'!$G$85*ALLOCATION!P105</f>
        <v>1587.8315516109419</v>
      </c>
      <c r="R101" s="40">
        <f>SUM('ACTUAL EXP'!$G$68:$G$73)*ALLOCATION!P105</f>
        <v>4330.8013832842153</v>
      </c>
      <c r="S101" s="40">
        <f>SUM('ACTUAL EXP'!$G$75)*ALLOCATION!P105</f>
        <v>606.51436330878869</v>
      </c>
      <c r="T101" s="40">
        <f>SUM('ACTUAL EXP'!$G$77)*ALLOCATION!P105</f>
        <v>398.23486862276667</v>
      </c>
      <c r="U101" s="40">
        <f>SUM('ACTUAL EXP'!$G$79)*ALLOCATION!P105</f>
        <v>603.52047008235661</v>
      </c>
      <c r="V101" s="40">
        <f t="shared" si="21"/>
        <v>34328.866278344438</v>
      </c>
      <c r="W101" s="40">
        <f t="shared" si="22"/>
        <v>309.1863402922217</v>
      </c>
      <c r="X101" s="40">
        <f t="shared" si="23"/>
        <v>226.382850697078</v>
      </c>
      <c r="Y101" s="40">
        <f t="shared" si="24"/>
        <v>721.8213992918968</v>
      </c>
      <c r="Z101" s="40">
        <f t="shared" si="25"/>
        <v>296.0621223947972</v>
      </c>
      <c r="AA101" s="40">
        <f t="shared" si="26"/>
        <v>115.26215128504475</v>
      </c>
      <c r="AB101" s="40">
        <f t="shared" si="27"/>
        <v>250.80382951856456</v>
      </c>
      <c r="AC101" s="40">
        <f t="shared" si="28"/>
        <v>36248.384971824038</v>
      </c>
      <c r="AD101" s="40">
        <f>SUM('ACTUAL EXP'!$G$37:$G$39)*ALLOCATION!P105</f>
        <v>710.13584597630813</v>
      </c>
      <c r="AE101" s="40">
        <f t="shared" si="29"/>
        <v>39.707662356486509</v>
      </c>
      <c r="AF101" s="40">
        <f>SUM('ACTUAL EXP'!$G$41)*ALLOCATION!P105</f>
        <v>212.46501726447414</v>
      </c>
      <c r="AG101" s="40">
        <f t="shared" si="30"/>
        <v>11.880106061262364</v>
      </c>
      <c r="AH101" s="40">
        <f>SUM('ACTUAL EXP'!$G$81)*ALLOCATION!P105</f>
        <v>88.49994392660625</v>
      </c>
      <c r="AI101" s="40">
        <f t="shared" si="31"/>
        <v>4.9485262741164435</v>
      </c>
      <c r="AJ101" s="296">
        <f>SUM('ACTUAL EXP'!$G$83)*ALLOCATION!P105</f>
        <v>657.08213455810358</v>
      </c>
      <c r="AK101" s="40">
        <f t="shared" si="31"/>
        <v>36.741132963992179</v>
      </c>
      <c r="AL101" s="40">
        <f>SUM('ACTUAL EXP'!$G$64:$G$66)*ALLOCATION!P105</f>
        <v>212.18241860835386</v>
      </c>
      <c r="AM101" s="40">
        <f t="shared" si="32"/>
        <v>11.86430439164773</v>
      </c>
      <c r="AN101" s="40">
        <f t="shared" si="33"/>
        <v>38233.892064205385</v>
      </c>
      <c r="AO101" s="40">
        <f>-AN101</f>
        <v>-38233.892064205385</v>
      </c>
      <c r="AP101" s="41" t="s">
        <v>10</v>
      </c>
      <c r="AQ101" s="83">
        <f t="shared" si="34"/>
        <v>0</v>
      </c>
      <c r="AR101" s="40"/>
      <c r="AS101" s="171">
        <f t="shared" si="35"/>
        <v>0</v>
      </c>
      <c r="AT101" s="40" t="s">
        <v>356</v>
      </c>
      <c r="AU101" s="171"/>
      <c r="AV101" s="33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</row>
    <row r="102" spans="1:253" ht="13" customHeight="1">
      <c r="A102" s="25">
        <f>ALLOCATION!A106</f>
        <v>401000</v>
      </c>
      <c r="B102" s="24" t="str">
        <f>ALLOCATION!C106</f>
        <v>LID Construction</v>
      </c>
      <c r="C102" s="40">
        <f>'ACTUAL EXP'!$G$13*(ALLOCATION!P106)</f>
        <v>0</v>
      </c>
      <c r="D102" s="40">
        <f>(SUM('ACTUAL EXP'!$G$15,'ACTUAL EXP'!$G$17:$G$19,'ACTUAL EXP'!$G$22))*ALLOCATION!P106</f>
        <v>0</v>
      </c>
      <c r="E102" s="176">
        <f>(('ACTUAL EXP'!$G$25)*(ALLOCATION!P106))</f>
        <v>0</v>
      </c>
      <c r="F102" s="40">
        <f>'ACTUAL EXP'!$G$28*ALLOCATION!P106</f>
        <v>0</v>
      </c>
      <c r="G102" s="40">
        <v>0</v>
      </c>
      <c r="H102" s="40">
        <f>SUM('ACTUAL EXP'!$G$30:$G$35)*ALLOCATION!P106</f>
        <v>0</v>
      </c>
      <c r="I102" s="40">
        <f>SUM('ACTUAL EXP'!$G$43:$G$47)*ALLOCATION!P106</f>
        <v>0</v>
      </c>
      <c r="J102" s="176">
        <f>(SUM('ACTUAL EXP'!$G$49:$G$50)*ALLOCATION!P106*0.5)+(SUM('ACTUAL EXP'!$G$49:$G$50)*ALLOCATION!P106*0.5)</f>
        <v>0</v>
      </c>
      <c r="K102" s="40">
        <f>SUM('ACTUAL EXP'!$G$52:$G$53)*ALLOCATION!P106</f>
        <v>0</v>
      </c>
      <c r="L102" s="40">
        <f>SUM('ACTUAL EXP'!$G$54:$G$54)*ALLOCATION!P106</f>
        <v>0</v>
      </c>
      <c r="M102" s="40">
        <f>SUM('ACTUAL EXP'!$G$21:$G$21)*ALLOCATION!P106</f>
        <v>0</v>
      </c>
      <c r="N102" s="176">
        <f>SUM('ACTUAL EXP'!$G$58:$G$62)*0.39*ALLOCATION!P106</f>
        <v>0</v>
      </c>
      <c r="O102" s="176">
        <f>SUM('ACTUAL EXP'!$G$58:$G$62)*0.27*ALLOCATION!P106</f>
        <v>0</v>
      </c>
      <c r="P102" s="176">
        <f>SUM('ACTUAL EXP'!$G$58:$G$62)*0.34*ALLOCATION!P106</f>
        <v>0</v>
      </c>
      <c r="Q102" s="40">
        <f>'ACTUAL EXP'!$G$85*ALLOCATION!P106</f>
        <v>0</v>
      </c>
      <c r="R102" s="40">
        <f>SUM('ACTUAL EXP'!$G$68:$G$73)*ALLOCATION!P106</f>
        <v>0</v>
      </c>
      <c r="S102" s="40">
        <f>SUM('ACTUAL EXP'!$G$75)*ALLOCATION!P106</f>
        <v>0</v>
      </c>
      <c r="T102" s="40">
        <f>SUM('ACTUAL EXP'!$G$77)*ALLOCATION!P106</f>
        <v>0</v>
      </c>
      <c r="U102" s="40">
        <f>SUM('ACTUAL EXP'!$G$79)*ALLOCATION!P106</f>
        <v>0</v>
      </c>
      <c r="V102" s="40">
        <f t="shared" si="21"/>
        <v>0</v>
      </c>
      <c r="W102" s="40">
        <f t="shared" si="22"/>
        <v>0</v>
      </c>
      <c r="X102" s="40">
        <f t="shared" si="23"/>
        <v>0</v>
      </c>
      <c r="Y102" s="40">
        <f t="shared" si="24"/>
        <v>0</v>
      </c>
      <c r="Z102" s="40">
        <f t="shared" si="25"/>
        <v>0</v>
      </c>
      <c r="AA102" s="40">
        <f t="shared" si="26"/>
        <v>0</v>
      </c>
      <c r="AB102" s="40">
        <f t="shared" si="27"/>
        <v>0</v>
      </c>
      <c r="AC102" s="40">
        <f t="shared" si="28"/>
        <v>0</v>
      </c>
      <c r="AD102" s="40">
        <f>SUM('ACTUAL EXP'!$G$37:$G$39)*ALLOCATION!P106</f>
        <v>0</v>
      </c>
      <c r="AE102" s="40">
        <f t="shared" si="29"/>
        <v>0</v>
      </c>
      <c r="AF102" s="40">
        <f>SUM('ACTUAL EXP'!$G$41)*ALLOCATION!P106</f>
        <v>0</v>
      </c>
      <c r="AG102" s="40">
        <f t="shared" si="30"/>
        <v>0</v>
      </c>
      <c r="AH102" s="40">
        <f>SUM('ACTUAL EXP'!$G$81)*ALLOCATION!P106</f>
        <v>0</v>
      </c>
      <c r="AI102" s="40">
        <f t="shared" si="31"/>
        <v>0</v>
      </c>
      <c r="AJ102" s="296">
        <f>SUM('ACTUAL EXP'!$G$83)*ALLOCATION!P106</f>
        <v>0</v>
      </c>
      <c r="AK102" s="40">
        <f t="shared" si="31"/>
        <v>0</v>
      </c>
      <c r="AL102" s="40">
        <f>SUM('ACTUAL EXP'!$G$64:$G$66)*ALLOCATION!P106</f>
        <v>0</v>
      </c>
      <c r="AM102" s="40">
        <f t="shared" si="32"/>
        <v>0</v>
      </c>
      <c r="AN102" s="40">
        <f t="shared" si="33"/>
        <v>0</v>
      </c>
      <c r="AO102" s="40">
        <f>-AN102</f>
        <v>0</v>
      </c>
      <c r="AP102" s="41" t="s">
        <v>351</v>
      </c>
      <c r="AQ102" s="83">
        <f t="shared" si="34"/>
        <v>0</v>
      </c>
      <c r="AR102" s="40"/>
      <c r="AS102" s="171">
        <f t="shared" si="35"/>
        <v>0</v>
      </c>
      <c r="AT102" s="40" t="s">
        <v>357</v>
      </c>
      <c r="AU102" s="171"/>
      <c r="AV102" s="33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</row>
    <row r="103" spans="1:253" ht="13" customHeight="1">
      <c r="A103" s="25">
        <f>ALLOCATION!A107</f>
        <v>402000</v>
      </c>
      <c r="B103" s="24" t="str">
        <f>ALLOCATION!C107</f>
        <v>Parks Cap Cstr Maint</v>
      </c>
      <c r="C103" s="40">
        <f>'ACTUAL EXP'!$G$13*(ALLOCATION!P107)</f>
        <v>20161.77185681674</v>
      </c>
      <c r="D103" s="40">
        <f>(SUM('ACTUAL EXP'!$G$15,'ACTUAL EXP'!$G$17:$G$19,'ACTUAL EXP'!$G$22))*ALLOCATION!P107</f>
        <v>32517.793390744278</v>
      </c>
      <c r="E103" s="176">
        <f>(('ACTUAL EXP'!$G$25)*(ALLOCATION!P107))</f>
        <v>0</v>
      </c>
      <c r="F103" s="40">
        <f>'ACTUAL EXP'!$G$28*ALLOCATION!P107</f>
        <v>0</v>
      </c>
      <c r="G103" s="40">
        <v>0</v>
      </c>
      <c r="H103" s="40">
        <f>SUM('ACTUAL EXP'!$G$30:$G$35)*ALLOCATION!P107</f>
        <v>29185.600609858415</v>
      </c>
      <c r="I103" s="40">
        <f>SUM('ACTUAL EXP'!$G$43:$G$47)*ALLOCATION!P107</f>
        <v>17628.994740320199</v>
      </c>
      <c r="J103" s="176">
        <f>(SUM('ACTUAL EXP'!$G$49:$G$50)*ALLOCATION!P107*0.5)+(SUM('ACTUAL EXP'!$G$49:$G$50)*ALLOCATION!P107*0.5)</f>
        <v>8456.9465781830022</v>
      </c>
      <c r="K103" s="40">
        <f>SUM('ACTUAL EXP'!$G$52:$G$53)*ALLOCATION!P107</f>
        <v>8925.1302454709621</v>
      </c>
      <c r="L103" s="40">
        <f>SUM('ACTUAL EXP'!$G$54:$G$54)*ALLOCATION!P107</f>
        <v>1217.0632152914948</v>
      </c>
      <c r="M103" s="40">
        <f>SUM('ACTUAL EXP'!$G$21:$G$21)*ALLOCATION!P107</f>
        <v>375.04186883634446</v>
      </c>
      <c r="N103" s="176">
        <f>SUM('ACTUAL EXP'!$G$58:$G$62)*0.39*ALLOCATION!P107</f>
        <v>5973.0258201089255</v>
      </c>
      <c r="O103" s="176">
        <f>SUM('ACTUAL EXP'!$G$58:$G$62)*0.27*ALLOCATION!P107</f>
        <v>4135.1717216138723</v>
      </c>
      <c r="P103" s="176">
        <f>SUM('ACTUAL EXP'!$G$58:$G$62)*0.34*ALLOCATION!P107</f>
        <v>5207.2532790693194</v>
      </c>
      <c r="Q103" s="40">
        <f>'ACTUAL EXP'!$G$85*ALLOCATION!P107</f>
        <v>7925.7673422596154</v>
      </c>
      <c r="R103" s="40">
        <f>SUM('ACTUAL EXP'!$G$68:$G$73)*ALLOCATION!P107</f>
        <v>21617.484634703404</v>
      </c>
      <c r="S103" s="40">
        <f>SUM('ACTUAL EXP'!$G$75)*ALLOCATION!P107</f>
        <v>3027.456992177239</v>
      </c>
      <c r="T103" s="40">
        <f>SUM('ACTUAL EXP'!$G$77)*ALLOCATION!P107</f>
        <v>1987.815970199809</v>
      </c>
      <c r="U103" s="40">
        <f>SUM('ACTUAL EXP'!$G$79)*ALLOCATION!P107</f>
        <v>3012.5127739847026</v>
      </c>
      <c r="V103" s="40">
        <f t="shared" si="21"/>
        <v>171354.83103963832</v>
      </c>
      <c r="W103" s="40">
        <f t="shared" si="22"/>
        <v>1543.3242878154504</v>
      </c>
      <c r="X103" s="40">
        <f t="shared" si="23"/>
        <v>1130.0051337827131</v>
      </c>
      <c r="Y103" s="40">
        <f t="shared" si="24"/>
        <v>3603.0197709874196</v>
      </c>
      <c r="Z103" s="40">
        <f t="shared" si="25"/>
        <v>1477.8138767781006</v>
      </c>
      <c r="AA103" s="40">
        <f t="shared" si="26"/>
        <v>575.33873383908872</v>
      </c>
      <c r="AB103" s="40">
        <f t="shared" si="27"/>
        <v>1251.9040822026382</v>
      </c>
      <c r="AC103" s="40">
        <f t="shared" si="28"/>
        <v>180936.23692504372</v>
      </c>
      <c r="AD103" s="40">
        <f>SUM('ACTUAL EXP'!$G$37:$G$39)*ALLOCATION!P107</f>
        <v>3544.6905503903336</v>
      </c>
      <c r="AE103" s="40">
        <f t="shared" si="29"/>
        <v>198.20345125603407</v>
      </c>
      <c r="AF103" s="40">
        <f>SUM('ACTUAL EXP'!$G$41)*ALLOCATION!P107</f>
        <v>1060.5333377453906</v>
      </c>
      <c r="AG103" s="40">
        <f t="shared" si="30"/>
        <v>59.300343633683525</v>
      </c>
      <c r="AH103" s="40">
        <f>SUM('ACTUAL EXP'!$G$81)*ALLOCATION!P107</f>
        <v>441.75338665720801</v>
      </c>
      <c r="AI103" s="40">
        <f t="shared" si="31"/>
        <v>24.700899724478987</v>
      </c>
      <c r="AJ103" s="296">
        <f>SUM('ACTUAL EXP'!$G$83)*ALLOCATION!P107</f>
        <v>3279.8694030101469</v>
      </c>
      <c r="AK103" s="40">
        <f t="shared" si="31"/>
        <v>183.39582146997103</v>
      </c>
      <c r="AL103" s="40">
        <f>SUM('ACTUAL EXP'!$G$64:$G$66)*ALLOCATION!P107</f>
        <v>1059.1227276606041</v>
      </c>
      <c r="AM103" s="40">
        <f t="shared" si="32"/>
        <v>59.22146854340221</v>
      </c>
      <c r="AN103" s="40">
        <f t="shared" si="33"/>
        <v>190847.02831513499</v>
      </c>
      <c r="AO103" s="40"/>
      <c r="AP103" s="41"/>
      <c r="AQ103" s="83">
        <f t="shared" si="34"/>
        <v>190847.02831513499</v>
      </c>
      <c r="AR103" s="40"/>
      <c r="AS103" s="171">
        <f t="shared" si="35"/>
        <v>190847.02831513499</v>
      </c>
      <c r="AT103" s="40"/>
      <c r="AU103" s="171"/>
      <c r="AV103" s="33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</row>
    <row r="104" spans="1:253" ht="13" customHeight="1">
      <c r="A104" s="25">
        <f>ALLOCATION!A108</f>
        <v>317000</v>
      </c>
      <c r="B104" s="24" t="str">
        <f>ALLOCATION!C108</f>
        <v>Governmentl Bd Rdmpt</v>
      </c>
      <c r="C104" s="40">
        <f>'ACTUAL EXP'!$G$13*(ALLOCATION!P108)</f>
        <v>2318.367441527399</v>
      </c>
      <c r="D104" s="40">
        <f>(SUM('ACTUAL EXP'!$G$15,'ACTUAL EXP'!$G$17:$G$19,'ACTUAL EXP'!$G$22))*ALLOCATION!P108</f>
        <v>3739.1650893980068</v>
      </c>
      <c r="E104" s="176">
        <f>(('ACTUAL EXP'!$G$25)*(ALLOCATION!P108))</f>
        <v>0</v>
      </c>
      <c r="F104" s="40">
        <f>'ACTUAL EXP'!$G$28*ALLOCATION!P108</f>
        <v>0</v>
      </c>
      <c r="G104" s="40">
        <v>0</v>
      </c>
      <c r="H104" s="40">
        <f>SUM('ACTUAL EXP'!$G$30:$G$35)*ALLOCATION!P108</f>
        <v>3356.0019771992888</v>
      </c>
      <c r="I104" s="40">
        <f>SUM('ACTUAL EXP'!$G$43:$G$47)*ALLOCATION!P108</f>
        <v>2027.1277605493642</v>
      </c>
      <c r="J104" s="176">
        <f>(SUM('ACTUAL EXP'!$G$49:$G$50)*ALLOCATION!P108*0.5)+(SUM('ACTUAL EXP'!$G$49:$G$50)*ALLOCATION!P108*0.5)</f>
        <v>972.44973015440019</v>
      </c>
      <c r="K104" s="40">
        <f>SUM('ACTUAL EXP'!$G$52:$G$53)*ALLOCATION!P108</f>
        <v>1026.2853641752424</v>
      </c>
      <c r="L104" s="40">
        <f>SUM('ACTUAL EXP'!$G$54:$G$54)*ALLOCATION!P108</f>
        <v>139.94800420571488</v>
      </c>
      <c r="M104" s="40">
        <f>SUM('ACTUAL EXP'!$G$21:$G$21)*ALLOCATION!P108</f>
        <v>43.125418941083574</v>
      </c>
      <c r="N104" s="176">
        <f>SUM('ACTUAL EXP'!$G$58:$G$62)*0.39*ALLOCATION!P108</f>
        <v>686.82795773532666</v>
      </c>
      <c r="O104" s="176">
        <f>SUM('ACTUAL EXP'!$G$58:$G$62)*0.27*ALLOCATION!P108</f>
        <v>475.49627843214927</v>
      </c>
      <c r="P104" s="176">
        <f>SUM('ACTUAL EXP'!$G$58:$G$62)*0.34*ALLOCATION!P108</f>
        <v>598.77309135900271</v>
      </c>
      <c r="Q104" s="40">
        <f>'ACTUAL EXP'!$G$85*ALLOCATION!P108</f>
        <v>911.37034412991159</v>
      </c>
      <c r="R104" s="40">
        <f>SUM('ACTUAL EXP'!$G$68:$G$73)*ALLOCATION!P108</f>
        <v>2485.7573481504519</v>
      </c>
      <c r="S104" s="40">
        <f>SUM('ACTUAL EXP'!$G$75)*ALLOCATION!P108</f>
        <v>348.12206839425789</v>
      </c>
      <c r="T104" s="40">
        <f>SUM('ACTUAL EXP'!$G$77)*ALLOCATION!P108</f>
        <v>228.57553680240142</v>
      </c>
      <c r="U104" s="40">
        <f>SUM('ACTUAL EXP'!$G$79)*ALLOCATION!P108</f>
        <v>346.40365846765496</v>
      </c>
      <c r="V104" s="40">
        <f t="shared" si="21"/>
        <v>19703.797069621654</v>
      </c>
      <c r="W104" s="40">
        <f t="shared" si="22"/>
        <v>177.46420334481041</v>
      </c>
      <c r="X104" s="40">
        <f t="shared" si="23"/>
        <v>129.93734526536196</v>
      </c>
      <c r="Y104" s="40">
        <f t="shared" si="24"/>
        <v>414.30504161828065</v>
      </c>
      <c r="Z104" s="40">
        <f t="shared" si="25"/>
        <v>169.93127394214386</v>
      </c>
      <c r="AA104" s="40">
        <f t="shared" si="26"/>
        <v>66.157210678443661</v>
      </c>
      <c r="AB104" s="40">
        <f t="shared" si="27"/>
        <v>143.9542955205367</v>
      </c>
      <c r="AC104" s="40">
        <f t="shared" si="28"/>
        <v>20805.546439991234</v>
      </c>
      <c r="AD104" s="40">
        <f>SUM('ACTUAL EXP'!$G$37:$G$39)*ALLOCATION!P108</f>
        <v>407.59786494341756</v>
      </c>
      <c r="AE104" s="40">
        <f t="shared" si="29"/>
        <v>22.791073694001323</v>
      </c>
      <c r="AF104" s="40">
        <f>SUM('ACTUAL EXP'!$G$41)*ALLOCATION!P108</f>
        <v>121.94890302024722</v>
      </c>
      <c r="AG104" s="40">
        <f t="shared" si="30"/>
        <v>6.8188444412556022</v>
      </c>
      <c r="AH104" s="40">
        <f>SUM('ACTUAL EXP'!$G$81)*ALLOCATION!P108</f>
        <v>50.796461545331347</v>
      </c>
      <c r="AI104" s="40">
        <f t="shared" si="31"/>
        <v>2.840313941867342</v>
      </c>
      <c r="AJ104" s="296">
        <f>SUM('ACTUAL EXP'!$G$83)*ALLOCATION!P108</f>
        <v>377.14653704057878</v>
      </c>
      <c r="AK104" s="40">
        <f t="shared" si="31"/>
        <v>21.088369833150281</v>
      </c>
      <c r="AL104" s="40">
        <f>SUM('ACTUAL EXP'!$G$64:$G$66)*ALLOCATION!P108</f>
        <v>121.78669939466887</v>
      </c>
      <c r="AM104" s="40">
        <f t="shared" si="32"/>
        <v>6.8097747303911822</v>
      </c>
      <c r="AN104" s="40">
        <f t="shared" si="33"/>
        <v>21945.171282576142</v>
      </c>
      <c r="AO104" s="40">
        <f>-AN104</f>
        <v>-21945.171282576142</v>
      </c>
      <c r="AP104" s="41" t="s">
        <v>351</v>
      </c>
      <c r="AQ104" s="83">
        <f t="shared" si="34"/>
        <v>0</v>
      </c>
      <c r="AR104" s="40"/>
      <c r="AS104" s="171">
        <f t="shared" si="35"/>
        <v>0</v>
      </c>
      <c r="AT104" s="40"/>
      <c r="AU104" s="171"/>
      <c r="AV104" s="33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</row>
    <row r="105" spans="1:253" ht="13" customHeight="1">
      <c r="A105" s="25">
        <f>ALLOCATION!A109</f>
        <v>708000</v>
      </c>
      <c r="B105" s="24" t="str">
        <f>ALLOCATION!C109</f>
        <v>Enterprise Business Solutions Services</v>
      </c>
      <c r="C105" s="40">
        <f>'ACTUAL EXP'!$G$13*(ALLOCATION!P109)</f>
        <v>22237.02237171158</v>
      </c>
      <c r="D105" s="40">
        <f>(SUM('ACTUAL EXP'!$G$15,'ACTUAL EXP'!$G$17:$G$19,'ACTUAL EXP'!$G$22))*ALLOCATION!P109</f>
        <v>35864.848796222941</v>
      </c>
      <c r="E105" s="176">
        <f>(('ACTUAL EXP'!$G$25)*(ALLOCATION!P109))</f>
        <v>0</v>
      </c>
      <c r="F105" s="40">
        <f>'ACTUAL EXP'!$G$28*ALLOCATION!P109</f>
        <v>0</v>
      </c>
      <c r="G105" s="40">
        <v>0</v>
      </c>
      <c r="H105" s="40">
        <f>SUM('ACTUAL EXP'!$G$30:$G$35)*ALLOCATION!P109</f>
        <v>32189.673521865199</v>
      </c>
      <c r="I105" s="40">
        <f>SUM('ACTUAL EXP'!$G$43:$G$47)*ALLOCATION!P109</f>
        <v>19443.546589817426</v>
      </c>
      <c r="J105" s="176">
        <f>(SUM('ACTUAL EXP'!$G$49:$G$50)*ALLOCATION!P109*0.5)+(SUM('ACTUAL EXP'!$G$49:$G$50)*ALLOCATION!P109*0.5)</f>
        <v>9327.419811659187</v>
      </c>
      <c r="K105" s="40">
        <f>SUM('ACTUAL EXP'!$G$52:$G$53)*ALLOCATION!P109</f>
        <v>9843.7936084409594</v>
      </c>
      <c r="L105" s="40">
        <f>SUM('ACTUAL EXP'!$G$54:$G$54)*ALLOCATION!P109</f>
        <v>1342.3354920601309</v>
      </c>
      <c r="M105" s="40">
        <f>SUM('ACTUAL EXP'!$G$21:$G$21)*ALLOCATION!P109</f>
        <v>413.64491607530027</v>
      </c>
      <c r="N105" s="176">
        <f>SUM('ACTUAL EXP'!$G$58:$G$62)*0.39*ALLOCATION!P109</f>
        <v>6587.8291715549585</v>
      </c>
      <c r="O105" s="176">
        <f>SUM('ACTUAL EXP'!$G$58:$G$62)*0.27*ALLOCATION!P109</f>
        <v>4560.8048110765094</v>
      </c>
      <c r="P105" s="176">
        <f>SUM('ACTUAL EXP'!$G$58:$G$62)*0.34*ALLOCATION!P109</f>
        <v>5743.2356880222706</v>
      </c>
      <c r="Q105" s="40">
        <f>'ACTUAL EXP'!$G$85*ALLOCATION!P109</f>
        <v>8741.5663144317896</v>
      </c>
      <c r="R105" s="40">
        <f>SUM('ACTUAL EXP'!$G$68:$G$73)*ALLOCATION!P109</f>
        <v>23842.571618005008</v>
      </c>
      <c r="S105" s="40">
        <f>SUM('ACTUAL EXP'!$G$75)*ALLOCATION!P109</f>
        <v>3339.0730409281127</v>
      </c>
      <c r="T105" s="40">
        <f>SUM('ACTUAL EXP'!$G$77)*ALLOCATION!P109</f>
        <v>2192.4218027114289</v>
      </c>
      <c r="U105" s="40">
        <f>SUM('ACTUAL EXP'!$G$79)*ALLOCATION!P109</f>
        <v>3322.5906148479462</v>
      </c>
      <c r="V105" s="40">
        <f t="shared" si="21"/>
        <v>188992.37816943077</v>
      </c>
      <c r="W105" s="40">
        <f t="shared" si="22"/>
        <v>1702.1786060610893</v>
      </c>
      <c r="X105" s="40">
        <f t="shared" si="23"/>
        <v>1246.3165250815646</v>
      </c>
      <c r="Y105" s="40">
        <f t="shared" si="24"/>
        <v>3973.8784776536131</v>
      </c>
      <c r="Z105" s="40">
        <f t="shared" si="25"/>
        <v>1629.9252105677242</v>
      </c>
      <c r="AA105" s="40">
        <f t="shared" si="26"/>
        <v>634.55833081289495</v>
      </c>
      <c r="AB105" s="40">
        <f t="shared" si="27"/>
        <v>1380.7625282578929</v>
      </c>
      <c r="AC105" s="40">
        <f t="shared" si="28"/>
        <v>199559.99784786551</v>
      </c>
      <c r="AD105" s="40">
        <f>SUM('ACTUAL EXP'!$G$37:$G$39)*ALLOCATION!P109</f>
        <v>3909.5454322966229</v>
      </c>
      <c r="AE105" s="40">
        <f t="shared" si="29"/>
        <v>218.60452598270547</v>
      </c>
      <c r="AF105" s="40">
        <f>SUM('ACTUAL EXP'!$G$41)*ALLOCATION!P109</f>
        <v>1169.6939993603144</v>
      </c>
      <c r="AG105" s="40">
        <f t="shared" si="30"/>
        <v>65.404126055843761</v>
      </c>
      <c r="AH105" s="40">
        <f>SUM('ACTUAL EXP'!$G$81)*ALLOCATION!P109</f>
        <v>487.22304823394865</v>
      </c>
      <c r="AI105" s="40">
        <f t="shared" si="31"/>
        <v>27.243362521679007</v>
      </c>
      <c r="AJ105" s="296">
        <f>SUM('ACTUAL EXP'!$G$83)*ALLOCATION!P109</f>
        <v>3617.4662529161405</v>
      </c>
      <c r="AK105" s="40">
        <f t="shared" si="31"/>
        <v>202.27274734920329</v>
      </c>
      <c r="AL105" s="40">
        <f>SUM('ACTUAL EXP'!$G$64:$G$66)*ALLOCATION!P109</f>
        <v>1168.1381952258403</v>
      </c>
      <c r="AM105" s="40">
        <f t="shared" si="32"/>
        <v>65.317132355110886</v>
      </c>
      <c r="AN105" s="40">
        <f t="shared" si="33"/>
        <v>210490.90667016289</v>
      </c>
      <c r="AO105" s="40"/>
      <c r="AP105" s="41"/>
      <c r="AQ105" s="83">
        <f t="shared" si="34"/>
        <v>210490.90667016289</v>
      </c>
      <c r="AR105" s="40"/>
      <c r="AS105" s="171">
        <f t="shared" si="35"/>
        <v>210490.90667016289</v>
      </c>
      <c r="AT105" s="40"/>
      <c r="AU105" s="171"/>
      <c r="AV105" s="33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</row>
    <row r="106" spans="1:253" ht="13" customHeight="1">
      <c r="A106" s="25">
        <f>ALLOCATION!A110</f>
        <v>222000</v>
      </c>
      <c r="B106" s="24" t="str">
        <f>ALLOCATION!C110</f>
        <v>Police Special Revenue</v>
      </c>
      <c r="C106" s="40">
        <f>'ACTUAL EXP'!$G$13*(ALLOCATION!P110)</f>
        <v>1176.5613114485693</v>
      </c>
      <c r="D106" s="40">
        <f>(SUM('ACTUAL EXP'!$G$15,'ACTUAL EXP'!$G$17:$G$19,'ACTUAL EXP'!$G$22))*ALLOCATION!P110</f>
        <v>1897.6098881057517</v>
      </c>
      <c r="E106" s="176">
        <f>(('ACTUAL EXP'!$G$25)*(ALLOCATION!P110))</f>
        <v>0</v>
      </c>
      <c r="F106" s="40">
        <f>'ACTUAL EXP'!$G$28*ALLOCATION!P110</f>
        <v>0</v>
      </c>
      <c r="G106" s="40">
        <v>0</v>
      </c>
      <c r="H106" s="40">
        <f>SUM('ACTUAL EXP'!$G$30:$G$35)*ALLOCATION!P110</f>
        <v>1703.1562886839833</v>
      </c>
      <c r="I106" s="40">
        <f>SUM('ACTUAL EXP'!$G$43:$G$47)*ALLOCATION!P110</f>
        <v>1028.7584503233174</v>
      </c>
      <c r="J106" s="176">
        <f>(SUM('ACTUAL EXP'!$G$49:$G$50)*ALLOCATION!P110*0.5)+(SUM('ACTUAL EXP'!$G$49:$G$50)*ALLOCATION!P110*0.5)</f>
        <v>493.51397424494348</v>
      </c>
      <c r="K106" s="40">
        <f>SUM('ACTUAL EXP'!$G$52:$G$53)*ALLOCATION!P110</f>
        <v>520.83532246250502</v>
      </c>
      <c r="L106" s="40">
        <f>SUM('ACTUAL EXP'!$G$54:$G$54)*ALLOCATION!P110</f>
        <v>71.022998517614326</v>
      </c>
      <c r="M106" s="40">
        <f>SUM('ACTUAL EXP'!$G$21:$G$21)*ALLOCATION!P110</f>
        <v>21.885961024651749</v>
      </c>
      <c r="N106" s="176">
        <f>SUM('ACTUAL EXP'!$G$58:$G$62)*0.39*ALLOCATION!P110</f>
        <v>348.56217708105186</v>
      </c>
      <c r="O106" s="176">
        <f>SUM('ACTUAL EXP'!$G$58:$G$62)*0.27*ALLOCATION!P110</f>
        <v>241.31227644072823</v>
      </c>
      <c r="P106" s="176">
        <f>SUM('ACTUAL EXP'!$G$58:$G$62)*0.34*ALLOCATION!P110</f>
        <v>303.87471848091695</v>
      </c>
      <c r="Q106" s="40">
        <f>'ACTUAL EXP'!$G$85*ALLOCATION!P110</f>
        <v>462.51645364652609</v>
      </c>
      <c r="R106" s="40">
        <f>SUM('ACTUAL EXP'!$G$68:$G$73)*ALLOCATION!P110</f>
        <v>1261.5109551210669</v>
      </c>
      <c r="S106" s="40">
        <f>SUM('ACTUAL EXP'!$G$75)*ALLOCATION!P110</f>
        <v>176.67042333215753</v>
      </c>
      <c r="T106" s="40">
        <f>SUM('ACTUAL EXP'!$G$77)*ALLOCATION!P110</f>
        <v>116.00108271366776</v>
      </c>
      <c r="U106" s="40">
        <f>SUM('ACTUAL EXP'!$G$79)*ALLOCATION!P110</f>
        <v>175.79833782895614</v>
      </c>
      <c r="V106" s="40">
        <f t="shared" si="21"/>
        <v>9999.5906194564086</v>
      </c>
      <c r="W106" s="40">
        <f t="shared" si="22"/>
        <v>90.062305086973026</v>
      </c>
      <c r="X106" s="40">
        <f t="shared" si="23"/>
        <v>65.942632998175256</v>
      </c>
      <c r="Y106" s="40">
        <f t="shared" si="24"/>
        <v>210.2579920571221</v>
      </c>
      <c r="Z106" s="40">
        <f t="shared" si="25"/>
        <v>86.239376444043288</v>
      </c>
      <c r="AA106" s="40">
        <f t="shared" si="26"/>
        <v>33.57449434604176</v>
      </c>
      <c r="AB106" s="40">
        <f t="shared" si="27"/>
        <v>73.056173793879552</v>
      </c>
      <c r="AC106" s="40">
        <f t="shared" si="28"/>
        <v>10558.723594182644</v>
      </c>
      <c r="AD106" s="40">
        <f>SUM('ACTUAL EXP'!$G$37:$G$39)*ALLOCATION!P110</f>
        <v>206.85412930295266</v>
      </c>
      <c r="AE106" s="40">
        <f t="shared" si="29"/>
        <v>11.566369969839087</v>
      </c>
      <c r="AF106" s="40">
        <f>SUM('ACTUAL EXP'!$G$41)*ALLOCATION!P110</f>
        <v>61.888533584947155</v>
      </c>
      <c r="AG106" s="40">
        <f t="shared" si="30"/>
        <v>3.4605336559945226</v>
      </c>
      <c r="AH106" s="40">
        <f>SUM('ACTUAL EXP'!$G$81)*ALLOCATION!P110</f>
        <v>25.778981511812066</v>
      </c>
      <c r="AI106" s="40">
        <f t="shared" si="31"/>
        <v>1.4414468718416054</v>
      </c>
      <c r="AJ106" s="296">
        <f>SUM('ACTUAL EXP'!$G$83)*ALLOCATION!P110</f>
        <v>191.40021390932114</v>
      </c>
      <c r="AK106" s="40">
        <f t="shared" si="31"/>
        <v>10.70225522614186</v>
      </c>
      <c r="AL106" s="40">
        <f>SUM('ACTUAL EXP'!$G$64:$G$66)*ALLOCATION!P110</f>
        <v>61.806215956165047</v>
      </c>
      <c r="AM106" s="40">
        <f t="shared" si="32"/>
        <v>3.4559308174979333</v>
      </c>
      <c r="AN106" s="40">
        <f t="shared" si="33"/>
        <v>11137.078204989157</v>
      </c>
      <c r="AO106" s="40"/>
      <c r="AP106" s="41"/>
      <c r="AQ106" s="83">
        <f t="shared" si="34"/>
        <v>11137.078204989157</v>
      </c>
      <c r="AR106" s="40"/>
      <c r="AS106" s="171">
        <f t="shared" si="35"/>
        <v>11137.078204989157</v>
      </c>
      <c r="AT106" s="40"/>
      <c r="AU106" s="171"/>
      <c r="AV106" s="33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</row>
    <row r="107" spans="1:253" ht="13" customHeight="1">
      <c r="A107" s="25">
        <f>ALLOCATION!A111</f>
        <v>221000</v>
      </c>
      <c r="B107" s="24" t="str">
        <f>ALLOCATION!C111</f>
        <v>Tax Increment Financing Reimbursment</v>
      </c>
      <c r="C107" s="40">
        <f>'ACTUAL EXP'!$G$13*(ALLOCATION!P111)</f>
        <v>88317.454092162006</v>
      </c>
      <c r="D107" s="40">
        <f>(SUM('ACTUAL EXP'!$G$15,'ACTUAL EXP'!$G$17:$G$19,'ACTUAL EXP'!$G$22))*ALLOCATION!P111</f>
        <v>142442.27865292877</v>
      </c>
      <c r="E107" s="176">
        <f>(('ACTUAL EXP'!$G$25)*(ALLOCATION!P111))</f>
        <v>0</v>
      </c>
      <c r="F107" s="40">
        <f>'ACTUAL EXP'!$G$28*ALLOCATION!P111</f>
        <v>0</v>
      </c>
      <c r="G107" s="40">
        <v>0</v>
      </c>
      <c r="H107" s="40">
        <f>SUM('ACTUAL EXP'!$G$30:$G$35)*ALLOCATION!P111</f>
        <v>127845.80444212569</v>
      </c>
      <c r="I107" s="40">
        <f>SUM('ACTUAL EXP'!$G$43:$G$47)*ALLOCATION!P111</f>
        <v>77222.773113702657</v>
      </c>
      <c r="J107" s="176">
        <f>(SUM('ACTUAL EXP'!$G$49:$G$50)*ALLOCATION!P111*0.5)+(SUM('ACTUAL EXP'!$G$49:$G$50)*ALLOCATION!P111*0.5)</f>
        <v>37045.156372306468</v>
      </c>
      <c r="K107" s="40">
        <f>SUM('ACTUAL EXP'!$G$52:$G$53)*ALLOCATION!P111</f>
        <v>39096.007350883745</v>
      </c>
      <c r="L107" s="40">
        <f>SUM('ACTUAL EXP'!$G$54:$G$54)*ALLOCATION!P111</f>
        <v>5331.2737296659661</v>
      </c>
      <c r="M107" s="40">
        <f>SUM('ACTUAL EXP'!$G$21:$G$21)*ALLOCATION!P111</f>
        <v>1642.8488165038741</v>
      </c>
      <c r="N107" s="176">
        <f>SUM('ACTUAL EXP'!$G$58:$G$62)*0.39*ALLOCATION!P111</f>
        <v>26164.487794281427</v>
      </c>
      <c r="O107" s="176">
        <f>SUM('ACTUAL EXP'!$G$58:$G$62)*0.27*ALLOCATION!P111</f>
        <v>18113.876165271759</v>
      </c>
      <c r="P107" s="176">
        <f>SUM('ACTUAL EXP'!$G$58:$G$62)*0.34*ALLOCATION!P111</f>
        <v>22810.066282194064</v>
      </c>
      <c r="Q107" s="40">
        <f>'ACTUAL EXP'!$G$85*ALLOCATION!P111</f>
        <v>34718.357015755268</v>
      </c>
      <c r="R107" s="40">
        <f>SUM('ACTUAL EXP'!$G$68:$G$73)*ALLOCATION!P111</f>
        <v>94694.118174337462</v>
      </c>
      <c r="S107" s="40">
        <f>SUM('ACTUAL EXP'!$G$75)*ALLOCATION!P111</f>
        <v>13261.59703727663</v>
      </c>
      <c r="T107" s="40">
        <f>SUM('ACTUAL EXP'!$G$77)*ALLOCATION!P111</f>
        <v>8707.5107752710373</v>
      </c>
      <c r="U107" s="40">
        <f>SUM('ACTUAL EXP'!$G$79)*ALLOCATION!P111</f>
        <v>13196.134769697386</v>
      </c>
      <c r="V107" s="40">
        <f t="shared" si="21"/>
        <v>750609.74458436412</v>
      </c>
      <c r="W107" s="40">
        <f t="shared" si="22"/>
        <v>6760.4411411081173</v>
      </c>
      <c r="X107" s="40">
        <f t="shared" si="23"/>
        <v>4949.9209313302408</v>
      </c>
      <c r="Y107" s="40">
        <f t="shared" si="24"/>
        <v>15782.815889256584</v>
      </c>
      <c r="Z107" s="40">
        <f t="shared" si="25"/>
        <v>6473.4766441165666</v>
      </c>
      <c r="AA107" s="40">
        <f t="shared" si="26"/>
        <v>2520.2374361803195</v>
      </c>
      <c r="AB107" s="40">
        <f t="shared" si="27"/>
        <v>5483.8920950461725</v>
      </c>
      <c r="AC107" s="40">
        <f t="shared" si="28"/>
        <v>792580.52872140205</v>
      </c>
      <c r="AD107" s="40">
        <f>SUM('ACTUAL EXP'!$G$37:$G$39)*ALLOCATION!P111</f>
        <v>15527.308174017115</v>
      </c>
      <c r="AE107" s="40">
        <f t="shared" si="29"/>
        <v>868.21854406087016</v>
      </c>
      <c r="AF107" s="40">
        <f>SUM('ACTUAL EXP'!$G$41)*ALLOCATION!P111</f>
        <v>4645.6038206715457</v>
      </c>
      <c r="AG107" s="40">
        <f t="shared" si="30"/>
        <v>259.76166250222451</v>
      </c>
      <c r="AH107" s="40">
        <f>SUM('ACTUAL EXP'!$G$81)*ALLOCATION!P111</f>
        <v>1935.0746910155203</v>
      </c>
      <c r="AI107" s="40">
        <f t="shared" si="31"/>
        <v>108.20083636221652</v>
      </c>
      <c r="AJ107" s="296">
        <f>SUM('ACTUAL EXP'!$G$83)*ALLOCATION!P111</f>
        <v>14367.274735860952</v>
      </c>
      <c r="AK107" s="40">
        <f t="shared" si="31"/>
        <v>803.35459395113878</v>
      </c>
      <c r="AL107" s="40">
        <f>SUM('ACTUAL EXP'!$G$64:$G$66)*ALLOCATION!P111</f>
        <v>4639.4247262799508</v>
      </c>
      <c r="AM107" s="40">
        <f t="shared" si="32"/>
        <v>259.4161548149832</v>
      </c>
      <c r="AN107" s="40">
        <f t="shared" si="33"/>
        <v>835994.16666093853</v>
      </c>
      <c r="AO107" s="40"/>
      <c r="AP107" s="41"/>
      <c r="AQ107" s="83">
        <f t="shared" si="34"/>
        <v>835994.16666093853</v>
      </c>
      <c r="AR107" s="40"/>
      <c r="AS107" s="171">
        <f t="shared" si="35"/>
        <v>835994.16666093853</v>
      </c>
      <c r="AT107" s="40"/>
      <c r="AU107" s="171"/>
      <c r="AV107" s="33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</row>
    <row r="108" spans="1:253" ht="13" customHeight="1">
      <c r="A108" s="25">
        <f>ALLOCATION!A112</f>
        <v>100000</v>
      </c>
      <c r="B108" s="24" t="str">
        <f>ALLOCATION!C112</f>
        <v>Fund Management</v>
      </c>
      <c r="C108" s="40">
        <f>'ACTUAL EXP'!$G$13*(ALLOCATION!P112)</f>
        <v>2572.3900204391921</v>
      </c>
      <c r="D108" s="40">
        <f>(SUM('ACTUAL EXP'!$G$15,'ACTUAL EXP'!$G$17:$G$19,'ACTUAL EXP'!$G$22))*ALLOCATION!P112</f>
        <v>4148.8638894985006</v>
      </c>
      <c r="E108" s="176">
        <f>(('ACTUAL EXP'!$G$25)*(ALLOCATION!P112))</f>
        <v>0</v>
      </c>
      <c r="F108" s="40">
        <f>'ACTUAL EXP'!$G$28*ALLOCATION!P112</f>
        <v>0</v>
      </c>
      <c r="G108" s="40">
        <v>0</v>
      </c>
      <c r="H108" s="40">
        <f>SUM('ACTUAL EXP'!$G$30:$G$35)*ALLOCATION!P112</f>
        <v>3723.7177507263664</v>
      </c>
      <c r="I108" s="40">
        <f>SUM('ACTUAL EXP'!$G$43:$G$47)*ALLOCATION!P112</f>
        <v>2249.2393259098508</v>
      </c>
      <c r="J108" s="176">
        <f>(SUM('ACTUAL EXP'!$G$49:$G$50)*ALLOCATION!P112*0.5)+(SUM('ACTUAL EXP'!$G$49:$G$50)*ALLOCATION!P112*0.5)</f>
        <v>1079.0006521053883</v>
      </c>
      <c r="K108" s="40">
        <f>SUM('ACTUAL EXP'!$G$52:$G$53)*ALLOCATION!P112</f>
        <v>1138.7350346793571</v>
      </c>
      <c r="L108" s="40">
        <f>SUM('ACTUAL EXP'!$G$54:$G$54)*ALLOCATION!P112</f>
        <v>155.28205018354871</v>
      </c>
      <c r="M108" s="40">
        <f>SUM('ACTUAL EXP'!$G$21:$G$21)*ALLOCATION!P112</f>
        <v>47.850653578112549</v>
      </c>
      <c r="N108" s="176">
        <f>SUM('ACTUAL EXP'!$G$58:$G$62)*0.39*ALLOCATION!P112</f>
        <v>762.08341809397552</v>
      </c>
      <c r="O108" s="176">
        <f>SUM('ACTUAL EXP'!$G$58:$G$62)*0.27*ALLOCATION!P112</f>
        <v>527.59621252659849</v>
      </c>
      <c r="P108" s="176">
        <f>SUM('ACTUAL EXP'!$G$58:$G$62)*0.34*ALLOCATION!P112</f>
        <v>664.38041577423508</v>
      </c>
      <c r="Q108" s="40">
        <f>'ACTUAL EXP'!$G$85*ALLOCATION!P112</f>
        <v>1011.2288225629439</v>
      </c>
      <c r="R108" s="40">
        <f>SUM('ACTUAL EXP'!$G$68:$G$73)*ALLOCATION!P112</f>
        <v>2758.1207711418087</v>
      </c>
      <c r="S108" s="40">
        <f>SUM('ACTUAL EXP'!$G$75)*ALLOCATION!P112</f>
        <v>386.26566203071633</v>
      </c>
      <c r="T108" s="40">
        <f>SUM('ACTUAL EXP'!$G$77)*ALLOCATION!P112</f>
        <v>253.62046552881583</v>
      </c>
      <c r="U108" s="40">
        <f>SUM('ACTUAL EXP'!$G$79)*ALLOCATION!P112</f>
        <v>384.3589666264258</v>
      </c>
      <c r="V108" s="40">
        <f t="shared" si="21"/>
        <v>21862.73411140584</v>
      </c>
      <c r="W108" s="40">
        <f t="shared" si="22"/>
        <v>196.90888402427845</v>
      </c>
      <c r="X108" s="40">
        <f t="shared" si="23"/>
        <v>144.17452740915252</v>
      </c>
      <c r="Y108" s="40">
        <f t="shared" si="24"/>
        <v>459.70027674921255</v>
      </c>
      <c r="Z108" s="40">
        <f t="shared" si="25"/>
        <v>188.55057460662812</v>
      </c>
      <c r="AA108" s="40">
        <f t="shared" si="26"/>
        <v>73.406029381262073</v>
      </c>
      <c r="AB108" s="40">
        <f t="shared" si="27"/>
        <v>159.72730921049151</v>
      </c>
      <c r="AC108" s="40">
        <f t="shared" si="28"/>
        <v>23085.201712786864</v>
      </c>
      <c r="AD108" s="40">
        <f>SUM('ACTUAL EXP'!$G$37:$G$39)*ALLOCATION!P112</f>
        <v>452.25819745035329</v>
      </c>
      <c r="AE108" s="40">
        <f t="shared" si="29"/>
        <v>25.288282381552897</v>
      </c>
      <c r="AF108" s="40">
        <f>SUM('ACTUAL EXP'!$G$41)*ALLOCATION!P112</f>
        <v>135.31079479192357</v>
      </c>
      <c r="AG108" s="40">
        <f t="shared" si="30"/>
        <v>7.5659824570590484</v>
      </c>
      <c r="AH108" s="40">
        <f>SUM('ACTUAL EXP'!$G$81)*ALLOCATION!P112</f>
        <v>56.362209204743635</v>
      </c>
      <c r="AI108" s="40">
        <f t="shared" si="31"/>
        <v>3.1515259868212331</v>
      </c>
      <c r="AJ108" s="296">
        <f>SUM('ACTUAL EXP'!$G$83)*ALLOCATION!P112</f>
        <v>418.47032991768276</v>
      </c>
      <c r="AK108" s="40">
        <f t="shared" si="31"/>
        <v>23.399013950259345</v>
      </c>
      <c r="AL108" s="40">
        <f>SUM('ACTUAL EXP'!$G$64:$G$66)*ALLOCATION!P112</f>
        <v>135.1308185809732</v>
      </c>
      <c r="AM108" s="40">
        <f t="shared" si="32"/>
        <v>7.5559189816590768</v>
      </c>
      <c r="AN108" s="40">
        <f t="shared" si="33"/>
        <v>24349.69478648989</v>
      </c>
      <c r="AO108" s="40"/>
      <c r="AP108" s="41"/>
      <c r="AQ108" s="83">
        <f t="shared" si="34"/>
        <v>24349.69478648989</v>
      </c>
      <c r="AR108" s="40"/>
      <c r="AS108" s="171">
        <f t="shared" si="35"/>
        <v>24349.69478648989</v>
      </c>
      <c r="AT108" s="40"/>
      <c r="AU108" s="171"/>
      <c r="AV108" s="33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</row>
    <row r="109" spans="1:253" ht="13" customHeight="1">
      <c r="A109" s="25"/>
      <c r="B109" s="24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1"/>
      <c r="AQ109" s="41"/>
      <c r="AR109" s="40"/>
      <c r="AS109" s="39"/>
      <c r="AT109" s="40"/>
      <c r="AU109" s="171"/>
      <c r="AV109" s="33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</row>
    <row r="110" spans="1:253" ht="13" customHeight="1">
      <c r="A110" s="25"/>
      <c r="B110" s="24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1"/>
      <c r="AQ110" s="41"/>
      <c r="AR110" s="40"/>
      <c r="AS110" s="39"/>
      <c r="AT110" s="40"/>
      <c r="AU110" s="171"/>
      <c r="AV110" s="33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</row>
    <row r="111" spans="1:253" ht="13" customHeight="1">
      <c r="A111" s="25"/>
      <c r="B111" s="24" t="s">
        <v>11</v>
      </c>
      <c r="C111" s="40">
        <f t="shared" ref="C111:AO111" si="36">SUM(C8:C108)</f>
        <v>5006582.7111076145</v>
      </c>
      <c r="D111" s="40">
        <f t="shared" si="36"/>
        <v>8074837.0405960036</v>
      </c>
      <c r="E111" s="40">
        <f t="shared" si="36"/>
        <v>0</v>
      </c>
      <c r="F111" s="40">
        <f t="shared" si="36"/>
        <v>0</v>
      </c>
      <c r="G111" s="40">
        <f t="shared" si="36"/>
        <v>0</v>
      </c>
      <c r="H111" s="40">
        <f t="shared" si="36"/>
        <v>7247385.0247048354</v>
      </c>
      <c r="I111" s="40">
        <f t="shared" si="36"/>
        <v>4377642.0499100611</v>
      </c>
      <c r="J111" s="40">
        <f t="shared" si="36"/>
        <v>2100033.807930246</v>
      </c>
      <c r="K111" s="40">
        <f t="shared" si="36"/>
        <v>2216293.443785334</v>
      </c>
      <c r="L111" s="40">
        <f t="shared" si="36"/>
        <v>302221.83324345452</v>
      </c>
      <c r="M111" s="40">
        <f t="shared" si="36"/>
        <v>93130.611227637972</v>
      </c>
      <c r="N111" s="40">
        <f t="shared" si="36"/>
        <v>1483225.1855804017</v>
      </c>
      <c r="O111" s="40">
        <f t="shared" si="36"/>
        <v>1026848.2054018162</v>
      </c>
      <c r="P111" s="40">
        <f t="shared" si="36"/>
        <v>1293068.1105059918</v>
      </c>
      <c r="Q111" s="40">
        <f t="shared" si="36"/>
        <v>1968131.0764659857</v>
      </c>
      <c r="R111" s="40">
        <f t="shared" si="36"/>
        <v>5368066.1401367784</v>
      </c>
      <c r="S111" s="40">
        <f t="shared" si="36"/>
        <v>751779.85066484823</v>
      </c>
      <c r="T111" s="40">
        <f t="shared" si="36"/>
        <v>493615.59787222417</v>
      </c>
      <c r="U111" s="40">
        <f t="shared" si="36"/>
        <v>748068.89386178972</v>
      </c>
      <c r="V111" s="40">
        <f t="shared" si="36"/>
        <v>42550929.582995035</v>
      </c>
      <c r="W111" s="40">
        <f t="shared" si="36"/>
        <v>383239.16924974346</v>
      </c>
      <c r="X111" s="40">
        <f t="shared" si="36"/>
        <v>280603.52068444702</v>
      </c>
      <c r="Y111" s="40">
        <f t="shared" si="36"/>
        <v>894703.92886652856</v>
      </c>
      <c r="Z111" s="40">
        <f t="shared" si="36"/>
        <v>366971.58653794666</v>
      </c>
      <c r="AA111" s="40">
        <f t="shared" si="36"/>
        <v>142868.44322640379</v>
      </c>
      <c r="AB111" s="40">
        <f t="shared" si="36"/>
        <v>310873.5372284074</v>
      </c>
      <c r="AC111" s="40">
        <f t="shared" si="36"/>
        <v>44930189.768788517</v>
      </c>
      <c r="AD111" s="40">
        <f t="shared" si="36"/>
        <v>880219.58346932416</v>
      </c>
      <c r="AE111" s="40">
        <f t="shared" si="36"/>
        <v>49217.994300675266</v>
      </c>
      <c r="AF111" s="40">
        <f t="shared" si="36"/>
        <v>263352.24458529527</v>
      </c>
      <c r="AG111" s="40">
        <f t="shared" si="36"/>
        <v>14725.4952247047</v>
      </c>
      <c r="AH111" s="40">
        <f t="shared" si="36"/>
        <v>109696.45346241941</v>
      </c>
      <c r="AI111" s="40">
        <f t="shared" si="36"/>
        <v>6133.7415375805476</v>
      </c>
      <c r="AJ111" s="40">
        <f>SUM(AJ8:AJ108)</f>
        <v>814459.04479121976</v>
      </c>
      <c r="AK111" s="40">
        <f>SUM(AK8:AK108)</f>
        <v>45540.955208780186</v>
      </c>
      <c r="AL111" s="40">
        <f t="shared" si="36"/>
        <v>263001.96108279569</v>
      </c>
      <c r="AM111" s="40">
        <f t="shared" si="36"/>
        <v>14705.908917204357</v>
      </c>
      <c r="AN111" s="40">
        <f t="shared" si="36"/>
        <v>47391243.151368491</v>
      </c>
      <c r="AO111" s="40">
        <f t="shared" si="36"/>
        <v>-869451.74774350214</v>
      </c>
      <c r="AP111" s="41"/>
      <c r="AQ111" s="40">
        <f>SUM(AQ8:AQ108)</f>
        <v>46521791.403624997</v>
      </c>
      <c r="AR111" s="40"/>
      <c r="AS111" s="40">
        <f>SUM(AS8:AS108)</f>
        <v>46521791.403624997</v>
      </c>
      <c r="AT111" s="40" t="s">
        <v>358</v>
      </c>
      <c r="AU111" s="171"/>
      <c r="AV111" s="31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</row>
    <row r="112" spans="1:253" ht="10" customHeight="1">
      <c r="A112" s="25"/>
      <c r="B112" s="24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1"/>
      <c r="AQ112" s="40"/>
      <c r="AR112" s="40"/>
      <c r="AS112" s="40"/>
      <c r="AT112" s="40" t="s">
        <v>359</v>
      </c>
      <c r="AU112" s="171"/>
      <c r="AV112" s="33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</row>
    <row r="113" spans="1:253" ht="10" customHeight="1">
      <c r="A113" s="25"/>
      <c r="B113" s="24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1"/>
      <c r="AQ113" s="40"/>
      <c r="AR113" s="40"/>
      <c r="AS113" s="40"/>
      <c r="AT113" s="40" t="s">
        <v>360</v>
      </c>
      <c r="AU113" s="171"/>
      <c r="AV113" s="33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</row>
    <row r="114" spans="1:253" ht="10" customHeight="1">
      <c r="A114" s="25"/>
      <c r="B114" s="24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1"/>
      <c r="AQ114" s="40"/>
      <c r="AR114" s="40"/>
      <c r="AS114" s="40"/>
      <c r="AT114" s="40" t="s">
        <v>361</v>
      </c>
      <c r="AU114" s="171"/>
      <c r="AV114" s="33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</row>
    <row r="115" spans="1:253" ht="13" customHeight="1">
      <c r="A115" s="25"/>
      <c r="B115" s="24" t="s">
        <v>212</v>
      </c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1"/>
      <c r="AQ115" s="40"/>
      <c r="AR115" s="40"/>
      <c r="AS115" s="40"/>
      <c r="AT115" s="40" t="s">
        <v>3</v>
      </c>
      <c r="AU115" s="171"/>
      <c r="AV115" s="33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</row>
    <row r="116" spans="1:253" ht="13" customHeight="1">
      <c r="A116" s="25"/>
      <c r="B116" s="24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1"/>
      <c r="AQ116" s="40"/>
      <c r="AR116" s="40"/>
      <c r="AS116" s="40"/>
      <c r="AT116" s="40" t="s">
        <v>363</v>
      </c>
      <c r="AU116" s="171"/>
      <c r="AV116" s="33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</row>
    <row r="117" spans="1:253" ht="13" customHeight="1">
      <c r="A117" s="25">
        <f>ALLOCATION!A119</f>
        <v>100000</v>
      </c>
      <c r="B117" s="24" t="str">
        <f>ALLOCATION!C119</f>
        <v>Council</v>
      </c>
      <c r="C117" s="40">
        <f>'ACTUAL EXP'!$G$13*(ALLOCATION!P119)</f>
        <v>45092.283947465286</v>
      </c>
      <c r="D117" s="40">
        <f>(SUM('ACTUAL EXP'!$G$15,'ACTUAL EXP'!$G$17:$G$19,'ACTUAL EXP'!$G$22))*ALLOCATION!P119</f>
        <v>72726.821002326295</v>
      </c>
      <c r="E117" s="176">
        <f>(('ACTUAL EXP'!$G$25)*(ALLOCATION!P119))</f>
        <v>0</v>
      </c>
      <c r="F117" s="40">
        <f>'ACTUAL EXP'!$G$28*ALLOCATION!P119</f>
        <v>0</v>
      </c>
      <c r="G117" s="40">
        <v>0</v>
      </c>
      <c r="H117" s="40">
        <f>SUM('ACTUAL EXP'!$G$30:$G$35)*ALLOCATION!P119</f>
        <v>65274.292320299908</v>
      </c>
      <c r="I117" s="40">
        <f>SUM('ACTUAL EXP'!$G$43:$G$47)*ALLOCATION!P119</f>
        <v>39427.667478050658</v>
      </c>
      <c r="J117" s="176">
        <f>(SUM('ACTUAL EXP'!$G$49:$G$50)*ALLOCATION!P119*0.5)+(SUM('ACTUAL EXP'!$G$49:$G$50)*ALLOCATION!P119*0.5)</f>
        <v>18914.162859304448</v>
      </c>
      <c r="K117" s="40">
        <f>SUM('ACTUAL EXP'!$G$52:$G$53)*ALLOCATION!P119</f>
        <v>19961.266805070823</v>
      </c>
      <c r="L117" s="40">
        <f>SUM('ACTUAL EXP'!$G$54:$G$54)*ALLOCATION!P119</f>
        <v>2721.9909279642034</v>
      </c>
      <c r="M117" s="40">
        <f>SUM('ACTUAL EXP'!$G$21:$G$21)*ALLOCATION!P119</f>
        <v>838.79009056630412</v>
      </c>
      <c r="N117" s="176">
        <f>SUM('ACTUAL EXP'!$G$58:$G$62)*0.39*ALLOCATION!P119</f>
        <v>13358.814801528955</v>
      </c>
      <c r="O117" s="176">
        <f>SUM('ACTUAL EXP'!$G$58:$G$62)*0.27*ALLOCATION!P119</f>
        <v>9248.4102472123541</v>
      </c>
      <c r="P117" s="176">
        <f>SUM('ACTUAL EXP'!$G$58:$G$62)*0.34*ALLOCATION!P119</f>
        <v>11646.14623723037</v>
      </c>
      <c r="Q117" s="40">
        <f>'ACTUAL EXP'!$G$85*ALLOCATION!P119</f>
        <v>17726.167820805054</v>
      </c>
      <c r="R117" s="40">
        <f>SUM('ACTUAL EXP'!$G$68:$G$73)*ALLOCATION!P119</f>
        <v>48348.020317888768</v>
      </c>
      <c r="S117" s="40">
        <f>SUM('ACTUAL EXP'!$G$75)*ALLOCATION!P119</f>
        <v>6770.9798176214981</v>
      </c>
      <c r="T117" s="40">
        <f>SUM('ACTUAL EXP'!$G$77)*ALLOCATION!P119</f>
        <v>4445.7978594401229</v>
      </c>
      <c r="U117" s="40">
        <f>SUM('ACTUAL EXP'!$G$79)*ALLOCATION!P119</f>
        <v>6737.556716968621</v>
      </c>
      <c r="V117" s="40">
        <f t="shared" ref="V117:V122" si="37">SUM(C117:U117)</f>
        <v>383239.16924974369</v>
      </c>
      <c r="W117" s="40">
        <f>-V117</f>
        <v>-383239.16924974369</v>
      </c>
      <c r="X117" s="40"/>
      <c r="Y117" s="40"/>
      <c r="Z117" s="40"/>
      <c r="AA117" s="40"/>
      <c r="AB117" s="40"/>
      <c r="AC117" s="40">
        <f t="shared" ref="AC117:AC122" si="38">SUM(V117:AB117)</f>
        <v>0</v>
      </c>
      <c r="AD117" s="40">
        <f>SUM('ACTUAL EXP'!$G$37:$G$39)*ALLOCATION!P119</f>
        <v>7927.7850150881595</v>
      </c>
      <c r="AE117" s="40">
        <f t="shared" ref="AE117:AE122" si="39">-AD117</f>
        <v>-7927.7850150881595</v>
      </c>
      <c r="AF117" s="40">
        <f>SUM('ACTUAL EXP'!$G$41)*ALLOCATION!P119</f>
        <v>2371.9081210215945</v>
      </c>
      <c r="AG117" s="40">
        <f t="shared" ref="AG117:AG122" si="40">-AF117</f>
        <v>-2371.9081210215945</v>
      </c>
      <c r="AH117" s="40">
        <f>SUM('ACTUAL EXP'!$G$81)*ALLOCATION!P119</f>
        <v>987.99199233902459</v>
      </c>
      <c r="AI117" s="40">
        <f t="shared" ref="AI117:AK122" si="41">-AH117</f>
        <v>-987.99199233902459</v>
      </c>
      <c r="AJ117" s="296">
        <f>SUM('ACTUAL EXP'!$G$83)*ALLOCATION!P119</f>
        <v>7335.5061986346582</v>
      </c>
      <c r="AK117" s="40">
        <f t="shared" si="41"/>
        <v>-7335.5061986346582</v>
      </c>
      <c r="AL117" s="40">
        <f>SUM('ACTUAL EXP'!$G$64:$G$66)*ALLOCATION!P119</f>
        <v>2368.7532579007302</v>
      </c>
      <c r="AM117" s="40">
        <f t="shared" ref="AM117:AM122" si="42">-AL117</f>
        <v>-2368.7532579007302</v>
      </c>
      <c r="AN117" s="40">
        <f t="shared" ref="AN117:AO122" si="43">SUM(AC117:AM117)</f>
        <v>0</v>
      </c>
      <c r="AO117" s="40">
        <f t="shared" si="43"/>
        <v>0</v>
      </c>
      <c r="AP117" s="41"/>
      <c r="AQ117" s="40">
        <f t="shared" ref="AQ117:AQ122" si="44">SUM(AF117:AP117)</f>
        <v>0</v>
      </c>
      <c r="AR117" s="40"/>
      <c r="AS117" s="40">
        <v>0</v>
      </c>
      <c r="AT117" s="40"/>
      <c r="AU117" s="171"/>
      <c r="AV117" s="33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</row>
    <row r="118" spans="1:253" ht="13" customHeight="1">
      <c r="A118" s="25">
        <f>ALLOCATION!A120</f>
        <v>100000</v>
      </c>
      <c r="B118" s="24" t="str">
        <f>ALLOCATION!C120</f>
        <v>Portland Office of    Emergency Management</v>
      </c>
      <c r="C118" s="40">
        <f>'ACTUAL EXP'!$G$13*(ALLOCATION!P120)</f>
        <v>33016.076243281859</v>
      </c>
      <c r="D118" s="40">
        <f>(SUM('ACTUAL EXP'!$G$15,'ACTUAL EXP'!$G$17:$G$19,'ACTUAL EXP'!$G$22))*ALLOCATION!P120</f>
        <v>53249.781491258669</v>
      </c>
      <c r="E118" s="176">
        <f>(('ACTUAL EXP'!$G$25)*(ALLOCATION!P120))</f>
        <v>0</v>
      </c>
      <c r="F118" s="40">
        <f>'ACTUAL EXP'!$G$28*ALLOCATION!P120</f>
        <v>0</v>
      </c>
      <c r="G118" s="40">
        <v>0</v>
      </c>
      <c r="H118" s="40">
        <f>SUM('ACTUAL EXP'!$G$30:$G$35)*ALLOCATION!P120</f>
        <v>47793.121645470143</v>
      </c>
      <c r="I118" s="40">
        <f>SUM('ACTUAL EXP'!$G$43:$G$47)*ALLOCATION!P120</f>
        <v>28868.506129933092</v>
      </c>
      <c r="J118" s="176">
        <f>(SUM('ACTUAL EXP'!$G$49:$G$50)*ALLOCATION!P120*0.5)+(SUM('ACTUAL EXP'!$G$49:$G$50)*ALLOCATION!P120*0.5)</f>
        <v>13848.742808596375</v>
      </c>
      <c r="K118" s="40">
        <f>SUM('ACTUAL EXP'!$G$52:$G$53)*ALLOCATION!P120</f>
        <v>14615.420844872851</v>
      </c>
      <c r="L118" s="40">
        <f>SUM('ACTUAL EXP'!$G$54:$G$54)*ALLOCATION!P120</f>
        <v>1993.0119333917523</v>
      </c>
      <c r="M118" s="40">
        <f>SUM('ACTUAL EXP'!$G$21:$G$21)*ALLOCATION!P120</f>
        <v>614.15291393336247</v>
      </c>
      <c r="N118" s="176">
        <f>SUM('ACTUAL EXP'!$G$58:$G$62)*0.39*ALLOCATION!P120</f>
        <v>9781.1778290275452</v>
      </c>
      <c r="O118" s="176">
        <f>SUM('ACTUAL EXP'!$G$58:$G$62)*0.27*ALLOCATION!P120</f>
        <v>6771.5846508652248</v>
      </c>
      <c r="P118" s="176">
        <f>SUM('ACTUAL EXP'!$G$58:$G$62)*0.34*ALLOCATION!P120</f>
        <v>8527.1806714599115</v>
      </c>
      <c r="Q118" s="40">
        <f>'ACTUAL EXP'!$G$85*ALLOCATION!P120</f>
        <v>12978.905857923546</v>
      </c>
      <c r="R118" s="40">
        <f>SUM('ACTUAL EXP'!$G$68:$G$73)*ALLOCATION!P120</f>
        <v>35399.890741548581</v>
      </c>
      <c r="S118" s="40">
        <f>SUM('ACTUAL EXP'!$G$75)*ALLOCATION!P120</f>
        <v>4957.6372348041214</v>
      </c>
      <c r="T118" s="40">
        <f>SUM('ACTUAL EXP'!$G$77)*ALLOCATION!P120</f>
        <v>3255.164481366779</v>
      </c>
      <c r="U118" s="40">
        <f>SUM('ACTUAL EXP'!$G$79)*ALLOCATION!P120</f>
        <v>4933.1652067132864</v>
      </c>
      <c r="V118" s="40">
        <f t="shared" si="37"/>
        <v>280603.52068444708</v>
      </c>
      <c r="W118" s="40"/>
      <c r="X118" s="40">
        <f>-V118</f>
        <v>-280603.52068444708</v>
      </c>
      <c r="Y118" s="40"/>
      <c r="Z118" s="40"/>
      <c r="AA118" s="40"/>
      <c r="AB118" s="40"/>
      <c r="AC118" s="40">
        <f t="shared" si="38"/>
        <v>0</v>
      </c>
      <c r="AD118" s="40">
        <f>SUM('ACTUAL EXP'!$G$37:$G$39)*ALLOCATION!P120</f>
        <v>5804.6373256108081</v>
      </c>
      <c r="AE118" s="40">
        <f t="shared" si="39"/>
        <v>-5804.6373256108081</v>
      </c>
      <c r="AF118" s="40">
        <f>SUM('ACTUAL EXP'!$G$41)*ALLOCATION!P120</f>
        <v>1736.6851379039622</v>
      </c>
      <c r="AG118" s="40">
        <f t="shared" si="40"/>
        <v>-1736.6851379039622</v>
      </c>
      <c r="AH118" s="40">
        <f>SUM('ACTUAL EXP'!$G$81)*ALLOCATION!P120</f>
        <v>723.39691164946601</v>
      </c>
      <c r="AI118" s="40">
        <f t="shared" si="41"/>
        <v>-723.39691164946601</v>
      </c>
      <c r="AJ118" s="296">
        <f>SUM('ACTUAL EXP'!$G$83)*ALLOCATION!P120</f>
        <v>5370.9772656304413</v>
      </c>
      <c r="AK118" s="40">
        <f t="shared" si="41"/>
        <v>-5370.9772656304413</v>
      </c>
      <c r="AL118" s="40">
        <f>SUM('ACTUAL EXP'!$G$64:$G$66)*ALLOCATION!P120</f>
        <v>1734.3751816937838</v>
      </c>
      <c r="AM118" s="40">
        <f t="shared" si="42"/>
        <v>-1734.3751816937838</v>
      </c>
      <c r="AN118" s="40">
        <f t="shared" si="43"/>
        <v>0</v>
      </c>
      <c r="AO118" s="40">
        <f t="shared" si="43"/>
        <v>0</v>
      </c>
      <c r="AP118" s="41"/>
      <c r="AQ118" s="40">
        <f t="shared" si="44"/>
        <v>0</v>
      </c>
      <c r="AR118" s="40"/>
      <c r="AS118" s="40">
        <v>0</v>
      </c>
      <c r="AT118" s="40"/>
      <c r="AU118" s="171"/>
      <c r="AV118" s="33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</row>
    <row r="119" spans="1:253" ht="13" customHeight="1">
      <c r="A119" s="25">
        <f>ALLOCATION!A121</f>
        <v>100000</v>
      </c>
      <c r="B119" s="24" t="str">
        <f>ALLOCATION!C121</f>
        <v>Office of Management    &amp; Finance</v>
      </c>
      <c r="C119" s="40">
        <f>'ACTUAL EXP'!$G$13*(ALLOCATION!P121)</f>
        <v>105271.7124096241</v>
      </c>
      <c r="D119" s="40">
        <f>(SUM('ACTUAL EXP'!$G$15,'ACTUAL EXP'!$G$17:$G$19,'ACTUAL EXP'!$G$22))*ALLOCATION!P121</f>
        <v>169786.8529778356</v>
      </c>
      <c r="E119" s="176">
        <f>(('ACTUAL EXP'!$G$25)*(ALLOCATION!P121))</f>
        <v>0</v>
      </c>
      <c r="F119" s="40">
        <f>'ACTUAL EXP'!$G$28*ALLOCATION!P121</f>
        <v>0</v>
      </c>
      <c r="G119" s="40">
        <v>0</v>
      </c>
      <c r="H119" s="40">
        <f>SUM('ACTUAL EXP'!$G$30:$G$35)*ALLOCATION!P121</f>
        <v>152388.30077647037</v>
      </c>
      <c r="I119" s="40">
        <f>SUM('ACTUAL EXP'!$G$43:$G$47)*ALLOCATION!P121</f>
        <v>92047.190968798823</v>
      </c>
      <c r="J119" s="176">
        <f>(SUM('ACTUAL EXP'!$G$49:$G$50)*ALLOCATION!P121*0.5)+(SUM('ACTUAL EXP'!$G$49:$G$50)*ALLOCATION!P121*0.5)</f>
        <v>44156.696860004937</v>
      </c>
      <c r="K119" s="40">
        <f>SUM('ACTUAL EXP'!$G$52:$G$53)*ALLOCATION!P121</f>
        <v>46601.248694419097</v>
      </c>
      <c r="L119" s="40">
        <f>SUM('ACTUAL EXP'!$G$54:$G$54)*ALLOCATION!P121</f>
        <v>6354.7157310571502</v>
      </c>
      <c r="M119" s="40">
        <f>SUM('ACTUAL EXP'!$G$21:$G$21)*ALLOCATION!P121</f>
        <v>1958.2256975276159</v>
      </c>
      <c r="N119" s="176">
        <f>SUM('ACTUAL EXP'!$G$58:$G$62)*0.39*ALLOCATION!P121</f>
        <v>31187.271675091913</v>
      </c>
      <c r="O119" s="176">
        <f>SUM('ACTUAL EXP'!$G$58:$G$62)*0.27*ALLOCATION!P121</f>
        <v>21591.188082755943</v>
      </c>
      <c r="P119" s="176">
        <f>SUM('ACTUAL EXP'!$G$58:$G$62)*0.34*ALLOCATION!P121</f>
        <v>27188.903511618591</v>
      </c>
      <c r="Q119" s="40">
        <f>'ACTUAL EXP'!$G$85*ALLOCATION!P121</f>
        <v>41383.222972927666</v>
      </c>
      <c r="R119" s="40">
        <f>SUM('ACTUAL EXP'!$G$68:$G$73)*ALLOCATION!P121</f>
        <v>112872.50156610328</v>
      </c>
      <c r="S119" s="40">
        <f>SUM('ACTUAL EXP'!$G$75)*ALLOCATION!P121</f>
        <v>15807.419311970483</v>
      </c>
      <c r="T119" s="40">
        <f>SUM('ACTUAL EXP'!$G$77)*ALLOCATION!P121</f>
        <v>10379.087345310907</v>
      </c>
      <c r="U119" s="40">
        <f>SUM('ACTUAL EXP'!$G$79)*ALLOCATION!P121</f>
        <v>15729.390285011752</v>
      </c>
      <c r="V119" s="40">
        <f t="shared" si="37"/>
        <v>894703.92886652809</v>
      </c>
      <c r="W119" s="40"/>
      <c r="X119" s="40"/>
      <c r="Y119" s="40">
        <f>-V119</f>
        <v>-894703.92886652809</v>
      </c>
      <c r="Z119" s="40"/>
      <c r="AA119" s="40"/>
      <c r="AB119" s="40"/>
      <c r="AC119" s="40">
        <f t="shared" si="38"/>
        <v>0</v>
      </c>
      <c r="AD119" s="40">
        <f>SUM('ACTUAL EXP'!$G$37:$G$39)*ALLOCATION!P121</f>
        <v>18508.077903660964</v>
      </c>
      <c r="AE119" s="40">
        <f t="shared" si="39"/>
        <v>-18508.077903660964</v>
      </c>
      <c r="AF119" s="40">
        <f>SUM('ACTUAL EXP'!$G$41)*ALLOCATION!P121</f>
        <v>5537.4181061474701</v>
      </c>
      <c r="AG119" s="40">
        <f t="shared" si="40"/>
        <v>-5537.4181061474701</v>
      </c>
      <c r="AH119" s="40">
        <f>SUM('ACTUAL EXP'!$G$81)*ALLOCATION!P121</f>
        <v>2306.5500297500853</v>
      </c>
      <c r="AI119" s="40">
        <f t="shared" si="41"/>
        <v>-2306.5500297500853</v>
      </c>
      <c r="AJ119" s="296">
        <f>SUM('ACTUAL EXP'!$G$83)*ALLOCATION!P121</f>
        <v>17125.353415705409</v>
      </c>
      <c r="AK119" s="40">
        <f t="shared" si="41"/>
        <v>-17125.353415705409</v>
      </c>
      <c r="AL119" s="40">
        <f>SUM('ACTUAL EXP'!$G$64:$G$66)*ALLOCATION!P121</f>
        <v>5530.0528140381084</v>
      </c>
      <c r="AM119" s="40">
        <f t="shared" si="42"/>
        <v>-5530.0528140381084</v>
      </c>
      <c r="AN119" s="40">
        <f t="shared" si="43"/>
        <v>0</v>
      </c>
      <c r="AO119" s="40">
        <f t="shared" si="43"/>
        <v>0</v>
      </c>
      <c r="AP119" s="41"/>
      <c r="AQ119" s="40">
        <f t="shared" si="44"/>
        <v>0</v>
      </c>
      <c r="AR119" s="40"/>
      <c r="AS119" s="40">
        <v>0</v>
      </c>
      <c r="AT119" s="40"/>
      <c r="AU119" s="171"/>
      <c r="AV119" s="33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</row>
    <row r="120" spans="1:253" ht="13" customHeight="1">
      <c r="A120" s="25">
        <f>ALLOCATION!A122</f>
        <v>100000</v>
      </c>
      <c r="B120" s="24" t="str">
        <f>ALLOCATION!C122</f>
        <v>Office of City Attorney</v>
      </c>
      <c r="C120" s="40">
        <f>'ACTUAL EXP'!$G$13*(ALLOCATION!P122)</f>
        <v>43178.224744656567</v>
      </c>
      <c r="D120" s="40">
        <f>(SUM('ACTUAL EXP'!$G$15,'ACTUAL EXP'!$G$17:$G$19,'ACTUAL EXP'!$G$22))*ALLOCATION!P122</f>
        <v>69639.742042371552</v>
      </c>
      <c r="E120" s="176">
        <f>(('ACTUAL EXP'!$G$25)*(ALLOCATION!P122))</f>
        <v>0</v>
      </c>
      <c r="F120" s="40">
        <f>'ACTUAL EXP'!$G$28*ALLOCATION!P122</f>
        <v>0</v>
      </c>
      <c r="G120" s="40">
        <v>0</v>
      </c>
      <c r="H120" s="40">
        <f>SUM('ACTUAL EXP'!$G$30:$G$35)*ALLOCATION!P122</f>
        <v>62503.555311989207</v>
      </c>
      <c r="I120" s="40">
        <f>SUM('ACTUAL EXP'!$G$43:$G$47)*ALLOCATION!P122</f>
        <v>37754.057645610868</v>
      </c>
      <c r="J120" s="176">
        <f>(SUM('ACTUAL EXP'!$G$49:$G$50)*ALLOCATION!P122*0.5)+(SUM('ACTUAL EXP'!$G$49:$G$50)*ALLOCATION!P122*0.5)</f>
        <v>18111.302052199342</v>
      </c>
      <c r="K120" s="40">
        <f>SUM('ACTUAL EXP'!$G$52:$G$53)*ALLOCATION!P122</f>
        <v>19113.95894919732</v>
      </c>
      <c r="L120" s="40">
        <f>SUM('ACTUAL EXP'!$G$54:$G$54)*ALLOCATION!P122</f>
        <v>2606.4489476178164</v>
      </c>
      <c r="M120" s="40">
        <f>SUM('ACTUAL EXP'!$G$21:$G$21)*ALLOCATION!P122</f>
        <v>803.18546486263233</v>
      </c>
      <c r="N120" s="176">
        <f>SUM('ACTUAL EXP'!$G$58:$G$62)*0.39*ALLOCATION!P122</f>
        <v>12791.765183033835</v>
      </c>
      <c r="O120" s="176">
        <f>SUM('ACTUAL EXP'!$G$58:$G$62)*0.27*ALLOCATION!P122</f>
        <v>8855.8374344080403</v>
      </c>
      <c r="P120" s="176">
        <f>SUM('ACTUAL EXP'!$G$58:$G$62)*0.34*ALLOCATION!P122</f>
        <v>11151.795287773086</v>
      </c>
      <c r="Q120" s="40">
        <f>'ACTUAL EXP'!$G$85*ALLOCATION!P122</f>
        <v>16973.734551124755</v>
      </c>
      <c r="R120" s="40">
        <f>SUM('ACTUAL EXP'!$G$68:$G$73)*ALLOCATION!P122</f>
        <v>46295.762922036905</v>
      </c>
      <c r="S120" s="40">
        <f>SUM('ACTUAL EXP'!$G$75)*ALLOCATION!P122</f>
        <v>6483.5679791116181</v>
      </c>
      <c r="T120" s="40">
        <f>SUM('ACTUAL EXP'!$G$77)*ALLOCATION!P122</f>
        <v>4257.084413108536</v>
      </c>
      <c r="U120" s="40">
        <f>SUM('ACTUAL EXP'!$G$79)*ALLOCATION!P122</f>
        <v>6451.5636088443116</v>
      </c>
      <c r="V120" s="40">
        <f t="shared" si="37"/>
        <v>366971.58653794642</v>
      </c>
      <c r="W120" s="40"/>
      <c r="X120" s="40"/>
      <c r="Y120" s="40"/>
      <c r="Z120" s="40">
        <f>-V120</f>
        <v>-366971.58653794642</v>
      </c>
      <c r="AA120" s="40"/>
      <c r="AB120" s="40"/>
      <c r="AC120" s="40">
        <f t="shared" si="38"/>
        <v>0</v>
      </c>
      <c r="AD120" s="40">
        <f>SUM('ACTUAL EXP'!$G$37:$G$39)*ALLOCATION!P122</f>
        <v>7591.2695730294408</v>
      </c>
      <c r="AE120" s="40">
        <f t="shared" si="39"/>
        <v>-7591.2695730294408</v>
      </c>
      <c r="AF120" s="40">
        <f>SUM('ACTUAL EXP'!$G$41)*ALLOCATION!P122</f>
        <v>2271.226315403866</v>
      </c>
      <c r="AG120" s="40">
        <f t="shared" si="40"/>
        <v>-2271.226315403866</v>
      </c>
      <c r="AH120" s="40">
        <f>SUM('ACTUAL EXP'!$G$81)*ALLOCATION!P122</f>
        <v>946.05410408654609</v>
      </c>
      <c r="AI120" s="40">
        <f t="shared" si="41"/>
        <v>-946.05410408654609</v>
      </c>
      <c r="AJ120" s="296">
        <f>SUM('ACTUAL EXP'!$G$83)*ALLOCATION!P122</f>
        <v>7024.1315704806484</v>
      </c>
      <c r="AK120" s="40">
        <f t="shared" si="41"/>
        <v>-7024.1315704806484</v>
      </c>
      <c r="AL120" s="40">
        <f>SUM('ACTUAL EXP'!$G$64:$G$66)*ALLOCATION!P122</f>
        <v>2268.2053686487625</v>
      </c>
      <c r="AM120" s="40">
        <f t="shared" si="42"/>
        <v>-2268.2053686487625</v>
      </c>
      <c r="AN120" s="40">
        <f t="shared" si="43"/>
        <v>0</v>
      </c>
      <c r="AO120" s="40">
        <f t="shared" si="43"/>
        <v>0</v>
      </c>
      <c r="AP120" s="41"/>
      <c r="AQ120" s="40">
        <f t="shared" si="44"/>
        <v>0</v>
      </c>
      <c r="AR120" s="40"/>
      <c r="AS120" s="40">
        <v>0</v>
      </c>
      <c r="AT120" s="40"/>
      <c r="AU120" s="171"/>
      <c r="AV120" s="33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</row>
    <row r="121" spans="1:253" ht="13" customHeight="1">
      <c r="A121" s="25">
        <f>ALLOCATION!A123</f>
        <v>100000</v>
      </c>
      <c r="B121" s="24" t="str">
        <f>ALLOCATION!C123</f>
        <v>Purchasing</v>
      </c>
      <c r="C121" s="40">
        <f>'ACTUAL EXP'!$G$13*(ALLOCATION!P123)</f>
        <v>16810.036462893811</v>
      </c>
      <c r="D121" s="40">
        <f>(SUM('ACTUAL EXP'!$G$15,'ACTUAL EXP'!$G$17:$G$19,'ACTUAL EXP'!$G$22))*ALLOCATION!P123</f>
        <v>27111.966967647411</v>
      </c>
      <c r="E121" s="176">
        <f>(('ACTUAL EXP'!$G$25)*(ALLOCATION!P123))</f>
        <v>0</v>
      </c>
      <c r="F121" s="40">
        <f>'ACTUAL EXP'!$G$28*ALLOCATION!P123</f>
        <v>0</v>
      </c>
      <c r="G121" s="40">
        <v>0</v>
      </c>
      <c r="H121" s="40">
        <f>SUM('ACTUAL EXP'!$G$30:$G$35)*ALLOCATION!P123</f>
        <v>24333.72492890793</v>
      </c>
      <c r="I121" s="40">
        <f>SUM('ACTUAL EXP'!$G$43:$G$47)*ALLOCATION!P123</f>
        <v>14698.313545728926</v>
      </c>
      <c r="J121" s="176">
        <f>(SUM('ACTUAL EXP'!$G$49:$G$50)*ALLOCATION!P123*0.5)+(SUM('ACTUAL EXP'!$G$49:$G$50)*ALLOCATION!P123*0.5)</f>
        <v>7051.0459771885653</v>
      </c>
      <c r="K121" s="40">
        <f>SUM('ACTUAL EXP'!$G$52:$G$53)*ALLOCATION!P123</f>
        <v>7441.3978061019061</v>
      </c>
      <c r="L121" s="40">
        <f>SUM('ACTUAL EXP'!$G$54:$G$54)*ALLOCATION!P123</f>
        <v>1014.7360644684419</v>
      </c>
      <c r="M121" s="40">
        <f>SUM('ACTUAL EXP'!$G$21:$G$21)*ALLOCATION!P123</f>
        <v>312.69411909941999</v>
      </c>
      <c r="N121" s="176">
        <f>SUM('ACTUAL EXP'!$G$58:$G$62)*0.39*ALLOCATION!P123</f>
        <v>4980.0574345795649</v>
      </c>
      <c r="O121" s="176">
        <f>SUM('ACTUAL EXP'!$G$58:$G$62)*0.27*ALLOCATION!P123</f>
        <v>3447.7320700935456</v>
      </c>
      <c r="P121" s="176">
        <f>SUM('ACTUAL EXP'!$G$58:$G$62)*0.34*ALLOCATION!P123</f>
        <v>4341.5885327103897</v>
      </c>
      <c r="Q121" s="40">
        <f>'ACTUAL EXP'!$G$85*ALLOCATION!P123</f>
        <v>6608.1710955751596</v>
      </c>
      <c r="R121" s="40">
        <f>SUM('ACTUAL EXP'!$G$68:$G$73)*ALLOCATION!P123</f>
        <v>18023.748484315267</v>
      </c>
      <c r="S121" s="40">
        <f>SUM('ACTUAL EXP'!$G$75)*ALLOCATION!P123</f>
        <v>2524.1661690133465</v>
      </c>
      <c r="T121" s="40">
        <f>SUM('ACTUAL EXP'!$G$77)*ALLOCATION!P123</f>
        <v>1657.3572589694618</v>
      </c>
      <c r="U121" s="40">
        <f>SUM('ACTUAL EXP'!$G$79)*ALLOCATION!P123</f>
        <v>2511.7063091106543</v>
      </c>
      <c r="V121" s="40">
        <f t="shared" si="37"/>
        <v>142868.44322640379</v>
      </c>
      <c r="W121" s="40"/>
      <c r="X121" s="40"/>
      <c r="Y121" s="40"/>
      <c r="Z121" s="40"/>
      <c r="AA121" s="40">
        <f>-V121</f>
        <v>-142868.44322640379</v>
      </c>
      <c r="AB121" s="40"/>
      <c r="AC121" s="40">
        <f t="shared" si="38"/>
        <v>0</v>
      </c>
      <c r="AD121" s="40">
        <f>SUM('ACTUAL EXP'!$G$37:$G$39)*ALLOCATION!P123</f>
        <v>2955.4137317346122</v>
      </c>
      <c r="AE121" s="40">
        <f t="shared" si="39"/>
        <v>-2955.4137317346122</v>
      </c>
      <c r="AF121" s="40">
        <f>SUM('ACTUAL EXP'!$G$41)*ALLOCATION!P123</f>
        <v>884.22804326034179</v>
      </c>
      <c r="AG121" s="40">
        <f t="shared" si="40"/>
        <v>-884.22804326034179</v>
      </c>
      <c r="AH121" s="40">
        <f>SUM('ACTUAL EXP'!$G$81)*ALLOCATION!P123</f>
        <v>368.31537377027632</v>
      </c>
      <c r="AI121" s="40">
        <f t="shared" si="41"/>
        <v>-368.31537377027632</v>
      </c>
      <c r="AJ121" s="296">
        <f>SUM('ACTUAL EXP'!$G$83)*ALLOCATION!P123</f>
        <v>2734.6170093423189</v>
      </c>
      <c r="AK121" s="40">
        <f t="shared" si="41"/>
        <v>-2734.6170093423189</v>
      </c>
      <c r="AL121" s="40">
        <f>SUM('ACTUAL EXP'!$G$64:$G$66)*ALLOCATION!P123</f>
        <v>883.05193596537856</v>
      </c>
      <c r="AM121" s="40">
        <f t="shared" si="42"/>
        <v>-883.05193596537856</v>
      </c>
      <c r="AN121" s="40">
        <f t="shared" si="43"/>
        <v>0</v>
      </c>
      <c r="AO121" s="40">
        <f t="shared" si="43"/>
        <v>0</v>
      </c>
      <c r="AP121" s="41"/>
      <c r="AQ121" s="40">
        <f t="shared" si="44"/>
        <v>0</v>
      </c>
      <c r="AR121" s="40"/>
      <c r="AS121" s="40">
        <v>0</v>
      </c>
      <c r="AT121" s="40"/>
      <c r="AU121" s="171"/>
      <c r="AV121" s="33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</row>
    <row r="122" spans="1:253" ht="13" customHeight="1">
      <c r="A122" s="25">
        <f>ALLOCATION!A124</f>
        <v>100000</v>
      </c>
      <c r="B122" s="24" t="str">
        <f>ALLOCATION!C124</f>
        <v>Office of the City    Auditor</v>
      </c>
      <c r="C122" s="40">
        <f>'ACTUAL EXP'!$G$13*(ALLOCATION!P124)</f>
        <v>36577.675084462018</v>
      </c>
      <c r="D122" s="40">
        <f>(SUM('ACTUAL EXP'!$G$15,'ACTUAL EXP'!$G$17:$G$19,'ACTUAL EXP'!$G$22))*ALLOCATION!P124</f>
        <v>58994.084922559196</v>
      </c>
      <c r="E122" s="176">
        <f>(('ACTUAL EXP'!$G$25)*(ALLOCATION!P124))</f>
        <v>0</v>
      </c>
      <c r="F122" s="40">
        <f>'ACTUAL EXP'!$G$28*ALLOCATION!P124</f>
        <v>0</v>
      </c>
      <c r="G122" s="40">
        <v>0</v>
      </c>
      <c r="H122" s="40">
        <f>SUM('ACTUAL EXP'!$G$30:$G$35)*ALLOCATION!P124</f>
        <v>52948.78961202706</v>
      </c>
      <c r="I122" s="40">
        <f>SUM('ACTUAL EXP'!$G$43:$G$47)*ALLOCATION!P124</f>
        <v>31982.687149547546</v>
      </c>
      <c r="J122" s="176">
        <f>(SUM('ACTUAL EXP'!$G$49:$G$50)*ALLOCATION!P124*0.5)+(SUM('ACTUAL EXP'!$G$49:$G$50)*ALLOCATION!P124*0.5)</f>
        <v>15342.671583640786</v>
      </c>
      <c r="K122" s="40">
        <f>SUM('ACTUAL EXP'!$G$52:$G$53)*ALLOCATION!P124</f>
        <v>16192.054771960162</v>
      </c>
      <c r="L122" s="40">
        <f>SUM('ACTUAL EXP'!$G$54:$G$54)*ALLOCATION!P124</f>
        <v>2208.0074689036583</v>
      </c>
      <c r="M122" s="40">
        <f>SUM('ACTUAL EXP'!$G$21:$G$21)*ALLOCATION!P124</f>
        <v>680.40446637268587</v>
      </c>
      <c r="N122" s="176">
        <f>SUM('ACTUAL EXP'!$G$58:$G$62)*0.39*ALLOCATION!P124</f>
        <v>10836.319311151128</v>
      </c>
      <c r="O122" s="176">
        <f>SUM('ACTUAL EXP'!$G$58:$G$62)*0.27*ALLOCATION!P124</f>
        <v>7502.0672154123204</v>
      </c>
      <c r="P122" s="176">
        <f>SUM('ACTUAL EXP'!$G$58:$G$62)*0.34*ALLOCATION!P124</f>
        <v>9447.0476045932901</v>
      </c>
      <c r="Q122" s="40">
        <f>'ACTUAL EXP'!$G$85*ALLOCATION!P124</f>
        <v>14379.001245478054</v>
      </c>
      <c r="R122" s="40">
        <f>SUM('ACTUAL EXP'!$G$68:$G$73)*ALLOCATION!P124</f>
        <v>39218.642822019036</v>
      </c>
      <c r="S122" s="40">
        <f>SUM('ACTUAL EXP'!$G$75)*ALLOCATION!P124</f>
        <v>5492.4407923305207</v>
      </c>
      <c r="T122" s="40">
        <f>SUM('ACTUAL EXP'!$G$77)*ALLOCATION!P124</f>
        <v>3606.3143260442134</v>
      </c>
      <c r="U122" s="40">
        <f>SUM('ACTUAL EXP'!$G$79)*ALLOCATION!P124</f>
        <v>5465.328851905846</v>
      </c>
      <c r="V122" s="40">
        <f t="shared" si="37"/>
        <v>310873.53722840757</v>
      </c>
      <c r="W122" s="40"/>
      <c r="X122" s="40"/>
      <c r="Y122" s="40"/>
      <c r="Z122" s="40"/>
      <c r="AA122" s="40"/>
      <c r="AB122" s="40">
        <f>-V122</f>
        <v>-310873.53722840757</v>
      </c>
      <c r="AC122" s="40">
        <f t="shared" si="38"/>
        <v>0</v>
      </c>
      <c r="AD122" s="40">
        <f>SUM('ACTUAL EXP'!$G$37:$G$39)*ALLOCATION!P124</f>
        <v>6430.8107515512484</v>
      </c>
      <c r="AE122" s="40">
        <f t="shared" si="39"/>
        <v>-6430.8107515512484</v>
      </c>
      <c r="AF122" s="40">
        <f>SUM('ACTUAL EXP'!$G$41)*ALLOCATION!P124</f>
        <v>1924.0295009674612</v>
      </c>
      <c r="AG122" s="40">
        <f t="shared" si="40"/>
        <v>-1924.0295009674612</v>
      </c>
      <c r="AH122" s="40">
        <f>SUM('ACTUAL EXP'!$G$81)*ALLOCATION!P124</f>
        <v>801.43312598515058</v>
      </c>
      <c r="AI122" s="40">
        <f t="shared" si="41"/>
        <v>-801.43312598515058</v>
      </c>
      <c r="AJ122" s="296">
        <f>SUM('ACTUAL EXP'!$G$83)*ALLOCATION!P124</f>
        <v>5950.3697489866918</v>
      </c>
      <c r="AK122" s="40">
        <f t="shared" si="41"/>
        <v>-5950.3697489866918</v>
      </c>
      <c r="AL122" s="40">
        <f>SUM('ACTUAL EXP'!$G$64:$G$66)*ALLOCATION!P124</f>
        <v>1921.4703589575918</v>
      </c>
      <c r="AM122" s="40">
        <f t="shared" si="42"/>
        <v>-1921.4703589575918</v>
      </c>
      <c r="AN122" s="40">
        <f t="shared" si="43"/>
        <v>0</v>
      </c>
      <c r="AO122" s="40">
        <f t="shared" si="43"/>
        <v>0</v>
      </c>
      <c r="AP122" s="41"/>
      <c r="AQ122" s="40">
        <f t="shared" si="44"/>
        <v>0</v>
      </c>
      <c r="AR122" s="40"/>
      <c r="AS122" s="40">
        <v>0</v>
      </c>
      <c r="AT122" s="40"/>
      <c r="AU122" s="171"/>
      <c r="AV122" s="33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</row>
    <row r="123" spans="1:253" ht="10" customHeight="1">
      <c r="A123" s="25"/>
      <c r="B123" s="24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1"/>
      <c r="AQ123" s="40"/>
      <c r="AR123" s="40"/>
      <c r="AS123" s="40"/>
      <c r="AT123" s="40"/>
      <c r="AU123" s="171"/>
      <c r="AV123" s="30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</row>
    <row r="124" spans="1:253" ht="13" customHeight="1" thickBot="1">
      <c r="A124" s="24"/>
      <c r="B124" s="25"/>
      <c r="C124" s="44">
        <f t="shared" ref="C124:AO124" si="45">SUM(C111:C122)</f>
        <v>5286528.7199999979</v>
      </c>
      <c r="D124" s="44">
        <f>SUM(D111:D122)</f>
        <v>8526346.2900000028</v>
      </c>
      <c r="E124" s="44">
        <f t="shared" si="45"/>
        <v>0</v>
      </c>
      <c r="F124" s="44">
        <f t="shared" si="45"/>
        <v>0</v>
      </c>
      <c r="G124" s="44">
        <f t="shared" si="45"/>
        <v>0</v>
      </c>
      <c r="H124" s="44">
        <f t="shared" si="45"/>
        <v>7652626.8092999998</v>
      </c>
      <c r="I124" s="44">
        <f t="shared" si="45"/>
        <v>4622420.4728277316</v>
      </c>
      <c r="J124" s="44">
        <f t="shared" si="45"/>
        <v>2217458.4300711807</v>
      </c>
      <c r="K124" s="44">
        <f t="shared" si="45"/>
        <v>2340218.7916569565</v>
      </c>
      <c r="L124" s="44">
        <f t="shared" si="45"/>
        <v>319120.7443168576</v>
      </c>
      <c r="M124" s="44">
        <f>SUM(M111:M122)</f>
        <v>98338.063979999977</v>
      </c>
      <c r="N124" s="44">
        <f t="shared" si="45"/>
        <v>1566160.5918148148</v>
      </c>
      <c r="O124" s="44">
        <f t="shared" si="45"/>
        <v>1084265.0251025637</v>
      </c>
      <c r="P124" s="44">
        <f t="shared" si="45"/>
        <v>1365370.7723513774</v>
      </c>
      <c r="Q124" s="44">
        <f t="shared" si="45"/>
        <v>2078180.2800098199</v>
      </c>
      <c r="R124" s="44">
        <f t="shared" si="45"/>
        <v>5668224.70699069</v>
      </c>
      <c r="S124" s="44">
        <f t="shared" si="45"/>
        <v>793816.0619696998</v>
      </c>
      <c r="T124" s="44">
        <f t="shared" si="45"/>
        <v>521216.40355646418</v>
      </c>
      <c r="U124" s="44">
        <f t="shared" si="45"/>
        <v>789897.60484034417</v>
      </c>
      <c r="V124" s="44">
        <f t="shared" si="45"/>
        <v>44930189.768788509</v>
      </c>
      <c r="W124" s="44">
        <f t="shared" si="45"/>
        <v>0</v>
      </c>
      <c r="X124" s="44">
        <f t="shared" si="45"/>
        <v>0</v>
      </c>
      <c r="Y124" s="44">
        <f t="shared" si="45"/>
        <v>0</v>
      </c>
      <c r="Z124" s="44">
        <f t="shared" si="45"/>
        <v>0</v>
      </c>
      <c r="AA124" s="44">
        <f t="shared" si="45"/>
        <v>0</v>
      </c>
      <c r="AB124" s="44">
        <f t="shared" si="45"/>
        <v>0</v>
      </c>
      <c r="AC124" s="44">
        <f t="shared" si="45"/>
        <v>44930189.768788517</v>
      </c>
      <c r="AD124" s="44">
        <f t="shared" si="45"/>
        <v>929437.57776999951</v>
      </c>
      <c r="AE124" s="44">
        <f t="shared" si="45"/>
        <v>3.9108272176235914E-11</v>
      </c>
      <c r="AF124" s="44">
        <f t="shared" si="45"/>
        <v>278077.73981</v>
      </c>
      <c r="AG124" s="44">
        <f t="shared" si="45"/>
        <v>4.0927261579781771E-12</v>
      </c>
      <c r="AH124" s="44">
        <f t="shared" si="45"/>
        <v>115830.19499999996</v>
      </c>
      <c r="AI124" s="44">
        <f t="shared" si="45"/>
        <v>-1.2505552149377763E-12</v>
      </c>
      <c r="AJ124" s="44">
        <f>SUM(AJ111:AJ122)</f>
        <v>859999.99999999977</v>
      </c>
      <c r="AK124" s="44">
        <f>SUM(AK111:AK122)</f>
        <v>2.1827872842550278E-11</v>
      </c>
      <c r="AL124" s="44">
        <f t="shared" si="45"/>
        <v>277707.87</v>
      </c>
      <c r="AM124" s="44">
        <f t="shared" si="45"/>
        <v>0</v>
      </c>
      <c r="AN124" s="44">
        <f t="shared" si="45"/>
        <v>47391243.151368491</v>
      </c>
      <c r="AO124" s="44">
        <f t="shared" si="45"/>
        <v>-869451.74774350214</v>
      </c>
      <c r="AP124" s="40"/>
      <c r="AQ124" s="44">
        <f>SUM(AQ111:AQ122)</f>
        <v>46521791.403624997</v>
      </c>
      <c r="AR124" s="44"/>
      <c r="AS124" s="44">
        <f>SUM(AS111:AS122)</f>
        <v>46521791.403624997</v>
      </c>
      <c r="AT124" s="40"/>
      <c r="AU124" s="171"/>
      <c r="AV124" s="33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</row>
    <row r="125" spans="1:253" ht="5.15" customHeight="1" thickTop="1">
      <c r="A125" s="24"/>
      <c r="B125" s="24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0"/>
      <c r="AQ125" s="45"/>
      <c r="AR125" s="45"/>
      <c r="AS125" s="45"/>
      <c r="AT125" s="40"/>
      <c r="AU125" s="171"/>
      <c r="AV125" s="30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</row>
    <row r="126" spans="1:253" ht="5.15" customHeight="1">
      <c r="A126" s="24"/>
      <c r="B126" s="24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171"/>
      <c r="AV126" s="30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</row>
    <row r="127" spans="1:253" ht="5.15" customHeight="1">
      <c r="A127" s="24"/>
      <c r="B127" s="24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171"/>
      <c r="AV127" s="30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</row>
    <row r="128" spans="1:253" ht="13" customHeight="1">
      <c r="A128" s="24"/>
      <c r="B128" s="34" t="s">
        <v>12</v>
      </c>
      <c r="C128" s="40">
        <f t="shared" ref="C128:AO128" si="46">+C111</f>
        <v>5006582.7111076145</v>
      </c>
      <c r="D128" s="40">
        <f>+D111</f>
        <v>8074837.0405960036</v>
      </c>
      <c r="E128" s="40">
        <f t="shared" si="46"/>
        <v>0</v>
      </c>
      <c r="F128" s="40">
        <f t="shared" si="46"/>
        <v>0</v>
      </c>
      <c r="G128" s="40">
        <f t="shared" si="46"/>
        <v>0</v>
      </c>
      <c r="H128" s="40">
        <f t="shared" si="46"/>
        <v>7247385.0247048354</v>
      </c>
      <c r="I128" s="40">
        <f t="shared" si="46"/>
        <v>4377642.0499100611</v>
      </c>
      <c r="J128" s="40">
        <f t="shared" si="46"/>
        <v>2100033.807930246</v>
      </c>
      <c r="K128" s="40">
        <f t="shared" si="46"/>
        <v>2216293.443785334</v>
      </c>
      <c r="L128" s="40">
        <f t="shared" si="46"/>
        <v>302221.83324345452</v>
      </c>
      <c r="M128" s="40">
        <f>+M111</f>
        <v>93130.611227637972</v>
      </c>
      <c r="N128" s="40">
        <f t="shared" si="46"/>
        <v>1483225.1855804017</v>
      </c>
      <c r="O128" s="40">
        <f t="shared" si="46"/>
        <v>1026848.2054018162</v>
      </c>
      <c r="P128" s="40">
        <f>+P111</f>
        <v>1293068.1105059918</v>
      </c>
      <c r="Q128" s="40">
        <f t="shared" si="46"/>
        <v>1968131.0764659857</v>
      </c>
      <c r="R128" s="40">
        <f t="shared" si="46"/>
        <v>5368066.1401367784</v>
      </c>
      <c r="S128" s="40">
        <f t="shared" si="46"/>
        <v>751779.85066484823</v>
      </c>
      <c r="T128" s="40">
        <f t="shared" si="46"/>
        <v>493615.59787222417</v>
      </c>
      <c r="U128" s="40">
        <f t="shared" si="46"/>
        <v>748068.89386178972</v>
      </c>
      <c r="V128" s="40">
        <f t="shared" si="46"/>
        <v>42550929.582995035</v>
      </c>
      <c r="W128" s="40">
        <f t="shared" si="46"/>
        <v>383239.16924974346</v>
      </c>
      <c r="X128" s="40">
        <f t="shared" si="46"/>
        <v>280603.52068444702</v>
      </c>
      <c r="Y128" s="40">
        <f t="shared" si="46"/>
        <v>894703.92886652856</v>
      </c>
      <c r="Z128" s="40">
        <f t="shared" si="46"/>
        <v>366971.58653794666</v>
      </c>
      <c r="AA128" s="40">
        <f t="shared" si="46"/>
        <v>142868.44322640379</v>
      </c>
      <c r="AB128" s="40">
        <f t="shared" si="46"/>
        <v>310873.5372284074</v>
      </c>
      <c r="AC128" s="40">
        <f t="shared" si="46"/>
        <v>44930189.768788517</v>
      </c>
      <c r="AD128" s="40">
        <f t="shared" si="46"/>
        <v>880219.58346932416</v>
      </c>
      <c r="AE128" s="40">
        <f t="shared" si="46"/>
        <v>49217.994300675266</v>
      </c>
      <c r="AF128" s="40">
        <f t="shared" si="46"/>
        <v>263352.24458529527</v>
      </c>
      <c r="AG128" s="40">
        <f t="shared" si="46"/>
        <v>14725.4952247047</v>
      </c>
      <c r="AH128" s="40">
        <f t="shared" si="46"/>
        <v>109696.45346241941</v>
      </c>
      <c r="AI128" s="40">
        <f t="shared" si="46"/>
        <v>6133.7415375805476</v>
      </c>
      <c r="AJ128" s="40">
        <f>+AJ111</f>
        <v>814459.04479121976</v>
      </c>
      <c r="AK128" s="40">
        <f>+AK111</f>
        <v>45540.955208780186</v>
      </c>
      <c r="AL128" s="40">
        <f t="shared" si="46"/>
        <v>263001.96108279569</v>
      </c>
      <c r="AM128" s="40">
        <f t="shared" si="46"/>
        <v>14705.908917204357</v>
      </c>
      <c r="AN128" s="40">
        <f t="shared" si="46"/>
        <v>47391243.151368491</v>
      </c>
      <c r="AO128" s="40">
        <f t="shared" si="46"/>
        <v>-869451.74774350214</v>
      </c>
      <c r="AP128" s="40"/>
      <c r="AQ128" s="40">
        <f>+AQ111</f>
        <v>46521791.403624997</v>
      </c>
      <c r="AR128" s="40"/>
      <c r="AS128" s="40">
        <f>+AS111</f>
        <v>46521791.403624997</v>
      </c>
      <c r="AT128" s="40"/>
      <c r="AU128" s="171"/>
      <c r="AV128" s="30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</row>
    <row r="129" spans="1:253" ht="13" customHeight="1">
      <c r="A129" s="24"/>
      <c r="B129" s="34" t="s">
        <v>13</v>
      </c>
      <c r="C129" s="40">
        <f t="shared" ref="C129:AN129" si="47">SUM(C9,C12:C25,C27:C28,C31,C32,C33:C35,C36,C37,C51,C59,C63:C64,C66,C68,C74:C75,C77,C81:C95,C97:C101,C103,C105,C106,C107)</f>
        <v>2961269.974615443</v>
      </c>
      <c r="D129" s="40">
        <f t="shared" si="47"/>
        <v>4776066.6023111613</v>
      </c>
      <c r="E129" s="40">
        <f t="shared" si="47"/>
        <v>0</v>
      </c>
      <c r="F129" s="40">
        <f t="shared" si="47"/>
        <v>0</v>
      </c>
      <c r="G129" s="40">
        <f t="shared" si="47"/>
        <v>0</v>
      </c>
      <c r="H129" s="40">
        <f t="shared" si="47"/>
        <v>4286649.1789942002</v>
      </c>
      <c r="I129" s="40">
        <f t="shared" si="47"/>
        <v>2589267.1129255639</v>
      </c>
      <c r="J129" s="40">
        <f t="shared" si="47"/>
        <v>1242118.111282612</v>
      </c>
      <c r="K129" s="40">
        <f t="shared" si="47"/>
        <v>1310882.8134323605</v>
      </c>
      <c r="L129" s="40">
        <f t="shared" si="47"/>
        <v>178756.74728623091</v>
      </c>
      <c r="M129" s="40">
        <f t="shared" si="47"/>
        <v>55084.45553773256</v>
      </c>
      <c r="N129" s="40">
        <f t="shared" si="47"/>
        <v>877291.05082156148</v>
      </c>
      <c r="O129" s="40">
        <f t="shared" si="47"/>
        <v>607355.34287646529</v>
      </c>
      <c r="P129" s="40">
        <f t="shared" si="47"/>
        <v>764817.83917777136</v>
      </c>
      <c r="Q129" s="40">
        <f t="shared" si="47"/>
        <v>1164100.9045782678</v>
      </c>
      <c r="R129" s="40">
        <f t="shared" si="47"/>
        <v>3175078.491616508</v>
      </c>
      <c r="S129" s="40">
        <f t="shared" si="47"/>
        <v>444659.20723842067</v>
      </c>
      <c r="T129" s="40">
        <f t="shared" si="47"/>
        <v>291961.43024619808</v>
      </c>
      <c r="U129" s="40">
        <f t="shared" si="47"/>
        <v>442464.26797703339</v>
      </c>
      <c r="V129" s="40">
        <f t="shared" si="47"/>
        <v>25167823.530917529</v>
      </c>
      <c r="W129" s="40">
        <f t="shared" si="47"/>
        <v>226676.49981653076</v>
      </c>
      <c r="X129" s="40">
        <f t="shared" si="47"/>
        <v>165970.0495371233</v>
      </c>
      <c r="Y129" s="40">
        <f t="shared" si="47"/>
        <v>529195.26823052834</v>
      </c>
      <c r="Z129" s="40">
        <f t="shared" si="47"/>
        <v>217054.62657010613</v>
      </c>
      <c r="AA129" s="40">
        <f t="shared" si="47"/>
        <v>84503.154278820133</v>
      </c>
      <c r="AB129" s="40">
        <f t="shared" si="47"/>
        <v>183874.0164333203</v>
      </c>
      <c r="AC129" s="40">
        <f t="shared" si="47"/>
        <v>26575097.145783961</v>
      </c>
      <c r="AD129" s="40">
        <f t="shared" si="47"/>
        <v>520628.13579675509</v>
      </c>
      <c r="AE129" s="40">
        <f t="shared" si="47"/>
        <v>29111.227586438799</v>
      </c>
      <c r="AF129" s="40">
        <f t="shared" si="47"/>
        <v>155766.34595645941</v>
      </c>
      <c r="AG129" s="40">
        <f t="shared" si="47"/>
        <v>8709.7665985855729</v>
      </c>
      <c r="AH129" s="40">
        <f t="shared" si="47"/>
        <v>64882.741922822963</v>
      </c>
      <c r="AI129" s="40">
        <f t="shared" si="47"/>
        <v>3627.9565714535952</v>
      </c>
      <c r="AJ129" s="40">
        <f t="shared" si="47"/>
        <v>481732.40193222294</v>
      </c>
      <c r="AK129" s="40">
        <f t="shared" si="47"/>
        <v>26936.349813190707</v>
      </c>
      <c r="AL129" s="40">
        <f t="shared" si="47"/>
        <v>155559.16191928089</v>
      </c>
      <c r="AM129" s="40">
        <f t="shared" si="47"/>
        <v>8698.1817816233524</v>
      </c>
      <c r="AN129" s="40">
        <f t="shared" si="47"/>
        <v>28030749.415662784</v>
      </c>
      <c r="AO129" s="40">
        <f>SUM(AO9,AO12:AO25,AO27:AO28,AO31,AO32,AO33:AO35,AO36,AO37,AO51,AO59,AO63:AO64,AO66,AO68,AO74:AO75,AO77,AO81:AO95,AO97:AO101,AO103,AO105,AO106,AO107)</f>
        <v>-244364.27915324474</v>
      </c>
      <c r="AP129" s="40"/>
      <c r="AQ129" s="40">
        <f>SUM(AQ9,AQ12:AQ25,AQ27:AQ28,AQ31,AQ32,AQ33:AQ35,AQ36,AQ37,AQ51,AQ59,AQ63:AQ64,AQ66,AQ68,AQ74:AQ75,AQ77,AQ81:AQ95,AQ97:AQ101,AQ103,AQ105,AQ106,AQ107)</f>
        <v>27786385.136509541</v>
      </c>
      <c r="AR129" s="40"/>
      <c r="AS129" s="40">
        <f>SUM(AS9,AS12:AS25,AS27:AS28,AS31,AS32,AS33:AS35,AS36,AS37,AS51,AS59,AS63:AS64,AS66,AS68,AS74:AS75,AS77,AS81:AS95,AS97:AS101,AS103,AS105,AS106,AS107)</f>
        <v>27786385.136509541</v>
      </c>
      <c r="AT129" s="40"/>
      <c r="AU129" s="171"/>
      <c r="AV129" s="30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</row>
    <row r="130" spans="1:253" s="183" customFormat="1" ht="13" customHeight="1">
      <c r="A130" s="168"/>
      <c r="B130" s="168" t="s">
        <v>14</v>
      </c>
      <c r="C130" s="168">
        <f t="shared" ref="C130:AO130" si="48">+C129/C128</f>
        <v>0.59147529272722565</v>
      </c>
      <c r="D130" s="168">
        <f>+D129/D128</f>
        <v>0.5914752927272251</v>
      </c>
      <c r="E130" s="168" t="e">
        <f t="shared" si="48"/>
        <v>#DIV/0!</v>
      </c>
      <c r="F130" s="168" t="e">
        <f t="shared" si="48"/>
        <v>#DIV/0!</v>
      </c>
      <c r="G130" s="168" t="e">
        <f t="shared" si="48"/>
        <v>#DIV/0!</v>
      </c>
      <c r="H130" s="168">
        <f t="shared" si="48"/>
        <v>0.5914752927272251</v>
      </c>
      <c r="I130" s="168">
        <f t="shared" si="48"/>
        <v>0.59147529272722532</v>
      </c>
      <c r="J130" s="168">
        <f t="shared" si="48"/>
        <v>0.59147529272722532</v>
      </c>
      <c r="K130" s="168">
        <f t="shared" si="48"/>
        <v>0.59147529272722521</v>
      </c>
      <c r="L130" s="168">
        <f t="shared" si="48"/>
        <v>0.59147529272722521</v>
      </c>
      <c r="M130" s="168">
        <f>+M129/M128</f>
        <v>0.59147529272722499</v>
      </c>
      <c r="N130" s="168">
        <f t="shared" si="48"/>
        <v>0.59147529272722554</v>
      </c>
      <c r="O130" s="168">
        <f t="shared" si="48"/>
        <v>0.59147529272722543</v>
      </c>
      <c r="P130" s="168">
        <f>+P129/P128</f>
        <v>0.5914752927272251</v>
      </c>
      <c r="Q130" s="168">
        <f t="shared" si="48"/>
        <v>0.59147529272722521</v>
      </c>
      <c r="R130" s="168">
        <f t="shared" si="48"/>
        <v>0.59147529272722543</v>
      </c>
      <c r="S130" s="168">
        <f t="shared" si="48"/>
        <v>0.5914752927272251</v>
      </c>
      <c r="T130" s="168">
        <f t="shared" si="48"/>
        <v>0.59147529272722521</v>
      </c>
      <c r="U130" s="168">
        <f t="shared" si="48"/>
        <v>0.59147529272722488</v>
      </c>
      <c r="V130" s="168">
        <f t="shared" si="48"/>
        <v>0.5914752927272251</v>
      </c>
      <c r="W130" s="168">
        <f t="shared" si="48"/>
        <v>0.59147529272722554</v>
      </c>
      <c r="X130" s="168">
        <f t="shared" si="48"/>
        <v>0.59147529272722521</v>
      </c>
      <c r="Y130" s="168">
        <f t="shared" si="48"/>
        <v>0.5914752927272251</v>
      </c>
      <c r="Z130" s="168">
        <f t="shared" si="48"/>
        <v>0.59147529272722488</v>
      </c>
      <c r="AA130" s="168">
        <f t="shared" si="48"/>
        <v>0.59147529272722521</v>
      </c>
      <c r="AB130" s="168">
        <f t="shared" si="48"/>
        <v>0.59147529272722554</v>
      </c>
      <c r="AC130" s="168">
        <f t="shared" si="48"/>
        <v>0.5914752927272251</v>
      </c>
      <c r="AD130" s="168">
        <f t="shared" si="48"/>
        <v>0.59147529272722554</v>
      </c>
      <c r="AE130" s="168">
        <f t="shared" si="48"/>
        <v>0.5914752927272251</v>
      </c>
      <c r="AF130" s="168">
        <f t="shared" si="48"/>
        <v>0.59147529272722554</v>
      </c>
      <c r="AG130" s="168">
        <f t="shared" si="48"/>
        <v>0.59147529272722543</v>
      </c>
      <c r="AH130" s="168">
        <f t="shared" si="48"/>
        <v>0.59147529272722532</v>
      </c>
      <c r="AI130" s="168">
        <f t="shared" si="48"/>
        <v>0.59147529272722521</v>
      </c>
      <c r="AJ130" s="168">
        <f>+AJ129/AJ128</f>
        <v>0.59147529272722521</v>
      </c>
      <c r="AK130" s="168">
        <f>+AK129/AK128</f>
        <v>0.5914752927272251</v>
      </c>
      <c r="AL130" s="168">
        <f t="shared" si="48"/>
        <v>0.59147529272722521</v>
      </c>
      <c r="AM130" s="168">
        <f t="shared" si="48"/>
        <v>0.59147529272722477</v>
      </c>
      <c r="AN130" s="168">
        <f t="shared" si="48"/>
        <v>0.59147529272722521</v>
      </c>
      <c r="AO130" s="168">
        <f t="shared" si="48"/>
        <v>0.28105559599764574</v>
      </c>
      <c r="AP130" s="168"/>
      <c r="AQ130" s="168">
        <f>+AQ129/AQ128</f>
        <v>0.59727676639606819</v>
      </c>
      <c r="AR130" s="168"/>
      <c r="AS130" s="168"/>
      <c r="AT130" s="168"/>
      <c r="AU130" s="181"/>
      <c r="AV130" s="182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168"/>
      <c r="BN130" s="168"/>
      <c r="BO130" s="168"/>
      <c r="BP130" s="168"/>
      <c r="BQ130" s="168"/>
      <c r="BR130" s="168"/>
      <c r="BS130" s="168"/>
      <c r="BT130" s="168"/>
      <c r="BU130" s="168"/>
      <c r="BV130" s="168"/>
      <c r="BW130" s="168"/>
      <c r="BX130" s="168"/>
      <c r="BY130" s="168"/>
      <c r="BZ130" s="168"/>
      <c r="CA130" s="168"/>
      <c r="CB130" s="168"/>
      <c r="CC130" s="168"/>
      <c r="CD130" s="168"/>
      <c r="CE130" s="168"/>
      <c r="CF130" s="168"/>
      <c r="CG130" s="168"/>
      <c r="CH130" s="168"/>
      <c r="CI130" s="168"/>
      <c r="CJ130" s="168"/>
      <c r="CK130" s="168"/>
      <c r="CL130" s="168"/>
      <c r="CM130" s="168"/>
      <c r="CN130" s="168"/>
      <c r="CO130" s="168"/>
      <c r="CP130" s="168"/>
      <c r="CQ130" s="168"/>
      <c r="CR130" s="168"/>
      <c r="CS130" s="168"/>
      <c r="CT130" s="168"/>
      <c r="CU130" s="168"/>
      <c r="CV130" s="168"/>
      <c r="CW130" s="168"/>
      <c r="CX130" s="168"/>
      <c r="CY130" s="168"/>
      <c r="CZ130" s="168"/>
      <c r="DA130" s="168"/>
      <c r="DB130" s="168"/>
      <c r="DC130" s="168"/>
      <c r="DD130" s="168"/>
      <c r="DE130" s="168"/>
      <c r="DF130" s="168"/>
      <c r="DG130" s="168"/>
      <c r="DH130" s="168"/>
      <c r="DI130" s="168"/>
      <c r="DJ130" s="168"/>
      <c r="DK130" s="168"/>
      <c r="DL130" s="168"/>
      <c r="ID130" s="184"/>
      <c r="IE130" s="184"/>
      <c r="IF130" s="184"/>
      <c r="IG130" s="184"/>
      <c r="IH130" s="184"/>
      <c r="II130" s="184"/>
      <c r="IJ130" s="184"/>
      <c r="IK130" s="184"/>
      <c r="IL130" s="184"/>
      <c r="IM130" s="184"/>
      <c r="IN130" s="184"/>
      <c r="IO130" s="184"/>
      <c r="IP130" s="184"/>
      <c r="IQ130" s="184"/>
      <c r="IR130" s="184"/>
      <c r="IS130" s="184"/>
    </row>
    <row r="131" spans="1:253" ht="13" customHeight="1">
      <c r="A131" s="24"/>
      <c r="B131" s="24"/>
      <c r="C131" s="177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30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</row>
    <row r="132" spans="1:253" ht="13" customHeight="1">
      <c r="A132" s="24"/>
      <c r="B132" s="24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30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</row>
    <row r="133" spans="1:253" ht="13" customHeight="1">
      <c r="A133" s="24"/>
      <c r="B133" s="34" t="s">
        <v>134</v>
      </c>
      <c r="C133" s="40">
        <f t="shared" ref="C133:V133" si="49">C117*$H$130</f>
        <v>26670.971847566183</v>
      </c>
      <c r="D133" s="40">
        <f t="shared" si="49"/>
        <v>43016.117741471448</v>
      </c>
      <c r="E133" s="40">
        <f t="shared" si="49"/>
        <v>0</v>
      </c>
      <c r="F133" s="40">
        <f t="shared" si="49"/>
        <v>0</v>
      </c>
      <c r="G133" s="40">
        <f t="shared" si="49"/>
        <v>0</v>
      </c>
      <c r="H133" s="40">
        <f t="shared" si="49"/>
        <v>38608.131157711847</v>
      </c>
      <c r="I133" s="40">
        <f t="shared" si="49"/>
        <v>23320.491163131705</v>
      </c>
      <c r="J133" s="40">
        <f t="shared" si="49"/>
        <v>11187.260013897507</v>
      </c>
      <c r="K133" s="40">
        <f t="shared" si="49"/>
        <v>11806.596126735507</v>
      </c>
      <c r="L133" s="40">
        <f t="shared" si="49"/>
        <v>1609.9903809184782</v>
      </c>
      <c r="M133" s="40">
        <f t="shared" si="49"/>
        <v>496.12361435440039</v>
      </c>
      <c r="N133" s="40">
        <f t="shared" si="49"/>
        <v>7901.4088952231259</v>
      </c>
      <c r="O133" s="40">
        <f t="shared" si="49"/>
        <v>5470.2061582313954</v>
      </c>
      <c r="P133" s="40">
        <f t="shared" si="49"/>
        <v>6888.4077548099049</v>
      </c>
      <c r="Q133" s="40">
        <f t="shared" si="49"/>
        <v>10484.590300742588</v>
      </c>
      <c r="R133" s="40">
        <f t="shared" si="49"/>
        <v>28596.659470305087</v>
      </c>
      <c r="S133" s="40">
        <f t="shared" si="49"/>
        <v>4004.867269677809</v>
      </c>
      <c r="T133" s="40">
        <f t="shared" si="49"/>
        <v>2629.5795903184176</v>
      </c>
      <c r="U133" s="40">
        <f t="shared" si="49"/>
        <v>3985.098331435297</v>
      </c>
      <c r="V133" s="40">
        <f t="shared" si="49"/>
        <v>226676.4998165307</v>
      </c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173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32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</row>
    <row r="134" spans="1:253" ht="13" customHeight="1">
      <c r="A134" s="24"/>
      <c r="B134" s="34" t="s">
        <v>144</v>
      </c>
      <c r="C134" s="40">
        <f t="shared" ref="C134:V134" si="50">C118*$Q$130</f>
        <v>19528.193360699523</v>
      </c>
      <c r="D134" s="40">
        <f t="shared" si="50"/>
        <v>31495.930095202999</v>
      </c>
      <c r="E134" s="40">
        <f t="shared" si="50"/>
        <v>0</v>
      </c>
      <c r="F134" s="40">
        <f t="shared" si="50"/>
        <v>0</v>
      </c>
      <c r="G134" s="40">
        <f t="shared" si="50"/>
        <v>0</v>
      </c>
      <c r="H134" s="40">
        <f t="shared" si="50"/>
        <v>28268.450615602334</v>
      </c>
      <c r="I134" s="40">
        <f t="shared" si="50"/>
        <v>17075.008113799871</v>
      </c>
      <c r="J134" s="40">
        <f t="shared" si="50"/>
        <v>8191.1892066185956</v>
      </c>
      <c r="K134" s="40">
        <f t="shared" si="50"/>
        <v>8644.6603225527597</v>
      </c>
      <c r="L134" s="40">
        <f t="shared" si="50"/>
        <v>1178.8173167117397</v>
      </c>
      <c r="M134" s="40">
        <f t="shared" si="50"/>
        <v>363.25627454801389</v>
      </c>
      <c r="N134" s="40">
        <f t="shared" si="50"/>
        <v>5785.3250196411127</v>
      </c>
      <c r="O134" s="40">
        <f t="shared" si="50"/>
        <v>4005.2250135976938</v>
      </c>
      <c r="P134" s="40">
        <f t="shared" si="50"/>
        <v>5043.6166837896881</v>
      </c>
      <c r="Q134" s="40">
        <f t="shared" si="50"/>
        <v>7676.7021415944273</v>
      </c>
      <c r="R134" s="40">
        <f t="shared" si="50"/>
        <v>20938.160738869236</v>
      </c>
      <c r="S134" s="40">
        <f t="shared" si="50"/>
        <v>2932.3199346911592</v>
      </c>
      <c r="T134" s="40">
        <f t="shared" si="50"/>
        <v>1925.3493644916819</v>
      </c>
      <c r="U134" s="40">
        <f t="shared" si="50"/>
        <v>2917.8453347125037</v>
      </c>
      <c r="V134" s="40">
        <f t="shared" si="50"/>
        <v>165970.04953712333</v>
      </c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173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32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</row>
    <row r="135" spans="1:253" ht="13" customHeight="1">
      <c r="A135" s="24"/>
      <c r="B135" s="34" t="s">
        <v>15</v>
      </c>
      <c r="C135" s="40">
        <f t="shared" ref="C135:V135" si="51">C119*$Y$130</f>
        <v>62265.616913378668</v>
      </c>
      <c r="D135" s="40">
        <f t="shared" si="51"/>
        <v>100424.72856629964</v>
      </c>
      <c r="E135" s="40">
        <f t="shared" si="51"/>
        <v>0</v>
      </c>
      <c r="F135" s="40">
        <f t="shared" si="51"/>
        <v>0</v>
      </c>
      <c r="G135" s="40">
        <f t="shared" si="51"/>
        <v>0</v>
      </c>
      <c r="H135" s="40">
        <f t="shared" si="51"/>
        <v>90133.914809967231</v>
      </c>
      <c r="I135" s="40">
        <f t="shared" si="51"/>
        <v>54443.639222989077</v>
      </c>
      <c r="J135" s="40">
        <f t="shared" si="51"/>
        <v>26117.59520113876</v>
      </c>
      <c r="K135" s="40">
        <f t="shared" si="51"/>
        <v>27563.48721298575</v>
      </c>
      <c r="L135" s="40">
        <f t="shared" si="51"/>
        <v>3758.6573472253303</v>
      </c>
      <c r="M135" s="40">
        <f t="shared" si="51"/>
        <v>1158.2421176711212</v>
      </c>
      <c r="N135" s="40">
        <f t="shared" si="51"/>
        <v>18446.500643388485</v>
      </c>
      <c r="O135" s="40">
        <f t="shared" si="51"/>
        <v>12770.654291576646</v>
      </c>
      <c r="P135" s="40">
        <f t="shared" si="51"/>
        <v>16081.564663466885</v>
      </c>
      <c r="Q135" s="40">
        <f t="shared" si="51"/>
        <v>24477.153921908419</v>
      </c>
      <c r="R135" s="40">
        <f t="shared" si="51"/>
        <v>66761.295904665109</v>
      </c>
      <c r="S135" s="40">
        <f t="shared" si="51"/>
        <v>9349.6979648097331</v>
      </c>
      <c r="T135" s="40">
        <f t="shared" si="51"/>
        <v>6138.9737258092064</v>
      </c>
      <c r="U135" s="40">
        <f t="shared" si="51"/>
        <v>9303.5457232480967</v>
      </c>
      <c r="V135" s="40">
        <f t="shared" si="51"/>
        <v>529195.26823052811</v>
      </c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173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36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</row>
    <row r="136" spans="1:253" ht="13" customHeight="1">
      <c r="A136" s="24"/>
      <c r="B136" s="34" t="s">
        <v>153</v>
      </c>
      <c r="C136" s="40">
        <f t="shared" ref="C136:V136" si="52">C120*$C$130</f>
        <v>25538.85312028768</v>
      </c>
      <c r="D136" s="40">
        <f>D120*$C$130</f>
        <v>41190.1868099602</v>
      </c>
      <c r="E136" s="40">
        <f t="shared" si="52"/>
        <v>0</v>
      </c>
      <c r="F136" s="40">
        <f t="shared" si="52"/>
        <v>0</v>
      </c>
      <c r="G136" s="40">
        <f t="shared" si="52"/>
        <v>0</v>
      </c>
      <c r="H136" s="40">
        <f t="shared" si="52"/>
        <v>36969.308674651154</v>
      </c>
      <c r="I136" s="40">
        <f t="shared" si="52"/>
        <v>22330.592297578241</v>
      </c>
      <c r="J136" s="40">
        <f t="shared" si="52"/>
        <v>10712.387682995808</v>
      </c>
      <c r="K136" s="40">
        <f t="shared" si="52"/>
        <v>11305.434464652659</v>
      </c>
      <c r="L136" s="40">
        <f t="shared" si="52"/>
        <v>1541.6501542708172</v>
      </c>
      <c r="M136" s="40">
        <f>M120*$C$130</f>
        <v>475.06435794387829</v>
      </c>
      <c r="N136" s="40">
        <f t="shared" si="52"/>
        <v>7566.0130561328706</v>
      </c>
      <c r="O136" s="40">
        <f t="shared" si="52"/>
        <v>5238.0090388612189</v>
      </c>
      <c r="P136" s="40">
        <f>P120*$C$130</f>
        <v>6596.0113822696812</v>
      </c>
      <c r="Q136" s="40">
        <f t="shared" si="52"/>
        <v>10039.544612300739</v>
      </c>
      <c r="R136" s="40">
        <f t="shared" si="52"/>
        <v>27382.799926342017</v>
      </c>
      <c r="S136" s="40">
        <f t="shared" si="52"/>
        <v>3834.8702683619113</v>
      </c>
      <c r="T136" s="40">
        <f t="shared" si="52"/>
        <v>2517.9602494078808</v>
      </c>
      <c r="U136" s="40">
        <f t="shared" si="52"/>
        <v>3815.9404740895056</v>
      </c>
      <c r="V136" s="40">
        <f t="shared" si="52"/>
        <v>217054.62657010628</v>
      </c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173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36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</row>
    <row r="137" spans="1:253" ht="13" customHeight="1">
      <c r="A137" s="24"/>
      <c r="B137" s="34" t="s">
        <v>138</v>
      </c>
      <c r="C137" s="40">
        <f t="shared" ref="C137:V137" si="53">C121*$I$130</f>
        <v>9942.7212376454481</v>
      </c>
      <c r="D137" s="40">
        <f t="shared" si="53"/>
        <v>16036.058598600117</v>
      </c>
      <c r="E137" s="40">
        <f t="shared" si="53"/>
        <v>0</v>
      </c>
      <c r="F137" s="40">
        <f t="shared" si="53"/>
        <v>0</v>
      </c>
      <c r="G137" s="40">
        <f t="shared" si="53"/>
        <v>0</v>
      </c>
      <c r="H137" s="40">
        <f t="shared" si="53"/>
        <v>14392.797075469598</v>
      </c>
      <c r="I137" s="40">
        <f t="shared" si="53"/>
        <v>8693.6893070565584</v>
      </c>
      <c r="J137" s="40">
        <f t="shared" si="53"/>
        <v>4170.5194833907308</v>
      </c>
      <c r="K137" s="40">
        <f t="shared" si="53"/>
        <v>4401.4029456638573</v>
      </c>
      <c r="L137" s="40">
        <f t="shared" si="53"/>
        <v>600.19131077234431</v>
      </c>
      <c r="M137" s="40">
        <f t="shared" si="53"/>
        <v>184.95084562841129</v>
      </c>
      <c r="N137" s="40">
        <f t="shared" si="53"/>
        <v>2945.5809289163431</v>
      </c>
      <c r="O137" s="40">
        <f t="shared" si="53"/>
        <v>2039.2483354036224</v>
      </c>
      <c r="P137" s="40">
        <f t="shared" si="53"/>
        <v>2567.9423482860425</v>
      </c>
      <c r="Q137" s="40">
        <f t="shared" si="53"/>
        <v>3908.5699331469068</v>
      </c>
      <c r="R137" s="40">
        <f t="shared" si="53"/>
        <v>10660.601910802256</v>
      </c>
      <c r="S137" s="40">
        <f t="shared" si="53"/>
        <v>1492.9819237093279</v>
      </c>
      <c r="T137" s="40">
        <f t="shared" si="53"/>
        <v>980.28586990255417</v>
      </c>
      <c r="U137" s="40">
        <f t="shared" si="53"/>
        <v>1485.612224426043</v>
      </c>
      <c r="V137" s="40">
        <f t="shared" si="53"/>
        <v>84503.154278820148</v>
      </c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173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83"/>
      <c r="AT137" s="40"/>
      <c r="AU137" s="40"/>
      <c r="AV137" s="36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</row>
    <row r="138" spans="1:253" ht="13" customHeight="1">
      <c r="A138" s="24"/>
      <c r="B138" s="34" t="s">
        <v>154</v>
      </c>
      <c r="C138" s="40">
        <f t="shared" ref="C138:V138" si="54">C122*$AB$130</f>
        <v>21634.791077863516</v>
      </c>
      <c r="D138" s="40">
        <f t="shared" si="54"/>
        <v>34893.543648745501</v>
      </c>
      <c r="E138" s="40">
        <f t="shared" si="54"/>
        <v>0</v>
      </c>
      <c r="F138" s="40">
        <f t="shared" si="54"/>
        <v>0</v>
      </c>
      <c r="G138" s="40">
        <f t="shared" si="54"/>
        <v>0</v>
      </c>
      <c r="H138" s="40">
        <f t="shared" si="54"/>
        <v>31317.900835325985</v>
      </c>
      <c r="I138" s="40">
        <f t="shared" si="54"/>
        <v>18916.969243981908</v>
      </c>
      <c r="J138" s="40">
        <f t="shared" si="54"/>
        <v>9074.8111661516195</v>
      </c>
      <c r="K138" s="40">
        <f t="shared" si="54"/>
        <v>9577.2003361004063</v>
      </c>
      <c r="L138" s="40">
        <f t="shared" si="54"/>
        <v>1305.9818640136916</v>
      </c>
      <c r="M138" s="40">
        <f t="shared" si="54"/>
        <v>402.44243092069604</v>
      </c>
      <c r="N138" s="40">
        <f t="shared" si="54"/>
        <v>6409.4151366488004</v>
      </c>
      <c r="O138" s="40">
        <f t="shared" si="54"/>
        <v>4437.2874022953238</v>
      </c>
      <c r="P138" s="40">
        <f t="shared" si="54"/>
        <v>5587.695247334851</v>
      </c>
      <c r="Q138" s="40">
        <f t="shared" si="54"/>
        <v>8504.8239707942721</v>
      </c>
      <c r="R138" s="40">
        <f t="shared" si="54"/>
        <v>23196.858243518211</v>
      </c>
      <c r="S138" s="40">
        <f t="shared" si="54"/>
        <v>3248.6430254306492</v>
      </c>
      <c r="T138" s="40">
        <f t="shared" si="54"/>
        <v>2133.0458216633883</v>
      </c>
      <c r="U138" s="40">
        <f t="shared" si="54"/>
        <v>3232.6069825315617</v>
      </c>
      <c r="V138" s="40">
        <f t="shared" si="54"/>
        <v>183874.01643332042</v>
      </c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173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83"/>
      <c r="AT138" s="40"/>
      <c r="AU138" s="40"/>
      <c r="AV138" s="36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</row>
    <row r="139" spans="1:253" ht="13" customHeight="1">
      <c r="A139" s="24"/>
      <c r="B139" s="34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173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83"/>
      <c r="AT139" s="40"/>
      <c r="AU139" s="40"/>
      <c r="AV139" s="36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</row>
    <row r="140" spans="1:253" ht="13" customHeight="1">
      <c r="A140" s="24"/>
      <c r="B140" s="34" t="s">
        <v>16</v>
      </c>
      <c r="C140" s="44">
        <f t="shared" ref="C140:V140" si="55">SUM(C133:C138)</f>
        <v>165581.14755744103</v>
      </c>
      <c r="D140" s="44">
        <f>SUM(D133:D138)</f>
        <v>267056.56546027993</v>
      </c>
      <c r="E140" s="44">
        <f t="shared" si="55"/>
        <v>0</v>
      </c>
      <c r="F140" s="44">
        <f t="shared" si="55"/>
        <v>0</v>
      </c>
      <c r="G140" s="44">
        <f t="shared" si="55"/>
        <v>0</v>
      </c>
      <c r="H140" s="44">
        <f t="shared" si="55"/>
        <v>239690.50316872814</v>
      </c>
      <c r="I140" s="44">
        <f t="shared" si="55"/>
        <v>144780.38934853737</v>
      </c>
      <c r="J140" s="44">
        <f t="shared" si="55"/>
        <v>69453.762754193027</v>
      </c>
      <c r="K140" s="44">
        <f t="shared" si="55"/>
        <v>73298.781408690949</v>
      </c>
      <c r="L140" s="44">
        <f t="shared" si="55"/>
        <v>9995.2883739124009</v>
      </c>
      <c r="M140" s="44">
        <f>SUM(M133:M138)</f>
        <v>3080.0796410665207</v>
      </c>
      <c r="N140" s="44">
        <f t="shared" si="55"/>
        <v>49054.243679950741</v>
      </c>
      <c r="O140" s="44">
        <f t="shared" si="55"/>
        <v>33960.630239965896</v>
      </c>
      <c r="P140" s="44">
        <f>SUM(P133:P138)</f>
        <v>42765.238079957053</v>
      </c>
      <c r="Q140" s="44">
        <f t="shared" si="55"/>
        <v>65091.384880487356</v>
      </c>
      <c r="R140" s="44">
        <f t="shared" si="55"/>
        <v>177536.37619450191</v>
      </c>
      <c r="S140" s="44">
        <f t="shared" si="55"/>
        <v>24863.380386680594</v>
      </c>
      <c r="T140" s="44">
        <f t="shared" si="55"/>
        <v>16325.194621593131</v>
      </c>
      <c r="U140" s="44">
        <f t="shared" si="55"/>
        <v>24740.649070443007</v>
      </c>
      <c r="V140" s="44">
        <f t="shared" si="55"/>
        <v>1407273.614866429</v>
      </c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173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83"/>
      <c r="AT140" s="40"/>
      <c r="AU140" s="40"/>
      <c r="AV140" s="36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</row>
    <row r="141" spans="1:253" ht="5.15" customHeight="1">
      <c r="A141" s="24"/>
      <c r="B141" s="3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173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83"/>
      <c r="AT141" s="40"/>
      <c r="AU141" s="40"/>
      <c r="AV141" s="36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</row>
    <row r="142" spans="1:253" ht="13" customHeight="1" thickBot="1">
      <c r="A142" s="24"/>
      <c r="B142" s="34" t="s">
        <v>17</v>
      </c>
      <c r="C142" s="178">
        <f t="shared" ref="C142:V142" si="56">+C129+C140</f>
        <v>3126851.1221728842</v>
      </c>
      <c r="D142" s="178">
        <f>+D129+D140</f>
        <v>5043123.1677714409</v>
      </c>
      <c r="E142" s="178">
        <f t="shared" si="56"/>
        <v>0</v>
      </c>
      <c r="F142" s="178">
        <f t="shared" si="56"/>
        <v>0</v>
      </c>
      <c r="G142" s="178">
        <f t="shared" si="56"/>
        <v>0</v>
      </c>
      <c r="H142" s="178">
        <f t="shared" si="56"/>
        <v>4526339.6821629284</v>
      </c>
      <c r="I142" s="178">
        <f t="shared" si="56"/>
        <v>2734047.5022741011</v>
      </c>
      <c r="J142" s="178">
        <f t="shared" si="56"/>
        <v>1311571.874036805</v>
      </c>
      <c r="K142" s="178">
        <f t="shared" si="56"/>
        <v>1384181.5948410514</v>
      </c>
      <c r="L142" s="178">
        <f t="shared" si="56"/>
        <v>188752.0356601433</v>
      </c>
      <c r="M142" s="178">
        <f>+M129+M140</f>
        <v>58164.53517879908</v>
      </c>
      <c r="N142" s="178">
        <f t="shared" si="56"/>
        <v>926345.29450151219</v>
      </c>
      <c r="O142" s="178">
        <f t="shared" si="56"/>
        <v>641315.97311643115</v>
      </c>
      <c r="P142" s="178">
        <f>+P129+P140</f>
        <v>807583.07725772844</v>
      </c>
      <c r="Q142" s="178">
        <f t="shared" si="56"/>
        <v>1229192.2894587552</v>
      </c>
      <c r="R142" s="178">
        <f t="shared" si="56"/>
        <v>3352614.8678110098</v>
      </c>
      <c r="S142" s="178">
        <f t="shared" si="56"/>
        <v>469522.58762510127</v>
      </c>
      <c r="T142" s="178">
        <f t="shared" si="56"/>
        <v>308286.62486779119</v>
      </c>
      <c r="U142" s="178">
        <f t="shared" si="56"/>
        <v>467204.9170474764</v>
      </c>
      <c r="V142" s="40">
        <f t="shared" si="56"/>
        <v>26575097.145783957</v>
      </c>
      <c r="W142" s="40"/>
      <c r="X142" s="40"/>
      <c r="Y142" s="40"/>
      <c r="Z142" s="40"/>
      <c r="AA142" s="40"/>
      <c r="AB142" s="40"/>
      <c r="AC142" s="40"/>
      <c r="AD142" s="178">
        <f>AD129+AE129</f>
        <v>549739.36338319385</v>
      </c>
      <c r="AE142" s="40"/>
      <c r="AF142" s="178">
        <f>AF129+AG129</f>
        <v>164476.11255504499</v>
      </c>
      <c r="AG142" s="40"/>
      <c r="AH142" s="178">
        <f>AH129+AI129</f>
        <v>68510.698494276556</v>
      </c>
      <c r="AI142" s="40"/>
      <c r="AJ142" s="178">
        <f>AJ129+AK129</f>
        <v>508668.75174541364</v>
      </c>
      <c r="AK142" s="40"/>
      <c r="AL142" s="40">
        <f>AL129+AM129</f>
        <v>164257.34370090422</v>
      </c>
      <c r="AM142" s="40"/>
      <c r="AN142" s="40">
        <f>SUM(V142:AM142)</f>
        <v>28030749.415662792</v>
      </c>
      <c r="AO142" s="40"/>
      <c r="AP142" s="40"/>
      <c r="AQ142" s="40"/>
      <c r="AR142" s="40"/>
      <c r="AS142" s="83"/>
      <c r="AT142" s="40"/>
      <c r="AU142" s="40"/>
      <c r="AV142" s="32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</row>
    <row r="143" spans="1:253" ht="14" thickTop="1">
      <c r="A143" s="24"/>
      <c r="B143" s="24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0"/>
      <c r="X143" s="40"/>
      <c r="Y143" s="40"/>
      <c r="Z143" s="40"/>
      <c r="AA143" s="40"/>
      <c r="AB143" s="40"/>
      <c r="AC143" s="40"/>
      <c r="AD143" s="45"/>
      <c r="AE143" s="40"/>
      <c r="AF143" s="45"/>
      <c r="AG143" s="40"/>
      <c r="AH143" s="179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83"/>
      <c r="AT143" s="40"/>
      <c r="AU143" s="40"/>
      <c r="AV143" s="36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</row>
    <row r="144" spans="1:253" ht="13.5">
      <c r="A144" s="24"/>
      <c r="B144" s="24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173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83"/>
      <c r="AT144" s="40"/>
      <c r="AU144" s="40"/>
      <c r="AV144" s="36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</row>
    <row r="145" spans="1:253" ht="13.5">
      <c r="A145" s="24"/>
      <c r="B145" s="24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173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83"/>
      <c r="AT145" s="40"/>
      <c r="AU145" s="40"/>
      <c r="AV145" s="36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</row>
    <row r="146" spans="1:253" ht="13.5">
      <c r="A146" s="24"/>
      <c r="B146" s="24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173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83"/>
      <c r="AT146" s="40"/>
      <c r="AU146" s="40"/>
      <c r="AV146" s="36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</row>
    <row r="147" spans="1:253" ht="13.5">
      <c r="A147" s="24"/>
      <c r="B147" s="24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173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83"/>
      <c r="AT147" s="40"/>
      <c r="AU147" s="40"/>
      <c r="AV147" s="36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</row>
    <row r="148" spans="1:253" ht="13.5">
      <c r="A148" s="24"/>
      <c r="B148" s="24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173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83"/>
      <c r="AT148" s="40"/>
      <c r="AU148" s="40"/>
      <c r="AV148" s="36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</row>
    <row r="149" spans="1:253">
      <c r="A149" s="24"/>
      <c r="B149" s="24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83"/>
      <c r="AT149" s="40"/>
      <c r="AV149" s="36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</row>
    <row r="150" spans="1:253" ht="13.5">
      <c r="A150" s="24"/>
      <c r="B150" s="24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173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83"/>
      <c r="AT150" s="40"/>
      <c r="AV150" s="36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</row>
    <row r="151" spans="1:253" ht="13.5">
      <c r="A151" s="24"/>
      <c r="B151" s="24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173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83"/>
      <c r="AT151" s="40"/>
      <c r="AV151" s="36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</row>
    <row r="152" spans="1:253" ht="13.5">
      <c r="A152" s="24"/>
      <c r="B152" s="24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173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83"/>
      <c r="AT152" s="40"/>
      <c r="AV152" s="36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</row>
    <row r="153" spans="1:253" ht="13.5">
      <c r="A153" s="24"/>
      <c r="B153" s="24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173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83"/>
      <c r="AT153" s="40"/>
      <c r="AV153" s="36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</row>
    <row r="154" spans="1:253" ht="13.5">
      <c r="A154" s="24"/>
      <c r="B154" s="24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173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83"/>
      <c r="AT154" s="40"/>
      <c r="AV154" s="36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</row>
    <row r="155" spans="1:253" ht="13.5">
      <c r="A155" s="24"/>
      <c r="B155" s="24"/>
      <c r="C155" s="40"/>
      <c r="D155" s="40"/>
      <c r="E155" s="40"/>
      <c r="F155" s="40"/>
      <c r="G155" s="40"/>
      <c r="J155" s="40"/>
      <c r="K155" s="83"/>
      <c r="L155" s="83"/>
      <c r="M155" s="83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173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83"/>
      <c r="AT155" s="40"/>
      <c r="AV155" s="36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</row>
    <row r="156" spans="1:253" ht="13.5">
      <c r="A156" s="24"/>
      <c r="B156" s="24"/>
      <c r="C156" s="40"/>
      <c r="D156" s="40"/>
      <c r="E156" s="40"/>
      <c r="F156" s="40"/>
      <c r="G156" s="40"/>
      <c r="J156" s="40"/>
      <c r="K156" s="83"/>
      <c r="L156" s="83"/>
      <c r="M156" s="83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173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83"/>
      <c r="AT156" s="40"/>
      <c r="AV156" s="36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</row>
    <row r="157" spans="1:253" ht="13.5">
      <c r="A157" s="24"/>
      <c r="B157" s="24"/>
      <c r="C157" s="40"/>
      <c r="D157" s="40"/>
      <c r="E157" s="40"/>
      <c r="F157" s="40"/>
      <c r="G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173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83"/>
      <c r="AT157" s="40"/>
      <c r="AV157" s="36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</row>
    <row r="158" spans="1:253" ht="13.5">
      <c r="A158" s="24"/>
      <c r="B158" s="24"/>
      <c r="C158" s="40"/>
      <c r="D158" s="40"/>
      <c r="E158" s="40"/>
      <c r="F158" s="40"/>
      <c r="G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173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83"/>
      <c r="AT158" s="40"/>
      <c r="AV158" s="36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</row>
    <row r="159" spans="1:253" ht="13.5">
      <c r="A159" s="24"/>
      <c r="B159" s="24"/>
      <c r="C159" s="40"/>
      <c r="D159" s="40"/>
      <c r="E159" s="40"/>
      <c r="F159" s="40"/>
      <c r="G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173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83"/>
      <c r="AT159" s="40"/>
      <c r="AV159" s="36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</row>
    <row r="160" spans="1:253" ht="13.5">
      <c r="A160" s="24"/>
      <c r="B160" s="24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173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83"/>
      <c r="AT160" s="40"/>
      <c r="AV160" s="36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</row>
    <row r="161" spans="1:253" ht="13.5">
      <c r="A161" s="24"/>
      <c r="B161" s="24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173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83"/>
      <c r="AT161" s="40"/>
      <c r="AV161" s="36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</row>
    <row r="162" spans="1:253" ht="15" customHeight="1">
      <c r="A162" s="24"/>
      <c r="B162" s="24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173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83"/>
      <c r="AT162" s="40"/>
      <c r="AV162" s="36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</row>
    <row r="163" spans="1:253" ht="15" customHeight="1">
      <c r="A163" s="24"/>
      <c r="B163" s="24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173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83"/>
      <c r="AT163" s="40"/>
      <c r="AV163" s="36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</row>
    <row r="164" spans="1:253" ht="15" customHeight="1">
      <c r="A164" s="24"/>
      <c r="B164" s="24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173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83"/>
      <c r="AT164" s="40"/>
      <c r="AV164" s="36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</row>
    <row r="165" spans="1:253" ht="15" customHeight="1">
      <c r="A165" s="24"/>
      <c r="B165" s="24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173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83"/>
      <c r="AT165" s="40"/>
      <c r="AV165" s="36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</row>
    <row r="166" spans="1:253" ht="15" customHeight="1">
      <c r="A166" s="24"/>
      <c r="B166" s="24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173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83"/>
      <c r="AT166" s="40"/>
      <c r="AV166" s="36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</row>
    <row r="167" spans="1:253" ht="15" customHeight="1">
      <c r="A167" s="24"/>
      <c r="B167" s="24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173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83"/>
      <c r="AT167" s="40"/>
      <c r="AV167" s="36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</row>
    <row r="168" spans="1:253" ht="15" customHeight="1">
      <c r="A168" s="24"/>
      <c r="B168" s="24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173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83"/>
      <c r="AT168" s="40"/>
      <c r="AV168" s="36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</row>
    <row r="169" spans="1:253" ht="15" customHeight="1">
      <c r="A169" s="24"/>
      <c r="B169" s="24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173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83"/>
      <c r="AT169" s="40"/>
      <c r="AV169" s="36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</row>
    <row r="170" spans="1:253" ht="15" customHeight="1">
      <c r="A170" s="24"/>
      <c r="B170" s="24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173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83"/>
      <c r="AT170" s="40"/>
      <c r="AV170" s="36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</row>
    <row r="171" spans="1:253" ht="15" customHeight="1">
      <c r="A171" s="24"/>
      <c r="B171" s="24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173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83"/>
      <c r="AT171" s="40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</row>
    <row r="172" spans="1:253" ht="15" customHeight="1">
      <c r="A172" s="24"/>
      <c r="B172" s="24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173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83"/>
      <c r="AT172" s="40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</row>
    <row r="173" spans="1:253" ht="15" customHeight="1">
      <c r="A173" s="24"/>
      <c r="B173" s="24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173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83"/>
      <c r="AT173" s="40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</row>
    <row r="174" spans="1:253" ht="15" customHeight="1">
      <c r="A174" s="24"/>
      <c r="B174" s="24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173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83"/>
      <c r="AT174" s="40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</row>
    <row r="175" spans="1:253" ht="15" customHeight="1">
      <c r="A175" s="24"/>
      <c r="B175" s="24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173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83"/>
      <c r="AT175" s="40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</row>
    <row r="176" spans="1:253" ht="15" customHeight="1">
      <c r="A176" s="24"/>
      <c r="B176" s="24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173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83"/>
      <c r="AT176" s="40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</row>
    <row r="177" spans="1:253" ht="15" customHeight="1">
      <c r="A177" s="24"/>
      <c r="B177" s="24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173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83"/>
      <c r="AT177" s="40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</row>
    <row r="178" spans="1:253" ht="15" customHeight="1">
      <c r="A178" s="24"/>
      <c r="B178" s="24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173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83"/>
      <c r="AT178" s="40"/>
      <c r="AU178" s="180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</row>
    <row r="179" spans="1:253" ht="15" customHeight="1">
      <c r="A179" s="24"/>
      <c r="B179" s="24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173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83"/>
      <c r="AT179" s="40"/>
      <c r="AU179" s="180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</row>
    <row r="180" spans="1:253" ht="15" customHeight="1">
      <c r="A180" s="24"/>
      <c r="B180" s="24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173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83"/>
      <c r="AT180" s="40"/>
      <c r="AU180" s="180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</row>
    <row r="181" spans="1:253" ht="15" customHeight="1">
      <c r="A181" s="24"/>
      <c r="B181" s="24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173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83"/>
      <c r="AT181" s="40"/>
      <c r="AU181" s="180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</row>
    <row r="182" spans="1:253" ht="15" customHeight="1">
      <c r="A182" s="24"/>
      <c r="B182" s="24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173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83"/>
      <c r="AT182" s="40"/>
      <c r="AU182" s="180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</row>
    <row r="183" spans="1:253" ht="15" customHeight="1">
      <c r="A183" s="24"/>
      <c r="B183" s="24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173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83"/>
      <c r="AT183" s="40"/>
      <c r="AU183" s="180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</row>
    <row r="184" spans="1:253" ht="15" customHeight="1">
      <c r="A184" s="24"/>
      <c r="B184" s="24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173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83"/>
      <c r="AT184" s="40"/>
      <c r="AU184" s="180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</row>
    <row r="185" spans="1:253" ht="15" customHeight="1">
      <c r="A185" s="24"/>
      <c r="B185" s="24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173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83"/>
      <c r="AT185" s="40"/>
      <c r="AU185" s="180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</row>
    <row r="186" spans="1:253" ht="15" customHeight="1">
      <c r="A186" s="24"/>
      <c r="B186" s="24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173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83"/>
      <c r="AT186" s="40"/>
      <c r="AU186" s="180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</row>
    <row r="187" spans="1:253" ht="15" customHeight="1">
      <c r="A187" s="24"/>
      <c r="B187" s="24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173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83"/>
      <c r="AT187" s="40"/>
      <c r="AU187" s="180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</row>
    <row r="188" spans="1:253" ht="15" customHeight="1">
      <c r="A188" s="24"/>
      <c r="B188" s="24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173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83"/>
      <c r="AT188" s="40"/>
      <c r="AU188" s="180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</row>
    <row r="189" spans="1:253" ht="15" customHeight="1">
      <c r="A189" s="24"/>
      <c r="B189" s="24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173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83"/>
      <c r="AT189" s="40"/>
      <c r="AU189" s="180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</row>
    <row r="190" spans="1:253" ht="15" customHeight="1">
      <c r="A190" s="24"/>
      <c r="B190" s="24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173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83"/>
      <c r="AT190" s="40"/>
      <c r="AU190" s="180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</row>
    <row r="191" spans="1:253" ht="15" customHeight="1">
      <c r="A191" s="24"/>
      <c r="B191" s="24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173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83"/>
      <c r="AT191" s="40"/>
      <c r="AU191" s="180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</row>
    <row r="192" spans="1:253" ht="15" customHeight="1">
      <c r="A192" s="24"/>
      <c r="B192" s="24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173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83"/>
      <c r="AT192" s="40"/>
      <c r="AU192" s="180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</row>
    <row r="193" spans="1:253" ht="15" customHeight="1">
      <c r="A193" s="24"/>
      <c r="B193" s="24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173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83"/>
      <c r="AT193" s="40"/>
      <c r="AU193" s="180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</row>
    <row r="194" spans="1:253" ht="15" customHeight="1">
      <c r="A194" s="24"/>
      <c r="B194" s="24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173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83"/>
      <c r="AT194" s="40"/>
      <c r="AU194" s="180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</row>
    <row r="195" spans="1:253" ht="15" customHeight="1">
      <c r="A195" s="24"/>
      <c r="B195" s="24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173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83"/>
      <c r="AT195" s="40"/>
      <c r="AU195" s="180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</row>
    <row r="196" spans="1:253" ht="15" customHeight="1">
      <c r="A196" s="24"/>
      <c r="B196" s="24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173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83"/>
      <c r="AT196" s="40"/>
      <c r="AU196" s="180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</row>
    <row r="197" spans="1:253" ht="15" customHeight="1">
      <c r="A197" s="24"/>
      <c r="B197" s="24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173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83"/>
      <c r="AT197" s="40"/>
      <c r="AU197" s="180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</row>
    <row r="198" spans="1:253" ht="15" customHeight="1">
      <c r="A198" s="24"/>
      <c r="B198" s="2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173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83"/>
      <c r="AT198" s="40"/>
      <c r="AU198" s="180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</row>
    <row r="199" spans="1:253" ht="15" customHeight="1">
      <c r="A199" s="24"/>
      <c r="B199" s="24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173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83"/>
      <c r="AT199" s="40"/>
      <c r="AU199" s="180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</row>
  </sheetData>
  <phoneticPr fontId="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M364"/>
  <sheetViews>
    <sheetView tabSelected="1" workbookViewId="0">
      <selection activeCell="A286" sqref="A286"/>
    </sheetView>
  </sheetViews>
  <sheetFormatPr defaultColWidth="12.69140625" defaultRowHeight="13"/>
  <cols>
    <col min="1" max="1" width="5.69140625" style="23" customWidth="1"/>
    <col min="2" max="2" width="35.69140625" style="19" customWidth="1"/>
    <col min="3" max="5" width="12.69140625" style="303"/>
    <col min="6" max="6" width="12.69140625" style="302"/>
    <col min="7" max="16384" width="12.69140625" style="19"/>
  </cols>
  <sheetData>
    <row r="1" spans="1:247" s="84" customFormat="1">
      <c r="A1" s="79" t="s">
        <v>229</v>
      </c>
      <c r="B1" s="82"/>
      <c r="C1" s="309">
        <f ca="1">'SCH D'!A3</f>
        <v>41276.678453009263</v>
      </c>
      <c r="D1" s="83"/>
      <c r="E1" s="83"/>
      <c r="F1" s="301"/>
    </row>
    <row r="2" spans="1:247" s="84" customFormat="1">
      <c r="A2" s="79" t="s">
        <v>597</v>
      </c>
      <c r="B2" s="82"/>
      <c r="C2" s="83"/>
      <c r="D2" s="83"/>
      <c r="E2" s="83"/>
      <c r="F2" s="301"/>
    </row>
    <row r="3" spans="1:247" s="84" customFormat="1">
      <c r="A3" s="79" t="s">
        <v>593</v>
      </c>
      <c r="B3" s="82"/>
      <c r="C3" s="305" t="s">
        <v>592</v>
      </c>
      <c r="D3" s="305"/>
      <c r="E3" s="83"/>
      <c r="F3" s="301"/>
    </row>
    <row r="4" spans="1:247" s="84" customFormat="1">
      <c r="A4" s="79" t="s">
        <v>365</v>
      </c>
      <c r="B4" s="82"/>
      <c r="C4" s="305" t="s">
        <v>233</v>
      </c>
      <c r="D4" s="305"/>
      <c r="E4" s="305" t="s">
        <v>623</v>
      </c>
      <c r="F4" s="301"/>
    </row>
    <row r="5" spans="1:247" s="84" customFormat="1">
      <c r="A5" s="36"/>
      <c r="B5" s="31"/>
      <c r="C5" s="305" t="s">
        <v>589</v>
      </c>
      <c r="D5" s="305" t="s">
        <v>554</v>
      </c>
      <c r="E5" s="305" t="s">
        <v>233</v>
      </c>
      <c r="F5" s="301"/>
    </row>
    <row r="6" spans="1:247" s="84" customFormat="1">
      <c r="A6" s="36"/>
      <c r="B6" s="31"/>
      <c r="C6" s="305" t="s">
        <v>590</v>
      </c>
      <c r="D6" s="305" t="s">
        <v>622</v>
      </c>
      <c r="E6" s="305" t="s">
        <v>589</v>
      </c>
      <c r="F6" s="301"/>
    </row>
    <row r="7" spans="1:247" s="84" customFormat="1">
      <c r="A7" s="85" t="s">
        <v>366</v>
      </c>
      <c r="B7" s="86" t="s">
        <v>36</v>
      </c>
      <c r="C7" s="305" t="s">
        <v>591</v>
      </c>
      <c r="D7" s="305" t="s">
        <v>313</v>
      </c>
      <c r="E7" s="305" t="s">
        <v>217</v>
      </c>
      <c r="F7" s="301"/>
    </row>
    <row r="8" spans="1:247">
      <c r="A8" s="20"/>
      <c r="B8" s="21"/>
      <c r="C8" s="306"/>
      <c r="D8" s="306"/>
      <c r="E8" s="306"/>
      <c r="F8" s="3"/>
      <c r="G8" s="84"/>
      <c r="H8" s="84"/>
      <c r="I8" s="8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</row>
    <row r="9" spans="1:247">
      <c r="A9" s="20"/>
      <c r="B9" s="21"/>
      <c r="C9" s="306"/>
      <c r="D9" s="306"/>
      <c r="E9" s="306"/>
      <c r="F9" s="3"/>
      <c r="G9" s="84"/>
      <c r="H9" s="84"/>
      <c r="I9" s="8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</row>
    <row r="10" spans="1:247" ht="12" customHeight="1">
      <c r="A10" s="20">
        <v>100000</v>
      </c>
      <c r="B10" s="21" t="s">
        <v>37</v>
      </c>
      <c r="C10" s="304">
        <f>'SCH D'!AQ8</f>
        <v>7405955.382210671</v>
      </c>
      <c r="D10" s="304">
        <v>-186916.2771665277</v>
      </c>
      <c r="E10" s="40">
        <f t="shared" ref="E10:E73" si="0">SUM(D10,C10)</f>
        <v>7219039.1050441433</v>
      </c>
      <c r="F10" s="301"/>
      <c r="G10" s="84"/>
      <c r="H10" s="84"/>
      <c r="I10" s="8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</row>
    <row r="11" spans="1:247" ht="12" customHeight="1">
      <c r="A11" s="20">
        <v>214000</v>
      </c>
      <c r="B11" s="21" t="s">
        <v>38</v>
      </c>
      <c r="C11" s="304">
        <f>'SCH D'!AQ9</f>
        <v>0</v>
      </c>
      <c r="D11" s="304">
        <v>0</v>
      </c>
      <c r="E11" s="40">
        <f t="shared" si="0"/>
        <v>0</v>
      </c>
      <c r="F11" s="301"/>
      <c r="G11" s="84"/>
      <c r="H11" s="84"/>
      <c r="I11" s="8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</row>
    <row r="12" spans="1:247" ht="12" customHeight="1">
      <c r="A12" s="20">
        <v>100000</v>
      </c>
      <c r="B12" s="21" t="s">
        <v>39</v>
      </c>
      <c r="C12" s="304">
        <f>'SCH D'!AQ10</f>
        <v>4615921.7329282211</v>
      </c>
      <c r="D12" s="304">
        <v>-112636.99415698554</v>
      </c>
      <c r="E12" s="40">
        <f t="shared" si="0"/>
        <v>4503284.7387712356</v>
      </c>
      <c r="F12" s="301"/>
      <c r="G12" s="84"/>
      <c r="H12" s="84"/>
      <c r="I12" s="8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</row>
    <row r="13" spans="1:247" ht="12" customHeight="1">
      <c r="A13" s="20">
        <v>100000</v>
      </c>
      <c r="B13" s="21" t="s">
        <v>40</v>
      </c>
      <c r="C13" s="304">
        <f>'SCH D'!AQ11</f>
        <v>4009808.4665419962</v>
      </c>
      <c r="D13" s="304">
        <v>-260205.33794781752</v>
      </c>
      <c r="E13" s="40">
        <f t="shared" si="0"/>
        <v>3749603.1285941787</v>
      </c>
      <c r="F13" s="301"/>
      <c r="G13" s="84"/>
      <c r="H13" s="84"/>
      <c r="I13" s="8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</row>
    <row r="14" spans="1:247" ht="12" customHeight="1">
      <c r="A14" s="20">
        <v>600000</v>
      </c>
      <c r="B14" s="21" t="s">
        <v>41</v>
      </c>
      <c r="C14" s="304">
        <f>'SCH D'!AQ12</f>
        <v>7072025.3204713734</v>
      </c>
      <c r="D14" s="304">
        <v>-107501.56641556323</v>
      </c>
      <c r="E14" s="40">
        <f t="shared" si="0"/>
        <v>6964523.7540558102</v>
      </c>
      <c r="F14" s="301"/>
      <c r="G14" s="84"/>
      <c r="H14" s="84"/>
      <c r="I14" s="8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</row>
    <row r="15" spans="1:247" ht="12" customHeight="1">
      <c r="A15" s="20">
        <v>608000</v>
      </c>
      <c r="B15" s="21" t="s">
        <v>42</v>
      </c>
      <c r="C15" s="304">
        <f>'SCH D'!AQ13</f>
        <v>170185.37898350004</v>
      </c>
      <c r="D15" s="304">
        <v>-3288.5799014636577</v>
      </c>
      <c r="E15" s="40">
        <f t="shared" si="0"/>
        <v>166896.79908203636</v>
      </c>
      <c r="F15" s="301"/>
      <c r="G15" s="84"/>
      <c r="H15" s="84"/>
      <c r="I15" s="8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</row>
    <row r="16" spans="1:247" ht="12" customHeight="1">
      <c r="A16" s="20">
        <v>605000</v>
      </c>
      <c r="B16" s="21" t="s">
        <v>43</v>
      </c>
      <c r="C16" s="304">
        <f>'SCH D'!AQ14</f>
        <v>188043.40292753821</v>
      </c>
      <c r="D16" s="304">
        <v>9251.6699315035657</v>
      </c>
      <c r="E16" s="40">
        <f t="shared" si="0"/>
        <v>197295.07285904177</v>
      </c>
      <c r="F16" s="301"/>
      <c r="G16" s="84"/>
      <c r="H16" s="84"/>
      <c r="I16" s="8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</row>
    <row r="17" spans="1:247" ht="12" customHeight="1">
      <c r="A17" s="20">
        <v>200000</v>
      </c>
      <c r="B17" s="21" t="s">
        <v>44</v>
      </c>
      <c r="C17" s="304">
        <f>'SCH D'!AQ15</f>
        <v>6564665.2906829156</v>
      </c>
      <c r="D17" s="304">
        <v>239544.22276609484</v>
      </c>
      <c r="E17" s="40">
        <f t="shared" si="0"/>
        <v>6804209.5134490104</v>
      </c>
      <c r="F17" s="301"/>
      <c r="G17" s="84"/>
      <c r="H17" s="84"/>
      <c r="I17" s="8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</row>
    <row r="18" spans="1:247" ht="12" customHeight="1">
      <c r="A18" s="20">
        <v>212000</v>
      </c>
      <c r="B18" s="21" t="s">
        <v>45</v>
      </c>
      <c r="C18" s="304">
        <f>'SCH D'!AQ16</f>
        <v>0</v>
      </c>
      <c r="D18" s="304">
        <v>0</v>
      </c>
      <c r="E18" s="40">
        <f t="shared" si="0"/>
        <v>0</v>
      </c>
      <c r="F18" s="301"/>
      <c r="G18" s="84"/>
      <c r="H18" s="84"/>
      <c r="I18" s="8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</row>
    <row r="19" spans="1:247" ht="12" customHeight="1">
      <c r="A19" s="20">
        <v>614000</v>
      </c>
      <c r="B19" s="21" t="s">
        <v>46</v>
      </c>
      <c r="C19" s="304">
        <f>'SCH D'!AQ17</f>
        <v>0</v>
      </c>
      <c r="D19" s="304">
        <v>0</v>
      </c>
      <c r="E19" s="40">
        <f t="shared" si="0"/>
        <v>0</v>
      </c>
      <c r="F19" s="301"/>
      <c r="G19" s="84"/>
      <c r="H19" s="84"/>
      <c r="I19" s="8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</row>
    <row r="20" spans="1:247" ht="12" customHeight="1">
      <c r="A20" s="20">
        <v>609000</v>
      </c>
      <c r="B20" s="21" t="s">
        <v>47</v>
      </c>
      <c r="C20" s="304">
        <f>'SCH D'!AQ18</f>
        <v>0</v>
      </c>
      <c r="D20" s="304">
        <v>0</v>
      </c>
      <c r="E20" s="40">
        <f t="shared" si="0"/>
        <v>0</v>
      </c>
      <c r="F20" s="301"/>
      <c r="G20" s="84"/>
      <c r="H20" s="84"/>
      <c r="I20" s="8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</row>
    <row r="21" spans="1:247" ht="12" customHeight="1">
      <c r="A21" s="20">
        <v>602000</v>
      </c>
      <c r="B21" s="21" t="s">
        <v>48</v>
      </c>
      <c r="C21" s="304">
        <f>'SCH D'!AQ19</f>
        <v>4533246.0285781221</v>
      </c>
      <c r="D21" s="304">
        <v>26924.870119063184</v>
      </c>
      <c r="E21" s="40">
        <f t="shared" si="0"/>
        <v>4560170.8986971853</v>
      </c>
      <c r="F21" s="301"/>
      <c r="G21" s="84"/>
      <c r="H21" s="84"/>
      <c r="I21" s="8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</row>
    <row r="22" spans="1:247" ht="12" customHeight="1">
      <c r="A22" s="20">
        <v>615000</v>
      </c>
      <c r="B22" s="21" t="s">
        <v>49</v>
      </c>
      <c r="C22" s="304">
        <f>'SCH D'!AQ20</f>
        <v>0</v>
      </c>
      <c r="D22" s="304">
        <v>0</v>
      </c>
      <c r="E22" s="40">
        <f t="shared" si="0"/>
        <v>0</v>
      </c>
      <c r="F22" s="301"/>
      <c r="G22" s="84"/>
      <c r="H22" s="84"/>
      <c r="I22" s="8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</row>
    <row r="23" spans="1:247" ht="12" customHeight="1">
      <c r="A23" s="20">
        <v>612000</v>
      </c>
      <c r="B23" s="21" t="s">
        <v>50</v>
      </c>
      <c r="C23" s="304">
        <f>'SCH D'!AQ21</f>
        <v>0</v>
      </c>
      <c r="D23" s="304">
        <v>0</v>
      </c>
      <c r="E23" s="40">
        <f t="shared" si="0"/>
        <v>0</v>
      </c>
      <c r="F23" s="301"/>
      <c r="G23" s="84"/>
      <c r="H23" s="84"/>
      <c r="I23" s="8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</row>
    <row r="24" spans="1:247" ht="12" customHeight="1">
      <c r="A24" s="20">
        <v>607000</v>
      </c>
      <c r="B24" s="21" t="s">
        <v>51</v>
      </c>
      <c r="C24" s="304">
        <f>'SCH D'!AQ22</f>
        <v>197854.8846962825</v>
      </c>
      <c r="D24" s="304">
        <v>12331.002599750427</v>
      </c>
      <c r="E24" s="40">
        <f t="shared" si="0"/>
        <v>210185.88729603292</v>
      </c>
      <c r="F24" s="301"/>
      <c r="G24" s="84"/>
      <c r="H24" s="84"/>
      <c r="I24" s="8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</row>
    <row r="25" spans="1:247" ht="12" customHeight="1">
      <c r="A25" s="20">
        <v>617000</v>
      </c>
      <c r="B25" s="21" t="s">
        <v>52</v>
      </c>
      <c r="C25" s="304">
        <f>'SCH D'!AQ23</f>
        <v>0</v>
      </c>
      <c r="D25" s="304">
        <v>0</v>
      </c>
      <c r="E25" s="40">
        <f t="shared" si="0"/>
        <v>0</v>
      </c>
      <c r="F25" s="301"/>
      <c r="G25" s="84"/>
      <c r="H25" s="84"/>
      <c r="I25" s="8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</row>
    <row r="26" spans="1:247" ht="12" customHeight="1">
      <c r="A26" s="20">
        <v>619000</v>
      </c>
      <c r="B26" s="21" t="s">
        <v>53</v>
      </c>
      <c r="C26" s="304">
        <f>'SCH D'!AQ24</f>
        <v>0</v>
      </c>
      <c r="D26" s="304">
        <v>0</v>
      </c>
      <c r="E26" s="40">
        <f t="shared" si="0"/>
        <v>0</v>
      </c>
      <c r="F26" s="301"/>
      <c r="G26" s="84"/>
      <c r="H26" s="84"/>
      <c r="I26" s="8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</row>
    <row r="27" spans="1:247" ht="12" customHeight="1">
      <c r="A27" s="20">
        <v>620000</v>
      </c>
      <c r="B27" s="21" t="s">
        <v>54</v>
      </c>
      <c r="C27" s="304">
        <f>'SCH D'!AQ25</f>
        <v>0</v>
      </c>
      <c r="D27" s="304">
        <v>0</v>
      </c>
      <c r="E27" s="40">
        <f t="shared" si="0"/>
        <v>0</v>
      </c>
      <c r="F27" s="301"/>
      <c r="G27" s="84"/>
      <c r="H27" s="84"/>
      <c r="I27" s="8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</row>
    <row r="28" spans="1:247" ht="12" customHeight="1">
      <c r="A28" s="20">
        <v>802000</v>
      </c>
      <c r="B28" s="21" t="s">
        <v>55</v>
      </c>
      <c r="C28" s="304">
        <f>'SCH D'!AQ26</f>
        <v>0</v>
      </c>
      <c r="D28" s="304">
        <v>0</v>
      </c>
      <c r="E28" s="40">
        <f t="shared" si="0"/>
        <v>0</v>
      </c>
      <c r="F28" s="301"/>
      <c r="G28" s="84"/>
      <c r="H28" s="84"/>
      <c r="I28" s="8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</row>
    <row r="29" spans="1:247" ht="12" customHeight="1">
      <c r="A29" s="20">
        <v>800000</v>
      </c>
      <c r="B29" s="21" t="s">
        <v>56</v>
      </c>
      <c r="C29" s="304">
        <f>'SCH D'!AQ27</f>
        <v>96882.52505750714</v>
      </c>
      <c r="D29" s="304">
        <v>5275.2758024876821</v>
      </c>
      <c r="E29" s="40">
        <f t="shared" si="0"/>
        <v>102157.80085999482</v>
      </c>
      <c r="F29" s="301"/>
      <c r="G29" s="84"/>
      <c r="H29" s="84"/>
      <c r="I29" s="8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</row>
    <row r="30" spans="1:247" ht="12" customHeight="1">
      <c r="A30" s="20">
        <v>801000</v>
      </c>
      <c r="B30" s="21" t="s">
        <v>57</v>
      </c>
      <c r="C30" s="304">
        <f>'SCH D'!AQ28</f>
        <v>0</v>
      </c>
      <c r="D30" s="304">
        <v>0</v>
      </c>
      <c r="E30" s="40">
        <f t="shared" si="0"/>
        <v>0</v>
      </c>
      <c r="F30" s="301"/>
      <c r="G30" s="84"/>
      <c r="H30" s="84"/>
      <c r="I30" s="8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</row>
    <row r="31" spans="1:247" ht="12" customHeight="1">
      <c r="A31" s="20">
        <v>211000</v>
      </c>
      <c r="B31" s="21" t="s">
        <v>58</v>
      </c>
      <c r="C31" s="304">
        <f>'SCH D'!AQ29</f>
        <v>0</v>
      </c>
      <c r="D31" s="304">
        <v>0</v>
      </c>
      <c r="E31" s="40">
        <f t="shared" si="0"/>
        <v>0</v>
      </c>
      <c r="F31" s="301"/>
      <c r="G31" s="84"/>
      <c r="H31" s="84"/>
      <c r="I31" s="8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</row>
    <row r="32" spans="1:247" ht="12" customHeight="1">
      <c r="A32" s="20">
        <v>217000</v>
      </c>
      <c r="B32" s="21" t="s">
        <v>59</v>
      </c>
      <c r="C32" s="304">
        <f>'SCH D'!AQ30</f>
        <v>0</v>
      </c>
      <c r="D32" s="304">
        <v>0</v>
      </c>
      <c r="E32" s="40">
        <f t="shared" si="0"/>
        <v>0</v>
      </c>
      <c r="F32" s="301"/>
      <c r="G32" s="84"/>
      <c r="H32" s="84"/>
      <c r="I32" s="8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</row>
    <row r="33" spans="1:247" ht="12" customHeight="1">
      <c r="A33" s="20">
        <v>853000</v>
      </c>
      <c r="B33" s="21" t="s">
        <v>60</v>
      </c>
      <c r="C33" s="304">
        <f>'SCH D'!AQ31</f>
        <v>146822.7557128366</v>
      </c>
      <c r="D33" s="304">
        <v>-3542.9070059441729</v>
      </c>
      <c r="E33" s="40">
        <f t="shared" si="0"/>
        <v>143279.84870689243</v>
      </c>
      <c r="F33" s="301"/>
      <c r="G33" s="84"/>
      <c r="H33" s="84"/>
      <c r="I33" s="8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</row>
    <row r="34" spans="1:247" ht="12" customHeight="1">
      <c r="A34" s="20">
        <v>204000</v>
      </c>
      <c r="B34" s="21" t="s">
        <v>61</v>
      </c>
      <c r="C34" s="304">
        <f>'SCH D'!AQ32</f>
        <v>164251.00539691118</v>
      </c>
      <c r="D34" s="304">
        <v>0</v>
      </c>
      <c r="E34" s="40">
        <f t="shared" si="0"/>
        <v>164251.00539691118</v>
      </c>
      <c r="F34" s="301"/>
      <c r="G34" s="84"/>
      <c r="H34" s="84"/>
      <c r="I34" s="8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</row>
    <row r="35" spans="1:247" ht="12" customHeight="1">
      <c r="A35" s="20">
        <v>201000</v>
      </c>
      <c r="B35" s="21" t="s">
        <v>62</v>
      </c>
      <c r="C35" s="304">
        <f>'SCH D'!AQ33</f>
        <v>11.72843013684035</v>
      </c>
      <c r="D35" s="304">
        <v>-39.845996693283453</v>
      </c>
      <c r="E35" s="40">
        <f t="shared" si="0"/>
        <v>-28.117566556443101</v>
      </c>
      <c r="F35" s="301"/>
      <c r="G35" s="84"/>
      <c r="H35" s="84"/>
      <c r="I35" s="8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</row>
    <row r="36" spans="1:247" ht="12" customHeight="1">
      <c r="A36" s="20">
        <v>209000</v>
      </c>
      <c r="B36" s="21" t="s">
        <v>63</v>
      </c>
      <c r="C36" s="304">
        <f>'SCH D'!AQ34</f>
        <v>56826.044750699439</v>
      </c>
      <c r="D36" s="304">
        <v>-706.00851231428533</v>
      </c>
      <c r="E36" s="40">
        <f t="shared" si="0"/>
        <v>56120.036238385153</v>
      </c>
      <c r="F36" s="301"/>
      <c r="G36" s="84"/>
      <c r="H36" s="84"/>
      <c r="I36" s="8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</row>
    <row r="37" spans="1:247" ht="12" customHeight="1">
      <c r="A37" s="20">
        <v>215000</v>
      </c>
      <c r="B37" s="21" t="s">
        <v>64</v>
      </c>
      <c r="C37" s="304">
        <f>'SCH D'!AQ35</f>
        <v>9633.1185725714931</v>
      </c>
      <c r="D37" s="304">
        <v>-6529.083578868911</v>
      </c>
      <c r="E37" s="40">
        <f t="shared" si="0"/>
        <v>3104.0349937025821</v>
      </c>
      <c r="F37" s="301"/>
      <c r="G37" s="84"/>
      <c r="H37" s="84"/>
      <c r="I37" s="8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</row>
    <row r="38" spans="1:247" ht="12" customHeight="1">
      <c r="A38" s="20">
        <v>216000</v>
      </c>
      <c r="B38" s="21" t="s">
        <v>65</v>
      </c>
      <c r="C38" s="304">
        <f>'SCH D'!AQ36</f>
        <v>25000</v>
      </c>
      <c r="D38" s="304">
        <v>0</v>
      </c>
      <c r="E38" s="40">
        <f t="shared" si="0"/>
        <v>25000</v>
      </c>
      <c r="F38" s="301"/>
      <c r="G38" s="84"/>
      <c r="H38" s="84"/>
      <c r="I38" s="8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</row>
    <row r="39" spans="1:247" ht="12" customHeight="1">
      <c r="A39" s="20">
        <v>403000</v>
      </c>
      <c r="B39" s="17" t="s">
        <v>630</v>
      </c>
      <c r="C39" s="304">
        <f>'SCH D'!AQ37</f>
        <v>40107.273045070586</v>
      </c>
      <c r="D39" s="304">
        <v>6857.7536839964196</v>
      </c>
      <c r="E39" s="40">
        <f t="shared" si="0"/>
        <v>46965.026729067002</v>
      </c>
      <c r="F39" s="301"/>
      <c r="G39" s="84"/>
      <c r="H39" s="84"/>
      <c r="I39" s="8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</row>
    <row r="40" spans="1:247" ht="12" customHeight="1">
      <c r="A40" s="20">
        <v>316000</v>
      </c>
      <c r="B40" s="21" t="s">
        <v>67</v>
      </c>
      <c r="C40" s="304">
        <f>'SCH D'!AQ38</f>
        <v>0</v>
      </c>
      <c r="D40" s="304">
        <v>0</v>
      </c>
      <c r="E40" s="40">
        <f t="shared" si="0"/>
        <v>0</v>
      </c>
      <c r="F40" s="301"/>
      <c r="G40" s="84"/>
      <c r="H40" s="84"/>
      <c r="I40" s="8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</row>
    <row r="41" spans="1:247" ht="12" customHeight="1">
      <c r="A41" s="20">
        <v>301000</v>
      </c>
      <c r="B41" s="21" t="s">
        <v>68</v>
      </c>
      <c r="C41" s="304">
        <f>'SCH D'!AQ39</f>
        <v>0</v>
      </c>
      <c r="D41" s="304">
        <v>0</v>
      </c>
      <c r="E41" s="40">
        <f t="shared" si="0"/>
        <v>0</v>
      </c>
      <c r="F41" s="301"/>
      <c r="G41" s="84"/>
      <c r="H41" s="84"/>
      <c r="I41" s="8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</row>
    <row r="42" spans="1:247" ht="12" customHeight="1">
      <c r="A42" s="20">
        <v>302000</v>
      </c>
      <c r="B42" s="21" t="s">
        <v>69</v>
      </c>
      <c r="C42" s="304">
        <f>'SCH D'!AQ40</f>
        <v>0</v>
      </c>
      <c r="D42" s="304">
        <v>0</v>
      </c>
      <c r="E42" s="40">
        <f t="shared" si="0"/>
        <v>0</v>
      </c>
      <c r="F42" s="301"/>
      <c r="G42" s="84"/>
      <c r="H42" s="84"/>
      <c r="I42" s="8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</row>
    <row r="43" spans="1:247" ht="12" customHeight="1">
      <c r="A43" s="20">
        <v>303000</v>
      </c>
      <c r="B43" s="21" t="s">
        <v>70</v>
      </c>
      <c r="C43" s="304">
        <f>'SCH D'!AQ41</f>
        <v>0</v>
      </c>
      <c r="D43" s="304">
        <v>0</v>
      </c>
      <c r="E43" s="40">
        <f t="shared" si="0"/>
        <v>0</v>
      </c>
      <c r="F43" s="301"/>
      <c r="G43" s="84"/>
      <c r="H43" s="84"/>
      <c r="I43" s="8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</row>
    <row r="44" spans="1:247" ht="12" customHeight="1">
      <c r="A44" s="20">
        <v>305000</v>
      </c>
      <c r="B44" s="21" t="s">
        <v>71</v>
      </c>
      <c r="C44" s="304">
        <f>'SCH D'!AQ42</f>
        <v>0</v>
      </c>
      <c r="D44" s="304">
        <v>0</v>
      </c>
      <c r="E44" s="40">
        <f t="shared" si="0"/>
        <v>0</v>
      </c>
      <c r="F44" s="301"/>
      <c r="G44" s="84"/>
      <c r="H44" s="84"/>
      <c r="I44" s="8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</row>
    <row r="45" spans="1:247" ht="12" customHeight="1">
      <c r="A45" s="20">
        <v>306000</v>
      </c>
      <c r="B45" s="21" t="s">
        <v>72</v>
      </c>
      <c r="C45" s="304">
        <f>'SCH D'!AQ43</f>
        <v>0</v>
      </c>
      <c r="D45" s="304">
        <v>0</v>
      </c>
      <c r="E45" s="40">
        <f t="shared" si="0"/>
        <v>0</v>
      </c>
      <c r="F45" s="301"/>
      <c r="G45" s="84"/>
      <c r="H45" s="84"/>
      <c r="I45" s="8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</row>
    <row r="46" spans="1:247" ht="12" customHeight="1">
      <c r="A46" s="20">
        <v>310000</v>
      </c>
      <c r="B46" s="21" t="s">
        <v>73</v>
      </c>
      <c r="C46" s="304">
        <f>'SCH D'!AQ44</f>
        <v>0</v>
      </c>
      <c r="D46" s="304">
        <v>0</v>
      </c>
      <c r="E46" s="40">
        <f t="shared" si="0"/>
        <v>0</v>
      </c>
      <c r="F46" s="301"/>
      <c r="G46" s="84"/>
      <c r="H46" s="84"/>
      <c r="I46" s="8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</row>
    <row r="47" spans="1:247" ht="12" customHeight="1">
      <c r="A47" s="20">
        <v>307000</v>
      </c>
      <c r="B47" s="21" t="s">
        <v>74</v>
      </c>
      <c r="C47" s="304">
        <f>'SCH D'!AQ45</f>
        <v>0</v>
      </c>
      <c r="D47" s="304">
        <v>0</v>
      </c>
      <c r="E47" s="40">
        <f t="shared" si="0"/>
        <v>0</v>
      </c>
      <c r="F47" s="301"/>
      <c r="G47" s="84"/>
      <c r="H47" s="84"/>
      <c r="I47" s="8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</row>
    <row r="48" spans="1:247" ht="12" customHeight="1">
      <c r="A48" s="20">
        <v>312000</v>
      </c>
      <c r="B48" s="21" t="s">
        <v>75</v>
      </c>
      <c r="C48" s="304">
        <f>'SCH D'!AQ46</f>
        <v>0</v>
      </c>
      <c r="D48" s="304">
        <v>0</v>
      </c>
      <c r="E48" s="40">
        <f t="shared" si="0"/>
        <v>0</v>
      </c>
      <c r="F48" s="301"/>
      <c r="G48" s="84"/>
      <c r="H48" s="84"/>
      <c r="I48" s="8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</row>
    <row r="49" spans="1:247" ht="12" customHeight="1">
      <c r="A49" s="20">
        <v>309000</v>
      </c>
      <c r="B49" s="21" t="s">
        <v>76</v>
      </c>
      <c r="C49" s="304">
        <f>'SCH D'!AQ47</f>
        <v>0</v>
      </c>
      <c r="D49" s="304">
        <v>0</v>
      </c>
      <c r="E49" s="40">
        <f t="shared" si="0"/>
        <v>0</v>
      </c>
      <c r="F49" s="301"/>
      <c r="G49" s="84"/>
      <c r="H49" s="84"/>
      <c r="I49" s="8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</row>
    <row r="50" spans="1:247" ht="12" customHeight="1">
      <c r="A50" s="20">
        <v>313000</v>
      </c>
      <c r="B50" s="21" t="s">
        <v>77</v>
      </c>
      <c r="C50" s="304">
        <f>'SCH D'!AQ48</f>
        <v>0</v>
      </c>
      <c r="D50" s="304">
        <v>0</v>
      </c>
      <c r="E50" s="40">
        <f t="shared" si="0"/>
        <v>0</v>
      </c>
      <c r="F50" s="301"/>
      <c r="G50" s="84"/>
      <c r="H50" s="84"/>
      <c r="I50" s="8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</row>
    <row r="51" spans="1:247" ht="12" customHeight="1">
      <c r="A51" s="20">
        <v>314000</v>
      </c>
      <c r="B51" s="21" t="s">
        <v>78</v>
      </c>
      <c r="C51" s="304">
        <f>'SCH D'!AQ49</f>
        <v>0</v>
      </c>
      <c r="D51" s="304">
        <v>0</v>
      </c>
      <c r="E51" s="40">
        <f t="shared" si="0"/>
        <v>0</v>
      </c>
      <c r="F51" s="301"/>
      <c r="G51" s="84"/>
      <c r="H51" s="84"/>
      <c r="I51" s="8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</row>
    <row r="52" spans="1:247" ht="12" customHeight="1">
      <c r="A52" s="20">
        <v>315000</v>
      </c>
      <c r="B52" s="21" t="s">
        <v>79</v>
      </c>
      <c r="C52" s="304">
        <f>'SCH D'!AQ50</f>
        <v>0</v>
      </c>
      <c r="D52" s="304">
        <v>0</v>
      </c>
      <c r="E52" s="40">
        <f t="shared" si="0"/>
        <v>0</v>
      </c>
      <c r="F52" s="301"/>
      <c r="G52" s="84"/>
      <c r="H52" s="84"/>
      <c r="I52" s="8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</row>
    <row r="53" spans="1:247" ht="12" customHeight="1">
      <c r="A53" s="20">
        <v>213000</v>
      </c>
      <c r="B53" s="21" t="s">
        <v>80</v>
      </c>
      <c r="C53" s="304">
        <f>'SCH D'!AQ51</f>
        <v>218978.55493665222</v>
      </c>
      <c r="D53" s="304">
        <v>-1236.8934976488235</v>
      </c>
      <c r="E53" s="40">
        <f t="shared" si="0"/>
        <v>217741.66143900339</v>
      </c>
      <c r="F53" s="301"/>
      <c r="G53" s="84"/>
      <c r="H53" s="84"/>
      <c r="I53" s="8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</row>
    <row r="54" spans="1:247" ht="12" customHeight="1">
      <c r="A54" s="20">
        <v>210000</v>
      </c>
      <c r="B54" s="21" t="s">
        <v>81</v>
      </c>
      <c r="C54" s="304">
        <f>'SCH D'!AQ52</f>
        <v>0</v>
      </c>
      <c r="D54" s="304">
        <v>0</v>
      </c>
      <c r="E54" s="40">
        <f t="shared" si="0"/>
        <v>0</v>
      </c>
      <c r="F54" s="301"/>
      <c r="G54" s="84"/>
      <c r="H54" s="84"/>
      <c r="I54" s="8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</row>
    <row r="55" spans="1:247" ht="12" customHeight="1">
      <c r="A55" s="20">
        <v>304000</v>
      </c>
      <c r="B55" s="21" t="s">
        <v>82</v>
      </c>
      <c r="C55" s="304">
        <f>'SCH D'!AQ53</f>
        <v>0</v>
      </c>
      <c r="D55" s="304">
        <v>0</v>
      </c>
      <c r="E55" s="40">
        <f t="shared" si="0"/>
        <v>0</v>
      </c>
      <c r="F55" s="301"/>
      <c r="G55" s="84"/>
      <c r="H55" s="84"/>
      <c r="I55" s="8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</row>
    <row r="56" spans="1:247" ht="12" customHeight="1">
      <c r="A56" s="20">
        <v>100000</v>
      </c>
      <c r="B56" s="21" t="s">
        <v>83</v>
      </c>
      <c r="C56" s="304">
        <f>'SCH D'!AQ54</f>
        <v>0</v>
      </c>
      <c r="D56" s="304">
        <v>0</v>
      </c>
      <c r="E56" s="40">
        <f t="shared" si="0"/>
        <v>0</v>
      </c>
      <c r="F56" s="301"/>
      <c r="G56" s="84"/>
      <c r="H56" s="84"/>
      <c r="I56" s="8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</row>
    <row r="57" spans="1:247" ht="12" customHeight="1">
      <c r="A57" s="20">
        <v>100000</v>
      </c>
      <c r="B57" s="21" t="s">
        <v>84</v>
      </c>
      <c r="C57" s="304">
        <f>'SCH D'!AQ55</f>
        <v>0</v>
      </c>
      <c r="D57" s="304">
        <v>0</v>
      </c>
      <c r="E57" s="40">
        <f t="shared" si="0"/>
        <v>0</v>
      </c>
      <c r="F57" s="301"/>
      <c r="G57" s="84"/>
      <c r="H57" s="84"/>
      <c r="I57" s="8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</row>
    <row r="58" spans="1:247" ht="12" customHeight="1">
      <c r="A58" s="20">
        <v>100000</v>
      </c>
      <c r="B58" s="21" t="s">
        <v>85</v>
      </c>
      <c r="C58" s="304">
        <f>'SCH D'!AQ56</f>
        <v>0</v>
      </c>
      <c r="D58" s="304">
        <v>0</v>
      </c>
      <c r="E58" s="40">
        <f t="shared" si="0"/>
        <v>0</v>
      </c>
      <c r="F58" s="301"/>
      <c r="G58" s="84"/>
      <c r="H58" s="84"/>
      <c r="I58" s="8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</row>
    <row r="59" spans="1:247" ht="12" customHeight="1">
      <c r="A59" s="20">
        <v>100000</v>
      </c>
      <c r="B59" s="21" t="s">
        <v>86</v>
      </c>
      <c r="C59" s="304">
        <f>'SCH D'!AQ57</f>
        <v>74158.692611010832</v>
      </c>
      <c r="D59" s="304">
        <v>-32837.49299608724</v>
      </c>
      <c r="E59" s="40">
        <f t="shared" si="0"/>
        <v>41321.199614923593</v>
      </c>
      <c r="F59" s="301"/>
      <c r="G59" s="84"/>
      <c r="H59" s="84"/>
      <c r="I59" s="8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</row>
    <row r="60" spans="1:247" ht="12" customHeight="1">
      <c r="A60" s="20">
        <v>100000</v>
      </c>
      <c r="B60" s="21" t="s">
        <v>87</v>
      </c>
      <c r="C60" s="304">
        <f>'SCH D'!AQ58</f>
        <v>0</v>
      </c>
      <c r="D60" s="304">
        <v>0</v>
      </c>
      <c r="E60" s="40">
        <f t="shared" si="0"/>
        <v>0</v>
      </c>
      <c r="F60" s="301"/>
      <c r="G60" s="84"/>
      <c r="H60" s="84"/>
      <c r="I60" s="8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</row>
    <row r="61" spans="1:247" ht="12" customHeight="1">
      <c r="A61" s="20">
        <v>206000</v>
      </c>
      <c r="B61" s="21" t="s">
        <v>88</v>
      </c>
      <c r="C61" s="304">
        <f>'SCH D'!AQ59</f>
        <v>86020.023678354453</v>
      </c>
      <c r="D61" s="304">
        <v>-586.32500204220196</v>
      </c>
      <c r="E61" s="40">
        <f t="shared" si="0"/>
        <v>85433.698676312255</v>
      </c>
      <c r="F61" s="301"/>
      <c r="G61" s="84"/>
      <c r="H61" s="84"/>
      <c r="I61" s="8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</row>
    <row r="62" spans="1:247" ht="12" customHeight="1">
      <c r="A62" s="20">
        <v>100000</v>
      </c>
      <c r="B62" s="21" t="s">
        <v>89</v>
      </c>
      <c r="C62" s="304">
        <f>'SCH D'!AQ60</f>
        <v>21778.18809382775</v>
      </c>
      <c r="D62" s="304">
        <v>36171.161546701296</v>
      </c>
      <c r="E62" s="40">
        <f t="shared" si="0"/>
        <v>57949.34964052905</v>
      </c>
      <c r="F62" s="301"/>
      <c r="G62" s="84"/>
      <c r="H62" s="84"/>
      <c r="I62" s="8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</row>
    <row r="63" spans="1:247" ht="12" customHeight="1">
      <c r="A63" s="20">
        <v>100000</v>
      </c>
      <c r="B63" s="21" t="s">
        <v>90</v>
      </c>
      <c r="C63" s="304">
        <f>'SCH D'!AQ61</f>
        <v>0</v>
      </c>
      <c r="D63" s="304">
        <v>0</v>
      </c>
      <c r="E63" s="40">
        <f t="shared" si="0"/>
        <v>0</v>
      </c>
      <c r="F63" s="301"/>
      <c r="G63" s="84"/>
      <c r="H63" s="84"/>
      <c r="I63" s="8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</row>
    <row r="64" spans="1:247" ht="12" customHeight="1">
      <c r="A64" s="20">
        <v>100000</v>
      </c>
      <c r="B64" s="21" t="s">
        <v>91</v>
      </c>
      <c r="C64" s="304">
        <f>'SCH D'!AQ62</f>
        <v>0</v>
      </c>
      <c r="D64" s="304">
        <v>0</v>
      </c>
      <c r="E64" s="40">
        <f t="shared" si="0"/>
        <v>0</v>
      </c>
      <c r="F64" s="301"/>
      <c r="G64" s="84"/>
      <c r="H64" s="84"/>
      <c r="I64" s="8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</row>
    <row r="65" spans="1:247" ht="12" customHeight="1">
      <c r="A65" s="20">
        <v>208000</v>
      </c>
      <c r="B65" s="21" t="s">
        <v>92</v>
      </c>
      <c r="C65" s="304">
        <f>'SCH D'!AQ63</f>
        <v>0</v>
      </c>
      <c r="D65" s="304">
        <v>0</v>
      </c>
      <c r="E65" s="40">
        <f t="shared" si="0"/>
        <v>0</v>
      </c>
      <c r="F65" s="301"/>
      <c r="G65" s="84"/>
      <c r="H65" s="84"/>
      <c r="I65" s="8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</row>
    <row r="66" spans="1:247" ht="12" customHeight="1">
      <c r="A66" s="20">
        <v>207000</v>
      </c>
      <c r="B66" s="21" t="s">
        <v>93</v>
      </c>
      <c r="C66" s="304">
        <f>'SCH D'!AQ64</f>
        <v>133.17672373399341</v>
      </c>
      <c r="D66" s="304">
        <v>-201.17742352179874</v>
      </c>
      <c r="E66" s="40">
        <f t="shared" si="0"/>
        <v>-68.000699787805331</v>
      </c>
      <c r="F66" s="301"/>
      <c r="G66" s="84"/>
      <c r="H66" s="84"/>
      <c r="I66" s="8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</row>
    <row r="67" spans="1:247" ht="12" customHeight="1">
      <c r="A67" s="20">
        <v>100000</v>
      </c>
      <c r="B67" s="21" t="s">
        <v>94</v>
      </c>
      <c r="C67" s="304">
        <f>'SCH D'!AQ65</f>
        <v>307900.11461776291</v>
      </c>
      <c r="D67" s="304">
        <v>4186.7789959476213</v>
      </c>
      <c r="E67" s="40">
        <f t="shared" si="0"/>
        <v>312086.89361371053</v>
      </c>
      <c r="F67" s="301"/>
      <c r="G67" s="84"/>
      <c r="H67" s="84"/>
      <c r="I67" s="8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</row>
    <row r="68" spans="1:247" ht="12" customHeight="1">
      <c r="A68" s="20">
        <v>100000</v>
      </c>
      <c r="B68" s="21" t="s">
        <v>95</v>
      </c>
      <c r="C68" s="304">
        <f>'SCH D'!AQ66</f>
        <v>0</v>
      </c>
      <c r="D68" s="304">
        <v>0</v>
      </c>
      <c r="E68" s="40">
        <f t="shared" si="0"/>
        <v>0</v>
      </c>
      <c r="F68" s="301"/>
      <c r="G68" s="84"/>
      <c r="H68" s="84"/>
      <c r="I68" s="8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</row>
    <row r="69" spans="1:247" ht="12" customHeight="1">
      <c r="A69" s="20">
        <v>100000</v>
      </c>
      <c r="B69" s="21" t="s">
        <v>96</v>
      </c>
      <c r="C69" s="304">
        <f>'SCH D'!AQ67</f>
        <v>40689.439258657359</v>
      </c>
      <c r="D69" s="304">
        <v>-15541.285737321145</v>
      </c>
      <c r="E69" s="40">
        <f t="shared" si="0"/>
        <v>25148.153521336215</v>
      </c>
      <c r="F69" s="301"/>
      <c r="G69" s="84"/>
      <c r="H69" s="84"/>
      <c r="I69" s="8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</row>
    <row r="70" spans="1:247" ht="12" customHeight="1">
      <c r="A70" s="20">
        <v>703000</v>
      </c>
      <c r="B70" s="21" t="s">
        <v>97</v>
      </c>
      <c r="C70" s="304">
        <f>'SCH D'!AQ68</f>
        <v>255394.71046185654</v>
      </c>
      <c r="D70" s="304">
        <v>-35139.954499600513</v>
      </c>
      <c r="E70" s="40">
        <f t="shared" si="0"/>
        <v>220254.75596225602</v>
      </c>
      <c r="F70" s="301"/>
      <c r="G70" s="84"/>
      <c r="H70" s="84"/>
      <c r="I70" s="8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</row>
    <row r="71" spans="1:247" ht="12" customHeight="1">
      <c r="A71" s="220">
        <f>'SCH D'!A69</f>
        <v>100000</v>
      </c>
      <c r="B71" s="21" t="str">
        <f>'SCH D'!B69</f>
        <v>Office of Equity &amp; Human Rights</v>
      </c>
      <c r="C71" s="304">
        <f>'SCH D'!AQ69</f>
        <v>5026.8546442220486</v>
      </c>
      <c r="D71" s="304">
        <v>0</v>
      </c>
      <c r="E71" s="40">
        <f t="shared" si="0"/>
        <v>5026.8546442220486</v>
      </c>
      <c r="F71" s="301"/>
      <c r="G71" s="84"/>
      <c r="H71" s="84"/>
      <c r="I71" s="8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</row>
    <row r="72" spans="1:247" ht="12" customHeight="1">
      <c r="A72" s="20">
        <v>100000</v>
      </c>
      <c r="B72" s="21" t="s">
        <v>98</v>
      </c>
      <c r="C72" s="304">
        <f>'SCH D'!AQ70</f>
        <v>408675.57935100817</v>
      </c>
      <c r="D72" s="304">
        <v>-99042.612727513013</v>
      </c>
      <c r="E72" s="40">
        <f t="shared" si="0"/>
        <v>309632.96662349516</v>
      </c>
      <c r="F72" s="301"/>
      <c r="G72" s="84"/>
      <c r="H72" s="84"/>
      <c r="I72" s="8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</row>
    <row r="73" spans="1:247" ht="12" customHeight="1">
      <c r="A73" s="20">
        <v>100000</v>
      </c>
      <c r="B73" s="21" t="s">
        <v>99</v>
      </c>
      <c r="C73" s="304">
        <f>'SCH D'!AQ71</f>
        <v>269856.73106668552</v>
      </c>
      <c r="D73" s="304">
        <v>-15560.765196336419</v>
      </c>
      <c r="E73" s="40">
        <f t="shared" si="0"/>
        <v>254295.96587034909</v>
      </c>
      <c r="F73" s="301"/>
      <c r="G73" s="84"/>
      <c r="H73" s="84"/>
      <c r="I73" s="8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</row>
    <row r="74" spans="1:247" ht="12" customHeight="1">
      <c r="A74" s="20">
        <v>220000</v>
      </c>
      <c r="B74" s="21" t="s">
        <v>100</v>
      </c>
      <c r="C74" s="304">
        <f>'SCH D'!AQ72</f>
        <v>0</v>
      </c>
      <c r="D74" s="304">
        <v>0</v>
      </c>
      <c r="E74" s="40">
        <f t="shared" ref="E74:E111" si="1">SUM(D74,C74)</f>
        <v>0</v>
      </c>
      <c r="F74" s="301"/>
      <c r="G74" s="84"/>
      <c r="H74" s="84"/>
      <c r="I74" s="8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</row>
    <row r="75" spans="1:247" ht="12" customHeight="1">
      <c r="A75" s="20">
        <v>500000</v>
      </c>
      <c r="B75" s="21" t="s">
        <v>101</v>
      </c>
      <c r="C75" s="304">
        <f>'SCH D'!AQ73</f>
        <v>0</v>
      </c>
      <c r="D75" s="304">
        <v>0</v>
      </c>
      <c r="E75" s="40">
        <f t="shared" si="1"/>
        <v>0</v>
      </c>
      <c r="F75" s="301"/>
      <c r="G75" s="84"/>
      <c r="H75" s="84"/>
      <c r="I75" s="8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</row>
    <row r="76" spans="1:247" ht="12" customHeight="1">
      <c r="A76" s="20">
        <v>616000</v>
      </c>
      <c r="B76" s="21" t="s">
        <v>102</v>
      </c>
      <c r="C76" s="304">
        <f>'SCH D'!AQ74</f>
        <v>0</v>
      </c>
      <c r="D76" s="304">
        <v>0</v>
      </c>
      <c r="E76" s="40">
        <f t="shared" si="1"/>
        <v>0</v>
      </c>
      <c r="F76" s="301"/>
      <c r="G76" s="84"/>
      <c r="H76" s="84"/>
      <c r="I76" s="8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</row>
    <row r="77" spans="1:247" ht="12" customHeight="1">
      <c r="A77" s="20">
        <v>700000</v>
      </c>
      <c r="B77" s="21" t="s">
        <v>103</v>
      </c>
      <c r="C77" s="304">
        <f>'SCH D'!AQ75</f>
        <v>88889.286653089555</v>
      </c>
      <c r="D77" s="304">
        <v>20103.37386431807</v>
      </c>
      <c r="E77" s="40">
        <f t="shared" si="1"/>
        <v>108992.66051740762</v>
      </c>
      <c r="F77" s="301"/>
      <c r="G77" s="84"/>
      <c r="H77" s="84"/>
      <c r="I77" s="8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</row>
    <row r="78" spans="1:247" ht="12" customHeight="1">
      <c r="A78" s="20">
        <v>100000</v>
      </c>
      <c r="B78" s="21" t="s">
        <v>104</v>
      </c>
      <c r="C78" s="304">
        <f>'SCH D'!AQ76</f>
        <v>794341.57906167512</v>
      </c>
      <c r="D78" s="304">
        <v>-48452.490109341452</v>
      </c>
      <c r="E78" s="40">
        <f t="shared" si="1"/>
        <v>745889.08895233367</v>
      </c>
      <c r="F78" s="301"/>
      <c r="G78" s="84"/>
      <c r="H78" s="84"/>
      <c r="I78" s="8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</row>
    <row r="79" spans="1:247" ht="12" customHeight="1">
      <c r="A79" s="20">
        <v>203000</v>
      </c>
      <c r="B79" s="21" t="s">
        <v>105</v>
      </c>
      <c r="C79" s="304">
        <f>'SCH D'!AQ77</f>
        <v>1044981.561831844</v>
      </c>
      <c r="D79" s="304">
        <v>-273768.32115457417</v>
      </c>
      <c r="E79" s="40">
        <f t="shared" si="1"/>
        <v>771213.24067726987</v>
      </c>
      <c r="F79" s="301"/>
      <c r="G79" s="84"/>
      <c r="H79" s="84"/>
      <c r="I79" s="8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</row>
    <row r="80" spans="1:247" ht="12" customHeight="1">
      <c r="A80" s="20">
        <v>218000</v>
      </c>
      <c r="B80" s="21" t="s">
        <v>106</v>
      </c>
      <c r="C80" s="304">
        <f>'SCH D'!AQ78</f>
        <v>0</v>
      </c>
      <c r="D80" s="304">
        <v>0</v>
      </c>
      <c r="E80" s="40">
        <f t="shared" si="1"/>
        <v>0</v>
      </c>
      <c r="F80" s="301"/>
      <c r="G80" s="84"/>
      <c r="H80" s="84"/>
      <c r="I80" s="8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</row>
    <row r="81" spans="1:247" ht="12" customHeight="1">
      <c r="A81" s="20">
        <v>219000</v>
      </c>
      <c r="B81" s="21" t="s">
        <v>107</v>
      </c>
      <c r="C81" s="304">
        <f>'SCH D'!AQ79</f>
        <v>0</v>
      </c>
      <c r="D81" s="304">
        <v>0</v>
      </c>
      <c r="E81" s="40">
        <f t="shared" si="1"/>
        <v>0</v>
      </c>
      <c r="F81" s="301"/>
      <c r="G81" s="84"/>
      <c r="H81" s="84"/>
      <c r="I81" s="8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</row>
    <row r="82" spans="1:247" ht="12" customHeight="1">
      <c r="A82" s="20">
        <v>100000</v>
      </c>
      <c r="B82" s="21" t="s">
        <v>108</v>
      </c>
      <c r="C82" s="304">
        <f>'SCH D'!AQ80</f>
        <v>756943.81194321904</v>
      </c>
      <c r="D82" s="304">
        <v>975124.44697536831</v>
      </c>
      <c r="E82" s="40">
        <f t="shared" si="1"/>
        <v>1732068.2589185874</v>
      </c>
      <c r="F82" s="301"/>
      <c r="G82" s="84"/>
      <c r="H82" s="84"/>
      <c r="I82" s="8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</row>
    <row r="83" spans="1:247" ht="12" customHeight="1">
      <c r="A83" s="20"/>
      <c r="B83" s="21" t="s">
        <v>385</v>
      </c>
      <c r="C83" s="304">
        <f>'SCH D'!AQ81</f>
        <v>0</v>
      </c>
      <c r="D83" s="304">
        <v>0</v>
      </c>
      <c r="E83" s="40">
        <f t="shared" si="1"/>
        <v>0</v>
      </c>
      <c r="F83" s="301"/>
      <c r="G83" s="84"/>
      <c r="H83" s="84"/>
      <c r="I83" s="8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</row>
    <row r="84" spans="1:247" ht="12" customHeight="1">
      <c r="A84" s="20">
        <v>706000</v>
      </c>
      <c r="B84" s="21" t="s">
        <v>109</v>
      </c>
      <c r="C84" s="304">
        <f>'SCH D'!AQ82</f>
        <v>1788183.0624871857</v>
      </c>
      <c r="D84" s="304">
        <v>-189056.16846811632</v>
      </c>
      <c r="E84" s="40">
        <f t="shared" si="1"/>
        <v>1599126.8940190694</v>
      </c>
      <c r="F84" s="301"/>
      <c r="G84" s="84"/>
      <c r="H84" s="84"/>
      <c r="I84" s="8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</row>
    <row r="85" spans="1:247" ht="12" customHeight="1">
      <c r="A85" s="20">
        <v>702000</v>
      </c>
      <c r="B85" s="21" t="s">
        <v>110</v>
      </c>
      <c r="C85" s="304">
        <f>'SCH D'!AQ83</f>
        <v>966077.00713060645</v>
      </c>
      <c r="D85" s="304">
        <v>-96442.860172590823</v>
      </c>
      <c r="E85" s="40">
        <f t="shared" si="1"/>
        <v>869634.14695801563</v>
      </c>
      <c r="F85" s="301"/>
      <c r="G85" s="84"/>
      <c r="H85" s="84"/>
      <c r="I85" s="8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</row>
    <row r="86" spans="1:247" ht="12" customHeight="1">
      <c r="A86" s="20">
        <v>704000</v>
      </c>
      <c r="B86" s="21" t="s">
        <v>111</v>
      </c>
      <c r="C86" s="304">
        <f>'SCH D'!AQ84</f>
        <v>269708.58818301256</v>
      </c>
      <c r="D86" s="304">
        <v>-55973.89305941097</v>
      </c>
      <c r="E86" s="40">
        <f t="shared" si="1"/>
        <v>213734.69512360159</v>
      </c>
      <c r="F86" s="301"/>
      <c r="G86" s="84"/>
      <c r="H86" s="84"/>
      <c r="I86" s="8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</row>
    <row r="87" spans="1:247" ht="12" customHeight="1">
      <c r="A87" s="20">
        <v>705000</v>
      </c>
      <c r="B87" s="21" t="s">
        <v>112</v>
      </c>
      <c r="C87" s="304">
        <f>'SCH D'!AQ85</f>
        <v>146758.74578463545</v>
      </c>
      <c r="D87" s="304">
        <v>-10700.860802670097</v>
      </c>
      <c r="E87" s="40">
        <f t="shared" si="1"/>
        <v>136057.88498196536</v>
      </c>
      <c r="F87" s="301"/>
      <c r="G87" s="84"/>
      <c r="H87" s="84"/>
      <c r="I87" s="8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</row>
    <row r="88" spans="1:247" ht="12" customHeight="1">
      <c r="A88" s="20">
        <v>707000</v>
      </c>
      <c r="B88" s="21" t="s">
        <v>113</v>
      </c>
      <c r="C88" s="304">
        <f>'SCH D'!AQ86</f>
        <v>0</v>
      </c>
      <c r="D88" s="304">
        <v>0</v>
      </c>
      <c r="E88" s="40">
        <f t="shared" si="1"/>
        <v>0</v>
      </c>
      <c r="F88" s="301"/>
      <c r="G88" s="84"/>
      <c r="H88" s="84"/>
      <c r="I88" s="8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</row>
    <row r="89" spans="1:247" ht="12" customHeight="1">
      <c r="A89" s="20">
        <v>612000</v>
      </c>
      <c r="B89" s="21" t="s">
        <v>50</v>
      </c>
      <c r="C89" s="304">
        <f>'SCH D'!AQ87</f>
        <v>0</v>
      </c>
      <c r="D89" s="304">
        <v>0</v>
      </c>
      <c r="E89" s="40">
        <f t="shared" si="1"/>
        <v>0</v>
      </c>
      <c r="F89" s="301"/>
      <c r="G89" s="84"/>
      <c r="H89" s="84"/>
      <c r="I89" s="8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</row>
    <row r="90" spans="1:247" ht="12" customHeight="1">
      <c r="A90" s="20">
        <v>604000</v>
      </c>
      <c r="B90" s="21" t="s">
        <v>114</v>
      </c>
      <c r="C90" s="304">
        <f>'SCH D'!AQ88</f>
        <v>63031.197853356309</v>
      </c>
      <c r="D90" s="304">
        <v>-5663.10702612565</v>
      </c>
      <c r="E90" s="40">
        <f t="shared" si="1"/>
        <v>57368.090827230655</v>
      </c>
      <c r="F90" s="301"/>
      <c r="G90" s="84"/>
      <c r="H90" s="84"/>
      <c r="I90" s="8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</row>
    <row r="91" spans="1:247" ht="12" customHeight="1">
      <c r="A91" s="20">
        <v>603000</v>
      </c>
      <c r="B91" s="21" t="s">
        <v>115</v>
      </c>
      <c r="C91" s="304">
        <f>'SCH D'!AQ89</f>
        <v>302238.77586675942</v>
      </c>
      <c r="D91" s="304">
        <v>-814.93398232600885</v>
      </c>
      <c r="E91" s="40">
        <f t="shared" si="1"/>
        <v>301423.84188443341</v>
      </c>
      <c r="F91" s="301"/>
      <c r="G91" s="84"/>
      <c r="H91" s="84"/>
      <c r="I91" s="8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</row>
    <row r="92" spans="1:247" ht="12" customHeight="1">
      <c r="A92" s="20">
        <v>610000</v>
      </c>
      <c r="B92" s="21" t="s">
        <v>116</v>
      </c>
      <c r="C92" s="304">
        <f>'SCH D'!AQ90</f>
        <v>0</v>
      </c>
      <c r="D92" s="304">
        <v>0</v>
      </c>
      <c r="E92" s="40">
        <f t="shared" si="1"/>
        <v>0</v>
      </c>
      <c r="F92" s="301"/>
      <c r="G92" s="84"/>
      <c r="H92" s="84"/>
      <c r="I92" s="8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</row>
    <row r="93" spans="1:247" ht="12" customHeight="1">
      <c r="A93" s="20">
        <v>202000</v>
      </c>
      <c r="B93" s="21" t="s">
        <v>117</v>
      </c>
      <c r="C93" s="304">
        <f>'SCH D'!AQ91</f>
        <v>877412.3057562852</v>
      </c>
      <c r="D93" s="304">
        <f>-14625.8204431994+1</f>
        <v>-14624.8204431994</v>
      </c>
      <c r="E93" s="40">
        <f t="shared" si="1"/>
        <v>862787.48531308584</v>
      </c>
      <c r="F93" s="301"/>
      <c r="G93" s="84"/>
      <c r="H93" s="84"/>
      <c r="I93" s="8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</row>
    <row r="94" spans="1:247" ht="12" customHeight="1">
      <c r="A94" s="20">
        <v>601000</v>
      </c>
      <c r="B94" s="21" t="s">
        <v>118</v>
      </c>
      <c r="C94" s="304">
        <f>'SCH D'!AQ92</f>
        <v>29624.394523580435</v>
      </c>
      <c r="D94" s="304">
        <v>1020.1939803177811</v>
      </c>
      <c r="E94" s="40">
        <f t="shared" si="1"/>
        <v>30644.588503898216</v>
      </c>
      <c r="F94" s="301"/>
      <c r="G94" s="84"/>
      <c r="H94" s="84"/>
      <c r="I94" s="8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</row>
    <row r="95" spans="1:247" ht="12" customHeight="1">
      <c r="A95" s="20">
        <v>611000</v>
      </c>
      <c r="B95" s="21" t="s">
        <v>119</v>
      </c>
      <c r="C95" s="304">
        <f>'SCH D'!AQ93</f>
        <v>0</v>
      </c>
      <c r="D95" s="304">
        <v>0</v>
      </c>
      <c r="E95" s="40">
        <f t="shared" si="1"/>
        <v>0</v>
      </c>
      <c r="F95" s="301"/>
      <c r="G95" s="84"/>
      <c r="H95" s="84"/>
      <c r="I95" s="8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</row>
    <row r="96" spans="1:247" ht="12" customHeight="1">
      <c r="A96" s="20">
        <v>618000</v>
      </c>
      <c r="B96" s="21" t="s">
        <v>120</v>
      </c>
      <c r="C96" s="304">
        <f>'SCH D'!AQ94</f>
        <v>0</v>
      </c>
      <c r="D96" s="304">
        <v>0</v>
      </c>
      <c r="E96" s="40">
        <f t="shared" si="1"/>
        <v>0</v>
      </c>
      <c r="F96" s="301"/>
      <c r="G96" s="84"/>
      <c r="H96" s="84"/>
      <c r="I96" s="8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</row>
    <row r="97" spans="1:247" ht="12" customHeight="1">
      <c r="A97" s="20">
        <v>606000</v>
      </c>
      <c r="B97" s="21" t="s">
        <v>121</v>
      </c>
      <c r="C97" s="304">
        <f>'SCH D'!AQ95</f>
        <v>169524.82463988135</v>
      </c>
      <c r="D97" s="304">
        <v>-5916.9820173674088</v>
      </c>
      <c r="E97" s="40">
        <f t="shared" si="1"/>
        <v>163607.84262251394</v>
      </c>
      <c r="F97" s="301"/>
      <c r="G97" s="84"/>
      <c r="H97" s="84"/>
      <c r="I97" s="8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</row>
    <row r="98" spans="1:247" ht="12" customHeight="1">
      <c r="A98" s="20">
        <v>613000</v>
      </c>
      <c r="B98" s="21" t="s">
        <v>122</v>
      </c>
      <c r="C98" s="304">
        <f>'SCH D'!AQ96</f>
        <v>0</v>
      </c>
      <c r="D98" s="304">
        <v>0</v>
      </c>
      <c r="E98" s="40">
        <f t="shared" si="1"/>
        <v>0</v>
      </c>
      <c r="F98" s="301"/>
      <c r="G98" s="84"/>
      <c r="H98" s="84"/>
      <c r="I98" s="8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</row>
    <row r="99" spans="1:247" ht="12" customHeight="1">
      <c r="A99" s="20">
        <v>701000</v>
      </c>
      <c r="B99" s="21" t="s">
        <v>123</v>
      </c>
      <c r="C99" s="304">
        <f>'SCH D'!AQ97</f>
        <v>870714.51926636836</v>
      </c>
      <c r="D99" s="304">
        <v>-88021.431283404585</v>
      </c>
      <c r="E99" s="40">
        <f t="shared" si="1"/>
        <v>782693.08798296377</v>
      </c>
      <c r="F99" s="301"/>
      <c r="G99" s="84"/>
      <c r="H99" s="84"/>
      <c r="I99" s="8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</row>
    <row r="100" spans="1:247" ht="12" customHeight="1">
      <c r="A100" s="20">
        <v>400000</v>
      </c>
      <c r="B100" s="21" t="s">
        <v>124</v>
      </c>
      <c r="C100" s="304">
        <f>'SCH D'!AQ98</f>
        <v>46490.484081453869</v>
      </c>
      <c r="D100" s="304">
        <v>-2170.7172783745627</v>
      </c>
      <c r="E100" s="40">
        <f t="shared" si="1"/>
        <v>44319.766803079307</v>
      </c>
      <c r="F100" s="301"/>
      <c r="G100" s="84"/>
      <c r="H100" s="84"/>
      <c r="I100" s="8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</row>
    <row r="101" spans="1:247" ht="12" customHeight="1">
      <c r="A101" s="20">
        <v>401000</v>
      </c>
      <c r="B101" s="21" t="s">
        <v>125</v>
      </c>
      <c r="C101" s="304">
        <f>'SCH D'!AQ99</f>
        <v>48199.979494197396</v>
      </c>
      <c r="D101" s="304">
        <v>-845.38294237125228</v>
      </c>
      <c r="E101" s="40">
        <f t="shared" si="1"/>
        <v>47354.596551826144</v>
      </c>
      <c r="F101" s="301"/>
      <c r="G101" s="84"/>
      <c r="H101" s="84"/>
      <c r="I101" s="8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</row>
    <row r="102" spans="1:247" ht="12" customHeight="1">
      <c r="A102" s="20">
        <v>308000</v>
      </c>
      <c r="B102" s="21" t="s">
        <v>126</v>
      </c>
      <c r="C102" s="304">
        <f>'SCH D'!AQ100</f>
        <v>0</v>
      </c>
      <c r="D102" s="304">
        <v>0</v>
      </c>
      <c r="E102" s="40">
        <f t="shared" si="1"/>
        <v>0</v>
      </c>
      <c r="F102" s="301"/>
      <c r="G102" s="84"/>
      <c r="H102" s="84"/>
      <c r="I102" s="8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</row>
    <row r="103" spans="1:247" ht="12" customHeight="1">
      <c r="A103" s="20">
        <v>311000</v>
      </c>
      <c r="B103" s="21" t="s">
        <v>127</v>
      </c>
      <c r="C103" s="304">
        <f>'SCH D'!AQ101</f>
        <v>0</v>
      </c>
      <c r="D103" s="304">
        <v>0</v>
      </c>
      <c r="E103" s="40">
        <f t="shared" si="1"/>
        <v>0</v>
      </c>
      <c r="F103" s="301"/>
      <c r="G103" s="84"/>
      <c r="H103" s="84"/>
      <c r="I103" s="8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</row>
    <row r="104" spans="1:247" ht="12" customHeight="1">
      <c r="A104" s="20">
        <v>401000</v>
      </c>
      <c r="B104" s="21" t="s">
        <v>125</v>
      </c>
      <c r="C104" s="304">
        <f>'SCH D'!AQ102</f>
        <v>0</v>
      </c>
      <c r="D104" s="304">
        <v>0</v>
      </c>
      <c r="E104" s="40">
        <f t="shared" si="1"/>
        <v>0</v>
      </c>
      <c r="F104" s="301"/>
      <c r="G104" s="84"/>
      <c r="H104" s="84"/>
      <c r="I104" s="8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</row>
    <row r="105" spans="1:247" ht="12" customHeight="1">
      <c r="A105" s="20">
        <v>402000</v>
      </c>
      <c r="B105" s="21" t="s">
        <v>128</v>
      </c>
      <c r="C105" s="304">
        <f>'SCH D'!AQ103</f>
        <v>190847.02831513499</v>
      </c>
      <c r="D105" s="304">
        <v>-46286.385936408333</v>
      </c>
      <c r="E105" s="40">
        <f t="shared" si="1"/>
        <v>144560.64237872665</v>
      </c>
      <c r="F105" s="301"/>
      <c r="G105" s="84"/>
      <c r="H105" s="84"/>
      <c r="I105" s="8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</row>
    <row r="106" spans="1:247" ht="12" customHeight="1">
      <c r="A106" s="20">
        <v>317000</v>
      </c>
      <c r="B106" s="21" t="s">
        <v>129</v>
      </c>
      <c r="C106" s="304">
        <f>'SCH D'!AQ104</f>
        <v>0</v>
      </c>
      <c r="D106" s="304">
        <v>0</v>
      </c>
      <c r="E106" s="40">
        <f t="shared" si="1"/>
        <v>0</v>
      </c>
      <c r="F106" s="301"/>
      <c r="G106" s="84"/>
      <c r="H106" s="84"/>
      <c r="I106" s="8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</row>
    <row r="107" spans="1:247" ht="12" customHeight="1">
      <c r="A107" s="20">
        <v>708000</v>
      </c>
      <c r="B107" s="21" t="s">
        <v>130</v>
      </c>
      <c r="C107" s="304">
        <f>'SCH D'!AQ105</f>
        <v>210490.90667016289</v>
      </c>
      <c r="D107" s="304">
        <v>20084.594389016493</v>
      </c>
      <c r="E107" s="40">
        <f t="shared" si="1"/>
        <v>230575.50105917937</v>
      </c>
      <c r="F107" s="301"/>
      <c r="G107" s="84"/>
      <c r="H107" s="84"/>
      <c r="I107" s="8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</row>
    <row r="108" spans="1:247" ht="12" customHeight="1">
      <c r="A108" s="20">
        <v>222000</v>
      </c>
      <c r="B108" s="21" t="s">
        <v>131</v>
      </c>
      <c r="C108" s="304">
        <f>'SCH D'!AQ106</f>
        <v>11137.078204989157</v>
      </c>
      <c r="D108" s="304">
        <v>538.23128989390761</v>
      </c>
      <c r="E108" s="40">
        <f t="shared" si="1"/>
        <v>11675.309494883064</v>
      </c>
      <c r="F108" s="301"/>
      <c r="G108" s="84"/>
      <c r="H108" s="84"/>
      <c r="I108" s="8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</row>
    <row r="109" spans="1:247" ht="12" customHeight="1">
      <c r="A109" s="20">
        <v>221000</v>
      </c>
      <c r="B109" s="21" t="s">
        <v>132</v>
      </c>
      <c r="C109" s="304">
        <f>'SCH D'!AQ107</f>
        <v>835994.16666093853</v>
      </c>
      <c r="D109" s="304">
        <v>33744.411098135912</v>
      </c>
      <c r="E109" s="40">
        <f t="shared" si="1"/>
        <v>869738.5777590744</v>
      </c>
      <c r="F109" s="301"/>
      <c r="G109" s="84"/>
      <c r="H109" s="84"/>
      <c r="I109" s="8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</row>
    <row r="110" spans="1:247" ht="12" customHeight="1">
      <c r="A110" s="20">
        <v>100000</v>
      </c>
      <c r="B110" s="21" t="s">
        <v>133</v>
      </c>
      <c r="C110" s="304">
        <f>'SCH D'!AQ108</f>
        <v>24349.69478648989</v>
      </c>
      <c r="D110" s="304">
        <v>1681.2235471256499</v>
      </c>
      <c r="E110" s="40">
        <f t="shared" si="1"/>
        <v>26030.91833361554</v>
      </c>
      <c r="F110" s="301"/>
      <c r="G110" s="84"/>
      <c r="H110" s="84"/>
      <c r="I110" s="8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</row>
    <row r="111" spans="1:247" ht="12" customHeight="1">
      <c r="A111" s="20"/>
      <c r="B111" s="21" t="s">
        <v>550</v>
      </c>
      <c r="C111" s="304">
        <f>(SUM('SCH D'!AN26,'SCH D'!AN29,'SCH D'!AN30,'SCH D'!AN38:AN50,'SCH D'!AN52:AN56,'SCH D'!AN61,'SCH D'!AN63,'SCH D'!AN86,'SCH D'!AN96,'SCH D'!AN102,'SCH D'!AN104,'SCH D'!AN81)-'SCH D'!AO36)</f>
        <v>869451.74774350203</v>
      </c>
      <c r="D111" s="304">
        <v>0</v>
      </c>
      <c r="E111" s="40">
        <f t="shared" si="1"/>
        <v>869451.74774350203</v>
      </c>
      <c r="F111" s="301"/>
      <c r="G111" s="84"/>
      <c r="H111" s="84"/>
      <c r="I111" s="8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</row>
    <row r="112" spans="1:247" ht="12" customHeight="1">
      <c r="A112" s="20"/>
      <c r="B112" s="21"/>
      <c r="C112" s="304"/>
      <c r="D112" s="304"/>
      <c r="E112" s="304"/>
      <c r="F112" s="301"/>
      <c r="G112" s="84"/>
      <c r="H112" s="84"/>
      <c r="I112" s="8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</row>
    <row r="113" spans="1:247" ht="12" customHeight="1">
      <c r="A113" s="20"/>
      <c r="B113" s="21" t="s">
        <v>140</v>
      </c>
      <c r="C113" s="304">
        <f>SUM(C10:C111)</f>
        <v>47391243.151368499</v>
      </c>
      <c r="D113" s="304">
        <f>SUM(D10:D111)</f>
        <v>-327412.25184880936</v>
      </c>
      <c r="E113" s="304">
        <f>SUM(E10:E111)</f>
        <v>47063830.899519674</v>
      </c>
      <c r="F113" s="301"/>
      <c r="G113" s="84"/>
      <c r="H113" s="84"/>
      <c r="I113" s="8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</row>
    <row r="114" spans="1:247" ht="12" customHeight="1">
      <c r="A114" s="20"/>
      <c r="B114" s="21"/>
      <c r="C114" s="304"/>
      <c r="D114" s="304"/>
      <c r="E114" s="304"/>
      <c r="F114" s="3"/>
      <c r="G114" s="84"/>
      <c r="H114" s="84"/>
      <c r="I114" s="8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</row>
    <row r="115" spans="1:247" ht="12" customHeight="1">
      <c r="A115" s="20"/>
      <c r="B115" s="21" t="s">
        <v>367</v>
      </c>
      <c r="C115" s="304">
        <f>SUM(C11,C14:C31,C33:C39,C53,C61,C65:C66,C70,C74:C77,C79:C81,C84:C108,C109,C83)</f>
        <v>27786385.136509541</v>
      </c>
      <c r="D115" s="304">
        <f>SUM(D11,D14:D31,D33:D39,D53,D61,D65:D66,D70,D74:D77,D79:D81,D84:D108,D109,D83)</f>
        <v>-573382.6068760223</v>
      </c>
      <c r="E115" s="304">
        <f>SUM(E11,E14:E31,E33:E39,E53,E61,E65:E66,E70,E74:E77,E79:E81,E84:E108,E109,E83)</f>
        <v>27213002.529633518</v>
      </c>
      <c r="F115" s="3"/>
      <c r="G115" s="84"/>
      <c r="H115" s="84"/>
      <c r="I115" s="8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</row>
    <row r="116" spans="1:247" ht="12" customHeight="1">
      <c r="A116" s="20"/>
      <c r="B116" s="21" t="s">
        <v>368</v>
      </c>
      <c r="C116" s="80">
        <f>+C115/C113</f>
        <v>0.58631897559132007</v>
      </c>
      <c r="D116" s="304"/>
      <c r="E116" s="304"/>
      <c r="F116" s="3"/>
      <c r="G116" s="84"/>
      <c r="H116" s="84"/>
      <c r="I116" s="8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</row>
    <row r="117" spans="1:247">
      <c r="A117" s="20"/>
      <c r="B117" s="21"/>
      <c r="C117" s="304"/>
      <c r="D117" s="304"/>
      <c r="E117" s="304"/>
      <c r="F117" s="3"/>
      <c r="G117" s="84"/>
      <c r="H117" s="84"/>
      <c r="I117" s="8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</row>
    <row r="118" spans="1:247">
      <c r="A118" s="20"/>
      <c r="B118" s="21"/>
      <c r="C118" s="307"/>
      <c r="D118" s="304"/>
      <c r="E118" s="304"/>
      <c r="F118" s="3"/>
      <c r="G118" s="84"/>
      <c r="H118" s="84"/>
      <c r="I118" s="8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</row>
    <row r="119" spans="1:247">
      <c r="A119" s="22"/>
      <c r="B119" s="21"/>
      <c r="C119" s="304"/>
      <c r="D119" s="304"/>
      <c r="E119" s="304"/>
      <c r="F119" s="3"/>
      <c r="G119" s="84"/>
      <c r="H119" s="84"/>
      <c r="I119" s="8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</row>
    <row r="120" spans="1:247">
      <c r="A120" s="20"/>
      <c r="B120" s="21"/>
      <c r="C120" s="304"/>
      <c r="D120" s="304"/>
      <c r="E120" s="304"/>
      <c r="F120" s="3"/>
      <c r="G120" s="84"/>
      <c r="H120" s="84"/>
      <c r="I120" s="8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</row>
    <row r="121" spans="1:247">
      <c r="A121" s="17" t="str">
        <f>+A1</f>
        <v>CITY OF PORTLAND</v>
      </c>
      <c r="B121" s="21"/>
      <c r="C121" s="310">
        <f ca="1">+C1</f>
        <v>41276.678453009263</v>
      </c>
      <c r="D121" s="304"/>
      <c r="E121" s="304"/>
      <c r="F121" s="3"/>
      <c r="G121" s="84"/>
      <c r="H121" s="84"/>
      <c r="I121" s="8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</row>
    <row r="122" spans="1:247">
      <c r="A122" s="17" t="str">
        <f>+A2</f>
        <v>FY 13/14 GENERAL FUND OVERHEAD</v>
      </c>
      <c r="B122" s="21"/>
      <c r="C122" s="304"/>
      <c r="D122" s="304"/>
      <c r="E122" s="304"/>
      <c r="F122" s="3"/>
      <c r="G122" s="84"/>
      <c r="H122" s="84"/>
      <c r="I122" s="8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</row>
    <row r="123" spans="1:247">
      <c r="A123" s="17" t="str">
        <f>A3&amp;" (Exp. Rate "&amp;FIXED('ACTUAL EXP'!A5*100,0,TRUE)&amp;"%)"</f>
        <v>BASED ON TARGET AMOUNTS (Exp. Rate 99%)</v>
      </c>
      <c r="B123" s="21"/>
      <c r="C123" s="304" t="str">
        <f>+C3</f>
        <v>FY 2013/14</v>
      </c>
      <c r="D123" s="304"/>
      <c r="E123" s="304"/>
      <c r="F123" s="3"/>
      <c r="G123" s="84"/>
      <c r="H123" s="84"/>
      <c r="I123" s="8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</row>
    <row r="124" spans="1:247">
      <c r="A124" s="17" t="str">
        <f>+A4</f>
        <v>SCHEDULE C</v>
      </c>
      <c r="B124" s="21"/>
      <c r="C124" s="304" t="str">
        <f>+C4</f>
        <v>OVERHEAD</v>
      </c>
      <c r="D124" s="304"/>
      <c r="E124" s="304"/>
      <c r="F124" s="3"/>
      <c r="G124" s="84"/>
      <c r="H124" s="84"/>
      <c r="I124" s="8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</row>
    <row r="125" spans="1:247">
      <c r="A125" s="20"/>
      <c r="B125" s="21"/>
      <c r="C125" s="304" t="str">
        <f>+C5</f>
        <v>FOR PROPOSED</v>
      </c>
      <c r="D125" s="304" t="str">
        <f t="shared" ref="D125:E127" si="2">D5</f>
        <v>FY 11/12</v>
      </c>
      <c r="E125" s="304"/>
      <c r="F125" s="3"/>
      <c r="G125" s="84"/>
      <c r="H125" s="84"/>
      <c r="I125" s="8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</row>
    <row r="126" spans="1:247">
      <c r="A126" s="20"/>
      <c r="B126" s="21"/>
      <c r="C126" s="304" t="str">
        <f>+C6</f>
        <v>BUDGET USING</v>
      </c>
      <c r="D126" s="304" t="str">
        <f t="shared" si="2"/>
        <v>TRUE-UP</v>
      </c>
      <c r="E126" s="304"/>
      <c r="F126" s="3"/>
      <c r="G126" s="84"/>
      <c r="H126" s="84"/>
      <c r="I126" s="8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</row>
    <row r="127" spans="1:247">
      <c r="A127" s="20" t="str">
        <f>+A7</f>
        <v>FUND</v>
      </c>
      <c r="B127" s="21" t="str">
        <f>+B7</f>
        <v>OPERATING BUREAUS/FUNDS</v>
      </c>
      <c r="C127" s="304" t="str">
        <f>+C7</f>
        <v>TARGET NOS.</v>
      </c>
      <c r="D127" s="304" t="str">
        <f t="shared" si="2"/>
        <v>ADJUSTMENTS</v>
      </c>
      <c r="E127" s="304" t="str">
        <f t="shared" si="2"/>
        <v>BUDGET</v>
      </c>
      <c r="F127" s="3"/>
      <c r="G127" s="84"/>
      <c r="H127" s="84"/>
      <c r="I127" s="8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</row>
    <row r="128" spans="1:247">
      <c r="A128" s="20"/>
      <c r="B128" s="21"/>
      <c r="C128" s="304"/>
      <c r="D128" s="304"/>
      <c r="E128" s="304"/>
      <c r="F128" s="3"/>
      <c r="G128" s="84"/>
      <c r="H128" s="84"/>
      <c r="I128" s="8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</row>
    <row r="129" spans="1:247">
      <c r="A129" s="20"/>
      <c r="B129" s="21"/>
      <c r="C129" s="304"/>
      <c r="D129" s="304"/>
      <c r="E129" s="304"/>
      <c r="F129" s="3"/>
      <c r="G129" s="84"/>
      <c r="H129" s="84"/>
      <c r="I129" s="8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</row>
    <row r="130" spans="1:247">
      <c r="A130" s="20">
        <f>A10</f>
        <v>100000</v>
      </c>
      <c r="B130" s="18" t="str">
        <f>B10</f>
        <v>Portland Police Bureau</v>
      </c>
      <c r="C130" s="304">
        <f>C10</f>
        <v>7405955.382210671</v>
      </c>
      <c r="D130" s="304">
        <f>D10</f>
        <v>-186916.2771665277</v>
      </c>
      <c r="E130" s="304">
        <f>E10</f>
        <v>7219039.1050441433</v>
      </c>
      <c r="F130" s="3"/>
      <c r="G130" s="84"/>
      <c r="H130" s="84"/>
      <c r="I130" s="8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</row>
    <row r="131" spans="1:247">
      <c r="A131" s="20">
        <f t="shared" ref="A131:C132" si="3">A12</f>
        <v>100000</v>
      </c>
      <c r="B131" s="18" t="str">
        <f t="shared" si="3"/>
        <v>Portland Fire &amp;    Rescue</v>
      </c>
      <c r="C131" s="304">
        <f t="shared" si="3"/>
        <v>4615921.7329282211</v>
      </c>
      <c r="D131" s="304">
        <f>D12</f>
        <v>-112636.99415698554</v>
      </c>
      <c r="E131" s="304">
        <f>+E12</f>
        <v>4503284.7387712356</v>
      </c>
      <c r="F131" s="3"/>
      <c r="G131" s="84"/>
      <c r="H131" s="84"/>
      <c r="I131" s="8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</row>
    <row r="132" spans="1:247">
      <c r="A132" s="20">
        <f t="shared" si="3"/>
        <v>100000</v>
      </c>
      <c r="B132" s="18" t="str">
        <f t="shared" si="3"/>
        <v>Portland Parks &amp;    Recreation</v>
      </c>
      <c r="C132" s="304">
        <f t="shared" si="3"/>
        <v>4009808.4665419962</v>
      </c>
      <c r="D132" s="304">
        <f>D13</f>
        <v>-260205.33794781752</v>
      </c>
      <c r="E132" s="304">
        <f>+E13</f>
        <v>3749603.1285941787</v>
      </c>
      <c r="F132" s="3"/>
      <c r="G132" s="84"/>
      <c r="H132" s="84"/>
      <c r="I132" s="8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</row>
    <row r="133" spans="1:247">
      <c r="A133" s="20">
        <f t="shared" ref="A133:E137" si="4">A56</f>
        <v>100000</v>
      </c>
      <c r="B133" s="18" t="str">
        <f t="shared" si="4"/>
        <v>General Fund Contingency</v>
      </c>
      <c r="C133" s="304">
        <f t="shared" si="4"/>
        <v>0</v>
      </c>
      <c r="D133" s="304">
        <f>D56</f>
        <v>0</v>
      </c>
      <c r="E133" s="304">
        <f t="shared" si="4"/>
        <v>0</v>
      </c>
      <c r="F133" s="3"/>
      <c r="G133" s="84"/>
      <c r="H133" s="84"/>
      <c r="I133" s="8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</row>
    <row r="134" spans="1:247">
      <c r="A134" s="20">
        <f t="shared" si="4"/>
        <v>100000</v>
      </c>
      <c r="B134" s="18" t="str">
        <f t="shared" si="4"/>
        <v>Gen Fund Reimb Expenditures</v>
      </c>
      <c r="C134" s="304">
        <f t="shared" si="4"/>
        <v>0</v>
      </c>
      <c r="D134" s="304">
        <f>D57</f>
        <v>0</v>
      </c>
      <c r="E134" s="304">
        <f t="shared" si="4"/>
        <v>0</v>
      </c>
      <c r="F134" s="3"/>
      <c r="G134" s="84"/>
      <c r="H134" s="84"/>
      <c r="I134" s="8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</row>
    <row r="135" spans="1:247">
      <c r="A135" s="20">
        <f t="shared" si="4"/>
        <v>100000</v>
      </c>
      <c r="B135" s="18" t="str">
        <f t="shared" si="4"/>
        <v>General Fund Transfers</v>
      </c>
      <c r="C135" s="304">
        <f t="shared" si="4"/>
        <v>0</v>
      </c>
      <c r="D135" s="304">
        <f>D58</f>
        <v>0</v>
      </c>
      <c r="E135" s="304">
        <f t="shared" si="4"/>
        <v>0</v>
      </c>
      <c r="F135" s="3"/>
      <c r="G135" s="84"/>
      <c r="H135" s="84"/>
      <c r="I135" s="8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</row>
    <row r="136" spans="1:247">
      <c r="A136" s="20">
        <f t="shared" si="4"/>
        <v>100000</v>
      </c>
      <c r="B136" s="18" t="str">
        <f t="shared" si="4"/>
        <v>Cable Communications    &amp; Franchise Management</v>
      </c>
      <c r="C136" s="304">
        <f t="shared" si="4"/>
        <v>74158.692611010832</v>
      </c>
      <c r="D136" s="304">
        <f>D59</f>
        <v>-32837.49299608724</v>
      </c>
      <c r="E136" s="304">
        <f t="shared" si="4"/>
        <v>41321.199614923593</v>
      </c>
      <c r="F136" s="3"/>
      <c r="G136" s="84"/>
      <c r="H136" s="84"/>
      <c r="I136" s="8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</row>
    <row r="137" spans="1:247">
      <c r="A137" s="20">
        <f t="shared" si="4"/>
        <v>100000</v>
      </c>
      <c r="B137" s="18" t="str">
        <f t="shared" si="4"/>
        <v>Office of Sustainable Development (OSD)</v>
      </c>
      <c r="C137" s="304">
        <f t="shared" si="4"/>
        <v>0</v>
      </c>
      <c r="D137" s="304">
        <f>D60</f>
        <v>0</v>
      </c>
      <c r="E137" s="304">
        <f t="shared" si="4"/>
        <v>0</v>
      </c>
      <c r="F137" s="3"/>
      <c r="G137" s="84"/>
      <c r="H137" s="84"/>
      <c r="I137" s="8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</row>
    <row r="138" spans="1:247">
      <c r="A138" s="20">
        <f t="shared" ref="A138:E140" si="5">A62</f>
        <v>100000</v>
      </c>
      <c r="B138" s="18" t="str">
        <f t="shared" si="5"/>
        <v>Office of Human Relations</v>
      </c>
      <c r="C138" s="304">
        <f t="shared" si="5"/>
        <v>21778.18809382775</v>
      </c>
      <c r="D138" s="304">
        <f>D62</f>
        <v>36171.161546701296</v>
      </c>
      <c r="E138" s="304">
        <f t="shared" si="5"/>
        <v>57949.34964052905</v>
      </c>
      <c r="F138" s="3"/>
      <c r="G138" s="84"/>
      <c r="H138" s="84"/>
      <c r="I138" s="8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</row>
    <row r="139" spans="1:247">
      <c r="A139" s="20">
        <f t="shared" si="5"/>
        <v>100000</v>
      </c>
      <c r="B139" s="18" t="str">
        <f t="shared" si="5"/>
        <v>General Fund Revenues/Balance</v>
      </c>
      <c r="C139" s="304">
        <f t="shared" si="5"/>
        <v>0</v>
      </c>
      <c r="D139" s="304">
        <f>D63</f>
        <v>0</v>
      </c>
      <c r="E139" s="304">
        <f t="shared" si="5"/>
        <v>0</v>
      </c>
      <c r="F139" s="3"/>
      <c r="G139" s="84"/>
      <c r="H139" s="84"/>
      <c r="I139" s="8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</row>
    <row r="140" spans="1:247">
      <c r="A140" s="20">
        <f t="shared" si="5"/>
        <v>100000</v>
      </c>
      <c r="B140" s="18" t="str">
        <f t="shared" si="5"/>
        <v>Business Licenses</v>
      </c>
      <c r="C140" s="304">
        <f t="shared" si="5"/>
        <v>0</v>
      </c>
      <c r="D140" s="304">
        <f>D64</f>
        <v>0</v>
      </c>
      <c r="E140" s="304">
        <f t="shared" si="5"/>
        <v>0</v>
      </c>
      <c r="F140" s="3"/>
      <c r="G140" s="84"/>
      <c r="H140" s="84"/>
      <c r="I140" s="8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</row>
    <row r="141" spans="1:247">
      <c r="A141" s="20">
        <f t="shared" ref="A141:E143" si="6">A67</f>
        <v>100000</v>
      </c>
      <c r="B141" s="18" t="str">
        <f t="shared" si="6"/>
        <v>Office of Neighborhood    Involvement</v>
      </c>
      <c r="C141" s="304">
        <f t="shared" si="6"/>
        <v>307900.11461776291</v>
      </c>
      <c r="D141" s="304">
        <f>D67</f>
        <v>4186.7789959476213</v>
      </c>
      <c r="E141" s="304">
        <f t="shared" si="6"/>
        <v>312086.89361371053</v>
      </c>
      <c r="F141" s="3"/>
      <c r="G141" s="84"/>
      <c r="H141" s="84"/>
      <c r="I141" s="8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</row>
    <row r="142" spans="1:247">
      <c r="A142" s="20">
        <f t="shared" si="6"/>
        <v>100000</v>
      </c>
      <c r="B142" s="18" t="str">
        <f t="shared" si="6"/>
        <v>General Services</v>
      </c>
      <c r="C142" s="304">
        <f t="shared" si="6"/>
        <v>0</v>
      </c>
      <c r="D142" s="304">
        <f>D68</f>
        <v>0</v>
      </c>
      <c r="E142" s="304">
        <f t="shared" si="6"/>
        <v>0</v>
      </c>
      <c r="F142" s="3"/>
      <c r="G142" s="84"/>
      <c r="H142" s="84"/>
      <c r="I142" s="8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</row>
    <row r="143" spans="1:247">
      <c r="A143" s="20">
        <f t="shared" si="6"/>
        <v>100000</v>
      </c>
      <c r="B143" s="18" t="str">
        <f t="shared" si="6"/>
        <v>Utility Billing Sys Implent</v>
      </c>
      <c r="C143" s="304">
        <f t="shared" si="6"/>
        <v>40689.439258657359</v>
      </c>
      <c r="D143" s="304">
        <f>D69</f>
        <v>-15541.285737321145</v>
      </c>
      <c r="E143" s="304">
        <f t="shared" si="6"/>
        <v>25148.153521336215</v>
      </c>
      <c r="F143" s="3"/>
      <c r="G143" s="84"/>
      <c r="H143" s="84"/>
      <c r="I143" s="8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</row>
    <row r="144" spans="1:247">
      <c r="A144" s="20">
        <f>A71</f>
        <v>100000</v>
      </c>
      <c r="B144" s="18" t="str">
        <f>B71</f>
        <v>Office of Equity &amp; Human Rights</v>
      </c>
      <c r="C144" s="304">
        <f>C71</f>
        <v>5026.8546442220486</v>
      </c>
      <c r="D144" s="304">
        <f>D71</f>
        <v>0</v>
      </c>
      <c r="E144" s="304">
        <f>E71</f>
        <v>5026.8546442220486</v>
      </c>
      <c r="F144" s="3"/>
      <c r="G144" s="84"/>
      <c r="H144" s="84"/>
      <c r="I144" s="8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</row>
    <row r="145" spans="1:247">
      <c r="A145" s="20">
        <f t="shared" ref="A145:E146" si="7">A72</f>
        <v>100000</v>
      </c>
      <c r="B145" s="18" t="str">
        <f t="shared" si="7"/>
        <v>Revenue Bureau</v>
      </c>
      <c r="C145" s="304">
        <f t="shared" si="7"/>
        <v>408675.57935100817</v>
      </c>
      <c r="D145" s="304">
        <f>D72</f>
        <v>-99042.612727513013</v>
      </c>
      <c r="E145" s="304">
        <f t="shared" si="7"/>
        <v>309632.96662349516</v>
      </c>
      <c r="F145" s="3"/>
      <c r="G145" s="84"/>
      <c r="H145" s="84"/>
      <c r="I145" s="8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</row>
    <row r="146" spans="1:247">
      <c r="A146" s="20">
        <f t="shared" si="7"/>
        <v>100000</v>
      </c>
      <c r="B146" s="18" t="str">
        <f t="shared" si="7"/>
        <v>Special Appropriations</v>
      </c>
      <c r="C146" s="304">
        <f t="shared" si="7"/>
        <v>269856.73106668552</v>
      </c>
      <c r="D146" s="304">
        <f>D73</f>
        <v>-15560.765196336419</v>
      </c>
      <c r="E146" s="304">
        <f t="shared" si="7"/>
        <v>254295.96587034909</v>
      </c>
      <c r="F146" s="3"/>
      <c r="G146" s="84"/>
      <c r="H146" s="84"/>
      <c r="I146" s="8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</row>
    <row r="147" spans="1:247">
      <c r="A147" s="20">
        <f>A78</f>
        <v>100000</v>
      </c>
      <c r="B147" s="18" t="str">
        <f>B78</f>
        <v>Bureau of Planning &amp;    Sustainability</v>
      </c>
      <c r="C147" s="304">
        <f>C78</f>
        <v>794341.57906167512</v>
      </c>
      <c r="D147" s="304">
        <f>D78</f>
        <v>-48452.490109341452</v>
      </c>
      <c r="E147" s="304">
        <f>E78</f>
        <v>745889.08895233367</v>
      </c>
      <c r="F147" s="3"/>
      <c r="G147" s="84"/>
      <c r="H147" s="84"/>
      <c r="I147" s="8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</row>
    <row r="148" spans="1:247">
      <c r="A148" s="20">
        <f>A82</f>
        <v>100000</v>
      </c>
      <c r="B148" s="18" t="str">
        <f>B82</f>
        <v>Portland Housing Bureau</v>
      </c>
      <c r="C148" s="304">
        <f>C82</f>
        <v>756943.81194321904</v>
      </c>
      <c r="D148" s="304">
        <f>D82</f>
        <v>975124.44697536831</v>
      </c>
      <c r="E148" s="304">
        <f>E82</f>
        <v>1732068.2589185874</v>
      </c>
      <c r="F148" s="3"/>
      <c r="G148" s="84"/>
      <c r="H148" s="84"/>
      <c r="I148" s="8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</row>
    <row r="149" spans="1:247">
      <c r="A149" s="20">
        <f>A110</f>
        <v>100000</v>
      </c>
      <c r="B149" s="18" t="str">
        <f>B110</f>
        <v>Fund Management</v>
      </c>
      <c r="C149" s="304">
        <f>C110</f>
        <v>24349.69478648989</v>
      </c>
      <c r="D149" s="304">
        <f>D110</f>
        <v>1681.2235471256499</v>
      </c>
      <c r="E149" s="304">
        <f>E110</f>
        <v>26030.91833361554</v>
      </c>
      <c r="F149" s="3"/>
      <c r="G149" s="84"/>
      <c r="H149" s="84"/>
      <c r="I149" s="8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</row>
    <row r="150" spans="1:247">
      <c r="A150" s="20"/>
      <c r="B150" s="18" t="str">
        <f>B111</f>
        <v>Excluded funds</v>
      </c>
      <c r="C150" s="304">
        <f>C111</f>
        <v>869451.74774350203</v>
      </c>
      <c r="D150" s="304">
        <f>D111</f>
        <v>0</v>
      </c>
      <c r="E150" s="304">
        <f>E111</f>
        <v>869451.74774350203</v>
      </c>
      <c r="F150" s="3"/>
      <c r="G150" s="84"/>
      <c r="H150" s="84"/>
      <c r="I150" s="8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</row>
    <row r="151" spans="1:247">
      <c r="A151" s="20"/>
      <c r="B151" s="18"/>
      <c r="C151" s="304"/>
      <c r="D151" s="304"/>
      <c r="E151" s="304"/>
      <c r="F151" s="3"/>
      <c r="G151" s="84"/>
      <c r="H151" s="84"/>
      <c r="I151" s="8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</row>
    <row r="152" spans="1:247">
      <c r="A152" s="20"/>
      <c r="B152" s="18"/>
      <c r="C152" s="304">
        <f>SUM(C130:C150)</f>
        <v>19604858.01485895</v>
      </c>
      <c r="D152" s="304">
        <f>SUM(D130:D150)</f>
        <v>245970.35502721294</v>
      </c>
      <c r="E152" s="304">
        <f>SUM(E130:E150)</f>
        <v>19850828.369886164</v>
      </c>
      <c r="F152" s="3"/>
      <c r="G152" s="84"/>
      <c r="H152" s="84"/>
      <c r="I152" s="8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</row>
    <row r="153" spans="1:247">
      <c r="A153" s="20"/>
      <c r="B153" s="18"/>
      <c r="C153" s="304"/>
      <c r="D153" s="304"/>
      <c r="E153" s="304"/>
      <c r="F153" s="3"/>
      <c r="G153" s="84"/>
      <c r="H153" s="84"/>
      <c r="I153" s="8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</row>
    <row r="154" spans="1:247">
      <c r="A154" s="20">
        <f>A17</f>
        <v>200000</v>
      </c>
      <c r="B154" s="18" t="str">
        <f>B17</f>
        <v>Transportation Op</v>
      </c>
      <c r="C154" s="304">
        <f>C17</f>
        <v>6564665.2906829156</v>
      </c>
      <c r="D154" s="304">
        <f>D17</f>
        <v>239544.22276609484</v>
      </c>
      <c r="E154" s="304">
        <f>E17</f>
        <v>6804209.5134490104</v>
      </c>
      <c r="F154" s="3"/>
      <c r="G154" s="84"/>
      <c r="H154" s="84"/>
      <c r="I154" s="8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</row>
    <row r="155" spans="1:247">
      <c r="A155" s="20">
        <f>A35</f>
        <v>201000</v>
      </c>
      <c r="B155" s="18" t="str">
        <f>B35</f>
        <v>Assessmnt Collection</v>
      </c>
      <c r="C155" s="304">
        <f>C35</f>
        <v>11.72843013684035</v>
      </c>
      <c r="D155" s="304">
        <f>D35</f>
        <v>-39.845996693283453</v>
      </c>
      <c r="E155" s="304">
        <f>E35</f>
        <v>-28.117566556443101</v>
      </c>
      <c r="F155" s="3"/>
      <c r="G155" s="84"/>
      <c r="H155" s="84"/>
      <c r="I155" s="8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</row>
    <row r="156" spans="1:247">
      <c r="A156" s="20">
        <f>A93</f>
        <v>202000</v>
      </c>
      <c r="B156" s="18" t="str">
        <f>B93</f>
        <v>Emergency Comm</v>
      </c>
      <c r="C156" s="304">
        <f>C93</f>
        <v>877412.3057562852</v>
      </c>
      <c r="D156" s="304">
        <f>D93</f>
        <v>-14624.8204431994</v>
      </c>
      <c r="E156" s="304">
        <f>E93</f>
        <v>862787.48531308584</v>
      </c>
      <c r="F156" s="3"/>
      <c r="G156" s="84"/>
      <c r="H156" s="84"/>
      <c r="I156" s="8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</row>
    <row r="157" spans="1:247">
      <c r="A157" s="20">
        <f>A79</f>
        <v>203000</v>
      </c>
      <c r="B157" s="18" t="str">
        <f>B79</f>
        <v>Development Services</v>
      </c>
      <c r="C157" s="304">
        <f>C79</f>
        <v>1044981.561831844</v>
      </c>
      <c r="D157" s="304">
        <f>D79</f>
        <v>-273768.32115457417</v>
      </c>
      <c r="E157" s="304">
        <f>E79</f>
        <v>771213.24067726987</v>
      </c>
      <c r="F157" s="3"/>
      <c r="G157" s="84"/>
      <c r="H157" s="84"/>
      <c r="I157" s="8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</row>
    <row r="158" spans="1:247">
      <c r="A158" s="20">
        <f>A34</f>
        <v>204000</v>
      </c>
      <c r="B158" s="18" t="str">
        <f>B34</f>
        <v>Property Mgt License</v>
      </c>
      <c r="C158" s="304">
        <f>C34</f>
        <v>164251.00539691118</v>
      </c>
      <c r="D158" s="304">
        <f>D34</f>
        <v>0</v>
      </c>
      <c r="E158" s="304">
        <f>E34</f>
        <v>164251.00539691118</v>
      </c>
      <c r="F158" s="3"/>
      <c r="G158" s="84"/>
      <c r="H158" s="84"/>
      <c r="I158" s="8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</row>
    <row r="159" spans="1:247">
      <c r="A159" s="20">
        <f>A39</f>
        <v>403000</v>
      </c>
      <c r="B159" s="18" t="str">
        <f>B39</f>
        <v>Public Safety GO Bond Construction</v>
      </c>
      <c r="C159" s="304">
        <f>C39</f>
        <v>40107.273045070586</v>
      </c>
      <c r="D159" s="304">
        <f>D39</f>
        <v>6857.7536839964196</v>
      </c>
      <c r="E159" s="304">
        <f>E39</f>
        <v>46965.026729067002</v>
      </c>
      <c r="F159" s="3"/>
      <c r="G159" s="84"/>
      <c r="H159" s="84"/>
      <c r="I159" s="8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</row>
    <row r="160" spans="1:247">
      <c r="A160" s="20">
        <f>A61</f>
        <v>206000</v>
      </c>
      <c r="B160" s="18" t="str">
        <f>B61</f>
        <v>Cable</v>
      </c>
      <c r="C160" s="304">
        <f>C61</f>
        <v>86020.023678354453</v>
      </c>
      <c r="D160" s="304">
        <f>D61</f>
        <v>-586.32500204220196</v>
      </c>
      <c r="E160" s="304">
        <f>E61</f>
        <v>85433.698676312255</v>
      </c>
      <c r="F160" s="3"/>
      <c r="G160" s="84"/>
      <c r="H160" s="84"/>
      <c r="I160" s="8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</row>
    <row r="161" spans="1:247">
      <c r="A161" s="20">
        <f>A66</f>
        <v>207000</v>
      </c>
      <c r="B161" s="18" t="str">
        <f>B66</f>
        <v>Prvt Hire TR Safety</v>
      </c>
      <c r="C161" s="304">
        <f>C66</f>
        <v>133.17672373399341</v>
      </c>
      <c r="D161" s="304">
        <f>D66</f>
        <v>-201.17742352179874</v>
      </c>
      <c r="E161" s="304">
        <f>E66</f>
        <v>-68.000699787805331</v>
      </c>
      <c r="F161" s="3"/>
      <c r="G161" s="84"/>
      <c r="H161" s="84"/>
      <c r="I161" s="8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</row>
    <row r="162" spans="1:247">
      <c r="A162" s="20">
        <f>A65</f>
        <v>208000</v>
      </c>
      <c r="B162" s="18" t="str">
        <f>B65</f>
        <v>Business Lic Surchg</v>
      </c>
      <c r="C162" s="304">
        <f>C65</f>
        <v>0</v>
      </c>
      <c r="D162" s="304">
        <f>D65</f>
        <v>0</v>
      </c>
      <c r="E162" s="304">
        <f>E65</f>
        <v>0</v>
      </c>
      <c r="F162" s="3"/>
      <c r="G162" s="84"/>
      <c r="H162" s="84"/>
      <c r="I162" s="8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</row>
    <row r="163" spans="1:247">
      <c r="A163" s="20">
        <f>A14</f>
        <v>600000</v>
      </c>
      <c r="B163" s="18" t="str">
        <f>B14</f>
        <v>Sewer System Op</v>
      </c>
      <c r="C163" s="304">
        <f>C14</f>
        <v>7072025.3204713734</v>
      </c>
      <c r="D163" s="304">
        <f>D14</f>
        <v>-107501.56641556323</v>
      </c>
      <c r="E163" s="304">
        <f>E14</f>
        <v>6964523.7540558102</v>
      </c>
      <c r="F163" s="3"/>
      <c r="G163" s="84"/>
      <c r="H163" s="84"/>
      <c r="I163" s="8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</row>
    <row r="164" spans="1:247">
      <c r="A164" s="20">
        <f>A94</f>
        <v>601000</v>
      </c>
      <c r="B164" s="18" t="str">
        <f>B94</f>
        <v>Hydroelectric Pwr Op</v>
      </c>
      <c r="C164" s="304">
        <f>C94</f>
        <v>29624.394523580435</v>
      </c>
      <c r="D164" s="304">
        <f>D94</f>
        <v>1020.1939803177811</v>
      </c>
      <c r="E164" s="304">
        <f>E94</f>
        <v>30644.588503898216</v>
      </c>
      <c r="F164" s="3"/>
      <c r="G164" s="84"/>
      <c r="H164" s="84"/>
      <c r="I164" s="8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</row>
    <row r="165" spans="1:247">
      <c r="A165" s="20">
        <f>A21</f>
        <v>602000</v>
      </c>
      <c r="B165" s="18" t="str">
        <f>B21</f>
        <v>Water</v>
      </c>
      <c r="C165" s="304">
        <f>C21</f>
        <v>4533246.0285781221</v>
      </c>
      <c r="D165" s="304">
        <f>D21</f>
        <v>26924.870119063184</v>
      </c>
      <c r="E165" s="304">
        <f>E21</f>
        <v>4560170.8986971853</v>
      </c>
      <c r="F165" s="3"/>
      <c r="G165" s="84"/>
      <c r="H165" s="84"/>
      <c r="I165" s="8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</row>
    <row r="166" spans="1:247">
      <c r="A166" s="20">
        <f>A91</f>
        <v>603000</v>
      </c>
      <c r="B166" s="18" t="str">
        <f>B91</f>
        <v>Golf</v>
      </c>
      <c r="C166" s="304">
        <f>C91</f>
        <v>302238.77586675942</v>
      </c>
      <c r="D166" s="304">
        <f>D91</f>
        <v>-814.93398232600885</v>
      </c>
      <c r="E166" s="304">
        <f>E91</f>
        <v>301423.84188443341</v>
      </c>
      <c r="F166" s="3"/>
      <c r="G166" s="84"/>
      <c r="H166" s="84"/>
      <c r="I166" s="8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</row>
    <row r="167" spans="1:247">
      <c r="A167" s="20">
        <f>A90</f>
        <v>604000</v>
      </c>
      <c r="B167" s="18" t="str">
        <f>B90</f>
        <v>Portland Int Raceway</v>
      </c>
      <c r="C167" s="304">
        <f>C90</f>
        <v>63031.197853356309</v>
      </c>
      <c r="D167" s="304">
        <f>D90</f>
        <v>-5663.10702612565</v>
      </c>
      <c r="E167" s="304">
        <f>E90</f>
        <v>57368.090827230655</v>
      </c>
      <c r="F167" s="3"/>
      <c r="G167" s="84"/>
      <c r="H167" s="84"/>
      <c r="I167" s="8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</row>
    <row r="168" spans="1:247">
      <c r="A168" s="20">
        <f>A16</f>
        <v>605000</v>
      </c>
      <c r="B168" s="18" t="str">
        <f>B16</f>
        <v>Solid Waste Mgt</v>
      </c>
      <c r="C168" s="304">
        <f>C16</f>
        <v>188043.40292753821</v>
      </c>
      <c r="D168" s="304">
        <f>D16</f>
        <v>9251.6699315035657</v>
      </c>
      <c r="E168" s="304">
        <f>E16</f>
        <v>197295.07285904177</v>
      </c>
      <c r="F168" s="3"/>
      <c r="G168" s="84"/>
      <c r="H168" s="84"/>
      <c r="I168" s="8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</row>
    <row r="169" spans="1:247">
      <c r="A169" s="20">
        <f>A97</f>
        <v>606000</v>
      </c>
      <c r="B169" s="18" t="str">
        <f>B97</f>
        <v>Parking Facilities</v>
      </c>
      <c r="C169" s="304">
        <f>C97</f>
        <v>169524.82463988135</v>
      </c>
      <c r="D169" s="304">
        <f>D97</f>
        <v>-5916.9820173674088</v>
      </c>
      <c r="E169" s="304">
        <f>E97</f>
        <v>163607.84262251394</v>
      </c>
      <c r="F169" s="3"/>
      <c r="G169" s="84"/>
      <c r="H169" s="84"/>
      <c r="I169" s="8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</row>
    <row r="170" spans="1:247">
      <c r="A170" s="20">
        <f>A24</f>
        <v>607000</v>
      </c>
      <c r="B170" s="18" t="str">
        <f>B24</f>
        <v>Spectator Fac Op</v>
      </c>
      <c r="C170" s="304">
        <f>C24</f>
        <v>197854.8846962825</v>
      </c>
      <c r="D170" s="304">
        <f>D24</f>
        <v>12331.002599750427</v>
      </c>
      <c r="E170" s="304">
        <f>E24</f>
        <v>210185.88729603292</v>
      </c>
      <c r="F170" s="3"/>
      <c r="G170" s="84"/>
      <c r="H170" s="84"/>
      <c r="I170" s="8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</row>
    <row r="171" spans="1:247">
      <c r="A171" s="20">
        <f>A15</f>
        <v>608000</v>
      </c>
      <c r="B171" s="18" t="str">
        <f>B15</f>
        <v>Envtl Remediation</v>
      </c>
      <c r="C171" s="304">
        <f>C15</f>
        <v>170185.37898350004</v>
      </c>
      <c r="D171" s="304">
        <f>D15</f>
        <v>-3288.5799014636577</v>
      </c>
      <c r="E171" s="304">
        <f>E15</f>
        <v>166896.79908203636</v>
      </c>
      <c r="F171" s="3"/>
      <c r="G171" s="84"/>
      <c r="H171" s="84"/>
      <c r="I171" s="8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</row>
    <row r="172" spans="1:247">
      <c r="A172" s="20">
        <f>A36</f>
        <v>209000</v>
      </c>
      <c r="B172" s="18" t="str">
        <f>B36</f>
        <v>Convention &amp; Tourism</v>
      </c>
      <c r="C172" s="304">
        <f>C36</f>
        <v>56826.044750699439</v>
      </c>
      <c r="D172" s="304">
        <f>D36</f>
        <v>-706.00851231428533</v>
      </c>
      <c r="E172" s="304">
        <f>E36</f>
        <v>56120.036238385153</v>
      </c>
      <c r="F172" s="3"/>
      <c r="G172" s="84"/>
      <c r="H172" s="84"/>
      <c r="I172" s="8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</row>
    <row r="173" spans="1:247">
      <c r="A173" s="20">
        <f>A54</f>
        <v>210000</v>
      </c>
      <c r="B173" s="18" t="str">
        <f>B54</f>
        <v>General Reserve</v>
      </c>
      <c r="C173" s="304">
        <f>C54</f>
        <v>0</v>
      </c>
      <c r="D173" s="304">
        <f>D54</f>
        <v>0</v>
      </c>
      <c r="E173" s="304">
        <f>E54</f>
        <v>0</v>
      </c>
      <c r="F173" s="3"/>
      <c r="G173" s="84"/>
      <c r="H173" s="84"/>
      <c r="I173" s="8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</row>
    <row r="174" spans="1:247">
      <c r="A174" s="20">
        <f>A31</f>
        <v>211000</v>
      </c>
      <c r="B174" s="18" t="str">
        <f>B31</f>
        <v>Spec Fin &amp; Resource</v>
      </c>
      <c r="C174" s="304">
        <f>C31</f>
        <v>0</v>
      </c>
      <c r="D174" s="304">
        <f>D31</f>
        <v>0</v>
      </c>
      <c r="E174" s="304">
        <f>E31</f>
        <v>0</v>
      </c>
      <c r="F174" s="3"/>
      <c r="G174" s="84"/>
      <c r="H174" s="84"/>
      <c r="I174" s="8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</row>
    <row r="175" spans="1:247">
      <c r="A175" s="20">
        <f>A18</f>
        <v>212000</v>
      </c>
      <c r="B175" s="18" t="str">
        <f>B18</f>
        <v>Transportation Resv</v>
      </c>
      <c r="C175" s="304">
        <f>C18</f>
        <v>0</v>
      </c>
      <c r="D175" s="304">
        <f>D18</f>
        <v>0</v>
      </c>
      <c r="E175" s="304">
        <f>E18</f>
        <v>0</v>
      </c>
      <c r="F175" s="3"/>
      <c r="G175" s="84"/>
      <c r="H175" s="84"/>
      <c r="I175" s="8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</row>
    <row r="176" spans="1:247">
      <c r="A176" s="20">
        <f>A53</f>
        <v>213000</v>
      </c>
      <c r="B176" s="18" t="str">
        <f>B53</f>
        <v>Housing Investment</v>
      </c>
      <c r="C176" s="304">
        <f>C53</f>
        <v>218978.55493665222</v>
      </c>
      <c r="D176" s="304">
        <f>D53</f>
        <v>-1236.8934976488235</v>
      </c>
      <c r="E176" s="304">
        <f>E53</f>
        <v>217741.66143900339</v>
      </c>
      <c r="F176" s="3"/>
      <c r="G176" s="84"/>
      <c r="H176" s="84"/>
      <c r="I176" s="8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</row>
    <row r="177" spans="1:247">
      <c r="A177" s="20">
        <f>A11</f>
        <v>214000</v>
      </c>
      <c r="B177" s="18" t="str">
        <f>B11</f>
        <v>Campaign Finance</v>
      </c>
      <c r="C177" s="304">
        <f>C11</f>
        <v>0</v>
      </c>
      <c r="D177" s="304">
        <f>D11</f>
        <v>0</v>
      </c>
      <c r="E177" s="304">
        <f>E11</f>
        <v>0</v>
      </c>
      <c r="F177" s="3"/>
      <c r="G177" s="84"/>
      <c r="H177" s="84"/>
      <c r="I177" s="8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</row>
    <row r="178" spans="1:247">
      <c r="A178" s="20">
        <f t="shared" ref="A178:E179" si="8">A37</f>
        <v>215000</v>
      </c>
      <c r="B178" s="18" t="str">
        <f t="shared" si="8"/>
        <v>Parks Local Opt Levy</v>
      </c>
      <c r="C178" s="304">
        <f t="shared" si="8"/>
        <v>9633.1185725714931</v>
      </c>
      <c r="D178" s="304">
        <f>D37</f>
        <v>-6529.083578868911</v>
      </c>
      <c r="E178" s="304">
        <f t="shared" si="8"/>
        <v>3104.0349937025821</v>
      </c>
      <c r="F178" s="3"/>
      <c r="G178" s="84"/>
      <c r="H178" s="84"/>
      <c r="I178" s="8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</row>
    <row r="179" spans="1:247">
      <c r="A179" s="20">
        <f t="shared" si="8"/>
        <v>216000</v>
      </c>
      <c r="B179" s="18" t="str">
        <f t="shared" si="8"/>
        <v>Children Investment</v>
      </c>
      <c r="C179" s="304">
        <f t="shared" si="8"/>
        <v>25000</v>
      </c>
      <c r="D179" s="304">
        <f>D38</f>
        <v>0</v>
      </c>
      <c r="E179" s="304">
        <f t="shared" si="8"/>
        <v>25000</v>
      </c>
      <c r="F179" s="3"/>
      <c r="G179" s="84"/>
      <c r="H179" s="84"/>
      <c r="I179" s="8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</row>
    <row r="180" spans="1:247">
      <c r="A180" s="20">
        <f t="shared" ref="A180:E181" si="9">A32</f>
        <v>217000</v>
      </c>
      <c r="B180" s="18" t="str">
        <f t="shared" si="9"/>
        <v>Grants</v>
      </c>
      <c r="C180" s="304">
        <f t="shared" si="9"/>
        <v>0</v>
      </c>
      <c r="D180" s="304">
        <f>D32</f>
        <v>0</v>
      </c>
      <c r="E180" s="304">
        <f t="shared" si="9"/>
        <v>0</v>
      </c>
      <c r="F180" s="3"/>
      <c r="G180" s="84"/>
      <c r="H180" s="84"/>
      <c r="I180" s="8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</row>
    <row r="181" spans="1:247" ht="13" customHeight="1">
      <c r="A181" s="20">
        <f t="shared" si="9"/>
        <v>853000</v>
      </c>
      <c r="B181" s="18" t="str">
        <f t="shared" si="9"/>
        <v>PDC Accounts</v>
      </c>
      <c r="C181" s="304">
        <f t="shared" si="9"/>
        <v>146822.7557128366</v>
      </c>
      <c r="D181" s="304">
        <f>D33</f>
        <v>-3542.9070059441729</v>
      </c>
      <c r="E181" s="304">
        <f t="shared" si="9"/>
        <v>143279.84870689243</v>
      </c>
      <c r="F181" s="3"/>
      <c r="G181" s="84"/>
      <c r="H181" s="84"/>
      <c r="I181" s="8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</row>
    <row r="182" spans="1:247">
      <c r="A182" s="20">
        <f t="shared" ref="A182:E183" si="10">A80</f>
        <v>218000</v>
      </c>
      <c r="B182" s="18" t="str">
        <f t="shared" si="10"/>
        <v>CDBG Incoming (Ext)</v>
      </c>
      <c r="C182" s="304">
        <f t="shared" si="10"/>
        <v>0</v>
      </c>
      <c r="D182" s="304">
        <f>D80</f>
        <v>0</v>
      </c>
      <c r="E182" s="304">
        <f t="shared" si="10"/>
        <v>0</v>
      </c>
      <c r="F182" s="3"/>
      <c r="G182" s="84"/>
      <c r="H182" s="84"/>
      <c r="I182" s="8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</row>
    <row r="183" spans="1:247">
      <c r="A183" s="20">
        <f t="shared" si="10"/>
        <v>219000</v>
      </c>
      <c r="B183" s="18" t="str">
        <f t="shared" si="10"/>
        <v>HOME Incoming (Ext)</v>
      </c>
      <c r="C183" s="304">
        <f t="shared" si="10"/>
        <v>0</v>
      </c>
      <c r="D183" s="304">
        <f>D81</f>
        <v>0</v>
      </c>
      <c r="E183" s="304">
        <f t="shared" si="10"/>
        <v>0</v>
      </c>
      <c r="F183" s="3"/>
      <c r="G183" s="84"/>
      <c r="H183" s="84"/>
      <c r="I183" s="8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</row>
    <row r="184" spans="1:247">
      <c r="A184" s="20">
        <f t="shared" ref="A184:E186" si="11">A41</f>
        <v>301000</v>
      </c>
      <c r="B184" s="18" t="str">
        <f t="shared" si="11"/>
        <v>River Dist URA DR</v>
      </c>
      <c r="C184" s="304">
        <f t="shared" si="11"/>
        <v>0</v>
      </c>
      <c r="D184" s="304">
        <f>D41</f>
        <v>0</v>
      </c>
      <c r="E184" s="304">
        <f t="shared" si="11"/>
        <v>0</v>
      </c>
      <c r="F184" s="3"/>
      <c r="G184" s="84"/>
      <c r="H184" s="84"/>
      <c r="I184" s="8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</row>
    <row r="185" spans="1:247">
      <c r="A185" s="20">
        <f t="shared" si="11"/>
        <v>302000</v>
      </c>
      <c r="B185" s="18" t="str">
        <f t="shared" si="11"/>
        <v>Bonded Dbt Int&amp;Sinkg</v>
      </c>
      <c r="C185" s="304">
        <f t="shared" si="11"/>
        <v>0</v>
      </c>
      <c r="D185" s="304">
        <f>D42</f>
        <v>0</v>
      </c>
      <c r="E185" s="304">
        <f t="shared" si="11"/>
        <v>0</v>
      </c>
      <c r="F185" s="3"/>
      <c r="G185" s="84"/>
      <c r="H185" s="84"/>
      <c r="I185" s="8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</row>
    <row r="186" spans="1:247">
      <c r="A186" s="20">
        <f t="shared" si="11"/>
        <v>303000</v>
      </c>
      <c r="B186" s="18" t="str">
        <f t="shared" si="11"/>
        <v>DTWF Renwl Bd Sink</v>
      </c>
      <c r="C186" s="304">
        <f t="shared" si="11"/>
        <v>0</v>
      </c>
      <c r="D186" s="304">
        <f>D43</f>
        <v>0</v>
      </c>
      <c r="E186" s="304">
        <f t="shared" si="11"/>
        <v>0</v>
      </c>
      <c r="F186" s="3"/>
      <c r="G186" s="84"/>
      <c r="H186" s="84"/>
      <c r="I186" s="8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</row>
    <row r="187" spans="1:247">
      <c r="A187" s="20">
        <f>A55</f>
        <v>304000</v>
      </c>
      <c r="B187" s="18" t="str">
        <f>B55</f>
        <v>Interstate C Dbt Svc</v>
      </c>
      <c r="C187" s="304">
        <f>C55</f>
        <v>0</v>
      </c>
      <c r="D187" s="304">
        <f>D55</f>
        <v>0</v>
      </c>
      <c r="E187" s="304">
        <f>E55</f>
        <v>0</v>
      </c>
      <c r="F187" s="3"/>
      <c r="G187" s="84"/>
      <c r="H187" s="84"/>
      <c r="I187" s="8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</row>
    <row r="188" spans="1:247">
      <c r="A188" s="20">
        <f t="shared" ref="A188:E189" si="12">A44</f>
        <v>305000</v>
      </c>
      <c r="B188" s="18" t="str">
        <f t="shared" si="12"/>
        <v>Pension Debt Rdmpt</v>
      </c>
      <c r="C188" s="304">
        <f t="shared" si="12"/>
        <v>0</v>
      </c>
      <c r="D188" s="304">
        <f>D44</f>
        <v>0</v>
      </c>
      <c r="E188" s="304">
        <f t="shared" si="12"/>
        <v>0</v>
      </c>
      <c r="F188" s="3"/>
      <c r="G188" s="84"/>
      <c r="H188" s="84"/>
      <c r="I188" s="8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</row>
    <row r="189" spans="1:247">
      <c r="A189" s="20">
        <f t="shared" si="12"/>
        <v>306000</v>
      </c>
      <c r="B189" s="18" t="str">
        <f t="shared" si="12"/>
        <v>SO Park Block Rdmpt</v>
      </c>
      <c r="C189" s="304">
        <f t="shared" si="12"/>
        <v>0</v>
      </c>
      <c r="D189" s="304">
        <f>D45</f>
        <v>0</v>
      </c>
      <c r="E189" s="304">
        <f t="shared" si="12"/>
        <v>0</v>
      </c>
      <c r="F189" s="3"/>
      <c r="G189" s="84"/>
      <c r="H189" s="84"/>
      <c r="I189" s="8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</row>
    <row r="190" spans="1:247">
      <c r="A190" s="20">
        <f>A47</f>
        <v>307000</v>
      </c>
      <c r="B190" s="18" t="str">
        <f>B47</f>
        <v>Airport Way Dbt Srvc</v>
      </c>
      <c r="C190" s="304">
        <f>C47</f>
        <v>0</v>
      </c>
      <c r="D190" s="304">
        <f>D47</f>
        <v>0</v>
      </c>
      <c r="E190" s="304">
        <f>E47</f>
        <v>0</v>
      </c>
      <c r="F190" s="3"/>
      <c r="G190" s="84"/>
      <c r="H190" s="84"/>
      <c r="I190" s="8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</row>
    <row r="191" spans="1:247">
      <c r="A191" s="20">
        <f>A102</f>
        <v>308000</v>
      </c>
      <c r="B191" s="18" t="str">
        <f>B102</f>
        <v>Gas Tax Bond Rdmpt</v>
      </c>
      <c r="C191" s="304">
        <f>C102</f>
        <v>0</v>
      </c>
      <c r="D191" s="304">
        <f>D102</f>
        <v>0</v>
      </c>
      <c r="E191" s="304">
        <f>E102</f>
        <v>0</v>
      </c>
      <c r="F191" s="3"/>
      <c r="G191" s="84"/>
      <c r="H191" s="84"/>
      <c r="I191" s="8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</row>
    <row r="192" spans="1:247">
      <c r="A192" s="20">
        <f>A49</f>
        <v>309000</v>
      </c>
      <c r="B192" s="18" t="str">
        <f>B49</f>
        <v>Lents Twn Ctr URA DR</v>
      </c>
      <c r="C192" s="304">
        <f>C49</f>
        <v>0</v>
      </c>
      <c r="D192" s="304">
        <f>D49</f>
        <v>0</v>
      </c>
      <c r="E192" s="304">
        <f>E49</f>
        <v>0</v>
      </c>
      <c r="F192" s="3"/>
      <c r="G192" s="84"/>
      <c r="H192" s="84"/>
      <c r="I192" s="8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</row>
    <row r="193" spans="1:247">
      <c r="A193" s="20">
        <f>A46</f>
        <v>310000</v>
      </c>
      <c r="B193" s="18" t="str">
        <f>B46</f>
        <v>Cntrl E Ind Distr DS</v>
      </c>
      <c r="C193" s="304">
        <f>C46</f>
        <v>0</v>
      </c>
      <c r="D193" s="304">
        <f>D46</f>
        <v>0</v>
      </c>
      <c r="E193" s="304">
        <f>E46</f>
        <v>0</v>
      </c>
      <c r="F193" s="3"/>
      <c r="G193" s="84"/>
      <c r="H193" s="84"/>
      <c r="I193" s="8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</row>
    <row r="194" spans="1:247">
      <c r="A194" s="20">
        <f>A103</f>
        <v>311000</v>
      </c>
      <c r="B194" s="18" t="str">
        <f>B103</f>
        <v>Bancroft Int &amp; Sinkg</v>
      </c>
      <c r="C194" s="304">
        <f>C103</f>
        <v>0</v>
      </c>
      <c r="D194" s="304">
        <f>D103</f>
        <v>0</v>
      </c>
      <c r="E194" s="304">
        <f>E103</f>
        <v>0</v>
      </c>
      <c r="F194" s="3"/>
      <c r="G194" s="84"/>
      <c r="H194" s="84"/>
      <c r="I194" s="8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</row>
    <row r="195" spans="1:247">
      <c r="A195" s="20">
        <f>A48</f>
        <v>312000</v>
      </c>
      <c r="B195" s="18" t="str">
        <f>B48</f>
        <v>Convention Cntr ADS</v>
      </c>
      <c r="C195" s="304">
        <f>C48</f>
        <v>0</v>
      </c>
      <c r="D195" s="304">
        <f>D48</f>
        <v>0</v>
      </c>
      <c r="E195" s="304">
        <f>E48</f>
        <v>0</v>
      </c>
      <c r="F195" s="3"/>
      <c r="G195" s="84"/>
      <c r="H195" s="84"/>
      <c r="I195" s="8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</row>
    <row r="196" spans="1:247">
      <c r="A196" s="20">
        <f t="shared" ref="A196:E198" si="13">A50</f>
        <v>313000</v>
      </c>
      <c r="B196" s="18" t="str">
        <f t="shared" si="13"/>
        <v>N Macadam URA DR</v>
      </c>
      <c r="C196" s="304">
        <f t="shared" si="13"/>
        <v>0</v>
      </c>
      <c r="D196" s="304">
        <f>D50</f>
        <v>0</v>
      </c>
      <c r="E196" s="304">
        <f t="shared" si="13"/>
        <v>0</v>
      </c>
      <c r="F196" s="3"/>
      <c r="G196" s="84"/>
      <c r="H196" s="84"/>
      <c r="I196" s="8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</row>
    <row r="197" spans="1:247">
      <c r="A197" s="20">
        <f t="shared" si="13"/>
        <v>314000</v>
      </c>
      <c r="B197" s="18" t="str">
        <f t="shared" si="13"/>
        <v>Special Prjt Dbt Svc</v>
      </c>
      <c r="C197" s="304">
        <f t="shared" si="13"/>
        <v>0</v>
      </c>
      <c r="D197" s="304">
        <f>D51</f>
        <v>0</v>
      </c>
      <c r="E197" s="304">
        <f t="shared" si="13"/>
        <v>0</v>
      </c>
      <c r="F197" s="3"/>
      <c r="G197" s="84"/>
      <c r="H197" s="84"/>
      <c r="I197" s="8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</row>
    <row r="198" spans="1:247">
      <c r="A198" s="20">
        <f t="shared" si="13"/>
        <v>315000</v>
      </c>
      <c r="B198" s="18" t="str">
        <f t="shared" si="13"/>
        <v>Gateway URA DR</v>
      </c>
      <c r="C198" s="304">
        <f t="shared" si="13"/>
        <v>0</v>
      </c>
      <c r="D198" s="304">
        <f>D52</f>
        <v>0</v>
      </c>
      <c r="E198" s="304">
        <f t="shared" si="13"/>
        <v>0</v>
      </c>
      <c r="F198" s="3"/>
      <c r="G198" s="84"/>
      <c r="H198" s="84"/>
      <c r="I198" s="8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</row>
    <row r="199" spans="1:247">
      <c r="A199" s="20">
        <f>A40</f>
        <v>316000</v>
      </c>
      <c r="B199" s="18" t="str">
        <f>B40</f>
        <v>Willamtte Ind URA DS</v>
      </c>
      <c r="C199" s="304">
        <f>C40</f>
        <v>0</v>
      </c>
      <c r="D199" s="304">
        <f>D40</f>
        <v>0</v>
      </c>
      <c r="E199" s="304">
        <f>E40</f>
        <v>0</v>
      </c>
      <c r="F199" s="3"/>
      <c r="G199" s="84"/>
      <c r="H199" s="84"/>
      <c r="I199" s="8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</row>
    <row r="200" spans="1:247">
      <c r="A200" s="20">
        <f>A20</f>
        <v>609000</v>
      </c>
      <c r="B200" s="18" t="str">
        <f>B20</f>
        <v>Sewer Sys Debt Rdmpt</v>
      </c>
      <c r="C200" s="304">
        <f>C20</f>
        <v>0</v>
      </c>
      <c r="D200" s="304">
        <f>D20</f>
        <v>0</v>
      </c>
      <c r="E200" s="304">
        <f>E20</f>
        <v>0</v>
      </c>
      <c r="F200" s="3"/>
      <c r="G200" s="84"/>
      <c r="H200" s="84"/>
      <c r="I200" s="8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</row>
    <row r="201" spans="1:247">
      <c r="A201" s="20">
        <f>A92</f>
        <v>610000</v>
      </c>
      <c r="B201" s="18" t="str">
        <f>B92</f>
        <v>Golf Rev Bond Rdmpt</v>
      </c>
      <c r="C201" s="304">
        <f>C92</f>
        <v>0</v>
      </c>
      <c r="D201" s="304">
        <f>D92</f>
        <v>0</v>
      </c>
      <c r="E201" s="304">
        <f>E92</f>
        <v>0</v>
      </c>
      <c r="F201" s="3"/>
      <c r="G201" s="84"/>
      <c r="H201" s="84"/>
      <c r="I201" s="8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</row>
    <row r="202" spans="1:247">
      <c r="A202" s="20">
        <f>A95</f>
        <v>611000</v>
      </c>
      <c r="B202" s="18" t="str">
        <f>B95</f>
        <v>Hydro Pwr Bond Rdmpt</v>
      </c>
      <c r="C202" s="304">
        <f>C95</f>
        <v>0</v>
      </c>
      <c r="D202" s="304">
        <f>D95</f>
        <v>0</v>
      </c>
      <c r="E202" s="304">
        <f>E95</f>
        <v>0</v>
      </c>
      <c r="F202" s="3"/>
      <c r="G202" s="84"/>
      <c r="H202" s="84"/>
      <c r="I202" s="8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</row>
    <row r="203" spans="1:247">
      <c r="A203" s="20">
        <f>A23</f>
        <v>612000</v>
      </c>
      <c r="B203" s="18" t="str">
        <f>B23</f>
        <v>Water Bond Sinking</v>
      </c>
      <c r="C203" s="304">
        <f>C23</f>
        <v>0</v>
      </c>
      <c r="D203" s="304">
        <f>D23</f>
        <v>0</v>
      </c>
      <c r="E203" s="304">
        <f>E23</f>
        <v>0</v>
      </c>
      <c r="F203" s="3"/>
      <c r="G203" s="84"/>
      <c r="H203" s="84"/>
      <c r="I203" s="8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</row>
    <row r="204" spans="1:247">
      <c r="A204" s="20">
        <f>A89</f>
        <v>612000</v>
      </c>
      <c r="B204" s="18" t="str">
        <f>B89</f>
        <v>Water Bond Sinking</v>
      </c>
      <c r="C204" s="304">
        <f>C89</f>
        <v>0</v>
      </c>
      <c r="D204" s="304">
        <f>D89</f>
        <v>0</v>
      </c>
      <c r="E204" s="304">
        <f>E89</f>
        <v>0</v>
      </c>
      <c r="F204" s="3"/>
      <c r="G204" s="84"/>
      <c r="H204" s="84"/>
      <c r="I204" s="8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</row>
    <row r="205" spans="1:247">
      <c r="A205" s="20">
        <f>A98</f>
        <v>613000</v>
      </c>
      <c r="B205" s="18" t="str">
        <f>B98</f>
        <v>Parking Fac Db Rdmpt</v>
      </c>
      <c r="C205" s="304">
        <f>C98</f>
        <v>0</v>
      </c>
      <c r="D205" s="304">
        <f>D98</f>
        <v>0</v>
      </c>
      <c r="E205" s="304">
        <f>E98</f>
        <v>0</v>
      </c>
      <c r="F205" s="3"/>
      <c r="G205" s="84"/>
      <c r="H205" s="84"/>
      <c r="I205" s="8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</row>
    <row r="206" spans="1:247">
      <c r="A206" s="20">
        <f>A75</f>
        <v>500000</v>
      </c>
      <c r="B206" s="18" t="str">
        <f>B75</f>
        <v>Parks Endowment</v>
      </c>
      <c r="C206" s="304">
        <f>C75</f>
        <v>0</v>
      </c>
      <c r="D206" s="304">
        <f>D75</f>
        <v>0</v>
      </c>
      <c r="E206" s="304">
        <f>E75</f>
        <v>0</v>
      </c>
      <c r="F206" s="3"/>
      <c r="G206" s="84"/>
      <c r="H206" s="84"/>
      <c r="I206" s="8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</row>
    <row r="207" spans="1:247">
      <c r="A207" s="20">
        <f t="shared" ref="A207:E208" si="14">A100</f>
        <v>400000</v>
      </c>
      <c r="B207" s="18" t="str">
        <f t="shared" si="14"/>
        <v>BFRES Fac GO Bd Cstr</v>
      </c>
      <c r="C207" s="304">
        <f t="shared" si="14"/>
        <v>46490.484081453869</v>
      </c>
      <c r="D207" s="304">
        <f>D100</f>
        <v>-2170.7172783745627</v>
      </c>
      <c r="E207" s="304">
        <f t="shared" si="14"/>
        <v>44319.766803079307</v>
      </c>
      <c r="F207" s="3"/>
      <c r="G207" s="84"/>
      <c r="H207" s="84"/>
      <c r="I207" s="8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</row>
    <row r="208" spans="1:247">
      <c r="A208" s="20">
        <f t="shared" si="14"/>
        <v>401000</v>
      </c>
      <c r="B208" s="18" t="str">
        <f t="shared" si="14"/>
        <v>LID Construction</v>
      </c>
      <c r="C208" s="304">
        <f t="shared" si="14"/>
        <v>48199.979494197396</v>
      </c>
      <c r="D208" s="304">
        <f>D101</f>
        <v>-845.38294237125228</v>
      </c>
      <c r="E208" s="304">
        <f t="shared" si="14"/>
        <v>47354.596551826144</v>
      </c>
      <c r="F208" s="3"/>
      <c r="G208" s="84"/>
      <c r="H208" s="84"/>
      <c r="I208" s="8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</row>
    <row r="209" spans="1:247">
      <c r="A209" s="20">
        <f t="shared" ref="A209:E210" si="15">A104</f>
        <v>401000</v>
      </c>
      <c r="B209" s="18" t="str">
        <f t="shared" si="15"/>
        <v>LID Construction</v>
      </c>
      <c r="C209" s="304">
        <f t="shared" si="15"/>
        <v>0</v>
      </c>
      <c r="D209" s="304">
        <f>D104</f>
        <v>0</v>
      </c>
      <c r="E209" s="304">
        <f t="shared" si="15"/>
        <v>0</v>
      </c>
      <c r="F209" s="3"/>
      <c r="G209" s="84"/>
      <c r="H209" s="84"/>
      <c r="I209" s="8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</row>
    <row r="210" spans="1:247">
      <c r="A210" s="20">
        <f t="shared" si="15"/>
        <v>402000</v>
      </c>
      <c r="B210" s="18" t="str">
        <f t="shared" si="15"/>
        <v>Parks Cap Cstr Maint</v>
      </c>
      <c r="C210" s="304">
        <f t="shared" si="15"/>
        <v>190847.02831513499</v>
      </c>
      <c r="D210" s="304">
        <f>D105</f>
        <v>-46286.385936408333</v>
      </c>
      <c r="E210" s="304">
        <f t="shared" si="15"/>
        <v>144560.64237872665</v>
      </c>
      <c r="F210" s="3"/>
      <c r="G210" s="84"/>
      <c r="H210" s="84"/>
      <c r="I210" s="8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</row>
    <row r="211" spans="1:247">
      <c r="A211" s="20">
        <f>A19</f>
        <v>614000</v>
      </c>
      <c r="B211" s="18" t="str">
        <f>B19</f>
        <v>Sewer System Constr</v>
      </c>
      <c r="C211" s="304">
        <f>C19</f>
        <v>0</v>
      </c>
      <c r="D211" s="304">
        <f>D19</f>
        <v>0</v>
      </c>
      <c r="E211" s="304">
        <f>E19</f>
        <v>0</v>
      </c>
      <c r="F211" s="3"/>
      <c r="G211" s="84"/>
      <c r="H211" s="84"/>
      <c r="I211" s="8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</row>
    <row r="212" spans="1:247">
      <c r="A212" s="20">
        <f>A22</f>
        <v>615000</v>
      </c>
      <c r="B212" s="18" t="str">
        <f>B22</f>
        <v>Water Construction</v>
      </c>
      <c r="C212" s="304">
        <f>C22</f>
        <v>0</v>
      </c>
      <c r="D212" s="304">
        <f>D22</f>
        <v>0</v>
      </c>
      <c r="E212" s="304">
        <f>E22</f>
        <v>0</v>
      </c>
      <c r="F212" s="3"/>
      <c r="G212" s="84"/>
      <c r="H212" s="84"/>
      <c r="I212" s="8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</row>
    <row r="213" spans="1:247">
      <c r="A213" s="20">
        <f>A74</f>
        <v>220000</v>
      </c>
      <c r="B213" s="18" t="str">
        <f>B74</f>
        <v>Portland Park Mem Tr</v>
      </c>
      <c r="C213" s="304">
        <f>C74</f>
        <v>0</v>
      </c>
      <c r="D213" s="304">
        <f>D74</f>
        <v>0</v>
      </c>
      <c r="E213" s="304">
        <f>E74</f>
        <v>0</v>
      </c>
      <c r="F213" s="3"/>
      <c r="G213" s="84"/>
      <c r="H213" s="84"/>
      <c r="I213" s="8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</row>
    <row r="214" spans="1:247">
      <c r="A214" s="20">
        <f>A27</f>
        <v>620000</v>
      </c>
      <c r="B214" s="18" t="str">
        <f>B27</f>
        <v>Sewer Revolving Loan</v>
      </c>
      <c r="C214" s="304">
        <f>C27</f>
        <v>0</v>
      </c>
      <c r="D214" s="304">
        <f>D27</f>
        <v>0</v>
      </c>
      <c r="E214" s="304">
        <f>E27</f>
        <v>0</v>
      </c>
      <c r="F214" s="3"/>
      <c r="G214" s="84"/>
      <c r="H214" s="84"/>
      <c r="I214" s="8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</row>
    <row r="215" spans="1:247">
      <c r="A215" s="20">
        <f>A76</f>
        <v>616000</v>
      </c>
      <c r="B215" s="18" t="str">
        <f>B76</f>
        <v>Wtr Grwth Imp Chg Tr</v>
      </c>
      <c r="C215" s="304">
        <f>C76</f>
        <v>0</v>
      </c>
      <c r="D215" s="304">
        <f>D76</f>
        <v>0</v>
      </c>
      <c r="E215" s="304">
        <f>E76</f>
        <v>0</v>
      </c>
      <c r="F215" s="3"/>
      <c r="G215" s="84"/>
      <c r="H215" s="84"/>
      <c r="I215" s="8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</row>
    <row r="216" spans="1:247">
      <c r="A216" s="20">
        <f t="shared" ref="A216:E217" si="16">A25</f>
        <v>617000</v>
      </c>
      <c r="B216" s="18" t="str">
        <f t="shared" si="16"/>
        <v>Sewer Sys Rate Stblt</v>
      </c>
      <c r="C216" s="304">
        <f t="shared" si="16"/>
        <v>0</v>
      </c>
      <c r="D216" s="304">
        <f>D25</f>
        <v>0</v>
      </c>
      <c r="E216" s="304">
        <f t="shared" si="16"/>
        <v>0</v>
      </c>
      <c r="F216" s="3"/>
      <c r="G216" s="84"/>
      <c r="H216" s="84"/>
      <c r="I216" s="8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</row>
    <row r="217" spans="1:247">
      <c r="A217" s="20">
        <f t="shared" si="16"/>
        <v>619000</v>
      </c>
      <c r="B217" s="18" t="str">
        <f t="shared" si="16"/>
        <v>Sewer Sys Safety Net</v>
      </c>
      <c r="C217" s="304">
        <f t="shared" si="16"/>
        <v>0</v>
      </c>
      <c r="D217" s="304">
        <f>D26</f>
        <v>0</v>
      </c>
      <c r="E217" s="304">
        <f t="shared" si="16"/>
        <v>0</v>
      </c>
      <c r="F217" s="3"/>
      <c r="G217" s="84"/>
      <c r="H217" s="84"/>
      <c r="I217" s="8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</row>
    <row r="218" spans="1:247">
      <c r="A218" s="20">
        <f>A96</f>
        <v>618000</v>
      </c>
      <c r="B218" s="18" t="str">
        <f>B96</f>
        <v>Hydro Pwr Rnwl Rplmt</v>
      </c>
      <c r="C218" s="304">
        <f>C96</f>
        <v>0</v>
      </c>
      <c r="D218" s="304">
        <f>D96</f>
        <v>0</v>
      </c>
      <c r="E218" s="304">
        <f>E96</f>
        <v>0</v>
      </c>
      <c r="F218" s="3"/>
      <c r="G218" s="84"/>
      <c r="H218" s="84"/>
      <c r="I218" s="8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</row>
    <row r="219" spans="1:247">
      <c r="A219" s="20">
        <f t="shared" ref="A219:E220" si="17">A29</f>
        <v>800000</v>
      </c>
      <c r="B219" s="18" t="str">
        <f t="shared" si="17"/>
        <v>FPDR</v>
      </c>
      <c r="C219" s="304">
        <f t="shared" si="17"/>
        <v>96882.52505750714</v>
      </c>
      <c r="D219" s="304">
        <f>D29</f>
        <v>5275.2758024876821</v>
      </c>
      <c r="E219" s="304">
        <f t="shared" si="17"/>
        <v>102157.80085999482</v>
      </c>
      <c r="F219" s="3"/>
      <c r="G219" s="84"/>
      <c r="H219" s="84"/>
      <c r="I219" s="8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</row>
    <row r="220" spans="1:247">
      <c r="A220" s="20">
        <f t="shared" si="17"/>
        <v>801000</v>
      </c>
      <c r="B220" s="18" t="str">
        <f t="shared" si="17"/>
        <v>FPDR Reserve</v>
      </c>
      <c r="C220" s="304">
        <f t="shared" si="17"/>
        <v>0</v>
      </c>
      <c r="D220" s="304">
        <f>D30</f>
        <v>0</v>
      </c>
      <c r="E220" s="304">
        <f t="shared" si="17"/>
        <v>0</v>
      </c>
      <c r="F220" s="3"/>
      <c r="G220" s="84"/>
      <c r="H220" s="84"/>
      <c r="I220" s="8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</row>
    <row r="221" spans="1:247">
      <c r="A221" s="20">
        <f>A28</f>
        <v>802000</v>
      </c>
      <c r="B221" s="18" t="str">
        <f>B28</f>
        <v>F&amp;P Suppl Retir Rsrv</v>
      </c>
      <c r="C221" s="304">
        <f>C28</f>
        <v>0</v>
      </c>
      <c r="D221" s="304">
        <f>D28</f>
        <v>0</v>
      </c>
      <c r="E221" s="304">
        <f>E28</f>
        <v>0</v>
      </c>
      <c r="F221" s="3"/>
      <c r="G221" s="84"/>
      <c r="H221" s="84"/>
      <c r="I221" s="8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</row>
    <row r="222" spans="1:247">
      <c r="A222" s="20">
        <f>A77</f>
        <v>700000</v>
      </c>
      <c r="B222" s="18" t="str">
        <f>B77</f>
        <v>Health Insurance Op</v>
      </c>
      <c r="C222" s="304">
        <f>C77</f>
        <v>88889.286653089555</v>
      </c>
      <c r="D222" s="304">
        <f>D77</f>
        <v>20103.37386431807</v>
      </c>
      <c r="E222" s="304">
        <f>E77</f>
        <v>108992.66051740762</v>
      </c>
      <c r="F222" s="3"/>
      <c r="G222" s="84"/>
      <c r="H222" s="84"/>
      <c r="I222" s="8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</row>
    <row r="223" spans="1:247">
      <c r="A223" s="20">
        <f>A106</f>
        <v>317000</v>
      </c>
      <c r="B223" s="18" t="str">
        <f>B106</f>
        <v>Governmentl Bd Rdmpt</v>
      </c>
      <c r="C223" s="304">
        <f>C106</f>
        <v>0</v>
      </c>
      <c r="D223" s="304">
        <f>D106</f>
        <v>0</v>
      </c>
      <c r="E223" s="304">
        <f>E106</f>
        <v>0</v>
      </c>
      <c r="F223" s="3"/>
      <c r="G223" s="84"/>
      <c r="H223" s="84"/>
      <c r="I223" s="8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</row>
    <row r="224" spans="1:247">
      <c r="A224" s="20">
        <f>A99</f>
        <v>701000</v>
      </c>
      <c r="B224" s="18" t="str">
        <f>B99</f>
        <v>Facilities Svcs Op</v>
      </c>
      <c r="C224" s="304">
        <f>C99</f>
        <v>870714.51926636836</v>
      </c>
      <c r="D224" s="304">
        <f>D99</f>
        <v>-88021.431283404585</v>
      </c>
      <c r="E224" s="304">
        <f>E99</f>
        <v>782693.08798296377</v>
      </c>
      <c r="F224" s="3"/>
      <c r="G224" s="84"/>
      <c r="H224" s="84"/>
      <c r="I224" s="8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</row>
    <row r="225" spans="1:247">
      <c r="A225" s="20">
        <f>A85</f>
        <v>702000</v>
      </c>
      <c r="B225" s="18" t="str">
        <f>B85</f>
        <v>CityFleet Operating</v>
      </c>
      <c r="C225" s="304">
        <f>C85</f>
        <v>966077.00713060645</v>
      </c>
      <c r="D225" s="304">
        <f>D85</f>
        <v>-96442.860172590823</v>
      </c>
      <c r="E225" s="304">
        <f>E85</f>
        <v>869634.14695801563</v>
      </c>
      <c r="F225" s="3"/>
      <c r="G225" s="84"/>
      <c r="H225" s="84"/>
      <c r="I225" s="8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</row>
    <row r="226" spans="1:247">
      <c r="A226" s="20">
        <f>A70</f>
        <v>703000</v>
      </c>
      <c r="B226" s="18" t="str">
        <f>B70</f>
        <v>P&amp;D Srvcs Operating</v>
      </c>
      <c r="C226" s="304">
        <f>C70</f>
        <v>255394.71046185654</v>
      </c>
      <c r="D226" s="304">
        <f>D70</f>
        <v>-35139.954499600513</v>
      </c>
      <c r="E226" s="304">
        <f>E70</f>
        <v>220254.75596225602</v>
      </c>
      <c r="F226" s="3"/>
      <c r="G226" s="84"/>
      <c r="H226" s="84"/>
      <c r="I226" s="8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</row>
    <row r="227" spans="1:247">
      <c r="A227" s="20"/>
      <c r="B227" s="18"/>
      <c r="C227" s="304"/>
      <c r="D227" s="304"/>
      <c r="E227" s="304"/>
      <c r="F227" s="3"/>
      <c r="G227" s="84"/>
      <c r="H227" s="84"/>
      <c r="I227" s="8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</row>
    <row r="228" spans="1:247">
      <c r="A228" s="20">
        <f t="shared" ref="A228:E229" si="18">A86</f>
        <v>704000</v>
      </c>
      <c r="B228" s="18" t="str">
        <f t="shared" si="18"/>
        <v>Insurance &amp; Claim Op</v>
      </c>
      <c r="C228" s="304">
        <f t="shared" si="18"/>
        <v>269708.58818301256</v>
      </c>
      <c r="D228" s="304">
        <f>D86</f>
        <v>-55973.89305941097</v>
      </c>
      <c r="E228" s="304">
        <f t="shared" si="18"/>
        <v>213734.69512360159</v>
      </c>
      <c r="F228" s="3"/>
      <c r="G228" s="84"/>
      <c r="H228" s="84"/>
      <c r="I228" s="8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</row>
    <row r="229" spans="1:247">
      <c r="A229" s="20">
        <f t="shared" si="18"/>
        <v>705000</v>
      </c>
      <c r="B229" s="18" t="str">
        <f t="shared" si="18"/>
        <v>Wkr Comp Self Ins Op</v>
      </c>
      <c r="C229" s="304">
        <f t="shared" si="18"/>
        <v>146758.74578463545</v>
      </c>
      <c r="D229" s="304">
        <f>D87</f>
        <v>-10700.860802670097</v>
      </c>
      <c r="E229" s="304">
        <f t="shared" si="18"/>
        <v>136057.88498196536</v>
      </c>
      <c r="F229" s="3"/>
      <c r="G229" s="84"/>
      <c r="H229" s="84"/>
      <c r="I229" s="8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</row>
    <row r="230" spans="1:247">
      <c r="A230" s="20">
        <f>A84</f>
        <v>706000</v>
      </c>
      <c r="B230" s="18" t="str">
        <f>B84</f>
        <v>Technology Services</v>
      </c>
      <c r="C230" s="304">
        <f>C84</f>
        <v>1788183.0624871857</v>
      </c>
      <c r="D230" s="304">
        <f>D84</f>
        <v>-189056.16846811632</v>
      </c>
      <c r="E230" s="304">
        <f>E84</f>
        <v>1599126.8940190694</v>
      </c>
      <c r="F230" s="3"/>
      <c r="G230" s="84"/>
      <c r="H230" s="84"/>
      <c r="I230" s="8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</row>
    <row r="231" spans="1:247">
      <c r="A231" s="20">
        <f>A88</f>
        <v>707000</v>
      </c>
      <c r="B231" s="18" t="str">
        <f>B88</f>
        <v>PPA Health Insurance</v>
      </c>
      <c r="C231" s="304">
        <f>C88</f>
        <v>0</v>
      </c>
      <c r="D231" s="304">
        <f>D88</f>
        <v>0</v>
      </c>
      <c r="E231" s="304">
        <f>E88</f>
        <v>0</v>
      </c>
      <c r="F231" s="3"/>
      <c r="G231" s="84"/>
      <c r="H231" s="84"/>
      <c r="I231" s="8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</row>
    <row r="232" spans="1:247">
      <c r="A232" s="20">
        <f t="shared" ref="A232:E234" si="19">A107</f>
        <v>708000</v>
      </c>
      <c r="B232" s="18" t="str">
        <f t="shared" si="19"/>
        <v>Enterprise Business Solutions Services</v>
      </c>
      <c r="C232" s="304">
        <f t="shared" si="19"/>
        <v>210490.90667016289</v>
      </c>
      <c r="D232" s="304">
        <f>D107</f>
        <v>20084.594389016493</v>
      </c>
      <c r="E232" s="304">
        <f t="shared" si="19"/>
        <v>230575.50105917937</v>
      </c>
      <c r="F232" s="3"/>
      <c r="G232" s="84"/>
      <c r="H232" s="84"/>
      <c r="I232" s="8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</row>
    <row r="233" spans="1:247">
      <c r="A233" s="20">
        <f t="shared" si="19"/>
        <v>222000</v>
      </c>
      <c r="B233" s="18" t="str">
        <f t="shared" si="19"/>
        <v>Police Special Revenue</v>
      </c>
      <c r="C233" s="304">
        <f t="shared" si="19"/>
        <v>11137.078204989157</v>
      </c>
      <c r="D233" s="304">
        <f>D108</f>
        <v>538.23128989390761</v>
      </c>
      <c r="E233" s="304">
        <f t="shared" si="19"/>
        <v>11675.309494883064</v>
      </c>
      <c r="F233" s="3"/>
      <c r="G233" s="84"/>
      <c r="H233" s="84"/>
      <c r="I233" s="8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</row>
    <row r="234" spans="1:247">
      <c r="A234" s="20">
        <f t="shared" si="19"/>
        <v>221000</v>
      </c>
      <c r="B234" s="18" t="str">
        <f t="shared" si="19"/>
        <v>Tax Increment Financing Reimbursment</v>
      </c>
      <c r="C234" s="304">
        <f t="shared" si="19"/>
        <v>835994.16666093853</v>
      </c>
      <c r="D234" s="304">
        <f>D109</f>
        <v>33744.411098135912</v>
      </c>
      <c r="E234" s="304">
        <f t="shared" si="19"/>
        <v>869738.5777590744</v>
      </c>
      <c r="F234" s="3"/>
      <c r="G234" s="84"/>
      <c r="H234" s="84"/>
      <c r="I234" s="8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</row>
    <row r="235" spans="1:247">
      <c r="A235" s="20"/>
      <c r="B235" s="18" t="str">
        <f>B83</f>
        <v>Headwaters Apartment Complex Fund</v>
      </c>
      <c r="C235" s="304">
        <f>C83</f>
        <v>0</v>
      </c>
      <c r="D235" s="304">
        <f>D83</f>
        <v>0</v>
      </c>
      <c r="E235" s="304">
        <f>E83</f>
        <v>0</v>
      </c>
      <c r="F235" s="3"/>
      <c r="G235" s="84"/>
      <c r="H235" s="84"/>
      <c r="I235" s="8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</row>
    <row r="236" spans="1:247">
      <c r="A236" s="20"/>
      <c r="B236" s="18"/>
      <c r="C236" s="304"/>
      <c r="D236" s="304"/>
      <c r="E236" s="304"/>
      <c r="F236" s="3"/>
      <c r="G236" s="84"/>
      <c r="H236" s="84"/>
      <c r="I236" s="8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</row>
    <row r="237" spans="1:247">
      <c r="A237" s="20"/>
      <c r="B237" s="18" t="s">
        <v>140</v>
      </c>
      <c r="C237" s="308">
        <f>SUM(C152:C235)</f>
        <v>47391243.151368499</v>
      </c>
      <c r="D237" s="308">
        <f>SUM(D152:D235)</f>
        <v>-327412.25184880919</v>
      </c>
      <c r="E237" s="308">
        <f>SUM(E152:E235)</f>
        <v>47063830.899519674</v>
      </c>
      <c r="F237" s="3"/>
      <c r="G237" s="84"/>
      <c r="H237" s="84"/>
      <c r="I237" s="8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</row>
    <row r="238" spans="1:247">
      <c r="A238" s="20"/>
      <c r="B238" s="18"/>
      <c r="C238" s="304">
        <f>C237-C113</f>
        <v>0</v>
      </c>
      <c r="D238" s="304"/>
      <c r="E238" s="304"/>
      <c r="F238" s="3"/>
      <c r="G238" s="84"/>
      <c r="H238" s="84"/>
      <c r="I238" s="8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</row>
    <row r="239" spans="1:247">
      <c r="A239" s="20"/>
      <c r="B239" s="18" t="s">
        <v>367</v>
      </c>
      <c r="C239" s="304">
        <f>SUM(C154:C235)</f>
        <v>27786385.136509541</v>
      </c>
      <c r="D239" s="304">
        <f>SUM(D154:D235)</f>
        <v>-573382.60687602218</v>
      </c>
      <c r="E239" s="304">
        <f>SUM(E154:E235)</f>
        <v>27213002.529633522</v>
      </c>
      <c r="F239" s="3"/>
      <c r="G239" s="84"/>
      <c r="H239" s="84"/>
      <c r="I239" s="8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</row>
    <row r="240" spans="1:247">
      <c r="A240" s="20"/>
      <c r="B240" s="18" t="s">
        <v>368</v>
      </c>
      <c r="C240" s="80">
        <f>C239/C237</f>
        <v>0.58631897559132007</v>
      </c>
      <c r="D240" s="304"/>
      <c r="E240" s="304"/>
      <c r="F240" s="3"/>
      <c r="G240" s="84"/>
      <c r="H240" s="84"/>
      <c r="I240" s="8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</row>
    <row r="241" spans="1:247">
      <c r="A241" s="20"/>
      <c r="B241" s="18"/>
      <c r="C241" s="304"/>
      <c r="D241" s="304"/>
      <c r="E241" s="304"/>
      <c r="F241" s="3"/>
      <c r="G241" s="84"/>
      <c r="H241" s="84"/>
      <c r="I241" s="8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</row>
    <row r="242" spans="1:247">
      <c r="A242" s="20"/>
      <c r="B242" s="18"/>
      <c r="C242" s="304"/>
      <c r="D242" s="304"/>
      <c r="E242" s="304"/>
      <c r="F242" s="3"/>
      <c r="G242" s="84"/>
      <c r="H242" s="84"/>
      <c r="I242" s="8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</row>
    <row r="243" spans="1:247">
      <c r="A243" s="20"/>
      <c r="B243" s="18"/>
      <c r="C243" s="304"/>
      <c r="D243" s="304"/>
      <c r="E243" s="304"/>
      <c r="F243" s="3"/>
      <c r="G243" s="84"/>
      <c r="H243" s="84"/>
      <c r="I243" s="8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</row>
    <row r="244" spans="1:247">
      <c r="A244" s="20"/>
      <c r="B244" s="18"/>
      <c r="C244" s="304"/>
      <c r="D244" s="304"/>
      <c r="E244" s="304"/>
      <c r="F244" s="3"/>
      <c r="G244" s="84"/>
      <c r="H244" s="84"/>
      <c r="I244" s="8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</row>
    <row r="245" spans="1:247">
      <c r="A245" s="298" t="s">
        <v>229</v>
      </c>
      <c r="C245" s="311">
        <f ca="1">C1</f>
        <v>41276.678453009263</v>
      </c>
      <c r="G245" s="84"/>
      <c r="H245" s="84"/>
      <c r="I245" s="84"/>
    </row>
    <row r="246" spans="1:247">
      <c r="A246" s="298" t="s">
        <v>597</v>
      </c>
      <c r="G246" s="84"/>
      <c r="H246" s="84"/>
      <c r="I246" s="84"/>
    </row>
    <row r="247" spans="1:247">
      <c r="A247" s="298" t="s">
        <v>621</v>
      </c>
      <c r="C247" s="303" t="s">
        <v>592</v>
      </c>
      <c r="G247" s="84"/>
      <c r="H247" s="84"/>
      <c r="I247" s="84"/>
    </row>
    <row r="248" spans="1:247">
      <c r="A248" s="298" t="s">
        <v>365</v>
      </c>
      <c r="C248" s="303" t="s">
        <v>233</v>
      </c>
      <c r="G248" s="84"/>
      <c r="H248" s="84"/>
      <c r="I248" s="84"/>
    </row>
    <row r="249" spans="1:247">
      <c r="C249" s="303" t="s">
        <v>589</v>
      </c>
      <c r="D249" s="303" t="s">
        <v>554</v>
      </c>
      <c r="G249" s="84"/>
      <c r="H249" s="84"/>
      <c r="I249" s="84"/>
    </row>
    <row r="250" spans="1:247">
      <c r="C250" s="303" t="s">
        <v>590</v>
      </c>
      <c r="D250" s="303" t="s">
        <v>622</v>
      </c>
      <c r="G250" s="84"/>
      <c r="H250" s="84"/>
      <c r="I250" s="84"/>
    </row>
    <row r="251" spans="1:247">
      <c r="A251" s="23" t="s">
        <v>366</v>
      </c>
      <c r="B251" s="19" t="s">
        <v>36</v>
      </c>
      <c r="C251" s="303" t="s">
        <v>591</v>
      </c>
      <c r="D251" s="303" t="s">
        <v>313</v>
      </c>
      <c r="E251" s="303" t="s">
        <v>217</v>
      </c>
      <c r="G251" s="84"/>
      <c r="H251" s="84"/>
      <c r="I251" s="84"/>
    </row>
    <row r="252" spans="1:247">
      <c r="G252" s="84"/>
      <c r="H252" s="84"/>
      <c r="I252" s="84"/>
    </row>
    <row r="253" spans="1:247">
      <c r="G253" s="84"/>
      <c r="H253" s="84"/>
      <c r="I253" s="84"/>
    </row>
    <row r="254" spans="1:247">
      <c r="A254" s="23">
        <v>100000</v>
      </c>
      <c r="B254" s="19" t="s">
        <v>37</v>
      </c>
      <c r="C254" s="303">
        <v>7405955.382210671</v>
      </c>
      <c r="D254" s="303">
        <v>-186916.2771665277</v>
      </c>
      <c r="E254" s="303">
        <v>7219039.1050441433</v>
      </c>
      <c r="G254" s="84"/>
      <c r="H254" s="84"/>
      <c r="I254" s="84"/>
    </row>
    <row r="255" spans="1:247">
      <c r="A255" s="23">
        <v>100000</v>
      </c>
      <c r="B255" s="19" t="s">
        <v>39</v>
      </c>
      <c r="C255" s="303">
        <v>4615921.7329282211</v>
      </c>
      <c r="D255" s="303">
        <v>-112636.99415698554</v>
      </c>
      <c r="E255" s="303">
        <v>4503284.7387712356</v>
      </c>
      <c r="G255" s="84"/>
      <c r="H255" s="84"/>
      <c r="I255" s="84"/>
    </row>
    <row r="256" spans="1:247">
      <c r="A256" s="23">
        <v>100000</v>
      </c>
      <c r="B256" s="19" t="s">
        <v>40</v>
      </c>
      <c r="C256" s="303">
        <v>4009808.4665419962</v>
      </c>
      <c r="D256" s="303">
        <v>-260205.33794781752</v>
      </c>
      <c r="E256" s="303">
        <v>3749603.1285941787</v>
      </c>
      <c r="G256" s="84"/>
      <c r="H256" s="84"/>
      <c r="I256" s="84"/>
    </row>
    <row r="257" spans="1:6">
      <c r="A257" s="23">
        <v>100000</v>
      </c>
      <c r="B257" s="19" t="s">
        <v>86</v>
      </c>
      <c r="C257" s="303">
        <v>74158.692611010832</v>
      </c>
      <c r="D257" s="303">
        <v>-32837.49299608724</v>
      </c>
      <c r="E257" s="303">
        <v>41321.199614923593</v>
      </c>
    </row>
    <row r="258" spans="1:6">
      <c r="A258" s="23">
        <v>100000</v>
      </c>
      <c r="B258" s="19" t="s">
        <v>89</v>
      </c>
      <c r="C258" s="303">
        <v>21778.18809382775</v>
      </c>
      <c r="D258" s="303">
        <v>36171.161546701296</v>
      </c>
      <c r="E258" s="303">
        <v>57949.34964052905</v>
      </c>
    </row>
    <row r="259" spans="1:6" ht="13.5" customHeight="1">
      <c r="A259" s="23">
        <v>100000</v>
      </c>
      <c r="B259" s="19" t="s">
        <v>94</v>
      </c>
      <c r="C259" s="303">
        <v>307900.11461776291</v>
      </c>
      <c r="D259" s="303">
        <v>4186.7789959476213</v>
      </c>
      <c r="E259" s="303">
        <v>312086.89361371053</v>
      </c>
    </row>
    <row r="260" spans="1:6">
      <c r="A260" s="23">
        <v>100000</v>
      </c>
      <c r="B260" s="19" t="s">
        <v>96</v>
      </c>
      <c r="C260" s="303">
        <v>40689.439258657359</v>
      </c>
      <c r="D260" s="303">
        <v>-15541.285737321145</v>
      </c>
      <c r="E260" s="303">
        <v>25148.153521336215</v>
      </c>
    </row>
    <row r="261" spans="1:6">
      <c r="A261" s="23">
        <v>100000</v>
      </c>
      <c r="B261" s="19" t="s">
        <v>579</v>
      </c>
      <c r="C261" s="303">
        <v>5026.8546442220486</v>
      </c>
      <c r="D261" s="303">
        <v>0</v>
      </c>
      <c r="E261" s="303">
        <v>5026.8546442220486</v>
      </c>
    </row>
    <row r="262" spans="1:6">
      <c r="A262" s="23">
        <v>100000</v>
      </c>
      <c r="B262" s="19" t="s">
        <v>98</v>
      </c>
      <c r="C262" s="303">
        <v>408675.57935100817</v>
      </c>
      <c r="D262" s="303">
        <v>-99042.612727513013</v>
      </c>
      <c r="E262" s="303">
        <v>309632.96662349516</v>
      </c>
    </row>
    <row r="263" spans="1:6">
      <c r="A263" s="23">
        <v>100000</v>
      </c>
      <c r="B263" s="19" t="s">
        <v>99</v>
      </c>
      <c r="C263" s="303">
        <v>269856.73106668552</v>
      </c>
      <c r="D263" s="303">
        <v>-15560.765196336419</v>
      </c>
      <c r="E263" s="303">
        <v>254295.96587034909</v>
      </c>
    </row>
    <row r="264" spans="1:6">
      <c r="A264" s="23">
        <v>100000</v>
      </c>
      <c r="B264" s="19" t="s">
        <v>104</v>
      </c>
      <c r="C264" s="303">
        <v>794341.57906167512</v>
      </c>
      <c r="D264" s="303">
        <v>-48452.490109341452</v>
      </c>
      <c r="E264" s="303">
        <v>745889.08895233367</v>
      </c>
    </row>
    <row r="265" spans="1:6">
      <c r="A265" s="23">
        <v>100000</v>
      </c>
      <c r="B265" s="19" t="s">
        <v>108</v>
      </c>
      <c r="C265" s="303">
        <v>756943.81194321904</v>
      </c>
      <c r="D265" s="303">
        <v>975124.44697536831</v>
      </c>
      <c r="E265" s="303">
        <v>1732068.2589185874</v>
      </c>
    </row>
    <row r="266" spans="1:6">
      <c r="A266" s="23">
        <v>100000</v>
      </c>
      <c r="B266" s="19" t="s">
        <v>133</v>
      </c>
      <c r="C266" s="303">
        <v>24349.69478648989</v>
      </c>
      <c r="D266" s="303">
        <v>1681.2235471256499</v>
      </c>
      <c r="E266" s="303">
        <v>26030.91833361554</v>
      </c>
    </row>
    <row r="267" spans="1:6">
      <c r="B267" s="19" t="s">
        <v>550</v>
      </c>
      <c r="C267" s="303">
        <v>869451.74774350203</v>
      </c>
      <c r="D267" s="303">
        <v>0</v>
      </c>
      <c r="E267" s="303">
        <v>869451.74774350203</v>
      </c>
    </row>
    <row r="269" spans="1:6">
      <c r="C269" s="303">
        <f>SUM(C254:C268)</f>
        <v>19604858.01485895</v>
      </c>
      <c r="D269" s="303">
        <f t="shared" ref="D269:E269" si="20">SUM(D254:D268)</f>
        <v>245970.35502721294</v>
      </c>
      <c r="E269" s="303">
        <f t="shared" si="20"/>
        <v>19850828.369886164</v>
      </c>
    </row>
    <row r="271" spans="1:6">
      <c r="A271" s="23">
        <v>200000</v>
      </c>
      <c r="B271" s="19" t="s">
        <v>44</v>
      </c>
      <c r="C271" s="303">
        <v>6564665.2906829156</v>
      </c>
      <c r="D271" s="303">
        <v>239544.22276609484</v>
      </c>
      <c r="E271" s="303">
        <v>6804209.5134490104</v>
      </c>
      <c r="F271" s="312"/>
    </row>
    <row r="272" spans="1:6">
      <c r="A272" s="23">
        <v>201000</v>
      </c>
      <c r="B272" s="19" t="s">
        <v>62</v>
      </c>
      <c r="C272" s="303">
        <v>11.72843013684035</v>
      </c>
      <c r="D272" s="303">
        <v>-39.845996693283453</v>
      </c>
      <c r="E272" s="303">
        <v>-28.117566556443101</v>
      </c>
      <c r="F272" s="312"/>
    </row>
    <row r="273" spans="1:6">
      <c r="A273" s="23">
        <v>202000</v>
      </c>
      <c r="B273" s="19" t="s">
        <v>117</v>
      </c>
      <c r="C273" s="303">
        <v>877412.3057562852</v>
      </c>
      <c r="D273" s="303">
        <v>-14624.8204431994</v>
      </c>
      <c r="E273" s="303">
        <v>862787.48531308584</v>
      </c>
      <c r="F273" s="312"/>
    </row>
    <row r="274" spans="1:6">
      <c r="A274" s="23">
        <v>203000</v>
      </c>
      <c r="B274" s="19" t="s">
        <v>105</v>
      </c>
      <c r="C274" s="303">
        <v>1044981.561831844</v>
      </c>
      <c r="D274" s="303">
        <v>-273768.32115457417</v>
      </c>
      <c r="E274" s="303">
        <v>771213.24067726987</v>
      </c>
      <c r="F274" s="312"/>
    </row>
    <row r="275" spans="1:6">
      <c r="A275" s="23">
        <v>204000</v>
      </c>
      <c r="B275" s="19" t="s">
        <v>61</v>
      </c>
      <c r="C275" s="303">
        <v>164251.00539691118</v>
      </c>
      <c r="D275" s="303">
        <v>0</v>
      </c>
      <c r="E275" s="303">
        <v>164251.00539691118</v>
      </c>
      <c r="F275" s="312"/>
    </row>
    <row r="276" spans="1:6">
      <c r="A276" s="23">
        <v>403000</v>
      </c>
      <c r="B276" s="298" t="s">
        <v>630</v>
      </c>
      <c r="C276" s="303">
        <v>40107.273045070586</v>
      </c>
      <c r="D276" s="303">
        <v>6857.7536839964196</v>
      </c>
      <c r="E276" s="303">
        <v>46965.026729067002</v>
      </c>
      <c r="F276" s="312"/>
    </row>
    <row r="277" spans="1:6">
      <c r="A277" s="23">
        <v>206000</v>
      </c>
      <c r="B277" s="19" t="s">
        <v>88</v>
      </c>
      <c r="C277" s="303">
        <v>86020.023678354453</v>
      </c>
      <c r="D277" s="303">
        <v>-586.32500204220196</v>
      </c>
      <c r="E277" s="303">
        <v>85433.698676312255</v>
      </c>
      <c r="F277" s="312"/>
    </row>
    <row r="278" spans="1:6">
      <c r="A278" s="23">
        <v>207000</v>
      </c>
      <c r="B278" s="19" t="s">
        <v>93</v>
      </c>
      <c r="C278" s="303">
        <v>133.17672373399341</v>
      </c>
      <c r="D278" s="303">
        <v>-201.17742352179874</v>
      </c>
      <c r="E278" s="303">
        <v>-68.000699787805331</v>
      </c>
      <c r="F278" s="312"/>
    </row>
    <row r="279" spans="1:6">
      <c r="A279" s="23">
        <v>600000</v>
      </c>
      <c r="B279" s="19" t="s">
        <v>41</v>
      </c>
      <c r="C279" s="303">
        <v>7072025.3204713734</v>
      </c>
      <c r="D279" s="303">
        <v>-107501.56641556323</v>
      </c>
      <c r="E279" s="303">
        <v>6964523.7540558102</v>
      </c>
      <c r="F279" s="312"/>
    </row>
    <row r="280" spans="1:6">
      <c r="A280" s="23">
        <v>601000</v>
      </c>
      <c r="B280" s="19" t="s">
        <v>118</v>
      </c>
      <c r="C280" s="303">
        <v>29624.394523580435</v>
      </c>
      <c r="D280" s="303">
        <v>1020.1939803177811</v>
      </c>
      <c r="E280" s="303">
        <v>30644.588503898216</v>
      </c>
      <c r="F280" s="312"/>
    </row>
    <row r="281" spans="1:6">
      <c r="A281" s="23">
        <v>602000</v>
      </c>
      <c r="B281" s="19" t="s">
        <v>48</v>
      </c>
      <c r="C281" s="303">
        <v>4533246.0285781221</v>
      </c>
      <c r="D281" s="303">
        <v>26924.870119063184</v>
      </c>
      <c r="E281" s="303">
        <v>4560170.8986971853</v>
      </c>
      <c r="F281" s="312"/>
    </row>
    <row r="282" spans="1:6">
      <c r="A282" s="23">
        <v>603000</v>
      </c>
      <c r="B282" s="19" t="s">
        <v>115</v>
      </c>
      <c r="C282" s="303">
        <v>302238.77586675942</v>
      </c>
      <c r="D282" s="303">
        <v>-814.93398232600885</v>
      </c>
      <c r="E282" s="303">
        <v>301423.84188443341</v>
      </c>
      <c r="F282" s="312"/>
    </row>
    <row r="283" spans="1:6">
      <c r="A283" s="23">
        <v>604000</v>
      </c>
      <c r="B283" s="19" t="s">
        <v>114</v>
      </c>
      <c r="C283" s="303">
        <v>63031.197853356309</v>
      </c>
      <c r="D283" s="303">
        <v>-5663.10702612565</v>
      </c>
      <c r="E283" s="303">
        <v>57368.090827230655</v>
      </c>
      <c r="F283" s="312"/>
    </row>
    <row r="284" spans="1:6">
      <c r="A284" s="23">
        <v>605000</v>
      </c>
      <c r="B284" s="19" t="s">
        <v>43</v>
      </c>
      <c r="C284" s="303">
        <v>188043.40292753821</v>
      </c>
      <c r="D284" s="303">
        <v>9251.6699315035657</v>
      </c>
      <c r="E284" s="303">
        <v>197295.07285904177</v>
      </c>
      <c r="F284" s="312"/>
    </row>
    <row r="285" spans="1:6">
      <c r="A285" s="23">
        <v>606000</v>
      </c>
      <c r="B285" s="19" t="s">
        <v>121</v>
      </c>
      <c r="C285" s="303">
        <v>169524.82463988135</v>
      </c>
      <c r="D285" s="303">
        <v>-5916.9820173674088</v>
      </c>
      <c r="E285" s="303">
        <v>163607.84262251394</v>
      </c>
      <c r="F285" s="312"/>
    </row>
    <row r="286" spans="1:6">
      <c r="A286" s="23">
        <v>607000</v>
      </c>
      <c r="B286" s="19" t="s">
        <v>51</v>
      </c>
      <c r="C286" s="303">
        <v>197854.8846962825</v>
      </c>
      <c r="D286" s="303">
        <v>12331.002599750427</v>
      </c>
      <c r="E286" s="303">
        <v>210185.88729603292</v>
      </c>
      <c r="F286" s="312"/>
    </row>
    <row r="287" spans="1:6" ht="11.25" customHeight="1">
      <c r="A287" s="23">
        <v>608000</v>
      </c>
      <c r="B287" s="19" t="s">
        <v>42</v>
      </c>
      <c r="C287" s="303">
        <v>170185.37898350004</v>
      </c>
      <c r="D287" s="303">
        <v>-3288.5799014636577</v>
      </c>
      <c r="E287" s="303">
        <v>166896.79908203636</v>
      </c>
      <c r="F287" s="312"/>
    </row>
    <row r="288" spans="1:6">
      <c r="A288" s="23">
        <v>209000</v>
      </c>
      <c r="B288" s="19" t="s">
        <v>63</v>
      </c>
      <c r="C288" s="303">
        <v>56826.044750699439</v>
      </c>
      <c r="D288" s="303">
        <v>-706.00851231428533</v>
      </c>
      <c r="E288" s="303">
        <v>56120.036238385153</v>
      </c>
      <c r="F288" s="312"/>
    </row>
    <row r="289" spans="1:6">
      <c r="A289" s="23">
        <v>213000</v>
      </c>
      <c r="B289" s="19" t="s">
        <v>80</v>
      </c>
      <c r="C289" s="303">
        <v>218978.55493665222</v>
      </c>
      <c r="D289" s="303">
        <v>-1236.8934976488235</v>
      </c>
      <c r="E289" s="303">
        <v>217741.66143900339</v>
      </c>
      <c r="F289" s="312"/>
    </row>
    <row r="290" spans="1:6">
      <c r="A290" s="23">
        <v>215000</v>
      </c>
      <c r="B290" s="19" t="s">
        <v>64</v>
      </c>
      <c r="C290" s="303">
        <v>9633.1185725714931</v>
      </c>
      <c r="D290" s="303">
        <v>-6529.083578868911</v>
      </c>
      <c r="E290" s="303">
        <v>3104.0349937025821</v>
      </c>
      <c r="F290" s="312"/>
    </row>
    <row r="291" spans="1:6">
      <c r="A291" s="23">
        <v>216000</v>
      </c>
      <c r="B291" s="19" t="s">
        <v>65</v>
      </c>
      <c r="C291" s="303">
        <v>25000</v>
      </c>
      <c r="D291" s="303">
        <v>0</v>
      </c>
      <c r="E291" s="303">
        <v>25000</v>
      </c>
      <c r="F291" s="312"/>
    </row>
    <row r="292" spans="1:6">
      <c r="A292" s="23">
        <v>853000</v>
      </c>
      <c r="B292" s="19" t="s">
        <v>60</v>
      </c>
      <c r="C292" s="303">
        <v>146822.7557128366</v>
      </c>
      <c r="D292" s="303">
        <v>-3542.9070059441729</v>
      </c>
      <c r="E292" s="303">
        <v>143279.84870689243</v>
      </c>
      <c r="F292" s="312"/>
    </row>
    <row r="293" spans="1:6">
      <c r="A293" s="23">
        <v>400000</v>
      </c>
      <c r="B293" s="19" t="s">
        <v>124</v>
      </c>
      <c r="C293" s="303">
        <v>46490.484081453869</v>
      </c>
      <c r="D293" s="303">
        <v>-2170.7172783745627</v>
      </c>
      <c r="E293" s="303">
        <v>44319.766803079307</v>
      </c>
      <c r="F293" s="312"/>
    </row>
    <row r="294" spans="1:6">
      <c r="A294" s="23">
        <v>401000</v>
      </c>
      <c r="B294" s="19" t="s">
        <v>125</v>
      </c>
      <c r="C294" s="303">
        <v>48199.979494197396</v>
      </c>
      <c r="D294" s="303">
        <v>-845.38294237125228</v>
      </c>
      <c r="E294" s="303">
        <v>47354.596551826144</v>
      </c>
      <c r="F294" s="312"/>
    </row>
    <row r="295" spans="1:6">
      <c r="A295" s="23">
        <v>402000</v>
      </c>
      <c r="B295" s="19" t="s">
        <v>128</v>
      </c>
      <c r="C295" s="303">
        <v>190847.02831513499</v>
      </c>
      <c r="D295" s="303">
        <v>-46286.385936408333</v>
      </c>
      <c r="E295" s="303">
        <v>144560.64237872665</v>
      </c>
      <c r="F295" s="312"/>
    </row>
    <row r="296" spans="1:6">
      <c r="A296" s="23">
        <v>800000</v>
      </c>
      <c r="B296" s="19" t="s">
        <v>56</v>
      </c>
      <c r="C296" s="303">
        <v>96882.52505750714</v>
      </c>
      <c r="D296" s="303">
        <v>5275.2758024876821</v>
      </c>
      <c r="E296" s="303">
        <v>102157.80085999482</v>
      </c>
      <c r="F296" s="312"/>
    </row>
    <row r="297" spans="1:6">
      <c r="A297" s="23">
        <v>700000</v>
      </c>
      <c r="B297" s="19" t="s">
        <v>103</v>
      </c>
      <c r="C297" s="303">
        <v>88889.286653089555</v>
      </c>
      <c r="D297" s="303">
        <v>20103.37386431807</v>
      </c>
      <c r="E297" s="303">
        <v>108992.66051740762</v>
      </c>
      <c r="F297" s="312"/>
    </row>
    <row r="298" spans="1:6">
      <c r="A298" s="23">
        <v>701000</v>
      </c>
      <c r="B298" s="19" t="s">
        <v>123</v>
      </c>
      <c r="C298" s="303">
        <v>870714.51926636836</v>
      </c>
      <c r="D298" s="303">
        <v>-88021.431283404585</v>
      </c>
      <c r="E298" s="303">
        <v>782693.08798296377</v>
      </c>
      <c r="F298" s="312"/>
    </row>
    <row r="299" spans="1:6">
      <c r="A299" s="23">
        <v>702000</v>
      </c>
      <c r="B299" s="19" t="s">
        <v>110</v>
      </c>
      <c r="C299" s="303">
        <v>966077.00713060645</v>
      </c>
      <c r="D299" s="303">
        <v>-96442.860172590823</v>
      </c>
      <c r="E299" s="303">
        <v>869634.14695801563</v>
      </c>
      <c r="F299" s="312"/>
    </row>
    <row r="300" spans="1:6">
      <c r="A300" s="23">
        <v>703000</v>
      </c>
      <c r="B300" s="19" t="s">
        <v>97</v>
      </c>
      <c r="C300" s="303">
        <v>255394.71046185654</v>
      </c>
      <c r="D300" s="303">
        <v>-35139.954499600513</v>
      </c>
      <c r="E300" s="303">
        <v>220254.75596225602</v>
      </c>
      <c r="F300" s="312"/>
    </row>
    <row r="301" spans="1:6">
      <c r="A301" s="23">
        <v>704000</v>
      </c>
      <c r="B301" s="19" t="s">
        <v>111</v>
      </c>
      <c r="C301" s="303">
        <v>269708.58818301256</v>
      </c>
      <c r="D301" s="303">
        <v>-55973.89305941097</v>
      </c>
      <c r="E301" s="303">
        <v>213734.69512360159</v>
      </c>
      <c r="F301" s="312"/>
    </row>
    <row r="302" spans="1:6">
      <c r="A302" s="23">
        <v>705000</v>
      </c>
      <c r="B302" s="19" t="s">
        <v>112</v>
      </c>
      <c r="C302" s="303">
        <v>146758.74578463545</v>
      </c>
      <c r="D302" s="303">
        <v>-10700.860802670097</v>
      </c>
      <c r="E302" s="303">
        <v>136057.88498196536</v>
      </c>
      <c r="F302" s="312"/>
    </row>
    <row r="303" spans="1:6">
      <c r="A303" s="23">
        <v>706000</v>
      </c>
      <c r="B303" s="19" t="s">
        <v>109</v>
      </c>
      <c r="C303" s="303">
        <v>1788183.0624871857</v>
      </c>
      <c r="D303" s="303">
        <v>-189056.16846811632</v>
      </c>
      <c r="E303" s="303">
        <v>1599126.8940190694</v>
      </c>
      <c r="F303" s="312"/>
    </row>
    <row r="304" spans="1:6">
      <c r="A304" s="23">
        <v>708000</v>
      </c>
      <c r="B304" s="19" t="s">
        <v>130</v>
      </c>
      <c r="C304" s="303">
        <v>210490.90667016289</v>
      </c>
      <c r="D304" s="303">
        <v>20084.594389016493</v>
      </c>
      <c r="E304" s="303">
        <v>230575.50105917937</v>
      </c>
      <c r="F304" s="312"/>
    </row>
    <row r="305" spans="1:6">
      <c r="A305" s="23">
        <v>222000</v>
      </c>
      <c r="B305" s="19" t="s">
        <v>131</v>
      </c>
      <c r="C305" s="303">
        <v>11137.078204989157</v>
      </c>
      <c r="D305" s="303">
        <v>538.23128989390761</v>
      </c>
      <c r="E305" s="303">
        <v>11675.309494883064</v>
      </c>
      <c r="F305" s="312"/>
    </row>
    <row r="306" spans="1:6">
      <c r="A306" s="23">
        <v>221000</v>
      </c>
      <c r="B306" s="19" t="s">
        <v>132</v>
      </c>
      <c r="C306" s="303">
        <v>835994.16666093853</v>
      </c>
      <c r="D306" s="303">
        <v>33744.411098135912</v>
      </c>
      <c r="E306" s="303">
        <v>869738.5777590744</v>
      </c>
      <c r="F306" s="312"/>
    </row>
    <row r="308" spans="1:6">
      <c r="B308" s="19" t="s">
        <v>140</v>
      </c>
      <c r="C308" s="303">
        <f>SUM(C271:C306,C254:C267)</f>
        <v>47391243.151368491</v>
      </c>
      <c r="D308" s="303">
        <f t="shared" ref="D308:E308" si="21">SUM(D271:D306,D254:D267)</f>
        <v>-327412.25184880948</v>
      </c>
      <c r="E308" s="303">
        <f t="shared" si="21"/>
        <v>47063830.899519689</v>
      </c>
      <c r="F308" s="312"/>
    </row>
    <row r="309" spans="1:6">
      <c r="C309" s="303">
        <v>0</v>
      </c>
    </row>
    <row r="310" spans="1:6">
      <c r="B310" s="19" t="s">
        <v>367</v>
      </c>
      <c r="C310" s="303">
        <f>SUM(C271:C306)</f>
        <v>27786385.136509541</v>
      </c>
      <c r="D310" s="303">
        <f t="shared" ref="D310:E310" si="22">SUM(D271:D306)</f>
        <v>-573382.60687602218</v>
      </c>
      <c r="E310" s="303">
        <f t="shared" si="22"/>
        <v>27213002.529633522</v>
      </c>
    </row>
    <row r="311" spans="1:6">
      <c r="B311" s="19" t="s">
        <v>368</v>
      </c>
      <c r="C311" s="81">
        <f>C310/C308</f>
        <v>0.58631897559132018</v>
      </c>
    </row>
    <row r="318" spans="1:6">
      <c r="F318" s="312"/>
    </row>
    <row r="319" spans="1:6">
      <c r="F319" s="312"/>
    </row>
    <row r="320" spans="1:6">
      <c r="F320" s="312"/>
    </row>
    <row r="321" spans="6:6">
      <c r="F321" s="312"/>
    </row>
    <row r="322" spans="6:6">
      <c r="F322" s="312"/>
    </row>
    <row r="323" spans="6:6">
      <c r="F323" s="312"/>
    </row>
    <row r="324" spans="6:6">
      <c r="F324" s="312"/>
    </row>
    <row r="325" spans="6:6">
      <c r="F325" s="312"/>
    </row>
    <row r="326" spans="6:6">
      <c r="F326" s="312"/>
    </row>
    <row r="327" spans="6:6">
      <c r="F327" s="312"/>
    </row>
    <row r="328" spans="6:6">
      <c r="F328" s="312"/>
    </row>
    <row r="329" spans="6:6">
      <c r="F329" s="312"/>
    </row>
    <row r="330" spans="6:6">
      <c r="F330" s="312"/>
    </row>
    <row r="331" spans="6:6">
      <c r="F331" s="312"/>
    </row>
    <row r="332" spans="6:6">
      <c r="F332" s="312"/>
    </row>
    <row r="333" spans="6:6">
      <c r="F333" s="312"/>
    </row>
    <row r="334" spans="6:6">
      <c r="F334" s="312"/>
    </row>
    <row r="335" spans="6:6">
      <c r="F335" s="312"/>
    </row>
    <row r="336" spans="6:6">
      <c r="F336" s="312"/>
    </row>
    <row r="337" spans="6:6">
      <c r="F337" s="312"/>
    </row>
    <row r="338" spans="6:6">
      <c r="F338" s="312"/>
    </row>
    <row r="339" spans="6:6">
      <c r="F339" s="312"/>
    </row>
    <row r="340" spans="6:6">
      <c r="F340" s="312"/>
    </row>
    <row r="341" spans="6:6">
      <c r="F341" s="312"/>
    </row>
    <row r="342" spans="6:6">
      <c r="F342" s="312"/>
    </row>
    <row r="343" spans="6:6">
      <c r="F343" s="312"/>
    </row>
    <row r="344" spans="6:6">
      <c r="F344" s="312"/>
    </row>
    <row r="345" spans="6:6">
      <c r="F345" s="312"/>
    </row>
    <row r="346" spans="6:6">
      <c r="F346" s="312"/>
    </row>
    <row r="347" spans="6:6">
      <c r="F347" s="312"/>
    </row>
    <row r="348" spans="6:6">
      <c r="F348" s="312"/>
    </row>
    <row r="349" spans="6:6">
      <c r="F349" s="312"/>
    </row>
    <row r="350" spans="6:6">
      <c r="F350" s="312"/>
    </row>
    <row r="351" spans="6:6">
      <c r="F351" s="312"/>
    </row>
    <row r="352" spans="6:6">
      <c r="F352" s="312"/>
    </row>
    <row r="353" spans="6:6">
      <c r="F353" s="312"/>
    </row>
    <row r="354" spans="6:6">
      <c r="F354" s="312"/>
    </row>
    <row r="355" spans="6:6">
      <c r="F355" s="312"/>
    </row>
    <row r="356" spans="6:6">
      <c r="F356" s="312"/>
    </row>
    <row r="357" spans="6:6">
      <c r="F357" s="312"/>
    </row>
    <row r="358" spans="6:6">
      <c r="F358" s="312"/>
    </row>
    <row r="359" spans="6:6">
      <c r="F359" s="312"/>
    </row>
    <row r="360" spans="6:6">
      <c r="F360" s="312"/>
    </row>
    <row r="361" spans="6:6">
      <c r="F361" s="312"/>
    </row>
    <row r="362" spans="6:6">
      <c r="F362" s="312"/>
    </row>
    <row r="363" spans="6:6">
      <c r="F363" s="312"/>
    </row>
    <row r="364" spans="6:6">
      <c r="F364" s="312"/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9"/>
  <sheetViews>
    <sheetView workbookViewId="0">
      <selection activeCell="H13" sqref="H13"/>
    </sheetView>
  </sheetViews>
  <sheetFormatPr defaultColWidth="8.84375" defaultRowHeight="15.5"/>
  <cols>
    <col min="1" max="1" width="27.4609375" style="35" bestFit="1" customWidth="1"/>
    <col min="2" max="2" width="8.84375" style="35"/>
    <col min="3" max="3" width="9.69140625" style="35" bestFit="1" customWidth="1"/>
    <col min="4" max="6" width="8.84375" style="35"/>
    <col min="7" max="7" width="9.84375" style="35" bestFit="1" customWidth="1"/>
    <col min="8" max="8" width="8.84375" style="186"/>
    <col min="9" max="9" width="13.53515625" style="186" bestFit="1" customWidth="1"/>
    <col min="10" max="10" width="9" style="186" bestFit="1" customWidth="1"/>
    <col min="11" max="11" width="10" style="35" bestFit="1" customWidth="1"/>
    <col min="12" max="16384" width="8.84375" style="35"/>
  </cols>
  <sheetData>
    <row r="1" spans="1:7">
      <c r="A1" s="185" t="s">
        <v>229</v>
      </c>
      <c r="B1" s="156"/>
      <c r="C1" s="155"/>
      <c r="D1" s="150"/>
      <c r="E1" s="155"/>
      <c r="F1" s="155"/>
    </row>
    <row r="2" spans="1:7">
      <c r="A2" s="297" t="s">
        <v>597</v>
      </c>
      <c r="B2" s="155"/>
      <c r="C2" s="155"/>
      <c r="D2" s="150"/>
      <c r="E2" s="157"/>
      <c r="F2" s="155"/>
    </row>
    <row r="3" spans="1:7">
      <c r="A3" s="297" t="s">
        <v>593</v>
      </c>
      <c r="B3" s="158"/>
      <c r="C3" s="155"/>
      <c r="D3" s="150"/>
      <c r="E3" s="158"/>
      <c r="F3" s="155"/>
    </row>
    <row r="4" spans="1:7">
      <c r="A4" s="185" t="s">
        <v>574</v>
      </c>
      <c r="B4" s="155"/>
      <c r="C4" s="155"/>
      <c r="D4" s="150"/>
      <c r="E4" s="157"/>
      <c r="F4" s="155"/>
    </row>
    <row r="5" spans="1:7">
      <c r="A5" s="159"/>
      <c r="B5" s="159"/>
      <c r="C5" s="160">
        <f ca="1">'SCH C'!C1</f>
        <v>41276.678453009263</v>
      </c>
      <c r="D5" s="159"/>
      <c r="E5" s="156"/>
      <c r="F5" s="160">
        <f ca="1">C5</f>
        <v>41276.678453009263</v>
      </c>
    </row>
    <row r="6" spans="1:7">
      <c r="A6" s="161"/>
      <c r="B6" s="161"/>
      <c r="C6" s="161"/>
      <c r="D6" s="162"/>
      <c r="E6" s="156"/>
      <c r="F6" s="161"/>
    </row>
    <row r="7" spans="1:7">
      <c r="A7" s="161"/>
      <c r="B7" s="161"/>
      <c r="C7" s="161"/>
      <c r="D7" s="161"/>
      <c r="E7" s="161"/>
      <c r="F7" s="161"/>
    </row>
    <row r="8" spans="1:7">
      <c r="A8" s="159"/>
      <c r="B8" s="155" t="s">
        <v>557</v>
      </c>
      <c r="C8" s="155" t="s">
        <v>558</v>
      </c>
      <c r="D8" s="155"/>
      <c r="E8" s="155" t="s">
        <v>557</v>
      </c>
      <c r="F8" s="155" t="s">
        <v>558</v>
      </c>
    </row>
    <row r="9" spans="1:7">
      <c r="A9" s="159"/>
      <c r="B9" s="155" t="s">
        <v>233</v>
      </c>
      <c r="C9" s="155" t="s">
        <v>320</v>
      </c>
      <c r="D9" s="155"/>
      <c r="E9" s="155" t="s">
        <v>233</v>
      </c>
      <c r="F9" s="155" t="s">
        <v>320</v>
      </c>
    </row>
    <row r="10" spans="1:7">
      <c r="A10" s="155" t="s">
        <v>559</v>
      </c>
      <c r="B10" s="155" t="s">
        <v>560</v>
      </c>
      <c r="C10" s="155" t="s">
        <v>560</v>
      </c>
      <c r="D10" s="155"/>
      <c r="E10" s="155" t="s">
        <v>560</v>
      </c>
      <c r="F10" s="155" t="s">
        <v>560</v>
      </c>
    </row>
    <row r="11" spans="1:7">
      <c r="A11" s="161"/>
      <c r="B11" s="163"/>
      <c r="C11" s="161"/>
      <c r="D11" s="150"/>
      <c r="E11" s="156"/>
      <c r="F11" s="161"/>
    </row>
    <row r="12" spans="1:7">
      <c r="A12" s="159" t="s">
        <v>599</v>
      </c>
      <c r="B12" s="156">
        <f>'SCH D'!C142</f>
        <v>3126851.1221728842</v>
      </c>
      <c r="C12" s="164">
        <f>B12/'SCH D'!C124</f>
        <v>0.59147529272722565</v>
      </c>
      <c r="D12" s="165"/>
      <c r="E12" s="156">
        <f t="shared" ref="E12:E33" si="0">(B12/$B$45)*$E$45</f>
        <v>3099592.1035444923</v>
      </c>
      <c r="F12" s="164">
        <f t="shared" ref="F12:F33" si="1">C12</f>
        <v>0.59147529272722565</v>
      </c>
    </row>
    <row r="13" spans="1:7">
      <c r="A13" s="159" t="s">
        <v>600</v>
      </c>
      <c r="B13" s="156">
        <f>'SCH D'!D142+'SCH D'!G142</f>
        <v>5043123.1677714409</v>
      </c>
      <c r="C13" s="164">
        <f>B13/SUM('SCH D'!D124,'SCH D'!G124)</f>
        <v>0.5914752927272251</v>
      </c>
      <c r="D13" s="165"/>
      <c r="E13" s="156">
        <f t="shared" si="0"/>
        <v>4999158.6222896511</v>
      </c>
      <c r="F13" s="164">
        <f t="shared" si="1"/>
        <v>0.5914752927272251</v>
      </c>
      <c r="G13" s="299"/>
    </row>
    <row r="14" spans="1:7">
      <c r="A14" s="159" t="s">
        <v>601</v>
      </c>
      <c r="B14" s="156">
        <f>SUM('SCH D'!E142)</f>
        <v>0</v>
      </c>
      <c r="C14" s="164">
        <f>IF(B14&gt;0,(B14/'SCH D'!E124),0)</f>
        <v>0</v>
      </c>
      <c r="D14" s="165"/>
      <c r="E14" s="156">
        <f t="shared" si="0"/>
        <v>0</v>
      </c>
      <c r="F14" s="164">
        <f t="shared" si="1"/>
        <v>0</v>
      </c>
      <c r="G14" s="299"/>
    </row>
    <row r="15" spans="1:7">
      <c r="A15" s="159" t="s">
        <v>602</v>
      </c>
      <c r="B15" s="156">
        <f>'SCH D'!F142</f>
        <v>0</v>
      </c>
      <c r="C15" s="164">
        <f>IF(B15&gt;0,(B15/'SCH D'!E125),0)</f>
        <v>0</v>
      </c>
      <c r="D15" s="165"/>
      <c r="E15" s="156">
        <f t="shared" si="0"/>
        <v>0</v>
      </c>
      <c r="F15" s="164">
        <f t="shared" si="1"/>
        <v>0</v>
      </c>
      <c r="G15" s="299"/>
    </row>
    <row r="16" spans="1:7">
      <c r="A16" s="159" t="s">
        <v>603</v>
      </c>
      <c r="B16" s="156">
        <f>'SCH D'!H142</f>
        <v>4526339.6821629284</v>
      </c>
      <c r="C16" s="164">
        <f>B16/'SCH D'!H124</f>
        <v>0.5914752927272251</v>
      </c>
      <c r="D16" s="165"/>
      <c r="E16" s="156">
        <f t="shared" si="0"/>
        <v>4486880.311411446</v>
      </c>
      <c r="F16" s="164">
        <f t="shared" si="1"/>
        <v>0.5914752927272251</v>
      </c>
      <c r="G16" s="91"/>
    </row>
    <row r="17" spans="1:11">
      <c r="A17" s="159" t="s">
        <v>604</v>
      </c>
      <c r="B17" s="156">
        <f>'SCH D'!AD142</f>
        <v>549739.36338319385</v>
      </c>
      <c r="C17" s="164">
        <f>B17/'SCH D'!AD124</f>
        <v>0.59147529272722543</v>
      </c>
      <c r="D17" s="165"/>
      <c r="E17" s="156">
        <f t="shared" si="0"/>
        <v>544946.88847418409</v>
      </c>
      <c r="F17" s="164">
        <f t="shared" si="1"/>
        <v>0.59147529272722543</v>
      </c>
      <c r="G17" s="91"/>
    </row>
    <row r="18" spans="1:11">
      <c r="A18" s="159" t="s">
        <v>605</v>
      </c>
      <c r="B18" s="156">
        <f>'SCH D'!AF142</f>
        <v>164476.11255504499</v>
      </c>
      <c r="C18" s="164">
        <f>B18/'SCH D'!AF124</f>
        <v>0.59147529272722554</v>
      </c>
      <c r="D18" s="165"/>
      <c r="E18" s="156">
        <f t="shared" si="0"/>
        <v>163042.25554014888</v>
      </c>
      <c r="F18" s="164">
        <f t="shared" si="1"/>
        <v>0.59147529272722554</v>
      </c>
    </row>
    <row r="19" spans="1:11">
      <c r="A19" s="161" t="s">
        <v>612</v>
      </c>
      <c r="B19" s="156">
        <f>'SCH D'!M142</f>
        <v>58164.53517879908</v>
      </c>
      <c r="C19" s="164">
        <f>B19/'SCH D'!M124</f>
        <v>0.5914752927272251</v>
      </c>
      <c r="D19" s="165"/>
      <c r="E19" s="156">
        <f t="shared" si="0"/>
        <v>57657.472934387253</v>
      </c>
      <c r="F19" s="164">
        <f>C19</f>
        <v>0.5914752927272251</v>
      </c>
    </row>
    <row r="20" spans="1:11">
      <c r="A20" s="159" t="s">
        <v>138</v>
      </c>
      <c r="B20" s="156">
        <f>'SCH D'!I142</f>
        <v>2734047.5022741011</v>
      </c>
      <c r="C20" s="164">
        <f>B20/'SCH D'!I124</f>
        <v>0.59147529272722521</v>
      </c>
      <c r="D20" s="165"/>
      <c r="E20" s="156">
        <f t="shared" si="0"/>
        <v>2710212.8363806996</v>
      </c>
      <c r="F20" s="164">
        <f t="shared" si="1"/>
        <v>0.59147529272722521</v>
      </c>
      <c r="G20" s="91"/>
    </row>
    <row r="21" spans="1:11">
      <c r="A21" s="159" t="s">
        <v>606</v>
      </c>
      <c r="B21" s="156">
        <f>'SCH D'!J142</f>
        <v>1311571.874036805</v>
      </c>
      <c r="C21" s="164">
        <f>B21/'SCH D'!J124</f>
        <v>0.59147529272722532</v>
      </c>
      <c r="D21" s="165"/>
      <c r="E21" s="156">
        <f t="shared" si="0"/>
        <v>1300137.9551356712</v>
      </c>
      <c r="F21" s="164">
        <f t="shared" si="1"/>
        <v>0.59147529272722532</v>
      </c>
    </row>
    <row r="22" spans="1:11">
      <c r="A22" s="159" t="s">
        <v>607</v>
      </c>
      <c r="B22" s="156">
        <f>'SCH D'!K142</f>
        <v>1384181.5948410514</v>
      </c>
      <c r="C22" s="164">
        <f>B22/'SCH D'!K124</f>
        <v>0.5914752927272251</v>
      </c>
      <c r="D22" s="165"/>
      <c r="E22" s="156">
        <f t="shared" si="0"/>
        <v>1372114.684583863</v>
      </c>
      <c r="F22" s="164">
        <f t="shared" si="1"/>
        <v>0.5914752927272251</v>
      </c>
    </row>
    <row r="23" spans="1:11">
      <c r="A23" s="159" t="s">
        <v>608</v>
      </c>
      <c r="B23" s="156">
        <f>SUM('SCH D'!L142)</f>
        <v>188752.0356601433</v>
      </c>
      <c r="C23" s="164">
        <f>B23/'SCH D'!L124</f>
        <v>0.5914752927272251</v>
      </c>
      <c r="D23" s="165"/>
      <c r="E23" s="156">
        <f t="shared" si="0"/>
        <v>187106.54789779941</v>
      </c>
      <c r="F23" s="164">
        <f t="shared" si="1"/>
        <v>0.5914752927272251</v>
      </c>
    </row>
    <row r="24" spans="1:11">
      <c r="A24" s="159" t="s">
        <v>609</v>
      </c>
      <c r="B24" s="156">
        <f>'SCH D'!N142</f>
        <v>926345.29450151219</v>
      </c>
      <c r="C24" s="164">
        <f>B24/'SCH D'!N124</f>
        <v>0.59147529272722543</v>
      </c>
      <c r="D24" s="165"/>
      <c r="E24" s="156">
        <f t="shared" si="0"/>
        <v>918269.67380435776</v>
      </c>
      <c r="F24" s="164">
        <f t="shared" si="1"/>
        <v>0.59147529272722543</v>
      </c>
      <c r="K24" s="187"/>
    </row>
    <row r="25" spans="1:11">
      <c r="A25" s="159" t="s">
        <v>610</v>
      </c>
      <c r="B25" s="156">
        <f>'SCH D'!P142</f>
        <v>807583.07725772844</v>
      </c>
      <c r="C25" s="164">
        <f>B25/'SCH D'!P124</f>
        <v>0.5914752927272251</v>
      </c>
      <c r="D25" s="165"/>
      <c r="E25" s="156">
        <f t="shared" si="0"/>
        <v>800542.7925473887</v>
      </c>
      <c r="F25" s="164">
        <f t="shared" si="1"/>
        <v>0.5914752927272251</v>
      </c>
      <c r="K25" s="91"/>
    </row>
    <row r="26" spans="1:11">
      <c r="A26" s="159" t="s">
        <v>611</v>
      </c>
      <c r="B26" s="156">
        <f>'SCH D'!O142</f>
        <v>641315.97311643115</v>
      </c>
      <c r="C26" s="164">
        <f>B26/'SCH D'!O124</f>
        <v>0.59147529272722532</v>
      </c>
      <c r="D26" s="165"/>
      <c r="E26" s="156">
        <f t="shared" si="0"/>
        <v>635725.15878763201</v>
      </c>
      <c r="F26" s="164">
        <f t="shared" si="1"/>
        <v>0.59147529272722532</v>
      </c>
    </row>
    <row r="27" spans="1:11">
      <c r="A27" s="159" t="s">
        <v>561</v>
      </c>
      <c r="B27" s="156">
        <f>'SCH D'!R142</f>
        <v>3352614.8678110098</v>
      </c>
      <c r="C27" s="164">
        <f>B27/'SCH D'!R124</f>
        <v>0.59147529272722543</v>
      </c>
      <c r="D27" s="165"/>
      <c r="E27" s="156">
        <f t="shared" si="0"/>
        <v>3323387.7036241917</v>
      </c>
      <c r="F27" s="164">
        <f t="shared" si="1"/>
        <v>0.59147529272722543</v>
      </c>
    </row>
    <row r="28" spans="1:11">
      <c r="A28" s="159" t="s">
        <v>562</v>
      </c>
      <c r="B28" s="156">
        <f>'SCH D'!S142</f>
        <v>469522.58762510127</v>
      </c>
      <c r="C28" s="164">
        <f>B28/'SCH D'!S124</f>
        <v>0.5914752927272251</v>
      </c>
      <c r="D28" s="165"/>
      <c r="E28" s="156">
        <f t="shared" si="0"/>
        <v>465429.42026201001</v>
      </c>
      <c r="F28" s="164">
        <f t="shared" si="1"/>
        <v>0.5914752927272251</v>
      </c>
    </row>
    <row r="29" spans="1:11">
      <c r="A29" s="159" t="s">
        <v>563</v>
      </c>
      <c r="B29" s="156">
        <f>'SCH D'!T142</f>
        <v>308286.62486779119</v>
      </c>
      <c r="C29" s="164">
        <f>B29/'SCH D'!T124</f>
        <v>0.59147529272722521</v>
      </c>
      <c r="D29" s="165"/>
      <c r="E29" s="156">
        <f t="shared" si="0"/>
        <v>305599.06779461802</v>
      </c>
      <c r="F29" s="164">
        <f t="shared" si="1"/>
        <v>0.59147529272722521</v>
      </c>
    </row>
    <row r="30" spans="1:11">
      <c r="A30" s="159" t="s">
        <v>564</v>
      </c>
      <c r="B30" s="156">
        <f>'SCH D'!U142</f>
        <v>467204.9170474764</v>
      </c>
      <c r="C30" s="164">
        <f>B30/'SCH D'!U124</f>
        <v>0.59147529272722488</v>
      </c>
      <c r="D30" s="165"/>
      <c r="E30" s="156">
        <f t="shared" si="0"/>
        <v>463131.95449202752</v>
      </c>
      <c r="F30" s="164">
        <f t="shared" si="1"/>
        <v>0.59147529272722488</v>
      </c>
    </row>
    <row r="31" spans="1:11">
      <c r="A31" s="159" t="s">
        <v>613</v>
      </c>
      <c r="B31" s="156">
        <f>'SCH D'!AH142</f>
        <v>68510.698494276556</v>
      </c>
      <c r="C31" s="164">
        <f>B31/'SCH D'!AH124</f>
        <v>0.59147529272722521</v>
      </c>
      <c r="D31" s="165"/>
      <c r="E31" s="156">
        <f t="shared" si="0"/>
        <v>67913.441274942801</v>
      </c>
      <c r="F31" s="164">
        <f t="shared" si="1"/>
        <v>0.59147529272722521</v>
      </c>
      <c r="H31" s="35"/>
    </row>
    <row r="32" spans="1:11">
      <c r="A32" s="159" t="s">
        <v>620</v>
      </c>
      <c r="B32" s="156">
        <f>'SCH D'!AJ142</f>
        <v>508668.75174541364</v>
      </c>
      <c r="C32" s="164">
        <f>B32/'SCH D'!AJ124</f>
        <v>0.59147529272722532</v>
      </c>
      <c r="D32" s="165"/>
      <c r="E32" s="156">
        <f t="shared" si="0"/>
        <v>504234.31900853507</v>
      </c>
      <c r="F32" s="164">
        <f>C32</f>
        <v>0.59147529272722532</v>
      </c>
      <c r="H32" s="300"/>
      <c r="I32" s="300"/>
    </row>
    <row r="33" spans="1:7">
      <c r="A33" s="159" t="s">
        <v>619</v>
      </c>
      <c r="B33" s="156">
        <f>'SCH D'!Q142</f>
        <v>1229192.2894587552</v>
      </c>
      <c r="C33" s="164">
        <f>B33/'SCH D'!Q124</f>
        <v>0.59147529272722521</v>
      </c>
      <c r="D33" s="165"/>
      <c r="E33" s="156">
        <f t="shared" si="0"/>
        <v>1218476.53286944</v>
      </c>
      <c r="F33" s="164">
        <f t="shared" si="1"/>
        <v>0.59147529272722521</v>
      </c>
    </row>
    <row r="34" spans="1:7">
      <c r="A34" s="159"/>
      <c r="B34" s="156"/>
      <c r="C34" s="164"/>
      <c r="D34" s="150"/>
      <c r="E34" s="156"/>
      <c r="F34" s="164"/>
    </row>
    <row r="35" spans="1:7">
      <c r="A35" s="159" t="s">
        <v>614</v>
      </c>
      <c r="B35" s="156">
        <f>SUM(B12:B33)</f>
        <v>27866492.071961895</v>
      </c>
      <c r="C35" s="164"/>
      <c r="D35" s="156"/>
      <c r="E35" s="156">
        <f>SUM(E12:E33)</f>
        <v>27623559.742657486</v>
      </c>
      <c r="F35" s="164"/>
    </row>
    <row r="36" spans="1:7">
      <c r="A36" s="159"/>
      <c r="B36" s="156"/>
      <c r="C36" s="164"/>
      <c r="D36" s="150"/>
      <c r="E36" s="156"/>
      <c r="F36" s="164"/>
    </row>
    <row r="37" spans="1:7">
      <c r="A37" s="159" t="s">
        <v>615</v>
      </c>
      <c r="B37" s="156"/>
      <c r="C37" s="164"/>
      <c r="D37" s="150"/>
      <c r="E37" s="156"/>
      <c r="F37" s="164"/>
    </row>
    <row r="38" spans="1:7">
      <c r="A38" s="159"/>
      <c r="B38" s="156"/>
      <c r="C38" s="164"/>
      <c r="D38" s="161"/>
      <c r="E38" s="156"/>
      <c r="F38" s="164"/>
    </row>
    <row r="39" spans="1:7">
      <c r="A39" s="159" t="s">
        <v>616</v>
      </c>
      <c r="B39" s="156">
        <f>'ACTUAL EXP'!G64*'SCH D'!AL130</f>
        <v>164257.3437009042</v>
      </c>
      <c r="C39" s="164">
        <f>B39/'SCH D'!AL124</f>
        <v>0.59147529272722521</v>
      </c>
      <c r="D39" s="165"/>
      <c r="E39" s="156">
        <f>(B39/$B$45)*$E$45</f>
        <v>162825.39385204742</v>
      </c>
      <c r="F39" s="164">
        <f>C39</f>
        <v>0.59147529272722521</v>
      </c>
    </row>
    <row r="40" spans="1:7">
      <c r="A40" s="159" t="s">
        <v>617</v>
      </c>
      <c r="B40" s="156">
        <f>'ACTUAL EXP'!G65*'SCH D'!AL130</f>
        <v>0</v>
      </c>
      <c r="C40" s="164"/>
      <c r="D40" s="165"/>
      <c r="E40" s="156">
        <f>(B40/$B$45)*$E$45</f>
        <v>0</v>
      </c>
      <c r="F40" s="164"/>
    </row>
    <row r="41" spans="1:7">
      <c r="A41" s="159" t="s">
        <v>618</v>
      </c>
      <c r="B41" s="156">
        <f>'ACTUAL EXP'!G66*'SCH D'!AL130</f>
        <v>0</v>
      </c>
      <c r="C41" s="164"/>
      <c r="D41" s="165"/>
      <c r="E41" s="156">
        <f>(B41/$B$45)*$E$45</f>
        <v>0</v>
      </c>
      <c r="F41" s="164"/>
    </row>
    <row r="42" spans="1:7">
      <c r="A42" s="159"/>
      <c r="B42" s="156"/>
      <c r="C42" s="164"/>
      <c r="D42" s="161"/>
      <c r="E42" s="156"/>
      <c r="F42" s="164"/>
    </row>
    <row r="43" spans="1:7">
      <c r="A43" s="159" t="s">
        <v>565</v>
      </c>
      <c r="B43" s="156">
        <f>SUM(B39:B41)</f>
        <v>164257.3437009042</v>
      </c>
      <c r="C43" s="164"/>
      <c r="D43" s="165"/>
      <c r="E43" s="156">
        <f>SUM(E39:E41)</f>
        <v>162825.39385204742</v>
      </c>
      <c r="F43" s="164"/>
    </row>
    <row r="44" spans="1:7">
      <c r="A44" s="159"/>
      <c r="B44" s="156"/>
      <c r="C44" s="164"/>
      <c r="D44" s="161"/>
      <c r="E44" s="156"/>
      <c r="F44" s="164"/>
    </row>
    <row r="45" spans="1:7">
      <c r="A45" s="159" t="s">
        <v>566</v>
      </c>
      <c r="B45" s="156">
        <f>+B35+B43</f>
        <v>28030749.415662799</v>
      </c>
      <c r="C45" s="164"/>
      <c r="D45" s="165"/>
      <c r="E45" s="156">
        <f>'SCH D'!AQ129</f>
        <v>27786385.136509541</v>
      </c>
      <c r="F45" s="164"/>
      <c r="G45" s="91"/>
    </row>
    <row r="46" spans="1:7">
      <c r="A46" s="159"/>
      <c r="B46" s="165"/>
      <c r="C46" s="164"/>
      <c r="D46" s="165"/>
      <c r="E46" s="165"/>
      <c r="F46" s="164"/>
      <c r="G46" s="91"/>
    </row>
    <row r="47" spans="1:7">
      <c r="A47" s="161"/>
      <c r="B47" s="165">
        <f>B45-'SCH D'!AN142</f>
        <v>0</v>
      </c>
      <c r="C47" s="166"/>
      <c r="D47" s="161"/>
      <c r="E47" s="156"/>
      <c r="F47" s="166"/>
    </row>
    <row r="48" spans="1:7">
      <c r="A48" s="161" t="s">
        <v>567</v>
      </c>
      <c r="B48" s="161"/>
      <c r="C48" s="166"/>
      <c r="D48" s="161"/>
      <c r="E48" s="161"/>
      <c r="F48" s="166"/>
    </row>
    <row r="49" spans="1:6">
      <c r="A49" s="161"/>
      <c r="B49" s="161"/>
      <c r="C49" s="166"/>
      <c r="D49" s="161"/>
      <c r="E49" s="161"/>
      <c r="F49" s="166"/>
    </row>
    <row r="50" spans="1:6">
      <c r="A50" s="161" t="s">
        <v>568</v>
      </c>
      <c r="B50" s="167">
        <f>$B$16*('ACTUAL EXP'!G30/(SUM('ACTUAL EXP'!$G$30:$G$35)))</f>
        <v>507034.52917062008</v>
      </c>
      <c r="C50" s="166"/>
      <c r="D50" s="165"/>
      <c r="E50" s="167">
        <f t="shared" ref="E50:E55" si="2">(B50/$B$58)*$E$16</f>
        <v>502614.34313173528</v>
      </c>
      <c r="F50" s="166"/>
    </row>
    <row r="51" spans="1:6">
      <c r="A51" s="161" t="s">
        <v>569</v>
      </c>
      <c r="B51" s="167">
        <f>$B$16*('ACTUAL EXP'!G31/(SUM('ACTUAL EXP'!$G$30:$G$35)))</f>
        <v>479715.78774679301</v>
      </c>
      <c r="C51" s="166"/>
      <c r="D51" s="165"/>
      <c r="E51" s="167">
        <f t="shared" si="2"/>
        <v>475533.75889937015</v>
      </c>
      <c r="F51" s="166"/>
    </row>
    <row r="52" spans="1:6">
      <c r="A52" s="161" t="s">
        <v>570</v>
      </c>
      <c r="B52" s="167">
        <f>$B$16*('ACTUAL EXP'!G32/(SUM('ACTUAL EXP'!$G$30:$G$35)))</f>
        <v>640116.67072181264</v>
      </c>
      <c r="C52" s="150"/>
      <c r="D52" s="165"/>
      <c r="E52" s="167">
        <f t="shared" si="2"/>
        <v>634536.31157781067</v>
      </c>
      <c r="F52" s="150"/>
    </row>
    <row r="53" spans="1:6">
      <c r="A53" s="161" t="s">
        <v>571</v>
      </c>
      <c r="B53" s="167">
        <f>$B$16*('ACTUAL EXP'!G33/(SUM('ACTUAL EXP'!$G$30:$G$35)))</f>
        <v>490648.20302485814</v>
      </c>
      <c r="C53" s="150"/>
      <c r="D53" s="165"/>
      <c r="E53" s="167">
        <f t="shared" si="2"/>
        <v>486370.86842091719</v>
      </c>
      <c r="F53" s="150"/>
    </row>
    <row r="54" spans="1:6">
      <c r="A54" s="161" t="s">
        <v>572</v>
      </c>
      <c r="B54" s="167">
        <f>$B$16*('ACTUAL EXP'!G34/(SUM('ACTUAL EXP'!$G$30:$G$35)))</f>
        <v>1683476.0118351481</v>
      </c>
      <c r="C54" s="150"/>
      <c r="D54" s="165"/>
      <c r="E54" s="167">
        <f t="shared" si="2"/>
        <v>1668799.936072649</v>
      </c>
      <c r="F54" s="150"/>
    </row>
    <row r="55" spans="1:6">
      <c r="A55" s="161" t="s">
        <v>573</v>
      </c>
      <c r="B55" s="167">
        <f>$B$16*('ACTUAL EXP'!G35/(SUM('ACTUAL EXP'!$G$30:$G$35)))</f>
        <v>725348.47966369661</v>
      </c>
      <c r="C55" s="150"/>
      <c r="D55" s="165"/>
      <c r="E55" s="167">
        <f t="shared" si="2"/>
        <v>719025.09330896393</v>
      </c>
      <c r="F55" s="150"/>
    </row>
    <row r="56" spans="1:6">
      <c r="A56" s="161"/>
      <c r="B56" s="161"/>
      <c r="C56" s="150"/>
      <c r="D56" s="161"/>
      <c r="E56" s="161"/>
      <c r="F56" s="150"/>
    </row>
    <row r="57" spans="1:6">
      <c r="A57" s="161"/>
      <c r="B57" s="161"/>
      <c r="C57" s="150"/>
      <c r="D57" s="161"/>
      <c r="E57" s="161"/>
      <c r="F57" s="150"/>
    </row>
    <row r="58" spans="1:6">
      <c r="A58" s="161" t="s">
        <v>236</v>
      </c>
      <c r="B58" s="167">
        <f>SUM(B50:B55)</f>
        <v>4526339.6821629284</v>
      </c>
      <c r="C58" s="150"/>
      <c r="D58" s="167"/>
      <c r="E58" s="167">
        <f>SUM(E50:E55)</f>
        <v>4486880.311411446</v>
      </c>
      <c r="F58" s="150"/>
    </row>
    <row r="59" spans="1:6">
      <c r="A59" s="161"/>
      <c r="B59" s="161"/>
      <c r="C59" s="150"/>
      <c r="D59" s="161"/>
      <c r="E59" s="161"/>
      <c r="F59" s="150"/>
    </row>
    <row r="60" spans="1:6">
      <c r="A60" s="161"/>
      <c r="B60" s="161"/>
      <c r="C60" s="150"/>
      <c r="D60" s="161"/>
      <c r="E60" s="161">
        <f>SUM(E39:E41,E12:E33)-E45</f>
        <v>0</v>
      </c>
      <c r="F60" s="150"/>
    </row>
    <row r="61" spans="1:6">
      <c r="A61" s="161"/>
      <c r="B61" s="161"/>
      <c r="C61" s="150"/>
      <c r="D61" s="161"/>
      <c r="E61" s="161"/>
      <c r="F61" s="150"/>
    </row>
    <row r="62" spans="1:6">
      <c r="A62" s="161"/>
      <c r="B62" s="161"/>
      <c r="C62" s="150"/>
      <c r="D62" s="161"/>
      <c r="E62" s="156"/>
      <c r="F62" s="150"/>
    </row>
    <row r="63" spans="1:6">
      <c r="A63" s="161"/>
      <c r="B63" s="161"/>
      <c r="C63" s="150"/>
      <c r="D63" s="161"/>
      <c r="E63" s="161"/>
      <c r="F63" s="150"/>
    </row>
    <row r="64" spans="1:6">
      <c r="A64" s="161"/>
      <c r="B64" s="161"/>
      <c r="C64" s="150"/>
      <c r="D64" s="161"/>
      <c r="E64" s="161"/>
      <c r="F64" s="150"/>
    </row>
    <row r="65" spans="1:6">
      <c r="A65" s="161"/>
      <c r="B65" s="161"/>
      <c r="C65" s="150"/>
      <c r="D65" s="161"/>
      <c r="E65" s="161"/>
      <c r="F65" s="150"/>
    </row>
    <row r="66" spans="1:6">
      <c r="A66" s="161"/>
      <c r="B66" s="161"/>
      <c r="C66" s="150"/>
      <c r="D66" s="161"/>
      <c r="E66" s="161"/>
      <c r="F66" s="150"/>
    </row>
    <row r="67" spans="1:6">
      <c r="A67" s="161"/>
      <c r="B67" s="161"/>
      <c r="C67" s="150"/>
      <c r="D67" s="161"/>
      <c r="E67" s="161"/>
      <c r="F67" s="150"/>
    </row>
    <row r="68" spans="1:6">
      <c r="A68" s="161"/>
      <c r="B68" s="161"/>
      <c r="C68" s="150"/>
      <c r="D68" s="161"/>
      <c r="E68" s="161"/>
      <c r="F68" s="150"/>
    </row>
    <row r="69" spans="1:6">
      <c r="A69" s="161"/>
      <c r="B69" s="161"/>
      <c r="C69" s="150"/>
      <c r="D69" s="161"/>
      <c r="E69" s="161"/>
      <c r="F69" s="150"/>
    </row>
    <row r="70" spans="1:6">
      <c r="A70" s="161"/>
      <c r="B70" s="161"/>
      <c r="C70" s="150"/>
      <c r="D70" s="161"/>
      <c r="E70" s="161"/>
      <c r="F70" s="150"/>
    </row>
    <row r="71" spans="1:6">
      <c r="A71" s="161"/>
      <c r="B71" s="161"/>
      <c r="C71" s="150"/>
      <c r="D71" s="161"/>
      <c r="E71" s="161"/>
      <c r="F71" s="150"/>
    </row>
    <row r="72" spans="1:6">
      <c r="A72" s="159"/>
      <c r="B72" s="159"/>
      <c r="C72" s="159"/>
      <c r="D72" s="161"/>
      <c r="E72" s="159"/>
      <c r="F72" s="159"/>
    </row>
    <row r="73" spans="1:6">
      <c r="A73" s="159"/>
      <c r="B73" s="159"/>
      <c r="C73" s="159"/>
      <c r="D73" s="161"/>
      <c r="E73" s="159"/>
      <c r="F73" s="159"/>
    </row>
    <row r="74" spans="1:6">
      <c r="A74" s="159"/>
      <c r="B74" s="159"/>
      <c r="C74" s="159"/>
      <c r="D74" s="161"/>
      <c r="E74" s="159"/>
      <c r="F74" s="159"/>
    </row>
    <row r="75" spans="1:6">
      <c r="A75" s="159"/>
      <c r="B75" s="159"/>
      <c r="C75" s="159"/>
      <c r="D75" s="161"/>
      <c r="E75" s="159"/>
      <c r="F75" s="159"/>
    </row>
    <row r="76" spans="1:6">
      <c r="A76" s="159"/>
      <c r="B76" s="159"/>
      <c r="C76" s="159"/>
      <c r="D76" s="161"/>
      <c r="E76" s="159"/>
      <c r="F76" s="159"/>
    </row>
    <row r="77" spans="1:6">
      <c r="A77" s="159"/>
      <c r="B77" s="159"/>
      <c r="C77" s="159"/>
      <c r="D77" s="161"/>
      <c r="E77" s="159"/>
      <c r="F77" s="159"/>
    </row>
    <row r="78" spans="1:6">
      <c r="A78" s="161"/>
      <c r="B78" s="161"/>
      <c r="C78" s="150"/>
      <c r="D78" s="161"/>
      <c r="E78" s="161"/>
      <c r="F78" s="150"/>
    </row>
    <row r="79" spans="1:6">
      <c r="A79" s="150"/>
      <c r="B79" s="150"/>
      <c r="C79" s="150"/>
      <c r="D79" s="161"/>
      <c r="E79" s="150"/>
      <c r="F79" s="150"/>
    </row>
    <row r="80" spans="1:6">
      <c r="A80" s="150"/>
      <c r="B80" s="150"/>
      <c r="C80" s="150"/>
      <c r="D80" s="161"/>
      <c r="E80" s="150"/>
      <c r="F80" s="150"/>
    </row>
    <row r="81" spans="1:6">
      <c r="A81" s="150"/>
      <c r="B81" s="150"/>
      <c r="C81" s="150"/>
      <c r="D81" s="161"/>
      <c r="E81" s="150"/>
      <c r="F81" s="150"/>
    </row>
    <row r="82" spans="1:6">
      <c r="A82" s="150"/>
      <c r="B82" s="150"/>
      <c r="C82" s="150"/>
      <c r="D82" s="161"/>
      <c r="E82" s="150"/>
      <c r="F82" s="150"/>
    </row>
    <row r="83" spans="1:6">
      <c r="A83" s="150"/>
      <c r="B83" s="150"/>
      <c r="C83" s="150"/>
      <c r="D83" s="161"/>
      <c r="E83" s="150"/>
      <c r="F83" s="150"/>
    </row>
    <row r="84" spans="1:6">
      <c r="A84" s="150"/>
      <c r="B84" s="150"/>
      <c r="C84" s="150"/>
      <c r="D84" s="161"/>
      <c r="E84" s="150"/>
      <c r="F84" s="150"/>
    </row>
    <row r="85" spans="1:6">
      <c r="A85" s="150"/>
      <c r="B85" s="150"/>
      <c r="C85" s="150"/>
      <c r="D85" s="161"/>
      <c r="E85" s="150"/>
      <c r="F85" s="150"/>
    </row>
    <row r="86" spans="1:6">
      <c r="A86" s="150"/>
      <c r="B86" s="150"/>
      <c r="C86" s="150"/>
      <c r="D86" s="161"/>
      <c r="E86" s="150"/>
      <c r="F86" s="150"/>
    </row>
    <row r="87" spans="1:6">
      <c r="A87" s="150"/>
      <c r="B87" s="150"/>
      <c r="C87" s="150"/>
      <c r="D87" s="161"/>
      <c r="E87" s="150"/>
      <c r="F87" s="150"/>
    </row>
    <row r="88" spans="1:6">
      <c r="A88" s="150"/>
      <c r="B88" s="150"/>
      <c r="C88" s="150"/>
      <c r="D88" s="161"/>
      <c r="E88" s="150"/>
      <c r="F88" s="150"/>
    </row>
    <row r="89" spans="1:6">
      <c r="A89" s="150"/>
      <c r="B89" s="150"/>
      <c r="C89" s="150"/>
      <c r="D89" s="161"/>
      <c r="E89" s="150"/>
      <c r="F89" s="1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BUDGETSIZE</vt:lpstr>
      <vt:lpstr>BUDGET DETAIL</vt:lpstr>
      <vt:lpstr>ALLOCATION</vt:lpstr>
      <vt:lpstr>ACTUAL EXP</vt:lpstr>
      <vt:lpstr>SCH D</vt:lpstr>
      <vt:lpstr>SCH C</vt:lpstr>
      <vt:lpstr>Sheet1</vt:lpstr>
      <vt:lpstr>TABLE1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Maghami, Kourosh</dc:creator>
  <cp:lastModifiedBy>fadoug</cp:lastModifiedBy>
  <dcterms:created xsi:type="dcterms:W3CDTF">2011-07-28T21:09:48Z</dcterms:created>
  <dcterms:modified xsi:type="dcterms:W3CDTF">2013-01-03T00:16:58Z</dcterms:modified>
</cp:coreProperties>
</file>