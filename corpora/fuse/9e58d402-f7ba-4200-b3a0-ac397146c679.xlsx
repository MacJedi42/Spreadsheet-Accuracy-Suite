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9600" yWindow="15" windowWidth="9570" windowHeight="9045" tabRatio="898" activeTab="1"/>
  </bookViews>
  <sheets>
    <sheet name="Cover" sheetId="10" r:id="rId1"/>
    <sheet name="FinReview" sheetId="23" r:id="rId2"/>
    <sheet name="TEAData" sheetId="26" r:id="rId3"/>
    <sheet name="Average" sheetId="27" r:id="rId4"/>
  </sheets>
  <definedNames>
    <definedName name="_xlnm._FilterDatabase" localSheetId="0" hidden="1">Cover!$A$2:$A$3</definedName>
    <definedName name="_xlnm.Print_Area" localSheetId="1">FinReview!$A$2:$J$58</definedName>
  </definedNames>
  <calcPr calcId="125725" iterate="1" iterateCount="10"/>
</workbook>
</file>

<file path=xl/calcChain.xml><?xml version="1.0" encoding="utf-8"?>
<calcChain xmlns="http://schemas.openxmlformats.org/spreadsheetml/2006/main">
  <c r="I51" i="23"/>
  <c r="H2"/>
  <c r="H45"/>
  <c r="I42"/>
  <c r="H42"/>
  <c r="F42"/>
  <c r="I35"/>
  <c r="H35"/>
  <c r="F35"/>
  <c r="E8"/>
  <c r="E7"/>
  <c r="E6"/>
  <c r="D11"/>
  <c r="E35"/>
  <c r="I37" s="1"/>
  <c r="D35"/>
  <c r="I49" l="1"/>
  <c r="I52"/>
  <c r="I48"/>
  <c r="I38" l="1"/>
  <c r="F11"/>
  <c r="F10"/>
  <c r="E11"/>
  <c r="I39"/>
  <c r="D10"/>
  <c r="G42"/>
  <c r="G23"/>
  <c r="G35"/>
  <c r="G29"/>
  <c r="J53" l="1"/>
  <c r="I11"/>
  <c r="I10"/>
  <c r="E10"/>
</calcChain>
</file>

<file path=xl/sharedStrings.xml><?xml version="1.0" encoding="utf-8"?>
<sst xmlns="http://schemas.openxmlformats.org/spreadsheetml/2006/main" count="465" uniqueCount="460">
  <si>
    <t>Suggested Difference</t>
  </si>
  <si>
    <t>CDN:</t>
  </si>
  <si>
    <t>Payroll</t>
  </si>
  <si>
    <t>Contract Costs</t>
  </si>
  <si>
    <t>Supplies and Materials</t>
  </si>
  <si>
    <t>Other Operating</t>
  </si>
  <si>
    <t>Debt Service</t>
  </si>
  <si>
    <t>Capital Outlay</t>
  </si>
  <si>
    <t>All Staff FTE</t>
  </si>
  <si>
    <t>Total Expenditures</t>
  </si>
  <si>
    <t>Total Revenues</t>
  </si>
  <si>
    <t>Object code series 6200</t>
  </si>
  <si>
    <t>Object code series 6300</t>
  </si>
  <si>
    <t>Object code series 6400</t>
  </si>
  <si>
    <t xml:space="preserve"> </t>
  </si>
  <si>
    <t>2010-2011 Actual Amount</t>
  </si>
  <si>
    <t>WADA</t>
  </si>
  <si>
    <t>2011-2012 Estimate</t>
  </si>
  <si>
    <t xml:space="preserve">2010-2011 Actual </t>
  </si>
  <si>
    <t>CDN</t>
  </si>
  <si>
    <t>District Name</t>
  </si>
  <si>
    <t>Group</t>
  </si>
  <si>
    <t>2010-2011 Budget Amount</t>
  </si>
  <si>
    <t>Comments</t>
  </si>
  <si>
    <t>2009-2010 Budget Amount</t>
  </si>
  <si>
    <t>2011-2012 Amount</t>
  </si>
  <si>
    <t>2009-2010 Actual Amount</t>
  </si>
  <si>
    <t>Additional Questions</t>
  </si>
  <si>
    <t xml:space="preserve"> 2010-2011 WADA</t>
  </si>
  <si>
    <t xml:space="preserve"> 2010-2011 Staff FTE</t>
  </si>
  <si>
    <t xml:space="preserve"> 2009-2010 Budgeted Expenditures</t>
  </si>
  <si>
    <t xml:space="preserve"> 2010-2011 Budgeted Expenditures</t>
  </si>
  <si>
    <t xml:space="preserve"> 2009-2010 Actual Expenditures</t>
  </si>
  <si>
    <t xml:space="preserve"> 2009-2010 Budget Revenues</t>
  </si>
  <si>
    <t xml:space="preserve"> 2010-2011 Budget Revenues</t>
  </si>
  <si>
    <t xml:space="preserve"> 2009-2010 Actual Revenues</t>
  </si>
  <si>
    <t>Object codes 6110-6149</t>
  </si>
  <si>
    <t>** For charter schools, general fund expenditures do not include depreciation expenses.</t>
  </si>
  <si>
    <t>Charter Name:</t>
  </si>
  <si>
    <t>Net working capital balance less than 1% of general fund expenditures:</t>
  </si>
  <si>
    <t>057829</t>
  </si>
  <si>
    <t>A+ ACADEMY</t>
  </si>
  <si>
    <t>101810</t>
  </si>
  <si>
    <t>ACADEMY OF ACCELERATED LEARNING IN</t>
  </si>
  <si>
    <t>015816</t>
  </si>
  <si>
    <t>ACADEMY OF CAREERS AND TECHNOLOGIE</t>
  </si>
  <si>
    <t>057810</t>
  </si>
  <si>
    <t>ACADEMY OF DALLAS</t>
  </si>
  <si>
    <t>101849</t>
  </si>
  <si>
    <t>ACCELERATED INTERMEDIATE ACADEMY</t>
  </si>
  <si>
    <t>057806</t>
  </si>
  <si>
    <t>ADVANTAGE ACADEMY</t>
  </si>
  <si>
    <t>101815</t>
  </si>
  <si>
    <t>ALIEF MONTESSORI COMMUNITY SCHOOL</t>
  </si>
  <si>
    <t>057832</t>
  </si>
  <si>
    <t>ALPHA CHARTER SCHOOL</t>
  </si>
  <si>
    <t>084804</t>
  </si>
  <si>
    <t>AMBASSADORS PREPARATORY ACADEMY</t>
  </si>
  <si>
    <t>227801</t>
  </si>
  <si>
    <t>AMERICAN YOUTHWORKS CHARTER SCHOOL</t>
  </si>
  <si>
    <t>101819</t>
  </si>
  <si>
    <t>AMIGOS POR VIDA-FRIENDS FOR LIFE P</t>
  </si>
  <si>
    <t>220802</t>
  </si>
  <si>
    <t>ARLINGTON CLASSICS ACADEMY</t>
  </si>
  <si>
    <t>227818</t>
  </si>
  <si>
    <t>AUSTIN CAN ACADEMY CHARTER SCHOOL</t>
  </si>
  <si>
    <t>227821</t>
  </si>
  <si>
    <t>AUSTIN DISCOVERY SCHOOL</t>
  </si>
  <si>
    <t>057816</t>
  </si>
  <si>
    <t>AW BROWN-FELLOWSHIP CHARTER SCHOOL</t>
  </si>
  <si>
    <t>212803</t>
  </si>
  <si>
    <t>AZLEWAY CHARTER SCHOOL</t>
  </si>
  <si>
    <t>101809</t>
  </si>
  <si>
    <t>BAY AREA CHARTER INC</t>
  </si>
  <si>
    <t>101847</t>
  </si>
  <si>
    <t>BEATRICE MAYES INSTITUTE CHARTER S</t>
  </si>
  <si>
    <t>015809</t>
  </si>
  <si>
    <t>BEXAR COUNTY ACADEMY</t>
  </si>
  <si>
    <t>193801</t>
  </si>
  <si>
    <t>BIG SPRINGS CHARTER SCHOOL</t>
  </si>
  <si>
    <t>213801</t>
  </si>
  <si>
    <t>BRAZOS RIVER CHARTER SCHOOL</t>
  </si>
  <si>
    <t>021803</t>
  </si>
  <si>
    <t>BRAZOS SCHOOL FOR INQUIRY &amp; CREATI</t>
  </si>
  <si>
    <t>243801</t>
  </si>
  <si>
    <t>BRIGHT IDEAS CHARTER</t>
  </si>
  <si>
    <t>015830</t>
  </si>
  <si>
    <t>BROOKS ACADEMY OF SCIENCE AND ENGI</t>
  </si>
  <si>
    <t>071801</t>
  </si>
  <si>
    <t>BURNHAM WOOD CHARTER SCHOOL DISTRI</t>
  </si>
  <si>
    <t>101837</t>
  </si>
  <si>
    <t>CALVIN NELMS CHARTER SCHOOLS</t>
  </si>
  <si>
    <t>227817</t>
  </si>
  <si>
    <t>CEDARS INTERNATIONAL ACADEMY</t>
  </si>
  <si>
    <t>220815</t>
  </si>
  <si>
    <t>CHAPEL HILL ACADEMY</t>
  </si>
  <si>
    <t>057811</t>
  </si>
  <si>
    <t>CHILDREN FIRST ACADEMY OF DALLAS</t>
  </si>
  <si>
    <t>101823</t>
  </si>
  <si>
    <t>CHILDREN FIRST ACADEMY OF HOUSTON</t>
  </si>
  <si>
    <t>015832</t>
  </si>
  <si>
    <t>CITY CENTER HEALTH CAREERS</t>
  </si>
  <si>
    <t>101842</t>
  </si>
  <si>
    <t>COMQUEST ACADEMY</t>
  </si>
  <si>
    <t>178807</t>
  </si>
  <si>
    <t>CORPUS CHRISTI MONTESSORI SCHOOL</t>
  </si>
  <si>
    <t>184801</t>
  </si>
  <si>
    <t>CROSSTIMBERS ACADEMY</t>
  </si>
  <si>
    <t>212801</t>
  </si>
  <si>
    <t>CUMBERLAND ACADEMY</t>
  </si>
  <si>
    <t>057804</t>
  </si>
  <si>
    <t>DALLAS CAN ACADEMY CHARTER</t>
  </si>
  <si>
    <t>057805</t>
  </si>
  <si>
    <t>DALLAS COMMUNITY CHARTER SCHOOL</t>
  </si>
  <si>
    <t>057814</t>
  </si>
  <si>
    <t>DALLAS COUNTY JUVENILE JUSTICE</t>
  </si>
  <si>
    <t>178801</t>
  </si>
  <si>
    <t>DR M L GARZA-GONZALEZ CHARTER SCHO</t>
  </si>
  <si>
    <t>101856</t>
  </si>
  <si>
    <t>DRAW ACADEMY</t>
  </si>
  <si>
    <t>220811</t>
  </si>
  <si>
    <t>EAST FORT WORTH MONTESSORI ACADEMY</t>
  </si>
  <si>
    <t>092801</t>
  </si>
  <si>
    <t>EAST TEXAS CHARTER SCHOOLS</t>
  </si>
  <si>
    <t>227803</t>
  </si>
  <si>
    <t>EDEN PARK ACADEMY</t>
  </si>
  <si>
    <t>061802</t>
  </si>
  <si>
    <t>EDUCATION CENTER</t>
  </si>
  <si>
    <t>057833</t>
  </si>
  <si>
    <t>EDUCATION CENTER INTERNATIONAL ACA</t>
  </si>
  <si>
    <t>123805</t>
  </si>
  <si>
    <t>EHRHART SCHOOL</t>
  </si>
  <si>
    <t>071804</t>
  </si>
  <si>
    <t>EL PASO ACADEMY</t>
  </si>
  <si>
    <t>024801</t>
  </si>
  <si>
    <t>ENCINO SCHOOL</t>
  </si>
  <si>
    <t>072802</t>
  </si>
  <si>
    <t>ERATH EXCELS ACADEMY INC</t>
  </si>
  <si>
    <t>057834</t>
  </si>
  <si>
    <t>EVOLUTION ACADEMY CHARTER SCHOOL</t>
  </si>
  <si>
    <t>101811</t>
  </si>
  <si>
    <t>EXCEL ACADEMY</t>
  </si>
  <si>
    <t>057815</t>
  </si>
  <si>
    <t>FAITH FAMILY ACADEMY OF OAK CLIFF</t>
  </si>
  <si>
    <t>057817</t>
  </si>
  <si>
    <t>FOCUS LEARNING ACADEMY</t>
  </si>
  <si>
    <t>220809</t>
  </si>
  <si>
    <t>FORT WORTH ACADEMY OF FINE ARTS</t>
  </si>
  <si>
    <t>220804</t>
  </si>
  <si>
    <t>FORT WORTH CAN ACADEMY</t>
  </si>
  <si>
    <t>232801</t>
  </si>
  <si>
    <t>GABRIEL TAFOLLA ACADEMY</t>
  </si>
  <si>
    <t>240801</t>
  </si>
  <si>
    <t>GATEWAY (STUDENT ALTERNATIVE PROGR</t>
  </si>
  <si>
    <t>057831</t>
  </si>
  <si>
    <t>GATEWAY CHARTER ACADEMY</t>
  </si>
  <si>
    <t>015802</t>
  </si>
  <si>
    <t>GEORGE GERVIN ACADEMY</t>
  </si>
  <si>
    <t>101804</t>
  </si>
  <si>
    <t>GEORGE I SANCHEZ CHARTER</t>
  </si>
  <si>
    <t>015812</t>
  </si>
  <si>
    <t>GEORGE I SANCHEZ CHARTER HS SAN AN</t>
  </si>
  <si>
    <t>101805</t>
  </si>
  <si>
    <t>GIRLS &amp; BOYS PREPARATORY ACADEMY</t>
  </si>
  <si>
    <t>057835</t>
  </si>
  <si>
    <t>GOLDEN RULE CHARTER SCHOOL</t>
  </si>
  <si>
    <t>057843</t>
  </si>
  <si>
    <t>HAMPTON PREPARATORY</t>
  </si>
  <si>
    <t>101858</t>
  </si>
  <si>
    <t>HARMONY SCHOOL OF EXCELLENCE</t>
  </si>
  <si>
    <t>101862</t>
  </si>
  <si>
    <t>HARMONY SCHOOL OF SCIENCE - HOUSTO</t>
  </si>
  <si>
    <t>071806</t>
  </si>
  <si>
    <t>HARMONY SCIENCE ACAD (EL PASO)</t>
  </si>
  <si>
    <t>220813</t>
  </si>
  <si>
    <t>HARMONY SCIENCE ACAD (FORT WORTH)</t>
  </si>
  <si>
    <t>152805</t>
  </si>
  <si>
    <t>HARMONY SCIENCE ACAD (LUBBOCK)</t>
  </si>
  <si>
    <t>015828</t>
  </si>
  <si>
    <t>HARMONY SCIENCE ACAD (SAN ANTONIO)</t>
  </si>
  <si>
    <t>161807</t>
  </si>
  <si>
    <t>HARMONY SCIENCE ACAD (WACO)</t>
  </si>
  <si>
    <t>101846</t>
  </si>
  <si>
    <t>HARMONY SCIENCE ACADEMY</t>
  </si>
  <si>
    <t>227816</t>
  </si>
  <si>
    <t>HARMONY SCIENCE ACADEMY (AUSTIN)</t>
  </si>
  <si>
    <t>031803</t>
  </si>
  <si>
    <t>HARMONY SCIENCE ACADEMY - BROWNSVI</t>
  </si>
  <si>
    <t>240804</t>
  </si>
  <si>
    <t>HARMONY SCIENCE ACADEMY - LAREDO</t>
  </si>
  <si>
    <t>015833</t>
  </si>
  <si>
    <t>HENRY FORD ACADEMY ALAMEDA SCHOOL</t>
  </si>
  <si>
    <t>015803</t>
  </si>
  <si>
    <t>HIGGS CARTER KING GIFTED &amp; TALENTE</t>
  </si>
  <si>
    <t>057825</t>
  </si>
  <si>
    <t>HONORS ACADEMY</t>
  </si>
  <si>
    <t>101851</t>
  </si>
  <si>
    <t>HOUSTON ALTERNATIVE PREPARATORY CH</t>
  </si>
  <si>
    <t>101812</t>
  </si>
  <si>
    <t>HOUSTON CAN ACADEMY CHARTER SCHOOL</t>
  </si>
  <si>
    <t>101828</t>
  </si>
  <si>
    <t>HOUSTON GATEWAY ACADEMY INC</t>
  </si>
  <si>
    <t>101821</t>
  </si>
  <si>
    <t>HOUSTON HEIGHTS HIGH SCHOOL</t>
  </si>
  <si>
    <t>101829</t>
  </si>
  <si>
    <t>HOUSTON HEIGHTS LEARNING ACADEMY I</t>
  </si>
  <si>
    <t>108807</t>
  </si>
  <si>
    <t>IDEA PUBLIC SCHOOLS</t>
  </si>
  <si>
    <t>057830</t>
  </si>
  <si>
    <t>INSPIRED VISION ACADEMY</t>
  </si>
  <si>
    <t>101822</t>
  </si>
  <si>
    <t>JAMIE'S HOUSE CHARTER SCHOOL</t>
  </si>
  <si>
    <t>057819</t>
  </si>
  <si>
    <t>JEAN MASSIEU ACADEMY</t>
  </si>
  <si>
    <t>015808</t>
  </si>
  <si>
    <t>JOHN H WOOD JR PUBLIC CHARTER DIST</t>
  </si>
  <si>
    <t>101852</t>
  </si>
  <si>
    <t>JUAN B GALAVIZ CHARTER SCHOOL</t>
  </si>
  <si>
    <t>015822</t>
  </si>
  <si>
    <t>JUBILEE ACADEMIC CENTER</t>
  </si>
  <si>
    <t>105801</t>
  </si>
  <si>
    <t>KATHERINE ANNE PORTER SCHOOL</t>
  </si>
  <si>
    <t>015826</t>
  </si>
  <si>
    <t>KIPP ASPIRE ACADEMY</t>
  </si>
  <si>
    <t>227820</t>
  </si>
  <si>
    <t>KIPP AUSTIN PUBLIC SCHOOLS INC</t>
  </si>
  <si>
    <t>101813</t>
  </si>
  <si>
    <t>KIPP INC CHARTER</t>
  </si>
  <si>
    <t>101860</t>
  </si>
  <si>
    <t>KIPP SOUTHEAST HOUSTON</t>
  </si>
  <si>
    <t>057837</t>
  </si>
  <si>
    <t>KIPP TRUTH ACADEMY</t>
  </si>
  <si>
    <t>057839</t>
  </si>
  <si>
    <t>LA ACADEMIA DE ESTRELLAS</t>
  </si>
  <si>
    <t>101833</t>
  </si>
  <si>
    <t>LA AMISTAD LOVE &amp; LEARNING ACADEMY</t>
  </si>
  <si>
    <t>071807</t>
  </si>
  <si>
    <t>LA FE PREPARATORY SCHOOL</t>
  </si>
  <si>
    <t>057807</t>
  </si>
  <si>
    <t>LIFE SCHOOL</t>
  </si>
  <si>
    <t>015825</t>
  </si>
  <si>
    <t>LIGHTHOUSE CHARTER SCHOOL</t>
  </si>
  <si>
    <t>084801</t>
  </si>
  <si>
    <t>MAINLAND PREPARATORY ACADEMY</t>
  </si>
  <si>
    <t>057844</t>
  </si>
  <si>
    <t>MANARA ACADEMY</t>
  </si>
  <si>
    <t>130801</t>
  </si>
  <si>
    <t>MEADOWLAND CHARTER SCHOOL</t>
  </si>
  <si>
    <t>101801</t>
  </si>
  <si>
    <t>MEDICAL CENTER CHARTER SCHOOL</t>
  </si>
  <si>
    <t>220808</t>
  </si>
  <si>
    <t>METRO ACADEMY OF MATH AND SCIENCE</t>
  </si>
  <si>
    <t>101855</t>
  </si>
  <si>
    <t>MEYERPARK ELEMENTARY</t>
  </si>
  <si>
    <t>108804</t>
  </si>
  <si>
    <t>MID-VALLEY ACADEMY</t>
  </si>
  <si>
    <t>165802</t>
  </si>
  <si>
    <t>MIDLAND ACADEMY CHARTER SCHOOL</t>
  </si>
  <si>
    <t>015805</t>
  </si>
  <si>
    <t>NEW FRONTIERS CHARTER SCHOOL</t>
  </si>
  <si>
    <t>057803</t>
  </si>
  <si>
    <t>NORTH HILLS PREPARATORY SCHOOL</t>
  </si>
  <si>
    <t>101848</t>
  </si>
  <si>
    <t>NORTHWEST PREPARATORY</t>
  </si>
  <si>
    <t>057809</t>
  </si>
  <si>
    <t>NOVA ACADEMY</t>
  </si>
  <si>
    <t>057827</t>
  </si>
  <si>
    <t>NOVA ACADEMY (SOUTHEAST)</t>
  </si>
  <si>
    <t>227804</t>
  </si>
  <si>
    <t>NYOS CHARTER SCHOOL</t>
  </si>
  <si>
    <t>084802</t>
  </si>
  <si>
    <t>ODYSSEY ACADEMY INC</t>
  </si>
  <si>
    <t>108801</t>
  </si>
  <si>
    <t>ONE STOP MULTISERVICE CHARTER SCHO</t>
  </si>
  <si>
    <t>014804</t>
  </si>
  <si>
    <t>ORENDA CHARTER SCHOOL</t>
  </si>
  <si>
    <t>235801</t>
  </si>
  <si>
    <t>OUTREACH ACADEMY</t>
  </si>
  <si>
    <t>183801</t>
  </si>
  <si>
    <t>PANOLA CHARTER SCHOOL</t>
  </si>
  <si>
    <t>072801</t>
  </si>
  <si>
    <t>PARADIGM ACCELERATED CHARTER SCHOO</t>
  </si>
  <si>
    <t>071803</t>
  </si>
  <si>
    <t>PASO DEL NORTE</t>
  </si>
  <si>
    <t>057838</t>
  </si>
  <si>
    <t>PEAK PREPARATORY SCHOOL</t>
  </si>
  <si>
    <t>057802</t>
  </si>
  <si>
    <t>PEGASUS SCHOOL OF LIBERAL ARTS AND</t>
  </si>
  <si>
    <t>116801</t>
  </si>
  <si>
    <t>PHOENIX CHARTER SCHOOL</t>
  </si>
  <si>
    <t>003801</t>
  </si>
  <si>
    <t>PINEYWOODS COMMUNITY ACADEMY</t>
  </si>
  <si>
    <t>015801</t>
  </si>
  <si>
    <t>POR VIDA ACADEMY</t>
  </si>
  <si>
    <t>015814</t>
  </si>
  <si>
    <t>POSITIVE SOLUTIONS CHARTER SCHOOL</t>
  </si>
  <si>
    <t>015815</t>
  </si>
  <si>
    <t>RADIANCE ACADEMY OF LEARNING</t>
  </si>
  <si>
    <t>234801</t>
  </si>
  <si>
    <t>RANCH ACADEMY</t>
  </si>
  <si>
    <t>161802</t>
  </si>
  <si>
    <t>RAPOPORT ACADEMY PUBLIC SCHOOL</t>
  </si>
  <si>
    <t>101806</t>
  </si>
  <si>
    <t>RAUL YZAGUIRRE SCHOOL FOR SUCCESS</t>
  </si>
  <si>
    <t>236801</t>
  </si>
  <si>
    <t>RAVEN SCHOOL</t>
  </si>
  <si>
    <t>057841</t>
  </si>
  <si>
    <t>RECONCILIATION ACADEMY</t>
  </si>
  <si>
    <t>221801</t>
  </si>
  <si>
    <t>RESPONSIVE EDUCATION SOLUTIONS</t>
  </si>
  <si>
    <t>188801</t>
  </si>
  <si>
    <t>RICHARD MILBURN ACADEMY (AMARILLO)</t>
  </si>
  <si>
    <t>068801</t>
  </si>
  <si>
    <t>RICHARD MILBURN ACADEMY (ECTOR COU</t>
  </si>
  <si>
    <t>220812</t>
  </si>
  <si>
    <t>RICHARD MILBURN ACADEMY (FORT WORT</t>
  </si>
  <si>
    <t>101854</t>
  </si>
  <si>
    <t>RICHARD MILBURN ACADEMY (SUBURBAN</t>
  </si>
  <si>
    <t>014801</t>
  </si>
  <si>
    <t>RICHARD MILBURN ALTER HIGH SCHOOL</t>
  </si>
  <si>
    <t>178804</t>
  </si>
  <si>
    <t>057840</t>
  </si>
  <si>
    <t>RICHLAND COLLEGIATE HS OF MATH SCI</t>
  </si>
  <si>
    <t>101853</t>
  </si>
  <si>
    <t>RIPLEY HOUSE CHARTER SCHOOL</t>
  </si>
  <si>
    <t>152802</t>
  </si>
  <si>
    <t>RISE ACADEMY</t>
  </si>
  <si>
    <t>015817</t>
  </si>
  <si>
    <t>SAN ANTONIO CAN HIGH SCHOOL</t>
  </si>
  <si>
    <t>015824</t>
  </si>
  <si>
    <t>SAN ANTONIO PREPARATORY ACADEMY</t>
  </si>
  <si>
    <t>015820</t>
  </si>
  <si>
    <t>SAN ANTONIO SCHOOL FOR INQUIRY &amp; C</t>
  </si>
  <si>
    <t>015823</t>
  </si>
  <si>
    <t>SAN ANTONIO TECHNOLOGY ACADEMY</t>
  </si>
  <si>
    <t>015806</t>
  </si>
  <si>
    <t>SCHOOL OF EXCELLENCE IN EDUCATION</t>
  </si>
  <si>
    <t>015827</t>
  </si>
  <si>
    <t>SCHOOL OF SCIENCE AND TECHNOLOGY</t>
  </si>
  <si>
    <t>178809</t>
  </si>
  <si>
    <t>SCHOOL OF SCIENCE AND TECHNOLOGY C</t>
  </si>
  <si>
    <t>015831</t>
  </si>
  <si>
    <t>SCHOOL OF SCIENCE AND TECHNOLOGY D</t>
  </si>
  <si>
    <t>178802</t>
  </si>
  <si>
    <t>SEASHORE LEARNING CTR CHARTER</t>
  </si>
  <si>
    <t>178808</t>
  </si>
  <si>
    <t>SEASHORE MIDDLE ACAD</t>
  </si>
  <si>
    <t>101802</t>
  </si>
  <si>
    <t>SER-NINOS CHARTER SCHOOL</t>
  </si>
  <si>
    <t>015819</t>
  </si>
  <si>
    <t>SHEKINAH RADIANCE ACADEMY</t>
  </si>
  <si>
    <t>152803</t>
  </si>
  <si>
    <t>SOUTH PLAINS</t>
  </si>
  <si>
    <t>108802</t>
  </si>
  <si>
    <t>SOUTH TEXAS EDUCATIONAL TECHNOLOGI</t>
  </si>
  <si>
    <t>015807</t>
  </si>
  <si>
    <t>SOUTHWEST PREPARATORY SCHOOL</t>
  </si>
  <si>
    <t>101838</t>
  </si>
  <si>
    <t>SOUTHWEST SCHOOL</t>
  </si>
  <si>
    <t>057836</t>
  </si>
  <si>
    <t>ST ANTHONY SCHOOL</t>
  </si>
  <si>
    <t>013801</t>
  </si>
  <si>
    <t>ST MARY'S ACADEMY CHARTER SCHOOL</t>
  </si>
  <si>
    <t>227814</t>
  </si>
  <si>
    <t>STAR CHARTER SCHOOL</t>
  </si>
  <si>
    <t>174801</t>
  </si>
  <si>
    <t>STEPHEN F AUSTIN STATE UNIVERSITY</t>
  </si>
  <si>
    <t>101859</t>
  </si>
  <si>
    <t>STEPPING STONES CHARTER EL</t>
  </si>
  <si>
    <t>220816</t>
  </si>
  <si>
    <t>SUMMIT INTERNATIONAL PREPARATORY</t>
  </si>
  <si>
    <t>123803</t>
  </si>
  <si>
    <t>TEKOA ACADEMY OF ACCELERATED STUDI</t>
  </si>
  <si>
    <t>014803</t>
  </si>
  <si>
    <t>TEMPLE EDUCATION CENTER</t>
  </si>
  <si>
    <t>220814</t>
  </si>
  <si>
    <t>TEXAS ELEMENTARY SCHOOL OF THE ART</t>
  </si>
  <si>
    <t>227805</t>
  </si>
  <si>
    <t>TEXAS EMPOWERMENT ACADEMY</t>
  </si>
  <si>
    <t>105802</t>
  </si>
  <si>
    <t>TEXAS PREPARATORY SCHOOL</t>
  </si>
  <si>
    <t>170801</t>
  </si>
  <si>
    <t>TEXAS SERENITY ACADEMY</t>
  </si>
  <si>
    <t>227824</t>
  </si>
  <si>
    <t>THE EAST AUSTIN COLLEGE PREP ACADE</t>
  </si>
  <si>
    <t>061803</t>
  </si>
  <si>
    <t>THE LEGENDS ACADEMY</t>
  </si>
  <si>
    <t>101861</t>
  </si>
  <si>
    <t>THE RHODES SCHOOL</t>
  </si>
  <si>
    <t>101814</t>
  </si>
  <si>
    <t>THE VARNETT PUBLIC SCHOOL</t>
  </si>
  <si>
    <t>226801</t>
  </si>
  <si>
    <t>TLC ACADEMY</t>
  </si>
  <si>
    <t>014802</t>
  </si>
  <si>
    <t>TRANSFORMATIVE CHARTER ACADEMY</t>
  </si>
  <si>
    <t>220801</t>
  </si>
  <si>
    <t>TREETOPS SCHOOL INTERNATIONAL</t>
  </si>
  <si>
    <t>057813</t>
  </si>
  <si>
    <t>TRINITY BASIN PREPARATORY</t>
  </si>
  <si>
    <t>046802</t>
  </si>
  <si>
    <t>TRINITY CHARTER SCHOOL</t>
  </si>
  <si>
    <t>101840</t>
  </si>
  <si>
    <t>TWO DIMENSIONS PREPARATORY ACADEMY</t>
  </si>
  <si>
    <t>057808</t>
  </si>
  <si>
    <t>UNIVERSAL ACADEMY</t>
  </si>
  <si>
    <t>101807</t>
  </si>
  <si>
    <t>UNIVERSITY OF HOUSTON CHARTER SCHO</t>
  </si>
  <si>
    <t>227819</t>
  </si>
  <si>
    <t>UNIVERSITY OF TEXAS ELEMENTARY CHA</t>
  </si>
  <si>
    <t>227806</t>
  </si>
  <si>
    <t>UNIVERSITY OF TEXAS UNIVERSITY CHA</t>
  </si>
  <si>
    <t>108808</t>
  </si>
  <si>
    <t>VANGUARD ACADEMY</t>
  </si>
  <si>
    <t>161801</t>
  </si>
  <si>
    <t>WACO CHARTER SCHOOL</t>
  </si>
  <si>
    <t>070801</t>
  </si>
  <si>
    <t>WAXAHACHIE FAITH FAMILY ACADEMY</t>
  </si>
  <si>
    <t>101803</t>
  </si>
  <si>
    <t>WEST HOUSTON CHARTER SCHOOL</t>
  </si>
  <si>
    <t>220810</t>
  </si>
  <si>
    <t>WESTLAKE ACADEMY CHARTER SCHOOL</t>
  </si>
  <si>
    <t>057842</t>
  </si>
  <si>
    <t>WILLIAMS PREPARATORY</t>
  </si>
  <si>
    <t>057828</t>
  </si>
  <si>
    <t>WINFREE ACADEMY CHARTER SCHOOLS</t>
  </si>
  <si>
    <t>101845</t>
  </si>
  <si>
    <t>YES PREPARATORY PUBLIC SCHOOLS</t>
  </si>
  <si>
    <t>101850</t>
  </si>
  <si>
    <t>ZOE LEARNING ACADEMY</t>
  </si>
  <si>
    <t xml:space="preserve"> 2009-2010 Net Working Capital Balance</t>
  </si>
  <si>
    <t>Net Working Capital Balance</t>
  </si>
  <si>
    <t>Within this Excel workbook is a worksheet for data entry. Click on the FinReview tab, and enter the CDN for your charter school. Then enter the student and staff estimates, the financial categories/object code amounts, and the total revenues and total net working capital balance amounts. The worksheet will automatically calculate the status.</t>
  </si>
  <si>
    <t xml:space="preserve"> 2010-2011 Enrollment</t>
  </si>
  <si>
    <t xml:space="preserve"> 2010-2011 WADA-to-All-Staff Avg</t>
  </si>
  <si>
    <t>Enrollment</t>
  </si>
  <si>
    <t>&lt; 70% of group avg</t>
  </si>
  <si>
    <t>Object code series 6500</t>
  </si>
  <si>
    <t>Object code series 1500</t>
  </si>
  <si>
    <t>a. Expenditures** exceed revenues by more than 8%.</t>
  </si>
  <si>
    <t>b. Expenditures exceed revenues by more than 6% and exceeded revenues by more than 4% in the prior year.</t>
  </si>
  <si>
    <t>Category 3. Declining or Low Net Working Capital Balance*</t>
  </si>
  <si>
    <t>Did your charter school borrow funds to pay for operating expenses and not repay the funds within 12 months from the time they were borrowed within the last two years?</t>
  </si>
  <si>
    <t>Has your charter school declared bankruptcy within the past two years?</t>
  </si>
  <si>
    <t>How many executive directors/superintendents has your charter school had in the last three years?</t>
  </si>
  <si>
    <t>How many business managers has your charter school had in the last three years?</t>
  </si>
  <si>
    <t>a. Prior year end-of-year net working capital balance declined from the year before by more than 50%, and the net working capital balance is less than 6% of the general fund expenditures for the charter school.</t>
  </si>
  <si>
    <t>b. Prior year end-of-year net working capital balance is less than 1% of the general fund expenditures for the charter school.</t>
  </si>
  <si>
    <t>At least one "Declining or Low Net Working Capital Balance" "Yes" indicator and one other "Yes" indicator:</t>
  </si>
  <si>
    <t>* The net working capital balance (equivalent to a school district's general fund assigned and unassigned fund balance) is defined as current assets minus current liabilities.</t>
  </si>
  <si>
    <t>Category 1. Student-to-Staff Ratio Outside Norm or Declining</t>
  </si>
  <si>
    <t>a. WADA-to-All-Staff-FTE Ratio</t>
  </si>
  <si>
    <t>b. WADA-to-All-Staff-FTE Ratio</t>
  </si>
  <si>
    <t>Average per Group</t>
  </si>
  <si>
    <t>Indicator Description</t>
  </si>
  <si>
    <t>Indicator</t>
  </si>
  <si>
    <t>&lt; group avg and decline of more than 10% from prior year</t>
  </si>
  <si>
    <t>Category 2. General Fund Expenditures Exceeding Revenues</t>
  </si>
  <si>
    <t>c. Expenditures exceed revenues by more than 5%, and the charter school has a prior year end-of-year net working capital balance* that has declined from the year before by more than 20% and that is less than 4% of general fund expenditures for the school.</t>
  </si>
  <si>
    <t>Eligible to be considered for additional review?</t>
  </si>
  <si>
    <t>Statewide Average WADA-to-All-Staff Ratio</t>
  </si>
</sst>
</file>

<file path=xl/styles.xml><?xml version="1.0" encoding="utf-8"?>
<styleSheet xmlns="http://schemas.openxmlformats.org/spreadsheetml/2006/main">
  <numFmts count="1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0.00%;[Red]\(0.00%\)"/>
    <numFmt numFmtId="167" formatCode="0.0%;[Red]\(0.0%\)"/>
    <numFmt numFmtId="168" formatCode="&quot;$&quot;#,##0"/>
    <numFmt numFmtId="169" formatCode="0.000"/>
    <numFmt numFmtId="170" formatCode="#,##0.000"/>
    <numFmt numFmtId="171" formatCode="_(* #,##0.000_);_(* \(#,##0.000\);_(* &quot;-&quot;??_);_(@_)"/>
    <numFmt numFmtId="172" formatCode="_(* #,##0_);_(* \(#,##0\);_(* &quot;-&quot;??_);_(@_)"/>
  </numFmts>
  <fonts count="22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sz val="12"/>
      <name val="Arial"/>
      <family val="2"/>
    </font>
    <font>
      <b/>
      <sz val="2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color indexed="44"/>
      <name val="Arial"/>
      <family val="2"/>
    </font>
    <font>
      <b/>
      <u/>
      <sz val="18"/>
      <name val="Arial"/>
      <family val="2"/>
    </font>
    <font>
      <b/>
      <sz val="15"/>
      <name val="Arial"/>
      <family val="2"/>
    </font>
    <font>
      <b/>
      <u/>
      <sz val="20"/>
      <name val="Arial"/>
      <family val="2"/>
    </font>
    <font>
      <sz val="20"/>
      <name val="Arial"/>
      <family val="2"/>
    </font>
    <font>
      <b/>
      <sz val="12"/>
      <name val="Arial"/>
      <family val="2"/>
    </font>
    <font>
      <sz val="20"/>
      <name val="Arial"/>
      <family val="2"/>
    </font>
    <font>
      <sz val="16"/>
      <name val="Arial"/>
      <family val="2"/>
    </font>
    <font>
      <sz val="18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</font>
    <font>
      <sz val="10"/>
      <name val="Calibri"/>
      <family val="2"/>
    </font>
    <font>
      <b/>
      <sz val="2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3">
    <xf numFmtId="0" fontId="0" fillId="0" borderId="0" xfId="0"/>
    <xf numFmtId="0" fontId="3" fillId="2" borderId="0" xfId="0" applyFont="1" applyFill="1" applyProtection="1">
      <protection locked="0"/>
    </xf>
    <xf numFmtId="0" fontId="3" fillId="0" borderId="0" xfId="0" applyFont="1" applyAlignment="1" applyProtection="1">
      <alignment wrapText="1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165" fontId="3" fillId="2" borderId="0" xfId="1" applyNumberFormat="1" applyFont="1" applyFill="1" applyBorder="1" applyProtection="1">
      <protection locked="0"/>
    </xf>
    <xf numFmtId="0" fontId="3" fillId="2" borderId="0" xfId="0" applyFont="1" applyFill="1" applyBorder="1" applyProtection="1">
      <protection locked="0"/>
    </xf>
    <xf numFmtId="165" fontId="3" fillId="2" borderId="0" xfId="1" applyNumberFormat="1" applyFont="1" applyFill="1" applyProtection="1">
      <protection locked="0"/>
    </xf>
    <xf numFmtId="0" fontId="15" fillId="2" borderId="0" xfId="0" applyFont="1" applyFill="1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2" fillId="2" borderId="0" xfId="0" applyFont="1" applyFill="1" applyBorder="1" applyProtection="1">
      <protection locked="0"/>
    </xf>
    <xf numFmtId="0" fontId="2" fillId="2" borderId="0" xfId="0" applyFont="1" applyFill="1" applyBorder="1" applyAlignment="1" applyProtection="1">
      <alignment horizontal="right"/>
      <protection locked="0"/>
    </xf>
    <xf numFmtId="165" fontId="2" fillId="2" borderId="0" xfId="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165" fontId="3" fillId="0" borderId="0" xfId="1" applyNumberFormat="1" applyFont="1" applyBorder="1" applyProtection="1">
      <protection locked="0"/>
    </xf>
    <xf numFmtId="0" fontId="3" fillId="0" borderId="0" xfId="0" applyFont="1" applyBorder="1" applyProtection="1">
      <protection locked="0"/>
    </xf>
    <xf numFmtId="165" fontId="3" fillId="0" borderId="0" xfId="1" applyNumberFormat="1" applyFont="1" applyProtection="1">
      <protection locked="0"/>
    </xf>
    <xf numFmtId="0" fontId="15" fillId="0" borderId="0" xfId="0" applyFont="1" applyBorder="1" applyAlignment="1" applyProtection="1">
      <alignment horizontal="center"/>
      <protection locked="0"/>
    </xf>
    <xf numFmtId="164" fontId="3" fillId="2" borderId="0" xfId="2" applyNumberFormat="1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vertical="center"/>
    </xf>
    <xf numFmtId="0" fontId="3" fillId="2" borderId="0" xfId="0" applyFont="1" applyFill="1" applyAlignment="1" applyProtection="1">
      <alignment vertical="top"/>
    </xf>
    <xf numFmtId="165" fontId="16" fillId="3" borderId="6" xfId="1" applyNumberFormat="1" applyFont="1" applyFill="1" applyBorder="1" applyAlignment="1" applyProtection="1">
      <alignment horizontal="center" vertical="center" wrapText="1"/>
    </xf>
    <xf numFmtId="165" fontId="7" fillId="3" borderId="2" xfId="1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vertical="top"/>
    </xf>
    <xf numFmtId="0" fontId="3" fillId="0" borderId="0" xfId="0" applyFont="1" applyAlignment="1" applyProtection="1">
      <alignment vertical="top"/>
    </xf>
    <xf numFmtId="0" fontId="4" fillId="2" borderId="1" xfId="0" applyFont="1" applyFill="1" applyBorder="1" applyAlignment="1" applyProtection="1">
      <alignment horizontal="left" vertical="center" wrapText="1"/>
    </xf>
    <xf numFmtId="0" fontId="5" fillId="2" borderId="0" xfId="0" applyFont="1" applyFill="1" applyBorder="1" applyAlignment="1" applyProtection="1">
      <alignment horizontal="center" vertical="top" wrapText="1"/>
    </xf>
    <xf numFmtId="165" fontId="9" fillId="2" borderId="0" xfId="1" applyNumberFormat="1" applyFont="1" applyFill="1" applyBorder="1" applyAlignment="1" applyProtection="1">
      <alignment horizontal="center" vertical="center" wrapText="1"/>
    </xf>
    <xf numFmtId="0" fontId="9" fillId="2" borderId="0" xfId="0" applyFont="1" applyFill="1" applyBorder="1" applyAlignment="1" applyProtection="1">
      <alignment horizontal="center" vertical="center" wrapText="1"/>
    </xf>
    <xf numFmtId="165" fontId="7" fillId="2" borderId="0" xfId="1" applyNumberFormat="1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left" vertical="center"/>
    </xf>
    <xf numFmtId="8" fontId="5" fillId="2" borderId="0" xfId="1" applyNumberFormat="1" applyFont="1" applyFill="1" applyBorder="1" applyAlignment="1" applyProtection="1">
      <alignment horizontal="center" vertical="top" wrapText="1"/>
    </xf>
    <xf numFmtId="165" fontId="12" fillId="2" borderId="0" xfId="1" applyNumberFormat="1" applyFont="1" applyFill="1" applyBorder="1" applyAlignment="1" applyProtection="1">
      <alignment horizontal="center" vertical="top" wrapText="1"/>
    </xf>
    <xf numFmtId="0" fontId="3" fillId="2" borderId="0" xfId="0" applyFont="1" applyFill="1" applyProtection="1"/>
    <xf numFmtId="0" fontId="13" fillId="2" borderId="1" xfId="0" applyFont="1" applyFill="1" applyBorder="1" applyAlignment="1" applyProtection="1">
      <alignment horizontal="left" vertical="center" wrapText="1" indent="1"/>
    </xf>
    <xf numFmtId="0" fontId="3" fillId="2" borderId="0" xfId="0" applyFont="1" applyFill="1" applyBorder="1" applyProtection="1"/>
    <xf numFmtId="0" fontId="3" fillId="0" borderId="0" xfId="0" applyFont="1" applyProtection="1"/>
    <xf numFmtId="0" fontId="3" fillId="2" borderId="0" xfId="0" applyFont="1" applyFill="1" applyBorder="1" applyAlignment="1" applyProtection="1">
      <alignment horizontal="center"/>
    </xf>
    <xf numFmtId="0" fontId="0" fillId="2" borderId="0" xfId="0" applyFill="1" applyProtection="1"/>
    <xf numFmtId="167" fontId="11" fillId="2" borderId="0" xfId="2" applyNumberFormat="1" applyFont="1" applyFill="1" applyBorder="1" applyAlignment="1" applyProtection="1">
      <alignment horizontal="center" vertical="top" wrapText="1"/>
    </xf>
    <xf numFmtId="6" fontId="11" fillId="2" borderId="0" xfId="1" applyNumberFormat="1" applyFont="1" applyFill="1" applyBorder="1" applyAlignment="1" applyProtection="1">
      <alignment horizontal="center" vertical="top" wrapText="1"/>
    </xf>
    <xf numFmtId="165" fontId="3" fillId="2" borderId="0" xfId="1" applyNumberFormat="1" applyFont="1" applyFill="1" applyBorder="1" applyProtection="1"/>
    <xf numFmtId="0" fontId="3" fillId="2" borderId="0" xfId="0" quotePrefix="1" applyFont="1" applyFill="1" applyBorder="1" applyProtection="1"/>
    <xf numFmtId="0" fontId="10" fillId="0" borderId="1" xfId="0" applyFont="1" applyFill="1" applyBorder="1" applyAlignment="1" applyProtection="1">
      <alignment vertical="center" wrapText="1"/>
    </xf>
    <xf numFmtId="167" fontId="11" fillId="2" borderId="0" xfId="2" applyNumberFormat="1" applyFont="1" applyFill="1" applyBorder="1" applyAlignment="1" applyProtection="1">
      <alignment horizontal="center" vertical="center"/>
    </xf>
    <xf numFmtId="38" fontId="11" fillId="2" borderId="0" xfId="1" applyNumberFormat="1" applyFont="1" applyFill="1" applyBorder="1" applyAlignment="1" applyProtection="1">
      <alignment horizontal="center" vertical="center"/>
    </xf>
    <xf numFmtId="165" fontId="3" fillId="2" borderId="4" xfId="1" applyNumberFormat="1" applyFont="1" applyFill="1" applyBorder="1" applyAlignment="1" applyProtection="1">
      <alignment horizontal="center" vertical="top" wrapText="1"/>
    </xf>
    <xf numFmtId="0" fontId="14" fillId="2" borderId="0" xfId="0" applyFont="1" applyFill="1" applyBorder="1" applyAlignment="1" applyProtection="1">
      <alignment horizontal="center" vertical="center"/>
    </xf>
    <xf numFmtId="165" fontId="3" fillId="0" borderId="12" xfId="1" applyNumberFormat="1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165" fontId="3" fillId="0" borderId="0" xfId="1" applyNumberFormat="1" applyFont="1" applyBorder="1" applyProtection="1"/>
    <xf numFmtId="166" fontId="11" fillId="2" borderId="0" xfId="2" applyNumberFormat="1" applyFont="1" applyFill="1" applyBorder="1" applyAlignment="1" applyProtection="1">
      <alignment horizontal="center" vertical="top" wrapText="1"/>
    </xf>
    <xf numFmtId="9" fontId="14" fillId="2" borderId="0" xfId="0" applyNumberFormat="1" applyFont="1" applyFill="1" applyBorder="1" applyAlignment="1" applyProtection="1">
      <alignment horizontal="center" vertical="center"/>
    </xf>
    <xf numFmtId="0" fontId="10" fillId="2" borderId="1" xfId="0" applyFont="1" applyFill="1" applyBorder="1" applyAlignment="1" applyProtection="1">
      <alignment vertical="center" wrapText="1"/>
    </xf>
    <xf numFmtId="38" fontId="11" fillId="2" borderId="11" xfId="1" applyNumberFormat="1" applyFont="1" applyFill="1" applyBorder="1" applyAlignment="1" applyProtection="1">
      <alignment horizontal="center" vertical="center"/>
    </xf>
    <xf numFmtId="9" fontId="5" fillId="2" borderId="0" xfId="0" applyNumberFormat="1" applyFont="1" applyFill="1" applyBorder="1" applyAlignment="1" applyProtection="1">
      <alignment horizontal="center" vertical="center"/>
    </xf>
    <xf numFmtId="38" fontId="11" fillId="0" borderId="0" xfId="1" applyNumberFormat="1" applyFont="1" applyFill="1" applyBorder="1" applyAlignment="1" applyProtection="1">
      <alignment horizontal="center" vertical="center"/>
    </xf>
    <xf numFmtId="165" fontId="3" fillId="0" borderId="4" xfId="1" applyNumberFormat="1" applyFont="1" applyFill="1" applyBorder="1" applyAlignment="1" applyProtection="1">
      <alignment horizontal="center" vertical="center"/>
    </xf>
    <xf numFmtId="9" fontId="5" fillId="2" borderId="5" xfId="0" applyNumberFormat="1" applyFont="1" applyFill="1" applyBorder="1" applyAlignment="1" applyProtection="1">
      <alignment horizontal="center" vertical="center"/>
    </xf>
    <xf numFmtId="165" fontId="3" fillId="0" borderId="0" xfId="1" applyNumberFormat="1" applyFont="1" applyFill="1" applyBorder="1" applyAlignment="1" applyProtection="1">
      <alignment horizontal="center" vertical="center"/>
    </xf>
    <xf numFmtId="0" fontId="15" fillId="2" borderId="0" xfId="0" quotePrefix="1" applyFont="1" applyFill="1" applyBorder="1" applyAlignment="1" applyProtection="1">
      <alignment horizontal="left" vertical="center" wrapText="1" indent="1"/>
    </xf>
    <xf numFmtId="0" fontId="13" fillId="2" borderId="0" xfId="0" applyFont="1" applyFill="1" applyBorder="1" applyAlignment="1" applyProtection="1">
      <alignment vertical="center" wrapText="1"/>
    </xf>
    <xf numFmtId="9" fontId="15" fillId="2" borderId="0" xfId="0" quotePrefix="1" applyNumberFormat="1" applyFont="1" applyFill="1" applyBorder="1" applyAlignment="1" applyProtection="1">
      <alignment horizontal="left" vertical="center" wrapText="1" indent="1"/>
    </xf>
    <xf numFmtId="0" fontId="15" fillId="2" borderId="0" xfId="0" applyFont="1" applyFill="1" applyBorder="1" applyAlignment="1" applyProtection="1">
      <alignment horizontal="left" vertical="center" wrapText="1" indent="1"/>
    </xf>
    <xf numFmtId="0" fontId="14" fillId="0" borderId="0" xfId="0" applyFont="1" applyAlignment="1" applyProtection="1">
      <alignment vertical="top" wrapText="1"/>
    </xf>
    <xf numFmtId="0" fontId="15" fillId="2" borderId="0" xfId="0" applyFont="1" applyFill="1" applyBorder="1" applyAlignment="1" applyProtection="1">
      <alignment horizontal="center"/>
    </xf>
    <xf numFmtId="0" fontId="3" fillId="2" borderId="0" xfId="0" applyFont="1" applyFill="1" applyAlignment="1" applyProtection="1">
      <alignment wrapText="1"/>
    </xf>
    <xf numFmtId="165" fontId="3" fillId="2" borderId="0" xfId="1" applyNumberFormat="1" applyFont="1" applyFill="1" applyProtection="1"/>
    <xf numFmtId="0" fontId="17" fillId="2" borderId="0" xfId="0" applyFont="1" applyFill="1" applyProtection="1"/>
    <xf numFmtId="0" fontId="3" fillId="0" borderId="0" xfId="0" applyFont="1" applyAlignment="1" applyProtection="1">
      <alignment wrapText="1"/>
    </xf>
    <xf numFmtId="0" fontId="3" fillId="0" borderId="0" xfId="0" applyFont="1" applyBorder="1" applyProtection="1"/>
    <xf numFmtId="165" fontId="3" fillId="0" borderId="0" xfId="1" applyNumberFormat="1" applyFont="1" applyProtection="1"/>
    <xf numFmtId="0" fontId="15" fillId="0" borderId="0" xfId="0" applyFont="1" applyBorder="1" applyAlignment="1" applyProtection="1">
      <alignment horizontal="center"/>
    </xf>
    <xf numFmtId="0" fontId="2" fillId="2" borderId="0" xfId="0" applyFont="1" applyFill="1" applyProtection="1"/>
    <xf numFmtId="0" fontId="2" fillId="2" borderId="0" xfId="0" applyFont="1" applyFill="1" applyBorder="1" applyProtection="1"/>
    <xf numFmtId="0" fontId="2" fillId="2" borderId="0" xfId="0" applyFont="1" applyFill="1" applyBorder="1" applyAlignment="1" applyProtection="1">
      <alignment wrapText="1"/>
    </xf>
    <xf numFmtId="0" fontId="2" fillId="2" borderId="0" xfId="0" applyFont="1" applyFill="1" applyBorder="1" applyAlignment="1" applyProtection="1">
      <alignment horizontal="center"/>
    </xf>
    <xf numFmtId="165" fontId="2" fillId="2" borderId="0" xfId="1" applyNumberFormat="1" applyFont="1" applyFill="1" applyProtection="1"/>
    <xf numFmtId="165" fontId="2" fillId="2" borderId="0" xfId="1" applyNumberFormat="1" applyFont="1" applyFill="1" applyBorder="1" applyProtection="1"/>
    <xf numFmtId="0" fontId="2" fillId="2" borderId="0" xfId="0" applyFont="1" applyFill="1" applyBorder="1" applyAlignment="1" applyProtection="1">
      <alignment horizontal="left"/>
    </xf>
    <xf numFmtId="0" fontId="2" fillId="0" borderId="0" xfId="0" applyFont="1" applyProtection="1"/>
    <xf numFmtId="167" fontId="11" fillId="2" borderId="11" xfId="2" applyNumberFormat="1" applyFont="1" applyFill="1" applyBorder="1" applyAlignment="1" applyProtection="1">
      <alignment horizontal="center" vertical="center"/>
    </xf>
    <xf numFmtId="165" fontId="9" fillId="2" borderId="11" xfId="1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wrapText="1"/>
      <protection locked="0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0" borderId="0" xfId="0" applyFont="1" applyBorder="1" applyProtection="1">
      <protection locked="0"/>
    </xf>
    <xf numFmtId="165" fontId="16" fillId="3" borderId="19" xfId="1" applyNumberFormat="1" applyFont="1" applyFill="1" applyBorder="1" applyAlignment="1" applyProtection="1">
      <alignment horizontal="center" vertical="center" wrapText="1"/>
    </xf>
    <xf numFmtId="165" fontId="3" fillId="0" borderId="16" xfId="1" applyNumberFormat="1" applyFont="1" applyFill="1" applyBorder="1" applyAlignment="1" applyProtection="1">
      <alignment horizontal="center" vertical="center"/>
    </xf>
    <xf numFmtId="165" fontId="3" fillId="2" borderId="0" xfId="1" applyNumberFormat="1" applyFont="1" applyFill="1" applyBorder="1" applyAlignment="1" applyProtection="1">
      <alignment horizontal="center" vertical="top" wrapText="1"/>
    </xf>
    <xf numFmtId="165" fontId="3" fillId="0" borderId="14" xfId="1" applyNumberFormat="1" applyFont="1" applyFill="1" applyBorder="1" applyAlignment="1" applyProtection="1">
      <alignment horizontal="center" vertical="center"/>
    </xf>
    <xf numFmtId="165" fontId="16" fillId="3" borderId="3" xfId="1" applyNumberFormat="1" applyFont="1" applyFill="1" applyBorder="1" applyAlignment="1" applyProtection="1">
      <alignment horizontal="center" vertical="center" wrapText="1"/>
    </xf>
    <xf numFmtId="165" fontId="16" fillId="3" borderId="13" xfId="1" applyNumberFormat="1" applyFont="1" applyFill="1" applyBorder="1" applyAlignment="1" applyProtection="1">
      <alignment horizontal="center" vertical="center" wrapText="1"/>
    </xf>
    <xf numFmtId="165" fontId="16" fillId="3" borderId="11" xfId="1" applyNumberFormat="1" applyFont="1" applyFill="1" applyBorder="1" applyAlignment="1" applyProtection="1">
      <alignment horizontal="center" vertical="center" wrapText="1"/>
    </xf>
    <xf numFmtId="165" fontId="16" fillId="3" borderId="21" xfId="1" applyNumberFormat="1" applyFont="1" applyFill="1" applyBorder="1" applyAlignment="1" applyProtection="1">
      <alignment horizontal="center" vertical="center" wrapText="1"/>
    </xf>
    <xf numFmtId="0" fontId="17" fillId="0" borderId="0" xfId="0" applyFont="1"/>
    <xf numFmtId="2" fontId="0" fillId="0" borderId="0" xfId="0" applyNumberFormat="1"/>
    <xf numFmtId="165" fontId="3" fillId="0" borderId="17" xfId="1" applyNumberFormat="1" applyFont="1" applyFill="1" applyBorder="1" applyAlignment="1" applyProtection="1">
      <alignment horizontal="center" vertical="center"/>
    </xf>
    <xf numFmtId="0" fontId="8" fillId="0" borderId="9" xfId="0" applyFont="1" applyFill="1" applyBorder="1" applyAlignment="1" applyProtection="1">
      <alignment horizontal="center" vertical="center"/>
    </xf>
    <xf numFmtId="6" fontId="13" fillId="2" borderId="0" xfId="1" applyNumberFormat="1" applyFont="1" applyFill="1" applyBorder="1" applyAlignment="1" applyProtection="1">
      <alignment horizontal="center" vertical="top" wrapText="1"/>
    </xf>
    <xf numFmtId="165" fontId="16" fillId="3" borderId="5" xfId="1" applyNumberFormat="1" applyFont="1" applyFill="1" applyBorder="1" applyAlignment="1" applyProtection="1">
      <alignment horizontal="center" vertical="center" wrapText="1"/>
    </xf>
    <xf numFmtId="165" fontId="16" fillId="3" borderId="16" xfId="1" applyNumberFormat="1" applyFont="1" applyFill="1" applyBorder="1" applyAlignment="1" applyProtection="1">
      <alignment horizontal="center" vertical="center" wrapText="1"/>
    </xf>
    <xf numFmtId="2" fontId="11" fillId="5" borderId="14" xfId="1" applyNumberFormat="1" applyFont="1" applyFill="1" applyBorder="1" applyAlignment="1" applyProtection="1">
      <alignment horizontal="center" vertical="center" wrapText="1"/>
    </xf>
    <xf numFmtId="2" fontId="11" fillId="5" borderId="16" xfId="1" applyNumberFormat="1" applyFont="1" applyFill="1" applyBorder="1" applyAlignment="1" applyProtection="1">
      <alignment horizontal="center" vertical="center" wrapText="1"/>
    </xf>
    <xf numFmtId="165" fontId="11" fillId="5" borderId="18" xfId="1" applyNumberFormat="1" applyFont="1" applyFill="1" applyBorder="1" applyAlignment="1" applyProtection="1">
      <alignment horizontal="center" vertical="center"/>
    </xf>
    <xf numFmtId="165" fontId="3" fillId="5" borderId="17" xfId="1" applyNumberFormat="1" applyFont="1" applyFill="1" applyBorder="1" applyAlignment="1" applyProtection="1">
      <alignment horizontal="center" vertical="center"/>
    </xf>
    <xf numFmtId="165" fontId="11" fillId="5" borderId="3" xfId="1" applyNumberFormat="1" applyFont="1" applyFill="1" applyBorder="1" applyAlignment="1" applyProtection="1">
      <alignment horizontal="center" vertical="center"/>
    </xf>
    <xf numFmtId="165" fontId="3" fillId="5" borderId="12" xfId="1" applyNumberFormat="1" applyFont="1" applyFill="1" applyBorder="1" applyAlignment="1" applyProtection="1">
      <alignment horizontal="center" vertical="center"/>
    </xf>
    <xf numFmtId="49" fontId="2" fillId="2" borderId="11" xfId="0" applyNumberFormat="1" applyFont="1" applyFill="1" applyBorder="1" applyAlignment="1" applyProtection="1">
      <alignment horizontal="center"/>
      <protection locked="0"/>
    </xf>
    <xf numFmtId="0" fontId="8" fillId="0" borderId="25" xfId="0" applyFont="1" applyFill="1" applyBorder="1" applyAlignment="1" applyProtection="1">
      <alignment horizontal="center" vertical="center"/>
    </xf>
    <xf numFmtId="3" fontId="19" fillId="4" borderId="0" xfId="0" applyNumberFormat="1" applyFont="1" applyFill="1" applyBorder="1" applyAlignment="1">
      <alignment horizontal="center" wrapText="1"/>
    </xf>
    <xf numFmtId="170" fontId="19" fillId="4" borderId="0" xfId="0" applyNumberFormat="1" applyFont="1" applyFill="1" applyBorder="1" applyAlignment="1">
      <alignment horizontal="center" wrapText="1"/>
    </xf>
    <xf numFmtId="4" fontId="19" fillId="4" borderId="0" xfId="0" applyNumberFormat="1" applyFont="1" applyFill="1" applyBorder="1" applyAlignment="1">
      <alignment horizontal="center" wrapText="1"/>
    </xf>
    <xf numFmtId="168" fontId="19" fillId="4" borderId="0" xfId="0" applyNumberFormat="1" applyFont="1" applyFill="1" applyBorder="1" applyAlignment="1">
      <alignment horizontal="center" wrapText="1"/>
    </xf>
    <xf numFmtId="0" fontId="20" fillId="0" borderId="0" xfId="0" applyFont="1" applyFill="1" applyBorder="1" applyAlignment="1"/>
    <xf numFmtId="3" fontId="20" fillId="0" borderId="0" xfId="0" applyNumberFormat="1" applyFont="1" applyFill="1" applyBorder="1" applyAlignment="1"/>
    <xf numFmtId="170" fontId="20" fillId="0" borderId="0" xfId="0" applyNumberFormat="1" applyFont="1" applyFill="1" applyBorder="1" applyAlignment="1"/>
    <xf numFmtId="4" fontId="20" fillId="0" borderId="0" xfId="0" applyNumberFormat="1" applyFont="1" applyFill="1" applyBorder="1" applyAlignment="1"/>
    <xf numFmtId="168" fontId="20" fillId="0" borderId="0" xfId="0" applyNumberFormat="1" applyFont="1" applyFill="1" applyBorder="1" applyAlignment="1"/>
    <xf numFmtId="169" fontId="13" fillId="5" borderId="14" xfId="1" applyNumberFormat="1" applyFont="1" applyFill="1" applyBorder="1" applyAlignment="1" applyProtection="1">
      <alignment horizontal="center" vertical="center" wrapText="1"/>
    </xf>
    <xf numFmtId="169" fontId="13" fillId="5" borderId="16" xfId="1" applyNumberFormat="1" applyFont="1" applyFill="1" applyBorder="1" applyAlignment="1" applyProtection="1">
      <alignment horizontal="center" vertical="center" wrapText="1"/>
    </xf>
    <xf numFmtId="172" fontId="0" fillId="0" borderId="0" xfId="3" applyNumberFormat="1" applyFont="1"/>
    <xf numFmtId="172" fontId="11" fillId="5" borderId="21" xfId="3" applyNumberFormat="1" applyFont="1" applyFill="1" applyBorder="1" applyAlignment="1" applyProtection="1">
      <alignment vertical="center" wrapText="1"/>
    </xf>
    <xf numFmtId="171" fontId="11" fillId="5" borderId="21" xfId="3" applyNumberFormat="1" applyFont="1" applyFill="1" applyBorder="1" applyAlignment="1" applyProtection="1">
      <alignment vertical="center" wrapText="1"/>
    </xf>
    <xf numFmtId="165" fontId="7" fillId="3" borderId="0" xfId="1" applyNumberFormat="1" applyFont="1" applyFill="1" applyBorder="1" applyAlignment="1" applyProtection="1">
      <alignment horizontal="center" vertical="center" wrapText="1"/>
    </xf>
    <xf numFmtId="165" fontId="16" fillId="3" borderId="0" xfId="1" applyNumberFormat="1" applyFont="1" applyFill="1" applyBorder="1" applyAlignment="1" applyProtection="1">
      <alignment horizontal="center" vertical="center" wrapText="1"/>
    </xf>
    <xf numFmtId="6" fontId="11" fillId="2" borderId="28" xfId="1" applyNumberFormat="1" applyFont="1" applyFill="1" applyBorder="1" applyAlignment="1" applyProtection="1">
      <alignment horizontal="center" vertical="top" wrapText="1"/>
    </xf>
    <xf numFmtId="165" fontId="3" fillId="0" borderId="28" xfId="1" applyNumberFormat="1" applyFont="1" applyFill="1" applyBorder="1" applyAlignment="1" applyProtection="1">
      <alignment horizontal="center" vertical="center"/>
    </xf>
    <xf numFmtId="6" fontId="11" fillId="2" borderId="27" xfId="1" applyNumberFormat="1" applyFont="1" applyFill="1" applyBorder="1" applyAlignment="1" applyProtection="1">
      <alignment horizontal="center" vertical="top" wrapText="1"/>
    </xf>
    <xf numFmtId="6" fontId="11" fillId="2" borderId="13" xfId="1" applyNumberFormat="1" applyFont="1" applyFill="1" applyBorder="1" applyAlignment="1" applyProtection="1">
      <alignment horizontal="center" vertical="top" wrapText="1"/>
    </xf>
    <xf numFmtId="0" fontId="16" fillId="2" borderId="0" xfId="0" applyFont="1" applyFill="1" applyBorder="1" applyAlignment="1" applyProtection="1">
      <alignment horizontal="center" vertical="top" wrapText="1"/>
    </xf>
    <xf numFmtId="165" fontId="16" fillId="2" borderId="0" xfId="1" applyNumberFormat="1" applyFont="1" applyFill="1" applyBorder="1" applyAlignment="1" applyProtection="1">
      <alignment horizontal="left" vertical="center" wrapText="1"/>
    </xf>
    <xf numFmtId="165" fontId="13" fillId="0" borderId="0" xfId="1" applyNumberFormat="1" applyFont="1" applyFill="1" applyBorder="1" applyAlignment="1" applyProtection="1">
      <alignment horizontal="center" vertical="center"/>
    </xf>
    <xf numFmtId="165" fontId="13" fillId="2" borderId="0" xfId="1" applyNumberFormat="1" applyFont="1" applyFill="1" applyBorder="1" applyAlignment="1" applyProtection="1">
      <alignment horizontal="center" vertical="top" wrapText="1"/>
    </xf>
    <xf numFmtId="0" fontId="13" fillId="2" borderId="0" xfId="0" applyFont="1" applyFill="1" applyProtection="1"/>
    <xf numFmtId="0" fontId="13" fillId="0" borderId="0" xfId="0" applyFont="1" applyProtection="1"/>
    <xf numFmtId="167" fontId="13" fillId="2" borderId="0" xfId="2" applyNumberFormat="1" applyFont="1" applyFill="1" applyBorder="1" applyAlignment="1" applyProtection="1">
      <alignment horizontal="left" vertical="top" wrapText="1"/>
    </xf>
    <xf numFmtId="165" fontId="16" fillId="2" borderId="0" xfId="1" applyNumberFormat="1" applyFont="1" applyFill="1" applyBorder="1" applyAlignment="1" applyProtection="1">
      <alignment horizontal="left" vertical="center"/>
    </xf>
    <xf numFmtId="0" fontId="13" fillId="2" borderId="24" xfId="0" applyFont="1" applyFill="1" applyBorder="1" applyAlignment="1" applyProtection="1">
      <alignment horizontal="left" vertical="center" wrapText="1"/>
    </xf>
    <xf numFmtId="0" fontId="13" fillId="2" borderId="30" xfId="0" applyFont="1" applyFill="1" applyBorder="1" applyAlignment="1" applyProtection="1">
      <alignment horizontal="left" vertical="center" wrapText="1"/>
    </xf>
    <xf numFmtId="0" fontId="19" fillId="4" borderId="0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16" fillId="5" borderId="31" xfId="0" applyFont="1" applyFill="1" applyBorder="1" applyAlignment="1" applyProtection="1">
      <alignment horizontal="center" vertical="center"/>
    </xf>
    <xf numFmtId="165" fontId="11" fillId="5" borderId="21" xfId="1" applyNumberFormat="1" applyFont="1" applyFill="1" applyBorder="1" applyAlignment="1" applyProtection="1">
      <alignment horizontal="center" vertical="center"/>
    </xf>
    <xf numFmtId="165" fontId="11" fillId="0" borderId="24" xfId="1" applyNumberFormat="1" applyFont="1" applyFill="1" applyBorder="1" applyAlignment="1" applyProtection="1">
      <alignment horizontal="center" vertical="center"/>
    </xf>
    <xf numFmtId="165" fontId="13" fillId="5" borderId="21" xfId="1" applyNumberFormat="1" applyFont="1" applyFill="1" applyBorder="1" applyAlignment="1" applyProtection="1">
      <alignment horizontal="center" vertical="center"/>
    </xf>
    <xf numFmtId="0" fontId="13" fillId="5" borderId="21" xfId="0" applyFont="1" applyFill="1" applyBorder="1" applyAlignment="1" applyProtection="1">
      <alignment horizontal="center" vertical="center"/>
    </xf>
    <xf numFmtId="0" fontId="6" fillId="2" borderId="0" xfId="0" applyFont="1" applyFill="1" applyAlignment="1">
      <alignment horizontal="center" vertical="top" wrapText="1"/>
    </xf>
    <xf numFmtId="2" fontId="13" fillId="5" borderId="14" xfId="1" applyNumberFormat="1" applyFont="1" applyFill="1" applyBorder="1" applyAlignment="1" applyProtection="1">
      <alignment horizontal="center" vertical="center" wrapText="1"/>
    </xf>
    <xf numFmtId="2" fontId="13" fillId="5" borderId="16" xfId="1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Alignment="1">
      <alignment wrapText="1"/>
    </xf>
    <xf numFmtId="0" fontId="11" fillId="2" borderId="1" xfId="0" applyFont="1" applyFill="1" applyBorder="1" applyAlignment="1" applyProtection="1">
      <alignment horizontal="left" vertical="center" wrapText="1" indent="1"/>
    </xf>
    <xf numFmtId="0" fontId="11" fillId="2" borderId="7" xfId="0" applyFont="1" applyFill="1" applyBorder="1" applyAlignment="1" applyProtection="1">
      <alignment horizontal="left" vertical="center" wrapText="1" indent="1"/>
    </xf>
    <xf numFmtId="165" fontId="3" fillId="0" borderId="3" xfId="1" applyNumberFormat="1" applyFont="1" applyFill="1" applyBorder="1" applyAlignment="1" applyProtection="1">
      <alignment horizontal="center" vertical="center"/>
    </xf>
    <xf numFmtId="0" fontId="4" fillId="5" borderId="10" xfId="0" applyFont="1" applyFill="1" applyBorder="1" applyAlignment="1" applyProtection="1">
      <alignment horizontal="left" vertical="center" wrapText="1"/>
    </xf>
    <xf numFmtId="0" fontId="5" fillId="5" borderId="9" xfId="0" applyFont="1" applyFill="1" applyBorder="1" applyAlignment="1" applyProtection="1">
      <alignment horizontal="center" vertical="top" wrapText="1"/>
    </xf>
    <xf numFmtId="0" fontId="11" fillId="5" borderId="32" xfId="0" applyFont="1" applyFill="1" applyBorder="1" applyAlignment="1" applyProtection="1">
      <alignment vertical="center" wrapText="1"/>
    </xf>
    <xf numFmtId="0" fontId="11" fillId="5" borderId="33" xfId="0" applyFont="1" applyFill="1" applyBorder="1" applyAlignment="1" applyProtection="1">
      <alignment vertical="center" wrapText="1"/>
    </xf>
    <xf numFmtId="0" fontId="11" fillId="5" borderId="34" xfId="0" applyFont="1" applyFill="1" applyBorder="1" applyAlignment="1" applyProtection="1">
      <alignment vertical="center" wrapText="1"/>
    </xf>
    <xf numFmtId="1" fontId="13" fillId="2" borderId="3" xfId="1" applyNumberFormat="1" applyFont="1" applyFill="1" applyBorder="1" applyAlignment="1" applyProtection="1">
      <alignment horizontal="center" vertical="center" wrapText="1"/>
      <protection locked="0"/>
    </xf>
    <xf numFmtId="169" fontId="13" fillId="2" borderId="3" xfId="1" applyNumberFormat="1" applyFont="1" applyFill="1" applyBorder="1" applyAlignment="1" applyProtection="1">
      <alignment horizontal="center" vertical="center" wrapText="1"/>
      <protection locked="0"/>
    </xf>
    <xf numFmtId="165" fontId="11" fillId="0" borderId="3" xfId="1" applyNumberFormat="1" applyFont="1" applyFill="1" applyBorder="1" applyAlignment="1" applyProtection="1">
      <alignment horizontal="center" vertical="center"/>
      <protection locked="0"/>
    </xf>
    <xf numFmtId="165" fontId="11" fillId="0" borderId="21" xfId="1" applyNumberFormat="1" applyFont="1" applyFill="1" applyBorder="1" applyAlignment="1" applyProtection="1">
      <alignment horizontal="center" vertical="center"/>
      <protection locked="0"/>
    </xf>
    <xf numFmtId="165" fontId="11" fillId="0" borderId="18" xfId="1" applyNumberFormat="1" applyFont="1" applyFill="1" applyBorder="1" applyAlignment="1" applyProtection="1">
      <alignment horizontal="center" vertical="center"/>
      <protection locked="0"/>
    </xf>
    <xf numFmtId="0" fontId="15" fillId="2" borderId="36" xfId="0" applyFont="1" applyFill="1" applyBorder="1" applyAlignment="1" applyProtection="1">
      <alignment horizontal="left" vertical="top"/>
      <protection locked="0"/>
    </xf>
    <xf numFmtId="0" fontId="15" fillId="2" borderId="37" xfId="0" applyFont="1" applyFill="1" applyBorder="1" applyAlignment="1" applyProtection="1">
      <alignment horizontal="left" vertical="top"/>
      <protection locked="0"/>
    </xf>
    <xf numFmtId="0" fontId="15" fillId="2" borderId="35" xfId="0" applyFont="1" applyFill="1" applyBorder="1" applyAlignment="1" applyProtection="1">
      <alignment horizontal="left" vertical="top"/>
      <protection locked="0"/>
    </xf>
    <xf numFmtId="0" fontId="15" fillId="2" borderId="37" xfId="0" applyFont="1" applyFill="1" applyBorder="1" applyAlignment="1" applyProtection="1">
      <alignment horizontal="left"/>
      <protection locked="0"/>
    </xf>
    <xf numFmtId="0" fontId="8" fillId="2" borderId="36" xfId="0" applyFont="1" applyFill="1" applyBorder="1" applyAlignment="1" applyProtection="1">
      <alignment horizontal="left" vertical="top"/>
      <protection locked="0"/>
    </xf>
    <xf numFmtId="0" fontId="15" fillId="2" borderId="37" xfId="0" applyFont="1" applyFill="1" applyBorder="1" applyAlignment="1" applyProtection="1">
      <alignment horizontal="left" vertical="center"/>
      <protection locked="0"/>
    </xf>
    <xf numFmtId="0" fontId="15" fillId="2" borderId="35" xfId="0" applyFont="1" applyFill="1" applyBorder="1" applyAlignment="1" applyProtection="1">
      <alignment horizontal="left"/>
      <protection locked="0"/>
    </xf>
    <xf numFmtId="0" fontId="8" fillId="2" borderId="37" xfId="0" applyFont="1" applyFill="1" applyBorder="1" applyAlignment="1" applyProtection="1">
      <alignment horizontal="left" vertical="top"/>
      <protection locked="0"/>
    </xf>
    <xf numFmtId="0" fontId="8" fillId="0" borderId="35" xfId="0" applyFont="1" applyFill="1" applyBorder="1" applyAlignment="1" applyProtection="1">
      <alignment horizontal="center" vertical="top"/>
      <protection locked="0"/>
    </xf>
    <xf numFmtId="165" fontId="11" fillId="5" borderId="14" xfId="1" applyNumberFormat="1" applyFont="1" applyFill="1" applyBorder="1" applyAlignment="1" applyProtection="1">
      <alignment horizontal="center" vertical="center" wrapText="1"/>
    </xf>
    <xf numFmtId="165" fontId="11" fillId="5" borderId="16" xfId="1" applyNumberFormat="1" applyFont="1" applyFill="1" applyBorder="1" applyAlignment="1" applyProtection="1">
      <alignment horizontal="center" vertical="center" wrapText="1"/>
    </xf>
    <xf numFmtId="165" fontId="13" fillId="5" borderId="23" xfId="1" applyNumberFormat="1" applyFont="1" applyFill="1" applyBorder="1" applyAlignment="1" applyProtection="1">
      <alignment horizontal="center" vertical="center"/>
    </xf>
    <xf numFmtId="165" fontId="13" fillId="5" borderId="41" xfId="1" applyNumberFormat="1" applyFont="1" applyFill="1" applyBorder="1" applyAlignment="1" applyProtection="1">
      <alignment horizontal="center" vertical="top" wrapText="1"/>
    </xf>
    <xf numFmtId="165" fontId="9" fillId="2" borderId="7" xfId="1" applyNumberFormat="1" applyFont="1" applyFill="1" applyBorder="1" applyAlignment="1" applyProtection="1">
      <alignment horizontal="center" vertical="center" wrapText="1"/>
    </xf>
    <xf numFmtId="167" fontId="11" fillId="2" borderId="5" xfId="2" applyNumberFormat="1" applyFont="1" applyFill="1" applyBorder="1" applyAlignment="1" applyProtection="1">
      <alignment horizontal="center" vertical="top" wrapText="1"/>
    </xf>
    <xf numFmtId="6" fontId="13" fillId="2" borderId="5" xfId="1" applyNumberFormat="1" applyFont="1" applyFill="1" applyBorder="1" applyAlignment="1" applyProtection="1">
      <alignment horizontal="center" vertical="top" wrapText="1"/>
    </xf>
    <xf numFmtId="0" fontId="5" fillId="2" borderId="5" xfId="0" applyFont="1" applyFill="1" applyBorder="1" applyAlignment="1" applyProtection="1">
      <alignment horizontal="center" vertical="top" wrapText="1"/>
    </xf>
    <xf numFmtId="165" fontId="9" fillId="2" borderId="5" xfId="1" applyNumberFormat="1" applyFont="1" applyFill="1" applyBorder="1" applyAlignment="1" applyProtection="1">
      <alignment horizontal="center" vertical="center" wrapText="1"/>
    </xf>
    <xf numFmtId="165" fontId="3" fillId="0" borderId="5" xfId="1" applyNumberFormat="1" applyFont="1" applyFill="1" applyBorder="1" applyAlignment="1" applyProtection="1">
      <alignment horizontal="center" vertical="center"/>
    </xf>
    <xf numFmtId="0" fontId="11" fillId="5" borderId="37" xfId="0" applyFont="1" applyFill="1" applyBorder="1" applyAlignment="1" applyProtection="1">
      <alignment vertical="center" wrapText="1"/>
    </xf>
    <xf numFmtId="165" fontId="16" fillId="3" borderId="36" xfId="1" applyNumberFormat="1" applyFont="1" applyFill="1" applyBorder="1" applyAlignment="1" applyProtection="1">
      <alignment horizontal="center" vertical="center" wrapText="1"/>
    </xf>
    <xf numFmtId="165" fontId="21" fillId="3" borderId="35" xfId="1" applyNumberFormat="1" applyFont="1" applyFill="1" applyBorder="1" applyAlignment="1" applyProtection="1">
      <alignment horizontal="center" vertical="center" wrapText="1"/>
    </xf>
    <xf numFmtId="165" fontId="16" fillId="0" borderId="1" xfId="1" applyNumberFormat="1" applyFont="1" applyFill="1" applyBorder="1" applyAlignment="1" applyProtection="1">
      <alignment horizontal="left" vertical="center"/>
    </xf>
    <xf numFmtId="165" fontId="16" fillId="0" borderId="0" xfId="1" applyNumberFormat="1" applyFont="1" applyFill="1" applyBorder="1" applyAlignment="1" applyProtection="1">
      <alignment horizontal="left" vertical="center"/>
    </xf>
    <xf numFmtId="165" fontId="16" fillId="0" borderId="42" xfId="1" applyNumberFormat="1" applyFont="1" applyFill="1" applyBorder="1" applyAlignment="1" applyProtection="1">
      <alignment horizontal="left" vertical="center"/>
    </xf>
    <xf numFmtId="165" fontId="4" fillId="5" borderId="38" xfId="1" applyNumberFormat="1" applyFont="1" applyFill="1" applyBorder="1" applyAlignment="1" applyProtection="1">
      <alignment horizontal="left" vertical="center"/>
    </xf>
    <xf numFmtId="165" fontId="4" fillId="5" borderId="39" xfId="1" applyNumberFormat="1" applyFont="1" applyFill="1" applyBorder="1" applyAlignment="1" applyProtection="1">
      <alignment horizontal="left" vertical="center"/>
    </xf>
    <xf numFmtId="165" fontId="4" fillId="5" borderId="40" xfId="1" applyNumberFormat="1" applyFont="1" applyFill="1" applyBorder="1" applyAlignment="1" applyProtection="1">
      <alignment horizontal="left" vertical="center"/>
    </xf>
    <xf numFmtId="0" fontId="16" fillId="2" borderId="0" xfId="1" applyNumberFormat="1" applyFont="1" applyFill="1" applyBorder="1" applyAlignment="1" applyProtection="1">
      <alignment horizontal="right" vertical="top" wrapText="1"/>
    </xf>
    <xf numFmtId="0" fontId="14" fillId="2" borderId="0" xfId="0" applyFont="1" applyFill="1" applyBorder="1" applyAlignment="1" applyProtection="1">
      <alignment vertical="top" wrapText="1"/>
    </xf>
    <xf numFmtId="0" fontId="2" fillId="3" borderId="22" xfId="0" applyFont="1" applyFill="1" applyBorder="1" applyAlignment="1" applyProtection="1">
      <alignment horizontal="center" vertical="center"/>
    </xf>
    <xf numFmtId="0" fontId="2" fillId="3" borderId="17" xfId="0" applyFont="1" applyFill="1" applyBorder="1" applyAlignment="1" applyProtection="1">
      <alignment horizontal="center" vertical="center"/>
    </xf>
    <xf numFmtId="0" fontId="2" fillId="3" borderId="4" xfId="0" applyFont="1" applyFill="1" applyBorder="1" applyAlignment="1" applyProtection="1">
      <alignment horizontal="center" vertical="center"/>
    </xf>
    <xf numFmtId="0" fontId="2" fillId="3" borderId="8" xfId="0" applyFont="1" applyFill="1" applyBorder="1" applyAlignment="1" applyProtection="1">
      <alignment horizontal="center" vertical="center"/>
    </xf>
    <xf numFmtId="0" fontId="13" fillId="2" borderId="0" xfId="0" applyFont="1" applyFill="1" applyBorder="1" applyAlignment="1" applyProtection="1">
      <alignment vertical="top" wrapText="1"/>
    </xf>
    <xf numFmtId="0" fontId="13" fillId="2" borderId="0" xfId="0" applyFont="1" applyFill="1" applyBorder="1" applyAlignment="1" applyProtection="1">
      <alignment horizontal="right" vertical="top" wrapText="1"/>
    </xf>
    <xf numFmtId="0" fontId="11" fillId="5" borderId="29" xfId="0" applyFont="1" applyFill="1" applyBorder="1" applyAlignment="1" applyProtection="1">
      <alignment vertical="center" wrapText="1"/>
    </xf>
    <xf numFmtId="0" fontId="13" fillId="5" borderId="18" xfId="0" applyFont="1" applyFill="1" applyBorder="1" applyAlignment="1" applyProtection="1">
      <alignment vertical="center" wrapText="1"/>
    </xf>
    <xf numFmtId="0" fontId="13" fillId="5" borderId="15" xfId="0" applyFont="1" applyFill="1" applyBorder="1" applyAlignment="1" applyProtection="1">
      <alignment vertical="center" wrapText="1"/>
    </xf>
    <xf numFmtId="0" fontId="13" fillId="5" borderId="26" xfId="0" applyFont="1" applyFill="1" applyBorder="1" applyAlignment="1" applyProtection="1">
      <alignment vertical="center" wrapText="1"/>
    </xf>
    <xf numFmtId="0" fontId="13" fillId="5" borderId="3" xfId="0" applyFont="1" applyFill="1" applyBorder="1" applyAlignment="1" applyProtection="1">
      <alignment vertical="center" wrapText="1"/>
    </xf>
    <xf numFmtId="0" fontId="13" fillId="5" borderId="21" xfId="0" applyFont="1" applyFill="1" applyBorder="1" applyAlignment="1" applyProtection="1">
      <alignment vertical="center" wrapText="1"/>
    </xf>
    <xf numFmtId="0" fontId="11" fillId="2" borderId="26" xfId="0" applyFont="1" applyFill="1" applyBorder="1" applyAlignment="1" applyProtection="1">
      <alignment horizontal="left" vertical="center" wrapText="1"/>
    </xf>
    <xf numFmtId="0" fontId="13" fillId="2" borderId="3" xfId="0" applyFont="1" applyFill="1" applyBorder="1" applyAlignment="1" applyProtection="1">
      <alignment horizontal="left" vertical="center" wrapText="1"/>
    </xf>
    <xf numFmtId="0" fontId="11" fillId="2" borderId="20" xfId="0" applyFont="1" applyFill="1" applyBorder="1" applyAlignment="1" applyProtection="1">
      <alignment horizontal="left" vertical="center" wrapText="1"/>
    </xf>
    <xf numFmtId="0" fontId="13" fillId="2" borderId="14" xfId="0" applyFont="1" applyFill="1" applyBorder="1" applyAlignment="1" applyProtection="1">
      <alignment horizontal="left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2"/>
  <sheetViews>
    <sheetView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109.28515625" customWidth="1"/>
  </cols>
  <sheetData>
    <row r="1" spans="1:1" ht="9" customHeight="1">
      <c r="A1" s="147"/>
    </row>
    <row r="2" spans="1:1" ht="153" customHeight="1">
      <c r="A2" s="150" t="s">
        <v>431</v>
      </c>
    </row>
  </sheetData>
  <phoneticPr fontId="18" type="noConversion"/>
  <printOptions horizontalCentered="1" gridLines="1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53" enableFormatConditionsCalculation="0">
    <tabColor indexed="47"/>
    <pageSetUpPr fitToPage="1"/>
  </sheetPr>
  <dimension ref="A1:AG131"/>
  <sheetViews>
    <sheetView tabSelected="1" topLeftCell="A28" zoomScale="40" zoomScaleNormal="40" zoomScaleSheetLayoutView="25" workbookViewId="0">
      <selection activeCell="A28" sqref="A1:XFD1048576"/>
    </sheetView>
  </sheetViews>
  <sheetFormatPr defaultRowHeight="23.25"/>
  <cols>
    <col min="1" max="1" width="13.85546875" style="8" customWidth="1"/>
    <col min="2" max="2" width="54.140625" style="2" customWidth="1"/>
    <col min="3" max="3" width="2" style="3" customWidth="1"/>
    <col min="4" max="4" width="34.5703125" style="14" customWidth="1"/>
    <col min="5" max="5" width="35.42578125" style="15" customWidth="1"/>
    <col min="6" max="6" width="34.5703125" style="16" customWidth="1"/>
    <col min="7" max="7" width="20.7109375" style="14" hidden="1" customWidth="1"/>
    <col min="8" max="8" width="41.5703125" style="14" customWidth="1"/>
    <col min="9" max="9" width="36.5703125" style="14" customWidth="1"/>
    <col min="10" max="10" width="92.42578125" style="17" customWidth="1"/>
    <col min="11" max="11" width="14.140625" style="15" bestFit="1" customWidth="1"/>
    <col min="12" max="12" width="9.140625" style="15"/>
    <col min="13" max="13" width="15.42578125" style="8" bestFit="1" customWidth="1"/>
    <col min="14" max="16384" width="9.140625" style="8"/>
  </cols>
  <sheetData>
    <row r="1" spans="1:32">
      <c r="A1" s="1"/>
      <c r="D1" s="4"/>
      <c r="E1" s="5"/>
      <c r="F1" s="6"/>
      <c r="G1" s="4"/>
      <c r="I1" s="4"/>
      <c r="J1" s="7"/>
      <c r="K1" s="5"/>
      <c r="L1" s="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s="13" customFormat="1" ht="30">
      <c r="A2" s="9"/>
      <c r="B2" s="11" t="s">
        <v>1</v>
      </c>
      <c r="C2" s="84"/>
      <c r="D2" s="108"/>
      <c r="E2" s="10"/>
      <c r="F2" s="11" t="s">
        <v>38</v>
      </c>
      <c r="G2" s="12"/>
      <c r="H2" s="79" t="e">
        <f>LOOKUP(FinReview!D2,TEAData!A2:A250,TEAData!B2:B250)</f>
        <v>#N/A</v>
      </c>
      <c r="I2" s="12"/>
      <c r="J2" s="86"/>
      <c r="K2" s="10"/>
      <c r="L2" s="84"/>
      <c r="M2" s="85"/>
      <c r="N2" s="10"/>
      <c r="O2" s="10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32" s="13" customFormat="1" ht="30.75" thickBot="1">
      <c r="A3" s="9"/>
      <c r="B3" s="10"/>
      <c r="C3" s="84"/>
      <c r="D3" s="85"/>
      <c r="E3" s="10"/>
      <c r="F3" s="11"/>
      <c r="G3" s="12"/>
      <c r="H3" s="12"/>
      <c r="I3" s="12"/>
      <c r="J3" s="66"/>
      <c r="K3" s="10"/>
      <c r="L3" s="10"/>
      <c r="M3" s="10"/>
      <c r="N3" s="10"/>
      <c r="O3" s="10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s="20" customFormat="1" ht="30" customHeight="1">
      <c r="A4" s="18"/>
      <c r="B4" s="194"/>
      <c r="C4" s="195"/>
      <c r="D4" s="195"/>
      <c r="E4" s="195"/>
      <c r="F4" s="196"/>
      <c r="G4" s="196"/>
      <c r="H4" s="196"/>
      <c r="I4" s="196"/>
      <c r="J4" s="197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s="25" customFormat="1" ht="102" thickBot="1">
      <c r="A5" s="21"/>
      <c r="B5" s="154" t="s">
        <v>449</v>
      </c>
      <c r="C5" s="155"/>
      <c r="D5" s="87" t="s">
        <v>17</v>
      </c>
      <c r="E5" s="92" t="s">
        <v>18</v>
      </c>
      <c r="F5" s="92"/>
      <c r="G5" s="124"/>
      <c r="H5" s="125"/>
      <c r="I5" s="93"/>
      <c r="J5" s="109" t="s">
        <v>23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</row>
    <row r="6" spans="1:32" s="37" customFormat="1" ht="54.95" customHeight="1">
      <c r="A6" s="34"/>
      <c r="B6" s="151" t="s">
        <v>434</v>
      </c>
      <c r="C6" s="56"/>
      <c r="D6" s="159"/>
      <c r="E6" s="122" t="e">
        <f>LOOKUP(FinReview!D2,TEAData!A2:A250,TEAData!C2:C250)</f>
        <v>#N/A</v>
      </c>
      <c r="F6" s="128"/>
      <c r="G6" s="127"/>
      <c r="H6" s="126"/>
      <c r="I6" s="60"/>
      <c r="J6" s="164"/>
      <c r="K6" s="36"/>
      <c r="L6" s="36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 spans="1:32" s="37" customFormat="1" ht="54.95" customHeight="1">
      <c r="A7" s="34"/>
      <c r="B7" s="35" t="s">
        <v>16</v>
      </c>
      <c r="C7" s="56"/>
      <c r="D7" s="160"/>
      <c r="E7" s="123" t="e">
        <f>LOOKUP(FinReview!D2,TEAData!A2:A250,TEAData!D2:D250)</f>
        <v>#N/A</v>
      </c>
      <c r="F7" s="129"/>
      <c r="G7" s="60"/>
      <c r="H7" s="41"/>
      <c r="I7" s="42"/>
      <c r="J7" s="165"/>
      <c r="K7" s="36"/>
      <c r="L7" s="36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 spans="1:32" s="37" customFormat="1" ht="54.95" customHeight="1">
      <c r="A8" s="34"/>
      <c r="B8" s="35" t="s">
        <v>8</v>
      </c>
      <c r="C8" s="56"/>
      <c r="D8" s="160"/>
      <c r="E8" s="123" t="e">
        <f>LOOKUP(FinReview!D2,TEAData!A2:A250,TEAData!E2:E250)</f>
        <v>#N/A</v>
      </c>
      <c r="F8" s="129"/>
      <c r="G8" s="60"/>
      <c r="H8" s="41"/>
      <c r="I8" s="42"/>
      <c r="J8" s="165"/>
      <c r="K8" s="36"/>
      <c r="L8" s="36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 spans="1:32" s="37" customFormat="1" ht="54.95" customHeight="1">
      <c r="A9" s="34"/>
      <c r="B9" s="35"/>
      <c r="C9" s="56"/>
      <c r="D9" s="91" t="s">
        <v>17</v>
      </c>
      <c r="E9" s="94" t="s">
        <v>18</v>
      </c>
      <c r="F9" s="91" t="s">
        <v>452</v>
      </c>
      <c r="G9" s="153"/>
      <c r="H9" s="91" t="s">
        <v>453</v>
      </c>
      <c r="I9" s="91" t="s">
        <v>454</v>
      </c>
      <c r="J9" s="165"/>
      <c r="K9" s="36"/>
      <c r="L9" s="36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spans="1:32" s="37" customFormat="1" ht="54.95" customHeight="1">
      <c r="A10" s="34"/>
      <c r="B10" s="151" t="s">
        <v>450</v>
      </c>
      <c r="C10" s="56"/>
      <c r="D10" s="148" t="e">
        <f>D7/D8</f>
        <v>#DIV/0!</v>
      </c>
      <c r="E10" s="119" t="e">
        <f>E7/E8</f>
        <v>#N/A</v>
      </c>
      <c r="F10" s="102" t="e">
        <f>IF(FinReview!E6&gt;=Average!B10,Average!C10,IF(FinReview!E6&gt;=Average!B9,Average!C9,IF(FinReview!E6&gt;=Average!B8,Average!C8,IF(FinReview!E6&gt;=Average!B7,Average!C7, IF(FinReview!E6&gt;=Average!B6,Average!C6,IF(FinReview!E6&gt;=Average!B5,Average!C5,IF(FinReview!E6&gt;=Average!B4,Average!C4,IF(FinReview!E6&gt;=Average!B3,Average!C3,IF(FinReview!E6&gt;=Average!B2,Average!C2,0)))))))))</f>
        <v>#N/A</v>
      </c>
      <c r="G10" s="90"/>
      <c r="H10" s="173" t="s">
        <v>435</v>
      </c>
      <c r="I10" s="145" t="e">
        <f>IF(D10&lt;F10*0.7,"Yes","No")</f>
        <v>#DIV/0!</v>
      </c>
      <c r="J10" s="165"/>
      <c r="K10" s="36"/>
      <c r="L10" s="36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32" s="37" customFormat="1" ht="84" customHeight="1" thickBot="1">
      <c r="A11" s="34"/>
      <c r="B11" s="152" t="s">
        <v>451</v>
      </c>
      <c r="C11" s="59"/>
      <c r="D11" s="149" t="e">
        <f>D7/D8</f>
        <v>#DIV/0!</v>
      </c>
      <c r="E11" s="120" t="e">
        <f>E7/E8</f>
        <v>#N/A</v>
      </c>
      <c r="F11" s="103" t="e">
        <f>IF(FinReview!E6&gt;=Average!B10,Average!C10,IF(FinReview!E6&gt;=Average!B9,Average!C9,IF(FinReview!E6&gt;=Average!B8,Average!C8,IF(FinReview!E6&gt;=Average!B7,Average!C7,IF(FinReview!E6&gt;=Average!B6,Average!C6,IF(FinReview!E6&gt;=Average!B5,Average!C5,IF(FinReview!E6&gt;=Average!B4,Average!C4,IF(FinReview!E6&gt;=Average!B3,Average!C3,IF(FinReview!E6&gt;=Average!B2,Average!C2,0)))))))))</f>
        <v>#N/A</v>
      </c>
      <c r="G11" s="88"/>
      <c r="H11" s="174" t="s">
        <v>455</v>
      </c>
      <c r="I11" s="175" t="e">
        <f>IF(AND(D11&lt;F11*0.7,D11&lt;E11-(E11*0.1)),"Yes","No")</f>
        <v>#DIV/0!</v>
      </c>
      <c r="J11" s="166"/>
      <c r="K11" s="36"/>
      <c r="L11" s="36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 spans="1:32" s="81" customFormat="1" ht="30.75" thickBot="1">
      <c r="A12" s="74"/>
      <c r="B12" s="75"/>
      <c r="C12" s="76"/>
      <c r="D12" s="77"/>
      <c r="E12" s="75"/>
      <c r="F12" s="78"/>
      <c r="G12" s="79"/>
      <c r="H12" s="79"/>
      <c r="I12" s="89"/>
      <c r="J12" s="80"/>
      <c r="K12" s="75"/>
      <c r="L12" s="75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</row>
    <row r="13" spans="1:32" s="20" customFormat="1" ht="30" customHeight="1">
      <c r="A13" s="18"/>
      <c r="B13" s="194"/>
      <c r="C13" s="195"/>
      <c r="D13" s="195"/>
      <c r="E13" s="195"/>
      <c r="F13" s="195"/>
      <c r="G13" s="195"/>
      <c r="H13" s="195"/>
      <c r="I13" s="195"/>
      <c r="J13" s="197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</row>
    <row r="14" spans="1:32" s="25" customFormat="1" ht="151.5" customHeight="1" thickBot="1">
      <c r="A14" s="21"/>
      <c r="B14" s="154" t="s">
        <v>456</v>
      </c>
      <c r="C14" s="155"/>
      <c r="D14" s="22" t="s">
        <v>25</v>
      </c>
      <c r="E14" s="22" t="s">
        <v>15</v>
      </c>
      <c r="F14" s="22" t="s">
        <v>22</v>
      </c>
      <c r="G14" s="23" t="s">
        <v>0</v>
      </c>
      <c r="H14" s="100" t="s">
        <v>26</v>
      </c>
      <c r="I14" s="101" t="s">
        <v>24</v>
      </c>
      <c r="J14" s="98" t="s">
        <v>23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</row>
    <row r="15" spans="1:32" s="25" customFormat="1" ht="15" customHeight="1">
      <c r="A15" s="21"/>
      <c r="B15" s="26"/>
      <c r="C15" s="27"/>
      <c r="D15" s="28"/>
      <c r="E15" s="29"/>
      <c r="F15" s="28"/>
      <c r="G15" s="30"/>
      <c r="H15" s="30"/>
      <c r="I15" s="30"/>
      <c r="J15" s="168"/>
      <c r="K15" s="24"/>
      <c r="L15" s="21"/>
      <c r="M15" s="21"/>
      <c r="N15" s="24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 spans="1:32" s="25" customFormat="1" ht="54.95" customHeight="1">
      <c r="A16" s="21"/>
      <c r="B16" s="31" t="s">
        <v>2</v>
      </c>
      <c r="C16" s="27"/>
      <c r="D16" s="28"/>
      <c r="E16" s="27"/>
      <c r="F16" s="32"/>
      <c r="G16" s="33"/>
      <c r="H16" s="33"/>
      <c r="I16" s="33"/>
      <c r="J16" s="167"/>
      <c r="K16" s="24"/>
      <c r="L16" s="21"/>
      <c r="M16" s="21"/>
      <c r="N16" s="24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</row>
    <row r="17" spans="1:32" s="37" customFormat="1" ht="54.95" customHeight="1" thickBot="1">
      <c r="A17" s="34"/>
      <c r="B17" s="35" t="s">
        <v>36</v>
      </c>
      <c r="C17" s="56"/>
      <c r="D17" s="161"/>
      <c r="E17" s="161"/>
      <c r="F17" s="41"/>
      <c r="G17" s="42"/>
      <c r="H17" s="42"/>
      <c r="I17" s="42"/>
      <c r="J17" s="167"/>
      <c r="K17" s="36"/>
      <c r="L17" s="36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 spans="1:32" s="25" customFormat="1" ht="15" customHeight="1" thickBot="1">
      <c r="A18" s="21"/>
      <c r="B18" s="26"/>
      <c r="C18" s="27"/>
      <c r="D18" s="28"/>
      <c r="E18" s="29"/>
      <c r="F18" s="28"/>
      <c r="G18" s="30"/>
      <c r="H18" s="30"/>
      <c r="I18" s="30"/>
      <c r="J18" s="168"/>
      <c r="K18" s="24"/>
      <c r="L18" s="21"/>
      <c r="M18" s="21"/>
      <c r="N18" s="24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</row>
    <row r="19" spans="1:32" s="37" customFormat="1" ht="54.95" customHeight="1" thickBot="1">
      <c r="A19" s="34"/>
      <c r="B19" s="44" t="s">
        <v>3</v>
      </c>
      <c r="C19" s="27"/>
      <c r="D19" s="28"/>
      <c r="E19" s="45"/>
      <c r="F19" s="46"/>
      <c r="G19" s="47"/>
      <c r="H19" s="89"/>
      <c r="I19" s="89"/>
      <c r="J19" s="167"/>
      <c r="K19" s="43"/>
      <c r="L19" s="36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 spans="1:32" s="37" customFormat="1" ht="54.95" customHeight="1" thickBot="1">
      <c r="A20" s="34"/>
      <c r="B20" s="35" t="s">
        <v>11</v>
      </c>
      <c r="C20" s="48"/>
      <c r="D20" s="161"/>
      <c r="E20" s="161"/>
      <c r="F20" s="46"/>
      <c r="G20" s="47"/>
      <c r="H20" s="89"/>
      <c r="I20" s="89"/>
      <c r="J20" s="169"/>
      <c r="K20" s="36"/>
      <c r="L20" s="36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 spans="1:32" s="25" customFormat="1" ht="15" customHeight="1" thickBot="1">
      <c r="A21" s="21"/>
      <c r="B21" s="26"/>
      <c r="C21" s="27"/>
      <c r="D21" s="28"/>
      <c r="E21" s="29"/>
      <c r="F21" s="28"/>
      <c r="G21" s="30"/>
      <c r="H21" s="30"/>
      <c r="I21" s="30"/>
      <c r="J21" s="168"/>
      <c r="K21" s="24"/>
      <c r="L21" s="21"/>
      <c r="M21" s="21"/>
      <c r="N21" s="24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 spans="1:32" s="37" customFormat="1" ht="54.95" customHeight="1" thickBot="1">
      <c r="A22" s="34"/>
      <c r="B22" s="44" t="s">
        <v>4</v>
      </c>
      <c r="C22" s="48"/>
      <c r="D22" s="28"/>
      <c r="E22" s="40"/>
      <c r="F22" s="41"/>
      <c r="G22" s="49"/>
      <c r="H22" s="89"/>
      <c r="I22" s="89"/>
      <c r="J22" s="167"/>
      <c r="K22" s="36"/>
      <c r="L22" s="36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 spans="1:32" s="37" customFormat="1" ht="54.95" customHeight="1" thickBot="1">
      <c r="A23" s="34"/>
      <c r="B23" s="35" t="s">
        <v>12</v>
      </c>
      <c r="C23" s="50"/>
      <c r="D23" s="161"/>
      <c r="E23" s="161"/>
      <c r="F23" s="57"/>
      <c r="G23" s="97" t="e">
        <f>#REF!*#REF!</f>
        <v>#REF!</v>
      </c>
      <c r="H23" s="89"/>
      <c r="I23" s="89"/>
      <c r="J23" s="169"/>
      <c r="K23" s="36"/>
      <c r="L23" s="36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 spans="1:32" s="25" customFormat="1" ht="15" customHeight="1" thickBot="1">
      <c r="A24" s="21"/>
      <c r="B24" s="26"/>
      <c r="C24" s="27"/>
      <c r="D24" s="28"/>
      <c r="E24" s="29"/>
      <c r="F24" s="28"/>
      <c r="G24" s="30"/>
      <c r="H24" s="30"/>
      <c r="I24" s="30"/>
      <c r="J24" s="168"/>
      <c r="K24" s="24"/>
      <c r="L24" s="21"/>
      <c r="M24" s="21"/>
      <c r="N24" s="24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s="37" customFormat="1" ht="54.95" customHeight="1" thickBot="1">
      <c r="A25" s="34"/>
      <c r="B25" s="44" t="s">
        <v>5</v>
      </c>
      <c r="C25" s="27"/>
      <c r="D25" s="28"/>
      <c r="E25" s="52"/>
      <c r="F25" s="41"/>
      <c r="G25" s="47"/>
      <c r="H25" s="89"/>
      <c r="I25" s="89"/>
      <c r="J25" s="167"/>
      <c r="K25" s="43"/>
      <c r="L25" s="36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 spans="1:32" s="37" customFormat="1" ht="54.95" customHeight="1" thickBot="1">
      <c r="A26" s="34"/>
      <c r="B26" s="35" t="s">
        <v>13</v>
      </c>
      <c r="C26" s="53"/>
      <c r="D26" s="161"/>
      <c r="E26" s="161"/>
      <c r="F26" s="41"/>
      <c r="G26" s="47"/>
      <c r="H26" s="89"/>
      <c r="I26" s="89"/>
      <c r="J26" s="169"/>
      <c r="K26" s="36"/>
      <c r="L26" s="36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 spans="1:32" s="25" customFormat="1" ht="15" customHeight="1" thickBot="1">
      <c r="A27" s="21"/>
      <c r="B27" s="26"/>
      <c r="C27" s="27"/>
      <c r="D27" s="28"/>
      <c r="E27" s="29"/>
      <c r="F27" s="28"/>
      <c r="G27" s="30"/>
      <c r="H27" s="30"/>
      <c r="I27" s="30"/>
      <c r="J27" s="168"/>
      <c r="K27" s="24"/>
      <c r="L27" s="21"/>
      <c r="M27" s="21"/>
      <c r="N27" s="24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 spans="1:32" s="37" customFormat="1" ht="54.95" customHeight="1" thickBot="1">
      <c r="A28" s="34"/>
      <c r="B28" s="44" t="s">
        <v>6</v>
      </c>
      <c r="C28" s="53" t="s">
        <v>14</v>
      </c>
      <c r="D28" s="28"/>
      <c r="E28" s="45"/>
      <c r="F28" s="46"/>
      <c r="G28" s="49"/>
      <c r="H28" s="89"/>
      <c r="I28" s="89"/>
      <c r="J28" s="167"/>
      <c r="K28" s="36"/>
      <c r="L28" s="36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spans="1:32" s="37" customFormat="1" ht="54.95" customHeight="1" thickBot="1">
      <c r="A29" s="34"/>
      <c r="B29" s="151" t="s">
        <v>436</v>
      </c>
      <c r="C29" s="48"/>
      <c r="D29" s="162"/>
      <c r="E29" s="161"/>
      <c r="F29" s="57"/>
      <c r="G29" s="97" t="e">
        <f>#REF!*#REF!</f>
        <v>#REF!</v>
      </c>
      <c r="H29" s="89"/>
      <c r="I29" s="89"/>
      <c r="J29" s="169"/>
      <c r="K29" s="36"/>
      <c r="L29" s="36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1:32" s="25" customFormat="1" ht="15" customHeight="1" thickBot="1">
      <c r="A30" s="21"/>
      <c r="B30" s="26"/>
      <c r="C30" s="27"/>
      <c r="D30" s="28"/>
      <c r="E30" s="29"/>
      <c r="F30" s="28"/>
      <c r="G30" s="30"/>
      <c r="H30" s="30"/>
      <c r="I30" s="30"/>
      <c r="J30" s="168"/>
      <c r="K30" s="24"/>
      <c r="L30" s="21"/>
      <c r="M30" s="21"/>
      <c r="N30" s="24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2" s="37" customFormat="1" ht="54.95" customHeight="1" thickBot="1">
      <c r="A31" s="34"/>
      <c r="B31" s="44" t="s">
        <v>7</v>
      </c>
      <c r="C31" s="48"/>
      <c r="D31" s="28"/>
      <c r="E31" s="52"/>
      <c r="F31" s="41"/>
      <c r="G31" s="49"/>
      <c r="H31" s="89"/>
      <c r="I31" s="89"/>
      <c r="J31" s="167"/>
      <c r="K31" s="36"/>
      <c r="L31" s="36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spans="1:32" s="37" customFormat="1" ht="54.95" customHeight="1" thickBot="1">
      <c r="A32" s="34"/>
      <c r="B32" s="151" t="s">
        <v>437</v>
      </c>
      <c r="C32" s="50"/>
      <c r="D32" s="161"/>
      <c r="E32" s="161"/>
      <c r="F32" s="41"/>
      <c r="G32" s="49"/>
      <c r="H32" s="89"/>
      <c r="I32" s="89"/>
      <c r="J32" s="167"/>
      <c r="K32" s="36"/>
      <c r="L32" s="36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 spans="1:32" s="25" customFormat="1" ht="15" customHeight="1" thickBot="1">
      <c r="A33" s="21"/>
      <c r="B33" s="26"/>
      <c r="C33" s="27"/>
      <c r="D33" s="28"/>
      <c r="E33" s="29"/>
      <c r="F33" s="28"/>
      <c r="G33" s="30"/>
      <c r="H33" s="30"/>
      <c r="I33" s="30"/>
      <c r="J33" s="168"/>
      <c r="K33" s="24"/>
      <c r="L33" s="21"/>
      <c r="M33" s="21"/>
      <c r="N33" s="24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</row>
    <row r="34" spans="1:32" s="37" customFormat="1" ht="54.95" customHeight="1" thickBot="1">
      <c r="A34" s="34"/>
      <c r="B34" s="54" t="s">
        <v>9</v>
      </c>
      <c r="C34" s="27"/>
      <c r="D34" s="83"/>
      <c r="E34" s="82"/>
      <c r="F34" s="55"/>
      <c r="G34" s="47"/>
      <c r="H34" s="89"/>
      <c r="I34" s="89"/>
      <c r="J34" s="167"/>
      <c r="K34" s="43"/>
      <c r="L34" s="36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 spans="1:32" s="37" customFormat="1" ht="54.95" customHeight="1" thickBot="1">
      <c r="A35" s="34"/>
      <c r="B35" s="35"/>
      <c r="C35" s="56"/>
      <c r="D35" s="163">
        <f>SUM(D17+D20+D23+D26+D29+D32)</f>
        <v>0</v>
      </c>
      <c r="E35" s="163">
        <f>SUM(E17+E20+E23+E26+E29+E32)</f>
        <v>0</v>
      </c>
      <c r="F35" s="104" t="e">
        <f>LOOKUP(FinReview!D2,TEAData!A2:A250,TEAData!H2:H250)</f>
        <v>#N/A</v>
      </c>
      <c r="G35" s="105" t="e">
        <f>#REF!*#REF!</f>
        <v>#REF!</v>
      </c>
      <c r="H35" s="106" t="e">
        <f>LOOKUP(FinReview!D2,TEAData!A2:A250,TEAData!I2:I250)</f>
        <v>#N/A</v>
      </c>
      <c r="I35" s="143" t="e">
        <f>LOOKUP(FinReview!D2,TEAData!A2:A250,TEAData!G2:G250)</f>
        <v>#N/A</v>
      </c>
      <c r="J35" s="170"/>
      <c r="K35" s="36"/>
      <c r="L35" s="36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 spans="1:32" s="25" customFormat="1" ht="15" customHeight="1">
      <c r="A36" s="21"/>
      <c r="B36" s="26"/>
      <c r="C36" s="27"/>
      <c r="D36" s="28"/>
      <c r="E36" s="29"/>
      <c r="F36" s="28"/>
      <c r="G36" s="30"/>
      <c r="H36" s="30"/>
      <c r="I36" s="30"/>
      <c r="J36" s="168"/>
      <c r="K36" s="24"/>
      <c r="L36" s="21"/>
      <c r="M36" s="21"/>
      <c r="N36" s="24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</row>
    <row r="37" spans="1:32" s="37" customFormat="1" ht="54.95" customHeight="1">
      <c r="A37" s="34"/>
      <c r="B37" s="206" t="s">
        <v>438</v>
      </c>
      <c r="C37" s="207"/>
      <c r="D37" s="207"/>
      <c r="E37" s="207"/>
      <c r="F37" s="207"/>
      <c r="G37" s="207"/>
      <c r="H37" s="207"/>
      <c r="I37" s="145" t="str">
        <f>IF(E35&gt;E42*1.08,"Yes","No")</f>
        <v>No</v>
      </c>
      <c r="J37" s="167"/>
      <c r="K37" s="36"/>
      <c r="L37" s="36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 spans="1:32" s="37" customFormat="1" ht="54.75" customHeight="1">
      <c r="A38" s="34"/>
      <c r="B38" s="206" t="s">
        <v>439</v>
      </c>
      <c r="C38" s="207"/>
      <c r="D38" s="207"/>
      <c r="E38" s="207"/>
      <c r="F38" s="207"/>
      <c r="G38" s="207"/>
      <c r="H38" s="207"/>
      <c r="I38" s="146" t="e">
        <f>IF(AND(E35&gt;E42*1.06,H35&gt;H42*1.04),"Yes","No")</f>
        <v>#N/A</v>
      </c>
      <c r="J38" s="167"/>
      <c r="K38" s="36"/>
      <c r="L38" s="36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32" s="37" customFormat="1" ht="81" customHeight="1" thickBot="1">
      <c r="A39" s="34"/>
      <c r="B39" s="206" t="s">
        <v>457</v>
      </c>
      <c r="C39" s="207"/>
      <c r="D39" s="207"/>
      <c r="E39" s="207"/>
      <c r="F39" s="207"/>
      <c r="G39" s="207"/>
      <c r="H39" s="207"/>
      <c r="I39" s="146" t="e">
        <f>IF(AND(E35&gt;E42,E45&lt;H45,E45&lt;E35*0.04),"Yes","No")</f>
        <v>#N/A</v>
      </c>
      <c r="J39" s="170"/>
      <c r="K39" s="36"/>
      <c r="L39" s="36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 spans="1:32" s="25" customFormat="1" ht="51" customHeight="1" thickBot="1">
      <c r="A40" s="21"/>
      <c r="B40" s="189" t="s">
        <v>440</v>
      </c>
      <c r="C40" s="190"/>
      <c r="D40" s="190"/>
      <c r="E40" s="190"/>
      <c r="F40" s="190"/>
      <c r="G40" s="190"/>
      <c r="H40" s="190"/>
      <c r="I40" s="191"/>
      <c r="J40" s="171"/>
      <c r="K40" s="24"/>
      <c r="L40" s="21"/>
      <c r="M40" s="21"/>
      <c r="N40" s="24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</row>
    <row r="41" spans="1:32" s="37" customFormat="1" ht="54.95" customHeight="1" thickBot="1">
      <c r="A41" s="34"/>
      <c r="B41" s="44" t="s">
        <v>10</v>
      </c>
      <c r="C41" s="27"/>
      <c r="D41" s="28"/>
      <c r="E41" s="52"/>
      <c r="F41" s="41"/>
      <c r="G41" s="47"/>
      <c r="H41" s="89"/>
      <c r="I41" s="89"/>
      <c r="J41" s="167"/>
      <c r="K41" s="43"/>
      <c r="L41" s="36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 spans="1:32" s="37" customFormat="1" ht="54.95" customHeight="1" thickBot="1">
      <c r="A42" s="34"/>
      <c r="B42" s="35"/>
      <c r="C42" s="56"/>
      <c r="D42" s="161"/>
      <c r="E42" s="161"/>
      <c r="F42" s="106" t="e">
        <f>LOOKUP(FinReview!D2,TEAData!A2:A250,TEAData!K2:K250)</f>
        <v>#N/A</v>
      </c>
      <c r="G42" s="107" t="e">
        <f>#REF!*#REF!</f>
        <v>#REF!</v>
      </c>
      <c r="H42" s="106" t="e">
        <f>LOOKUP(FinReview!D2,TEAData!A2:A250,TEAData!L2:L250)</f>
        <v>#N/A</v>
      </c>
      <c r="I42" s="143" t="e">
        <f>LOOKUP(FinReview!D2,TEAData!A2:A250,TEAData!J2:J250)</f>
        <v>#N/A</v>
      </c>
      <c r="J42" s="167"/>
      <c r="K42" s="36"/>
      <c r="L42" s="36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 spans="1:32" s="25" customFormat="1" ht="15" customHeight="1" thickBot="1">
      <c r="A43" s="21"/>
      <c r="B43" s="26"/>
      <c r="C43" s="27"/>
      <c r="D43" s="28"/>
      <c r="E43" s="29"/>
      <c r="F43" s="28"/>
      <c r="G43" s="30"/>
      <c r="H43" s="30"/>
      <c r="I43" s="30"/>
      <c r="J43" s="168"/>
      <c r="K43" s="24"/>
      <c r="L43" s="21"/>
      <c r="M43" s="21"/>
      <c r="N43" s="24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</row>
    <row r="44" spans="1:32" s="37" customFormat="1" ht="54.95" customHeight="1" thickBot="1">
      <c r="A44" s="34"/>
      <c r="B44" s="44" t="s">
        <v>430</v>
      </c>
      <c r="C44" s="27"/>
      <c r="D44" s="28"/>
      <c r="E44" s="40"/>
      <c r="F44" s="99"/>
      <c r="G44" s="58"/>
      <c r="H44" s="89"/>
      <c r="I44" s="89"/>
      <c r="J44" s="167"/>
      <c r="K44" s="36"/>
      <c r="L44" s="36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1:32" s="37" customFormat="1" ht="54.95" customHeight="1">
      <c r="A45" s="34"/>
      <c r="B45" s="35"/>
      <c r="C45" s="56"/>
      <c r="D45" s="161"/>
      <c r="E45" s="161"/>
      <c r="F45" s="57"/>
      <c r="G45" s="58"/>
      <c r="H45" s="106" t="e">
        <f>LOOKUP(FinReview!D2,TEAData!A2:A250,TEAData!M2:M250)</f>
        <v>#N/A</v>
      </c>
      <c r="I45" s="89"/>
      <c r="J45" s="167"/>
      <c r="K45" s="36"/>
      <c r="L45" s="36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1:32" s="25" customFormat="1" ht="15" customHeight="1" thickBot="1">
      <c r="A46" s="21"/>
      <c r="B46" s="26"/>
      <c r="C46" s="27"/>
      <c r="D46" s="28"/>
      <c r="E46" s="29"/>
      <c r="F46" s="28"/>
      <c r="G46" s="30"/>
      <c r="H46" s="30"/>
      <c r="I46" s="30"/>
      <c r="J46" s="172"/>
      <c r="K46" s="24"/>
      <c r="L46" s="21"/>
      <c r="M46" s="21"/>
      <c r="N46" s="24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</row>
    <row r="47" spans="1:32" s="37" customFormat="1" ht="54.95" customHeight="1" thickBot="1">
      <c r="A47" s="34"/>
      <c r="B47" s="186"/>
      <c r="C47" s="187"/>
      <c r="D47" s="187"/>
      <c r="E47" s="187"/>
      <c r="F47" s="187"/>
      <c r="G47" s="187"/>
      <c r="H47" s="187"/>
      <c r="I47" s="188"/>
      <c r="J47" s="142" t="s">
        <v>27</v>
      </c>
      <c r="K47" s="36"/>
      <c r="L47" s="36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spans="1:32" s="37" customFormat="1" ht="108" customHeight="1">
      <c r="A48" s="34"/>
      <c r="B48" s="206" t="s">
        <v>445</v>
      </c>
      <c r="C48" s="207"/>
      <c r="D48" s="207"/>
      <c r="E48" s="207"/>
      <c r="F48" s="207"/>
      <c r="G48" s="207"/>
      <c r="H48" s="207"/>
      <c r="I48" s="176" t="e">
        <f>IF(AND(E45&lt;H45-(H45*0.5),E45&lt;E35-(E35*0.06)),"Yes","No")</f>
        <v>#N/A</v>
      </c>
      <c r="J48" s="156" t="s">
        <v>441</v>
      </c>
      <c r="K48" s="36"/>
      <c r="L48" s="36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 spans="1:33" s="37" customFormat="1" ht="70.5" customHeight="1">
      <c r="A49" s="34"/>
      <c r="B49" s="208" t="s">
        <v>446</v>
      </c>
      <c r="C49" s="209"/>
      <c r="D49" s="209"/>
      <c r="E49" s="209"/>
      <c r="F49" s="209"/>
      <c r="G49" s="209"/>
      <c r="H49" s="209"/>
      <c r="I49" s="143" t="str">
        <f>IF(E45&lt;E35*0.01,"Yes","No")</f>
        <v>No</v>
      </c>
      <c r="J49" s="157" t="s">
        <v>442</v>
      </c>
      <c r="K49" s="36"/>
      <c r="L49" s="36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 spans="1:33" s="37" customFormat="1" ht="84" customHeight="1">
      <c r="A50" s="34"/>
      <c r="B50" s="139"/>
      <c r="C50" s="138"/>
      <c r="D50" s="138"/>
      <c r="E50" s="138"/>
      <c r="F50" s="138"/>
      <c r="G50" s="138"/>
      <c r="H50" s="138"/>
      <c r="I50" s="144"/>
      <c r="J50" s="158" t="s">
        <v>443</v>
      </c>
      <c r="K50" s="36"/>
      <c r="L50" s="36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 spans="1:33" s="37" customFormat="1" ht="54.95" customHeight="1" thickBot="1">
      <c r="A51" s="34"/>
      <c r="B51" s="200" t="s">
        <v>447</v>
      </c>
      <c r="C51" s="201"/>
      <c r="D51" s="201"/>
      <c r="E51" s="201"/>
      <c r="F51" s="201"/>
      <c r="G51" s="201"/>
      <c r="H51" s="202"/>
      <c r="I51" s="143" t="str">
        <f>IF(AND(COUNTIF(I48:I49,"Yes")&gt;0,COUNTIF(I10:I42,"Yes")&gt;0),"Yes","No")</f>
        <v>No</v>
      </c>
      <c r="J51" s="183" t="s">
        <v>444</v>
      </c>
      <c r="K51" s="36"/>
      <c r="L51" s="36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 spans="1:33" s="37" customFormat="1" ht="54.95" customHeight="1">
      <c r="A52" s="34"/>
      <c r="B52" s="203" t="s">
        <v>39</v>
      </c>
      <c r="C52" s="204"/>
      <c r="D52" s="204"/>
      <c r="E52" s="204"/>
      <c r="F52" s="204"/>
      <c r="G52" s="204"/>
      <c r="H52" s="205"/>
      <c r="I52" s="143" t="str">
        <f>IF(E45&lt;E35*0.01,"Yes","No")</f>
        <v>No</v>
      </c>
      <c r="J52" s="184" t="s">
        <v>458</v>
      </c>
      <c r="K52" s="36"/>
      <c r="L52" s="36"/>
      <c r="M52" s="36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 spans="1:33" s="37" customFormat="1" ht="54.95" customHeight="1" thickBot="1">
      <c r="A53" s="27"/>
      <c r="B53" s="177"/>
      <c r="C53" s="178"/>
      <c r="D53" s="179"/>
      <c r="E53" s="182"/>
      <c r="F53" s="180"/>
      <c r="G53" s="181"/>
      <c r="H53" s="180"/>
      <c r="I53" s="181"/>
      <c r="J53" s="185" t="str">
        <f>IF(COUNTIF(I51:I52,"Yes")&gt;0,"Yes","No")</f>
        <v>No</v>
      </c>
      <c r="K53" s="99"/>
      <c r="L53" s="60"/>
      <c r="M53" s="89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 spans="1:33" s="135" customFormat="1" ht="54.95" customHeight="1">
      <c r="A54" s="130"/>
      <c r="B54" s="137" t="s">
        <v>448</v>
      </c>
      <c r="C54" s="131"/>
      <c r="D54" s="131"/>
      <c r="E54" s="131"/>
      <c r="F54" s="131"/>
      <c r="G54" s="131"/>
      <c r="H54" s="131"/>
      <c r="I54" s="131"/>
      <c r="J54" s="136"/>
      <c r="K54" s="99"/>
      <c r="L54" s="132"/>
      <c r="M54" s="133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</row>
    <row r="55" spans="1:33" s="135" customFormat="1" ht="54.95" customHeight="1">
      <c r="A55" s="130"/>
      <c r="B55" s="137" t="s">
        <v>37</v>
      </c>
      <c r="C55" s="131"/>
      <c r="D55" s="131"/>
      <c r="E55" s="131"/>
      <c r="F55" s="131"/>
      <c r="G55" s="131"/>
      <c r="H55" s="131"/>
      <c r="I55" s="131"/>
      <c r="J55" s="136"/>
      <c r="K55" s="99"/>
      <c r="L55" s="132"/>
      <c r="M55" s="133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</row>
    <row r="56" spans="1:33" s="37" customFormat="1" ht="30" customHeight="1">
      <c r="A56" s="34"/>
      <c r="B56" s="64"/>
      <c r="C56" s="38"/>
      <c r="D56" s="199"/>
      <c r="E56" s="199"/>
      <c r="F56" s="199"/>
      <c r="G56" s="65"/>
      <c r="H56" s="89"/>
      <c r="I56" s="89"/>
      <c r="J56" s="66"/>
      <c r="K56" s="36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 spans="1:33" s="37" customFormat="1" ht="51" customHeight="1">
      <c r="A57" s="34"/>
      <c r="B57" s="198"/>
      <c r="C57" s="198"/>
      <c r="D57" s="199"/>
      <c r="E57" s="199"/>
      <c r="F57" s="199"/>
      <c r="G57" s="65"/>
      <c r="H57" s="89"/>
      <c r="I57" s="89"/>
      <c r="J57" s="66"/>
      <c r="K57" s="36"/>
      <c r="L57" s="36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 spans="1:33" s="37" customFormat="1" ht="40.5" customHeight="1">
      <c r="A58" s="34"/>
      <c r="B58" s="198"/>
      <c r="C58" s="198"/>
      <c r="D58" s="199"/>
      <c r="E58" s="199"/>
      <c r="F58" s="199"/>
      <c r="G58" s="65"/>
      <c r="H58" s="89"/>
      <c r="I58" s="89"/>
      <c r="J58" s="66"/>
      <c r="K58" s="36"/>
      <c r="L58" s="36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 spans="1:33" s="37" customFormat="1">
      <c r="A59" s="34"/>
      <c r="B59" s="67"/>
      <c r="C59" s="38"/>
      <c r="D59" s="42"/>
      <c r="E59" s="36"/>
      <c r="F59" s="68"/>
      <c r="G59" s="42"/>
      <c r="H59" s="42"/>
      <c r="I59" s="42"/>
      <c r="J59" s="66"/>
      <c r="K59" s="36"/>
      <c r="L59" s="36"/>
      <c r="M59" s="34"/>
      <c r="N59" s="69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</row>
    <row r="60" spans="1:33" s="37" customFormat="1">
      <c r="A60" s="34"/>
      <c r="B60" s="67"/>
      <c r="C60" s="38"/>
      <c r="D60" s="42"/>
      <c r="E60" s="36"/>
      <c r="F60" s="68"/>
      <c r="G60" s="42"/>
      <c r="H60" s="42"/>
      <c r="I60" s="42"/>
      <c r="J60" s="66"/>
      <c r="K60" s="36"/>
      <c r="L60" s="36"/>
      <c r="M60" s="34"/>
      <c r="N60" s="69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</row>
    <row r="61" spans="1:33" s="37" customFormat="1">
      <c r="A61" s="34"/>
      <c r="B61" s="67"/>
      <c r="C61" s="38"/>
      <c r="D61" s="42"/>
      <c r="E61" s="36"/>
      <c r="F61" s="68"/>
      <c r="G61" s="42"/>
      <c r="H61" s="42"/>
      <c r="I61" s="42"/>
      <c r="J61" s="66"/>
      <c r="K61" s="36"/>
      <c r="L61" s="36"/>
      <c r="M61" s="34"/>
      <c r="N61" s="69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</row>
    <row r="62" spans="1:33" s="37" customFormat="1">
      <c r="A62" s="34"/>
      <c r="B62" s="67"/>
      <c r="C62" s="38"/>
      <c r="D62" s="42"/>
      <c r="E62" s="36"/>
      <c r="F62" s="68"/>
      <c r="G62" s="42"/>
      <c r="H62" s="42"/>
      <c r="I62" s="42"/>
      <c r="J62" s="66"/>
      <c r="K62" s="36"/>
      <c r="L62" s="36"/>
      <c r="M62" s="34"/>
      <c r="N62" s="69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</row>
    <row r="63" spans="1:33" s="37" customFormat="1" ht="25.5">
      <c r="A63" s="34"/>
      <c r="B63" s="61"/>
      <c r="C63" s="38"/>
      <c r="D63" s="199"/>
      <c r="E63" s="199"/>
      <c r="F63" s="199"/>
      <c r="G63" s="62"/>
      <c r="H63" s="62"/>
      <c r="I63" s="62"/>
      <c r="J63" s="192"/>
      <c r="K63" s="39"/>
      <c r="L63" s="39"/>
      <c r="M63" s="34"/>
      <c r="N63" s="69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</row>
    <row r="64" spans="1:33" s="37" customFormat="1" ht="25.5">
      <c r="A64" s="34"/>
      <c r="B64" s="63"/>
      <c r="C64" s="38"/>
      <c r="D64" s="199"/>
      <c r="E64" s="199"/>
      <c r="F64" s="199"/>
      <c r="G64" s="62"/>
      <c r="H64" s="89"/>
      <c r="I64" s="89"/>
      <c r="J64" s="192"/>
      <c r="K64" s="39"/>
      <c r="L64" s="39"/>
      <c r="M64" s="34"/>
      <c r="N64" s="69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</row>
    <row r="65" spans="1:33" s="37" customFormat="1" ht="51" hidden="1">
      <c r="A65" s="34"/>
      <c r="B65" s="64"/>
      <c r="C65" s="38"/>
      <c r="D65" s="199"/>
      <c r="E65" s="199"/>
      <c r="F65" s="199"/>
      <c r="G65" s="65"/>
      <c r="H65" s="89"/>
      <c r="I65" s="89"/>
      <c r="J65" s="66"/>
      <c r="K65" s="36"/>
      <c r="L65" s="34"/>
      <c r="M65" s="34"/>
      <c r="N65" s="69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</row>
    <row r="66" spans="1:33" s="37" customFormat="1" ht="51" hidden="1">
      <c r="A66" s="34"/>
      <c r="B66" s="193"/>
      <c r="C66" s="193"/>
      <c r="D66" s="199"/>
      <c r="E66" s="199"/>
      <c r="F66" s="199"/>
      <c r="G66" s="65"/>
      <c r="H66" s="89"/>
      <c r="I66" s="89"/>
      <c r="J66" s="66"/>
      <c r="K66" s="36"/>
      <c r="L66" s="36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</row>
    <row r="67" spans="1:33" s="37" customFormat="1" ht="51" hidden="1">
      <c r="A67" s="34"/>
      <c r="B67" s="193"/>
      <c r="C67" s="193"/>
      <c r="D67" s="199"/>
      <c r="E67" s="199"/>
      <c r="F67" s="199"/>
      <c r="G67" s="65"/>
      <c r="H67" s="89"/>
      <c r="I67" s="89"/>
      <c r="J67" s="66"/>
      <c r="K67" s="36"/>
      <c r="L67" s="36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</row>
    <row r="68" spans="1:33" s="37" customFormat="1" ht="51" hidden="1">
      <c r="A68" s="34"/>
      <c r="B68" s="67"/>
      <c r="C68" s="38"/>
      <c r="D68" s="42"/>
      <c r="E68" s="36"/>
      <c r="F68" s="68"/>
      <c r="G68" s="42"/>
      <c r="H68" s="42"/>
      <c r="I68" s="42"/>
      <c r="J68" s="66"/>
      <c r="K68" s="36"/>
      <c r="L68" s="36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</row>
    <row r="69" spans="1:33" s="37" customFormat="1" ht="51" hidden="1">
      <c r="B69" s="70"/>
      <c r="C69" s="38"/>
      <c r="D69" s="51"/>
      <c r="E69" s="71"/>
      <c r="F69" s="72"/>
      <c r="G69" s="51"/>
      <c r="H69" s="51"/>
      <c r="I69" s="51"/>
      <c r="J69" s="73"/>
      <c r="K69" s="36"/>
      <c r="L69" s="36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</row>
    <row r="70" spans="1:33" s="37" customFormat="1" ht="51" hidden="1">
      <c r="B70" s="70"/>
      <c r="C70" s="38"/>
      <c r="D70" s="51"/>
      <c r="E70" s="71"/>
      <c r="F70" s="72"/>
      <c r="G70" s="51"/>
      <c r="H70" s="51"/>
      <c r="I70" s="51"/>
      <c r="J70" s="73"/>
      <c r="K70" s="36"/>
      <c r="L70" s="36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</row>
    <row r="71" spans="1:33" s="37" customFormat="1" ht="51" hidden="1">
      <c r="B71" s="70"/>
      <c r="C71" s="38"/>
      <c r="D71" s="51"/>
      <c r="E71" s="71"/>
      <c r="F71" s="72"/>
      <c r="G71" s="51"/>
      <c r="H71" s="51"/>
      <c r="I71" s="51"/>
      <c r="J71" s="73"/>
      <c r="K71" s="36"/>
      <c r="L71" s="36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</row>
    <row r="72" spans="1:33" s="37" customFormat="1" ht="51" hidden="1">
      <c r="B72" s="70"/>
      <c r="C72" s="38"/>
      <c r="D72" s="51"/>
      <c r="E72" s="71"/>
      <c r="F72" s="72"/>
      <c r="G72" s="51"/>
      <c r="H72" s="51"/>
      <c r="I72" s="51"/>
      <c r="J72" s="73"/>
      <c r="K72" s="36"/>
      <c r="L72" s="36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</row>
    <row r="73" spans="1:33" s="37" customFormat="1" ht="51" hidden="1">
      <c r="B73" s="70"/>
      <c r="C73" s="38"/>
      <c r="D73" s="51"/>
      <c r="E73" s="71"/>
      <c r="F73" s="72"/>
      <c r="G73" s="51"/>
      <c r="H73" s="51"/>
      <c r="I73" s="51"/>
      <c r="J73" s="73"/>
      <c r="K73" s="36"/>
      <c r="L73" s="36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</row>
    <row r="74" spans="1:33" s="37" customFormat="1" ht="51" hidden="1">
      <c r="B74" s="70"/>
      <c r="C74" s="38"/>
      <c r="D74" s="51"/>
      <c r="E74" s="71"/>
      <c r="F74" s="72"/>
      <c r="G74" s="51"/>
      <c r="H74" s="51"/>
      <c r="I74" s="51"/>
      <c r="J74" s="73"/>
      <c r="K74" s="36"/>
      <c r="L74" s="36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</row>
    <row r="75" spans="1:33" s="37" customFormat="1" ht="51" hidden="1">
      <c r="B75" s="70"/>
      <c r="C75" s="38"/>
      <c r="D75" s="51"/>
      <c r="E75" s="71"/>
      <c r="F75" s="72"/>
      <c r="G75" s="51"/>
      <c r="H75" s="51"/>
      <c r="I75" s="51"/>
      <c r="J75" s="73"/>
      <c r="K75" s="36"/>
      <c r="L75" s="36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</row>
    <row r="76" spans="1:33" s="37" customFormat="1" ht="51" hidden="1">
      <c r="B76" s="70"/>
      <c r="C76" s="38"/>
      <c r="D76" s="51"/>
      <c r="E76" s="71"/>
      <c r="F76" s="72"/>
      <c r="G76" s="51"/>
      <c r="H76" s="51"/>
      <c r="I76" s="51"/>
      <c r="J76" s="73"/>
      <c r="K76" s="36"/>
      <c r="L76" s="36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</row>
    <row r="77" spans="1:33" s="37" customFormat="1" ht="51" hidden="1">
      <c r="B77" s="70"/>
      <c r="C77" s="38"/>
      <c r="D77" s="51"/>
      <c r="E77" s="71"/>
      <c r="F77" s="72"/>
      <c r="G77" s="51"/>
      <c r="H77" s="51"/>
      <c r="I77" s="51"/>
      <c r="J77" s="73"/>
      <c r="K77" s="36"/>
      <c r="L77" s="36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</row>
    <row r="78" spans="1:33" s="37" customFormat="1" ht="51" hidden="1">
      <c r="B78" s="70"/>
      <c r="C78" s="38"/>
      <c r="D78" s="51"/>
      <c r="E78" s="71"/>
      <c r="F78" s="72"/>
      <c r="G78" s="51"/>
      <c r="H78" s="51"/>
      <c r="I78" s="51"/>
      <c r="J78" s="73"/>
      <c r="K78" s="36"/>
      <c r="L78" s="36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</row>
    <row r="79" spans="1:33" s="37" customFormat="1" ht="51" hidden="1">
      <c r="B79" s="70"/>
      <c r="C79" s="38"/>
      <c r="D79" s="51"/>
      <c r="E79" s="71"/>
      <c r="F79" s="72"/>
      <c r="G79" s="51"/>
      <c r="H79" s="51"/>
      <c r="I79" s="51"/>
      <c r="J79" s="73"/>
      <c r="K79" s="36"/>
      <c r="L79" s="36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</row>
    <row r="80" spans="1:33" s="37" customFormat="1" ht="51" hidden="1">
      <c r="B80" s="70"/>
      <c r="C80" s="38"/>
      <c r="D80" s="51"/>
      <c r="E80" s="71"/>
      <c r="F80" s="72"/>
      <c r="G80" s="51"/>
      <c r="H80" s="51"/>
      <c r="I80" s="51"/>
      <c r="J80" s="73"/>
      <c r="K80" s="36"/>
      <c r="L80" s="36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</row>
    <row r="81" spans="1:33" s="37" customFormat="1" ht="51" hidden="1">
      <c r="B81" s="70"/>
      <c r="C81" s="38"/>
      <c r="D81" s="51"/>
      <c r="E81" s="71"/>
      <c r="F81" s="72"/>
      <c r="G81" s="51"/>
      <c r="H81" s="51"/>
      <c r="I81" s="51"/>
      <c r="J81" s="73"/>
      <c r="K81" s="36"/>
      <c r="L81" s="36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</row>
    <row r="82" spans="1:33" s="37" customFormat="1" ht="51" hidden="1">
      <c r="B82" s="70"/>
      <c r="C82" s="38"/>
      <c r="D82" s="51"/>
      <c r="E82" s="71"/>
      <c r="F82" s="72"/>
      <c r="G82" s="51"/>
      <c r="H82" s="51"/>
      <c r="I82" s="51"/>
      <c r="J82" s="73"/>
      <c r="K82" s="36"/>
      <c r="L82" s="36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</row>
    <row r="83" spans="1:33" s="37" customFormat="1" ht="51" hidden="1">
      <c r="B83" s="70"/>
      <c r="C83" s="38"/>
      <c r="D83" s="51"/>
      <c r="E83" s="71"/>
      <c r="F83" s="72"/>
      <c r="G83" s="51"/>
      <c r="H83" s="51"/>
      <c r="I83" s="51"/>
      <c r="J83" s="73"/>
      <c r="K83" s="36"/>
      <c r="L83" s="36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</row>
    <row r="84" spans="1:33" s="37" customFormat="1" ht="51" hidden="1">
      <c r="B84" s="70"/>
      <c r="C84" s="38"/>
      <c r="D84" s="51"/>
      <c r="E84" s="71"/>
      <c r="F84" s="72"/>
      <c r="G84" s="51"/>
      <c r="H84" s="51"/>
      <c r="I84" s="51"/>
      <c r="J84" s="73"/>
      <c r="K84" s="36"/>
      <c r="L84" s="36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</row>
    <row r="85" spans="1:33" s="37" customFormat="1" ht="51" hidden="1">
      <c r="B85" s="70"/>
      <c r="C85" s="38"/>
      <c r="D85" s="51"/>
      <c r="E85" s="71"/>
      <c r="F85" s="72"/>
      <c r="G85" s="51"/>
      <c r="H85" s="51"/>
      <c r="I85" s="51"/>
      <c r="J85" s="73"/>
      <c r="K85" s="36"/>
      <c r="L85" s="36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</row>
    <row r="86" spans="1:33" s="37" customFormat="1">
      <c r="A86" s="34"/>
      <c r="B86" s="67"/>
      <c r="C86" s="38"/>
      <c r="D86" s="42"/>
      <c r="E86" s="36"/>
      <c r="F86" s="68"/>
      <c r="G86" s="42"/>
      <c r="H86" s="42"/>
      <c r="I86" s="42"/>
      <c r="J86" s="66"/>
      <c r="K86" s="36"/>
      <c r="L86" s="36"/>
      <c r="M86" s="34"/>
      <c r="N86" s="69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</row>
    <row r="87" spans="1:33" s="37" customFormat="1">
      <c r="A87" s="34"/>
      <c r="B87" s="67"/>
      <c r="C87" s="38"/>
      <c r="D87" s="42"/>
      <c r="E87" s="36"/>
      <c r="F87" s="68"/>
      <c r="G87" s="42"/>
      <c r="H87" s="42"/>
      <c r="I87" s="42"/>
      <c r="J87" s="66"/>
      <c r="K87" s="36"/>
      <c r="L87" s="36"/>
      <c r="M87" s="34"/>
      <c r="N87" s="69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</row>
    <row r="88" spans="1:33" s="37" customFormat="1">
      <c r="A88" s="34"/>
      <c r="B88" s="67"/>
      <c r="C88" s="38"/>
      <c r="D88" s="42"/>
      <c r="E88" s="36"/>
      <c r="F88" s="68"/>
      <c r="G88" s="42"/>
      <c r="H88" s="42"/>
      <c r="I88" s="42"/>
      <c r="J88" s="66"/>
      <c r="K88" s="36"/>
      <c r="L88" s="36"/>
      <c r="M88" s="34"/>
      <c r="N88" s="69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</row>
    <row r="89" spans="1:33" s="37" customFormat="1">
      <c r="A89" s="34"/>
      <c r="B89" s="67"/>
      <c r="C89" s="38"/>
      <c r="D89" s="42"/>
      <c r="E89" s="36"/>
      <c r="F89" s="68"/>
      <c r="G89" s="42"/>
      <c r="H89" s="42"/>
      <c r="I89" s="42"/>
      <c r="J89" s="66"/>
      <c r="K89" s="36"/>
      <c r="L89" s="36"/>
      <c r="M89" s="34"/>
      <c r="N89" s="69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</row>
    <row r="90" spans="1:33" s="37" customFormat="1">
      <c r="A90" s="34"/>
      <c r="B90" s="67"/>
      <c r="C90" s="38"/>
      <c r="D90" s="42"/>
      <c r="E90" s="36"/>
      <c r="F90" s="68"/>
      <c r="G90" s="42"/>
      <c r="H90" s="42"/>
      <c r="I90" s="42"/>
      <c r="J90" s="66"/>
      <c r="K90" s="36"/>
      <c r="L90" s="36"/>
      <c r="M90" s="34"/>
      <c r="N90" s="69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</row>
    <row r="91" spans="1:33" s="37" customFormat="1">
      <c r="A91" s="34"/>
      <c r="B91" s="67"/>
      <c r="C91" s="38"/>
      <c r="D91" s="42"/>
      <c r="E91" s="36"/>
      <c r="F91" s="68"/>
      <c r="G91" s="42"/>
      <c r="H91" s="42"/>
      <c r="I91" s="42"/>
      <c r="J91" s="66"/>
      <c r="K91" s="36"/>
      <c r="L91" s="36"/>
      <c r="M91" s="34"/>
      <c r="N91" s="69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</row>
    <row r="92" spans="1:33" s="37" customFormat="1">
      <c r="B92" s="70"/>
      <c r="C92" s="38"/>
      <c r="D92" s="51"/>
      <c r="E92" s="71"/>
      <c r="F92" s="72"/>
      <c r="G92" s="51"/>
      <c r="H92" s="51"/>
      <c r="I92" s="51"/>
      <c r="J92" s="73"/>
      <c r="K92" s="71"/>
      <c r="L92" s="71"/>
    </row>
    <row r="93" spans="1:33" s="37" customFormat="1">
      <c r="B93" s="70"/>
      <c r="C93" s="38"/>
      <c r="D93" s="51"/>
      <c r="E93" s="71"/>
      <c r="F93" s="72"/>
      <c r="G93" s="51"/>
      <c r="H93" s="51"/>
      <c r="I93" s="51"/>
      <c r="J93" s="73"/>
      <c r="K93" s="71"/>
      <c r="L93" s="71"/>
    </row>
    <row r="94" spans="1:33" s="37" customFormat="1">
      <c r="B94" s="70"/>
      <c r="C94" s="38"/>
      <c r="D94" s="51"/>
      <c r="E94" s="71"/>
      <c r="F94" s="72"/>
      <c r="G94" s="51"/>
      <c r="H94" s="51"/>
      <c r="I94" s="51"/>
      <c r="J94" s="73"/>
      <c r="K94" s="71"/>
      <c r="L94" s="71"/>
    </row>
    <row r="95" spans="1:33" s="37" customFormat="1">
      <c r="B95" s="70"/>
      <c r="C95" s="38"/>
      <c r="D95" s="51"/>
      <c r="E95" s="71"/>
      <c r="F95" s="72"/>
      <c r="G95" s="51"/>
      <c r="H95" s="51"/>
      <c r="I95" s="51"/>
      <c r="J95" s="73"/>
      <c r="K95" s="71"/>
      <c r="L95" s="71"/>
    </row>
    <row r="96" spans="1:33" s="37" customFormat="1">
      <c r="B96" s="70"/>
      <c r="C96" s="38"/>
      <c r="D96" s="51"/>
      <c r="E96" s="71"/>
      <c r="F96" s="72"/>
      <c r="G96" s="51"/>
      <c r="H96" s="51"/>
      <c r="I96" s="51"/>
      <c r="J96" s="73"/>
      <c r="K96" s="71"/>
      <c r="L96" s="71"/>
    </row>
    <row r="97" spans="2:12" s="37" customFormat="1">
      <c r="B97" s="70"/>
      <c r="C97" s="38"/>
      <c r="D97" s="51"/>
      <c r="E97" s="71"/>
      <c r="F97" s="72"/>
      <c r="G97" s="51"/>
      <c r="H97" s="51"/>
      <c r="I97" s="51"/>
      <c r="J97" s="73"/>
      <c r="K97" s="71"/>
      <c r="L97" s="71"/>
    </row>
    <row r="98" spans="2:12" s="37" customFormat="1">
      <c r="B98" s="70"/>
      <c r="C98" s="38"/>
      <c r="D98" s="51"/>
      <c r="E98" s="71"/>
      <c r="F98" s="72"/>
      <c r="G98" s="51"/>
      <c r="H98" s="51"/>
      <c r="I98" s="51"/>
      <c r="J98" s="73"/>
      <c r="K98" s="71"/>
      <c r="L98" s="71"/>
    </row>
    <row r="99" spans="2:12" s="37" customFormat="1">
      <c r="B99" s="70"/>
      <c r="C99" s="38"/>
      <c r="D99" s="51"/>
      <c r="E99" s="71"/>
      <c r="F99" s="72"/>
      <c r="G99" s="51"/>
      <c r="H99" s="51"/>
      <c r="I99" s="51"/>
      <c r="J99" s="73"/>
      <c r="K99" s="71"/>
      <c r="L99" s="71"/>
    </row>
    <row r="100" spans="2:12" s="37" customFormat="1">
      <c r="B100" s="70"/>
      <c r="C100" s="38"/>
      <c r="D100" s="51"/>
      <c r="E100" s="71"/>
      <c r="F100" s="72"/>
      <c r="G100" s="51"/>
      <c r="H100" s="51"/>
      <c r="I100" s="51"/>
      <c r="J100" s="73"/>
      <c r="K100" s="71"/>
      <c r="L100" s="71"/>
    </row>
    <row r="101" spans="2:12" s="37" customFormat="1">
      <c r="B101" s="70"/>
      <c r="C101" s="38"/>
      <c r="D101" s="51"/>
      <c r="E101" s="71"/>
      <c r="F101" s="72"/>
      <c r="G101" s="51"/>
      <c r="H101" s="51"/>
      <c r="I101" s="51"/>
      <c r="J101" s="73"/>
      <c r="K101" s="71"/>
      <c r="L101" s="71"/>
    </row>
    <row r="102" spans="2:12" s="37" customFormat="1">
      <c r="B102" s="70"/>
      <c r="C102" s="38"/>
      <c r="D102" s="51"/>
      <c r="E102" s="71"/>
      <c r="F102" s="72"/>
      <c r="G102" s="51"/>
      <c r="H102" s="51"/>
      <c r="I102" s="51"/>
      <c r="J102" s="73"/>
      <c r="K102" s="71"/>
      <c r="L102" s="71"/>
    </row>
    <row r="103" spans="2:12" s="37" customFormat="1">
      <c r="B103" s="70"/>
      <c r="C103" s="38"/>
      <c r="D103" s="51"/>
      <c r="E103" s="71"/>
      <c r="F103" s="72"/>
      <c r="G103" s="51"/>
      <c r="H103" s="51"/>
      <c r="I103" s="51"/>
      <c r="J103" s="73"/>
      <c r="K103" s="71"/>
      <c r="L103" s="71"/>
    </row>
    <row r="104" spans="2:12" s="37" customFormat="1">
      <c r="B104" s="70"/>
      <c r="C104" s="38"/>
      <c r="D104" s="51"/>
      <c r="E104" s="71"/>
      <c r="F104" s="72"/>
      <c r="G104" s="51"/>
      <c r="H104" s="51"/>
      <c r="I104" s="51"/>
      <c r="J104" s="73"/>
      <c r="K104" s="71"/>
      <c r="L104" s="71"/>
    </row>
    <row r="105" spans="2:12" s="37" customFormat="1">
      <c r="B105" s="70"/>
      <c r="C105" s="38"/>
      <c r="D105" s="51"/>
      <c r="E105" s="71"/>
      <c r="F105" s="72"/>
      <c r="G105" s="51"/>
      <c r="H105" s="51"/>
      <c r="I105" s="51"/>
      <c r="J105" s="73"/>
      <c r="K105" s="71"/>
      <c r="L105" s="71"/>
    </row>
    <row r="106" spans="2:12" s="37" customFormat="1">
      <c r="B106" s="70"/>
      <c r="C106" s="38"/>
      <c r="D106" s="51"/>
      <c r="E106" s="71"/>
      <c r="F106" s="72"/>
      <c r="G106" s="51"/>
      <c r="H106" s="51"/>
      <c r="I106" s="51"/>
      <c r="J106" s="73"/>
      <c r="K106" s="71"/>
      <c r="L106" s="71"/>
    </row>
    <row r="107" spans="2:12" s="37" customFormat="1">
      <c r="B107" s="70"/>
      <c r="C107" s="38"/>
      <c r="D107" s="51"/>
      <c r="E107" s="71"/>
      <c r="F107" s="72"/>
      <c r="G107" s="51"/>
      <c r="H107" s="51"/>
      <c r="I107" s="51"/>
      <c r="J107" s="73"/>
      <c r="K107" s="71"/>
      <c r="L107" s="71"/>
    </row>
    <row r="108" spans="2:12" s="37" customFormat="1">
      <c r="B108" s="70"/>
      <c r="C108" s="38"/>
      <c r="D108" s="51"/>
      <c r="E108" s="71"/>
      <c r="F108" s="72"/>
      <c r="G108" s="51"/>
      <c r="H108" s="51"/>
      <c r="I108" s="51"/>
      <c r="J108" s="73"/>
      <c r="K108" s="71"/>
      <c r="L108" s="71"/>
    </row>
    <row r="109" spans="2:12" s="37" customFormat="1">
      <c r="B109" s="70"/>
      <c r="C109" s="38"/>
      <c r="D109" s="51"/>
      <c r="E109" s="71"/>
      <c r="F109" s="72"/>
      <c r="G109" s="51"/>
      <c r="H109" s="51"/>
      <c r="I109" s="51"/>
      <c r="J109" s="73"/>
      <c r="K109" s="71"/>
      <c r="L109" s="71"/>
    </row>
    <row r="110" spans="2:12" s="37" customFormat="1">
      <c r="B110" s="70"/>
      <c r="C110" s="38"/>
      <c r="D110" s="51"/>
      <c r="E110" s="71"/>
      <c r="F110" s="72"/>
      <c r="G110" s="51"/>
      <c r="H110" s="51"/>
      <c r="I110" s="51"/>
      <c r="J110" s="73"/>
      <c r="K110" s="71"/>
      <c r="L110" s="71"/>
    </row>
    <row r="111" spans="2:12" s="37" customFormat="1">
      <c r="B111" s="70"/>
      <c r="C111" s="38"/>
      <c r="D111" s="51"/>
      <c r="E111" s="71"/>
      <c r="F111" s="72"/>
      <c r="G111" s="51"/>
      <c r="H111" s="51"/>
      <c r="I111" s="51"/>
      <c r="J111" s="73"/>
      <c r="K111" s="71"/>
      <c r="L111" s="71"/>
    </row>
    <row r="112" spans="2:12" s="37" customFormat="1">
      <c r="B112" s="70"/>
      <c r="C112" s="38"/>
      <c r="D112" s="51"/>
      <c r="E112" s="71"/>
      <c r="F112" s="72"/>
      <c r="G112" s="51"/>
      <c r="H112" s="51"/>
      <c r="I112" s="51"/>
      <c r="J112" s="73"/>
      <c r="K112" s="71"/>
      <c r="L112" s="71"/>
    </row>
    <row r="113" spans="2:12" s="37" customFormat="1">
      <c r="B113" s="70"/>
      <c r="C113" s="38"/>
      <c r="D113" s="51"/>
      <c r="E113" s="71"/>
      <c r="F113" s="72"/>
      <c r="G113" s="51"/>
      <c r="H113" s="51"/>
      <c r="I113" s="51"/>
      <c r="J113" s="73"/>
      <c r="K113" s="71"/>
      <c r="L113" s="71"/>
    </row>
    <row r="114" spans="2:12" s="37" customFormat="1">
      <c r="B114" s="70"/>
      <c r="C114" s="38"/>
      <c r="D114" s="51"/>
      <c r="E114" s="71"/>
      <c r="F114" s="72"/>
      <c r="G114" s="51"/>
      <c r="H114" s="51"/>
      <c r="I114" s="51"/>
      <c r="J114" s="73"/>
      <c r="K114" s="71"/>
      <c r="L114" s="71"/>
    </row>
    <row r="115" spans="2:12" s="37" customFormat="1">
      <c r="B115" s="70"/>
      <c r="C115" s="38"/>
      <c r="D115" s="51"/>
      <c r="E115" s="71"/>
      <c r="F115" s="72"/>
      <c r="G115" s="51"/>
      <c r="H115" s="51"/>
      <c r="I115" s="51"/>
      <c r="J115" s="73"/>
      <c r="K115" s="71"/>
      <c r="L115" s="71"/>
    </row>
    <row r="116" spans="2:12" s="37" customFormat="1">
      <c r="B116" s="70"/>
      <c r="C116" s="38"/>
      <c r="D116" s="51"/>
      <c r="E116" s="71"/>
      <c r="F116" s="72"/>
      <c r="G116" s="51"/>
      <c r="H116" s="51"/>
      <c r="I116" s="51"/>
      <c r="J116" s="73"/>
      <c r="K116" s="71"/>
      <c r="L116" s="71"/>
    </row>
    <row r="117" spans="2:12" s="37" customFormat="1">
      <c r="B117" s="70"/>
      <c r="C117" s="38"/>
      <c r="D117" s="51"/>
      <c r="E117" s="71"/>
      <c r="F117" s="72"/>
      <c r="G117" s="51"/>
      <c r="H117" s="51"/>
      <c r="I117" s="51"/>
      <c r="J117" s="73"/>
      <c r="K117" s="71"/>
      <c r="L117" s="71"/>
    </row>
    <row r="118" spans="2:12" s="37" customFormat="1">
      <c r="B118" s="70"/>
      <c r="C118" s="38"/>
      <c r="D118" s="51"/>
      <c r="E118" s="71"/>
      <c r="F118" s="72"/>
      <c r="G118" s="51"/>
      <c r="H118" s="51"/>
      <c r="I118" s="51"/>
      <c r="J118" s="73"/>
      <c r="K118" s="71"/>
      <c r="L118" s="71"/>
    </row>
    <row r="119" spans="2:12" s="37" customFormat="1">
      <c r="B119" s="70"/>
      <c r="C119" s="38"/>
      <c r="D119" s="51"/>
      <c r="E119" s="71"/>
      <c r="F119" s="72"/>
      <c r="G119" s="51"/>
      <c r="H119" s="51"/>
      <c r="I119" s="51"/>
      <c r="J119" s="73"/>
      <c r="K119" s="71"/>
      <c r="L119" s="71"/>
    </row>
    <row r="120" spans="2:12" s="37" customFormat="1">
      <c r="B120" s="70"/>
      <c r="C120" s="38"/>
      <c r="D120" s="51"/>
      <c r="E120" s="71"/>
      <c r="F120" s="72"/>
      <c r="G120" s="51"/>
      <c r="H120" s="51"/>
      <c r="I120" s="51"/>
      <c r="J120" s="73"/>
      <c r="K120" s="71"/>
      <c r="L120" s="71"/>
    </row>
    <row r="121" spans="2:12" s="37" customFormat="1">
      <c r="B121" s="70"/>
      <c r="C121" s="38"/>
      <c r="D121" s="51"/>
      <c r="E121" s="71"/>
      <c r="F121" s="72"/>
      <c r="G121" s="51"/>
      <c r="H121" s="51"/>
      <c r="I121" s="51"/>
      <c r="J121" s="73"/>
      <c r="K121" s="71"/>
      <c r="L121" s="71"/>
    </row>
    <row r="122" spans="2:12" s="37" customFormat="1">
      <c r="B122" s="70"/>
      <c r="C122" s="38"/>
      <c r="D122" s="51"/>
      <c r="E122" s="71"/>
      <c r="F122" s="72"/>
      <c r="G122" s="51"/>
      <c r="H122" s="51"/>
      <c r="I122" s="51"/>
      <c r="J122" s="73"/>
      <c r="K122" s="71"/>
      <c r="L122" s="71"/>
    </row>
    <row r="123" spans="2:12" s="37" customFormat="1">
      <c r="B123" s="70"/>
      <c r="C123" s="38"/>
      <c r="D123" s="51"/>
      <c r="E123" s="71"/>
      <c r="F123" s="72"/>
      <c r="G123" s="51"/>
      <c r="H123" s="51"/>
      <c r="I123" s="51"/>
      <c r="J123" s="73"/>
      <c r="K123" s="71"/>
      <c r="L123" s="71"/>
    </row>
    <row r="124" spans="2:12" s="37" customFormat="1">
      <c r="B124" s="70"/>
      <c r="C124" s="38"/>
      <c r="D124" s="51"/>
      <c r="E124" s="71"/>
      <c r="F124" s="72"/>
      <c r="G124" s="51"/>
      <c r="H124" s="51"/>
      <c r="I124" s="51"/>
      <c r="J124" s="73"/>
      <c r="K124" s="71"/>
      <c r="L124" s="71"/>
    </row>
    <row r="125" spans="2:12" s="37" customFormat="1">
      <c r="B125" s="70"/>
      <c r="C125" s="38"/>
      <c r="D125" s="51"/>
      <c r="E125" s="71"/>
      <c r="F125" s="72"/>
      <c r="G125" s="51"/>
      <c r="H125" s="51"/>
      <c r="I125" s="51"/>
      <c r="J125" s="73"/>
      <c r="K125" s="71"/>
      <c r="L125" s="71"/>
    </row>
    <row r="126" spans="2:12" s="37" customFormat="1">
      <c r="B126" s="70"/>
      <c r="C126" s="38"/>
      <c r="D126" s="51"/>
      <c r="E126" s="71"/>
      <c r="F126" s="72"/>
      <c r="G126" s="51"/>
      <c r="H126" s="51"/>
      <c r="I126" s="51"/>
      <c r="J126" s="73"/>
      <c r="K126" s="71"/>
      <c r="L126" s="71"/>
    </row>
    <row r="127" spans="2:12" s="37" customFormat="1">
      <c r="B127" s="70"/>
      <c r="C127" s="38"/>
      <c r="D127" s="51"/>
      <c r="E127" s="71"/>
      <c r="F127" s="72"/>
      <c r="G127" s="51"/>
      <c r="H127" s="51"/>
      <c r="I127" s="51"/>
      <c r="J127" s="73"/>
      <c r="K127" s="71"/>
      <c r="L127" s="71"/>
    </row>
    <row r="128" spans="2:12" s="37" customFormat="1">
      <c r="B128" s="70"/>
      <c r="C128" s="38"/>
      <c r="D128" s="51"/>
      <c r="E128" s="71"/>
      <c r="F128" s="72"/>
      <c r="G128" s="51"/>
      <c r="H128" s="51"/>
      <c r="I128" s="51"/>
      <c r="J128" s="73"/>
      <c r="K128" s="71"/>
      <c r="L128" s="71"/>
    </row>
    <row r="129" spans="2:12" s="37" customFormat="1">
      <c r="B129" s="70"/>
      <c r="C129" s="38"/>
      <c r="D129" s="51"/>
      <c r="E129" s="71"/>
      <c r="F129" s="72"/>
      <c r="G129" s="51"/>
      <c r="H129" s="51"/>
      <c r="I129" s="51"/>
      <c r="J129" s="73"/>
      <c r="K129" s="71"/>
      <c r="L129" s="71"/>
    </row>
    <row r="130" spans="2:12" s="37" customFormat="1">
      <c r="B130" s="70"/>
      <c r="C130" s="38"/>
      <c r="D130" s="51"/>
      <c r="E130" s="71"/>
      <c r="F130" s="72"/>
      <c r="G130" s="51"/>
      <c r="H130" s="51"/>
      <c r="I130" s="51"/>
      <c r="J130" s="73"/>
      <c r="K130" s="71"/>
      <c r="L130" s="71"/>
    </row>
    <row r="131" spans="2:12" s="37" customFormat="1">
      <c r="B131" s="70"/>
      <c r="C131" s="38"/>
      <c r="D131" s="51"/>
      <c r="E131" s="71"/>
      <c r="F131" s="72"/>
      <c r="G131" s="51"/>
      <c r="H131" s="51"/>
      <c r="I131" s="51"/>
      <c r="J131" s="73"/>
      <c r="K131" s="71"/>
      <c r="L131" s="71"/>
    </row>
  </sheetData>
  <sheetProtection sheet="1" objects="1" scenarios="1"/>
  <protectedRanges>
    <protectedRange sqref="D2 D17:E17 D20:E20 D23:E23 D26:E26 D29:E29 D32:E32 D42:E42 D45:E45 J6:J11 D6:D8 J16:J45" name="Range1"/>
  </protectedRanges>
  <mergeCells count="16">
    <mergeCell ref="B47:I47"/>
    <mergeCell ref="B40:I40"/>
    <mergeCell ref="J63:J64"/>
    <mergeCell ref="B66:C67"/>
    <mergeCell ref="B4:J4"/>
    <mergeCell ref="B13:J13"/>
    <mergeCell ref="B57:C58"/>
    <mergeCell ref="D56:F58"/>
    <mergeCell ref="B51:H51"/>
    <mergeCell ref="B52:H52"/>
    <mergeCell ref="D63:F67"/>
    <mergeCell ref="B48:H48"/>
    <mergeCell ref="B49:H49"/>
    <mergeCell ref="B37:H37"/>
    <mergeCell ref="B38:H38"/>
    <mergeCell ref="B39:H39"/>
  </mergeCells>
  <phoneticPr fontId="0" type="noConversion"/>
  <pageMargins left="0" right="0" top="0.5" bottom="0.5" header="0.25" footer="0.5"/>
  <pageSetup scale="25" orientation="portrait" r:id="rId1"/>
  <headerFooter alignWithMargins="0">
    <oddHeader>&amp;C&amp;"Arial,Bold"&amp;28Financial Solvency Worksheet</oddHeader>
    <oddFooter>&amp;L&amp;D&amp;RTexas Education Agency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M196"/>
  <sheetViews>
    <sheetView workbookViewId="0">
      <pane ySplit="1" topLeftCell="A2" activePane="bottomLeft" state="frozen"/>
      <selection pane="bottomLeft" sqref="A1:XFD1048576"/>
    </sheetView>
  </sheetViews>
  <sheetFormatPr defaultRowHeight="12.75"/>
  <cols>
    <col min="1" max="1" width="7" style="114" bestFit="1" customWidth="1"/>
    <col min="2" max="2" width="35.5703125" style="114" bestFit="1" customWidth="1"/>
    <col min="3" max="3" width="13" style="115" customWidth="1"/>
    <col min="4" max="5" width="13" style="116" customWidth="1"/>
    <col min="6" max="6" width="13" style="117" customWidth="1"/>
    <col min="7" max="13" width="13" style="118" customWidth="1"/>
    <col min="14" max="256" width="9.140625" style="114"/>
    <col min="257" max="257" width="7" style="114" bestFit="1" customWidth="1"/>
    <col min="258" max="258" width="35.5703125" style="114" bestFit="1" customWidth="1"/>
    <col min="259" max="269" width="13" style="114" customWidth="1"/>
    <col min="270" max="512" width="9.140625" style="114"/>
    <col min="513" max="513" width="7" style="114" bestFit="1" customWidth="1"/>
    <col min="514" max="514" width="35.5703125" style="114" bestFit="1" customWidth="1"/>
    <col min="515" max="525" width="13" style="114" customWidth="1"/>
    <col min="526" max="768" width="9.140625" style="114"/>
    <col min="769" max="769" width="7" style="114" bestFit="1" customWidth="1"/>
    <col min="770" max="770" width="35.5703125" style="114" bestFit="1" customWidth="1"/>
    <col min="771" max="781" width="13" style="114" customWidth="1"/>
    <col min="782" max="1024" width="9.140625" style="114"/>
    <col min="1025" max="1025" width="7" style="114" bestFit="1" customWidth="1"/>
    <col min="1026" max="1026" width="35.5703125" style="114" bestFit="1" customWidth="1"/>
    <col min="1027" max="1037" width="13" style="114" customWidth="1"/>
    <col min="1038" max="1280" width="9.140625" style="114"/>
    <col min="1281" max="1281" width="7" style="114" bestFit="1" customWidth="1"/>
    <col min="1282" max="1282" width="35.5703125" style="114" bestFit="1" customWidth="1"/>
    <col min="1283" max="1293" width="13" style="114" customWidth="1"/>
    <col min="1294" max="1536" width="9.140625" style="114"/>
    <col min="1537" max="1537" width="7" style="114" bestFit="1" customWidth="1"/>
    <col min="1538" max="1538" width="35.5703125" style="114" bestFit="1" customWidth="1"/>
    <col min="1539" max="1549" width="13" style="114" customWidth="1"/>
    <col min="1550" max="1792" width="9.140625" style="114"/>
    <col min="1793" max="1793" width="7" style="114" bestFit="1" customWidth="1"/>
    <col min="1794" max="1794" width="35.5703125" style="114" bestFit="1" customWidth="1"/>
    <col min="1795" max="1805" width="13" style="114" customWidth="1"/>
    <col min="1806" max="2048" width="9.140625" style="114"/>
    <col min="2049" max="2049" width="7" style="114" bestFit="1" customWidth="1"/>
    <col min="2050" max="2050" width="35.5703125" style="114" bestFit="1" customWidth="1"/>
    <col min="2051" max="2061" width="13" style="114" customWidth="1"/>
    <col min="2062" max="2304" width="9.140625" style="114"/>
    <col min="2305" max="2305" width="7" style="114" bestFit="1" customWidth="1"/>
    <col min="2306" max="2306" width="35.5703125" style="114" bestFit="1" customWidth="1"/>
    <col min="2307" max="2317" width="13" style="114" customWidth="1"/>
    <col min="2318" max="2560" width="9.140625" style="114"/>
    <col min="2561" max="2561" width="7" style="114" bestFit="1" customWidth="1"/>
    <col min="2562" max="2562" width="35.5703125" style="114" bestFit="1" customWidth="1"/>
    <col min="2563" max="2573" width="13" style="114" customWidth="1"/>
    <col min="2574" max="2816" width="9.140625" style="114"/>
    <col min="2817" max="2817" width="7" style="114" bestFit="1" customWidth="1"/>
    <col min="2818" max="2818" width="35.5703125" style="114" bestFit="1" customWidth="1"/>
    <col min="2819" max="2829" width="13" style="114" customWidth="1"/>
    <col min="2830" max="3072" width="9.140625" style="114"/>
    <col min="3073" max="3073" width="7" style="114" bestFit="1" customWidth="1"/>
    <col min="3074" max="3074" width="35.5703125" style="114" bestFit="1" customWidth="1"/>
    <col min="3075" max="3085" width="13" style="114" customWidth="1"/>
    <col min="3086" max="3328" width="9.140625" style="114"/>
    <col min="3329" max="3329" width="7" style="114" bestFit="1" customWidth="1"/>
    <col min="3330" max="3330" width="35.5703125" style="114" bestFit="1" customWidth="1"/>
    <col min="3331" max="3341" width="13" style="114" customWidth="1"/>
    <col min="3342" max="3584" width="9.140625" style="114"/>
    <col min="3585" max="3585" width="7" style="114" bestFit="1" customWidth="1"/>
    <col min="3586" max="3586" width="35.5703125" style="114" bestFit="1" customWidth="1"/>
    <col min="3587" max="3597" width="13" style="114" customWidth="1"/>
    <col min="3598" max="3840" width="9.140625" style="114"/>
    <col min="3841" max="3841" width="7" style="114" bestFit="1" customWidth="1"/>
    <col min="3842" max="3842" width="35.5703125" style="114" bestFit="1" customWidth="1"/>
    <col min="3843" max="3853" width="13" style="114" customWidth="1"/>
    <col min="3854" max="4096" width="9.140625" style="114"/>
    <col min="4097" max="4097" width="7" style="114" bestFit="1" customWidth="1"/>
    <col min="4098" max="4098" width="35.5703125" style="114" bestFit="1" customWidth="1"/>
    <col min="4099" max="4109" width="13" style="114" customWidth="1"/>
    <col min="4110" max="4352" width="9.140625" style="114"/>
    <col min="4353" max="4353" width="7" style="114" bestFit="1" customWidth="1"/>
    <col min="4354" max="4354" width="35.5703125" style="114" bestFit="1" customWidth="1"/>
    <col min="4355" max="4365" width="13" style="114" customWidth="1"/>
    <col min="4366" max="4608" width="9.140625" style="114"/>
    <col min="4609" max="4609" width="7" style="114" bestFit="1" customWidth="1"/>
    <col min="4610" max="4610" width="35.5703125" style="114" bestFit="1" customWidth="1"/>
    <col min="4611" max="4621" width="13" style="114" customWidth="1"/>
    <col min="4622" max="4864" width="9.140625" style="114"/>
    <col min="4865" max="4865" width="7" style="114" bestFit="1" customWidth="1"/>
    <col min="4866" max="4866" width="35.5703125" style="114" bestFit="1" customWidth="1"/>
    <col min="4867" max="4877" width="13" style="114" customWidth="1"/>
    <col min="4878" max="5120" width="9.140625" style="114"/>
    <col min="5121" max="5121" width="7" style="114" bestFit="1" customWidth="1"/>
    <col min="5122" max="5122" width="35.5703125" style="114" bestFit="1" customWidth="1"/>
    <col min="5123" max="5133" width="13" style="114" customWidth="1"/>
    <col min="5134" max="5376" width="9.140625" style="114"/>
    <col min="5377" max="5377" width="7" style="114" bestFit="1" customWidth="1"/>
    <col min="5378" max="5378" width="35.5703125" style="114" bestFit="1" customWidth="1"/>
    <col min="5379" max="5389" width="13" style="114" customWidth="1"/>
    <col min="5390" max="5632" width="9.140625" style="114"/>
    <col min="5633" max="5633" width="7" style="114" bestFit="1" customWidth="1"/>
    <col min="5634" max="5634" width="35.5703125" style="114" bestFit="1" customWidth="1"/>
    <col min="5635" max="5645" width="13" style="114" customWidth="1"/>
    <col min="5646" max="5888" width="9.140625" style="114"/>
    <col min="5889" max="5889" width="7" style="114" bestFit="1" customWidth="1"/>
    <col min="5890" max="5890" width="35.5703125" style="114" bestFit="1" customWidth="1"/>
    <col min="5891" max="5901" width="13" style="114" customWidth="1"/>
    <col min="5902" max="6144" width="9.140625" style="114"/>
    <col min="6145" max="6145" width="7" style="114" bestFit="1" customWidth="1"/>
    <col min="6146" max="6146" width="35.5703125" style="114" bestFit="1" customWidth="1"/>
    <col min="6147" max="6157" width="13" style="114" customWidth="1"/>
    <col min="6158" max="6400" width="9.140625" style="114"/>
    <col min="6401" max="6401" width="7" style="114" bestFit="1" customWidth="1"/>
    <col min="6402" max="6402" width="35.5703125" style="114" bestFit="1" customWidth="1"/>
    <col min="6403" max="6413" width="13" style="114" customWidth="1"/>
    <col min="6414" max="6656" width="9.140625" style="114"/>
    <col min="6657" max="6657" width="7" style="114" bestFit="1" customWidth="1"/>
    <col min="6658" max="6658" width="35.5703125" style="114" bestFit="1" customWidth="1"/>
    <col min="6659" max="6669" width="13" style="114" customWidth="1"/>
    <col min="6670" max="6912" width="9.140625" style="114"/>
    <col min="6913" max="6913" width="7" style="114" bestFit="1" customWidth="1"/>
    <col min="6914" max="6914" width="35.5703125" style="114" bestFit="1" customWidth="1"/>
    <col min="6915" max="6925" width="13" style="114" customWidth="1"/>
    <col min="6926" max="7168" width="9.140625" style="114"/>
    <col min="7169" max="7169" width="7" style="114" bestFit="1" customWidth="1"/>
    <col min="7170" max="7170" width="35.5703125" style="114" bestFit="1" customWidth="1"/>
    <col min="7171" max="7181" width="13" style="114" customWidth="1"/>
    <col min="7182" max="7424" width="9.140625" style="114"/>
    <col min="7425" max="7425" width="7" style="114" bestFit="1" customWidth="1"/>
    <col min="7426" max="7426" width="35.5703125" style="114" bestFit="1" customWidth="1"/>
    <col min="7427" max="7437" width="13" style="114" customWidth="1"/>
    <col min="7438" max="7680" width="9.140625" style="114"/>
    <col min="7681" max="7681" width="7" style="114" bestFit="1" customWidth="1"/>
    <col min="7682" max="7682" width="35.5703125" style="114" bestFit="1" customWidth="1"/>
    <col min="7683" max="7693" width="13" style="114" customWidth="1"/>
    <col min="7694" max="7936" width="9.140625" style="114"/>
    <col min="7937" max="7937" width="7" style="114" bestFit="1" customWidth="1"/>
    <col min="7938" max="7938" width="35.5703125" style="114" bestFit="1" customWidth="1"/>
    <col min="7939" max="7949" width="13" style="114" customWidth="1"/>
    <col min="7950" max="8192" width="9.140625" style="114"/>
    <col min="8193" max="8193" width="7" style="114" bestFit="1" customWidth="1"/>
    <col min="8194" max="8194" width="35.5703125" style="114" bestFit="1" customWidth="1"/>
    <col min="8195" max="8205" width="13" style="114" customWidth="1"/>
    <col min="8206" max="8448" width="9.140625" style="114"/>
    <col min="8449" max="8449" width="7" style="114" bestFit="1" customWidth="1"/>
    <col min="8450" max="8450" width="35.5703125" style="114" bestFit="1" customWidth="1"/>
    <col min="8451" max="8461" width="13" style="114" customWidth="1"/>
    <col min="8462" max="8704" width="9.140625" style="114"/>
    <col min="8705" max="8705" width="7" style="114" bestFit="1" customWidth="1"/>
    <col min="8706" max="8706" width="35.5703125" style="114" bestFit="1" customWidth="1"/>
    <col min="8707" max="8717" width="13" style="114" customWidth="1"/>
    <col min="8718" max="8960" width="9.140625" style="114"/>
    <col min="8961" max="8961" width="7" style="114" bestFit="1" customWidth="1"/>
    <col min="8962" max="8962" width="35.5703125" style="114" bestFit="1" customWidth="1"/>
    <col min="8963" max="8973" width="13" style="114" customWidth="1"/>
    <col min="8974" max="9216" width="9.140625" style="114"/>
    <col min="9217" max="9217" width="7" style="114" bestFit="1" customWidth="1"/>
    <col min="9218" max="9218" width="35.5703125" style="114" bestFit="1" customWidth="1"/>
    <col min="9219" max="9229" width="13" style="114" customWidth="1"/>
    <col min="9230" max="9472" width="9.140625" style="114"/>
    <col min="9473" max="9473" width="7" style="114" bestFit="1" customWidth="1"/>
    <col min="9474" max="9474" width="35.5703125" style="114" bestFit="1" customWidth="1"/>
    <col min="9475" max="9485" width="13" style="114" customWidth="1"/>
    <col min="9486" max="9728" width="9.140625" style="114"/>
    <col min="9729" max="9729" width="7" style="114" bestFit="1" customWidth="1"/>
    <col min="9730" max="9730" width="35.5703125" style="114" bestFit="1" customWidth="1"/>
    <col min="9731" max="9741" width="13" style="114" customWidth="1"/>
    <col min="9742" max="9984" width="9.140625" style="114"/>
    <col min="9985" max="9985" width="7" style="114" bestFit="1" customWidth="1"/>
    <col min="9986" max="9986" width="35.5703125" style="114" bestFit="1" customWidth="1"/>
    <col min="9987" max="9997" width="13" style="114" customWidth="1"/>
    <col min="9998" max="10240" width="9.140625" style="114"/>
    <col min="10241" max="10241" width="7" style="114" bestFit="1" customWidth="1"/>
    <col min="10242" max="10242" width="35.5703125" style="114" bestFit="1" customWidth="1"/>
    <col min="10243" max="10253" width="13" style="114" customWidth="1"/>
    <col min="10254" max="10496" width="9.140625" style="114"/>
    <col min="10497" max="10497" width="7" style="114" bestFit="1" customWidth="1"/>
    <col min="10498" max="10498" width="35.5703125" style="114" bestFit="1" customWidth="1"/>
    <col min="10499" max="10509" width="13" style="114" customWidth="1"/>
    <col min="10510" max="10752" width="9.140625" style="114"/>
    <col min="10753" max="10753" width="7" style="114" bestFit="1" customWidth="1"/>
    <col min="10754" max="10754" width="35.5703125" style="114" bestFit="1" customWidth="1"/>
    <col min="10755" max="10765" width="13" style="114" customWidth="1"/>
    <col min="10766" max="11008" width="9.140625" style="114"/>
    <col min="11009" max="11009" width="7" style="114" bestFit="1" customWidth="1"/>
    <col min="11010" max="11010" width="35.5703125" style="114" bestFit="1" customWidth="1"/>
    <col min="11011" max="11021" width="13" style="114" customWidth="1"/>
    <col min="11022" max="11264" width="9.140625" style="114"/>
    <col min="11265" max="11265" width="7" style="114" bestFit="1" customWidth="1"/>
    <col min="11266" max="11266" width="35.5703125" style="114" bestFit="1" customWidth="1"/>
    <col min="11267" max="11277" width="13" style="114" customWidth="1"/>
    <col min="11278" max="11520" width="9.140625" style="114"/>
    <col min="11521" max="11521" width="7" style="114" bestFit="1" customWidth="1"/>
    <col min="11522" max="11522" width="35.5703125" style="114" bestFit="1" customWidth="1"/>
    <col min="11523" max="11533" width="13" style="114" customWidth="1"/>
    <col min="11534" max="11776" width="9.140625" style="114"/>
    <col min="11777" max="11777" width="7" style="114" bestFit="1" customWidth="1"/>
    <col min="11778" max="11778" width="35.5703125" style="114" bestFit="1" customWidth="1"/>
    <col min="11779" max="11789" width="13" style="114" customWidth="1"/>
    <col min="11790" max="12032" width="9.140625" style="114"/>
    <col min="12033" max="12033" width="7" style="114" bestFit="1" customWidth="1"/>
    <col min="12034" max="12034" width="35.5703125" style="114" bestFit="1" customWidth="1"/>
    <col min="12035" max="12045" width="13" style="114" customWidth="1"/>
    <col min="12046" max="12288" width="9.140625" style="114"/>
    <col min="12289" max="12289" width="7" style="114" bestFit="1" customWidth="1"/>
    <col min="12290" max="12290" width="35.5703125" style="114" bestFit="1" customWidth="1"/>
    <col min="12291" max="12301" width="13" style="114" customWidth="1"/>
    <col min="12302" max="12544" width="9.140625" style="114"/>
    <col min="12545" max="12545" width="7" style="114" bestFit="1" customWidth="1"/>
    <col min="12546" max="12546" width="35.5703125" style="114" bestFit="1" customWidth="1"/>
    <col min="12547" max="12557" width="13" style="114" customWidth="1"/>
    <col min="12558" max="12800" width="9.140625" style="114"/>
    <col min="12801" max="12801" width="7" style="114" bestFit="1" customWidth="1"/>
    <col min="12802" max="12802" width="35.5703125" style="114" bestFit="1" customWidth="1"/>
    <col min="12803" max="12813" width="13" style="114" customWidth="1"/>
    <col min="12814" max="13056" width="9.140625" style="114"/>
    <col min="13057" max="13057" width="7" style="114" bestFit="1" customWidth="1"/>
    <col min="13058" max="13058" width="35.5703125" style="114" bestFit="1" customWidth="1"/>
    <col min="13059" max="13069" width="13" style="114" customWidth="1"/>
    <col min="13070" max="13312" width="9.140625" style="114"/>
    <col min="13313" max="13313" width="7" style="114" bestFit="1" customWidth="1"/>
    <col min="13314" max="13314" width="35.5703125" style="114" bestFit="1" customWidth="1"/>
    <col min="13315" max="13325" width="13" style="114" customWidth="1"/>
    <col min="13326" max="13568" width="9.140625" style="114"/>
    <col min="13569" max="13569" width="7" style="114" bestFit="1" customWidth="1"/>
    <col min="13570" max="13570" width="35.5703125" style="114" bestFit="1" customWidth="1"/>
    <col min="13571" max="13581" width="13" style="114" customWidth="1"/>
    <col min="13582" max="13824" width="9.140625" style="114"/>
    <col min="13825" max="13825" width="7" style="114" bestFit="1" customWidth="1"/>
    <col min="13826" max="13826" width="35.5703125" style="114" bestFit="1" customWidth="1"/>
    <col min="13827" max="13837" width="13" style="114" customWidth="1"/>
    <col min="13838" max="14080" width="9.140625" style="114"/>
    <col min="14081" max="14081" width="7" style="114" bestFit="1" customWidth="1"/>
    <col min="14082" max="14082" width="35.5703125" style="114" bestFit="1" customWidth="1"/>
    <col min="14083" max="14093" width="13" style="114" customWidth="1"/>
    <col min="14094" max="14336" width="9.140625" style="114"/>
    <col min="14337" max="14337" width="7" style="114" bestFit="1" customWidth="1"/>
    <col min="14338" max="14338" width="35.5703125" style="114" bestFit="1" customWidth="1"/>
    <col min="14339" max="14349" width="13" style="114" customWidth="1"/>
    <col min="14350" max="14592" width="9.140625" style="114"/>
    <col min="14593" max="14593" width="7" style="114" bestFit="1" customWidth="1"/>
    <col min="14594" max="14594" width="35.5703125" style="114" bestFit="1" customWidth="1"/>
    <col min="14595" max="14605" width="13" style="114" customWidth="1"/>
    <col min="14606" max="14848" width="9.140625" style="114"/>
    <col min="14849" max="14849" width="7" style="114" bestFit="1" customWidth="1"/>
    <col min="14850" max="14850" width="35.5703125" style="114" bestFit="1" customWidth="1"/>
    <col min="14851" max="14861" width="13" style="114" customWidth="1"/>
    <col min="14862" max="15104" width="9.140625" style="114"/>
    <col min="15105" max="15105" width="7" style="114" bestFit="1" customWidth="1"/>
    <col min="15106" max="15106" width="35.5703125" style="114" bestFit="1" customWidth="1"/>
    <col min="15107" max="15117" width="13" style="114" customWidth="1"/>
    <col min="15118" max="15360" width="9.140625" style="114"/>
    <col min="15361" max="15361" width="7" style="114" bestFit="1" customWidth="1"/>
    <col min="15362" max="15362" width="35.5703125" style="114" bestFit="1" customWidth="1"/>
    <col min="15363" max="15373" width="13" style="114" customWidth="1"/>
    <col min="15374" max="15616" width="9.140625" style="114"/>
    <col min="15617" max="15617" width="7" style="114" bestFit="1" customWidth="1"/>
    <col min="15618" max="15618" width="35.5703125" style="114" bestFit="1" customWidth="1"/>
    <col min="15619" max="15629" width="13" style="114" customWidth="1"/>
    <col min="15630" max="15872" width="9.140625" style="114"/>
    <col min="15873" max="15873" width="7" style="114" bestFit="1" customWidth="1"/>
    <col min="15874" max="15874" width="35.5703125" style="114" bestFit="1" customWidth="1"/>
    <col min="15875" max="15885" width="13" style="114" customWidth="1"/>
    <col min="15886" max="16128" width="9.140625" style="114"/>
    <col min="16129" max="16129" width="7" style="114" bestFit="1" customWidth="1"/>
    <col min="16130" max="16130" width="35.5703125" style="114" bestFit="1" customWidth="1"/>
    <col min="16131" max="16141" width="13" style="114" customWidth="1"/>
    <col min="16142" max="16384" width="9.140625" style="114"/>
  </cols>
  <sheetData>
    <row r="1" spans="1:13" s="141" customFormat="1" ht="60">
      <c r="A1" s="140" t="s">
        <v>19</v>
      </c>
      <c r="B1" s="140" t="s">
        <v>20</v>
      </c>
      <c r="C1" s="110" t="s">
        <v>432</v>
      </c>
      <c r="D1" s="111" t="s">
        <v>28</v>
      </c>
      <c r="E1" s="111" t="s">
        <v>29</v>
      </c>
      <c r="F1" s="112" t="s">
        <v>433</v>
      </c>
      <c r="G1" s="113" t="s">
        <v>30</v>
      </c>
      <c r="H1" s="113" t="s">
        <v>31</v>
      </c>
      <c r="I1" s="113" t="s">
        <v>32</v>
      </c>
      <c r="J1" s="113" t="s">
        <v>33</v>
      </c>
      <c r="K1" s="113" t="s">
        <v>34</v>
      </c>
      <c r="L1" s="113" t="s">
        <v>35</v>
      </c>
      <c r="M1" s="113" t="s">
        <v>429</v>
      </c>
    </row>
    <row r="2" spans="1:13">
      <c r="A2" s="114" t="s">
        <v>290</v>
      </c>
      <c r="B2" s="114" t="s">
        <v>291</v>
      </c>
      <c r="C2" s="115">
        <v>465</v>
      </c>
      <c r="D2" s="116">
        <v>633.24800000000005</v>
      </c>
      <c r="E2" s="116">
        <v>62.806100000000001</v>
      </c>
      <c r="F2" s="117">
        <v>10.082587519365157</v>
      </c>
      <c r="G2" s="118">
        <v>2544274</v>
      </c>
      <c r="H2" s="118">
        <v>3019657</v>
      </c>
      <c r="I2" s="118">
        <v>2736638</v>
      </c>
      <c r="J2" s="118">
        <v>2544274</v>
      </c>
      <c r="K2" s="118">
        <v>2903766</v>
      </c>
      <c r="L2" s="118">
        <v>2915445</v>
      </c>
      <c r="M2" s="118">
        <v>264053</v>
      </c>
    </row>
    <row r="3" spans="1:13">
      <c r="A3" s="114" t="s">
        <v>361</v>
      </c>
      <c r="B3" s="114" t="s">
        <v>362</v>
      </c>
      <c r="C3" s="115">
        <v>361</v>
      </c>
      <c r="D3" s="116">
        <v>533.79300000000001</v>
      </c>
      <c r="E3" s="116">
        <v>66.210300000000004</v>
      </c>
      <c r="F3" s="117">
        <v>8.0620839959945805</v>
      </c>
      <c r="G3" s="118">
        <v>2674559</v>
      </c>
      <c r="H3" s="118">
        <v>2940780</v>
      </c>
      <c r="I3" s="118">
        <v>2717372</v>
      </c>
      <c r="J3" s="118">
        <v>2764943</v>
      </c>
      <c r="K3" s="118">
        <v>3011595</v>
      </c>
      <c r="L3" s="118">
        <v>2938489</v>
      </c>
      <c r="M3" s="118">
        <v>873022</v>
      </c>
    </row>
    <row r="4" spans="1:13">
      <c r="A4" s="114" t="s">
        <v>318</v>
      </c>
      <c r="B4" s="114" t="s">
        <v>319</v>
      </c>
      <c r="C4" s="115">
        <v>152</v>
      </c>
      <c r="D4" s="116">
        <v>252.00200000000001</v>
      </c>
      <c r="E4" s="116">
        <v>24.9788</v>
      </c>
      <c r="F4" s="117">
        <v>10.0886351626179</v>
      </c>
      <c r="G4" s="118">
        <v>1322049</v>
      </c>
      <c r="H4" s="118">
        <v>1402443</v>
      </c>
      <c r="I4" s="118">
        <v>1331297</v>
      </c>
      <c r="J4" s="118">
        <v>1808368</v>
      </c>
      <c r="K4" s="118">
        <v>1401808</v>
      </c>
      <c r="L4" s="118">
        <v>1421534</v>
      </c>
      <c r="M4" s="118">
        <v>368438</v>
      </c>
    </row>
    <row r="5" spans="1:13">
      <c r="A5" s="114" t="s">
        <v>393</v>
      </c>
      <c r="B5" s="114" t="s">
        <v>394</v>
      </c>
      <c r="C5" s="115">
        <v>75</v>
      </c>
      <c r="D5" s="116">
        <v>104.93700000000001</v>
      </c>
      <c r="E5" s="116">
        <v>11.388400000000001</v>
      </c>
      <c r="F5" s="117">
        <v>9.2143760317516072</v>
      </c>
      <c r="G5" s="118">
        <v>574509</v>
      </c>
      <c r="H5" s="118">
        <v>646848</v>
      </c>
      <c r="I5" s="118">
        <v>648910</v>
      </c>
      <c r="J5" s="118">
        <v>545711</v>
      </c>
      <c r="K5" s="118">
        <v>647136</v>
      </c>
      <c r="L5" s="118">
        <v>653391</v>
      </c>
      <c r="M5" s="118">
        <v>-86555</v>
      </c>
    </row>
    <row r="6" spans="1:13">
      <c r="A6" s="114" t="s">
        <v>373</v>
      </c>
      <c r="B6" s="114" t="s">
        <v>374</v>
      </c>
      <c r="C6" s="115">
        <v>165</v>
      </c>
      <c r="D6" s="116">
        <v>240.65600000000001</v>
      </c>
      <c r="E6" s="116">
        <v>19.999200000000002</v>
      </c>
      <c r="F6" s="117">
        <v>12.033281331253249</v>
      </c>
      <c r="G6" s="118">
        <v>1072116</v>
      </c>
      <c r="H6" s="118">
        <v>1369008</v>
      </c>
      <c r="I6" s="118">
        <v>970597</v>
      </c>
      <c r="J6" s="118">
        <v>1035786</v>
      </c>
      <c r="K6" s="118">
        <v>1237495</v>
      </c>
      <c r="L6" s="118">
        <v>1305884</v>
      </c>
      <c r="M6" s="118">
        <v>592199.89</v>
      </c>
    </row>
    <row r="7" spans="1:13">
      <c r="A7" s="114" t="s">
        <v>274</v>
      </c>
      <c r="B7" s="114" t="s">
        <v>275</v>
      </c>
      <c r="C7" s="115">
        <v>395</v>
      </c>
      <c r="D7" s="116">
        <v>751.38</v>
      </c>
      <c r="E7" s="116">
        <v>52.055</v>
      </c>
      <c r="F7" s="117">
        <v>14.434348285467294</v>
      </c>
      <c r="G7" s="118">
        <v>3089792</v>
      </c>
      <c r="H7" s="118">
        <v>4816326</v>
      </c>
      <c r="I7" s="118">
        <v>3063133</v>
      </c>
      <c r="J7" s="118">
        <v>3262757</v>
      </c>
      <c r="K7" s="118">
        <v>4858504</v>
      </c>
      <c r="L7" s="118">
        <v>3432569</v>
      </c>
      <c r="M7" s="118">
        <v>1123901</v>
      </c>
    </row>
    <row r="8" spans="1:13">
      <c r="A8" s="114" t="s">
        <v>292</v>
      </c>
      <c r="B8" s="114" t="s">
        <v>293</v>
      </c>
      <c r="C8" s="115">
        <v>339</v>
      </c>
      <c r="D8" s="116">
        <v>470.33300000000003</v>
      </c>
      <c r="E8" s="116">
        <v>59.999699999999997</v>
      </c>
      <c r="F8" s="117">
        <v>7.8389225279459742</v>
      </c>
      <c r="G8" s="118">
        <v>2718249</v>
      </c>
      <c r="H8" s="118">
        <v>3035203</v>
      </c>
      <c r="I8" s="118">
        <v>3041289</v>
      </c>
      <c r="J8" s="118">
        <v>2895246</v>
      </c>
      <c r="K8" s="118">
        <v>3063552</v>
      </c>
      <c r="L8" s="118">
        <v>2870277</v>
      </c>
      <c r="M8" s="118">
        <v>206857</v>
      </c>
    </row>
    <row r="9" spans="1:13">
      <c r="A9" s="114" t="s">
        <v>156</v>
      </c>
      <c r="B9" s="114" t="s">
        <v>157</v>
      </c>
      <c r="C9" s="115">
        <v>1327</v>
      </c>
      <c r="D9" s="116">
        <v>1247.3399999999999</v>
      </c>
      <c r="E9" s="116">
        <v>53.219799999999999</v>
      </c>
      <c r="F9" s="117">
        <v>23.437517615624259</v>
      </c>
      <c r="G9" s="118">
        <v>4018854</v>
      </c>
      <c r="H9" s="118">
        <v>7181980</v>
      </c>
      <c r="I9" s="118">
        <v>4663396</v>
      </c>
      <c r="J9" s="118">
        <v>4018855</v>
      </c>
      <c r="K9" s="118">
        <v>7181980</v>
      </c>
      <c r="L9" s="118">
        <v>4663396</v>
      </c>
      <c r="M9" s="118">
        <v>139814</v>
      </c>
    </row>
    <row r="10" spans="1:13">
      <c r="A10" s="114" t="s">
        <v>192</v>
      </c>
      <c r="B10" s="114" t="s">
        <v>193</v>
      </c>
      <c r="C10" s="115">
        <v>695</v>
      </c>
      <c r="D10" s="116">
        <v>700.88400000000001</v>
      </c>
      <c r="E10" s="116">
        <v>35.269500000000001</v>
      </c>
      <c r="F10" s="117">
        <v>19.872240888019395</v>
      </c>
      <c r="G10" s="118">
        <v>3103202</v>
      </c>
      <c r="H10" s="118">
        <v>3596034</v>
      </c>
      <c r="I10" s="118">
        <v>3358807</v>
      </c>
      <c r="J10" s="118">
        <v>3103203</v>
      </c>
      <c r="K10" s="118">
        <v>3596034</v>
      </c>
      <c r="L10" s="118">
        <v>3785107</v>
      </c>
      <c r="M10" s="118">
        <v>979113</v>
      </c>
    </row>
    <row r="11" spans="1:13">
      <c r="A11" s="114" t="s">
        <v>258</v>
      </c>
      <c r="B11" s="114" t="s">
        <v>259</v>
      </c>
      <c r="C11" s="115">
        <v>616</v>
      </c>
      <c r="D11" s="116">
        <v>941.404</v>
      </c>
      <c r="E11" s="116">
        <v>69.646299999999997</v>
      </c>
      <c r="F11" s="117">
        <v>13.516927675985659</v>
      </c>
      <c r="G11" s="118">
        <v>4799470</v>
      </c>
      <c r="H11" s="118">
        <v>4894083</v>
      </c>
      <c r="I11" s="118">
        <v>4698958</v>
      </c>
      <c r="J11" s="118">
        <v>4533061</v>
      </c>
      <c r="K11" s="118">
        <v>4894081</v>
      </c>
      <c r="L11" s="118">
        <v>5207597</v>
      </c>
      <c r="M11" s="118">
        <v>1562136</v>
      </c>
    </row>
    <row r="12" spans="1:13">
      <c r="A12" s="114" t="s">
        <v>335</v>
      </c>
      <c r="B12" s="114" t="s">
        <v>336</v>
      </c>
      <c r="C12" s="115">
        <v>1624</v>
      </c>
      <c r="D12" s="116">
        <v>2430.6690000000003</v>
      </c>
      <c r="E12" s="116">
        <v>302.00310000000002</v>
      </c>
      <c r="F12" s="117">
        <v>8.0484902307294206</v>
      </c>
      <c r="G12" s="118">
        <v>15517760</v>
      </c>
      <c r="H12" s="118">
        <v>17008475</v>
      </c>
      <c r="I12" s="118">
        <v>15056223</v>
      </c>
      <c r="J12" s="118">
        <v>17059200</v>
      </c>
      <c r="K12" s="118">
        <v>17402781</v>
      </c>
      <c r="L12" s="118">
        <v>16775510</v>
      </c>
      <c r="M12" s="118">
        <v>2860386</v>
      </c>
    </row>
    <row r="13" spans="1:13">
      <c r="A13" s="114" t="s">
        <v>355</v>
      </c>
      <c r="B13" s="114" t="s">
        <v>356</v>
      </c>
      <c r="C13" s="115">
        <v>772</v>
      </c>
      <c r="D13" s="116">
        <v>989.99300000000005</v>
      </c>
      <c r="E13" s="116">
        <v>113.78930000000001</v>
      </c>
      <c r="F13" s="117">
        <v>8.7002292834211996</v>
      </c>
      <c r="G13" s="118">
        <v>7364355</v>
      </c>
      <c r="H13" s="118">
        <v>6830958</v>
      </c>
      <c r="I13" s="118">
        <v>6760520</v>
      </c>
      <c r="J13" s="118">
        <v>7019246</v>
      </c>
      <c r="K13" s="118">
        <v>6393000</v>
      </c>
      <c r="L13" s="118">
        <v>6848412</v>
      </c>
      <c r="M13" s="118">
        <v>830351</v>
      </c>
    </row>
    <row r="14" spans="1:13">
      <c r="A14" s="114" t="s">
        <v>214</v>
      </c>
      <c r="B14" s="114" t="s">
        <v>215</v>
      </c>
      <c r="C14" s="115">
        <v>581</v>
      </c>
      <c r="D14" s="116">
        <v>1602.73</v>
      </c>
      <c r="E14" s="116">
        <v>137.46440000000001</v>
      </c>
      <c r="F14" s="117">
        <v>11.659236864235394</v>
      </c>
      <c r="G14" s="118">
        <v>5526810</v>
      </c>
      <c r="H14" s="118">
        <v>8151450</v>
      </c>
      <c r="I14" s="118">
        <v>4949802</v>
      </c>
      <c r="J14" s="118">
        <v>6169118</v>
      </c>
      <c r="K14" s="118">
        <v>8239813</v>
      </c>
      <c r="L14" s="118">
        <v>5499359</v>
      </c>
      <c r="M14" s="118">
        <v>2262707</v>
      </c>
    </row>
    <row r="15" spans="1:13">
      <c r="A15" s="114" t="s">
        <v>76</v>
      </c>
      <c r="B15" s="114" t="s">
        <v>77</v>
      </c>
      <c r="C15" s="115">
        <v>509</v>
      </c>
      <c r="D15" s="116">
        <v>626.20600000000002</v>
      </c>
      <c r="E15" s="116">
        <v>53.703099999999999</v>
      </c>
      <c r="F15" s="117">
        <v>11.660518666520183</v>
      </c>
      <c r="G15" s="118">
        <v>2531538</v>
      </c>
      <c r="H15" s="118">
        <v>2366951</v>
      </c>
      <c r="I15" s="118">
        <v>2906431</v>
      </c>
      <c r="J15" s="118">
        <v>3123594</v>
      </c>
      <c r="K15" s="118">
        <v>3106710</v>
      </c>
      <c r="L15" s="118">
        <v>3279106</v>
      </c>
      <c r="M15" s="118">
        <v>445391</v>
      </c>
    </row>
    <row r="16" spans="1:13">
      <c r="A16" s="114" t="s">
        <v>160</v>
      </c>
      <c r="B16" s="114" t="s">
        <v>161</v>
      </c>
      <c r="C16" s="115">
        <v>197</v>
      </c>
      <c r="D16" s="116">
        <v>114.24900000000001</v>
      </c>
      <c r="E16" s="116">
        <v>19.7959</v>
      </c>
      <c r="F16" s="117">
        <v>5.7713465919710654</v>
      </c>
      <c r="G16" s="118">
        <v>1504865</v>
      </c>
      <c r="H16" s="118">
        <v>1412994</v>
      </c>
      <c r="I16" s="118">
        <v>1048501</v>
      </c>
      <c r="J16" s="118">
        <v>1732500</v>
      </c>
      <c r="K16" s="118">
        <v>1523287</v>
      </c>
      <c r="L16" s="118">
        <v>1059191</v>
      </c>
      <c r="M16" s="118">
        <v>-40430</v>
      </c>
    </row>
    <row r="17" spans="1:13">
      <c r="A17" s="114" t="s">
        <v>294</v>
      </c>
      <c r="B17" s="114" t="s">
        <v>295</v>
      </c>
      <c r="C17" s="115">
        <v>157</v>
      </c>
      <c r="D17" s="116">
        <v>193.529</v>
      </c>
      <c r="E17" s="116">
        <v>23.9986</v>
      </c>
      <c r="F17" s="117">
        <v>8.0641787437600527</v>
      </c>
      <c r="G17" s="118">
        <v>1584722</v>
      </c>
      <c r="H17" s="118">
        <v>1083725</v>
      </c>
      <c r="I17" s="118">
        <v>1309699</v>
      </c>
      <c r="J17" s="118">
        <v>1584720</v>
      </c>
      <c r="K17" s="118">
        <v>1083725</v>
      </c>
      <c r="L17" s="118">
        <v>1323605</v>
      </c>
      <c r="M17" s="118">
        <v>344668</v>
      </c>
    </row>
    <row r="18" spans="1:13">
      <c r="A18" s="114" t="s">
        <v>296</v>
      </c>
      <c r="B18" s="114" t="s">
        <v>297</v>
      </c>
      <c r="C18" s="115">
        <v>857</v>
      </c>
      <c r="D18" s="116">
        <v>1188.847</v>
      </c>
      <c r="E18" s="116">
        <v>103.0908</v>
      </c>
      <c r="F18" s="117">
        <v>11.532037776406817</v>
      </c>
      <c r="G18" s="118">
        <v>4686280</v>
      </c>
      <c r="H18" s="118">
        <v>8328464</v>
      </c>
      <c r="I18" s="118">
        <v>5126918</v>
      </c>
      <c r="J18" s="118">
        <v>4827747</v>
      </c>
      <c r="K18" s="118">
        <v>8328461</v>
      </c>
      <c r="L18" s="118">
        <v>6068593</v>
      </c>
      <c r="M18" s="118">
        <v>670896</v>
      </c>
    </row>
    <row r="19" spans="1:13">
      <c r="A19" s="114" t="s">
        <v>44</v>
      </c>
      <c r="B19" s="114" t="s">
        <v>45</v>
      </c>
      <c r="C19" s="115">
        <v>162</v>
      </c>
      <c r="D19" s="116">
        <v>224.316</v>
      </c>
      <c r="E19" s="116">
        <v>36.951700000000002</v>
      </c>
      <c r="F19" s="117">
        <v>6.0705190830191844</v>
      </c>
      <c r="G19" s="118">
        <v>1685628</v>
      </c>
      <c r="H19" s="118">
        <v>1961378</v>
      </c>
      <c r="I19" s="118">
        <v>1712273</v>
      </c>
      <c r="J19" s="118">
        <v>2647655</v>
      </c>
      <c r="K19" s="118">
        <v>2034926</v>
      </c>
      <c r="L19" s="118">
        <v>1679893</v>
      </c>
      <c r="M19" s="118">
        <v>336479</v>
      </c>
    </row>
    <row r="20" spans="1:13">
      <c r="A20" s="114" t="s">
        <v>327</v>
      </c>
      <c r="B20" s="114" t="s">
        <v>328</v>
      </c>
      <c r="C20" s="115">
        <v>360</v>
      </c>
      <c r="D20" s="116">
        <v>520.75900000000001</v>
      </c>
      <c r="E20" s="116">
        <v>45.952200000000005</v>
      </c>
      <c r="F20" s="117">
        <v>11.332623900487897</v>
      </c>
      <c r="G20" s="118">
        <v>2943562</v>
      </c>
      <c r="H20" s="118">
        <v>2523917</v>
      </c>
      <c r="I20" s="118">
        <v>3022548</v>
      </c>
      <c r="J20" s="118">
        <v>2870944</v>
      </c>
      <c r="K20" s="118">
        <v>2350525</v>
      </c>
      <c r="L20" s="118">
        <v>3240554</v>
      </c>
      <c r="M20" s="118">
        <v>576836</v>
      </c>
    </row>
    <row r="21" spans="1:13">
      <c r="A21" s="114" t="s">
        <v>349</v>
      </c>
      <c r="B21" s="114" t="s">
        <v>350</v>
      </c>
      <c r="C21" s="115">
        <v>1132</v>
      </c>
      <c r="D21" s="116">
        <v>1503.5020000000002</v>
      </c>
      <c r="E21" s="116">
        <v>124.9461</v>
      </c>
      <c r="F21" s="117">
        <v>12.033204717874348</v>
      </c>
      <c r="G21" s="118">
        <v>7001432</v>
      </c>
      <c r="H21" s="118">
        <v>9289260</v>
      </c>
      <c r="I21" s="118">
        <v>7865987</v>
      </c>
      <c r="J21" s="118">
        <v>7242272</v>
      </c>
      <c r="K21" s="118">
        <v>9289254</v>
      </c>
      <c r="L21" s="118">
        <v>8608798</v>
      </c>
      <c r="M21" s="118">
        <v>696349</v>
      </c>
    </row>
    <row r="22" spans="1:13">
      <c r="A22" s="114" t="s">
        <v>331</v>
      </c>
      <c r="B22" s="114" t="s">
        <v>332</v>
      </c>
      <c r="C22" s="115">
        <v>383</v>
      </c>
      <c r="D22" s="116">
        <v>635.54899999999998</v>
      </c>
      <c r="E22" s="116">
        <v>46.066600000000001</v>
      </c>
      <c r="F22" s="117">
        <v>13.796307954135967</v>
      </c>
      <c r="G22" s="118">
        <v>2944049</v>
      </c>
      <c r="H22" s="118">
        <v>3133024</v>
      </c>
      <c r="I22" s="118">
        <v>2948148</v>
      </c>
      <c r="J22" s="118">
        <v>3368788</v>
      </c>
      <c r="K22" s="118">
        <v>3210253</v>
      </c>
      <c r="L22" s="118">
        <v>3118269</v>
      </c>
      <c r="M22" s="118">
        <v>490477</v>
      </c>
    </row>
    <row r="23" spans="1:13">
      <c r="A23" s="114" t="s">
        <v>218</v>
      </c>
      <c r="B23" s="114" t="s">
        <v>219</v>
      </c>
      <c r="C23" s="115">
        <v>916</v>
      </c>
      <c r="D23" s="116">
        <v>1326.5130000000001</v>
      </c>
      <c r="E23" s="116">
        <v>145.3467</v>
      </c>
      <c r="F23" s="117">
        <v>9.1265436366976349</v>
      </c>
      <c r="G23" s="118">
        <v>4602180</v>
      </c>
      <c r="H23" s="118">
        <v>6527184</v>
      </c>
      <c r="I23" s="118">
        <v>5334612</v>
      </c>
      <c r="J23" s="118">
        <v>4750304</v>
      </c>
      <c r="K23" s="118">
        <v>7524406</v>
      </c>
      <c r="L23" s="118">
        <v>5894766</v>
      </c>
      <c r="M23" s="118">
        <v>1008507</v>
      </c>
    </row>
    <row r="24" spans="1:13">
      <c r="A24" s="114" t="s">
        <v>333</v>
      </c>
      <c r="B24" s="114" t="s">
        <v>334</v>
      </c>
      <c r="C24" s="115">
        <v>70</v>
      </c>
      <c r="D24" s="116">
        <v>122.524</v>
      </c>
      <c r="E24" s="116">
        <v>14.9209</v>
      </c>
      <c r="F24" s="117">
        <v>8.2115690072314678</v>
      </c>
      <c r="G24" s="118">
        <v>789691</v>
      </c>
      <c r="H24" s="118">
        <v>1057240</v>
      </c>
      <c r="I24" s="118">
        <v>699226</v>
      </c>
      <c r="J24" s="118">
        <v>824559</v>
      </c>
      <c r="K24" s="118">
        <v>1096563</v>
      </c>
      <c r="L24" s="118">
        <v>748643</v>
      </c>
      <c r="M24" s="118">
        <v>169263</v>
      </c>
    </row>
    <row r="25" spans="1:13">
      <c r="A25" s="114" t="s">
        <v>329</v>
      </c>
      <c r="B25" s="114" t="s">
        <v>330</v>
      </c>
      <c r="C25" s="115">
        <v>683</v>
      </c>
      <c r="D25" s="116">
        <v>971.39600000000007</v>
      </c>
      <c r="E25" s="116">
        <v>84.294799999999995</v>
      </c>
      <c r="F25" s="117">
        <v>11.523795062091613</v>
      </c>
      <c r="G25" s="118">
        <v>5027848</v>
      </c>
      <c r="H25" s="118">
        <v>5183553</v>
      </c>
      <c r="I25" s="118">
        <v>5025822</v>
      </c>
      <c r="J25" s="118">
        <v>5273685</v>
      </c>
      <c r="K25" s="118">
        <v>5183554</v>
      </c>
      <c r="L25" s="118">
        <v>5752162</v>
      </c>
      <c r="M25" s="118">
        <v>1576903</v>
      </c>
    </row>
    <row r="26" spans="1:13">
      <c r="A26" s="114" t="s">
        <v>240</v>
      </c>
      <c r="B26" s="114" t="s">
        <v>241</v>
      </c>
      <c r="C26" s="115">
        <v>221</v>
      </c>
      <c r="D26" s="116">
        <v>305.65199999999999</v>
      </c>
      <c r="E26" s="116">
        <v>23.288700000000002</v>
      </c>
      <c r="F26" s="117">
        <v>13.124476677530303</v>
      </c>
      <c r="G26" s="118">
        <v>1040209</v>
      </c>
      <c r="H26" s="118">
        <v>1249904</v>
      </c>
      <c r="I26" s="118">
        <v>1050925</v>
      </c>
      <c r="J26" s="118">
        <v>1306546</v>
      </c>
      <c r="K26" s="118">
        <v>1589621</v>
      </c>
      <c r="L26" s="118">
        <v>1681738</v>
      </c>
      <c r="M26" s="118">
        <v>1207211</v>
      </c>
    </row>
    <row r="27" spans="1:13">
      <c r="A27" s="114" t="s">
        <v>222</v>
      </c>
      <c r="B27" s="114" t="s">
        <v>223</v>
      </c>
      <c r="C27" s="115">
        <v>728</v>
      </c>
      <c r="D27" s="116">
        <v>1073.1079999999999</v>
      </c>
      <c r="E27" s="116">
        <v>85.323399999999992</v>
      </c>
      <c r="F27" s="117">
        <v>12.576948410400899</v>
      </c>
      <c r="G27" s="118">
        <v>6376826</v>
      </c>
      <c r="H27" s="118">
        <v>6936172</v>
      </c>
      <c r="I27" s="118">
        <v>4617469</v>
      </c>
      <c r="J27" s="118">
        <v>4872373</v>
      </c>
      <c r="K27" s="118">
        <v>8185484</v>
      </c>
      <c r="L27" s="118">
        <v>4539463</v>
      </c>
      <c r="M27" s="118">
        <v>3235969</v>
      </c>
    </row>
    <row r="28" spans="1:13">
      <c r="A28" s="114" t="s">
        <v>337</v>
      </c>
      <c r="B28" s="114" t="s">
        <v>338</v>
      </c>
      <c r="C28" s="115">
        <v>756</v>
      </c>
      <c r="D28" s="116">
        <v>979.54700000000003</v>
      </c>
      <c r="E28" s="116">
        <v>68.976500000000001</v>
      </c>
      <c r="F28" s="117">
        <v>14.201169963683283</v>
      </c>
      <c r="G28" s="118">
        <v>4839068</v>
      </c>
      <c r="H28" s="118">
        <v>5627215</v>
      </c>
      <c r="I28" s="118">
        <v>4882685</v>
      </c>
      <c r="J28" s="118">
        <v>4995126</v>
      </c>
      <c r="K28" s="118">
        <v>5813497</v>
      </c>
      <c r="L28" s="118">
        <v>5009602</v>
      </c>
      <c r="M28" s="118">
        <v>798225</v>
      </c>
    </row>
    <row r="29" spans="1:13">
      <c r="A29" s="114" t="s">
        <v>178</v>
      </c>
      <c r="B29" s="114" t="s">
        <v>179</v>
      </c>
      <c r="C29" s="115">
        <v>904</v>
      </c>
      <c r="D29" s="116">
        <v>1229.202</v>
      </c>
      <c r="E29" s="116">
        <v>96.058000000000007</v>
      </c>
      <c r="F29" s="117">
        <v>12.796456307647462</v>
      </c>
      <c r="G29" s="118">
        <v>4944694</v>
      </c>
      <c r="H29" s="118">
        <v>7381300</v>
      </c>
      <c r="I29" s="118">
        <v>4670285</v>
      </c>
      <c r="J29" s="118">
        <v>5279010</v>
      </c>
      <c r="K29" s="118">
        <v>7405185</v>
      </c>
      <c r="L29" s="118">
        <v>5906150</v>
      </c>
      <c r="M29" s="118">
        <v>3005004</v>
      </c>
    </row>
    <row r="30" spans="1:13">
      <c r="A30" s="114" t="s">
        <v>86</v>
      </c>
      <c r="B30" s="114" t="s">
        <v>87</v>
      </c>
      <c r="C30" s="115">
        <v>638</v>
      </c>
      <c r="D30" s="116">
        <v>994.09700000000009</v>
      </c>
      <c r="E30" s="116">
        <v>51.007399999999997</v>
      </c>
      <c r="F30" s="117">
        <v>19.489270184326198</v>
      </c>
      <c r="G30" s="118">
        <v>4743799</v>
      </c>
      <c r="H30" s="118">
        <v>4841940</v>
      </c>
      <c r="I30" s="118">
        <v>4355434</v>
      </c>
      <c r="J30" s="118">
        <v>4991618</v>
      </c>
      <c r="K30" s="118">
        <v>4887359</v>
      </c>
      <c r="L30" s="118">
        <v>5387668</v>
      </c>
      <c r="M30" s="118">
        <v>1026240</v>
      </c>
    </row>
    <row r="31" spans="1:13">
      <c r="A31" s="114" t="s">
        <v>341</v>
      </c>
      <c r="B31" s="114" t="s">
        <v>342</v>
      </c>
      <c r="C31" s="115">
        <v>369</v>
      </c>
      <c r="D31" s="116">
        <v>497.01300000000003</v>
      </c>
      <c r="E31" s="116">
        <v>35</v>
      </c>
      <c r="F31" s="117">
        <v>14.20037142857143</v>
      </c>
      <c r="G31" s="118">
        <v>2385445</v>
      </c>
      <c r="H31" s="118">
        <v>2648441</v>
      </c>
      <c r="I31" s="118">
        <v>2059227</v>
      </c>
      <c r="J31" s="118">
        <v>2439445</v>
      </c>
      <c r="K31" s="118">
        <v>2932955</v>
      </c>
      <c r="L31" s="118">
        <v>2724161</v>
      </c>
      <c r="M31" s="118">
        <v>-99869</v>
      </c>
    </row>
    <row r="32" spans="1:13">
      <c r="A32" s="114" t="s">
        <v>100</v>
      </c>
      <c r="B32" s="114" t="s">
        <v>101</v>
      </c>
      <c r="C32" s="115">
        <v>123</v>
      </c>
      <c r="D32" s="116">
        <v>170.12100000000001</v>
      </c>
      <c r="E32" s="116">
        <v>11.000500000000001</v>
      </c>
      <c r="F32" s="117">
        <v>15.464842507158766</v>
      </c>
      <c r="G32" s="118">
        <v>621716</v>
      </c>
      <c r="H32" s="118">
        <v>817702</v>
      </c>
      <c r="I32" s="118">
        <v>549764</v>
      </c>
      <c r="J32" s="118">
        <v>478547</v>
      </c>
      <c r="K32" s="118">
        <v>872516</v>
      </c>
      <c r="L32" s="118">
        <v>572998</v>
      </c>
      <c r="M32" s="118">
        <v>-37207</v>
      </c>
    </row>
    <row r="33" spans="1:13">
      <c r="A33" s="114" t="s">
        <v>190</v>
      </c>
      <c r="B33" s="114" t="s">
        <v>191</v>
      </c>
      <c r="C33" s="115">
        <v>149</v>
      </c>
      <c r="D33" s="116">
        <v>200.74</v>
      </c>
      <c r="E33" s="116">
        <v>17.5001</v>
      </c>
      <c r="F33" s="117">
        <v>11.470791595476598</v>
      </c>
      <c r="G33" s="118">
        <v>652069</v>
      </c>
      <c r="H33" s="118">
        <v>1308090</v>
      </c>
      <c r="I33" s="118">
        <v>996509</v>
      </c>
      <c r="J33" s="118">
        <v>670069</v>
      </c>
      <c r="K33" s="118">
        <v>1318090</v>
      </c>
      <c r="L33" s="118">
        <v>1177281</v>
      </c>
      <c r="M33" s="118">
        <v>117232</v>
      </c>
    </row>
    <row r="34" spans="1:13">
      <c r="A34" s="114" t="s">
        <v>82</v>
      </c>
      <c r="B34" s="114" t="s">
        <v>83</v>
      </c>
      <c r="C34" s="115">
        <v>494</v>
      </c>
      <c r="D34" s="116">
        <v>683.23500000000001</v>
      </c>
      <c r="E34" s="116">
        <v>68.4876</v>
      </c>
      <c r="F34" s="117">
        <v>9.976039458237695</v>
      </c>
      <c r="G34" s="118">
        <v>3310635</v>
      </c>
      <c r="H34" s="118">
        <v>3316616</v>
      </c>
      <c r="I34" s="118">
        <v>3431325</v>
      </c>
      <c r="J34" s="118">
        <v>3783236</v>
      </c>
      <c r="K34" s="118">
        <v>3791166</v>
      </c>
      <c r="L34" s="118">
        <v>3916720</v>
      </c>
      <c r="M34" s="118">
        <v>753428</v>
      </c>
    </row>
    <row r="35" spans="1:13">
      <c r="A35" s="114" t="s">
        <v>134</v>
      </c>
      <c r="B35" s="114" t="s">
        <v>135</v>
      </c>
      <c r="C35" s="115">
        <v>32</v>
      </c>
      <c r="D35" s="116">
        <v>45.259</v>
      </c>
      <c r="E35" s="116">
        <v>8</v>
      </c>
      <c r="F35" s="117">
        <v>5.657375</v>
      </c>
      <c r="G35" s="118">
        <v>604365</v>
      </c>
      <c r="H35" s="118">
        <v>341705</v>
      </c>
      <c r="I35" s="118">
        <v>479999</v>
      </c>
      <c r="J35" s="118">
        <v>604365</v>
      </c>
      <c r="K35" s="118">
        <v>341705</v>
      </c>
      <c r="L35" s="118">
        <v>431068</v>
      </c>
      <c r="M35" s="118">
        <v>159954</v>
      </c>
    </row>
    <row r="36" spans="1:13">
      <c r="A36" s="114" t="s">
        <v>186</v>
      </c>
      <c r="B36" s="114" t="s">
        <v>187</v>
      </c>
      <c r="C36" s="115">
        <v>417</v>
      </c>
      <c r="D36" s="116">
        <v>563.20500000000004</v>
      </c>
      <c r="E36" s="116">
        <v>38.9572</v>
      </c>
      <c r="F36" s="117">
        <v>14.457019498321236</v>
      </c>
      <c r="G36" s="118">
        <v>2463880</v>
      </c>
      <c r="H36" s="118">
        <v>2963303</v>
      </c>
      <c r="I36" s="118">
        <v>2246742</v>
      </c>
      <c r="J36" s="118">
        <v>2842953</v>
      </c>
      <c r="K36" s="118">
        <v>3173761</v>
      </c>
      <c r="L36" s="118">
        <v>2995805</v>
      </c>
      <c r="M36" s="118">
        <v>858170</v>
      </c>
    </row>
    <row r="37" spans="1:13">
      <c r="A37" s="114" t="s">
        <v>399</v>
      </c>
      <c r="B37" s="114" t="s">
        <v>400</v>
      </c>
      <c r="C37" s="115">
        <v>269</v>
      </c>
      <c r="D37" s="116">
        <v>841.24200000000008</v>
      </c>
      <c r="E37" s="116">
        <v>100.52419999999999</v>
      </c>
      <c r="F37" s="117">
        <v>8.3685520501530988</v>
      </c>
      <c r="G37" s="118">
        <v>5246284</v>
      </c>
      <c r="H37" s="118">
        <v>5668806</v>
      </c>
      <c r="I37" s="118">
        <v>5404742</v>
      </c>
      <c r="J37" s="118">
        <v>6178496</v>
      </c>
      <c r="K37" s="118">
        <v>5892506</v>
      </c>
      <c r="L37" s="118">
        <v>5942859</v>
      </c>
      <c r="M37" s="118">
        <v>2700182</v>
      </c>
    </row>
    <row r="38" spans="1:13">
      <c r="A38" s="114" t="s">
        <v>286</v>
      </c>
      <c r="B38" s="114" t="s">
        <v>287</v>
      </c>
      <c r="C38" s="115">
        <v>550</v>
      </c>
      <c r="D38" s="116">
        <v>803.71500000000003</v>
      </c>
      <c r="E38" s="116">
        <v>73.543800000000005</v>
      </c>
      <c r="F38" s="117">
        <v>10.928385533518801</v>
      </c>
      <c r="G38" s="118">
        <v>4110191</v>
      </c>
      <c r="H38" s="118">
        <v>4392203</v>
      </c>
      <c r="I38" s="118">
        <v>4025349</v>
      </c>
      <c r="J38" s="118">
        <v>3971715</v>
      </c>
      <c r="K38" s="118">
        <v>4463000</v>
      </c>
      <c r="L38" s="118">
        <v>4109960</v>
      </c>
      <c r="M38" s="118">
        <v>527434</v>
      </c>
    </row>
    <row r="39" spans="1:13">
      <c r="A39" s="114" t="s">
        <v>260</v>
      </c>
      <c r="B39" s="114" t="s">
        <v>261</v>
      </c>
      <c r="C39" s="115">
        <v>1354</v>
      </c>
      <c r="D39" s="116">
        <v>1722.4549999999999</v>
      </c>
      <c r="E39" s="116">
        <v>139.38589999999999</v>
      </c>
      <c r="F39" s="117">
        <v>12.357455094094885</v>
      </c>
      <c r="G39" s="118">
        <v>9391034</v>
      </c>
      <c r="H39" s="118">
        <v>10942932</v>
      </c>
      <c r="I39" s="118">
        <v>9372517</v>
      </c>
      <c r="J39" s="118">
        <v>9391034</v>
      </c>
      <c r="K39" s="118">
        <v>10942932</v>
      </c>
      <c r="L39" s="118">
        <v>10570669</v>
      </c>
      <c r="M39" s="118">
        <v>6839319</v>
      </c>
    </row>
    <row r="40" spans="1:13">
      <c r="A40" s="114" t="s">
        <v>110</v>
      </c>
      <c r="B40" s="114" t="s">
        <v>111</v>
      </c>
      <c r="C40" s="115">
        <v>1715</v>
      </c>
      <c r="D40" s="116">
        <v>2819.828</v>
      </c>
      <c r="E40" s="116">
        <v>222.75080000000003</v>
      </c>
      <c r="F40" s="117">
        <v>12.659115028992037</v>
      </c>
      <c r="G40" s="118">
        <v>12680026</v>
      </c>
      <c r="H40" s="118">
        <v>12904934</v>
      </c>
      <c r="I40" s="118">
        <v>14096774</v>
      </c>
      <c r="J40" s="118">
        <v>15373399</v>
      </c>
      <c r="K40" s="118">
        <v>13863986</v>
      </c>
      <c r="L40" s="118">
        <v>17751955</v>
      </c>
      <c r="M40" s="118">
        <v>11672032</v>
      </c>
    </row>
    <row r="41" spans="1:13">
      <c r="A41" s="114" t="s">
        <v>112</v>
      </c>
      <c r="B41" s="114" t="s">
        <v>113</v>
      </c>
      <c r="C41" s="115">
        <v>225</v>
      </c>
      <c r="D41" s="116">
        <v>223.12300000000002</v>
      </c>
      <c r="E41" s="116">
        <v>23.689900000000002</v>
      </c>
      <c r="F41" s="117">
        <v>9.4184863591657209</v>
      </c>
      <c r="G41" s="118">
        <v>1130007</v>
      </c>
      <c r="H41" s="118">
        <v>1788540</v>
      </c>
      <c r="I41" s="118">
        <v>1262610</v>
      </c>
      <c r="J41" s="118">
        <v>1169818</v>
      </c>
      <c r="K41" s="118">
        <v>1365649</v>
      </c>
      <c r="L41" s="118">
        <v>1265316</v>
      </c>
      <c r="M41" s="118">
        <v>339195</v>
      </c>
    </row>
    <row r="42" spans="1:13">
      <c r="A42" s="114" t="s">
        <v>50</v>
      </c>
      <c r="B42" s="114" t="s">
        <v>51</v>
      </c>
      <c r="C42" s="115">
        <v>1424</v>
      </c>
      <c r="D42" s="116">
        <v>2058.7159999999999</v>
      </c>
      <c r="E42" s="116">
        <v>214.2492</v>
      </c>
      <c r="F42" s="117">
        <v>9.6089787033043752</v>
      </c>
      <c r="G42" s="118">
        <v>9410768</v>
      </c>
      <c r="H42" s="118">
        <v>14098673</v>
      </c>
      <c r="I42" s="118">
        <v>11132202</v>
      </c>
      <c r="J42" s="118">
        <v>11000000</v>
      </c>
      <c r="K42" s="118">
        <v>12068723</v>
      </c>
      <c r="L42" s="118">
        <v>12707971</v>
      </c>
      <c r="M42" s="118">
        <v>3109730</v>
      </c>
    </row>
    <row r="43" spans="1:13">
      <c r="A43" s="114" t="s">
        <v>238</v>
      </c>
      <c r="B43" s="114" t="s">
        <v>239</v>
      </c>
      <c r="C43" s="115">
        <v>3705</v>
      </c>
      <c r="D43" s="116">
        <v>5147.3420000000006</v>
      </c>
      <c r="E43" s="116">
        <v>396.92439999999999</v>
      </c>
      <c r="F43" s="117">
        <v>12.968066463034273</v>
      </c>
      <c r="G43" s="118">
        <v>23260850</v>
      </c>
      <c r="H43" s="118">
        <v>27914477</v>
      </c>
      <c r="I43" s="118">
        <v>24937353</v>
      </c>
      <c r="J43" s="118">
        <v>24164251</v>
      </c>
      <c r="K43" s="118">
        <v>29895249</v>
      </c>
      <c r="L43" s="118">
        <v>27618585</v>
      </c>
      <c r="M43" s="118">
        <v>1191352</v>
      </c>
    </row>
    <row r="44" spans="1:13">
      <c r="A44" s="114" t="s">
        <v>403</v>
      </c>
      <c r="B44" s="114" t="s">
        <v>404</v>
      </c>
      <c r="C44" s="115">
        <v>1511</v>
      </c>
      <c r="D44" s="116">
        <v>2008.5220000000002</v>
      </c>
      <c r="E44" s="116">
        <v>180.9752</v>
      </c>
      <c r="F44" s="117">
        <v>11.098327284622425</v>
      </c>
      <c r="G44" s="118">
        <v>12155481</v>
      </c>
      <c r="H44" s="118">
        <v>11870743</v>
      </c>
      <c r="I44" s="118">
        <v>11334095</v>
      </c>
      <c r="J44" s="118">
        <v>11504219</v>
      </c>
      <c r="K44" s="118">
        <v>11847505</v>
      </c>
      <c r="L44" s="118">
        <v>11116980</v>
      </c>
      <c r="M44" s="118">
        <v>-104585</v>
      </c>
    </row>
    <row r="45" spans="1:13">
      <c r="A45" s="114" t="s">
        <v>264</v>
      </c>
      <c r="B45" s="114" t="s">
        <v>265</v>
      </c>
      <c r="C45" s="115">
        <v>214</v>
      </c>
      <c r="D45" s="116">
        <v>318.87100000000004</v>
      </c>
      <c r="E45" s="116">
        <v>24.4998</v>
      </c>
      <c r="F45" s="117">
        <v>13.01524910407432</v>
      </c>
      <c r="G45" s="118">
        <v>1191979</v>
      </c>
      <c r="H45" s="118">
        <v>1264542</v>
      </c>
      <c r="I45" s="118">
        <v>1262528</v>
      </c>
      <c r="J45" s="118">
        <v>1624000</v>
      </c>
      <c r="K45" s="118">
        <v>1537009</v>
      </c>
      <c r="L45" s="118">
        <v>1573353</v>
      </c>
      <c r="M45" s="118">
        <v>886422</v>
      </c>
    </row>
    <row r="46" spans="1:13">
      <c r="A46" s="114" t="s">
        <v>46</v>
      </c>
      <c r="B46" s="114" t="s">
        <v>47</v>
      </c>
      <c r="C46" s="115">
        <v>495</v>
      </c>
      <c r="D46" s="116">
        <v>638.33600000000001</v>
      </c>
      <c r="E46" s="116">
        <v>55.476300000000002</v>
      </c>
      <c r="F46" s="117">
        <v>11.506463120287401</v>
      </c>
      <c r="G46" s="118">
        <v>3166809</v>
      </c>
      <c r="H46" s="118">
        <v>3011532</v>
      </c>
      <c r="I46" s="118">
        <v>3027518</v>
      </c>
      <c r="J46" s="118">
        <v>3333142</v>
      </c>
      <c r="K46" s="118">
        <v>3699009</v>
      </c>
      <c r="L46" s="118">
        <v>3903914</v>
      </c>
      <c r="M46" s="118">
        <v>-144214</v>
      </c>
    </row>
    <row r="47" spans="1:13">
      <c r="A47" s="114" t="s">
        <v>96</v>
      </c>
      <c r="B47" s="114" t="s">
        <v>97</v>
      </c>
      <c r="C47" s="115">
        <v>466</v>
      </c>
      <c r="D47" s="116">
        <v>577.09100000000001</v>
      </c>
      <c r="E47" s="116">
        <v>59.468699999999998</v>
      </c>
      <c r="F47" s="117">
        <v>9.7041132562171359</v>
      </c>
      <c r="G47" s="118">
        <v>2409075</v>
      </c>
      <c r="H47" s="118">
        <v>2126501</v>
      </c>
      <c r="I47" s="118">
        <v>2066859</v>
      </c>
      <c r="J47" s="118">
        <v>2410028</v>
      </c>
      <c r="K47" s="118">
        <v>2650000</v>
      </c>
      <c r="L47" s="118">
        <v>3089245</v>
      </c>
      <c r="M47" s="118">
        <v>-2665922</v>
      </c>
    </row>
    <row r="48" spans="1:13">
      <c r="A48" s="114" t="s">
        <v>397</v>
      </c>
      <c r="B48" s="114" t="s">
        <v>398</v>
      </c>
      <c r="C48" s="115">
        <v>1362</v>
      </c>
      <c r="D48" s="116">
        <v>1961.431</v>
      </c>
      <c r="E48" s="116">
        <v>192.6267</v>
      </c>
      <c r="F48" s="117">
        <v>10.18254997879318</v>
      </c>
      <c r="G48" s="118">
        <v>3047000</v>
      </c>
      <c r="H48" s="118">
        <v>10864553</v>
      </c>
      <c r="I48" s="118">
        <v>4557194</v>
      </c>
      <c r="J48" s="118">
        <v>4624607</v>
      </c>
      <c r="K48" s="118">
        <v>11430183</v>
      </c>
      <c r="L48" s="118">
        <v>5068967</v>
      </c>
      <c r="M48" s="118">
        <v>613020</v>
      </c>
    </row>
    <row r="49" spans="1:13">
      <c r="A49" s="114" t="s">
        <v>114</v>
      </c>
      <c r="B49" s="114" t="s">
        <v>115</v>
      </c>
      <c r="C49" s="115">
        <v>653</v>
      </c>
      <c r="D49" s="116">
        <v>1101.5820000000001</v>
      </c>
      <c r="E49" s="116">
        <v>124.4967</v>
      </c>
      <c r="F49" s="117">
        <v>8.8482827255662198</v>
      </c>
      <c r="G49" s="118">
        <v>9257562</v>
      </c>
      <c r="H49" s="118">
        <v>9071563</v>
      </c>
      <c r="I49" s="118">
        <v>5931574</v>
      </c>
      <c r="J49" s="118">
        <v>9977299</v>
      </c>
      <c r="K49" s="118">
        <v>9116868</v>
      </c>
      <c r="L49" s="118">
        <v>6262994</v>
      </c>
      <c r="M49" s="118">
        <v>2398611</v>
      </c>
    </row>
    <row r="50" spans="1:13">
      <c r="A50" s="114" t="s">
        <v>142</v>
      </c>
      <c r="B50" s="114" t="s">
        <v>143</v>
      </c>
      <c r="C50" s="115">
        <v>1344</v>
      </c>
      <c r="D50" s="116">
        <v>1974.7130000000002</v>
      </c>
      <c r="E50" s="116">
        <v>187.22559999999999</v>
      </c>
      <c r="F50" s="117">
        <v>10.547238198195121</v>
      </c>
      <c r="G50" s="118">
        <v>9753515</v>
      </c>
      <c r="H50" s="118">
        <v>8087600</v>
      </c>
      <c r="I50" s="118">
        <v>8805990</v>
      </c>
      <c r="J50" s="118">
        <v>11334283</v>
      </c>
      <c r="K50" s="118">
        <v>11361446</v>
      </c>
      <c r="L50" s="118">
        <v>11157699</v>
      </c>
      <c r="M50" s="118">
        <v>3392171</v>
      </c>
    </row>
    <row r="51" spans="1:13">
      <c r="A51" s="114" t="s">
        <v>68</v>
      </c>
      <c r="B51" s="114" t="s">
        <v>69</v>
      </c>
      <c r="C51" s="115">
        <v>1395</v>
      </c>
      <c r="D51" s="116">
        <v>1846.4690000000001</v>
      </c>
      <c r="E51" s="116">
        <v>134.0069</v>
      </c>
      <c r="F51" s="117">
        <v>13.778909891953324</v>
      </c>
      <c r="G51" s="118">
        <v>8445577</v>
      </c>
      <c r="H51" s="118">
        <v>10149188</v>
      </c>
      <c r="I51" s="118">
        <v>9398229</v>
      </c>
      <c r="J51" s="118">
        <v>8582371</v>
      </c>
      <c r="K51" s="118">
        <v>11512597</v>
      </c>
      <c r="L51" s="118">
        <v>10576070</v>
      </c>
      <c r="M51" s="118">
        <v>951148</v>
      </c>
    </row>
    <row r="52" spans="1:13">
      <c r="A52" s="114" t="s">
        <v>144</v>
      </c>
      <c r="B52" s="114" t="s">
        <v>145</v>
      </c>
      <c r="C52" s="115">
        <v>719</v>
      </c>
      <c r="D52" s="116">
        <v>1183.0940000000001</v>
      </c>
      <c r="E52" s="116">
        <v>80.988500000000002</v>
      </c>
      <c r="F52" s="117">
        <v>14.608172765269144</v>
      </c>
      <c r="G52" s="118">
        <v>4769678</v>
      </c>
      <c r="H52" s="118">
        <v>6752198</v>
      </c>
      <c r="I52" s="118">
        <v>4763928</v>
      </c>
      <c r="J52" s="118">
        <v>5464861</v>
      </c>
      <c r="K52" s="118">
        <v>7141752</v>
      </c>
      <c r="L52" s="118">
        <v>5642270</v>
      </c>
      <c r="M52" s="118">
        <v>105728</v>
      </c>
    </row>
    <row r="53" spans="1:13">
      <c r="A53" s="114" t="s">
        <v>212</v>
      </c>
      <c r="B53" s="114" t="s">
        <v>213</v>
      </c>
      <c r="C53" s="115">
        <v>122</v>
      </c>
      <c r="D53" s="116">
        <v>166.83200000000002</v>
      </c>
      <c r="E53" s="116">
        <v>26.140499999999999</v>
      </c>
      <c r="F53" s="117">
        <v>6.3821273502802178</v>
      </c>
      <c r="G53" s="118">
        <v>978962</v>
      </c>
      <c r="H53" s="118">
        <v>1098000</v>
      </c>
      <c r="I53" s="118">
        <v>1045794</v>
      </c>
      <c r="J53" s="118">
        <v>978963</v>
      </c>
      <c r="K53" s="118">
        <v>1098000</v>
      </c>
      <c r="L53" s="118">
        <v>942954</v>
      </c>
      <c r="M53" s="118">
        <v>-95939</v>
      </c>
    </row>
    <row r="54" spans="1:13">
      <c r="A54" s="114" t="s">
        <v>194</v>
      </c>
      <c r="B54" s="114" t="s">
        <v>195</v>
      </c>
      <c r="C54" s="115">
        <v>1059</v>
      </c>
      <c r="D54" s="116">
        <v>1493.11</v>
      </c>
      <c r="E54" s="116">
        <v>152.07040000000001</v>
      </c>
      <c r="F54" s="117">
        <v>9.8185445688312782</v>
      </c>
      <c r="G54" s="118">
        <v>5966752</v>
      </c>
      <c r="H54" s="118">
        <v>8650487</v>
      </c>
      <c r="I54" s="118">
        <v>6643514</v>
      </c>
      <c r="J54" s="118">
        <v>8376894</v>
      </c>
      <c r="K54" s="118">
        <v>9219461</v>
      </c>
      <c r="L54" s="118">
        <v>8559118</v>
      </c>
      <c r="M54" s="118">
        <v>6030333</v>
      </c>
    </row>
    <row r="55" spans="1:13">
      <c r="A55" s="114" t="s">
        <v>266</v>
      </c>
      <c r="B55" s="114" t="s">
        <v>267</v>
      </c>
      <c r="C55" s="115">
        <v>263</v>
      </c>
      <c r="D55" s="116">
        <v>416.875</v>
      </c>
      <c r="E55" s="116">
        <v>37.1526</v>
      </c>
      <c r="F55" s="117">
        <v>11.220614438827969</v>
      </c>
      <c r="G55" s="118">
        <v>1990525</v>
      </c>
      <c r="H55" s="118">
        <v>2031626</v>
      </c>
      <c r="I55" s="118">
        <v>1939941</v>
      </c>
      <c r="J55" s="118">
        <v>2363197</v>
      </c>
      <c r="K55" s="118">
        <v>2414426</v>
      </c>
      <c r="L55" s="118">
        <v>2217369</v>
      </c>
      <c r="M55" s="118">
        <v>7644139</v>
      </c>
    </row>
    <row r="56" spans="1:13">
      <c r="A56" s="114" t="s">
        <v>423</v>
      </c>
      <c r="B56" s="114" t="s">
        <v>424</v>
      </c>
      <c r="C56" s="115">
        <v>1583</v>
      </c>
      <c r="D56" s="116">
        <v>2034.6020000000001</v>
      </c>
      <c r="E56" s="116">
        <v>177.2509</v>
      </c>
      <c r="F56" s="117">
        <v>11.478655397518434</v>
      </c>
      <c r="G56" s="118">
        <v>14679777</v>
      </c>
      <c r="H56" s="118">
        <v>13582030</v>
      </c>
      <c r="I56" s="118">
        <v>14737946</v>
      </c>
      <c r="J56" s="118">
        <v>15602852</v>
      </c>
      <c r="K56" s="118">
        <v>13624689</v>
      </c>
      <c r="L56" s="118">
        <v>11750028</v>
      </c>
      <c r="M56" s="118">
        <v>865611</v>
      </c>
    </row>
    <row r="57" spans="1:13">
      <c r="A57" s="114" t="s">
        <v>40</v>
      </c>
      <c r="B57" s="114" t="s">
        <v>41</v>
      </c>
      <c r="C57" s="115">
        <v>1076</v>
      </c>
      <c r="D57" s="116">
        <v>1627.0890000000002</v>
      </c>
      <c r="E57" s="116">
        <v>152.46770000000001</v>
      </c>
      <c r="F57" s="117">
        <v>10.671696365853228</v>
      </c>
      <c r="G57" s="118">
        <v>7950525</v>
      </c>
      <c r="H57" s="118">
        <v>8846738</v>
      </c>
      <c r="I57" s="118">
        <v>7663022</v>
      </c>
      <c r="J57" s="118">
        <v>7950527</v>
      </c>
      <c r="K57" s="118">
        <v>8846742</v>
      </c>
      <c r="L57" s="118">
        <v>9546519</v>
      </c>
      <c r="M57" s="118">
        <v>2757986</v>
      </c>
    </row>
    <row r="58" spans="1:13">
      <c r="A58" s="114" t="s">
        <v>208</v>
      </c>
      <c r="B58" s="114" t="s">
        <v>209</v>
      </c>
      <c r="C58" s="115">
        <v>944</v>
      </c>
      <c r="D58" s="116">
        <v>1396.6030000000001</v>
      </c>
      <c r="E58" s="116">
        <v>133.84100000000001</v>
      </c>
      <c r="F58" s="117">
        <v>10.434792029348257</v>
      </c>
      <c r="G58" s="118">
        <v>6775760</v>
      </c>
      <c r="H58" s="118">
        <v>7581128</v>
      </c>
      <c r="I58" s="118">
        <v>6383824</v>
      </c>
      <c r="J58" s="118">
        <v>6775754</v>
      </c>
      <c r="K58" s="118">
        <v>7581130</v>
      </c>
      <c r="L58" s="118">
        <v>7957383</v>
      </c>
      <c r="M58" s="118">
        <v>1720249</v>
      </c>
    </row>
    <row r="59" spans="1:13">
      <c r="A59" s="114" t="s">
        <v>154</v>
      </c>
      <c r="B59" s="114" t="s">
        <v>155</v>
      </c>
      <c r="C59" s="115">
        <v>795</v>
      </c>
      <c r="D59" s="116">
        <v>1142.1880000000001</v>
      </c>
      <c r="E59" s="116">
        <v>106.499</v>
      </c>
      <c r="F59" s="117">
        <v>10.7248706560625</v>
      </c>
      <c r="G59" s="118">
        <v>5619571</v>
      </c>
      <c r="H59" s="118">
        <v>6802455</v>
      </c>
      <c r="I59" s="118">
        <v>6578500</v>
      </c>
      <c r="J59" s="118">
        <v>6894110</v>
      </c>
      <c r="K59" s="118">
        <v>6847978</v>
      </c>
      <c r="L59" s="118">
        <v>6670244</v>
      </c>
      <c r="M59" s="118">
        <v>-319509</v>
      </c>
    </row>
    <row r="60" spans="1:13">
      <c r="A60" s="114" t="s">
        <v>54</v>
      </c>
      <c r="B60" s="114" t="s">
        <v>55</v>
      </c>
      <c r="C60" s="115">
        <v>176</v>
      </c>
      <c r="D60" s="116">
        <v>230.10400000000001</v>
      </c>
      <c r="E60" s="116">
        <v>30.251000000000001</v>
      </c>
      <c r="F60" s="117">
        <v>7.606492347360418</v>
      </c>
      <c r="G60" s="118">
        <v>1487311</v>
      </c>
      <c r="H60" s="118">
        <v>1566829</v>
      </c>
      <c r="I60" s="118">
        <v>1552186</v>
      </c>
      <c r="J60" s="118">
        <v>1558352</v>
      </c>
      <c r="K60" s="118">
        <v>1590731</v>
      </c>
      <c r="L60" s="118">
        <v>1575023</v>
      </c>
      <c r="M60" s="118">
        <v>737362</v>
      </c>
    </row>
    <row r="61" spans="1:13">
      <c r="A61" s="114" t="s">
        <v>128</v>
      </c>
      <c r="B61" s="114" t="s">
        <v>129</v>
      </c>
      <c r="C61" s="115">
        <v>215</v>
      </c>
      <c r="D61" s="116">
        <v>299.35900000000004</v>
      </c>
      <c r="E61" s="116">
        <v>29.250900000000001</v>
      </c>
      <c r="F61" s="117">
        <v>10.234180828624078</v>
      </c>
      <c r="G61" s="118">
        <v>1378045</v>
      </c>
      <c r="H61" s="118">
        <v>1456795</v>
      </c>
      <c r="I61" s="118">
        <v>1328578</v>
      </c>
      <c r="J61" s="118">
        <v>1382438</v>
      </c>
      <c r="K61" s="118">
        <v>1478530</v>
      </c>
      <c r="L61" s="118">
        <v>1469674</v>
      </c>
      <c r="M61" s="118">
        <v>62784</v>
      </c>
    </row>
    <row r="62" spans="1:13">
      <c r="A62" s="114" t="s">
        <v>138</v>
      </c>
      <c r="B62" s="114" t="s">
        <v>139</v>
      </c>
      <c r="C62" s="115">
        <v>420</v>
      </c>
      <c r="D62" s="116">
        <v>446.26499999999999</v>
      </c>
      <c r="E62" s="116">
        <v>31.150500000000001</v>
      </c>
      <c r="F62" s="117">
        <v>14.326094284200897</v>
      </c>
      <c r="G62" s="118">
        <v>2618444</v>
      </c>
      <c r="H62" s="118">
        <v>2828619</v>
      </c>
      <c r="I62" s="118">
        <v>2727810</v>
      </c>
      <c r="J62" s="118">
        <v>2753644</v>
      </c>
      <c r="K62" s="118">
        <v>2885131</v>
      </c>
      <c r="L62" s="118">
        <v>2601102</v>
      </c>
      <c r="M62" s="118">
        <v>689824</v>
      </c>
    </row>
    <row r="63" spans="1:13">
      <c r="A63" s="114" t="s">
        <v>164</v>
      </c>
      <c r="B63" s="114" t="s">
        <v>165</v>
      </c>
      <c r="C63" s="115">
        <v>864</v>
      </c>
      <c r="D63" s="116">
        <v>1070.932</v>
      </c>
      <c r="E63" s="116">
        <v>99.731500000000011</v>
      </c>
      <c r="F63" s="117">
        <v>10.738151937953404</v>
      </c>
      <c r="G63" s="118">
        <v>3977072</v>
      </c>
      <c r="H63" s="118">
        <v>4221342</v>
      </c>
      <c r="I63" s="118">
        <v>4126099</v>
      </c>
      <c r="J63" s="118">
        <v>4721417</v>
      </c>
      <c r="K63" s="118">
        <v>5314084</v>
      </c>
      <c r="L63" s="118">
        <v>5557036</v>
      </c>
      <c r="M63" s="118">
        <v>4980881</v>
      </c>
    </row>
    <row r="64" spans="1:13">
      <c r="A64" s="114" t="s">
        <v>359</v>
      </c>
      <c r="B64" s="114" t="s">
        <v>360</v>
      </c>
      <c r="C64" s="115">
        <v>290</v>
      </c>
      <c r="D64" s="116">
        <v>405.01900000000001</v>
      </c>
      <c r="E64" s="116">
        <v>37.000900000000001</v>
      </c>
      <c r="F64" s="117">
        <v>10.946193200705929</v>
      </c>
      <c r="G64" s="118">
        <v>346123</v>
      </c>
      <c r="H64" s="118">
        <v>2122794</v>
      </c>
      <c r="I64" s="118">
        <v>2137118</v>
      </c>
      <c r="J64" s="118">
        <v>317654</v>
      </c>
      <c r="K64" s="118">
        <v>2214538</v>
      </c>
      <c r="L64" s="118">
        <v>2291547</v>
      </c>
      <c r="M64" s="118">
        <v>379139</v>
      </c>
    </row>
    <row r="65" spans="1:13">
      <c r="A65" s="114" t="s">
        <v>230</v>
      </c>
      <c r="B65" s="114" t="s">
        <v>231</v>
      </c>
      <c r="C65" s="115">
        <v>308</v>
      </c>
      <c r="D65" s="116">
        <v>448.82900000000001</v>
      </c>
      <c r="E65" s="116">
        <v>33.9998</v>
      </c>
      <c r="F65" s="117">
        <v>13.200930593709375</v>
      </c>
      <c r="G65" s="118">
        <v>2749500</v>
      </c>
      <c r="H65" s="118">
        <v>3365440</v>
      </c>
      <c r="I65" s="118">
        <v>2649584</v>
      </c>
      <c r="J65" s="118">
        <v>2926148</v>
      </c>
      <c r="K65" s="118">
        <v>3336275</v>
      </c>
      <c r="L65" s="118">
        <v>3698312</v>
      </c>
      <c r="M65" s="118">
        <v>1073823</v>
      </c>
    </row>
    <row r="66" spans="1:13">
      <c r="A66" s="114" t="s">
        <v>284</v>
      </c>
      <c r="B66" s="114" t="s">
        <v>285</v>
      </c>
      <c r="C66" s="115">
        <v>1082</v>
      </c>
      <c r="D66" s="116">
        <v>1629.78</v>
      </c>
      <c r="E66" s="116">
        <v>118.7449</v>
      </c>
      <c r="F66" s="117">
        <v>13.725052612785896</v>
      </c>
      <c r="G66" s="118">
        <v>7470803</v>
      </c>
      <c r="H66" s="118">
        <v>9913638</v>
      </c>
      <c r="I66" s="118">
        <v>6451962</v>
      </c>
      <c r="J66" s="118">
        <v>7470804</v>
      </c>
      <c r="K66" s="118">
        <v>9913638</v>
      </c>
      <c r="L66" s="118">
        <v>7674559</v>
      </c>
      <c r="M66" s="118">
        <v>2480222</v>
      </c>
    </row>
    <row r="67" spans="1:13">
      <c r="A67" s="114" t="s">
        <v>232</v>
      </c>
      <c r="B67" s="114" t="s">
        <v>233</v>
      </c>
      <c r="C67" s="115">
        <v>602</v>
      </c>
      <c r="D67" s="116">
        <v>750.42900000000009</v>
      </c>
      <c r="E67" s="116">
        <v>72.80449999999999</v>
      </c>
      <c r="F67" s="117">
        <v>10.307453522790489</v>
      </c>
      <c r="G67" s="118">
        <v>3073746</v>
      </c>
      <c r="H67" s="118">
        <v>3848114</v>
      </c>
      <c r="I67" s="118">
        <v>3025878</v>
      </c>
      <c r="J67" s="118">
        <v>3090955</v>
      </c>
      <c r="K67" s="118">
        <v>3973157</v>
      </c>
      <c r="L67" s="118">
        <v>3165419</v>
      </c>
      <c r="M67" s="118">
        <v>859810</v>
      </c>
    </row>
    <row r="68" spans="1:13">
      <c r="A68" s="114" t="s">
        <v>321</v>
      </c>
      <c r="B68" s="114" t="s">
        <v>322</v>
      </c>
      <c r="C68" s="115">
        <v>395</v>
      </c>
      <c r="D68" s="116">
        <v>491.38200000000001</v>
      </c>
      <c r="E68" s="116">
        <v>5.3E-3</v>
      </c>
      <c r="F68" s="117">
        <v>92713.584905660377</v>
      </c>
      <c r="G68" s="118">
        <v>2724395</v>
      </c>
      <c r="H68" s="118">
        <v>2961679</v>
      </c>
      <c r="I68" s="118">
        <v>2332406</v>
      </c>
      <c r="J68" s="118">
        <v>2724395</v>
      </c>
      <c r="K68" s="118">
        <v>2973387</v>
      </c>
      <c r="L68" s="118">
        <v>2556134</v>
      </c>
      <c r="M68" s="118">
        <v>724025</v>
      </c>
    </row>
    <row r="69" spans="1:13">
      <c r="A69" s="114" t="s">
        <v>306</v>
      </c>
      <c r="B69" s="114" t="s">
        <v>307</v>
      </c>
      <c r="C69" s="115">
        <v>191</v>
      </c>
      <c r="D69" s="116">
        <v>235.679</v>
      </c>
      <c r="E69" s="116">
        <v>22.500500000000002</v>
      </c>
      <c r="F69" s="117">
        <v>10.474389458012043</v>
      </c>
      <c r="G69" s="118">
        <v>1097330</v>
      </c>
      <c r="H69" s="118">
        <v>1435231</v>
      </c>
      <c r="I69" s="118">
        <v>1036427</v>
      </c>
      <c r="J69" s="118">
        <v>1150956</v>
      </c>
      <c r="K69" s="118">
        <v>1380739</v>
      </c>
      <c r="L69" s="118">
        <v>1075029</v>
      </c>
      <c r="M69" s="118">
        <v>64697</v>
      </c>
    </row>
    <row r="70" spans="1:13">
      <c r="A70" s="114" t="s">
        <v>421</v>
      </c>
      <c r="B70" s="114" t="s">
        <v>422</v>
      </c>
      <c r="C70" s="115">
        <v>896</v>
      </c>
      <c r="D70" s="116">
        <v>1349.357</v>
      </c>
      <c r="E70" s="116">
        <v>108.66070000000001</v>
      </c>
      <c r="F70" s="117">
        <v>12.418077557019235</v>
      </c>
      <c r="G70" s="118">
        <v>5447421</v>
      </c>
      <c r="H70" s="118">
        <v>8117364</v>
      </c>
      <c r="I70" s="118">
        <v>5459528</v>
      </c>
      <c r="J70" s="118">
        <v>5447421</v>
      </c>
      <c r="K70" s="118">
        <v>8117370</v>
      </c>
      <c r="L70" s="118">
        <v>5647878</v>
      </c>
      <c r="M70" s="118">
        <v>15705553</v>
      </c>
    </row>
    <row r="71" spans="1:13">
      <c r="A71" s="114" t="s">
        <v>166</v>
      </c>
      <c r="B71" s="114" t="s">
        <v>167</v>
      </c>
      <c r="C71" s="115">
        <v>699</v>
      </c>
      <c r="D71" s="116">
        <v>983.53499999999997</v>
      </c>
      <c r="E71" s="116">
        <v>76.642700000000005</v>
      </c>
      <c r="F71" s="117">
        <v>12.832729013983068</v>
      </c>
      <c r="G71" s="118">
        <v>3965698</v>
      </c>
      <c r="H71" s="118">
        <v>5622718</v>
      </c>
      <c r="I71" s="118">
        <v>4022316</v>
      </c>
      <c r="J71" s="118">
        <v>3965697</v>
      </c>
      <c r="K71" s="118">
        <v>5622718</v>
      </c>
      <c r="L71" s="118">
        <v>6057375</v>
      </c>
      <c r="M71" s="118">
        <v>3225028</v>
      </c>
    </row>
    <row r="72" spans="1:13">
      <c r="A72" s="114" t="s">
        <v>244</v>
      </c>
      <c r="B72" s="114" t="s">
        <v>245</v>
      </c>
      <c r="C72" s="115">
        <v>202</v>
      </c>
      <c r="D72" s="116">
        <v>487.26100000000002</v>
      </c>
      <c r="E72" s="116">
        <v>37.501300000000001</v>
      </c>
      <c r="F72" s="117">
        <v>12.993176236557133</v>
      </c>
      <c r="G72" s="118">
        <v>2182876</v>
      </c>
      <c r="H72" s="118">
        <v>2691702</v>
      </c>
      <c r="I72" s="118">
        <v>1992045</v>
      </c>
      <c r="J72" s="118">
        <v>1874689</v>
      </c>
      <c r="K72" s="118">
        <v>2717321</v>
      </c>
      <c r="L72" s="118">
        <v>1969415</v>
      </c>
      <c r="M72" s="118">
        <v>-49791</v>
      </c>
    </row>
    <row r="73" spans="1:13">
      <c r="A73" s="114" t="s">
        <v>126</v>
      </c>
      <c r="B73" s="114" t="s">
        <v>127</v>
      </c>
      <c r="C73" s="115">
        <v>666</v>
      </c>
      <c r="D73" s="116">
        <v>948.14100000000008</v>
      </c>
      <c r="E73" s="116">
        <v>73.683599999999998</v>
      </c>
      <c r="F73" s="117">
        <v>12.867734475514228</v>
      </c>
      <c r="G73" s="118">
        <v>6040920</v>
      </c>
      <c r="H73" s="118">
        <v>6640460</v>
      </c>
      <c r="I73" s="118">
        <v>4181386</v>
      </c>
      <c r="J73" s="118">
        <v>6040921</v>
      </c>
      <c r="K73" s="118">
        <v>6000948</v>
      </c>
      <c r="L73" s="118">
        <v>6215481</v>
      </c>
      <c r="M73" s="118">
        <v>5208698.8499999996</v>
      </c>
    </row>
    <row r="74" spans="1:13">
      <c r="A74" s="114" t="s">
        <v>385</v>
      </c>
      <c r="B74" s="114" t="s">
        <v>386</v>
      </c>
      <c r="C74" s="115">
        <v>65</v>
      </c>
      <c r="D74" s="116">
        <v>87.415000000000006</v>
      </c>
      <c r="E74" s="116">
        <v>5.7324999999999999</v>
      </c>
      <c r="F74" s="117">
        <v>15.249018752725688</v>
      </c>
      <c r="G74" s="118">
        <v>472504</v>
      </c>
      <c r="H74" s="118">
        <v>495267</v>
      </c>
      <c r="I74" s="118">
        <v>500217</v>
      </c>
      <c r="J74" s="118">
        <v>444525</v>
      </c>
      <c r="K74" s="118">
        <v>488690</v>
      </c>
      <c r="L74" s="118">
        <v>553322</v>
      </c>
      <c r="M74" s="118">
        <v>75787</v>
      </c>
    </row>
    <row r="75" spans="1:13">
      <c r="A75" s="114" t="s">
        <v>312</v>
      </c>
      <c r="B75" s="114" t="s">
        <v>313</v>
      </c>
      <c r="C75" s="115">
        <v>473</v>
      </c>
      <c r="D75" s="116">
        <v>748.82600000000002</v>
      </c>
      <c r="E75" s="116">
        <v>45.455400000000004</v>
      </c>
      <c r="F75" s="117">
        <v>16.473862291388922</v>
      </c>
      <c r="G75" s="118">
        <v>3965938</v>
      </c>
      <c r="H75" s="118">
        <v>4194361</v>
      </c>
      <c r="I75" s="118">
        <v>4047229</v>
      </c>
      <c r="J75" s="118">
        <v>4280629</v>
      </c>
      <c r="K75" s="118">
        <v>1044661</v>
      </c>
      <c r="L75" s="118">
        <v>4188716</v>
      </c>
      <c r="M75" s="118">
        <v>734602</v>
      </c>
    </row>
    <row r="76" spans="1:13">
      <c r="A76" s="114" t="s">
        <v>415</v>
      </c>
      <c r="B76" s="114" t="s">
        <v>416</v>
      </c>
      <c r="C76" s="115">
        <v>207</v>
      </c>
      <c r="D76" s="116">
        <v>314.03800000000001</v>
      </c>
      <c r="E76" s="116">
        <v>32.398700000000005</v>
      </c>
      <c r="F76" s="117">
        <v>9.6929197776453986</v>
      </c>
      <c r="G76" s="118">
        <v>1916416</v>
      </c>
      <c r="H76" s="118">
        <v>1668961</v>
      </c>
      <c r="I76" s="118">
        <v>1740991</v>
      </c>
      <c r="J76" s="118">
        <v>2130529</v>
      </c>
      <c r="K76" s="118">
        <v>2204435</v>
      </c>
      <c r="L76" s="118">
        <v>2169659</v>
      </c>
      <c r="M76" s="118">
        <v>177252</v>
      </c>
    </row>
    <row r="77" spans="1:13">
      <c r="A77" s="114" t="s">
        <v>88</v>
      </c>
      <c r="B77" s="114" t="s">
        <v>89</v>
      </c>
      <c r="C77" s="115">
        <v>892</v>
      </c>
      <c r="D77" s="116">
        <v>1214.674</v>
      </c>
      <c r="E77" s="116">
        <v>99.585700000000003</v>
      </c>
      <c r="F77" s="117">
        <v>12.197273303295553</v>
      </c>
      <c r="G77" s="118">
        <v>4529999</v>
      </c>
      <c r="H77" s="118">
        <v>5253708</v>
      </c>
      <c r="I77" s="118">
        <v>4712760</v>
      </c>
      <c r="J77" s="118">
        <v>5421030</v>
      </c>
      <c r="K77" s="118">
        <v>7131850</v>
      </c>
      <c r="L77" s="118">
        <v>6064728</v>
      </c>
      <c r="M77" s="118">
        <v>2471787</v>
      </c>
    </row>
    <row r="78" spans="1:13">
      <c r="A78" s="114" t="s">
        <v>282</v>
      </c>
      <c r="B78" s="114" t="s">
        <v>283</v>
      </c>
      <c r="C78" s="115">
        <v>333</v>
      </c>
      <c r="D78" s="116">
        <v>510.92600000000004</v>
      </c>
      <c r="E78" s="116">
        <v>48.106700000000004</v>
      </c>
      <c r="F78" s="117">
        <v>10.620682773917148</v>
      </c>
      <c r="G78" s="118">
        <v>1925723</v>
      </c>
      <c r="H78" s="118">
        <v>2759332</v>
      </c>
      <c r="I78" s="118">
        <v>1967871</v>
      </c>
      <c r="J78" s="118">
        <v>1925724</v>
      </c>
      <c r="K78" s="118">
        <v>2759330</v>
      </c>
      <c r="L78" s="118">
        <v>2744532</v>
      </c>
      <c r="M78" s="118">
        <v>999652</v>
      </c>
    </row>
    <row r="79" spans="1:13">
      <c r="A79" s="114" t="s">
        <v>132</v>
      </c>
      <c r="B79" s="114" t="s">
        <v>133</v>
      </c>
      <c r="C79" s="115">
        <v>449</v>
      </c>
      <c r="D79" s="116">
        <v>596.15300000000002</v>
      </c>
      <c r="E79" s="116">
        <v>45.0015</v>
      </c>
      <c r="F79" s="117">
        <v>13.247402864348967</v>
      </c>
      <c r="G79" s="118">
        <v>3318836</v>
      </c>
      <c r="H79" s="118">
        <v>3627165</v>
      </c>
      <c r="I79" s="118">
        <v>2872328</v>
      </c>
      <c r="J79" s="118">
        <v>3368837</v>
      </c>
      <c r="K79" s="118">
        <v>3627165</v>
      </c>
      <c r="L79" s="118">
        <v>3678123</v>
      </c>
      <c r="M79" s="118">
        <v>1214694</v>
      </c>
    </row>
    <row r="80" spans="1:13">
      <c r="A80" s="114" t="s">
        <v>172</v>
      </c>
      <c r="B80" s="114" t="s">
        <v>173</v>
      </c>
      <c r="C80" s="115">
        <v>1232</v>
      </c>
      <c r="D80" s="116">
        <v>1648.7730000000001</v>
      </c>
      <c r="E80" s="116">
        <v>94.829400000000007</v>
      </c>
      <c r="F80" s="117">
        <v>17.38672816658125</v>
      </c>
      <c r="G80" s="118">
        <v>6738149</v>
      </c>
      <c r="H80" s="118">
        <v>8037249</v>
      </c>
      <c r="I80" s="118">
        <v>6389068</v>
      </c>
      <c r="J80" s="118">
        <v>7559419</v>
      </c>
      <c r="K80" s="118">
        <v>9298704</v>
      </c>
      <c r="L80" s="118">
        <v>8211076</v>
      </c>
      <c r="M80" s="118">
        <v>3595786</v>
      </c>
    </row>
    <row r="81" spans="1:13">
      <c r="A81" s="114" t="s">
        <v>236</v>
      </c>
      <c r="B81" s="114" t="s">
        <v>237</v>
      </c>
      <c r="C81" s="115">
        <v>190</v>
      </c>
      <c r="D81" s="116">
        <v>267.62400000000002</v>
      </c>
      <c r="E81" s="116">
        <v>28.4</v>
      </c>
      <c r="F81" s="117">
        <v>9.4233802816901413</v>
      </c>
      <c r="G81" s="118">
        <v>1200059</v>
      </c>
      <c r="H81" s="118">
        <v>1536140</v>
      </c>
      <c r="I81" s="118">
        <v>1245618</v>
      </c>
      <c r="J81" s="118">
        <v>1200059</v>
      </c>
      <c r="K81" s="118">
        <v>1427334</v>
      </c>
      <c r="L81" s="118">
        <v>1206853</v>
      </c>
      <c r="M81" s="118">
        <v>-170459</v>
      </c>
    </row>
    <row r="82" spans="1:13">
      <c r="A82" s="114" t="s">
        <v>280</v>
      </c>
      <c r="B82" s="114" t="s">
        <v>281</v>
      </c>
      <c r="C82" s="115">
        <v>191</v>
      </c>
      <c r="D82" s="116">
        <v>282.41200000000003</v>
      </c>
      <c r="E82" s="116">
        <v>36.6</v>
      </c>
      <c r="F82" s="117">
        <v>7.7161748633879785</v>
      </c>
      <c r="G82" s="118">
        <v>1765002</v>
      </c>
      <c r="H82" s="118">
        <v>4751292</v>
      </c>
      <c r="I82" s="118">
        <v>1828401</v>
      </c>
      <c r="J82" s="118">
        <v>1928316</v>
      </c>
      <c r="K82" s="118">
        <v>2335350</v>
      </c>
      <c r="L82" s="118">
        <v>1951192</v>
      </c>
      <c r="M82" s="118">
        <v>181866</v>
      </c>
    </row>
    <row r="83" spans="1:13">
      <c r="A83" s="114" t="s">
        <v>136</v>
      </c>
      <c r="B83" s="114" t="s">
        <v>137</v>
      </c>
      <c r="C83" s="115">
        <v>162</v>
      </c>
      <c r="D83" s="116">
        <v>285.57100000000003</v>
      </c>
      <c r="E83" s="116">
        <v>34.815100000000001</v>
      </c>
      <c r="F83" s="117">
        <v>8.2025040858707872</v>
      </c>
      <c r="G83" s="118">
        <v>1586773</v>
      </c>
      <c r="H83" s="118">
        <v>1750071</v>
      </c>
      <c r="I83" s="118">
        <v>1406590</v>
      </c>
      <c r="J83" s="118">
        <v>1615595</v>
      </c>
      <c r="K83" s="118">
        <v>1814000</v>
      </c>
      <c r="L83" s="118">
        <v>1552630</v>
      </c>
      <c r="M83" s="118">
        <v>371864</v>
      </c>
    </row>
    <row r="84" spans="1:13">
      <c r="A84" s="114" t="s">
        <v>242</v>
      </c>
      <c r="B84" s="114" t="s">
        <v>243</v>
      </c>
      <c r="C84" s="115">
        <v>438</v>
      </c>
      <c r="D84" s="116">
        <v>566.72699999999998</v>
      </c>
      <c r="E84" s="116">
        <v>48.583199999999998</v>
      </c>
      <c r="F84" s="117">
        <v>11.665081756656623</v>
      </c>
      <c r="G84" s="118">
        <v>3356553</v>
      </c>
      <c r="H84" s="118">
        <v>2272135</v>
      </c>
      <c r="I84" s="118">
        <v>3692530</v>
      </c>
      <c r="J84" s="118">
        <v>3692008</v>
      </c>
      <c r="K84" s="118">
        <v>4208610</v>
      </c>
      <c r="L84" s="118">
        <v>3496802</v>
      </c>
      <c r="M84" s="118">
        <v>76663</v>
      </c>
    </row>
    <row r="85" spans="1:13">
      <c r="A85" s="114" t="s">
        <v>270</v>
      </c>
      <c r="B85" s="114" t="s">
        <v>271</v>
      </c>
      <c r="C85" s="115">
        <v>611</v>
      </c>
      <c r="D85" s="116">
        <v>803.81799999999998</v>
      </c>
      <c r="E85" s="116">
        <v>65.164600000000007</v>
      </c>
      <c r="F85" s="117">
        <v>12.335194261915211</v>
      </c>
      <c r="G85" s="118">
        <v>3081125</v>
      </c>
      <c r="H85" s="118">
        <v>5083161</v>
      </c>
      <c r="I85" s="118">
        <v>3966557</v>
      </c>
      <c r="J85" s="118">
        <v>3428610</v>
      </c>
      <c r="K85" s="118">
        <v>5083160</v>
      </c>
      <c r="L85" s="118">
        <v>5667020</v>
      </c>
      <c r="M85" s="118">
        <v>859314</v>
      </c>
    </row>
    <row r="86" spans="1:13">
      <c r="A86" s="114" t="s">
        <v>56</v>
      </c>
      <c r="B86" s="114" t="s">
        <v>57</v>
      </c>
      <c r="C86" s="115">
        <v>277</v>
      </c>
      <c r="D86" s="116">
        <v>353.84200000000004</v>
      </c>
      <c r="E86" s="116">
        <v>32.090899999999998</v>
      </c>
      <c r="F86" s="117">
        <v>11.026241083920988</v>
      </c>
      <c r="G86" s="118">
        <v>1445450</v>
      </c>
      <c r="H86" s="118">
        <v>2280078</v>
      </c>
      <c r="I86" s="118">
        <v>1409762</v>
      </c>
      <c r="J86" s="118">
        <v>1445450</v>
      </c>
      <c r="K86" s="118">
        <v>2320655</v>
      </c>
      <c r="L86" s="118">
        <v>1333536</v>
      </c>
      <c r="M86" s="118">
        <v>422787</v>
      </c>
    </row>
    <row r="87" spans="1:13">
      <c r="A87" s="114" t="s">
        <v>122</v>
      </c>
      <c r="B87" s="114" t="s">
        <v>123</v>
      </c>
      <c r="C87" s="115">
        <v>157</v>
      </c>
      <c r="D87" s="116">
        <v>221.38600000000002</v>
      </c>
      <c r="E87" s="116">
        <v>14.821099999999999</v>
      </c>
      <c r="F87" s="117">
        <v>14.937217885312158</v>
      </c>
      <c r="G87" s="118">
        <v>992570</v>
      </c>
      <c r="H87" s="118">
        <v>1195058</v>
      </c>
      <c r="I87" s="118">
        <v>1145204</v>
      </c>
      <c r="J87" s="118">
        <v>981500</v>
      </c>
      <c r="K87" s="118">
        <v>1177682</v>
      </c>
      <c r="L87" s="118">
        <v>1349684</v>
      </c>
      <c r="M87" s="118">
        <v>626142</v>
      </c>
    </row>
    <row r="88" spans="1:13">
      <c r="A88" s="114" t="s">
        <v>248</v>
      </c>
      <c r="B88" s="114" t="s">
        <v>249</v>
      </c>
      <c r="C88" s="115">
        <v>222</v>
      </c>
      <c r="D88" s="116">
        <v>271.15700000000004</v>
      </c>
      <c r="E88" s="116">
        <v>11.5001</v>
      </c>
      <c r="F88" s="117">
        <v>23.578664533351887</v>
      </c>
      <c r="G88" s="118">
        <v>2017766</v>
      </c>
      <c r="H88" s="118">
        <v>1774415</v>
      </c>
      <c r="I88" s="118">
        <v>1563776</v>
      </c>
      <c r="J88" s="118">
        <v>2063674</v>
      </c>
      <c r="K88" s="118">
        <v>1782714</v>
      </c>
      <c r="L88" s="118">
        <v>1507058</v>
      </c>
      <c r="M88" s="118">
        <v>100625</v>
      </c>
    </row>
    <row r="89" spans="1:13">
      <c r="A89" s="114" t="s">
        <v>347</v>
      </c>
      <c r="B89" s="114" t="s">
        <v>348</v>
      </c>
      <c r="C89" s="115">
        <v>615</v>
      </c>
      <c r="D89" s="116">
        <v>900.81400000000008</v>
      </c>
      <c r="E89" s="116">
        <v>68.712500000000006</v>
      </c>
      <c r="F89" s="117">
        <v>13.109899945424781</v>
      </c>
      <c r="G89" s="118">
        <v>4127724</v>
      </c>
      <c r="H89" s="118">
        <v>4798577</v>
      </c>
      <c r="I89" s="118">
        <v>4026171</v>
      </c>
      <c r="J89" s="118">
        <v>4712600</v>
      </c>
      <c r="K89" s="118">
        <v>5119325</v>
      </c>
      <c r="L89" s="118">
        <v>5673093</v>
      </c>
      <c r="M89" s="118">
        <v>1714969</v>
      </c>
    </row>
    <row r="90" spans="1:13">
      <c r="A90" s="114" t="s">
        <v>417</v>
      </c>
      <c r="B90" s="114" t="s">
        <v>418</v>
      </c>
      <c r="C90" s="115">
        <v>305</v>
      </c>
      <c r="D90" s="116">
        <v>395.79900000000004</v>
      </c>
      <c r="E90" s="116">
        <v>38.211400000000005</v>
      </c>
      <c r="F90" s="117">
        <v>10.358139194062504</v>
      </c>
      <c r="G90" s="118">
        <v>1980513</v>
      </c>
      <c r="H90" s="118">
        <v>2050051</v>
      </c>
      <c r="I90" s="118">
        <v>1991114</v>
      </c>
      <c r="J90" s="118">
        <v>2006645</v>
      </c>
      <c r="K90" s="118">
        <v>2260870</v>
      </c>
      <c r="L90" s="118">
        <v>2274399</v>
      </c>
      <c r="M90" s="118">
        <v>-2432312</v>
      </c>
    </row>
    <row r="91" spans="1:13">
      <c r="A91" s="114" t="s">
        <v>158</v>
      </c>
      <c r="B91" s="114" t="s">
        <v>159</v>
      </c>
      <c r="C91" s="115">
        <v>659</v>
      </c>
      <c r="D91" s="116">
        <v>938.971</v>
      </c>
      <c r="E91" s="116">
        <v>78.350999999999999</v>
      </c>
      <c r="F91" s="117">
        <v>11.984161019004224</v>
      </c>
      <c r="G91" s="118">
        <v>4999324</v>
      </c>
      <c r="H91" s="118">
        <v>5335918</v>
      </c>
      <c r="I91" s="118">
        <v>5073111</v>
      </c>
      <c r="J91" s="118">
        <v>5101640</v>
      </c>
      <c r="K91" s="118">
        <v>5378727</v>
      </c>
      <c r="L91" s="118">
        <v>5604567</v>
      </c>
      <c r="M91" s="118">
        <v>1696863</v>
      </c>
    </row>
    <row r="92" spans="1:13">
      <c r="A92" s="114" t="s">
        <v>162</v>
      </c>
      <c r="B92" s="114" t="s">
        <v>163</v>
      </c>
      <c r="C92" s="115">
        <v>797</v>
      </c>
      <c r="D92" s="116">
        <v>1163.586</v>
      </c>
      <c r="E92" s="116">
        <v>96.582599999999999</v>
      </c>
      <c r="F92" s="117">
        <v>12.047573786582676</v>
      </c>
      <c r="G92" s="118">
        <v>6464146</v>
      </c>
      <c r="H92" s="118">
        <v>6415995</v>
      </c>
      <c r="I92" s="118">
        <v>6536227</v>
      </c>
      <c r="J92" s="118">
        <v>6175926</v>
      </c>
      <c r="K92" s="118">
        <v>6537287</v>
      </c>
      <c r="L92" s="118">
        <v>6339840</v>
      </c>
      <c r="M92" s="118">
        <v>829473</v>
      </c>
    </row>
    <row r="93" spans="1:13">
      <c r="A93" s="114" t="s">
        <v>302</v>
      </c>
      <c r="B93" s="114" t="s">
        <v>303</v>
      </c>
      <c r="C93" s="115">
        <v>1251</v>
      </c>
      <c r="D93" s="116">
        <v>1973.2650000000001</v>
      </c>
      <c r="E93" s="116">
        <v>150.0394</v>
      </c>
      <c r="F93" s="117">
        <v>13.151645501115041</v>
      </c>
      <c r="G93" s="118">
        <v>9331296</v>
      </c>
      <c r="H93" s="118">
        <v>9342316</v>
      </c>
      <c r="I93" s="118">
        <v>10653491</v>
      </c>
      <c r="J93" s="118">
        <v>8730529</v>
      </c>
      <c r="K93" s="118">
        <v>9411058</v>
      </c>
      <c r="L93" s="118">
        <v>9877788</v>
      </c>
      <c r="M93" s="118">
        <v>-621238</v>
      </c>
    </row>
    <row r="94" spans="1:13">
      <c r="A94" s="114" t="s">
        <v>405</v>
      </c>
      <c r="B94" s="114" t="s">
        <v>406</v>
      </c>
      <c r="C94" s="115">
        <v>135</v>
      </c>
      <c r="D94" s="116">
        <v>179.822</v>
      </c>
      <c r="E94" s="116">
        <v>16.315899999999999</v>
      </c>
      <c r="F94" s="117">
        <v>11.0212737268554</v>
      </c>
      <c r="G94" s="118">
        <v>1580365</v>
      </c>
      <c r="H94" s="118">
        <v>1327878</v>
      </c>
      <c r="I94" s="118">
        <v>1403376</v>
      </c>
      <c r="J94" s="118">
        <v>1285264</v>
      </c>
      <c r="K94" s="118">
        <v>1327878</v>
      </c>
      <c r="L94" s="118">
        <v>1206183</v>
      </c>
      <c r="M94" s="118">
        <v>126912</v>
      </c>
    </row>
    <row r="95" spans="1:13">
      <c r="A95" s="114" t="s">
        <v>72</v>
      </c>
      <c r="B95" s="114" t="s">
        <v>73</v>
      </c>
      <c r="C95" s="115">
        <v>367</v>
      </c>
      <c r="D95" s="116">
        <v>465.73700000000002</v>
      </c>
      <c r="E95" s="116">
        <v>45.282999999999994</v>
      </c>
      <c r="F95" s="117">
        <v>10.285029702095711</v>
      </c>
      <c r="G95" s="118">
        <v>2335022</v>
      </c>
      <c r="H95" s="118">
        <v>2440953</v>
      </c>
      <c r="I95" s="118">
        <v>2269370</v>
      </c>
      <c r="J95" s="118">
        <v>2619039</v>
      </c>
      <c r="K95" s="118">
        <v>2835033</v>
      </c>
      <c r="L95" s="118">
        <v>2753650</v>
      </c>
      <c r="M95" s="118">
        <v>754127</v>
      </c>
    </row>
    <row r="96" spans="1:13">
      <c r="A96" s="114" t="s">
        <v>42</v>
      </c>
      <c r="B96" s="114" t="s">
        <v>43</v>
      </c>
      <c r="C96" s="115">
        <v>582</v>
      </c>
      <c r="D96" s="116">
        <v>684.78200000000004</v>
      </c>
      <c r="E96" s="116">
        <v>55.000500000000002</v>
      </c>
      <c r="F96" s="117">
        <v>12.450468632103345</v>
      </c>
      <c r="G96" s="118">
        <v>3079517</v>
      </c>
      <c r="H96" s="118">
        <v>3000224</v>
      </c>
      <c r="I96" s="118">
        <v>3354773</v>
      </c>
      <c r="J96" s="118">
        <v>3426202</v>
      </c>
      <c r="K96" s="118">
        <v>3325295</v>
      </c>
      <c r="L96" s="118">
        <v>4313643</v>
      </c>
      <c r="M96" s="118">
        <v>742623</v>
      </c>
    </row>
    <row r="97" spans="1:13">
      <c r="A97" s="114" t="s">
        <v>140</v>
      </c>
      <c r="B97" s="114" t="s">
        <v>141</v>
      </c>
      <c r="C97" s="115">
        <v>487</v>
      </c>
      <c r="D97" s="116">
        <v>1009.7</v>
      </c>
      <c r="E97" s="116">
        <v>112</v>
      </c>
      <c r="F97" s="117">
        <v>9.0151785714285726</v>
      </c>
      <c r="G97" s="118">
        <v>6213433</v>
      </c>
      <c r="H97" s="118">
        <v>6305375</v>
      </c>
      <c r="I97" s="118">
        <v>5548023</v>
      </c>
      <c r="J97" s="118">
        <v>6261837</v>
      </c>
      <c r="K97" s="118">
        <v>6312187</v>
      </c>
      <c r="L97" s="118">
        <v>6381876</v>
      </c>
      <c r="M97" s="118">
        <v>4404543</v>
      </c>
    </row>
    <row r="98" spans="1:13">
      <c r="A98" s="114" t="s">
        <v>198</v>
      </c>
      <c r="B98" s="114" t="s">
        <v>199</v>
      </c>
      <c r="C98" s="115">
        <v>696</v>
      </c>
      <c r="D98" s="116">
        <v>1035.0720000000001</v>
      </c>
      <c r="E98" s="116">
        <v>91.141500000000008</v>
      </c>
      <c r="F98" s="117">
        <v>11.356758447030169</v>
      </c>
      <c r="G98" s="118">
        <v>5853778</v>
      </c>
      <c r="H98" s="118">
        <v>5595653</v>
      </c>
      <c r="I98" s="118">
        <v>6328323</v>
      </c>
      <c r="J98" s="118">
        <v>5870742</v>
      </c>
      <c r="K98" s="118">
        <v>5376886</v>
      </c>
      <c r="L98" s="118">
        <v>7079116</v>
      </c>
      <c r="M98" s="118">
        <v>-1600895</v>
      </c>
    </row>
    <row r="99" spans="1:13">
      <c r="A99" s="114" t="s">
        <v>226</v>
      </c>
      <c r="B99" s="114" t="s">
        <v>227</v>
      </c>
      <c r="C99" s="115">
        <v>4963</v>
      </c>
      <c r="D99" s="116">
        <v>6948.3240000000005</v>
      </c>
      <c r="E99" s="116">
        <v>589.21979999999996</v>
      </c>
      <c r="F99" s="117">
        <v>11.792414307869493</v>
      </c>
      <c r="G99" s="118">
        <v>37856889</v>
      </c>
      <c r="H99" s="118">
        <v>42677053</v>
      </c>
      <c r="I99" s="118">
        <v>34575386</v>
      </c>
      <c r="J99" s="118">
        <v>35450685</v>
      </c>
      <c r="K99" s="118">
        <v>46462111</v>
      </c>
      <c r="L99" s="118">
        <v>42807902</v>
      </c>
      <c r="M99" s="118">
        <v>24364536</v>
      </c>
    </row>
    <row r="100" spans="1:13">
      <c r="A100" s="114" t="s">
        <v>389</v>
      </c>
      <c r="B100" s="114" t="s">
        <v>390</v>
      </c>
      <c r="C100" s="115">
        <v>1667</v>
      </c>
      <c r="D100" s="116">
        <v>2167.9180000000001</v>
      </c>
      <c r="E100" s="116">
        <v>141</v>
      </c>
      <c r="F100" s="117">
        <v>15.375304964539009</v>
      </c>
      <c r="G100" s="118">
        <v>11376889</v>
      </c>
      <c r="H100" s="118">
        <v>11767797</v>
      </c>
      <c r="I100" s="118">
        <v>8456915</v>
      </c>
      <c r="J100" s="118">
        <v>13979451</v>
      </c>
      <c r="K100" s="118">
        <v>14224772</v>
      </c>
      <c r="L100" s="118">
        <v>11600607</v>
      </c>
      <c r="M100" s="118">
        <v>8970938</v>
      </c>
    </row>
    <row r="101" spans="1:13">
      <c r="A101" s="114" t="s">
        <v>52</v>
      </c>
      <c r="B101" s="114" t="s">
        <v>53</v>
      </c>
      <c r="C101" s="115">
        <v>242</v>
      </c>
      <c r="D101" s="116">
        <v>321.33300000000003</v>
      </c>
      <c r="E101" s="116">
        <v>27.353999999999999</v>
      </c>
      <c r="F101" s="117">
        <v>11.747203334064489</v>
      </c>
      <c r="G101" s="118">
        <v>1286427</v>
      </c>
      <c r="H101" s="118">
        <v>1326602</v>
      </c>
      <c r="I101" s="118">
        <v>1111865</v>
      </c>
      <c r="J101" s="118">
        <v>2089022</v>
      </c>
      <c r="K101" s="118">
        <v>1816891</v>
      </c>
      <c r="L101" s="118">
        <v>1763646</v>
      </c>
      <c r="M101" s="118">
        <v>1133595</v>
      </c>
    </row>
    <row r="102" spans="1:13">
      <c r="A102" s="114" t="s">
        <v>60</v>
      </c>
      <c r="B102" s="114" t="s">
        <v>61</v>
      </c>
      <c r="C102" s="115">
        <v>475</v>
      </c>
      <c r="D102" s="116">
        <v>704.94</v>
      </c>
      <c r="E102" s="116">
        <v>61.323900000000002</v>
      </c>
      <c r="F102" s="117">
        <v>11.49535499209933</v>
      </c>
      <c r="G102" s="118">
        <v>3555516</v>
      </c>
      <c r="H102" s="118">
        <v>3531590</v>
      </c>
      <c r="I102" s="118">
        <v>2944784</v>
      </c>
      <c r="J102" s="118">
        <v>3711619</v>
      </c>
      <c r="K102" s="118">
        <v>3900168</v>
      </c>
      <c r="L102" s="118">
        <v>4245891</v>
      </c>
      <c r="M102" s="118">
        <v>3051546</v>
      </c>
    </row>
    <row r="103" spans="1:13">
      <c r="A103" s="114" t="s">
        <v>202</v>
      </c>
      <c r="B103" s="114" t="s">
        <v>203</v>
      </c>
      <c r="C103" s="115">
        <v>200</v>
      </c>
      <c r="D103" s="116">
        <v>315.99400000000003</v>
      </c>
      <c r="E103" s="116">
        <v>27.878499999999999</v>
      </c>
      <c r="F103" s="117">
        <v>11.334684434241442</v>
      </c>
      <c r="G103" s="118">
        <v>1843279</v>
      </c>
      <c r="H103" s="118">
        <v>1898997</v>
      </c>
      <c r="I103" s="118">
        <v>1949398</v>
      </c>
      <c r="J103" s="118">
        <v>1750000</v>
      </c>
      <c r="K103" s="118">
        <v>1801453</v>
      </c>
      <c r="L103" s="118">
        <v>1883331</v>
      </c>
      <c r="M103" s="118">
        <v>1087943</v>
      </c>
    </row>
    <row r="104" spans="1:13">
      <c r="A104" s="114" t="s">
        <v>210</v>
      </c>
      <c r="B104" s="114" t="s">
        <v>211</v>
      </c>
      <c r="C104" s="115">
        <v>220</v>
      </c>
      <c r="D104" s="116">
        <v>297.072</v>
      </c>
      <c r="E104" s="116">
        <v>18.200699999999998</v>
      </c>
      <c r="F104" s="117">
        <v>16.322009593037631</v>
      </c>
      <c r="G104" s="118">
        <v>1590000</v>
      </c>
      <c r="H104" s="118">
        <v>1964000</v>
      </c>
      <c r="I104" s="118">
        <v>1785159</v>
      </c>
      <c r="J104" s="118">
        <v>1670000</v>
      </c>
      <c r="K104" s="118">
        <v>1670000</v>
      </c>
      <c r="L104" s="118">
        <v>1525309</v>
      </c>
      <c r="M104" s="118">
        <v>76278</v>
      </c>
    </row>
    <row r="105" spans="1:13">
      <c r="A105" s="114" t="s">
        <v>98</v>
      </c>
      <c r="B105" s="114" t="s">
        <v>99</v>
      </c>
      <c r="C105" s="115">
        <v>412</v>
      </c>
      <c r="D105" s="116">
        <v>567.51700000000005</v>
      </c>
      <c r="E105" s="116">
        <v>47.532899999999998</v>
      </c>
      <c r="F105" s="117">
        <v>11.939456671063622</v>
      </c>
      <c r="G105" s="118">
        <v>3085583</v>
      </c>
      <c r="H105" s="118">
        <v>2928001</v>
      </c>
      <c r="I105" s="118">
        <v>2245282</v>
      </c>
      <c r="J105" s="118">
        <v>3761583</v>
      </c>
      <c r="K105" s="118">
        <v>3310042</v>
      </c>
      <c r="L105" s="118">
        <v>3106020</v>
      </c>
      <c r="M105" s="118">
        <v>5622124</v>
      </c>
    </row>
    <row r="106" spans="1:13">
      <c r="A106" s="114" t="s">
        <v>200</v>
      </c>
      <c r="B106" s="114" t="s">
        <v>201</v>
      </c>
      <c r="C106" s="115">
        <v>979</v>
      </c>
      <c r="D106" s="116">
        <v>1361.7140000000002</v>
      </c>
      <c r="E106" s="116">
        <v>87.537400000000005</v>
      </c>
      <c r="F106" s="117">
        <v>15.555796722315263</v>
      </c>
      <c r="G106" s="118">
        <v>3971279</v>
      </c>
      <c r="H106" s="118">
        <v>4711313</v>
      </c>
      <c r="I106" s="118">
        <v>4744030</v>
      </c>
      <c r="J106" s="118">
        <v>5884450</v>
      </c>
      <c r="K106" s="118">
        <v>6835324</v>
      </c>
      <c r="L106" s="118">
        <v>7012879</v>
      </c>
      <c r="M106" s="118">
        <v>4090716</v>
      </c>
    </row>
    <row r="107" spans="1:13">
      <c r="A107" s="114" t="s">
        <v>204</v>
      </c>
      <c r="B107" s="114" t="s">
        <v>205</v>
      </c>
      <c r="C107" s="115">
        <v>115</v>
      </c>
      <c r="D107" s="116">
        <v>145.983</v>
      </c>
      <c r="E107" s="116">
        <v>11.9999</v>
      </c>
      <c r="F107" s="117">
        <v>12.16535137792815</v>
      </c>
      <c r="G107" s="118">
        <v>889801</v>
      </c>
      <c r="H107" s="118">
        <v>842750</v>
      </c>
      <c r="I107" s="118">
        <v>870133</v>
      </c>
      <c r="J107" s="118">
        <v>941070</v>
      </c>
      <c r="K107" s="118">
        <v>924942</v>
      </c>
      <c r="L107" s="118">
        <v>851250</v>
      </c>
      <c r="M107" s="118">
        <v>75783</v>
      </c>
    </row>
    <row r="108" spans="1:13">
      <c r="A108" s="114" t="s">
        <v>234</v>
      </c>
      <c r="B108" s="114" t="s">
        <v>235</v>
      </c>
      <c r="C108" s="115">
        <v>387</v>
      </c>
      <c r="D108" s="116">
        <v>442.66300000000001</v>
      </c>
      <c r="E108" s="116">
        <v>32.85</v>
      </c>
      <c r="F108" s="117">
        <v>13.475281582952816</v>
      </c>
      <c r="G108" s="118">
        <v>2289400</v>
      </c>
      <c r="H108" s="118">
        <v>2543400</v>
      </c>
      <c r="I108" s="118">
        <v>1737209</v>
      </c>
      <c r="J108" s="118">
        <v>2167000</v>
      </c>
      <c r="K108" s="118">
        <v>2673599</v>
      </c>
      <c r="L108" s="118">
        <v>2248001</v>
      </c>
      <c r="M108" s="118">
        <v>337672</v>
      </c>
    </row>
    <row r="109" spans="1:13">
      <c r="A109" s="114" t="s">
        <v>90</v>
      </c>
      <c r="B109" s="114" t="s">
        <v>91</v>
      </c>
      <c r="C109" s="115">
        <v>260</v>
      </c>
      <c r="D109" s="116">
        <v>378.49100000000004</v>
      </c>
      <c r="E109" s="116">
        <v>26.5947</v>
      </c>
      <c r="F109" s="117">
        <v>14.231820625914187</v>
      </c>
      <c r="G109" s="118">
        <v>1644048</v>
      </c>
      <c r="H109" s="118">
        <v>2184354</v>
      </c>
      <c r="I109" s="118">
        <v>1938723</v>
      </c>
      <c r="J109" s="118">
        <v>1644048</v>
      </c>
      <c r="K109" s="118">
        <v>2202355</v>
      </c>
      <c r="L109" s="118">
        <v>2417112</v>
      </c>
      <c r="M109" s="118">
        <v>241385</v>
      </c>
    </row>
    <row r="110" spans="1:13">
      <c r="A110" s="114" t="s">
        <v>357</v>
      </c>
      <c r="B110" s="114" t="s">
        <v>358</v>
      </c>
      <c r="C110" s="115">
        <v>3867</v>
      </c>
      <c r="D110" s="116">
        <v>2027.2460000000001</v>
      </c>
      <c r="E110" s="116">
        <v>189.84649999999999</v>
      </c>
      <c r="F110" s="117">
        <v>10.67834276639285</v>
      </c>
      <c r="G110" s="118">
        <v>20380783</v>
      </c>
      <c r="H110" s="118">
        <v>19048272</v>
      </c>
      <c r="I110" s="118">
        <v>20722381</v>
      </c>
      <c r="J110" s="118">
        <v>22605219</v>
      </c>
      <c r="K110" s="118">
        <v>24515540</v>
      </c>
      <c r="L110" s="118">
        <v>23057020</v>
      </c>
      <c r="M110" s="118">
        <v>2995628</v>
      </c>
    </row>
    <row r="111" spans="1:13">
      <c r="A111" s="114" t="s">
        <v>401</v>
      </c>
      <c r="B111" s="114" t="s">
        <v>402</v>
      </c>
      <c r="C111" s="115">
        <v>536</v>
      </c>
      <c r="D111" s="116">
        <v>609.10700000000008</v>
      </c>
      <c r="E111" s="116">
        <v>61.919800000000002</v>
      </c>
      <c r="F111" s="117">
        <v>9.8370311273615236</v>
      </c>
      <c r="G111" s="118">
        <v>3086804</v>
      </c>
      <c r="H111" s="118">
        <v>2824447</v>
      </c>
      <c r="I111" s="118">
        <v>3026317</v>
      </c>
      <c r="J111" s="118">
        <v>3157631</v>
      </c>
      <c r="K111" s="118">
        <v>2824444</v>
      </c>
      <c r="L111" s="118">
        <v>3396510</v>
      </c>
      <c r="M111" s="118">
        <v>-53968</v>
      </c>
    </row>
    <row r="112" spans="1:13">
      <c r="A112" s="114" t="s">
        <v>102</v>
      </c>
      <c r="B112" s="114" t="s">
        <v>103</v>
      </c>
      <c r="C112" s="115">
        <v>83</v>
      </c>
      <c r="D112" s="116">
        <v>152.37</v>
      </c>
      <c r="E112" s="116">
        <v>12.478899999999999</v>
      </c>
      <c r="F112" s="117">
        <v>12.210210835890985</v>
      </c>
      <c r="G112" s="118">
        <v>1043877</v>
      </c>
      <c r="H112" s="118">
        <v>793905</v>
      </c>
      <c r="I112" s="118">
        <v>807106</v>
      </c>
      <c r="J112" s="118">
        <v>1311022</v>
      </c>
      <c r="K112" s="118">
        <v>793905</v>
      </c>
      <c r="L112" s="118">
        <v>885893</v>
      </c>
      <c r="M112" s="118">
        <v>149747</v>
      </c>
    </row>
    <row r="113" spans="1:13">
      <c r="A113" s="114" t="s">
        <v>425</v>
      </c>
      <c r="B113" s="114" t="s">
        <v>426</v>
      </c>
      <c r="C113" s="115">
        <v>4078</v>
      </c>
      <c r="D113" s="116">
        <v>5929.2490000000007</v>
      </c>
      <c r="E113" s="116">
        <v>408.49689999999998</v>
      </c>
      <c r="F113" s="117">
        <v>14.514795583516058</v>
      </c>
      <c r="G113" s="118">
        <v>32585507</v>
      </c>
      <c r="H113" s="118">
        <v>30611236</v>
      </c>
      <c r="I113" s="118">
        <v>26781505</v>
      </c>
      <c r="J113" s="118">
        <v>33816563</v>
      </c>
      <c r="K113" s="118">
        <v>32778357</v>
      </c>
      <c r="L113" s="118">
        <v>31623673</v>
      </c>
      <c r="M113" s="118">
        <v>25997589</v>
      </c>
    </row>
    <row r="114" spans="1:13">
      <c r="A114" s="114" t="s">
        <v>182</v>
      </c>
      <c r="B114" s="114" t="s">
        <v>183</v>
      </c>
      <c r="C114" s="115">
        <v>2759</v>
      </c>
      <c r="D114" s="116">
        <v>3807.5820000000003</v>
      </c>
      <c r="E114" s="116">
        <v>288.41060000000004</v>
      </c>
      <c r="F114" s="117">
        <v>13.20194888814766</v>
      </c>
      <c r="G114" s="118">
        <v>11331350</v>
      </c>
      <c r="H114" s="118">
        <v>26366385</v>
      </c>
      <c r="I114" s="118">
        <v>11771918</v>
      </c>
      <c r="J114" s="118">
        <v>12966638</v>
      </c>
      <c r="K114" s="118">
        <v>27141605</v>
      </c>
      <c r="L114" s="118">
        <v>14317435</v>
      </c>
      <c r="M114" s="118">
        <v>1987849</v>
      </c>
    </row>
    <row r="115" spans="1:13">
      <c r="A115" s="114" t="s">
        <v>74</v>
      </c>
      <c r="B115" s="114" t="s">
        <v>75</v>
      </c>
      <c r="C115" s="115">
        <v>430</v>
      </c>
      <c r="D115" s="116">
        <v>633.51600000000008</v>
      </c>
      <c r="E115" s="116">
        <v>46.9587</v>
      </c>
      <c r="F115" s="117">
        <v>13.490918615719773</v>
      </c>
      <c r="G115" s="118">
        <v>2994243</v>
      </c>
      <c r="H115" s="118">
        <v>3303840</v>
      </c>
      <c r="I115" s="118">
        <v>2886258</v>
      </c>
      <c r="J115" s="118">
        <v>3392056</v>
      </c>
      <c r="K115" s="118">
        <v>3634227</v>
      </c>
      <c r="L115" s="118">
        <v>3397690</v>
      </c>
      <c r="M115" s="118">
        <v>3192369</v>
      </c>
    </row>
    <row r="116" spans="1:13">
      <c r="A116" s="114" t="s">
        <v>262</v>
      </c>
      <c r="B116" s="114" t="s">
        <v>263</v>
      </c>
      <c r="C116" s="115">
        <v>289</v>
      </c>
      <c r="D116" s="116">
        <v>539.80200000000002</v>
      </c>
      <c r="E116" s="116">
        <v>63.274000000000001</v>
      </c>
      <c r="F116" s="117">
        <v>8.5311818440433669</v>
      </c>
      <c r="G116" s="118">
        <v>2670764</v>
      </c>
      <c r="H116" s="118">
        <v>2730167</v>
      </c>
      <c r="I116" s="118">
        <v>2778704</v>
      </c>
      <c r="J116" s="118">
        <v>2690000</v>
      </c>
      <c r="K116" s="118">
        <v>3040000</v>
      </c>
      <c r="L116" s="118">
        <v>3188284</v>
      </c>
      <c r="M116" s="118">
        <v>36823</v>
      </c>
    </row>
    <row r="117" spans="1:13">
      <c r="A117" s="114" t="s">
        <v>48</v>
      </c>
      <c r="B117" s="114" t="s">
        <v>49</v>
      </c>
      <c r="C117" s="115">
        <v>242</v>
      </c>
      <c r="D117" s="116">
        <v>412.96800000000002</v>
      </c>
      <c r="E117" s="116">
        <v>25.710599999999999</v>
      </c>
      <c r="F117" s="117">
        <v>16.062168910877226</v>
      </c>
      <c r="G117" s="118">
        <v>4603907</v>
      </c>
      <c r="H117" s="118">
        <v>4603907</v>
      </c>
      <c r="I117" s="118">
        <v>1300159</v>
      </c>
      <c r="J117" s="118">
        <v>5092325</v>
      </c>
      <c r="K117" s="118">
        <v>5092325</v>
      </c>
      <c r="L117" s="118">
        <v>3541722</v>
      </c>
      <c r="M117" s="118">
        <v>7600608</v>
      </c>
    </row>
    <row r="118" spans="1:13">
      <c r="A118" s="114" t="s">
        <v>427</v>
      </c>
      <c r="B118" s="114" t="s">
        <v>428</v>
      </c>
      <c r="C118" s="115">
        <v>544</v>
      </c>
      <c r="D118" s="116">
        <v>721.67</v>
      </c>
      <c r="E118" s="116">
        <v>65.3643</v>
      </c>
      <c r="F118" s="117">
        <v>11.040736304068123</v>
      </c>
      <c r="G118" s="118">
        <v>3462161</v>
      </c>
      <c r="H118" s="118">
        <v>3768515</v>
      </c>
      <c r="I118" s="118">
        <v>3936276</v>
      </c>
      <c r="J118" s="118">
        <v>3818035</v>
      </c>
      <c r="K118" s="118">
        <v>4083802</v>
      </c>
      <c r="L118" s="118">
        <v>4040797</v>
      </c>
      <c r="M118" s="118">
        <v>172128</v>
      </c>
    </row>
    <row r="119" spans="1:13">
      <c r="A119" s="114" t="s">
        <v>196</v>
      </c>
      <c r="B119" s="114" t="s">
        <v>197</v>
      </c>
      <c r="C119" s="115">
        <v>158</v>
      </c>
      <c r="D119" s="116">
        <v>241.78900000000002</v>
      </c>
      <c r="E119" s="116">
        <v>23.999500000000001</v>
      </c>
      <c r="F119" s="117">
        <v>10.074751557324111</v>
      </c>
      <c r="G119" s="118">
        <v>1633600</v>
      </c>
      <c r="H119" s="118">
        <v>1529600</v>
      </c>
      <c r="I119" s="118">
        <v>1540740</v>
      </c>
      <c r="J119" s="118">
        <v>1633600</v>
      </c>
      <c r="K119" s="118">
        <v>1728000</v>
      </c>
      <c r="L119" s="118">
        <v>1617265</v>
      </c>
      <c r="M119" s="118">
        <v>-188108</v>
      </c>
    </row>
    <row r="120" spans="1:13">
      <c r="A120" s="114" t="s">
        <v>216</v>
      </c>
      <c r="B120" s="114" t="s">
        <v>217</v>
      </c>
      <c r="C120" s="115">
        <v>65</v>
      </c>
      <c r="D120" s="116">
        <v>100.113</v>
      </c>
      <c r="E120" s="116">
        <v>11.918600000000001</v>
      </c>
      <c r="F120" s="117">
        <v>8.3997281559914736</v>
      </c>
      <c r="G120" s="118">
        <v>620702</v>
      </c>
      <c r="H120" s="118">
        <v>592200</v>
      </c>
      <c r="I120" s="118">
        <v>593634</v>
      </c>
      <c r="J120" s="118">
        <v>646951</v>
      </c>
      <c r="K120" s="118">
        <v>587381</v>
      </c>
      <c r="L120" s="118">
        <v>566511</v>
      </c>
      <c r="M120" s="118">
        <v>40050</v>
      </c>
    </row>
    <row r="121" spans="1:13">
      <c r="A121" s="114" t="s">
        <v>323</v>
      </c>
      <c r="B121" s="114" t="s">
        <v>324</v>
      </c>
      <c r="C121" s="115">
        <v>1752</v>
      </c>
      <c r="D121" s="116">
        <v>1812.2520000000002</v>
      </c>
      <c r="E121" s="116">
        <v>124.49939999999999</v>
      </c>
      <c r="F121" s="117">
        <v>14.556311114752363</v>
      </c>
      <c r="G121" s="118">
        <v>7248218</v>
      </c>
      <c r="H121" s="118">
        <v>9351265</v>
      </c>
      <c r="I121" s="118">
        <v>7746373</v>
      </c>
      <c r="J121" s="118">
        <v>8105218</v>
      </c>
      <c r="K121" s="118">
        <v>10564843</v>
      </c>
      <c r="L121" s="118">
        <v>9019102</v>
      </c>
      <c r="M121" s="118">
        <v>508506</v>
      </c>
    </row>
    <row r="122" spans="1:13">
      <c r="A122" s="114" t="s">
        <v>316</v>
      </c>
      <c r="B122" s="114" t="s">
        <v>317</v>
      </c>
      <c r="C122" s="115">
        <v>196</v>
      </c>
      <c r="D122" s="116">
        <v>281.83199999999999</v>
      </c>
      <c r="E122" s="116">
        <v>19.265799999999999</v>
      </c>
      <c r="F122" s="117">
        <v>14.628616512161447</v>
      </c>
      <c r="G122" s="118">
        <v>1733799</v>
      </c>
      <c r="H122" s="118">
        <v>2090535</v>
      </c>
      <c r="I122" s="118">
        <v>2210297</v>
      </c>
      <c r="J122" s="118">
        <v>1881755</v>
      </c>
      <c r="K122" s="118">
        <v>2138657</v>
      </c>
      <c r="L122" s="118">
        <v>2183638</v>
      </c>
      <c r="M122" s="118">
        <v>411320</v>
      </c>
    </row>
    <row r="123" spans="1:13">
      <c r="A123" s="114" t="s">
        <v>252</v>
      </c>
      <c r="B123" s="114" t="s">
        <v>253</v>
      </c>
      <c r="C123" s="115">
        <v>214</v>
      </c>
      <c r="D123" s="116">
        <v>272.48900000000003</v>
      </c>
      <c r="E123" s="116">
        <v>26.436499999999999</v>
      </c>
      <c r="F123" s="117">
        <v>10.307302403873434</v>
      </c>
      <c r="G123" s="118">
        <v>1150303</v>
      </c>
      <c r="H123" s="118">
        <v>1753574</v>
      </c>
      <c r="I123" s="118">
        <v>1291759</v>
      </c>
      <c r="J123" s="118">
        <v>1183521</v>
      </c>
      <c r="K123" s="118">
        <v>1800700</v>
      </c>
      <c r="L123" s="118">
        <v>1340576</v>
      </c>
      <c r="M123" s="118">
        <v>235906</v>
      </c>
    </row>
    <row r="124" spans="1:13">
      <c r="A124" s="114" t="s">
        <v>118</v>
      </c>
      <c r="B124" s="114" t="s">
        <v>119</v>
      </c>
      <c r="C124" s="115">
        <v>293</v>
      </c>
      <c r="D124" s="116">
        <v>432.97800000000001</v>
      </c>
      <c r="E124" s="116">
        <v>34.908999999999999</v>
      </c>
      <c r="F124" s="117">
        <v>12.403047924603971</v>
      </c>
      <c r="G124" s="118">
        <v>2054801</v>
      </c>
      <c r="H124" s="118">
        <v>2366098</v>
      </c>
      <c r="I124" s="118">
        <v>2249028</v>
      </c>
      <c r="J124" s="118">
        <v>2200674</v>
      </c>
      <c r="K124" s="118">
        <v>2422677</v>
      </c>
      <c r="L124" s="118">
        <v>2399913</v>
      </c>
      <c r="M124" s="118">
        <v>470704</v>
      </c>
    </row>
    <row r="125" spans="1:13">
      <c r="A125" s="114" t="s">
        <v>168</v>
      </c>
      <c r="B125" s="114" t="s">
        <v>169</v>
      </c>
      <c r="C125" s="115">
        <v>2858</v>
      </c>
      <c r="D125" s="116">
        <v>3547.2780000000002</v>
      </c>
      <c r="E125" s="116">
        <v>242.67070000000001</v>
      </c>
      <c r="F125" s="117">
        <v>14.6176608877792</v>
      </c>
      <c r="G125" s="118">
        <v>7058818</v>
      </c>
      <c r="H125" s="118">
        <v>21155267</v>
      </c>
      <c r="I125" s="118">
        <v>7914913</v>
      </c>
      <c r="J125" s="118">
        <v>7733444</v>
      </c>
      <c r="K125" s="118">
        <v>21192560</v>
      </c>
      <c r="L125" s="118">
        <v>8275827</v>
      </c>
      <c r="M125" s="118">
        <v>-758165</v>
      </c>
    </row>
    <row r="126" spans="1:13">
      <c r="A126" s="114" t="s">
        <v>367</v>
      </c>
      <c r="B126" s="114" t="s">
        <v>368</v>
      </c>
      <c r="C126" s="115">
        <v>233</v>
      </c>
      <c r="D126" s="116">
        <v>376.05700000000002</v>
      </c>
      <c r="E126" s="116">
        <v>25.866499999999998</v>
      </c>
      <c r="F126" s="117">
        <v>14.538379757601533</v>
      </c>
      <c r="G126" s="118">
        <v>1596105</v>
      </c>
      <c r="H126" s="118">
        <v>1840433</v>
      </c>
      <c r="I126" s="118">
        <v>1744409</v>
      </c>
      <c r="J126" s="118">
        <v>1676163</v>
      </c>
      <c r="K126" s="118">
        <v>2000274</v>
      </c>
      <c r="L126" s="118">
        <v>1877122</v>
      </c>
      <c r="M126" s="118">
        <v>265747</v>
      </c>
    </row>
    <row r="127" spans="1:13">
      <c r="A127" s="114" t="s">
        <v>228</v>
      </c>
      <c r="B127" s="114" t="s">
        <v>229</v>
      </c>
      <c r="C127" s="115">
        <v>1023</v>
      </c>
      <c r="D127" s="116">
        <v>1485.8030000000001</v>
      </c>
      <c r="E127" s="116">
        <v>103.57140000000001</v>
      </c>
      <c r="F127" s="117">
        <v>14.345688095362233</v>
      </c>
      <c r="G127" s="118">
        <v>6215942</v>
      </c>
      <c r="H127" s="118">
        <v>8276902</v>
      </c>
      <c r="I127" s="118">
        <v>6120021</v>
      </c>
      <c r="J127" s="118">
        <v>6615623</v>
      </c>
      <c r="K127" s="118">
        <v>8366941</v>
      </c>
      <c r="L127" s="118">
        <v>6779050</v>
      </c>
      <c r="M127" s="118">
        <v>1516731</v>
      </c>
    </row>
    <row r="128" spans="1:13">
      <c r="A128" s="114" t="s">
        <v>387</v>
      </c>
      <c r="B128" s="114" t="s">
        <v>388</v>
      </c>
      <c r="C128" s="115">
        <v>355</v>
      </c>
      <c r="D128" s="116">
        <v>385.286</v>
      </c>
      <c r="E128" s="116">
        <v>30.962400000000002</v>
      </c>
      <c r="F128" s="117">
        <v>12.443673617032271</v>
      </c>
      <c r="G128" s="118">
        <v>1460032</v>
      </c>
      <c r="H128" s="118">
        <v>1481337</v>
      </c>
      <c r="I128" s="118">
        <v>1660902</v>
      </c>
      <c r="J128" s="118">
        <v>1426200</v>
      </c>
      <c r="K128" s="118">
        <v>1956431</v>
      </c>
      <c r="L128" s="118">
        <v>1861927</v>
      </c>
      <c r="M128" s="118">
        <v>254476</v>
      </c>
    </row>
    <row r="129" spans="1:13">
      <c r="A129" s="114" t="s">
        <v>170</v>
      </c>
      <c r="B129" s="114" t="s">
        <v>171</v>
      </c>
      <c r="C129" s="115">
        <v>622</v>
      </c>
      <c r="D129" s="116">
        <v>840.28600000000006</v>
      </c>
      <c r="E129" s="116">
        <v>43.314500000000002</v>
      </c>
      <c r="F129" s="117">
        <v>19.399646769557538</v>
      </c>
      <c r="G129" s="118">
        <v>4015694</v>
      </c>
      <c r="H129" s="118">
        <v>3924905</v>
      </c>
      <c r="I129" s="118">
        <v>4219011</v>
      </c>
      <c r="J129" s="118">
        <v>4058543</v>
      </c>
      <c r="K129" s="118">
        <v>4510714</v>
      </c>
      <c r="L129" s="118">
        <v>4641294</v>
      </c>
      <c r="M129" s="118">
        <v>8953435</v>
      </c>
    </row>
    <row r="130" spans="1:13">
      <c r="A130" s="114" t="s">
        <v>220</v>
      </c>
      <c r="B130" s="114" t="s">
        <v>221</v>
      </c>
      <c r="C130" s="115">
        <v>139</v>
      </c>
      <c r="D130" s="116">
        <v>195.72400000000002</v>
      </c>
      <c r="E130" s="116">
        <v>27.7254</v>
      </c>
      <c r="F130" s="117">
        <v>7.0593751577975432</v>
      </c>
      <c r="G130" s="118">
        <v>1089924</v>
      </c>
      <c r="H130" s="118">
        <v>1138520</v>
      </c>
      <c r="I130" s="118">
        <v>1063578</v>
      </c>
      <c r="J130" s="118">
        <v>1089915</v>
      </c>
      <c r="K130" s="118">
        <v>1138520</v>
      </c>
      <c r="L130" s="118">
        <v>1137247</v>
      </c>
      <c r="M130" s="118">
        <v>158455</v>
      </c>
    </row>
    <row r="131" spans="1:13">
      <c r="A131" s="114" t="s">
        <v>379</v>
      </c>
      <c r="B131" s="114" t="s">
        <v>380</v>
      </c>
      <c r="C131" s="115">
        <v>133</v>
      </c>
      <c r="D131" s="116">
        <v>205.35300000000001</v>
      </c>
      <c r="E131" s="116">
        <v>28.718600000000002</v>
      </c>
      <c r="F131" s="117">
        <v>7.1505226577897245</v>
      </c>
      <c r="G131" s="118">
        <v>1051124</v>
      </c>
      <c r="H131" s="118">
        <v>1137968</v>
      </c>
      <c r="I131" s="118">
        <v>967181</v>
      </c>
      <c r="J131" s="118">
        <v>1096146</v>
      </c>
      <c r="K131" s="118">
        <v>1156184</v>
      </c>
      <c r="L131" s="118">
        <v>961093</v>
      </c>
      <c r="M131" s="118">
        <v>-4872</v>
      </c>
    </row>
    <row r="132" spans="1:13">
      <c r="A132" s="114" t="s">
        <v>272</v>
      </c>
      <c r="B132" s="114" t="s">
        <v>273</v>
      </c>
      <c r="C132" s="115">
        <v>662</v>
      </c>
      <c r="D132" s="116">
        <v>844.24400000000003</v>
      </c>
      <c r="E132" s="116">
        <v>140.50450000000001</v>
      </c>
      <c r="F132" s="117">
        <v>6.0086616442889724</v>
      </c>
      <c r="G132" s="118">
        <v>5640746</v>
      </c>
      <c r="H132" s="118">
        <v>6355581</v>
      </c>
      <c r="I132" s="118">
        <v>6030708</v>
      </c>
      <c r="J132" s="118">
        <v>5640749</v>
      </c>
      <c r="K132" s="118">
        <v>6355578</v>
      </c>
      <c r="L132" s="118">
        <v>5937448</v>
      </c>
      <c r="M132" s="118">
        <v>1205968</v>
      </c>
    </row>
    <row r="133" spans="1:13">
      <c r="A133" s="114" t="s">
        <v>353</v>
      </c>
      <c r="B133" s="114" t="s">
        <v>354</v>
      </c>
      <c r="C133" s="115">
        <v>767</v>
      </c>
      <c r="D133" s="116">
        <v>1018.451</v>
      </c>
      <c r="E133" s="116">
        <v>104.24969999999999</v>
      </c>
      <c r="F133" s="117">
        <v>9.7693422618961989</v>
      </c>
      <c r="G133" s="118">
        <v>4325585</v>
      </c>
      <c r="H133" s="118">
        <v>5638480</v>
      </c>
      <c r="I133" s="118">
        <v>4493850</v>
      </c>
      <c r="J133" s="118">
        <v>5732632</v>
      </c>
      <c r="K133" s="118">
        <v>5758479</v>
      </c>
      <c r="L133" s="118">
        <v>5143447</v>
      </c>
      <c r="M133" s="118">
        <v>973461</v>
      </c>
    </row>
    <row r="134" spans="1:13">
      <c r="A134" s="114" t="s">
        <v>254</v>
      </c>
      <c r="B134" s="114" t="s">
        <v>255</v>
      </c>
      <c r="C134" s="115">
        <v>401</v>
      </c>
      <c r="D134" s="116">
        <v>534.44000000000005</v>
      </c>
      <c r="E134" s="116">
        <v>60.761200000000002</v>
      </c>
      <c r="F134" s="117">
        <v>8.7957446528376675</v>
      </c>
      <c r="G134" s="118">
        <v>2233923</v>
      </c>
      <c r="H134" s="118">
        <v>2782684</v>
      </c>
      <c r="I134" s="118">
        <v>2564261</v>
      </c>
      <c r="J134" s="118">
        <v>16824</v>
      </c>
      <c r="K134" s="118">
        <v>2782685</v>
      </c>
      <c r="L134" s="118">
        <v>2749831</v>
      </c>
      <c r="M134" s="118">
        <v>527405</v>
      </c>
    </row>
    <row r="135" spans="1:13">
      <c r="A135" s="114" t="s">
        <v>206</v>
      </c>
      <c r="B135" s="114" t="s">
        <v>207</v>
      </c>
      <c r="C135" s="115">
        <v>6855</v>
      </c>
      <c r="D135" s="116">
        <v>10001.413</v>
      </c>
      <c r="E135" s="116">
        <v>828.54160000000002</v>
      </c>
      <c r="F135" s="117">
        <v>12.071105421864154</v>
      </c>
      <c r="G135" s="118">
        <v>42810890</v>
      </c>
      <c r="H135" s="118">
        <v>54104244</v>
      </c>
      <c r="I135" s="118">
        <v>39803002</v>
      </c>
      <c r="J135" s="118">
        <v>41737862</v>
      </c>
      <c r="K135" s="118">
        <v>62144843</v>
      </c>
      <c r="L135" s="118">
        <v>45773492</v>
      </c>
      <c r="M135" s="118">
        <v>20691763</v>
      </c>
    </row>
    <row r="136" spans="1:13">
      <c r="A136" s="114" t="s">
        <v>411</v>
      </c>
      <c r="B136" s="114" t="s">
        <v>412</v>
      </c>
      <c r="C136" s="115">
        <v>1062</v>
      </c>
      <c r="D136" s="116">
        <v>1508.069</v>
      </c>
      <c r="E136" s="116">
        <v>124.2915</v>
      </c>
      <c r="F136" s="117">
        <v>12.133323678610363</v>
      </c>
      <c r="G136" s="118">
        <v>4885899</v>
      </c>
      <c r="H136" s="118">
        <v>6624592</v>
      </c>
      <c r="I136" s="118">
        <v>5484893</v>
      </c>
      <c r="J136" s="118">
        <v>6755000</v>
      </c>
      <c r="K136" s="118">
        <v>9846700</v>
      </c>
      <c r="L136" s="118">
        <v>7098227</v>
      </c>
      <c r="M136" s="118">
        <v>2381561</v>
      </c>
    </row>
    <row r="137" spans="1:13">
      <c r="A137" s="114" t="s">
        <v>288</v>
      </c>
      <c r="B137" s="114" t="s">
        <v>289</v>
      </c>
      <c r="C137" s="115">
        <v>546</v>
      </c>
      <c r="D137" s="116">
        <v>687.197</v>
      </c>
      <c r="E137" s="116">
        <v>97.897599999999997</v>
      </c>
      <c r="F137" s="117">
        <v>7.0195489981368286</v>
      </c>
      <c r="G137" s="118">
        <v>4056470</v>
      </c>
      <c r="H137" s="118">
        <v>4553557</v>
      </c>
      <c r="I137" s="118">
        <v>3878921</v>
      </c>
      <c r="J137" s="118">
        <v>3930740</v>
      </c>
      <c r="K137" s="118">
        <v>4435138</v>
      </c>
      <c r="L137" s="118">
        <v>3622478</v>
      </c>
      <c r="M137" s="118">
        <v>244022</v>
      </c>
    </row>
    <row r="138" spans="1:13">
      <c r="A138" s="114" t="s">
        <v>371</v>
      </c>
      <c r="B138" s="114" t="s">
        <v>372</v>
      </c>
      <c r="C138" s="115">
        <v>493</v>
      </c>
      <c r="D138" s="116">
        <v>630.87800000000004</v>
      </c>
      <c r="E138" s="116">
        <v>73.102500000000006</v>
      </c>
      <c r="F138" s="117">
        <v>8.630046852022847</v>
      </c>
      <c r="G138" s="118">
        <v>4123950</v>
      </c>
      <c r="H138" s="118">
        <v>3717275</v>
      </c>
      <c r="I138" s="118">
        <v>3123844</v>
      </c>
      <c r="J138" s="118">
        <v>3988500</v>
      </c>
      <c r="K138" s="118">
        <v>3735875</v>
      </c>
      <c r="L138" s="118">
        <v>3377779</v>
      </c>
      <c r="M138" s="118">
        <v>804810</v>
      </c>
    </row>
    <row r="139" spans="1:13">
      <c r="A139" s="114" t="s">
        <v>130</v>
      </c>
      <c r="B139" s="114" t="s">
        <v>131</v>
      </c>
      <c r="C139" s="115">
        <v>202</v>
      </c>
      <c r="D139" s="116">
        <v>288.17500000000001</v>
      </c>
      <c r="E139" s="116">
        <v>31.499600000000001</v>
      </c>
      <c r="F139" s="117">
        <v>9.1485288702078762</v>
      </c>
      <c r="G139" s="118">
        <v>1329146</v>
      </c>
      <c r="H139" s="118">
        <v>1526509</v>
      </c>
      <c r="I139" s="118">
        <v>1401497</v>
      </c>
      <c r="J139" s="118">
        <v>1342001</v>
      </c>
      <c r="K139" s="118">
        <v>1548380</v>
      </c>
      <c r="L139" s="118">
        <v>1648011</v>
      </c>
      <c r="M139" s="118">
        <v>738545</v>
      </c>
    </row>
    <row r="140" spans="1:13">
      <c r="A140" s="114" t="s">
        <v>246</v>
      </c>
      <c r="B140" s="114" t="s">
        <v>247</v>
      </c>
      <c r="C140" s="115">
        <v>48</v>
      </c>
      <c r="D140" s="116">
        <v>168.614</v>
      </c>
      <c r="E140" s="116">
        <v>12.0007</v>
      </c>
      <c r="F140" s="117">
        <v>14.050347063087987</v>
      </c>
      <c r="G140" s="118">
        <v>967810</v>
      </c>
      <c r="H140" s="118">
        <v>956831</v>
      </c>
      <c r="I140" s="118">
        <v>710014</v>
      </c>
      <c r="J140" s="118">
        <v>1011796</v>
      </c>
      <c r="K140" s="118">
        <v>956833</v>
      </c>
      <c r="L140" s="118">
        <v>1070172</v>
      </c>
      <c r="M140" s="118">
        <v>332066</v>
      </c>
    </row>
    <row r="141" spans="1:13">
      <c r="A141" s="114" t="s">
        <v>325</v>
      </c>
      <c r="B141" s="114" t="s">
        <v>326</v>
      </c>
      <c r="C141" s="115">
        <v>205</v>
      </c>
      <c r="D141" s="116">
        <v>278.27</v>
      </c>
      <c r="E141" s="116">
        <v>30.684899999999999</v>
      </c>
      <c r="F141" s="117">
        <v>9.0686298472538613</v>
      </c>
      <c r="G141" s="118">
        <v>1120337</v>
      </c>
      <c r="H141" s="118">
        <v>1224538</v>
      </c>
      <c r="I141" s="118">
        <v>1177398</v>
      </c>
      <c r="J141" s="118">
        <v>1492204</v>
      </c>
      <c r="K141" s="118">
        <v>1543019</v>
      </c>
      <c r="L141" s="118">
        <v>1637485</v>
      </c>
      <c r="M141" s="118">
        <v>1102597</v>
      </c>
    </row>
    <row r="142" spans="1:13">
      <c r="A142" s="114" t="s">
        <v>351</v>
      </c>
      <c r="B142" s="114" t="s">
        <v>352</v>
      </c>
      <c r="C142" s="115">
        <v>207</v>
      </c>
      <c r="D142" s="116">
        <v>324.12</v>
      </c>
      <c r="E142" s="116">
        <v>35.327600000000004</v>
      </c>
      <c r="F142" s="117">
        <v>9.1746962714704647</v>
      </c>
      <c r="G142" s="118">
        <v>1041150</v>
      </c>
      <c r="H142" s="118">
        <v>1431104</v>
      </c>
      <c r="I142" s="118">
        <v>1284005</v>
      </c>
      <c r="J142" s="118">
        <v>1</v>
      </c>
      <c r="K142" s="118">
        <v>1431104</v>
      </c>
      <c r="L142" s="118">
        <v>1486705</v>
      </c>
      <c r="M142" s="118">
        <v>641419</v>
      </c>
    </row>
    <row r="143" spans="1:13">
      <c r="A143" s="114" t="s">
        <v>176</v>
      </c>
      <c r="B143" s="114" t="s">
        <v>177</v>
      </c>
      <c r="C143" s="115">
        <v>668</v>
      </c>
      <c r="D143" s="116">
        <v>832.36</v>
      </c>
      <c r="E143" s="116">
        <v>66.765299999999996</v>
      </c>
      <c r="F143" s="117">
        <v>12.466955139870562</v>
      </c>
      <c r="G143" s="118">
        <v>2081301</v>
      </c>
      <c r="H143" s="118">
        <v>5111776</v>
      </c>
      <c r="I143" s="118">
        <v>2491317</v>
      </c>
      <c r="J143" s="118">
        <v>2923677</v>
      </c>
      <c r="K143" s="118">
        <v>5202135</v>
      </c>
      <c r="L143" s="118">
        <v>2905898</v>
      </c>
      <c r="M143" s="118">
        <v>542271</v>
      </c>
    </row>
    <row r="144" spans="1:13">
      <c r="A144" s="114" t="s">
        <v>413</v>
      </c>
      <c r="B144" s="114" t="s">
        <v>414</v>
      </c>
      <c r="C144" s="115">
        <v>258</v>
      </c>
      <c r="D144" s="116">
        <v>365.72900000000004</v>
      </c>
      <c r="E144" s="116">
        <v>32.786299999999997</v>
      </c>
      <c r="F144" s="117">
        <v>11.15493361556504</v>
      </c>
      <c r="G144" s="118">
        <v>1323400</v>
      </c>
      <c r="H144" s="118">
        <v>1590715</v>
      </c>
      <c r="I144" s="118">
        <v>1483253</v>
      </c>
      <c r="J144" s="118">
        <v>1323397</v>
      </c>
      <c r="K144" s="118">
        <v>1590715</v>
      </c>
      <c r="L144" s="118">
        <v>1573389</v>
      </c>
      <c r="M144" s="118">
        <v>472158</v>
      </c>
    </row>
    <row r="145" spans="1:13">
      <c r="A145" s="114" t="s">
        <v>300</v>
      </c>
      <c r="B145" s="114" t="s">
        <v>301</v>
      </c>
      <c r="C145" s="115">
        <v>387</v>
      </c>
      <c r="D145" s="116">
        <v>546.30600000000004</v>
      </c>
      <c r="E145" s="116">
        <v>81.774000000000001</v>
      </c>
      <c r="F145" s="117">
        <v>6.6806809010198842</v>
      </c>
      <c r="G145" s="118">
        <v>2580888</v>
      </c>
      <c r="H145" s="118">
        <v>3152071</v>
      </c>
      <c r="I145" s="118">
        <v>3213590</v>
      </c>
      <c r="J145" s="118">
        <v>2531000</v>
      </c>
      <c r="K145" s="118">
        <v>3330250</v>
      </c>
      <c r="L145" s="118">
        <v>4359319</v>
      </c>
      <c r="M145" s="118">
        <v>1967098</v>
      </c>
    </row>
    <row r="146" spans="1:13">
      <c r="A146" s="114" t="s">
        <v>180</v>
      </c>
      <c r="B146" s="114" t="s">
        <v>181</v>
      </c>
      <c r="C146" s="115">
        <v>2517</v>
      </c>
      <c r="D146" s="116">
        <v>3219.8870000000002</v>
      </c>
      <c r="E146" s="116">
        <v>201.29939999999999</v>
      </c>
      <c r="F146" s="117">
        <v>15.995512157512643</v>
      </c>
      <c r="G146" s="118">
        <v>2531919</v>
      </c>
      <c r="H146" s="118">
        <v>17633644</v>
      </c>
      <c r="I146" s="118">
        <v>3275586</v>
      </c>
      <c r="J146" s="118">
        <v>3276501</v>
      </c>
      <c r="K146" s="118">
        <v>18663741</v>
      </c>
      <c r="L146" s="118">
        <v>3935891</v>
      </c>
      <c r="M146" s="118">
        <v>1077486</v>
      </c>
    </row>
    <row r="147" spans="1:13">
      <c r="A147" s="114" t="s">
        <v>256</v>
      </c>
      <c r="B147" s="114" t="s">
        <v>257</v>
      </c>
      <c r="C147" s="115">
        <v>514</v>
      </c>
      <c r="D147" s="116">
        <v>714.471</v>
      </c>
      <c r="E147" s="116">
        <v>55.541699999999999</v>
      </c>
      <c r="F147" s="117">
        <v>12.863686203339114</v>
      </c>
      <c r="G147" s="118">
        <v>4042009</v>
      </c>
      <c r="H147" s="118">
        <v>4026466</v>
      </c>
      <c r="I147" s="118">
        <v>3236034</v>
      </c>
      <c r="J147" s="118">
        <v>4042010</v>
      </c>
      <c r="K147" s="118">
        <v>4026465</v>
      </c>
      <c r="L147" s="118">
        <v>3933449</v>
      </c>
      <c r="M147" s="118">
        <v>310245</v>
      </c>
    </row>
    <row r="148" spans="1:13">
      <c r="A148" s="114" t="s">
        <v>381</v>
      </c>
      <c r="B148" s="114" t="s">
        <v>382</v>
      </c>
      <c r="C148" s="115">
        <v>408</v>
      </c>
      <c r="D148" s="116">
        <v>606.90499999999997</v>
      </c>
      <c r="E148" s="116">
        <v>29.843799999999998</v>
      </c>
      <c r="F148" s="117">
        <v>20.336049698764903</v>
      </c>
      <c r="G148" s="118">
        <v>2255940</v>
      </c>
      <c r="H148" s="118">
        <v>2755419</v>
      </c>
      <c r="I148" s="118">
        <v>3069653</v>
      </c>
      <c r="J148" s="118">
        <v>3150058</v>
      </c>
      <c r="K148" s="118">
        <v>3770122</v>
      </c>
      <c r="L148" s="118">
        <v>3226524</v>
      </c>
      <c r="M148" s="118">
        <v>-388408</v>
      </c>
    </row>
    <row r="149" spans="1:13">
      <c r="A149" s="114" t="s">
        <v>365</v>
      </c>
      <c r="B149" s="114" t="s">
        <v>366</v>
      </c>
      <c r="C149" s="115">
        <v>261</v>
      </c>
      <c r="D149" s="116">
        <v>328.85500000000002</v>
      </c>
      <c r="E149" s="116">
        <v>20.168900000000001</v>
      </c>
      <c r="F149" s="117">
        <v>16.305053820485995</v>
      </c>
      <c r="G149" s="118">
        <v>1657135</v>
      </c>
      <c r="H149" s="118">
        <v>1939550</v>
      </c>
      <c r="I149" s="118">
        <v>1309234</v>
      </c>
      <c r="J149" s="118">
        <v>1657135</v>
      </c>
      <c r="K149" s="118">
        <v>1939550</v>
      </c>
      <c r="L149" s="118">
        <v>1693799</v>
      </c>
      <c r="M149" s="118">
        <v>596177</v>
      </c>
    </row>
    <row r="150" spans="1:13">
      <c r="A150" s="114" t="s">
        <v>116</v>
      </c>
      <c r="B150" s="114" t="s">
        <v>117</v>
      </c>
      <c r="C150" s="115">
        <v>260</v>
      </c>
      <c r="D150" s="116">
        <v>333.82300000000004</v>
      </c>
      <c r="E150" s="116">
        <v>49.5</v>
      </c>
      <c r="F150" s="117">
        <v>6.7438989898989909</v>
      </c>
      <c r="G150" s="118">
        <v>1974190</v>
      </c>
      <c r="H150" s="118">
        <v>2194791</v>
      </c>
      <c r="I150" s="118">
        <v>1975073</v>
      </c>
      <c r="J150" s="118">
        <v>2005467</v>
      </c>
      <c r="K150" s="118">
        <v>2224134</v>
      </c>
      <c r="L150" s="118">
        <v>1987365</v>
      </c>
      <c r="M150" s="118">
        <v>895011</v>
      </c>
    </row>
    <row r="151" spans="1:13">
      <c r="A151" s="114" t="s">
        <v>343</v>
      </c>
      <c r="B151" s="114" t="s">
        <v>344</v>
      </c>
      <c r="C151" s="115">
        <v>226</v>
      </c>
      <c r="D151" s="116">
        <v>284.44800000000004</v>
      </c>
      <c r="E151" s="116">
        <v>29.999300000000002</v>
      </c>
      <c r="F151" s="117">
        <v>9.4818212424956592</v>
      </c>
      <c r="G151" s="118">
        <v>1403831</v>
      </c>
      <c r="H151" s="118">
        <v>1566347</v>
      </c>
      <c r="I151" s="118">
        <v>1365115</v>
      </c>
      <c r="J151" s="118">
        <v>1405600</v>
      </c>
      <c r="K151" s="118">
        <v>1619135</v>
      </c>
      <c r="L151" s="118">
        <v>1490061</v>
      </c>
      <c r="M151" s="118">
        <v>283646</v>
      </c>
    </row>
    <row r="152" spans="1:13">
      <c r="A152" s="114" t="s">
        <v>320</v>
      </c>
      <c r="B152" s="114" t="s">
        <v>319</v>
      </c>
      <c r="C152" s="115">
        <v>238</v>
      </c>
      <c r="D152" s="116">
        <v>340.25300000000004</v>
      </c>
      <c r="E152" s="116">
        <v>20.286100000000001</v>
      </c>
      <c r="F152" s="117">
        <v>16.77271629342259</v>
      </c>
      <c r="G152" s="118">
        <v>1309374</v>
      </c>
      <c r="H152" s="118">
        <v>1919138</v>
      </c>
      <c r="I152" s="118">
        <v>1945212</v>
      </c>
      <c r="J152" s="118">
        <v>1677617</v>
      </c>
      <c r="K152" s="118">
        <v>1672403</v>
      </c>
      <c r="L152" s="118">
        <v>2025349</v>
      </c>
      <c r="M152" s="118">
        <v>158292</v>
      </c>
    </row>
    <row r="153" spans="1:13">
      <c r="A153" s="114" t="s">
        <v>104</v>
      </c>
      <c r="B153" s="114" t="s">
        <v>105</v>
      </c>
      <c r="C153" s="115">
        <v>181</v>
      </c>
      <c r="D153" s="116">
        <v>230.49</v>
      </c>
      <c r="E153" s="116">
        <v>24.5</v>
      </c>
      <c r="F153" s="117">
        <v>9.4077551020408166</v>
      </c>
      <c r="G153" s="118">
        <v>1156000</v>
      </c>
      <c r="H153" s="118">
        <v>1278000</v>
      </c>
      <c r="I153" s="118">
        <v>1035891</v>
      </c>
      <c r="J153" s="118">
        <v>1156000</v>
      </c>
      <c r="K153" s="118">
        <v>1278000</v>
      </c>
      <c r="L153" s="118">
        <v>1268341</v>
      </c>
      <c r="M153" s="118">
        <v>680382</v>
      </c>
    </row>
    <row r="154" spans="1:13">
      <c r="A154" s="114" t="s">
        <v>345</v>
      </c>
      <c r="B154" s="114" t="s">
        <v>346</v>
      </c>
      <c r="C154" s="115">
        <v>145</v>
      </c>
      <c r="D154" s="116">
        <v>189.02800000000002</v>
      </c>
      <c r="E154" s="116">
        <v>15.2995</v>
      </c>
      <c r="F154" s="117">
        <v>12.355175005719142</v>
      </c>
      <c r="G154" s="118">
        <v>967840</v>
      </c>
      <c r="H154" s="118">
        <v>1139535</v>
      </c>
      <c r="I154" s="118">
        <v>1042948</v>
      </c>
      <c r="J154" s="118">
        <v>1068629</v>
      </c>
      <c r="K154" s="118">
        <v>1165769</v>
      </c>
      <c r="L154" s="118">
        <v>1104569</v>
      </c>
      <c r="M154" s="118">
        <v>94902</v>
      </c>
    </row>
    <row r="155" spans="1:13">
      <c r="A155" s="114" t="s">
        <v>339</v>
      </c>
      <c r="B155" s="114" t="s">
        <v>340</v>
      </c>
      <c r="C155" s="115">
        <v>362</v>
      </c>
      <c r="D155" s="116">
        <v>465.11100000000005</v>
      </c>
      <c r="E155" s="116">
        <v>32.439399999999999</v>
      </c>
      <c r="F155" s="117">
        <v>14.337842253555863</v>
      </c>
      <c r="G155" s="118">
        <v>2308357</v>
      </c>
      <c r="H155" s="118">
        <v>3024367</v>
      </c>
      <c r="I155" s="118">
        <v>2071516</v>
      </c>
      <c r="J155" s="118">
        <v>2431414</v>
      </c>
      <c r="K155" s="118">
        <v>3028238</v>
      </c>
      <c r="L155" s="118">
        <v>2262494</v>
      </c>
      <c r="M155" s="118">
        <v>-153204</v>
      </c>
    </row>
    <row r="156" spans="1:13">
      <c r="A156" s="114" t="s">
        <v>278</v>
      </c>
      <c r="B156" s="114" t="s">
        <v>279</v>
      </c>
      <c r="C156" s="115">
        <v>157</v>
      </c>
      <c r="D156" s="116">
        <v>219.041</v>
      </c>
      <c r="E156" s="116">
        <v>18.963999999999999</v>
      </c>
      <c r="F156" s="117">
        <v>11.550358574140477</v>
      </c>
      <c r="G156" s="118">
        <v>1322595</v>
      </c>
      <c r="H156" s="118">
        <v>1163804</v>
      </c>
      <c r="I156" s="118">
        <v>1338510</v>
      </c>
      <c r="J156" s="118">
        <v>1322593</v>
      </c>
      <c r="K156" s="118">
        <v>1163806</v>
      </c>
      <c r="L156" s="118">
        <v>1220490</v>
      </c>
      <c r="M156" s="118">
        <v>-124348</v>
      </c>
    </row>
    <row r="157" spans="1:13">
      <c r="A157" s="114" t="s">
        <v>106</v>
      </c>
      <c r="B157" s="114" t="s">
        <v>107</v>
      </c>
      <c r="C157" s="115">
        <v>140</v>
      </c>
      <c r="D157" s="116">
        <v>206.12400000000002</v>
      </c>
      <c r="E157" s="116">
        <v>20.654700000000002</v>
      </c>
      <c r="F157" s="117">
        <v>9.9795203997153195</v>
      </c>
      <c r="G157" s="118">
        <v>1138774</v>
      </c>
      <c r="H157" s="118">
        <v>1227994</v>
      </c>
      <c r="I157" s="118">
        <v>1208534</v>
      </c>
      <c r="J157" s="118">
        <v>1180635</v>
      </c>
      <c r="K157" s="118">
        <v>1231830</v>
      </c>
      <c r="L157" s="118">
        <v>1170579</v>
      </c>
      <c r="M157" s="118">
        <v>153301</v>
      </c>
    </row>
    <row r="158" spans="1:13">
      <c r="A158" s="114" t="s">
        <v>310</v>
      </c>
      <c r="B158" s="114" t="s">
        <v>311</v>
      </c>
      <c r="C158" s="115">
        <v>238</v>
      </c>
      <c r="D158" s="116">
        <v>309.846</v>
      </c>
      <c r="E158" s="116">
        <v>23.454999999999998</v>
      </c>
      <c r="F158" s="117">
        <v>13.210232359837986</v>
      </c>
      <c r="G158" s="118">
        <v>1495566</v>
      </c>
      <c r="H158" s="118">
        <v>1806081</v>
      </c>
      <c r="I158" s="118">
        <v>1692367</v>
      </c>
      <c r="J158" s="118">
        <v>1936351</v>
      </c>
      <c r="K158" s="118">
        <v>1896473</v>
      </c>
      <c r="L158" s="118">
        <v>1723836</v>
      </c>
      <c r="M158" s="118">
        <v>98563</v>
      </c>
    </row>
    <row r="159" spans="1:13">
      <c r="A159" s="114" t="s">
        <v>78</v>
      </c>
      <c r="B159" s="114" t="s">
        <v>79</v>
      </c>
      <c r="C159" s="115">
        <v>144</v>
      </c>
      <c r="D159" s="116">
        <v>525.28600000000006</v>
      </c>
      <c r="E159" s="116">
        <v>62.863599999999998</v>
      </c>
      <c r="F159" s="117">
        <v>8.355964341844885</v>
      </c>
      <c r="G159" s="118">
        <v>2815909</v>
      </c>
      <c r="H159" s="118">
        <v>3132819</v>
      </c>
      <c r="I159" s="118">
        <v>2768953</v>
      </c>
      <c r="J159" s="118">
        <v>3091127</v>
      </c>
      <c r="K159" s="118">
        <v>3185381</v>
      </c>
      <c r="L159" s="118">
        <v>2822892</v>
      </c>
      <c r="M159" s="118">
        <v>632368</v>
      </c>
    </row>
    <row r="160" spans="1:13">
      <c r="A160" s="114" t="s">
        <v>108</v>
      </c>
      <c r="B160" s="114" t="s">
        <v>109</v>
      </c>
      <c r="C160" s="115">
        <v>387</v>
      </c>
      <c r="D160" s="116">
        <v>533.65600000000006</v>
      </c>
      <c r="E160" s="116">
        <v>37.7986</v>
      </c>
      <c r="F160" s="117">
        <v>14.118406501828112</v>
      </c>
      <c r="G160" s="118">
        <v>1758915</v>
      </c>
      <c r="H160" s="118">
        <v>2566569</v>
      </c>
      <c r="I160" s="118">
        <v>2180726</v>
      </c>
      <c r="J160" s="118">
        <v>1758914</v>
      </c>
      <c r="K160" s="118">
        <v>3126571</v>
      </c>
      <c r="L160" s="118">
        <v>1955354</v>
      </c>
      <c r="M160" s="118">
        <v>91618</v>
      </c>
    </row>
    <row r="161" spans="1:13">
      <c r="A161" s="114" t="s">
        <v>70</v>
      </c>
      <c r="B161" s="114" t="s">
        <v>71</v>
      </c>
      <c r="C161" s="115">
        <v>130</v>
      </c>
      <c r="D161" s="116">
        <v>424.101</v>
      </c>
      <c r="E161" s="116">
        <v>67.469700000000003</v>
      </c>
      <c r="F161" s="117">
        <v>6.2857994032876974</v>
      </c>
      <c r="G161" s="118">
        <v>2785493</v>
      </c>
      <c r="H161" s="118">
        <v>3280987</v>
      </c>
      <c r="I161" s="118">
        <v>2970303</v>
      </c>
      <c r="J161" s="118">
        <v>2785493</v>
      </c>
      <c r="K161" s="118">
        <v>3280987</v>
      </c>
      <c r="L161" s="118">
        <v>2991029</v>
      </c>
      <c r="M161" s="118">
        <v>307277</v>
      </c>
    </row>
    <row r="162" spans="1:13">
      <c r="A162" s="114" t="s">
        <v>80</v>
      </c>
      <c r="B162" s="114" t="s">
        <v>81</v>
      </c>
      <c r="C162" s="115">
        <v>130</v>
      </c>
      <c r="D162" s="116">
        <v>204.79900000000001</v>
      </c>
      <c r="E162" s="116">
        <v>18.417899999999999</v>
      </c>
      <c r="F162" s="117">
        <v>11.119563033787783</v>
      </c>
      <c r="G162" s="118">
        <v>1141815</v>
      </c>
      <c r="H162" s="118">
        <v>1288609</v>
      </c>
      <c r="I162" s="118">
        <v>1188015</v>
      </c>
      <c r="J162" s="118">
        <v>1172390</v>
      </c>
      <c r="K162" s="118">
        <v>1372892</v>
      </c>
      <c r="L162" s="118">
        <v>1366628</v>
      </c>
      <c r="M162" s="118">
        <v>495990</v>
      </c>
    </row>
    <row r="163" spans="1:13">
      <c r="A163" s="114" t="s">
        <v>395</v>
      </c>
      <c r="B163" s="114" t="s">
        <v>396</v>
      </c>
      <c r="C163" s="115">
        <v>326</v>
      </c>
      <c r="D163" s="116">
        <v>389.69800000000004</v>
      </c>
      <c r="E163" s="116">
        <v>30.037700000000001</v>
      </c>
      <c r="F163" s="117">
        <v>12.973629805211452</v>
      </c>
      <c r="G163" s="118">
        <v>2237200</v>
      </c>
      <c r="H163" s="118">
        <v>2311412</v>
      </c>
      <c r="I163" s="118">
        <v>1947524</v>
      </c>
      <c r="J163" s="118">
        <v>2237200</v>
      </c>
      <c r="K163" s="118">
        <v>2311412</v>
      </c>
      <c r="L163" s="118">
        <v>2748377</v>
      </c>
      <c r="M163" s="118">
        <v>1118749</v>
      </c>
    </row>
    <row r="164" spans="1:13">
      <c r="A164" s="114" t="s">
        <v>62</v>
      </c>
      <c r="B164" s="114" t="s">
        <v>63</v>
      </c>
      <c r="C164" s="115">
        <v>495</v>
      </c>
      <c r="D164" s="116">
        <v>624.548</v>
      </c>
      <c r="E164" s="116">
        <v>48.067799999999998</v>
      </c>
      <c r="F164" s="117">
        <v>12.993063963817775</v>
      </c>
      <c r="G164" s="118">
        <v>3515807</v>
      </c>
      <c r="H164" s="118">
        <v>3749963</v>
      </c>
      <c r="I164" s="118">
        <v>3295238</v>
      </c>
      <c r="J164" s="118">
        <v>3517253</v>
      </c>
      <c r="K164" s="118">
        <v>3874934</v>
      </c>
      <c r="L164" s="118">
        <v>3547331</v>
      </c>
      <c r="M164" s="118">
        <v>766969</v>
      </c>
    </row>
    <row r="165" spans="1:13">
      <c r="A165" s="114" t="s">
        <v>148</v>
      </c>
      <c r="B165" s="114" t="s">
        <v>149</v>
      </c>
      <c r="C165" s="115">
        <v>560</v>
      </c>
      <c r="D165" s="116">
        <v>823.67400000000009</v>
      </c>
      <c r="E165" s="116">
        <v>79.597000000000008</v>
      </c>
      <c r="F165" s="117">
        <v>10.34805331859241</v>
      </c>
      <c r="G165" s="118">
        <v>4911683</v>
      </c>
      <c r="H165" s="118">
        <v>4611362</v>
      </c>
      <c r="I165" s="118">
        <v>5129811</v>
      </c>
      <c r="J165" s="118">
        <v>4574992</v>
      </c>
      <c r="K165" s="118">
        <v>4080953</v>
      </c>
      <c r="L165" s="118">
        <v>5293573</v>
      </c>
      <c r="M165" s="118">
        <v>774607</v>
      </c>
    </row>
    <row r="166" spans="1:13">
      <c r="A166" s="114" t="s">
        <v>250</v>
      </c>
      <c r="B166" s="114" t="s">
        <v>251</v>
      </c>
      <c r="C166" s="115">
        <v>376</v>
      </c>
      <c r="D166" s="116">
        <v>482.08600000000001</v>
      </c>
      <c r="E166" s="116">
        <v>48.9377</v>
      </c>
      <c r="F166" s="117">
        <v>9.851014657411362</v>
      </c>
      <c r="G166" s="118">
        <v>2387733</v>
      </c>
      <c r="H166" s="118">
        <v>2487854</v>
      </c>
      <c r="I166" s="118">
        <v>2363096</v>
      </c>
      <c r="J166" s="118">
        <v>2398586</v>
      </c>
      <c r="K166" s="118">
        <v>2574000</v>
      </c>
      <c r="L166" s="118">
        <v>2524033</v>
      </c>
      <c r="M166" s="118">
        <v>-836105</v>
      </c>
    </row>
    <row r="167" spans="1:13">
      <c r="A167" s="114" t="s">
        <v>146</v>
      </c>
      <c r="B167" s="114" t="s">
        <v>147</v>
      </c>
      <c r="C167" s="115">
        <v>482</v>
      </c>
      <c r="D167" s="116">
        <v>607.51200000000006</v>
      </c>
      <c r="E167" s="116">
        <v>50.135800000000003</v>
      </c>
      <c r="F167" s="117">
        <v>12.117329333530133</v>
      </c>
      <c r="G167" s="118">
        <v>2585377</v>
      </c>
      <c r="H167" s="118">
        <v>3165876</v>
      </c>
      <c r="I167" s="118">
        <v>2848986</v>
      </c>
      <c r="J167" s="118">
        <v>2699722</v>
      </c>
      <c r="K167" s="118">
        <v>3248970</v>
      </c>
      <c r="L167" s="118">
        <v>2820349</v>
      </c>
      <c r="M167" s="118">
        <v>360222</v>
      </c>
    </row>
    <row r="168" spans="1:13">
      <c r="A168" s="114" t="s">
        <v>419</v>
      </c>
      <c r="B168" s="114" t="s">
        <v>420</v>
      </c>
      <c r="C168" s="115">
        <v>520</v>
      </c>
      <c r="D168" s="116">
        <v>658.58900000000006</v>
      </c>
      <c r="E168" s="116">
        <v>58.794499999999999</v>
      </c>
      <c r="F168" s="117">
        <v>11.201540960463991</v>
      </c>
      <c r="G168" s="118">
        <v>3918033</v>
      </c>
      <c r="H168" s="118">
        <v>4459186</v>
      </c>
      <c r="I168" s="118">
        <v>3982286</v>
      </c>
      <c r="J168" s="118">
        <v>4172869</v>
      </c>
      <c r="K168" s="118">
        <v>4550196</v>
      </c>
      <c r="L168" s="118">
        <v>4345123</v>
      </c>
      <c r="M168" s="118">
        <v>1557236</v>
      </c>
    </row>
    <row r="169" spans="1:13">
      <c r="A169" s="114" t="s">
        <v>120</v>
      </c>
      <c r="B169" s="114" t="s">
        <v>121</v>
      </c>
      <c r="C169" s="115">
        <v>355</v>
      </c>
      <c r="D169" s="116">
        <v>446.80700000000002</v>
      </c>
      <c r="E169" s="116">
        <v>57.017700000000005</v>
      </c>
      <c r="F169" s="117">
        <v>7.8362859252477737</v>
      </c>
      <c r="G169" s="118">
        <v>2078900</v>
      </c>
      <c r="H169" s="118">
        <v>2564072</v>
      </c>
      <c r="I169" s="118">
        <v>2227936</v>
      </c>
      <c r="J169" s="118">
        <v>2345615</v>
      </c>
      <c r="K169" s="118">
        <v>2612411</v>
      </c>
      <c r="L169" s="118">
        <v>2519361</v>
      </c>
      <c r="M169" s="118">
        <v>1658477</v>
      </c>
    </row>
    <row r="170" spans="1:13">
      <c r="A170" s="114" t="s">
        <v>314</v>
      </c>
      <c r="B170" s="114" t="s">
        <v>315</v>
      </c>
      <c r="C170" s="115">
        <v>167</v>
      </c>
      <c r="D170" s="116">
        <v>226.84900000000002</v>
      </c>
      <c r="E170" s="116">
        <v>15.663399999999999</v>
      </c>
      <c r="F170" s="117">
        <v>14.482743210286403</v>
      </c>
      <c r="G170" s="118">
        <v>1256331</v>
      </c>
      <c r="H170" s="118">
        <v>1221606</v>
      </c>
      <c r="I170" s="118">
        <v>1414177</v>
      </c>
      <c r="J170" s="118">
        <v>1455716</v>
      </c>
      <c r="K170" s="118">
        <v>1371293</v>
      </c>
      <c r="L170" s="118">
        <v>1377251</v>
      </c>
      <c r="M170" s="118">
        <v>189501</v>
      </c>
    </row>
    <row r="171" spans="1:13">
      <c r="A171" s="114" t="s">
        <v>174</v>
      </c>
      <c r="B171" s="114" t="s">
        <v>175</v>
      </c>
      <c r="C171" s="115">
        <v>2182</v>
      </c>
      <c r="D171" s="116">
        <v>2807.3050000000003</v>
      </c>
      <c r="E171" s="116">
        <v>176.89920000000001</v>
      </c>
      <c r="F171" s="117">
        <v>15.869517781878042</v>
      </c>
      <c r="G171" s="118">
        <v>11815973</v>
      </c>
      <c r="H171" s="118">
        <v>15441137</v>
      </c>
      <c r="I171" s="118">
        <v>11611949</v>
      </c>
      <c r="J171" s="118">
        <v>12886683</v>
      </c>
      <c r="K171" s="118">
        <v>15522662</v>
      </c>
      <c r="L171" s="118">
        <v>14081293</v>
      </c>
      <c r="M171" s="118">
        <v>1922594</v>
      </c>
    </row>
    <row r="172" spans="1:13">
      <c r="A172" s="114" t="s">
        <v>375</v>
      </c>
      <c r="B172" s="114" t="s">
        <v>376</v>
      </c>
      <c r="C172" s="115">
        <v>152</v>
      </c>
      <c r="D172" s="116">
        <v>191.005</v>
      </c>
      <c r="E172" s="116">
        <v>17.397299999999998</v>
      </c>
      <c r="F172" s="117">
        <v>10.979002488891956</v>
      </c>
      <c r="G172" s="118">
        <v>890115</v>
      </c>
      <c r="H172" s="118">
        <v>1004881</v>
      </c>
      <c r="I172" s="118">
        <v>917582</v>
      </c>
      <c r="J172" s="118">
        <v>979600</v>
      </c>
      <c r="K172" s="118">
        <v>1125629</v>
      </c>
      <c r="L172" s="118">
        <v>1055604</v>
      </c>
      <c r="M172" s="118">
        <v>310865</v>
      </c>
    </row>
    <row r="173" spans="1:13">
      <c r="A173" s="114" t="s">
        <v>94</v>
      </c>
      <c r="B173" s="114" t="s">
        <v>95</v>
      </c>
      <c r="C173" s="115">
        <v>344</v>
      </c>
      <c r="D173" s="116">
        <v>456.22700000000003</v>
      </c>
      <c r="E173" s="116">
        <v>30.962599999999998</v>
      </c>
      <c r="F173" s="117">
        <v>14.734776795230376</v>
      </c>
      <c r="G173" s="118">
        <v>1731883</v>
      </c>
      <c r="H173" s="118">
        <v>2369500</v>
      </c>
      <c r="I173" s="118">
        <v>2002645</v>
      </c>
      <c r="J173" s="118">
        <v>1771548</v>
      </c>
      <c r="K173" s="118">
        <v>2456813</v>
      </c>
      <c r="L173" s="118">
        <v>2796312</v>
      </c>
      <c r="M173" s="118">
        <v>-55676</v>
      </c>
    </row>
    <row r="174" spans="1:13">
      <c r="A174" s="114" t="s">
        <v>369</v>
      </c>
      <c r="B174" s="114" t="s">
        <v>370</v>
      </c>
      <c r="C174" s="115">
        <v>645</v>
      </c>
      <c r="D174" s="116">
        <v>933.94200000000001</v>
      </c>
      <c r="E174" s="116">
        <v>73.522599999999997</v>
      </c>
      <c r="F174" s="117">
        <v>12.70278798627905</v>
      </c>
      <c r="G174" s="118">
        <v>4499098</v>
      </c>
      <c r="H174" s="118">
        <v>5384624</v>
      </c>
      <c r="I174" s="118">
        <v>4229470</v>
      </c>
      <c r="J174" s="118">
        <v>4499099</v>
      </c>
      <c r="K174" s="118">
        <v>5384624</v>
      </c>
      <c r="L174" s="118">
        <v>5003590</v>
      </c>
      <c r="M174" s="118">
        <v>16248319</v>
      </c>
    </row>
    <row r="175" spans="1:13">
      <c r="A175" s="114" t="s">
        <v>308</v>
      </c>
      <c r="B175" s="114" t="s">
        <v>309</v>
      </c>
      <c r="C175" s="115">
        <v>7096</v>
      </c>
      <c r="D175" s="116">
        <v>8613.3350000000009</v>
      </c>
      <c r="E175" s="116">
        <v>624.91790000000003</v>
      </c>
      <c r="F175" s="117">
        <v>13.783146554131351</v>
      </c>
      <c r="G175" s="118">
        <v>34634156</v>
      </c>
      <c r="H175" s="118">
        <v>53238908</v>
      </c>
      <c r="I175" s="118">
        <v>34977815</v>
      </c>
      <c r="J175" s="118">
        <v>35920927</v>
      </c>
      <c r="K175" s="118">
        <v>47816449</v>
      </c>
      <c r="L175" s="118">
        <v>38652159</v>
      </c>
      <c r="M175" s="118">
        <v>6264588</v>
      </c>
    </row>
    <row r="176" spans="1:13">
      <c r="A176" s="114" t="s">
        <v>391</v>
      </c>
      <c r="B176" s="114" t="s">
        <v>392</v>
      </c>
      <c r="C176" s="115">
        <v>745</v>
      </c>
      <c r="D176" s="116">
        <v>1022.654</v>
      </c>
      <c r="E176" s="116">
        <v>104.26559999999999</v>
      </c>
      <c r="F176" s="117">
        <v>9.8081629991099657</v>
      </c>
      <c r="G176" s="118">
        <v>4511569</v>
      </c>
      <c r="H176" s="118">
        <v>5687362</v>
      </c>
      <c r="I176" s="118">
        <v>4610110</v>
      </c>
      <c r="J176" s="118">
        <v>5033259</v>
      </c>
      <c r="K176" s="118">
        <v>5502972</v>
      </c>
      <c r="L176" s="118">
        <v>4894955</v>
      </c>
      <c r="M176" s="118">
        <v>-46509</v>
      </c>
    </row>
    <row r="177" spans="1:13">
      <c r="A177" s="114" t="s">
        <v>58</v>
      </c>
      <c r="B177" s="114" t="s">
        <v>59</v>
      </c>
      <c r="C177" s="115">
        <v>257</v>
      </c>
      <c r="D177" s="116">
        <v>262.08100000000002</v>
      </c>
      <c r="E177" s="116">
        <v>46.000300000000003</v>
      </c>
      <c r="F177" s="117">
        <v>5.6973758866789996</v>
      </c>
      <c r="G177" s="118">
        <v>2174918</v>
      </c>
      <c r="H177" s="118">
        <v>1963241</v>
      </c>
      <c r="I177" s="118">
        <v>1577138</v>
      </c>
      <c r="J177" s="118">
        <v>2174918</v>
      </c>
      <c r="K177" s="118">
        <v>1963748</v>
      </c>
      <c r="L177" s="118">
        <v>236576</v>
      </c>
      <c r="M177" s="118">
        <v>6924</v>
      </c>
    </row>
    <row r="178" spans="1:13">
      <c r="A178" s="114" t="s">
        <v>124</v>
      </c>
      <c r="B178" s="114" t="s">
        <v>125</v>
      </c>
      <c r="C178" s="115">
        <v>232</v>
      </c>
      <c r="D178" s="116">
        <v>323.80500000000001</v>
      </c>
      <c r="E178" s="116">
        <v>24.285900000000002</v>
      </c>
      <c r="F178" s="117">
        <v>13.33304510024335</v>
      </c>
      <c r="G178" s="118">
        <v>1649784</v>
      </c>
      <c r="H178" s="118">
        <v>1957917</v>
      </c>
      <c r="I178" s="118">
        <v>1553491</v>
      </c>
      <c r="J178" s="118">
        <v>1733259</v>
      </c>
      <c r="K178" s="118">
        <v>2030131</v>
      </c>
      <c r="L178" s="118">
        <v>1831066</v>
      </c>
      <c r="M178" s="118">
        <v>644565</v>
      </c>
    </row>
    <row r="179" spans="1:13">
      <c r="A179" s="114" t="s">
        <v>268</v>
      </c>
      <c r="B179" s="114" t="s">
        <v>269</v>
      </c>
      <c r="C179" s="115">
        <v>728</v>
      </c>
      <c r="D179" s="116">
        <v>1006.273</v>
      </c>
      <c r="E179" s="116">
        <v>95.396000000000001</v>
      </c>
      <c r="F179" s="117">
        <v>10.54837729045243</v>
      </c>
      <c r="G179" s="118">
        <v>5090016</v>
      </c>
      <c r="H179" s="118">
        <v>5594610</v>
      </c>
      <c r="I179" s="118">
        <v>5427184</v>
      </c>
      <c r="J179" s="118">
        <v>5500134</v>
      </c>
      <c r="K179" s="118">
        <v>5751473</v>
      </c>
      <c r="L179" s="118">
        <v>5700380</v>
      </c>
      <c r="M179" s="118">
        <v>457302</v>
      </c>
    </row>
    <row r="180" spans="1:13">
      <c r="A180" s="114" t="s">
        <v>377</v>
      </c>
      <c r="B180" s="114" t="s">
        <v>378</v>
      </c>
      <c r="C180" s="115">
        <v>251</v>
      </c>
      <c r="D180" s="116">
        <v>360.48900000000003</v>
      </c>
      <c r="E180" s="116">
        <v>31.596599999999999</v>
      </c>
      <c r="F180" s="117">
        <v>11.409107309014262</v>
      </c>
      <c r="G180" s="118">
        <v>1447928</v>
      </c>
      <c r="H180" s="118">
        <v>1724675</v>
      </c>
      <c r="I180" s="118">
        <v>1910261</v>
      </c>
      <c r="J180" s="118">
        <v>1511422</v>
      </c>
      <c r="K180" s="118">
        <v>1773008</v>
      </c>
      <c r="L180" s="118">
        <v>1914042</v>
      </c>
      <c r="M180" s="118">
        <v>53913</v>
      </c>
    </row>
    <row r="181" spans="1:13">
      <c r="A181" s="114" t="s">
        <v>409</v>
      </c>
      <c r="B181" s="114" t="s">
        <v>410</v>
      </c>
      <c r="C181" s="115">
        <v>752</v>
      </c>
      <c r="D181" s="116">
        <v>2216.5610000000001</v>
      </c>
      <c r="E181" s="116">
        <v>193.59559999999999</v>
      </c>
      <c r="F181" s="117">
        <v>11.449438933529482</v>
      </c>
      <c r="G181" s="118">
        <v>15766856</v>
      </c>
      <c r="H181" s="118">
        <v>13060539</v>
      </c>
      <c r="I181" s="118">
        <v>14583086</v>
      </c>
      <c r="J181" s="118">
        <v>15390691</v>
      </c>
      <c r="K181" s="118">
        <v>13060533</v>
      </c>
      <c r="L181" s="118">
        <v>16270803</v>
      </c>
      <c r="M181" s="118">
        <v>6779166</v>
      </c>
    </row>
    <row r="182" spans="1:13">
      <c r="A182" s="114" t="s">
        <v>363</v>
      </c>
      <c r="B182" s="114" t="s">
        <v>364</v>
      </c>
      <c r="C182" s="115">
        <v>346</v>
      </c>
      <c r="D182" s="116">
        <v>418.09</v>
      </c>
      <c r="E182" s="116">
        <v>25.061299999999999</v>
      </c>
      <c r="F182" s="117">
        <v>16.682694034228074</v>
      </c>
      <c r="G182" s="118">
        <v>1907031</v>
      </c>
      <c r="H182" s="118">
        <v>2044668</v>
      </c>
      <c r="I182" s="118">
        <v>1968433</v>
      </c>
      <c r="J182" s="118">
        <v>2139708</v>
      </c>
      <c r="K182" s="118">
        <v>2407388</v>
      </c>
      <c r="L182" s="118">
        <v>2183012</v>
      </c>
      <c r="M182" s="118">
        <v>824458</v>
      </c>
    </row>
    <row r="183" spans="1:13">
      <c r="A183" s="114" t="s">
        <v>184</v>
      </c>
      <c r="B183" s="114" t="s">
        <v>185</v>
      </c>
      <c r="C183" s="115">
        <v>1930</v>
      </c>
      <c r="D183" s="116">
        <v>2544.7490000000003</v>
      </c>
      <c r="E183" s="116">
        <v>165.40360000000001</v>
      </c>
      <c r="F183" s="117">
        <v>15.385088353578762</v>
      </c>
      <c r="G183" s="118">
        <v>7513453</v>
      </c>
      <c r="H183" s="118">
        <v>14286715</v>
      </c>
      <c r="I183" s="118">
        <v>7637229</v>
      </c>
      <c r="J183" s="118">
        <v>7562905</v>
      </c>
      <c r="K183" s="118">
        <v>14315458</v>
      </c>
      <c r="L183" s="118">
        <v>8538140</v>
      </c>
      <c r="M183" s="118">
        <v>8329611</v>
      </c>
    </row>
    <row r="184" spans="1:13">
      <c r="A184" s="114" t="s">
        <v>92</v>
      </c>
      <c r="B184" s="114" t="s">
        <v>93</v>
      </c>
      <c r="C184" s="115">
        <v>221</v>
      </c>
      <c r="D184" s="116">
        <v>321.99900000000002</v>
      </c>
      <c r="E184" s="116">
        <v>33.348700000000001</v>
      </c>
      <c r="F184" s="117">
        <v>9.6555188058305124</v>
      </c>
      <c r="G184" s="118">
        <v>1481335</v>
      </c>
      <c r="H184" s="118">
        <v>1647286</v>
      </c>
      <c r="I184" s="118">
        <v>1544625</v>
      </c>
      <c r="J184" s="118">
        <v>1742569</v>
      </c>
      <c r="K184" s="118">
        <v>1858035</v>
      </c>
      <c r="L184" s="118">
        <v>1831098</v>
      </c>
      <c r="M184" s="118">
        <v>255579</v>
      </c>
    </row>
    <row r="185" spans="1:13">
      <c r="A185" s="114" t="s">
        <v>64</v>
      </c>
      <c r="B185" s="114" t="s">
        <v>65</v>
      </c>
      <c r="C185" s="115">
        <v>363</v>
      </c>
      <c r="D185" s="116">
        <v>499.32</v>
      </c>
      <c r="E185" s="116">
        <v>40.951300000000003</v>
      </c>
      <c r="F185" s="117">
        <v>12.193019513422039</v>
      </c>
      <c r="G185" s="118">
        <v>2627140</v>
      </c>
      <c r="H185" s="118">
        <v>2428623</v>
      </c>
      <c r="I185" s="118">
        <v>2976247</v>
      </c>
      <c r="J185" s="118">
        <v>2478873</v>
      </c>
      <c r="K185" s="118">
        <v>2270829</v>
      </c>
      <c r="L185" s="118">
        <v>2940743</v>
      </c>
      <c r="M185" s="118">
        <v>386511</v>
      </c>
    </row>
    <row r="186" spans="1:13">
      <c r="A186" s="114" t="s">
        <v>407</v>
      </c>
      <c r="B186" s="114" t="s">
        <v>408</v>
      </c>
      <c r="C186" s="115">
        <v>259</v>
      </c>
      <c r="D186" s="116">
        <v>371.63300000000004</v>
      </c>
      <c r="E186" s="116">
        <v>34.7669</v>
      </c>
      <c r="F186" s="117">
        <v>10.689276294406463</v>
      </c>
      <c r="G186" s="118">
        <v>2000600</v>
      </c>
      <c r="H186" s="118">
        <v>1766928</v>
      </c>
      <c r="I186" s="118">
        <v>1843173</v>
      </c>
      <c r="J186" s="118">
        <v>1987004</v>
      </c>
      <c r="K186" s="118">
        <v>1939590</v>
      </c>
      <c r="L186" s="118">
        <v>2045221</v>
      </c>
      <c r="M186" s="118">
        <v>845681</v>
      </c>
    </row>
    <row r="187" spans="1:13">
      <c r="A187" s="114" t="s">
        <v>224</v>
      </c>
      <c r="B187" s="114" t="s">
        <v>225</v>
      </c>
      <c r="C187" s="115">
        <v>992</v>
      </c>
      <c r="D187" s="116">
        <v>1494.38</v>
      </c>
      <c r="E187" s="116">
        <v>130.66220000000001</v>
      </c>
      <c r="F187" s="117">
        <v>11.436972590389569</v>
      </c>
      <c r="G187" s="118">
        <v>5830689</v>
      </c>
      <c r="H187" s="118">
        <v>8530789</v>
      </c>
      <c r="I187" s="118">
        <v>8338123</v>
      </c>
      <c r="J187" s="118">
        <v>5362185</v>
      </c>
      <c r="K187" s="118">
        <v>8530786</v>
      </c>
      <c r="L187" s="118">
        <v>10281540</v>
      </c>
      <c r="M187" s="118">
        <v>3669674</v>
      </c>
    </row>
    <row r="188" spans="1:13">
      <c r="A188" s="114" t="s">
        <v>66</v>
      </c>
      <c r="B188" s="114" t="s">
        <v>67</v>
      </c>
      <c r="C188" s="115">
        <v>375</v>
      </c>
      <c r="D188" s="116">
        <v>468.774</v>
      </c>
      <c r="E188" s="116">
        <v>43.601500000000001</v>
      </c>
      <c r="F188" s="117">
        <v>10.751327362590736</v>
      </c>
      <c r="G188" s="118">
        <v>2326921</v>
      </c>
      <c r="H188" s="118">
        <v>2741661</v>
      </c>
      <c r="I188" s="118">
        <v>2397845</v>
      </c>
      <c r="J188" s="118">
        <v>2330927</v>
      </c>
      <c r="K188" s="118">
        <v>2741914</v>
      </c>
      <c r="L188" s="118">
        <v>2443285</v>
      </c>
      <c r="M188" s="118">
        <v>254319</v>
      </c>
    </row>
    <row r="189" spans="1:13">
      <c r="A189" s="114" t="s">
        <v>383</v>
      </c>
      <c r="B189" s="114" t="s">
        <v>384</v>
      </c>
      <c r="C189" s="115">
        <v>179</v>
      </c>
      <c r="D189" s="116">
        <v>274.21600000000001</v>
      </c>
      <c r="E189" s="116">
        <v>22.213899999999999</v>
      </c>
      <c r="F189" s="117">
        <v>12.344342956437186</v>
      </c>
      <c r="G189" s="118">
        <v>1076421</v>
      </c>
      <c r="H189" s="118">
        <v>2217591</v>
      </c>
      <c r="I189" s="118">
        <v>1388384</v>
      </c>
      <c r="J189" s="118">
        <v>1076422</v>
      </c>
      <c r="K189" s="118">
        <v>2263090</v>
      </c>
      <c r="L189" s="118">
        <v>827031</v>
      </c>
      <c r="M189" s="118">
        <v>-618109</v>
      </c>
    </row>
    <row r="190" spans="1:13">
      <c r="A190" s="114" t="s">
        <v>150</v>
      </c>
      <c r="B190" s="114" t="s">
        <v>151</v>
      </c>
      <c r="C190" s="115">
        <v>76</v>
      </c>
      <c r="D190" s="116">
        <v>120.489</v>
      </c>
      <c r="E190" s="116">
        <v>13.532999999999999</v>
      </c>
      <c r="F190" s="117">
        <v>8.9033473730880086</v>
      </c>
      <c r="G190" s="118">
        <v>873525</v>
      </c>
      <c r="H190" s="118">
        <v>723222</v>
      </c>
      <c r="I190" s="118">
        <v>835206</v>
      </c>
      <c r="J190" s="118">
        <v>898739</v>
      </c>
      <c r="K190" s="118">
        <v>723222</v>
      </c>
      <c r="L190" s="118">
        <v>919861</v>
      </c>
      <c r="M190" s="118">
        <v>-218649</v>
      </c>
    </row>
    <row r="191" spans="1:13">
      <c r="A191" s="114" t="s">
        <v>298</v>
      </c>
      <c r="B191" s="114" t="s">
        <v>299</v>
      </c>
      <c r="C191" s="115">
        <v>96</v>
      </c>
      <c r="D191" s="116">
        <v>253.57</v>
      </c>
      <c r="E191" s="116">
        <v>21.65</v>
      </c>
      <c r="F191" s="117">
        <v>11.712240184757507</v>
      </c>
      <c r="G191" s="118">
        <v>1203841</v>
      </c>
      <c r="H191" s="118">
        <v>1551429</v>
      </c>
      <c r="I191" s="118">
        <v>1253417</v>
      </c>
      <c r="J191" s="118">
        <v>1299025</v>
      </c>
      <c r="K191" s="118">
        <v>1553189</v>
      </c>
      <c r="L191" s="118">
        <v>1562371</v>
      </c>
      <c r="M191" s="118">
        <v>454235</v>
      </c>
    </row>
    <row r="192" spans="1:13">
      <c r="A192" s="114" t="s">
        <v>276</v>
      </c>
      <c r="B192" s="114" t="s">
        <v>277</v>
      </c>
      <c r="C192" s="115">
        <v>307</v>
      </c>
      <c r="D192" s="116">
        <v>325.32300000000004</v>
      </c>
      <c r="E192" s="116">
        <v>47.336199999999998</v>
      </c>
      <c r="F192" s="117">
        <v>6.872604898576566</v>
      </c>
      <c r="G192" s="118">
        <v>1501195</v>
      </c>
      <c r="H192" s="118">
        <v>1901530</v>
      </c>
      <c r="I192" s="118">
        <v>1511139</v>
      </c>
      <c r="J192" s="118">
        <v>1500681</v>
      </c>
      <c r="K192" s="118">
        <v>2177101</v>
      </c>
      <c r="L192" s="118">
        <v>1490235</v>
      </c>
      <c r="M192" s="118">
        <v>-1416521</v>
      </c>
    </row>
    <row r="193" spans="1:13">
      <c r="A193" s="114" t="s">
        <v>304</v>
      </c>
      <c r="B193" s="114" t="s">
        <v>305</v>
      </c>
      <c r="C193" s="115">
        <v>110</v>
      </c>
      <c r="D193" s="116">
        <v>304.70400000000001</v>
      </c>
      <c r="E193" s="116">
        <v>35</v>
      </c>
      <c r="F193" s="117">
        <v>8.7058285714285724</v>
      </c>
      <c r="G193" s="118">
        <v>2305864</v>
      </c>
      <c r="H193" s="118">
        <v>2124536</v>
      </c>
      <c r="I193" s="118">
        <v>2280573</v>
      </c>
      <c r="J193" s="118">
        <v>2305864</v>
      </c>
      <c r="K193" s="118">
        <v>2124535</v>
      </c>
      <c r="L193" s="118">
        <v>2061554</v>
      </c>
      <c r="M193" s="118">
        <v>1454163</v>
      </c>
    </row>
    <row r="194" spans="1:13">
      <c r="A194" s="114" t="s">
        <v>152</v>
      </c>
      <c r="B194" s="114" t="s">
        <v>153</v>
      </c>
      <c r="C194" s="115">
        <v>475</v>
      </c>
      <c r="D194" s="116">
        <v>826.33800000000008</v>
      </c>
      <c r="E194" s="116">
        <v>83.092799999999997</v>
      </c>
      <c r="F194" s="117">
        <v>9.9447605568713549</v>
      </c>
      <c r="G194" s="118">
        <v>4510579</v>
      </c>
      <c r="H194" s="118">
        <v>4785346</v>
      </c>
      <c r="I194" s="118">
        <v>4150424</v>
      </c>
      <c r="J194" s="118">
        <v>4492435</v>
      </c>
      <c r="K194" s="118">
        <v>4785345</v>
      </c>
      <c r="L194" s="118">
        <v>5326175</v>
      </c>
      <c r="M194" s="118">
        <v>1628757</v>
      </c>
    </row>
    <row r="195" spans="1:13">
      <c r="A195" s="114" t="s">
        <v>188</v>
      </c>
      <c r="B195" s="114" t="s">
        <v>189</v>
      </c>
      <c r="C195" s="115">
        <v>632</v>
      </c>
      <c r="D195" s="116">
        <v>855.88700000000006</v>
      </c>
      <c r="E195" s="116">
        <v>55.000799999999998</v>
      </c>
      <c r="F195" s="117">
        <v>15.561355471193147</v>
      </c>
      <c r="G195" s="118">
        <v>3206877</v>
      </c>
      <c r="H195" s="118">
        <v>4588130</v>
      </c>
      <c r="I195" s="118">
        <v>3329487</v>
      </c>
      <c r="J195" s="118">
        <v>3753911</v>
      </c>
      <c r="K195" s="118">
        <v>4778141</v>
      </c>
      <c r="L195" s="118">
        <v>4419564</v>
      </c>
      <c r="M195" s="118">
        <v>1728134</v>
      </c>
    </row>
    <row r="196" spans="1:13">
      <c r="A196" s="114" t="s">
        <v>84</v>
      </c>
      <c r="B196" s="114" t="s">
        <v>85</v>
      </c>
      <c r="C196" s="115">
        <v>187</v>
      </c>
      <c r="D196" s="116">
        <v>242.00700000000001</v>
      </c>
      <c r="E196" s="116">
        <v>24.2789</v>
      </c>
      <c r="F196" s="117">
        <v>9.9677909625230132</v>
      </c>
      <c r="G196" s="118">
        <v>1382809</v>
      </c>
      <c r="H196" s="118">
        <v>1249199</v>
      </c>
      <c r="I196" s="118">
        <v>1486070</v>
      </c>
      <c r="J196" s="118">
        <v>1445550</v>
      </c>
      <c r="K196" s="118">
        <v>1940337</v>
      </c>
      <c r="L196" s="118">
        <v>1410509</v>
      </c>
      <c r="M196" s="118">
        <v>1</v>
      </c>
    </row>
  </sheetData>
  <sheetProtection sheet="1" objects="1" scenarios="1"/>
  <sortState ref="A2:M1030">
    <sortCondition ref="A2:A1030"/>
  </sortState>
  <pageMargins left="0.7" right="0.7" top="0.75" bottom="0.75" header="0.3" footer="0.3"/>
  <pageSetup scale="65" orientation="landscape" r:id="rId1"/>
  <headerFooter>
    <oddFooter>&amp;L&amp;D&amp;CTEA Data&amp;RTexas Education Agency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selection sqref="A1:XFD1048576"/>
    </sheetView>
  </sheetViews>
  <sheetFormatPr defaultRowHeight="12.75"/>
  <cols>
    <col min="2" max="3" width="14.140625" customWidth="1"/>
    <col min="5" max="5" width="11.28515625" bestFit="1" customWidth="1"/>
  </cols>
  <sheetData>
    <row r="1" spans="1:5" ht="51">
      <c r="A1" s="212" t="s">
        <v>21</v>
      </c>
      <c r="B1" s="211" t="s">
        <v>434</v>
      </c>
      <c r="C1" s="210" t="s">
        <v>459</v>
      </c>
      <c r="E1" s="95"/>
    </row>
    <row r="2" spans="1:5">
      <c r="A2">
        <v>1</v>
      </c>
      <c r="B2">
        <v>1</v>
      </c>
      <c r="C2" s="96">
        <v>9.74</v>
      </c>
      <c r="E2" s="121"/>
    </row>
    <row r="3" spans="1:5">
      <c r="A3">
        <v>2</v>
      </c>
      <c r="B3">
        <v>100</v>
      </c>
      <c r="C3" s="96">
        <v>10.18</v>
      </c>
    </row>
    <row r="4" spans="1:5">
      <c r="A4">
        <v>3</v>
      </c>
      <c r="B4">
        <v>250</v>
      </c>
      <c r="C4" s="96">
        <v>11.73</v>
      </c>
    </row>
    <row r="5" spans="1:5">
      <c r="A5">
        <v>4</v>
      </c>
      <c r="B5">
        <v>500</v>
      </c>
      <c r="C5" s="96">
        <v>11.99</v>
      </c>
    </row>
    <row r="6" spans="1:5">
      <c r="A6">
        <v>5</v>
      </c>
      <c r="B6">
        <v>1000</v>
      </c>
      <c r="C6" s="96">
        <v>11.97</v>
      </c>
    </row>
    <row r="7" spans="1:5">
      <c r="A7">
        <v>6</v>
      </c>
      <c r="B7">
        <v>1600</v>
      </c>
      <c r="C7" s="96">
        <v>12.48</v>
      </c>
    </row>
    <row r="8" spans="1:5">
      <c r="A8">
        <v>7</v>
      </c>
      <c r="B8">
        <v>3000</v>
      </c>
      <c r="C8" s="96">
        <v>14.61</v>
      </c>
    </row>
    <row r="9" spans="1:5">
      <c r="A9">
        <v>8</v>
      </c>
      <c r="B9">
        <v>5000</v>
      </c>
      <c r="C9" s="96">
        <v>13.26</v>
      </c>
    </row>
    <row r="10" spans="1:5">
      <c r="A10">
        <v>9</v>
      </c>
      <c r="B10">
        <v>10000</v>
      </c>
      <c r="C10" s="96">
        <v>12.07</v>
      </c>
    </row>
  </sheetData>
  <sheetProtection sheet="1" objects="1" scenarios="1"/>
  <pageMargins left="0.7" right="0.7" top="0.75" bottom="0.75" header="0.3" footer="0.3"/>
  <pageSetup orientation="portrait" r:id="rId1"/>
  <headerFooter>
    <oddFooter>&amp;L&amp;D&amp;CStatewide Averages&amp;RTexas Education Agency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</vt:lpstr>
      <vt:lpstr>FinReview</vt:lpstr>
      <vt:lpstr>TEAData</vt:lpstr>
      <vt:lpstr>Average</vt:lpstr>
      <vt:lpstr>FinReview!Print_Area</vt:lpstr>
    </vt:vector>
  </TitlesOfParts>
  <Company>Texas Education Agency</Company>
  <LinksUpToDate>false</LinksUpToDate>
  <SharedDoc>false</SharedDoc>
  <HyperlinkBase>C:\Documents and Settings\dcohen\Local Settings\Temporary Internet Files\OLK2\</HyperlinkBase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dcohen</dc:creator>
  <cp:lastModifiedBy>Belinda Dyer</cp:lastModifiedBy>
  <cp:lastPrinted>2012-02-10T14:15:29Z</cp:lastPrinted>
  <dcterms:created xsi:type="dcterms:W3CDTF">2008-02-01T17:47:44Z</dcterms:created>
  <dcterms:modified xsi:type="dcterms:W3CDTF">2012-02-10T18:00:03Z</dcterms:modified>
</cp:coreProperties>
</file>