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7.3" sheetId="1" r:id="rId1"/>
  </sheets>
  <externalReferences>
    <externalReference r:id="rId2"/>
    <externalReference r:id="rId3"/>
  </externalReferences>
  <definedNames>
    <definedName name="_xlnm.Print_Area" localSheetId="0">'Table 7.3'!$A$3:$L$60</definedName>
  </definedNames>
  <calcPr calcId="145621"/>
</workbook>
</file>

<file path=xl/calcChain.xml><?xml version="1.0" encoding="utf-8"?>
<calcChain xmlns="http://schemas.openxmlformats.org/spreadsheetml/2006/main">
  <c r="I59" i="1" l="1"/>
  <c r="B52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F35" i="1" s="1"/>
  <c r="E22" i="1"/>
  <c r="E35" i="1" s="1"/>
  <c r="D22" i="1"/>
  <c r="D35" i="1" s="1"/>
  <c r="C22" i="1"/>
  <c r="C35" i="1" s="1"/>
  <c r="B22" i="1"/>
  <c r="B35" i="1" s="1"/>
</calcChain>
</file>

<file path=xl/sharedStrings.xml><?xml version="1.0" encoding="utf-8"?>
<sst xmlns="http://schemas.openxmlformats.org/spreadsheetml/2006/main" count="41" uniqueCount="28">
  <si>
    <t>Monthly Statistical Bulletin</t>
  </si>
  <si>
    <t>7.3 Overseas arrivals—visitors and settlers</t>
  </si>
  <si>
    <t>Month</t>
  </si>
  <si>
    <t>2008–09</t>
  </si>
  <si>
    <t>2009–10</t>
  </si>
  <si>
    <t>2010–11</t>
  </si>
  <si>
    <t>2011–12</t>
  </si>
  <si>
    <t>2012–13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</si>
  <si>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</si>
  <si>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</si>
  <si>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</si>
  <si>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</si>
  <si>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</si>
  <si>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</si>
  <si>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</si>
  <si>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</si>
  <si>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</si>
  <si>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</si>
  <si>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</si>
  <si>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</si>
  <si>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</si>
  <si>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</si>
  <si>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</si>
  <si>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</si>
  <si>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</si>
  <si>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</si>
  <si>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</si>
  <si>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Overseas arrivals and departures</t>
    </r>
    <r>
      <rPr>
        <sz val="8"/>
        <color indexed="30"/>
        <rFont val="Times New Roman"/>
        <family val="1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</si>
</sst>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70C0"/>
      <name val="Times New Roman"/>
      <family val="1"/>
    </font>
    <font>
      <sz val="9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2" applyFont="1" applyAlignment="1" applyProtection="1"/>
    <xf numFmtId="0" fontId="3" fillId="0" borderId="0" xfId="0" applyNumberFormat="1" applyFont="1"/>
    <xf numFmtId="0" fontId="0" fillId="0" borderId="0" xfId="0" applyNumberForma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Border="1"/>
    <xf numFmtId="164" fontId="5" fillId="0" borderId="0" xfId="0" applyNumberFormat="1" applyFont="1"/>
    <xf numFmtId="165" fontId="3" fillId="0" borderId="0" xfId="0" applyNumberFormat="1" applyFont="1" applyAlignment="1"/>
    <xf numFmtId="165" fontId="6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9" fillId="0" borderId="0" xfId="0" applyFont="1"/>
    <xf numFmtId="0" fontId="8" fillId="0" borderId="0" xfId="0" applyFont="1"/>
    <xf numFmtId="168" fontId="8" fillId="0" borderId="0" xfId="0" applyNumberFormat="1" applyFont="1" applyAlignment="1" applyProtection="1">
      <alignment horizontal="right"/>
    </xf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3" fillId="0" borderId="0" xfId="2" quotePrefix="1" applyFont="1" applyAlignment="1" applyProtection="1"/>
    <xf numFmtId="0" fontId="16" fillId="0" borderId="0" xfId="2" applyFont="1" applyAlignment="1" applyProtection="1"/>
    <xf numFmtId="15" fontId="11" fillId="0" borderId="0" xfId="0" quotePrefix="1" applyNumberFormat="1" applyFont="1" applyAlignment="1">
      <alignment horizontal="left"/>
    </xf>
  </cellXfs>
  <cellStyles count="11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996600477208771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7.3'!$A$460:$A$530</c:f>
              <c:numCache>
                <c:formatCode>mmm\ yy</c:formatCode>
                <c:ptCount val="71"/>
                <c:pt idx="0">
                  <c:v>39234</c:v>
                </c:pt>
                <c:pt idx="1">
                  <c:v>39264</c:v>
                </c:pt>
                <c:pt idx="2">
                  <c:v>39295</c:v>
                </c:pt>
                <c:pt idx="3">
                  <c:v>39326</c:v>
                </c:pt>
                <c:pt idx="4">
                  <c:v>39356</c:v>
                </c:pt>
                <c:pt idx="5">
                  <c:v>39387</c:v>
                </c:pt>
                <c:pt idx="6">
                  <c:v>39417</c:v>
                </c:pt>
                <c:pt idx="7">
                  <c:v>39448</c:v>
                </c:pt>
                <c:pt idx="8">
                  <c:v>39479</c:v>
                </c:pt>
                <c:pt idx="9">
                  <c:v>39508</c:v>
                </c:pt>
                <c:pt idx="10">
                  <c:v>39539</c:v>
                </c:pt>
                <c:pt idx="11">
                  <c:v>39569</c:v>
                </c:pt>
                <c:pt idx="12">
                  <c:v>39600</c:v>
                </c:pt>
                <c:pt idx="13">
                  <c:v>39630</c:v>
                </c:pt>
                <c:pt idx="14">
                  <c:v>39661</c:v>
                </c:pt>
                <c:pt idx="15">
                  <c:v>39692</c:v>
                </c:pt>
                <c:pt idx="16">
                  <c:v>39722</c:v>
                </c:pt>
                <c:pt idx="17">
                  <c:v>39753</c:v>
                </c:pt>
                <c:pt idx="18">
                  <c:v>39783</c:v>
                </c:pt>
                <c:pt idx="19">
                  <c:v>39814</c:v>
                </c:pt>
                <c:pt idx="20">
                  <c:v>39845</c:v>
                </c:pt>
                <c:pt idx="21">
                  <c:v>39873</c:v>
                </c:pt>
                <c:pt idx="22">
                  <c:v>39904</c:v>
                </c:pt>
                <c:pt idx="23">
                  <c:v>39934</c:v>
                </c:pt>
                <c:pt idx="24">
                  <c:v>39965</c:v>
                </c:pt>
                <c:pt idx="25">
                  <c:v>39995</c:v>
                </c:pt>
                <c:pt idx="26">
                  <c:v>40026</c:v>
                </c:pt>
                <c:pt idx="27">
                  <c:v>40057</c:v>
                </c:pt>
                <c:pt idx="28">
                  <c:v>40087</c:v>
                </c:pt>
                <c:pt idx="29">
                  <c:v>40118</c:v>
                </c:pt>
                <c:pt idx="30">
                  <c:v>40148</c:v>
                </c:pt>
                <c:pt idx="31">
                  <c:v>40179</c:v>
                </c:pt>
                <c:pt idx="32">
                  <c:v>40210</c:v>
                </c:pt>
                <c:pt idx="33">
                  <c:v>40238</c:v>
                </c:pt>
                <c:pt idx="34">
                  <c:v>40269</c:v>
                </c:pt>
                <c:pt idx="35">
                  <c:v>40299</c:v>
                </c:pt>
                <c:pt idx="36">
                  <c:v>40330</c:v>
                </c:pt>
                <c:pt idx="37">
                  <c:v>40360</c:v>
                </c:pt>
                <c:pt idx="38">
                  <c:v>40391</c:v>
                </c:pt>
                <c:pt idx="39">
                  <c:v>40422</c:v>
                </c:pt>
                <c:pt idx="40">
                  <c:v>40452</c:v>
                </c:pt>
                <c:pt idx="41">
                  <c:v>40483</c:v>
                </c:pt>
                <c:pt idx="42">
                  <c:v>40513</c:v>
                </c:pt>
                <c:pt idx="43">
                  <c:v>40544</c:v>
                </c:pt>
                <c:pt idx="44">
                  <c:v>40575</c:v>
                </c:pt>
                <c:pt idx="45">
                  <c:v>40603</c:v>
                </c:pt>
                <c:pt idx="46">
                  <c:v>40634</c:v>
                </c:pt>
                <c:pt idx="47">
                  <c:v>40664</c:v>
                </c:pt>
                <c:pt idx="48">
                  <c:v>40695</c:v>
                </c:pt>
                <c:pt idx="49">
                  <c:v>40725</c:v>
                </c:pt>
                <c:pt idx="50">
                  <c:v>40756</c:v>
                </c:pt>
                <c:pt idx="51">
                  <c:v>40787</c:v>
                </c:pt>
                <c:pt idx="52">
                  <c:v>40817</c:v>
                </c:pt>
                <c:pt idx="53">
                  <c:v>40848</c:v>
                </c:pt>
                <c:pt idx="54">
                  <c:v>40878</c:v>
                </c:pt>
                <c:pt idx="55">
                  <c:v>40909</c:v>
                </c:pt>
                <c:pt idx="56">
                  <c:v>40940</c:v>
                </c:pt>
                <c:pt idx="57">
                  <c:v>40969</c:v>
                </c:pt>
                <c:pt idx="58">
                  <c:v>41000</c:v>
                </c:pt>
                <c:pt idx="59">
                  <c:v>41030</c:v>
                </c:pt>
                <c:pt idx="60">
                  <c:v>41061</c:v>
                </c:pt>
                <c:pt idx="61">
                  <c:v>41091</c:v>
                </c:pt>
                <c:pt idx="62">
                  <c:v>41122</c:v>
                </c:pt>
                <c:pt idx="63">
                  <c:v>41153</c:v>
                </c:pt>
                <c:pt idx="64">
                  <c:v>41183</c:v>
                </c:pt>
                <c:pt idx="65">
                  <c:v>41214</c:v>
                </c:pt>
                <c:pt idx="66">
                  <c:v>41244</c:v>
                </c:pt>
                <c:pt idx="67">
                  <c:v>41275</c:v>
                </c:pt>
                <c:pt idx="68">
                  <c:v>41306</c:v>
                </c:pt>
                <c:pt idx="69">
                  <c:v>41334</c:v>
                </c:pt>
                <c:pt idx="70">
                  <c:v>41365</c:v>
                </c:pt>
              </c:numCache>
            </c:numRef>
          </c:cat>
          <c:val>
            <c:numRef>
              <c:f>'[1]Data 7.3'!$AC$460:$AC$530</c:f>
              <c:numCache>
                <c:formatCode>0.0</c:formatCode>
                <c:ptCount val="71"/>
                <c:pt idx="0">
                  <c:v>13.67</c:v>
                </c:pt>
                <c:pt idx="1">
                  <c:v>10</c:v>
                </c:pt>
                <c:pt idx="2">
                  <c:v>12.82</c:v>
                </c:pt>
                <c:pt idx="3">
                  <c:v>11.39</c:v>
                </c:pt>
                <c:pt idx="4">
                  <c:v>10.84</c:v>
                </c:pt>
                <c:pt idx="5">
                  <c:v>12.51</c:v>
                </c:pt>
                <c:pt idx="6">
                  <c:v>12.04</c:v>
                </c:pt>
                <c:pt idx="7">
                  <c:v>12.96</c:v>
                </c:pt>
                <c:pt idx="8">
                  <c:v>13.42</c:v>
                </c:pt>
                <c:pt idx="9">
                  <c:v>14.66</c:v>
                </c:pt>
                <c:pt idx="10">
                  <c:v>12.5</c:v>
                </c:pt>
                <c:pt idx="11">
                  <c:v>13.18</c:v>
                </c:pt>
                <c:pt idx="12">
                  <c:v>13.05</c:v>
                </c:pt>
                <c:pt idx="13">
                  <c:v>11.46</c:v>
                </c:pt>
                <c:pt idx="14">
                  <c:v>15.46</c:v>
                </c:pt>
                <c:pt idx="15">
                  <c:v>13.92</c:v>
                </c:pt>
                <c:pt idx="16">
                  <c:v>13.7</c:v>
                </c:pt>
                <c:pt idx="17">
                  <c:v>14.01</c:v>
                </c:pt>
                <c:pt idx="18">
                  <c:v>13.2</c:v>
                </c:pt>
                <c:pt idx="19">
                  <c:v>14.21</c:v>
                </c:pt>
                <c:pt idx="20">
                  <c:v>13.96</c:v>
                </c:pt>
                <c:pt idx="21">
                  <c:v>13.66</c:v>
                </c:pt>
                <c:pt idx="22">
                  <c:v>12.05</c:v>
                </c:pt>
                <c:pt idx="23">
                  <c:v>11.44</c:v>
                </c:pt>
                <c:pt idx="24">
                  <c:v>10.96</c:v>
                </c:pt>
                <c:pt idx="25">
                  <c:v>11.17</c:v>
                </c:pt>
                <c:pt idx="26">
                  <c:v>13.26</c:v>
                </c:pt>
                <c:pt idx="27">
                  <c:v>12.55</c:v>
                </c:pt>
                <c:pt idx="28">
                  <c:v>11.6</c:v>
                </c:pt>
                <c:pt idx="29">
                  <c:v>11.61</c:v>
                </c:pt>
                <c:pt idx="30">
                  <c:v>11.94</c:v>
                </c:pt>
                <c:pt idx="31">
                  <c:v>11.47</c:v>
                </c:pt>
                <c:pt idx="32">
                  <c:v>12.32</c:v>
                </c:pt>
                <c:pt idx="33">
                  <c:v>12.89</c:v>
                </c:pt>
                <c:pt idx="34">
                  <c:v>10.78</c:v>
                </c:pt>
                <c:pt idx="35">
                  <c:v>10.54</c:v>
                </c:pt>
                <c:pt idx="36">
                  <c:v>10.48</c:v>
                </c:pt>
                <c:pt idx="37">
                  <c:v>9.7100000000000009</c:v>
                </c:pt>
                <c:pt idx="38">
                  <c:v>11.57</c:v>
                </c:pt>
                <c:pt idx="39">
                  <c:v>10.83</c:v>
                </c:pt>
                <c:pt idx="40">
                  <c:v>9.3699999999999992</c:v>
                </c:pt>
                <c:pt idx="41">
                  <c:v>9.43</c:v>
                </c:pt>
                <c:pt idx="42">
                  <c:v>10.02</c:v>
                </c:pt>
                <c:pt idx="43">
                  <c:v>10.51</c:v>
                </c:pt>
                <c:pt idx="44">
                  <c:v>10.52</c:v>
                </c:pt>
                <c:pt idx="45">
                  <c:v>11.61</c:v>
                </c:pt>
                <c:pt idx="46">
                  <c:v>11.21</c:v>
                </c:pt>
                <c:pt idx="47">
                  <c:v>10.99</c:v>
                </c:pt>
                <c:pt idx="48">
                  <c:v>11.7</c:v>
                </c:pt>
                <c:pt idx="49">
                  <c:v>11.45</c:v>
                </c:pt>
                <c:pt idx="50">
                  <c:v>12.88</c:v>
                </c:pt>
                <c:pt idx="51">
                  <c:v>12.72</c:v>
                </c:pt>
                <c:pt idx="52">
                  <c:v>12.35</c:v>
                </c:pt>
                <c:pt idx="53">
                  <c:v>12.89</c:v>
                </c:pt>
                <c:pt idx="54">
                  <c:v>13.9</c:v>
                </c:pt>
                <c:pt idx="55">
                  <c:v>14.21</c:v>
                </c:pt>
                <c:pt idx="56">
                  <c:v>14.44</c:v>
                </c:pt>
                <c:pt idx="57">
                  <c:v>14.67</c:v>
                </c:pt>
                <c:pt idx="58">
                  <c:v>13.33</c:v>
                </c:pt>
                <c:pt idx="59">
                  <c:v>12.65</c:v>
                </c:pt>
                <c:pt idx="60">
                  <c:v>13.46</c:v>
                </c:pt>
                <c:pt idx="61">
                  <c:v>11.74</c:v>
                </c:pt>
                <c:pt idx="62">
                  <c:v>13.22</c:v>
                </c:pt>
                <c:pt idx="63">
                  <c:v>12.48</c:v>
                </c:pt>
                <c:pt idx="64">
                  <c:v>11.94</c:v>
                </c:pt>
                <c:pt idx="65">
                  <c:v>11.56</c:v>
                </c:pt>
                <c:pt idx="66">
                  <c:v>12.94</c:v>
                </c:pt>
                <c:pt idx="67">
                  <c:v>12.38</c:v>
                </c:pt>
                <c:pt idx="68">
                  <c:v>12.68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09920"/>
        <c:axId val="63011456"/>
      </c:lineChart>
      <c:catAx>
        <c:axId val="6300992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301145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63011456"/>
        <c:scaling>
          <c:orientation val="minMax"/>
          <c:max val="16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3009920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76200</xdr:rowOff>
    </xdr:from>
    <xdr:to>
      <xdr:col>6</xdr:col>
      <xdr:colOff>19050</xdr:colOff>
      <xdr:row>17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38100</xdr:rowOff>
        </xdr:from>
        <xdr:to>
          <xdr:col>11</xdr:col>
          <xdr:colOff>28575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MSB%20Chapter%2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7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>
        <row r="460">
          <cell r="A460">
            <v>39234</v>
          </cell>
          <cell r="AC460">
            <v>13.67</v>
          </cell>
        </row>
        <row r="461">
          <cell r="A461">
            <v>39264</v>
          </cell>
          <cell r="AC461">
            <v>10</v>
          </cell>
        </row>
        <row r="462">
          <cell r="A462">
            <v>39295</v>
          </cell>
          <cell r="AC462">
            <v>12.82</v>
          </cell>
        </row>
        <row r="463">
          <cell r="A463">
            <v>39326</v>
          </cell>
          <cell r="AC463">
            <v>11.39</v>
          </cell>
        </row>
        <row r="464">
          <cell r="A464">
            <v>39356</v>
          </cell>
          <cell r="AC464">
            <v>10.84</v>
          </cell>
        </row>
        <row r="465">
          <cell r="A465">
            <v>39387</v>
          </cell>
          <cell r="AC465">
            <v>12.51</v>
          </cell>
        </row>
        <row r="466">
          <cell r="A466">
            <v>39417</v>
          </cell>
          <cell r="AC466">
            <v>12.04</v>
          </cell>
        </row>
        <row r="467">
          <cell r="A467">
            <v>39448</v>
          </cell>
          <cell r="AC467">
            <v>12.96</v>
          </cell>
        </row>
        <row r="468">
          <cell r="A468">
            <v>39479</v>
          </cell>
          <cell r="AC468">
            <v>13.42</v>
          </cell>
        </row>
        <row r="469">
          <cell r="A469">
            <v>39508</v>
          </cell>
          <cell r="AC469">
            <v>14.66</v>
          </cell>
        </row>
        <row r="470">
          <cell r="A470">
            <v>39539</v>
          </cell>
          <cell r="AC470">
            <v>12.5</v>
          </cell>
        </row>
        <row r="471">
          <cell r="A471">
            <v>39569</v>
          </cell>
          <cell r="AC471">
            <v>13.18</v>
          </cell>
        </row>
        <row r="472">
          <cell r="A472">
            <v>39600</v>
          </cell>
          <cell r="AC472">
            <v>13.05</v>
          </cell>
        </row>
        <row r="473">
          <cell r="A473">
            <v>39630</v>
          </cell>
          <cell r="C473">
            <v>507.5</v>
          </cell>
          <cell r="AC473">
            <v>11.46</v>
          </cell>
        </row>
        <row r="474">
          <cell r="A474">
            <v>39661</v>
          </cell>
          <cell r="C474">
            <v>458.2</v>
          </cell>
          <cell r="AC474">
            <v>15.46</v>
          </cell>
        </row>
        <row r="475">
          <cell r="A475">
            <v>39692</v>
          </cell>
          <cell r="C475">
            <v>445</v>
          </cell>
          <cell r="AC475">
            <v>13.92</v>
          </cell>
        </row>
        <row r="476">
          <cell r="A476">
            <v>39722</v>
          </cell>
          <cell r="C476">
            <v>449</v>
          </cell>
          <cell r="AC476">
            <v>13.7</v>
          </cell>
        </row>
        <row r="477">
          <cell r="A477">
            <v>39753</v>
          </cell>
          <cell r="C477">
            <v>448.8</v>
          </cell>
          <cell r="AC477">
            <v>14.01</v>
          </cell>
        </row>
        <row r="478">
          <cell r="A478">
            <v>39783</v>
          </cell>
          <cell r="C478">
            <v>460.9</v>
          </cell>
          <cell r="AC478">
            <v>13.2</v>
          </cell>
        </row>
        <row r="479">
          <cell r="A479">
            <v>39814</v>
          </cell>
          <cell r="C479">
            <v>447.7</v>
          </cell>
          <cell r="AC479">
            <v>14.21</v>
          </cell>
        </row>
        <row r="480">
          <cell r="A480">
            <v>39845</v>
          </cell>
          <cell r="C480">
            <v>472.8</v>
          </cell>
          <cell r="AC480">
            <v>13.96</v>
          </cell>
        </row>
        <row r="481">
          <cell r="A481">
            <v>39873</v>
          </cell>
          <cell r="C481">
            <v>468.2</v>
          </cell>
          <cell r="AC481">
            <v>13.66</v>
          </cell>
        </row>
        <row r="482">
          <cell r="A482">
            <v>39904</v>
          </cell>
          <cell r="C482">
            <v>485</v>
          </cell>
          <cell r="AC482">
            <v>12.05</v>
          </cell>
        </row>
        <row r="483">
          <cell r="A483">
            <v>39934</v>
          </cell>
          <cell r="C483">
            <v>468.2</v>
          </cell>
          <cell r="AC483">
            <v>11.44</v>
          </cell>
        </row>
        <row r="484">
          <cell r="A484">
            <v>39965</v>
          </cell>
          <cell r="C484">
            <v>448.8</v>
          </cell>
          <cell r="AC484">
            <v>10.96</v>
          </cell>
          <cell r="AD484">
            <v>158.03</v>
          </cell>
        </row>
        <row r="485">
          <cell r="A485">
            <v>39995</v>
          </cell>
          <cell r="C485">
            <v>445.9</v>
          </cell>
          <cell r="AC485">
            <v>11.17</v>
          </cell>
        </row>
        <row r="486">
          <cell r="A486">
            <v>40026</v>
          </cell>
          <cell r="C486">
            <v>460.4</v>
          </cell>
          <cell r="AC486">
            <v>13.26</v>
          </cell>
        </row>
        <row r="487">
          <cell r="A487">
            <v>40057</v>
          </cell>
          <cell r="C487">
            <v>473.3</v>
          </cell>
          <cell r="AC487">
            <v>12.55</v>
          </cell>
        </row>
        <row r="488">
          <cell r="A488">
            <v>40087</v>
          </cell>
          <cell r="C488">
            <v>481.7</v>
          </cell>
          <cell r="AC488">
            <v>11.6</v>
          </cell>
        </row>
        <row r="489">
          <cell r="A489">
            <v>40118</v>
          </cell>
          <cell r="C489">
            <v>466.7</v>
          </cell>
          <cell r="AC489">
            <v>11.61</v>
          </cell>
        </row>
        <row r="490">
          <cell r="A490">
            <v>40148</v>
          </cell>
          <cell r="C490">
            <v>481.2</v>
          </cell>
          <cell r="AC490">
            <v>11.94</v>
          </cell>
        </row>
        <row r="491">
          <cell r="A491">
            <v>40179</v>
          </cell>
          <cell r="C491">
            <v>478</v>
          </cell>
          <cell r="AC491">
            <v>11.47</v>
          </cell>
        </row>
        <row r="492">
          <cell r="A492">
            <v>40210</v>
          </cell>
          <cell r="C492">
            <v>486.1</v>
          </cell>
          <cell r="AC492">
            <v>12.32</v>
          </cell>
        </row>
        <row r="493">
          <cell r="A493">
            <v>40238</v>
          </cell>
          <cell r="C493">
            <v>488.7</v>
          </cell>
          <cell r="AC493">
            <v>12.89</v>
          </cell>
        </row>
        <row r="494">
          <cell r="A494">
            <v>40269</v>
          </cell>
          <cell r="C494">
            <v>471</v>
          </cell>
          <cell r="AC494">
            <v>10.78</v>
          </cell>
        </row>
        <row r="495">
          <cell r="A495">
            <v>40299</v>
          </cell>
          <cell r="C495">
            <v>479.1</v>
          </cell>
          <cell r="AC495">
            <v>10.54</v>
          </cell>
        </row>
        <row r="496">
          <cell r="A496">
            <v>40330</v>
          </cell>
          <cell r="C496">
            <v>497.9</v>
          </cell>
          <cell r="AC496">
            <v>10.48</v>
          </cell>
        </row>
        <row r="497">
          <cell r="A497">
            <v>40360</v>
          </cell>
          <cell r="C497">
            <v>491.5</v>
          </cell>
          <cell r="AC497">
            <v>9.7100000000000009</v>
          </cell>
        </row>
        <row r="498">
          <cell r="A498">
            <v>40391</v>
          </cell>
          <cell r="C498">
            <v>500.3</v>
          </cell>
          <cell r="AC498">
            <v>11.57</v>
          </cell>
        </row>
        <row r="499">
          <cell r="A499">
            <v>40422</v>
          </cell>
          <cell r="C499">
            <v>502.1</v>
          </cell>
          <cell r="AC499">
            <v>10.83</v>
          </cell>
        </row>
        <row r="500">
          <cell r="A500">
            <v>40452</v>
          </cell>
          <cell r="C500">
            <v>493.5</v>
          </cell>
          <cell r="AC500">
            <v>9.3699999999999992</v>
          </cell>
        </row>
        <row r="501">
          <cell r="A501">
            <v>40483</v>
          </cell>
          <cell r="C501">
            <v>498.2</v>
          </cell>
          <cell r="AC501">
            <v>9.43</v>
          </cell>
        </row>
        <row r="502">
          <cell r="A502">
            <v>40513</v>
          </cell>
          <cell r="C502">
            <v>498.1</v>
          </cell>
          <cell r="AC502">
            <v>10.02</v>
          </cell>
        </row>
        <row r="503">
          <cell r="A503">
            <v>40544</v>
          </cell>
          <cell r="C503">
            <v>501</v>
          </cell>
          <cell r="AC503">
            <v>10.51</v>
          </cell>
        </row>
        <row r="504">
          <cell r="A504">
            <v>40575</v>
          </cell>
          <cell r="C504">
            <v>491.3</v>
          </cell>
          <cell r="AC504">
            <v>10.52</v>
          </cell>
        </row>
        <row r="505">
          <cell r="A505">
            <v>40603</v>
          </cell>
          <cell r="C505">
            <v>476.6</v>
          </cell>
          <cell r="AC505">
            <v>11.61</v>
          </cell>
        </row>
        <row r="506">
          <cell r="A506">
            <v>40634</v>
          </cell>
          <cell r="C506">
            <v>489.8</v>
          </cell>
          <cell r="AC506">
            <v>11.21</v>
          </cell>
        </row>
        <row r="507">
          <cell r="A507">
            <v>40664</v>
          </cell>
          <cell r="C507">
            <v>493.6</v>
          </cell>
          <cell r="AC507">
            <v>10.99</v>
          </cell>
        </row>
        <row r="508">
          <cell r="A508">
            <v>40695</v>
          </cell>
          <cell r="C508">
            <v>475.2</v>
          </cell>
          <cell r="AC508">
            <v>11.7</v>
          </cell>
        </row>
        <row r="509">
          <cell r="A509">
            <v>40725</v>
          </cell>
          <cell r="C509">
            <v>492</v>
          </cell>
          <cell r="AC509">
            <v>11.45</v>
          </cell>
        </row>
        <row r="510">
          <cell r="A510">
            <v>40756</v>
          </cell>
          <cell r="C510">
            <v>498.3</v>
          </cell>
          <cell r="AC510">
            <v>12.88</v>
          </cell>
        </row>
        <row r="511">
          <cell r="A511">
            <v>40787</v>
          </cell>
          <cell r="C511">
            <v>476.2</v>
          </cell>
          <cell r="AC511">
            <v>12.72</v>
          </cell>
        </row>
        <row r="512">
          <cell r="A512">
            <v>40817</v>
          </cell>
          <cell r="C512">
            <v>502</v>
          </cell>
          <cell r="AC512">
            <v>12.35</v>
          </cell>
        </row>
        <row r="513">
          <cell r="A513">
            <v>40848</v>
          </cell>
          <cell r="C513">
            <v>499.3</v>
          </cell>
          <cell r="AC513">
            <v>12.89</v>
          </cell>
        </row>
        <row r="514">
          <cell r="A514">
            <v>40878</v>
          </cell>
          <cell r="C514">
            <v>494.9</v>
          </cell>
          <cell r="AC514">
            <v>13.9</v>
          </cell>
        </row>
        <row r="515">
          <cell r="A515">
            <v>40909</v>
          </cell>
          <cell r="C515">
            <v>498.9</v>
          </cell>
          <cell r="AC515">
            <v>14.21</v>
          </cell>
        </row>
        <row r="516">
          <cell r="A516">
            <v>40940</v>
          </cell>
          <cell r="C516">
            <v>505.6</v>
          </cell>
          <cell r="AC516">
            <v>14.44</v>
          </cell>
        </row>
        <row r="517">
          <cell r="A517">
            <v>40969</v>
          </cell>
          <cell r="C517">
            <v>509</v>
          </cell>
          <cell r="AC517">
            <v>14.67</v>
          </cell>
        </row>
        <row r="518">
          <cell r="A518">
            <v>41000</v>
          </cell>
          <cell r="C518">
            <v>507</v>
          </cell>
          <cell r="AC518">
            <v>13.33</v>
          </cell>
        </row>
        <row r="519">
          <cell r="A519">
            <v>41030</v>
          </cell>
          <cell r="C519">
            <v>498.7</v>
          </cell>
          <cell r="AC519">
            <v>12.65</v>
          </cell>
        </row>
        <row r="520">
          <cell r="A520">
            <v>41061</v>
          </cell>
          <cell r="C520">
            <v>510.7</v>
          </cell>
          <cell r="AC520">
            <v>13.46</v>
          </cell>
        </row>
        <row r="521">
          <cell r="A521">
            <v>41091</v>
          </cell>
          <cell r="C521">
            <v>496.6</v>
          </cell>
          <cell r="AC521">
            <v>11.74</v>
          </cell>
        </row>
        <row r="522">
          <cell r="A522">
            <v>41122</v>
          </cell>
          <cell r="C522">
            <v>515.70000000000005</v>
          </cell>
          <cell r="AC522">
            <v>13.22</v>
          </cell>
        </row>
        <row r="523">
          <cell r="A523">
            <v>41153</v>
          </cell>
          <cell r="C523">
            <v>520.9</v>
          </cell>
          <cell r="AC523">
            <v>12.48</v>
          </cell>
        </row>
        <row r="524">
          <cell r="A524">
            <v>41183</v>
          </cell>
          <cell r="C524">
            <v>523.1</v>
          </cell>
          <cell r="AC524">
            <v>11.94</v>
          </cell>
        </row>
        <row r="525">
          <cell r="A525">
            <v>41214</v>
          </cell>
          <cell r="C525">
            <v>526.79999999999995</v>
          </cell>
          <cell r="AC525">
            <v>11.56</v>
          </cell>
        </row>
        <row r="526">
          <cell r="A526">
            <v>41244</v>
          </cell>
          <cell r="C526">
            <v>537.4</v>
          </cell>
          <cell r="AC526">
            <v>12.94</v>
          </cell>
        </row>
        <row r="527">
          <cell r="A527">
            <v>41275</v>
          </cell>
          <cell r="C527">
            <v>524.29999999999995</v>
          </cell>
          <cell r="AC527">
            <v>12.38</v>
          </cell>
        </row>
        <row r="528">
          <cell r="A528">
            <v>41306</v>
          </cell>
          <cell r="C528">
            <v>520.6</v>
          </cell>
          <cell r="AC528">
            <v>12.68</v>
          </cell>
        </row>
        <row r="529">
          <cell r="A529">
            <v>41334</v>
          </cell>
        </row>
        <row r="530">
          <cell r="A530">
            <v>41365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3a"/>
      <sheetName val="Table 7.3b"/>
      <sheetName val="Table 7.3c"/>
      <sheetName val="Chart short-term arrivals"/>
      <sheetName val="Chart Permanent settlers"/>
      <sheetName val="Data 7.3"/>
    </sheetNames>
    <sheetDataSet>
      <sheetData sheetId="0">
        <row r="51">
          <cell r="B51" t="str">
            <v>7 May 2013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5">
          <cell r="B5">
            <v>25.7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64"/>
  <sheetViews>
    <sheetView tabSelected="1" zoomScaleNormal="100" zoomScaleSheetLayoutView="100" workbookViewId="0">
      <selection activeCell="R13" sqref="R13"/>
    </sheetView>
  </sheetViews>
  <sheetFormatPr defaultColWidth="8.85546875" defaultRowHeight="12.75"/>
  <cols>
    <col min="1" max="1" width="11.7109375" style="2" customWidth="1"/>
    <col min="2" max="5" width="9.140625" style="2" customWidth="1"/>
    <col min="6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4" width="8.85546875" style="3"/>
    <col min="15" max="15" width="12.85546875" style="3" bestFit="1" customWidth="1"/>
    <col min="16" max="16384" width="8.85546875" style="3"/>
  </cols>
  <sheetData>
    <row r="1" spans="1:23" ht="15">
      <c r="A1" s="1" t="s">
        <v>0</v>
      </c>
    </row>
    <row r="3" spans="1:23" ht="22.9" customHeight="1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  <c r="K3" s="6"/>
    </row>
    <row r="4" spans="1:23" ht="15.6" customHeight="1">
      <c r="A4"/>
      <c r="B4"/>
      <c r="C4"/>
      <c r="D4"/>
      <c r="E4"/>
      <c r="F4"/>
    </row>
    <row r="5" spans="1:23" ht="15.6" customHeight="1">
      <c r="A5"/>
      <c r="B5"/>
      <c r="C5"/>
      <c r="D5"/>
      <c r="E5"/>
      <c r="F5"/>
      <c r="H5" s="7"/>
    </row>
    <row r="6" spans="1:23" ht="15.6" customHeight="1">
      <c r="A6"/>
      <c r="B6"/>
      <c r="C6"/>
      <c r="D6"/>
      <c r="E6"/>
      <c r="F6"/>
      <c r="H6" s="7"/>
    </row>
    <row r="7" spans="1:23" ht="15.6" customHeight="1">
      <c r="A7"/>
      <c r="B7"/>
      <c r="C7"/>
      <c r="D7"/>
      <c r="E7"/>
      <c r="F7"/>
      <c r="H7" s="7"/>
    </row>
    <row r="8" spans="1:23" ht="15.6" customHeight="1">
      <c r="A8"/>
      <c r="B8"/>
      <c r="C8" s="8"/>
      <c r="D8"/>
      <c r="E8"/>
      <c r="F8"/>
      <c r="H8" s="7"/>
      <c r="N8" s="9"/>
    </row>
    <row r="9" spans="1:23" ht="15.6" customHeight="1">
      <c r="A9"/>
      <c r="B9"/>
      <c r="C9"/>
      <c r="D9"/>
      <c r="E9"/>
      <c r="F9"/>
      <c r="H9" s="7"/>
      <c r="N9" s="9"/>
    </row>
    <row r="10" spans="1:23" ht="15.6" customHeight="1">
      <c r="A10"/>
      <c r="B10"/>
      <c r="C10"/>
      <c r="D10"/>
      <c r="E10"/>
      <c r="F10"/>
      <c r="H10" s="7"/>
      <c r="O10" s="10"/>
      <c r="P10" s="11"/>
    </row>
    <row r="11" spans="1:23" ht="15.6" customHeight="1">
      <c r="A11"/>
      <c r="B11"/>
      <c r="C11"/>
      <c r="D11"/>
      <c r="E11"/>
      <c r="F11"/>
      <c r="H11" s="7"/>
      <c r="N11" s="12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6" customHeight="1">
      <c r="A12"/>
      <c r="B12"/>
      <c r="C12"/>
      <c r="D12"/>
      <c r="E12"/>
      <c r="F12"/>
      <c r="H12" s="7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6" customHeight="1">
      <c r="A13"/>
      <c r="B13"/>
      <c r="C13"/>
      <c r="D13"/>
      <c r="E13"/>
      <c r="F13"/>
      <c r="H13" s="7"/>
      <c r="N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>
      <c r="A14"/>
      <c r="B14"/>
      <c r="C14"/>
      <c r="D14"/>
      <c r="E14"/>
      <c r="F14"/>
      <c r="H14" s="7"/>
      <c r="N14" s="13"/>
      <c r="P14" s="13"/>
      <c r="Q14" s="13"/>
      <c r="R14" s="13"/>
      <c r="S14" s="13"/>
      <c r="T14" s="13"/>
      <c r="U14" s="13"/>
      <c r="V14" s="13"/>
      <c r="W14" s="13"/>
    </row>
    <row r="15" spans="1:23" ht="15.6" customHeight="1">
      <c r="A15"/>
      <c r="B15"/>
      <c r="C15"/>
      <c r="D15"/>
      <c r="E15"/>
      <c r="F15"/>
      <c r="H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.6" customHeight="1">
      <c r="A16"/>
      <c r="B16"/>
      <c r="C16"/>
      <c r="D16"/>
      <c r="E16"/>
      <c r="F16"/>
      <c r="H16" s="7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17" ht="15.6" customHeight="1">
      <c r="A17"/>
      <c r="B17"/>
      <c r="C17"/>
      <c r="D17"/>
      <c r="E17"/>
      <c r="F17"/>
      <c r="H17" s="7"/>
    </row>
    <row r="18" spans="1:17" ht="15.6" customHeight="1">
      <c r="A18"/>
      <c r="B18"/>
      <c r="C18"/>
      <c r="D18"/>
      <c r="E18"/>
      <c r="F18"/>
      <c r="H18" s="7"/>
      <c r="Q18" s="9"/>
    </row>
    <row r="19" spans="1:17" ht="16.5" customHeight="1">
      <c r="A19" s="14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H19" s="7"/>
      <c r="N19" s="16"/>
      <c r="O19" s="17"/>
      <c r="Q19" s="18"/>
    </row>
    <row r="20" spans="1:17" ht="19.899999999999999" customHeight="1">
      <c r="A20" s="19" t="s">
        <v>8</v>
      </c>
      <c r="B20"/>
      <c r="C20"/>
      <c r="D20"/>
      <c r="E20" s="3"/>
      <c r="H20" s="7"/>
      <c r="O20" s="17"/>
    </row>
    <row r="21" spans="1:17" ht="3" customHeight="1">
      <c r="A21" s="20"/>
      <c r="B21" s="20"/>
      <c r="C21" s="20"/>
      <c r="D21" s="20"/>
      <c r="E21" s="3"/>
      <c r="H21" s="7"/>
    </row>
    <row r="22" spans="1:17" ht="13.9" customHeight="1">
      <c r="A22" s="20" t="s">
        <v>9</v>
      </c>
      <c r="B22" s="21">
        <f>'[1]Data 7.3'!C473</f>
        <v>507.5</v>
      </c>
      <c r="C22" s="21">
        <f>'[1]Data 7.3'!C485</f>
        <v>445.9</v>
      </c>
      <c r="D22" s="21">
        <f>'[1]Data 7.3'!C497</f>
        <v>491.5</v>
      </c>
      <c r="E22" s="21">
        <f>'[1]Data 7.3'!C509</f>
        <v>492</v>
      </c>
      <c r="F22" s="21">
        <f>'[1]Data 7.3'!C521</f>
        <v>496.6</v>
      </c>
      <c r="H22" s="7"/>
      <c r="N22" s="22"/>
      <c r="O22" s="22"/>
    </row>
    <row r="23" spans="1:17" ht="11.1" customHeight="1">
      <c r="A23" s="20" t="s">
        <v>10</v>
      </c>
      <c r="B23" s="21">
        <f>'[1]Data 7.3'!C474</f>
        <v>458.2</v>
      </c>
      <c r="C23" s="21">
        <f>'[1]Data 7.3'!C486</f>
        <v>460.4</v>
      </c>
      <c r="D23" s="21">
        <f>'[1]Data 7.3'!C498</f>
        <v>500.3</v>
      </c>
      <c r="E23" s="21">
        <f>'[1]Data 7.3'!C510</f>
        <v>498.3</v>
      </c>
      <c r="F23" s="21">
        <f>'[1]Data 7.3'!C522</f>
        <v>515.70000000000005</v>
      </c>
      <c r="H23" s="7"/>
    </row>
    <row r="24" spans="1:17" ht="11.1" customHeight="1">
      <c r="A24" s="20" t="s">
        <v>11</v>
      </c>
      <c r="B24" s="21">
        <f>'[1]Data 7.3'!C475</f>
        <v>445</v>
      </c>
      <c r="C24" s="21">
        <f>'[1]Data 7.3'!C487</f>
        <v>473.3</v>
      </c>
      <c r="D24" s="21">
        <f>'[1]Data 7.3'!C499</f>
        <v>502.1</v>
      </c>
      <c r="E24" s="21">
        <f>'[1]Data 7.3'!C511</f>
        <v>476.2</v>
      </c>
      <c r="F24" s="21">
        <f>'[1]Data 7.3'!C523</f>
        <v>520.9</v>
      </c>
      <c r="H24" s="7"/>
      <c r="O24" s="23"/>
    </row>
    <row r="25" spans="1:17" ht="13.9" customHeight="1">
      <c r="A25" s="20" t="s">
        <v>12</v>
      </c>
      <c r="B25" s="21">
        <f>'[1]Data 7.3'!C476</f>
        <v>449</v>
      </c>
      <c r="C25" s="21">
        <f>'[1]Data 7.3'!C488</f>
        <v>481.7</v>
      </c>
      <c r="D25" s="21">
        <f>'[1]Data 7.3'!C500</f>
        <v>493.5</v>
      </c>
      <c r="E25" s="21">
        <f>'[1]Data 7.3'!C512</f>
        <v>502</v>
      </c>
      <c r="F25" s="21">
        <f>'[1]Data 7.3'!C524</f>
        <v>523.1</v>
      </c>
      <c r="H25" s="7"/>
      <c r="O25" s="24"/>
      <c r="P25" s="22"/>
    </row>
    <row r="26" spans="1:17" ht="11.1" customHeight="1">
      <c r="A26" s="20" t="s">
        <v>13</v>
      </c>
      <c r="B26" s="21">
        <f>'[1]Data 7.3'!C477</f>
        <v>448.8</v>
      </c>
      <c r="C26" s="21">
        <f>'[1]Data 7.3'!C489</f>
        <v>466.7</v>
      </c>
      <c r="D26" s="21">
        <f>'[1]Data 7.3'!C501</f>
        <v>498.2</v>
      </c>
      <c r="E26" s="21">
        <f>'[1]Data 7.3'!C513</f>
        <v>499.3</v>
      </c>
      <c r="F26" s="21">
        <f>'[1]Data 7.3'!C525</f>
        <v>526.79999999999995</v>
      </c>
      <c r="H26" s="7"/>
    </row>
    <row r="27" spans="1:17" ht="11.1" customHeight="1">
      <c r="A27" s="20" t="s">
        <v>14</v>
      </c>
      <c r="B27" s="21">
        <f>'[1]Data 7.3'!C478</f>
        <v>460.9</v>
      </c>
      <c r="C27" s="21">
        <f>'[1]Data 7.3'!C490</f>
        <v>481.2</v>
      </c>
      <c r="D27" s="21">
        <f>'[1]Data 7.3'!C502</f>
        <v>498.1</v>
      </c>
      <c r="E27" s="21">
        <f>'[1]Data 7.3'!C514</f>
        <v>494.9</v>
      </c>
      <c r="F27" s="21">
        <f>'[1]Data 7.3'!C526</f>
        <v>537.4</v>
      </c>
      <c r="H27" s="7"/>
    </row>
    <row r="28" spans="1:17" ht="13.9" customHeight="1">
      <c r="A28" s="20" t="s">
        <v>15</v>
      </c>
      <c r="B28" s="21">
        <f>'[1]Data 7.3'!C479</f>
        <v>447.7</v>
      </c>
      <c r="C28" s="21">
        <f>'[1]Data 7.3'!C491</f>
        <v>478</v>
      </c>
      <c r="D28" s="21">
        <f>'[1]Data 7.3'!C503</f>
        <v>501</v>
      </c>
      <c r="E28" s="21">
        <f>'[1]Data 7.3'!C515</f>
        <v>498.9</v>
      </c>
      <c r="F28" s="21">
        <f>'[1]Data 7.3'!C527</f>
        <v>524.29999999999995</v>
      </c>
      <c r="H28" s="7"/>
    </row>
    <row r="29" spans="1:17" ht="11.1" customHeight="1">
      <c r="A29" s="20" t="s">
        <v>16</v>
      </c>
      <c r="B29" s="21">
        <f>'[1]Data 7.3'!C480</f>
        <v>472.8</v>
      </c>
      <c r="C29" s="21">
        <f>'[1]Data 7.3'!C492</f>
        <v>486.1</v>
      </c>
      <c r="D29" s="21">
        <f>'[1]Data 7.3'!C504</f>
        <v>491.3</v>
      </c>
      <c r="E29" s="21">
        <f>'[1]Data 7.3'!C516</f>
        <v>505.6</v>
      </c>
      <c r="F29" s="21">
        <f>'[1]Data 7.3'!C528</f>
        <v>520.6</v>
      </c>
      <c r="H29" s="7"/>
    </row>
    <row r="30" spans="1:17" ht="11.1" customHeight="1">
      <c r="A30" s="20" t="s">
        <v>17</v>
      </c>
      <c r="B30" s="21">
        <f>'[1]Data 7.3'!C481</f>
        <v>468.2</v>
      </c>
      <c r="C30" s="21">
        <f>'[1]Data 7.3'!C493</f>
        <v>488.7</v>
      </c>
      <c r="D30" s="21">
        <f>'[1]Data 7.3'!C505</f>
        <v>476.6</v>
      </c>
      <c r="E30" s="21">
        <f>'[1]Data 7.3'!C517</f>
        <v>509</v>
      </c>
      <c r="F30" s="21"/>
      <c r="H30" s="7"/>
      <c r="M30" s="22"/>
    </row>
    <row r="31" spans="1:17" ht="13.9" customHeight="1">
      <c r="A31" s="20" t="s">
        <v>18</v>
      </c>
      <c r="B31" s="21">
        <f>'[1]Data 7.3'!C482</f>
        <v>485</v>
      </c>
      <c r="C31" s="21">
        <f>'[1]Data 7.3'!C494</f>
        <v>471</v>
      </c>
      <c r="D31" s="21">
        <f>'[1]Data 7.3'!C506</f>
        <v>489.8</v>
      </c>
      <c r="E31" s="21">
        <f>'[1]Data 7.3'!C518</f>
        <v>507</v>
      </c>
      <c r="F31" s="21"/>
      <c r="H31" s="7"/>
    </row>
    <row r="32" spans="1:17" ht="11.1" customHeight="1">
      <c r="A32" s="20" t="s">
        <v>19</v>
      </c>
      <c r="B32" s="21">
        <f>'[1]Data 7.3'!C483</f>
        <v>468.2</v>
      </c>
      <c r="C32" s="21">
        <f>'[1]Data 7.3'!C495</f>
        <v>479.1</v>
      </c>
      <c r="D32" s="21">
        <f>'[1]Data 7.3'!C507</f>
        <v>493.6</v>
      </c>
      <c r="E32" s="21">
        <f>'[1]Data 7.3'!C519</f>
        <v>498.7</v>
      </c>
      <c r="F32" s="21"/>
      <c r="H32" s="7"/>
    </row>
    <row r="33" spans="1:14" ht="11.1" customHeight="1">
      <c r="A33" s="20" t="s">
        <v>20</v>
      </c>
      <c r="B33" s="21">
        <f>'[1]Data 7.3'!C484</f>
        <v>448.8</v>
      </c>
      <c r="C33" s="21">
        <f>'[1]Data 7.3'!C496</f>
        <v>497.9</v>
      </c>
      <c r="D33" s="21">
        <f>'[1]Data 7.3'!C508</f>
        <v>475.2</v>
      </c>
      <c r="E33" s="21">
        <f>'[1]Data 7.3'!C520</f>
        <v>510.7</v>
      </c>
      <c r="F33" s="21"/>
      <c r="H33" s="7"/>
    </row>
    <row r="34" spans="1:14" ht="11.1" customHeight="1">
      <c r="A34" s="20"/>
      <c r="B34" s="21"/>
      <c r="C34" s="21"/>
      <c r="D34" s="21"/>
      <c r="E34" s="3"/>
      <c r="H34" s="7"/>
    </row>
    <row r="35" spans="1:14" ht="11.1" customHeight="1">
      <c r="A35" s="20" t="s">
        <v>21</v>
      </c>
      <c r="B35" s="21">
        <f>SUM(B22:B33)</f>
        <v>5560.1</v>
      </c>
      <c r="C35" s="21">
        <f>SUM(C22:C33)</f>
        <v>5710</v>
      </c>
      <c r="D35" s="21">
        <f>SUM(D22:D33)</f>
        <v>5911.2000000000007</v>
      </c>
      <c r="E35" s="21">
        <f>SUM(E22:E33)</f>
        <v>5992.6</v>
      </c>
      <c r="F35" s="21">
        <f>SUM(F22:F33)</f>
        <v>4165.4000000000005</v>
      </c>
      <c r="H35" s="7"/>
    </row>
    <row r="36" spans="1:14" ht="11.1" customHeight="1">
      <c r="A36" s="25"/>
      <c r="B36" s="26"/>
      <c r="C36" s="27"/>
      <c r="D36" s="27"/>
      <c r="E36" s="27"/>
      <c r="F36" s="27"/>
      <c r="H36" s="7"/>
    </row>
    <row r="37" spans="1:14" ht="19.899999999999999" customHeight="1">
      <c r="A37" s="19" t="s">
        <v>22</v>
      </c>
      <c r="B37"/>
      <c r="C37"/>
      <c r="D37"/>
      <c r="E37"/>
      <c r="F37"/>
      <c r="H37" s="7"/>
    </row>
    <row r="38" spans="1:14" ht="3" customHeight="1">
      <c r="A38" s="20"/>
      <c r="B38" s="20"/>
      <c r="C38" s="20"/>
      <c r="D38" s="20"/>
      <c r="E38" s="20"/>
      <c r="F38" s="20"/>
      <c r="H38" s="7"/>
    </row>
    <row r="39" spans="1:14" ht="13.9" customHeight="1">
      <c r="A39" s="20" t="s">
        <v>9</v>
      </c>
      <c r="B39" s="21">
        <f>'[1]Data 7.3'!AC473</f>
        <v>11.46</v>
      </c>
      <c r="C39" s="21">
        <f>'[1]Data 7.3'!AC485</f>
        <v>11.17</v>
      </c>
      <c r="D39" s="21">
        <f>'[1]Data 7.3'!AC497</f>
        <v>9.7100000000000009</v>
      </c>
      <c r="E39" s="21">
        <f>'[1]Data 7.3'!AC509</f>
        <v>11.45</v>
      </c>
      <c r="F39" s="21">
        <f>'[1]Data 7.3'!AC521</f>
        <v>11.74</v>
      </c>
      <c r="H39" s="7"/>
    </row>
    <row r="40" spans="1:14" ht="11.1" customHeight="1">
      <c r="A40" s="20" t="s">
        <v>10</v>
      </c>
      <c r="B40" s="21">
        <f>'[1]Data 7.3'!AC474</f>
        <v>15.46</v>
      </c>
      <c r="C40" s="21">
        <f>'[1]Data 7.3'!AC486</f>
        <v>13.26</v>
      </c>
      <c r="D40" s="21">
        <f>'[1]Data 7.3'!AC498</f>
        <v>11.57</v>
      </c>
      <c r="E40" s="21">
        <f>'[1]Data 7.3'!AC510</f>
        <v>12.88</v>
      </c>
      <c r="F40" s="21">
        <f>'[1]Data 7.3'!AC522</f>
        <v>13.22</v>
      </c>
      <c r="H40" s="7"/>
    </row>
    <row r="41" spans="1:14" ht="11.1" customHeight="1">
      <c r="A41" s="20" t="s">
        <v>11</v>
      </c>
      <c r="B41" s="21">
        <f>'[1]Data 7.3'!AC475</f>
        <v>13.92</v>
      </c>
      <c r="C41" s="21">
        <f>'[1]Data 7.3'!AC487</f>
        <v>12.55</v>
      </c>
      <c r="D41" s="21">
        <f>'[1]Data 7.3'!AC499</f>
        <v>10.83</v>
      </c>
      <c r="E41" s="21">
        <f>'[1]Data 7.3'!AC511</f>
        <v>12.72</v>
      </c>
      <c r="F41" s="21">
        <f>'[1]Data 7.3'!AC523</f>
        <v>12.48</v>
      </c>
      <c r="H41" s="7"/>
    </row>
    <row r="42" spans="1:14" ht="13.9" customHeight="1">
      <c r="A42" s="20" t="s">
        <v>12</v>
      </c>
      <c r="B42" s="21">
        <f>'[1]Data 7.3'!AC476</f>
        <v>13.7</v>
      </c>
      <c r="C42" s="21">
        <f>'[1]Data 7.3'!AC488</f>
        <v>11.6</v>
      </c>
      <c r="D42" s="21">
        <f>'[1]Data 7.3'!AC500</f>
        <v>9.3699999999999992</v>
      </c>
      <c r="E42" s="21">
        <f>'[1]Data 7.3'!AC512</f>
        <v>12.35</v>
      </c>
      <c r="F42" s="21">
        <f>'[1]Data 7.3'!AC524</f>
        <v>11.94</v>
      </c>
      <c r="H42" s="7"/>
    </row>
    <row r="43" spans="1:14" ht="11.1" customHeight="1">
      <c r="A43" s="20" t="s">
        <v>13</v>
      </c>
      <c r="B43" s="21">
        <f>'[1]Data 7.3'!AC477</f>
        <v>14.01</v>
      </c>
      <c r="C43" s="21">
        <f>'[1]Data 7.3'!AC489</f>
        <v>11.61</v>
      </c>
      <c r="D43" s="21">
        <f>'[1]Data 7.3'!AC501</f>
        <v>9.43</v>
      </c>
      <c r="E43" s="21">
        <f>'[1]Data 7.3'!AC513</f>
        <v>12.89</v>
      </c>
      <c r="F43" s="21">
        <f>'[1]Data 7.3'!AC525</f>
        <v>11.56</v>
      </c>
      <c r="H43" s="7"/>
    </row>
    <row r="44" spans="1:14" ht="11.1" customHeight="1">
      <c r="A44" s="20" t="s">
        <v>14</v>
      </c>
      <c r="B44" s="21">
        <f>'[1]Data 7.3'!AC478</f>
        <v>13.2</v>
      </c>
      <c r="C44" s="21">
        <f>'[1]Data 7.3'!AC490</f>
        <v>11.94</v>
      </c>
      <c r="D44" s="21">
        <f>'[1]Data 7.3'!AC502</f>
        <v>10.02</v>
      </c>
      <c r="E44" s="21">
        <f>'[1]Data 7.3'!AC514</f>
        <v>13.9</v>
      </c>
      <c r="F44" s="21">
        <f>'[1]Data 7.3'!AC526</f>
        <v>12.94</v>
      </c>
      <c r="H44" s="7"/>
      <c r="M44" s="22"/>
      <c r="N44" s="22"/>
    </row>
    <row r="45" spans="1:14" ht="13.9" customHeight="1">
      <c r="A45" s="20" t="s">
        <v>15</v>
      </c>
      <c r="B45" s="21">
        <f>'[1]Data 7.3'!AC479</f>
        <v>14.21</v>
      </c>
      <c r="C45" s="21">
        <f>'[1]Data 7.3'!AC491</f>
        <v>11.47</v>
      </c>
      <c r="D45" s="21">
        <f>'[1]Data 7.3'!AC503</f>
        <v>10.51</v>
      </c>
      <c r="E45" s="21">
        <f>'[1]Data 7.3'!AC515</f>
        <v>14.21</v>
      </c>
      <c r="F45" s="21">
        <f>'[1]Data 7.3'!AC527</f>
        <v>12.38</v>
      </c>
      <c r="H45" s="7"/>
    </row>
    <row r="46" spans="1:14" ht="11.1" customHeight="1">
      <c r="A46" s="20" t="s">
        <v>16</v>
      </c>
      <c r="B46" s="21">
        <f>'[1]Data 7.3'!AC480</f>
        <v>13.96</v>
      </c>
      <c r="C46" s="21">
        <f>'[1]Data 7.3'!AC492</f>
        <v>12.32</v>
      </c>
      <c r="D46" s="21">
        <f>'[1]Data 7.3'!AC504</f>
        <v>10.52</v>
      </c>
      <c r="E46" s="21">
        <f>'[1]Data 7.3'!AC516</f>
        <v>14.44</v>
      </c>
      <c r="F46" s="21">
        <f>'[1]Data 7.3'!AC528</f>
        <v>12.68</v>
      </c>
      <c r="H46" s="7"/>
    </row>
    <row r="47" spans="1:14" ht="11.1" customHeight="1">
      <c r="A47" s="20" t="s">
        <v>17</v>
      </c>
      <c r="B47" s="21">
        <f>'[1]Data 7.3'!AC481</f>
        <v>13.66</v>
      </c>
      <c r="C47" s="21">
        <f>'[1]Data 7.3'!AC493</f>
        <v>12.89</v>
      </c>
      <c r="D47" s="21">
        <f>'[1]Data 7.3'!AC505</f>
        <v>11.61</v>
      </c>
      <c r="E47" s="21">
        <f>'[1]Data 7.3'!AC517</f>
        <v>14.67</v>
      </c>
      <c r="F47" s="21"/>
      <c r="H47" s="7"/>
    </row>
    <row r="48" spans="1:14" ht="13.9" customHeight="1">
      <c r="A48" s="20" t="s">
        <v>18</v>
      </c>
      <c r="B48" s="21">
        <f>'[1]Data 7.3'!AC482</f>
        <v>12.05</v>
      </c>
      <c r="C48" s="21">
        <f>'[1]Data 7.3'!AC494</f>
        <v>10.78</v>
      </c>
      <c r="D48" s="21">
        <f>'[1]Data 7.3'!AC506</f>
        <v>11.21</v>
      </c>
      <c r="E48" s="21">
        <f>'[1]Data 7.3'!AC518</f>
        <v>13.33</v>
      </c>
      <c r="F48" s="21"/>
      <c r="H48" s="7"/>
    </row>
    <row r="49" spans="1:16" ht="11.1" customHeight="1">
      <c r="A49" s="20" t="s">
        <v>19</v>
      </c>
      <c r="B49" s="21">
        <f>'[1]Data 7.3'!AC483</f>
        <v>11.44</v>
      </c>
      <c r="C49" s="21">
        <f>'[1]Data 7.3'!AC495</f>
        <v>10.54</v>
      </c>
      <c r="D49" s="21">
        <f>'[1]Data 7.3'!AC507</f>
        <v>10.99</v>
      </c>
      <c r="E49" s="21">
        <f>'[1]Data 7.3'!AC519</f>
        <v>12.65</v>
      </c>
      <c r="F49" s="21"/>
      <c r="H49" s="7"/>
    </row>
    <row r="50" spans="1:16" ht="11.1" customHeight="1">
      <c r="A50" s="20" t="s">
        <v>20</v>
      </c>
      <c r="B50" s="21">
        <f>'[1]Data 7.3'!AC484</f>
        <v>10.96</v>
      </c>
      <c r="C50" s="21">
        <f>'[1]Data 7.3'!AC496</f>
        <v>10.48</v>
      </c>
      <c r="D50" s="21">
        <f>'[1]Data 7.3'!AC508</f>
        <v>11.7</v>
      </c>
      <c r="E50" s="21">
        <f>'[1]Data 7.3'!AC520</f>
        <v>13.46</v>
      </c>
      <c r="F50" s="21"/>
      <c r="H50" s="7"/>
    </row>
    <row r="51" spans="1:16" ht="11.1" customHeight="1">
      <c r="A51" s="20"/>
      <c r="B51" s="21"/>
      <c r="C51" s="21"/>
      <c r="D51" s="21"/>
      <c r="E51" s="3"/>
      <c r="F51" s="21"/>
      <c r="H51" s="7"/>
    </row>
    <row r="52" spans="1:16" ht="11.1" customHeight="1">
      <c r="A52" s="20" t="s">
        <v>21</v>
      </c>
      <c r="B52" s="21">
        <f>'[1]Data 7.3'!AD484</f>
        <v>158.03</v>
      </c>
      <c r="C52" s="21">
        <v>158.9</v>
      </c>
      <c r="D52" s="21">
        <v>158.9</v>
      </c>
      <c r="E52" s="21">
        <v>158.9</v>
      </c>
      <c r="F52" s="21">
        <v>158.9</v>
      </c>
      <c r="H52" s="7"/>
    </row>
    <row r="53" spans="1:16" ht="11.1" customHeight="1">
      <c r="A53" s="28"/>
      <c r="B53" s="5"/>
      <c r="C53" s="5"/>
      <c r="D53" s="5"/>
      <c r="E53" s="5"/>
      <c r="F53" s="6"/>
      <c r="H53" s="7"/>
    </row>
    <row r="54" spans="1:16" ht="4.5" customHeight="1">
      <c r="A54" s="29"/>
      <c r="B54"/>
      <c r="C54"/>
      <c r="D54"/>
      <c r="E54"/>
      <c r="F54"/>
      <c r="H54" s="7"/>
    </row>
    <row r="55" spans="1:16" ht="12" customHeight="1">
      <c r="A55" s="30" t="s">
        <v>23</v>
      </c>
      <c r="B55"/>
      <c r="C55"/>
      <c r="D55"/>
      <c r="E55"/>
      <c r="F55"/>
      <c r="H55" s="7"/>
    </row>
    <row r="56" spans="1:16" ht="11.1" customHeight="1">
      <c r="A56" s="30" t="s">
        <v>24</v>
      </c>
      <c r="B56" s="31"/>
      <c r="C56" s="31"/>
      <c r="D56" s="31"/>
      <c r="E56" s="31"/>
      <c r="F56" s="31"/>
      <c r="H56" s="7"/>
    </row>
    <row r="57" spans="1:16" ht="21" customHeight="1">
      <c r="A57" s="32" t="s">
        <v>25</v>
      </c>
      <c r="B57" s="33"/>
      <c r="C57" s="33"/>
      <c r="D57" s="33"/>
      <c r="E57" s="33"/>
      <c r="F57" s="33"/>
      <c r="H57" s="7"/>
      <c r="I57" s="34" t="s">
        <v>26</v>
      </c>
    </row>
    <row r="58" spans="1:16" ht="3.75" customHeight="1">
      <c r="A58" s="32"/>
      <c r="B58" s="33"/>
      <c r="C58" s="33"/>
      <c r="D58" s="33"/>
      <c r="E58" s="33"/>
      <c r="F58" s="33"/>
      <c r="H58" s="7"/>
      <c r="I58" s="34"/>
      <c r="P58" s="2"/>
    </row>
    <row r="59" spans="1:16" ht="11.1" customHeight="1">
      <c r="A59" s="35" t="s">
        <v>27</v>
      </c>
      <c r="B59" s="36"/>
      <c r="C59" s="36"/>
      <c r="D59" s="36"/>
      <c r="E59" s="36"/>
      <c r="F59" s="31"/>
      <c r="H59" s="7"/>
      <c r="I59" s="37" t="str">
        <f>'[2]Table 7.3a'!$B$51</f>
        <v>7 May 2013</v>
      </c>
    </row>
    <row r="60" spans="1:16" ht="11.1" customHeight="1">
      <c r="A60" s="31"/>
      <c r="B60"/>
      <c r="C60"/>
      <c r="D60"/>
      <c r="E60"/>
      <c r="F60"/>
    </row>
    <row r="61" spans="1:16">
      <c r="A61"/>
      <c r="B61"/>
      <c r="C61"/>
      <c r="D61"/>
      <c r="E61"/>
      <c r="F61"/>
    </row>
    <row r="62" spans="1:16">
      <c r="A62" s="20"/>
      <c r="B62"/>
      <c r="C62"/>
      <c r="D62"/>
      <c r="E62"/>
      <c r="F62"/>
    </row>
    <row r="63" spans="1:16" ht="12.75" customHeight="1">
      <c r="A63" s="20"/>
      <c r="B63"/>
      <c r="C63"/>
      <c r="D63"/>
      <c r="E63"/>
      <c r="F63"/>
    </row>
    <row r="64" spans="1:16">
      <c r="A64"/>
      <c r="B64"/>
      <c r="C64"/>
      <c r="D64"/>
      <c r="E64"/>
      <c r="F64"/>
    </row>
  </sheetData>
  <mergeCells count="3">
    <mergeCell ref="A57:F57"/>
    <mergeCell ref="I57:I58"/>
    <mergeCell ref="A58:F58"/>
  </mergeCells>
  <hyperlinks>
    <hyperlink ref="A1" r:id="rId1"/>
    <hyperlink ref="A59:E59" r:id="rId2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3</xdr:row>
                <xdr:rowOff>38100</xdr:rowOff>
              </from>
              <to>
                <xdr:col>11</xdr:col>
                <xdr:colOff>28575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7.3</vt:lpstr>
      <vt:lpstr>'Table 7.3'!Print_Area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2013-05-02T23:13:45Z</dcterms:created>
  <dcterms:modified xsi:type="dcterms:W3CDTF">2013-05-02T23:14:14Z</dcterms:modified>
</cp:coreProperties>
</file>