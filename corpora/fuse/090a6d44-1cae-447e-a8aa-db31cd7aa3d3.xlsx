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20" windowWidth="19155" windowHeight="11055"/>
  </bookViews>
  <sheets>
    <sheet name="Pro-rating Cost Allocation" sheetId="1" r:id="rId1"/>
  </sheets>
  <definedNames>
    <definedName name="_xlnm.Print_Area" localSheetId="0">'Pro-rating Cost Allocation'!$A$1:$W$50</definedName>
  </definedNames>
  <calcPr calcId="125725"/>
</workbook>
</file>

<file path=xl/calcChain.xml><?xml version="1.0" encoding="utf-8"?>
<calcChain xmlns="http://schemas.openxmlformats.org/spreadsheetml/2006/main">
  <c r="C47" i="1"/>
  <c r="F44"/>
  <c r="F42"/>
  <c r="I27"/>
  <c r="G24"/>
  <c r="K27" s="1"/>
  <c r="D24"/>
  <c r="C24"/>
  <c r="E27" s="1"/>
  <c r="I22"/>
  <c r="J22" s="1"/>
  <c r="J21"/>
  <c r="I21"/>
  <c r="J20"/>
  <c r="I20"/>
  <c r="J19"/>
  <c r="I19"/>
  <c r="J18"/>
  <c r="I18"/>
  <c r="J17"/>
  <c r="P46" s="1"/>
  <c r="I17"/>
  <c r="I24" s="1"/>
  <c r="E13"/>
  <c r="D13"/>
  <c r="C13"/>
  <c r="F27" s="1"/>
  <c r="C11"/>
  <c r="C10"/>
  <c r="C9"/>
  <c r="C8"/>
  <c r="C7"/>
  <c r="J24" l="1"/>
  <c r="J25" s="1"/>
  <c r="L22" l="1"/>
  <c r="K22" s="1"/>
  <c r="M22" s="1"/>
  <c r="L21"/>
  <c r="K21" s="1"/>
  <c r="M21" s="1"/>
  <c r="L20"/>
  <c r="K20" s="1"/>
  <c r="M20" s="1"/>
  <c r="L19"/>
  <c r="K19" s="1"/>
  <c r="M19" s="1"/>
  <c r="L18"/>
  <c r="K18" s="1"/>
  <c r="M18" s="1"/>
  <c r="L17"/>
  <c r="N18" l="1"/>
  <c r="N20"/>
  <c r="N22"/>
  <c r="L24"/>
  <c r="K17"/>
  <c r="N19"/>
  <c r="N21"/>
  <c r="K24" l="1"/>
  <c r="K25" s="1"/>
  <c r="M17"/>
  <c r="M24" l="1"/>
  <c r="N17"/>
  <c r="N24" s="1"/>
  <c r="D27" s="1"/>
  <c r="G27" s="1"/>
  <c r="D29" s="1"/>
  <c r="D30" l="1"/>
  <c r="M25"/>
  <c r="B28" s="1"/>
  <c r="R46"/>
  <c r="P22"/>
  <c r="Q22" s="1"/>
  <c r="P21"/>
  <c r="Q21" s="1"/>
  <c r="P20"/>
  <c r="Q20" s="1"/>
  <c r="P19"/>
  <c r="Q19" s="1"/>
  <c r="P18"/>
  <c r="Q18" s="1"/>
  <c r="P17"/>
  <c r="P24" l="1"/>
  <c r="Q17"/>
  <c r="Q46" l="1"/>
  <c r="Q24"/>
  <c r="R47" s="1"/>
  <c r="R22" l="1"/>
  <c r="S22" s="1"/>
  <c r="R21"/>
  <c r="S21" s="1"/>
  <c r="R20"/>
  <c r="S20" s="1"/>
  <c r="R19"/>
  <c r="S19" s="1"/>
  <c r="R18"/>
  <c r="S18" s="1"/>
  <c r="R17"/>
  <c r="U22" l="1"/>
  <c r="T22"/>
  <c r="U18"/>
  <c r="T18"/>
  <c r="U20"/>
  <c r="T20"/>
  <c r="R24"/>
  <c r="S17"/>
  <c r="U19"/>
  <c r="T19"/>
  <c r="U21"/>
  <c r="T21"/>
  <c r="S24" l="1"/>
  <c r="V25" s="1"/>
  <c r="T17"/>
  <c r="T24" s="1"/>
  <c r="U17" l="1"/>
  <c r="U24" s="1"/>
</calcChain>
</file>

<file path=xl/comments1.xml><?xml version="1.0" encoding="utf-8"?>
<comments xmlns="http://schemas.openxmlformats.org/spreadsheetml/2006/main">
  <authors>
    <author>sbeddow</author>
    <author>13026</author>
  </authors>
  <commentList>
    <comment ref="G15" authorId="0">
      <text>
        <r>
          <rPr>
            <b/>
            <sz val="9"/>
            <color indexed="81"/>
            <rFont val="Tahoma"/>
            <charset val="1"/>
          </rPr>
          <t>sbeddow:</t>
        </r>
        <r>
          <rPr>
            <sz val="9"/>
            <color indexed="81"/>
            <rFont val="Tahoma"/>
            <charset val="1"/>
          </rPr>
          <t xml:space="preserve">
Maximum of 25% of units may also be PBS8
</t>
        </r>
      </text>
    </comment>
    <comment ref="B33" authorId="1">
      <text>
        <r>
          <rPr>
            <b/>
            <sz val="10"/>
            <color rgb="FF000000"/>
            <rFont val="Tahoma"/>
            <family val="2"/>
          </rPr>
          <t>Data Entry Note: Use the dropdown menu to select the HOME-Eligible Activity for your project.  Your selection will help to determine the HOME Required Affordability Period.
Users unable to use the drop down menu can enter the project's HOME-Eligible Activity code in cell D24.  For rehabilitation or acquisition or existing housing, enter 1.  For refinance of rehabilitiation, enter 2.  For new construction or acquisition of new housing, enter 3.  Since a dropdown menu blocks cell D24, use the arrow keys on your keyboard to access the cell.
Alternatively, enter the HOME Required Affordability Period directly into cell E32.</t>
        </r>
      </text>
    </comment>
    <comment ref="B37" authorId="1">
      <text>
        <r>
          <rPr>
            <b/>
            <sz val="10"/>
            <color rgb="FF000000"/>
            <rFont val="Tahoma"/>
            <family val="2"/>
          </rPr>
          <t>Data Entry Note:  Use the dropdown menu to select the Average Per-Unit HOME Subsidy for your project.  Your selection will help to determine the HOME Required Affordability Period.
Users unable to use the drop down menu can enter the project's Average Per-Unit HOME Subsidy code in cell D29.  For less than $15,000, enter 1.  For $15,000-$40,000, enter 2.  For more than $40,000, enter 3.  Since a dropdown menu blocks cell D29, use the arrow keys on your keyboard to access the cell.
Alternatively, enter the HOME Required Affordability Period directly into cell E32.</t>
        </r>
      </text>
    </comment>
    <comment ref="F43" authorId="1">
      <text>
        <r>
          <rPr>
            <b/>
            <sz val="10"/>
            <color rgb="FF000000"/>
            <rFont val="Tahoma"/>
            <family val="2"/>
          </rPr>
          <t>Data Entry Cell,
PJ's Required  Affordability Period (in years)</t>
        </r>
      </text>
    </comment>
  </commentList>
</comments>
</file>

<file path=xl/sharedStrings.xml><?xml version="1.0" encoding="utf-8"?>
<sst xmlns="http://schemas.openxmlformats.org/spreadsheetml/2006/main" count="91" uniqueCount="77">
  <si>
    <t>HOME Units, Maximum HOME Subsidy</t>
  </si>
  <si>
    <t xml:space="preserve">  Bold, Green Highlight Cells Denote USER INPUT</t>
  </si>
  <si>
    <t>Project Name</t>
  </si>
  <si>
    <t>Pro-rating Cost Allocation</t>
  </si>
  <si>
    <t xml:space="preserve">  Bold, Yellow Highlight Cells Denote USER INPUT OVERRIDES - do not enter in these cells</t>
  </si>
  <si>
    <t>Date (00/00/00)</t>
  </si>
  <si>
    <t>Must be updated if project costs change after intake</t>
  </si>
  <si>
    <t xml:space="preserve">   White Cells Denote CALCULATED RESULTS</t>
  </si>
  <si>
    <t>Prepared By</t>
  </si>
  <si>
    <t>Calculates Maximum HOME Subsidy, Number and Distribution of HOME units</t>
  </si>
  <si>
    <t>Total Development Cost</t>
  </si>
  <si>
    <t>Eligible Cost</t>
  </si>
  <si>
    <t>Ineligible Cost</t>
  </si>
  <si>
    <t>Total Project Cost</t>
  </si>
  <si>
    <t>Land / Buildings</t>
  </si>
  <si>
    <t>Construction</t>
  </si>
  <si>
    <t>Developer Fee</t>
  </si>
  <si>
    <t>Relocation expenses</t>
  </si>
  <si>
    <t>relocation expenses are subtracted only to determine the proration in cell F28</t>
  </si>
  <si>
    <t>Other Soft Costs (except relocation)</t>
  </si>
  <si>
    <t xml:space="preserve">   Total </t>
  </si>
  <si>
    <t>Distribution of HOME Units</t>
  </si>
  <si>
    <t>Unit Mix in Total Project</t>
  </si>
  <si>
    <t># Units</t>
  </si>
  <si>
    <t>221d3 Limit</t>
  </si>
  <si>
    <t># PBS8 Units</t>
  </si>
  <si>
    <t>HOME unit type</t>
  </si>
  <si>
    <t>HOME Units (1st Try)</t>
  </si>
  <si>
    <t>HOME Units (2nd Try)</t>
  </si>
  <si>
    <t>HOME Units (3rd Try)</t>
  </si>
  <si>
    <t>3rd Try Calc</t>
  </si>
  <si>
    <t>HOME Units (Conclusion)</t>
  </si>
  <si>
    <t># Low HOME (1st Try)</t>
  </si>
  <si>
    <t># Low HOME (2nd Try)</t>
  </si>
  <si>
    <t># Low HOME (calc)</t>
  </si>
  <si>
    <t># Low HOME (conclusion)</t>
  </si>
  <si>
    <t># High HOME</t>
  </si>
  <si>
    <t>Final HOME Unit Count</t>
  </si>
  <si>
    <t xml:space="preserve">Date of  HOME Limits schedule </t>
  </si>
  <si>
    <t>0BR Units</t>
  </si>
  <si>
    <t>(00/00/00)</t>
  </si>
  <si>
    <t>1BR Units</t>
  </si>
  <si>
    <t>2BR Units</t>
  </si>
  <si>
    <t>3BR Units</t>
  </si>
  <si>
    <t>4BR Units</t>
  </si>
  <si>
    <t>Other Units</t>
  </si>
  <si>
    <t xml:space="preserve">   Total Project</t>
  </si>
  <si>
    <t>Proposed HOME Units</t>
  </si>
  <si>
    <t>HOME $ by 221d3 Limit</t>
  </si>
  <si>
    <t>HOME $ by Proration of eligible expenses</t>
  </si>
  <si>
    <t>HOME proration %</t>
  </si>
  <si>
    <t>Maximum HOME Investment including Relocation Costs</t>
  </si>
  <si>
    <t>Average assisted  unit HOME Subsidy</t>
  </si>
  <si>
    <t>Minimum Investment HOME Subsidy met?</t>
  </si>
  <si>
    <t>Solve for Max HOME Investment</t>
  </si>
  <si>
    <t>Actual Amount of HOME funding</t>
  </si>
  <si>
    <t>Davis Bacon Triggered?</t>
  </si>
  <si>
    <t>HOME Affordability Period</t>
  </si>
  <si>
    <t>HOME-Eligible Rental Activity (select one)</t>
  </si>
  <si>
    <t>Clicking here will trigger an error dialog box</t>
  </si>
  <si>
    <t>Rehabilitation or Acquisition of Existing Housing</t>
  </si>
  <si>
    <t>Refinance of Rehabilitation Project</t>
  </si>
  <si>
    <t>New Construction or Acquisition of New Housing</t>
  </si>
  <si>
    <t>Average Per-Unit HOME Subsidy (select one)</t>
  </si>
  <si>
    <t>because BES does not allow macros,</t>
  </si>
  <si>
    <t>Less than $15,000</t>
  </si>
  <si>
    <t>$15,000-$40,000</t>
  </si>
  <si>
    <t>More than $40,000</t>
  </si>
  <si>
    <t>use it anyhow to calculate reg period.</t>
  </si>
  <si>
    <t>HOME Required Affordability Period (in years)</t>
  </si>
  <si>
    <t>(Advisory information only.)</t>
  </si>
  <si>
    <t>PJ's Required Affordability Period (in years)</t>
  </si>
  <si>
    <t>(Must be at least as long as HOME requirement.)</t>
  </si>
  <si>
    <t>PJ's Affordability Period in Compliance with HOME Program?</t>
  </si>
  <si>
    <t>Required HOME Match</t>
  </si>
  <si>
    <t>except if project specific to CHDO</t>
  </si>
  <si>
    <t xml:space="preserve">Comments </t>
  </si>
</sst>
</file>

<file path=xl/styles.xml><?xml version="1.0" encoding="utf-8"?>
<styleSheet xmlns="http://schemas.openxmlformats.org/spreadsheetml/2006/main">
  <numFmts count="7">
    <numFmt numFmtId="5" formatCode="&quot;$&quot;#,##0_);\(&quot;$&quot;#,##0\)"/>
    <numFmt numFmtId="7" formatCode="&quot;$&quot;#,##0.00_);\(&quot;$&quot;#,##0.00\)"/>
    <numFmt numFmtId="42" formatCode="_(&quot;$&quot;* #,##0_);_(&quot;$&quot;* \(#,##0\);_(&quot;$&quot;* &quot;-&quot;_);_(@_)"/>
    <numFmt numFmtId="41" formatCode="_(* #,##0_);_(* \(#,##0\);_(* &quot;-&quot;_);_(@_)"/>
    <numFmt numFmtId="44" formatCode="_(&quot;$&quot;* #,##0.00_);_(&quot;$&quot;* \(#,##0.00\);_(&quot;$&quot;* &quot;-&quot;??_);_(@_)"/>
    <numFmt numFmtId="164" formatCode="mm/dd/yy;@"/>
    <numFmt numFmtId="165" formatCode="_(&quot;$&quot;* #,##0_);_(&quot;$&quot;* \(#,##0\);_(&quot;$&quot;* &quot;-&quot;??_);_(@_)"/>
  </numFmts>
  <fonts count="36">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2"/>
      <name val="Arial"/>
      <family val="2"/>
    </font>
    <font>
      <b/>
      <sz val="16"/>
      <color indexed="17"/>
      <name val="Arial"/>
      <family val="2"/>
    </font>
    <font>
      <b/>
      <sz val="8"/>
      <name val="Arial"/>
      <family val="2"/>
    </font>
    <font>
      <b/>
      <sz val="12"/>
      <color indexed="8"/>
      <name val="Arial"/>
      <family val="2"/>
    </font>
    <font>
      <b/>
      <sz val="16"/>
      <color indexed="8"/>
      <name val="Arial"/>
      <family val="2"/>
    </font>
    <font>
      <b/>
      <sz val="16"/>
      <color indexed="8"/>
      <name val="Calibri"/>
      <family val="2"/>
    </font>
    <font>
      <i/>
      <sz val="11"/>
      <name val="Arial"/>
      <family val="2"/>
    </font>
    <font>
      <sz val="16"/>
      <color indexed="8"/>
      <name val="Arial"/>
      <family val="2"/>
    </font>
    <font>
      <b/>
      <sz val="10"/>
      <color indexed="8"/>
      <name val="Arial"/>
      <family val="2"/>
    </font>
    <font>
      <sz val="16"/>
      <color indexed="8"/>
      <name val="Calibri"/>
      <family val="2"/>
    </font>
    <font>
      <i/>
      <sz val="11"/>
      <color rgb="FFFF0000"/>
      <name val="Arial"/>
      <family val="2"/>
    </font>
    <font>
      <sz val="8"/>
      <name val="Arial"/>
      <family val="2"/>
    </font>
    <font>
      <i/>
      <sz val="11"/>
      <color indexed="8"/>
      <name val="Arial"/>
      <family val="2"/>
    </font>
    <font>
      <b/>
      <sz val="11"/>
      <color indexed="8"/>
      <name val="Arial"/>
      <family val="2"/>
    </font>
    <font>
      <sz val="10"/>
      <name val="Arial"/>
      <family val="2"/>
    </font>
    <font>
      <b/>
      <sz val="10"/>
      <color indexed="17"/>
      <name val="Arial"/>
      <family val="2"/>
    </font>
    <font>
      <b/>
      <sz val="10"/>
      <color rgb="FF008000"/>
      <name val="Arial"/>
      <family val="2"/>
    </font>
    <font>
      <sz val="10"/>
      <color rgb="FFFF0000"/>
      <name val="Arial"/>
      <family val="2"/>
    </font>
    <font>
      <b/>
      <sz val="10"/>
      <color rgb="FF009900"/>
      <name val="Arial"/>
      <family val="2"/>
    </font>
    <font>
      <b/>
      <sz val="11"/>
      <color indexed="17"/>
      <name val="Arial"/>
      <family val="2"/>
    </font>
    <font>
      <sz val="10"/>
      <color theme="1"/>
      <name val="Arial"/>
      <family val="2"/>
    </font>
    <font>
      <b/>
      <sz val="11"/>
      <color theme="1"/>
      <name val="Arial"/>
      <family val="2"/>
    </font>
    <font>
      <sz val="11"/>
      <name val="Calibri"/>
      <family val="2"/>
      <scheme val="minor"/>
    </font>
    <font>
      <b/>
      <sz val="10"/>
      <name val="Arial"/>
      <family val="2"/>
    </font>
    <font>
      <b/>
      <sz val="11"/>
      <name val="Arial"/>
      <family val="2"/>
    </font>
    <font>
      <b/>
      <sz val="10"/>
      <name val="Verdana"/>
      <family val="2"/>
    </font>
    <font>
      <sz val="10"/>
      <name val="Verdana"/>
      <family val="2"/>
    </font>
    <font>
      <sz val="10"/>
      <color theme="0"/>
      <name val="Arial"/>
      <family val="2"/>
    </font>
    <font>
      <b/>
      <sz val="10"/>
      <color rgb="FF000000"/>
      <name val="Tahoma"/>
      <family val="2"/>
    </font>
    <font>
      <sz val="9"/>
      <color indexed="81"/>
      <name val="Tahoma"/>
      <charset val="1"/>
    </font>
    <font>
      <b/>
      <sz val="9"/>
      <color indexed="81"/>
      <name val="Tahoma"/>
      <charset val="1"/>
    </font>
  </fonts>
  <fills count="8">
    <fill>
      <patternFill patternType="none"/>
    </fill>
    <fill>
      <patternFill patternType="gray125"/>
    </fill>
    <fill>
      <patternFill patternType="solid">
        <fgColor indexed="42"/>
        <bgColor indexed="64"/>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indexed="13"/>
        <bgColor indexed="64"/>
      </patternFill>
    </fill>
    <fill>
      <patternFill patternType="solid">
        <fgColor rgb="FFCCFFCC"/>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2" fillId="0" borderId="0" applyNumberFormat="0" applyFill="0" applyBorder="0" applyAlignment="0" applyProtection="0"/>
  </cellStyleXfs>
  <cellXfs count="108">
    <xf numFmtId="0" fontId="0" fillId="0" borderId="0" xfId="0"/>
    <xf numFmtId="0" fontId="5" fillId="0" borderId="0" xfId="0" applyFont="1"/>
    <xf numFmtId="0" fontId="6" fillId="0" borderId="0" xfId="0" applyFont="1" applyFill="1" applyAlignment="1" applyProtection="1">
      <alignment horizontal="left"/>
      <protection locked="0"/>
    </xf>
    <xf numFmtId="0" fontId="5" fillId="0" borderId="0" xfId="0" applyFont="1" applyFill="1" applyAlignment="1" applyProtection="1">
      <alignment horizontal="left"/>
      <protection locked="0"/>
    </xf>
    <xf numFmtId="0" fontId="8" fillId="3" borderId="0" xfId="0" applyFont="1" applyFill="1"/>
    <xf numFmtId="0" fontId="9" fillId="0" borderId="0" xfId="0" applyFont="1"/>
    <xf numFmtId="0" fontId="10" fillId="0" borderId="0" xfId="0" applyFont="1"/>
    <xf numFmtId="0" fontId="11" fillId="4" borderId="0" xfId="0" applyFont="1" applyFill="1"/>
    <xf numFmtId="0" fontId="12" fillId="0" borderId="0" xfId="0" applyFont="1"/>
    <xf numFmtId="0" fontId="8" fillId="0" borderId="0" xfId="0" applyFont="1"/>
    <xf numFmtId="0" fontId="13" fillId="0" borderId="0" xfId="0" applyFont="1"/>
    <xf numFmtId="14" fontId="12" fillId="3" borderId="0" xfId="0" applyNumberFormat="1" applyFont="1" applyFill="1"/>
    <xf numFmtId="0" fontId="14" fillId="0" borderId="0" xfId="0" applyFont="1"/>
    <xf numFmtId="0" fontId="15" fillId="0" borderId="0" xfId="0" applyFont="1"/>
    <xf numFmtId="0" fontId="12" fillId="3" borderId="0" xfId="0" applyFont="1" applyFill="1"/>
    <xf numFmtId="0" fontId="17" fillId="0" borderId="0" xfId="0" applyFont="1"/>
    <xf numFmtId="0" fontId="18" fillId="0" borderId="0" xfId="0" applyFont="1"/>
    <xf numFmtId="0" fontId="18" fillId="0" borderId="0" xfId="0" applyFont="1" applyAlignment="1">
      <alignment horizontal="center" wrapText="1"/>
    </xf>
    <xf numFmtId="0" fontId="19" fillId="0" borderId="0" xfId="0" applyFont="1"/>
    <xf numFmtId="5" fontId="20" fillId="4" borderId="1" xfId="0" applyNumberFormat="1" applyFont="1" applyFill="1" applyBorder="1" applyAlignment="1" applyProtection="1">
      <alignment horizontal="right"/>
      <protection locked="0"/>
    </xf>
    <xf numFmtId="42" fontId="20" fillId="2" borderId="1" xfId="0" applyNumberFormat="1" applyFont="1" applyFill="1" applyBorder="1" applyAlignment="1" applyProtection="1">
      <alignment horizontal="right"/>
      <protection locked="0"/>
    </xf>
    <xf numFmtId="42" fontId="21" fillId="3" borderId="1" xfId="0" applyNumberFormat="1" applyFont="1" applyFill="1" applyBorder="1"/>
    <xf numFmtId="5" fontId="19" fillId="0" borderId="0" xfId="0" applyNumberFormat="1" applyFont="1"/>
    <xf numFmtId="5" fontId="21" fillId="3" borderId="1" xfId="0" applyNumberFormat="1" applyFont="1" applyFill="1" applyBorder="1"/>
    <xf numFmtId="42" fontId="20" fillId="3" borderId="1" xfId="1" applyNumberFormat="1" applyFont="1" applyFill="1" applyBorder="1" applyAlignment="1" applyProtection="1">
      <alignment horizontal="right"/>
      <protection locked="0"/>
    </xf>
    <xf numFmtId="5" fontId="22" fillId="0" borderId="0" xfId="0" applyNumberFormat="1" applyFont="1"/>
    <xf numFmtId="5" fontId="18" fillId="0" borderId="0" xfId="0" applyNumberFormat="1" applyFont="1"/>
    <xf numFmtId="0" fontId="18" fillId="0" borderId="0" xfId="0" applyFont="1" applyAlignment="1">
      <alignment wrapText="1"/>
    </xf>
    <xf numFmtId="0" fontId="3" fillId="0" borderId="0" xfId="0" applyFont="1"/>
    <xf numFmtId="0" fontId="13" fillId="0" borderId="0" xfId="0" applyFont="1" applyAlignment="1">
      <alignment horizontal="center" wrapText="1"/>
    </xf>
    <xf numFmtId="164" fontId="22" fillId="3" borderId="1" xfId="0" applyNumberFormat="1" applyFont="1" applyFill="1" applyBorder="1"/>
    <xf numFmtId="0" fontId="22" fillId="0" borderId="0" xfId="0" applyFont="1" applyAlignment="1">
      <alignment horizontal="left"/>
    </xf>
    <xf numFmtId="0" fontId="20" fillId="2" borderId="1" xfId="0" applyFont="1" applyFill="1" applyBorder="1" applyAlignment="1" applyProtection="1">
      <alignment horizontal="center"/>
      <protection locked="0"/>
    </xf>
    <xf numFmtId="5" fontId="20" fillId="2" borderId="1" xfId="0" applyNumberFormat="1" applyFont="1" applyFill="1" applyBorder="1" applyAlignment="1" applyProtection="1">
      <alignment horizontal="center"/>
      <protection locked="0"/>
    </xf>
    <xf numFmtId="0" fontId="22" fillId="0" borderId="0" xfId="0" applyFont="1"/>
    <xf numFmtId="0" fontId="23" fillId="3" borderId="1" xfId="0" applyFont="1" applyFill="1" applyBorder="1"/>
    <xf numFmtId="2" fontId="19" fillId="0" borderId="0" xfId="0" applyNumberFormat="1" applyFont="1" applyAlignment="1">
      <alignment horizontal="center"/>
    </xf>
    <xf numFmtId="0" fontId="24" fillId="4" borderId="1" xfId="0" applyFont="1" applyFill="1" applyBorder="1" applyAlignment="1" applyProtection="1">
      <alignment horizontal="center"/>
      <protection locked="0"/>
    </xf>
    <xf numFmtId="0" fontId="25" fillId="0" borderId="1" xfId="0" applyFont="1" applyBorder="1"/>
    <xf numFmtId="0" fontId="25" fillId="4" borderId="1" xfId="0" applyFont="1" applyFill="1" applyBorder="1"/>
    <xf numFmtId="1" fontId="19" fillId="4" borderId="2" xfId="0" applyNumberFormat="1" applyFont="1" applyFill="1" applyBorder="1"/>
    <xf numFmtId="0" fontId="26" fillId="5" borderId="2" xfId="0" applyFont="1" applyFill="1" applyBorder="1"/>
    <xf numFmtId="0" fontId="26" fillId="5" borderId="1" xfId="0" applyFont="1" applyFill="1" applyBorder="1"/>
    <xf numFmtId="2" fontId="19" fillId="0" borderId="0" xfId="0" applyNumberFormat="1" applyFont="1"/>
    <xf numFmtId="0" fontId="0" fillId="4" borderId="0" xfId="0" applyFill="1" applyBorder="1"/>
    <xf numFmtId="0" fontId="27" fillId="4" borderId="0" xfId="0" applyFont="1" applyFill="1"/>
    <xf numFmtId="0" fontId="26" fillId="4" borderId="0" xfId="0" applyFont="1" applyFill="1"/>
    <xf numFmtId="0" fontId="18" fillId="0" borderId="0" xfId="0" applyFont="1" applyAlignment="1">
      <alignment horizontal="center"/>
    </xf>
    <xf numFmtId="5" fontId="18" fillId="0" borderId="0" xfId="0" applyNumberFormat="1" applyFont="1" applyAlignment="1">
      <alignment horizontal="center"/>
    </xf>
    <xf numFmtId="0" fontId="28" fillId="0" borderId="0" xfId="0" applyFont="1"/>
    <xf numFmtId="2" fontId="18" fillId="0" borderId="0" xfId="0" applyNumberFormat="1" applyFont="1" applyAlignment="1">
      <alignment horizontal="center"/>
    </xf>
    <xf numFmtId="2" fontId="28" fillId="0" borderId="0" xfId="0" applyNumberFormat="1" applyFont="1"/>
    <xf numFmtId="5" fontId="18" fillId="0" borderId="0" xfId="0" applyNumberFormat="1" applyFont="1" applyAlignment="1">
      <alignment horizontal="right"/>
    </xf>
    <xf numFmtId="0" fontId="26" fillId="0" borderId="0" xfId="0" applyFont="1"/>
    <xf numFmtId="0" fontId="26" fillId="4" borderId="0" xfId="0" applyFont="1" applyFill="1" applyBorder="1"/>
    <xf numFmtId="1" fontId="29" fillId="4" borderId="0" xfId="0" applyNumberFormat="1" applyFont="1" applyFill="1"/>
    <xf numFmtId="0" fontId="3" fillId="0" borderId="0" xfId="0" applyFont="1" applyFill="1" applyAlignment="1">
      <alignment wrapText="1"/>
    </xf>
    <xf numFmtId="0" fontId="28" fillId="0" borderId="0" xfId="0" applyFont="1" applyAlignment="1">
      <alignment wrapText="1"/>
    </xf>
    <xf numFmtId="0" fontId="24" fillId="2" borderId="1" xfId="0" applyFont="1" applyFill="1" applyBorder="1" applyAlignment="1" applyProtection="1">
      <alignment horizontal="center"/>
      <protection locked="0"/>
    </xf>
    <xf numFmtId="9" fontId="18" fillId="0" borderId="0" xfId="0" applyNumberFormat="1" applyFont="1" applyAlignment="1">
      <alignment horizontal="center"/>
    </xf>
    <xf numFmtId="5" fontId="29" fillId="6" borderId="3" xfId="0" applyNumberFormat="1" applyFont="1" applyFill="1" applyBorder="1" applyAlignment="1">
      <alignment horizontal="center"/>
    </xf>
    <xf numFmtId="5" fontId="28" fillId="0" borderId="0" xfId="0" applyNumberFormat="1" applyFont="1"/>
    <xf numFmtId="165" fontId="24" fillId="3" borderId="0" xfId="1" applyNumberFormat="1" applyFont="1" applyFill="1" applyBorder="1" applyAlignment="1" applyProtection="1">
      <alignment horizontal="center"/>
      <protection locked="0"/>
    </xf>
    <xf numFmtId="1" fontId="19" fillId="0" borderId="0" xfId="0" applyNumberFormat="1" applyFont="1" applyAlignment="1">
      <alignment horizontal="center"/>
    </xf>
    <xf numFmtId="0" fontId="28" fillId="5" borderId="0" xfId="0" applyFont="1" applyFill="1"/>
    <xf numFmtId="0" fontId="2" fillId="0" borderId="0" xfId="2" applyFill="1"/>
    <xf numFmtId="7" fontId="28" fillId="0" borderId="0" xfId="0" applyNumberFormat="1" applyFont="1"/>
    <xf numFmtId="0" fontId="24" fillId="0" borderId="0" xfId="0" applyFont="1" applyFill="1" applyBorder="1" applyAlignment="1" applyProtection="1">
      <alignment horizontal="center"/>
      <protection locked="0"/>
    </xf>
    <xf numFmtId="5" fontId="18" fillId="0" borderId="0" xfId="0" applyNumberFormat="1" applyFont="1" applyFill="1" applyAlignment="1">
      <alignment horizontal="center"/>
    </xf>
    <xf numFmtId="9" fontId="18" fillId="0" borderId="0" xfId="0" applyNumberFormat="1" applyFont="1" applyFill="1" applyAlignment="1">
      <alignment horizontal="center"/>
    </xf>
    <xf numFmtId="5" fontId="29" fillId="0" borderId="0" xfId="0" applyNumberFormat="1" applyFont="1" applyFill="1" applyBorder="1" applyAlignment="1">
      <alignment horizontal="center"/>
    </xf>
    <xf numFmtId="0" fontId="30" fillId="0" borderId="0" xfId="0" applyFont="1" applyBorder="1" applyAlignment="1" applyProtection="1">
      <alignment vertical="center"/>
      <protection locked="0"/>
    </xf>
    <xf numFmtId="0" fontId="31" fillId="0" borderId="0" xfId="0" applyFont="1" applyBorder="1" applyAlignment="1" applyProtection="1">
      <alignment vertical="center"/>
      <protection locked="0"/>
    </xf>
    <xf numFmtId="0" fontId="19" fillId="0" borderId="0" xfId="0" applyFont="1" applyBorder="1" applyAlignment="1" applyProtection="1">
      <alignment vertical="center"/>
      <protection locked="0"/>
    </xf>
    <xf numFmtId="0" fontId="19" fillId="0" borderId="0" xfId="0" applyFont="1" applyBorder="1" applyAlignment="1">
      <alignment vertical="center"/>
    </xf>
    <xf numFmtId="0" fontId="22" fillId="0" borderId="0" xfId="0" applyFont="1" applyBorder="1" applyAlignment="1">
      <alignment vertical="center"/>
    </xf>
    <xf numFmtId="0" fontId="31" fillId="0" borderId="0" xfId="0" applyFont="1" applyBorder="1" applyAlignment="1" applyProtection="1">
      <alignment horizontal="left" vertical="center"/>
      <protection locked="0"/>
    </xf>
    <xf numFmtId="41" fontId="30" fillId="0" borderId="2" xfId="0" applyNumberFormat="1" applyFont="1" applyFill="1" applyBorder="1" applyAlignment="1" applyProtection="1">
      <alignment horizontal="center" vertical="center"/>
      <protection locked="0"/>
    </xf>
    <xf numFmtId="0" fontId="31" fillId="0" borderId="0" xfId="0" applyFont="1" applyBorder="1" applyAlignment="1">
      <alignment vertical="center"/>
    </xf>
    <xf numFmtId="41" fontId="31" fillId="7" borderId="2" xfId="0" applyNumberFormat="1" applyFont="1" applyFill="1" applyBorder="1" applyAlignment="1" applyProtection="1">
      <alignment horizontal="center" vertical="center"/>
      <protection locked="0"/>
    </xf>
    <xf numFmtId="41" fontId="31" fillId="0" borderId="2" xfId="0" applyNumberFormat="1" applyFont="1" applyFill="1" applyBorder="1" applyAlignment="1" applyProtection="1">
      <alignment horizontal="center" vertical="center"/>
      <protection locked="0"/>
    </xf>
    <xf numFmtId="1" fontId="32" fillId="0" borderId="0" xfId="0" applyNumberFormat="1" applyFont="1" applyAlignment="1">
      <alignment horizontal="center"/>
    </xf>
    <xf numFmtId="0" fontId="4" fillId="0" borderId="0" xfId="0" applyFont="1"/>
    <xf numFmtId="0" fontId="27" fillId="0" borderId="0" xfId="0" applyFont="1"/>
    <xf numFmtId="44" fontId="3" fillId="5" borderId="0" xfId="0" applyNumberFormat="1" applyFont="1" applyFill="1"/>
    <xf numFmtId="0" fontId="24" fillId="2" borderId="0" xfId="0" applyFont="1" applyFill="1" applyBorder="1" applyAlignment="1" applyProtection="1">
      <alignment horizontal="left" vertical="top"/>
      <protection locked="0"/>
    </xf>
    <xf numFmtId="0" fontId="31" fillId="7" borderId="1" xfId="0" applyFont="1" applyFill="1" applyBorder="1" applyAlignment="1" applyProtection="1">
      <alignment horizontal="left" vertical="center"/>
      <protection locked="0"/>
    </xf>
    <xf numFmtId="0" fontId="7" fillId="2" borderId="1" xfId="0" applyFont="1" applyFill="1" applyBorder="1" applyAlignment="1">
      <alignment horizontal="center"/>
    </xf>
    <xf numFmtId="0" fontId="7" fillId="5" borderId="1" xfId="0" applyFont="1" applyFill="1" applyBorder="1" applyAlignment="1">
      <alignment horizontal="center"/>
    </xf>
    <xf numFmtId="0" fontId="16" fillId="0" borderId="1" xfId="0" applyFont="1" applyBorder="1" applyAlignment="1">
      <alignment horizontal="center"/>
    </xf>
    <xf numFmtId="0" fontId="18" fillId="0" borderId="0" xfId="0" applyFont="1" applyAlignment="1">
      <alignment horizontal="center"/>
    </xf>
    <xf numFmtId="0" fontId="0" fillId="0" borderId="0" xfId="0" applyAlignment="1"/>
    <xf numFmtId="0" fontId="3" fillId="0" borderId="0" xfId="0" applyFont="1" applyAlignment="1"/>
    <xf numFmtId="0" fontId="2" fillId="0" borderId="0" xfId="0" applyFont="1" applyAlignment="1">
      <alignment wrapText="1"/>
    </xf>
    <xf numFmtId="0" fontId="2" fillId="0" borderId="0" xfId="0" applyFont="1" applyAlignment="1"/>
    <xf numFmtId="0" fontId="28" fillId="5" borderId="0" xfId="0" applyFont="1" applyFill="1"/>
    <xf numFmtId="0" fontId="19" fillId="0" borderId="0" xfId="0" applyFont="1"/>
    <xf numFmtId="0" fontId="3" fillId="5" borderId="0" xfId="0" applyFont="1" applyFill="1" applyAlignment="1"/>
    <xf numFmtId="0" fontId="0" fillId="5" borderId="0" xfId="0" applyFill="1" applyAlignment="1"/>
    <xf numFmtId="0" fontId="30" fillId="0" borderId="4" xfId="0" applyFont="1" applyBorder="1" applyAlignment="1">
      <alignment vertical="center"/>
    </xf>
    <xf numFmtId="0" fontId="30" fillId="0" borderId="5" xfId="0" applyFont="1" applyBorder="1" applyAlignment="1">
      <alignment vertical="center"/>
    </xf>
    <xf numFmtId="0" fontId="30" fillId="0" borderId="2" xfId="0" applyFont="1" applyBorder="1" applyAlignment="1">
      <alignment vertical="center"/>
    </xf>
    <xf numFmtId="0" fontId="31" fillId="0" borderId="4" xfId="0" applyFont="1" applyBorder="1" applyAlignment="1">
      <alignment vertical="center"/>
    </xf>
    <xf numFmtId="0" fontId="31" fillId="0" borderId="5" xfId="0" applyFont="1" applyBorder="1" applyAlignment="1">
      <alignment vertical="center"/>
    </xf>
    <xf numFmtId="0" fontId="31" fillId="0" borderId="2" xfId="0" applyFont="1" applyBorder="1" applyAlignment="1">
      <alignment vertical="center"/>
    </xf>
    <xf numFmtId="0" fontId="24" fillId="2" borderId="4" xfId="0" applyFont="1" applyFill="1" applyBorder="1" applyAlignment="1" applyProtection="1">
      <alignment horizontal="left" vertical="top"/>
      <protection locked="0"/>
    </xf>
    <xf numFmtId="0" fontId="24" fillId="2" borderId="5" xfId="0" applyFont="1" applyFill="1" applyBorder="1" applyAlignment="1" applyProtection="1">
      <alignment horizontal="left" vertical="top"/>
      <protection locked="0"/>
    </xf>
    <xf numFmtId="0" fontId="24" fillId="2" borderId="2" xfId="0" applyFont="1" applyFill="1" applyBorder="1" applyAlignment="1" applyProtection="1">
      <alignment horizontal="left" vertical="top"/>
      <protection locked="0"/>
    </xf>
  </cellXfs>
  <cellStyles count="3">
    <cellStyle name="Currency" xfId="1" builtinId="4"/>
    <cellStyle name="Normal" xfId="0" builtinId="0"/>
    <cellStyle name="Warning Text" xfId="2" builtinId="11"/>
  </cellStyles>
  <dxfs count="6">
    <dxf>
      <font>
        <color theme="0"/>
      </font>
      <fill>
        <patternFill>
          <bgColor rgb="FFFF0000"/>
        </patternFill>
      </fill>
    </dxf>
    <dxf>
      <font>
        <color theme="0"/>
      </font>
      <fill>
        <patternFill>
          <bgColor rgb="FFFF0000"/>
        </patternFill>
      </fill>
    </dxf>
    <dxf>
      <font>
        <condense val="0"/>
        <extend val="0"/>
        <color rgb="FF9C0006"/>
      </font>
      <fill>
        <patternFill>
          <bgColor rgb="FFFFC7CE"/>
        </patternFill>
      </fill>
    </dxf>
    <dxf>
      <font>
        <b/>
        <i val="0"/>
        <color theme="0"/>
      </font>
      <fill>
        <patternFill>
          <bgColor rgb="FFFF0000"/>
        </patternFill>
      </fill>
    </dxf>
    <dxf>
      <font>
        <b/>
        <i val="0"/>
        <color theme="0"/>
      </font>
      <fill>
        <patternFill>
          <bgColor rgb="FFFF0000"/>
        </patternFill>
      </fill>
    </dxf>
    <dxf>
      <font>
        <b/>
        <i val="0"/>
        <strike val="0"/>
        <color theme="0"/>
      </font>
      <fill>
        <patternFill>
          <bgColor rgb="FFFF00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X49"/>
  <sheetViews>
    <sheetView tabSelected="1" topLeftCell="C1" workbookViewId="0">
      <pane xSplit="18810" topLeftCell="K1"/>
      <selection activeCell="M3" sqref="M3"/>
      <selection pane="topRight" activeCell="K1" sqref="K1"/>
    </sheetView>
  </sheetViews>
  <sheetFormatPr defaultRowHeight="15"/>
  <cols>
    <col min="2" max="2" width="40" customWidth="1"/>
    <col min="3" max="3" width="15.7109375" bestFit="1" customWidth="1"/>
    <col min="4" max="4" width="15.42578125" customWidth="1"/>
    <col min="5" max="6" width="13.42578125" customWidth="1"/>
    <col min="7" max="7" width="17.85546875" customWidth="1"/>
    <col min="8" max="8" width="12" customWidth="1"/>
    <col min="9" max="9" width="13" customWidth="1"/>
    <col min="10" max="10" width="11.5703125" customWidth="1"/>
    <col min="11" max="12" width="16.5703125" customWidth="1"/>
    <col min="13" max="13" width="15.42578125" customWidth="1"/>
    <col min="14" max="14" width="13.28515625" customWidth="1"/>
    <col min="15" max="15" width="3.5703125" customWidth="1"/>
    <col min="16" max="16" width="9.140625" customWidth="1"/>
    <col min="19" max="19" width="11.5703125" customWidth="1"/>
    <col min="21" max="21" width="12" customWidth="1"/>
  </cols>
  <sheetData>
    <row r="1" spans="2:22" s="6" customFormat="1" ht="21">
      <c r="B1" s="1" t="s">
        <v>0</v>
      </c>
      <c r="C1" s="2"/>
      <c r="D1" s="2"/>
      <c r="E1" s="87" t="s">
        <v>1</v>
      </c>
      <c r="F1" s="87"/>
      <c r="G1" s="87"/>
      <c r="H1" s="87"/>
      <c r="I1" s="87"/>
      <c r="J1" s="2"/>
      <c r="K1" s="3" t="s">
        <v>2</v>
      </c>
      <c r="L1" s="3"/>
      <c r="M1" s="4"/>
      <c r="N1" s="5"/>
      <c r="O1" s="5"/>
      <c r="P1" s="5"/>
    </row>
    <row r="2" spans="2:22" s="12" customFormat="1" ht="21">
      <c r="B2" s="7" t="s">
        <v>3</v>
      </c>
      <c r="C2" s="8"/>
      <c r="D2" s="8"/>
      <c r="E2" s="88" t="s">
        <v>4</v>
      </c>
      <c r="F2" s="88"/>
      <c r="G2" s="88"/>
      <c r="H2" s="88"/>
      <c r="I2" s="88"/>
      <c r="J2" s="8"/>
      <c r="K2" s="9" t="s">
        <v>5</v>
      </c>
      <c r="L2" s="10"/>
      <c r="M2" s="11"/>
      <c r="N2" s="8"/>
      <c r="O2" s="8"/>
      <c r="P2" s="8"/>
    </row>
    <row r="3" spans="2:22" s="12" customFormat="1" ht="21">
      <c r="B3" s="13" t="s">
        <v>6</v>
      </c>
      <c r="C3" s="8"/>
      <c r="D3" s="8"/>
      <c r="E3" s="89" t="s">
        <v>7</v>
      </c>
      <c r="F3" s="89"/>
      <c r="G3" s="89"/>
      <c r="H3" s="89"/>
      <c r="I3" s="89"/>
      <c r="J3" s="8"/>
      <c r="K3" s="9" t="s">
        <v>8</v>
      </c>
      <c r="L3" s="8"/>
      <c r="M3" s="14"/>
    </row>
    <row r="4" spans="2:22" s="12" customFormat="1" ht="21">
      <c r="B4" s="15" t="s">
        <v>9</v>
      </c>
      <c r="C4" s="8"/>
      <c r="D4" s="8"/>
      <c r="E4" s="8"/>
      <c r="F4" s="8"/>
      <c r="G4" s="8"/>
      <c r="H4" s="8"/>
      <c r="I4" s="8"/>
      <c r="J4" s="8"/>
      <c r="K4" s="8"/>
      <c r="L4" s="8"/>
      <c r="M4" s="8"/>
    </row>
    <row r="5" spans="2:22" ht="45">
      <c r="B5" s="16" t="s">
        <v>10</v>
      </c>
      <c r="C5" s="17" t="s">
        <v>11</v>
      </c>
      <c r="D5" s="17" t="s">
        <v>12</v>
      </c>
      <c r="E5" s="17" t="s">
        <v>13</v>
      </c>
      <c r="F5" s="17"/>
      <c r="G5" s="17"/>
      <c r="H5" s="18"/>
    </row>
    <row r="6" spans="2:22">
      <c r="B6" s="18"/>
      <c r="C6" s="18"/>
      <c r="D6" s="18"/>
      <c r="E6" s="18"/>
      <c r="F6" s="18"/>
      <c r="G6" s="18"/>
      <c r="H6" s="18"/>
      <c r="I6" s="18"/>
      <c r="J6" s="18"/>
      <c r="K6" s="18"/>
      <c r="L6" s="18"/>
      <c r="M6" s="18"/>
      <c r="N6" s="18"/>
      <c r="O6" s="18"/>
      <c r="P6" s="18"/>
    </row>
    <row r="7" spans="2:22">
      <c r="B7" s="18" t="s">
        <v>14</v>
      </c>
      <c r="C7" s="19">
        <f>E7-D7</f>
        <v>0</v>
      </c>
      <c r="D7" s="20">
        <v>0</v>
      </c>
      <c r="E7" s="21"/>
      <c r="F7" s="22"/>
      <c r="G7" s="22"/>
      <c r="H7" s="18"/>
      <c r="I7" s="18"/>
      <c r="J7" s="18"/>
      <c r="K7" s="18"/>
      <c r="L7" s="18"/>
      <c r="M7" s="18"/>
      <c r="N7" s="18"/>
      <c r="O7" s="18"/>
      <c r="P7" s="18"/>
    </row>
    <row r="8" spans="2:22">
      <c r="B8" s="18" t="s">
        <v>15</v>
      </c>
      <c r="C8" s="19">
        <f>E8-D8</f>
        <v>0</v>
      </c>
      <c r="D8" s="20">
        <v>0</v>
      </c>
      <c r="E8" s="23"/>
      <c r="F8" s="22"/>
      <c r="G8" s="22"/>
      <c r="H8" s="18"/>
      <c r="I8" s="18"/>
      <c r="J8" s="18"/>
      <c r="K8" s="18"/>
      <c r="L8" s="18"/>
      <c r="M8" s="18"/>
      <c r="N8" s="18"/>
      <c r="O8" s="18"/>
      <c r="P8" s="18"/>
    </row>
    <row r="9" spans="2:22">
      <c r="B9" s="18" t="s">
        <v>16</v>
      </c>
      <c r="C9" s="19">
        <f>E9-D9</f>
        <v>0</v>
      </c>
      <c r="D9" s="20">
        <v>0</v>
      </c>
      <c r="E9" s="23"/>
      <c r="F9" s="22"/>
      <c r="G9" s="22"/>
      <c r="H9" s="18"/>
      <c r="I9" s="18"/>
      <c r="J9" s="18"/>
      <c r="K9" s="18"/>
      <c r="L9" s="18"/>
      <c r="M9" s="18"/>
      <c r="N9" s="18"/>
      <c r="O9" s="18"/>
      <c r="P9" s="18"/>
    </row>
    <row r="10" spans="2:22">
      <c r="B10" s="18" t="s">
        <v>17</v>
      </c>
      <c r="C10" s="19">
        <f>E10-D10</f>
        <v>0</v>
      </c>
      <c r="D10" s="24">
        <v>0</v>
      </c>
      <c r="E10" s="23"/>
      <c r="F10" s="25" t="s">
        <v>18</v>
      </c>
      <c r="H10" s="18"/>
      <c r="I10" s="18"/>
      <c r="J10" s="18"/>
      <c r="K10" s="18"/>
      <c r="L10" s="18"/>
      <c r="M10" s="18"/>
      <c r="N10" s="18"/>
      <c r="O10" s="18"/>
      <c r="P10" s="18"/>
    </row>
    <row r="11" spans="2:22">
      <c r="B11" s="18" t="s">
        <v>19</v>
      </c>
      <c r="C11" s="19">
        <f>E11-D11</f>
        <v>0</v>
      </c>
      <c r="D11" s="20"/>
      <c r="E11" s="23"/>
      <c r="F11" s="22"/>
      <c r="G11" s="22"/>
      <c r="H11" s="18"/>
      <c r="I11" s="18"/>
      <c r="J11" s="18"/>
      <c r="K11" s="18"/>
      <c r="L11" s="18"/>
      <c r="M11" s="18"/>
      <c r="N11" s="18"/>
      <c r="O11" s="18"/>
      <c r="P11" s="18"/>
    </row>
    <row r="12" spans="2:22">
      <c r="B12" s="18"/>
      <c r="C12" s="18"/>
      <c r="D12" s="18"/>
      <c r="E12" s="18"/>
      <c r="F12" s="18"/>
      <c r="G12" s="18"/>
      <c r="H12" s="18"/>
      <c r="I12" s="18"/>
      <c r="J12" s="18"/>
      <c r="K12" s="18"/>
      <c r="L12" s="18"/>
      <c r="M12" s="18"/>
      <c r="N12" s="18"/>
      <c r="O12" s="18"/>
      <c r="P12" s="18"/>
    </row>
    <row r="13" spans="2:22">
      <c r="B13" s="16" t="s">
        <v>20</v>
      </c>
      <c r="C13" s="26">
        <f>SUM(C6:C12)</f>
        <v>0</v>
      </c>
      <c r="D13" s="26">
        <f>SUM(D6:D12)</f>
        <v>0</v>
      </c>
      <c r="E13" s="26">
        <f>SUM(E6:E12)</f>
        <v>0</v>
      </c>
      <c r="F13" s="26"/>
      <c r="G13" s="26"/>
      <c r="H13" s="18"/>
      <c r="I13" s="18"/>
      <c r="J13" s="18"/>
      <c r="K13" s="18"/>
      <c r="L13" s="18"/>
      <c r="M13" s="18"/>
      <c r="N13" s="18"/>
      <c r="O13" s="18"/>
      <c r="P13" s="18"/>
    </row>
    <row r="14" spans="2:22">
      <c r="B14" s="18"/>
      <c r="C14" s="18"/>
      <c r="D14" s="18"/>
      <c r="E14" s="18"/>
      <c r="F14" s="18"/>
      <c r="G14" s="18"/>
      <c r="H14" s="18"/>
      <c r="I14" s="90" t="s">
        <v>21</v>
      </c>
      <c r="J14" s="90"/>
      <c r="K14" s="90"/>
      <c r="L14" s="90"/>
      <c r="M14" s="90"/>
      <c r="N14" s="90"/>
      <c r="O14" s="18"/>
      <c r="P14" s="18"/>
    </row>
    <row r="15" spans="2:22" ht="51.75">
      <c r="B15" s="27" t="s">
        <v>22</v>
      </c>
      <c r="C15" s="17" t="s">
        <v>23</v>
      </c>
      <c r="D15" s="17" t="s">
        <v>24</v>
      </c>
      <c r="E15" s="18"/>
      <c r="F15" s="18"/>
      <c r="G15" s="28" t="s">
        <v>25</v>
      </c>
      <c r="H15" s="29" t="s">
        <v>26</v>
      </c>
      <c r="I15" s="29" t="s">
        <v>27</v>
      </c>
      <c r="J15" s="29" t="s">
        <v>28</v>
      </c>
      <c r="K15" s="29" t="s">
        <v>29</v>
      </c>
      <c r="L15" s="29" t="s">
        <v>30</v>
      </c>
      <c r="M15" s="29" t="s">
        <v>31</v>
      </c>
      <c r="N15" s="29" t="s">
        <v>24</v>
      </c>
      <c r="O15" s="18"/>
      <c r="P15" s="29" t="s">
        <v>32</v>
      </c>
      <c r="Q15" s="29" t="s">
        <v>33</v>
      </c>
      <c r="R15" s="29" t="s">
        <v>34</v>
      </c>
      <c r="S15" s="29" t="s">
        <v>35</v>
      </c>
      <c r="T15" s="29" t="s">
        <v>36</v>
      </c>
      <c r="U15" s="29" t="s">
        <v>37</v>
      </c>
      <c r="V15" t="s">
        <v>26</v>
      </c>
    </row>
    <row r="16" spans="2:22">
      <c r="D16" s="30"/>
      <c r="E16" s="31" t="s">
        <v>38</v>
      </c>
      <c r="I16" s="18"/>
      <c r="J16" s="18"/>
      <c r="K16" s="18"/>
      <c r="L16" s="18"/>
      <c r="M16" s="18"/>
      <c r="N16" s="18"/>
      <c r="O16" s="18"/>
    </row>
    <row r="17" spans="1:24">
      <c r="B17" s="18" t="s">
        <v>39</v>
      </c>
      <c r="C17" s="32"/>
      <c r="D17" s="33"/>
      <c r="E17" s="34" t="s">
        <v>40</v>
      </c>
      <c r="F17" s="18"/>
      <c r="G17" s="35">
        <v>0</v>
      </c>
      <c r="H17" s="18" t="s">
        <v>39</v>
      </c>
      <c r="I17" s="36" t="e">
        <f t="shared" ref="I17:I22" si="0">$C$27/$C$24*C17</f>
        <v>#DIV/0!</v>
      </c>
      <c r="J17" s="36" t="e">
        <f t="shared" ref="J17:J22" si="1">ROUND(I17,0)</f>
        <v>#DIV/0!</v>
      </c>
      <c r="K17" s="36" t="e">
        <f t="shared" ref="K17:K22" si="2">+J17+L17</f>
        <v>#DIV/0!</v>
      </c>
      <c r="L17" s="36" t="e">
        <f>IF(J$25=0,0,IF(J17=P$46,J$25,0))</f>
        <v>#DIV/0!</v>
      </c>
      <c r="M17" s="37" t="e">
        <f t="shared" ref="M17:M22" si="3">+K17</f>
        <v>#DIV/0!</v>
      </c>
      <c r="N17" s="22" t="e">
        <f t="shared" ref="N17:N22" si="4">M17*D17</f>
        <v>#DIV/0!</v>
      </c>
      <c r="O17" s="18"/>
      <c r="P17" s="38" t="e">
        <f t="shared" ref="P17:P22" si="5">IF($M$24&gt;4,ROUNDUP(M17*0.2,2),0)</f>
        <v>#DIV/0!</v>
      </c>
      <c r="Q17" s="39" t="e">
        <f t="shared" ref="Q17:Q22" si="6">ROUND(P17,0)</f>
        <v>#DIV/0!</v>
      </c>
      <c r="R17" s="40" t="e">
        <f>IF(R$47=0,0,IF(M17=P$46,R$47,0))</f>
        <v>#DIV/0!</v>
      </c>
      <c r="S17" s="41" t="e">
        <f t="shared" ref="S17:S22" si="7">Q17+R17</f>
        <v>#DIV/0!</v>
      </c>
      <c r="T17" s="42" t="e">
        <f t="shared" ref="T17:T22" si="8">M17-S17</f>
        <v>#DIV/0!</v>
      </c>
      <c r="U17" s="42" t="e">
        <f t="shared" ref="U17:U22" si="9">S17+T17</f>
        <v>#DIV/0!</v>
      </c>
      <c r="V17" t="s">
        <v>39</v>
      </c>
    </row>
    <row r="18" spans="1:24">
      <c r="B18" s="18" t="s">
        <v>41</v>
      </c>
      <c r="C18" s="32"/>
      <c r="D18" s="33"/>
      <c r="E18" s="18"/>
      <c r="F18" s="18"/>
      <c r="G18" s="35">
        <v>0</v>
      </c>
      <c r="H18" s="18" t="s">
        <v>41</v>
      </c>
      <c r="I18" s="36" t="e">
        <f t="shared" si="0"/>
        <v>#DIV/0!</v>
      </c>
      <c r="J18" s="36" t="e">
        <f t="shared" si="1"/>
        <v>#DIV/0!</v>
      </c>
      <c r="K18" s="36" t="e">
        <f t="shared" si="2"/>
        <v>#DIV/0!</v>
      </c>
      <c r="L18" s="36" t="e">
        <f>IF(J$25=0,0,IF(J18=P$46,J$25-SUM(L17:L$17),0))</f>
        <v>#DIV/0!</v>
      </c>
      <c r="M18" s="37" t="e">
        <f t="shared" si="3"/>
        <v>#DIV/0!</v>
      </c>
      <c r="N18" s="22" t="e">
        <f t="shared" si="4"/>
        <v>#DIV/0!</v>
      </c>
      <c r="O18" s="18"/>
      <c r="P18" s="38" t="e">
        <f t="shared" si="5"/>
        <v>#DIV/0!</v>
      </c>
      <c r="Q18" s="39" t="e">
        <f t="shared" si="6"/>
        <v>#DIV/0!</v>
      </c>
      <c r="R18" s="40" t="e">
        <f>IF(R$47=0,0,IF(M18=P$46,R$47-SUM(R17:R$17),0))</f>
        <v>#DIV/0!</v>
      </c>
      <c r="S18" s="41" t="e">
        <f t="shared" si="7"/>
        <v>#DIV/0!</v>
      </c>
      <c r="T18" s="42" t="e">
        <f t="shared" si="8"/>
        <v>#DIV/0!</v>
      </c>
      <c r="U18" s="42" t="e">
        <f t="shared" si="9"/>
        <v>#DIV/0!</v>
      </c>
      <c r="V18" t="s">
        <v>41</v>
      </c>
    </row>
    <row r="19" spans="1:24">
      <c r="B19" s="18" t="s">
        <v>42</v>
      </c>
      <c r="C19" s="32"/>
      <c r="D19" s="33"/>
      <c r="E19" s="18"/>
      <c r="F19" s="18"/>
      <c r="G19" s="35">
        <v>0</v>
      </c>
      <c r="H19" s="18" t="s">
        <v>42</v>
      </c>
      <c r="I19" s="36" t="e">
        <f t="shared" si="0"/>
        <v>#DIV/0!</v>
      </c>
      <c r="J19" s="36" t="e">
        <f t="shared" si="1"/>
        <v>#DIV/0!</v>
      </c>
      <c r="K19" s="36" t="e">
        <f t="shared" si="2"/>
        <v>#DIV/0!</v>
      </c>
      <c r="L19" s="36" t="e">
        <f>IF(J$25=0,0,IF(J19=P$46,J$25-SUM(L$17:L18),0))</f>
        <v>#DIV/0!</v>
      </c>
      <c r="M19" s="37" t="e">
        <f t="shared" si="3"/>
        <v>#DIV/0!</v>
      </c>
      <c r="N19" s="22" t="e">
        <f t="shared" si="4"/>
        <v>#DIV/0!</v>
      </c>
      <c r="O19" s="18"/>
      <c r="P19" s="38" t="e">
        <f t="shared" si="5"/>
        <v>#DIV/0!</v>
      </c>
      <c r="Q19" s="39" t="e">
        <f t="shared" si="6"/>
        <v>#DIV/0!</v>
      </c>
      <c r="R19" s="40" t="e">
        <f>IF(R$47=0,0,IF(M19=P$46,R$47-SUM(R$17:R18),0))</f>
        <v>#DIV/0!</v>
      </c>
      <c r="S19" s="41" t="e">
        <f t="shared" si="7"/>
        <v>#DIV/0!</v>
      </c>
      <c r="T19" s="42" t="e">
        <f t="shared" si="8"/>
        <v>#DIV/0!</v>
      </c>
      <c r="U19" s="42" t="e">
        <f t="shared" si="9"/>
        <v>#DIV/0!</v>
      </c>
      <c r="V19" t="s">
        <v>42</v>
      </c>
    </row>
    <row r="20" spans="1:24">
      <c r="B20" s="18" t="s">
        <v>43</v>
      </c>
      <c r="C20" s="32"/>
      <c r="D20" s="33"/>
      <c r="E20" s="18"/>
      <c r="F20" s="18"/>
      <c r="G20" s="35">
        <v>0</v>
      </c>
      <c r="H20" s="18" t="s">
        <v>43</v>
      </c>
      <c r="I20" s="36" t="e">
        <f t="shared" si="0"/>
        <v>#DIV/0!</v>
      </c>
      <c r="J20" s="36" t="e">
        <f t="shared" si="1"/>
        <v>#DIV/0!</v>
      </c>
      <c r="K20" s="36" t="e">
        <f t="shared" si="2"/>
        <v>#DIV/0!</v>
      </c>
      <c r="L20" s="36" t="e">
        <f>IF(J$25=0,0,IF(J20=P$46,J$25-SUM(L$17:L19),0))</f>
        <v>#DIV/0!</v>
      </c>
      <c r="M20" s="37" t="e">
        <f t="shared" si="3"/>
        <v>#DIV/0!</v>
      </c>
      <c r="N20" s="22" t="e">
        <f t="shared" si="4"/>
        <v>#DIV/0!</v>
      </c>
      <c r="O20" s="18"/>
      <c r="P20" s="38" t="e">
        <f t="shared" si="5"/>
        <v>#DIV/0!</v>
      </c>
      <c r="Q20" s="39" t="e">
        <f t="shared" si="6"/>
        <v>#DIV/0!</v>
      </c>
      <c r="R20" s="40" t="e">
        <f>IF(R$47=0,0,IF(M20=P$46,R$47-SUM(R$17:R19),0))</f>
        <v>#DIV/0!</v>
      </c>
      <c r="S20" s="41" t="e">
        <f t="shared" si="7"/>
        <v>#DIV/0!</v>
      </c>
      <c r="T20" s="42" t="e">
        <f t="shared" si="8"/>
        <v>#DIV/0!</v>
      </c>
      <c r="U20" s="42" t="e">
        <f t="shared" si="9"/>
        <v>#DIV/0!</v>
      </c>
      <c r="V20" t="s">
        <v>43</v>
      </c>
    </row>
    <row r="21" spans="1:24">
      <c r="B21" s="18" t="s">
        <v>44</v>
      </c>
      <c r="C21" s="32"/>
      <c r="D21" s="33"/>
      <c r="E21" s="18"/>
      <c r="F21" s="18"/>
      <c r="G21" s="35">
        <v>0</v>
      </c>
      <c r="H21" s="18" t="s">
        <v>44</v>
      </c>
      <c r="I21" s="36" t="e">
        <f t="shared" si="0"/>
        <v>#DIV/0!</v>
      </c>
      <c r="J21" s="36" t="e">
        <f t="shared" si="1"/>
        <v>#DIV/0!</v>
      </c>
      <c r="K21" s="36" t="e">
        <f t="shared" si="2"/>
        <v>#DIV/0!</v>
      </c>
      <c r="L21" s="36" t="e">
        <f>IF(J$25=0,0,IF(J21=P$46,J$25-SUM(L$17:L20),0))</f>
        <v>#DIV/0!</v>
      </c>
      <c r="M21" s="37" t="e">
        <f t="shared" si="3"/>
        <v>#DIV/0!</v>
      </c>
      <c r="N21" s="22" t="e">
        <f t="shared" si="4"/>
        <v>#DIV/0!</v>
      </c>
      <c r="O21" s="18"/>
      <c r="P21" s="38" t="e">
        <f t="shared" si="5"/>
        <v>#DIV/0!</v>
      </c>
      <c r="Q21" s="39" t="e">
        <f t="shared" si="6"/>
        <v>#DIV/0!</v>
      </c>
      <c r="R21" s="40" t="e">
        <f>IF(R$47=0,0,IF(M21=P$46,R$47-SUM(R$17:R20),0))</f>
        <v>#DIV/0!</v>
      </c>
      <c r="S21" s="41" t="e">
        <f t="shared" si="7"/>
        <v>#DIV/0!</v>
      </c>
      <c r="T21" s="42" t="e">
        <f t="shared" si="8"/>
        <v>#DIV/0!</v>
      </c>
      <c r="U21" s="42" t="e">
        <f t="shared" si="9"/>
        <v>#DIV/0!</v>
      </c>
      <c r="V21" t="s">
        <v>44</v>
      </c>
    </row>
    <row r="22" spans="1:24">
      <c r="B22" s="18" t="s">
        <v>45</v>
      </c>
      <c r="C22" s="32"/>
      <c r="D22" s="33"/>
      <c r="E22" s="18"/>
      <c r="F22" s="18"/>
      <c r="G22" s="35"/>
      <c r="H22" s="18" t="s">
        <v>45</v>
      </c>
      <c r="I22" s="36" t="e">
        <f t="shared" si="0"/>
        <v>#DIV/0!</v>
      </c>
      <c r="J22" s="36" t="e">
        <f t="shared" si="1"/>
        <v>#DIV/0!</v>
      </c>
      <c r="K22" s="36" t="e">
        <f t="shared" si="2"/>
        <v>#DIV/0!</v>
      </c>
      <c r="L22" s="36" t="e">
        <f>IF(J$25=0,0,IF(J22=P$46,J$25-SUM(L$17:L21),0))</f>
        <v>#DIV/0!</v>
      </c>
      <c r="M22" s="37" t="e">
        <f t="shared" si="3"/>
        <v>#DIV/0!</v>
      </c>
      <c r="N22" s="22" t="e">
        <f t="shared" si="4"/>
        <v>#DIV/0!</v>
      </c>
      <c r="O22" s="18"/>
      <c r="P22" s="38" t="e">
        <f t="shared" si="5"/>
        <v>#DIV/0!</v>
      </c>
      <c r="Q22" s="39" t="e">
        <f t="shared" si="6"/>
        <v>#DIV/0!</v>
      </c>
      <c r="R22" s="40" t="e">
        <f>IF(R$47=0,0,IF(M22=P$46,R$47-SUM(R17:R$21),0))</f>
        <v>#DIV/0!</v>
      </c>
      <c r="S22" s="41" t="e">
        <f t="shared" si="7"/>
        <v>#DIV/0!</v>
      </c>
      <c r="T22" s="42" t="e">
        <f t="shared" si="8"/>
        <v>#DIV/0!</v>
      </c>
      <c r="U22" s="42" t="e">
        <f t="shared" si="9"/>
        <v>#DIV/0!</v>
      </c>
      <c r="V22" t="s">
        <v>45</v>
      </c>
    </row>
    <row r="23" spans="1:24">
      <c r="B23" s="18"/>
      <c r="C23" s="18"/>
      <c r="D23" s="18"/>
      <c r="E23" s="18"/>
      <c r="F23" s="18"/>
      <c r="G23" s="18"/>
      <c r="H23" s="18"/>
      <c r="I23" s="43"/>
      <c r="J23" s="43"/>
      <c r="K23" s="43"/>
      <c r="L23" s="18"/>
      <c r="M23" s="18"/>
      <c r="N23" s="18"/>
      <c r="O23" s="18"/>
      <c r="Q23" s="44"/>
      <c r="R23" s="45"/>
      <c r="S23" s="44"/>
      <c r="T23" s="46"/>
      <c r="U23" s="46"/>
    </row>
    <row r="24" spans="1:24">
      <c r="B24" s="16" t="s">
        <v>46</v>
      </c>
      <c r="C24" s="47">
        <f>SUM(C16:C23)</f>
        <v>0</v>
      </c>
      <c r="D24" s="48">
        <f>SUMPRODUCT(C17:C22,D17:D22)</f>
        <v>0</v>
      </c>
      <c r="E24" s="18"/>
      <c r="F24" s="18"/>
      <c r="G24" s="49">
        <f>SUM(G17:G23)</f>
        <v>0</v>
      </c>
      <c r="H24" s="18"/>
      <c r="I24" s="50" t="e">
        <f>SUM(I16:I23)</f>
        <v>#DIV/0!</v>
      </c>
      <c r="J24" s="50" t="e">
        <f>SUM(J16:J23)</f>
        <v>#DIV/0!</v>
      </c>
      <c r="K24" s="50" t="e">
        <f>SUM(K16:K23)</f>
        <v>#DIV/0!</v>
      </c>
      <c r="L24" s="51" t="e">
        <f>SUM(L17:L23)</f>
        <v>#DIV/0!</v>
      </c>
      <c r="M24" s="47" t="e">
        <f>SUM(M16:M23)</f>
        <v>#DIV/0!</v>
      </c>
      <c r="N24" s="52" t="e">
        <f>SUM(N16:N23)</f>
        <v>#DIV/0!</v>
      </c>
      <c r="O24" s="18"/>
      <c r="P24" s="53" t="e">
        <f>SUM(P17:P22)</f>
        <v>#DIV/0!</v>
      </c>
      <c r="Q24" s="54" t="e">
        <f>SUM(Q17:Q22)</f>
        <v>#DIV/0!</v>
      </c>
      <c r="R24" s="55" t="e">
        <f>SUM(R17:R22)</f>
        <v>#DIV/0!</v>
      </c>
      <c r="S24" s="42" t="e">
        <f>SUM(S17:S22)</f>
        <v>#DIV/0!</v>
      </c>
      <c r="T24" s="42" t="e">
        <f>SUM(T17:T23)</f>
        <v>#DIV/0!</v>
      </c>
      <c r="U24" s="42" t="e">
        <f>SUM(U17:U22)</f>
        <v>#DIV/0!</v>
      </c>
    </row>
    <row r="25" spans="1:24">
      <c r="B25" s="18"/>
      <c r="C25" s="18"/>
      <c r="D25" s="18"/>
      <c r="E25" s="18"/>
      <c r="F25" s="18"/>
      <c r="G25" s="18"/>
      <c r="H25" s="18"/>
      <c r="I25" s="43"/>
      <c r="J25" s="50" t="e">
        <f>$C$27-J24</f>
        <v>#DIV/0!</v>
      </c>
      <c r="K25" s="50" t="e">
        <f>$C$27-K24</f>
        <v>#DIV/0!</v>
      </c>
      <c r="L25" s="50"/>
      <c r="M25" s="90" t="e">
        <f>IF(C27=M24,"OK","ERROR, increase proposed HOME units")</f>
        <v>#DIV/0!</v>
      </c>
      <c r="N25" s="91"/>
      <c r="O25" s="91"/>
      <c r="P25" s="91"/>
      <c r="Q25" s="92"/>
      <c r="R25" s="92"/>
      <c r="S25" s="92"/>
      <c r="T25" s="92"/>
      <c r="U25" s="92"/>
      <c r="V25" s="92" t="e">
        <f>IF(OR((M24&lt;5),(S24&gt;=(M24*0.2))),"OK","ERROR - check Low HOME")</f>
        <v>#DIV/0!</v>
      </c>
      <c r="W25" s="91"/>
      <c r="X25" s="91"/>
    </row>
    <row r="26" spans="1:24" ht="75.75" thickBot="1">
      <c r="A26" s="56"/>
      <c r="B26" s="18"/>
      <c r="C26" s="17" t="s">
        <v>47</v>
      </c>
      <c r="D26" s="17" t="s">
        <v>48</v>
      </c>
      <c r="E26" s="17" t="s">
        <v>49</v>
      </c>
      <c r="F26" s="17" t="s">
        <v>50</v>
      </c>
      <c r="G26" s="17" t="s">
        <v>51</v>
      </c>
      <c r="H26" s="18"/>
      <c r="I26" s="57" t="s">
        <v>52</v>
      </c>
      <c r="J26" s="18"/>
      <c r="K26" s="57" t="s">
        <v>53</v>
      </c>
      <c r="L26" s="57"/>
      <c r="M26" s="18"/>
      <c r="N26" s="18"/>
      <c r="O26" s="18"/>
      <c r="P26" s="18"/>
      <c r="Q26" s="93"/>
      <c r="R26" s="94"/>
      <c r="S26" s="94"/>
      <c r="T26" s="94"/>
      <c r="U26" s="94"/>
    </row>
    <row r="27" spans="1:24" ht="15.75" thickBot="1">
      <c r="B27" s="16" t="s">
        <v>54</v>
      </c>
      <c r="C27" s="58"/>
      <c r="D27" s="48" t="e">
        <f>N24</f>
        <v>#DIV/0!</v>
      </c>
      <c r="E27" s="48" t="e">
        <f>ROUND((C27/C24)*(C13-C10),0)</f>
        <v>#DIV/0!</v>
      </c>
      <c r="F27" s="59" t="e">
        <f>C29/(C13-C10)</f>
        <v>#DIV/0!</v>
      </c>
      <c r="G27" s="60" t="e">
        <f>MIN(E27,D27)</f>
        <v>#DIV/0!</v>
      </c>
      <c r="H27" s="18"/>
      <c r="I27" s="61" t="e">
        <f>C29/C27</f>
        <v>#DIV/0!</v>
      </c>
      <c r="J27" s="18"/>
      <c r="K27" s="95" t="e">
        <f>IF((G24/C27)&lt;1000,"OK","ERROR -- increaseDevelopment Costs to qualify project")</f>
        <v>#DIV/0!</v>
      </c>
      <c r="L27" s="95"/>
      <c r="M27" s="95"/>
      <c r="N27" s="95"/>
      <c r="O27" s="95"/>
      <c r="P27" s="95"/>
      <c r="Q27" s="95"/>
    </row>
    <row r="28" spans="1:24">
      <c r="B28" s="96" t="e">
        <f>IF(M25="OK","","ERROR -- increase Proposed HOME units to match conclusion in column J")</f>
        <v>#DIV/0!</v>
      </c>
      <c r="C28" s="96"/>
      <c r="D28" s="96"/>
      <c r="E28" s="96"/>
      <c r="F28" s="96"/>
      <c r="G28" s="96"/>
      <c r="H28" s="18"/>
      <c r="I28" s="18"/>
      <c r="J28" s="18"/>
      <c r="K28" s="18"/>
      <c r="L28" s="18"/>
      <c r="M28" s="18"/>
      <c r="N28" s="18"/>
      <c r="O28" s="18"/>
      <c r="P28" s="18"/>
    </row>
    <row r="29" spans="1:24">
      <c r="B29" s="16" t="s">
        <v>55</v>
      </c>
      <c r="C29" s="62"/>
      <c r="D29" s="97" t="e">
        <f>IF(C29&lt;=G27,"OK","ERROR - Exceeds maximum HOME subsidy")</f>
        <v>#DIV/0!</v>
      </c>
      <c r="E29" s="98"/>
      <c r="F29" s="98"/>
      <c r="J29" s="18"/>
      <c r="K29" s="18"/>
      <c r="L29" s="18"/>
      <c r="M29" s="18"/>
      <c r="N29" s="18"/>
      <c r="O29" s="18"/>
      <c r="P29" s="63"/>
    </row>
    <row r="30" spans="1:24">
      <c r="B30" s="49" t="s">
        <v>56</v>
      </c>
      <c r="C30" s="18"/>
      <c r="D30" s="64" t="e">
        <f>IF(OR(M24&gt;11, G24&gt;8),"Yes","No")</f>
        <v>#DIV/0!</v>
      </c>
      <c r="E30" s="65"/>
      <c r="F30" s="65"/>
      <c r="G30" s="65"/>
      <c r="H30" s="18"/>
      <c r="I30" s="66"/>
      <c r="J30" s="18"/>
      <c r="K30" s="18"/>
      <c r="L30" s="18"/>
      <c r="M30" s="18"/>
      <c r="N30" s="18"/>
      <c r="O30" s="18"/>
    </row>
    <row r="31" spans="1:24">
      <c r="B31" s="16"/>
      <c r="C31" s="67"/>
      <c r="D31" s="68"/>
      <c r="E31" s="68"/>
      <c r="F31" s="69"/>
      <c r="G31" s="70"/>
      <c r="H31" s="18"/>
      <c r="I31" s="66"/>
      <c r="J31" s="18"/>
      <c r="K31" s="18"/>
      <c r="L31" s="18"/>
      <c r="M31" s="18"/>
      <c r="N31" s="18"/>
      <c r="O31" s="18"/>
      <c r="P31" s="63"/>
    </row>
    <row r="32" spans="1:24">
      <c r="B32" s="71" t="s">
        <v>57</v>
      </c>
      <c r="C32" s="71"/>
      <c r="D32" s="71"/>
      <c r="E32" s="71"/>
      <c r="F32" s="72"/>
      <c r="G32" s="72"/>
      <c r="H32" s="73"/>
      <c r="I32" s="74"/>
      <c r="J32" s="18"/>
      <c r="K32" s="18"/>
      <c r="L32" s="18"/>
      <c r="M32" s="18"/>
      <c r="N32" s="18"/>
      <c r="O32" s="18"/>
      <c r="P32" s="63"/>
    </row>
    <row r="33" spans="2:19">
      <c r="B33" s="86" t="s">
        <v>58</v>
      </c>
      <c r="C33" s="86"/>
      <c r="D33" s="86"/>
      <c r="E33" s="71">
        <v>3</v>
      </c>
      <c r="F33" s="71"/>
      <c r="G33" s="72"/>
      <c r="H33" s="73"/>
      <c r="I33" s="75" t="s">
        <v>59</v>
      </c>
      <c r="J33" s="18"/>
      <c r="K33" s="18"/>
      <c r="L33" s="18"/>
      <c r="M33" s="18"/>
      <c r="N33" s="18"/>
      <c r="O33" s="18"/>
      <c r="P33" s="63"/>
    </row>
    <row r="34" spans="2:19" hidden="1">
      <c r="B34" s="72" t="s">
        <v>60</v>
      </c>
      <c r="C34" s="71"/>
      <c r="D34" s="71"/>
      <c r="E34" s="71">
        <v>3</v>
      </c>
      <c r="F34" s="72"/>
      <c r="G34" s="72"/>
      <c r="H34" s="73"/>
      <c r="I34" s="75"/>
      <c r="J34" s="18"/>
      <c r="K34" s="18"/>
      <c r="L34" s="18"/>
      <c r="M34" s="18"/>
      <c r="N34" s="18"/>
      <c r="O34" s="18"/>
      <c r="P34" s="63"/>
    </row>
    <row r="35" spans="2:19" hidden="1">
      <c r="B35" s="72" t="s">
        <v>61</v>
      </c>
      <c r="C35" s="71"/>
      <c r="D35" s="71"/>
      <c r="E35" s="71"/>
      <c r="F35" s="72"/>
      <c r="G35" s="72"/>
      <c r="H35" s="73"/>
      <c r="I35" s="75"/>
      <c r="J35" s="18"/>
      <c r="K35" s="18"/>
      <c r="L35" s="18"/>
      <c r="M35" s="18"/>
      <c r="N35" s="18"/>
      <c r="O35" s="18"/>
      <c r="P35" s="63"/>
    </row>
    <row r="36" spans="2:19" hidden="1">
      <c r="B36" s="72" t="s">
        <v>62</v>
      </c>
      <c r="C36" s="71"/>
      <c r="D36" s="71"/>
      <c r="E36" s="71"/>
      <c r="F36" s="72"/>
      <c r="G36" s="72"/>
      <c r="H36" s="73"/>
      <c r="I36" s="75"/>
      <c r="J36" s="18"/>
      <c r="K36" s="18"/>
      <c r="L36" s="18"/>
      <c r="M36" s="18"/>
      <c r="N36" s="18"/>
      <c r="O36" s="18"/>
      <c r="P36" s="63"/>
    </row>
    <row r="37" spans="2:19">
      <c r="B37" s="86" t="s">
        <v>63</v>
      </c>
      <c r="C37" s="86"/>
      <c r="D37" s="86"/>
      <c r="E37" s="71">
        <v>3</v>
      </c>
      <c r="F37" s="71"/>
      <c r="G37" s="72"/>
      <c r="H37" s="73"/>
      <c r="I37" s="75" t="s">
        <v>64</v>
      </c>
      <c r="J37" s="18"/>
      <c r="K37" s="18"/>
      <c r="L37" s="18"/>
      <c r="M37" s="18"/>
      <c r="N37" s="18"/>
      <c r="O37" s="18"/>
      <c r="P37" s="63"/>
    </row>
    <row r="38" spans="2:19" hidden="1">
      <c r="B38" s="76" t="s">
        <v>65</v>
      </c>
      <c r="C38" s="76"/>
      <c r="D38" s="71"/>
      <c r="E38" s="71"/>
      <c r="F38" s="72"/>
      <c r="G38" s="72"/>
      <c r="H38" s="73"/>
      <c r="I38" s="75"/>
      <c r="J38" s="18"/>
      <c r="K38" s="18"/>
      <c r="L38" s="18"/>
      <c r="M38" s="18"/>
      <c r="N38" s="18"/>
      <c r="O38" s="18"/>
      <c r="P38" s="63"/>
    </row>
    <row r="39" spans="2:19" hidden="1">
      <c r="B39" s="76" t="s">
        <v>66</v>
      </c>
      <c r="C39" s="76"/>
      <c r="D39" s="71"/>
      <c r="E39" s="71"/>
      <c r="F39" s="72"/>
      <c r="G39" s="72"/>
      <c r="H39" s="73"/>
      <c r="I39" s="75"/>
      <c r="J39" s="18"/>
      <c r="K39" s="18"/>
      <c r="L39" s="18"/>
      <c r="M39" s="18"/>
      <c r="N39" s="18"/>
      <c r="O39" s="18"/>
      <c r="P39" s="63"/>
    </row>
    <row r="40" spans="2:19" hidden="1">
      <c r="B40" s="76" t="s">
        <v>67</v>
      </c>
      <c r="C40" s="76"/>
      <c r="D40" s="71"/>
      <c r="E40" s="71"/>
      <c r="F40" s="72"/>
      <c r="G40" s="72"/>
      <c r="H40" s="73"/>
      <c r="I40" s="75"/>
      <c r="J40" s="18"/>
      <c r="K40" s="18"/>
      <c r="L40" s="18"/>
      <c r="M40" s="18"/>
      <c r="N40" s="18"/>
      <c r="O40" s="18"/>
      <c r="P40" s="63"/>
    </row>
    <row r="41" spans="2:19">
      <c r="B41" s="71"/>
      <c r="C41" s="71"/>
      <c r="D41" s="71"/>
      <c r="E41" s="71"/>
      <c r="F41" s="72"/>
      <c r="G41" s="72"/>
      <c r="H41" s="73"/>
      <c r="I41" s="75" t="s">
        <v>68</v>
      </c>
      <c r="J41" s="18"/>
      <c r="K41" s="18"/>
      <c r="L41" s="18"/>
      <c r="M41" s="18"/>
      <c r="N41" s="18"/>
      <c r="O41" s="18"/>
      <c r="P41" s="63"/>
    </row>
    <row r="42" spans="2:19">
      <c r="B42" s="99" t="s">
        <v>69</v>
      </c>
      <c r="C42" s="100"/>
      <c r="D42" s="100"/>
      <c r="E42" s="101"/>
      <c r="F42" s="77">
        <f>IF(E33=2,15,IF(E33=3,20,IF(E37=1,5,IF(E37=2,10, 15))))</f>
        <v>20</v>
      </c>
      <c r="G42" s="78" t="s">
        <v>70</v>
      </c>
      <c r="H42" s="74"/>
      <c r="I42" s="74"/>
      <c r="J42" s="18"/>
      <c r="K42" s="18"/>
      <c r="L42" s="18"/>
      <c r="M42" s="18"/>
      <c r="N42" s="18"/>
      <c r="O42" s="18"/>
      <c r="P42" s="63"/>
    </row>
    <row r="43" spans="2:19">
      <c r="B43" s="102" t="s">
        <v>71</v>
      </c>
      <c r="C43" s="103"/>
      <c r="D43" s="103"/>
      <c r="E43" s="104"/>
      <c r="F43" s="79">
        <v>0</v>
      </c>
      <c r="G43" s="78" t="s">
        <v>72</v>
      </c>
      <c r="H43" s="74"/>
      <c r="I43" s="74"/>
      <c r="J43" s="18"/>
      <c r="K43" s="18"/>
      <c r="L43" s="18"/>
      <c r="M43" s="18"/>
      <c r="N43" s="18"/>
      <c r="O43" s="18"/>
      <c r="P43" s="63"/>
    </row>
    <row r="44" spans="2:19">
      <c r="B44" s="102" t="s">
        <v>73</v>
      </c>
      <c r="C44" s="103"/>
      <c r="D44" s="103"/>
      <c r="E44" s="104"/>
      <c r="F44" s="80" t="str">
        <f>IF(F43=0,"need data",IF(F43&lt;F42,"no","yes"))</f>
        <v>need data</v>
      </c>
      <c r="G44" s="78"/>
      <c r="H44" s="74"/>
      <c r="I44" s="74"/>
      <c r="J44" s="18"/>
      <c r="K44" s="18"/>
      <c r="L44" s="18"/>
      <c r="M44" s="18"/>
      <c r="N44" s="18"/>
      <c r="O44" s="18"/>
    </row>
    <row r="45" spans="2:19">
      <c r="B45" s="16"/>
      <c r="C45" s="67"/>
      <c r="D45" s="68"/>
      <c r="E45" s="68"/>
      <c r="F45" s="69"/>
      <c r="G45" s="70"/>
      <c r="H45" s="18"/>
      <c r="I45" s="66"/>
      <c r="J45" s="18"/>
      <c r="K45" s="18"/>
      <c r="L45" s="18"/>
      <c r="M45" s="18"/>
      <c r="N45" s="18"/>
      <c r="O45" s="18"/>
      <c r="P45" s="63"/>
    </row>
    <row r="46" spans="2:19">
      <c r="B46" s="16"/>
      <c r="C46" s="67"/>
      <c r="D46" s="68"/>
      <c r="E46" s="68"/>
      <c r="F46" s="69"/>
      <c r="G46" s="70"/>
      <c r="H46" s="18"/>
      <c r="I46" s="66"/>
      <c r="J46" s="18"/>
      <c r="K46" s="18"/>
      <c r="L46" s="18"/>
      <c r="M46" s="18"/>
      <c r="N46" s="18"/>
      <c r="O46" s="18"/>
      <c r="P46" s="81" t="e">
        <f>MAX(J17:J22)</f>
        <v>#DIV/0!</v>
      </c>
      <c r="Q46" s="81" t="e">
        <f>MAX(Q17:Q22)</f>
        <v>#DIV/0!</v>
      </c>
      <c r="R46" s="82" t="e">
        <f>IF(M24*0.2&gt;=1,ROUNDUP(M24*0.2,0),0)</f>
        <v>#DIV/0!</v>
      </c>
      <c r="S46" s="83"/>
    </row>
    <row r="47" spans="2:19">
      <c r="B47" s="28" t="s">
        <v>74</v>
      </c>
      <c r="C47" s="84">
        <f>C29*0.25</f>
        <v>0</v>
      </c>
      <c r="D47" t="s">
        <v>75</v>
      </c>
      <c r="P47" s="82"/>
      <c r="Q47" s="82"/>
      <c r="R47" s="82" t="e">
        <f>R46-Q24</f>
        <v>#DIV/0!</v>
      </c>
    </row>
    <row r="48" spans="2:19">
      <c r="B48" s="18"/>
      <c r="C48" s="18"/>
      <c r="D48" s="18"/>
      <c r="E48" s="18"/>
      <c r="F48" s="18"/>
      <c r="G48" s="18"/>
      <c r="H48" s="18"/>
      <c r="I48" s="18"/>
      <c r="J48" s="18"/>
      <c r="K48" s="18"/>
      <c r="L48" s="18"/>
      <c r="M48" s="18"/>
      <c r="N48" s="18"/>
      <c r="O48" s="18"/>
      <c r="P48" s="18"/>
      <c r="Q48" s="83"/>
      <c r="R48" s="83"/>
    </row>
    <row r="49" spans="2:16" ht="104.25" customHeight="1">
      <c r="B49" s="105" t="s">
        <v>76</v>
      </c>
      <c r="C49" s="106"/>
      <c r="D49" s="106"/>
      <c r="E49" s="106"/>
      <c r="F49" s="106"/>
      <c r="G49" s="106"/>
      <c r="H49" s="106"/>
      <c r="I49" s="106"/>
      <c r="J49" s="106"/>
      <c r="K49" s="107"/>
      <c r="L49" s="85"/>
      <c r="M49" s="18"/>
      <c r="N49" s="18"/>
      <c r="O49" s="18"/>
      <c r="P49" s="18"/>
    </row>
  </sheetData>
  <mergeCells count="17">
    <mergeCell ref="B37:D37"/>
    <mergeCell ref="B42:E42"/>
    <mergeCell ref="B43:E43"/>
    <mergeCell ref="B44:E44"/>
    <mergeCell ref="B49:K49"/>
    <mergeCell ref="V25:X25"/>
    <mergeCell ref="Q26:U26"/>
    <mergeCell ref="K27:Q27"/>
    <mergeCell ref="B28:G28"/>
    <mergeCell ref="D29:F29"/>
    <mergeCell ref="Q25:U25"/>
    <mergeCell ref="B33:D33"/>
    <mergeCell ref="E1:I1"/>
    <mergeCell ref="E2:I2"/>
    <mergeCell ref="E3:I3"/>
    <mergeCell ref="I14:N14"/>
    <mergeCell ref="M25:P25"/>
  </mergeCells>
  <conditionalFormatting sqref="K27:Q27 B28:G28 M25">
    <cfRule type="expression" dxfId="5" priority="6">
      <formula>$M$25="ERROR"</formula>
    </cfRule>
  </conditionalFormatting>
  <conditionalFormatting sqref="M25 K27:Q27 D29 B28:G28">
    <cfRule type="containsText" dxfId="4" priority="5" operator="containsText" text="ERROR">
      <formula>NOT(ISERROR(SEARCH("ERROR",B25)))</formula>
    </cfRule>
  </conditionalFormatting>
  <conditionalFormatting sqref="Q25">
    <cfRule type="containsText" dxfId="3" priority="3" operator="containsText" text="ERROR">
      <formula>NOT(ISERROR(SEARCH("ERROR",Q25)))</formula>
    </cfRule>
    <cfRule type="containsText" dxfId="2" priority="4" operator="containsText" text="ERROR">
      <formula>NOT(ISERROR(SEARCH("ERROR",Q25)))</formula>
    </cfRule>
  </conditionalFormatting>
  <conditionalFormatting sqref="V25">
    <cfRule type="containsText" dxfId="1" priority="2" operator="containsText" text="ERROR">
      <formula>NOT(ISERROR(SEARCH("ERROR",V25)))</formula>
    </cfRule>
  </conditionalFormatting>
  <conditionalFormatting sqref="V25">
    <cfRule type="containsText" dxfId="0" priority="1" operator="containsText" text="ERROR">
      <formula>NOT(ISERROR(SEARCH("ERROR",V25)))</formula>
    </cfRule>
  </conditionalFormatting>
  <pageMargins left="0.7" right="0.7" top="0.75" bottom="0.75" header="0.3" footer="0.3"/>
  <pageSetup paperSize="5" scale="5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Pro-rating Cost Allocation</vt:lpstr>
      <vt:lpstr>'Pro-rating Cost Allocation'!Print_Area</vt:lpstr>
    </vt:vector>
  </TitlesOfParts>
  <Company>City of Portland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sbeddow</dc:creator>
  <cp:lastModifiedBy>sbeddow</cp:lastModifiedBy>
  <dcterms:created xsi:type="dcterms:W3CDTF">2012-08-21T20:11:12Z</dcterms:created>
  <dcterms:modified xsi:type="dcterms:W3CDTF">2012-10-04T20:39:05Z</dcterms:modified>
</cp:coreProperties>
</file>