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bookViews>
    <workbookView xWindow="10230" yWindow="105" windowWidth="10275" windowHeight="8040"/>
  </bookViews>
  <sheets>
    <sheet name="Instruktioner" sheetId="3" r:id="rId1"/>
    <sheet name="4 week plan" sheetId="1" r:id="rId2"/>
  </sheets>
  <definedNames>
    <definedName name="_xlnm.Print_Area" localSheetId="1">'4 week plan'!$A$1:$K$106</definedName>
    <definedName name="_xlnm.Print_Area" localSheetId="0">Instruktioner!$B$2:$G$31</definedName>
    <definedName name="_xlnm.Print_Titles" localSheetId="1">'4 week plan'!$38:$38</definedName>
  </definedNames>
  <calcPr calcId="145621"/>
</workbook>
</file>

<file path=xl/calcChain.xml><?xml version="1.0" encoding="utf-8"?>
<calcChain xmlns="http://schemas.openxmlformats.org/spreadsheetml/2006/main">
  <c r="D66" i="1" l="1"/>
  <c r="N14" i="1"/>
  <c r="N15" i="1"/>
  <c r="N16" i="1"/>
  <c r="N17" i="1"/>
  <c r="N19" i="1"/>
  <c r="N20" i="1"/>
  <c r="N21" i="1"/>
  <c r="N22" i="1"/>
  <c r="N23" i="1"/>
  <c r="N24" i="1"/>
  <c r="N25" i="1"/>
  <c r="N26" i="1"/>
  <c r="N27" i="1"/>
  <c r="N28" i="1"/>
  <c r="N29" i="1"/>
  <c r="N30" i="1"/>
  <c r="N31" i="1"/>
  <c r="N32" i="1"/>
  <c r="N33" i="1"/>
  <c r="N34" i="1"/>
  <c r="N35" i="1"/>
  <c r="N13" i="1"/>
  <c r="K11" i="1" l="1"/>
  <c r="H12" i="1" s="1"/>
  <c r="O12" i="1"/>
  <c r="K18" i="1"/>
  <c r="H18" i="1" s="1"/>
  <c r="D61" i="1"/>
  <c r="D58" i="1"/>
  <c r="D55" i="1"/>
  <c r="D46" i="1"/>
  <c r="O19" i="1" l="1"/>
  <c r="O23" i="1"/>
  <c r="O20" i="1"/>
  <c r="O22" i="1"/>
  <c r="O21" i="1"/>
  <c r="O14" i="1"/>
  <c r="O15" i="1"/>
  <c r="O13" i="1"/>
  <c r="O16" i="1"/>
</calcChain>
</file>

<file path=xl/sharedStrings.xml><?xml version="1.0" encoding="utf-8"?>
<sst xmlns="http://schemas.openxmlformats.org/spreadsheetml/2006/main" count="248" uniqueCount="246">
  <si>
    <r>
      <rPr>
        <sz val="18"/>
        <color rgb="FFFFFFFF"/>
        <rFont val="Segoe UI Semibold"/>
        <family val="2"/>
      </rPr>
      <t xml:space="preserve">Planera uppgraderingen </t>
    </r>
  </si>
  <si>
    <r>
      <rPr>
        <sz val="18"/>
        <color rgb="FFFFFFFF"/>
        <rFont val="Segoe UI Semibold"/>
        <family val="2"/>
      </rPr>
      <t>till Office 365 för utbildning</t>
    </r>
  </si>
  <si>
    <r>
      <rPr>
        <b/>
        <sz val="14"/>
        <color theme="0"/>
        <rFont val="Segoe UI"/>
        <family val="2"/>
      </rPr>
      <t>INSTRUKTIONER</t>
    </r>
  </si>
  <si>
    <r>
      <rPr>
        <b/>
        <sz val="15"/>
        <color theme="0"/>
        <rFont val="Segoe UI"/>
        <family val="2"/>
      </rPr>
      <t>&lt;MM/DD/ÅÅ&gt;</t>
    </r>
  </si>
  <si>
    <r>
      <rPr>
        <b/>
        <sz val="12"/>
        <color theme="1"/>
        <rFont val="Segoe UI"/>
        <family val="2"/>
      </rPr>
      <t xml:space="preserve">Gällande enkel inloggning (SSO) och federation: </t>
    </r>
  </si>
  <si>
    <r>
      <rPr>
        <sz val="11"/>
        <color theme="1"/>
        <rFont val="Segoe UI"/>
        <family val="2"/>
      </rPr>
      <t xml:space="preserve"> </t>
    </r>
  </si>
  <si>
    <r>
      <rPr>
        <b/>
        <sz val="12"/>
        <color theme="1"/>
        <rFont val="Segoe UI"/>
        <family val="2"/>
      </rPr>
      <t>Min institution kommer att övergå till katalogsynkroniseringsverktyget och synkroniserar för närvarande sin lokala katalog med molnet via:</t>
    </r>
  </si>
  <si>
    <r>
      <rPr>
        <sz val="12"/>
        <color theme="1"/>
        <rFont val="Segoe UI"/>
        <family val="2"/>
      </rPr>
      <t>OLSync</t>
    </r>
  </si>
  <si>
    <r>
      <rPr>
        <sz val="12"/>
        <color theme="1"/>
        <rFont val="Segoe UI"/>
        <family val="2"/>
      </rPr>
      <t>OLMA med Active Directory och anpassad kod</t>
    </r>
  </si>
  <si>
    <r>
      <rPr>
        <sz val="12"/>
        <color theme="1"/>
        <rFont val="Segoe UI"/>
        <family val="2"/>
      </rPr>
      <t>Anpassade Windows PowerShell-skript och Active Directory</t>
    </r>
  </si>
  <si>
    <r>
      <rPr>
        <sz val="12"/>
        <color theme="1"/>
        <rFont val="Segoe UI"/>
        <family val="2"/>
      </rPr>
      <t>Plugin-programmet Windows Live Management Agent (MAV3)</t>
    </r>
  </si>
  <si>
    <r>
      <rPr>
        <sz val="12"/>
        <color theme="1"/>
        <rFont val="Segoe UI"/>
        <family val="2"/>
      </rPr>
      <t>OLMA utan Active Directory men med anpassad kod</t>
    </r>
  </si>
  <si>
    <r>
      <rPr>
        <b/>
        <sz val="11"/>
        <color theme="0"/>
        <rFont val="Segoe UI"/>
        <family val="2"/>
      </rPr>
      <t>Förfallodatum</t>
    </r>
  </si>
  <si>
    <r>
      <rPr>
        <b/>
        <sz val="11"/>
        <color theme="0"/>
        <rFont val="Segoe UI"/>
        <family val="2"/>
      </rPr>
      <t>Status</t>
    </r>
  </si>
  <si>
    <r>
      <rPr>
        <b/>
        <sz val="11"/>
        <color theme="0"/>
        <rFont val="Segoe UI"/>
        <family val="2"/>
      </rPr>
      <t>Ägare</t>
    </r>
  </si>
  <si>
    <r>
      <rPr>
        <b/>
        <sz val="11"/>
        <color theme="0"/>
        <rFont val="Segoe UI"/>
        <family val="2"/>
      </rPr>
      <t>Uppgiftsbeskrivning</t>
    </r>
  </si>
  <si>
    <r>
      <rPr>
        <b/>
        <sz val="11"/>
        <color theme="0"/>
        <rFont val="Segoe UI"/>
        <family val="2"/>
      </rPr>
      <t>Mer information</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</si>
  <si>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</si>
  <si>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</si>
  <si>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</si>
  <si>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</si>
  <si>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sz val="10"/>
        <color theme="1"/>
        <rFont val="Segoe UI"/>
        <family val="2"/>
      </rPr>
      <t>PCNS (Password Change Notification Service), en tilläggskomponent till OLSync, stöds inte i Office 365. Om du vill använda ett enda lösenord rekommenderar vi att du använder enkel inloggning.</t>
    </r>
  </si>
  <si>
    <r>
      <rPr>
        <u/>
        <sz val="10"/>
        <color rgb="FFFC4B00"/>
        <rFont val="Segoe UI"/>
        <family val="2"/>
      </rPr>
      <t>Läs mer</t>
    </r>
  </si>
  <si>
    <r>
      <rPr>
        <u/>
        <sz val="10"/>
        <color rgb="FFFC4B00"/>
        <rFont val="Segoe UI"/>
        <family val="2"/>
      </rPr>
      <t>Läs mer</t>
    </r>
  </si>
  <si>
    <r>
      <rPr>
        <b/>
        <sz val="11"/>
        <color theme="1"/>
        <rFont val="Segoe UI"/>
        <family val="2"/>
      </rPr>
      <t>4 veckor från lanseringsdatum</t>
    </r>
  </si>
  <si>
    <r>
      <rPr>
        <b/>
        <sz val="11"/>
        <color theme="1"/>
        <rFont val="Segoe UI"/>
        <family val="2"/>
      </rPr>
      <t>Vecka</t>
    </r>
  </si>
  <si>
    <r>
      <rPr>
        <sz val="11"/>
        <color theme="1"/>
        <rFont val="Segoe UI"/>
        <family val="2"/>
      </rPr>
      <t>`</t>
    </r>
  </si>
  <si>
    <r>
      <rPr>
        <u/>
        <sz val="10"/>
        <color rgb="FFFC4B00"/>
        <rFont val="Segoe UI"/>
        <family val="2"/>
      </rPr>
      <t>Programvarukrav för Office 365</t>
    </r>
  </si>
  <si>
    <r>
      <rPr>
        <u/>
        <sz val="10"/>
        <color rgb="FFFC4B00"/>
        <rFont val="Segoe UI"/>
        <family val="2"/>
      </rPr>
      <t>Exempel på meddelanden och resurser finns i slutanvändarpaketet för uppgradering</t>
    </r>
  </si>
  <si>
    <r>
      <rPr>
        <u/>
        <sz val="10"/>
        <color rgb="FFFC4B00"/>
        <rFont val="Segoe UI"/>
        <family val="2"/>
      </rPr>
      <t>Läs mer</t>
    </r>
  </si>
  <si>
    <r>
      <rPr>
        <sz val="10"/>
        <color theme="1"/>
        <rFont val="Segoe UI"/>
        <family val="2"/>
      </rPr>
      <t>Följa stegen som beskrivs i checklistan ”Inför uppgraderingen” om du ska konfigurera AD FS 2.0-federation med Office 365.</t>
    </r>
  </si>
  <si>
    <r>
      <rPr>
        <u/>
        <sz val="10"/>
        <color rgb="FFFC4B00"/>
        <rFont val="Segoe UI"/>
        <family val="2"/>
      </rPr>
      <t>Läs mer</t>
    </r>
  </si>
  <si>
    <r>
      <rPr>
        <sz val="10"/>
        <color theme="1"/>
        <rFont val="Segoe UI"/>
        <family val="2"/>
      </rPr>
      <t>Följa stegen som beskrivs i checklistan ”Inför uppgraderingen” om du ska konfigurera Shibboleth-federation för Office 365.</t>
    </r>
  </si>
  <si>
    <r>
      <rPr>
        <u/>
        <sz val="10"/>
        <color rgb="FFFC4B00"/>
        <rFont val="Segoe UI"/>
        <family val="2"/>
      </rPr>
      <t>Läs mer</t>
    </r>
  </si>
  <si>
    <r>
      <rPr>
        <u/>
        <sz val="10"/>
        <color rgb="FFFC4B00"/>
        <rFont val="Segoe UI"/>
        <family val="2"/>
      </rPr>
      <t>Läs mer</t>
    </r>
  </si>
  <si>
    <r>
      <rPr>
        <sz val="10"/>
        <color theme="1"/>
        <rFont val="Segoe UI"/>
        <family val="2"/>
      </rPr>
      <t>Gå igenom ändringarna i Windows PowerShell om du använder Windows PowerShell för provisionering.</t>
    </r>
  </si>
  <si>
    <r>
      <rPr>
        <u/>
        <sz val="10"/>
        <color rgb="FFFC4B00"/>
        <rFont val="Segoe UI"/>
        <family val="2"/>
      </rPr>
      <t>Läs mer</t>
    </r>
  </si>
  <si>
    <r>
      <rPr>
        <b/>
        <sz val="11"/>
        <color theme="1"/>
        <rFont val="Segoe UI"/>
        <family val="2"/>
      </rPr>
      <t>3 veckor från lanseringsdatum</t>
    </r>
  </si>
  <si>
    <r>
      <rPr>
        <b/>
        <sz val="11"/>
        <color theme="1"/>
        <rFont val="Segoe UI"/>
        <family val="2"/>
      </rPr>
      <t>Vecka</t>
    </r>
  </si>
  <si>
    <r>
      <rPr>
        <b/>
        <sz val="11"/>
        <color theme="1"/>
        <rFont val="Segoe UI"/>
        <family val="2"/>
      </rPr>
      <t>2 veckor från lanseringsdatum</t>
    </r>
  </si>
  <si>
    <r>
      <rPr>
        <b/>
        <sz val="11"/>
        <color theme="1"/>
        <rFont val="Segoe UI"/>
        <family val="2"/>
      </rPr>
      <t>Vecka</t>
    </r>
  </si>
  <si>
    <r>
      <rPr>
        <u/>
        <sz val="10"/>
        <color rgb="FFFC4B00"/>
        <rFont val="Segoe UI"/>
        <family val="2"/>
      </rPr>
      <t>Exempel på meddelanden och resurser finns i slutanvändarpaketet för uppgradering</t>
    </r>
  </si>
  <si>
    <r>
      <rPr>
        <b/>
        <sz val="11"/>
        <color theme="1"/>
        <rFont val="Segoe UI"/>
        <family val="2"/>
      </rPr>
      <t>1 vecka från lanseringsdatum</t>
    </r>
  </si>
  <si>
    <r>
      <rPr>
        <b/>
        <sz val="11"/>
        <color theme="1"/>
        <rFont val="Segoe UI"/>
        <family val="2"/>
      </rPr>
      <t>Vecka</t>
    </r>
  </si>
  <si>
    <r>
      <rPr>
        <u/>
        <sz val="10"/>
        <color rgb="FFFC4B00"/>
        <rFont val="Segoe UI"/>
        <family val="2"/>
      </rPr>
      <t>Exempel på meddelanden och resurser finns i slutanvändarpaketet för uppgradering</t>
    </r>
  </si>
  <si>
    <r>
      <rPr>
        <u/>
        <sz val="10"/>
        <color rgb="FFFC4B00"/>
        <rFont val="Segoe UI"/>
        <family val="2"/>
      </rPr>
      <t>Läs mer</t>
    </r>
  </si>
  <si>
    <r>
      <rPr>
        <u/>
        <sz val="10"/>
        <color rgb="FFFC4B00"/>
        <rFont val="Segoe UI"/>
        <family val="2"/>
      </rPr>
      <t>Läs mer</t>
    </r>
  </si>
  <si>
    <r>
      <rPr>
        <sz val="10"/>
        <color theme="1"/>
        <rFont val="Segoe UI"/>
        <family val="2"/>
      </rPr>
      <t>Gå igenom och bekanta dig med de åtgärder du behöver vidta för att konfigurera federation efter uppgraderingen.</t>
    </r>
  </si>
  <si>
    <r>
      <rPr>
        <u/>
        <sz val="10"/>
        <color rgb="FFFC4B00"/>
        <rFont val="Segoe UI"/>
        <family val="2"/>
      </rPr>
      <t>Läs mer</t>
    </r>
  </si>
  <si>
    <r>
      <rPr>
        <b/>
        <sz val="11"/>
        <color theme="0"/>
        <rFont val="Segoe UI"/>
        <family val="2"/>
      </rPr>
      <t>LANSERING</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</si>
  <si>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</si>
  <si>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</si>
  <si>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</si>
  <si>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Exempel på meddelanden och resurser finns i slutanvändarpaketet för uppgradering</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</si>
  <si>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</si>
  <si>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</si>
  <si>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</si>
  <si>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</si>
  <si>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Mer information</t>
    </r>
  </si>
  <si>
    <r>
      <rPr>
        <u/>
        <sz val="10"/>
        <color rgb="FFFC4B00"/>
        <rFont val="Segoe UI"/>
        <family val="2"/>
      </rPr>
      <t>Läs mer</t>
    </r>
  </si>
  <si>
    <r>
      <rPr>
        <u/>
        <sz val="10"/>
        <color rgb="FFFC4B00"/>
        <rFont val="Segoe UI"/>
        <family val="2"/>
      </rPr>
      <t>Läs mer</t>
    </r>
  </si>
  <si>
    <r>
      <rPr>
        <sz val="10"/>
        <color theme="1"/>
        <rFont val="Segoe UI"/>
        <family val="2"/>
      </rPr>
      <t>Installera katalogsynkroniseringsverktyget.</t>
    </r>
  </si>
  <si>
    <r>
      <rPr>
        <u/>
        <sz val="10"/>
        <color rgb="FFFC4B00"/>
        <rFont val="Segoe UI"/>
        <family val="2"/>
      </rPr>
      <t>Läs mer</t>
    </r>
  </si>
  <si>
    <r>
      <rPr>
        <sz val="10"/>
        <color theme="1"/>
        <rFont val="Segoe UI"/>
        <family val="2"/>
      </rPr>
      <t>Synkronisera katalogerna.</t>
    </r>
  </si>
  <si>
    <r>
      <rPr>
        <u/>
        <sz val="10"/>
        <color rgb="FFFC4B00"/>
        <rFont val="Segoe UI"/>
        <family val="2"/>
      </rPr>
      <t>Läs mer</t>
    </r>
  </si>
  <si>
    <r>
      <rPr>
        <sz val="10"/>
        <color theme="1"/>
        <rFont val="Segoe UI"/>
        <family val="2"/>
      </rPr>
      <t>Aktivera katalogsynkronisering i Office 365.</t>
    </r>
  </si>
  <si>
    <r>
      <rPr>
        <u/>
        <sz val="10"/>
        <color rgb="FFFC4B00"/>
        <rFont val="Segoe UI"/>
        <family val="2"/>
      </rPr>
      <t>Läs mer</t>
    </r>
  </si>
  <si>
    <r>
      <rPr>
        <u/>
        <sz val="10"/>
        <color rgb="FFFC4B00"/>
        <rFont val="Segoe UI"/>
        <family val="2"/>
      </rPr>
      <t>Mer information</t>
    </r>
  </si>
  <si>
    <r>
      <rPr>
        <u/>
        <sz val="10"/>
        <color rgb="FFFC4B00"/>
        <rFont val="Segoe UI"/>
        <family val="2"/>
      </rPr>
      <t>Mer information</t>
    </r>
  </si>
  <si>
    <r>
      <rPr>
        <sz val="10"/>
        <color theme="1"/>
        <rFont val="Segoe UI"/>
        <family val="2"/>
      </rPr>
      <t>Hämta och köra ett engångsverktyg för katalogförberedelse.</t>
    </r>
  </si>
  <si>
    <r>
      <rPr>
        <u/>
        <sz val="10"/>
        <color rgb="FFFC4B00"/>
        <rFont val="Segoe UI"/>
        <family val="2"/>
      </rPr>
      <t>Läs mer</t>
    </r>
  </si>
  <si>
    <r>
      <rPr>
        <sz val="10"/>
        <color theme="1"/>
        <rFont val="Segoe UI"/>
        <family val="2"/>
      </rPr>
      <t xml:space="preserve">Följa stegen som beskrivs i checklistan ”Efter uppgraderingen” om du ska konfigurera AD FS 2.0-federation med Office 365. </t>
    </r>
  </si>
  <si>
    <r>
      <rPr>
        <u/>
        <sz val="10"/>
        <color rgb="FFFC4B00"/>
        <rFont val="Segoe UI"/>
        <family val="2"/>
      </rPr>
      <t>Läs mer</t>
    </r>
  </si>
  <si>
    <r>
      <rPr>
        <sz val="10"/>
        <color theme="1"/>
        <rFont val="Segoe UI"/>
        <family val="2"/>
      </rPr>
      <t>Följa stegen som beskrivs i checklistan ”Efter uppgraderingen” om du ska konfigurera Shibboleth-federation för Office 365.</t>
    </r>
  </si>
  <si>
    <r>
      <rPr>
        <u/>
        <sz val="10"/>
        <color rgb="FFFC4B00"/>
        <rFont val="Segoe UI"/>
        <family val="2"/>
      </rPr>
      <t>Läs mer</t>
    </r>
  </si>
  <si>
    <r>
      <rPr>
        <sz val="10"/>
        <color theme="1"/>
        <rFont val="Segoe UI"/>
        <family val="2"/>
      </rPr>
      <t>Installera katalogsynkroniseringsverktyget.</t>
    </r>
  </si>
  <si>
    <r>
      <rPr>
        <u/>
        <sz val="10"/>
        <color rgb="FFFC4B00"/>
        <rFont val="Segoe UI"/>
        <family val="2"/>
      </rPr>
      <t>Läs mer</t>
    </r>
  </si>
  <si>
    <r>
      <rPr>
        <sz val="10"/>
        <color theme="1"/>
        <rFont val="Segoe UI"/>
        <family val="2"/>
      </rPr>
      <t>Synkronisera katalogerna.</t>
    </r>
  </si>
  <si>
    <r>
      <rPr>
        <u/>
        <sz val="10"/>
        <color rgb="FFFC4B00"/>
        <rFont val="Segoe UI"/>
        <family val="2"/>
      </rPr>
      <t>Läs mer</t>
    </r>
  </si>
  <si>
    <r>
      <rPr>
        <sz val="10"/>
        <color theme="1"/>
        <rFont val="Segoe UI"/>
        <family val="2"/>
      </rPr>
      <t>Aktivera katalogsynkronisering i Office 365.</t>
    </r>
  </si>
  <si>
    <r>
      <rPr>
        <u/>
        <sz val="10"/>
        <color rgb="FFFC4B00"/>
        <rFont val="Segoe UI"/>
        <family val="2"/>
      </rPr>
      <t>Läs mer</t>
    </r>
  </si>
  <si>
    <r>
      <rPr>
        <sz val="10"/>
        <color theme="1"/>
        <rFont val="Segoe UI"/>
        <family val="2"/>
      </rPr>
      <t>Hämta och köra ett engångsverktyg för katalogförberedelse.</t>
    </r>
  </si>
  <si>
    <r>
      <rPr>
        <u/>
        <sz val="10"/>
        <color rgb="FFFC4B00"/>
        <rFont val="Segoe UI"/>
        <family val="2"/>
      </rPr>
      <t>Läs mer</t>
    </r>
  </si>
  <si>
    <r>
      <rPr>
        <sz val="10"/>
        <color theme="1"/>
        <rFont val="Segoe UI"/>
        <family val="2"/>
      </rPr>
      <t>Installera katalogsynkroniseringsverktyget.</t>
    </r>
  </si>
  <si>
    <r>
      <rPr>
        <u/>
        <sz val="10"/>
        <color rgb="FFFC4B00"/>
        <rFont val="Segoe UI"/>
        <family val="2"/>
      </rPr>
      <t>Läs mer</t>
    </r>
  </si>
  <si>
    <r>
      <rPr>
        <sz val="10"/>
        <color theme="1"/>
        <rFont val="Segoe UI"/>
        <family val="2"/>
      </rPr>
      <t>Synkronisera katalogerna.</t>
    </r>
  </si>
  <si>
    <r>
      <rPr>
        <u/>
        <sz val="10"/>
        <color rgb="FFFC4B00"/>
        <rFont val="Segoe UI"/>
        <family val="2"/>
      </rPr>
      <t>Läs mer</t>
    </r>
  </si>
  <si>
    <r>
      <rPr>
        <sz val="10"/>
        <color theme="1"/>
        <rFont val="Segoe UI"/>
        <family val="2"/>
      </rPr>
      <t>Aktivera katalogsynkronisering i Office 365.</t>
    </r>
  </si>
  <si>
    <r>
      <rPr>
        <u/>
        <sz val="10"/>
        <color rgb="FFFC4B00"/>
        <rFont val="Segoe UI"/>
        <family val="2"/>
      </rPr>
      <t>Läs mer</t>
    </r>
  </si>
  <si>
    <r>
      <rPr>
        <sz val="10"/>
        <color theme="1"/>
        <rFont val="Segoe UI"/>
        <family val="2"/>
      </rPr>
      <t>Hämta och köra ett engångsverktyg för katalogförberedelse.</t>
    </r>
  </si>
  <si>
    <r>
      <rPr>
        <u/>
        <sz val="10"/>
        <color rgb="FFFC4B00"/>
        <rFont val="Segoe UI"/>
        <family val="2"/>
      </rPr>
      <t>Läs mer</t>
    </r>
  </si>
  <si>
    <r>
      <rPr>
        <sz val="10"/>
        <color theme="1"/>
        <rFont val="Segoe UI"/>
        <family val="2"/>
      </rPr>
      <t>Installera katalogsynkroniseringsverktyget.</t>
    </r>
  </si>
  <si>
    <r>
      <rPr>
        <u/>
        <sz val="10"/>
        <color rgb="FFFC4B00"/>
        <rFont val="Segoe UI"/>
        <family val="2"/>
      </rPr>
      <t>Läs mer</t>
    </r>
  </si>
  <si>
    <r>
      <rPr>
        <sz val="10"/>
        <color theme="1"/>
        <rFont val="Segoe UI"/>
        <family val="2"/>
      </rPr>
      <t>Synkronisera katalogerna.</t>
    </r>
  </si>
  <si>
    <r>
      <rPr>
        <u/>
        <sz val="10"/>
        <color rgb="FFFC4B00"/>
        <rFont val="Segoe UI"/>
        <family val="2"/>
      </rPr>
      <t>Läs mer</t>
    </r>
  </si>
  <si>
    <r>
      <rPr>
        <u/>
        <sz val="10"/>
        <color rgb="FFFC4B00"/>
        <rFont val="Segoe UI"/>
        <family val="2"/>
      </rPr>
      <t>Läs mer</t>
    </r>
  </si>
  <si>
    <r>
      <rPr>
        <sz val="10"/>
        <color theme="1"/>
        <rFont val="Segoe UI"/>
        <family val="2"/>
      </rPr>
      <t>Implementera ändringar i anpassade PowerShell-skript och bekanta dig med nya Office 365-cmdlets och med förändringar i Exchange Online-cmdlets.</t>
    </r>
  </si>
  <si>
    <r>
      <rPr>
        <u/>
        <sz val="10"/>
        <color rgb="FFFC4B00"/>
        <rFont val="Segoe UI"/>
        <family val="2"/>
      </rPr>
      <t>Läs mer</t>
    </r>
  </si>
  <si>
    <r>
      <rPr>
        <sz val="10"/>
        <color theme="1"/>
        <rFont val="Segoe UI"/>
        <family val="2"/>
      </rPr>
      <t>Utföra eventuella Exchange Online-relaterade åtgärder som du identifierat före uppgraderingen.</t>
    </r>
  </si>
  <si>
    <r>
      <rPr>
        <u/>
        <sz val="10"/>
        <color rgb="FFFC4B00"/>
        <rFont val="Segoe UI"/>
        <family val="2"/>
      </rPr>
      <t>Läs mer</t>
    </r>
  </si>
  <si>
    <r>
      <rPr>
        <u/>
        <sz val="10"/>
        <color rgb="FFFC4B00"/>
        <rFont val="Segoe UI"/>
        <family val="2"/>
      </rPr>
      <t>Läs mer</t>
    </r>
  </si>
  <si>
    <r>
      <rPr>
        <u/>
        <sz val="10"/>
        <color rgb="FFFC4B00"/>
        <rFont val="Segoe UI"/>
        <family val="2"/>
      </rPr>
      <t>Exempel på meddelanden och resurser finns i slutanvändarpaketet för uppgradering</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</si>
  <si>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</si>
  <si>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</si>
  <si>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</si>
  <si>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Läs mer</t>
    </r>
  </si>
  <si>
    <r>
      <rPr>
        <u/>
        <sz val="10"/>
        <color rgb="FFFC4B00"/>
        <rFont val="Segoe UI"/>
        <family val="2"/>
      </rPr>
      <t>Läs mer</t>
    </r>
  </si>
  <si>
    <t>Legend</t>
  </si>
  <si>
    <t>In Process</t>
  </si>
  <si>
    <t>Complete</t>
  </si>
  <si>
    <t>Name</t>
  </si>
  <si>
    <t>Check Box Status</t>
  </si>
  <si>
    <t>Formula</t>
  </si>
  <si>
    <t>N/A</t>
  </si>
  <si>
    <t>All</t>
  </si>
  <si>
    <t>AD FS</t>
  </si>
  <si>
    <t>Shibboleth</t>
  </si>
  <si>
    <t>Add Federation</t>
  </si>
  <si>
    <t>Add Shibboleth</t>
  </si>
  <si>
    <t>OLSync</t>
  </si>
  <si>
    <t>OLMA_</t>
  </si>
  <si>
    <t>PowerShell_</t>
  </si>
  <si>
    <t>MAV3</t>
  </si>
  <si>
    <t>OLMA w/o AD</t>
  </si>
  <si>
    <t>WL SDK</t>
  </si>
  <si>
    <t>PowerShell admin</t>
  </si>
  <si>
    <t>Custom Exchange settings</t>
  </si>
  <si>
    <t>Use outlook.com</t>
  </si>
  <si>
    <t>PCNS</t>
  </si>
  <si>
    <t>Classroom workflow</t>
  </si>
  <si>
    <t>Scenario</t>
  </si>
  <si>
    <t>All</t>
  </si>
  <si>
    <t>All</t>
  </si>
  <si>
    <t>All</t>
  </si>
  <si>
    <t>All</t>
  </si>
  <si>
    <t>PCNS</t>
  </si>
  <si>
    <t>Use outlook.com</t>
  </si>
  <si>
    <t>All</t>
  </si>
  <si>
    <t>All</t>
  </si>
  <si>
    <t>[AD FS] [Shibboleth]</t>
  </si>
  <si>
    <t>[AD FS] [Add Federation]</t>
  </si>
  <si>
    <t>[Shibboleth]</t>
  </si>
  <si>
    <t>[OLSync] [OLMA_] [PowerShell_] [MAV3] [OLMA w/o AD] [WL SDK]</t>
  </si>
  <si>
    <t>Row 55 before changes</t>
  </si>
  <si>
    <t>[PowerShell Admin]</t>
  </si>
  <si>
    <t>[Classroom workflow]</t>
  </si>
  <si>
    <t>All</t>
  </si>
  <si>
    <t>All</t>
  </si>
  <si>
    <t>[Custom Exchange settings]</t>
  </si>
  <si>
    <t>[OLSync] [OLMA_] [PowerShell_] [MAV3] [WL SDK]</t>
  </si>
  <si>
    <t>Row 68 before changes</t>
  </si>
  <si>
    <t>[AD FS] [Shibboleth] [Add Federation] [Add Shibboleth]</t>
  </si>
  <si>
    <t>[MAV3]</t>
  </si>
  <si>
    <t>All</t>
  </si>
  <si>
    <t>All</t>
  </si>
  <si>
    <t>All</t>
  </si>
  <si>
    <t>All</t>
  </si>
  <si>
    <t>All</t>
  </si>
  <si>
    <t>[OLSync] [OLMA_] [PowerShell_] [MAV3]</t>
  </si>
  <si>
    <t>[OLSync]</t>
  </si>
  <si>
    <t>[OLSync]</t>
  </si>
  <si>
    <t>[OLSync]</t>
  </si>
  <si>
    <t>[OLSync]</t>
  </si>
  <si>
    <t>[OLSync]</t>
  </si>
  <si>
    <t>[OLSync]</t>
  </si>
  <si>
    <t>[OLMA_]</t>
  </si>
  <si>
    <t>[OLMA_]</t>
  </si>
  <si>
    <t>[OLMA_]</t>
  </si>
  <si>
    <t>[OLMA_]</t>
  </si>
  <si>
    <t>Row 93 before changes</t>
  </si>
  <si>
    <t>[AD FS] [Add Federation]</t>
  </si>
  <si>
    <t>Row 80 before changes</t>
  </si>
  <si>
    <t>[Shibboleth]</t>
  </si>
  <si>
    <t>Row 81 before changes</t>
  </si>
  <si>
    <t>[OLMA_]</t>
  </si>
  <si>
    <t>[OLMA_]</t>
  </si>
  <si>
    <t>[PowerShell_]</t>
  </si>
  <si>
    <t>[PowerShell_]</t>
  </si>
  <si>
    <t>[PowerShell_]</t>
  </si>
  <si>
    <t>[PowerShell_]</t>
  </si>
  <si>
    <t>[MAV3]</t>
  </si>
  <si>
    <t>[MAV3]</t>
  </si>
  <si>
    <t>[MAV3]</t>
  </si>
  <si>
    <t>[MAV3]</t>
  </si>
  <si>
    <t>[OLMA w/o AD]</t>
  </si>
  <si>
    <t>[PowerShell admin]</t>
  </si>
  <si>
    <t>[Custom Exchange settings]</t>
  </si>
  <si>
    <t>All</t>
  </si>
  <si>
    <t>All</t>
  </si>
  <si>
    <t>All</t>
  </si>
  <si>
    <t>All</t>
  </si>
  <si>
    <t>All</t>
  </si>
  <si>
    <t>All</t>
  </si>
  <si>
    <t>All</t>
  </si>
  <si>
    <t>EFTER UPPGRAD-ERINGEN</t>
  </si>
  <si>
    <t>När uppgraderingen slutförs</t>
  </si>
  <si>
    <r>
      <rPr>
        <sz val="14"/>
        <color theme="1"/>
        <rFont val="Segoe UI"/>
        <family val="2"/>
      </rPr>
      <t xml:space="preserve">Du kan alltid hitta detaljerad information om hur du planerar och administrerar din uppgradering till Office 365 för utbildning i </t>
    </r>
    <r>
      <rPr>
        <u/>
        <sz val="14"/>
        <color rgb="FFFC4B00"/>
        <rFont val="Segoe UI"/>
        <family val="2"/>
      </rPr>
      <t>uppgraderingshjälpen</t>
    </r>
  </si>
  <si>
    <t>Markera de scenarier som är relevanta för din 
Live@edu-distribution:</t>
  </si>
  <si>
    <t>UPPGRADERINGS-DATUM</t>
  </si>
  <si>
    <t>Om inga lösenord till Microsoft-konton har delats ut ska du informera användarna om att de behöver skapa ett nytt lösenord till sina Microsoft-konton efter uppgraderingen för att få fortsatt åtkomst till SkyDrive och Messenger.</t>
  </si>
  <si>
    <t>Förbereda för förändringar inom provisionering. Gå igenom systemkraven och använd guiden för att underlätta förberedelserna inför uppgraderingen. Ibland kan du behöva uppdatera anpassad kod för att underlätta provisionering med Office 365 för utbildning.</t>
  </si>
  <si>
    <t>Samarbeta med fakulteten och identifiera hur SharePoint och Lync kan integreras i klassrummet. Genom att konfigurera ett testkonto för Office 365 kan du lättare ta reda på hur institutionen kommer att använda SharePoint och Lync.</t>
  </si>
  <si>
    <t xml:space="preserve">UPPGRADERINGEN DISTRIBUERAS: Office 365 för utbildning </t>
  </si>
  <si>
    <t>Se till att MAv3 slutar synkronisera. Avinstallera MAv3 och samtliga ILM 2007-komponenter (Identity Lifecycle Manager) om du har för avsikt att installera katalogsynkroniseringsverktyget på samma server.</t>
  </si>
  <si>
    <t xml:space="preserve">EFTER UPPGRADERINGEN: Office 365 för utbildning </t>
  </si>
  <si>
    <r>
      <t xml:space="preserve">Det här planeringsarbetsbladet är utformat som en vägledning för att hjälpa dig att identifiera lämpliga åtgärder och tidpunkter för uppgraderingen av Live@edu till Office 365. Vi erbjuder en rekommenderad fyraveckorsplan som du kan utgå ifrån när du arbetar med din tidplan. Eftersom alla Live@edu-distributioner och -miljöer är olika bör du emellertid också ta hänsyn till eventuella unika scenarier för din institution när du utarbetar och färdigställer din uppgraderingsplan. Vi rekommenderar att du börjar tidigare än fyra veckor i förväg.
</t>
    </r>
    <r>
      <rPr>
        <sz val="14"/>
        <color theme="1"/>
        <rFont val="Segoe UI"/>
        <family val="2"/>
      </rPr>
      <t>Så här kommer du igång:</t>
    </r>
    <r>
      <rPr>
        <sz val="12"/>
        <color theme="1"/>
        <rFont val="Segoe UI"/>
        <family val="2"/>
      </rPr>
      <t xml:space="preserve">
</t>
    </r>
    <r>
      <rPr>
        <b/>
        <sz val="12"/>
        <color theme="1"/>
        <rFont val="Segoe UI"/>
        <family val="2"/>
      </rPr>
      <t>1)</t>
    </r>
    <r>
      <rPr>
        <sz val="12"/>
        <color theme="1"/>
        <rFont val="Segoe UI"/>
        <family val="2"/>
      </rPr>
      <t xml:space="preserve"> Klicka på fliken</t>
    </r>
    <r>
      <rPr>
        <b/>
        <sz val="12"/>
        <color rgb="FFFEA500"/>
        <rFont val="Segoe UI"/>
        <family val="2"/>
      </rPr>
      <t xml:space="preserve"> 4-veckorsplan</t>
    </r>
    <r>
      <rPr>
        <sz val="12"/>
        <color theme="1"/>
        <rFont val="Segoe UI"/>
        <family val="2"/>
      </rPr>
      <t xml:space="preserve"> längst ned på det här arbetsbladet.
</t>
    </r>
    <r>
      <rPr>
        <b/>
        <sz val="12"/>
        <color theme="1"/>
        <rFont val="Segoe UI"/>
        <family val="2"/>
      </rPr>
      <t>2)</t>
    </r>
    <r>
      <rPr>
        <sz val="12"/>
        <color theme="1"/>
        <rFont val="Segoe UI"/>
        <family val="2"/>
      </rPr>
      <t xml:space="preserve"> Under </t>
    </r>
    <r>
      <rPr>
        <b/>
        <sz val="12"/>
        <color rgb="FFFEA500"/>
        <rFont val="Segoe UI"/>
        <family val="2"/>
      </rPr>
      <t xml:space="preserve">Uppgraderingsdatum </t>
    </r>
    <r>
      <rPr>
        <sz val="12"/>
        <color theme="1"/>
        <rFont val="Segoe UI"/>
        <family val="2"/>
      </rPr>
      <t xml:space="preserve">fyller du i det datum då din institution skulle vilja börja påbörja uppgraderingen till Office 365 för utbildning, eller det schemalagda datumet för din uppgradering.
</t>
    </r>
    <r>
      <rPr>
        <b/>
        <sz val="12"/>
        <color theme="1"/>
        <rFont val="Segoe UI"/>
        <family val="2"/>
      </rPr>
      <t>3)</t>
    </r>
    <r>
      <rPr>
        <b/>
        <sz val="12"/>
        <color rgb="FFFEA500"/>
        <rFont val="Segoe UI"/>
        <family val="2"/>
      </rPr>
      <t xml:space="preserve"> Markera</t>
    </r>
    <r>
      <rPr>
        <sz val="12"/>
        <color theme="1"/>
        <rFont val="Segoe UI"/>
        <family val="2"/>
      </rPr>
      <t xml:space="preserve"> relevanta scenarier för Live@edu-distributionen på din institution.  Kom ihåg att alla scenarier inte kommer att bli aktuella för din distribution.
</t>
    </r>
    <r>
      <rPr>
        <b/>
        <sz val="12"/>
        <color theme="1"/>
        <rFont val="Segoe UI"/>
        <family val="2"/>
      </rPr>
      <t>4)</t>
    </r>
    <r>
      <rPr>
        <sz val="12"/>
        <color theme="1"/>
        <rFont val="Segoe UI"/>
        <family val="2"/>
      </rPr>
      <t xml:space="preserve"> Rulla nedåt och granska rekommenderade åtgärder och tidplan.  Beroende på vilka alternativ du har markerat behöver du genomföra olika åtgärder. Alla åtgärder som </t>
    </r>
    <r>
      <rPr>
        <i/>
        <u/>
        <sz val="12"/>
        <color theme="1"/>
        <rFont val="Segoe UI"/>
        <family val="2"/>
      </rPr>
      <t>inte</t>
    </r>
    <r>
      <rPr>
        <sz val="12"/>
        <color theme="1"/>
        <rFont val="Segoe UI"/>
        <family val="2"/>
      </rPr>
      <t xml:space="preserve"> är relevanta för din distribution visas i grå färg.
</t>
    </r>
    <r>
      <rPr>
        <b/>
        <i/>
        <sz val="12"/>
        <color theme="1"/>
        <rFont val="Segoe UI"/>
        <family val="2"/>
      </rPr>
      <t>Obs!</t>
    </r>
    <r>
      <rPr>
        <i/>
        <sz val="12"/>
        <color theme="1"/>
        <rFont val="Segoe UI"/>
        <family val="2"/>
      </rPr>
      <t xml:space="preserve"> </t>
    </r>
    <r>
      <rPr>
        <sz val="12"/>
        <color theme="1"/>
        <rFont val="Segoe UI"/>
        <family val="2"/>
      </rPr>
      <t xml:space="preserve">Det här planeringsarbetsbladet är utformat som en vägledning för att du ska kunna utarbeta en egen tidplan och innefattar inte nödvändigtvis alla viktiga datum, milstolpar, aktiviteter och åtgärder som krävs för en framgångsrik uppgradering på din institution. Var noga med att använda det här arbetsbladet parallellt med uppgraderingshjälpen för Live@edu och uppgraderingscentret för Live@edu.
</t>
    </r>
  </si>
  <si>
    <t>Informera användarna om uppgraderingen:
  * Säkerställ att användarna kommer åt sin e-post via adressen https://www.outlook.com/&lt;domain&gt;
  * Användarna får två konton och nya portaler</t>
  </si>
  <si>
    <t xml:space="preserve">
Påbörja uppgraderingen manuellt eller låt den starta automatiskt på det shchemlagda datumet. Övervaka uppgraderingens status.</t>
  </si>
  <si>
    <r>
      <t xml:space="preserve">Min institution använder för närvarande verktygsuppsättningen för enkel inloggning (SSO) och skulle vilja övergå till </t>
    </r>
    <r>
      <rPr>
        <i/>
        <sz val="12"/>
        <color theme="1"/>
        <rFont val="Segoe UI"/>
        <family val="2"/>
      </rPr>
      <t>Active Directory Federation Services (ADFS).</t>
    </r>
  </si>
  <si>
    <r>
      <t xml:space="preserve">Min institution använder för närvarande verktygsuppsättningen för enkel inloggning (SSO) och kommer att övergå till </t>
    </r>
    <r>
      <rPr>
        <i/>
        <sz val="12"/>
        <color theme="1"/>
        <rFont val="Segoe UI"/>
        <family val="2"/>
      </rPr>
      <t>Shibboleth med Active Directory.</t>
    </r>
  </si>
  <si>
    <r>
      <t xml:space="preserve">Min institution använder </t>
    </r>
    <r>
      <rPr>
        <u/>
        <sz val="12"/>
        <color theme="1"/>
        <rFont val="Segoe UI"/>
        <family val="2"/>
      </rPr>
      <t>inte</t>
    </r>
    <r>
      <rPr>
        <sz val="12"/>
        <color theme="1"/>
        <rFont val="Segoe UI"/>
        <family val="2"/>
      </rPr>
      <t xml:space="preserve"> verktygsuppsättningen för enkel inloggning (SSO) men kommer att använda federation med </t>
    </r>
    <r>
      <rPr>
        <i/>
        <sz val="12"/>
        <color theme="1"/>
        <rFont val="Segoe UI"/>
        <family val="2"/>
      </rPr>
      <t>AD FS 2.0</t>
    </r>
    <r>
      <rPr>
        <sz val="12"/>
        <color theme="1"/>
        <rFont val="Segoe UI"/>
        <family val="2"/>
      </rPr>
      <t xml:space="preserve"> i Office 365.</t>
    </r>
  </si>
  <si>
    <r>
      <t xml:space="preserve">Min institution använder </t>
    </r>
    <r>
      <rPr>
        <i/>
        <u/>
        <sz val="12"/>
        <color theme="1"/>
        <rFont val="Segoe UI"/>
        <family val="2"/>
      </rPr>
      <t>inte</t>
    </r>
    <r>
      <rPr>
        <sz val="12"/>
        <color theme="1"/>
        <rFont val="Segoe UI"/>
        <family val="2"/>
      </rPr>
      <t xml:space="preserve"> verktygsuppsättningen för enkel inloggning (SSO) men kommer att använda federation med </t>
    </r>
    <r>
      <rPr>
        <i/>
        <sz val="12"/>
        <color theme="1"/>
        <rFont val="Segoe UI"/>
        <family val="2"/>
      </rPr>
      <t>Shibboleth med Active Directory</t>
    </r>
    <r>
      <rPr>
        <sz val="12"/>
        <color theme="1"/>
        <rFont val="Segoe UI"/>
        <family val="2"/>
      </rPr>
      <t xml:space="preserve"> i Office 365.</t>
    </r>
  </si>
  <si>
    <t>Windows Live Admin Center SDK.</t>
  </si>
  <si>
    <t>Jag använder PowerShell för att administrera konton i Exchange Online.</t>
  </si>
  <si>
    <r>
      <t xml:space="preserve">Min institution använder </t>
    </r>
    <r>
      <rPr>
        <b/>
        <sz val="12"/>
        <color theme="1"/>
        <rFont val="Segoe UI"/>
        <family val="2"/>
      </rPr>
      <t xml:space="preserve">anpassade Exchange-inställningar </t>
    </r>
    <r>
      <rPr>
        <sz val="12"/>
        <color theme="1"/>
        <rFont val="Segoe UI"/>
        <family val="2"/>
      </rPr>
      <t>(principer för övervakning och/eller rolltilldelning).</t>
    </r>
  </si>
  <si>
    <t>Mina användare använder outlook.com för att läsa e-post.</t>
  </si>
  <si>
    <t>Min institution använder PCNS (Password Change Notification Service).</t>
  </si>
  <si>
    <r>
      <t>Min institution</t>
    </r>
    <r>
      <rPr>
        <b/>
        <sz val="12"/>
        <color theme="1"/>
        <rFont val="Segoe UI"/>
        <family val="2"/>
      </rPr>
      <t xml:space="preserve"> använder för närvarande SkyDrive och Messenger</t>
    </r>
    <r>
      <rPr>
        <sz val="12"/>
        <color theme="1"/>
        <rFont val="Segoe UI"/>
        <family val="2"/>
      </rPr>
      <t xml:space="preserve"> för klassrumsflöde.</t>
    </r>
  </si>
  <si>
    <t>Uppdatera din kontaktinformation och institutionens profil på servicehanteringsportalen (SMP).</t>
  </si>
  <si>
    <t>Söka efter den senaste informationen på uppgraderingscentret.</t>
  </si>
  <si>
    <t>Bekanta dig med uppgraderingsprocessen.</t>
  </si>
  <si>
    <t>Gå igenom checklistan för administratörer inför uppgraderingen.</t>
  </si>
  <si>
    <t>Uppdatera webbadressen som används för åtkomst till e-post.</t>
  </si>
  <si>
    <t>Uppdatera programvara på stationära datorer efter behov.</t>
  </si>
  <si>
    <t>Dokumentera inställningarna för Live@edu Exchange Online.</t>
  </si>
  <si>
    <t>Gå igenom och bekanta dig med de provisioneringsåtgärder du behöver vidta efter uppgraderingen.</t>
  </si>
  <si>
    <t>Fortsätta administrationen av användare, med vissa begränsningar.</t>
  </si>
  <si>
    <t>Informera användarna innan fas två påbörjas.</t>
  </si>
  <si>
    <t>Påbörja fas två.</t>
  </si>
  <si>
    <t>Påbörja fas tre – konfigurera lösenord för Office 365.</t>
  </si>
  <si>
    <t>Konfigurera Microsoft Online Services Katalogsynkronisering.</t>
  </si>
  <si>
    <t>Aktivera katalogsynkronisering i Office 365.</t>
  </si>
  <si>
    <t>Inaktivera OLMA i servicehanteringsportalen (SMP).</t>
  </si>
  <si>
    <t>Inaktivera OLSync och samtliga komponenter för Identity Lifecycle Manager (ILM) 2007 eller Forefront Identity Manager (FIM) 2010.</t>
  </si>
  <si>
    <t>Hämta och köra ett engångsverktyg för katalogförberedelse.</t>
  </si>
  <si>
    <t>Se till att OLMA slutar synkronisera genom att avbryta den schemalagda synkroniseringsåtgärden i servicehanteringsportalen (SMP).</t>
  </si>
  <si>
    <t>Avinstallera OLMA och samtliga komponenter för Identity Lifecycle Manager (ILM) 2007 eller Forefront Identity Manager (FIM) 2010.</t>
  </si>
  <si>
    <t>Information om OLMA utan AD kommer snart.</t>
  </si>
  <si>
    <t>Leta efter felsökningsmetoder eller kontakta support om du har problem med uppgraderingen.</t>
  </si>
  <si>
    <t>Påminna användarna om att de numera har två separata konton och om vilka webbadresser de ska använda.</t>
  </si>
  <si>
    <t>Konfigurera Office 365 – Inloggning på portalen.</t>
  </si>
  <si>
    <t>Lägga till ytterligare kontoadministratörer i Office 365.</t>
  </si>
  <si>
    <t>Prenumerera på A2-alternativet.</t>
  </si>
  <si>
    <t>Få en guidad visning av Office 365.</t>
  </si>
  <si>
    <t>Konfigurera SharePoint Online och Lync Online.</t>
  </si>
  <si>
    <t>Läs mer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</si>
</sst>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36">
    <font>
      <sz val="11"/>
      <color theme="1"/>
      <name val="Calibri"/>
      <family val="2"/>
      <scheme val="minor"/>
    </font>
    <font>
      <sz val="11"/>
      <color theme="1"/>
      <name val="Segoe UI"/>
      <family val="2"/>
    </font>
    <font>
      <b/>
      <sz val="11"/>
      <color theme="0"/>
      <name val="Segoe UI"/>
      <family val="2"/>
    </font>
    <font>
      <b/>
      <sz val="11"/>
      <color theme="1"/>
      <name val="Segoe UI"/>
      <family val="2"/>
    </font>
    <font>
      <sz val="10"/>
      <color theme="1"/>
      <name val="Segoe UI"/>
      <family val="2"/>
    </font>
    <font>
      <b/>
      <sz val="11"/>
      <color rgb="FF92D050"/>
      <name val="Segoe UI"/>
      <family val="2"/>
    </font>
    <font>
      <b/>
      <sz val="15"/>
      <color theme="0"/>
      <name val="Segoe UI"/>
      <family val="2"/>
    </font>
    <font>
      <b/>
      <sz val="20"/>
      <name val="Segoe UI"/>
      <family val="2"/>
    </font>
    <font>
      <sz val="12"/>
      <color theme="1"/>
      <name val="Segoe UI"/>
      <family val="2"/>
    </font>
    <font>
      <b/>
      <sz val="12"/>
      <color theme="1"/>
      <name val="Segoe UI"/>
      <family val="2"/>
    </font>
    <font>
      <b/>
      <sz val="14"/>
      <color theme="0"/>
      <name val="Segoe UI"/>
      <family val="2"/>
    </font>
    <font>
      <u/>
      <sz val="6.6"/>
      <color theme="10"/>
      <name val="Calibri"/>
      <family val="2"/>
    </font>
    <font>
      <u/>
      <sz val="10"/>
      <color theme="10"/>
      <name val="Segoe UI"/>
      <family val="2"/>
    </font>
    <font>
      <sz val="10"/>
      <name val="Segoe UI"/>
      <family val="2"/>
    </font>
    <font>
      <b/>
      <sz val="10"/>
      <color theme="1"/>
      <name val="Segoe UI"/>
      <family val="2"/>
    </font>
    <font>
      <b/>
      <sz val="10"/>
      <color theme="0"/>
      <name val="Segoe UI"/>
      <family val="2"/>
    </font>
    <font>
      <sz val="14"/>
      <color theme="1"/>
      <name val="Segoe UI"/>
      <family val="2"/>
    </font>
    <font>
      <u/>
      <sz val="14"/>
      <color theme="10"/>
      <name val="Segoe UI"/>
      <family val="2"/>
    </font>
    <font>
      <sz val="8"/>
      <color rgb="FF000000"/>
      <name val="Tahoma"/>
      <family val="2"/>
    </font>
    <font>
      <b/>
      <sz val="16"/>
      <color theme="0"/>
      <name val="Segoe UI"/>
      <family val="2"/>
    </font>
    <font>
      <i/>
      <sz val="12"/>
      <color theme="1"/>
      <name val="Segoe UI"/>
      <family val="2"/>
    </font>
    <font>
      <i/>
      <u/>
      <sz val="12"/>
      <color theme="1"/>
      <name val="Segoe UI"/>
      <family val="2"/>
    </font>
    <font>
      <u/>
      <sz val="12"/>
      <color theme="1"/>
      <name val="Segoe UI"/>
      <family val="2"/>
    </font>
    <font>
      <sz val="11"/>
      <name val="Calibri"/>
      <family val="2"/>
      <scheme val="minor"/>
    </font>
    <font>
      <b/>
      <sz val="11"/>
      <name val="Calibri"/>
      <family val="2"/>
      <scheme val="minor"/>
    </font>
    <font>
      <sz val="18"/>
      <color theme="2"/>
      <name val="Segoe UI Semibold"/>
      <family val="2"/>
    </font>
    <font>
      <sz val="11"/>
      <color theme="0" tint="-0.249977111117893"/>
      <name val="Segoe UI"/>
      <family val="2"/>
    </font>
    <font>
      <sz val="10"/>
      <color theme="0" tint="-0.249977111117893"/>
      <name val="Segoe UI"/>
      <family val="2"/>
    </font>
    <font>
      <sz val="14"/>
      <color theme="0" tint="-0.249977111117893"/>
      <name val="Segoe UI"/>
      <family val="2"/>
    </font>
    <font>
      <b/>
      <i/>
      <sz val="12"/>
      <color theme="1"/>
      <name val="Segoe UI"/>
      <family val="2"/>
    </font>
    <font>
      <sz val="18"/>
      <color rgb="FFFFFFFF"/>
      <name val="Segoe UI Semibold"/>
      <family val="2"/>
    </font>
    <font>
      <b/>
      <sz val="12"/>
      <color rgb="FFFEA500"/>
      <name val="Segoe UI"/>
      <family val="2"/>
    </font>
    <font>
      <u/>
      <sz val="14"/>
      <color rgb="FFFC4B00"/>
      <name val="Segoe UI"/>
      <family val="2"/>
    </font>
    <font>
      <u/>
      <sz val="10"/>
      <color rgb="FFFC4B00"/>
      <name val="Segoe UI"/>
      <family val="2"/>
    </font>
    <font>
      <sz val="9"/>
      <name val="Calibri"/>
      <family val="3"/>
      <charset val="136"/>
      <scheme val="minor"/>
    </font>
    <font>
      <u/>
      <sz val="10"/>
      <color theme="10"/>
      <name val="Calibri"/>
      <family val="2"/>
    </font>
  </fonts>
  <fills count="17">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69A12B"/>
        <bgColor indexed="64"/>
      </patternFill>
    </fill>
    <fill>
      <patternFill patternType="solid">
        <fgColor rgb="FF00B0F0"/>
        <bgColor indexed="64"/>
      </patternFill>
    </fill>
    <fill>
      <patternFill patternType="solid">
        <fgColor rgb="FFA3E7FF"/>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3"/>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3" tint="0.59996337778862885"/>
        <bgColor indexed="64"/>
      </patternFill>
    </fill>
    <fill>
      <patternFill patternType="solid">
        <fgColor theme="3" tint="0.3999450666829432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double">
        <color indexed="64"/>
      </bottom>
      <diagonal/>
    </border>
    <border>
      <left/>
      <right style="medium">
        <color indexed="64"/>
      </right>
      <top style="double">
        <color indexed="64"/>
      </top>
      <bottom style="thin">
        <color indexed="64"/>
      </bottom>
      <diagonal/>
    </border>
    <border>
      <left/>
      <right style="medium">
        <color indexed="64"/>
      </right>
      <top/>
      <bottom style="double">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s>
  <cellStyleXfs count="3">
    <xf numFmtId="0" fontId="0" fillId="0" borderId="0"/>
    <xf numFmtId="0" fontId="11" fillId="0" borderId="0" applyNumberFormat="0" applyFill="0" applyBorder="0" applyAlignment="0" applyProtection="0">
      <alignment vertical="top"/>
      <protection locked="0"/>
    </xf>
    <xf numFmtId="164" fontId="4" fillId="14" borderId="25" applyFont="0" applyBorder="0" applyAlignment="0">
      <alignment horizontal="center"/>
    </xf>
  </cellStyleXfs>
  <cellXfs count="231">
    <xf numFmtId="0" fontId="0" fillId="0" borderId="0" xfId="0"/>
    <xf numFmtId="0" fontId="1" fillId="0" borderId="0" xfId="0" applyFont="1"/>
    <xf numFmtId="0" fontId="1" fillId="0" borderId="0" xfId="0" applyFont="1" applyAlignment="1">
      <alignment horizontal="left"/>
    </xf>
    <xf numFmtId="0" fontId="1" fillId="4" borderId="0" xfId="0" applyFont="1" applyFill="1" applyAlignment="1">
      <alignment horizontal="left"/>
    </xf>
    <xf numFmtId="0" fontId="1" fillId="4" borderId="0" xfId="0" applyFont="1" applyFill="1"/>
    <xf numFmtId="0" fontId="1" fillId="4" borderId="0" xfId="0" applyFont="1" applyFill="1" applyAlignment="1">
      <alignment vertical="center" wrapText="1"/>
    </xf>
    <xf numFmtId="0" fontId="1" fillId="0" borderId="0" xfId="0" applyFont="1" applyAlignment="1">
      <alignment vertical="center" wrapText="1"/>
    </xf>
    <xf numFmtId="0" fontId="0" fillId="4" borderId="0" xfId="0" applyFill="1"/>
    <xf numFmtId="0" fontId="4" fillId="4" borderId="0" xfId="0" applyFont="1" applyFill="1" applyBorder="1" applyAlignment="1">
      <alignment vertical="top" wrapText="1"/>
    </xf>
    <xf numFmtId="0" fontId="3" fillId="7" borderId="12" xfId="0" applyFont="1" applyFill="1" applyBorder="1" applyAlignment="1">
      <alignment horizontal="left"/>
    </xf>
    <xf numFmtId="0" fontId="3" fillId="7" borderId="13" xfId="0" applyFont="1" applyFill="1" applyBorder="1" applyAlignment="1">
      <alignment horizontal="left"/>
    </xf>
    <xf numFmtId="16" fontId="3" fillId="7" borderId="13" xfId="0" applyNumberFormat="1" applyFont="1" applyFill="1" applyBorder="1" applyAlignment="1">
      <alignment vertical="center" wrapText="1"/>
    </xf>
    <xf numFmtId="0" fontId="3" fillId="7" borderId="13" xfId="0" applyFont="1" applyFill="1" applyBorder="1" applyAlignment="1">
      <alignment vertical="center" wrapText="1"/>
    </xf>
    <xf numFmtId="0" fontId="3" fillId="7" borderId="15" xfId="0" applyFont="1" applyFill="1" applyBorder="1" applyAlignment="1">
      <alignment horizontal="left"/>
    </xf>
    <xf numFmtId="16" fontId="3" fillId="7" borderId="15" xfId="0" applyNumberFormat="1" applyFont="1" applyFill="1" applyBorder="1" applyAlignment="1">
      <alignment vertical="center" wrapText="1"/>
    </xf>
    <xf numFmtId="0" fontId="3" fillId="7" borderId="15" xfId="0" applyFont="1" applyFill="1" applyBorder="1" applyAlignment="1">
      <alignment vertical="center" wrapText="1"/>
    </xf>
    <xf numFmtId="0" fontId="3" fillId="7" borderId="14" xfId="0" applyFont="1" applyFill="1" applyBorder="1" applyAlignment="1">
      <alignment horizontal="left"/>
    </xf>
    <xf numFmtId="16" fontId="3" fillId="8" borderId="0" xfId="0" applyNumberFormat="1" applyFont="1" applyFill="1" applyBorder="1" applyAlignment="1">
      <alignment vertical="center" wrapText="1"/>
    </xf>
    <xf numFmtId="0" fontId="3" fillId="8" borderId="0" xfId="0" applyFont="1" applyFill="1" applyBorder="1" applyAlignment="1">
      <alignment vertical="center" wrapText="1"/>
    </xf>
    <xf numFmtId="0" fontId="0" fillId="3" borderId="0" xfId="0" applyFill="1"/>
    <xf numFmtId="16" fontId="2" fillId="9" borderId="0" xfId="0" applyNumberFormat="1" applyFont="1" applyFill="1" applyBorder="1" applyAlignment="1">
      <alignment vertical="center"/>
    </xf>
    <xf numFmtId="0" fontId="4" fillId="4" borderId="0" xfId="0" applyFont="1" applyFill="1" applyAlignment="1">
      <alignment horizontal="left" vertical="center" wrapText="1"/>
    </xf>
    <xf numFmtId="0" fontId="4" fillId="0" borderId="0" xfId="0" applyFont="1" applyAlignment="1">
      <alignment horizontal="left" vertical="center" wrapText="1"/>
    </xf>
    <xf numFmtId="0" fontId="8" fillId="4" borderId="7" xfId="0" applyFont="1" applyFill="1" applyBorder="1" applyAlignment="1">
      <alignment horizontal="left" vertical="top" wrapText="1" indent="2"/>
    </xf>
    <xf numFmtId="164" fontId="6" fillId="4" borderId="0" xfId="0" applyNumberFormat="1" applyFont="1" applyFill="1" applyBorder="1" applyAlignment="1">
      <alignment horizontal="center" vertical="center"/>
    </xf>
    <xf numFmtId="0" fontId="16" fillId="4" borderId="0" xfId="0" applyFont="1" applyFill="1" applyAlignment="1">
      <alignment horizontal="left" vertical="center" wrapText="1"/>
    </xf>
    <xf numFmtId="0" fontId="16" fillId="4" borderId="0" xfId="0" applyFont="1" applyFill="1" applyAlignment="1">
      <alignment wrapText="1"/>
    </xf>
    <xf numFmtId="0" fontId="16" fillId="0" borderId="0" xfId="0" applyFont="1" applyAlignment="1">
      <alignment wrapText="1"/>
    </xf>
    <xf numFmtId="0" fontId="1" fillId="4" borderId="0" xfId="0" applyFont="1" applyFill="1" applyAlignment="1">
      <alignment horizontal="center" vertical="center"/>
    </xf>
    <xf numFmtId="0" fontId="1" fillId="0" borderId="0" xfId="0" applyFont="1" applyAlignment="1">
      <alignment horizontal="center" vertical="center"/>
    </xf>
    <xf numFmtId="0" fontId="5" fillId="4" borderId="0" xfId="0" applyFont="1" applyFill="1" applyBorder="1" applyAlignment="1">
      <alignment horizontal="center" vertical="center"/>
    </xf>
    <xf numFmtId="16" fontId="2" fillId="4" borderId="0" xfId="0" applyNumberFormat="1" applyFont="1" applyFill="1" applyBorder="1" applyAlignment="1">
      <alignment horizontal="center" vertical="center"/>
    </xf>
    <xf numFmtId="0" fontId="4" fillId="4" borderId="0" xfId="0" applyFont="1" applyFill="1" applyBorder="1" applyAlignment="1">
      <alignment horizontal="center" vertical="center" wrapText="1"/>
    </xf>
    <xf numFmtId="0" fontId="4" fillId="0" borderId="1" xfId="0" applyFont="1" applyBorder="1" applyAlignment="1">
      <alignment horizontal="center" vertical="center"/>
    </xf>
    <xf numFmtId="0" fontId="3" fillId="7" borderId="13" xfId="0" applyFont="1" applyFill="1" applyBorder="1" applyAlignment="1">
      <alignment horizontal="center" vertical="center"/>
    </xf>
    <xf numFmtId="164" fontId="3" fillId="8" borderId="0" xfId="0" applyNumberFormat="1" applyFont="1" applyFill="1" applyBorder="1" applyAlignment="1">
      <alignment horizontal="center" vertical="center"/>
    </xf>
    <xf numFmtId="0" fontId="3" fillId="7" borderId="15" xfId="0" applyFont="1" applyFill="1" applyBorder="1" applyAlignment="1">
      <alignment horizontal="center" vertical="center"/>
    </xf>
    <xf numFmtId="0" fontId="4" fillId="0" borderId="11" xfId="0" applyFont="1" applyBorder="1" applyAlignment="1">
      <alignment horizontal="center" vertical="center"/>
    </xf>
    <xf numFmtId="164" fontId="2" fillId="6" borderId="0" xfId="0" applyNumberFormat="1" applyFont="1" applyFill="1" applyBorder="1" applyAlignment="1">
      <alignment horizontal="center" vertical="center" wrapText="1"/>
    </xf>
    <xf numFmtId="164" fontId="8" fillId="4" borderId="8" xfId="0" applyNumberFormat="1" applyFont="1" applyFill="1" applyBorder="1" applyAlignment="1">
      <alignment horizontal="left" vertical="center" wrapText="1"/>
    </xf>
    <xf numFmtId="0" fontId="8" fillId="10" borderId="7" xfId="0" applyFont="1" applyFill="1" applyBorder="1" applyAlignment="1">
      <alignment horizontal="left" vertical="top" wrapText="1" indent="2"/>
    </xf>
    <xf numFmtId="164" fontId="8" fillId="10" borderId="8" xfId="0" applyNumberFormat="1" applyFont="1" applyFill="1" applyBorder="1" applyAlignment="1">
      <alignment horizontal="left" vertical="center" wrapText="1"/>
    </xf>
    <xf numFmtId="0" fontId="8" fillId="10" borderId="7" xfId="0" applyFont="1" applyFill="1" applyBorder="1" applyAlignment="1">
      <alignment horizontal="left" vertical="top" indent="2"/>
    </xf>
    <xf numFmtId="0" fontId="8" fillId="4" borderId="4" xfId="0" applyFont="1" applyFill="1" applyBorder="1" applyAlignment="1">
      <alignment horizontal="left" vertical="center"/>
    </xf>
    <xf numFmtId="164" fontId="8" fillId="4" borderId="5" xfId="0" applyNumberFormat="1" applyFont="1" applyFill="1" applyBorder="1" applyAlignment="1">
      <alignment horizontal="left" vertical="center" wrapText="1"/>
    </xf>
    <xf numFmtId="0" fontId="9" fillId="4" borderId="7" xfId="0" applyFont="1" applyFill="1" applyBorder="1" applyAlignment="1">
      <alignment horizontal="left" vertical="top" wrapText="1"/>
    </xf>
    <xf numFmtId="0" fontId="8" fillId="4" borderId="7" xfId="0" applyFont="1" applyFill="1" applyBorder="1" applyAlignment="1">
      <alignment horizontal="left" vertical="top" wrapText="1" indent="2"/>
    </xf>
    <xf numFmtId="0" fontId="8" fillId="4" borderId="7" xfId="0" applyFont="1" applyFill="1" applyBorder="1" applyAlignment="1">
      <alignment horizontal="left" vertical="top" wrapText="1" indent="2"/>
    </xf>
    <xf numFmtId="0" fontId="4" fillId="4" borderId="0" xfId="0" applyFont="1" applyFill="1" applyBorder="1" applyAlignment="1">
      <alignment horizontal="left" vertical="center" wrapText="1"/>
    </xf>
    <xf numFmtId="0" fontId="2" fillId="2" borderId="6" xfId="0" applyFont="1" applyFill="1" applyBorder="1" applyAlignment="1">
      <alignment horizontal="center" vertical="center"/>
    </xf>
    <xf numFmtId="0" fontId="9" fillId="4" borderId="7" xfId="0" applyFont="1" applyFill="1" applyBorder="1" applyAlignment="1">
      <alignment horizontal="left" vertical="top" wrapText="1" indent="2"/>
    </xf>
    <xf numFmtId="164" fontId="2" fillId="9" borderId="0" xfId="0" applyNumberFormat="1" applyFont="1" applyFill="1" applyBorder="1" applyAlignment="1">
      <alignment horizontal="center" vertical="center" wrapText="1"/>
    </xf>
    <xf numFmtId="0" fontId="5" fillId="4" borderId="0" xfId="0" applyFont="1" applyFill="1" applyBorder="1" applyAlignment="1">
      <alignment horizontal="center"/>
    </xf>
    <xf numFmtId="16" fontId="2" fillId="4" borderId="0" xfId="0" applyNumberFormat="1" applyFont="1" applyFill="1" applyBorder="1" applyAlignment="1">
      <alignment horizontal="center"/>
    </xf>
    <xf numFmtId="0" fontId="4" fillId="0" borderId="1" xfId="0" applyFont="1" applyFill="1" applyBorder="1" applyAlignment="1">
      <alignment horizontal="center" vertical="center"/>
    </xf>
    <xf numFmtId="0" fontId="0" fillId="0" borderId="0" xfId="0" applyAlignment="1">
      <alignment vertical="center"/>
    </xf>
    <xf numFmtId="0" fontId="1" fillId="4" borderId="0" xfId="0" applyFont="1" applyFill="1" applyAlignment="1">
      <alignment horizontal="left" vertical="center"/>
    </xf>
    <xf numFmtId="0" fontId="1" fillId="4" borderId="0" xfId="0" applyFont="1" applyFill="1" applyAlignment="1">
      <alignment horizontal="center"/>
    </xf>
    <xf numFmtId="0" fontId="1" fillId="0" borderId="0" xfId="0" applyFont="1" applyAlignment="1">
      <alignment horizontal="center"/>
    </xf>
    <xf numFmtId="0" fontId="23" fillId="0" borderId="1" xfId="0" applyFont="1" applyFill="1" applyBorder="1" applyAlignment="1">
      <alignment vertical="top"/>
    </xf>
    <xf numFmtId="0" fontId="23" fillId="0" borderId="1" xfId="0" applyFont="1" applyFill="1" applyBorder="1" applyAlignment="1">
      <alignment horizontal="center" vertical="top"/>
    </xf>
    <xf numFmtId="0" fontId="1" fillId="0" borderId="1" xfId="0" applyFont="1" applyFill="1" applyBorder="1"/>
    <xf numFmtId="0" fontId="16" fillId="4" borderId="0" xfId="0" applyFont="1" applyFill="1" applyAlignment="1">
      <alignment horizontal="center" wrapText="1"/>
    </xf>
    <xf numFmtId="0" fontId="24" fillId="0" borderId="45" xfId="0" applyFont="1" applyFill="1" applyBorder="1" applyAlignment="1">
      <alignment horizontal="center" vertical="center" wrapText="1"/>
    </xf>
    <xf numFmtId="0" fontId="1" fillId="2" borderId="1" xfId="0" applyFont="1" applyFill="1" applyBorder="1"/>
    <xf numFmtId="0" fontId="3" fillId="7" borderId="13" xfId="0" applyFont="1" applyFill="1" applyBorder="1" applyAlignment="1">
      <alignment vertical="center"/>
    </xf>
    <xf numFmtId="16" fontId="3" fillId="8" borderId="0" xfId="0" applyNumberFormat="1" applyFont="1" applyFill="1" applyBorder="1" applyAlignment="1">
      <alignment horizontal="left" vertical="center"/>
    </xf>
    <xf numFmtId="0" fontId="4" fillId="0" borderId="1" xfId="0" applyFont="1" applyBorder="1" applyAlignment="1">
      <alignment horizontal="center" vertical="center" wrapText="1"/>
    </xf>
    <xf numFmtId="0" fontId="3" fillId="7" borderId="15" xfId="0" applyFont="1" applyFill="1" applyBorder="1" applyAlignment="1">
      <alignment vertical="center"/>
    </xf>
    <xf numFmtId="16" fontId="2" fillId="6" borderId="0" xfId="0" applyNumberFormat="1" applyFont="1" applyFill="1" applyBorder="1" applyAlignment="1">
      <alignment vertical="center"/>
    </xf>
    <xf numFmtId="0" fontId="4" fillId="0" borderId="11" xfId="0" applyFont="1" applyBorder="1" applyAlignment="1">
      <alignment horizontal="center" vertical="center" wrapText="1"/>
    </xf>
    <xf numFmtId="0" fontId="24" fillId="3"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24" fillId="2" borderId="45" xfId="0" applyFont="1" applyFill="1" applyBorder="1" applyAlignment="1">
      <alignment horizontal="center" vertical="center"/>
    </xf>
    <xf numFmtId="0" fontId="23" fillId="0" borderId="1" xfId="0" applyFont="1" applyFill="1" applyBorder="1" applyAlignment="1">
      <alignment horizontal="left" vertical="top" indent="1"/>
    </xf>
    <xf numFmtId="0" fontId="1" fillId="0" borderId="1" xfId="0" applyFont="1" applyFill="1" applyBorder="1" applyAlignment="1">
      <alignment horizontal="left" indent="1"/>
    </xf>
    <xf numFmtId="0" fontId="1" fillId="2" borderId="1" xfId="0" applyFont="1" applyFill="1" applyBorder="1" applyAlignment="1">
      <alignment horizontal="left" indent="1"/>
    </xf>
    <xf numFmtId="0" fontId="23" fillId="0" borderId="1" xfId="0" applyFont="1" applyFill="1" applyBorder="1" applyAlignment="1">
      <alignment horizontal="left" vertical="top" wrapText="1" indent="1"/>
    </xf>
    <xf numFmtId="0" fontId="23" fillId="0" borderId="1" xfId="0" applyFont="1" applyFill="1" applyBorder="1" applyAlignment="1">
      <alignment horizontal="center" vertical="top" wrapText="1"/>
    </xf>
    <xf numFmtId="0" fontId="2" fillId="2" borderId="6" xfId="0" applyFont="1" applyFill="1" applyBorder="1" applyAlignment="1">
      <alignment horizontal="left" vertical="center"/>
    </xf>
    <xf numFmtId="0" fontId="4" fillId="0" borderId="1" xfId="0" applyFont="1" applyFill="1" applyBorder="1" applyAlignment="1">
      <alignment horizontal="left" vertical="center"/>
    </xf>
    <xf numFmtId="0" fontId="3" fillId="7" borderId="13" xfId="0" applyFont="1" applyFill="1" applyBorder="1" applyAlignment="1">
      <alignment horizontal="left" vertical="center"/>
    </xf>
    <xf numFmtId="0" fontId="4" fillId="0" borderId="1" xfId="0" applyFont="1" applyBorder="1" applyAlignment="1">
      <alignment horizontal="left" vertical="center"/>
    </xf>
    <xf numFmtId="0" fontId="3" fillId="7" borderId="15" xfId="0" applyFont="1" applyFill="1" applyBorder="1" applyAlignment="1">
      <alignment horizontal="left" vertical="center"/>
    </xf>
    <xf numFmtId="16" fontId="2" fillId="6" borderId="0" xfId="0" applyNumberFormat="1" applyFont="1" applyFill="1" applyBorder="1" applyAlignment="1">
      <alignment horizontal="left" vertical="center"/>
    </xf>
    <xf numFmtId="16" fontId="2" fillId="9" borderId="0" xfId="0" applyNumberFormat="1" applyFont="1" applyFill="1" applyBorder="1" applyAlignment="1">
      <alignment horizontal="left" vertical="center"/>
    </xf>
    <xf numFmtId="0" fontId="4" fillId="0" borderId="11" xfId="0" applyFont="1" applyBorder="1" applyAlignment="1">
      <alignment horizontal="left" vertical="center"/>
    </xf>
    <xf numFmtId="0" fontId="16" fillId="4" borderId="0" xfId="0" applyFont="1" applyFill="1" applyAlignment="1">
      <alignment horizontal="left" vertical="center"/>
    </xf>
    <xf numFmtId="0" fontId="1" fillId="0" borderId="0" xfId="0" applyFont="1" applyAlignment="1">
      <alignment horizontal="left" vertical="center"/>
    </xf>
    <xf numFmtId="0" fontId="4" fillId="0"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6" borderId="1" xfId="0" applyFont="1" applyFill="1" applyBorder="1" applyAlignment="1">
      <alignment horizontal="center" vertical="center"/>
    </xf>
    <xf numFmtId="0" fontId="4" fillId="16" borderId="1" xfId="0" applyFont="1" applyFill="1" applyBorder="1" applyAlignment="1">
      <alignment horizontal="center" vertical="center" wrapText="1"/>
    </xf>
    <xf numFmtId="0" fontId="4" fillId="16" borderId="39" xfId="0" applyFont="1" applyFill="1" applyBorder="1" applyAlignment="1">
      <alignment horizontal="center" vertical="center"/>
    </xf>
    <xf numFmtId="0" fontId="4" fillId="14" borderId="1" xfId="0" applyFont="1" applyFill="1" applyBorder="1" applyAlignment="1">
      <alignment horizontal="center" vertical="center" wrapText="1"/>
    </xf>
    <xf numFmtId="0" fontId="26" fillId="4" borderId="0" xfId="0" applyFont="1" applyFill="1" applyAlignment="1">
      <alignment horizontal="center" vertical="center"/>
    </xf>
    <xf numFmtId="0" fontId="27" fillId="4" borderId="0" xfId="0" applyFont="1" applyFill="1" applyAlignment="1">
      <alignment horizontal="center" vertical="center" wrapText="1"/>
    </xf>
    <xf numFmtId="0" fontId="20" fillId="4" borderId="8" xfId="0" applyFont="1" applyFill="1" applyBorder="1" applyAlignment="1">
      <alignment horizontal="center" vertical="center" wrapText="1"/>
    </xf>
    <xf numFmtId="0" fontId="24" fillId="4" borderId="45" xfId="0" applyFont="1" applyFill="1" applyBorder="1" applyAlignment="1">
      <alignment horizontal="center" vertical="center"/>
    </xf>
    <xf numFmtId="0" fontId="4" fillId="4" borderId="0" xfId="0" applyFont="1" applyFill="1" applyAlignment="1">
      <alignment horizontal="left" vertical="center"/>
    </xf>
    <xf numFmtId="0" fontId="8" fillId="4" borderId="7" xfId="0" applyFont="1" applyFill="1" applyBorder="1" applyAlignment="1">
      <alignment horizontal="left" vertical="center" wrapText="1" indent="2"/>
    </xf>
    <xf numFmtId="0" fontId="8" fillId="4" borderId="7" xfId="0" applyFont="1" applyFill="1" applyBorder="1" applyAlignment="1">
      <alignment horizontal="left" vertical="center" wrapText="1" indent="5"/>
    </xf>
    <xf numFmtId="0" fontId="26" fillId="4" borderId="1" xfId="0" applyFont="1" applyFill="1" applyBorder="1" applyAlignment="1">
      <alignment horizontal="center" vertical="center"/>
    </xf>
    <xf numFmtId="0" fontId="26" fillId="4" borderId="0" xfId="0" applyFont="1" applyFill="1"/>
    <xf numFmtId="0" fontId="28" fillId="4" borderId="0" xfId="0" applyFont="1" applyFill="1" applyAlignment="1">
      <alignment wrapText="1"/>
    </xf>
    <xf numFmtId="0" fontId="26" fillId="0" borderId="0" xfId="0" applyFont="1"/>
    <xf numFmtId="0" fontId="26" fillId="4" borderId="0" xfId="0" applyFont="1" applyFill="1" applyAlignment="1">
      <alignment horizontal="left"/>
    </xf>
    <xf numFmtId="0" fontId="10" fillId="11" borderId="46" xfId="0" applyFont="1" applyFill="1" applyBorder="1" applyAlignment="1">
      <alignment horizontal="left"/>
    </xf>
    <xf numFmtId="0" fontId="10" fillId="11" borderId="47" xfId="0" applyFont="1" applyFill="1" applyBorder="1" applyAlignment="1">
      <alignment horizontal="left"/>
    </xf>
    <xf numFmtId="0" fontId="10" fillId="11" borderId="48" xfId="0" applyFont="1" applyFill="1" applyBorder="1" applyAlignment="1">
      <alignment horizontal="left"/>
    </xf>
    <xf numFmtId="0" fontId="25" fillId="12" borderId="0" xfId="0" applyFont="1" applyFill="1" applyBorder="1" applyAlignment="1">
      <alignment horizontal="left" wrapText="1" indent="2"/>
    </xf>
    <xf numFmtId="0" fontId="0" fillId="4" borderId="0" xfId="0" applyFill="1" applyAlignment="1">
      <alignment horizontal="center" wrapText="1"/>
    </xf>
    <xf numFmtId="0" fontId="8" fillId="4" borderId="49" xfId="0" applyFont="1" applyFill="1" applyBorder="1" applyAlignment="1">
      <alignment horizontal="left" vertical="top" wrapText="1" indent="2"/>
    </xf>
    <xf numFmtId="0" fontId="8" fillId="4" borderId="0" xfId="0" applyFont="1" applyFill="1" applyBorder="1" applyAlignment="1">
      <alignment horizontal="left" vertical="top" wrapText="1" indent="2"/>
    </xf>
    <xf numFmtId="0" fontId="8" fillId="4" borderId="50" xfId="0" applyFont="1" applyFill="1" applyBorder="1" applyAlignment="1">
      <alignment horizontal="left" vertical="top" wrapText="1" indent="2"/>
    </xf>
    <xf numFmtId="0" fontId="8" fillId="4" borderId="51" xfId="0" applyFont="1" applyFill="1" applyBorder="1" applyAlignment="1">
      <alignment horizontal="left" vertical="top" wrapText="1" indent="2"/>
    </xf>
    <xf numFmtId="0" fontId="8" fillId="4" borderId="52" xfId="0" applyFont="1" applyFill="1" applyBorder="1" applyAlignment="1">
      <alignment horizontal="left" vertical="top" wrapText="1" indent="2"/>
    </xf>
    <xf numFmtId="0" fontId="8" fillId="4" borderId="53" xfId="0" applyFont="1" applyFill="1" applyBorder="1" applyAlignment="1">
      <alignment horizontal="left" vertical="top" wrapText="1" indent="2"/>
    </xf>
    <xf numFmtId="0" fontId="25" fillId="12" borderId="0" xfId="0" applyFont="1" applyFill="1" applyBorder="1" applyAlignment="1">
      <alignment horizontal="left" vertical="top" wrapText="1" indent="2"/>
    </xf>
    <xf numFmtId="0" fontId="0" fillId="0" borderId="0" xfId="0" applyFill="1" applyBorder="1" applyAlignment="1">
      <alignment horizontal="center"/>
    </xf>
    <xf numFmtId="0" fontId="0" fillId="13" borderId="0" xfId="0" applyFill="1" applyBorder="1" applyAlignment="1">
      <alignment horizontal="center"/>
    </xf>
    <xf numFmtId="164" fontId="4" fillId="0" borderId="25" xfId="0" applyNumberFormat="1" applyFont="1" applyBorder="1" applyAlignment="1">
      <alignment horizontal="center"/>
    </xf>
    <xf numFmtId="164" fontId="4" fillId="0" borderId="21" xfId="0" applyNumberFormat="1" applyFont="1" applyBorder="1" applyAlignment="1">
      <alignment horizontal="center"/>
    </xf>
    <xf numFmtId="0" fontId="12" fillId="0" borderId="16" xfId="1" applyFont="1" applyBorder="1" applyAlignment="1" applyProtection="1">
      <alignment horizontal="left" vertical="center" wrapText="1"/>
    </xf>
    <xf numFmtId="0" fontId="12" fillId="0" borderId="19" xfId="1" applyFont="1" applyBorder="1" applyAlignment="1" applyProtection="1">
      <alignment horizontal="left" vertical="center" wrapText="1"/>
    </xf>
    <xf numFmtId="0" fontId="12" fillId="0" borderId="35" xfId="1" applyFont="1" applyBorder="1" applyAlignment="1" applyProtection="1">
      <alignment horizontal="left" vertical="center" wrapText="1"/>
    </xf>
    <xf numFmtId="0" fontId="4" fillId="0" borderId="16" xfId="0" applyFont="1" applyBorder="1" applyAlignment="1">
      <alignment horizontal="left" vertical="center" wrapText="1"/>
    </xf>
    <xf numFmtId="0" fontId="4" fillId="0" borderId="21" xfId="0" applyFont="1" applyBorder="1" applyAlignment="1">
      <alignment horizontal="left" vertical="center" wrapText="1"/>
    </xf>
    <xf numFmtId="0" fontId="4" fillId="0" borderId="16" xfId="0" applyFont="1" applyBorder="1" applyAlignment="1">
      <alignment vertical="center" wrapText="1"/>
    </xf>
    <xf numFmtId="0" fontId="4" fillId="0" borderId="21" xfId="0" applyFont="1" applyBorder="1" applyAlignment="1">
      <alignment vertical="center" wrapText="1"/>
    </xf>
    <xf numFmtId="0" fontId="12" fillId="0" borderId="16" xfId="1" applyFont="1" applyBorder="1" applyAlignment="1" applyProtection="1">
      <alignment vertical="center" wrapText="1"/>
    </xf>
    <xf numFmtId="0" fontId="12" fillId="0" borderId="19" xfId="1" applyFont="1" applyBorder="1" applyAlignment="1" applyProtection="1">
      <alignment vertical="center" wrapText="1"/>
    </xf>
    <xf numFmtId="0" fontId="12" fillId="0" borderId="35" xfId="1" applyFont="1" applyBorder="1" applyAlignment="1" applyProtection="1">
      <alignment vertical="center" wrapText="1"/>
    </xf>
    <xf numFmtId="0" fontId="12" fillId="0" borderId="16" xfId="1" applyFont="1" applyFill="1" applyBorder="1" applyAlignment="1" applyProtection="1">
      <alignment horizontal="left" vertical="center" wrapText="1"/>
    </xf>
    <xf numFmtId="0" fontId="12" fillId="0" borderId="19" xfId="1" applyFont="1" applyFill="1" applyBorder="1" applyAlignment="1" applyProtection="1">
      <alignment horizontal="left" vertical="center" wrapText="1"/>
    </xf>
    <xf numFmtId="0" fontId="12" fillId="0" borderId="35" xfId="1" applyFont="1" applyFill="1" applyBorder="1" applyAlignment="1" applyProtection="1">
      <alignment horizontal="left" vertical="center" wrapText="1"/>
    </xf>
    <xf numFmtId="0" fontId="17" fillId="4" borderId="32" xfId="1" applyFont="1" applyFill="1" applyBorder="1" applyAlignment="1" applyProtection="1">
      <alignment horizontal="center" wrapText="1"/>
    </xf>
    <xf numFmtId="0" fontId="17" fillId="4" borderId="33" xfId="1" applyFont="1" applyFill="1" applyBorder="1" applyAlignment="1" applyProtection="1">
      <alignment horizontal="center" wrapText="1"/>
    </xf>
    <xf numFmtId="0" fontId="17" fillId="4" borderId="34" xfId="1" applyFont="1" applyFill="1" applyBorder="1" applyAlignment="1" applyProtection="1">
      <alignment horizontal="center"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16" fontId="14" fillId="7" borderId="13" xfId="0" applyNumberFormat="1" applyFont="1" applyFill="1" applyBorder="1" applyAlignment="1">
      <alignment horizontal="center" vertical="center" wrapText="1"/>
    </xf>
    <xf numFmtId="16" fontId="14" fillId="7" borderId="43" xfId="0" applyNumberFormat="1" applyFont="1" applyFill="1" applyBorder="1" applyAlignment="1">
      <alignment horizontal="center" vertical="center" wrapText="1"/>
    </xf>
    <xf numFmtId="164" fontId="4" fillId="0" borderId="9" xfId="0" applyNumberFormat="1" applyFont="1" applyFill="1" applyBorder="1" applyAlignment="1">
      <alignment horizontal="center"/>
    </xf>
    <xf numFmtId="164" fontId="4" fillId="0" borderId="1" xfId="0" applyNumberFormat="1" applyFont="1" applyFill="1" applyBorder="1" applyAlignment="1">
      <alignment horizontal="center"/>
    </xf>
    <xf numFmtId="0" fontId="4" fillId="0" borderId="16" xfId="0" applyFont="1" applyFill="1" applyBorder="1" applyAlignment="1">
      <alignment vertical="center" wrapText="1"/>
    </xf>
    <xf numFmtId="0" fontId="4" fillId="0" borderId="21" xfId="0" applyFont="1" applyFill="1" applyBorder="1" applyAlignment="1">
      <alignment vertical="center" wrapText="1"/>
    </xf>
    <xf numFmtId="164" fontId="12" fillId="0" borderId="16" xfId="1" applyNumberFormat="1" applyFont="1" applyFill="1" applyBorder="1" applyAlignment="1" applyProtection="1">
      <alignment horizontal="left" vertical="center" wrapText="1"/>
    </xf>
    <xf numFmtId="164" fontId="12" fillId="0" borderId="19" xfId="1" applyNumberFormat="1" applyFont="1" applyFill="1" applyBorder="1" applyAlignment="1" applyProtection="1">
      <alignment horizontal="left" vertical="center" wrapText="1"/>
    </xf>
    <xf numFmtId="164" fontId="12" fillId="0" borderId="35" xfId="1" applyNumberFormat="1" applyFont="1" applyFill="1" applyBorder="1" applyAlignment="1" applyProtection="1">
      <alignment horizontal="left" vertical="center" wrapText="1"/>
    </xf>
    <xf numFmtId="164" fontId="12" fillId="14" borderId="16" xfId="1" applyNumberFormat="1" applyFont="1" applyFill="1" applyBorder="1" applyAlignment="1" applyProtection="1">
      <alignment horizontal="left" vertical="center" wrapText="1"/>
    </xf>
    <xf numFmtId="164" fontId="12" fillId="14" borderId="19" xfId="1" applyNumberFormat="1" applyFont="1" applyFill="1" applyBorder="1" applyAlignment="1" applyProtection="1">
      <alignment horizontal="left" vertical="center" wrapText="1"/>
    </xf>
    <xf numFmtId="164" fontId="12" fillId="14" borderId="35" xfId="1" applyNumberFormat="1" applyFont="1" applyFill="1" applyBorder="1" applyAlignment="1" applyProtection="1">
      <alignment horizontal="left" vertical="center" wrapText="1"/>
    </xf>
    <xf numFmtId="164" fontId="4" fillId="14" borderId="25" xfId="0" applyNumberFormat="1" applyFont="1" applyFill="1" applyBorder="1" applyAlignment="1">
      <alignment horizontal="center"/>
    </xf>
    <xf numFmtId="164" fontId="4" fillId="14" borderId="21" xfId="0" applyNumberFormat="1" applyFont="1" applyFill="1" applyBorder="1" applyAlignment="1">
      <alignment horizontal="center"/>
    </xf>
    <xf numFmtId="0" fontId="4" fillId="14" borderId="16" xfId="0" applyFont="1" applyFill="1" applyBorder="1" applyAlignment="1">
      <alignment horizontal="left" vertical="center" wrapText="1"/>
    </xf>
    <xf numFmtId="0" fontId="4" fillId="14" borderId="21" xfId="0" applyFont="1" applyFill="1" applyBorder="1" applyAlignment="1">
      <alignment horizontal="left" vertical="center" wrapText="1"/>
    </xf>
    <xf numFmtId="0" fontId="9" fillId="5" borderId="31" xfId="0" applyFont="1" applyFill="1" applyBorder="1" applyAlignment="1">
      <alignment horizontal="center" vertical="center" wrapText="1"/>
    </xf>
    <xf numFmtId="0" fontId="9" fillId="5" borderId="36" xfId="0" applyFont="1" applyFill="1" applyBorder="1" applyAlignment="1">
      <alignment horizontal="center" vertical="center" wrapText="1"/>
    </xf>
    <xf numFmtId="164" fontId="6" fillId="13" borderId="7" xfId="0" applyNumberFormat="1" applyFont="1" applyFill="1" applyBorder="1" applyAlignment="1">
      <alignment horizontal="center" vertical="center"/>
    </xf>
    <xf numFmtId="164" fontId="6" fillId="13" borderId="0" xfId="0" applyNumberFormat="1" applyFont="1" applyFill="1" applyBorder="1" applyAlignment="1">
      <alignment horizontal="center" vertical="center"/>
    </xf>
    <xf numFmtId="164" fontId="6" fillId="13" borderId="8" xfId="0" applyNumberFormat="1" applyFont="1" applyFill="1" applyBorder="1" applyAlignment="1">
      <alignment horizontal="center" vertical="center"/>
    </xf>
    <xf numFmtId="164" fontId="6" fillId="13" borderId="4" xfId="0" applyNumberFormat="1" applyFont="1" applyFill="1" applyBorder="1" applyAlignment="1">
      <alignment horizontal="center" vertical="center"/>
    </xf>
    <xf numFmtId="164" fontId="6" fillId="13" borderId="23" xfId="0" applyNumberFormat="1" applyFont="1" applyFill="1" applyBorder="1" applyAlignment="1">
      <alignment horizontal="center" vertical="center"/>
    </xf>
    <xf numFmtId="164" fontId="6" fillId="13" borderId="5" xfId="0" applyNumberFormat="1" applyFont="1" applyFill="1" applyBorder="1" applyAlignment="1">
      <alignment horizontal="center" vertical="center"/>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164" fontId="4" fillId="0" borderId="9" xfId="0" applyNumberFormat="1" applyFont="1" applyBorder="1" applyAlignment="1">
      <alignment horizontal="center"/>
    </xf>
    <xf numFmtId="164" fontId="4" fillId="0" borderId="1" xfId="0" applyNumberFormat="1" applyFont="1" applyBorder="1" applyAlignment="1">
      <alignment horizontal="center"/>
    </xf>
    <xf numFmtId="0" fontId="19" fillId="13" borderId="26" xfId="0" applyFont="1" applyFill="1" applyBorder="1" applyAlignment="1">
      <alignment horizontal="center" vertical="center" wrapText="1"/>
    </xf>
    <xf numFmtId="0" fontId="19" fillId="13" borderId="27" xfId="0" applyFont="1" applyFill="1" applyBorder="1" applyAlignment="1">
      <alignment horizontal="center" vertical="center" wrapText="1"/>
    </xf>
    <xf numFmtId="0" fontId="12" fillId="16" borderId="40" xfId="1" applyFont="1" applyFill="1" applyBorder="1" applyAlignment="1" applyProtection="1">
      <alignment horizontal="left" vertical="center" wrapText="1"/>
    </xf>
    <xf numFmtId="0" fontId="12" fillId="16" borderId="37" xfId="1" applyFont="1" applyFill="1" applyBorder="1" applyAlignment="1" applyProtection="1">
      <alignment horizontal="left" vertical="center" wrapText="1"/>
    </xf>
    <xf numFmtId="0" fontId="12" fillId="16" borderId="36" xfId="1" applyFont="1" applyFill="1" applyBorder="1" applyAlignment="1" applyProtection="1">
      <alignment horizontal="left" vertical="center" wrapText="1"/>
    </xf>
    <xf numFmtId="16" fontId="14" fillId="8" borderId="18" xfId="0" applyNumberFormat="1" applyFont="1" applyFill="1" applyBorder="1" applyAlignment="1">
      <alignment horizontal="center" vertical="center" wrapText="1"/>
    </xf>
    <xf numFmtId="16" fontId="14" fillId="8" borderId="42" xfId="0" applyNumberFormat="1" applyFont="1" applyFill="1" applyBorder="1" applyAlignment="1">
      <alignment horizontal="center" vertical="center" wrapText="1"/>
    </xf>
    <xf numFmtId="0" fontId="3" fillId="8" borderId="24" xfId="0" applyFont="1" applyFill="1" applyBorder="1" applyAlignment="1">
      <alignment horizontal="center"/>
    </xf>
    <xf numFmtId="0" fontId="3" fillId="8" borderId="18" xfId="0" applyFont="1" applyFill="1" applyBorder="1" applyAlignment="1">
      <alignment horizontal="center"/>
    </xf>
    <xf numFmtId="0" fontId="13" fillId="0" borderId="16" xfId="0" applyFont="1" applyBorder="1" applyAlignment="1">
      <alignment vertical="center" wrapText="1"/>
    </xf>
    <xf numFmtId="0" fontId="13" fillId="0" borderId="21" xfId="0" applyFont="1" applyBorder="1" applyAlignment="1">
      <alignment vertical="center" wrapText="1"/>
    </xf>
    <xf numFmtId="0" fontId="12" fillId="0" borderId="17" xfId="1" applyFont="1" applyBorder="1" applyAlignment="1" applyProtection="1">
      <alignment horizontal="left" vertical="center" wrapText="1"/>
    </xf>
    <xf numFmtId="0" fontId="12" fillId="0" borderId="20" xfId="1" applyFont="1" applyBorder="1" applyAlignment="1" applyProtection="1">
      <alignment horizontal="left" vertical="center" wrapText="1"/>
    </xf>
    <xf numFmtId="0" fontId="12" fillId="0" borderId="44" xfId="1" applyFont="1" applyBorder="1" applyAlignment="1" applyProtection="1">
      <alignment horizontal="left" vertical="center" wrapText="1"/>
    </xf>
    <xf numFmtId="0" fontId="15" fillId="9" borderId="19" xfId="0" applyFont="1" applyFill="1" applyBorder="1" applyAlignment="1">
      <alignment horizontal="center" vertical="center"/>
    </xf>
    <xf numFmtId="0" fontId="15" fillId="9" borderId="35" xfId="0" applyFont="1" applyFill="1" applyBorder="1" applyAlignment="1">
      <alignment horizontal="center" vertical="center"/>
    </xf>
    <xf numFmtId="164" fontId="12" fillId="4" borderId="16" xfId="1" applyNumberFormat="1" applyFont="1" applyFill="1" applyBorder="1" applyAlignment="1" applyProtection="1">
      <alignment horizontal="left" vertical="center" wrapText="1"/>
    </xf>
    <xf numFmtId="164" fontId="12" fillId="4" borderId="19" xfId="1" applyNumberFormat="1" applyFont="1" applyFill="1" applyBorder="1" applyAlignment="1" applyProtection="1">
      <alignment horizontal="left" vertical="center" wrapText="1"/>
    </xf>
    <xf numFmtId="164" fontId="12" fillId="4" borderId="35" xfId="1" applyNumberFormat="1" applyFont="1" applyFill="1" applyBorder="1" applyAlignment="1" applyProtection="1">
      <alignment horizontal="left" vertical="center" wrapText="1"/>
    </xf>
    <xf numFmtId="0" fontId="15" fillId="6" borderId="19" xfId="0" applyFont="1" applyFill="1" applyBorder="1" applyAlignment="1">
      <alignment horizontal="center" vertical="center"/>
    </xf>
    <xf numFmtId="0" fontId="15" fillId="6" borderId="35" xfId="0" applyFont="1" applyFill="1" applyBorder="1" applyAlignment="1">
      <alignment horizontal="center" vertical="center"/>
    </xf>
    <xf numFmtId="164" fontId="4" fillId="0" borderId="10" xfId="0" applyNumberFormat="1" applyFont="1" applyBorder="1" applyAlignment="1">
      <alignment horizontal="center"/>
    </xf>
    <xf numFmtId="164" fontId="4" fillId="0" borderId="11" xfId="0" applyNumberFormat="1" applyFont="1" applyBorder="1" applyAlignment="1">
      <alignment horizontal="center"/>
    </xf>
    <xf numFmtId="0" fontId="2" fillId="9" borderId="19" xfId="0" applyFont="1" applyFill="1" applyBorder="1" applyAlignment="1">
      <alignment horizontal="center" vertical="center"/>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12" fillId="16" borderId="16" xfId="1" applyFont="1" applyFill="1" applyBorder="1" applyAlignment="1" applyProtection="1">
      <alignment horizontal="left" vertical="center" wrapText="1"/>
    </xf>
    <xf numFmtId="0" fontId="12" fillId="16" borderId="19" xfId="1" applyFont="1" applyFill="1" applyBorder="1" applyAlignment="1" applyProtection="1">
      <alignment horizontal="left" vertical="center" wrapText="1"/>
    </xf>
    <xf numFmtId="0" fontId="12" fillId="16" borderId="35" xfId="1" applyFont="1" applyFill="1" applyBorder="1" applyAlignment="1" applyProtection="1">
      <alignment horizontal="left" vertical="center" wrapText="1"/>
    </xf>
    <xf numFmtId="164" fontId="4" fillId="15" borderId="25" xfId="0" applyNumberFormat="1" applyFont="1" applyFill="1" applyBorder="1" applyAlignment="1">
      <alignment horizontal="center"/>
    </xf>
    <xf numFmtId="164" fontId="4" fillId="15" borderId="21" xfId="0" applyNumberFormat="1" applyFont="1" applyFill="1" applyBorder="1" applyAlignment="1">
      <alignment horizontal="center"/>
    </xf>
    <xf numFmtId="0" fontId="4" fillId="15" borderId="16" xfId="0" applyFont="1" applyFill="1" applyBorder="1" applyAlignment="1">
      <alignment horizontal="left" vertical="center" wrapText="1"/>
    </xf>
    <xf numFmtId="0" fontId="4" fillId="15" borderId="21" xfId="0" applyFont="1" applyFill="1" applyBorder="1" applyAlignment="1">
      <alignment horizontal="left" vertical="center" wrapText="1"/>
    </xf>
    <xf numFmtId="164" fontId="12" fillId="15" borderId="16" xfId="1" applyNumberFormat="1" applyFont="1" applyFill="1" applyBorder="1" applyAlignment="1" applyProtection="1">
      <alignment horizontal="left" vertical="center" wrapText="1"/>
    </xf>
    <xf numFmtId="164" fontId="12" fillId="15" borderId="19" xfId="1" applyNumberFormat="1" applyFont="1" applyFill="1" applyBorder="1" applyAlignment="1" applyProtection="1">
      <alignment horizontal="left" vertical="center" wrapText="1"/>
    </xf>
    <xf numFmtId="164" fontId="12" fillId="15" borderId="35" xfId="1" applyNumberFormat="1" applyFont="1" applyFill="1" applyBorder="1" applyAlignment="1" applyProtection="1">
      <alignment horizontal="left" vertical="center" wrapText="1"/>
    </xf>
    <xf numFmtId="164" fontId="4" fillId="16" borderId="31" xfId="0" applyNumberFormat="1" applyFont="1" applyFill="1" applyBorder="1" applyAlignment="1">
      <alignment horizontal="center"/>
    </xf>
    <xf numFmtId="164" fontId="4" fillId="16" borderId="38" xfId="0" applyNumberFormat="1" applyFont="1" applyFill="1" applyBorder="1" applyAlignment="1">
      <alignment horizontal="center"/>
    </xf>
    <xf numFmtId="0" fontId="2" fillId="9" borderId="25"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6" borderId="25" xfId="0" applyFont="1" applyFill="1" applyBorder="1" applyAlignment="1">
      <alignment horizontal="center" vertical="center"/>
    </xf>
    <xf numFmtId="0" fontId="2" fillId="6" borderId="19" xfId="0" applyFont="1" applyFill="1" applyBorder="1" applyAlignment="1">
      <alignment horizontal="center" vertical="center"/>
    </xf>
    <xf numFmtId="0" fontId="4" fillId="16" borderId="16" xfId="0" applyFont="1" applyFill="1" applyBorder="1" applyAlignment="1">
      <alignment vertical="center" wrapText="1"/>
    </xf>
    <xf numFmtId="0" fontId="4" fillId="16" borderId="21" xfId="0" applyFont="1" applyFill="1" applyBorder="1" applyAlignment="1">
      <alignment vertical="center" wrapText="1"/>
    </xf>
    <xf numFmtId="164" fontId="4" fillId="16" borderId="25" xfId="0" applyNumberFormat="1" applyFont="1" applyFill="1" applyBorder="1" applyAlignment="1">
      <alignment horizontal="center"/>
    </xf>
    <xf numFmtId="164" fontId="4" fillId="16" borderId="21" xfId="0" applyNumberFormat="1" applyFont="1" applyFill="1" applyBorder="1" applyAlignment="1">
      <alignment horizontal="center"/>
    </xf>
    <xf numFmtId="164" fontId="4" fillId="16" borderId="9" xfId="0" applyNumberFormat="1" applyFont="1" applyFill="1" applyBorder="1" applyAlignment="1">
      <alignment horizontal="center"/>
    </xf>
    <xf numFmtId="164" fontId="4" fillId="16" borderId="1" xfId="0" applyNumberFormat="1" applyFont="1" applyFill="1" applyBorder="1" applyAlignment="1">
      <alignment horizontal="center"/>
    </xf>
    <xf numFmtId="0" fontId="4" fillId="16" borderId="16" xfId="0" applyFont="1" applyFill="1" applyBorder="1" applyAlignment="1">
      <alignment horizontal="left" vertical="center" wrapText="1"/>
    </xf>
    <xf numFmtId="0" fontId="4" fillId="16" borderId="21" xfId="0" applyFont="1" applyFill="1" applyBorder="1" applyAlignment="1">
      <alignment horizontal="left" vertical="center" wrapText="1"/>
    </xf>
    <xf numFmtId="0" fontId="35" fillId="0" borderId="16" xfId="1" applyFont="1" applyBorder="1" applyAlignment="1" applyProtection="1">
      <alignment horizontal="left" vertical="center" wrapText="1"/>
    </xf>
    <xf numFmtId="0" fontId="35" fillId="0" borderId="19" xfId="1" applyFont="1" applyBorder="1" applyAlignment="1" applyProtection="1">
      <alignment horizontal="left" vertical="center" wrapText="1"/>
    </xf>
    <xf numFmtId="0" fontId="35" fillId="0" borderId="35" xfId="1" applyFont="1" applyBorder="1" applyAlignment="1" applyProtection="1">
      <alignment horizontal="left" vertical="center" wrapText="1"/>
    </xf>
    <xf numFmtId="16" fontId="14" fillId="7" borderId="15" xfId="0" applyNumberFormat="1" applyFont="1" applyFill="1" applyBorder="1" applyAlignment="1">
      <alignment horizontal="center" vertical="center" wrapText="1"/>
    </xf>
    <xf numFmtId="16" fontId="14" fillId="7" borderId="41" xfId="0" applyNumberFormat="1" applyFont="1" applyFill="1" applyBorder="1" applyAlignment="1">
      <alignment horizontal="center" vertical="center" wrapText="1"/>
    </xf>
  </cellXfs>
  <cellStyles count="3">
    <cellStyle name="Hyperlink" xfId="1" builtinId="8"/>
    <cellStyle name="Normal" xfId="0" builtinId="0"/>
    <cellStyle name="Style 1" xfId="2"/>
  </cellStyles>
  <dxfs count="49">
    <dxf>
      <font>
        <b/>
        <i val="0"/>
      </font>
    </dxf>
    <dxf>
      <font>
        <b val="0"/>
        <i/>
      </font>
    </dxf>
    <dxf>
      <font>
        <b/>
        <i val="0"/>
      </font>
    </dxf>
    <dxf>
      <font>
        <b val="0"/>
        <i/>
      </font>
      <fill>
        <patternFill>
          <bgColor theme="1" tint="0.499984740745262"/>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ont>
        <b val="0"/>
        <i val="0"/>
      </font>
      <fill>
        <patternFill>
          <bgColor theme="0"/>
        </patternFill>
      </fill>
    </dxf>
    <dxf>
      <fill>
        <patternFill>
          <bgColor rgb="FFFFFF00"/>
        </patternFill>
      </fill>
    </dxf>
    <dxf>
      <fill>
        <patternFill>
          <bgColor rgb="FFFFFF00"/>
        </patternFill>
      </fill>
    </dxf>
    <dxf>
      <font>
        <b val="0"/>
        <i val="0"/>
      </font>
      <fill>
        <patternFill>
          <bgColor theme="0"/>
        </patternFill>
      </fill>
    </dxf>
    <dxf>
      <font>
        <b val="0"/>
        <i val="0"/>
      </font>
      <fill>
        <patternFill>
          <bgColor theme="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color rgb="FFFF0000"/>
      </font>
    </dxf>
    <dxf>
      <font>
        <b/>
        <i val="0"/>
        <color rgb="FFFF0000"/>
      </font>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s>
  <tableStyles count="0" defaultTableStyle="TableStyleMedium9" defaultPivotStyle="PivotStyleLight16"/>
  <colors>
    <mruColors>
      <color rgb="FFA3E7FF"/>
      <color rgb="FF69A12B"/>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fmlaLink="$M$13" lockText="1" noThreeD="1"/>
</file>

<file path=xl/ctrlProps/ctrlProp2.xml><?xml version="1.0" encoding="utf-8"?>
<formControlPr xmlns="http://schemas.microsoft.com/office/spreadsheetml/2009/9/main" objectType="CheckBox" fmlaLink="$M$27" lockText="1" noThreeD="1"/>
</file>

<file path=xl/ctrlProps/ctrlProp3.xml><?xml version="1.0" encoding="utf-8"?>
<formControlPr xmlns="http://schemas.microsoft.com/office/spreadsheetml/2009/9/main" objectType="CheckBox" fmlaLink="$M$29" lockText="1" noThreeD="1"/>
</file>

<file path=xl/ctrlProps/ctrlProp4.xml><?xml version="1.0" encoding="utf-8"?>
<formControlPr xmlns="http://schemas.microsoft.com/office/spreadsheetml/2009/9/main" objectType="CheckBox" fmlaLink="$M$35" lockText="1" noThreeD="1"/>
</file>

<file path=xl/ctrlProps/ctrlProp5.xml><?xml version="1.0" encoding="utf-8"?>
<formControlPr xmlns="http://schemas.microsoft.com/office/spreadsheetml/2009/9/main" objectType="CheckBox" fmlaLink="$M$19" lockText="1" noThreeD="1"/>
</file>

<file path=xl/ctrlProps/ctrlProp6.xml><?xml version="1.0" encoding="utf-8"?>
<formControlPr xmlns="http://schemas.microsoft.com/office/spreadsheetml/2009/9/main" objectType="CheckBox" fmlaLink="$M$20" lockText="1" noThreeD="1"/>
</file>

<file path=xl/ctrlProps/ctrlProp7.xml><?xml version="1.0" encoding="utf-8"?>
<formControlPr xmlns="http://schemas.microsoft.com/office/spreadsheetml/2009/9/main" objectType="CheckBox" fmlaLink="$M$21" lockText="1" noThreeD="1"/>
</file>

<file path=xl/ctrlProps/ctrlProp8.xml><?xml version="1.0" encoding="utf-8"?>
<formControlPr xmlns="http://schemas.microsoft.com/office/spreadsheetml/2009/9/main" objectType="CheckBox" fmlaLink="$M$22" lockText="1" noThreeD="1"/>
</file>

<file path=xl/ctrlProps/ctrlProp9.xml><?xml version="1.0" encoding="utf-8"?>
<formControlPr xmlns="http://schemas.microsoft.com/office/spreadsheetml/2009/9/main" objectType="CheckBox" fmlaLink="$M$25" lockText="1" noThreeD="1"/>
</file>

<file path=xl/ctrlProps/ctrlProp10.xml><?xml version="1.0" encoding="utf-8"?>
<formControlPr xmlns="http://schemas.microsoft.com/office/spreadsheetml/2009/9/main" objectType="CheckBox" fmlaLink="$M$14" lockText="1" noThreeD="1"/>
</file>

<file path=xl/ctrlProps/ctrlProp11.xml><?xml version="1.0" encoding="utf-8"?>
<formControlPr xmlns="http://schemas.microsoft.com/office/spreadsheetml/2009/9/main" objectType="CheckBox" fmlaLink="$M$16" lockText="1" noThreeD="1"/>
</file>

<file path=xl/ctrlProps/ctrlProp12.xml><?xml version="1.0" encoding="utf-8"?>
<formControlPr xmlns="http://schemas.microsoft.com/office/spreadsheetml/2009/9/main" objectType="CheckBox" fmlaLink="$M$31" lockText="1" noThreeD="1"/>
</file>

<file path=xl/ctrlProps/ctrlProp13.xml><?xml version="1.0" encoding="utf-8"?>
<formControlPr xmlns="http://schemas.microsoft.com/office/spreadsheetml/2009/9/main" objectType="CheckBox" fmlaLink="$M$33" lockText="1" noThreeD="1"/>
</file>

<file path=xl/ctrlProps/ctrlProp14.xml><?xml version="1.0" encoding="utf-8"?>
<formControlPr xmlns="http://schemas.microsoft.com/office/spreadsheetml/2009/9/main" objectType="CheckBox" fmlaLink="$M$23" lockText="1" noThreeD="1"/>
</file>

<file path=xl/ctrlProps/ctrlProp15.xml><?xml version="1.0" encoding="utf-8"?>
<formControlPr xmlns="http://schemas.microsoft.com/office/spreadsheetml/2009/9/main" objectType="CheckBox" fmlaLink="$M$15"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238125</xdr:colOff>
      <xdr:row>1</xdr:row>
      <xdr:rowOff>107159</xdr:rowOff>
    </xdr:from>
    <xdr:to>
      <xdr:col>5</xdr:col>
      <xdr:colOff>1613297</xdr:colOff>
      <xdr:row>3</xdr:row>
      <xdr:rowOff>71440</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8156" y="297659"/>
          <a:ext cx="7268766" cy="2202656"/>
        </a:xfrm>
        <a:prstGeom prst="rect">
          <a:avLst/>
        </a:prstGeom>
      </xdr:spPr>
    </xdr:pic>
    <xdr:clientData/>
  </xdr:twoCellAnchor>
  <xdr:twoCellAnchor>
    <xdr:from>
      <xdr:col>5</xdr:col>
      <xdr:colOff>102394</xdr:colOff>
      <xdr:row>4</xdr:row>
      <xdr:rowOff>119064</xdr:rowOff>
    </xdr:from>
    <xdr:to>
      <xdr:col>5</xdr:col>
      <xdr:colOff>752499</xdr:colOff>
      <xdr:row>5</xdr:row>
      <xdr:rowOff>226221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07832" y="2738439"/>
          <a:ext cx="650105" cy="452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226219</xdr:colOff>
      <xdr:row>0</xdr:row>
      <xdr:rowOff>192881</xdr:rowOff>
    </xdr:from>
    <xdr:to>
      <xdr:col>6</xdr:col>
      <xdr:colOff>3417093</xdr:colOff>
      <xdr:row>6</xdr:row>
      <xdr:rowOff>95250</xdr:rowOff>
    </xdr:to>
    <xdr:sp macro="" textlink="">
      <xdr:nvSpPr>
        <xdr:cNvPr id="3" name="TextBox 2"/>
        <xdr:cNvSpPr txBox="1"/>
      </xdr:nvSpPr>
      <xdr:spPr>
        <a:xfrm>
          <a:off x="226219" y="192881"/>
          <a:ext cx="7244291" cy="62203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2000">
              <a:solidFill>
                <a:schemeClr val="bg2"/>
              </a:solidFill>
              <a:latin typeface="Segoe UI Semibold"/>
              <a:ea typeface="Segoe UI"/>
              <a:cs typeface="Segoe UI"/>
            </a:rPr>
            <a:t>Planeringsarbetsblad för uppgradering till Office 365 </a:t>
          </a:r>
        </a:p>
      </xdr:txBody>
    </xdr:sp>
    <xdr:clientData/>
  </xdr:twoCellAnchor>
  <xdr:twoCellAnchor>
    <xdr:from>
      <xdr:col>6</xdr:col>
      <xdr:colOff>3559968</xdr:colOff>
      <xdr:row>0</xdr:row>
      <xdr:rowOff>190500</xdr:rowOff>
    </xdr:from>
    <xdr:to>
      <xdr:col>7</xdr:col>
      <xdr:colOff>1688306</xdr:colOff>
      <xdr:row>6</xdr:row>
      <xdr:rowOff>92869</xdr:rowOff>
    </xdr:to>
    <xdr:sp macro="" textlink="">
      <xdr:nvSpPr>
        <xdr:cNvPr id="20" name="TextBox 19"/>
        <xdr:cNvSpPr txBox="1"/>
      </xdr:nvSpPr>
      <xdr:spPr>
        <a:xfrm>
          <a:off x="7631906" y="190500"/>
          <a:ext cx="2271713" cy="628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endParaRPr lang="en-US" sz="2000"/>
        </a:p>
      </xdr:txBody>
    </xdr:sp>
    <xdr:clientData/>
  </xdr:twoCellAnchor>
  <xdr:twoCellAnchor>
    <xdr:from>
      <xdr:col>6</xdr:col>
      <xdr:colOff>3631406</xdr:colOff>
      <xdr:row>1</xdr:row>
      <xdr:rowOff>95250</xdr:rowOff>
    </xdr:from>
    <xdr:to>
      <xdr:col>7</xdr:col>
      <xdr:colOff>138136</xdr:colOff>
      <xdr:row>6</xdr:row>
      <xdr:rowOff>35720</xdr:rowOff>
    </xdr:to>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3344" y="309563"/>
          <a:ext cx="650105" cy="45243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200025</xdr:colOff>
          <xdr:row>12</xdr:row>
          <xdr:rowOff>228600</xdr:rowOff>
        </xdr:from>
        <xdr:to>
          <xdr:col>7</xdr:col>
          <xdr:colOff>1971675</xdr:colOff>
          <xdr:row>12</xdr:row>
          <xdr:rowOff>447675</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AD FS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47625</xdr:rowOff>
        </xdr:from>
        <xdr:to>
          <xdr:col>7</xdr:col>
          <xdr:colOff>1971675</xdr:colOff>
          <xdr:row>26</xdr:row>
          <xdr:rowOff>266700</xdr:rowOff>
        </xdr:to>
        <xdr:sp macro="" textlink="">
          <xdr:nvSpPr>
            <xdr:cNvPr id="2057" name="Check Box 9" hidden="1">
              <a:extLst>
                <a:ext uri="{63B3BB69-23CF-44E3-9099-C40C66FF867C}">
                  <a14:compatExt spid="_x0000_s205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PowerShell-admin</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123825</xdr:rowOff>
        </xdr:from>
        <xdr:to>
          <xdr:col>7</xdr:col>
          <xdr:colOff>1971675</xdr:colOff>
          <xdr:row>28</xdr:row>
          <xdr:rowOff>342900</xdr:rowOff>
        </xdr:to>
        <xdr:sp macro="" textlink="">
          <xdr:nvSpPr>
            <xdr:cNvPr id="2058" name="Check Box 10" hidden="1">
              <a:extLst>
                <a:ext uri="{63B3BB69-23CF-44E3-9099-C40C66FF867C}">
                  <a14:compatExt spid="_x0000_s205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Anpassade Exchange-inställningar</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57150</xdr:rowOff>
        </xdr:from>
        <xdr:to>
          <xdr:col>7</xdr:col>
          <xdr:colOff>1971675</xdr:colOff>
          <xdr:row>34</xdr:row>
          <xdr:rowOff>276225</xdr:rowOff>
        </xdr:to>
        <xdr:sp macro="" textlink="">
          <xdr:nvSpPr>
            <xdr:cNvPr id="2059" name="Check Box 11" hidden="1">
              <a:extLst>
                <a:ext uri="{63B3BB69-23CF-44E3-9099-C40C66FF867C}">
                  <a14:compatExt spid="_x0000_s205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Klassrumsflöde</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38100</xdr:rowOff>
        </xdr:from>
        <xdr:to>
          <xdr:col>7</xdr:col>
          <xdr:colOff>1971675</xdr:colOff>
          <xdr:row>18</xdr:row>
          <xdr:rowOff>257175</xdr:rowOff>
        </xdr:to>
        <xdr:sp macro="" textlink="">
          <xdr:nvSpPr>
            <xdr:cNvPr id="2061" name="Check Box 13" hidden="1">
              <a:extLst>
                <a:ext uri="{63B3BB69-23CF-44E3-9099-C40C66FF867C}">
                  <a14:compatExt spid="_x0000_s206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OLSync</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47625</xdr:rowOff>
        </xdr:from>
        <xdr:to>
          <xdr:col>7</xdr:col>
          <xdr:colOff>1971675</xdr:colOff>
          <xdr:row>19</xdr:row>
          <xdr:rowOff>266700</xdr:rowOff>
        </xdr:to>
        <xdr:sp macro="" textlink="">
          <xdr:nvSpPr>
            <xdr:cNvPr id="2062" name="Check Box 14" hidden="1">
              <a:extLst>
                <a:ext uri="{63B3BB69-23CF-44E3-9099-C40C66FF867C}">
                  <a14:compatExt spid="_x0000_s206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76200</xdr:rowOff>
        </xdr:from>
        <xdr:to>
          <xdr:col>7</xdr:col>
          <xdr:colOff>1971675</xdr:colOff>
          <xdr:row>20</xdr:row>
          <xdr:rowOff>295275</xdr:rowOff>
        </xdr:to>
        <xdr:sp macro="" textlink="">
          <xdr:nvSpPr>
            <xdr:cNvPr id="2063" name="Check Box 15" hidden="1">
              <a:extLst>
                <a:ext uri="{63B3BB69-23CF-44E3-9099-C40C66FF867C}">
                  <a14:compatExt spid="_x0000_s206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PowerShell</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66675</xdr:rowOff>
        </xdr:from>
        <xdr:to>
          <xdr:col>7</xdr:col>
          <xdr:colOff>1971675</xdr:colOff>
          <xdr:row>21</xdr:row>
          <xdr:rowOff>285750</xdr:rowOff>
        </xdr:to>
        <xdr:sp macro="" textlink="">
          <xdr:nvSpPr>
            <xdr:cNvPr id="2064" name="Check Box 16" hidden="1">
              <a:extLst>
                <a:ext uri="{63B3BB69-23CF-44E3-9099-C40C66FF867C}">
                  <a14:compatExt spid="_x0000_s206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MAV3</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47625</xdr:rowOff>
        </xdr:from>
        <xdr:to>
          <xdr:col>7</xdr:col>
          <xdr:colOff>1971675</xdr:colOff>
          <xdr:row>24</xdr:row>
          <xdr:rowOff>266700</xdr:rowOff>
        </xdr:to>
        <xdr:sp macro="" textlink="">
          <xdr:nvSpPr>
            <xdr:cNvPr id="2065" name="Check Box 17" hidden="1">
              <a:extLst>
                <a:ext uri="{63B3BB69-23CF-44E3-9099-C40C66FF867C}">
                  <a14:compatExt spid="_x0000_s206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WL SDK</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171450</xdr:rowOff>
        </xdr:from>
        <xdr:to>
          <xdr:col>7</xdr:col>
          <xdr:colOff>1971675</xdr:colOff>
          <xdr:row>13</xdr:row>
          <xdr:rowOff>390525</xdr:rowOff>
        </xdr:to>
        <xdr:sp macro="" textlink="">
          <xdr:nvSpPr>
            <xdr:cNvPr id="2066" name="Check Box 18" hidden="1">
              <a:extLst>
                <a:ext uri="{63B3BB69-23CF-44E3-9099-C40C66FF867C}">
                  <a14:compatExt spid="_x0000_s206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Shibboleth</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219075</xdr:rowOff>
        </xdr:from>
        <xdr:to>
          <xdr:col>7</xdr:col>
          <xdr:colOff>1971675</xdr:colOff>
          <xdr:row>15</xdr:row>
          <xdr:rowOff>438150</xdr:rowOff>
        </xdr:to>
        <xdr:sp macro="" textlink="">
          <xdr:nvSpPr>
            <xdr:cNvPr id="2067" name="Check Box 19" hidden="1">
              <a:extLst>
                <a:ext uri="{63B3BB69-23CF-44E3-9099-C40C66FF867C}">
                  <a14:compatExt spid="_x0000_s206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Lägg till Shibboleth</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47625</xdr:rowOff>
        </xdr:from>
        <xdr:to>
          <xdr:col>7</xdr:col>
          <xdr:colOff>1971675</xdr:colOff>
          <xdr:row>30</xdr:row>
          <xdr:rowOff>266700</xdr:rowOff>
        </xdr:to>
        <xdr:sp macro="" textlink="">
          <xdr:nvSpPr>
            <xdr:cNvPr id="2068" name="Check Box 20" hidden="1">
              <a:extLst>
                <a:ext uri="{63B3BB69-23CF-44E3-9099-C40C66FF867C}">
                  <a14:compatExt spid="_x0000_s206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Använder outlook.com</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57150</xdr:rowOff>
        </xdr:from>
        <xdr:to>
          <xdr:col>7</xdr:col>
          <xdr:colOff>1971675</xdr:colOff>
          <xdr:row>32</xdr:row>
          <xdr:rowOff>276225</xdr:rowOff>
        </xdr:to>
        <xdr:sp macro="" textlink="">
          <xdr:nvSpPr>
            <xdr:cNvPr id="2069" name="Check Box 21" hidden="1">
              <a:extLst>
                <a:ext uri="{63B3BB69-23CF-44E3-9099-C40C66FF867C}">
                  <a14:compatExt spid="_x0000_s206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PCNS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76200</xdr:rowOff>
        </xdr:from>
        <xdr:to>
          <xdr:col>7</xdr:col>
          <xdr:colOff>1971675</xdr:colOff>
          <xdr:row>22</xdr:row>
          <xdr:rowOff>295275</xdr:rowOff>
        </xdr:to>
        <xdr:sp macro="" textlink="">
          <xdr:nvSpPr>
            <xdr:cNvPr id="2075" name="Check Box 27" hidden="1">
              <a:extLst>
                <a:ext uri="{63B3BB69-23CF-44E3-9099-C40C66FF867C}">
                  <a14:compatExt spid="_x0000_s207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OLMA med/utan AD</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219075</xdr:rowOff>
        </xdr:from>
        <xdr:to>
          <xdr:col>7</xdr:col>
          <xdr:colOff>1971675</xdr:colOff>
          <xdr:row>14</xdr:row>
          <xdr:rowOff>438150</xdr:rowOff>
        </xdr:to>
        <xdr:sp macro="" textlink="">
          <xdr:nvSpPr>
            <xdr:cNvPr id="2076" name="Check Box 28" hidden="1">
              <a:extLst>
                <a:ext uri="{63B3BB69-23CF-44E3-9099-C40C66FF867C}">
                  <a14:compatExt spid="_x0000_s207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Lägg till federation</a:t>
              </a:r>
              <a:endParaRPr lang="en-US"/>
            </a:p>
          </xdr:txBody>
        </xdr:sp>
        <xdr:clientData/>
      </xdr:twoCellAnchor>
    </mc:Choice>
    <mc:Fallback/>
  </mc:AlternateContent>
</xdr:wsDr>
</file>

<file path=xl/theme/theme1.xml><?xml version="1.0" encoding="utf-8"?>
<a:theme xmlns:a="http://schemas.openxmlformats.org/drawingml/2006/main" name="Office Theme">
  <a:themeElements>
    <a:clrScheme name="Office365Edu">
      <a:dk1>
        <a:sysClr val="windowText" lastClr="000000"/>
      </a:dk1>
      <a:lt1>
        <a:sysClr val="window" lastClr="FFFFFF"/>
      </a:lt1>
      <a:dk2>
        <a:srgbClr val="595959"/>
      </a:dk2>
      <a:lt2>
        <a:srgbClr val="FFFFFF"/>
      </a:lt2>
      <a:accent1>
        <a:srgbClr val="EE7816"/>
      </a:accent1>
      <a:accent2>
        <a:srgbClr val="FEA500"/>
      </a:accent2>
      <a:accent3>
        <a:srgbClr val="FC4B00"/>
      </a:accent3>
      <a:accent4>
        <a:srgbClr val="595959"/>
      </a:accent4>
      <a:accent5>
        <a:srgbClr val="2473A8"/>
      </a:accent5>
      <a:accent6>
        <a:srgbClr val="6BBD46"/>
      </a:accent6>
      <a:hlink>
        <a:srgbClr val="FC4B00"/>
      </a:hlink>
      <a:folHlink>
        <a:srgbClr val="FC4B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go.microsoft.com/fwlink/p/?LinkId=253605" TargetMode="External"/><Relationship Id="rId18" Type="http://schemas.openxmlformats.org/officeDocument/2006/relationships/hyperlink" Target="http://g.microsoftonline.com/0rmcm00sv-se/5382" TargetMode="External"/><Relationship Id="rId26" Type="http://schemas.openxmlformats.org/officeDocument/2006/relationships/hyperlink" Target="http://g.microsoftonline.com/0rmcm00sv-se/5400" TargetMode="External"/><Relationship Id="rId39" Type="http://schemas.openxmlformats.org/officeDocument/2006/relationships/hyperlink" Target="http://g.microsoftonline.com/0rmcm00sv-se/5403" TargetMode="External"/><Relationship Id="rId21" Type="http://schemas.openxmlformats.org/officeDocument/2006/relationships/hyperlink" Target="http://g.microsoftonline.com/0rmcm00sv-se/5384" TargetMode="External"/><Relationship Id="rId34" Type="http://schemas.openxmlformats.org/officeDocument/2006/relationships/hyperlink" Target="http://g.microsoftonline.com/0rmcm00sv-se/5400" TargetMode="External"/><Relationship Id="rId42" Type="http://schemas.openxmlformats.org/officeDocument/2006/relationships/hyperlink" Target="http://g.microsoftonline.com/0rmcm00sv-se/5406" TargetMode="External"/><Relationship Id="rId47" Type="http://schemas.openxmlformats.org/officeDocument/2006/relationships/hyperlink" Target="http://g.microsoftonline.com/0rmcm00sv-se/5411" TargetMode="External"/><Relationship Id="rId50" Type="http://schemas.openxmlformats.org/officeDocument/2006/relationships/hyperlink" Target="http://g.microsoftonline.com/0rmcm00sv-se/5414" TargetMode="External"/><Relationship Id="rId55" Type="http://schemas.openxmlformats.org/officeDocument/2006/relationships/hyperlink" Target="http://g.microsoftonline.com/0rmcm00sv-se/5419" TargetMode="External"/><Relationship Id="rId63" Type="http://schemas.openxmlformats.org/officeDocument/2006/relationships/hyperlink" Target="http://g.microsoftonline.com/0rmcm00sv-se/5427" TargetMode="External"/><Relationship Id="rId68" Type="http://schemas.openxmlformats.org/officeDocument/2006/relationships/hyperlink" Target="http://g.microsoftonline.com/0rmcm00sv-se/5431" TargetMode="External"/><Relationship Id="rId76" Type="http://schemas.openxmlformats.org/officeDocument/2006/relationships/printerSettings" Target="../printerSettings/printerSettings2.bin"/><Relationship Id="rId84" Type="http://schemas.openxmlformats.org/officeDocument/2006/relationships/ctrlProp" Target="../ctrlProps/ctrlProp6.xml"/><Relationship Id="rId89" Type="http://schemas.openxmlformats.org/officeDocument/2006/relationships/ctrlProp" Target="../ctrlProps/ctrlProp11.xml"/><Relationship Id="rId7" Type="http://schemas.openxmlformats.org/officeDocument/2006/relationships/hyperlink" Target="http://go.microsoft.com/fwlink/p/?LinkId=253149" TargetMode="External"/><Relationship Id="rId71" Type="http://schemas.openxmlformats.org/officeDocument/2006/relationships/hyperlink" Target="http://g.microsoftonline.com/0rmcm00sv-se/5379" TargetMode="External"/><Relationship Id="rId92" Type="http://schemas.openxmlformats.org/officeDocument/2006/relationships/ctrlProp" Target="../ctrlProps/ctrlProp14.xml"/><Relationship Id="rId2" Type="http://schemas.openxmlformats.org/officeDocument/2006/relationships/hyperlink" Target="http://go.microsoft.com/fwlink/p/?LinkId=253601" TargetMode="External"/><Relationship Id="rId16" Type="http://schemas.openxmlformats.org/officeDocument/2006/relationships/hyperlink" Target="http://go.microsoft.com/fwlink/p/?LinkId=251279" TargetMode="External"/><Relationship Id="rId29" Type="http://schemas.openxmlformats.org/officeDocument/2006/relationships/hyperlink" Target="http://g.microsoftonline.com/0rmcm00sv-se/5387" TargetMode="External"/><Relationship Id="rId11" Type="http://schemas.openxmlformats.org/officeDocument/2006/relationships/hyperlink" Target="http://go.microsoft.com/fwlink/p/?LinkId=253601" TargetMode="External"/><Relationship Id="rId24" Type="http://schemas.openxmlformats.org/officeDocument/2006/relationships/hyperlink" Target="http://g.microsoftonline.com/0rmcm00sv-se/5387" TargetMode="External"/><Relationship Id="rId32" Type="http://schemas.openxmlformats.org/officeDocument/2006/relationships/hyperlink" Target="http://g.microsoftonline.com/0rmcm00sv-se/5394" TargetMode="External"/><Relationship Id="rId37" Type="http://schemas.openxmlformats.org/officeDocument/2006/relationships/hyperlink" Target="http://g.microsoftonline.com/0rmcm00sv-se/5399" TargetMode="External"/><Relationship Id="rId40" Type="http://schemas.openxmlformats.org/officeDocument/2006/relationships/hyperlink" Target="http://g.microsoftonline.com/0rmcm00sv-se/5404" TargetMode="External"/><Relationship Id="rId45" Type="http://schemas.openxmlformats.org/officeDocument/2006/relationships/hyperlink" Target="http://g.microsoftonline.com/0rmcm00sv-se/5409" TargetMode="External"/><Relationship Id="rId53" Type="http://schemas.openxmlformats.org/officeDocument/2006/relationships/hyperlink" Target="http://g.microsoftonline.com/0rmcm00sv-se/5417" TargetMode="External"/><Relationship Id="rId58" Type="http://schemas.openxmlformats.org/officeDocument/2006/relationships/hyperlink" Target="http://g.microsoftonline.com/0rmcm00sv-se/5422" TargetMode="External"/><Relationship Id="rId66" Type="http://schemas.openxmlformats.org/officeDocument/2006/relationships/hyperlink" Target="http://g.microsoftonline.com/0rmcm00sv-se/5429" TargetMode="External"/><Relationship Id="rId74" Type="http://schemas.openxmlformats.org/officeDocument/2006/relationships/hyperlink" Target="http://g.microsoftonline.com/0rmcm00sv-se/5372" TargetMode="External"/><Relationship Id="rId79" Type="http://schemas.openxmlformats.org/officeDocument/2006/relationships/ctrlProp" Target="../ctrlProps/ctrlProp1.xml"/><Relationship Id="rId87" Type="http://schemas.openxmlformats.org/officeDocument/2006/relationships/ctrlProp" Target="../ctrlProps/ctrlProp9.xml"/><Relationship Id="rId5" Type="http://schemas.openxmlformats.org/officeDocument/2006/relationships/hyperlink" Target="http://go.microsoft.com/fwlink/p/?LinkId=253601" TargetMode="External"/><Relationship Id="rId61" Type="http://schemas.openxmlformats.org/officeDocument/2006/relationships/hyperlink" Target="http://g.microsoftonline.com/0rmcm00sv-se/5425" TargetMode="External"/><Relationship Id="rId82" Type="http://schemas.openxmlformats.org/officeDocument/2006/relationships/ctrlProp" Target="../ctrlProps/ctrlProp4.xml"/><Relationship Id="rId90" Type="http://schemas.openxmlformats.org/officeDocument/2006/relationships/ctrlProp" Target="../ctrlProps/ctrlProp12.xml"/><Relationship Id="rId19" Type="http://schemas.openxmlformats.org/officeDocument/2006/relationships/hyperlink" Target="http://g.microsoftonline.com/0rmcm00sv-se/5383" TargetMode="External"/><Relationship Id="rId14" Type="http://schemas.openxmlformats.org/officeDocument/2006/relationships/hyperlink" Target="http://go.microsoft.com/fwlink/p/?LinkId=253606" TargetMode="External"/><Relationship Id="rId22" Type="http://schemas.openxmlformats.org/officeDocument/2006/relationships/hyperlink" Target="http://g.microsoftonline.com/0rmcm00sv-se/5385" TargetMode="External"/><Relationship Id="rId27" Type="http://schemas.openxmlformats.org/officeDocument/2006/relationships/hyperlink" Target="http://g.microsoftonline.com/0rmcm00sv-se/5400" TargetMode="External"/><Relationship Id="rId30" Type="http://schemas.openxmlformats.org/officeDocument/2006/relationships/hyperlink" Target="http://g.microsoftonline.com/0rmcm00sv-se/5392" TargetMode="External"/><Relationship Id="rId35" Type="http://schemas.openxmlformats.org/officeDocument/2006/relationships/hyperlink" Target="http://g.microsoftonline.com/0rmcm00sv-se/5397" TargetMode="External"/><Relationship Id="rId43" Type="http://schemas.openxmlformats.org/officeDocument/2006/relationships/hyperlink" Target="http://g.microsoftonline.com/0rmcm00sv-se/5407" TargetMode="External"/><Relationship Id="rId48" Type="http://schemas.openxmlformats.org/officeDocument/2006/relationships/hyperlink" Target="http://g.microsoftonline.com/0rmcm00sv-se/5412" TargetMode="External"/><Relationship Id="rId56" Type="http://schemas.openxmlformats.org/officeDocument/2006/relationships/hyperlink" Target="http://g.microsoftonline.com/0rmcm00sv-se/5420" TargetMode="External"/><Relationship Id="rId64" Type="http://schemas.openxmlformats.org/officeDocument/2006/relationships/hyperlink" Target="http://g.microsoftonline.com/0rmcm00sv-se/5400" TargetMode="External"/><Relationship Id="rId69" Type="http://schemas.openxmlformats.org/officeDocument/2006/relationships/hyperlink" Target="http://g.microsoftonline.com/0rmcm00sv-se/5432" TargetMode="External"/><Relationship Id="rId77" Type="http://schemas.openxmlformats.org/officeDocument/2006/relationships/drawing" Target="../drawings/drawing2.xml"/><Relationship Id="rId8" Type="http://schemas.openxmlformats.org/officeDocument/2006/relationships/hyperlink" Target="http://go.microsoft.com/fwlink/p/?LinkId=253601" TargetMode="External"/><Relationship Id="rId51" Type="http://schemas.openxmlformats.org/officeDocument/2006/relationships/hyperlink" Target="http://g.microsoftonline.com/0rmcm00sv-se/5415" TargetMode="External"/><Relationship Id="rId72" Type="http://schemas.openxmlformats.org/officeDocument/2006/relationships/hyperlink" Target="http://g.microsoftonline.com/0rmcm00sv-se/5378" TargetMode="External"/><Relationship Id="rId80" Type="http://schemas.openxmlformats.org/officeDocument/2006/relationships/ctrlProp" Target="../ctrlProps/ctrlProp2.xml"/><Relationship Id="rId85" Type="http://schemas.openxmlformats.org/officeDocument/2006/relationships/ctrlProp" Target="../ctrlProps/ctrlProp7.xml"/><Relationship Id="rId93" Type="http://schemas.openxmlformats.org/officeDocument/2006/relationships/ctrlProp" Target="../ctrlProps/ctrlProp15.xml"/><Relationship Id="rId3" Type="http://schemas.openxmlformats.org/officeDocument/2006/relationships/hyperlink" Target="http://go.microsoft.com/fwlink/p/?LinkId=253147" TargetMode="External"/><Relationship Id="rId12" Type="http://schemas.openxmlformats.org/officeDocument/2006/relationships/hyperlink" Target="http://go.microsoft.com/fwlink/p/?LinkId=253597" TargetMode="External"/><Relationship Id="rId17" Type="http://schemas.openxmlformats.org/officeDocument/2006/relationships/hyperlink" Target="http://g.microsoftonline.com/0rmcm00sv-se/5381" TargetMode="External"/><Relationship Id="rId25" Type="http://schemas.openxmlformats.org/officeDocument/2006/relationships/hyperlink" Target="http://g.microsoftonline.com/0rmcm00sv-se/5388" TargetMode="External"/><Relationship Id="rId33" Type="http://schemas.openxmlformats.org/officeDocument/2006/relationships/hyperlink" Target="http://g.microsoftonline.com/0rmcm00sv-se/5396" TargetMode="External"/><Relationship Id="rId38" Type="http://schemas.openxmlformats.org/officeDocument/2006/relationships/hyperlink" Target="http://g.microsoftonline.com/0rmcm00sv-se/5401" TargetMode="External"/><Relationship Id="rId46" Type="http://schemas.openxmlformats.org/officeDocument/2006/relationships/hyperlink" Target="http://g.microsoftonline.com/0rmcm00sv-se/5410" TargetMode="External"/><Relationship Id="rId59" Type="http://schemas.openxmlformats.org/officeDocument/2006/relationships/hyperlink" Target="http://g.microsoftonline.com/0rmcm00sv-se/5423" TargetMode="External"/><Relationship Id="rId67" Type="http://schemas.openxmlformats.org/officeDocument/2006/relationships/hyperlink" Target="http://g.microsoftonline.com/0rmcm00sv-se/5430" TargetMode="External"/><Relationship Id="rId20" Type="http://schemas.openxmlformats.org/officeDocument/2006/relationships/hyperlink" Target="http://g.microsoftonline.com/0rmcm00sv-se/5400" TargetMode="External"/><Relationship Id="rId41" Type="http://schemas.openxmlformats.org/officeDocument/2006/relationships/hyperlink" Target="http://g.microsoftonline.com/0rmcm00sv-se/5405" TargetMode="External"/><Relationship Id="rId54" Type="http://schemas.openxmlformats.org/officeDocument/2006/relationships/hyperlink" Target="http://g.microsoftonline.com/0rmcm00sv-se/5418" TargetMode="External"/><Relationship Id="rId62" Type="http://schemas.openxmlformats.org/officeDocument/2006/relationships/hyperlink" Target="http://g.microsoftonline.com/0rmcm00sv-se/5426" TargetMode="External"/><Relationship Id="rId70" Type="http://schemas.openxmlformats.org/officeDocument/2006/relationships/hyperlink" Target="http://g.microsoftonline.com/0rmcm00sv-se/5380" TargetMode="External"/><Relationship Id="rId75" Type="http://schemas.openxmlformats.org/officeDocument/2006/relationships/hyperlink" Target="http://g.microsoftonline.com/0rmcm00sv-se/5390" TargetMode="External"/><Relationship Id="rId83" Type="http://schemas.openxmlformats.org/officeDocument/2006/relationships/ctrlProp" Target="../ctrlProps/ctrlProp5.xml"/><Relationship Id="rId88" Type="http://schemas.openxmlformats.org/officeDocument/2006/relationships/ctrlProp" Target="../ctrlProps/ctrlProp10.xml"/><Relationship Id="rId91" Type="http://schemas.openxmlformats.org/officeDocument/2006/relationships/ctrlProp" Target="../ctrlProps/ctrlProp13.xml"/><Relationship Id="rId1" Type="http://schemas.openxmlformats.org/officeDocument/2006/relationships/hyperlink" Target="http://go.microsoft.com/fwlink/p/?LinkId=253149" TargetMode="External"/><Relationship Id="rId6" Type="http://schemas.openxmlformats.org/officeDocument/2006/relationships/hyperlink" Target="http://go.microsoft.com/fwlink/p/?LinkId=253147" TargetMode="External"/><Relationship Id="rId15" Type="http://schemas.openxmlformats.org/officeDocument/2006/relationships/hyperlink" Target="http://go.microsoft.com/fwlink/p/?LinkId=260428" TargetMode="External"/><Relationship Id="rId23" Type="http://schemas.openxmlformats.org/officeDocument/2006/relationships/hyperlink" Target="http://g.microsoftonline.com/0rmcm00sv-se/5386" TargetMode="External"/><Relationship Id="rId28" Type="http://schemas.openxmlformats.org/officeDocument/2006/relationships/hyperlink" Target="http://g.microsoftonline.com/0rmcm00sv-se/5391" TargetMode="External"/><Relationship Id="rId36" Type="http://schemas.openxmlformats.org/officeDocument/2006/relationships/hyperlink" Target="http://g.microsoftonline.com/0rmcm00sv-se/5398" TargetMode="External"/><Relationship Id="rId49" Type="http://schemas.openxmlformats.org/officeDocument/2006/relationships/hyperlink" Target="http://g.microsoftonline.com/0rmcm00sv-se/5413" TargetMode="External"/><Relationship Id="rId57" Type="http://schemas.openxmlformats.org/officeDocument/2006/relationships/hyperlink" Target="http://g.microsoftonline.com/0rmcm00sv-se/5421" TargetMode="External"/><Relationship Id="rId10" Type="http://schemas.openxmlformats.org/officeDocument/2006/relationships/hyperlink" Target="http://go.microsoft.com/fwlink/p/?LinkId=253149" TargetMode="External"/><Relationship Id="rId31" Type="http://schemas.openxmlformats.org/officeDocument/2006/relationships/hyperlink" Target="http://g.microsoftonline.com/0rmcm00sv-se/5393" TargetMode="External"/><Relationship Id="rId44" Type="http://schemas.openxmlformats.org/officeDocument/2006/relationships/hyperlink" Target="http://g.microsoftonline.com/0rmcm00sv-se/5408" TargetMode="External"/><Relationship Id="rId52" Type="http://schemas.openxmlformats.org/officeDocument/2006/relationships/hyperlink" Target="http://g.microsoftonline.com/0rmcm00sv-se/5416" TargetMode="External"/><Relationship Id="rId60" Type="http://schemas.openxmlformats.org/officeDocument/2006/relationships/hyperlink" Target="http://g.microsoftonline.com/0rmcm00sv-se/5424" TargetMode="External"/><Relationship Id="rId65" Type="http://schemas.openxmlformats.org/officeDocument/2006/relationships/hyperlink" Target="http://g.microsoftonline.com/0rmcm00sv-se/5428" TargetMode="External"/><Relationship Id="rId73" Type="http://schemas.openxmlformats.org/officeDocument/2006/relationships/hyperlink" Target="http://g.microsoftonline.com/0rmcm00sv-se/5377" TargetMode="External"/><Relationship Id="rId78" Type="http://schemas.openxmlformats.org/officeDocument/2006/relationships/vmlDrawing" Target="../drawings/vmlDrawing1.vml"/><Relationship Id="rId81" Type="http://schemas.openxmlformats.org/officeDocument/2006/relationships/ctrlProp" Target="../ctrlProps/ctrlProp3.xml"/><Relationship Id="rId86" Type="http://schemas.openxmlformats.org/officeDocument/2006/relationships/ctrlProp" Target="../ctrlProps/ctrlProp8.xml"/><Relationship Id="rId4" Type="http://schemas.openxmlformats.org/officeDocument/2006/relationships/hyperlink" Target="http://go.microsoft.com/fwlink/p/?LinkId=253149" TargetMode="External"/><Relationship Id="rId9" Type="http://schemas.openxmlformats.org/officeDocument/2006/relationships/hyperlink" Target="http://go.microsoft.com/fwlink/p/?LinkId=253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54"/>
  <sheetViews>
    <sheetView tabSelected="1" zoomScale="90" zoomScaleNormal="90" zoomScaleSheetLayoutView="117" workbookViewId="0">
      <selection activeCell="F5" sqref="F5:F6"/>
    </sheetView>
  </sheetViews>
  <sheetFormatPr defaultRowHeight="15"/>
  <cols>
    <col min="1" max="2" width="3.7109375" customWidth="1"/>
    <col min="3" max="3" width="35.42578125" customWidth="1"/>
    <col min="4" max="4" width="46.28515625" customWidth="1"/>
    <col min="5" max="5" width="3" customWidth="1"/>
    <col min="6" max="6" width="24.28515625" customWidth="1"/>
    <col min="7" max="8" width="3.7109375" customWidth="1"/>
  </cols>
  <sheetData>
    <row r="1" spans="1:101">
      <c r="A1" s="19"/>
      <c r="B1" s="19"/>
      <c r="C1" s="19"/>
      <c r="D1" s="19"/>
      <c r="E1" s="19"/>
      <c r="F1" s="19"/>
      <c r="G1" s="19"/>
      <c r="H1" s="19"/>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row>
    <row r="2" spans="1:101">
      <c r="A2" s="19"/>
      <c r="B2" s="7"/>
      <c r="C2" s="7"/>
      <c r="D2" s="7"/>
      <c r="E2" s="7"/>
      <c r="F2" s="7"/>
      <c r="G2" s="7"/>
      <c r="H2" s="1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row>
    <row r="3" spans="1:101" ht="161.25" customHeight="1">
      <c r="A3" s="19"/>
      <c r="B3" s="7"/>
      <c r="C3" s="112"/>
      <c r="D3" s="112"/>
      <c r="E3" s="112"/>
      <c r="F3" s="7"/>
      <c r="G3" s="7"/>
      <c r="H3" s="19"/>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row>
    <row r="4" spans="1:101">
      <c r="A4" s="19"/>
      <c r="B4" s="7"/>
      <c r="C4" s="7"/>
      <c r="D4" s="7"/>
      <c r="E4" s="7"/>
      <c r="F4" s="7"/>
      <c r="G4" s="7"/>
      <c r="H4" s="19"/>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row>
    <row r="5" spans="1:101" ht="27" customHeight="1">
      <c r="A5" s="19"/>
      <c r="B5" s="7"/>
      <c r="C5" s="111" t="s">
        <v>0</v>
      </c>
      <c r="D5" s="111"/>
      <c r="E5" s="120"/>
      <c r="F5" s="121"/>
      <c r="G5" s="7"/>
      <c r="H5" s="19"/>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row>
    <row r="6" spans="1:101" ht="27.75" customHeight="1">
      <c r="A6" s="19"/>
      <c r="B6" s="7"/>
      <c r="C6" s="119" t="s">
        <v>1</v>
      </c>
      <c r="D6" s="119"/>
      <c r="E6" s="120"/>
      <c r="F6" s="121"/>
      <c r="G6" s="7"/>
      <c r="H6" s="19"/>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row>
    <row r="7" spans="1:101" ht="11.25" customHeight="1" thickBot="1">
      <c r="A7" s="19"/>
      <c r="B7" s="7"/>
      <c r="C7" s="7"/>
      <c r="D7" s="7"/>
      <c r="E7" s="7"/>
      <c r="F7" s="7"/>
      <c r="G7" s="7"/>
      <c r="H7" s="19"/>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row>
    <row r="8" spans="1:101" ht="20.25">
      <c r="A8" s="19"/>
      <c r="B8" s="7"/>
      <c r="C8" s="108" t="s">
        <v>2</v>
      </c>
      <c r="D8" s="109"/>
      <c r="E8" s="109"/>
      <c r="F8" s="110"/>
      <c r="G8" s="7"/>
      <c r="H8" s="19"/>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row>
    <row r="9" spans="1:101" ht="15" customHeight="1">
      <c r="A9" s="19"/>
      <c r="B9" s="7"/>
      <c r="C9" s="113" t="s">
        <v>205</v>
      </c>
      <c r="D9" s="114"/>
      <c r="E9" s="114"/>
      <c r="F9" s="115"/>
      <c r="G9" s="7"/>
      <c r="H9" s="19"/>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row>
    <row r="10" spans="1:101" ht="15" customHeight="1">
      <c r="A10" s="19"/>
      <c r="B10" s="7"/>
      <c r="C10" s="113"/>
      <c r="D10" s="114"/>
      <c r="E10" s="114"/>
      <c r="F10" s="115"/>
      <c r="G10" s="7"/>
      <c r="H10" s="19"/>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row>
    <row r="11" spans="1:101" ht="15" customHeight="1">
      <c r="A11" s="19"/>
      <c r="B11" s="7"/>
      <c r="C11" s="113"/>
      <c r="D11" s="114"/>
      <c r="E11" s="114"/>
      <c r="F11" s="115"/>
      <c r="G11" s="7"/>
      <c r="H11" s="19"/>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row>
    <row r="12" spans="1:101" ht="15" customHeight="1">
      <c r="A12" s="19"/>
      <c r="B12" s="7"/>
      <c r="C12" s="113"/>
      <c r="D12" s="114"/>
      <c r="E12" s="114"/>
      <c r="F12" s="115"/>
      <c r="G12" s="7"/>
      <c r="H12" s="19"/>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row>
    <row r="13" spans="1:101" ht="15" customHeight="1">
      <c r="A13" s="19"/>
      <c r="B13" s="7"/>
      <c r="C13" s="113"/>
      <c r="D13" s="114"/>
      <c r="E13" s="114"/>
      <c r="F13" s="115"/>
      <c r="G13" s="7"/>
      <c r="H13" s="19"/>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row>
    <row r="14" spans="1:101" ht="15" customHeight="1">
      <c r="A14" s="19"/>
      <c r="B14" s="7"/>
      <c r="C14" s="113"/>
      <c r="D14" s="114"/>
      <c r="E14" s="114"/>
      <c r="F14" s="115"/>
      <c r="G14" s="7"/>
      <c r="H14" s="19"/>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row>
    <row r="15" spans="1:101" ht="15" customHeight="1">
      <c r="A15" s="19"/>
      <c r="B15" s="7"/>
      <c r="C15" s="113"/>
      <c r="D15" s="114"/>
      <c r="E15" s="114"/>
      <c r="F15" s="115"/>
      <c r="G15" s="7"/>
      <c r="H15" s="19"/>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row>
    <row r="16" spans="1:101" ht="15" customHeight="1">
      <c r="A16" s="19"/>
      <c r="B16" s="7"/>
      <c r="C16" s="113"/>
      <c r="D16" s="114"/>
      <c r="E16" s="114"/>
      <c r="F16" s="115"/>
      <c r="G16" s="7"/>
      <c r="H16" s="19"/>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row>
    <row r="17" spans="1:101" ht="50.25" customHeight="1">
      <c r="A17" s="19"/>
      <c r="B17" s="7"/>
      <c r="C17" s="113"/>
      <c r="D17" s="114"/>
      <c r="E17" s="114"/>
      <c r="F17" s="115"/>
      <c r="G17" s="7"/>
      <c r="H17" s="19"/>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row>
    <row r="18" spans="1:101" ht="15" customHeight="1">
      <c r="A18" s="19"/>
      <c r="B18" s="7"/>
      <c r="C18" s="113"/>
      <c r="D18" s="114"/>
      <c r="E18" s="114"/>
      <c r="F18" s="115"/>
      <c r="G18" s="7"/>
      <c r="H18" s="19"/>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row>
    <row r="19" spans="1:101" ht="15" customHeight="1">
      <c r="A19" s="19"/>
      <c r="B19" s="7"/>
      <c r="C19" s="113"/>
      <c r="D19" s="114"/>
      <c r="E19" s="114"/>
      <c r="F19" s="115"/>
      <c r="G19" s="7"/>
      <c r="H19" s="19"/>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row>
    <row r="20" spans="1:101" ht="15" customHeight="1">
      <c r="A20" s="19"/>
      <c r="B20" s="7"/>
      <c r="C20" s="113"/>
      <c r="D20" s="114"/>
      <c r="E20" s="114"/>
      <c r="F20" s="115"/>
      <c r="G20" s="7"/>
      <c r="H20" s="19"/>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row>
    <row r="21" spans="1:101" ht="15" customHeight="1">
      <c r="A21" s="19"/>
      <c r="B21" s="7"/>
      <c r="C21" s="113"/>
      <c r="D21" s="114"/>
      <c r="E21" s="114"/>
      <c r="F21" s="115"/>
      <c r="G21" s="7"/>
      <c r="H21" s="19"/>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row>
    <row r="22" spans="1:101" ht="15" customHeight="1">
      <c r="A22" s="19"/>
      <c r="B22" s="7"/>
      <c r="C22" s="113"/>
      <c r="D22" s="114"/>
      <c r="E22" s="114"/>
      <c r="F22" s="115"/>
      <c r="G22" s="7"/>
      <c r="H22" s="19"/>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row>
    <row r="23" spans="1:101" ht="15" customHeight="1">
      <c r="A23" s="19"/>
      <c r="B23" s="7"/>
      <c r="C23" s="113"/>
      <c r="D23" s="114"/>
      <c r="E23" s="114"/>
      <c r="F23" s="115"/>
      <c r="G23" s="7"/>
      <c r="H23" s="19"/>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row>
    <row r="24" spans="1:101" ht="15" customHeight="1">
      <c r="A24" s="19"/>
      <c r="B24" s="7"/>
      <c r="C24" s="113"/>
      <c r="D24" s="114"/>
      <c r="E24" s="114"/>
      <c r="F24" s="115"/>
      <c r="G24" s="7"/>
      <c r="H24" s="19"/>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row>
    <row r="25" spans="1:101" ht="15" customHeight="1">
      <c r="A25" s="19"/>
      <c r="B25" s="7"/>
      <c r="C25" s="113"/>
      <c r="D25" s="114"/>
      <c r="E25" s="114"/>
      <c r="F25" s="115"/>
      <c r="G25" s="7"/>
      <c r="H25" s="19"/>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row>
    <row r="26" spans="1:101" ht="15" customHeight="1">
      <c r="A26" s="19"/>
      <c r="B26" s="7"/>
      <c r="C26" s="113"/>
      <c r="D26" s="114"/>
      <c r="E26" s="114"/>
      <c r="F26" s="115"/>
      <c r="G26" s="7"/>
      <c r="H26" s="19"/>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row>
    <row r="27" spans="1:101" ht="15" customHeight="1">
      <c r="A27" s="19"/>
      <c r="B27" s="7"/>
      <c r="C27" s="113"/>
      <c r="D27" s="114"/>
      <c r="E27" s="114"/>
      <c r="F27" s="115"/>
      <c r="G27" s="7"/>
      <c r="H27" s="19"/>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row>
    <row r="28" spans="1:101" ht="15" customHeight="1">
      <c r="A28" s="19"/>
      <c r="B28" s="7"/>
      <c r="C28" s="113"/>
      <c r="D28" s="114"/>
      <c r="E28" s="114"/>
      <c r="F28" s="115"/>
      <c r="G28" s="7"/>
      <c r="H28" s="19"/>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row>
    <row r="29" spans="1:101" ht="57" customHeight="1" thickBot="1">
      <c r="A29" s="19"/>
      <c r="B29" s="7"/>
      <c r="C29" s="116"/>
      <c r="D29" s="117"/>
      <c r="E29" s="117"/>
      <c r="F29" s="118"/>
      <c r="G29" s="7"/>
      <c r="H29" s="19"/>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row>
    <row r="30" spans="1:101">
      <c r="A30" s="19"/>
      <c r="B30" s="7"/>
      <c r="C30" s="7"/>
      <c r="D30" s="7"/>
      <c r="E30" s="7"/>
      <c r="F30" s="7"/>
      <c r="G30" s="7"/>
      <c r="H30" s="19"/>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row>
    <row r="31" spans="1:101">
      <c r="A31" s="19"/>
      <c r="B31" s="7"/>
      <c r="C31" s="7"/>
      <c r="D31" s="7"/>
      <c r="E31" s="7"/>
      <c r="F31" s="7"/>
      <c r="G31" s="7"/>
      <c r="H31" s="19"/>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row>
    <row r="32" spans="1:101">
      <c r="A32" s="19"/>
      <c r="B32" s="19"/>
      <c r="C32" s="19"/>
      <c r="D32" s="19"/>
      <c r="E32" s="19"/>
      <c r="F32" s="19"/>
      <c r="G32" s="19"/>
      <c r="H32" s="19"/>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row>
    <row r="33" spans="1:10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row>
    <row r="34" spans="1:10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row>
    <row r="35" spans="1:10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row>
    <row r="36" spans="1:10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row>
    <row r="37" spans="1:10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row>
    <row r="38" spans="1:10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row>
    <row r="39" spans="1:10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row>
    <row r="40" spans="1:10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row>
    <row r="41" spans="1:10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row>
    <row r="42" spans="1:10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row>
    <row r="43" spans="1:10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row>
    <row r="44" spans="1:10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row>
    <row r="45" spans="1:10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row>
    <row r="46" spans="1:10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row>
    <row r="47" spans="1:10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row>
    <row r="48" spans="1:10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row>
    <row r="49" spans="1:10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row>
    <row r="50" spans="1:10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row>
    <row r="51" spans="1:10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row>
    <row r="52" spans="1:10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row>
    <row r="53" spans="1:10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row>
    <row r="54" spans="1:10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row>
  </sheetData>
  <mergeCells count="7">
    <mergeCell ref="C8:F8"/>
    <mergeCell ref="C5:D5"/>
    <mergeCell ref="C3:E3"/>
    <mergeCell ref="C9:F29"/>
    <mergeCell ref="C6:D6"/>
    <mergeCell ref="E5:E6"/>
    <mergeCell ref="F5:F6"/>
  </mergeCells>
  <phoneticPr fontId="34" type="noConversion"/>
  <pageMargins left="0.7" right="0.7" top="0.75" bottom="0.75" header="0.3" footer="0.3"/>
  <pageSetup scale="77" orientation="portrait" r:id="rId1"/>
  <headerFooter>
    <oddHeader>&amp;L&amp;"Segoe UI,Regular"Marknadsförs på tidslinje för campus&amp;R&amp;"Segoe UI,Regular"Instruktioner</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XFC215"/>
  <sheetViews>
    <sheetView zoomScale="90" zoomScaleNormal="90" workbookViewId="0">
      <selection activeCell="C12" sqref="C12:E13"/>
    </sheetView>
  </sheetViews>
  <sheetFormatPr defaultColWidth="0" defaultRowHeight="16.5" zeroHeight="1"/>
  <cols>
    <col min="1" max="1" width="3.7109375" style="4" customWidth="1"/>
    <col min="2" max="2" width="3.7109375" style="2" customWidth="1"/>
    <col min="3" max="3" width="10.5703125" style="2" customWidth="1"/>
    <col min="4" max="4" width="20.28515625" style="29" customWidth="1"/>
    <col min="5" max="5" width="15.140625" style="1" customWidth="1"/>
    <col min="6" max="6" width="7.42578125" style="6" customWidth="1"/>
    <col min="7" max="7" width="62.140625" style="6" customWidth="1"/>
    <col min="8" max="8" width="31.28515625" style="22" customWidth="1"/>
    <col min="9" max="9" width="6.140625" style="22" customWidth="1"/>
    <col min="10" max="10" width="11.28515625" style="22" customWidth="1"/>
    <col min="11" max="11" width="10.140625" style="88" hidden="1" customWidth="1"/>
    <col min="12" max="12" width="26.28515625" style="1" hidden="1" customWidth="1"/>
    <col min="13" max="13" width="16" style="1" hidden="1" customWidth="1"/>
    <col min="14" max="14" width="21.42578125" style="58" hidden="1" customWidth="1"/>
    <col min="15" max="15" width="11.7109375" style="106" hidden="1" customWidth="1"/>
    <col min="16" max="16" width="3.7109375" style="1" customWidth="1"/>
    <col min="17" max="16383" width="9.140625" style="1" hidden="1"/>
    <col min="16384" max="16384" width="1.7109375" style="1" hidden="1"/>
  </cols>
  <sheetData>
    <row r="1" spans="1:83" s="4" customFormat="1">
      <c r="B1" s="3"/>
      <c r="C1" s="3"/>
      <c r="D1" s="28"/>
      <c r="F1" s="5"/>
      <c r="G1" s="5"/>
      <c r="H1" s="21"/>
      <c r="I1" s="21"/>
      <c r="J1" s="21"/>
      <c r="K1" s="56"/>
      <c r="N1" s="57"/>
      <c r="O1" s="104"/>
    </row>
    <row r="2" spans="1:83">
      <c r="B2" s="3"/>
      <c r="C2" s="3"/>
      <c r="D2" s="28"/>
      <c r="E2" s="4"/>
      <c r="F2" s="5"/>
      <c r="G2" s="5"/>
      <c r="H2" s="21"/>
      <c r="I2" s="21"/>
      <c r="J2" s="21"/>
      <c r="K2" s="56"/>
      <c r="L2" s="4"/>
      <c r="M2" s="4"/>
      <c r="N2" s="57"/>
      <c r="O2" s="10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row>
    <row r="3" spans="1:83" ht="23.25" customHeight="1">
      <c r="B3" s="3"/>
      <c r="C3" s="3"/>
      <c r="D3" s="28"/>
      <c r="E3" s="4"/>
      <c r="F3" s="5"/>
      <c r="G3" s="5"/>
      <c r="H3" s="21"/>
      <c r="I3" s="21"/>
      <c r="J3" s="21"/>
      <c r="K3" s="56"/>
      <c r="L3" s="4"/>
      <c r="M3" s="4"/>
      <c r="N3" s="57"/>
      <c r="O3" s="10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row>
    <row r="4" spans="1:83" ht="16.5" hidden="1" customHeight="1">
      <c r="B4" s="3" t="s">
        <v>107</v>
      </c>
      <c r="C4" s="3"/>
      <c r="D4" s="28"/>
      <c r="E4" s="4"/>
      <c r="F4" s="5"/>
      <c r="G4" s="5"/>
      <c r="H4" s="21"/>
      <c r="I4" s="21"/>
      <c r="J4" s="21"/>
      <c r="K4" s="56"/>
      <c r="L4" s="4"/>
      <c r="M4" s="4"/>
      <c r="N4" s="57"/>
      <c r="O4" s="10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row>
    <row r="5" spans="1:83" ht="16.5" hidden="1" customHeight="1">
      <c r="B5" s="3"/>
      <c r="C5" s="3"/>
      <c r="D5" s="28" t="s">
        <v>108</v>
      </c>
      <c r="E5" s="4"/>
      <c r="F5" s="5"/>
      <c r="G5" s="5"/>
      <c r="H5" s="21"/>
      <c r="I5" s="21"/>
      <c r="J5" s="21"/>
      <c r="K5" s="56"/>
      <c r="L5" s="4"/>
      <c r="M5" s="4"/>
      <c r="N5" s="57"/>
      <c r="O5" s="10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row>
    <row r="6" spans="1:83" ht="16.5" hidden="1" customHeight="1">
      <c r="B6" s="3"/>
      <c r="C6" s="3"/>
      <c r="D6" s="28" t="s">
        <v>109</v>
      </c>
      <c r="E6" s="4"/>
      <c r="F6" s="5"/>
      <c r="G6" s="5"/>
      <c r="H6" s="21"/>
      <c r="I6" s="21"/>
      <c r="J6" s="21"/>
      <c r="K6" s="56"/>
      <c r="L6" s="4"/>
      <c r="M6" s="4"/>
      <c r="N6" s="57"/>
      <c r="O6" s="10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row>
    <row r="7" spans="1:83" ht="16.5" customHeight="1" thickBot="1">
      <c r="B7" s="3"/>
      <c r="C7" s="3"/>
      <c r="D7" s="28"/>
      <c r="E7" s="4"/>
      <c r="F7" s="5"/>
      <c r="G7" s="5"/>
      <c r="H7" s="21"/>
      <c r="I7" s="21"/>
      <c r="J7" s="48"/>
      <c r="K7" s="56"/>
      <c r="L7" s="4"/>
      <c r="M7" s="4"/>
      <c r="N7" s="57"/>
      <c r="O7" s="10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row>
    <row r="8" spans="1:83" s="27" customFormat="1" ht="44.25" customHeight="1" thickBot="1">
      <c r="A8" s="26"/>
      <c r="B8" s="137" t="s">
        <v>196</v>
      </c>
      <c r="C8" s="138"/>
      <c r="D8" s="138"/>
      <c r="E8" s="138"/>
      <c r="F8" s="138"/>
      <c r="G8" s="138"/>
      <c r="H8" s="139"/>
      <c r="I8" s="25"/>
      <c r="K8" s="87"/>
      <c r="L8" s="26"/>
      <c r="M8" s="26"/>
      <c r="N8" s="62"/>
      <c r="O8" s="105"/>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row>
    <row r="9" spans="1:83" ht="21" thickBot="1">
      <c r="B9" s="3"/>
      <c r="C9" s="3"/>
      <c r="D9" s="28"/>
      <c r="E9" s="4"/>
      <c r="F9" s="5"/>
      <c r="G9" s="5"/>
      <c r="H9" s="21"/>
      <c r="I9" s="100"/>
      <c r="J9" s="25"/>
      <c r="K9" s="87"/>
      <c r="M9" s="4"/>
      <c r="N9" s="57"/>
      <c r="O9" s="10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row>
    <row r="10" spans="1:83" ht="72.75" customHeight="1">
      <c r="B10" s="3"/>
      <c r="C10" s="166" t="s">
        <v>198</v>
      </c>
      <c r="D10" s="167"/>
      <c r="E10" s="168"/>
      <c r="F10" s="5"/>
      <c r="G10" s="176" t="s">
        <v>197</v>
      </c>
      <c r="H10" s="177"/>
      <c r="I10" s="100"/>
      <c r="J10" s="25"/>
      <c r="K10" s="96"/>
      <c r="L10" s="4"/>
      <c r="M10" s="4"/>
      <c r="O10" s="10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row>
    <row r="11" spans="1:83" ht="9" customHeight="1">
      <c r="B11" s="3"/>
      <c r="C11" s="169"/>
      <c r="D11" s="170"/>
      <c r="E11" s="171"/>
      <c r="F11" s="5"/>
      <c r="G11" s="158"/>
      <c r="H11" s="159"/>
      <c r="I11" s="4"/>
      <c r="J11" s="21"/>
      <c r="K11" s="103">
        <f>COUNTIF(N13:N16,"N/A")</f>
        <v>4</v>
      </c>
      <c r="L11" s="71" t="s">
        <v>110</v>
      </c>
      <c r="M11" s="71" t="s">
        <v>111</v>
      </c>
      <c r="N11" s="72" t="s">
        <v>112</v>
      </c>
      <c r="O11" s="10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83" ht="37.5" customHeight="1">
      <c r="B12" s="3"/>
      <c r="C12" s="160" t="s">
        <v>3</v>
      </c>
      <c r="D12" s="161"/>
      <c r="E12" s="162"/>
      <c r="F12" s="5"/>
      <c r="G12" s="45" t="s">
        <v>4</v>
      </c>
      <c r="H12" s="98" t="str">
        <f>IF(K11=4,"Välj ett alternativ",IF(K11=3," ",IF(K11=2,"Välj endast ett alternativ i det här avsnittet",IF(K11=1,"Välj endast ett alternativ i det här avsnittet",IF(K11=0,"Välj endast ett alternativ i det här avsnittet")))))</f>
        <v>Välj ett alternativ</v>
      </c>
      <c r="I12" s="4"/>
      <c r="J12" s="21"/>
      <c r="K12" s="96">
        <v>12</v>
      </c>
      <c r="L12" s="73"/>
      <c r="M12" s="99" t="s">
        <v>113</v>
      </c>
      <c r="N12" s="63" t="s">
        <v>114</v>
      </c>
      <c r="O12" s="107">
        <f>COUNTIF(N13:N16,"N/A")</f>
        <v>4</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pans="1:83" ht="51.75" customHeight="1" thickBot="1">
      <c r="B13" s="3"/>
      <c r="C13" s="163"/>
      <c r="D13" s="164"/>
      <c r="E13" s="165"/>
      <c r="F13" s="5"/>
      <c r="G13" s="101" t="s">
        <v>208</v>
      </c>
      <c r="H13" s="39"/>
      <c r="I13" s="4" t="s">
        <v>5</v>
      </c>
      <c r="J13" s="96"/>
      <c r="K13" s="97">
        <v>13</v>
      </c>
      <c r="L13" s="74" t="s">
        <v>115</v>
      </c>
      <c r="M13" s="59" t="b">
        <v>0</v>
      </c>
      <c r="N13" s="60" t="str">
        <f>IF(M13,L13, "N/A")</f>
        <v>N/A</v>
      </c>
      <c r="O13" s="104" t="str">
        <f>($K$11=3)&amp;(N13="N/A")</f>
        <v>FALSETRUE</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row>
    <row r="14" spans="1:83" ht="77.25" customHeight="1">
      <c r="B14" s="3"/>
      <c r="C14" s="24"/>
      <c r="D14" s="24"/>
      <c r="E14" s="24"/>
      <c r="F14" s="5"/>
      <c r="G14" s="101" t="s">
        <v>209</v>
      </c>
      <c r="H14" s="39"/>
      <c r="I14" s="4"/>
      <c r="J14" s="96"/>
      <c r="K14" s="97">
        <v>14</v>
      </c>
      <c r="L14" s="74" t="s">
        <v>116</v>
      </c>
      <c r="M14" s="60" t="b">
        <v>0</v>
      </c>
      <c r="N14" s="60" t="str">
        <f t="shared" ref="N14:N35" si="0">IF(M14,L14, "N/A")</f>
        <v>N/A</v>
      </c>
      <c r="O14" s="104" t="str">
        <f>($K$11=3)&amp;(N14="N/A")</f>
        <v>FALSETRUE</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row>
    <row r="15" spans="1:83" ht="58.5" customHeight="1">
      <c r="B15" s="3"/>
      <c r="C15" s="24"/>
      <c r="D15" s="24"/>
      <c r="E15" s="24"/>
      <c r="F15" s="5"/>
      <c r="G15" s="101" t="s">
        <v>210</v>
      </c>
      <c r="H15" s="39"/>
      <c r="I15" s="4"/>
      <c r="J15" s="96"/>
      <c r="K15" s="97">
        <v>15</v>
      </c>
      <c r="L15" s="74" t="s">
        <v>117</v>
      </c>
      <c r="M15" s="59" t="b">
        <v>0</v>
      </c>
      <c r="N15" s="60" t="str">
        <f t="shared" si="0"/>
        <v>N/A</v>
      </c>
      <c r="O15" s="104" t="str">
        <f>($K$11=3)&amp;(N15="N/A")</f>
        <v>FALSETRUE</v>
      </c>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row>
    <row r="16" spans="1:83" ht="83.25" customHeight="1">
      <c r="B16" s="3"/>
      <c r="C16" s="24"/>
      <c r="D16" s="24"/>
      <c r="E16" s="24"/>
      <c r="F16" s="5"/>
      <c r="G16" s="101" t="s">
        <v>211</v>
      </c>
      <c r="H16" s="39"/>
      <c r="I16" s="4"/>
      <c r="J16" s="96"/>
      <c r="K16" s="97">
        <v>16</v>
      </c>
      <c r="L16" s="74" t="s">
        <v>118</v>
      </c>
      <c r="M16" s="59" t="b">
        <v>0</v>
      </c>
      <c r="N16" s="60" t="str">
        <f t="shared" si="0"/>
        <v>N/A</v>
      </c>
      <c r="O16" s="104" t="str">
        <f>($K$11=3)&amp;(N16="N/A")</f>
        <v>FALSETRUE</v>
      </c>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row>
    <row r="17" spans="1:83" ht="4.5" customHeight="1">
      <c r="B17" s="3"/>
      <c r="C17" s="24"/>
      <c r="D17" s="24"/>
      <c r="E17" s="24"/>
      <c r="F17" s="5"/>
      <c r="G17" s="40"/>
      <c r="H17" s="41"/>
      <c r="I17" s="4"/>
      <c r="J17" s="96"/>
      <c r="K17" s="97"/>
      <c r="L17" s="75"/>
      <c r="M17" s="61"/>
      <c r="N17" s="60" t="str">
        <f t="shared" si="0"/>
        <v>N/A</v>
      </c>
      <c r="O17" s="10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row>
    <row r="18" spans="1:83" ht="54" customHeight="1">
      <c r="B18" s="3"/>
      <c r="C18" s="3"/>
      <c r="D18" s="32"/>
      <c r="E18" s="8"/>
      <c r="F18" s="5"/>
      <c r="G18" s="50" t="s">
        <v>6</v>
      </c>
      <c r="H18" s="98" t="str">
        <f>IF(K18=5,"Välj ett alternativ",IF(K18=4," ",IF(K18=3,"Välj endast ett alternativ i det här avsnittet",IF(K18=2,"Välj endast ett alternativ i det här avsnittet",IF(K18=1,"Välj endast ett alternativ i det här avsnittet",IF(K18=1,"Välj endast ett alternativ i det här avsnittet"))))))</f>
        <v>Välj ett alternativ</v>
      </c>
      <c r="I18" s="21"/>
      <c r="J18" s="96"/>
      <c r="K18" s="103">
        <f>COUNTIF(N19:N23,"N/A")</f>
        <v>5</v>
      </c>
      <c r="L18" s="76"/>
      <c r="M18" s="64"/>
      <c r="N18" s="64"/>
      <c r="O18" s="10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row>
    <row r="19" spans="1:83" ht="23.25" customHeight="1">
      <c r="B19" s="3"/>
      <c r="C19" s="3"/>
      <c r="D19" s="32"/>
      <c r="E19" s="8"/>
      <c r="F19" s="5"/>
      <c r="G19" s="102" t="s">
        <v>7</v>
      </c>
      <c r="H19" s="39"/>
      <c r="I19" s="21"/>
      <c r="K19" s="97">
        <v>19</v>
      </c>
      <c r="L19" s="74" t="s">
        <v>119</v>
      </c>
      <c r="M19" s="59" t="b">
        <v>0</v>
      </c>
      <c r="N19" s="60" t="str">
        <f t="shared" si="0"/>
        <v>N/A</v>
      </c>
      <c r="O19" s="104" t="str">
        <f>($K$18=4)&amp;(N19="N/A")</f>
        <v>FALSETRUE</v>
      </c>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row>
    <row r="20" spans="1:83" ht="24" customHeight="1">
      <c r="B20" s="3"/>
      <c r="C20" s="3"/>
      <c r="D20" s="32"/>
      <c r="E20" s="8"/>
      <c r="F20" s="5"/>
      <c r="G20" s="102" t="s">
        <v>8</v>
      </c>
      <c r="H20" s="39"/>
      <c r="I20" s="21"/>
      <c r="J20" s="96"/>
      <c r="K20" s="97">
        <v>20</v>
      </c>
      <c r="L20" s="74" t="s">
        <v>120</v>
      </c>
      <c r="M20" s="59" t="b">
        <v>0</v>
      </c>
      <c r="N20" s="60" t="str">
        <f t="shared" si="0"/>
        <v>N/A</v>
      </c>
      <c r="O20" s="104" t="str">
        <f>($K$18=4)&amp;(N20="N/A")</f>
        <v>FALSETRUE</v>
      </c>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row>
    <row r="21" spans="1:83" ht="49.5" customHeight="1">
      <c r="B21" s="3"/>
      <c r="C21" s="3"/>
      <c r="D21" s="32"/>
      <c r="E21" s="8"/>
      <c r="F21" s="5"/>
      <c r="G21" s="102" t="s">
        <v>9</v>
      </c>
      <c r="H21" s="39"/>
      <c r="I21" s="21"/>
      <c r="J21" s="21"/>
      <c r="K21" s="97">
        <v>21</v>
      </c>
      <c r="L21" s="74" t="s">
        <v>121</v>
      </c>
      <c r="M21" s="59" t="b">
        <v>0</v>
      </c>
      <c r="N21" s="60" t="str">
        <f t="shared" si="0"/>
        <v>N/A</v>
      </c>
      <c r="O21" s="104" t="str">
        <f>($K$18=4)&amp;(N21="N/A")</f>
        <v>FALSETRUE</v>
      </c>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row>
    <row r="22" spans="1:83" ht="42" customHeight="1">
      <c r="B22" s="3"/>
      <c r="C22" s="3"/>
      <c r="D22" s="32"/>
      <c r="E22" s="8"/>
      <c r="F22" s="5"/>
      <c r="G22" s="102" t="s">
        <v>10</v>
      </c>
      <c r="H22" s="39"/>
      <c r="I22" s="21"/>
      <c r="J22" s="21"/>
      <c r="K22" s="97">
        <v>22</v>
      </c>
      <c r="L22" s="74" t="s">
        <v>122</v>
      </c>
      <c r="M22" s="59" t="b">
        <v>0</v>
      </c>
      <c r="N22" s="60" t="str">
        <f t="shared" si="0"/>
        <v>N/A</v>
      </c>
      <c r="O22" s="104" t="str">
        <f>($K$18=4)&amp;(N22="N/A")</f>
        <v>FALSETRUE</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row>
    <row r="23" spans="1:83" ht="32.25" customHeight="1">
      <c r="B23" s="3"/>
      <c r="C23" s="3"/>
      <c r="D23" s="32"/>
      <c r="E23" s="8"/>
      <c r="F23" s="5"/>
      <c r="G23" s="102" t="s">
        <v>11</v>
      </c>
      <c r="H23" s="39"/>
      <c r="I23" s="21"/>
      <c r="J23" s="21"/>
      <c r="K23" s="97">
        <v>23</v>
      </c>
      <c r="L23" s="74" t="s">
        <v>123</v>
      </c>
      <c r="M23" s="59" t="b">
        <v>0</v>
      </c>
      <c r="N23" s="60" t="str">
        <f t="shared" si="0"/>
        <v>N/A</v>
      </c>
      <c r="O23" s="104" t="str">
        <f>($K$18=4)&amp;(N23="N/A")</f>
        <v>FALSETRUE</v>
      </c>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row>
    <row r="24" spans="1:83" ht="3.75" customHeight="1">
      <c r="B24" s="3"/>
      <c r="C24" s="3"/>
      <c r="D24" s="32"/>
      <c r="E24" s="8"/>
      <c r="F24" s="5"/>
      <c r="G24" s="40"/>
      <c r="H24" s="41"/>
      <c r="I24" s="21"/>
      <c r="J24" s="21"/>
      <c r="K24" s="97">
        <v>24</v>
      </c>
      <c r="L24" s="75"/>
      <c r="M24" s="61"/>
      <c r="N24" s="60" t="str">
        <f t="shared" si="0"/>
        <v>N/A</v>
      </c>
      <c r="O24" s="10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row>
    <row r="25" spans="1:83" ht="25.5" customHeight="1">
      <c r="B25" s="3"/>
      <c r="C25" s="3"/>
      <c r="D25" s="32"/>
      <c r="E25" s="8"/>
      <c r="F25" s="5"/>
      <c r="G25" s="47" t="s">
        <v>212</v>
      </c>
      <c r="H25" s="39"/>
      <c r="I25" s="21"/>
      <c r="J25" s="21"/>
      <c r="K25" s="97">
        <v>25</v>
      </c>
      <c r="L25" s="74" t="s">
        <v>124</v>
      </c>
      <c r="M25" s="59" t="b">
        <v>0</v>
      </c>
      <c r="N25" s="60" t="str">
        <f t="shared" si="0"/>
        <v>N/A</v>
      </c>
      <c r="O25" s="10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row>
    <row r="26" spans="1:83" ht="3.75" customHeight="1">
      <c r="B26" s="3"/>
      <c r="C26" s="3"/>
      <c r="D26" s="32"/>
      <c r="E26" s="8"/>
      <c r="F26" s="5"/>
      <c r="G26" s="40"/>
      <c r="H26" s="41"/>
      <c r="I26" s="21"/>
      <c r="J26" s="21"/>
      <c r="K26" s="97">
        <v>26</v>
      </c>
      <c r="L26" s="75"/>
      <c r="M26" s="61"/>
      <c r="N26" s="60" t="str">
        <f t="shared" si="0"/>
        <v>N/A</v>
      </c>
      <c r="O26" s="10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row>
    <row r="27" spans="1:83" ht="44.25" customHeight="1">
      <c r="B27" s="3"/>
      <c r="C27" s="55"/>
      <c r="D27" s="32"/>
      <c r="E27" s="8"/>
      <c r="F27" s="5"/>
      <c r="G27" s="23" t="s">
        <v>213</v>
      </c>
      <c r="H27" s="39"/>
      <c r="I27" s="21"/>
      <c r="J27" s="21"/>
      <c r="K27" s="97">
        <v>27</v>
      </c>
      <c r="L27" s="74" t="s">
        <v>125</v>
      </c>
      <c r="M27" s="59" t="b">
        <v>0</v>
      </c>
      <c r="N27" s="60" t="str">
        <f t="shared" si="0"/>
        <v>N/A</v>
      </c>
      <c r="O27" s="10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row>
    <row r="28" spans="1:83" ht="3" customHeight="1">
      <c r="B28" s="3"/>
      <c r="C28" s="56"/>
      <c r="D28" s="32"/>
      <c r="E28" s="8"/>
      <c r="F28" s="5"/>
      <c r="G28" s="40"/>
      <c r="H28" s="41"/>
      <c r="I28" s="21"/>
      <c r="J28" s="21"/>
      <c r="K28" s="97">
        <v>28</v>
      </c>
      <c r="L28" s="75"/>
      <c r="M28" s="61"/>
      <c r="N28" s="60" t="str">
        <f t="shared" si="0"/>
        <v>N/A</v>
      </c>
      <c r="O28" s="10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row>
    <row r="29" spans="1:83" ht="60" customHeight="1">
      <c r="B29" s="3"/>
      <c r="C29"/>
      <c r="D29" s="52"/>
      <c r="E29" s="52"/>
      <c r="F29" s="5"/>
      <c r="G29" s="47" t="s">
        <v>214</v>
      </c>
      <c r="H29" s="39"/>
      <c r="I29" s="21"/>
      <c r="J29" s="21"/>
      <c r="K29" s="97">
        <v>29</v>
      </c>
      <c r="L29" s="77" t="s">
        <v>126</v>
      </c>
      <c r="M29" s="59" t="b">
        <v>0</v>
      </c>
      <c r="N29" s="78" t="str">
        <f t="shared" si="0"/>
        <v>N/A</v>
      </c>
      <c r="O29" s="10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row>
    <row r="30" spans="1:83" ht="3" customHeight="1">
      <c r="B30" s="3"/>
      <c r="C30" s="56"/>
      <c r="D30" s="32"/>
      <c r="E30" s="8"/>
      <c r="F30" s="5"/>
      <c r="G30" s="40"/>
      <c r="H30" s="41"/>
      <c r="I30" s="21"/>
      <c r="J30" s="21"/>
      <c r="K30" s="97">
        <v>30</v>
      </c>
      <c r="L30" s="75"/>
      <c r="M30" s="61"/>
      <c r="N30" s="60" t="str">
        <f t="shared" si="0"/>
        <v>N/A</v>
      </c>
      <c r="O30" s="10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row>
    <row r="31" spans="1:83" ht="24" customHeight="1">
      <c r="A31" s="55"/>
      <c r="B31" s="3"/>
      <c r="D31" s="52"/>
      <c r="E31" s="52"/>
      <c r="F31" s="5"/>
      <c r="G31" s="47" t="s">
        <v>215</v>
      </c>
      <c r="H31" s="39"/>
      <c r="I31" s="21"/>
      <c r="J31" s="21"/>
      <c r="K31" s="97">
        <v>31</v>
      </c>
      <c r="L31" s="74" t="s">
        <v>127</v>
      </c>
      <c r="M31" s="59" t="b">
        <v>0</v>
      </c>
      <c r="N31" s="60" t="str">
        <f t="shared" si="0"/>
        <v>N/A</v>
      </c>
      <c r="O31" s="10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row>
    <row r="32" spans="1:83" ht="3.75" customHeight="1">
      <c r="B32" s="3"/>
      <c r="C32" s="3"/>
      <c r="D32" s="32"/>
      <c r="E32" s="8"/>
      <c r="F32" s="5"/>
      <c r="G32" s="40"/>
      <c r="H32" s="41"/>
      <c r="I32" s="21"/>
      <c r="J32" s="21"/>
      <c r="K32" s="97">
        <v>32</v>
      </c>
      <c r="L32" s="75"/>
      <c r="M32" s="61"/>
      <c r="N32" s="60" t="str">
        <f t="shared" si="0"/>
        <v>N/A</v>
      </c>
      <c r="O32" s="10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row>
    <row r="33" spans="1:83" ht="39" customHeight="1">
      <c r="A33" s="7"/>
      <c r="B33" s="7"/>
      <c r="C33" s="7"/>
      <c r="D33" s="7"/>
      <c r="E33" s="7"/>
      <c r="F33" s="7"/>
      <c r="G33" s="46" t="s">
        <v>216</v>
      </c>
      <c r="H33" s="39"/>
      <c r="I33" s="21"/>
      <c r="J33" s="21"/>
      <c r="K33" s="97">
        <v>33</v>
      </c>
      <c r="L33" s="74" t="s">
        <v>128</v>
      </c>
      <c r="M33" s="59" t="b">
        <v>0</v>
      </c>
      <c r="N33" s="60" t="str">
        <f t="shared" si="0"/>
        <v>N/A</v>
      </c>
      <c r="O33" s="10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row>
    <row r="34" spans="1:83" ht="3" customHeight="1">
      <c r="B34" s="3"/>
      <c r="C34" s="52"/>
      <c r="D34" s="30"/>
      <c r="E34" s="52"/>
      <c r="F34" s="5"/>
      <c r="G34" s="42"/>
      <c r="H34" s="41"/>
      <c r="I34" s="21"/>
      <c r="J34" s="21"/>
      <c r="K34" s="97">
        <v>34</v>
      </c>
      <c r="L34" s="75"/>
      <c r="M34" s="61"/>
      <c r="N34" s="60" t="str">
        <f t="shared" si="0"/>
        <v>N/A</v>
      </c>
      <c r="O34" s="10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row>
    <row r="35" spans="1:83" ht="34.5">
      <c r="A35" s="7"/>
      <c r="B35" s="3"/>
      <c r="D35" s="7"/>
      <c r="E35" s="7"/>
      <c r="F35" s="7"/>
      <c r="G35" s="23" t="s">
        <v>217</v>
      </c>
      <c r="H35" s="39"/>
      <c r="I35" s="21"/>
      <c r="J35" s="21"/>
      <c r="K35" s="97">
        <v>35</v>
      </c>
      <c r="L35" s="74" t="s">
        <v>129</v>
      </c>
      <c r="M35" s="59" t="b">
        <v>0</v>
      </c>
      <c r="N35" s="60" t="str">
        <f t="shared" si="0"/>
        <v>N/A</v>
      </c>
      <c r="O35" s="10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row>
    <row r="36" spans="1:83" ht="9" customHeight="1" thickBot="1">
      <c r="B36" s="3"/>
      <c r="C36" s="53"/>
      <c r="D36" s="31"/>
      <c r="E36" s="53"/>
      <c r="F36" s="5"/>
      <c r="G36" s="43"/>
      <c r="H36" s="44"/>
      <c r="I36" s="21"/>
      <c r="J36" s="21"/>
      <c r="K36" s="56"/>
      <c r="L36" s="4"/>
      <c r="M36" s="4"/>
      <c r="N36" s="57"/>
      <c r="O36" s="10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row>
    <row r="37" spans="1:83" ht="17.25" thickBot="1">
      <c r="B37" s="3"/>
      <c r="C37"/>
      <c r="D37" s="32"/>
      <c r="E37" s="8"/>
      <c r="F37" s="5"/>
      <c r="G37" s="5"/>
      <c r="H37" s="21"/>
      <c r="I37" s="21"/>
      <c r="J37" s="21"/>
      <c r="K37" s="56"/>
      <c r="L37" s="4"/>
      <c r="M37" s="4"/>
      <c r="N37" s="57"/>
      <c r="O37" s="10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row>
    <row r="38" spans="1:83" s="29" customFormat="1" ht="41.25" customHeight="1">
      <c r="A38" s="28"/>
      <c r="B38" s="172" t="s">
        <v>12</v>
      </c>
      <c r="C38" s="173"/>
      <c r="D38" s="49" t="s">
        <v>13</v>
      </c>
      <c r="E38" s="49" t="s">
        <v>14</v>
      </c>
      <c r="F38" s="140" t="s">
        <v>15</v>
      </c>
      <c r="G38" s="140"/>
      <c r="H38" s="140" t="s">
        <v>16</v>
      </c>
      <c r="I38" s="140"/>
      <c r="J38" s="141"/>
      <c r="K38" s="79" t="s">
        <v>130</v>
      </c>
      <c r="L38" s="4"/>
      <c r="M38" s="4"/>
      <c r="N38" s="57"/>
      <c r="O38" s="104"/>
      <c r="P38" s="4"/>
      <c r="Q38" s="4"/>
      <c r="R38" s="4"/>
      <c r="S38" s="4"/>
      <c r="T38" s="4"/>
      <c r="U38" s="4"/>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row>
    <row r="39" spans="1:83" ht="45" customHeight="1">
      <c r="B39" s="154"/>
      <c r="C39" s="155"/>
      <c r="D39" s="90"/>
      <c r="E39" s="90"/>
      <c r="F39" s="156" t="s">
        <v>218</v>
      </c>
      <c r="G39" s="157"/>
      <c r="H39" s="151" t="s">
        <v>17</v>
      </c>
      <c r="I39" s="152"/>
      <c r="J39" s="153"/>
      <c r="K39" s="80" t="s">
        <v>131</v>
      </c>
      <c r="L39" s="4"/>
      <c r="M39" s="4"/>
      <c r="N39" s="57"/>
      <c r="O39" s="10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row>
    <row r="40" spans="1:83" ht="28.5" customHeight="1">
      <c r="B40" s="154"/>
      <c r="C40" s="155"/>
      <c r="D40" s="90"/>
      <c r="E40" s="90"/>
      <c r="F40" s="156" t="s">
        <v>219</v>
      </c>
      <c r="G40" s="157"/>
      <c r="H40" s="151" t="s">
        <v>18</v>
      </c>
      <c r="I40" s="152"/>
      <c r="J40" s="153"/>
      <c r="K40" s="80" t="s">
        <v>132</v>
      </c>
      <c r="L40" s="4"/>
      <c r="M40" s="4"/>
      <c r="N40" s="57"/>
      <c r="O40" s="10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row>
    <row r="41" spans="1:83" ht="28.5" customHeight="1">
      <c r="B41" s="154"/>
      <c r="C41" s="155"/>
      <c r="D41" s="90"/>
      <c r="E41" s="90"/>
      <c r="F41" s="156" t="s">
        <v>220</v>
      </c>
      <c r="G41" s="157"/>
      <c r="H41" s="151" t="s">
        <v>19</v>
      </c>
      <c r="I41" s="152"/>
      <c r="J41" s="153"/>
      <c r="K41" s="80" t="s">
        <v>133</v>
      </c>
      <c r="L41" s="4"/>
      <c r="M41" s="4"/>
      <c r="N41" s="57"/>
      <c r="O41" s="10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row>
    <row r="42" spans="1:83" ht="28.5" customHeight="1">
      <c r="B42" s="154"/>
      <c r="C42" s="155"/>
      <c r="D42" s="90"/>
      <c r="E42" s="90"/>
      <c r="F42" s="156" t="s">
        <v>221</v>
      </c>
      <c r="G42" s="157"/>
      <c r="H42" s="151" t="s">
        <v>20</v>
      </c>
      <c r="I42" s="152"/>
      <c r="J42" s="153"/>
      <c r="K42" s="80" t="s">
        <v>134</v>
      </c>
      <c r="L42" s="4"/>
      <c r="M42" s="4"/>
      <c r="N42" s="57"/>
      <c r="O42" s="10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row>
    <row r="43" spans="1:83" ht="56.25" customHeight="1">
      <c r="B43" s="205"/>
      <c r="C43" s="206"/>
      <c r="D43" s="91"/>
      <c r="E43" s="91"/>
      <c r="F43" s="207" t="s">
        <v>21</v>
      </c>
      <c r="G43" s="208"/>
      <c r="H43" s="209" t="s">
        <v>22</v>
      </c>
      <c r="I43" s="210"/>
      <c r="J43" s="211"/>
      <c r="K43" s="80" t="s">
        <v>135</v>
      </c>
      <c r="L43" s="4"/>
      <c r="M43" s="4"/>
      <c r="N43" s="57"/>
      <c r="O43" s="10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row>
    <row r="44" spans="1:83" ht="28.5" customHeight="1">
      <c r="B44" s="144"/>
      <c r="C44" s="145"/>
      <c r="D44" s="54"/>
      <c r="E44" s="54"/>
      <c r="F44" s="146" t="s">
        <v>222</v>
      </c>
      <c r="G44" s="147"/>
      <c r="H44" s="148" t="s">
        <v>23</v>
      </c>
      <c r="I44" s="149"/>
      <c r="J44" s="150"/>
      <c r="K44" s="80" t="s">
        <v>136</v>
      </c>
      <c r="L44" s="4"/>
      <c r="M44" s="4"/>
      <c r="N44" s="57"/>
      <c r="O44" s="10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row>
    <row r="45" spans="1:83" ht="17.25" thickBot="1">
      <c r="B45" s="9" t="s">
        <v>24</v>
      </c>
      <c r="C45" s="10"/>
      <c r="D45" s="34"/>
      <c r="E45" s="65"/>
      <c r="F45" s="11"/>
      <c r="G45" s="12"/>
      <c r="H45" s="142"/>
      <c r="I45" s="142"/>
      <c r="J45" s="143"/>
      <c r="K45" s="81"/>
      <c r="L45" s="4"/>
      <c r="M45" s="4"/>
      <c r="N45" s="57"/>
      <c r="O45" s="10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row>
    <row r="46" spans="1:83" ht="17.25" thickTop="1">
      <c r="B46" s="183" t="s">
        <v>25</v>
      </c>
      <c r="C46" s="184"/>
      <c r="D46" s="35" t="e">
        <f>$C$12-30</f>
        <v>#VALUE!</v>
      </c>
      <c r="E46" s="66"/>
      <c r="F46" s="17"/>
      <c r="G46" s="18"/>
      <c r="H46" s="181"/>
      <c r="I46" s="181"/>
      <c r="J46" s="182"/>
      <c r="K46" s="66"/>
      <c r="L46" s="4"/>
      <c r="M46" s="4"/>
      <c r="N46" s="57"/>
      <c r="O46" s="10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row>
    <row r="47" spans="1:83" ht="33" customHeight="1">
      <c r="A47" s="4" t="s">
        <v>26</v>
      </c>
      <c r="B47" s="174"/>
      <c r="C47" s="175"/>
      <c r="D47" s="33"/>
      <c r="E47" s="67"/>
      <c r="F47" s="129" t="s">
        <v>223</v>
      </c>
      <c r="G47" s="130"/>
      <c r="H47" s="124" t="s">
        <v>27</v>
      </c>
      <c r="I47" s="125"/>
      <c r="J47" s="126"/>
      <c r="K47" s="82" t="s">
        <v>137</v>
      </c>
      <c r="L47" s="4"/>
      <c r="M47" s="4"/>
      <c r="N47" s="57"/>
      <c r="O47" s="10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row>
    <row r="48" spans="1:83" ht="99" customHeight="1">
      <c r="B48" s="122"/>
      <c r="C48" s="123"/>
      <c r="D48" s="33"/>
      <c r="E48" s="95"/>
      <c r="F48" s="129" t="s">
        <v>206</v>
      </c>
      <c r="G48" s="130"/>
      <c r="H48" s="124" t="s">
        <v>28</v>
      </c>
      <c r="I48" s="125"/>
      <c r="J48" s="126"/>
      <c r="K48" s="82" t="s">
        <v>138</v>
      </c>
      <c r="L48" s="4"/>
      <c r="M48" s="4"/>
      <c r="N48" s="57"/>
      <c r="O48" s="10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row>
    <row r="49" spans="2:83" ht="60.75" customHeight="1">
      <c r="B49" s="220"/>
      <c r="C49" s="221"/>
      <c r="D49" s="92"/>
      <c r="E49" s="93"/>
      <c r="F49" s="224" t="s">
        <v>199</v>
      </c>
      <c r="G49" s="225"/>
      <c r="H49" s="202" t="s">
        <v>29</v>
      </c>
      <c r="I49" s="203"/>
      <c r="J49" s="204"/>
      <c r="K49" s="82" t="s">
        <v>139</v>
      </c>
      <c r="L49" s="4"/>
      <c r="M49" s="4"/>
      <c r="N49" s="57"/>
      <c r="O49" s="10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row>
    <row r="50" spans="2:83" ht="39" customHeight="1">
      <c r="B50" s="220"/>
      <c r="C50" s="221"/>
      <c r="D50" s="92"/>
      <c r="E50" s="93"/>
      <c r="F50" s="218" t="s">
        <v>30</v>
      </c>
      <c r="G50" s="219"/>
      <c r="H50" s="202" t="s">
        <v>31</v>
      </c>
      <c r="I50" s="203"/>
      <c r="J50" s="204"/>
      <c r="K50" s="82" t="s">
        <v>140</v>
      </c>
      <c r="L50" s="4"/>
      <c r="M50" s="4"/>
      <c r="N50" s="57"/>
      <c r="O50" s="10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row>
    <row r="51" spans="2:83" ht="42" customHeight="1">
      <c r="B51" s="220"/>
      <c r="C51" s="221"/>
      <c r="D51" s="92"/>
      <c r="E51" s="92"/>
      <c r="F51" s="224" t="s">
        <v>32</v>
      </c>
      <c r="G51" s="225"/>
      <c r="H51" s="202" t="s">
        <v>33</v>
      </c>
      <c r="I51" s="203"/>
      <c r="J51" s="204"/>
      <c r="K51" s="82" t="s">
        <v>141</v>
      </c>
      <c r="L51" s="4"/>
      <c r="M51" s="4"/>
      <c r="N51" s="57"/>
      <c r="O51" s="10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row>
    <row r="52" spans="2:83" ht="75.75" customHeight="1">
      <c r="B52" s="212"/>
      <c r="C52" s="213"/>
      <c r="D52" s="94"/>
      <c r="E52" s="93"/>
      <c r="F52" s="218" t="s">
        <v>200</v>
      </c>
      <c r="G52" s="219"/>
      <c r="H52" s="178" t="s">
        <v>34</v>
      </c>
      <c r="I52" s="179"/>
      <c r="J52" s="180"/>
      <c r="K52" s="82" t="s">
        <v>142</v>
      </c>
      <c r="L52" s="4"/>
      <c r="M52" s="4" t="s">
        <v>143</v>
      </c>
      <c r="N52" s="57"/>
      <c r="O52" s="10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row>
    <row r="53" spans="2:83" ht="40.5" customHeight="1">
      <c r="B53" s="222"/>
      <c r="C53" s="223"/>
      <c r="D53" s="92"/>
      <c r="E53" s="93"/>
      <c r="F53" s="224" t="s">
        <v>35</v>
      </c>
      <c r="G53" s="225"/>
      <c r="H53" s="202" t="s">
        <v>36</v>
      </c>
      <c r="I53" s="203"/>
      <c r="J53" s="204"/>
      <c r="K53" s="82" t="s">
        <v>144</v>
      </c>
      <c r="L53" s="4"/>
      <c r="M53" s="4"/>
      <c r="N53" s="57"/>
      <c r="O53" s="10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row>
    <row r="54" spans="2:83" ht="17.25" thickBot="1">
      <c r="B54" s="9" t="s">
        <v>37</v>
      </c>
      <c r="C54" s="10"/>
      <c r="D54" s="34"/>
      <c r="E54" s="65"/>
      <c r="F54" s="11"/>
      <c r="G54" s="12"/>
      <c r="H54" s="142"/>
      <c r="I54" s="142"/>
      <c r="J54" s="143"/>
      <c r="K54" s="81"/>
      <c r="L54" s="4"/>
      <c r="M54" s="4"/>
      <c r="N54" s="57"/>
      <c r="O54" s="10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row>
    <row r="55" spans="2:83" ht="17.25" thickTop="1">
      <c r="B55" s="183" t="s">
        <v>38</v>
      </c>
      <c r="C55" s="184"/>
      <c r="D55" s="35" t="e">
        <f>$C$12-21</f>
        <v>#VALUE!</v>
      </c>
      <c r="E55" s="66"/>
      <c r="F55" s="17"/>
      <c r="G55" s="18"/>
      <c r="H55" s="181"/>
      <c r="I55" s="181"/>
      <c r="J55" s="182"/>
      <c r="K55" s="66"/>
      <c r="L55" s="4"/>
      <c r="M55" s="4"/>
      <c r="N55" s="57"/>
      <c r="O55" s="10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row>
    <row r="56" spans="2:83" ht="62.25" customHeight="1">
      <c r="B56" s="174"/>
      <c r="C56" s="175"/>
      <c r="D56" s="33"/>
      <c r="E56" s="67"/>
      <c r="F56" s="129" t="s">
        <v>201</v>
      </c>
      <c r="G56" s="130"/>
      <c r="H56" s="226" t="s">
        <v>245</v>
      </c>
      <c r="I56" s="227"/>
      <c r="J56" s="228"/>
      <c r="K56" s="82" t="s">
        <v>145</v>
      </c>
      <c r="L56" s="4"/>
      <c r="M56" s="4"/>
      <c r="N56" s="57"/>
      <c r="O56" s="10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row>
    <row r="57" spans="2:83" ht="17.25" thickBot="1">
      <c r="B57" s="16" t="s">
        <v>39</v>
      </c>
      <c r="C57" s="13"/>
      <c r="D57" s="36"/>
      <c r="E57" s="68"/>
      <c r="F57" s="14"/>
      <c r="G57" s="15"/>
      <c r="H57" s="229"/>
      <c r="I57" s="229"/>
      <c r="J57" s="230"/>
      <c r="K57" s="83"/>
      <c r="L57" s="4"/>
      <c r="M57" s="4"/>
      <c r="N57" s="57"/>
      <c r="O57" s="10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row>
    <row r="58" spans="2:83" ht="17.25" thickTop="1">
      <c r="B58" s="183" t="s">
        <v>40</v>
      </c>
      <c r="C58" s="184"/>
      <c r="D58" s="35" t="e">
        <f>$C$12-14</f>
        <v>#VALUE!</v>
      </c>
      <c r="E58" s="66"/>
      <c r="F58" s="17"/>
      <c r="G58" s="18"/>
      <c r="H58" s="181"/>
      <c r="I58" s="181"/>
      <c r="J58" s="182"/>
      <c r="K58" s="66"/>
      <c r="L58" s="4"/>
      <c r="M58" s="4"/>
      <c r="N58" s="57"/>
      <c r="O58" s="10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row>
    <row r="59" spans="2:83" ht="107.25" customHeight="1">
      <c r="B59" s="174"/>
      <c r="C59" s="175"/>
      <c r="D59" s="54"/>
      <c r="E59" s="89"/>
      <c r="F59" s="129" t="s">
        <v>206</v>
      </c>
      <c r="G59" s="130"/>
      <c r="H59" s="134" t="s">
        <v>41</v>
      </c>
      <c r="I59" s="135"/>
      <c r="J59" s="136"/>
      <c r="K59" s="82" t="s">
        <v>146</v>
      </c>
      <c r="L59" s="4"/>
      <c r="M59" s="4"/>
      <c r="N59" s="57"/>
      <c r="O59" s="10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row>
    <row r="60" spans="2:83" ht="17.25" thickBot="1">
      <c r="B60" s="16" t="s">
        <v>42</v>
      </c>
      <c r="C60" s="13"/>
      <c r="D60" s="36"/>
      <c r="E60" s="68"/>
      <c r="F60" s="14"/>
      <c r="G60" s="15"/>
      <c r="H60" s="229"/>
      <c r="I60" s="229"/>
      <c r="J60" s="230"/>
      <c r="K60" s="83"/>
      <c r="L60" s="4"/>
      <c r="M60" s="4"/>
      <c r="N60" s="57"/>
      <c r="O60" s="10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row>
    <row r="61" spans="2:83" ht="17.25" thickTop="1">
      <c r="B61" s="183" t="s">
        <v>43</v>
      </c>
      <c r="C61" s="184"/>
      <c r="D61" s="35" t="e">
        <f>$C$12-7</f>
        <v>#VALUE!</v>
      </c>
      <c r="E61" s="66"/>
      <c r="F61" s="17"/>
      <c r="G61" s="18"/>
      <c r="H61" s="181"/>
      <c r="I61" s="181"/>
      <c r="J61" s="182"/>
      <c r="K61" s="66"/>
      <c r="L61" s="4"/>
      <c r="M61" s="4"/>
      <c r="N61" s="57"/>
      <c r="O61" s="10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row>
    <row r="62" spans="2:83" ht="97.5" customHeight="1">
      <c r="B62" s="174"/>
      <c r="C62" s="175"/>
      <c r="D62" s="33"/>
      <c r="E62" s="67"/>
      <c r="F62" s="129" t="s">
        <v>206</v>
      </c>
      <c r="G62" s="130"/>
      <c r="H62" s="124" t="s">
        <v>44</v>
      </c>
      <c r="I62" s="125"/>
      <c r="J62" s="126"/>
      <c r="K62" s="82" t="s">
        <v>147</v>
      </c>
      <c r="L62" s="4"/>
      <c r="M62" s="4"/>
      <c r="N62" s="57"/>
      <c r="O62" s="10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row>
    <row r="63" spans="2:83" ht="41.25" customHeight="1">
      <c r="B63" s="174"/>
      <c r="C63" s="175"/>
      <c r="D63" s="33"/>
      <c r="E63" s="67"/>
      <c r="F63" s="129" t="s">
        <v>224</v>
      </c>
      <c r="G63" s="130"/>
      <c r="H63" s="192" t="s">
        <v>45</v>
      </c>
      <c r="I63" s="193"/>
      <c r="J63" s="194"/>
      <c r="K63" s="82" t="s">
        <v>148</v>
      </c>
      <c r="L63" s="4"/>
      <c r="M63" s="4"/>
      <c r="N63" s="57"/>
      <c r="O63" s="10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row>
    <row r="64" spans="2:83" ht="61.5" customHeight="1">
      <c r="B64" s="174"/>
      <c r="C64" s="175"/>
      <c r="D64" s="33"/>
      <c r="E64" s="67"/>
      <c r="F64" s="129" t="s">
        <v>225</v>
      </c>
      <c r="G64" s="130"/>
      <c r="H64" s="192" t="s">
        <v>46</v>
      </c>
      <c r="I64" s="193"/>
      <c r="J64" s="194"/>
      <c r="K64" s="82" t="s">
        <v>149</v>
      </c>
      <c r="L64" s="4"/>
      <c r="M64" s="4" t="s">
        <v>150</v>
      </c>
      <c r="N64" s="57"/>
      <c r="O64" s="10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row>
    <row r="65" spans="2:83" ht="60" customHeight="1">
      <c r="B65" s="174"/>
      <c r="C65" s="175"/>
      <c r="D65" s="33"/>
      <c r="E65" s="67"/>
      <c r="F65" s="129" t="s">
        <v>47</v>
      </c>
      <c r="G65" s="130"/>
      <c r="H65" s="124" t="s">
        <v>48</v>
      </c>
      <c r="I65" s="125"/>
      <c r="J65" s="126"/>
      <c r="K65" s="82" t="s">
        <v>151</v>
      </c>
      <c r="L65" s="4"/>
      <c r="M65" s="4"/>
      <c r="N65" s="57"/>
      <c r="O65" s="10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row>
    <row r="66" spans="2:83" ht="54.75" customHeight="1">
      <c r="B66" s="216" t="s">
        <v>49</v>
      </c>
      <c r="C66" s="217"/>
      <c r="D66" s="38" t="str">
        <f>$C$12</f>
        <v>&lt;MM/DD/ÅÅ&gt;</v>
      </c>
      <c r="E66" s="69"/>
      <c r="F66" s="217" t="s">
        <v>202</v>
      </c>
      <c r="G66" s="217"/>
      <c r="H66" s="195"/>
      <c r="I66" s="195"/>
      <c r="J66" s="196"/>
      <c r="K66" s="84"/>
      <c r="L66" s="4"/>
      <c r="M66" s="4"/>
      <c r="N66" s="57"/>
      <c r="O66" s="10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row>
    <row r="67" spans="2:83" ht="61.5" customHeight="1">
      <c r="B67" s="174"/>
      <c r="C67" s="175"/>
      <c r="D67" s="33"/>
      <c r="E67" s="33"/>
      <c r="F67" s="185" t="s">
        <v>203</v>
      </c>
      <c r="G67" s="186"/>
      <c r="H67" s="124" t="s">
        <v>50</v>
      </c>
      <c r="I67" s="125"/>
      <c r="J67" s="126"/>
      <c r="K67" s="82" t="s">
        <v>152</v>
      </c>
      <c r="L67" s="4"/>
      <c r="M67" s="4"/>
      <c r="N67" s="57"/>
      <c r="O67" s="10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row>
    <row r="68" spans="2:83" ht="39" customHeight="1">
      <c r="B68" s="122"/>
      <c r="C68" s="123"/>
      <c r="D68" s="33"/>
      <c r="E68" s="67"/>
      <c r="F68" s="129" t="s">
        <v>207</v>
      </c>
      <c r="G68" s="130"/>
      <c r="H68" s="124" t="s">
        <v>51</v>
      </c>
      <c r="I68" s="125"/>
      <c r="J68" s="126"/>
      <c r="K68" s="82" t="s">
        <v>153</v>
      </c>
      <c r="L68" s="4"/>
      <c r="M68" s="4"/>
      <c r="N68" s="57"/>
      <c r="O68" s="10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row>
    <row r="69" spans="2:83" ht="34.5" customHeight="1">
      <c r="B69" s="122"/>
      <c r="C69" s="123"/>
      <c r="D69" s="33"/>
      <c r="E69" s="67"/>
      <c r="F69" s="127" t="s">
        <v>226</v>
      </c>
      <c r="G69" s="128"/>
      <c r="H69" s="124" t="s">
        <v>52</v>
      </c>
      <c r="I69" s="125"/>
      <c r="J69" s="126"/>
      <c r="K69" s="82" t="s">
        <v>154</v>
      </c>
      <c r="L69" s="4"/>
      <c r="M69" s="4"/>
      <c r="N69" s="57"/>
      <c r="O69" s="10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row>
    <row r="70" spans="2:83" ht="34.5" customHeight="1">
      <c r="B70" s="122"/>
      <c r="C70" s="123"/>
      <c r="D70" s="33"/>
      <c r="E70" s="67"/>
      <c r="F70" s="127" t="s">
        <v>227</v>
      </c>
      <c r="G70" s="128"/>
      <c r="H70" s="124" t="s">
        <v>53</v>
      </c>
      <c r="I70" s="125"/>
      <c r="J70" s="126"/>
      <c r="K70" s="82" t="s">
        <v>155</v>
      </c>
      <c r="L70" s="4"/>
      <c r="M70" s="4"/>
      <c r="N70" s="57"/>
      <c r="O70" s="10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row>
    <row r="71" spans="2:83" ht="34.5" customHeight="1">
      <c r="B71" s="122"/>
      <c r="C71" s="123"/>
      <c r="D71" s="33"/>
      <c r="E71" s="67"/>
      <c r="F71" s="127" t="s">
        <v>228</v>
      </c>
      <c r="G71" s="128"/>
      <c r="H71" s="124" t="s">
        <v>54</v>
      </c>
      <c r="I71" s="125"/>
      <c r="J71" s="126"/>
      <c r="K71" s="82" t="s">
        <v>156</v>
      </c>
      <c r="L71" s="4"/>
      <c r="M71" s="4"/>
      <c r="N71" s="57"/>
      <c r="O71" s="10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row>
    <row r="72" spans="2:83" ht="29.25" customHeight="1">
      <c r="B72" s="174"/>
      <c r="C72" s="175"/>
      <c r="D72" s="33"/>
      <c r="E72" s="67"/>
      <c r="F72" s="129" t="s">
        <v>229</v>
      </c>
      <c r="G72" s="130"/>
      <c r="H72" s="124" t="s">
        <v>55</v>
      </c>
      <c r="I72" s="125"/>
      <c r="J72" s="126"/>
      <c r="K72" s="82" t="s">
        <v>157</v>
      </c>
      <c r="L72" s="4"/>
      <c r="M72" s="4"/>
      <c r="N72" s="57"/>
      <c r="O72" s="10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row>
    <row r="73" spans="2:83" ht="59.25" customHeight="1">
      <c r="B73" s="214" t="s">
        <v>194</v>
      </c>
      <c r="C73" s="215"/>
      <c r="D73" s="51" t="s">
        <v>195</v>
      </c>
      <c r="E73" s="20"/>
      <c r="F73" s="199" t="s">
        <v>204</v>
      </c>
      <c r="G73" s="199"/>
      <c r="H73" s="190"/>
      <c r="I73" s="190"/>
      <c r="J73" s="191"/>
      <c r="K73" s="85"/>
      <c r="L73" s="4"/>
      <c r="M73" s="4"/>
      <c r="N73" s="57"/>
      <c r="O73" s="10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row>
    <row r="74" spans="2:83" ht="75" customHeight="1">
      <c r="B74" s="122"/>
      <c r="C74" s="123"/>
      <c r="D74" s="33"/>
      <c r="E74" s="67"/>
      <c r="F74" s="127" t="s">
        <v>230</v>
      </c>
      <c r="G74" s="128"/>
      <c r="H74" s="131" t="s">
        <v>56</v>
      </c>
      <c r="I74" s="132"/>
      <c r="J74" s="133"/>
      <c r="K74" s="82" t="s">
        <v>158</v>
      </c>
      <c r="L74" s="4"/>
      <c r="M74" s="4"/>
      <c r="N74" s="57"/>
      <c r="O74" s="10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row>
    <row r="75" spans="2:83" ht="25.5" customHeight="1">
      <c r="B75" s="122"/>
      <c r="C75" s="123"/>
      <c r="D75" s="33"/>
      <c r="E75" s="67"/>
      <c r="F75" s="127" t="s">
        <v>231</v>
      </c>
      <c r="G75" s="128"/>
      <c r="H75" s="131" t="s">
        <v>57</v>
      </c>
      <c r="I75" s="132"/>
      <c r="J75" s="133"/>
      <c r="K75" s="82" t="s">
        <v>159</v>
      </c>
      <c r="L75" s="4"/>
      <c r="M75" s="4"/>
      <c r="N75" s="57"/>
      <c r="O75" s="10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row>
    <row r="76" spans="2:83" ht="37.5" customHeight="1">
      <c r="B76" s="122"/>
      <c r="C76" s="123"/>
      <c r="D76" s="33"/>
      <c r="E76" s="67"/>
      <c r="F76" s="127" t="s">
        <v>232</v>
      </c>
      <c r="G76" s="128"/>
      <c r="H76" s="131" t="s">
        <v>58</v>
      </c>
      <c r="I76" s="132"/>
      <c r="J76" s="133"/>
      <c r="K76" s="82" t="s">
        <v>160</v>
      </c>
      <c r="L76" s="4"/>
      <c r="M76" s="4"/>
      <c r="N76" s="57"/>
      <c r="O76" s="10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row>
    <row r="77" spans="2:83" ht="37.5" customHeight="1">
      <c r="B77" s="122"/>
      <c r="C77" s="123"/>
      <c r="D77" s="33"/>
      <c r="E77" s="67"/>
      <c r="F77" s="127" t="s">
        <v>233</v>
      </c>
      <c r="G77" s="128"/>
      <c r="H77" s="131" t="s">
        <v>59</v>
      </c>
      <c r="I77" s="132"/>
      <c r="J77" s="133"/>
      <c r="K77" s="82" t="s">
        <v>161</v>
      </c>
      <c r="L77" s="4"/>
      <c r="M77" s="4"/>
      <c r="N77" s="57"/>
      <c r="O77" s="10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row>
    <row r="78" spans="2:83" ht="21" customHeight="1">
      <c r="B78" s="122"/>
      <c r="C78" s="123"/>
      <c r="D78" s="33"/>
      <c r="E78" s="67"/>
      <c r="F78" s="129" t="s">
        <v>234</v>
      </c>
      <c r="G78" s="130"/>
      <c r="H78" s="131" t="s">
        <v>60</v>
      </c>
      <c r="I78" s="132"/>
      <c r="J78" s="133"/>
      <c r="K78" s="82" t="s">
        <v>162</v>
      </c>
      <c r="L78" s="4"/>
      <c r="M78" s="4"/>
      <c r="N78" s="57"/>
      <c r="O78" s="10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row>
    <row r="79" spans="2:83" ht="21" customHeight="1">
      <c r="B79" s="122"/>
      <c r="C79" s="123"/>
      <c r="D79" s="33"/>
      <c r="E79" s="67"/>
      <c r="F79" s="127" t="s">
        <v>61</v>
      </c>
      <c r="G79" s="128"/>
      <c r="H79" s="131" t="s">
        <v>62</v>
      </c>
      <c r="I79" s="132"/>
      <c r="J79" s="133"/>
      <c r="K79" s="82" t="s">
        <v>163</v>
      </c>
      <c r="L79" s="4"/>
      <c r="M79" s="4"/>
      <c r="N79" s="57"/>
      <c r="O79" s="10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row>
    <row r="80" spans="2:83" ht="21" customHeight="1">
      <c r="B80" s="122"/>
      <c r="C80" s="123"/>
      <c r="D80" s="33"/>
      <c r="E80" s="67"/>
      <c r="F80" s="127" t="s">
        <v>63</v>
      </c>
      <c r="G80" s="128"/>
      <c r="H80" s="131" t="s">
        <v>64</v>
      </c>
      <c r="I80" s="132"/>
      <c r="J80" s="133"/>
      <c r="K80" s="82" t="s">
        <v>164</v>
      </c>
      <c r="L80" s="4"/>
      <c r="M80" s="4"/>
      <c r="N80" s="57"/>
      <c r="O80" s="10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row>
    <row r="81" spans="2:83" ht="21" customHeight="1">
      <c r="B81" s="122"/>
      <c r="C81" s="123"/>
      <c r="D81" s="33"/>
      <c r="E81" s="67"/>
      <c r="F81" s="127" t="s">
        <v>65</v>
      </c>
      <c r="G81" s="128"/>
      <c r="H81" s="131" t="s">
        <v>66</v>
      </c>
      <c r="I81" s="132"/>
      <c r="J81" s="133"/>
      <c r="K81" s="82" t="s">
        <v>165</v>
      </c>
      <c r="L81" s="4"/>
      <c r="M81" s="4"/>
      <c r="N81" s="57"/>
      <c r="O81" s="10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row>
    <row r="82" spans="2:83" ht="48" customHeight="1">
      <c r="B82" s="122"/>
      <c r="C82" s="123"/>
      <c r="D82" s="33"/>
      <c r="E82" s="67"/>
      <c r="F82" s="127" t="s">
        <v>235</v>
      </c>
      <c r="G82" s="128"/>
      <c r="H82" s="131" t="s">
        <v>67</v>
      </c>
      <c r="I82" s="132"/>
      <c r="J82" s="133"/>
      <c r="K82" s="82" t="s">
        <v>166</v>
      </c>
      <c r="L82" s="4"/>
      <c r="M82" s="4"/>
      <c r="N82" s="57"/>
      <c r="O82" s="10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row>
    <row r="83" spans="2:83" ht="33.75" customHeight="1">
      <c r="B83" s="122"/>
      <c r="C83" s="123"/>
      <c r="D83" s="33"/>
      <c r="E83" s="67"/>
      <c r="F83" s="127" t="s">
        <v>236</v>
      </c>
      <c r="G83" s="128"/>
      <c r="H83" s="131" t="s">
        <v>68</v>
      </c>
      <c r="I83" s="132"/>
      <c r="J83" s="133"/>
      <c r="K83" s="82" t="s">
        <v>167</v>
      </c>
      <c r="L83" s="4"/>
      <c r="M83" s="4"/>
      <c r="N83" s="57"/>
      <c r="O83" s="10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row>
    <row r="84" spans="2:83" ht="21" customHeight="1">
      <c r="B84" s="122"/>
      <c r="C84" s="123"/>
      <c r="D84" s="33"/>
      <c r="E84" s="67"/>
      <c r="F84" s="129" t="s">
        <v>69</v>
      </c>
      <c r="G84" s="130"/>
      <c r="H84" s="131" t="s">
        <v>70</v>
      </c>
      <c r="I84" s="132"/>
      <c r="J84" s="133"/>
      <c r="K84" s="82" t="s">
        <v>168</v>
      </c>
      <c r="L84" s="4"/>
      <c r="M84" s="4" t="s">
        <v>169</v>
      </c>
      <c r="N84" s="57"/>
      <c r="O84" s="10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row>
    <row r="85" spans="2:83" ht="48" customHeight="1">
      <c r="B85" s="174"/>
      <c r="C85" s="175"/>
      <c r="D85" s="33"/>
      <c r="E85" s="67"/>
      <c r="F85" s="129" t="s">
        <v>71</v>
      </c>
      <c r="G85" s="130"/>
      <c r="H85" s="131" t="s">
        <v>72</v>
      </c>
      <c r="I85" s="132"/>
      <c r="J85" s="133"/>
      <c r="K85" s="82" t="s">
        <v>170</v>
      </c>
      <c r="L85" s="4"/>
      <c r="M85" s="4" t="s">
        <v>171</v>
      </c>
      <c r="N85" s="57"/>
      <c r="O85" s="10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row>
    <row r="86" spans="2:83" ht="53.25" customHeight="1">
      <c r="B86" s="122"/>
      <c r="C86" s="123"/>
      <c r="D86" s="33"/>
      <c r="E86" s="33"/>
      <c r="F86" s="127" t="s">
        <v>73</v>
      </c>
      <c r="G86" s="128"/>
      <c r="H86" s="131" t="s">
        <v>74</v>
      </c>
      <c r="I86" s="132"/>
      <c r="J86" s="133"/>
      <c r="K86" s="82" t="s">
        <v>172</v>
      </c>
      <c r="L86" s="4"/>
      <c r="M86" s="4" t="s">
        <v>173</v>
      </c>
      <c r="N86" s="57"/>
      <c r="O86" s="10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row>
    <row r="87" spans="2:83" ht="21" customHeight="1">
      <c r="B87" s="122"/>
      <c r="C87" s="123"/>
      <c r="D87" s="33"/>
      <c r="E87" s="67"/>
      <c r="F87" s="127" t="s">
        <v>75</v>
      </c>
      <c r="G87" s="128"/>
      <c r="H87" s="131" t="s">
        <v>76</v>
      </c>
      <c r="I87" s="132"/>
      <c r="J87" s="133"/>
      <c r="K87" s="82" t="s">
        <v>174</v>
      </c>
      <c r="L87" s="4"/>
      <c r="M87" s="4"/>
      <c r="N87" s="57"/>
      <c r="O87" s="10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row>
    <row r="88" spans="2:83" ht="21" customHeight="1">
      <c r="B88" s="122"/>
      <c r="C88" s="123"/>
      <c r="D88" s="33"/>
      <c r="E88" s="67"/>
      <c r="F88" s="127" t="s">
        <v>77</v>
      </c>
      <c r="G88" s="128"/>
      <c r="H88" s="131" t="s">
        <v>78</v>
      </c>
      <c r="I88" s="132"/>
      <c r="J88" s="133"/>
      <c r="K88" s="82" t="s">
        <v>175</v>
      </c>
      <c r="L88" s="4"/>
      <c r="M88" s="4"/>
      <c r="N88" s="57"/>
      <c r="O88" s="10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row>
    <row r="89" spans="2:83" ht="21" customHeight="1">
      <c r="B89" s="122"/>
      <c r="C89" s="123"/>
      <c r="D89" s="33"/>
      <c r="E89" s="67"/>
      <c r="F89" s="127" t="s">
        <v>79</v>
      </c>
      <c r="G89" s="128"/>
      <c r="H89" s="124" t="s">
        <v>80</v>
      </c>
      <c r="I89" s="125"/>
      <c r="J89" s="126"/>
      <c r="K89" s="82" t="s">
        <v>176</v>
      </c>
      <c r="L89" s="4"/>
      <c r="M89" s="4"/>
      <c r="N89" s="57"/>
      <c r="O89" s="10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row>
    <row r="90" spans="2:83" ht="21" customHeight="1">
      <c r="B90" s="122"/>
      <c r="C90" s="123"/>
      <c r="D90" s="33"/>
      <c r="E90" s="67"/>
      <c r="F90" s="129" t="s">
        <v>81</v>
      </c>
      <c r="G90" s="130"/>
      <c r="H90" s="124" t="s">
        <v>82</v>
      </c>
      <c r="I90" s="125"/>
      <c r="J90" s="126"/>
      <c r="K90" s="82" t="s">
        <v>177</v>
      </c>
      <c r="L90" s="4"/>
      <c r="M90" s="4"/>
      <c r="N90" s="57"/>
      <c r="O90" s="10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row>
    <row r="91" spans="2:83" ht="21" customHeight="1">
      <c r="B91" s="122"/>
      <c r="C91" s="123"/>
      <c r="D91" s="33"/>
      <c r="E91" s="67"/>
      <c r="F91" s="127" t="s">
        <v>83</v>
      </c>
      <c r="G91" s="128"/>
      <c r="H91" s="124" t="s">
        <v>84</v>
      </c>
      <c r="I91" s="125"/>
      <c r="J91" s="126"/>
      <c r="K91" s="82" t="s">
        <v>178</v>
      </c>
      <c r="L91" s="4"/>
      <c r="M91" s="4"/>
      <c r="N91" s="57"/>
      <c r="O91" s="10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row>
    <row r="92" spans="2:83" ht="21" customHeight="1">
      <c r="B92" s="122"/>
      <c r="C92" s="123"/>
      <c r="D92" s="33"/>
      <c r="E92" s="67"/>
      <c r="F92" s="127" t="s">
        <v>85</v>
      </c>
      <c r="G92" s="128"/>
      <c r="H92" s="124" t="s">
        <v>86</v>
      </c>
      <c r="I92" s="125"/>
      <c r="J92" s="126"/>
      <c r="K92" s="82" t="s">
        <v>179</v>
      </c>
      <c r="L92" s="4"/>
      <c r="M92" s="4"/>
      <c r="N92" s="57"/>
      <c r="O92" s="10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row>
    <row r="93" spans="2:83" ht="21" customHeight="1">
      <c r="B93" s="122"/>
      <c r="C93" s="123"/>
      <c r="D93" s="33"/>
      <c r="E93" s="67"/>
      <c r="F93" s="127" t="s">
        <v>87</v>
      </c>
      <c r="G93" s="128"/>
      <c r="H93" s="124" t="s">
        <v>88</v>
      </c>
      <c r="I93" s="125"/>
      <c r="J93" s="126"/>
      <c r="K93" s="82" t="s">
        <v>180</v>
      </c>
      <c r="L93" s="4"/>
      <c r="M93" s="4"/>
      <c r="N93" s="57"/>
      <c r="O93" s="10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row>
    <row r="94" spans="2:83" ht="21" customHeight="1">
      <c r="B94" s="122"/>
      <c r="C94" s="123"/>
      <c r="D94" s="33"/>
      <c r="E94" s="67"/>
      <c r="F94" s="129" t="s">
        <v>89</v>
      </c>
      <c r="G94" s="130"/>
      <c r="H94" s="124" t="s">
        <v>90</v>
      </c>
      <c r="I94" s="125"/>
      <c r="J94" s="126"/>
      <c r="K94" s="82" t="s">
        <v>181</v>
      </c>
      <c r="L94" s="4"/>
      <c r="M94" s="4"/>
      <c r="N94" s="57"/>
      <c r="O94" s="10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row>
    <row r="95" spans="2:83" ht="21" customHeight="1">
      <c r="B95" s="122"/>
      <c r="C95" s="123"/>
      <c r="D95" s="33"/>
      <c r="E95" s="67"/>
      <c r="F95" s="127" t="s">
        <v>91</v>
      </c>
      <c r="G95" s="128"/>
      <c r="H95" s="124" t="s">
        <v>92</v>
      </c>
      <c r="I95" s="125"/>
      <c r="J95" s="126"/>
      <c r="K95" s="82" t="s">
        <v>182</v>
      </c>
      <c r="L95" s="4"/>
      <c r="M95" s="4"/>
      <c r="N95" s="57"/>
      <c r="O95" s="10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row>
    <row r="96" spans="2:83" ht="21" customHeight="1">
      <c r="B96" s="122"/>
      <c r="C96" s="123"/>
      <c r="D96" s="33"/>
      <c r="E96" s="67"/>
      <c r="F96" s="127" t="s">
        <v>93</v>
      </c>
      <c r="G96" s="128"/>
      <c r="H96" s="124" t="s">
        <v>94</v>
      </c>
      <c r="I96" s="125"/>
      <c r="J96" s="126"/>
      <c r="K96" s="82" t="s">
        <v>183</v>
      </c>
      <c r="L96" s="4"/>
      <c r="M96" s="4"/>
      <c r="N96" s="57"/>
      <c r="O96" s="10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row>
    <row r="97" spans="2:83" ht="21" customHeight="1">
      <c r="B97" s="122"/>
      <c r="C97" s="123"/>
      <c r="D97" s="33"/>
      <c r="E97" s="67"/>
      <c r="F97" s="127" t="s">
        <v>237</v>
      </c>
      <c r="G97" s="128"/>
      <c r="H97" s="124" t="s">
        <v>95</v>
      </c>
      <c r="I97" s="125"/>
      <c r="J97" s="126"/>
      <c r="K97" s="82" t="s">
        <v>184</v>
      </c>
      <c r="L97" s="4"/>
      <c r="M97" s="4"/>
      <c r="N97" s="57"/>
      <c r="O97" s="10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row>
    <row r="98" spans="2:83" ht="34.5" customHeight="1">
      <c r="B98" s="122"/>
      <c r="C98" s="123"/>
      <c r="D98" s="33"/>
      <c r="E98" s="67"/>
      <c r="F98" s="127" t="s">
        <v>96</v>
      </c>
      <c r="G98" s="128"/>
      <c r="H98" s="124" t="s">
        <v>97</v>
      </c>
      <c r="I98" s="125"/>
      <c r="J98" s="126"/>
      <c r="K98" s="82" t="s">
        <v>185</v>
      </c>
      <c r="L98" s="4"/>
      <c r="M98" s="4"/>
      <c r="N98" s="57"/>
      <c r="O98" s="10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row>
    <row r="99" spans="2:83" ht="44.25" customHeight="1">
      <c r="B99" s="122"/>
      <c r="C99" s="123"/>
      <c r="D99" s="33"/>
      <c r="E99" s="67"/>
      <c r="F99" s="127" t="s">
        <v>98</v>
      </c>
      <c r="G99" s="128"/>
      <c r="H99" s="124" t="s">
        <v>99</v>
      </c>
      <c r="I99" s="125"/>
      <c r="J99" s="126"/>
      <c r="K99" s="82" t="s">
        <v>186</v>
      </c>
      <c r="L99" s="4"/>
      <c r="M99" s="4"/>
      <c r="N99" s="57"/>
      <c r="O99" s="10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row>
    <row r="100" spans="2:83" ht="44.25" customHeight="1">
      <c r="B100" s="122"/>
      <c r="C100" s="123"/>
      <c r="D100" s="33"/>
      <c r="E100" s="67"/>
      <c r="F100" s="129" t="s">
        <v>238</v>
      </c>
      <c r="G100" s="130"/>
      <c r="H100" s="124" t="s">
        <v>100</v>
      </c>
      <c r="I100" s="125"/>
      <c r="J100" s="126"/>
      <c r="K100" s="82" t="s">
        <v>187</v>
      </c>
      <c r="L100" s="4"/>
      <c r="M100" s="4"/>
      <c r="N100" s="57"/>
      <c r="O100" s="10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row>
    <row r="101" spans="2:83" ht="36" customHeight="1">
      <c r="B101" s="122"/>
      <c r="C101" s="123"/>
      <c r="D101" s="33"/>
      <c r="E101" s="67"/>
      <c r="F101" s="129" t="s">
        <v>239</v>
      </c>
      <c r="G101" s="130"/>
      <c r="H101" s="124" t="s">
        <v>101</v>
      </c>
      <c r="I101" s="125"/>
      <c r="J101" s="126"/>
      <c r="K101" s="82" t="s">
        <v>188</v>
      </c>
      <c r="L101" s="4"/>
      <c r="M101" s="4"/>
      <c r="N101" s="57"/>
      <c r="O101" s="10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row>
    <row r="102" spans="2:83" ht="30.75" customHeight="1">
      <c r="B102" s="122"/>
      <c r="C102" s="123"/>
      <c r="D102" s="33"/>
      <c r="E102" s="67"/>
      <c r="F102" s="127" t="s">
        <v>240</v>
      </c>
      <c r="G102" s="128"/>
      <c r="H102" s="124" t="s">
        <v>102</v>
      </c>
      <c r="I102" s="125"/>
      <c r="J102" s="126"/>
      <c r="K102" s="82" t="s">
        <v>189</v>
      </c>
      <c r="L102" s="4"/>
      <c r="M102" s="4"/>
      <c r="N102" s="57"/>
      <c r="O102" s="10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row>
    <row r="103" spans="2:83" ht="21" customHeight="1">
      <c r="B103" s="122"/>
      <c r="C103" s="123"/>
      <c r="D103" s="33"/>
      <c r="E103" s="67"/>
      <c r="F103" s="127" t="s">
        <v>241</v>
      </c>
      <c r="G103" s="128"/>
      <c r="H103" s="124" t="s">
        <v>103</v>
      </c>
      <c r="I103" s="125"/>
      <c r="J103" s="126"/>
      <c r="K103" s="82" t="s">
        <v>190</v>
      </c>
      <c r="L103" s="4"/>
      <c r="M103" s="4"/>
      <c r="N103" s="57"/>
      <c r="O103" s="10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row>
    <row r="104" spans="2:83" ht="21" customHeight="1">
      <c r="B104" s="122"/>
      <c r="C104" s="123"/>
      <c r="D104" s="33"/>
      <c r="E104" s="67"/>
      <c r="F104" s="127" t="s">
        <v>242</v>
      </c>
      <c r="G104" s="128"/>
      <c r="H104" s="124" t="s">
        <v>104</v>
      </c>
      <c r="I104" s="125"/>
      <c r="J104" s="126"/>
      <c r="K104" s="82" t="s">
        <v>191</v>
      </c>
      <c r="L104" s="4"/>
      <c r="M104" s="4"/>
      <c r="N104" s="57"/>
      <c r="O104" s="10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row>
    <row r="105" spans="2:83" ht="21" customHeight="1">
      <c r="B105" s="122"/>
      <c r="C105" s="123"/>
      <c r="D105" s="33"/>
      <c r="E105" s="67"/>
      <c r="F105" s="127" t="s">
        <v>243</v>
      </c>
      <c r="G105" s="128"/>
      <c r="H105" s="124" t="s">
        <v>105</v>
      </c>
      <c r="I105" s="125"/>
      <c r="J105" s="126"/>
      <c r="K105" s="82" t="s">
        <v>192</v>
      </c>
      <c r="L105" s="4"/>
      <c r="M105" s="4"/>
      <c r="N105" s="57"/>
      <c r="O105" s="10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row>
    <row r="106" spans="2:83" ht="30" customHeight="1" thickBot="1">
      <c r="B106" s="197"/>
      <c r="C106" s="198"/>
      <c r="D106" s="37"/>
      <c r="E106" s="70"/>
      <c r="F106" s="200" t="s">
        <v>244</v>
      </c>
      <c r="G106" s="201"/>
      <c r="H106" s="187" t="s">
        <v>106</v>
      </c>
      <c r="I106" s="188"/>
      <c r="J106" s="189"/>
      <c r="K106" s="86" t="s">
        <v>193</v>
      </c>
      <c r="L106" s="4"/>
      <c r="M106" s="4"/>
      <c r="N106" s="57"/>
      <c r="O106" s="10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row>
    <row r="107" spans="2:83" s="4" customFormat="1" ht="20.25" customHeight="1">
      <c r="B107" s="3"/>
      <c r="C107" s="3"/>
      <c r="D107" s="28"/>
      <c r="F107" s="5"/>
      <c r="G107" s="5"/>
      <c r="H107" s="21"/>
      <c r="I107" s="21"/>
      <c r="J107" s="21"/>
      <c r="K107" s="56"/>
      <c r="N107" s="57"/>
      <c r="O107" s="104"/>
    </row>
    <row r="108" spans="2:83" s="4" customFormat="1" hidden="1">
      <c r="B108" s="3"/>
      <c r="C108" s="3"/>
      <c r="D108" s="28"/>
      <c r="F108" s="5"/>
      <c r="G108" s="5"/>
      <c r="H108" s="21"/>
      <c r="I108" s="21"/>
      <c r="J108" s="21"/>
      <c r="K108" s="56"/>
      <c r="N108" s="57"/>
      <c r="O108" s="104"/>
    </row>
    <row r="109" spans="2:83" s="4" customFormat="1" hidden="1">
      <c r="B109" s="3"/>
      <c r="C109" s="3"/>
      <c r="D109" s="28"/>
      <c r="F109" s="5"/>
      <c r="G109" s="5"/>
      <c r="H109" s="21"/>
      <c r="I109" s="21"/>
      <c r="J109" s="21"/>
      <c r="K109" s="56"/>
      <c r="N109" s="57"/>
      <c r="O109" s="104"/>
    </row>
    <row r="110" spans="2:83" s="4" customFormat="1" hidden="1">
      <c r="B110" s="3"/>
      <c r="C110" s="3"/>
      <c r="D110" s="28"/>
      <c r="F110" s="5"/>
      <c r="G110" s="5"/>
      <c r="H110" s="21"/>
      <c r="I110" s="21"/>
      <c r="J110" s="21"/>
      <c r="K110" s="56"/>
      <c r="N110" s="57"/>
      <c r="O110" s="104"/>
    </row>
    <row r="111" spans="2:83" s="4" customFormat="1" hidden="1">
      <c r="B111" s="3"/>
      <c r="C111" s="3"/>
      <c r="D111" s="28"/>
      <c r="F111" s="5"/>
      <c r="G111" s="5"/>
      <c r="H111" s="21"/>
      <c r="I111" s="21"/>
      <c r="J111" s="21"/>
      <c r="K111" s="56"/>
      <c r="N111" s="57"/>
      <c r="O111" s="104"/>
    </row>
    <row r="112" spans="2:83" s="4" customFormat="1" hidden="1">
      <c r="B112" s="3"/>
      <c r="C112" s="3"/>
      <c r="D112" s="28"/>
      <c r="F112" s="5"/>
      <c r="G112" s="5"/>
      <c r="H112" s="21"/>
      <c r="I112" s="21"/>
      <c r="J112" s="21"/>
      <c r="K112" s="56"/>
      <c r="N112" s="57"/>
      <c r="O112" s="104"/>
    </row>
    <row r="113" spans="2:15" s="4" customFormat="1" hidden="1">
      <c r="B113" s="3"/>
      <c r="C113" s="3"/>
      <c r="D113" s="28"/>
      <c r="F113" s="5"/>
      <c r="G113" s="5"/>
      <c r="H113" s="21"/>
      <c r="I113" s="21"/>
      <c r="J113" s="21"/>
      <c r="K113" s="56"/>
      <c r="N113" s="57"/>
      <c r="O113" s="104"/>
    </row>
    <row r="114" spans="2:15" s="4" customFormat="1" hidden="1">
      <c r="B114" s="3"/>
      <c r="C114" s="3"/>
      <c r="D114" s="28"/>
      <c r="F114" s="5"/>
      <c r="G114" s="5"/>
      <c r="H114" s="21"/>
      <c r="I114" s="21"/>
      <c r="J114" s="21"/>
      <c r="K114" s="56"/>
      <c r="N114" s="57"/>
      <c r="O114" s="104"/>
    </row>
    <row r="115" spans="2:15" s="4" customFormat="1" hidden="1">
      <c r="B115" s="3"/>
      <c r="C115" s="3"/>
      <c r="D115" s="28"/>
      <c r="F115" s="5"/>
      <c r="G115" s="5"/>
      <c r="H115" s="21"/>
      <c r="I115" s="21"/>
      <c r="J115" s="21"/>
      <c r="K115" s="56"/>
      <c r="N115" s="57"/>
      <c r="O115" s="104"/>
    </row>
    <row r="116" spans="2:15" s="4" customFormat="1" hidden="1">
      <c r="B116" s="3"/>
      <c r="C116" s="3"/>
      <c r="D116" s="28"/>
      <c r="F116" s="5"/>
      <c r="G116" s="5"/>
      <c r="H116" s="21"/>
      <c r="I116" s="21"/>
      <c r="J116" s="21"/>
      <c r="K116" s="56"/>
      <c r="N116" s="57"/>
      <c r="O116" s="104"/>
    </row>
    <row r="117" spans="2:15" s="4" customFormat="1" hidden="1">
      <c r="B117" s="3"/>
      <c r="C117" s="3"/>
      <c r="D117" s="28"/>
      <c r="F117" s="5"/>
      <c r="G117" s="5"/>
      <c r="H117" s="21"/>
      <c r="I117" s="21"/>
      <c r="J117" s="21"/>
      <c r="K117" s="56"/>
      <c r="N117" s="57"/>
      <c r="O117" s="104"/>
    </row>
    <row r="118" spans="2:15" s="4" customFormat="1" hidden="1">
      <c r="B118" s="3"/>
      <c r="C118" s="3"/>
      <c r="D118" s="28"/>
      <c r="F118" s="5"/>
      <c r="G118" s="5"/>
      <c r="H118" s="21"/>
      <c r="I118" s="21"/>
      <c r="J118" s="21"/>
      <c r="K118" s="56"/>
      <c r="N118" s="57"/>
      <c r="O118" s="104"/>
    </row>
    <row r="119" spans="2:15" s="4" customFormat="1" hidden="1">
      <c r="B119" s="3"/>
      <c r="C119" s="3"/>
      <c r="D119" s="28"/>
      <c r="F119" s="5"/>
      <c r="G119" s="5"/>
      <c r="H119" s="21"/>
      <c r="I119" s="21"/>
      <c r="J119" s="21"/>
      <c r="K119" s="56"/>
      <c r="N119" s="57"/>
      <c r="O119" s="104"/>
    </row>
    <row r="120" spans="2:15" s="4" customFormat="1" hidden="1">
      <c r="B120" s="3"/>
      <c r="C120" s="3"/>
      <c r="D120" s="28"/>
      <c r="F120" s="5"/>
      <c r="G120" s="5"/>
      <c r="H120" s="21"/>
      <c r="I120" s="21"/>
      <c r="J120" s="21"/>
      <c r="K120" s="56"/>
      <c r="N120" s="57"/>
      <c r="O120" s="104"/>
    </row>
    <row r="121" spans="2:15" s="4" customFormat="1" hidden="1">
      <c r="B121" s="3"/>
      <c r="C121" s="3"/>
      <c r="D121" s="28"/>
      <c r="F121" s="5"/>
      <c r="G121" s="5"/>
      <c r="H121" s="21"/>
      <c r="I121" s="21"/>
      <c r="J121" s="21"/>
      <c r="K121" s="56"/>
      <c r="N121" s="57"/>
      <c r="O121" s="104"/>
    </row>
    <row r="122" spans="2:15" s="4" customFormat="1" hidden="1">
      <c r="B122" s="3"/>
      <c r="C122" s="3"/>
      <c r="D122" s="28"/>
      <c r="F122" s="5"/>
      <c r="G122" s="5"/>
      <c r="H122" s="21"/>
      <c r="I122" s="21"/>
      <c r="J122" s="21"/>
      <c r="K122" s="56"/>
      <c r="N122" s="57"/>
      <c r="O122" s="104"/>
    </row>
    <row r="123" spans="2:15" s="4" customFormat="1" hidden="1">
      <c r="B123" s="3"/>
      <c r="C123" s="3"/>
      <c r="D123" s="28"/>
      <c r="F123" s="5"/>
      <c r="G123" s="5"/>
      <c r="H123" s="21"/>
      <c r="I123" s="21"/>
      <c r="J123" s="21"/>
      <c r="K123" s="56"/>
      <c r="N123" s="57"/>
      <c r="O123" s="104"/>
    </row>
    <row r="124" spans="2:15" s="4" customFormat="1" hidden="1">
      <c r="B124" s="3"/>
      <c r="C124" s="3"/>
      <c r="D124" s="28"/>
      <c r="F124" s="5"/>
      <c r="G124" s="5"/>
      <c r="H124" s="21"/>
      <c r="I124" s="21"/>
      <c r="J124" s="21"/>
      <c r="K124" s="56"/>
      <c r="N124" s="57"/>
      <c r="O124" s="104"/>
    </row>
    <row r="125" spans="2:15" s="4" customFormat="1" hidden="1">
      <c r="B125" s="3"/>
      <c r="C125" s="3"/>
      <c r="D125" s="28"/>
      <c r="F125" s="5"/>
      <c r="G125" s="5"/>
      <c r="H125" s="21"/>
      <c r="I125" s="21"/>
      <c r="J125" s="21"/>
      <c r="K125" s="56"/>
      <c r="N125" s="57"/>
      <c r="O125" s="104"/>
    </row>
    <row r="126" spans="2:15" s="4" customFormat="1" hidden="1">
      <c r="B126" s="3"/>
      <c r="C126" s="3"/>
      <c r="D126" s="28"/>
      <c r="F126" s="5"/>
      <c r="G126" s="5"/>
      <c r="H126" s="21"/>
      <c r="I126" s="21"/>
      <c r="J126" s="21"/>
      <c r="K126" s="56"/>
      <c r="N126" s="57"/>
      <c r="O126" s="104"/>
    </row>
    <row r="127" spans="2:15" s="4" customFormat="1" hidden="1">
      <c r="B127" s="3"/>
      <c r="C127" s="3"/>
      <c r="D127" s="28"/>
      <c r="F127" s="5"/>
      <c r="G127" s="5"/>
      <c r="H127" s="21"/>
      <c r="I127" s="21"/>
      <c r="J127" s="21"/>
      <c r="K127" s="56"/>
      <c r="N127" s="57"/>
      <c r="O127" s="104"/>
    </row>
    <row r="128" spans="2:15" s="4" customFormat="1" hidden="1">
      <c r="B128" s="3"/>
      <c r="C128" s="3"/>
      <c r="D128" s="28"/>
      <c r="F128" s="5"/>
      <c r="G128" s="5"/>
      <c r="H128" s="21"/>
      <c r="I128" s="21"/>
      <c r="J128" s="21"/>
      <c r="K128" s="56"/>
      <c r="N128" s="57"/>
      <c r="O128" s="104"/>
    </row>
    <row r="129" spans="2:15" s="4" customFormat="1" hidden="1">
      <c r="B129" s="3"/>
      <c r="C129" s="3"/>
      <c r="D129" s="28"/>
      <c r="F129" s="5"/>
      <c r="G129" s="5"/>
      <c r="H129" s="21"/>
      <c r="I129" s="21"/>
      <c r="J129" s="21"/>
      <c r="K129" s="56"/>
      <c r="N129" s="57"/>
      <c r="O129" s="104"/>
    </row>
    <row r="130" spans="2:15" s="4" customFormat="1" hidden="1">
      <c r="B130" s="3"/>
      <c r="C130" s="3"/>
      <c r="D130" s="28"/>
      <c r="F130" s="5"/>
      <c r="G130" s="5"/>
      <c r="H130" s="21"/>
      <c r="I130" s="21"/>
      <c r="J130" s="21"/>
      <c r="K130" s="56"/>
      <c r="N130" s="57"/>
      <c r="O130" s="104"/>
    </row>
    <row r="131" spans="2:15" s="4" customFormat="1" hidden="1">
      <c r="B131" s="3"/>
      <c r="C131" s="3"/>
      <c r="D131" s="28"/>
      <c r="F131" s="5"/>
      <c r="G131" s="5"/>
      <c r="H131" s="21"/>
      <c r="I131" s="21"/>
      <c r="J131" s="21"/>
      <c r="K131" s="56"/>
      <c r="N131" s="57"/>
      <c r="O131" s="104"/>
    </row>
    <row r="132" spans="2:15" s="4" customFormat="1" hidden="1">
      <c r="B132" s="3"/>
      <c r="C132" s="3"/>
      <c r="D132" s="28"/>
      <c r="F132" s="5"/>
      <c r="G132" s="5"/>
      <c r="H132" s="21"/>
      <c r="I132" s="21"/>
      <c r="J132" s="21"/>
      <c r="K132" s="56"/>
      <c r="N132" s="57"/>
      <c r="O132" s="104"/>
    </row>
    <row r="133" spans="2:15" s="4" customFormat="1" hidden="1">
      <c r="B133" s="3"/>
      <c r="C133" s="3"/>
      <c r="D133" s="28"/>
      <c r="F133" s="5"/>
      <c r="G133" s="5"/>
      <c r="H133" s="21"/>
      <c r="I133" s="21"/>
      <c r="J133" s="21"/>
      <c r="K133" s="56"/>
      <c r="N133" s="57"/>
      <c r="O133" s="104"/>
    </row>
    <row r="134" spans="2:15" s="4" customFormat="1" hidden="1">
      <c r="B134" s="3"/>
      <c r="C134" s="3"/>
      <c r="D134" s="28"/>
      <c r="F134" s="5"/>
      <c r="G134" s="5"/>
      <c r="H134" s="21"/>
      <c r="I134" s="21"/>
      <c r="J134" s="21"/>
      <c r="K134" s="56"/>
      <c r="N134" s="57"/>
      <c r="O134" s="104"/>
    </row>
    <row r="135" spans="2:15" s="4" customFormat="1" hidden="1">
      <c r="B135" s="3"/>
      <c r="C135" s="3"/>
      <c r="D135" s="28"/>
      <c r="F135" s="5"/>
      <c r="G135" s="5"/>
      <c r="H135" s="21"/>
      <c r="I135" s="21"/>
      <c r="J135" s="21"/>
      <c r="K135" s="56"/>
      <c r="N135" s="57"/>
      <c r="O135" s="104"/>
    </row>
    <row r="136" spans="2:15" s="4" customFormat="1" hidden="1">
      <c r="B136" s="3"/>
      <c r="C136" s="3"/>
      <c r="D136" s="28"/>
      <c r="F136" s="5"/>
      <c r="G136" s="5"/>
      <c r="H136" s="21"/>
      <c r="I136" s="21"/>
      <c r="J136" s="21"/>
      <c r="K136" s="56"/>
      <c r="N136" s="57"/>
      <c r="O136" s="104"/>
    </row>
    <row r="137" spans="2:15" s="4" customFormat="1" hidden="1">
      <c r="B137" s="3"/>
      <c r="C137" s="3"/>
      <c r="D137" s="28"/>
      <c r="F137" s="5"/>
      <c r="G137" s="5"/>
      <c r="H137" s="21"/>
      <c r="I137" s="21"/>
      <c r="J137" s="21"/>
      <c r="K137" s="56"/>
      <c r="N137" s="57"/>
      <c r="O137" s="104"/>
    </row>
    <row r="138" spans="2:15" s="4" customFormat="1" hidden="1">
      <c r="B138" s="3"/>
      <c r="C138" s="3"/>
      <c r="D138" s="28"/>
      <c r="F138" s="5"/>
      <c r="G138" s="5"/>
      <c r="H138" s="21"/>
      <c r="I138" s="21"/>
      <c r="J138" s="21"/>
      <c r="K138" s="56"/>
      <c r="N138" s="57"/>
      <c r="O138" s="104"/>
    </row>
    <row r="139" spans="2:15" s="4" customFormat="1" hidden="1">
      <c r="B139" s="3"/>
      <c r="C139" s="3"/>
      <c r="D139" s="28"/>
      <c r="F139" s="5"/>
      <c r="G139" s="5"/>
      <c r="H139" s="21"/>
      <c r="I139" s="21"/>
      <c r="J139" s="21"/>
      <c r="K139" s="56"/>
      <c r="N139" s="57"/>
      <c r="O139" s="104"/>
    </row>
    <row r="140" spans="2:15" s="4" customFormat="1" hidden="1">
      <c r="B140" s="3"/>
      <c r="C140" s="3"/>
      <c r="D140" s="28"/>
      <c r="F140" s="5"/>
      <c r="G140" s="5"/>
      <c r="H140" s="21"/>
      <c r="I140" s="21"/>
      <c r="J140" s="21"/>
      <c r="K140" s="56"/>
      <c r="N140" s="57"/>
      <c r="O140" s="104"/>
    </row>
    <row r="141" spans="2:15" s="4" customFormat="1" hidden="1">
      <c r="B141" s="3"/>
      <c r="C141" s="3"/>
      <c r="D141" s="28"/>
      <c r="F141" s="5"/>
      <c r="G141" s="5"/>
      <c r="H141" s="21"/>
      <c r="I141" s="21"/>
      <c r="J141" s="21"/>
      <c r="K141" s="56"/>
      <c r="N141" s="57"/>
      <c r="O141" s="104"/>
    </row>
    <row r="142" spans="2:15" s="4" customFormat="1" hidden="1">
      <c r="B142" s="3"/>
      <c r="C142" s="3"/>
      <c r="D142" s="28"/>
      <c r="F142" s="5"/>
      <c r="G142" s="5"/>
      <c r="H142" s="21"/>
      <c r="I142" s="21"/>
      <c r="J142" s="21"/>
      <c r="K142" s="56"/>
      <c r="N142" s="57"/>
      <c r="O142" s="104"/>
    </row>
    <row r="143" spans="2:15" s="4" customFormat="1" hidden="1">
      <c r="B143" s="3"/>
      <c r="C143" s="3"/>
      <c r="D143" s="28"/>
      <c r="F143" s="5"/>
      <c r="G143" s="5"/>
      <c r="H143" s="21"/>
      <c r="I143" s="21"/>
      <c r="J143" s="21"/>
      <c r="K143" s="56"/>
      <c r="N143" s="57"/>
      <c r="O143" s="104"/>
    </row>
    <row r="144" spans="2:15" s="4" customFormat="1" hidden="1">
      <c r="B144" s="3"/>
      <c r="C144" s="3"/>
      <c r="D144" s="28"/>
      <c r="F144" s="5"/>
      <c r="G144" s="5"/>
      <c r="H144" s="21"/>
      <c r="I144" s="21"/>
      <c r="J144" s="21"/>
      <c r="K144" s="56"/>
      <c r="N144" s="57"/>
      <c r="O144" s="104"/>
    </row>
    <row r="145" spans="2:15" s="4" customFormat="1" hidden="1">
      <c r="B145" s="3"/>
      <c r="C145" s="3"/>
      <c r="D145" s="28"/>
      <c r="F145" s="5"/>
      <c r="G145" s="5"/>
      <c r="H145" s="21"/>
      <c r="I145" s="21"/>
      <c r="J145" s="21"/>
      <c r="K145" s="56"/>
      <c r="N145" s="57"/>
      <c r="O145" s="104"/>
    </row>
    <row r="146" spans="2:15" s="4" customFormat="1" hidden="1">
      <c r="B146" s="3"/>
      <c r="C146" s="3"/>
      <c r="D146" s="28"/>
      <c r="F146" s="5"/>
      <c r="G146" s="5"/>
      <c r="H146" s="21"/>
      <c r="I146" s="21"/>
      <c r="J146" s="21"/>
      <c r="K146" s="56"/>
      <c r="N146" s="57"/>
      <c r="O146" s="104"/>
    </row>
    <row r="147" spans="2:15" s="4" customFormat="1" hidden="1">
      <c r="B147" s="3"/>
      <c r="C147" s="3"/>
      <c r="D147" s="28"/>
      <c r="F147" s="5"/>
      <c r="G147" s="5"/>
      <c r="H147" s="21"/>
      <c r="I147" s="21"/>
      <c r="J147" s="21"/>
      <c r="K147" s="56"/>
      <c r="N147" s="57"/>
      <c r="O147" s="104"/>
    </row>
    <row r="148" spans="2:15" s="4" customFormat="1" hidden="1">
      <c r="B148" s="3"/>
      <c r="C148" s="3"/>
      <c r="D148" s="28"/>
      <c r="F148" s="5"/>
      <c r="G148" s="5"/>
      <c r="H148" s="21"/>
      <c r="I148" s="21"/>
      <c r="J148" s="21"/>
      <c r="K148" s="56"/>
      <c r="N148" s="57"/>
      <c r="O148" s="104"/>
    </row>
    <row r="149" spans="2:15" s="4" customFormat="1" hidden="1">
      <c r="B149" s="3"/>
      <c r="C149" s="3"/>
      <c r="D149" s="28"/>
      <c r="F149" s="5"/>
      <c r="G149" s="5"/>
      <c r="H149" s="21"/>
      <c r="I149" s="21"/>
      <c r="J149" s="21"/>
      <c r="K149" s="56"/>
      <c r="N149" s="57"/>
      <c r="O149" s="104"/>
    </row>
    <row r="150" spans="2:15" s="4" customFormat="1" hidden="1">
      <c r="B150" s="3"/>
      <c r="C150" s="3"/>
      <c r="D150" s="28"/>
      <c r="F150" s="5"/>
      <c r="G150" s="5"/>
      <c r="H150" s="21"/>
      <c r="I150" s="21"/>
      <c r="J150" s="21"/>
      <c r="K150" s="56"/>
      <c r="N150" s="57"/>
      <c r="O150" s="104"/>
    </row>
    <row r="151" spans="2:15" s="4" customFormat="1" hidden="1">
      <c r="B151" s="3"/>
      <c r="C151" s="3"/>
      <c r="D151" s="28"/>
      <c r="F151" s="5"/>
      <c r="G151" s="5"/>
      <c r="H151" s="21"/>
      <c r="I151" s="21"/>
      <c r="J151" s="21"/>
      <c r="K151" s="56"/>
      <c r="N151" s="57"/>
      <c r="O151" s="104"/>
    </row>
    <row r="152" spans="2:15" s="4" customFormat="1" hidden="1">
      <c r="B152" s="3"/>
      <c r="C152" s="3"/>
      <c r="D152" s="28"/>
      <c r="F152" s="5"/>
      <c r="G152" s="5"/>
      <c r="H152" s="21"/>
      <c r="I152" s="21"/>
      <c r="J152" s="21"/>
      <c r="K152" s="56"/>
      <c r="N152" s="57"/>
      <c r="O152" s="104"/>
    </row>
    <row r="153" spans="2:15" s="4" customFormat="1" hidden="1">
      <c r="B153" s="3"/>
      <c r="C153" s="3"/>
      <c r="D153" s="28"/>
      <c r="F153" s="5"/>
      <c r="G153" s="5"/>
      <c r="H153" s="21"/>
      <c r="I153" s="21"/>
      <c r="J153" s="21"/>
      <c r="K153" s="56"/>
      <c r="N153" s="57"/>
      <c r="O153" s="104"/>
    </row>
    <row r="154" spans="2:15" s="4" customFormat="1" hidden="1">
      <c r="B154" s="3"/>
      <c r="C154" s="3"/>
      <c r="D154" s="28"/>
      <c r="F154" s="5"/>
      <c r="G154" s="5"/>
      <c r="H154" s="21"/>
      <c r="I154" s="21"/>
      <c r="J154" s="21"/>
      <c r="K154" s="56"/>
      <c r="N154" s="57"/>
      <c r="O154" s="104"/>
    </row>
    <row r="155" spans="2:15" s="4" customFormat="1" hidden="1">
      <c r="B155" s="3"/>
      <c r="C155" s="3"/>
      <c r="D155" s="28"/>
      <c r="F155" s="5"/>
      <c r="G155" s="5"/>
      <c r="H155" s="21"/>
      <c r="I155" s="21"/>
      <c r="J155" s="21"/>
      <c r="K155" s="56"/>
      <c r="N155" s="57"/>
      <c r="O155" s="104"/>
    </row>
    <row r="156" spans="2:15" s="4" customFormat="1" hidden="1">
      <c r="B156" s="3"/>
      <c r="C156" s="3"/>
      <c r="D156" s="28"/>
      <c r="F156" s="5"/>
      <c r="G156" s="5"/>
      <c r="H156" s="21"/>
      <c r="I156" s="21"/>
      <c r="J156" s="21"/>
      <c r="K156" s="56"/>
      <c r="N156" s="57"/>
      <c r="O156" s="104"/>
    </row>
    <row r="157" spans="2:15" s="4" customFormat="1" hidden="1">
      <c r="B157" s="3"/>
      <c r="C157" s="3"/>
      <c r="D157" s="28"/>
      <c r="F157" s="5"/>
      <c r="G157" s="5"/>
      <c r="H157" s="21"/>
      <c r="I157" s="21"/>
      <c r="J157" s="21"/>
      <c r="K157" s="56"/>
      <c r="N157" s="57"/>
      <c r="O157" s="104"/>
    </row>
    <row r="158" spans="2:15" s="4" customFormat="1" hidden="1">
      <c r="B158" s="3"/>
      <c r="C158" s="3"/>
      <c r="D158" s="28"/>
      <c r="F158" s="5"/>
      <c r="G158" s="5"/>
      <c r="H158" s="21"/>
      <c r="I158" s="21"/>
      <c r="J158" s="21"/>
      <c r="K158" s="56"/>
      <c r="N158" s="57"/>
      <c r="O158" s="104"/>
    </row>
    <row r="159" spans="2:15" s="4" customFormat="1" hidden="1">
      <c r="B159" s="3"/>
      <c r="C159" s="3"/>
      <c r="D159" s="28"/>
      <c r="F159" s="5"/>
      <c r="G159" s="5"/>
      <c r="H159" s="21"/>
      <c r="I159" s="21"/>
      <c r="J159" s="21"/>
      <c r="K159" s="56"/>
      <c r="N159" s="57"/>
      <c r="O159" s="104"/>
    </row>
    <row r="160" spans="2:15" s="4" customFormat="1" hidden="1">
      <c r="B160" s="3"/>
      <c r="C160" s="3"/>
      <c r="D160" s="28"/>
      <c r="F160" s="5"/>
      <c r="G160" s="5"/>
      <c r="H160" s="21"/>
      <c r="I160" s="21"/>
      <c r="J160" s="21"/>
      <c r="K160" s="56"/>
      <c r="N160" s="57"/>
      <c r="O160" s="104"/>
    </row>
    <row r="161" spans="2:15" s="4" customFormat="1" hidden="1">
      <c r="B161" s="3"/>
      <c r="C161" s="3"/>
      <c r="D161" s="28"/>
      <c r="F161" s="5"/>
      <c r="G161" s="5"/>
      <c r="H161" s="21"/>
      <c r="I161" s="21"/>
      <c r="J161" s="21"/>
      <c r="K161" s="56"/>
      <c r="N161" s="57"/>
      <c r="O161" s="104"/>
    </row>
    <row r="162" spans="2:15" s="4" customFormat="1" hidden="1">
      <c r="B162" s="3"/>
      <c r="C162" s="3"/>
      <c r="D162" s="28"/>
      <c r="F162" s="5"/>
      <c r="G162" s="5"/>
      <c r="H162" s="21"/>
      <c r="I162" s="21"/>
      <c r="J162" s="21"/>
      <c r="K162" s="56"/>
      <c r="N162" s="57"/>
      <c r="O162" s="104"/>
    </row>
    <row r="163" spans="2:15" s="4" customFormat="1" hidden="1">
      <c r="B163" s="3"/>
      <c r="C163" s="3"/>
      <c r="D163" s="28"/>
      <c r="F163" s="5"/>
      <c r="G163" s="5"/>
      <c r="H163" s="21"/>
      <c r="I163" s="21"/>
      <c r="J163" s="21"/>
      <c r="K163" s="56"/>
      <c r="N163" s="57"/>
      <c r="O163" s="104"/>
    </row>
    <row r="164" spans="2:15" s="4" customFormat="1" hidden="1">
      <c r="B164" s="3"/>
      <c r="C164" s="3"/>
      <c r="D164" s="28"/>
      <c r="F164" s="5"/>
      <c r="G164" s="5"/>
      <c r="H164" s="21"/>
      <c r="I164" s="21"/>
      <c r="J164" s="21"/>
      <c r="K164" s="56"/>
      <c r="N164" s="57"/>
      <c r="O164" s="104"/>
    </row>
    <row r="165" spans="2:15" s="4" customFormat="1" hidden="1">
      <c r="B165" s="3"/>
      <c r="C165" s="3"/>
      <c r="D165" s="28"/>
      <c r="F165" s="5"/>
      <c r="G165" s="5"/>
      <c r="H165" s="21"/>
      <c r="I165" s="21"/>
      <c r="J165" s="21"/>
      <c r="K165" s="56"/>
      <c r="N165" s="57"/>
      <c r="O165" s="104"/>
    </row>
    <row r="166" spans="2:15" s="4" customFormat="1" hidden="1">
      <c r="B166" s="3"/>
      <c r="C166" s="3"/>
      <c r="D166" s="28"/>
      <c r="F166" s="5"/>
      <c r="G166" s="5"/>
      <c r="H166" s="21"/>
      <c r="I166" s="21"/>
      <c r="J166" s="21"/>
      <c r="K166" s="56"/>
      <c r="N166" s="57"/>
      <c r="O166" s="104"/>
    </row>
    <row r="167" spans="2:15" s="4" customFormat="1" hidden="1">
      <c r="B167" s="3"/>
      <c r="C167" s="3"/>
      <c r="D167" s="28"/>
      <c r="F167" s="5"/>
      <c r="G167" s="5"/>
      <c r="H167" s="21"/>
      <c r="I167" s="21"/>
      <c r="J167" s="21"/>
      <c r="K167" s="56"/>
      <c r="N167" s="57"/>
      <c r="O167" s="104"/>
    </row>
    <row r="168" spans="2:15" s="4" customFormat="1" hidden="1">
      <c r="B168" s="3"/>
      <c r="C168" s="3"/>
      <c r="D168" s="28"/>
      <c r="F168" s="5"/>
      <c r="G168" s="5"/>
      <c r="H168" s="21"/>
      <c r="I168" s="21"/>
      <c r="J168" s="21"/>
      <c r="K168" s="56"/>
      <c r="N168" s="57"/>
      <c r="O168" s="104"/>
    </row>
    <row r="170" spans="2:15" s="4" customFormat="1" hidden="1">
      <c r="B170" s="3"/>
      <c r="C170" s="3"/>
      <c r="D170" s="28"/>
      <c r="F170" s="5"/>
      <c r="G170" s="5"/>
      <c r="H170" s="21"/>
      <c r="I170" s="21"/>
      <c r="J170" s="21"/>
      <c r="K170" s="56"/>
      <c r="N170" s="57"/>
      <c r="O170" s="104"/>
    </row>
    <row r="171" spans="2:15" s="4" customFormat="1" hidden="1">
      <c r="B171" s="3"/>
      <c r="C171" s="3"/>
      <c r="D171" s="28"/>
      <c r="F171" s="5"/>
      <c r="G171" s="5"/>
      <c r="H171" s="21"/>
      <c r="I171" s="21"/>
      <c r="J171" s="21"/>
      <c r="K171" s="56"/>
      <c r="N171" s="57"/>
      <c r="O171" s="104"/>
    </row>
    <row r="172" spans="2:15" s="4" customFormat="1" hidden="1">
      <c r="B172" s="3"/>
      <c r="C172" s="3"/>
      <c r="D172" s="28"/>
      <c r="F172" s="5"/>
      <c r="G172" s="5"/>
      <c r="H172" s="21"/>
      <c r="I172" s="21"/>
      <c r="J172" s="21"/>
      <c r="K172" s="56"/>
      <c r="N172" s="57"/>
      <c r="O172" s="104"/>
    </row>
    <row r="173" spans="2:15" s="4" customFormat="1" hidden="1">
      <c r="B173" s="3"/>
      <c r="C173" s="3"/>
      <c r="D173" s="28"/>
      <c r="F173" s="5"/>
      <c r="G173" s="5"/>
      <c r="H173" s="21"/>
      <c r="I173" s="21"/>
      <c r="J173" s="21"/>
      <c r="K173" s="56"/>
      <c r="N173" s="57"/>
      <c r="O173" s="104"/>
    </row>
    <row r="174" spans="2:15" s="4" customFormat="1" hidden="1">
      <c r="B174" s="3"/>
      <c r="C174" s="3"/>
      <c r="D174" s="28"/>
      <c r="F174" s="5"/>
      <c r="G174" s="5"/>
      <c r="H174" s="21"/>
      <c r="I174" s="21"/>
      <c r="J174" s="21"/>
      <c r="K174" s="56"/>
      <c r="N174" s="57"/>
      <c r="O174" s="104"/>
    </row>
    <row r="175" spans="2:15" s="4" customFormat="1" hidden="1">
      <c r="B175" s="3"/>
      <c r="C175" s="3"/>
      <c r="D175" s="28"/>
      <c r="F175" s="5"/>
      <c r="G175" s="5"/>
      <c r="H175" s="21"/>
      <c r="I175" s="21"/>
      <c r="J175" s="21"/>
      <c r="K175" s="56"/>
      <c r="N175" s="57"/>
      <c r="O175" s="104"/>
    </row>
    <row r="176" spans="2:15" s="4" customFormat="1" hidden="1">
      <c r="B176" s="3"/>
      <c r="C176" s="3"/>
      <c r="D176" s="28"/>
      <c r="F176" s="5"/>
      <c r="G176" s="5"/>
      <c r="H176" s="21"/>
      <c r="I176" s="21"/>
      <c r="J176" s="21"/>
      <c r="K176" s="56"/>
      <c r="N176" s="57"/>
      <c r="O176" s="104"/>
    </row>
    <row r="177" spans="2:15" s="4" customFormat="1" hidden="1">
      <c r="B177" s="3"/>
      <c r="C177" s="3"/>
      <c r="D177" s="28"/>
      <c r="F177" s="5"/>
      <c r="G177" s="5"/>
      <c r="H177" s="21"/>
      <c r="I177" s="21"/>
      <c r="J177" s="21"/>
      <c r="K177" s="56"/>
      <c r="N177" s="57"/>
      <c r="O177" s="104"/>
    </row>
    <row r="178" spans="2:15" s="4" customFormat="1" hidden="1">
      <c r="B178" s="3"/>
      <c r="C178" s="3"/>
      <c r="D178" s="28"/>
      <c r="F178" s="5"/>
      <c r="G178" s="5"/>
      <c r="H178" s="21"/>
      <c r="I178" s="21"/>
      <c r="J178" s="21"/>
      <c r="K178" s="56"/>
      <c r="N178" s="57"/>
      <c r="O178" s="104"/>
    </row>
    <row r="179" spans="2:15" s="4" customFormat="1" hidden="1">
      <c r="B179" s="3"/>
      <c r="C179" s="3"/>
      <c r="D179" s="28"/>
      <c r="F179" s="5"/>
      <c r="G179" s="5"/>
      <c r="H179" s="21"/>
      <c r="I179" s="21"/>
      <c r="J179" s="21"/>
      <c r="K179" s="56"/>
      <c r="N179" s="57"/>
      <c r="O179" s="104"/>
    </row>
    <row r="180" spans="2:15" s="4" customFormat="1" hidden="1">
      <c r="B180" s="3"/>
      <c r="C180" s="3"/>
      <c r="D180" s="28"/>
      <c r="F180" s="5"/>
      <c r="G180" s="5"/>
      <c r="H180" s="21"/>
      <c r="I180" s="21"/>
      <c r="J180" s="21"/>
      <c r="K180" s="56"/>
      <c r="N180" s="57"/>
      <c r="O180" s="104"/>
    </row>
    <row r="181" spans="2:15" s="4" customFormat="1" hidden="1">
      <c r="B181" s="3"/>
      <c r="C181" s="3"/>
      <c r="D181" s="28"/>
      <c r="F181" s="5"/>
      <c r="G181" s="5"/>
      <c r="H181" s="21"/>
      <c r="I181" s="21"/>
      <c r="J181" s="21"/>
      <c r="K181" s="56"/>
      <c r="N181" s="57"/>
      <c r="O181" s="104"/>
    </row>
    <row r="182" spans="2:15" s="4" customFormat="1" hidden="1">
      <c r="B182" s="3"/>
      <c r="C182" s="3"/>
      <c r="D182" s="28"/>
      <c r="F182" s="5"/>
      <c r="G182" s="5"/>
      <c r="H182" s="21"/>
      <c r="I182" s="21"/>
      <c r="J182" s="21"/>
      <c r="K182" s="56"/>
      <c r="N182" s="57"/>
      <c r="O182" s="104"/>
    </row>
    <row r="183" spans="2:15" s="4" customFormat="1" hidden="1">
      <c r="B183" s="3"/>
      <c r="C183" s="3"/>
      <c r="D183" s="28"/>
      <c r="F183" s="5"/>
      <c r="G183" s="5"/>
      <c r="H183" s="21"/>
      <c r="I183" s="21"/>
      <c r="J183" s="21"/>
      <c r="K183" s="56"/>
      <c r="N183" s="57"/>
      <c r="O183" s="104"/>
    </row>
    <row r="184" spans="2:15" s="4" customFormat="1" hidden="1">
      <c r="B184" s="3"/>
      <c r="C184" s="3"/>
      <c r="D184" s="28"/>
      <c r="F184" s="5"/>
      <c r="G184" s="5"/>
      <c r="H184" s="21"/>
      <c r="I184" s="21"/>
      <c r="J184" s="21"/>
      <c r="K184" s="56"/>
      <c r="N184" s="57"/>
      <c r="O184" s="104"/>
    </row>
    <row r="185" spans="2:15" s="4" customFormat="1" hidden="1">
      <c r="B185" s="3"/>
      <c r="C185" s="3"/>
      <c r="D185" s="28"/>
      <c r="F185" s="5"/>
      <c r="G185" s="5"/>
      <c r="H185" s="21"/>
      <c r="I185" s="21"/>
      <c r="J185" s="21"/>
      <c r="K185" s="56"/>
      <c r="N185" s="57"/>
      <c r="O185" s="104"/>
    </row>
    <row r="186" spans="2:15" s="4" customFormat="1" hidden="1">
      <c r="B186" s="3"/>
      <c r="C186" s="3"/>
      <c r="D186" s="28"/>
      <c r="F186" s="5"/>
      <c r="G186" s="5"/>
      <c r="H186" s="21"/>
      <c r="I186" s="21"/>
      <c r="J186" s="21"/>
      <c r="K186" s="56"/>
      <c r="N186" s="57"/>
      <c r="O186" s="104"/>
    </row>
    <row r="187" spans="2:15" s="4" customFormat="1" hidden="1">
      <c r="B187" s="3"/>
      <c r="C187" s="3"/>
      <c r="D187" s="28"/>
      <c r="F187" s="5"/>
      <c r="G187" s="5"/>
      <c r="H187" s="21"/>
      <c r="I187" s="21"/>
      <c r="J187" s="21"/>
      <c r="K187" s="56"/>
      <c r="N187" s="57"/>
      <c r="O187" s="104"/>
    </row>
    <row r="188" spans="2:15" s="4" customFormat="1" hidden="1">
      <c r="B188" s="3"/>
      <c r="C188" s="3"/>
      <c r="D188" s="28"/>
      <c r="F188" s="5"/>
      <c r="G188" s="5"/>
      <c r="H188" s="21"/>
      <c r="I188" s="21"/>
      <c r="J188" s="21"/>
      <c r="K188" s="56"/>
      <c r="N188" s="57"/>
      <c r="O188" s="104"/>
    </row>
    <row r="189" spans="2:15"/>
    <row r="190" spans="2:15"/>
    <row r="191" spans="2:15"/>
    <row r="192" spans="2:15"/>
    <row r="215" spans="13:13" hidden="1">
      <c r="M215" s="1" t="b">
        <v>0</v>
      </c>
    </row>
  </sheetData>
  <mergeCells count="200">
    <mergeCell ref="F75:G75"/>
    <mergeCell ref="F59:G59"/>
    <mergeCell ref="B58:C58"/>
    <mergeCell ref="F48:G48"/>
    <mergeCell ref="B48:C48"/>
    <mergeCell ref="H48:J48"/>
    <mergeCell ref="F63:G63"/>
    <mergeCell ref="F50:G50"/>
    <mergeCell ref="H50:J50"/>
    <mergeCell ref="B50:C50"/>
    <mergeCell ref="B59:C59"/>
    <mergeCell ref="B53:C53"/>
    <mergeCell ref="F53:G53"/>
    <mergeCell ref="H53:J53"/>
    <mergeCell ref="B51:C51"/>
    <mergeCell ref="F49:G49"/>
    <mergeCell ref="B49:C49"/>
    <mergeCell ref="H56:J56"/>
    <mergeCell ref="H57:J57"/>
    <mergeCell ref="H58:J58"/>
    <mergeCell ref="F51:G51"/>
    <mergeCell ref="H51:J51"/>
    <mergeCell ref="H60:J60"/>
    <mergeCell ref="F52:G52"/>
    <mergeCell ref="H86:J86"/>
    <mergeCell ref="F85:G85"/>
    <mergeCell ref="F72:G72"/>
    <mergeCell ref="F71:G71"/>
    <mergeCell ref="B86:C86"/>
    <mergeCell ref="B52:C52"/>
    <mergeCell ref="B74:C74"/>
    <mergeCell ref="B75:C75"/>
    <mergeCell ref="B73:C73"/>
    <mergeCell ref="B85:C85"/>
    <mergeCell ref="B71:C71"/>
    <mergeCell ref="B64:C64"/>
    <mergeCell ref="B65:C65"/>
    <mergeCell ref="B72:C72"/>
    <mergeCell ref="F74:G74"/>
    <mergeCell ref="F56:G56"/>
    <mergeCell ref="F62:G62"/>
    <mergeCell ref="F65:G65"/>
    <mergeCell ref="F64:G64"/>
    <mergeCell ref="B66:C66"/>
    <mergeCell ref="B67:C67"/>
    <mergeCell ref="F66:G66"/>
    <mergeCell ref="H54:J54"/>
    <mergeCell ref="H55:J55"/>
    <mergeCell ref="B46:C46"/>
    <mergeCell ref="B55:C55"/>
    <mergeCell ref="F47:G47"/>
    <mergeCell ref="H47:J47"/>
    <mergeCell ref="F102:G102"/>
    <mergeCell ref="F103:G103"/>
    <mergeCell ref="F104:G104"/>
    <mergeCell ref="H81:J81"/>
    <mergeCell ref="H82:J82"/>
    <mergeCell ref="H83:J83"/>
    <mergeCell ref="H84:J84"/>
    <mergeCell ref="H87:J87"/>
    <mergeCell ref="H88:J88"/>
    <mergeCell ref="F100:G100"/>
    <mergeCell ref="F88:G88"/>
    <mergeCell ref="F89:G89"/>
    <mergeCell ref="F90:G90"/>
    <mergeCell ref="F91:G91"/>
    <mergeCell ref="F81:G81"/>
    <mergeCell ref="F82:G82"/>
    <mergeCell ref="F83:G83"/>
    <mergeCell ref="F84:G84"/>
    <mergeCell ref="H46:J46"/>
    <mergeCell ref="B42:C42"/>
    <mergeCell ref="F42:G42"/>
    <mergeCell ref="H42:J42"/>
    <mergeCell ref="F40:G40"/>
    <mergeCell ref="H49:J49"/>
    <mergeCell ref="B43:C43"/>
    <mergeCell ref="F43:G43"/>
    <mergeCell ref="H43:J43"/>
    <mergeCell ref="B106:C106"/>
    <mergeCell ref="F73:G73"/>
    <mergeCell ref="F78:G78"/>
    <mergeCell ref="F106:G106"/>
    <mergeCell ref="B101:C101"/>
    <mergeCell ref="F101:G101"/>
    <mergeCell ref="B105:C105"/>
    <mergeCell ref="B104:C104"/>
    <mergeCell ref="B103:C103"/>
    <mergeCell ref="B102:C102"/>
    <mergeCell ref="B81:C81"/>
    <mergeCell ref="B82:C82"/>
    <mergeCell ref="B83:C83"/>
    <mergeCell ref="B84:C84"/>
    <mergeCell ref="B87:C87"/>
    <mergeCell ref="B88:C88"/>
    <mergeCell ref="B92:C92"/>
    <mergeCell ref="B95:C95"/>
    <mergeCell ref="F105:G105"/>
    <mergeCell ref="F76:G76"/>
    <mergeCell ref="B98:C98"/>
    <mergeCell ref="B100:C100"/>
    <mergeCell ref="F77:G77"/>
    <mergeCell ref="B79:C79"/>
    <mergeCell ref="H106:J106"/>
    <mergeCell ref="H73:J73"/>
    <mergeCell ref="H78:J78"/>
    <mergeCell ref="H85:J85"/>
    <mergeCell ref="H64:J64"/>
    <mergeCell ref="H65:J65"/>
    <mergeCell ref="H101:J101"/>
    <mergeCell ref="H63:J63"/>
    <mergeCell ref="H76:J76"/>
    <mergeCell ref="H66:J66"/>
    <mergeCell ref="H99:J99"/>
    <mergeCell ref="H102:J102"/>
    <mergeCell ref="H103:J103"/>
    <mergeCell ref="H104:J104"/>
    <mergeCell ref="H105:J105"/>
    <mergeCell ref="H77:J77"/>
    <mergeCell ref="H74:J74"/>
    <mergeCell ref="H100:J100"/>
    <mergeCell ref="H75:J75"/>
    <mergeCell ref="H71:J71"/>
    <mergeCell ref="H68:J68"/>
    <mergeCell ref="H72:J72"/>
    <mergeCell ref="H67:J67"/>
    <mergeCell ref="F69:G69"/>
    <mergeCell ref="F70:G70"/>
    <mergeCell ref="H69:J69"/>
    <mergeCell ref="H70:J70"/>
    <mergeCell ref="B70:C70"/>
    <mergeCell ref="B69:C69"/>
    <mergeCell ref="H61:J61"/>
    <mergeCell ref="B61:C61"/>
    <mergeCell ref="B62:C62"/>
    <mergeCell ref="B63:C63"/>
    <mergeCell ref="H62:J62"/>
    <mergeCell ref="B68:C68"/>
    <mergeCell ref="F68:G68"/>
    <mergeCell ref="F67:G67"/>
    <mergeCell ref="H59:J59"/>
    <mergeCell ref="B8:H8"/>
    <mergeCell ref="H38:J38"/>
    <mergeCell ref="F38:G38"/>
    <mergeCell ref="H45:J45"/>
    <mergeCell ref="B44:C44"/>
    <mergeCell ref="F44:G44"/>
    <mergeCell ref="H44:J44"/>
    <mergeCell ref="H41:J41"/>
    <mergeCell ref="B39:C39"/>
    <mergeCell ref="F39:G39"/>
    <mergeCell ref="H39:J39"/>
    <mergeCell ref="G11:H11"/>
    <mergeCell ref="B40:C40"/>
    <mergeCell ref="H40:J40"/>
    <mergeCell ref="C12:E13"/>
    <mergeCell ref="C10:E11"/>
    <mergeCell ref="B38:C38"/>
    <mergeCell ref="B56:C56"/>
    <mergeCell ref="G10:H10"/>
    <mergeCell ref="B47:C47"/>
    <mergeCell ref="B41:C41"/>
    <mergeCell ref="F41:G41"/>
    <mergeCell ref="H52:J52"/>
    <mergeCell ref="B99:C99"/>
    <mergeCell ref="F96:G96"/>
    <mergeCell ref="F97:G97"/>
    <mergeCell ref="F95:G95"/>
    <mergeCell ref="H95:J95"/>
    <mergeCell ref="H96:J96"/>
    <mergeCell ref="H97:J97"/>
    <mergeCell ref="F98:G98"/>
    <mergeCell ref="H98:J98"/>
    <mergeCell ref="B96:C96"/>
    <mergeCell ref="B97:C97"/>
    <mergeCell ref="F99:G99"/>
    <mergeCell ref="B76:C76"/>
    <mergeCell ref="B78:C78"/>
    <mergeCell ref="H89:J89"/>
    <mergeCell ref="H90:J90"/>
    <mergeCell ref="H91:J91"/>
    <mergeCell ref="B93:C93"/>
    <mergeCell ref="B94:C94"/>
    <mergeCell ref="F93:G93"/>
    <mergeCell ref="F94:G94"/>
    <mergeCell ref="H93:J93"/>
    <mergeCell ref="H94:J94"/>
    <mergeCell ref="F92:G92"/>
    <mergeCell ref="H92:J92"/>
    <mergeCell ref="B91:C91"/>
    <mergeCell ref="B77:C77"/>
    <mergeCell ref="B80:C80"/>
    <mergeCell ref="F79:G79"/>
    <mergeCell ref="F80:G80"/>
    <mergeCell ref="H79:J79"/>
    <mergeCell ref="H80:J80"/>
    <mergeCell ref="B89:C89"/>
    <mergeCell ref="B90:C90"/>
    <mergeCell ref="F87:G87"/>
    <mergeCell ref="F86:G86"/>
  </mergeCells>
  <phoneticPr fontId="34" type="noConversion"/>
  <conditionalFormatting sqref="G19:H19 G21:H23">
    <cfRule type="expression" dxfId="48" priority="7">
      <formula>$O$20="TRUEFALSE"</formula>
    </cfRule>
  </conditionalFormatting>
  <conditionalFormatting sqref="G14:H16">
    <cfRule type="expression" dxfId="47" priority="9">
      <formula>$O$13="TRUEFALSE"</formula>
    </cfRule>
  </conditionalFormatting>
  <conditionalFormatting sqref="G20:H23">
    <cfRule type="expression" dxfId="46" priority="6">
      <formula>$O$19="TRUEFALSE"</formula>
    </cfRule>
  </conditionalFormatting>
  <conditionalFormatting sqref="G13:H16">
    <cfRule type="expression" dxfId="45" priority="573">
      <formula>$O$16="TRUEFALSE"</formula>
    </cfRule>
  </conditionalFormatting>
  <conditionalFormatting sqref="G13:H13 G15:H16">
    <cfRule type="expression" dxfId="44" priority="10">
      <formula>$O$14="TRUEFALSE"</formula>
    </cfRule>
  </conditionalFormatting>
  <conditionalFormatting sqref="G13:H14 G16:H16">
    <cfRule type="expression" dxfId="43" priority="572">
      <formula>$O$15="TRUEFALSE"</formula>
    </cfRule>
  </conditionalFormatting>
  <conditionalFormatting sqref="G19:H20 G22:H23">
    <cfRule type="expression" dxfId="42" priority="11">
      <formula>$O$21="TRUEFALSE"</formula>
    </cfRule>
  </conditionalFormatting>
  <conditionalFormatting sqref="G19:H21 G23:H23">
    <cfRule type="expression" dxfId="41" priority="12">
      <formula>$O$22="TRUEFALSE"</formula>
    </cfRule>
  </conditionalFormatting>
  <conditionalFormatting sqref="G19:H22">
    <cfRule type="expression" dxfId="40" priority="571">
      <formula>$O$23="TRUEFALSE"</formula>
    </cfRule>
  </conditionalFormatting>
  <conditionalFormatting sqref="H12">
    <cfRule type="expression" dxfId="39" priority="574">
      <formula>$K$11&lt;3</formula>
    </cfRule>
  </conditionalFormatting>
  <conditionalFormatting sqref="H18">
    <cfRule type="expression" dxfId="38" priority="776">
      <formula>$K$18&lt;4</formula>
    </cfRule>
  </conditionalFormatting>
  <conditionalFormatting sqref="K39:K106">
    <cfRule type="expression" dxfId="37" priority="38">
      <formula>NOT(OR(ISERROR(FIND($N$13,$K39))))</formula>
    </cfRule>
  </conditionalFormatting>
  <conditionalFormatting sqref="K39:K106">
    <cfRule type="expression" dxfId="36" priority="39">
      <formula>NOT(OR(ISERROR(FIND($N$14,$K39))))</formula>
    </cfRule>
  </conditionalFormatting>
  <conditionalFormatting sqref="K39:K106">
    <cfRule type="expression" dxfId="35" priority="40">
      <formula>NOT(OR(ISERROR(FIND($N$15,$K39))))</formula>
    </cfRule>
  </conditionalFormatting>
  <conditionalFormatting sqref="K39:K106">
    <cfRule type="expression" dxfId="34" priority="41">
      <formula>NOT(OR(ISERROR(FIND($N$16,$K39))))</formula>
    </cfRule>
  </conditionalFormatting>
  <conditionalFormatting sqref="K39:K106">
    <cfRule type="expression" dxfId="33" priority="42">
      <formula>NOT(OR(ISERROR(FIND($N$19,$K39))))</formula>
    </cfRule>
  </conditionalFormatting>
  <conditionalFormatting sqref="K39:K106">
    <cfRule type="expression" dxfId="32" priority="43">
      <formula>NOT(OR(ISERROR(FIND($N$20,$K39))))</formula>
    </cfRule>
  </conditionalFormatting>
  <conditionalFormatting sqref="K39:K106">
    <cfRule type="expression" dxfId="31" priority="44">
      <formula>NOT(OR(ISERROR(FIND($N$21,$K39))))</formula>
    </cfRule>
  </conditionalFormatting>
  <conditionalFormatting sqref="K39:K106">
    <cfRule type="expression" dxfId="30" priority="45">
      <formula>NOT(OR(ISERROR(FIND($N$22,$K39))))</formula>
    </cfRule>
  </conditionalFormatting>
  <conditionalFormatting sqref="K39:K106">
    <cfRule type="expression" dxfId="29" priority="46">
      <formula>NOT(OR(ISERROR(FIND($N$23,$K39))))</formula>
    </cfRule>
  </conditionalFormatting>
  <conditionalFormatting sqref="K39:K106">
    <cfRule type="expression" dxfId="28" priority="47">
      <formula>NOT(OR(ISERROR(FIND($N$25,$K39))))</formula>
    </cfRule>
  </conditionalFormatting>
  <conditionalFormatting sqref="K39:K106">
    <cfRule type="expression" dxfId="27" priority="49">
      <formula>NOT(OR(ISERROR(FIND($N$27,$K39))))</formula>
    </cfRule>
  </conditionalFormatting>
  <conditionalFormatting sqref="K39:K106">
    <cfRule type="expression" dxfId="26" priority="50">
      <formula>NOT(OR(ISERROR(FIND($N$29,$K39))))</formula>
    </cfRule>
  </conditionalFormatting>
  <conditionalFormatting sqref="K39:K106">
    <cfRule type="expression" dxfId="25" priority="51">
      <formula>NOT(OR(ISERROR(FIND($N$31,$K39))))</formula>
    </cfRule>
  </conditionalFormatting>
  <conditionalFormatting sqref="K39:K106">
    <cfRule type="expression" dxfId="24" priority="52">
      <formula>NOT(OR(ISERROR(FIND($N$33,$K39))))</formula>
    </cfRule>
  </conditionalFormatting>
  <conditionalFormatting sqref="K39:K106">
    <cfRule type="expression" dxfId="23" priority="54">
      <formula>NOT(OR(ISERROR(FIND($N$35,$K39))))</formula>
    </cfRule>
  </conditionalFormatting>
  <conditionalFormatting sqref="B39:J44 B47:J53 B56:J56 B67:J72 B62:J65 B59:J59 B74:J106">
    <cfRule type="expression" dxfId="22" priority="56">
      <formula>NOT(OR(ISERROR(FIND($N$12,$K39))))</formula>
    </cfRule>
    <cfRule type="expression" dxfId="21" priority="58">
      <formula>NOT(OR(ISERROR(FIND($N$14,$K39))))</formula>
    </cfRule>
  </conditionalFormatting>
  <conditionalFormatting sqref="G12:H16">
    <cfRule type="expression" dxfId="20" priority="2">
      <formula>$K$11&lt;3</formula>
    </cfRule>
  </conditionalFormatting>
  <conditionalFormatting sqref="G18:H23">
    <cfRule type="expression" dxfId="19" priority="1">
      <formula>$K$18&lt;4</formula>
    </cfRule>
  </conditionalFormatting>
  <conditionalFormatting sqref="B39:J44 B47:J53 B56:J56 B62:J65 B59:J59 B67:J72 B74:J106">
    <cfRule type="expression" dxfId="18" priority="777">
      <formula>NOT(OR(ISERROR(FIND($N$13,$K39))))</formula>
    </cfRule>
    <cfRule type="expression" dxfId="17" priority="778">
      <formula>NOT(OR(ISERROR(FIND($N$15,$K39))))</formula>
    </cfRule>
    <cfRule type="expression" dxfId="16" priority="779">
      <formula>NOT(OR(ISERROR(FIND($N$16,$K39))))</formula>
    </cfRule>
    <cfRule type="expression" dxfId="15" priority="780">
      <formula>NOT(OR(ISERROR(FIND($N$19,$K39))))</formula>
    </cfRule>
    <cfRule type="expression" dxfId="14" priority="781">
      <formula>NOT(OR(ISERROR(FIND($N$20,$K39))))</formula>
    </cfRule>
    <cfRule type="expression" dxfId="13" priority="782">
      <formula>NOT(OR(ISERROR(FIND($N$21,$K39))))</formula>
    </cfRule>
    <cfRule type="expression" dxfId="12" priority="783">
      <formula>NOT(OR(ISERROR(FIND($N$22,$K39))))</formula>
    </cfRule>
    <cfRule type="expression" dxfId="11" priority="784">
      <formula>NOT(OR(ISERROR(FIND($N$23,$K39))))</formula>
    </cfRule>
    <cfRule type="expression" dxfId="10" priority="785">
      <formula>NOT(OR(ISERROR(FIND($N$25,$K39))))</formula>
    </cfRule>
    <cfRule type="expression" dxfId="9" priority="786">
      <formula>NOT(OR(ISERROR(FIND(#REF!,$K39))))</formula>
    </cfRule>
    <cfRule type="expression" dxfId="8" priority="787">
      <formula>NOT(OR(ISERROR(FIND($N$27,$K39))))</formula>
    </cfRule>
    <cfRule type="expression" dxfId="7" priority="788">
      <formula>NOT(OR(ISERROR(FIND($N$29,$K39))))</formula>
    </cfRule>
    <cfRule type="expression" dxfId="6" priority="789">
      <formula>NOT(OR(ISERROR(FIND($N$31,$K39))))</formula>
    </cfRule>
    <cfRule type="expression" dxfId="5" priority="790">
      <formula>NOT(OR(ISERROR(FIND($N$33,$K39))))</formula>
    </cfRule>
    <cfRule type="expression" dxfId="4" priority="791">
      <formula>NOT(OR(ISERROR(FIND($N$35,$K39))))</formula>
    </cfRule>
    <cfRule type="expression" dxfId="3" priority="792">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2" priority="889">
      <formula>NOT(OR(ISERROR(FIND($N$12,$K39))))</formula>
    </cfRule>
    <cfRule type="expression" dxfId="1" priority="890">
      <formula>(ISERROR(FIND($N$12,$E39,NOT(ISERROR(FIND($N$13,$E39,NOT(ISERROR(FIND($N$14,$E39,NOT(ISERROR(FIND($N$15,$E39,NOT(ISERROR(FIND($N$16,$E39,NOT(ISERROR(FIND($N$19,$E39,NOT(ISERROR(FIND($N$20,$E39,NOT(ISERROR(FIND($N$21,$E39,NOT(ISERROR(FIND($N$22,$E39,NOT(ISERROR(FIND($N$23,$E39,NOT(ISERROR(FIND($N$25,$E39,NOT(ISERROR(FIND(#REF!,$E39,NOT(ISERROR(FIND($N$27,$E39,NOT(ISERROR(FIND($N$29,$E39,NOT(ISERROR(FIND($N$31,$E39,NOT(ISERROR(FIND($N$33,$E39,NOT(ISERROR(FIND($N$35,$E39)))))))))))))))))))))))))))))))))))))))))))))))))))</formula>
    </cfRule>
  </conditionalFormatting>
  <conditionalFormatting sqref="K39:K106">
    <cfRule type="expression" dxfId="0" priority="901">
      <formula>NOT(OR(ISERROR(FIND(#REF!,$K39))))</formula>
    </cfRule>
  </conditionalFormatting>
  <dataValidations count="1">
    <dataValidation type="list" allowBlank="1" showInputMessage="1" showErrorMessage="1" sqref="D62:D65 D59 D47:D53 D67:D72 D74:D106 D56">
      <formula1>$D$5:$D$6</formula1>
    </dataValidation>
  </dataValidations>
  <hyperlinks>
    <hyperlink ref="H44" location="URL" display="http://community.office365.com/en-us/wikis/live-at-edu-transition/1110.aspx#URL"/>
    <hyperlink ref="H69" location="continue" display="http://community.office365.com/en-us/wikis/live-at-edu-transition/1133.aspx#continue"/>
    <hyperlink ref="H71" location="support" display="http://community.office365.com/en-us/wikis/live-at-edu-transition/1133.aspx#support"/>
    <hyperlink ref="H79" r:id="rId1" display="http://go.microsoft.com/fwlink/p/?LinkId=253149"/>
    <hyperlink ref="H80" r:id="rId2" display="http://go.microsoft.com/fwlink/p/?LinkId=253601"/>
    <hyperlink ref="H81" r:id="rId3" display="http://go.microsoft.com/fwlink/p/?LinkId=253147"/>
    <hyperlink ref="H87" r:id="rId4" display="http://go.microsoft.com/fwlink/p/?LinkId=253149"/>
    <hyperlink ref="H88" r:id="rId5" display="http://go.microsoft.com/fwlink/p/?LinkId=253601"/>
    <hyperlink ref="H89" r:id="rId6" display="http://go.microsoft.com/fwlink/p/?LinkId=253147"/>
    <hyperlink ref="H91" r:id="rId7" display="http://go.microsoft.com/fwlink/p/?LinkId=253149"/>
    <hyperlink ref="H92" r:id="rId8" display="http://go.microsoft.com/fwlink/p/?LinkId=253601"/>
    <hyperlink ref="H93" r:id="rId9" display="http://go.microsoft.com/fwlink/p/?LinkId=253147"/>
    <hyperlink ref="H95" r:id="rId10" display="http://go.microsoft.com/fwlink/p/?LinkId=253149"/>
    <hyperlink ref="H96" r:id="rId11" display="http://go.microsoft.com/fwlink/p/?LinkId=253601"/>
    <hyperlink ref="H99" location="EO" display="http://community.office365.com/en-us/wikis/live-at-edu-transition/1134.aspx#EO"/>
    <hyperlink ref="H102" location="o365" display="http://community.office365.com/en-us/wikis/live-at-edu-transition/1134.aspx#o365"/>
    <hyperlink ref="H103" r:id="rId12" display="http://go.microsoft.com/fwlink/p/?LinkId=253597"/>
    <hyperlink ref="H104" r:id="rId13" display="http://go.microsoft.com/fwlink/p/?LinkId=253605"/>
    <hyperlink ref="H105" r:id="rId14" display="http://go.microsoft.com/fwlink/p/?LinkId=253606"/>
    <hyperlink ref="H63" location="EO" display="http://community.office365.com/en-us/wikis/live-at-edu-transition/1110.aspx#EO"/>
    <hyperlink ref="H53" r:id="rId15" display="http://go.microsoft.com/fwlink/p/?LinkId=260428"/>
    <hyperlink ref="H68" location="start" display="http://community.office365.com/en-us/wikis/live-at-edu-transition/1133.aspx#start"/>
    <hyperlink ref="H106" r:id="rId16" display="http://go.microsoft.com/fwlink/p/?LinkId=251279"/>
    <hyperlink ref="H43:J43" r:id="rId17" display="Learn more"/>
    <hyperlink ref="H44:J44" r:id="rId18" display="Learn more"/>
    <hyperlink ref="H47:J47" r:id="rId19" display="Office 365 software requirements"/>
    <hyperlink ref="H48:J48" r:id="rId20" display="Sample communications and resources can be found in the Upgrade End-user Kit"/>
    <hyperlink ref="H49:J49" r:id="rId21" display="Learn more"/>
    <hyperlink ref="H50:J50" r:id="rId22" display="Learn more"/>
    <hyperlink ref="H51:J51" r:id="rId23" display="Learn more"/>
    <hyperlink ref="H52:J52" r:id="rId24" display="Learn more"/>
    <hyperlink ref="H53:J53" r:id="rId25" display="Learn more"/>
    <hyperlink ref="H59:J59" r:id="rId26" display="Sample communications and resources can be found in the Upgrade End-user Kit"/>
    <hyperlink ref="H62:J62" r:id="rId27" display="Sample communications and resources can be found in the Upgrade End-user Kit"/>
    <hyperlink ref="H63:J63" r:id="rId28" display="Learn more"/>
    <hyperlink ref="H64:J64" r:id="rId29" display="Learn more"/>
    <hyperlink ref="H65:J65" r:id="rId30" display="Learn more"/>
    <hyperlink ref="H67:J67" r:id="rId31" display="Learn more"/>
    <hyperlink ref="H68:J68" r:id="rId32" display="Learn more"/>
    <hyperlink ref="H69:J69" r:id="rId33" display="Learn more"/>
    <hyperlink ref="H70:J70" r:id="rId34" display="Sample communications and resources can be found in the Upgrade End-user Kit"/>
    <hyperlink ref="H71:J71" r:id="rId35" display="Learn more"/>
    <hyperlink ref="H72:J72" r:id="rId36" display="Learn more"/>
    <hyperlink ref="H85:J85" r:id="rId37" display="Learn more"/>
    <hyperlink ref="H86:J86" r:id="rId38" display="Learn more"/>
    <hyperlink ref="H74:J74" r:id="rId39" display="Learn more"/>
    <hyperlink ref="H75:J75" r:id="rId40" display="Learn more"/>
    <hyperlink ref="H76:J76" r:id="rId41" display="http://g.microsoftonline.com/0rmcm00en-us/5405"/>
    <hyperlink ref="H77:J77" r:id="rId42" display="http://g.microsoftonline.com/0rmcm00en-us/5406"/>
    <hyperlink ref="H78:J78" r:id="rId43" display="http://g.microsoftonline.com/0rmcm00en-us/5407"/>
    <hyperlink ref="H79:J79" r:id="rId44" display="Learn more"/>
    <hyperlink ref="H80:J80" r:id="rId45" display="Learn more"/>
    <hyperlink ref="H81:J81" r:id="rId46" display="Learn more"/>
    <hyperlink ref="H82:J82" r:id="rId47" display="Learn More"/>
    <hyperlink ref="H83:J83" r:id="rId48" display="Learn More"/>
    <hyperlink ref="H84:J84" r:id="rId49" display="Learn more"/>
    <hyperlink ref="H87:J87" r:id="rId50" display="Learn more"/>
    <hyperlink ref="H88:J88" r:id="rId51" display="Learn more"/>
    <hyperlink ref="H89:J89" r:id="rId52" display="Learn more"/>
    <hyperlink ref="H90:J90" r:id="rId53" display="Learn more"/>
    <hyperlink ref="H91:J91" r:id="rId54" display="Learn more"/>
    <hyperlink ref="H92:J92" r:id="rId55" display="Learn more"/>
    <hyperlink ref="H93:J93" r:id="rId56" display="Learn more"/>
    <hyperlink ref="H94:J94" r:id="rId57" display="Learn more"/>
    <hyperlink ref="H95:J95" r:id="rId58" display="Learn more"/>
    <hyperlink ref="H96:J96" r:id="rId59" display="Learn more"/>
    <hyperlink ref="H97:J97" r:id="rId60" display="Learn more"/>
    <hyperlink ref="H98:J98" r:id="rId61" display="Learn more"/>
    <hyperlink ref="H99:J99" r:id="rId62" display="Learn more"/>
    <hyperlink ref="H100:J100" r:id="rId63" display="Learn more"/>
    <hyperlink ref="H101:J101" r:id="rId64" display="Sample communications and resources can be found in the Upgrade End-user Kit"/>
    <hyperlink ref="H102:J102" r:id="rId65" display="Learn more"/>
    <hyperlink ref="H103:J103" r:id="rId66" display="Learn more"/>
    <hyperlink ref="H104:J104" r:id="rId67" display="Learn more"/>
    <hyperlink ref="H105:J105" r:id="rId68" display="Learn more"/>
    <hyperlink ref="H106:J106" r:id="rId69" display="Learn more"/>
    <hyperlink ref="H42:J42" r:id="rId70" display="Learn more"/>
    <hyperlink ref="H41:J41" r:id="rId71" display="Learn more"/>
    <hyperlink ref="H40:J40" r:id="rId72" display="Learn more"/>
    <hyperlink ref="H39" location="learn" display="http://community.office365.com/en-us/wikis/live-at-edu-transition/1110.aspx#learn"/>
    <hyperlink ref="H39:J39" r:id="rId73" display="Learn more"/>
    <hyperlink ref="B8:H8" r:id="rId74" display="You can always find detailed information on how to plan and manage your upgrade to Office 365 for education at Upgrade help"/>
    <hyperlink ref="H56:J56" r:id="rId75" display="Läs mer"/>
  </hyperlinks>
  <pageMargins left="0.7" right="0.7" top="0.54104166666666698" bottom="0.75" header="0.3" footer="0.3"/>
  <pageSetup scale="54" fitToHeight="0" orientation="portrait" r:id="rId76"/>
  <headerFooter>
    <oddHeader>&amp;L&amp;11&amp;"Segoe UI,Regular"&amp;K01+000Bakåtstegande tidplan för Live@edu till Office 365&amp;R&amp;11&amp;"Calibri,Regular"&amp;K01+0004-veckorsplan</oddHeader>
    <oddFooter>&amp;C&amp;11&amp;"Calibri,Regular"&amp;K01+000&amp;P av &amp;N</oddFooter>
  </headerFooter>
  <rowBreaks count="2" manualBreakCount="2">
    <brk id="44" max="10" man="1"/>
    <brk id="72" max="16383" man="1"/>
  </rowBreaks>
  <drawing r:id="rId77"/>
  <legacyDrawing r:id="rId78"/>
  <mc:AlternateContent xmlns:mc="http://schemas.openxmlformats.org/markup-compatibility/2006">
    <mc:Choice Requires="x14">
      <controls>
        <mc:AlternateContent xmlns:mc="http://schemas.openxmlformats.org/markup-compatibility/2006">
          <mc:Choice Requires="x14">
            <control shapeId="2050" r:id="rId79" name="Check Box 2">
              <controlPr defaultSize="0" autoFill="0" autoLine="0" autoPict="0" altText="ADFS">
                <anchor moveWithCells="1">
                  <from>
                    <xdr:col>7</xdr:col>
                    <xdr:colOff>200025</xdr:colOff>
                    <xdr:row>12</xdr:row>
                    <xdr:rowOff>228600</xdr:rowOff>
                  </from>
                  <to>
                    <xdr:col>7</xdr:col>
                    <xdr:colOff>1971675</xdr:colOff>
                    <xdr:row>12</xdr:row>
                    <xdr:rowOff>447675</xdr:rowOff>
                  </to>
                </anchor>
              </controlPr>
            </control>
          </mc:Choice>
        </mc:AlternateContent>
        <mc:AlternateContent xmlns:mc="http://schemas.openxmlformats.org/markup-compatibility/2006">
          <mc:Choice Requires="x14">
            <control shapeId="2057" r:id="rId80" name="Check Box 9">
              <controlPr defaultSize="0" autoFill="0" autoLine="0" autoPict="0">
                <anchor moveWithCells="1">
                  <from>
                    <xdr:col>7</xdr:col>
                    <xdr:colOff>200025</xdr:colOff>
                    <xdr:row>26</xdr:row>
                    <xdr:rowOff>47625</xdr:rowOff>
                  </from>
                  <to>
                    <xdr:col>7</xdr:col>
                    <xdr:colOff>1971675</xdr:colOff>
                    <xdr:row>26</xdr:row>
                    <xdr:rowOff>266700</xdr:rowOff>
                  </to>
                </anchor>
              </controlPr>
            </control>
          </mc:Choice>
        </mc:AlternateContent>
        <mc:AlternateContent xmlns:mc="http://schemas.openxmlformats.org/markup-compatibility/2006">
          <mc:Choice Requires="x14">
            <control shapeId="2058" r:id="rId81" name="Check Box 10">
              <controlPr defaultSize="0" autoFill="0" autoLine="0" autoPict="0">
                <anchor moveWithCells="1">
                  <from>
                    <xdr:col>7</xdr:col>
                    <xdr:colOff>200025</xdr:colOff>
                    <xdr:row>28</xdr:row>
                    <xdr:rowOff>123825</xdr:rowOff>
                  </from>
                  <to>
                    <xdr:col>7</xdr:col>
                    <xdr:colOff>1971675</xdr:colOff>
                    <xdr:row>28</xdr:row>
                    <xdr:rowOff>342900</xdr:rowOff>
                  </to>
                </anchor>
              </controlPr>
            </control>
          </mc:Choice>
        </mc:AlternateContent>
        <mc:AlternateContent xmlns:mc="http://schemas.openxmlformats.org/markup-compatibility/2006">
          <mc:Choice Requires="x14">
            <control shapeId="2059" r:id="rId82" name="Check Box 11">
              <controlPr defaultSize="0" autoFill="0" autoLine="0" autoPict="0">
                <anchor moveWithCells="1">
                  <from>
                    <xdr:col>7</xdr:col>
                    <xdr:colOff>200025</xdr:colOff>
                    <xdr:row>34</xdr:row>
                    <xdr:rowOff>57150</xdr:rowOff>
                  </from>
                  <to>
                    <xdr:col>7</xdr:col>
                    <xdr:colOff>1971675</xdr:colOff>
                    <xdr:row>34</xdr:row>
                    <xdr:rowOff>276225</xdr:rowOff>
                  </to>
                </anchor>
              </controlPr>
            </control>
          </mc:Choice>
        </mc:AlternateContent>
        <mc:AlternateContent xmlns:mc="http://schemas.openxmlformats.org/markup-compatibility/2006">
          <mc:Choice Requires="x14">
            <control shapeId="2061" r:id="rId83" name="Check Box 13">
              <controlPr defaultSize="0" autoFill="0" autoLine="0" autoPict="0">
                <anchor moveWithCells="1">
                  <from>
                    <xdr:col>7</xdr:col>
                    <xdr:colOff>200025</xdr:colOff>
                    <xdr:row>18</xdr:row>
                    <xdr:rowOff>38100</xdr:rowOff>
                  </from>
                  <to>
                    <xdr:col>7</xdr:col>
                    <xdr:colOff>1971675</xdr:colOff>
                    <xdr:row>18</xdr:row>
                    <xdr:rowOff>257175</xdr:rowOff>
                  </to>
                </anchor>
              </controlPr>
            </control>
          </mc:Choice>
        </mc:AlternateContent>
        <mc:AlternateContent xmlns:mc="http://schemas.openxmlformats.org/markup-compatibility/2006">
          <mc:Choice Requires="x14">
            <control shapeId="2062" r:id="rId84" name="Check Box 14">
              <controlPr defaultSize="0" autoFill="0" autoLine="0" autoPict="0">
                <anchor moveWithCells="1">
                  <from>
                    <xdr:col>7</xdr:col>
                    <xdr:colOff>200025</xdr:colOff>
                    <xdr:row>19</xdr:row>
                    <xdr:rowOff>47625</xdr:rowOff>
                  </from>
                  <to>
                    <xdr:col>7</xdr:col>
                    <xdr:colOff>1971675</xdr:colOff>
                    <xdr:row>19</xdr:row>
                    <xdr:rowOff>266700</xdr:rowOff>
                  </to>
                </anchor>
              </controlPr>
            </control>
          </mc:Choice>
        </mc:AlternateContent>
        <mc:AlternateContent xmlns:mc="http://schemas.openxmlformats.org/markup-compatibility/2006">
          <mc:Choice Requires="x14">
            <control shapeId="2063" r:id="rId85" name="Check Box 15">
              <controlPr defaultSize="0" autoFill="0" autoLine="0" autoPict="0">
                <anchor moveWithCells="1">
                  <from>
                    <xdr:col>7</xdr:col>
                    <xdr:colOff>200025</xdr:colOff>
                    <xdr:row>20</xdr:row>
                    <xdr:rowOff>76200</xdr:rowOff>
                  </from>
                  <to>
                    <xdr:col>7</xdr:col>
                    <xdr:colOff>1971675</xdr:colOff>
                    <xdr:row>20</xdr:row>
                    <xdr:rowOff>295275</xdr:rowOff>
                  </to>
                </anchor>
              </controlPr>
            </control>
          </mc:Choice>
        </mc:AlternateContent>
        <mc:AlternateContent xmlns:mc="http://schemas.openxmlformats.org/markup-compatibility/2006">
          <mc:Choice Requires="x14">
            <control shapeId="2064" r:id="rId86" name="Check Box 16">
              <controlPr defaultSize="0" autoFill="0" autoLine="0" autoPict="0">
                <anchor moveWithCells="1">
                  <from>
                    <xdr:col>7</xdr:col>
                    <xdr:colOff>200025</xdr:colOff>
                    <xdr:row>21</xdr:row>
                    <xdr:rowOff>66675</xdr:rowOff>
                  </from>
                  <to>
                    <xdr:col>7</xdr:col>
                    <xdr:colOff>1971675</xdr:colOff>
                    <xdr:row>21</xdr:row>
                    <xdr:rowOff>285750</xdr:rowOff>
                  </to>
                </anchor>
              </controlPr>
            </control>
          </mc:Choice>
        </mc:AlternateContent>
        <mc:AlternateContent xmlns:mc="http://schemas.openxmlformats.org/markup-compatibility/2006">
          <mc:Choice Requires="x14">
            <control shapeId="2065" r:id="rId87" name="Check Box 17">
              <controlPr defaultSize="0" autoFill="0" autoLine="0" autoPict="0">
                <anchor moveWithCells="1">
                  <from>
                    <xdr:col>7</xdr:col>
                    <xdr:colOff>200025</xdr:colOff>
                    <xdr:row>24</xdr:row>
                    <xdr:rowOff>47625</xdr:rowOff>
                  </from>
                  <to>
                    <xdr:col>7</xdr:col>
                    <xdr:colOff>1971675</xdr:colOff>
                    <xdr:row>24</xdr:row>
                    <xdr:rowOff>266700</xdr:rowOff>
                  </to>
                </anchor>
              </controlPr>
            </control>
          </mc:Choice>
        </mc:AlternateContent>
        <mc:AlternateContent xmlns:mc="http://schemas.openxmlformats.org/markup-compatibility/2006">
          <mc:Choice Requires="x14">
            <control shapeId="2066" r:id="rId88" name="Check Box 18">
              <controlPr defaultSize="0" autoFill="0" autoLine="0" autoPict="0" altText="Shibboleth">
                <anchor moveWithCells="1">
                  <from>
                    <xdr:col>7</xdr:col>
                    <xdr:colOff>200025</xdr:colOff>
                    <xdr:row>13</xdr:row>
                    <xdr:rowOff>171450</xdr:rowOff>
                  </from>
                  <to>
                    <xdr:col>7</xdr:col>
                    <xdr:colOff>1971675</xdr:colOff>
                    <xdr:row>13</xdr:row>
                    <xdr:rowOff>390525</xdr:rowOff>
                  </to>
                </anchor>
              </controlPr>
            </control>
          </mc:Choice>
        </mc:AlternateContent>
        <mc:AlternateContent xmlns:mc="http://schemas.openxmlformats.org/markup-compatibility/2006">
          <mc:Choice Requires="x14">
            <control shapeId="2067" r:id="rId89" name="Check Box 19">
              <controlPr defaultSize="0" autoFill="0" autoLine="0" autoPict="0" altText="Add Federation">
                <anchor moveWithCells="1">
                  <from>
                    <xdr:col>7</xdr:col>
                    <xdr:colOff>200025</xdr:colOff>
                    <xdr:row>15</xdr:row>
                    <xdr:rowOff>219075</xdr:rowOff>
                  </from>
                  <to>
                    <xdr:col>7</xdr:col>
                    <xdr:colOff>1971675</xdr:colOff>
                    <xdr:row>15</xdr:row>
                    <xdr:rowOff>438150</xdr:rowOff>
                  </to>
                </anchor>
              </controlPr>
            </control>
          </mc:Choice>
        </mc:AlternateContent>
        <mc:AlternateContent xmlns:mc="http://schemas.openxmlformats.org/markup-compatibility/2006">
          <mc:Choice Requires="x14">
            <control shapeId="2068" r:id="rId90" name="Check Box 20">
              <controlPr defaultSize="0" autoFill="0" autoLine="0" autoPict="0">
                <anchor moveWithCells="1">
                  <from>
                    <xdr:col>7</xdr:col>
                    <xdr:colOff>200025</xdr:colOff>
                    <xdr:row>30</xdr:row>
                    <xdr:rowOff>47625</xdr:rowOff>
                  </from>
                  <to>
                    <xdr:col>7</xdr:col>
                    <xdr:colOff>1971675</xdr:colOff>
                    <xdr:row>30</xdr:row>
                    <xdr:rowOff>266700</xdr:rowOff>
                  </to>
                </anchor>
              </controlPr>
            </control>
          </mc:Choice>
        </mc:AlternateContent>
        <mc:AlternateContent xmlns:mc="http://schemas.openxmlformats.org/markup-compatibility/2006">
          <mc:Choice Requires="x14">
            <control shapeId="2069" r:id="rId91" name="Check Box 21">
              <controlPr defaultSize="0" autoFill="0" autoLine="0" autoPict="0">
                <anchor moveWithCells="1">
                  <from>
                    <xdr:col>7</xdr:col>
                    <xdr:colOff>200025</xdr:colOff>
                    <xdr:row>32</xdr:row>
                    <xdr:rowOff>57150</xdr:rowOff>
                  </from>
                  <to>
                    <xdr:col>7</xdr:col>
                    <xdr:colOff>1971675</xdr:colOff>
                    <xdr:row>32</xdr:row>
                    <xdr:rowOff>276225</xdr:rowOff>
                  </to>
                </anchor>
              </controlPr>
            </control>
          </mc:Choice>
        </mc:AlternateContent>
        <mc:AlternateContent xmlns:mc="http://schemas.openxmlformats.org/markup-compatibility/2006">
          <mc:Choice Requires="x14">
            <control shapeId="2075" r:id="rId92" name="Check Box 27">
              <controlPr defaultSize="0" autoFill="0" autoLine="0" autoPict="0">
                <anchor moveWithCells="1">
                  <from>
                    <xdr:col>7</xdr:col>
                    <xdr:colOff>200025</xdr:colOff>
                    <xdr:row>22</xdr:row>
                    <xdr:rowOff>76200</xdr:rowOff>
                  </from>
                  <to>
                    <xdr:col>7</xdr:col>
                    <xdr:colOff>1971675</xdr:colOff>
                    <xdr:row>22</xdr:row>
                    <xdr:rowOff>295275</xdr:rowOff>
                  </to>
                </anchor>
              </controlPr>
            </control>
          </mc:Choice>
        </mc:AlternateContent>
        <mc:AlternateContent xmlns:mc="http://schemas.openxmlformats.org/markup-compatibility/2006">
          <mc:Choice Requires="x14">
            <control shapeId="2076" r:id="rId93" name="Check Box 28">
              <controlPr defaultSize="0" autoFill="0" autoLine="0" autoPict="0" altText="Add Federation">
                <anchor moveWithCells="1">
                  <from>
                    <xdr:col>7</xdr:col>
                    <xdr:colOff>200025</xdr:colOff>
                    <xdr:row>14</xdr:row>
                    <xdr:rowOff>219075</xdr:rowOff>
                  </from>
                  <to>
                    <xdr:col>7</xdr:col>
                    <xdr:colOff>1971675</xdr:colOff>
                    <xdr:row>14</xdr:row>
                    <xdr:rowOff>438150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Instruktioner</vt:lpstr>
      <vt:lpstr>4 week plan</vt:lpstr>
      <vt:lpstr>'4 week plan'!Print_Area</vt:lpstr>
      <vt:lpstr>Instruktioner!Print_Area</vt:lpstr>
      <vt:lpstr>'4 week plan'!Print_Titles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2012-10-12T21:53:05Z</dcterms:created>
  <dcterms:modified xsi:type="dcterms:W3CDTF">2013-01-29T18:51:06Z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