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5" yWindow="90" windowWidth="12390" windowHeight="8190"/>
  </bookViews>
  <sheets>
    <sheet name="Keystone Works Incentive Pay" sheetId="7" r:id="rId1"/>
    <sheet name="3rd &amp; 4th Est Qtr Special Acctg" sheetId="8" state="hidden" r:id="rId2"/>
    <sheet name="3rd &amp; 4th Est Qtr QA" sheetId="9" state="hidden" r:id="rId3"/>
    <sheet name="3rd &amp; 4th Est Qtr BOA" sheetId="10" state="hidden" r:id="rId4"/>
  </sheets>
  <definedNames>
    <definedName name="_xlnm.Print_Area" localSheetId="3">'3rd &amp; 4th Est Qtr BOA'!$A$1:$G$19</definedName>
    <definedName name="_xlnm.Print_Area" localSheetId="2">'3rd &amp; 4th Est Qtr QA'!$A$1:$G$13</definedName>
    <definedName name="_xlnm.Print_Area" localSheetId="1">'3rd &amp; 4th Est Qtr Special Acctg'!$B$1:$G$13</definedName>
    <definedName name="_xlnm.Print_Area" localSheetId="0">'Keystone Works Incentive Pay'!$A$1:$K$74</definedName>
    <definedName name="_xlnm.Print_Titles" localSheetId="2">'3rd &amp; 4th Est Qtr QA'!$6:$9</definedName>
    <definedName name="Text22" localSheetId="0">'Keystone Works Incentive Pay'!#REF!</definedName>
  </definedNames>
  <calcPr calcId="125725"/>
</workbook>
</file>

<file path=xl/calcChain.xml><?xml version="1.0" encoding="utf-8"?>
<calcChain xmlns="http://schemas.openxmlformats.org/spreadsheetml/2006/main">
  <c r="K52" i="7"/>
  <c r="K19"/>
  <c r="D14" i="10" l="1"/>
  <c r="D13" i="9"/>
  <c r="D12" i="8"/>
</calcChain>
</file>

<file path=xl/sharedStrings.xml><?xml version="1.0" encoding="utf-8"?>
<sst xmlns="http://schemas.openxmlformats.org/spreadsheetml/2006/main" count="82" uniqueCount="60">
  <si>
    <t>TOTAL</t>
  </si>
  <si>
    <t>Project</t>
  </si>
  <si>
    <t>COMMONWEALTH OF PENNSYLVANIA</t>
  </si>
  <si>
    <t>STD -152</t>
  </si>
  <si>
    <t>GENERAL INVOICE</t>
  </si>
  <si>
    <t>INVOICE NO.</t>
  </si>
  <si>
    <t>PAYEE (NAME AND ADDRESS)</t>
  </si>
  <si>
    <t>DATE</t>
  </si>
  <si>
    <t>AMOUNT</t>
  </si>
  <si>
    <t>EXPENDITURE</t>
  </si>
  <si>
    <t>FUND</t>
  </si>
  <si>
    <t>Cost Center</t>
  </si>
  <si>
    <t>SYMBOL</t>
  </si>
  <si>
    <t>Coding</t>
  </si>
  <si>
    <t>Internal Order</t>
  </si>
  <si>
    <t xml:space="preserve">SAP Fund </t>
  </si>
  <si>
    <t>Total Based on Time Sheets</t>
  </si>
  <si>
    <t>Department of Labor &amp; Industry</t>
  </si>
  <si>
    <t>OVR</t>
  </si>
  <si>
    <t>SWIF</t>
  </si>
  <si>
    <t>UCMS L&amp;I</t>
  </si>
  <si>
    <t>PHILADELPHIA WORKFORCE DEVELOPMENT CORP</t>
  </si>
  <si>
    <t>SDLC - L&amp;I UNEMP COMP MODERN SYS (UCMS)</t>
  </si>
  <si>
    <t>FY11 Estimated Third and Fourth Quarters Special Accounting - Comptroller Operations Time Sheet Billings</t>
  </si>
  <si>
    <t>Estimated Billing Amount Based on Preliminary Rate</t>
  </si>
  <si>
    <t>January 01 through June 30, 2012</t>
  </si>
  <si>
    <t>FY11 Estimated Third and Fourth Quarters Quality Assurance - Comptroller Operations Time Sheet Billings</t>
  </si>
  <si>
    <t>FY11 Estimated Third and Fourth Quarters Bureau of Audits - Comptroller Operations Time Sheet Billings</t>
  </si>
  <si>
    <t>UCMS RELEASE 2</t>
  </si>
  <si>
    <t>C15620562200</t>
  </si>
  <si>
    <t>GENERAL LEDGER</t>
  </si>
  <si>
    <t>6600400/6600800</t>
  </si>
  <si>
    <t>SAP VENDOR #</t>
  </si>
  <si>
    <t>C29500295000</t>
  </si>
  <si>
    <t xml:space="preserve">                                                SIGNATURE</t>
  </si>
  <si>
    <t>DATE OF TRANSACTION</t>
  </si>
  <si>
    <t>FEIN NO.</t>
  </si>
  <si>
    <t>CWDS PARTICIPANT ID</t>
  </si>
  <si>
    <t xml:space="preserve">PARTICIPANT NAME </t>
  </si>
  <si>
    <t>ROUTING NUMBER 12WRKFDEV</t>
  </si>
  <si>
    <t>Comments:</t>
  </si>
  <si>
    <t>Unit Price</t>
  </si>
  <si>
    <r>
      <rPr>
        <b/>
        <sz val="11"/>
        <color indexed="8"/>
        <rFont val="Calibri"/>
        <family val="2"/>
      </rPr>
      <t>PAYOR (NAME AND ADDRESS)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Department of Labor and Industry                                                                                                         Bureau of Workforce Development Partnership                                                                                        12th Floor, Labor &amp; Industry Bldg.                        651 Boas Street                                                  Harrisburg, PA  17121</t>
    </r>
  </si>
  <si>
    <t>xxx-xx-xxxx</t>
  </si>
  <si>
    <t xml:space="preserve">      SOC. SEC. #</t>
  </si>
  <si>
    <t>TRAINING ORDER #</t>
  </si>
  <si>
    <t>DD/MM/YY - DD/MM/YY</t>
  </si>
  <si>
    <t xml:space="preserve">Unit </t>
  </si>
  <si>
    <t>KEYSTONE WORKS PROGRAM</t>
  </si>
  <si>
    <t xml:space="preserve">       </t>
  </si>
  <si>
    <t>I CERTIFY THAT THE ABOVE INCENTIVE PAYMENTS, EXPENSES, SERVICES, OR PRODUCTS WERE ACTUALLY INCURRED, RENDERED, OR FURNISHED AS A RESULT OF MY PARTICIPATION IN THE KEYSTONE WORKS PROGRAM AND THAT THE ABOVE PRICES CHARGED WERE FAIR AND REASONABLE.</t>
  </si>
  <si>
    <t>Consecutive Periods</t>
  </si>
  <si>
    <t>ITEM AND DESCRIPTION</t>
  </si>
  <si>
    <r>
      <t xml:space="preserve">John Doe                                        </t>
    </r>
    <r>
      <rPr>
        <b/>
        <i/>
        <sz val="11"/>
        <color theme="1"/>
        <rFont val="Calibri"/>
        <family val="2"/>
        <scheme val="minor"/>
      </rPr>
      <t>EXAMPLE ONLY</t>
    </r>
    <r>
      <rPr>
        <i/>
        <sz val="11"/>
        <color theme="1"/>
        <rFont val="Calibri"/>
        <family val="2"/>
        <scheme val="minor"/>
      </rPr>
      <t xml:space="preserve">                     </t>
    </r>
  </si>
  <si>
    <r>
      <t xml:space="preserve"> John Doe - List all Keystone Works Program participants that support the increased workers' compensation premium.    WC Policy No. XYZ 001-555-99  for coverage period (8/1/2012 to 12/31/2012)   </t>
    </r>
    <r>
      <rPr>
        <b/>
        <i/>
        <sz val="11"/>
        <color theme="1"/>
        <rFont val="Calibri"/>
        <family val="2"/>
        <scheme val="minor"/>
      </rPr>
      <t xml:space="preserve"> EXAMPLE ONLY</t>
    </r>
  </si>
  <si>
    <t>_______________________________________________________________________________________</t>
  </si>
  <si>
    <t>TELEPHONE:</t>
  </si>
  <si>
    <t>E-MAIL:</t>
  </si>
  <si>
    <t>PAYEE POINT OF CONTACT:</t>
  </si>
  <si>
    <r>
      <t xml:space="preserve">Incomplete invoices will not be processed.  In order to receive                                                                                              reimbursement, proper supporting documentation must be returned with the completed invoice to: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12WRKFDEV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</t>
    </r>
    <r>
      <rPr>
        <b/>
        <sz val="11"/>
        <color indexed="8"/>
        <rFont val="Calibri"/>
        <family val="2"/>
      </rPr>
      <t>Non-PO Invoices                                                                                                                                                                P.O. Box 69183                                                                                                                                 Harrisburg, PA  17106</t>
    </r>
    <r>
      <rPr>
        <sz val="11"/>
        <color theme="1"/>
        <rFont val="Calibri"/>
        <family val="2"/>
        <scheme val="minor"/>
      </rPr>
      <t xml:space="preserve">                        </t>
    </r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</si>
</sst>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00"/>
    <numFmt numFmtId="166" formatCode="&quot;$&quot;#,##0.00;[Red]&quot;$&quot;#,##0.00"/>
  </numFmts>
  <fonts count="16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MS Sans Serif"/>
      <family val="2"/>
    </font>
    <font>
      <b/>
      <sz val="11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173">
    <xf numFmtId="0" fontId="0" fillId="0" borderId="0" xfId="0"/>
    <xf numFmtId="0" fontId="0" fillId="0" borderId="0" xfId="0" applyAlignment="1">
      <alignment wrapText="1"/>
    </xf>
    <xf numFmtId="0" fontId="8" fillId="0" borderId="0" xfId="0" applyFont="1"/>
    <xf numFmtId="0" fontId="0" fillId="0" borderId="1" xfId="0" applyBorder="1" applyAlignment="1">
      <alignment horizontal="center" wrapText="1"/>
    </xf>
    <xf numFmtId="0" fontId="1" fillId="0" borderId="0" xfId="0" applyNumberFormat="1" applyFont="1"/>
    <xf numFmtId="4" fontId="0" fillId="0" borderId="0" xfId="0" applyNumberFormat="1"/>
    <xf numFmtId="4" fontId="0" fillId="0" borderId="1" xfId="0" applyNumberFormat="1" applyBorder="1" applyAlignment="1">
      <alignment horizontal="center" wrapText="1"/>
    </xf>
    <xf numFmtId="40" fontId="0" fillId="0" borderId="0" xfId="0" applyNumberFormat="1"/>
    <xf numFmtId="40" fontId="8" fillId="0" borderId="0" xfId="0" applyNumberFormat="1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 applyFill="1"/>
    <xf numFmtId="0" fontId="0" fillId="0" borderId="0" xfId="0" applyFill="1"/>
    <xf numFmtId="0" fontId="1" fillId="0" borderId="0" xfId="0" applyNumberFormat="1" applyFont="1" applyFill="1"/>
    <xf numFmtId="4" fontId="0" fillId="0" borderId="0" xfId="0" applyNumberFormat="1" applyFill="1"/>
    <xf numFmtId="4" fontId="0" fillId="0" borderId="0" xfId="0" applyNumberFormat="1" applyAlignment="1">
      <alignment horizontal="center"/>
    </xf>
    <xf numFmtId="4" fontId="1" fillId="0" borderId="0" xfId="0" applyNumberFormat="1" applyFont="1" applyBorder="1"/>
    <xf numFmtId="0" fontId="9" fillId="0" borderId="0" xfId="0" applyFont="1" applyFill="1" applyBorder="1"/>
    <xf numFmtId="0" fontId="0" fillId="0" borderId="0" xfId="0" applyFill="1" applyBorder="1"/>
    <xf numFmtId="0" fontId="3" fillId="0" borderId="0" xfId="0" applyNumberFormat="1" applyFont="1" applyFill="1" applyAlignment="1">
      <alignment horizontal="right"/>
    </xf>
    <xf numFmtId="4" fontId="3" fillId="0" borderId="0" xfId="0" applyNumberFormat="1" applyFont="1" applyFill="1"/>
    <xf numFmtId="4" fontId="8" fillId="2" borderId="0" xfId="0" applyNumberFormat="1" applyFont="1" applyFill="1"/>
    <xf numFmtId="4" fontId="8" fillId="0" borderId="0" xfId="0" applyNumberFormat="1" applyFont="1" applyFill="1"/>
    <xf numFmtId="0" fontId="8" fillId="0" borderId="0" xfId="0" applyFont="1" applyAlignment="1">
      <alignment horizontal="center"/>
    </xf>
    <xf numFmtId="40" fontId="8" fillId="0" borderId="0" xfId="0" applyNumberFormat="1" applyFont="1" applyAlignment="1">
      <alignment horizontal="center" wrapText="1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NumberFormat="1"/>
    <xf numFmtId="0" fontId="0" fillId="0" borderId="3" xfId="0" applyFill="1" applyBorder="1"/>
    <xf numFmtId="0" fontId="0" fillId="0" borderId="3" xfId="0" applyFill="1" applyBorder="1" applyAlignment="1">
      <alignment horizontal="left"/>
    </xf>
    <xf numFmtId="0" fontId="0" fillId="0" borderId="8" xfId="0" applyFill="1" applyBorder="1"/>
    <xf numFmtId="0" fontId="0" fillId="0" borderId="5" xfId="0" applyFill="1" applyBorder="1"/>
    <xf numFmtId="0" fontId="0" fillId="0" borderId="9" xfId="0" applyFill="1" applyBorder="1"/>
    <xf numFmtId="4" fontId="10" fillId="0" borderId="0" xfId="0" applyNumberFormat="1" applyFont="1" applyFill="1" applyBorder="1"/>
    <xf numFmtId="0" fontId="0" fillId="0" borderId="13" xfId="0" applyFill="1" applyBorder="1"/>
    <xf numFmtId="0" fontId="10" fillId="0" borderId="0" xfId="0" applyNumberFormat="1" applyFont="1" applyFill="1" applyBorder="1" applyAlignment="1">
      <alignment horizontal="center" vertical="center"/>
    </xf>
    <xf numFmtId="0" fontId="8" fillId="0" borderId="10" xfId="0" applyFont="1" applyFill="1" applyBorder="1"/>
    <xf numFmtId="0" fontId="10" fillId="0" borderId="5" xfId="0" applyNumberFormat="1" applyFont="1" applyFill="1" applyBorder="1" applyAlignment="1">
      <alignment horizontal="center" vertical="center"/>
    </xf>
    <xf numFmtId="4" fontId="15" fillId="0" borderId="3" xfId="0" applyNumberFormat="1" applyFont="1" applyFill="1" applyBorder="1"/>
    <xf numFmtId="0" fontId="4" fillId="0" borderId="15" xfId="0" applyFont="1" applyFill="1" applyBorder="1"/>
    <xf numFmtId="0" fontId="4" fillId="0" borderId="7" xfId="0" applyFont="1" applyFill="1" applyBorder="1"/>
    <xf numFmtId="0" fontId="0" fillId="0" borderId="6" xfId="0" applyFill="1" applyBorder="1"/>
    <xf numFmtId="0" fontId="0" fillId="0" borderId="7" xfId="0" applyFill="1" applyBorder="1"/>
    <xf numFmtId="0" fontId="5" fillId="0" borderId="0" xfId="0" applyFont="1" applyFill="1" applyBorder="1"/>
    <xf numFmtId="0" fontId="0" fillId="0" borderId="17" xfId="0" applyFill="1" applyBorder="1"/>
    <xf numFmtId="0" fontId="0" fillId="0" borderId="18" xfId="0" applyFill="1" applyBorder="1"/>
    <xf numFmtId="0" fontId="8" fillId="0" borderId="20" xfId="0" applyFont="1" applyFill="1" applyBorder="1"/>
    <xf numFmtId="0" fontId="0" fillId="0" borderId="2" xfId="0" applyFill="1" applyBorder="1"/>
    <xf numFmtId="0" fontId="0" fillId="0" borderId="4" xfId="0" applyFill="1" applyBorder="1"/>
    <xf numFmtId="0" fontId="8" fillId="0" borderId="19" xfId="0" applyFont="1" applyFill="1" applyBorder="1"/>
    <xf numFmtId="0" fontId="0" fillId="0" borderId="7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14" fontId="6" fillId="0" borderId="0" xfId="0" applyNumberFormat="1" applyFont="1" applyFill="1" applyBorder="1"/>
    <xf numFmtId="0" fontId="8" fillId="0" borderId="15" xfId="0" applyFont="1" applyFill="1" applyBorder="1"/>
    <xf numFmtId="0" fontId="8" fillId="0" borderId="5" xfId="0" applyFont="1" applyFill="1" applyBorder="1"/>
    <xf numFmtId="0" fontId="0" fillId="0" borderId="0" xfId="0" applyFont="1" applyFill="1" applyBorder="1"/>
    <xf numFmtId="0" fontId="11" fillId="0" borderId="14" xfId="0" applyFont="1" applyFill="1" applyBorder="1" applyAlignment="1">
      <alignment horizontal="center"/>
    </xf>
    <xf numFmtId="0" fontId="11" fillId="0" borderId="14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/>
    </xf>
    <xf numFmtId="0" fontId="11" fillId="0" borderId="23" xfId="0" applyNumberFormat="1" applyFont="1" applyFill="1" applyBorder="1" applyAlignment="1">
      <alignment horizontal="center" vertical="center"/>
    </xf>
    <xf numFmtId="166" fontId="11" fillId="0" borderId="14" xfId="0" applyNumberFormat="1" applyFont="1" applyFill="1" applyBorder="1" applyAlignment="1">
      <alignment horizontal="center"/>
    </xf>
    <xf numFmtId="166" fontId="11" fillId="0" borderId="22" xfId="0" applyNumberFormat="1" applyFont="1" applyFill="1" applyBorder="1"/>
    <xf numFmtId="0" fontId="11" fillId="0" borderId="10" xfId="0" applyFont="1" applyFill="1" applyBorder="1" applyAlignment="1">
      <alignment horizontal="center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166" fontId="0" fillId="0" borderId="10" xfId="0" applyNumberFormat="1" applyFill="1" applyBorder="1" applyAlignment="1">
      <alignment horizontal="center"/>
    </xf>
    <xf numFmtId="166" fontId="0" fillId="0" borderId="10" xfId="0" applyNumberFormat="1" applyFill="1" applyBorder="1"/>
    <xf numFmtId="0" fontId="11" fillId="0" borderId="12" xfId="0" applyFont="1" applyFill="1" applyBorder="1" applyAlignment="1">
      <alignment horizontal="center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66" fontId="0" fillId="0" borderId="12" xfId="0" applyNumberFormat="1" applyFill="1" applyBorder="1" applyAlignment="1">
      <alignment horizontal="center"/>
    </xf>
    <xf numFmtId="166" fontId="0" fillId="0" borderId="6" xfId="0" applyNumberFormat="1" applyFill="1" applyBorder="1"/>
    <xf numFmtId="0" fontId="11" fillId="0" borderId="13" xfId="0" applyFont="1" applyFill="1" applyBorder="1" applyAlignment="1">
      <alignment horizontal="center"/>
    </xf>
    <xf numFmtId="0" fontId="11" fillId="0" borderId="13" xfId="0" applyFont="1" applyFill="1" applyBorder="1" applyAlignment="1">
      <alignment horizontal="left" vertical="center"/>
    </xf>
    <xf numFmtId="0" fontId="14" fillId="0" borderId="13" xfId="0" applyFont="1" applyFill="1" applyBorder="1"/>
    <xf numFmtId="166" fontId="0" fillId="0" borderId="8" xfId="0" applyNumberFormat="1" applyFill="1" applyBorder="1"/>
    <xf numFmtId="0" fontId="0" fillId="0" borderId="12" xfId="0" applyFill="1" applyBorder="1" applyAlignment="1">
      <alignment horizontal="right"/>
    </xf>
    <xf numFmtId="0" fontId="0" fillId="0" borderId="12" xfId="0" applyFill="1" applyBorder="1" applyAlignment="1">
      <alignment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2" xfId="0" applyFill="1" applyBorder="1"/>
    <xf numFmtId="0" fontId="8" fillId="0" borderId="6" xfId="0" applyFont="1" applyFill="1" applyBorder="1" applyAlignment="1">
      <alignment vertical="center" wrapText="1"/>
    </xf>
    <xf numFmtId="0" fontId="8" fillId="0" borderId="6" xfId="0" applyFont="1" applyFill="1" applyBorder="1" applyAlignment="1">
      <alignment wrapText="1"/>
    </xf>
    <xf numFmtId="0" fontId="0" fillId="0" borderId="6" xfId="0" applyFill="1" applyBorder="1" applyAlignment="1">
      <alignment vertical="center" wrapText="1"/>
    </xf>
    <xf numFmtId="164" fontId="0" fillId="0" borderId="6" xfId="0" applyNumberFormat="1" applyFill="1" applyBorder="1"/>
    <xf numFmtId="4" fontId="0" fillId="0" borderId="12" xfId="0" applyNumberFormat="1" applyFill="1" applyBorder="1"/>
    <xf numFmtId="0" fontId="0" fillId="0" borderId="10" xfId="0" applyFill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1" xfId="0" applyFill="1" applyBorder="1"/>
    <xf numFmtId="0" fontId="5" fillId="0" borderId="8" xfId="0" applyFont="1" applyFill="1" applyBorder="1" applyAlignment="1">
      <alignment horizontal="center"/>
    </xf>
    <xf numFmtId="166" fontId="0" fillId="0" borderId="13" xfId="0" applyNumberFormat="1" applyFill="1" applyBorder="1"/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4" fillId="0" borderId="0" xfId="0" applyFont="1" applyFill="1"/>
    <xf numFmtId="0" fontId="8" fillId="0" borderId="23" xfId="0" applyFont="1" applyFill="1" applyBorder="1" applyAlignment="1">
      <alignment horizontal="center" vertical="center"/>
    </xf>
    <xf numFmtId="0" fontId="4" fillId="0" borderId="11" xfId="0" applyFont="1" applyFill="1" applyBorder="1" applyAlignment="1"/>
    <xf numFmtId="0" fontId="4" fillId="0" borderId="3" xfId="0" applyFont="1" applyFill="1" applyBorder="1" applyAlignment="1"/>
    <xf numFmtId="0" fontId="4" fillId="0" borderId="8" xfId="0" applyFont="1" applyFill="1" applyBorder="1" applyAlignment="1"/>
    <xf numFmtId="0" fontId="0" fillId="0" borderId="5" xfId="0" applyFill="1" applyBorder="1" applyAlignment="1"/>
    <xf numFmtId="0" fontId="0" fillId="0" borderId="0" xfId="0" applyFill="1" applyAlignment="1"/>
    <xf numFmtId="0" fontId="0" fillId="0" borderId="24" xfId="0" applyFill="1" applyBorder="1" applyAlignment="1"/>
    <xf numFmtId="0" fontId="0" fillId="0" borderId="2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0" fillId="0" borderId="20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11" fillId="0" borderId="21" xfId="0" applyFont="1" applyFill="1" applyBorder="1" applyAlignment="1">
      <alignment horizontal="left" vertical="center" wrapText="1" indent="1"/>
    </xf>
    <xf numFmtId="0" fontId="11" fillId="0" borderId="23" xfId="0" applyFont="1" applyFill="1" applyBorder="1" applyAlignment="1">
      <alignment horizontal="left" vertical="center" wrapText="1" indent="1"/>
    </xf>
    <xf numFmtId="0" fontId="11" fillId="0" borderId="5" xfId="0" applyFont="1" applyFill="1" applyBorder="1" applyAlignment="1">
      <alignment vertical="center" wrapText="1" shrinkToFit="1"/>
    </xf>
    <xf numFmtId="0" fontId="0" fillId="0" borderId="5" xfId="0" applyFill="1" applyBorder="1" applyAlignment="1">
      <alignment wrapText="1" shrinkToFit="1"/>
    </xf>
    <xf numFmtId="0" fontId="0" fillId="0" borderId="9" xfId="0" applyFill="1" applyBorder="1" applyAlignment="1">
      <alignment wrapText="1" shrinkToFit="1"/>
    </xf>
    <xf numFmtId="0" fontId="0" fillId="0" borderId="0" xfId="0" applyFill="1" applyAlignment="1">
      <alignment wrapText="1" shrinkToFit="1"/>
    </xf>
    <xf numFmtId="0" fontId="0" fillId="0" borderId="6" xfId="0" applyFill="1" applyBorder="1" applyAlignment="1">
      <alignment wrapText="1" shrinkToFit="1"/>
    </xf>
    <xf numFmtId="0" fontId="0" fillId="0" borderId="3" xfId="0" applyFill="1" applyBorder="1" applyAlignment="1">
      <alignment wrapText="1" shrinkToFit="1"/>
    </xf>
    <xf numFmtId="0" fontId="0" fillId="0" borderId="8" xfId="0" applyFill="1" applyBorder="1" applyAlignment="1">
      <alignment wrapText="1" shrinkToFit="1"/>
    </xf>
    <xf numFmtId="0" fontId="8" fillId="0" borderId="2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8" fillId="0" borderId="21" xfId="0" applyFont="1" applyFill="1" applyBorder="1" applyAlignment="1">
      <alignment horizontal="left" vertical="center" wrapText="1"/>
    </xf>
    <xf numFmtId="0" fontId="0" fillId="0" borderId="23" xfId="0" applyBorder="1" applyAlignment="1"/>
    <xf numFmtId="0" fontId="0" fillId="0" borderId="22" xfId="0" applyBorder="1" applyAlignment="1"/>
    <xf numFmtId="0" fontId="0" fillId="0" borderId="0" xfId="0" applyFill="1" applyAlignment="1">
      <alignment horizontal="left" vertical="top" wrapText="1"/>
    </xf>
    <xf numFmtId="0" fontId="0" fillId="0" borderId="15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13" fillId="0" borderId="5" xfId="0" applyFont="1" applyFill="1" applyBorder="1"/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165" fontId="0" fillId="0" borderId="21" xfId="0" applyNumberFormat="1" applyFill="1" applyBorder="1" applyAlignment="1">
      <alignment horizontal="center"/>
    </xf>
    <xf numFmtId="165" fontId="0" fillId="0" borderId="22" xfId="0" applyNumberFormat="1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 wrapText="1"/>
    </xf>
    <xf numFmtId="0" fontId="13" fillId="0" borderId="6" xfId="0" applyFont="1" applyFill="1" applyBorder="1" applyAlignment="1">
      <alignment horizontal="center" wrapText="1"/>
    </xf>
    <xf numFmtId="0" fontId="0" fillId="0" borderId="1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49" fontId="0" fillId="0" borderId="16" xfId="0" applyNumberFormat="1" applyFill="1" applyBorder="1" applyAlignment="1">
      <alignment horizontal="center"/>
    </xf>
    <xf numFmtId="49" fontId="0" fillId="0" borderId="17" xfId="0" applyNumberFormat="1" applyFill="1" applyBorder="1" applyAlignment="1">
      <alignment horizontal="center"/>
    </xf>
    <xf numFmtId="49" fontId="0" fillId="0" borderId="18" xfId="0" applyNumberFormat="1" applyFill="1" applyBorder="1" applyAlignment="1">
      <alignment horizontal="center"/>
    </xf>
    <xf numFmtId="0" fontId="8" fillId="0" borderId="10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8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3</xdr:row>
      <xdr:rowOff>180974</xdr:rowOff>
    </xdr:from>
    <xdr:to>
      <xdr:col>7</xdr:col>
      <xdr:colOff>0</xdr:colOff>
      <xdr:row>4</xdr:row>
      <xdr:rowOff>0</xdr:rowOff>
    </xdr:to>
    <xdr:sp macro="" textlink="">
      <xdr:nvSpPr>
        <xdr:cNvPr id="2" name="TextBox 1"/>
        <xdr:cNvSpPr txBox="1"/>
      </xdr:nvSpPr>
      <xdr:spPr>
        <a:xfrm>
          <a:off x="333375" y="752474"/>
          <a:ext cx="7924800" cy="9526"/>
        </a:xfrm>
        <a:prstGeom prst="rect">
          <a:avLst/>
        </a:prstGeom>
        <a:solidFill>
          <a:schemeClr val="lt1"/>
        </a:solidFill>
        <a:ln w="1587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3</xdr:row>
      <xdr:rowOff>180974</xdr:rowOff>
    </xdr:from>
    <xdr:to>
      <xdr:col>7</xdr:col>
      <xdr:colOff>0</xdr:colOff>
      <xdr:row>4</xdr:row>
      <xdr:rowOff>0</xdr:rowOff>
    </xdr:to>
    <xdr:sp macro="" textlink="">
      <xdr:nvSpPr>
        <xdr:cNvPr id="2" name="TextBox 1"/>
        <xdr:cNvSpPr txBox="1"/>
      </xdr:nvSpPr>
      <xdr:spPr>
        <a:xfrm>
          <a:off x="333375" y="752474"/>
          <a:ext cx="6972300" cy="9526"/>
        </a:xfrm>
        <a:prstGeom prst="rect">
          <a:avLst/>
        </a:prstGeom>
        <a:solidFill>
          <a:schemeClr val="lt1"/>
        </a:solidFill>
        <a:ln w="1587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3</xdr:row>
      <xdr:rowOff>180974</xdr:rowOff>
    </xdr:from>
    <xdr:to>
      <xdr:col>7</xdr:col>
      <xdr:colOff>0</xdr:colOff>
      <xdr:row>4</xdr:row>
      <xdr:rowOff>0</xdr:rowOff>
    </xdr:to>
    <xdr:sp macro="" textlink="">
      <xdr:nvSpPr>
        <xdr:cNvPr id="2" name="TextBox 1"/>
        <xdr:cNvSpPr txBox="1"/>
      </xdr:nvSpPr>
      <xdr:spPr>
        <a:xfrm>
          <a:off x="333375" y="752474"/>
          <a:ext cx="7924800" cy="9526"/>
        </a:xfrm>
        <a:prstGeom prst="rect">
          <a:avLst/>
        </a:prstGeom>
        <a:solidFill>
          <a:schemeClr val="lt1"/>
        </a:solidFill>
        <a:ln w="15875" cmpd="sng">
          <a:solidFill>
            <a:schemeClr val="tx1">
              <a:lumMod val="95000"/>
              <a:lumOff val="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74"/>
  <sheetViews>
    <sheetView tabSelected="1" zoomScale="90" zoomScaleNormal="90" workbookViewId="0">
      <selection activeCell="D62" sqref="D62:K66"/>
    </sheetView>
  </sheetViews>
  <sheetFormatPr defaultRowHeight="15"/>
  <cols>
    <col min="1" max="1" width="25.42578125" style="12" customWidth="1"/>
    <col min="2" max="2" width="14.7109375" style="12" customWidth="1"/>
    <col min="3" max="3" width="20.42578125" style="12" customWidth="1"/>
    <col min="4" max="4" width="11.85546875" style="12" customWidth="1"/>
    <col min="5" max="5" width="5.7109375" style="12" customWidth="1"/>
    <col min="6" max="6" width="7.85546875" style="12" customWidth="1"/>
    <col min="7" max="7" width="18.5703125" style="12" customWidth="1"/>
    <col min="8" max="8" width="15.42578125" style="12" customWidth="1"/>
    <col min="9" max="9" width="7.7109375" style="12" customWidth="1"/>
    <col min="10" max="10" width="9.140625" style="12" customWidth="1"/>
    <col min="11" max="11" width="14.42578125" style="12" customWidth="1"/>
    <col min="12" max="12" width="9.140625" style="12"/>
    <col min="13" max="13" width="179.85546875" style="12" bestFit="1" customWidth="1"/>
    <col min="14" max="16384" width="9.140625" style="12"/>
  </cols>
  <sheetData>
    <row r="1" spans="1:11" ht="15" customHeight="1">
      <c r="A1" s="40" t="s">
        <v>2</v>
      </c>
      <c r="B1" s="32"/>
      <c r="C1" s="32"/>
      <c r="D1" s="149" t="s">
        <v>48</v>
      </c>
      <c r="E1" s="149"/>
      <c r="F1" s="149"/>
      <c r="G1" s="149"/>
      <c r="H1" s="149"/>
      <c r="I1" s="149"/>
      <c r="J1" s="32"/>
      <c r="K1" s="33"/>
    </row>
    <row r="2" spans="1:11" ht="15" customHeight="1">
      <c r="A2" s="41" t="s">
        <v>3</v>
      </c>
      <c r="B2" s="18"/>
      <c r="C2" s="18"/>
      <c r="D2" s="18"/>
      <c r="E2" s="18"/>
      <c r="F2" s="18"/>
      <c r="G2" s="18"/>
      <c r="H2" s="18"/>
      <c r="I2" s="18"/>
      <c r="J2" s="18"/>
      <c r="K2" s="42"/>
    </row>
    <row r="3" spans="1:11" ht="15" customHeight="1">
      <c r="A3" s="41"/>
      <c r="B3" s="18"/>
      <c r="C3" s="18"/>
      <c r="D3" s="18"/>
      <c r="E3" s="18"/>
      <c r="F3" s="18"/>
      <c r="G3" s="18"/>
      <c r="H3" s="18"/>
      <c r="I3" s="18"/>
      <c r="J3" s="18"/>
      <c r="K3" s="42"/>
    </row>
    <row r="4" spans="1:11" ht="15" customHeight="1" thickBot="1">
      <c r="A4" s="43"/>
      <c r="B4" s="18"/>
      <c r="C4" s="44" t="s">
        <v>4</v>
      </c>
      <c r="D4" s="44"/>
      <c r="E4" s="18"/>
      <c r="F4" s="18"/>
      <c r="G4" s="18"/>
      <c r="H4" s="18"/>
      <c r="I4" s="18"/>
      <c r="J4" s="45"/>
      <c r="K4" s="46"/>
    </row>
    <row r="5" spans="1:11" ht="15" customHeight="1" thickTop="1">
      <c r="A5" s="43"/>
      <c r="B5" s="18"/>
      <c r="C5" s="18"/>
      <c r="D5" s="18"/>
      <c r="E5" s="18"/>
      <c r="F5" s="18"/>
      <c r="G5" s="18"/>
      <c r="H5" s="47" t="s">
        <v>5</v>
      </c>
      <c r="I5" s="48"/>
      <c r="J5" s="18"/>
      <c r="K5" s="49"/>
    </row>
    <row r="6" spans="1:11" ht="15" customHeight="1" thickBot="1">
      <c r="A6" s="43"/>
      <c r="B6" s="18"/>
      <c r="C6" s="18"/>
      <c r="D6" s="18"/>
      <c r="E6" s="18"/>
      <c r="F6" s="18"/>
      <c r="G6" s="18"/>
      <c r="H6" s="164"/>
      <c r="I6" s="165"/>
      <c r="J6" s="165"/>
      <c r="K6" s="166"/>
    </row>
    <row r="7" spans="1:11" ht="15" customHeight="1" thickTop="1">
      <c r="A7" s="112" t="s">
        <v>42</v>
      </c>
      <c r="B7" s="113"/>
      <c r="C7" s="50" t="s">
        <v>6</v>
      </c>
      <c r="D7" s="48"/>
      <c r="E7" s="48"/>
      <c r="F7" s="48"/>
      <c r="G7" s="49"/>
      <c r="H7" s="47" t="s">
        <v>7</v>
      </c>
      <c r="I7" s="48"/>
      <c r="J7" s="18"/>
      <c r="K7" s="42"/>
    </row>
    <row r="8" spans="1:11" ht="15" customHeight="1">
      <c r="A8" s="114"/>
      <c r="B8" s="115"/>
      <c r="C8" s="51"/>
      <c r="D8" s="52"/>
      <c r="E8" s="52"/>
      <c r="F8" s="52"/>
      <c r="G8" s="42"/>
      <c r="H8" s="53"/>
      <c r="I8" s="18"/>
      <c r="J8" s="18"/>
      <c r="K8" s="42"/>
    </row>
    <row r="9" spans="1:11" ht="15" customHeight="1">
      <c r="A9" s="114"/>
      <c r="B9" s="115"/>
      <c r="C9" s="43"/>
      <c r="D9" s="18"/>
      <c r="E9" s="18"/>
      <c r="F9" s="18"/>
      <c r="G9" s="42"/>
      <c r="H9" s="53"/>
      <c r="I9" s="18"/>
      <c r="J9" s="18"/>
      <c r="K9" s="42"/>
    </row>
    <row r="10" spans="1:11" ht="15" customHeight="1">
      <c r="A10" s="114"/>
      <c r="B10" s="115"/>
      <c r="C10" s="43"/>
      <c r="D10" s="18"/>
      <c r="E10" s="18"/>
      <c r="F10" s="18"/>
      <c r="G10" s="42"/>
      <c r="H10" s="53"/>
      <c r="I10" s="18"/>
      <c r="J10" s="18"/>
      <c r="K10" s="31"/>
    </row>
    <row r="11" spans="1:11" ht="15" customHeight="1">
      <c r="A11" s="114"/>
      <c r="B11" s="115"/>
      <c r="C11" s="43"/>
      <c r="D11" s="18"/>
      <c r="E11" s="18"/>
      <c r="F11" s="18"/>
      <c r="G11" s="42"/>
      <c r="H11" s="54" t="s">
        <v>45</v>
      </c>
      <c r="I11" s="32"/>
      <c r="J11" s="32"/>
      <c r="K11" s="42"/>
    </row>
    <row r="12" spans="1:11" ht="15" customHeight="1">
      <c r="A12" s="114"/>
      <c r="B12" s="115"/>
      <c r="C12" s="43"/>
      <c r="D12" s="18"/>
      <c r="E12" s="18"/>
      <c r="F12" s="18"/>
      <c r="G12" s="42"/>
      <c r="H12" s="161"/>
      <c r="I12" s="162"/>
      <c r="J12" s="162"/>
      <c r="K12" s="163"/>
    </row>
    <row r="13" spans="1:11" ht="15" customHeight="1">
      <c r="A13" s="114"/>
      <c r="B13" s="115"/>
      <c r="C13" s="43"/>
      <c r="D13" s="18"/>
      <c r="E13" s="18"/>
      <c r="F13" s="18"/>
      <c r="G13" s="18"/>
      <c r="H13" s="54" t="s">
        <v>30</v>
      </c>
      <c r="I13" s="55"/>
      <c r="J13" s="32"/>
      <c r="K13" s="42"/>
    </row>
    <row r="14" spans="1:11" ht="15" customHeight="1">
      <c r="A14" s="114"/>
      <c r="B14" s="115"/>
      <c r="C14" s="43"/>
      <c r="D14" s="18"/>
      <c r="E14" s="18"/>
      <c r="F14" s="18"/>
      <c r="G14" s="42"/>
      <c r="H14" s="56" t="s">
        <v>31</v>
      </c>
      <c r="I14" s="18"/>
      <c r="J14" s="18"/>
      <c r="K14" s="31"/>
    </row>
    <row r="15" spans="1:11" ht="15" customHeight="1">
      <c r="A15" s="114"/>
      <c r="B15" s="115"/>
      <c r="C15" s="37" t="s">
        <v>36</v>
      </c>
      <c r="D15" s="32"/>
      <c r="E15" s="32"/>
      <c r="F15" s="32"/>
      <c r="G15" s="33"/>
      <c r="H15" s="54" t="s">
        <v>32</v>
      </c>
      <c r="I15" s="55"/>
      <c r="J15" s="32"/>
      <c r="K15" s="42"/>
    </row>
    <row r="16" spans="1:11" ht="15" customHeight="1">
      <c r="A16" s="116"/>
      <c r="B16" s="117"/>
      <c r="C16" s="35"/>
      <c r="D16" s="29"/>
      <c r="E16" s="30"/>
      <c r="F16" s="29"/>
      <c r="G16" s="31"/>
      <c r="H16" s="29"/>
      <c r="I16" s="29"/>
      <c r="J16" s="29"/>
      <c r="K16" s="31"/>
    </row>
    <row r="17" spans="1:11" ht="15" customHeight="1">
      <c r="A17" s="118" t="s">
        <v>35</v>
      </c>
      <c r="B17" s="118" t="s">
        <v>37</v>
      </c>
      <c r="C17" s="132" t="s">
        <v>52</v>
      </c>
      <c r="D17" s="133"/>
      <c r="E17" s="133"/>
      <c r="F17" s="133"/>
      <c r="G17" s="134"/>
      <c r="H17" s="118" t="s">
        <v>51</v>
      </c>
      <c r="I17" s="118" t="s">
        <v>47</v>
      </c>
      <c r="J17" s="148" t="s">
        <v>41</v>
      </c>
      <c r="K17" s="167" t="s">
        <v>8</v>
      </c>
    </row>
    <row r="18" spans="1:11" ht="25.5" customHeight="1">
      <c r="A18" s="119"/>
      <c r="B18" s="119"/>
      <c r="C18" s="135" t="s">
        <v>38</v>
      </c>
      <c r="D18" s="136"/>
      <c r="E18" s="136"/>
      <c r="F18" s="137"/>
      <c r="G18" s="100" t="s">
        <v>44</v>
      </c>
      <c r="H18" s="119"/>
      <c r="I18" s="119"/>
      <c r="J18" s="119"/>
      <c r="K18" s="168"/>
    </row>
    <row r="19" spans="1:11" ht="15" customHeight="1">
      <c r="A19" s="57" t="s">
        <v>46</v>
      </c>
      <c r="B19" s="58">
        <v>1234567</v>
      </c>
      <c r="C19" s="123" t="s">
        <v>53</v>
      </c>
      <c r="D19" s="124"/>
      <c r="E19" s="124"/>
      <c r="F19" s="124"/>
      <c r="G19" s="59" t="s">
        <v>43</v>
      </c>
      <c r="H19" s="60">
        <v>4</v>
      </c>
      <c r="I19" s="61">
        <v>1</v>
      </c>
      <c r="J19" s="62">
        <v>375</v>
      </c>
      <c r="K19" s="63">
        <f>(H19*J19)</f>
        <v>1500</v>
      </c>
    </row>
    <row r="20" spans="1:11" ht="15" customHeight="1">
      <c r="A20" s="64" t="s">
        <v>46</v>
      </c>
      <c r="B20" s="65">
        <v>1234567</v>
      </c>
      <c r="C20" s="125" t="s">
        <v>54</v>
      </c>
      <c r="D20" s="126"/>
      <c r="E20" s="126"/>
      <c r="F20" s="126"/>
      <c r="G20" s="127"/>
      <c r="H20" s="66"/>
      <c r="I20" s="38"/>
      <c r="J20" s="67"/>
      <c r="K20" s="68"/>
    </row>
    <row r="21" spans="1:11" ht="15" customHeight="1">
      <c r="A21" s="69"/>
      <c r="B21" s="70"/>
      <c r="C21" s="128"/>
      <c r="D21" s="128"/>
      <c r="E21" s="128"/>
      <c r="F21" s="128"/>
      <c r="G21" s="129"/>
      <c r="H21" s="71"/>
      <c r="I21" s="36"/>
      <c r="J21" s="72"/>
      <c r="K21" s="73"/>
    </row>
    <row r="22" spans="1:11" ht="15" customHeight="1">
      <c r="A22" s="74"/>
      <c r="B22" s="75" t="s">
        <v>49</v>
      </c>
      <c r="C22" s="130"/>
      <c r="D22" s="130"/>
      <c r="E22" s="130"/>
      <c r="F22" s="130"/>
      <c r="G22" s="131"/>
      <c r="H22" s="76"/>
      <c r="I22" s="39"/>
      <c r="J22" s="76"/>
      <c r="K22" s="77">
        <v>150</v>
      </c>
    </row>
    <row r="23" spans="1:11" ht="15" customHeight="1">
      <c r="A23" s="78"/>
      <c r="B23" s="79"/>
      <c r="C23" s="110"/>
      <c r="D23" s="111"/>
      <c r="E23" s="111"/>
      <c r="F23" s="111"/>
      <c r="G23" s="80"/>
      <c r="H23" s="71"/>
      <c r="I23" s="36"/>
      <c r="J23" s="72"/>
      <c r="K23" s="73"/>
    </row>
    <row r="24" spans="1:11" ht="15" customHeight="1">
      <c r="A24" s="78"/>
      <c r="B24" s="81"/>
      <c r="C24" s="110"/>
      <c r="D24" s="111"/>
      <c r="E24" s="111"/>
      <c r="F24" s="111"/>
      <c r="G24" s="82"/>
      <c r="H24" s="71"/>
      <c r="I24" s="36"/>
      <c r="J24" s="72"/>
      <c r="K24" s="73"/>
    </row>
    <row r="25" spans="1:11" ht="15" customHeight="1">
      <c r="A25" s="78"/>
      <c r="B25" s="81"/>
      <c r="C25" s="110"/>
      <c r="D25" s="111"/>
      <c r="E25" s="111"/>
      <c r="F25" s="111"/>
      <c r="G25" s="83"/>
      <c r="H25" s="81"/>
      <c r="I25" s="34"/>
      <c r="J25" s="81"/>
      <c r="K25" s="42"/>
    </row>
    <row r="26" spans="1:11" ht="15" customHeight="1">
      <c r="A26" s="78"/>
      <c r="B26" s="81"/>
      <c r="C26" s="110"/>
      <c r="D26" s="111"/>
      <c r="E26" s="111"/>
      <c r="F26" s="111"/>
      <c r="G26" s="18"/>
      <c r="H26" s="81"/>
      <c r="I26" s="34"/>
      <c r="J26" s="81"/>
      <c r="K26" s="42"/>
    </row>
    <row r="27" spans="1:11" ht="15" customHeight="1">
      <c r="A27" s="78"/>
      <c r="B27" s="81"/>
      <c r="C27" s="110"/>
      <c r="D27" s="111"/>
      <c r="E27" s="111"/>
      <c r="F27" s="111"/>
      <c r="G27" s="18"/>
      <c r="H27" s="81"/>
      <c r="I27" s="34"/>
      <c r="J27" s="81"/>
      <c r="K27" s="42"/>
    </row>
    <row r="28" spans="1:11" ht="15" customHeight="1">
      <c r="A28" s="78"/>
      <c r="B28" s="81"/>
      <c r="C28" s="110"/>
      <c r="D28" s="111"/>
      <c r="E28" s="111"/>
      <c r="F28" s="111"/>
      <c r="G28" s="18"/>
      <c r="H28" s="81"/>
      <c r="I28" s="34"/>
      <c r="J28" s="81"/>
      <c r="K28" s="42"/>
    </row>
    <row r="29" spans="1:11" ht="15" customHeight="1">
      <c r="A29" s="78"/>
      <c r="B29" s="70"/>
      <c r="C29" s="110"/>
      <c r="D29" s="111"/>
      <c r="E29" s="111"/>
      <c r="F29" s="111"/>
      <c r="G29" s="80"/>
      <c r="H29" s="81"/>
      <c r="I29" s="34"/>
      <c r="J29" s="81"/>
      <c r="K29" s="42"/>
    </row>
    <row r="30" spans="1:11" ht="15" customHeight="1">
      <c r="A30" s="78"/>
      <c r="B30" s="79"/>
      <c r="C30" s="110"/>
      <c r="D30" s="111"/>
      <c r="E30" s="111"/>
      <c r="F30" s="111"/>
      <c r="G30" s="84"/>
      <c r="H30" s="81"/>
      <c r="I30" s="34"/>
      <c r="J30" s="81"/>
      <c r="K30" s="42"/>
    </row>
    <row r="31" spans="1:11" ht="15" customHeight="1">
      <c r="A31" s="78"/>
      <c r="B31" s="79"/>
      <c r="C31" s="110"/>
      <c r="D31" s="111"/>
      <c r="E31" s="111"/>
      <c r="F31" s="111"/>
      <c r="G31" s="84"/>
      <c r="H31" s="81"/>
      <c r="I31" s="34"/>
      <c r="J31" s="81"/>
      <c r="K31" s="42"/>
    </row>
    <row r="32" spans="1:11" ht="15" customHeight="1">
      <c r="A32" s="78"/>
      <c r="B32" s="79"/>
      <c r="C32" s="110"/>
      <c r="D32" s="111"/>
      <c r="E32" s="111"/>
      <c r="F32" s="111"/>
      <c r="G32" s="84"/>
      <c r="H32" s="81"/>
      <c r="I32" s="34"/>
      <c r="J32" s="81"/>
      <c r="K32" s="42"/>
    </row>
    <row r="33" spans="1:11" ht="15" customHeight="1">
      <c r="A33" s="78"/>
      <c r="B33" s="70"/>
      <c r="C33" s="110"/>
      <c r="D33" s="111"/>
      <c r="E33" s="111"/>
      <c r="F33" s="111"/>
      <c r="G33" s="80"/>
      <c r="H33" s="81"/>
      <c r="I33" s="34"/>
      <c r="J33" s="81"/>
      <c r="K33" s="42"/>
    </row>
    <row r="34" spans="1:11" ht="15" customHeight="1">
      <c r="A34" s="78"/>
      <c r="B34" s="79"/>
      <c r="C34" s="110"/>
      <c r="D34" s="111"/>
      <c r="E34" s="111"/>
      <c r="F34" s="111"/>
      <c r="G34" s="84"/>
      <c r="H34" s="81"/>
      <c r="I34" s="34"/>
      <c r="J34" s="81"/>
      <c r="K34" s="42"/>
    </row>
    <row r="35" spans="1:11" ht="15" customHeight="1">
      <c r="A35" s="78"/>
      <c r="B35" s="79"/>
      <c r="C35" s="110"/>
      <c r="D35" s="111"/>
      <c r="E35" s="111"/>
      <c r="F35" s="111"/>
      <c r="G35" s="84"/>
      <c r="H35" s="81"/>
      <c r="I35" s="34"/>
      <c r="J35" s="81"/>
      <c r="K35" s="42"/>
    </row>
    <row r="36" spans="1:11" ht="15" customHeight="1">
      <c r="A36" s="78"/>
      <c r="B36" s="79"/>
      <c r="C36" s="110"/>
      <c r="D36" s="111"/>
      <c r="E36" s="111"/>
      <c r="F36" s="111"/>
      <c r="G36" s="84"/>
      <c r="H36" s="81"/>
      <c r="I36" s="34"/>
      <c r="J36" s="81"/>
      <c r="K36" s="42"/>
    </row>
    <row r="37" spans="1:11" ht="15" customHeight="1">
      <c r="A37" s="78"/>
      <c r="B37" s="79"/>
      <c r="C37" s="110"/>
      <c r="D37" s="111"/>
      <c r="E37" s="111"/>
      <c r="F37" s="111"/>
      <c r="G37" s="84"/>
      <c r="H37" s="81"/>
      <c r="I37" s="34"/>
      <c r="J37" s="81"/>
      <c r="K37" s="42"/>
    </row>
    <row r="38" spans="1:11" ht="15" customHeight="1">
      <c r="A38" s="78"/>
      <c r="B38" s="79"/>
      <c r="C38" s="110"/>
      <c r="D38" s="111"/>
      <c r="E38" s="111"/>
      <c r="F38" s="111"/>
      <c r="G38" s="84"/>
      <c r="H38" s="81"/>
      <c r="I38" s="34"/>
      <c r="J38" s="81"/>
      <c r="K38" s="42"/>
    </row>
    <row r="39" spans="1:11" ht="15" customHeight="1">
      <c r="A39" s="78"/>
      <c r="B39" s="79"/>
      <c r="C39" s="110"/>
      <c r="D39" s="111"/>
      <c r="E39" s="111"/>
      <c r="F39" s="111"/>
      <c r="G39" s="84"/>
      <c r="H39" s="81"/>
      <c r="I39" s="34"/>
      <c r="J39" s="81"/>
      <c r="K39" s="42"/>
    </row>
    <row r="40" spans="1:11" ht="15" customHeight="1">
      <c r="A40" s="78"/>
      <c r="B40" s="79"/>
      <c r="C40" s="110"/>
      <c r="D40" s="111"/>
      <c r="E40" s="111"/>
      <c r="F40" s="111"/>
      <c r="G40" s="84"/>
      <c r="H40" s="81"/>
      <c r="I40" s="34"/>
      <c r="J40" s="81"/>
      <c r="K40" s="42"/>
    </row>
    <row r="41" spans="1:11" ht="15" customHeight="1">
      <c r="A41" s="78"/>
      <c r="B41" s="79"/>
      <c r="C41" s="110"/>
      <c r="D41" s="111"/>
      <c r="E41" s="111"/>
      <c r="F41" s="111"/>
      <c r="G41" s="84"/>
      <c r="H41" s="81"/>
      <c r="I41" s="34"/>
      <c r="J41" s="81"/>
      <c r="K41" s="42"/>
    </row>
    <row r="42" spans="1:11" ht="15" customHeight="1">
      <c r="A42" s="78"/>
      <c r="B42" s="79"/>
      <c r="C42" s="110"/>
      <c r="D42" s="111"/>
      <c r="E42" s="111"/>
      <c r="F42" s="111"/>
      <c r="G42" s="84"/>
      <c r="H42" s="81"/>
      <c r="I42" s="34"/>
      <c r="J42" s="81"/>
      <c r="K42" s="42"/>
    </row>
    <row r="43" spans="1:11" ht="15" customHeight="1">
      <c r="A43" s="78"/>
      <c r="B43" s="79"/>
      <c r="C43" s="110"/>
      <c r="D43" s="111"/>
      <c r="E43" s="111"/>
      <c r="F43" s="111"/>
      <c r="G43" s="84"/>
      <c r="H43" s="81"/>
      <c r="I43" s="34"/>
      <c r="J43" s="81"/>
      <c r="K43" s="42"/>
    </row>
    <row r="44" spans="1:11" ht="15" customHeight="1">
      <c r="A44" s="78"/>
      <c r="B44" s="79"/>
      <c r="C44" s="110"/>
      <c r="D44" s="111"/>
      <c r="E44" s="111"/>
      <c r="F44" s="111"/>
      <c r="G44" s="84"/>
      <c r="H44" s="81"/>
      <c r="I44" s="34"/>
      <c r="J44" s="81"/>
      <c r="K44" s="42"/>
    </row>
    <row r="45" spans="1:11" ht="15" customHeight="1">
      <c r="A45" s="81"/>
      <c r="B45" s="81"/>
      <c r="C45" s="110"/>
      <c r="D45" s="111"/>
      <c r="E45" s="111"/>
      <c r="F45" s="111"/>
      <c r="G45" s="42"/>
      <c r="H45" s="81"/>
      <c r="I45" s="34"/>
      <c r="J45" s="81"/>
      <c r="K45" s="85"/>
    </row>
    <row r="46" spans="1:11" ht="15" customHeight="1">
      <c r="A46" s="81"/>
      <c r="B46" s="81"/>
      <c r="C46" s="110"/>
      <c r="D46" s="111"/>
      <c r="E46" s="111"/>
      <c r="F46" s="111"/>
      <c r="G46" s="42"/>
      <c r="H46" s="81"/>
      <c r="I46" s="86"/>
      <c r="J46" s="81"/>
      <c r="K46" s="85"/>
    </row>
    <row r="47" spans="1:11" ht="15" customHeight="1">
      <c r="A47" s="43"/>
      <c r="B47" s="81"/>
      <c r="C47" s="110"/>
      <c r="D47" s="111"/>
      <c r="E47" s="111"/>
      <c r="F47" s="111"/>
      <c r="G47" s="42"/>
      <c r="H47" s="81"/>
      <c r="I47" s="81"/>
      <c r="J47" s="81"/>
      <c r="K47" s="42"/>
    </row>
    <row r="48" spans="1:11" ht="15" customHeight="1">
      <c r="A48" s="81"/>
      <c r="B48" s="81"/>
      <c r="C48" s="110"/>
      <c r="D48" s="111"/>
      <c r="E48" s="111"/>
      <c r="F48" s="111"/>
      <c r="G48" s="42"/>
      <c r="H48" s="81"/>
      <c r="I48" s="81"/>
      <c r="J48" s="81"/>
      <c r="K48" s="42"/>
    </row>
    <row r="49" spans="1:11" ht="15" customHeight="1">
      <c r="A49" s="81"/>
      <c r="B49" s="81"/>
      <c r="C49" s="158" t="s">
        <v>39</v>
      </c>
      <c r="D49" s="159"/>
      <c r="E49" s="159"/>
      <c r="F49" s="159"/>
      <c r="G49" s="160"/>
      <c r="H49" s="81"/>
      <c r="I49" s="81"/>
      <c r="J49" s="81"/>
      <c r="K49" s="42"/>
    </row>
    <row r="50" spans="1:11" ht="15" customHeight="1">
      <c r="A50" s="81"/>
      <c r="B50" s="35"/>
      <c r="C50" s="18"/>
      <c r="D50" s="18"/>
      <c r="E50" s="18"/>
      <c r="F50" s="18"/>
      <c r="G50" s="31"/>
      <c r="H50" s="35"/>
      <c r="I50" s="35"/>
      <c r="J50" s="35"/>
      <c r="K50" s="42"/>
    </row>
    <row r="51" spans="1:11" s="91" customFormat="1" ht="15" customHeight="1">
      <c r="A51" s="87" t="s">
        <v>9</v>
      </c>
      <c r="B51" s="150" t="s">
        <v>10</v>
      </c>
      <c r="C51" s="151"/>
      <c r="D51" s="150" t="s">
        <v>11</v>
      </c>
      <c r="E51" s="152"/>
      <c r="F51" s="151"/>
      <c r="G51" s="88" t="s">
        <v>14</v>
      </c>
      <c r="H51" s="89"/>
      <c r="I51" s="89"/>
      <c r="J51" s="90"/>
      <c r="K51" s="90"/>
    </row>
    <row r="52" spans="1:11" ht="15" customHeight="1">
      <c r="A52" s="92" t="s">
        <v>12</v>
      </c>
      <c r="B52" s="153">
        <v>1103412000</v>
      </c>
      <c r="C52" s="154"/>
      <c r="D52" s="155">
        <v>1245550999</v>
      </c>
      <c r="E52" s="156"/>
      <c r="F52" s="157"/>
      <c r="G52" s="93" t="s">
        <v>33</v>
      </c>
      <c r="H52" s="94"/>
      <c r="I52" s="29"/>
      <c r="J52" s="95" t="s">
        <v>0</v>
      </c>
      <c r="K52" s="96">
        <f>SUM(K23:K50)</f>
        <v>0</v>
      </c>
    </row>
    <row r="53" spans="1:11" ht="15" customHeight="1">
      <c r="A53" s="97"/>
      <c r="B53" s="98"/>
      <c r="C53" s="98"/>
      <c r="D53" s="98"/>
      <c r="E53" s="98"/>
      <c r="F53" s="90"/>
      <c r="G53" s="139" t="s">
        <v>59</v>
      </c>
      <c r="H53" s="140"/>
      <c r="I53" s="140"/>
      <c r="J53" s="140"/>
      <c r="K53" s="141"/>
    </row>
    <row r="54" spans="1:11" s="99" customFormat="1" ht="15" customHeight="1">
      <c r="A54" s="120" t="s">
        <v>50</v>
      </c>
      <c r="B54" s="121"/>
      <c r="C54" s="121"/>
      <c r="D54" s="121"/>
      <c r="E54" s="121"/>
      <c r="F54" s="122"/>
      <c r="G54" s="142"/>
      <c r="H54" s="143"/>
      <c r="I54" s="143"/>
      <c r="J54" s="143"/>
      <c r="K54" s="144"/>
    </row>
    <row r="55" spans="1:11" s="99" customFormat="1" ht="15" customHeight="1">
      <c r="A55" s="120"/>
      <c r="B55" s="121"/>
      <c r="C55" s="121"/>
      <c r="D55" s="121"/>
      <c r="E55" s="121"/>
      <c r="F55" s="122"/>
      <c r="G55" s="142"/>
      <c r="H55" s="143"/>
      <c r="I55" s="143"/>
      <c r="J55" s="143"/>
      <c r="K55" s="144"/>
    </row>
    <row r="56" spans="1:11" s="99" customFormat="1" ht="15" customHeight="1">
      <c r="A56" s="120"/>
      <c r="B56" s="121"/>
      <c r="C56" s="121"/>
      <c r="D56" s="121"/>
      <c r="E56" s="121"/>
      <c r="F56" s="122"/>
      <c r="G56" s="142"/>
      <c r="H56" s="143"/>
      <c r="I56" s="143"/>
      <c r="J56" s="143"/>
      <c r="K56" s="144"/>
    </row>
    <row r="57" spans="1:11" s="99" customFormat="1" ht="15" customHeight="1">
      <c r="A57" s="120"/>
      <c r="B57" s="121"/>
      <c r="C57" s="121"/>
      <c r="D57" s="121"/>
      <c r="E57" s="121"/>
      <c r="F57" s="122"/>
      <c r="G57" s="142"/>
      <c r="H57" s="143"/>
      <c r="I57" s="143"/>
      <c r="J57" s="143"/>
      <c r="K57" s="144"/>
    </row>
    <row r="58" spans="1:11" s="99" customFormat="1" ht="15" customHeight="1">
      <c r="A58" s="120"/>
      <c r="B58" s="121"/>
      <c r="C58" s="121"/>
      <c r="D58" s="121"/>
      <c r="E58" s="121"/>
      <c r="F58" s="122"/>
      <c r="G58" s="142"/>
      <c r="H58" s="143"/>
      <c r="I58" s="143"/>
      <c r="J58" s="143"/>
      <c r="K58" s="144"/>
    </row>
    <row r="59" spans="1:11" ht="15" customHeight="1">
      <c r="A59" s="169" t="s">
        <v>55</v>
      </c>
      <c r="B59" s="170"/>
      <c r="C59" s="170"/>
      <c r="D59" s="170"/>
      <c r="E59" s="170"/>
      <c r="F59" s="171"/>
      <c r="G59" s="143"/>
      <c r="H59" s="143"/>
      <c r="I59" s="143"/>
      <c r="J59" s="143"/>
      <c r="K59" s="144"/>
    </row>
    <row r="60" spans="1:11" s="99" customFormat="1" ht="15" customHeight="1">
      <c r="A60" s="101" t="s">
        <v>34</v>
      </c>
      <c r="B60" s="102"/>
      <c r="C60" s="102"/>
      <c r="D60" s="101" t="s">
        <v>7</v>
      </c>
      <c r="E60" s="102"/>
      <c r="F60" s="103"/>
      <c r="G60" s="145"/>
      <c r="H60" s="146"/>
      <c r="I60" s="146"/>
      <c r="J60" s="146"/>
      <c r="K60" s="147"/>
    </row>
    <row r="61" spans="1:11" ht="15" customHeight="1">
      <c r="A61" s="94"/>
      <c r="B61" s="29"/>
      <c r="C61" s="29"/>
      <c r="D61" s="29"/>
      <c r="E61" s="29"/>
      <c r="F61" s="29"/>
      <c r="G61" s="29"/>
      <c r="H61" s="29"/>
      <c r="I61" s="29"/>
      <c r="J61" s="29"/>
      <c r="K61" s="31"/>
    </row>
    <row r="62" spans="1:11">
      <c r="A62" s="104"/>
      <c r="B62" s="104"/>
      <c r="C62" s="104"/>
      <c r="D62" s="108"/>
      <c r="E62" s="108"/>
      <c r="F62" s="108"/>
      <c r="G62" s="108"/>
      <c r="H62" s="108"/>
      <c r="I62" s="108"/>
      <c r="J62" s="108"/>
      <c r="K62" s="108"/>
    </row>
    <row r="63" spans="1:11">
      <c r="A63" s="106" t="s">
        <v>58</v>
      </c>
      <c r="B63" s="107"/>
      <c r="C63" s="107"/>
      <c r="D63" s="109"/>
      <c r="E63" s="109"/>
      <c r="F63" s="109"/>
      <c r="G63" s="109"/>
      <c r="H63" s="109"/>
      <c r="I63" s="109"/>
      <c r="J63" s="109"/>
      <c r="K63" s="109"/>
    </row>
    <row r="64" spans="1:11">
      <c r="A64" s="106" t="s">
        <v>56</v>
      </c>
      <c r="B64" s="107"/>
      <c r="C64" s="107"/>
      <c r="D64" s="109"/>
      <c r="E64" s="109"/>
      <c r="F64" s="109"/>
      <c r="G64" s="109"/>
      <c r="H64" s="109"/>
      <c r="I64" s="109"/>
      <c r="J64" s="109"/>
      <c r="K64" s="109"/>
    </row>
    <row r="65" spans="1:11">
      <c r="A65" s="106" t="s">
        <v>57</v>
      </c>
      <c r="B65" s="107"/>
      <c r="C65" s="107"/>
      <c r="D65" s="109"/>
      <c r="E65" s="109"/>
      <c r="F65" s="109"/>
      <c r="G65" s="109"/>
      <c r="H65" s="109"/>
      <c r="I65" s="109"/>
      <c r="J65" s="109"/>
      <c r="K65" s="109"/>
    </row>
    <row r="66" spans="1:11">
      <c r="A66" s="105"/>
      <c r="B66" s="105"/>
      <c r="C66" s="105"/>
      <c r="D66" s="109"/>
      <c r="E66" s="109"/>
      <c r="F66" s="109"/>
      <c r="G66" s="109"/>
      <c r="H66" s="109"/>
      <c r="I66" s="109"/>
      <c r="J66" s="109"/>
      <c r="K66" s="109"/>
    </row>
    <row r="67" spans="1:11">
      <c r="A67" s="138" t="s">
        <v>40</v>
      </c>
      <c r="B67" s="138"/>
      <c r="C67" s="138"/>
      <c r="D67" s="138"/>
      <c r="E67" s="138"/>
      <c r="F67" s="138"/>
      <c r="G67" s="138"/>
      <c r="H67" s="138"/>
      <c r="I67" s="138"/>
      <c r="J67" s="138"/>
      <c r="K67" s="138"/>
    </row>
    <row r="68" spans="1:1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</row>
    <row r="69" spans="1:1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</row>
    <row r="70" spans="1:1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</row>
    <row r="71" spans="1:1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</row>
    <row r="72" spans="1:1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</row>
    <row r="73" spans="1:1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</row>
    <row r="74" spans="1:1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</row>
  </sheetData>
  <protectedRanges>
    <protectedRange password="CF3B" sqref="A19:K19" name="Range1"/>
    <protectedRange password="CF3B" sqref="A20:A22" name="Range1_1"/>
  </protectedRanges>
  <mergeCells count="53">
    <mergeCell ref="A67:K74"/>
    <mergeCell ref="G53:K60"/>
    <mergeCell ref="J17:J18"/>
    <mergeCell ref="D1:I1"/>
    <mergeCell ref="B51:C51"/>
    <mergeCell ref="D51:F51"/>
    <mergeCell ref="B52:C52"/>
    <mergeCell ref="D52:F52"/>
    <mergeCell ref="C49:G49"/>
    <mergeCell ref="H12:K12"/>
    <mergeCell ref="H6:K6"/>
    <mergeCell ref="K17:K18"/>
    <mergeCell ref="A59:F59"/>
    <mergeCell ref="A17:A18"/>
    <mergeCell ref="H17:H18"/>
    <mergeCell ref="I17:I18"/>
    <mergeCell ref="C24:F24"/>
    <mergeCell ref="C25:F25"/>
    <mergeCell ref="C26:F26"/>
    <mergeCell ref="C20:G22"/>
    <mergeCell ref="C17:G17"/>
    <mergeCell ref="C18:F18"/>
    <mergeCell ref="A7:B16"/>
    <mergeCell ref="B17:B18"/>
    <mergeCell ref="A54:F58"/>
    <mergeCell ref="C19:F19"/>
    <mergeCell ref="C23:F23"/>
    <mergeCell ref="C38:F38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B65:C65"/>
    <mergeCell ref="B64:C64"/>
    <mergeCell ref="B63:C63"/>
    <mergeCell ref="D62:K66"/>
    <mergeCell ref="C37:F37"/>
    <mergeCell ref="C45:F45"/>
    <mergeCell ref="C46:F46"/>
    <mergeCell ref="C47:F47"/>
    <mergeCell ref="C48:F48"/>
    <mergeCell ref="C39:F39"/>
    <mergeCell ref="C40:F40"/>
    <mergeCell ref="C41:F41"/>
    <mergeCell ref="C42:F42"/>
    <mergeCell ref="C43:F43"/>
    <mergeCell ref="C44:F44"/>
  </mergeCells>
  <pageMargins left="0.7" right="0.45" top="0.5" bottom="0.25" header="0.3" footer="0.3"/>
  <pageSetup scale="61" fitToHeight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A5" sqref="A5:IV5"/>
    </sheetView>
  </sheetViews>
  <sheetFormatPr defaultRowHeight="15"/>
  <cols>
    <col min="1" max="1" width="5.140625" customWidth="1"/>
    <col min="2" max="2" width="44.140625" customWidth="1"/>
    <col min="3" max="3" width="2" customWidth="1"/>
    <col min="4" max="7" width="14.5703125" style="5" customWidth="1"/>
  </cols>
  <sheetData>
    <row r="1" spans="1:7">
      <c r="B1" s="172" t="s">
        <v>17</v>
      </c>
      <c r="C1" s="172"/>
      <c r="D1" s="172"/>
      <c r="E1" s="172"/>
      <c r="F1" s="172"/>
      <c r="G1" s="172"/>
    </row>
    <row r="2" spans="1:7">
      <c r="B2" s="172" t="s">
        <v>23</v>
      </c>
      <c r="C2" s="172"/>
      <c r="D2" s="172"/>
      <c r="E2" s="172"/>
      <c r="F2" s="172"/>
      <c r="G2" s="172"/>
    </row>
    <row r="3" spans="1:7">
      <c r="B3" s="172" t="s">
        <v>25</v>
      </c>
      <c r="C3" s="172"/>
      <c r="D3" s="172"/>
      <c r="E3" s="172"/>
      <c r="F3" s="172"/>
      <c r="G3" s="172"/>
    </row>
    <row r="6" spans="1:7">
      <c r="C6" s="9"/>
      <c r="D6" s="15"/>
      <c r="E6" s="15"/>
      <c r="F6" s="15"/>
      <c r="G6" s="15"/>
    </row>
    <row r="7" spans="1:7">
      <c r="C7" s="9"/>
      <c r="D7" s="15"/>
      <c r="E7" s="172" t="s">
        <v>13</v>
      </c>
      <c r="F7" s="172"/>
      <c r="G7" s="172"/>
    </row>
    <row r="8" spans="1:7" s="2" customFormat="1" ht="75">
      <c r="B8" s="23" t="s">
        <v>1</v>
      </c>
      <c r="C8" s="23"/>
      <c r="D8" s="10" t="s">
        <v>24</v>
      </c>
      <c r="E8" s="10" t="s">
        <v>15</v>
      </c>
      <c r="F8" s="24" t="s">
        <v>11</v>
      </c>
      <c r="G8" s="24" t="s">
        <v>14</v>
      </c>
    </row>
    <row r="9" spans="1:7" s="1" customFormat="1" ht="15.75" thickBot="1">
      <c r="B9" s="3"/>
      <c r="C9" s="3"/>
      <c r="D9" s="6"/>
      <c r="E9" s="6"/>
      <c r="F9" s="6"/>
      <c r="G9" s="6"/>
    </row>
    <row r="10" spans="1:7" s="1" customFormat="1">
      <c r="B10" s="4" t="s">
        <v>19</v>
      </c>
      <c r="C10" s="16"/>
      <c r="D10" s="16">
        <v>93.7</v>
      </c>
      <c r="E10" s="7"/>
      <c r="F10" s="7"/>
      <c r="G10" s="7"/>
    </row>
    <row r="11" spans="1:7">
      <c r="B11" s="19"/>
      <c r="C11" s="13"/>
      <c r="D11" s="20"/>
      <c r="E11" s="8"/>
      <c r="F11" s="8"/>
      <c r="G11" s="8"/>
    </row>
    <row r="12" spans="1:7">
      <c r="B12" s="25" t="s">
        <v>16</v>
      </c>
      <c r="C12" s="12"/>
      <c r="D12" s="21">
        <f>SUM(D10:D11)</f>
        <v>93.7</v>
      </c>
      <c r="E12" s="22"/>
      <c r="F12" s="22"/>
      <c r="G12" s="22"/>
    </row>
    <row r="13" spans="1:7" s="7" customFormat="1">
      <c r="A13"/>
      <c r="B13"/>
      <c r="C13"/>
      <c r="D13" s="5"/>
      <c r="E13" s="5"/>
      <c r="F13" s="5"/>
      <c r="G13" s="5"/>
    </row>
    <row r="14" spans="1:7" s="7" customFormat="1">
      <c r="A14"/>
      <c r="B14" s="12"/>
      <c r="C14"/>
      <c r="D14" s="14"/>
      <c r="E14" s="14"/>
      <c r="F14" s="14"/>
      <c r="G14" s="14"/>
    </row>
  </sheetData>
  <mergeCells count="4">
    <mergeCell ref="B1:G1"/>
    <mergeCell ref="B2:G2"/>
    <mergeCell ref="B3:G3"/>
    <mergeCell ref="E7:G7"/>
  </mergeCells>
  <printOptions gridLines="1"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zoomScaleNormal="100" workbookViewId="0">
      <selection activeCell="A5" sqref="A5:IV5"/>
    </sheetView>
  </sheetViews>
  <sheetFormatPr defaultRowHeight="15"/>
  <cols>
    <col min="1" max="1" width="5.140625" customWidth="1"/>
    <col min="2" max="2" width="44.140625" customWidth="1"/>
    <col min="3" max="3" width="2" customWidth="1"/>
    <col min="4" max="7" width="14.5703125" style="5" customWidth="1"/>
  </cols>
  <sheetData>
    <row r="1" spans="1:7">
      <c r="B1" s="172" t="s">
        <v>17</v>
      </c>
      <c r="C1" s="172"/>
      <c r="D1" s="172"/>
      <c r="E1" s="172"/>
      <c r="F1" s="172"/>
      <c r="G1" s="172"/>
    </row>
    <row r="2" spans="1:7">
      <c r="B2" s="172" t="s">
        <v>26</v>
      </c>
      <c r="C2" s="172"/>
      <c r="D2" s="172"/>
      <c r="E2" s="172"/>
      <c r="F2" s="172"/>
      <c r="G2" s="172"/>
    </row>
    <row r="3" spans="1:7">
      <c r="B3" s="172" t="s">
        <v>25</v>
      </c>
      <c r="C3" s="172"/>
      <c r="D3" s="172"/>
      <c r="E3" s="172"/>
      <c r="F3" s="172"/>
      <c r="G3" s="172"/>
    </row>
    <row r="6" spans="1:7">
      <c r="C6" s="9"/>
      <c r="D6" s="15"/>
      <c r="E6" s="15"/>
      <c r="F6" s="15"/>
      <c r="G6" s="15"/>
    </row>
    <row r="7" spans="1:7">
      <c r="C7" s="9"/>
      <c r="D7" s="15"/>
      <c r="E7" s="172" t="s">
        <v>13</v>
      </c>
      <c r="F7" s="172"/>
      <c r="G7" s="172"/>
    </row>
    <row r="8" spans="1:7" s="2" customFormat="1" ht="75">
      <c r="B8" s="26" t="s">
        <v>1</v>
      </c>
      <c r="C8" s="26"/>
      <c r="D8" s="10" t="s">
        <v>24</v>
      </c>
      <c r="E8" s="10" t="s">
        <v>15</v>
      </c>
      <c r="F8" s="24" t="s">
        <v>11</v>
      </c>
      <c r="G8" s="24" t="s">
        <v>14</v>
      </c>
    </row>
    <row r="9" spans="1:7" s="1" customFormat="1" ht="15.75" thickBot="1">
      <c r="B9" s="3"/>
      <c r="C9" s="3"/>
      <c r="D9" s="6"/>
      <c r="E9" s="6"/>
      <c r="F9" s="6"/>
      <c r="G9" s="6"/>
    </row>
    <row r="10" spans="1:7" s="1" customFormat="1">
      <c r="B10" s="4" t="s">
        <v>18</v>
      </c>
      <c r="C10" s="16"/>
      <c r="D10" s="16">
        <v>17714.25</v>
      </c>
      <c r="E10" s="7"/>
      <c r="F10" s="7"/>
      <c r="G10" s="7"/>
    </row>
    <row r="11" spans="1:7" s="12" customFormat="1">
      <c r="B11" s="4" t="s">
        <v>20</v>
      </c>
      <c r="C11" s="18"/>
      <c r="D11" s="16">
        <v>1023.49</v>
      </c>
      <c r="E11" s="7"/>
      <c r="F11" s="7"/>
      <c r="G11" s="7"/>
    </row>
    <row r="12" spans="1:7">
      <c r="B12" s="19"/>
      <c r="C12" s="13"/>
      <c r="D12" s="20"/>
      <c r="E12" s="8"/>
      <c r="F12" s="8"/>
      <c r="G12" s="8"/>
    </row>
    <row r="13" spans="1:7">
      <c r="B13" s="25" t="s">
        <v>16</v>
      </c>
      <c r="C13" s="12"/>
      <c r="D13" s="21">
        <f>SUM(D10:D12)</f>
        <v>18737.740000000002</v>
      </c>
      <c r="E13" s="22"/>
      <c r="F13" s="22"/>
      <c r="G13" s="22"/>
    </row>
    <row r="14" spans="1:7" s="7" customFormat="1">
      <c r="A14"/>
      <c r="B14"/>
      <c r="C14"/>
      <c r="D14" s="5"/>
      <c r="E14" s="5"/>
      <c r="F14" s="5"/>
      <c r="G14" s="5"/>
    </row>
    <row r="15" spans="1:7" s="7" customFormat="1">
      <c r="A15"/>
      <c r="B15" s="12"/>
      <c r="C15"/>
      <c r="D15" s="14"/>
      <c r="E15" s="14"/>
      <c r="F15" s="14"/>
      <c r="G15" s="14"/>
    </row>
  </sheetData>
  <mergeCells count="4">
    <mergeCell ref="B1:G1"/>
    <mergeCell ref="B2:G2"/>
    <mergeCell ref="B3:G3"/>
    <mergeCell ref="E7:G7"/>
  </mergeCells>
  <printOptions gridLines="1"/>
  <pageMargins left="0.25" right="0" top="0.25" bottom="0.35" header="0.3" footer="0"/>
  <pageSetup orientation="landscape" r:id="rId1"/>
  <headerFooter>
    <oddFooter>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selection activeCell="D23" sqref="D23"/>
    </sheetView>
  </sheetViews>
  <sheetFormatPr defaultRowHeight="15"/>
  <cols>
    <col min="1" max="1" width="5.140625" customWidth="1"/>
    <col min="2" max="2" width="44.140625" customWidth="1"/>
    <col min="3" max="3" width="2" customWidth="1"/>
    <col min="4" max="7" width="14.5703125" style="5" customWidth="1"/>
  </cols>
  <sheetData>
    <row r="1" spans="1:7">
      <c r="B1" s="172" t="s">
        <v>17</v>
      </c>
      <c r="C1" s="172"/>
      <c r="D1" s="172"/>
      <c r="E1" s="172"/>
      <c r="F1" s="172"/>
      <c r="G1" s="172"/>
    </row>
    <row r="2" spans="1:7">
      <c r="B2" s="172" t="s">
        <v>27</v>
      </c>
      <c r="C2" s="172"/>
      <c r="D2" s="172"/>
      <c r="E2" s="172"/>
      <c r="F2" s="172"/>
      <c r="G2" s="172"/>
    </row>
    <row r="3" spans="1:7">
      <c r="B3" s="172" t="s">
        <v>25</v>
      </c>
      <c r="C3" s="172"/>
      <c r="D3" s="172"/>
      <c r="E3" s="172"/>
      <c r="F3" s="172"/>
      <c r="G3" s="172"/>
    </row>
    <row r="6" spans="1:7">
      <c r="C6" s="9"/>
      <c r="D6" s="15"/>
      <c r="E6" s="15"/>
      <c r="F6" s="15"/>
      <c r="G6" s="15"/>
    </row>
    <row r="7" spans="1:7">
      <c r="C7" s="9"/>
      <c r="D7" s="15"/>
      <c r="E7" s="172" t="s">
        <v>13</v>
      </c>
      <c r="F7" s="172"/>
      <c r="G7" s="172"/>
    </row>
    <row r="8" spans="1:7" s="2" customFormat="1" ht="75">
      <c r="B8" s="27" t="s">
        <v>1</v>
      </c>
      <c r="C8" s="27"/>
      <c r="D8" s="10" t="s">
        <v>24</v>
      </c>
      <c r="E8" s="10" t="s">
        <v>15</v>
      </c>
      <c r="F8" s="24" t="s">
        <v>11</v>
      </c>
      <c r="G8" s="24" t="s">
        <v>14</v>
      </c>
    </row>
    <row r="9" spans="1:7" s="1" customFormat="1" ht="15.75" thickBot="1">
      <c r="B9" s="3"/>
      <c r="C9" s="3"/>
      <c r="D9" s="6"/>
      <c r="E9" s="6"/>
      <c r="F9" s="6"/>
      <c r="G9" s="6"/>
    </row>
    <row r="10" spans="1:7" s="11" customFormat="1">
      <c r="B10" s="4" t="s">
        <v>21</v>
      </c>
      <c r="C10" s="17"/>
      <c r="D10" s="16">
        <v>11272.8</v>
      </c>
      <c r="E10" s="28">
        <v>7002311000</v>
      </c>
      <c r="F10" s="28">
        <v>1245550999</v>
      </c>
      <c r="G10" s="28" t="s">
        <v>29</v>
      </c>
    </row>
    <row r="11" spans="1:7" s="12" customFormat="1">
      <c r="B11" s="4" t="s">
        <v>22</v>
      </c>
      <c r="C11" s="18"/>
      <c r="D11" s="16">
        <v>21841.05</v>
      </c>
      <c r="E11" s="7"/>
      <c r="F11" s="7"/>
      <c r="G11" s="7"/>
    </row>
    <row r="12" spans="1:7" s="12" customFormat="1">
      <c r="B12" s="4" t="s">
        <v>28</v>
      </c>
      <c r="C12" s="18"/>
      <c r="D12" s="16">
        <v>5252.1</v>
      </c>
      <c r="E12" s="7"/>
      <c r="F12" s="7"/>
      <c r="G12" s="7"/>
    </row>
    <row r="13" spans="1:7">
      <c r="B13" s="19"/>
      <c r="C13" s="13"/>
      <c r="D13" s="20"/>
      <c r="E13" s="8"/>
      <c r="F13" s="8"/>
      <c r="G13" s="8"/>
    </row>
    <row r="14" spans="1:7">
      <c r="B14" s="25" t="s">
        <v>16</v>
      </c>
      <c r="C14" s="12"/>
      <c r="D14" s="21">
        <f>SUM(D10:D13)</f>
        <v>38365.949999999997</v>
      </c>
      <c r="E14" s="22"/>
      <c r="F14" s="22"/>
      <c r="G14" s="22"/>
    </row>
    <row r="15" spans="1:7" s="7" customFormat="1">
      <c r="A15"/>
      <c r="B15"/>
      <c r="C15"/>
      <c r="D15" s="5"/>
      <c r="E15" s="5"/>
      <c r="F15" s="5"/>
      <c r="G15" s="5"/>
    </row>
    <row r="16" spans="1:7" s="7" customFormat="1">
      <c r="A16"/>
      <c r="B16" s="12"/>
      <c r="C16"/>
      <c r="D16" s="14"/>
      <c r="E16" s="14"/>
      <c r="F16" s="14"/>
      <c r="G16" s="14"/>
    </row>
  </sheetData>
  <mergeCells count="4">
    <mergeCell ref="B1:G1"/>
    <mergeCell ref="B2:G2"/>
    <mergeCell ref="B3:G3"/>
    <mergeCell ref="E7:G7"/>
  </mergeCells>
  <printOptions gridLines="1"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Keystone Works Incentive Pay</vt:lpstr>
      <vt:lpstr>3rd &amp; 4th Est Qtr Special Acctg</vt:lpstr>
      <vt:lpstr>3rd &amp; 4th Est Qtr QA</vt:lpstr>
      <vt:lpstr>3rd &amp; 4th Est Qtr BOA</vt:lpstr>
      <vt:lpstr>'3rd &amp; 4th Est Qtr BOA'!Print_Area</vt:lpstr>
      <vt:lpstr>'3rd &amp; 4th Est Qtr QA'!Print_Area</vt:lpstr>
      <vt:lpstr>'3rd &amp; 4th Est Qtr Special Acctg'!Print_Area</vt:lpstr>
      <vt:lpstr>'Keystone Works Incentive Pay'!Print_Area</vt:lpstr>
      <vt:lpstr>'3rd &amp; 4th Est Qtr QA'!Print_Titles</vt:lpstr>
    </vt:vector>
  </TitlesOfParts>
  <Company>Commonwealth of PA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jguyer</dc:creator>
  <cp:lastModifiedBy>ekratz</cp:lastModifiedBy>
  <cp:lastPrinted>2012-08-23T18:23:21Z</cp:lastPrinted>
  <dcterms:created xsi:type="dcterms:W3CDTF">2010-08-31T16:21:12Z</dcterms:created>
  <dcterms:modified xsi:type="dcterms:W3CDTF">2012-10-15T19:13:44Z</dcterms:modified>
</cp:coreProperties>
</file>