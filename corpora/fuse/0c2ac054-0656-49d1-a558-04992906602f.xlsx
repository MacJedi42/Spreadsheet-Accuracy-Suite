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0" yWindow="0" windowWidth="19440" windowHeight="12240" tabRatio="500"/>
  </bookViews>
  <sheets>
    <sheet name=" Tutti Casi Lavoro" sheetId="1" r:id="rId1"/>
  </sheets>
  <definedNames>
    <definedName name="_xlnm._FilterDatabase" localSheetId="0" hidden="1">' Tutti Casi Lavoro'!$A$1:$BA$262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S262" i="1"/>
  <c r="AS261"/>
  <c r="AS260"/>
  <c r="AS258"/>
  <c r="AS257"/>
  <c r="AS256"/>
  <c r="AS255"/>
  <c r="AS252"/>
  <c r="AS251"/>
  <c r="AS250"/>
  <c r="AS249"/>
  <c r="AS248"/>
  <c r="AS247"/>
  <c r="AS246"/>
  <c r="AS245"/>
  <c r="AS244"/>
  <c r="AS243"/>
  <c r="AS241"/>
  <c r="AS240"/>
  <c r="AS239"/>
  <c r="AS238"/>
  <c r="AS237"/>
  <c r="AS236"/>
  <c r="AS235"/>
  <c r="AA235"/>
  <c r="AS234"/>
  <c r="AS233"/>
  <c r="AS232"/>
  <c r="AA232"/>
  <c r="AS231"/>
  <c r="AA231"/>
  <c r="AS230"/>
  <c r="AA230"/>
  <c r="AS229"/>
  <c r="AA229"/>
  <c r="AS228"/>
  <c r="AS227"/>
  <c r="AS226"/>
  <c r="AS225"/>
  <c r="AS224"/>
  <c r="AS223"/>
  <c r="AS222"/>
  <c r="AS221"/>
  <c r="AS220"/>
  <c r="AS219"/>
  <c r="AS218"/>
  <c r="AS217"/>
  <c r="AS216"/>
  <c r="AS215"/>
  <c r="AS214"/>
  <c r="AA214"/>
  <c r="AS213"/>
  <c r="AA213"/>
  <c r="AS212"/>
  <c r="AA212"/>
  <c r="AS211"/>
  <c r="AS210"/>
  <c r="AS209"/>
  <c r="AA209"/>
  <c r="AS208"/>
  <c r="AA208"/>
  <c r="AS207"/>
  <c r="AA207"/>
  <c r="AS206"/>
  <c r="AA206"/>
  <c r="AS205"/>
  <c r="AA205"/>
  <c r="AS204"/>
  <c r="AA204"/>
  <c r="AS203"/>
  <c r="AA203"/>
  <c r="AS202"/>
  <c r="AA202"/>
  <c r="AS201"/>
  <c r="AA201"/>
  <c r="AS200"/>
  <c r="AA200"/>
  <c r="AS199"/>
  <c r="AA199"/>
  <c r="AS198"/>
  <c r="AA198"/>
  <c r="AS197"/>
  <c r="AA197"/>
  <c r="AS196"/>
  <c r="AA196"/>
  <c r="AS195"/>
  <c r="AA195"/>
  <c r="AS194"/>
  <c r="AS193"/>
  <c r="AS192"/>
  <c r="AS191"/>
  <c r="AS190"/>
  <c r="AA190"/>
  <c r="AS189"/>
  <c r="AS188"/>
  <c r="AS187"/>
  <c r="AA187"/>
  <c r="AS186"/>
  <c r="AS185"/>
  <c r="AA185"/>
  <c r="AS184"/>
  <c r="AA184"/>
  <c r="AS183"/>
  <c r="AA183"/>
  <c r="AS182"/>
  <c r="AA182"/>
  <c r="AS181"/>
  <c r="AA181"/>
  <c r="AS180"/>
  <c r="AS179"/>
  <c r="AA179"/>
  <c r="AS178"/>
  <c r="AA178"/>
  <c r="AS177"/>
  <c r="AA177"/>
  <c r="AS176"/>
  <c r="AA176"/>
  <c r="AS175"/>
  <c r="AS174"/>
  <c r="AA174"/>
  <c r="AS173"/>
  <c r="AA173"/>
  <c r="AS172"/>
  <c r="AA172"/>
  <c r="AS171"/>
  <c r="AA171"/>
  <c r="AS170"/>
  <c r="AA170"/>
  <c r="AS169"/>
  <c r="AA169"/>
  <c r="AS168"/>
  <c r="AA168"/>
  <c r="AS167"/>
  <c r="AA167"/>
  <c r="AS166"/>
  <c r="AA166"/>
  <c r="AS165"/>
  <c r="AA165"/>
  <c r="AS164"/>
  <c r="AA164"/>
  <c r="AS163"/>
  <c r="AA163"/>
  <c r="AS162"/>
  <c r="AA162"/>
  <c r="AS161"/>
  <c r="AA161"/>
  <c r="AS160"/>
  <c r="AA160"/>
  <c r="AS159"/>
  <c r="AA159"/>
  <c r="AS158"/>
  <c r="AA158"/>
  <c r="AS157"/>
  <c r="AA157"/>
  <c r="AS156"/>
  <c r="AA156"/>
  <c r="AS155"/>
  <c r="AA155"/>
  <c r="AS154"/>
  <c r="AA154"/>
  <c r="AS153"/>
  <c r="AA153"/>
  <c r="AS152"/>
  <c r="AA152"/>
  <c r="AS151"/>
  <c r="AA151"/>
  <c r="AS150"/>
  <c r="AA150"/>
  <c r="AS149"/>
  <c r="AA149"/>
  <c r="AS148"/>
  <c r="AA148"/>
  <c r="AS147"/>
  <c r="AA147"/>
  <c r="AS146"/>
  <c r="AA146"/>
  <c r="AS145"/>
  <c r="AA145"/>
  <c r="AS144"/>
  <c r="AA144"/>
  <c r="AS143"/>
  <c r="AA143"/>
  <c r="AS142"/>
  <c r="AA142"/>
  <c r="AS141"/>
  <c r="AA141"/>
  <c r="AS140"/>
  <c r="AA140"/>
  <c r="AS139"/>
  <c r="AA139"/>
  <c r="AS138"/>
  <c r="AS137"/>
  <c r="AS136"/>
  <c r="AS135"/>
  <c r="AS134"/>
  <c r="AS133"/>
  <c r="AS132"/>
  <c r="AS131"/>
  <c r="AS130"/>
  <c r="AS129"/>
  <c r="AS128"/>
  <c r="AS127"/>
  <c r="AS126"/>
  <c r="AS125"/>
  <c r="AS124"/>
  <c r="AS123"/>
  <c r="AS122"/>
  <c r="AS121"/>
  <c r="AS120"/>
  <c r="AS119"/>
  <c r="AS118"/>
  <c r="AS117"/>
  <c r="AS116"/>
  <c r="AS115"/>
  <c r="AS114"/>
  <c r="AS113"/>
  <c r="AS112"/>
  <c r="AS111"/>
  <c r="AS110"/>
  <c r="AS109"/>
  <c r="AS108"/>
  <c r="AS107"/>
  <c r="AS106"/>
  <c r="AS105"/>
  <c r="AS104"/>
  <c r="AS103"/>
  <c r="AS102"/>
  <c r="AS101"/>
  <c r="AS100"/>
  <c r="AS99"/>
  <c r="AS98"/>
  <c r="AS97"/>
  <c r="AS96"/>
  <c r="AS95"/>
  <c r="AS94"/>
  <c r="AS93"/>
  <c r="AS92"/>
  <c r="AA92"/>
  <c r="AS91"/>
  <c r="AS90"/>
  <c r="AS89"/>
  <c r="AS88"/>
  <c r="AS87"/>
  <c r="AS86"/>
  <c r="AS85"/>
  <c r="AS84"/>
  <c r="AS83"/>
  <c r="AS82"/>
  <c r="AS81"/>
  <c r="AS80"/>
  <c r="AS79"/>
  <c r="AS78"/>
  <c r="AS77"/>
  <c r="AS76"/>
  <c r="AS75"/>
  <c r="AS74"/>
  <c r="AS73"/>
  <c r="AS72"/>
  <c r="AS71"/>
  <c r="AS70"/>
  <c r="AS69"/>
  <c r="AS68"/>
  <c r="AS67"/>
  <c r="AS66"/>
  <c r="AS65"/>
  <c r="AS64"/>
  <c r="AS63"/>
  <c r="AS62"/>
  <c r="AS61"/>
  <c r="AS60"/>
  <c r="AS59"/>
  <c r="AS58"/>
  <c r="AS57"/>
  <c r="AS56"/>
  <c r="AS55"/>
  <c r="AS54"/>
  <c r="AS53"/>
  <c r="AS52"/>
  <c r="AS51"/>
  <c r="AS50"/>
  <c r="AS49"/>
  <c r="AS48"/>
  <c r="AS47"/>
  <c r="AS46"/>
  <c r="AS45"/>
  <c r="AS44"/>
  <c r="AS43"/>
  <c r="AS42"/>
  <c r="AS41"/>
  <c r="AS40"/>
  <c r="AS39"/>
  <c r="AS38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1"/>
  <c r="AS10"/>
  <c r="AS9"/>
  <c r="AS8"/>
  <c r="AS7"/>
  <c r="AS6"/>
  <c r="AS5"/>
  <c r="AS4"/>
  <c r="AS3"/>
  <c r="AS2"/>
</calcChain>
</file>

<file path=xl/sharedStrings.xml><?xml version="1.0" encoding="utf-8"?>
<sst xmlns="http://schemas.openxmlformats.org/spreadsheetml/2006/main" count="2769" uniqueCount="236">
  <si>
    <t>SET</t>
  </si>
  <si>
    <t>Tgroups</t>
  </si>
  <si>
    <t>TGroupCode</t>
  </si>
  <si>
    <t>T max</t>
  </si>
  <si>
    <t>N° N+</t>
  </si>
  <si>
    <t>Ngroups</t>
  </si>
  <si>
    <t>NGroupCode</t>
  </si>
  <si>
    <t>M1</t>
  </si>
  <si>
    <t>RE</t>
  </si>
  <si>
    <t>%ER</t>
  </si>
  <si>
    <t>PgR</t>
  </si>
  <si>
    <t>%PR</t>
  </si>
  <si>
    <t>Grading</t>
  </si>
  <si>
    <t>Ki-67</t>
  </si>
  <si>
    <t>Ki67 Nr</t>
  </si>
  <si>
    <t>Ki67 Groups SG</t>
  </si>
  <si>
    <t>Ki67GroupCodeSG</t>
  </si>
  <si>
    <t xml:space="preserve">Ki 3Group </t>
  </si>
  <si>
    <t>Her2%cell</t>
  </si>
  <si>
    <t>p53</t>
  </si>
  <si>
    <t>score5new</t>
  </si>
  <si>
    <t>Final Risk Group</t>
  </si>
  <si>
    <t>NsSignCode</t>
  </si>
  <si>
    <t>Training</t>
  </si>
  <si>
    <t>(219ng/ul)</t>
  </si>
  <si>
    <t>T2</t>
  </si>
  <si>
    <t>pN1a</t>
  </si>
  <si>
    <t>Low</t>
  </si>
  <si>
    <t>X</t>
  </si>
  <si>
    <t>I</t>
  </si>
  <si>
    <t>(414ng/ul)</t>
  </si>
  <si>
    <t>pN0</t>
  </si>
  <si>
    <t>(324ng/ul)</t>
  </si>
  <si>
    <t>NEG</t>
  </si>
  <si>
    <t>High</t>
  </si>
  <si>
    <t>L</t>
  </si>
  <si>
    <t>(111ng/ul)</t>
  </si>
  <si>
    <t>T1</t>
  </si>
  <si>
    <t>H</t>
  </si>
  <si>
    <t>(282ng/ul)</t>
  </si>
  <si>
    <t>(194ng/ul)</t>
  </si>
  <si>
    <t>(271ng/ul)</t>
  </si>
  <si>
    <t>(255ng/ul)</t>
  </si>
  <si>
    <t>(695ng/ul)</t>
  </si>
  <si>
    <t>Intermediate</t>
  </si>
  <si>
    <t>(139ng/ul)</t>
  </si>
  <si>
    <t>(461ng/ul)</t>
  </si>
  <si>
    <t>pN2</t>
  </si>
  <si>
    <t>(105ng/ul)</t>
  </si>
  <si>
    <t>(220ng/ul)</t>
  </si>
  <si>
    <t>(347ng/ul)</t>
  </si>
  <si>
    <t>(280ng/ul)</t>
  </si>
  <si>
    <t>NA</t>
  </si>
  <si>
    <t>(521ng/ul)</t>
  </si>
  <si>
    <t>(712ng/ul)</t>
  </si>
  <si>
    <t>(245ng/ul)</t>
  </si>
  <si>
    <t>(274ng/ul)</t>
  </si>
  <si>
    <t>(153ng/ul)</t>
  </si>
  <si>
    <t>(47ng/ul)</t>
  </si>
  <si>
    <t>(426ng/ul)</t>
  </si>
  <si>
    <t>(379ng/ul)</t>
  </si>
  <si>
    <t>pN3</t>
  </si>
  <si>
    <t>(138ng/ul)</t>
  </si>
  <si>
    <t>(155ng/ul)</t>
  </si>
  <si>
    <t>N2</t>
  </si>
  <si>
    <t>(463ng/ul)</t>
  </si>
  <si>
    <t>(NAng/ul)</t>
  </si>
  <si>
    <t>(158ng/ul)</t>
  </si>
  <si>
    <t>(281ng/ul)</t>
  </si>
  <si>
    <t>T3</t>
  </si>
  <si>
    <t>(187ng/ul)</t>
  </si>
  <si>
    <t>(418ng/ul)</t>
  </si>
  <si>
    <t>(373ng/ul)</t>
  </si>
  <si>
    <t>(169ng/ul)</t>
  </si>
  <si>
    <t>(150ng/ul)</t>
  </si>
  <si>
    <t>(239ng/ul)</t>
  </si>
  <si>
    <t>(267ng/ul)</t>
  </si>
  <si>
    <t>(457ng/ul)</t>
  </si>
  <si>
    <t>(310ng/ul)</t>
  </si>
  <si>
    <t>(269ng/ul)</t>
  </si>
  <si>
    <t>(257ng/ul)</t>
  </si>
  <si>
    <t>(633ng/ul)</t>
  </si>
  <si>
    <t>(221ng/ul)</t>
  </si>
  <si>
    <t>(711ng/ul)</t>
  </si>
  <si>
    <t>(309ng/ul)</t>
  </si>
  <si>
    <t>(264ng/ul)</t>
  </si>
  <si>
    <t>(53ng/ul)</t>
  </si>
  <si>
    <t>(235ng/ul)</t>
  </si>
  <si>
    <t>(50ng/ul)</t>
  </si>
  <si>
    <t>(179ng/ul)</t>
  </si>
  <si>
    <t>(276ng/ul)</t>
  </si>
  <si>
    <t>(366ng/ul)</t>
  </si>
  <si>
    <t>(192ng/ul)</t>
  </si>
  <si>
    <t>(392ng/ul)</t>
  </si>
  <si>
    <t>(288ng/ul)</t>
  </si>
  <si>
    <t>(291ng/ul)</t>
  </si>
  <si>
    <t>(399ng/ul)</t>
  </si>
  <si>
    <t>NOS</t>
  </si>
  <si>
    <t>(328ng/ul)</t>
  </si>
  <si>
    <t>(751ng/ul)</t>
  </si>
  <si>
    <t>(599ng/ul)</t>
  </si>
  <si>
    <t>(826ng/ul)</t>
  </si>
  <si>
    <t>(798ng/ul)</t>
  </si>
  <si>
    <t>(610ng/ul)</t>
  </si>
  <si>
    <t>(166ng/ul)</t>
  </si>
  <si>
    <t>(337ng/ul)</t>
  </si>
  <si>
    <t>(443ng/ul)</t>
  </si>
  <si>
    <t>(307ng/ul)</t>
  </si>
  <si>
    <t>(714ng/ul)</t>
  </si>
  <si>
    <t>(157ng/ul)</t>
  </si>
  <si>
    <t>(178ng/ul)</t>
  </si>
  <si>
    <t>(661ng/ul)</t>
  </si>
  <si>
    <t>(343ng/ul)</t>
  </si>
  <si>
    <t>(446ng/ul)</t>
  </si>
  <si>
    <t>(ng/ul)</t>
  </si>
  <si>
    <t>(205ng/ul)</t>
  </si>
  <si>
    <t>(193ng/ul)</t>
  </si>
  <si>
    <t>(236ng/ul)</t>
  </si>
  <si>
    <t>(327ng/ul)</t>
  </si>
  <si>
    <t>(410ng/ul)</t>
  </si>
  <si>
    <t>(287ng/ul)</t>
  </si>
  <si>
    <t>(96ng/ul)</t>
  </si>
  <si>
    <t>(241ng/ul)</t>
  </si>
  <si>
    <t>(121ng/ul)</t>
  </si>
  <si>
    <t>(56ng/ul)</t>
  </si>
  <si>
    <t>(435ng/ul)</t>
  </si>
  <si>
    <t>(207ng/ul)</t>
  </si>
  <si>
    <t>(89ng/ul)</t>
  </si>
  <si>
    <t>(217ng/ul)</t>
  </si>
  <si>
    <t>(570ng/ul)</t>
  </si>
  <si>
    <t>(60ng/ul)</t>
  </si>
  <si>
    <t>(98ng/ul)</t>
  </si>
  <si>
    <t>(79ng/ul)</t>
  </si>
  <si>
    <t>(308ng/ul)</t>
  </si>
  <si>
    <t>(55ng/ul)</t>
  </si>
  <si>
    <t>(315ng/ul)</t>
  </si>
  <si>
    <t>(222ng/ul)</t>
  </si>
  <si>
    <t>doppia</t>
  </si>
  <si>
    <t>(151ng/ul)</t>
  </si>
  <si>
    <t>(311ng/ul)</t>
  </si>
  <si>
    <t>(116ng/ul)</t>
  </si>
  <si>
    <t>(411ng/ul)</t>
  </si>
  <si>
    <t>(413ng/ul)</t>
  </si>
  <si>
    <t>(175ng/ul)</t>
  </si>
  <si>
    <t>(215ng/ul)</t>
  </si>
  <si>
    <t>(102ng/ul)</t>
  </si>
  <si>
    <t>(248ng/ul)</t>
  </si>
  <si>
    <t>(52ng/ul)</t>
  </si>
  <si>
    <t>(266ng/ul)</t>
  </si>
  <si>
    <t>(300ng/ul)</t>
  </si>
  <si>
    <t>(303ng/ul)</t>
  </si>
  <si>
    <t>(260ng/ul)</t>
  </si>
  <si>
    <t>(206ng/ul)</t>
  </si>
  <si>
    <t>(62ng/ul)</t>
  </si>
  <si>
    <t>(381ng/ul)</t>
  </si>
  <si>
    <t>(254ng/ul)</t>
  </si>
  <si>
    <t>(198ng/ul)</t>
  </si>
  <si>
    <t>(425ng/ul)</t>
  </si>
  <si>
    <t>(83ng/ul)</t>
  </si>
  <si>
    <t>(159ng/ul)</t>
  </si>
  <si>
    <t>(144ng/ul)</t>
  </si>
  <si>
    <t>(412ng/ul)</t>
  </si>
  <si>
    <t>(341ng/ul)</t>
  </si>
  <si>
    <t>(54ng/ul)</t>
  </si>
  <si>
    <t>(562ng/ul)</t>
  </si>
  <si>
    <t>(202ng/ul)</t>
  </si>
  <si>
    <t>(626ng/ul)</t>
  </si>
  <si>
    <t>Validation</t>
  </si>
  <si>
    <t>N/A</t>
  </si>
  <si>
    <t>x</t>
  </si>
  <si>
    <t>metaplasico</t>
  </si>
  <si>
    <t>POS</t>
  </si>
  <si>
    <t>pleomorfo</t>
  </si>
  <si>
    <t>misto</t>
  </si>
  <si>
    <t>(196ng/ul)</t>
  </si>
  <si>
    <t>(273ng/ul)</t>
  </si>
  <si>
    <t>(246ng/ul)</t>
  </si>
  <si>
    <t>(149ng/ul)</t>
  </si>
  <si>
    <t>(364ng/ul)</t>
  </si>
  <si>
    <t>(386ng/ul)</t>
  </si>
  <si>
    <t>(146ng/ul)</t>
  </si>
  <si>
    <t>(614ng/ul)</t>
  </si>
  <si>
    <t>(57ng/ul)</t>
  </si>
  <si>
    <t>(725ng/ul)</t>
  </si>
  <si>
    <t>(238ng/ul)</t>
  </si>
  <si>
    <t>(355ng/ul)</t>
  </si>
  <si>
    <t>(336ng/ul)</t>
  </si>
  <si>
    <t>(265ng/ul)</t>
  </si>
  <si>
    <t>(252ng/ul)</t>
  </si>
  <si>
    <t>B2M</t>
  </si>
  <si>
    <t>bACTIN</t>
  </si>
  <si>
    <t>FBX031</t>
  </si>
  <si>
    <t>FGF18</t>
  </si>
  <si>
    <t>BCL2</t>
  </si>
  <si>
    <t>IGFBP7</t>
  </si>
  <si>
    <t>IDE</t>
  </si>
  <si>
    <t>AYTL2</t>
  </si>
  <si>
    <t>ORC6L</t>
  </si>
  <si>
    <t>MS4A7</t>
  </si>
  <si>
    <t>OSOX2</t>
  </si>
  <si>
    <t>PITRM1</t>
  </si>
  <si>
    <t>TGFb3</t>
  </si>
  <si>
    <t>PRC1-201</t>
  </si>
  <si>
    <t>GPR180</t>
  </si>
  <si>
    <t>MMP9</t>
  </si>
  <si>
    <t>IGFBP6</t>
  </si>
  <si>
    <t>IRS1</t>
  </si>
  <si>
    <t>IL6ST210</t>
  </si>
  <si>
    <t>IGF1</t>
  </si>
  <si>
    <t>TNSF</t>
  </si>
  <si>
    <t>SERF1A</t>
  </si>
  <si>
    <t xml:space="preserve"> </t>
  </si>
  <si>
    <t xml:space="preserve">  </t>
  </si>
  <si>
    <t>ID</t>
  </si>
  <si>
    <t>RNA concentration</t>
  </si>
  <si>
    <t>(66ng/ul)</t>
  </si>
  <si>
    <t>(237ng/ul)</t>
  </si>
  <si>
    <t>(75ng/ul)</t>
  </si>
  <si>
    <t>Birth date</t>
  </si>
  <si>
    <t>Age</t>
  </si>
  <si>
    <t>Date Surgery</t>
  </si>
  <si>
    <t>Histotype</t>
  </si>
  <si>
    <t>ductal</t>
  </si>
  <si>
    <t xml:space="preserve">ductal </t>
  </si>
  <si>
    <t>lobular</t>
  </si>
  <si>
    <t>tubulo-lobular</t>
  </si>
  <si>
    <t>mucinous</t>
  </si>
  <si>
    <t>medullary</t>
  </si>
  <si>
    <t xml:space="preserve">medullary </t>
  </si>
  <si>
    <t>apocrine</t>
  </si>
  <si>
    <t>papillary</t>
  </si>
  <si>
    <t>tubular</t>
  </si>
  <si>
    <t xml:space="preserve">duttulo-tubular </t>
  </si>
  <si>
    <t>secretory</t>
  </si>
  <si>
    <t>HistoTypeCode</t>
  </si>
  <si>
    <t>N examined</t>
  </si>
</sst>
</file>

<file path=xl/styles.xml><?xml version="1.0" encoding="utf-8"?>
<styleSheet xmlns="http://schemas.openxmlformats.org/spreadsheetml/2006/main">
  <numFmts count="2">
    <numFmt numFmtId="164" formatCode="d/m/yyyy;@"/>
    <numFmt numFmtId="165" formatCode="0;[Red]0"/>
  </numFmts>
  <fonts count="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2" fontId="1" fillId="0" borderId="0" applyFont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" fontId="1" fillId="0" borderId="0" xfId="0" applyNumberFormat="1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0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right"/>
    </xf>
    <xf numFmtId="0" fontId="0" fillId="0" borderId="0" xfId="0" applyFill="1"/>
    <xf numFmtId="14" fontId="0" fillId="0" borderId="0" xfId="0" applyNumberFormat="1" applyFill="1"/>
    <xf numFmtId="0" fontId="1" fillId="0" borderId="0" xfId="0" applyFont="1" applyFill="1" applyAlignment="1">
      <alignment horizontal="center"/>
    </xf>
    <xf numFmtId="164" fontId="0" fillId="0" borderId="0" xfId="0" applyNumberFormat="1" applyFill="1"/>
    <xf numFmtId="14" fontId="2" fillId="0" borderId="0" xfId="0" applyNumberFormat="1" applyFont="1" applyFill="1"/>
    <xf numFmtId="165" fontId="0" fillId="0" borderId="0" xfId="0" applyNumberFormat="1" applyFill="1"/>
    <xf numFmtId="165" fontId="0" fillId="0" borderId="0" xfId="0" applyNumberFormat="1" applyFont="1" applyFill="1"/>
    <xf numFmtId="2" fontId="0" fillId="0" borderId="0" xfId="0" applyNumberFormat="1" applyFill="1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 applyFill="1" applyAlignment="1">
      <alignment horizontal="right"/>
    </xf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Alignment="1">
      <alignment horizontal="right"/>
    </xf>
    <xf numFmtId="0" fontId="4" fillId="0" borderId="0" xfId="1" applyNumberFormat="1" applyFont="1" applyFill="1" applyBorder="1" applyAlignment="1">
      <alignment horizontal="right" wrapText="1"/>
    </xf>
  </cellXfs>
  <cellStyles count="3">
    <cellStyle name="Normal 2" xfId="1"/>
    <cellStyle name="Normale" xfId="0" builtinId="0"/>
    <cellStyle name="Stile 1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62"/>
  <sheetViews>
    <sheetView tabSelected="1" topLeftCell="AU1" zoomScale="150" zoomScaleNormal="150" zoomScalePageLayoutView="150" workbookViewId="0">
      <pane ySplit="1" topLeftCell="A244" activePane="bottomLeft" state="frozen"/>
      <selection pane="bottomLeft" activeCell="BB12" sqref="BB12"/>
    </sheetView>
  </sheetViews>
  <sheetFormatPr defaultColWidth="8.85546875" defaultRowHeight="12.75"/>
  <cols>
    <col min="1" max="1" width="19.140625" style="16" bestFit="1" customWidth="1"/>
    <col min="2" max="2" width="19.140625" customWidth="1"/>
    <col min="3" max="3" width="19.140625" style="23" customWidth="1"/>
    <col min="4" max="25" width="19.140625" customWidth="1"/>
    <col min="26" max="26" width="16.42578125" customWidth="1"/>
    <col min="27" max="27" width="11.42578125" customWidth="1"/>
    <col min="28" max="28" width="11.42578125" style="2" customWidth="1"/>
    <col min="29" max="29" width="11.42578125" style="40" customWidth="1"/>
    <col min="30" max="30" width="11.42578125" style="8" customWidth="1"/>
    <col min="31" max="32" width="8.85546875" customWidth="1"/>
    <col min="33" max="33" width="8.7109375" bestFit="1" customWidth="1"/>
    <col min="34" max="34" width="6.7109375" bestFit="1" customWidth="1"/>
    <col min="35" max="35" width="7.7109375" bestFit="1" customWidth="1"/>
    <col min="36" max="37" width="7.7109375" customWidth="1"/>
    <col min="38" max="38" width="6" bestFit="1" customWidth="1"/>
    <col min="39" max="39" width="12.7109375" bestFit="1" customWidth="1"/>
    <col min="40" max="40" width="15.140625" style="41" customWidth="1"/>
    <col min="41" max="41" width="6.140625" customWidth="1"/>
    <col min="42" max="42" width="11.42578125" style="41" customWidth="1"/>
    <col min="43" max="43" width="7" customWidth="1"/>
    <col min="44" max="44" width="8.28515625" bestFit="1" customWidth="1"/>
    <col min="45" max="45" width="8.28515625" customWidth="1"/>
    <col min="46" max="46" width="12.85546875" customWidth="1"/>
    <col min="47" max="48" width="8.28515625" style="21" customWidth="1"/>
    <col min="49" max="49" width="11.42578125" style="15" customWidth="1"/>
    <col min="50" max="50" width="5.42578125" bestFit="1" customWidth="1"/>
    <col min="51" max="51" width="11" customWidth="1"/>
    <col min="52" max="52" width="13.7109375" customWidth="1"/>
  </cols>
  <sheetData>
    <row r="1" spans="1:53" s="2" customFormat="1">
      <c r="A1" s="1" t="s">
        <v>213</v>
      </c>
      <c r="B1" s="2" t="s">
        <v>0</v>
      </c>
      <c r="C1" s="2" t="s">
        <v>214</v>
      </c>
      <c r="D1" s="2" t="s">
        <v>189</v>
      </c>
      <c r="E1" s="2" t="s">
        <v>190</v>
      </c>
      <c r="F1" s="2" t="s">
        <v>191</v>
      </c>
      <c r="G1" s="2" t="s">
        <v>192</v>
      </c>
      <c r="H1" s="3" t="s">
        <v>193</v>
      </c>
      <c r="I1" s="3" t="s">
        <v>194</v>
      </c>
      <c r="J1" s="3" t="s">
        <v>195</v>
      </c>
      <c r="K1" s="3" t="s">
        <v>196</v>
      </c>
      <c r="L1" s="3" t="s">
        <v>197</v>
      </c>
      <c r="M1" s="3" t="s">
        <v>198</v>
      </c>
      <c r="N1" s="3" t="s">
        <v>199</v>
      </c>
      <c r="O1" s="3" t="s">
        <v>200</v>
      </c>
      <c r="P1" s="3" t="s">
        <v>201</v>
      </c>
      <c r="Q1" s="3" t="s">
        <v>202</v>
      </c>
      <c r="R1" s="3" t="s">
        <v>203</v>
      </c>
      <c r="S1" s="3" t="s">
        <v>204</v>
      </c>
      <c r="T1" s="3" t="s">
        <v>205</v>
      </c>
      <c r="U1" s="3" t="s">
        <v>206</v>
      </c>
      <c r="V1" s="3" t="s">
        <v>207</v>
      </c>
      <c r="W1" s="3" t="s">
        <v>208</v>
      </c>
      <c r="X1" s="3" t="s">
        <v>209</v>
      </c>
      <c r="Y1" s="3" t="s">
        <v>210</v>
      </c>
      <c r="Z1" s="4" t="s">
        <v>218</v>
      </c>
      <c r="AA1" s="5" t="s">
        <v>219</v>
      </c>
      <c r="AB1" s="2" t="s">
        <v>220</v>
      </c>
      <c r="AC1" s="15" t="s">
        <v>221</v>
      </c>
      <c r="AD1" s="8" t="s">
        <v>234</v>
      </c>
      <c r="AE1" s="2" t="s">
        <v>1</v>
      </c>
      <c r="AF1" s="2" t="s">
        <v>2</v>
      </c>
      <c r="AG1" s="2" t="s">
        <v>3</v>
      </c>
      <c r="AH1" s="2" t="s">
        <v>235</v>
      </c>
      <c r="AI1" s="2" t="s">
        <v>4</v>
      </c>
      <c r="AJ1" s="2" t="s">
        <v>5</v>
      </c>
      <c r="AK1" s="2" t="s">
        <v>6</v>
      </c>
      <c r="AL1" s="2" t="s">
        <v>7</v>
      </c>
      <c r="AM1" s="2" t="s">
        <v>8</v>
      </c>
      <c r="AN1" s="41" t="s">
        <v>9</v>
      </c>
      <c r="AO1" s="2" t="s">
        <v>10</v>
      </c>
      <c r="AP1" s="41" t="s">
        <v>11</v>
      </c>
      <c r="AQ1" s="2" t="s">
        <v>12</v>
      </c>
      <c r="AR1" s="9" t="s">
        <v>13</v>
      </c>
      <c r="AS1" s="9" t="s">
        <v>14</v>
      </c>
      <c r="AT1" s="9" t="s">
        <v>15</v>
      </c>
      <c r="AU1" s="8" t="s">
        <v>16</v>
      </c>
      <c r="AV1" s="8" t="s">
        <v>17</v>
      </c>
      <c r="AW1" s="15" t="s">
        <v>18</v>
      </c>
      <c r="AX1" s="2" t="s">
        <v>19</v>
      </c>
      <c r="AY1" s="3" t="s">
        <v>20</v>
      </c>
      <c r="AZ1" s="2" t="s">
        <v>21</v>
      </c>
      <c r="BA1" s="2" t="s">
        <v>22</v>
      </c>
    </row>
    <row r="2" spans="1:53" s="2" customFormat="1">
      <c r="A2" s="1">
        <v>1</v>
      </c>
      <c r="B2" s="2" t="s">
        <v>23</v>
      </c>
      <c r="C2" s="1" t="s">
        <v>24</v>
      </c>
      <c r="D2" s="1">
        <v>24.16</v>
      </c>
      <c r="E2" s="1">
        <v>26.74</v>
      </c>
      <c r="F2" s="1">
        <v>31.53</v>
      </c>
      <c r="G2" s="1">
        <v>34.79</v>
      </c>
      <c r="H2" s="11">
        <v>31.87</v>
      </c>
      <c r="I2" s="11">
        <v>26.38</v>
      </c>
      <c r="J2" s="11">
        <v>32.130000000000003</v>
      </c>
      <c r="K2" s="11">
        <v>32.85</v>
      </c>
      <c r="L2" s="11">
        <v>34.090000000000003</v>
      </c>
      <c r="M2" s="11">
        <v>29.87</v>
      </c>
      <c r="N2" s="11">
        <v>34.090000000000003</v>
      </c>
      <c r="O2" s="11">
        <v>31.11</v>
      </c>
      <c r="P2" s="11">
        <v>30.57</v>
      </c>
      <c r="Q2" s="11">
        <v>33.340000000000003</v>
      </c>
      <c r="R2" s="11">
        <v>31.68</v>
      </c>
      <c r="S2" s="11">
        <v>31.41</v>
      </c>
      <c r="T2" s="11">
        <v>31.83</v>
      </c>
      <c r="U2" s="11">
        <v>29.85</v>
      </c>
      <c r="V2" s="11">
        <v>28.71</v>
      </c>
      <c r="W2" s="11">
        <v>33.68</v>
      </c>
      <c r="X2" s="11">
        <v>31.97</v>
      </c>
      <c r="Y2" s="11">
        <v>32.5</v>
      </c>
      <c r="Z2" s="7">
        <v>8736</v>
      </c>
      <c r="AA2" s="6">
        <v>74.397260273972606</v>
      </c>
      <c r="AB2" s="10">
        <v>35870</v>
      </c>
      <c r="AC2" s="39" t="s">
        <v>224</v>
      </c>
      <c r="AD2" s="2">
        <v>2</v>
      </c>
      <c r="AE2" s="2" t="s">
        <v>25</v>
      </c>
      <c r="AF2" s="2">
        <v>2</v>
      </c>
      <c r="AG2" s="2">
        <v>26</v>
      </c>
      <c r="AH2" s="2">
        <v>12</v>
      </c>
      <c r="AI2" s="2">
        <v>2</v>
      </c>
      <c r="AJ2" s="2" t="s">
        <v>26</v>
      </c>
      <c r="AK2" s="2">
        <v>1</v>
      </c>
      <c r="AM2" s="2">
        <v>1</v>
      </c>
      <c r="AN2" s="41">
        <v>95</v>
      </c>
      <c r="AO2" s="2">
        <v>1</v>
      </c>
      <c r="AP2" s="41">
        <v>80</v>
      </c>
      <c r="AQ2" s="2">
        <v>2</v>
      </c>
      <c r="AR2" s="12">
        <v>0.1</v>
      </c>
      <c r="AS2" s="8">
        <f>AR2*100</f>
        <v>10</v>
      </c>
      <c r="AT2" s="12" t="s">
        <v>27</v>
      </c>
      <c r="AU2" s="8">
        <v>1</v>
      </c>
      <c r="AV2" s="12" t="s">
        <v>27</v>
      </c>
      <c r="AW2" s="29" t="s">
        <v>28</v>
      </c>
      <c r="AX2" s="9">
        <v>0</v>
      </c>
      <c r="AY2" s="11">
        <v>-0.20221740449010905</v>
      </c>
      <c r="AZ2" s="2" t="s">
        <v>29</v>
      </c>
      <c r="BA2" s="2">
        <v>2</v>
      </c>
    </row>
    <row r="3" spans="1:53" s="2" customFormat="1">
      <c r="A3" s="1">
        <v>2</v>
      </c>
      <c r="B3" s="2" t="s">
        <v>23</v>
      </c>
      <c r="C3" s="1" t="s">
        <v>30</v>
      </c>
      <c r="D3" s="1">
        <v>23.01</v>
      </c>
      <c r="E3" s="1">
        <v>24.24</v>
      </c>
      <c r="F3" s="1">
        <v>29.95</v>
      </c>
      <c r="G3" s="1">
        <v>39.840000000000003</v>
      </c>
      <c r="H3" s="11">
        <v>31.14</v>
      </c>
      <c r="I3" s="11">
        <v>25.09</v>
      </c>
      <c r="J3" s="11">
        <v>30.7</v>
      </c>
      <c r="K3" s="11">
        <v>31.92</v>
      </c>
      <c r="L3" s="11">
        <v>31.02</v>
      </c>
      <c r="M3" s="11">
        <v>29.62</v>
      </c>
      <c r="N3" s="11">
        <v>32.840000000000003</v>
      </c>
      <c r="O3" s="11">
        <v>29.27</v>
      </c>
      <c r="P3" s="11">
        <v>29.26</v>
      </c>
      <c r="Q3" s="11">
        <v>30.65</v>
      </c>
      <c r="R3" s="11">
        <v>30.65</v>
      </c>
      <c r="S3" s="11">
        <v>32.130000000000003</v>
      </c>
      <c r="T3" s="11">
        <v>32.89</v>
      </c>
      <c r="U3" s="11">
        <v>26.77</v>
      </c>
      <c r="V3" s="11">
        <v>26.5</v>
      </c>
      <c r="W3" s="11">
        <v>34.75</v>
      </c>
      <c r="X3" s="11">
        <v>30.66</v>
      </c>
      <c r="Y3" s="11">
        <v>31.08</v>
      </c>
      <c r="Z3" s="7">
        <v>11145</v>
      </c>
      <c r="AA3" s="6">
        <v>67.8</v>
      </c>
      <c r="AB3" s="10">
        <v>35768</v>
      </c>
      <c r="AC3" s="39" t="s">
        <v>222</v>
      </c>
      <c r="AD3" s="8">
        <v>1</v>
      </c>
      <c r="AE3" s="2" t="s">
        <v>25</v>
      </c>
      <c r="AF3" s="2">
        <v>2</v>
      </c>
      <c r="AG3" s="2">
        <v>25</v>
      </c>
      <c r="AH3" s="2">
        <v>13</v>
      </c>
      <c r="AI3" s="2">
        <v>0</v>
      </c>
      <c r="AJ3" s="2" t="s">
        <v>31</v>
      </c>
      <c r="AK3" s="2">
        <v>0</v>
      </c>
      <c r="AM3" s="2">
        <v>1</v>
      </c>
      <c r="AN3" s="41">
        <v>90</v>
      </c>
      <c r="AO3" s="2">
        <v>1</v>
      </c>
      <c r="AP3" s="41">
        <v>50</v>
      </c>
      <c r="AQ3" s="2">
        <v>3</v>
      </c>
      <c r="AR3" s="12">
        <v>0</v>
      </c>
      <c r="AS3" s="8">
        <f t="shared" ref="AS3:AS66" si="0">AR3*100</f>
        <v>0</v>
      </c>
      <c r="AT3" s="12" t="s">
        <v>27</v>
      </c>
      <c r="AU3" s="8">
        <v>1</v>
      </c>
      <c r="AV3" s="12" t="s">
        <v>27</v>
      </c>
      <c r="AW3" s="29" t="s">
        <v>28</v>
      </c>
      <c r="AX3" s="9">
        <v>0</v>
      </c>
      <c r="AY3" s="11">
        <v>-0.45843918753563706</v>
      </c>
      <c r="AZ3" s="2" t="s">
        <v>29</v>
      </c>
      <c r="BA3" s="2">
        <v>2</v>
      </c>
    </row>
    <row r="4" spans="1:53" s="2" customFormat="1">
      <c r="A4" s="13">
        <v>3</v>
      </c>
      <c r="B4" s="2" t="s">
        <v>23</v>
      </c>
      <c r="C4" s="1" t="s">
        <v>32</v>
      </c>
      <c r="D4" s="1">
        <v>25.08</v>
      </c>
      <c r="E4" s="1">
        <v>26.84</v>
      </c>
      <c r="F4" s="1">
        <v>31.52</v>
      </c>
      <c r="G4" s="1">
        <v>37.89</v>
      </c>
      <c r="H4" s="11">
        <v>30.9</v>
      </c>
      <c r="I4" s="11">
        <v>26.32</v>
      </c>
      <c r="J4" s="11">
        <v>32.020000000000003</v>
      </c>
      <c r="K4" s="11">
        <v>33.82</v>
      </c>
      <c r="L4" s="11">
        <v>33</v>
      </c>
      <c r="M4" s="11">
        <v>30.01</v>
      </c>
      <c r="N4" s="11">
        <v>35.26</v>
      </c>
      <c r="O4" s="11">
        <v>31.21</v>
      </c>
      <c r="P4" s="11">
        <v>31.11</v>
      </c>
      <c r="Q4" s="11">
        <v>33.04</v>
      </c>
      <c r="R4" s="11">
        <v>31.48</v>
      </c>
      <c r="S4" s="11">
        <v>35.11</v>
      </c>
      <c r="T4" s="11">
        <v>33.29</v>
      </c>
      <c r="U4" s="11">
        <v>27.65</v>
      </c>
      <c r="V4" s="11">
        <v>28.63</v>
      </c>
      <c r="W4" s="11">
        <v>34.770000000000003</v>
      </c>
      <c r="X4" s="11">
        <v>31.94</v>
      </c>
      <c r="Y4" s="11">
        <v>32.74</v>
      </c>
      <c r="Z4" s="7">
        <v>7114</v>
      </c>
      <c r="AA4" s="6">
        <v>78.947945205479456</v>
      </c>
      <c r="AB4" s="10">
        <v>35894</v>
      </c>
      <c r="AC4" s="39" t="s">
        <v>222</v>
      </c>
      <c r="AD4" s="8">
        <v>1</v>
      </c>
      <c r="AE4" s="2" t="s">
        <v>25</v>
      </c>
      <c r="AF4" s="2">
        <v>2</v>
      </c>
      <c r="AG4" s="2">
        <v>22</v>
      </c>
      <c r="AH4" s="2">
        <v>14</v>
      </c>
      <c r="AI4" s="2">
        <v>0</v>
      </c>
      <c r="AJ4" s="2" t="s">
        <v>31</v>
      </c>
      <c r="AK4" s="2">
        <v>0</v>
      </c>
      <c r="AM4" s="2">
        <v>2</v>
      </c>
      <c r="AN4" s="41" t="s">
        <v>33</v>
      </c>
      <c r="AO4" s="2">
        <v>2</v>
      </c>
      <c r="AP4" s="41" t="s">
        <v>33</v>
      </c>
      <c r="AQ4" s="2">
        <v>3</v>
      </c>
      <c r="AR4" s="12">
        <v>0.35</v>
      </c>
      <c r="AS4" s="8">
        <f t="shared" si="0"/>
        <v>35</v>
      </c>
      <c r="AT4" s="12" t="s">
        <v>34</v>
      </c>
      <c r="AU4" s="8">
        <v>3</v>
      </c>
      <c r="AV4" s="8" t="s">
        <v>34</v>
      </c>
      <c r="AW4" s="29" t="s">
        <v>28</v>
      </c>
      <c r="AX4" s="9">
        <v>0</v>
      </c>
      <c r="AY4" s="11">
        <v>-1.4743985409627371</v>
      </c>
      <c r="AZ4" s="2" t="s">
        <v>35</v>
      </c>
      <c r="BA4" s="2">
        <v>1</v>
      </c>
    </row>
    <row r="5" spans="1:53" s="2" customFormat="1">
      <c r="A5" s="1">
        <v>4</v>
      </c>
      <c r="B5" s="2" t="s">
        <v>23</v>
      </c>
      <c r="C5" s="1" t="s">
        <v>36</v>
      </c>
      <c r="D5" s="1">
        <v>21.98</v>
      </c>
      <c r="E5" s="1">
        <v>23.22</v>
      </c>
      <c r="F5" s="1">
        <v>25.55</v>
      </c>
      <c r="G5" s="1">
        <v>23.4</v>
      </c>
      <c r="H5" s="11">
        <v>25.66</v>
      </c>
      <c r="I5" s="11">
        <v>23.18</v>
      </c>
      <c r="J5" s="11">
        <v>26.63</v>
      </c>
      <c r="K5" s="11">
        <v>27.09</v>
      </c>
      <c r="L5" s="11">
        <v>27.75</v>
      </c>
      <c r="M5" s="11">
        <v>25.27</v>
      </c>
      <c r="N5" s="11">
        <v>31.13</v>
      </c>
      <c r="O5" s="11">
        <v>25.84</v>
      </c>
      <c r="P5" s="11">
        <v>25.14</v>
      </c>
      <c r="Q5" s="11">
        <v>26.74</v>
      </c>
      <c r="R5" s="11">
        <v>25.84</v>
      </c>
      <c r="S5" s="11">
        <v>28.67</v>
      </c>
      <c r="T5" s="11">
        <v>22.95</v>
      </c>
      <c r="U5" s="11">
        <v>24.84</v>
      </c>
      <c r="V5" s="11">
        <v>23.58</v>
      </c>
      <c r="W5" s="11">
        <v>18.73</v>
      </c>
      <c r="X5" s="11">
        <v>27.8</v>
      </c>
      <c r="Y5" s="11">
        <v>38.950000000000003</v>
      </c>
      <c r="Z5" s="4">
        <v>7798</v>
      </c>
      <c r="AA5" s="6">
        <v>77.408219178082192</v>
      </c>
      <c r="AB5" s="10">
        <v>36052</v>
      </c>
      <c r="AC5" s="39" t="s">
        <v>226</v>
      </c>
      <c r="AD5" s="10"/>
      <c r="AE5" s="2" t="s">
        <v>37</v>
      </c>
      <c r="AF5" s="2">
        <v>1</v>
      </c>
      <c r="AG5" s="2">
        <v>5</v>
      </c>
      <c r="AH5" s="2" t="s">
        <v>28</v>
      </c>
      <c r="AI5" s="2">
        <v>0</v>
      </c>
      <c r="AJ5" s="2" t="s">
        <v>31</v>
      </c>
      <c r="AK5" s="2">
        <v>0</v>
      </c>
      <c r="AM5" s="2">
        <v>1</v>
      </c>
      <c r="AN5" s="41">
        <v>80</v>
      </c>
      <c r="AO5" s="2">
        <v>2</v>
      </c>
      <c r="AP5" s="41" t="s">
        <v>33</v>
      </c>
      <c r="AQ5" s="2" t="s">
        <v>28</v>
      </c>
      <c r="AR5" s="12">
        <v>0.05</v>
      </c>
      <c r="AS5" s="8">
        <f t="shared" si="0"/>
        <v>5</v>
      </c>
      <c r="AT5" s="12" t="s">
        <v>27</v>
      </c>
      <c r="AU5" s="8">
        <v>1</v>
      </c>
      <c r="AV5" s="12" t="s">
        <v>27</v>
      </c>
      <c r="AW5" s="29" t="s">
        <v>28</v>
      </c>
      <c r="AX5" s="2">
        <v>0</v>
      </c>
      <c r="AY5" s="11">
        <v>2.9058516143620343</v>
      </c>
      <c r="AZ5" s="2" t="s">
        <v>38</v>
      </c>
      <c r="BA5" s="2">
        <v>3</v>
      </c>
    </row>
    <row r="6" spans="1:53" s="2" customFormat="1">
      <c r="A6" s="1">
        <v>5</v>
      </c>
      <c r="B6" s="2" t="s">
        <v>23</v>
      </c>
      <c r="C6" s="1" t="s">
        <v>39</v>
      </c>
      <c r="D6" s="1">
        <v>22.05</v>
      </c>
      <c r="E6" s="1">
        <v>22.08</v>
      </c>
      <c r="F6" s="1">
        <v>25.95</v>
      </c>
      <c r="G6" s="1">
        <v>21.6</v>
      </c>
      <c r="H6" s="11">
        <v>27.37</v>
      </c>
      <c r="I6" s="11">
        <v>21.93</v>
      </c>
      <c r="J6" s="11">
        <v>27.27</v>
      </c>
      <c r="K6" s="11">
        <v>27.64</v>
      </c>
      <c r="L6" s="11">
        <v>26.39</v>
      </c>
      <c r="M6" s="11">
        <v>27.11</v>
      </c>
      <c r="N6" s="11">
        <v>28.99</v>
      </c>
      <c r="O6" s="11">
        <v>25.67</v>
      </c>
      <c r="P6" s="11">
        <v>26.07</v>
      </c>
      <c r="Q6" s="11">
        <v>27.28</v>
      </c>
      <c r="R6" s="11">
        <v>25.76</v>
      </c>
      <c r="S6" s="11">
        <v>25.92</v>
      </c>
      <c r="T6" s="11">
        <v>26.72</v>
      </c>
      <c r="U6" s="11">
        <v>24.99</v>
      </c>
      <c r="V6" s="11">
        <v>24.68</v>
      </c>
      <c r="W6" s="11">
        <v>27.85</v>
      </c>
      <c r="X6" s="11">
        <v>27.53</v>
      </c>
      <c r="Y6" s="11">
        <v>26.81</v>
      </c>
      <c r="Z6" s="7">
        <v>10217</v>
      </c>
      <c r="AA6" s="6">
        <v>70.37808219178082</v>
      </c>
      <c r="AB6" s="10">
        <v>35866</v>
      </c>
      <c r="AC6" s="39" t="s">
        <v>222</v>
      </c>
      <c r="AD6" s="8">
        <v>1</v>
      </c>
      <c r="AE6" s="2" t="s">
        <v>25</v>
      </c>
      <c r="AF6" s="2">
        <v>2</v>
      </c>
      <c r="AG6" s="2">
        <v>22</v>
      </c>
      <c r="AH6" s="2">
        <v>8</v>
      </c>
      <c r="AI6" s="2">
        <v>0</v>
      </c>
      <c r="AJ6" s="2" t="s">
        <v>31</v>
      </c>
      <c r="AK6" s="2">
        <v>0</v>
      </c>
      <c r="AM6" s="2">
        <v>2</v>
      </c>
      <c r="AN6" s="41" t="s">
        <v>33</v>
      </c>
      <c r="AO6" s="2">
        <v>2</v>
      </c>
      <c r="AP6" s="41" t="s">
        <v>33</v>
      </c>
      <c r="AQ6" s="2">
        <v>3</v>
      </c>
      <c r="AR6" s="12">
        <v>0.4</v>
      </c>
      <c r="AS6" s="8">
        <f t="shared" si="0"/>
        <v>40</v>
      </c>
      <c r="AT6" s="12" t="s">
        <v>34</v>
      </c>
      <c r="AU6" s="8">
        <v>3</v>
      </c>
      <c r="AV6" s="8" t="s">
        <v>34</v>
      </c>
      <c r="AW6" s="29" t="s">
        <v>28</v>
      </c>
      <c r="AX6" s="9">
        <v>0</v>
      </c>
      <c r="AY6" s="11">
        <v>1.5795462670299614</v>
      </c>
      <c r="AZ6" s="2" t="s">
        <v>38</v>
      </c>
      <c r="BA6" s="2">
        <v>3</v>
      </c>
    </row>
    <row r="7" spans="1:53" s="2" customFormat="1">
      <c r="A7" s="1">
        <v>6</v>
      </c>
      <c r="B7" s="2" t="s">
        <v>23</v>
      </c>
      <c r="C7" s="1" t="s">
        <v>40</v>
      </c>
      <c r="D7" s="1">
        <v>27.11</v>
      </c>
      <c r="E7" s="1">
        <v>29.35</v>
      </c>
      <c r="F7" s="1">
        <v>25.74</v>
      </c>
      <c r="G7" s="1">
        <v>29.92</v>
      </c>
      <c r="H7" s="11">
        <v>29.64</v>
      </c>
      <c r="I7" s="11">
        <v>31.52</v>
      </c>
      <c r="J7" s="11">
        <v>30.43</v>
      </c>
      <c r="K7" s="11">
        <v>27.64</v>
      </c>
      <c r="L7" s="11">
        <v>28.69</v>
      </c>
      <c r="M7" s="11">
        <v>31.39</v>
      </c>
      <c r="N7" s="11">
        <v>28.86</v>
      </c>
      <c r="O7" s="11">
        <v>30.3</v>
      </c>
      <c r="P7" s="11">
        <v>31.31</v>
      </c>
      <c r="Q7" s="11">
        <v>30.1</v>
      </c>
      <c r="R7" s="11">
        <v>24.78</v>
      </c>
      <c r="S7" s="11">
        <v>28.31</v>
      </c>
      <c r="T7" s="11">
        <v>32.840000000000003</v>
      </c>
      <c r="U7" s="11">
        <v>29.53</v>
      </c>
      <c r="V7" s="11">
        <v>31.97</v>
      </c>
      <c r="W7" s="11">
        <v>31.09</v>
      </c>
      <c r="X7" s="11">
        <v>24.46</v>
      </c>
      <c r="Y7" s="11">
        <v>22.12</v>
      </c>
      <c r="Z7" s="7">
        <v>9016</v>
      </c>
      <c r="AA7" s="6">
        <v>73.501369863013693</v>
      </c>
      <c r="AB7" s="10">
        <v>35807</v>
      </c>
      <c r="AC7" s="39" t="s">
        <v>224</v>
      </c>
      <c r="AD7" s="2">
        <v>2</v>
      </c>
      <c r="AE7" s="2" t="s">
        <v>37</v>
      </c>
      <c r="AF7" s="2">
        <v>1</v>
      </c>
      <c r="AG7" s="2">
        <v>18</v>
      </c>
      <c r="AH7" s="2">
        <v>11</v>
      </c>
      <c r="AI7" s="2">
        <v>0</v>
      </c>
      <c r="AJ7" s="2" t="s">
        <v>31</v>
      </c>
      <c r="AK7" s="2">
        <v>0</v>
      </c>
      <c r="AM7" s="2">
        <v>1</v>
      </c>
      <c r="AN7" s="41">
        <v>95</v>
      </c>
      <c r="AO7" s="2">
        <v>1</v>
      </c>
      <c r="AP7" s="41">
        <v>20</v>
      </c>
      <c r="AQ7" s="2" t="s">
        <v>28</v>
      </c>
      <c r="AR7" s="12">
        <v>0.1</v>
      </c>
      <c r="AS7" s="8">
        <f t="shared" si="0"/>
        <v>10</v>
      </c>
      <c r="AT7" s="12" t="s">
        <v>27</v>
      </c>
      <c r="AU7" s="8">
        <v>1</v>
      </c>
      <c r="AV7" s="12" t="s">
        <v>27</v>
      </c>
      <c r="AW7" s="29" t="s">
        <v>28</v>
      </c>
      <c r="AX7" s="9">
        <v>0</v>
      </c>
      <c r="AY7" s="11">
        <v>-0.95587054495472767</v>
      </c>
      <c r="AZ7" s="2" t="s">
        <v>35</v>
      </c>
      <c r="BA7" s="2">
        <v>1</v>
      </c>
    </row>
    <row r="8" spans="1:53" s="2" customFormat="1">
      <c r="A8" s="1">
        <v>7</v>
      </c>
      <c r="B8" s="2" t="s">
        <v>23</v>
      </c>
      <c r="C8" s="1" t="s">
        <v>41</v>
      </c>
      <c r="D8" s="1">
        <v>33.49</v>
      </c>
      <c r="E8" s="1">
        <v>31.54</v>
      </c>
      <c r="F8" s="1">
        <v>30.96</v>
      </c>
      <c r="G8" s="1">
        <v>33.14</v>
      </c>
      <c r="H8" s="11">
        <v>31.88</v>
      </c>
      <c r="I8" s="11">
        <v>31.84</v>
      </c>
      <c r="J8" s="11">
        <v>33.22</v>
      </c>
      <c r="K8" s="11">
        <v>31.7</v>
      </c>
      <c r="L8" s="11">
        <v>31.99</v>
      </c>
      <c r="M8" s="11">
        <v>34.619999999999997</v>
      </c>
      <c r="N8" s="11">
        <v>30.11</v>
      </c>
      <c r="O8" s="11">
        <v>33.020000000000003</v>
      </c>
      <c r="P8" s="11">
        <v>33.729999999999997</v>
      </c>
      <c r="Q8" s="11">
        <v>32.53</v>
      </c>
      <c r="R8" s="11">
        <v>26.91</v>
      </c>
      <c r="S8" s="11">
        <v>30.9</v>
      </c>
      <c r="T8" s="11">
        <v>45</v>
      </c>
      <c r="U8" s="11">
        <v>32.21</v>
      </c>
      <c r="V8" s="11">
        <v>33.42</v>
      </c>
      <c r="W8" s="11">
        <v>33.4</v>
      </c>
      <c r="X8" s="11">
        <v>27.06</v>
      </c>
      <c r="Y8" s="11">
        <v>23.75</v>
      </c>
      <c r="Z8" s="7">
        <v>6254</v>
      </c>
      <c r="AA8" s="6">
        <v>81.246575342465746</v>
      </c>
      <c r="AB8" s="10">
        <v>35880</v>
      </c>
      <c r="AC8" s="39" t="s">
        <v>222</v>
      </c>
      <c r="AD8" s="2">
        <v>1</v>
      </c>
      <c r="AE8" s="2" t="s">
        <v>25</v>
      </c>
      <c r="AF8" s="2">
        <v>2</v>
      </c>
      <c r="AG8" s="2">
        <v>30</v>
      </c>
      <c r="AH8" s="2">
        <v>10</v>
      </c>
      <c r="AI8" s="2">
        <v>1</v>
      </c>
      <c r="AJ8" s="2" t="s">
        <v>26</v>
      </c>
      <c r="AK8" s="2">
        <v>1</v>
      </c>
      <c r="AM8" s="2">
        <v>1</v>
      </c>
      <c r="AN8" s="41">
        <v>90</v>
      </c>
      <c r="AO8" s="2">
        <v>1</v>
      </c>
      <c r="AP8" s="41">
        <v>80</v>
      </c>
      <c r="AQ8" s="2">
        <v>2</v>
      </c>
      <c r="AR8" s="12">
        <v>0.05</v>
      </c>
      <c r="AS8" s="8">
        <f t="shared" si="0"/>
        <v>5</v>
      </c>
      <c r="AT8" s="12" t="s">
        <v>27</v>
      </c>
      <c r="AU8" s="8">
        <v>1</v>
      </c>
      <c r="AV8" s="12" t="s">
        <v>27</v>
      </c>
      <c r="AW8" s="29" t="s">
        <v>28</v>
      </c>
      <c r="AX8" s="9">
        <v>0</v>
      </c>
      <c r="AY8" s="11">
        <v>-1.3754951092007166</v>
      </c>
      <c r="AZ8" s="2" t="s">
        <v>35</v>
      </c>
      <c r="BA8" s="2">
        <v>1</v>
      </c>
    </row>
    <row r="9" spans="1:53" s="2" customFormat="1">
      <c r="A9" s="1">
        <v>8</v>
      </c>
      <c r="B9" s="2" t="s">
        <v>23</v>
      </c>
      <c r="C9" s="1" t="s">
        <v>42</v>
      </c>
      <c r="D9" s="1">
        <v>25.08</v>
      </c>
      <c r="E9" s="1">
        <v>26.84</v>
      </c>
      <c r="F9" s="1">
        <v>31.52</v>
      </c>
      <c r="G9" s="1">
        <v>37.89</v>
      </c>
      <c r="H9" s="11">
        <v>31.75</v>
      </c>
      <c r="I9" s="11">
        <v>26.32</v>
      </c>
      <c r="J9" s="11">
        <v>32.020000000000003</v>
      </c>
      <c r="K9" s="11">
        <v>33.82</v>
      </c>
      <c r="L9" s="11">
        <v>33</v>
      </c>
      <c r="M9" s="11">
        <v>30.01</v>
      </c>
      <c r="N9" s="11">
        <v>34.72</v>
      </c>
      <c r="O9" s="11">
        <v>31.21</v>
      </c>
      <c r="P9" s="11">
        <v>31.11</v>
      </c>
      <c r="Q9" s="11">
        <v>33.04</v>
      </c>
      <c r="R9" s="11">
        <v>31.48</v>
      </c>
      <c r="S9" s="11">
        <v>35.11</v>
      </c>
      <c r="T9" s="11">
        <v>33.29</v>
      </c>
      <c r="U9" s="11">
        <v>27.65</v>
      </c>
      <c r="V9" s="11">
        <v>28.63</v>
      </c>
      <c r="W9" s="11">
        <v>34.770000000000003</v>
      </c>
      <c r="X9" s="11">
        <v>31.94</v>
      </c>
      <c r="Y9" s="11">
        <v>32.74</v>
      </c>
      <c r="Z9" s="7">
        <v>12163</v>
      </c>
      <c r="AA9" s="6">
        <v>65.608219178082194</v>
      </c>
      <c r="AB9" s="10">
        <v>36087</v>
      </c>
      <c r="AC9" s="39" t="s">
        <v>222</v>
      </c>
      <c r="AD9" s="2">
        <v>1</v>
      </c>
      <c r="AE9" s="2" t="s">
        <v>37</v>
      </c>
      <c r="AF9" s="2">
        <v>1</v>
      </c>
      <c r="AG9" s="2">
        <v>20</v>
      </c>
      <c r="AH9" s="2">
        <v>13</v>
      </c>
      <c r="AI9" s="2">
        <v>0</v>
      </c>
      <c r="AJ9" s="2" t="s">
        <v>31</v>
      </c>
      <c r="AK9" s="2">
        <v>0</v>
      </c>
      <c r="AM9" s="2">
        <v>1</v>
      </c>
      <c r="AN9" s="41">
        <v>80</v>
      </c>
      <c r="AO9" s="2">
        <v>1</v>
      </c>
      <c r="AP9" s="41">
        <v>90</v>
      </c>
      <c r="AQ9" s="2">
        <v>2</v>
      </c>
      <c r="AR9" s="12">
        <v>0.1</v>
      </c>
      <c r="AS9" s="8">
        <f t="shared" si="0"/>
        <v>10</v>
      </c>
      <c r="AT9" s="12" t="s">
        <v>27</v>
      </c>
      <c r="AU9" s="8">
        <v>1</v>
      </c>
      <c r="AV9" s="12" t="s">
        <v>27</v>
      </c>
      <c r="AW9" s="29" t="s">
        <v>28</v>
      </c>
      <c r="AX9" s="9">
        <v>0</v>
      </c>
      <c r="AY9" s="11">
        <v>-1.0567791667728881</v>
      </c>
      <c r="AZ9" s="2" t="s">
        <v>35</v>
      </c>
      <c r="BA9" s="2">
        <v>1</v>
      </c>
    </row>
    <row r="10" spans="1:53" s="2" customFormat="1">
      <c r="A10" s="1">
        <v>9</v>
      </c>
      <c r="B10" s="2" t="s">
        <v>23</v>
      </c>
      <c r="C10" s="1" t="s">
        <v>43</v>
      </c>
      <c r="D10" s="1">
        <v>22.82</v>
      </c>
      <c r="E10" s="1">
        <v>26.29</v>
      </c>
      <c r="F10" s="1">
        <v>31.54</v>
      </c>
      <c r="G10" s="1">
        <v>45</v>
      </c>
      <c r="H10" s="11">
        <v>33.85</v>
      </c>
      <c r="I10" s="11">
        <v>26.41</v>
      </c>
      <c r="J10" s="11">
        <v>31.56</v>
      </c>
      <c r="K10" s="11">
        <v>32.58</v>
      </c>
      <c r="L10" s="11">
        <v>29.44</v>
      </c>
      <c r="M10" s="11">
        <v>32.450000000000003</v>
      </c>
      <c r="N10" s="11">
        <v>33.29</v>
      </c>
      <c r="O10" s="11">
        <v>29.7</v>
      </c>
      <c r="P10" s="11">
        <v>33.57</v>
      </c>
      <c r="Q10" s="11">
        <v>32.26</v>
      </c>
      <c r="R10" s="11">
        <v>29.51</v>
      </c>
      <c r="S10" s="11">
        <v>29.88</v>
      </c>
      <c r="T10" s="11">
        <v>34.200000000000003</v>
      </c>
      <c r="U10" s="11">
        <v>31.69</v>
      </c>
      <c r="V10" s="11">
        <v>30.38</v>
      </c>
      <c r="W10" s="11">
        <v>34.950000000000003</v>
      </c>
      <c r="X10" s="11">
        <v>32.83</v>
      </c>
      <c r="Y10" s="11">
        <v>33.81</v>
      </c>
      <c r="Z10" s="7">
        <v>7694</v>
      </c>
      <c r="AA10" s="6">
        <v>77.410958904109592</v>
      </c>
      <c r="AB10" s="10">
        <v>35919</v>
      </c>
      <c r="AC10" s="39" t="s">
        <v>222</v>
      </c>
      <c r="AD10" s="2">
        <v>1</v>
      </c>
      <c r="AE10" s="2" t="s">
        <v>25</v>
      </c>
      <c r="AF10" s="2">
        <v>2</v>
      </c>
      <c r="AG10" s="2">
        <v>30</v>
      </c>
      <c r="AH10" s="2">
        <v>25</v>
      </c>
      <c r="AI10" s="2">
        <v>0</v>
      </c>
      <c r="AJ10" s="2" t="s">
        <v>31</v>
      </c>
      <c r="AK10" s="2">
        <v>0</v>
      </c>
      <c r="AM10" s="2">
        <v>2</v>
      </c>
      <c r="AN10" s="41" t="s">
        <v>33</v>
      </c>
      <c r="AO10" s="2">
        <v>1</v>
      </c>
      <c r="AP10" s="41">
        <v>20</v>
      </c>
      <c r="AQ10" s="2">
        <v>3</v>
      </c>
      <c r="AR10" s="12">
        <v>0.2</v>
      </c>
      <c r="AS10" s="8">
        <f t="shared" si="0"/>
        <v>20</v>
      </c>
      <c r="AT10" s="12" t="s">
        <v>34</v>
      </c>
      <c r="AU10" s="8">
        <v>3</v>
      </c>
      <c r="AV10" s="8" t="s">
        <v>44</v>
      </c>
      <c r="AW10" s="29" t="s">
        <v>28</v>
      </c>
      <c r="AX10" s="9">
        <v>0</v>
      </c>
      <c r="AY10" s="11">
        <v>1.0954708728738076</v>
      </c>
      <c r="AZ10" s="2" t="s">
        <v>38</v>
      </c>
      <c r="BA10" s="2">
        <v>3</v>
      </c>
    </row>
    <row r="11" spans="1:53" s="2" customFormat="1">
      <c r="A11" s="1">
        <v>10</v>
      </c>
      <c r="B11" s="2" t="s">
        <v>23</v>
      </c>
      <c r="C11" s="1" t="s">
        <v>45</v>
      </c>
      <c r="D11" s="1">
        <v>25.48</v>
      </c>
      <c r="E11" s="1">
        <v>26.97</v>
      </c>
      <c r="F11" s="1">
        <v>31.63</v>
      </c>
      <c r="G11" s="1">
        <v>35.31</v>
      </c>
      <c r="H11" s="11">
        <v>31.18</v>
      </c>
      <c r="I11" s="11">
        <v>26.62</v>
      </c>
      <c r="J11" s="11">
        <v>31.7</v>
      </c>
      <c r="K11" s="11">
        <v>35.28</v>
      </c>
      <c r="L11" s="11">
        <v>32.56</v>
      </c>
      <c r="M11" s="11">
        <v>31.6</v>
      </c>
      <c r="N11" s="11">
        <v>35.64</v>
      </c>
      <c r="O11" s="11">
        <v>31.18</v>
      </c>
      <c r="P11" s="11">
        <v>31.68</v>
      </c>
      <c r="Q11" s="11">
        <v>33.97</v>
      </c>
      <c r="R11" s="11">
        <v>31.24</v>
      </c>
      <c r="S11" s="11">
        <v>32.11</v>
      </c>
      <c r="T11" s="11">
        <v>34.1</v>
      </c>
      <c r="U11" s="11">
        <v>27.86</v>
      </c>
      <c r="V11" s="11">
        <v>29.9</v>
      </c>
      <c r="W11" s="11">
        <v>36.57</v>
      </c>
      <c r="X11" s="11">
        <v>32.72</v>
      </c>
      <c r="Y11" s="11">
        <v>32.17</v>
      </c>
      <c r="Z11" s="7">
        <v>6435</v>
      </c>
      <c r="AA11" s="6">
        <v>80.745205479452054</v>
      </c>
      <c r="AB11" s="10">
        <v>35852</v>
      </c>
      <c r="AC11" s="39" t="s">
        <v>226</v>
      </c>
      <c r="AE11" s="2" t="s">
        <v>37</v>
      </c>
      <c r="AF11" s="2">
        <v>1</v>
      </c>
      <c r="AG11" s="2">
        <v>18</v>
      </c>
      <c r="AH11" s="2">
        <v>21</v>
      </c>
      <c r="AI11" s="2">
        <v>0</v>
      </c>
      <c r="AJ11" s="2" t="s">
        <v>31</v>
      </c>
      <c r="AK11" s="2">
        <v>0</v>
      </c>
      <c r="AM11" s="2">
        <v>1</v>
      </c>
      <c r="AN11" s="41">
        <v>90</v>
      </c>
      <c r="AO11" s="2">
        <v>1</v>
      </c>
      <c r="AP11" s="41">
        <v>90</v>
      </c>
      <c r="AQ11" s="2" t="s">
        <v>28</v>
      </c>
      <c r="AR11" s="12">
        <v>0.15</v>
      </c>
      <c r="AS11" s="8">
        <f t="shared" si="0"/>
        <v>15</v>
      </c>
      <c r="AT11" s="12" t="s">
        <v>34</v>
      </c>
      <c r="AU11" s="8">
        <v>3</v>
      </c>
      <c r="AV11" s="8" t="s">
        <v>44</v>
      </c>
      <c r="AW11" s="29" t="s">
        <v>28</v>
      </c>
      <c r="AX11" s="9">
        <v>0</v>
      </c>
      <c r="AY11" s="11">
        <v>-1.0609314365109537</v>
      </c>
      <c r="AZ11" s="2" t="s">
        <v>35</v>
      </c>
      <c r="BA11" s="2">
        <v>1</v>
      </c>
    </row>
    <row r="12" spans="1:53" s="2" customFormat="1">
      <c r="A12" s="1">
        <v>11</v>
      </c>
      <c r="B12" s="2" t="s">
        <v>23</v>
      </c>
      <c r="C12" s="1" t="s">
        <v>46</v>
      </c>
      <c r="D12" s="1">
        <v>24.86</v>
      </c>
      <c r="E12" s="1">
        <v>27.05</v>
      </c>
      <c r="F12" s="1">
        <v>32.44</v>
      </c>
      <c r="G12" s="1">
        <v>45</v>
      </c>
      <c r="H12" s="11">
        <v>33.61</v>
      </c>
      <c r="I12" s="11">
        <v>26.96</v>
      </c>
      <c r="J12" s="11">
        <v>33.14</v>
      </c>
      <c r="K12" s="11">
        <v>32.64</v>
      </c>
      <c r="L12" s="11">
        <v>32.909999999999997</v>
      </c>
      <c r="M12" s="11">
        <v>33.799999999999997</v>
      </c>
      <c r="N12" s="11">
        <v>39.68</v>
      </c>
      <c r="O12" s="11">
        <v>32.409999999999997</v>
      </c>
      <c r="P12" s="11">
        <v>31.63</v>
      </c>
      <c r="Q12" s="11">
        <v>32.86</v>
      </c>
      <c r="R12" s="11">
        <v>32.47</v>
      </c>
      <c r="S12" s="11">
        <v>34.85</v>
      </c>
      <c r="T12" s="11">
        <v>32.46</v>
      </c>
      <c r="U12" s="11">
        <v>28.02</v>
      </c>
      <c r="V12" s="11">
        <v>29.18</v>
      </c>
      <c r="W12" s="11">
        <v>45</v>
      </c>
      <c r="X12" s="11">
        <v>33.65</v>
      </c>
      <c r="Y12" s="11">
        <v>33.39</v>
      </c>
      <c r="Z12" s="7">
        <v>13816</v>
      </c>
      <c r="AA12" s="6">
        <v>60.564383561643837</v>
      </c>
      <c r="AB12" s="10">
        <v>35893</v>
      </c>
      <c r="AC12" s="39" t="s">
        <v>224</v>
      </c>
      <c r="AD12" s="2">
        <v>2</v>
      </c>
      <c r="AE12" s="2" t="s">
        <v>37</v>
      </c>
      <c r="AF12" s="2">
        <v>1</v>
      </c>
      <c r="AG12" s="2">
        <v>20</v>
      </c>
      <c r="AH12" s="2">
        <v>10</v>
      </c>
      <c r="AI12" s="2">
        <v>5</v>
      </c>
      <c r="AJ12" s="2" t="s">
        <v>47</v>
      </c>
      <c r="AK12" s="2">
        <v>2</v>
      </c>
      <c r="AM12" s="2">
        <v>1</v>
      </c>
      <c r="AN12" s="41">
        <v>80</v>
      </c>
      <c r="AO12" s="2">
        <v>1</v>
      </c>
      <c r="AP12" s="41">
        <v>60</v>
      </c>
      <c r="AQ12" s="2" t="s">
        <v>28</v>
      </c>
      <c r="AR12" s="12">
        <v>0</v>
      </c>
      <c r="AS12" s="8">
        <f t="shared" si="0"/>
        <v>0</v>
      </c>
      <c r="AT12" s="12" t="s">
        <v>27</v>
      </c>
      <c r="AU12" s="8">
        <v>1</v>
      </c>
      <c r="AV12" s="12" t="s">
        <v>27</v>
      </c>
      <c r="AW12" s="29" t="s">
        <v>28</v>
      </c>
      <c r="AX12" s="9">
        <v>0</v>
      </c>
      <c r="AY12" s="11">
        <v>-0.1489290030930821</v>
      </c>
      <c r="AZ12" s="2" t="s">
        <v>29</v>
      </c>
      <c r="BA12" s="2">
        <v>2</v>
      </c>
    </row>
    <row r="13" spans="1:53" s="2" customFormat="1">
      <c r="A13" s="1">
        <v>12</v>
      </c>
      <c r="B13" s="2" t="s">
        <v>23</v>
      </c>
      <c r="C13" s="1" t="s">
        <v>48</v>
      </c>
      <c r="D13" s="1">
        <v>24.4</v>
      </c>
      <c r="E13" s="1">
        <v>27.66</v>
      </c>
      <c r="F13" s="1">
        <v>32.700000000000003</v>
      </c>
      <c r="G13" s="1">
        <v>45</v>
      </c>
      <c r="H13" s="11">
        <v>31.89</v>
      </c>
      <c r="I13" s="11">
        <v>26.82</v>
      </c>
      <c r="J13" s="11">
        <v>32.15</v>
      </c>
      <c r="K13" s="11">
        <v>34.89</v>
      </c>
      <c r="L13" s="11">
        <v>32.47</v>
      </c>
      <c r="M13" s="11">
        <v>31.36</v>
      </c>
      <c r="N13" s="11">
        <v>45</v>
      </c>
      <c r="O13" s="11">
        <v>31.74</v>
      </c>
      <c r="P13" s="11">
        <v>31.45</v>
      </c>
      <c r="Q13" s="11">
        <v>32.42</v>
      </c>
      <c r="R13" s="11">
        <v>33.340000000000003</v>
      </c>
      <c r="S13" s="11">
        <v>34</v>
      </c>
      <c r="T13" s="11">
        <v>33.58</v>
      </c>
      <c r="U13" s="11">
        <v>30.68</v>
      </c>
      <c r="V13" s="11">
        <v>28.49</v>
      </c>
      <c r="W13" s="11">
        <v>35.880000000000003</v>
      </c>
      <c r="X13" s="11">
        <v>34</v>
      </c>
      <c r="Y13" s="11">
        <v>33.130000000000003</v>
      </c>
      <c r="Z13" s="7">
        <v>8278</v>
      </c>
      <c r="AA13" s="6">
        <v>75.506849315068493</v>
      </c>
      <c r="AB13" s="10">
        <v>35762</v>
      </c>
      <c r="AC13" s="39" t="s">
        <v>222</v>
      </c>
      <c r="AD13" s="2">
        <v>1</v>
      </c>
      <c r="AE13" s="2" t="s">
        <v>25</v>
      </c>
      <c r="AF13" s="2">
        <v>2</v>
      </c>
      <c r="AG13" s="2">
        <v>23</v>
      </c>
      <c r="AH13" s="2">
        <v>25</v>
      </c>
      <c r="AI13" s="2">
        <v>0</v>
      </c>
      <c r="AJ13" s="2" t="s">
        <v>31</v>
      </c>
      <c r="AK13" s="2">
        <v>0</v>
      </c>
      <c r="AM13" s="2">
        <v>1</v>
      </c>
      <c r="AN13" s="41">
        <v>75</v>
      </c>
      <c r="AO13" s="2">
        <v>2</v>
      </c>
      <c r="AP13" s="41" t="s">
        <v>33</v>
      </c>
      <c r="AQ13" s="2">
        <v>2</v>
      </c>
      <c r="AR13" s="12">
        <v>0</v>
      </c>
      <c r="AS13" s="8">
        <f t="shared" si="0"/>
        <v>0</v>
      </c>
      <c r="AT13" s="12" t="s">
        <v>27</v>
      </c>
      <c r="AU13" s="8">
        <v>1</v>
      </c>
      <c r="AV13" s="12" t="s">
        <v>27</v>
      </c>
      <c r="AW13" s="29" t="s">
        <v>28</v>
      </c>
      <c r="AX13" s="9">
        <v>0</v>
      </c>
      <c r="AY13" s="11">
        <v>-0.72248515598531782</v>
      </c>
      <c r="AZ13" s="2" t="s">
        <v>29</v>
      </c>
      <c r="BA13" s="2">
        <v>2</v>
      </c>
    </row>
    <row r="14" spans="1:53" s="2" customFormat="1">
      <c r="A14" s="1">
        <v>13</v>
      </c>
      <c r="B14" s="2" t="s">
        <v>23</v>
      </c>
      <c r="C14" s="1" t="s">
        <v>49</v>
      </c>
      <c r="D14" s="14">
        <v>20.100000000000001</v>
      </c>
      <c r="E14" s="14">
        <v>20.53</v>
      </c>
      <c r="F14" s="14">
        <v>28.82</v>
      </c>
      <c r="G14" s="14">
        <v>33.9</v>
      </c>
      <c r="H14" s="11">
        <v>29.83</v>
      </c>
      <c r="I14" s="11">
        <v>21.6</v>
      </c>
      <c r="J14" s="11">
        <v>27.06</v>
      </c>
      <c r="K14" s="11">
        <v>30.88</v>
      </c>
      <c r="L14" s="11">
        <v>31.52</v>
      </c>
      <c r="M14" s="11">
        <v>24.64</v>
      </c>
      <c r="N14" s="11">
        <v>37.19</v>
      </c>
      <c r="O14" s="11">
        <v>29</v>
      </c>
      <c r="P14" s="11">
        <v>27.2</v>
      </c>
      <c r="Q14" s="11">
        <v>32.380000000000003</v>
      </c>
      <c r="R14" s="11">
        <v>28.44</v>
      </c>
      <c r="S14" s="11">
        <v>32.090000000000003</v>
      </c>
      <c r="T14" s="11">
        <v>13.51</v>
      </c>
      <c r="U14" s="11">
        <v>25.64</v>
      </c>
      <c r="V14" s="11">
        <v>23.89</v>
      </c>
      <c r="W14" s="11">
        <v>36.049999999999997</v>
      </c>
      <c r="X14" s="11">
        <v>27.89</v>
      </c>
      <c r="Y14" s="11">
        <v>28.65</v>
      </c>
      <c r="Z14" s="7">
        <v>9909</v>
      </c>
      <c r="AA14" s="6">
        <v>71.802739726027397</v>
      </c>
      <c r="AB14" s="10">
        <v>36087</v>
      </c>
      <c r="AC14" s="39" t="s">
        <v>222</v>
      </c>
      <c r="AD14" s="2">
        <v>1</v>
      </c>
      <c r="AE14" s="2" t="s">
        <v>37</v>
      </c>
      <c r="AF14" s="2">
        <v>1</v>
      </c>
      <c r="AG14" s="2">
        <v>20</v>
      </c>
      <c r="AH14" s="2">
        <v>14</v>
      </c>
      <c r="AI14" s="2">
        <v>0</v>
      </c>
      <c r="AJ14" s="2" t="s">
        <v>31</v>
      </c>
      <c r="AK14" s="2">
        <v>0</v>
      </c>
      <c r="AM14" s="2">
        <v>1</v>
      </c>
      <c r="AN14" s="41">
        <v>90</v>
      </c>
      <c r="AO14" s="2">
        <v>2</v>
      </c>
      <c r="AP14" s="41" t="s">
        <v>33</v>
      </c>
      <c r="AQ14" s="2">
        <v>2</v>
      </c>
      <c r="AR14" s="12">
        <v>0.3</v>
      </c>
      <c r="AS14" s="8">
        <f t="shared" si="0"/>
        <v>30</v>
      </c>
      <c r="AT14" s="12" t="s">
        <v>34</v>
      </c>
      <c r="AU14" s="8">
        <v>3</v>
      </c>
      <c r="AV14" s="8" t="s">
        <v>34</v>
      </c>
      <c r="AW14" s="29" t="s">
        <v>28</v>
      </c>
      <c r="AX14" s="9">
        <v>0</v>
      </c>
      <c r="AY14" s="11">
        <v>-1.6318395057518345</v>
      </c>
      <c r="AZ14" s="2" t="s">
        <v>35</v>
      </c>
      <c r="BA14" s="2">
        <v>1</v>
      </c>
    </row>
    <row r="15" spans="1:53" s="2" customFormat="1">
      <c r="A15" s="1">
        <v>14</v>
      </c>
      <c r="B15" s="2" t="s">
        <v>23</v>
      </c>
      <c r="C15" s="1" t="s">
        <v>50</v>
      </c>
      <c r="D15" s="1">
        <v>24.46</v>
      </c>
      <c r="E15" s="1">
        <v>26.4</v>
      </c>
      <c r="F15" s="1">
        <v>32.49</v>
      </c>
      <c r="G15" s="1">
        <v>45</v>
      </c>
      <c r="H15" s="11">
        <v>31.16</v>
      </c>
      <c r="I15" s="11">
        <v>27.1</v>
      </c>
      <c r="J15" s="11">
        <v>33.6</v>
      </c>
      <c r="K15" s="11">
        <v>33.159999999999997</v>
      </c>
      <c r="L15" s="11">
        <v>30.96</v>
      </c>
      <c r="M15" s="11">
        <v>34.31</v>
      </c>
      <c r="N15" s="11">
        <v>33.78</v>
      </c>
      <c r="O15" s="11">
        <v>31.37</v>
      </c>
      <c r="P15" s="11">
        <v>31.76</v>
      </c>
      <c r="Q15" s="11">
        <v>31.08</v>
      </c>
      <c r="R15" s="11">
        <v>31.5</v>
      </c>
      <c r="S15" s="11">
        <v>31.22</v>
      </c>
      <c r="T15" s="11">
        <v>33.36</v>
      </c>
      <c r="U15" s="11">
        <v>30.8</v>
      </c>
      <c r="V15" s="11">
        <v>32.24</v>
      </c>
      <c r="W15" s="11">
        <v>35.979999999999997</v>
      </c>
      <c r="X15" s="11">
        <v>33.630000000000003</v>
      </c>
      <c r="Y15" s="11">
        <v>32.74</v>
      </c>
      <c r="Z15" s="7">
        <v>15883</v>
      </c>
      <c r="AA15" s="6">
        <v>54.93150684931507</v>
      </c>
      <c r="AB15" s="10">
        <v>35905</v>
      </c>
      <c r="AC15" s="39" t="s">
        <v>222</v>
      </c>
      <c r="AD15" s="2">
        <v>1</v>
      </c>
      <c r="AE15" s="2" t="s">
        <v>37</v>
      </c>
      <c r="AF15" s="2">
        <v>1</v>
      </c>
      <c r="AG15" s="2">
        <v>15</v>
      </c>
      <c r="AH15" s="2">
        <v>22</v>
      </c>
      <c r="AI15" s="2">
        <v>0</v>
      </c>
      <c r="AJ15" s="2" t="s">
        <v>31</v>
      </c>
      <c r="AK15" s="2">
        <v>0</v>
      </c>
      <c r="AM15" s="2">
        <v>2</v>
      </c>
      <c r="AN15" s="41" t="s">
        <v>33</v>
      </c>
      <c r="AO15" s="2">
        <v>2</v>
      </c>
      <c r="AP15" s="41" t="s">
        <v>33</v>
      </c>
      <c r="AQ15" s="2">
        <v>3</v>
      </c>
      <c r="AR15" s="12">
        <v>0.8</v>
      </c>
      <c r="AS15" s="8">
        <f t="shared" si="0"/>
        <v>80</v>
      </c>
      <c r="AT15" s="12" t="s">
        <v>34</v>
      </c>
      <c r="AU15" s="8">
        <v>3</v>
      </c>
      <c r="AV15" s="8" t="s">
        <v>34</v>
      </c>
      <c r="AW15" s="29" t="s">
        <v>28</v>
      </c>
      <c r="AX15" s="9">
        <v>0</v>
      </c>
      <c r="AY15" s="11">
        <v>-0.14164070574726217</v>
      </c>
      <c r="AZ15" s="2" t="s">
        <v>29</v>
      </c>
      <c r="BA15" s="2">
        <v>2</v>
      </c>
    </row>
    <row r="16" spans="1:53" s="2" customFormat="1">
      <c r="A16" s="1">
        <v>15</v>
      </c>
      <c r="B16" s="2" t="s">
        <v>23</v>
      </c>
      <c r="C16" s="1" t="s">
        <v>51</v>
      </c>
      <c r="D16" s="1">
        <v>23.83</v>
      </c>
      <c r="E16" s="1">
        <v>28.34</v>
      </c>
      <c r="F16" s="1">
        <v>31.25</v>
      </c>
      <c r="G16" s="1">
        <v>33.32</v>
      </c>
      <c r="H16" s="11">
        <v>30.9</v>
      </c>
      <c r="I16" s="11">
        <v>26.97</v>
      </c>
      <c r="J16" s="11">
        <v>31.79</v>
      </c>
      <c r="K16" s="11">
        <v>33.64</v>
      </c>
      <c r="L16" s="11">
        <v>32.93</v>
      </c>
      <c r="M16" s="11">
        <v>30.92</v>
      </c>
      <c r="N16" s="11">
        <v>33.590000000000003</v>
      </c>
      <c r="O16" s="11">
        <v>31.99</v>
      </c>
      <c r="P16" s="11">
        <v>32.020000000000003</v>
      </c>
      <c r="Q16" s="11">
        <v>32.85</v>
      </c>
      <c r="R16" s="11">
        <v>31.99</v>
      </c>
      <c r="S16" s="11">
        <v>33.32</v>
      </c>
      <c r="T16" s="11">
        <v>32.81</v>
      </c>
      <c r="U16" s="11">
        <v>29.07</v>
      </c>
      <c r="V16" s="11">
        <v>30.61</v>
      </c>
      <c r="W16" s="11">
        <v>33.229999999999997</v>
      </c>
      <c r="X16" s="11">
        <v>32.74</v>
      </c>
      <c r="Y16" s="11">
        <v>32.909999999999997</v>
      </c>
      <c r="Z16" s="7">
        <v>8335</v>
      </c>
      <c r="AA16" s="6">
        <v>75.30684931506849</v>
      </c>
      <c r="AB16" s="10">
        <v>35797</v>
      </c>
      <c r="AC16" s="39" t="s">
        <v>222</v>
      </c>
      <c r="AD16" s="2">
        <v>1</v>
      </c>
      <c r="AE16" s="2" t="s">
        <v>37</v>
      </c>
      <c r="AF16" s="2">
        <v>1</v>
      </c>
      <c r="AG16" s="2">
        <v>18</v>
      </c>
      <c r="AH16" s="2">
        <v>11</v>
      </c>
      <c r="AI16" s="2">
        <v>0</v>
      </c>
      <c r="AJ16" s="2" t="s">
        <v>31</v>
      </c>
      <c r="AK16" s="2">
        <v>0</v>
      </c>
      <c r="AM16" s="2">
        <v>1</v>
      </c>
      <c r="AN16" s="41">
        <v>90</v>
      </c>
      <c r="AO16" s="2">
        <v>0</v>
      </c>
      <c r="AP16" s="41" t="s">
        <v>52</v>
      </c>
      <c r="AQ16" s="2">
        <v>2</v>
      </c>
      <c r="AR16" s="12">
        <v>0.1</v>
      </c>
      <c r="AS16" s="8">
        <f t="shared" si="0"/>
        <v>10</v>
      </c>
      <c r="AT16" s="12" t="s">
        <v>27</v>
      </c>
      <c r="AU16" s="8">
        <v>1</v>
      </c>
      <c r="AV16" s="12" t="s">
        <v>27</v>
      </c>
      <c r="AW16" s="29" t="s">
        <v>28</v>
      </c>
      <c r="AX16" s="9">
        <v>0</v>
      </c>
      <c r="AY16" s="11">
        <v>-0.48169909580155368</v>
      </c>
      <c r="AZ16" s="2" t="s">
        <v>29</v>
      </c>
      <c r="BA16" s="2">
        <v>2</v>
      </c>
    </row>
    <row r="17" spans="1:53" s="2" customFormat="1">
      <c r="A17" s="1">
        <v>16</v>
      </c>
      <c r="B17" s="2" t="s">
        <v>23</v>
      </c>
      <c r="C17" s="1" t="s">
        <v>53</v>
      </c>
      <c r="D17" s="1">
        <v>26.19</v>
      </c>
      <c r="E17" s="1">
        <v>27.94</v>
      </c>
      <c r="F17" s="1">
        <v>34.08</v>
      </c>
      <c r="G17" s="1">
        <v>38.36</v>
      </c>
      <c r="H17" s="11">
        <v>33.17</v>
      </c>
      <c r="I17" s="11">
        <v>27.81</v>
      </c>
      <c r="J17" s="11">
        <v>34.21</v>
      </c>
      <c r="K17" s="11">
        <v>35.07</v>
      </c>
      <c r="L17" s="11">
        <v>32.07</v>
      </c>
      <c r="M17" s="11">
        <v>31.4</v>
      </c>
      <c r="N17" s="11">
        <v>34.96</v>
      </c>
      <c r="O17" s="11">
        <v>33.25</v>
      </c>
      <c r="P17" s="11">
        <v>31.81</v>
      </c>
      <c r="Q17" s="11">
        <v>33.54</v>
      </c>
      <c r="R17" s="11">
        <v>35.229999999999997</v>
      </c>
      <c r="S17" s="11">
        <v>34.130000000000003</v>
      </c>
      <c r="T17" s="11">
        <v>33.96</v>
      </c>
      <c r="U17" s="11">
        <v>29.22</v>
      </c>
      <c r="V17" s="11">
        <v>29.15</v>
      </c>
      <c r="W17" s="11">
        <v>45</v>
      </c>
      <c r="X17" s="11">
        <v>34.86</v>
      </c>
      <c r="Y17" s="11">
        <v>33.36</v>
      </c>
      <c r="Z17" s="7">
        <v>16170</v>
      </c>
      <c r="AA17" s="6">
        <v>53.843835616438355</v>
      </c>
      <c r="AB17" s="10">
        <v>35779</v>
      </c>
      <c r="AC17" s="39" t="s">
        <v>222</v>
      </c>
      <c r="AD17" s="2">
        <v>1</v>
      </c>
      <c r="AE17" s="2" t="s">
        <v>37</v>
      </c>
      <c r="AF17" s="2">
        <v>1</v>
      </c>
      <c r="AG17" s="2">
        <v>15</v>
      </c>
      <c r="AH17" s="2">
        <v>10</v>
      </c>
      <c r="AI17" s="2">
        <v>2</v>
      </c>
      <c r="AJ17" s="2" t="s">
        <v>26</v>
      </c>
      <c r="AK17" s="2">
        <v>1</v>
      </c>
      <c r="AM17" s="2">
        <v>1</v>
      </c>
      <c r="AN17" s="41">
        <v>95</v>
      </c>
      <c r="AO17" s="2">
        <v>1</v>
      </c>
      <c r="AP17" s="41">
        <v>50</v>
      </c>
      <c r="AQ17" s="2">
        <v>1</v>
      </c>
      <c r="AR17" s="12">
        <v>0.1</v>
      </c>
      <c r="AS17" s="8">
        <f t="shared" si="0"/>
        <v>10</v>
      </c>
      <c r="AT17" s="12" t="s">
        <v>27</v>
      </c>
      <c r="AU17" s="8">
        <v>1</v>
      </c>
      <c r="AV17" s="12" t="s">
        <v>27</v>
      </c>
      <c r="AW17" s="29" t="s">
        <v>28</v>
      </c>
      <c r="AX17" s="9">
        <v>0</v>
      </c>
      <c r="AY17" s="11">
        <v>-0.3455246807039587</v>
      </c>
      <c r="AZ17" s="2" t="s">
        <v>29</v>
      </c>
      <c r="BA17" s="2">
        <v>2</v>
      </c>
    </row>
    <row r="18" spans="1:53" s="2" customFormat="1">
      <c r="A18" s="1">
        <v>17</v>
      </c>
      <c r="B18" s="2" t="s">
        <v>23</v>
      </c>
      <c r="C18" s="1" t="s">
        <v>54</v>
      </c>
      <c r="D18" s="1">
        <v>23.28</v>
      </c>
      <c r="E18" s="1">
        <v>24.86</v>
      </c>
      <c r="F18" s="1">
        <v>30.16</v>
      </c>
      <c r="G18" s="1">
        <v>45</v>
      </c>
      <c r="H18" s="11">
        <v>33.28</v>
      </c>
      <c r="I18" s="11">
        <v>24.57</v>
      </c>
      <c r="J18" s="11">
        <v>30.75</v>
      </c>
      <c r="K18" s="11">
        <v>31.87</v>
      </c>
      <c r="L18" s="11">
        <v>30.59</v>
      </c>
      <c r="M18" s="11">
        <v>29.63</v>
      </c>
      <c r="N18" s="11">
        <v>33.340000000000003</v>
      </c>
      <c r="O18" s="11">
        <v>30.06</v>
      </c>
      <c r="P18" s="11">
        <v>30.12</v>
      </c>
      <c r="Q18" s="11">
        <v>31.05</v>
      </c>
      <c r="R18" s="11">
        <v>30.54</v>
      </c>
      <c r="S18" s="11">
        <v>32.79</v>
      </c>
      <c r="T18" s="11">
        <v>32.78</v>
      </c>
      <c r="U18" s="11">
        <v>28.06</v>
      </c>
      <c r="V18" s="11">
        <v>26.91</v>
      </c>
      <c r="W18" s="11">
        <v>37.340000000000003</v>
      </c>
      <c r="X18" s="11">
        <v>30.52</v>
      </c>
      <c r="Y18" s="11">
        <v>31.52</v>
      </c>
      <c r="Z18" s="7">
        <v>15764</v>
      </c>
      <c r="AA18" s="6">
        <v>54.969863013698628</v>
      </c>
      <c r="AB18" s="10">
        <v>35814</v>
      </c>
      <c r="AC18" s="39" t="s">
        <v>222</v>
      </c>
      <c r="AD18" s="2">
        <v>1</v>
      </c>
      <c r="AE18" s="2" t="s">
        <v>37</v>
      </c>
      <c r="AF18" s="2">
        <v>1</v>
      </c>
      <c r="AG18" s="2">
        <v>18</v>
      </c>
      <c r="AH18" s="2">
        <v>14</v>
      </c>
      <c r="AI18" s="2">
        <v>1</v>
      </c>
      <c r="AJ18" s="2" t="s">
        <v>26</v>
      </c>
      <c r="AK18" s="2">
        <v>1</v>
      </c>
      <c r="AM18" s="2">
        <v>1</v>
      </c>
      <c r="AN18" s="41">
        <v>90</v>
      </c>
      <c r="AO18" s="2">
        <v>0</v>
      </c>
      <c r="AP18" s="41" t="s">
        <v>52</v>
      </c>
      <c r="AQ18" s="2">
        <v>2</v>
      </c>
      <c r="AR18" s="12">
        <v>0.15</v>
      </c>
      <c r="AS18" s="8">
        <f t="shared" si="0"/>
        <v>15</v>
      </c>
      <c r="AT18" s="12" t="s">
        <v>34</v>
      </c>
      <c r="AU18" s="8">
        <v>3</v>
      </c>
      <c r="AV18" s="8" t="s">
        <v>44</v>
      </c>
      <c r="AW18" s="29" t="s">
        <v>28</v>
      </c>
      <c r="AX18" s="9">
        <v>0</v>
      </c>
      <c r="AY18" s="11">
        <v>0.39782274035616672</v>
      </c>
      <c r="AZ18" s="2" t="s">
        <v>38</v>
      </c>
      <c r="BA18" s="2">
        <v>3</v>
      </c>
    </row>
    <row r="19" spans="1:53" s="2" customFormat="1">
      <c r="A19" s="1">
        <v>18</v>
      </c>
      <c r="B19" s="2" t="s">
        <v>23</v>
      </c>
      <c r="C19" s="1" t="s">
        <v>55</v>
      </c>
      <c r="D19" s="1">
        <v>26.55</v>
      </c>
      <c r="E19" s="1">
        <v>29.52</v>
      </c>
      <c r="F19" s="1">
        <v>33.21</v>
      </c>
      <c r="G19" s="1">
        <v>45</v>
      </c>
      <c r="H19" s="11">
        <v>35.32</v>
      </c>
      <c r="I19" s="11">
        <v>28.99</v>
      </c>
      <c r="J19" s="11">
        <v>36.64</v>
      </c>
      <c r="K19" s="11">
        <v>35.549999999999997</v>
      </c>
      <c r="L19" s="11">
        <v>34.08</v>
      </c>
      <c r="M19" s="11">
        <v>33.549999999999997</v>
      </c>
      <c r="N19" s="11">
        <v>45</v>
      </c>
      <c r="O19" s="11">
        <v>34.299999999999997</v>
      </c>
      <c r="P19" s="11">
        <v>33.369999999999997</v>
      </c>
      <c r="Q19" s="11">
        <v>36.54</v>
      </c>
      <c r="R19" s="11">
        <v>34.06</v>
      </c>
      <c r="S19" s="11">
        <v>38.43</v>
      </c>
      <c r="T19" s="11">
        <v>45</v>
      </c>
      <c r="U19" s="11">
        <v>31.21</v>
      </c>
      <c r="V19" s="11">
        <v>29.79</v>
      </c>
      <c r="W19" s="11">
        <v>45</v>
      </c>
      <c r="X19" s="11">
        <v>34.229999999999997</v>
      </c>
      <c r="Y19" s="11">
        <v>35.75</v>
      </c>
      <c r="Z19" s="7">
        <v>10248</v>
      </c>
      <c r="AA19" s="6">
        <v>70.369863013698634</v>
      </c>
      <c r="AB19" s="10">
        <v>35908</v>
      </c>
      <c r="AC19" s="39" t="s">
        <v>222</v>
      </c>
      <c r="AD19" s="2">
        <v>1</v>
      </c>
      <c r="AE19" s="2" t="s">
        <v>37</v>
      </c>
      <c r="AF19" s="2">
        <v>1</v>
      </c>
      <c r="AG19" s="2">
        <v>15</v>
      </c>
      <c r="AH19" s="2">
        <v>21</v>
      </c>
      <c r="AI19" s="2">
        <v>0</v>
      </c>
      <c r="AJ19" s="2" t="s">
        <v>31</v>
      </c>
      <c r="AK19" s="2">
        <v>0</v>
      </c>
      <c r="AM19" s="2">
        <v>1</v>
      </c>
      <c r="AN19" s="41">
        <v>90</v>
      </c>
      <c r="AO19" s="2">
        <v>2</v>
      </c>
      <c r="AP19" s="41" t="s">
        <v>33</v>
      </c>
      <c r="AQ19" s="2">
        <v>2</v>
      </c>
      <c r="AR19" s="12">
        <v>0.15</v>
      </c>
      <c r="AS19" s="8">
        <f t="shared" si="0"/>
        <v>15</v>
      </c>
      <c r="AT19" s="12" t="s">
        <v>34</v>
      </c>
      <c r="AU19" s="8">
        <v>3</v>
      </c>
      <c r="AV19" s="8" t="s">
        <v>44</v>
      </c>
      <c r="AW19" s="29" t="s">
        <v>28</v>
      </c>
      <c r="AX19" s="9">
        <v>0</v>
      </c>
      <c r="AY19" s="11">
        <v>-0.97316678059437045</v>
      </c>
      <c r="AZ19" s="2" t="s">
        <v>35</v>
      </c>
      <c r="BA19" s="2">
        <v>1</v>
      </c>
    </row>
    <row r="20" spans="1:53" s="2" customFormat="1">
      <c r="A20" s="1">
        <v>19</v>
      </c>
      <c r="B20" s="2" t="s">
        <v>23</v>
      </c>
      <c r="C20" s="1" t="s">
        <v>56</v>
      </c>
      <c r="D20" s="1">
        <v>24.07</v>
      </c>
      <c r="E20" s="1">
        <v>26.96</v>
      </c>
      <c r="F20" s="1">
        <v>31.12</v>
      </c>
      <c r="G20" s="1">
        <v>36.159999999999997</v>
      </c>
      <c r="H20" s="11">
        <v>32.25</v>
      </c>
      <c r="I20" s="11">
        <v>26.3</v>
      </c>
      <c r="J20" s="11">
        <v>33.29</v>
      </c>
      <c r="K20" s="11">
        <v>34.44</v>
      </c>
      <c r="L20" s="11">
        <v>34.29</v>
      </c>
      <c r="M20" s="11">
        <v>32.770000000000003</v>
      </c>
      <c r="N20" s="11">
        <v>36.18</v>
      </c>
      <c r="O20" s="11">
        <v>31.68</v>
      </c>
      <c r="P20" s="11">
        <v>30.46</v>
      </c>
      <c r="Q20" s="11">
        <v>34.82</v>
      </c>
      <c r="R20" s="11">
        <v>32.979999999999997</v>
      </c>
      <c r="S20" s="11">
        <v>26.71</v>
      </c>
      <c r="T20" s="11">
        <v>32.44</v>
      </c>
      <c r="U20" s="11">
        <v>28.05</v>
      </c>
      <c r="V20" s="11">
        <v>28.57</v>
      </c>
      <c r="W20" s="11">
        <v>34.76</v>
      </c>
      <c r="X20" s="11">
        <v>33.799999999999997</v>
      </c>
      <c r="Y20" s="11">
        <v>32.36</v>
      </c>
      <c r="Z20" s="7">
        <v>19504</v>
      </c>
      <c r="AA20" s="6">
        <v>44.838356164383562</v>
      </c>
      <c r="AB20" s="10">
        <v>35849</v>
      </c>
      <c r="AC20" s="39" t="s">
        <v>222</v>
      </c>
      <c r="AD20" s="2">
        <v>1</v>
      </c>
      <c r="AE20" s="2" t="s">
        <v>37</v>
      </c>
      <c r="AF20" s="2">
        <v>1</v>
      </c>
      <c r="AG20" s="2">
        <v>15</v>
      </c>
      <c r="AH20" s="2">
        <v>33</v>
      </c>
      <c r="AI20" s="2">
        <v>0</v>
      </c>
      <c r="AJ20" s="2" t="s">
        <v>31</v>
      </c>
      <c r="AK20" s="2">
        <v>0</v>
      </c>
      <c r="AM20" s="2">
        <v>1</v>
      </c>
      <c r="AN20" s="41">
        <v>30</v>
      </c>
      <c r="AO20" s="2">
        <v>1</v>
      </c>
      <c r="AP20" s="41">
        <v>60</v>
      </c>
      <c r="AQ20" s="2">
        <v>1</v>
      </c>
      <c r="AR20" s="12">
        <v>0.05</v>
      </c>
      <c r="AS20" s="8">
        <f t="shared" si="0"/>
        <v>5</v>
      </c>
      <c r="AT20" s="12" t="s">
        <v>27</v>
      </c>
      <c r="AU20" s="8">
        <v>1</v>
      </c>
      <c r="AV20" s="12" t="s">
        <v>27</v>
      </c>
      <c r="AW20" s="29" t="s">
        <v>28</v>
      </c>
      <c r="AX20" s="9">
        <v>0</v>
      </c>
      <c r="AY20" s="11">
        <v>-0.13227412159265084</v>
      </c>
      <c r="AZ20" s="2" t="s">
        <v>38</v>
      </c>
      <c r="BA20" s="2">
        <v>3</v>
      </c>
    </row>
    <row r="21" spans="1:53" s="2" customFormat="1">
      <c r="A21" s="1">
        <v>20</v>
      </c>
      <c r="B21" s="2" t="s">
        <v>23</v>
      </c>
      <c r="C21" s="1" t="s">
        <v>57</v>
      </c>
      <c r="D21" s="1">
        <v>25.6</v>
      </c>
      <c r="E21" s="1">
        <v>27.94</v>
      </c>
      <c r="F21" s="1">
        <v>31.27</v>
      </c>
      <c r="G21" s="1">
        <v>34.94</v>
      </c>
      <c r="H21" s="11">
        <v>32.630000000000003</v>
      </c>
      <c r="I21" s="11">
        <v>26.88</v>
      </c>
      <c r="J21" s="11">
        <v>33.369999999999997</v>
      </c>
      <c r="K21" s="11">
        <v>33.409999999999997</v>
      </c>
      <c r="L21" s="11">
        <v>30.3</v>
      </c>
      <c r="M21" s="11">
        <v>32.31</v>
      </c>
      <c r="N21" s="11">
        <v>34.61</v>
      </c>
      <c r="O21" s="11">
        <v>32.6</v>
      </c>
      <c r="P21" s="11">
        <v>30.46</v>
      </c>
      <c r="Q21" s="11">
        <v>35.229999999999997</v>
      </c>
      <c r="R21" s="11">
        <v>32.28</v>
      </c>
      <c r="S21" s="11">
        <v>36.81</v>
      </c>
      <c r="T21" s="11">
        <v>32.75</v>
      </c>
      <c r="U21" s="11">
        <v>29.68</v>
      </c>
      <c r="V21" s="11">
        <v>28.87</v>
      </c>
      <c r="W21" s="11">
        <v>35.44</v>
      </c>
      <c r="X21" s="11">
        <v>45</v>
      </c>
      <c r="Y21" s="11">
        <v>33.29</v>
      </c>
      <c r="Z21" s="7">
        <v>12511</v>
      </c>
      <c r="AA21" s="6">
        <v>64.293150684931504</v>
      </c>
      <c r="AB21" s="10">
        <v>35928</v>
      </c>
      <c r="AC21" s="39" t="s">
        <v>225</v>
      </c>
      <c r="AE21" s="2" t="s">
        <v>37</v>
      </c>
      <c r="AF21" s="2">
        <v>1</v>
      </c>
      <c r="AG21" s="2">
        <v>11</v>
      </c>
      <c r="AH21" s="2">
        <v>21</v>
      </c>
      <c r="AI21" s="2">
        <v>0</v>
      </c>
      <c r="AJ21" s="2" t="s">
        <v>31</v>
      </c>
      <c r="AK21" s="2">
        <v>0</v>
      </c>
      <c r="AM21" s="2">
        <v>1</v>
      </c>
      <c r="AN21" s="41">
        <v>95</v>
      </c>
      <c r="AO21" s="2">
        <v>1</v>
      </c>
      <c r="AP21" s="41">
        <v>80</v>
      </c>
      <c r="AQ21" s="2" t="s">
        <v>28</v>
      </c>
      <c r="AR21" s="12">
        <v>0.15</v>
      </c>
      <c r="AS21" s="8">
        <f t="shared" si="0"/>
        <v>15</v>
      </c>
      <c r="AT21" s="12" t="s">
        <v>34</v>
      </c>
      <c r="AU21" s="8">
        <v>3</v>
      </c>
      <c r="AV21" s="8" t="s">
        <v>44</v>
      </c>
      <c r="AW21" s="29" t="s">
        <v>28</v>
      </c>
      <c r="AX21" s="9">
        <v>0</v>
      </c>
      <c r="AY21" s="11">
        <v>-1.3512543362965874</v>
      </c>
      <c r="AZ21" s="2" t="s">
        <v>35</v>
      </c>
      <c r="BA21" s="2">
        <v>1</v>
      </c>
    </row>
    <row r="22" spans="1:53" s="2" customFormat="1">
      <c r="A22" s="1">
        <v>21</v>
      </c>
      <c r="B22" s="2" t="s">
        <v>23</v>
      </c>
      <c r="C22" s="1" t="s">
        <v>58</v>
      </c>
      <c r="D22" s="1">
        <v>24.7</v>
      </c>
      <c r="E22" s="1">
        <v>26.52</v>
      </c>
      <c r="F22" s="1">
        <v>30.96</v>
      </c>
      <c r="G22" s="1">
        <v>45</v>
      </c>
      <c r="H22" s="11">
        <v>30.52</v>
      </c>
      <c r="I22" s="11">
        <v>26.9</v>
      </c>
      <c r="J22" s="11">
        <v>32.450000000000003</v>
      </c>
      <c r="K22" s="11">
        <v>32.65</v>
      </c>
      <c r="L22" s="11">
        <v>30.95</v>
      </c>
      <c r="M22" s="11">
        <v>33.119999999999997</v>
      </c>
      <c r="N22" s="11">
        <v>36.08</v>
      </c>
      <c r="O22" s="11">
        <v>33.65</v>
      </c>
      <c r="P22" s="11">
        <v>31.35</v>
      </c>
      <c r="Q22" s="11">
        <v>33.86</v>
      </c>
      <c r="R22" s="11">
        <v>32.21</v>
      </c>
      <c r="S22" s="11">
        <v>27.53</v>
      </c>
      <c r="T22" s="11">
        <v>31.19</v>
      </c>
      <c r="U22" s="11">
        <v>27.36</v>
      </c>
      <c r="V22" s="11">
        <v>30.47</v>
      </c>
      <c r="W22" s="11">
        <v>34.17</v>
      </c>
      <c r="X22" s="11">
        <v>33.92</v>
      </c>
      <c r="Y22" s="11">
        <v>32.479999999999997</v>
      </c>
      <c r="Z22" s="7">
        <v>11726</v>
      </c>
      <c r="AA22" s="6">
        <v>66.235616438356161</v>
      </c>
      <c r="AB22" s="10">
        <v>35879</v>
      </c>
      <c r="AC22" s="39" t="s">
        <v>222</v>
      </c>
      <c r="AD22" s="2">
        <v>1</v>
      </c>
      <c r="AE22" s="2" t="s">
        <v>37</v>
      </c>
      <c r="AF22" s="2">
        <v>1</v>
      </c>
      <c r="AG22" s="2">
        <v>4</v>
      </c>
      <c r="AH22" s="2">
        <v>10</v>
      </c>
      <c r="AI22" s="2">
        <v>0</v>
      </c>
      <c r="AJ22" s="2" t="s">
        <v>31</v>
      </c>
      <c r="AK22" s="2">
        <v>0</v>
      </c>
      <c r="AM22" s="2">
        <v>1</v>
      </c>
      <c r="AN22" s="41">
        <v>90</v>
      </c>
      <c r="AO22" s="2">
        <v>1</v>
      </c>
      <c r="AP22" s="41">
        <v>80</v>
      </c>
      <c r="AQ22" s="2" t="s">
        <v>28</v>
      </c>
      <c r="AR22" s="12">
        <v>0.08</v>
      </c>
      <c r="AS22" s="8">
        <f t="shared" si="0"/>
        <v>8</v>
      </c>
      <c r="AT22" s="12" t="s">
        <v>27</v>
      </c>
      <c r="AU22" s="8">
        <v>1</v>
      </c>
      <c r="AV22" s="12" t="s">
        <v>27</v>
      </c>
      <c r="AW22" s="29" t="s">
        <v>28</v>
      </c>
      <c r="AX22" s="9">
        <v>0</v>
      </c>
      <c r="AY22" s="11">
        <v>-1.1516546117981816</v>
      </c>
      <c r="AZ22" s="2" t="s">
        <v>35</v>
      </c>
      <c r="BA22" s="2">
        <v>1</v>
      </c>
    </row>
    <row r="23" spans="1:53" s="2" customFormat="1">
      <c r="A23" s="1">
        <v>22</v>
      </c>
      <c r="B23" s="2" t="s">
        <v>23</v>
      </c>
      <c r="C23" s="1" t="s">
        <v>59</v>
      </c>
      <c r="D23" s="1">
        <v>24.93</v>
      </c>
      <c r="E23" s="1">
        <v>25.61</v>
      </c>
      <c r="F23" s="1">
        <v>30.58</v>
      </c>
      <c r="G23" s="1">
        <v>37.049999999999997</v>
      </c>
      <c r="H23" s="11">
        <v>31.38</v>
      </c>
      <c r="I23" s="11">
        <v>25.49</v>
      </c>
      <c r="J23" s="11">
        <v>31.42</v>
      </c>
      <c r="K23" s="11">
        <v>30.67</v>
      </c>
      <c r="L23" s="11">
        <v>31.5</v>
      </c>
      <c r="M23" s="11">
        <v>29.16</v>
      </c>
      <c r="N23" s="11">
        <v>33.43</v>
      </c>
      <c r="O23" s="11">
        <v>30.85</v>
      </c>
      <c r="P23" s="11">
        <v>30.2</v>
      </c>
      <c r="Q23" s="11">
        <v>31.6</v>
      </c>
      <c r="R23" s="11">
        <v>31.32</v>
      </c>
      <c r="S23" s="11">
        <v>30.1</v>
      </c>
      <c r="T23" s="11">
        <v>33.020000000000003</v>
      </c>
      <c r="U23" s="11">
        <v>27.78</v>
      </c>
      <c r="V23" s="11">
        <v>29.03</v>
      </c>
      <c r="W23" s="11">
        <v>35.24</v>
      </c>
      <c r="X23" s="11">
        <v>30.55</v>
      </c>
      <c r="Y23" s="11">
        <v>32.229999999999997</v>
      </c>
      <c r="Z23" s="7">
        <v>8232</v>
      </c>
      <c r="AA23" s="6">
        <v>75.980821917808214</v>
      </c>
      <c r="AB23" s="10">
        <v>35940</v>
      </c>
      <c r="AC23" s="39" t="s">
        <v>222</v>
      </c>
      <c r="AD23" s="2">
        <v>1</v>
      </c>
      <c r="AE23" s="2" t="s">
        <v>25</v>
      </c>
      <c r="AF23" s="2">
        <v>2</v>
      </c>
      <c r="AG23" s="2">
        <v>21</v>
      </c>
      <c r="AH23" s="2">
        <v>30</v>
      </c>
      <c r="AI23" s="2">
        <v>0</v>
      </c>
      <c r="AJ23" s="2" t="s">
        <v>31</v>
      </c>
      <c r="AK23" s="2">
        <v>0</v>
      </c>
      <c r="AM23" s="2">
        <v>1</v>
      </c>
      <c r="AN23" s="41">
        <v>80</v>
      </c>
      <c r="AO23" s="2">
        <v>1</v>
      </c>
      <c r="AP23" s="41">
        <v>40</v>
      </c>
      <c r="AQ23" s="2">
        <v>2</v>
      </c>
      <c r="AR23" s="12">
        <v>0.15</v>
      </c>
      <c r="AS23" s="8">
        <f t="shared" si="0"/>
        <v>15</v>
      </c>
      <c r="AT23" s="12" t="s">
        <v>34</v>
      </c>
      <c r="AU23" s="8">
        <v>3</v>
      </c>
      <c r="AV23" s="8" t="s">
        <v>44</v>
      </c>
      <c r="AW23" s="29" t="s">
        <v>28</v>
      </c>
      <c r="AX23" s="9">
        <v>0</v>
      </c>
      <c r="AY23" s="11">
        <v>0.17826810770122181</v>
      </c>
      <c r="AZ23" s="2" t="s">
        <v>38</v>
      </c>
      <c r="BA23" s="2">
        <v>3</v>
      </c>
    </row>
    <row r="24" spans="1:53" s="2" customFormat="1">
      <c r="A24" s="1">
        <v>23</v>
      </c>
      <c r="B24" s="2" t="s">
        <v>23</v>
      </c>
      <c r="C24" s="1" t="s">
        <v>60</v>
      </c>
      <c r="D24" s="1">
        <v>23.92</v>
      </c>
      <c r="E24" s="1">
        <v>27.62</v>
      </c>
      <c r="F24" s="1">
        <v>31.93</v>
      </c>
      <c r="G24" s="1">
        <v>45</v>
      </c>
      <c r="H24" s="11">
        <v>34.72</v>
      </c>
      <c r="I24" s="11">
        <v>26.59</v>
      </c>
      <c r="J24" s="11">
        <v>35.130000000000003</v>
      </c>
      <c r="K24" s="11">
        <v>34.590000000000003</v>
      </c>
      <c r="L24" s="11">
        <v>33.03</v>
      </c>
      <c r="M24" s="11">
        <v>32.119999999999997</v>
      </c>
      <c r="N24" s="11">
        <v>35.74</v>
      </c>
      <c r="O24" s="11">
        <v>31.89</v>
      </c>
      <c r="P24" s="11">
        <v>31.77</v>
      </c>
      <c r="Q24" s="11">
        <v>34.93</v>
      </c>
      <c r="R24" s="11">
        <v>32.549999999999997</v>
      </c>
      <c r="S24" s="11">
        <v>34.14</v>
      </c>
      <c r="T24" s="11">
        <v>34.729999999999997</v>
      </c>
      <c r="U24" s="11">
        <v>31.02</v>
      </c>
      <c r="V24" s="11">
        <v>35.229999999999997</v>
      </c>
      <c r="W24" s="11">
        <v>36.29</v>
      </c>
      <c r="X24" s="11">
        <v>33.799999999999997</v>
      </c>
      <c r="Y24" s="11">
        <v>32.64</v>
      </c>
      <c r="Z24" s="7">
        <v>18558</v>
      </c>
      <c r="AA24" s="6">
        <v>47.665753424657531</v>
      </c>
      <c r="AB24" s="10">
        <v>35935</v>
      </c>
      <c r="AC24" s="39" t="s">
        <v>222</v>
      </c>
      <c r="AD24" s="2">
        <v>1</v>
      </c>
      <c r="AE24" s="2" t="s">
        <v>25</v>
      </c>
      <c r="AF24" s="2">
        <v>2</v>
      </c>
      <c r="AG24" s="2">
        <v>35</v>
      </c>
      <c r="AH24" s="2">
        <v>34</v>
      </c>
      <c r="AI24" s="2">
        <v>12</v>
      </c>
      <c r="AJ24" s="2" t="s">
        <v>61</v>
      </c>
      <c r="AK24" s="2">
        <v>3</v>
      </c>
      <c r="AM24" s="2">
        <v>1</v>
      </c>
      <c r="AN24" s="41">
        <v>40</v>
      </c>
      <c r="AO24" s="2">
        <v>2</v>
      </c>
      <c r="AP24" s="41" t="s">
        <v>33</v>
      </c>
      <c r="AQ24" s="2">
        <v>2</v>
      </c>
      <c r="AR24" s="12">
        <v>0.5</v>
      </c>
      <c r="AS24" s="8">
        <f t="shared" si="0"/>
        <v>50</v>
      </c>
      <c r="AT24" s="12" t="s">
        <v>34</v>
      </c>
      <c r="AU24" s="8">
        <v>3</v>
      </c>
      <c r="AV24" s="8" t="s">
        <v>34</v>
      </c>
      <c r="AW24" s="29" t="s">
        <v>28</v>
      </c>
      <c r="AX24" s="9">
        <v>0</v>
      </c>
      <c r="AY24" s="11">
        <v>-0.56326585755048786</v>
      </c>
      <c r="AZ24" s="2" t="s">
        <v>29</v>
      </c>
      <c r="BA24" s="2">
        <v>2</v>
      </c>
    </row>
    <row r="25" spans="1:53" s="2" customFormat="1">
      <c r="A25" s="1">
        <v>24</v>
      </c>
      <c r="B25" s="2" t="s">
        <v>23</v>
      </c>
      <c r="C25" s="1" t="s">
        <v>62</v>
      </c>
      <c r="D25" s="1">
        <v>22.72</v>
      </c>
      <c r="E25" s="1">
        <v>23.55</v>
      </c>
      <c r="F25" s="1">
        <v>28.85</v>
      </c>
      <c r="G25" s="1">
        <v>32.979999999999997</v>
      </c>
      <c r="H25" s="11">
        <v>29.49</v>
      </c>
      <c r="I25" s="11">
        <v>23.59</v>
      </c>
      <c r="J25" s="11">
        <v>29.11</v>
      </c>
      <c r="K25" s="11">
        <v>30.72</v>
      </c>
      <c r="L25" s="11">
        <v>29.64</v>
      </c>
      <c r="M25" s="11">
        <v>28.58</v>
      </c>
      <c r="N25" s="11">
        <v>32.590000000000003</v>
      </c>
      <c r="O25" s="11">
        <v>28.99</v>
      </c>
      <c r="P25" s="11">
        <v>27.68</v>
      </c>
      <c r="Q25" s="11">
        <v>31.3</v>
      </c>
      <c r="R25" s="11">
        <v>29.19</v>
      </c>
      <c r="S25" s="11">
        <v>30.58</v>
      </c>
      <c r="T25" s="11">
        <v>30.27</v>
      </c>
      <c r="U25" s="11">
        <v>26.15</v>
      </c>
      <c r="V25" s="11">
        <v>27.73</v>
      </c>
      <c r="W25" s="11">
        <v>32.020000000000003</v>
      </c>
      <c r="X25" s="11">
        <v>28.64</v>
      </c>
      <c r="Y25" s="11">
        <v>29.49</v>
      </c>
      <c r="Z25" s="7">
        <v>11043</v>
      </c>
      <c r="AA25" s="6">
        <v>67.887671232876713</v>
      </c>
      <c r="AB25" s="10">
        <v>35745</v>
      </c>
      <c r="AC25" s="39" t="s">
        <v>225</v>
      </c>
      <c r="AE25" s="2" t="s">
        <v>25</v>
      </c>
      <c r="AF25" s="2">
        <v>2</v>
      </c>
      <c r="AG25" s="2">
        <v>22</v>
      </c>
      <c r="AH25" s="2">
        <v>15</v>
      </c>
      <c r="AI25" s="2">
        <v>0</v>
      </c>
      <c r="AJ25" s="2" t="s">
        <v>31</v>
      </c>
      <c r="AK25" s="2">
        <v>0</v>
      </c>
      <c r="AM25" s="2">
        <v>1</v>
      </c>
      <c r="AN25" s="41">
        <v>90</v>
      </c>
      <c r="AO25" s="2">
        <v>1</v>
      </c>
      <c r="AP25" s="41">
        <v>50</v>
      </c>
      <c r="AQ25" s="2" t="s">
        <v>28</v>
      </c>
      <c r="AR25" s="12">
        <v>0.2</v>
      </c>
      <c r="AS25" s="8">
        <f t="shared" si="0"/>
        <v>20</v>
      </c>
      <c r="AT25" s="12" t="s">
        <v>34</v>
      </c>
      <c r="AU25" s="8">
        <v>3</v>
      </c>
      <c r="AV25" s="8" t="s">
        <v>44</v>
      </c>
      <c r="AW25" s="29" t="s">
        <v>28</v>
      </c>
      <c r="AX25" s="9">
        <v>0</v>
      </c>
      <c r="AY25" s="11">
        <v>-0.7682151658661267</v>
      </c>
      <c r="AZ25" s="2" t="s">
        <v>29</v>
      </c>
      <c r="BA25" s="2">
        <v>2</v>
      </c>
    </row>
    <row r="26" spans="1:53" s="2" customFormat="1">
      <c r="A26" s="1">
        <v>25</v>
      </c>
      <c r="B26" s="2" t="s">
        <v>23</v>
      </c>
      <c r="C26" s="1" t="s">
        <v>46</v>
      </c>
      <c r="D26" s="1">
        <v>23.48</v>
      </c>
      <c r="E26" s="1">
        <v>26.17</v>
      </c>
      <c r="F26" s="1">
        <v>30.44</v>
      </c>
      <c r="G26" s="1">
        <v>35.520000000000003</v>
      </c>
      <c r="H26" s="11">
        <v>31.43</v>
      </c>
      <c r="I26" s="11">
        <v>26.6</v>
      </c>
      <c r="J26" s="11">
        <v>30.8</v>
      </c>
      <c r="K26" s="11">
        <v>33.9</v>
      </c>
      <c r="L26" s="11">
        <v>32.33</v>
      </c>
      <c r="M26" s="11">
        <v>29.19</v>
      </c>
      <c r="N26" s="11">
        <v>36.78</v>
      </c>
      <c r="O26" s="11">
        <v>32.71</v>
      </c>
      <c r="P26" s="11">
        <v>30.84</v>
      </c>
      <c r="Q26" s="11">
        <v>34.61</v>
      </c>
      <c r="R26" s="11">
        <v>32.86</v>
      </c>
      <c r="S26" s="11">
        <v>34.17</v>
      </c>
      <c r="T26" s="11">
        <v>37</v>
      </c>
      <c r="U26" s="11">
        <v>28.35</v>
      </c>
      <c r="V26" s="11">
        <v>30.23</v>
      </c>
      <c r="W26" s="11">
        <v>45</v>
      </c>
      <c r="X26" s="11">
        <v>31.9</v>
      </c>
      <c r="Y26" s="11">
        <v>33</v>
      </c>
      <c r="Z26" s="7">
        <v>6194</v>
      </c>
      <c r="AA26" s="6">
        <v>81.498630136986307</v>
      </c>
      <c r="AB26" s="10">
        <v>35886</v>
      </c>
      <c r="AC26" s="39" t="s">
        <v>222</v>
      </c>
      <c r="AD26" s="2">
        <v>1</v>
      </c>
      <c r="AE26" s="2" t="s">
        <v>37</v>
      </c>
      <c r="AF26" s="2">
        <v>1</v>
      </c>
      <c r="AG26" s="2">
        <v>18</v>
      </c>
      <c r="AH26" s="2">
        <v>9</v>
      </c>
      <c r="AI26" s="2">
        <v>0</v>
      </c>
      <c r="AJ26" s="2" t="s">
        <v>31</v>
      </c>
      <c r="AK26" s="2">
        <v>0</v>
      </c>
      <c r="AM26" s="2">
        <v>1</v>
      </c>
      <c r="AN26" s="41">
        <v>70</v>
      </c>
      <c r="AO26" s="2">
        <v>1</v>
      </c>
      <c r="AP26" s="41">
        <v>50</v>
      </c>
      <c r="AQ26" s="2">
        <v>2</v>
      </c>
      <c r="AR26" s="12">
        <v>0.1</v>
      </c>
      <c r="AS26" s="8">
        <f t="shared" si="0"/>
        <v>10</v>
      </c>
      <c r="AT26" s="12" t="s">
        <v>27</v>
      </c>
      <c r="AU26" s="8">
        <v>1</v>
      </c>
      <c r="AV26" s="12" t="s">
        <v>27</v>
      </c>
      <c r="AW26" s="29" t="s">
        <v>28</v>
      </c>
      <c r="AX26" s="9">
        <v>0</v>
      </c>
      <c r="AY26" s="11">
        <v>-1.4011828292500801</v>
      </c>
      <c r="AZ26" s="2" t="s">
        <v>35</v>
      </c>
      <c r="BA26" s="2">
        <v>1</v>
      </c>
    </row>
    <row r="27" spans="1:53" s="2" customFormat="1">
      <c r="A27" s="1">
        <v>26</v>
      </c>
      <c r="B27" s="2" t="s">
        <v>23</v>
      </c>
      <c r="C27" s="1" t="s">
        <v>63</v>
      </c>
      <c r="D27" s="1">
        <v>24.51</v>
      </c>
      <c r="E27" s="1">
        <v>27.19</v>
      </c>
      <c r="F27" s="1">
        <v>31.33</v>
      </c>
      <c r="G27" s="1">
        <v>35.15</v>
      </c>
      <c r="H27" s="11">
        <v>31.86</v>
      </c>
      <c r="I27" s="11">
        <v>26.47</v>
      </c>
      <c r="J27" s="11">
        <v>32.67</v>
      </c>
      <c r="K27" s="11">
        <v>34.450000000000003</v>
      </c>
      <c r="L27" s="11">
        <v>32.909999999999997</v>
      </c>
      <c r="M27" s="11">
        <v>33.22</v>
      </c>
      <c r="N27" s="11">
        <v>38.65</v>
      </c>
      <c r="O27" s="11">
        <v>31.81</v>
      </c>
      <c r="P27" s="11">
        <v>32.020000000000003</v>
      </c>
      <c r="Q27" s="11">
        <v>35.83</v>
      </c>
      <c r="R27" s="11">
        <v>32.24</v>
      </c>
      <c r="S27" s="11">
        <v>32.270000000000003</v>
      </c>
      <c r="T27" s="11">
        <v>34.869999999999997</v>
      </c>
      <c r="U27" s="11">
        <v>29.39</v>
      </c>
      <c r="V27" s="11">
        <v>30.95</v>
      </c>
      <c r="W27" s="11">
        <v>35.979999999999997</v>
      </c>
      <c r="X27" s="11">
        <v>35.28</v>
      </c>
      <c r="Y27" s="11">
        <v>33.29</v>
      </c>
      <c r="Z27" s="7">
        <v>7774</v>
      </c>
      <c r="AA27" s="6">
        <v>77.041095890410958</v>
      </c>
      <c r="AB27" s="10">
        <v>35866</v>
      </c>
      <c r="AC27" s="39" t="s">
        <v>222</v>
      </c>
      <c r="AD27" s="2">
        <v>1</v>
      </c>
      <c r="AE27" s="2" t="s">
        <v>37</v>
      </c>
      <c r="AF27" s="2">
        <v>1</v>
      </c>
      <c r="AG27" s="2">
        <v>18</v>
      </c>
      <c r="AH27" s="2" t="s">
        <v>28</v>
      </c>
      <c r="AI27" s="2" t="s">
        <v>64</v>
      </c>
      <c r="AJ27" s="2" t="s">
        <v>47</v>
      </c>
      <c r="AK27" s="2">
        <v>2</v>
      </c>
      <c r="AM27" s="2">
        <v>1</v>
      </c>
      <c r="AN27" s="41">
        <v>90</v>
      </c>
      <c r="AO27" s="2">
        <v>2</v>
      </c>
      <c r="AP27" s="41" t="s">
        <v>33</v>
      </c>
      <c r="AQ27" s="2">
        <v>2</v>
      </c>
      <c r="AR27" s="12">
        <v>1</v>
      </c>
      <c r="AS27" s="8">
        <f t="shared" si="0"/>
        <v>100</v>
      </c>
      <c r="AT27" s="12" t="s">
        <v>34</v>
      </c>
      <c r="AU27" s="8">
        <v>3</v>
      </c>
      <c r="AV27" s="8" t="s">
        <v>34</v>
      </c>
      <c r="AW27" s="29" t="s">
        <v>28</v>
      </c>
      <c r="AX27" s="9">
        <v>0</v>
      </c>
      <c r="AY27" s="11">
        <v>-1.31135350948191</v>
      </c>
      <c r="AZ27" s="2" t="s">
        <v>35</v>
      </c>
      <c r="BA27" s="2">
        <v>1</v>
      </c>
    </row>
    <row r="28" spans="1:53" s="2" customFormat="1">
      <c r="A28" s="1">
        <v>27</v>
      </c>
      <c r="B28" s="2" t="s">
        <v>23</v>
      </c>
      <c r="C28" s="1" t="s">
        <v>65</v>
      </c>
      <c r="D28" s="1">
        <v>25.33</v>
      </c>
      <c r="E28" s="1">
        <v>26.31</v>
      </c>
      <c r="F28" s="1">
        <v>31.32</v>
      </c>
      <c r="G28" s="1">
        <v>34.869999999999997</v>
      </c>
      <c r="H28" s="11">
        <v>33.619999999999997</v>
      </c>
      <c r="I28" s="11">
        <v>25.7</v>
      </c>
      <c r="J28" s="11">
        <v>32.47</v>
      </c>
      <c r="K28" s="11">
        <v>34.15</v>
      </c>
      <c r="L28" s="11">
        <v>33.85</v>
      </c>
      <c r="M28" s="11">
        <v>31.12</v>
      </c>
      <c r="N28" s="11">
        <v>36.630000000000003</v>
      </c>
      <c r="O28" s="11">
        <v>31.05</v>
      </c>
      <c r="P28" s="11">
        <v>29.47</v>
      </c>
      <c r="Q28" s="11">
        <v>34.700000000000003</v>
      </c>
      <c r="R28" s="11">
        <v>31.63</v>
      </c>
      <c r="S28" s="11">
        <v>33.81</v>
      </c>
      <c r="T28" s="11">
        <v>32.979999999999997</v>
      </c>
      <c r="U28" s="11">
        <v>30.43</v>
      </c>
      <c r="V28" s="11">
        <v>29.39</v>
      </c>
      <c r="W28" s="11">
        <v>34.46</v>
      </c>
      <c r="X28" s="11">
        <v>32.409999999999997</v>
      </c>
      <c r="Y28" s="11">
        <v>32.93</v>
      </c>
      <c r="Z28" s="7">
        <v>20392</v>
      </c>
      <c r="AA28" s="6">
        <v>42.271232876712325</v>
      </c>
      <c r="AB28" s="10">
        <v>35782</v>
      </c>
      <c r="AC28" s="39" t="s">
        <v>225</v>
      </c>
      <c r="AE28" s="2" t="s">
        <v>37</v>
      </c>
      <c r="AF28" s="2">
        <v>1</v>
      </c>
      <c r="AG28" s="2">
        <v>18</v>
      </c>
      <c r="AH28" s="2">
        <v>28</v>
      </c>
      <c r="AI28" s="2">
        <v>1</v>
      </c>
      <c r="AJ28" s="2" t="s">
        <v>26</v>
      </c>
      <c r="AK28" s="2">
        <v>1</v>
      </c>
      <c r="AM28" s="2">
        <v>1</v>
      </c>
      <c r="AN28" s="41">
        <v>50</v>
      </c>
      <c r="AO28" s="2">
        <v>1</v>
      </c>
      <c r="AP28" s="41">
        <v>90</v>
      </c>
      <c r="AQ28" s="2">
        <v>1</v>
      </c>
      <c r="AR28" s="12">
        <v>0.1</v>
      </c>
      <c r="AS28" s="8">
        <f t="shared" si="0"/>
        <v>10</v>
      </c>
      <c r="AT28" s="12" t="s">
        <v>27</v>
      </c>
      <c r="AU28" s="8">
        <v>1</v>
      </c>
      <c r="AV28" s="12" t="s">
        <v>27</v>
      </c>
      <c r="AW28" s="29" t="s">
        <v>28</v>
      </c>
      <c r="AX28" s="9">
        <v>0</v>
      </c>
      <c r="AY28" s="11">
        <v>-0.23276862173979307</v>
      </c>
      <c r="AZ28" s="2" t="s">
        <v>29</v>
      </c>
      <c r="BA28" s="2">
        <v>2</v>
      </c>
    </row>
    <row r="29" spans="1:53" s="2" customFormat="1">
      <c r="A29" s="1">
        <v>28</v>
      </c>
      <c r="B29" s="2" t="s">
        <v>23</v>
      </c>
      <c r="C29" s="1" t="s">
        <v>66</v>
      </c>
      <c r="D29" s="1">
        <v>25.57</v>
      </c>
      <c r="E29" s="1">
        <v>29.17</v>
      </c>
      <c r="F29" s="1">
        <v>33.21</v>
      </c>
      <c r="G29" s="1">
        <v>36.24</v>
      </c>
      <c r="H29" s="11">
        <v>35.11</v>
      </c>
      <c r="I29" s="11">
        <v>28.64</v>
      </c>
      <c r="J29" s="11">
        <v>35.75</v>
      </c>
      <c r="K29" s="11">
        <v>35.81</v>
      </c>
      <c r="L29" s="11">
        <v>33.159999999999997</v>
      </c>
      <c r="M29" s="11">
        <v>34.49</v>
      </c>
      <c r="N29" s="11">
        <v>45</v>
      </c>
      <c r="O29" s="11">
        <v>34.39</v>
      </c>
      <c r="P29" s="11">
        <v>32.869999999999997</v>
      </c>
      <c r="Q29" s="11">
        <v>34.67</v>
      </c>
      <c r="R29" s="11">
        <v>38.24</v>
      </c>
      <c r="S29" s="11">
        <v>33.76</v>
      </c>
      <c r="T29" s="11">
        <v>34.39</v>
      </c>
      <c r="U29" s="11">
        <v>34.26</v>
      </c>
      <c r="V29" s="11">
        <v>32.08</v>
      </c>
      <c r="W29" s="11">
        <v>37.04</v>
      </c>
      <c r="X29" s="11">
        <v>35.47</v>
      </c>
      <c r="Y29" s="11">
        <v>35.76</v>
      </c>
      <c r="Z29" s="7">
        <v>8113</v>
      </c>
      <c r="AA29" s="6">
        <v>76.301369863013704</v>
      </c>
      <c r="AB29" s="10">
        <v>35922</v>
      </c>
      <c r="AC29" s="39" t="s">
        <v>222</v>
      </c>
      <c r="AD29" s="2">
        <v>1</v>
      </c>
      <c r="AE29" s="2" t="s">
        <v>25</v>
      </c>
      <c r="AF29" s="2">
        <v>2</v>
      </c>
      <c r="AG29" s="2">
        <v>24</v>
      </c>
      <c r="AH29" s="2">
        <v>10</v>
      </c>
      <c r="AI29" s="2">
        <v>0</v>
      </c>
      <c r="AJ29" s="2" t="s">
        <v>31</v>
      </c>
      <c r="AK29" s="2">
        <v>0</v>
      </c>
      <c r="AM29" s="2">
        <v>1</v>
      </c>
      <c r="AN29" s="41">
        <v>80</v>
      </c>
      <c r="AO29" s="2">
        <v>1</v>
      </c>
      <c r="AP29" s="41">
        <v>35</v>
      </c>
      <c r="AQ29" s="2">
        <v>3</v>
      </c>
      <c r="AR29" s="12">
        <v>0.1</v>
      </c>
      <c r="AS29" s="8">
        <f t="shared" si="0"/>
        <v>10</v>
      </c>
      <c r="AT29" s="12" t="s">
        <v>27</v>
      </c>
      <c r="AU29" s="8">
        <v>1</v>
      </c>
      <c r="AV29" s="12" t="s">
        <v>27</v>
      </c>
      <c r="AW29" s="29" t="s">
        <v>28</v>
      </c>
      <c r="AX29" s="9">
        <v>0</v>
      </c>
      <c r="AY29" s="11">
        <v>0.95642796396651941</v>
      </c>
      <c r="AZ29" s="2" t="s">
        <v>38</v>
      </c>
      <c r="BA29" s="2">
        <v>3</v>
      </c>
    </row>
    <row r="30" spans="1:53" s="2" customFormat="1">
      <c r="A30" s="1">
        <v>29</v>
      </c>
      <c r="B30" s="2" t="s">
        <v>23</v>
      </c>
      <c r="C30" s="1" t="s">
        <v>67</v>
      </c>
      <c r="D30" s="1">
        <v>24.15</v>
      </c>
      <c r="E30" s="1">
        <v>26.64</v>
      </c>
      <c r="F30" s="1">
        <v>31.15</v>
      </c>
      <c r="G30" s="1">
        <v>34.97</v>
      </c>
      <c r="H30" s="11">
        <v>33.909999999999997</v>
      </c>
      <c r="I30" s="11">
        <v>26.27</v>
      </c>
      <c r="J30" s="11">
        <v>31.46</v>
      </c>
      <c r="K30" s="11">
        <v>33.159999999999997</v>
      </c>
      <c r="L30" s="11">
        <v>33.590000000000003</v>
      </c>
      <c r="M30" s="11">
        <v>29.66</v>
      </c>
      <c r="N30" s="11">
        <v>34.81</v>
      </c>
      <c r="O30" s="11">
        <v>31.08</v>
      </c>
      <c r="P30" s="11">
        <v>28.83</v>
      </c>
      <c r="Q30" s="11">
        <v>32.35</v>
      </c>
      <c r="R30" s="11">
        <v>31.43</v>
      </c>
      <c r="S30" s="11">
        <v>32.25</v>
      </c>
      <c r="T30" s="11">
        <v>31.84</v>
      </c>
      <c r="U30" s="11">
        <v>28.92</v>
      </c>
      <c r="V30" s="11">
        <v>28.99</v>
      </c>
      <c r="W30" s="11">
        <v>33.31</v>
      </c>
      <c r="X30" s="11">
        <v>30.98</v>
      </c>
      <c r="Y30" s="11">
        <v>32.26</v>
      </c>
      <c r="Z30" s="7">
        <v>7528</v>
      </c>
      <c r="AA30" s="6">
        <v>78.501369863013693</v>
      </c>
      <c r="AB30" s="10">
        <v>36147</v>
      </c>
      <c r="AC30" s="39" t="s">
        <v>224</v>
      </c>
      <c r="AD30" s="2">
        <v>2</v>
      </c>
      <c r="AE30" s="2" t="s">
        <v>37</v>
      </c>
      <c r="AF30" s="2">
        <v>1</v>
      </c>
      <c r="AG30" s="2">
        <v>13</v>
      </c>
      <c r="AH30" s="2">
        <v>10</v>
      </c>
      <c r="AI30" s="2">
        <v>0</v>
      </c>
      <c r="AJ30" s="2" t="s">
        <v>31</v>
      </c>
      <c r="AK30" s="2">
        <v>0</v>
      </c>
      <c r="AM30" s="2">
        <v>1</v>
      </c>
      <c r="AN30" s="41">
        <v>85</v>
      </c>
      <c r="AO30" s="2">
        <v>2</v>
      </c>
      <c r="AP30" s="41" t="s">
        <v>33</v>
      </c>
      <c r="AQ30" s="2">
        <v>2</v>
      </c>
      <c r="AR30" s="12">
        <v>0.15</v>
      </c>
      <c r="AS30" s="8">
        <f t="shared" si="0"/>
        <v>15</v>
      </c>
      <c r="AT30" s="12" t="s">
        <v>34</v>
      </c>
      <c r="AU30" s="8">
        <v>3</v>
      </c>
      <c r="AV30" s="8" t="s">
        <v>44</v>
      </c>
      <c r="AW30" s="29" t="s">
        <v>28</v>
      </c>
      <c r="AX30" s="9">
        <v>0</v>
      </c>
      <c r="AY30" s="11">
        <v>1.0286614058160466</v>
      </c>
      <c r="AZ30" s="2" t="s">
        <v>38</v>
      </c>
      <c r="BA30" s="2">
        <v>3</v>
      </c>
    </row>
    <row r="31" spans="1:53" s="2" customFormat="1">
      <c r="A31" s="1">
        <v>30</v>
      </c>
      <c r="B31" s="2" t="s">
        <v>23</v>
      </c>
      <c r="C31" s="1" t="s">
        <v>68</v>
      </c>
      <c r="D31" s="1">
        <v>22.44</v>
      </c>
      <c r="E31" s="1">
        <v>24.68</v>
      </c>
      <c r="F31" s="1">
        <v>30.56</v>
      </c>
      <c r="G31" s="1">
        <v>34.75</v>
      </c>
      <c r="H31" s="11">
        <v>31.83</v>
      </c>
      <c r="I31" s="11">
        <v>25.54</v>
      </c>
      <c r="J31" s="11">
        <v>32.14</v>
      </c>
      <c r="K31" s="11">
        <v>32.83</v>
      </c>
      <c r="L31" s="11">
        <v>29.31</v>
      </c>
      <c r="M31" s="11">
        <v>30.53</v>
      </c>
      <c r="N31" s="11">
        <v>34.090000000000003</v>
      </c>
      <c r="O31" s="11">
        <v>30.25</v>
      </c>
      <c r="P31" s="11">
        <v>30.28</v>
      </c>
      <c r="Q31" s="11">
        <v>31.03</v>
      </c>
      <c r="R31" s="11">
        <v>30.88</v>
      </c>
      <c r="S31" s="11">
        <v>31.91</v>
      </c>
      <c r="T31" s="11">
        <v>33.700000000000003</v>
      </c>
      <c r="U31" s="11">
        <v>29.86</v>
      </c>
      <c r="V31" s="11">
        <v>28.85</v>
      </c>
      <c r="W31" s="11">
        <v>36.380000000000003</v>
      </c>
      <c r="X31" s="11">
        <v>33.950000000000003</v>
      </c>
      <c r="Y31" s="11">
        <v>33.39</v>
      </c>
      <c r="Z31" s="7">
        <v>21047</v>
      </c>
      <c r="AA31" s="6">
        <v>41.961643835616435</v>
      </c>
      <c r="AB31" s="10">
        <v>36348</v>
      </c>
      <c r="AC31" s="39" t="s">
        <v>222</v>
      </c>
      <c r="AD31" s="2">
        <v>1</v>
      </c>
      <c r="AE31" s="2" t="s">
        <v>69</v>
      </c>
      <c r="AF31" s="2">
        <v>3</v>
      </c>
      <c r="AG31" s="2">
        <v>60</v>
      </c>
      <c r="AH31" s="2">
        <v>10</v>
      </c>
      <c r="AI31" s="2">
        <v>10</v>
      </c>
      <c r="AJ31" s="2" t="s">
        <v>47</v>
      </c>
      <c r="AK31" s="2">
        <v>2</v>
      </c>
      <c r="AM31" s="2">
        <v>2</v>
      </c>
      <c r="AN31" s="41" t="s">
        <v>33</v>
      </c>
      <c r="AO31" s="2">
        <v>2</v>
      </c>
      <c r="AP31" s="41" t="s">
        <v>33</v>
      </c>
      <c r="AQ31" s="2">
        <v>3</v>
      </c>
      <c r="AR31" s="12">
        <v>0.4</v>
      </c>
      <c r="AS31" s="8">
        <f t="shared" si="0"/>
        <v>40</v>
      </c>
      <c r="AT31" s="12" t="s">
        <v>34</v>
      </c>
      <c r="AU31" s="8">
        <v>3</v>
      </c>
      <c r="AV31" s="8" t="s">
        <v>34</v>
      </c>
      <c r="AW31" s="29" t="s">
        <v>28</v>
      </c>
      <c r="AX31" s="9">
        <v>0</v>
      </c>
      <c r="AY31" s="11">
        <v>0.89812998599269234</v>
      </c>
      <c r="AZ31" s="2" t="s">
        <v>38</v>
      </c>
      <c r="BA31" s="2">
        <v>3</v>
      </c>
    </row>
    <row r="32" spans="1:53" s="2" customFormat="1">
      <c r="A32" s="1">
        <v>31</v>
      </c>
      <c r="B32" s="2" t="s">
        <v>23</v>
      </c>
      <c r="C32" s="1" t="s">
        <v>70</v>
      </c>
      <c r="D32" s="1">
        <v>24.98</v>
      </c>
      <c r="E32" s="1">
        <v>29.06</v>
      </c>
      <c r="F32" s="1">
        <v>31.77</v>
      </c>
      <c r="G32" s="1">
        <v>45</v>
      </c>
      <c r="H32" s="11">
        <v>33.31</v>
      </c>
      <c r="I32" s="11">
        <v>29.67</v>
      </c>
      <c r="J32" s="11">
        <v>32.119999999999997</v>
      </c>
      <c r="K32" s="11">
        <v>45</v>
      </c>
      <c r="L32" s="11">
        <v>30.12</v>
      </c>
      <c r="M32" s="11">
        <v>32.36</v>
      </c>
      <c r="N32" s="11">
        <v>36.380000000000003</v>
      </c>
      <c r="O32" s="11">
        <v>30.79</v>
      </c>
      <c r="P32" s="11">
        <v>33.770000000000003</v>
      </c>
      <c r="Q32" s="11">
        <v>33.19</v>
      </c>
      <c r="R32" s="11">
        <v>30.89</v>
      </c>
      <c r="S32" s="11">
        <v>33.619999999999997</v>
      </c>
      <c r="T32" s="11">
        <v>45</v>
      </c>
      <c r="U32" s="11">
        <v>31.56</v>
      </c>
      <c r="V32" s="11">
        <v>29.65</v>
      </c>
      <c r="W32" s="11">
        <v>45</v>
      </c>
      <c r="X32" s="11">
        <v>35.71</v>
      </c>
      <c r="Y32" s="11">
        <v>34.049999999999997</v>
      </c>
      <c r="Z32" s="7">
        <v>10526</v>
      </c>
      <c r="AA32" s="6">
        <v>70.860273972602741</v>
      </c>
      <c r="AB32" s="10">
        <v>36342</v>
      </c>
      <c r="AC32" s="39" t="s">
        <v>231</v>
      </c>
      <c r="AE32" s="2" t="s">
        <v>37</v>
      </c>
      <c r="AF32" s="2">
        <v>1</v>
      </c>
      <c r="AG32" s="2">
        <v>15</v>
      </c>
      <c r="AH32" s="2">
        <v>35</v>
      </c>
      <c r="AI32" s="2">
        <v>0</v>
      </c>
      <c r="AJ32" s="2" t="s">
        <v>31</v>
      </c>
      <c r="AK32" s="2">
        <v>0</v>
      </c>
      <c r="AM32" s="2">
        <v>1</v>
      </c>
      <c r="AN32" s="41">
        <v>95</v>
      </c>
      <c r="AO32" s="2">
        <v>1</v>
      </c>
      <c r="AP32" s="41">
        <v>70</v>
      </c>
      <c r="AQ32" s="2">
        <v>1</v>
      </c>
      <c r="AR32" s="12">
        <v>0.25</v>
      </c>
      <c r="AS32" s="8">
        <f t="shared" si="0"/>
        <v>25</v>
      </c>
      <c r="AT32" s="12" t="s">
        <v>34</v>
      </c>
      <c r="AU32" s="8">
        <v>3</v>
      </c>
      <c r="AV32" s="8" t="s">
        <v>44</v>
      </c>
      <c r="AW32" s="29" t="s">
        <v>28</v>
      </c>
      <c r="AX32" s="9">
        <v>0</v>
      </c>
      <c r="AY32" s="11">
        <v>-0.10102367067491924</v>
      </c>
      <c r="AZ32" s="2" t="s">
        <v>38</v>
      </c>
      <c r="BA32" s="2">
        <v>3</v>
      </c>
    </row>
    <row r="33" spans="1:53" s="2" customFormat="1">
      <c r="A33" s="1">
        <v>32</v>
      </c>
      <c r="B33" s="2" t="s">
        <v>23</v>
      </c>
      <c r="C33" s="1" t="s">
        <v>71</v>
      </c>
      <c r="D33" s="1">
        <v>23.16</v>
      </c>
      <c r="E33" s="1">
        <v>25.11</v>
      </c>
      <c r="F33" s="1">
        <v>30.02</v>
      </c>
      <c r="G33" s="1">
        <v>45</v>
      </c>
      <c r="H33" s="11">
        <v>32.39</v>
      </c>
      <c r="I33" s="11">
        <v>25.66</v>
      </c>
      <c r="J33" s="11">
        <v>30.66</v>
      </c>
      <c r="K33" s="11">
        <v>33.32</v>
      </c>
      <c r="L33" s="11">
        <v>29.18</v>
      </c>
      <c r="M33" s="11">
        <v>30.4</v>
      </c>
      <c r="N33" s="11">
        <v>34.549999999999997</v>
      </c>
      <c r="O33" s="11">
        <v>30.41</v>
      </c>
      <c r="P33" s="11">
        <v>30.05</v>
      </c>
      <c r="Q33" s="11">
        <v>31.03</v>
      </c>
      <c r="R33" s="11">
        <v>30.75</v>
      </c>
      <c r="S33" s="11">
        <v>31.01</v>
      </c>
      <c r="T33" s="11">
        <v>32.67</v>
      </c>
      <c r="U33" s="11">
        <v>29.65</v>
      </c>
      <c r="V33" s="11">
        <v>29.91</v>
      </c>
      <c r="W33" s="11">
        <v>34.68</v>
      </c>
      <c r="X33" s="11">
        <v>31.17</v>
      </c>
      <c r="Y33" s="11">
        <v>31.71</v>
      </c>
      <c r="Z33" s="7">
        <v>17205</v>
      </c>
      <c r="AA33" s="6">
        <v>52.43013698630137</v>
      </c>
      <c r="AB33" s="10">
        <v>36301</v>
      </c>
      <c r="AC33" s="39" t="s">
        <v>227</v>
      </c>
      <c r="AE33" s="2" t="s">
        <v>25</v>
      </c>
      <c r="AF33" s="2">
        <v>2</v>
      </c>
      <c r="AG33" s="2">
        <v>24</v>
      </c>
      <c r="AH33" s="2">
        <v>24</v>
      </c>
      <c r="AI33" s="2">
        <v>0</v>
      </c>
      <c r="AJ33" s="2" t="s">
        <v>31</v>
      </c>
      <c r="AK33" s="2">
        <v>0</v>
      </c>
      <c r="AM33" s="2">
        <v>2</v>
      </c>
      <c r="AN33" s="41" t="s">
        <v>33</v>
      </c>
      <c r="AO33" s="2">
        <v>2</v>
      </c>
      <c r="AP33" s="41" t="s">
        <v>33</v>
      </c>
      <c r="AQ33" s="2" t="s">
        <v>28</v>
      </c>
      <c r="AR33" s="12">
        <v>0.9</v>
      </c>
      <c r="AS33" s="8">
        <f t="shared" si="0"/>
        <v>90</v>
      </c>
      <c r="AT33" s="12" t="s">
        <v>34</v>
      </c>
      <c r="AU33" s="8">
        <v>3</v>
      </c>
      <c r="AV33" s="8" t="s">
        <v>34</v>
      </c>
      <c r="AW33" s="29" t="s">
        <v>28</v>
      </c>
      <c r="AX33" s="9">
        <v>0</v>
      </c>
      <c r="AY33" s="11">
        <v>0.28968095173519082</v>
      </c>
      <c r="AZ33" s="2" t="s">
        <v>38</v>
      </c>
      <c r="BA33" s="2">
        <v>3</v>
      </c>
    </row>
    <row r="34" spans="1:53" s="2" customFormat="1">
      <c r="A34" s="1">
        <v>33</v>
      </c>
      <c r="B34" s="2" t="s">
        <v>23</v>
      </c>
      <c r="C34" s="1" t="s">
        <v>72</v>
      </c>
      <c r="D34" s="1">
        <v>24.58</v>
      </c>
      <c r="E34" s="1">
        <v>26.48</v>
      </c>
      <c r="F34" s="1">
        <v>31.28</v>
      </c>
      <c r="G34" s="1">
        <v>35.03</v>
      </c>
      <c r="H34" s="11">
        <v>32.64</v>
      </c>
      <c r="I34" s="11">
        <v>26.23</v>
      </c>
      <c r="J34" s="11">
        <v>33.44</v>
      </c>
      <c r="K34" s="11">
        <v>33.31</v>
      </c>
      <c r="L34" s="11">
        <v>34.53</v>
      </c>
      <c r="M34" s="11">
        <v>31.25</v>
      </c>
      <c r="N34" s="11">
        <v>35.42</v>
      </c>
      <c r="O34" s="11">
        <v>32.44</v>
      </c>
      <c r="P34" s="11">
        <v>30.52</v>
      </c>
      <c r="Q34" s="11">
        <v>33.67</v>
      </c>
      <c r="R34" s="11">
        <v>31.97</v>
      </c>
      <c r="S34" s="11">
        <v>35.17</v>
      </c>
      <c r="T34" s="11">
        <v>33.01</v>
      </c>
      <c r="U34" s="11">
        <v>29.94</v>
      </c>
      <c r="V34" s="11">
        <v>28.73</v>
      </c>
      <c r="W34" s="11">
        <v>35.450000000000003</v>
      </c>
      <c r="X34" s="11">
        <v>32.369999999999997</v>
      </c>
      <c r="Y34" s="11">
        <v>32.28</v>
      </c>
      <c r="Z34" s="7">
        <v>15283</v>
      </c>
      <c r="AA34" s="6">
        <v>57.673972602739724</v>
      </c>
      <c r="AB34" s="10">
        <v>36308</v>
      </c>
      <c r="AC34" s="39" t="s">
        <v>224</v>
      </c>
      <c r="AD34" s="2">
        <v>2</v>
      </c>
      <c r="AE34" s="2" t="s">
        <v>37</v>
      </c>
      <c r="AF34" s="2">
        <v>1</v>
      </c>
      <c r="AG34" s="2">
        <v>20</v>
      </c>
      <c r="AH34" s="2">
        <v>10</v>
      </c>
      <c r="AI34" s="2">
        <v>0</v>
      </c>
      <c r="AJ34" s="2" t="s">
        <v>31</v>
      </c>
      <c r="AK34" s="2">
        <v>0</v>
      </c>
      <c r="AM34" s="2">
        <v>2</v>
      </c>
      <c r="AN34" s="41" t="s">
        <v>33</v>
      </c>
      <c r="AO34" s="2">
        <v>1</v>
      </c>
      <c r="AP34" s="41">
        <v>50</v>
      </c>
      <c r="AQ34" s="2" t="s">
        <v>28</v>
      </c>
      <c r="AR34" s="12">
        <v>0.3</v>
      </c>
      <c r="AS34" s="8">
        <f t="shared" si="0"/>
        <v>30</v>
      </c>
      <c r="AT34" s="12" t="s">
        <v>34</v>
      </c>
      <c r="AU34" s="8">
        <v>3</v>
      </c>
      <c r="AV34" s="8" t="s">
        <v>34</v>
      </c>
      <c r="AW34" s="29" t="s">
        <v>28</v>
      </c>
      <c r="AX34" s="9">
        <v>0</v>
      </c>
      <c r="AY34" s="11">
        <v>-0.63630163200328704</v>
      </c>
      <c r="AZ34" s="2" t="s">
        <v>29</v>
      </c>
      <c r="BA34" s="2">
        <v>2</v>
      </c>
    </row>
    <row r="35" spans="1:53" s="2" customFormat="1">
      <c r="A35" s="1">
        <v>34</v>
      </c>
      <c r="B35" s="2" t="s">
        <v>23</v>
      </c>
      <c r="C35" s="1" t="s">
        <v>73</v>
      </c>
      <c r="D35" s="1">
        <v>23.81</v>
      </c>
      <c r="E35" s="1">
        <v>24.58</v>
      </c>
      <c r="F35" s="1">
        <v>30.15</v>
      </c>
      <c r="G35" s="1">
        <v>35.21</v>
      </c>
      <c r="H35" s="11">
        <v>30.98</v>
      </c>
      <c r="I35" s="11">
        <v>25.4</v>
      </c>
      <c r="J35" s="11">
        <v>30.76</v>
      </c>
      <c r="K35" s="11">
        <v>31.45</v>
      </c>
      <c r="L35" s="11">
        <v>33.119999999999997</v>
      </c>
      <c r="M35" s="11">
        <v>28.99</v>
      </c>
      <c r="N35" s="11">
        <v>33.68</v>
      </c>
      <c r="O35" s="11">
        <v>30.34</v>
      </c>
      <c r="P35" s="11">
        <v>28.47</v>
      </c>
      <c r="Q35" s="11">
        <v>33.11</v>
      </c>
      <c r="R35" s="11">
        <v>31.11</v>
      </c>
      <c r="S35" s="11">
        <v>33.119999999999997</v>
      </c>
      <c r="T35" s="11">
        <v>30.28</v>
      </c>
      <c r="U35" s="11">
        <v>28.23</v>
      </c>
      <c r="V35" s="11">
        <v>27.63</v>
      </c>
      <c r="W35" s="11">
        <v>32.96</v>
      </c>
      <c r="X35" s="11">
        <v>30.87</v>
      </c>
      <c r="Y35" s="11">
        <v>31.49</v>
      </c>
      <c r="Z35" s="7">
        <v>17572</v>
      </c>
      <c r="AA35" s="6">
        <v>51.424657534246577</v>
      </c>
      <c r="AB35" s="10">
        <v>36313</v>
      </c>
      <c r="AC35" s="39" t="s">
        <v>222</v>
      </c>
      <c r="AD35" s="2">
        <v>1</v>
      </c>
      <c r="AE35" s="2" t="s">
        <v>37</v>
      </c>
      <c r="AF35" s="2">
        <v>1</v>
      </c>
      <c r="AG35" s="2">
        <v>7</v>
      </c>
      <c r="AH35" s="2">
        <v>14</v>
      </c>
      <c r="AI35" s="2">
        <v>0</v>
      </c>
      <c r="AJ35" s="2" t="s">
        <v>31</v>
      </c>
      <c r="AK35" s="2">
        <v>0</v>
      </c>
      <c r="AM35" s="2">
        <v>1</v>
      </c>
      <c r="AN35" s="41">
        <v>70</v>
      </c>
      <c r="AO35" s="2">
        <v>1</v>
      </c>
      <c r="AP35" s="41">
        <v>25</v>
      </c>
      <c r="AQ35" s="2">
        <v>2</v>
      </c>
      <c r="AR35" s="12">
        <v>0.1</v>
      </c>
      <c r="AS35" s="8">
        <f t="shared" si="0"/>
        <v>10</v>
      </c>
      <c r="AT35" s="12" t="s">
        <v>27</v>
      </c>
      <c r="AU35" s="8">
        <v>1</v>
      </c>
      <c r="AV35" s="12" t="s">
        <v>27</v>
      </c>
      <c r="AW35" s="29" t="s">
        <v>28</v>
      </c>
      <c r="AX35" s="9">
        <v>0</v>
      </c>
      <c r="AY35" s="11">
        <v>-1.0834682836864105</v>
      </c>
      <c r="AZ35" s="2" t="s">
        <v>35</v>
      </c>
      <c r="BA35" s="2">
        <v>1</v>
      </c>
    </row>
    <row r="36" spans="1:53" s="2" customFormat="1">
      <c r="A36" s="1">
        <v>35</v>
      </c>
      <c r="B36" s="2" t="s">
        <v>23</v>
      </c>
      <c r="C36" s="1" t="s">
        <v>74</v>
      </c>
      <c r="D36" s="1">
        <v>24.42</v>
      </c>
      <c r="E36" s="1">
        <v>25.84</v>
      </c>
      <c r="F36" s="1">
        <v>30.42</v>
      </c>
      <c r="G36" s="1">
        <v>45</v>
      </c>
      <c r="H36" s="11">
        <v>31.56</v>
      </c>
      <c r="I36" s="11">
        <v>26.89</v>
      </c>
      <c r="J36" s="11">
        <v>31.99</v>
      </c>
      <c r="K36" s="11">
        <v>33.08</v>
      </c>
      <c r="L36" s="11">
        <v>33.630000000000003</v>
      </c>
      <c r="M36" s="11">
        <v>28.53</v>
      </c>
      <c r="N36" s="11">
        <v>35.270000000000003</v>
      </c>
      <c r="O36" s="11">
        <v>31.49</v>
      </c>
      <c r="P36" s="11">
        <v>30.14</v>
      </c>
      <c r="Q36" s="11">
        <v>33.46</v>
      </c>
      <c r="R36" s="11">
        <v>32.46</v>
      </c>
      <c r="S36" s="11">
        <v>30.83</v>
      </c>
      <c r="T36" s="11">
        <v>34.22</v>
      </c>
      <c r="U36" s="11">
        <v>29.73</v>
      </c>
      <c r="V36" s="11">
        <v>29.95</v>
      </c>
      <c r="W36" s="11">
        <v>35.729999999999997</v>
      </c>
      <c r="X36" s="11">
        <v>33.89</v>
      </c>
      <c r="Y36" s="11">
        <v>32.26</v>
      </c>
      <c r="Z36" s="7">
        <v>12237</v>
      </c>
      <c r="AA36" s="6">
        <v>66.191780821917803</v>
      </c>
      <c r="AB36" s="10">
        <v>36353</v>
      </c>
      <c r="AC36" s="39" t="s">
        <v>222</v>
      </c>
      <c r="AD36" s="2">
        <v>1</v>
      </c>
      <c r="AE36" s="2" t="s">
        <v>37</v>
      </c>
      <c r="AF36" s="2">
        <v>1</v>
      </c>
      <c r="AG36" s="2">
        <v>10</v>
      </c>
      <c r="AH36" s="2">
        <v>12</v>
      </c>
      <c r="AI36" s="2">
        <v>0</v>
      </c>
      <c r="AJ36" s="2" t="s">
        <v>31</v>
      </c>
      <c r="AK36" s="2">
        <v>0</v>
      </c>
      <c r="AM36" s="2">
        <v>1</v>
      </c>
      <c r="AN36" s="41">
        <v>90</v>
      </c>
      <c r="AO36" s="2">
        <v>1</v>
      </c>
      <c r="AP36" s="41">
        <v>60</v>
      </c>
      <c r="AQ36" s="2">
        <v>3</v>
      </c>
      <c r="AR36" s="12">
        <v>0.1</v>
      </c>
      <c r="AS36" s="8">
        <f t="shared" si="0"/>
        <v>10</v>
      </c>
      <c r="AT36" s="12" t="s">
        <v>27</v>
      </c>
      <c r="AU36" s="8">
        <v>1</v>
      </c>
      <c r="AV36" s="12" t="s">
        <v>27</v>
      </c>
      <c r="AW36" s="29" t="s">
        <v>28</v>
      </c>
      <c r="AX36" s="9">
        <v>0</v>
      </c>
      <c r="AY36" s="11">
        <v>-1.0337764205946929</v>
      </c>
      <c r="AZ36" s="2" t="s">
        <v>35</v>
      </c>
      <c r="BA36" s="2">
        <v>1</v>
      </c>
    </row>
    <row r="37" spans="1:53" s="2" customFormat="1">
      <c r="A37" s="1">
        <v>36</v>
      </c>
      <c r="B37" s="2" t="s">
        <v>23</v>
      </c>
      <c r="C37" s="1" t="s">
        <v>75</v>
      </c>
      <c r="D37" s="1">
        <v>23.55</v>
      </c>
      <c r="E37" s="1">
        <v>28.1</v>
      </c>
      <c r="F37" s="1">
        <v>32.33</v>
      </c>
      <c r="G37" s="1">
        <v>45</v>
      </c>
      <c r="H37" s="11">
        <v>34.57</v>
      </c>
      <c r="I37" s="11">
        <v>27.04</v>
      </c>
      <c r="J37" s="11">
        <v>33.770000000000003</v>
      </c>
      <c r="K37" s="11">
        <v>35.49</v>
      </c>
      <c r="L37" s="11">
        <v>32.58</v>
      </c>
      <c r="M37" s="11">
        <v>32.57</v>
      </c>
      <c r="N37" s="11">
        <v>45</v>
      </c>
      <c r="O37" s="11">
        <v>32.94</v>
      </c>
      <c r="P37" s="11">
        <v>31.72</v>
      </c>
      <c r="Q37" s="11">
        <v>34.29</v>
      </c>
      <c r="R37" s="11">
        <v>34.049999999999997</v>
      </c>
      <c r="S37" s="11">
        <v>31.23</v>
      </c>
      <c r="T37" s="11">
        <v>34.89</v>
      </c>
      <c r="U37" s="11">
        <v>32.51</v>
      </c>
      <c r="V37" s="11">
        <v>31.95</v>
      </c>
      <c r="W37" s="11">
        <v>35.83</v>
      </c>
      <c r="X37" s="11">
        <v>33.85</v>
      </c>
      <c r="Y37" s="11">
        <v>36.25</v>
      </c>
      <c r="Z37" s="4">
        <v>9306</v>
      </c>
      <c r="AA37" s="6">
        <v>74.131506849315073</v>
      </c>
      <c r="AB37" s="10">
        <v>36364</v>
      </c>
      <c r="AC37" s="39" t="s">
        <v>222</v>
      </c>
      <c r="AD37" s="2">
        <v>1</v>
      </c>
      <c r="AE37" s="2" t="s">
        <v>37</v>
      </c>
      <c r="AF37" s="2">
        <v>1</v>
      </c>
      <c r="AG37" s="2">
        <v>17</v>
      </c>
      <c r="AH37" s="2">
        <v>31</v>
      </c>
      <c r="AI37" s="2">
        <v>12</v>
      </c>
      <c r="AJ37" s="2" t="s">
        <v>61</v>
      </c>
      <c r="AK37" s="2">
        <v>3</v>
      </c>
      <c r="AL37" s="2">
        <v>1</v>
      </c>
      <c r="AM37" s="2">
        <v>2</v>
      </c>
      <c r="AN37" s="41" t="s">
        <v>33</v>
      </c>
      <c r="AO37" s="2">
        <v>2</v>
      </c>
      <c r="AP37" s="41" t="s">
        <v>33</v>
      </c>
      <c r="AQ37" s="2">
        <v>3</v>
      </c>
      <c r="AR37" s="12">
        <v>0.25</v>
      </c>
      <c r="AS37" s="8">
        <f t="shared" si="0"/>
        <v>25</v>
      </c>
      <c r="AT37" s="12" t="s">
        <v>34</v>
      </c>
      <c r="AU37" s="8">
        <v>3</v>
      </c>
      <c r="AV37" s="8" t="s">
        <v>44</v>
      </c>
      <c r="AW37" s="29" t="s">
        <v>28</v>
      </c>
      <c r="AX37" s="2">
        <v>0</v>
      </c>
      <c r="AY37" s="11">
        <v>0.87194887417834899</v>
      </c>
      <c r="AZ37" s="2" t="s">
        <v>38</v>
      </c>
      <c r="BA37" s="2">
        <v>3</v>
      </c>
    </row>
    <row r="38" spans="1:53" s="2" customFormat="1">
      <c r="A38" s="1">
        <v>37</v>
      </c>
      <c r="B38" s="2" t="s">
        <v>23</v>
      </c>
      <c r="C38" s="1" t="s">
        <v>76</v>
      </c>
      <c r="D38" s="1">
        <v>22.01</v>
      </c>
      <c r="E38" s="1">
        <v>24.17</v>
      </c>
      <c r="F38" s="1">
        <v>29.14</v>
      </c>
      <c r="G38" s="1">
        <v>34.9</v>
      </c>
      <c r="H38" s="11">
        <v>32.39</v>
      </c>
      <c r="I38" s="11">
        <v>25.09</v>
      </c>
      <c r="J38" s="11">
        <v>30</v>
      </c>
      <c r="K38" s="11">
        <v>32.869999999999997</v>
      </c>
      <c r="L38" s="11">
        <v>29.84</v>
      </c>
      <c r="M38" s="11">
        <v>30.78</v>
      </c>
      <c r="N38" s="11">
        <v>33.909999999999997</v>
      </c>
      <c r="O38" s="11">
        <v>29.23</v>
      </c>
      <c r="P38" s="11">
        <v>30.62</v>
      </c>
      <c r="Q38" s="11">
        <v>31.14</v>
      </c>
      <c r="R38" s="11">
        <v>30.22</v>
      </c>
      <c r="S38" s="11">
        <v>33.35</v>
      </c>
      <c r="T38" s="11">
        <v>32.799999999999997</v>
      </c>
      <c r="U38" s="11">
        <v>30.46</v>
      </c>
      <c r="V38" s="11">
        <v>30.18</v>
      </c>
      <c r="W38" s="11">
        <v>35.06</v>
      </c>
      <c r="X38" s="11">
        <v>30.64</v>
      </c>
      <c r="Y38" s="11">
        <v>32.090000000000003</v>
      </c>
      <c r="Z38" s="7">
        <v>8427</v>
      </c>
      <c r="AA38" s="6">
        <v>76.594520547945208</v>
      </c>
      <c r="AB38" s="10">
        <v>36342</v>
      </c>
      <c r="AC38" s="39" t="s">
        <v>222</v>
      </c>
      <c r="AD38" s="2">
        <v>1</v>
      </c>
      <c r="AE38" s="2" t="s">
        <v>25</v>
      </c>
      <c r="AF38" s="2">
        <v>2</v>
      </c>
      <c r="AG38" s="2">
        <v>25</v>
      </c>
      <c r="AH38" s="2">
        <v>17</v>
      </c>
      <c r="AI38" s="2">
        <v>0</v>
      </c>
      <c r="AJ38" s="2" t="s">
        <v>31</v>
      </c>
      <c r="AK38" s="2">
        <v>0</v>
      </c>
      <c r="AM38" s="2">
        <v>1</v>
      </c>
      <c r="AN38" s="41">
        <v>95</v>
      </c>
      <c r="AO38" s="2">
        <v>1</v>
      </c>
      <c r="AP38" s="41">
        <v>95</v>
      </c>
      <c r="AQ38" s="2">
        <v>2</v>
      </c>
      <c r="AR38" s="12">
        <v>0.1</v>
      </c>
      <c r="AS38" s="8">
        <f t="shared" si="0"/>
        <v>10</v>
      </c>
      <c r="AT38" s="12" t="s">
        <v>27</v>
      </c>
      <c r="AU38" s="8">
        <v>1</v>
      </c>
      <c r="AV38" s="12" t="s">
        <v>27</v>
      </c>
      <c r="AW38" s="29" t="s">
        <v>28</v>
      </c>
      <c r="AX38" s="9">
        <v>0</v>
      </c>
      <c r="AY38" s="11">
        <v>0.59835071663145412</v>
      </c>
      <c r="AZ38" s="2" t="s">
        <v>38</v>
      </c>
      <c r="BA38" s="2">
        <v>3</v>
      </c>
    </row>
    <row r="39" spans="1:53" s="2" customFormat="1">
      <c r="A39" s="1">
        <v>38</v>
      </c>
      <c r="B39" s="2" t="s">
        <v>23</v>
      </c>
      <c r="C39" s="1" t="s">
        <v>77</v>
      </c>
      <c r="D39" s="1">
        <v>25.86</v>
      </c>
      <c r="E39" s="1">
        <v>27.62</v>
      </c>
      <c r="F39" s="1">
        <v>33.47</v>
      </c>
      <c r="G39" s="1">
        <v>45</v>
      </c>
      <c r="H39" s="11">
        <v>33.69</v>
      </c>
      <c r="I39" s="11">
        <v>26.59</v>
      </c>
      <c r="J39" s="11">
        <v>33.17</v>
      </c>
      <c r="K39" s="11">
        <v>34.01</v>
      </c>
      <c r="L39" s="11">
        <v>34.17</v>
      </c>
      <c r="M39" s="11">
        <v>32.630000000000003</v>
      </c>
      <c r="N39" s="11">
        <v>36.71</v>
      </c>
      <c r="O39" s="11">
        <v>31.95</v>
      </c>
      <c r="P39" s="11">
        <v>30.59</v>
      </c>
      <c r="Q39" s="11">
        <v>34.130000000000003</v>
      </c>
      <c r="R39" s="11">
        <v>33.020000000000003</v>
      </c>
      <c r="S39" s="11">
        <v>34.869999999999997</v>
      </c>
      <c r="T39" s="11">
        <v>33.36</v>
      </c>
      <c r="U39" s="11">
        <v>29.43</v>
      </c>
      <c r="V39" s="11">
        <v>29.2</v>
      </c>
      <c r="W39" s="11">
        <v>36.79</v>
      </c>
      <c r="X39" s="11">
        <v>34.479999999999997</v>
      </c>
      <c r="Y39" s="11">
        <v>34.28</v>
      </c>
      <c r="Z39" s="7">
        <v>18757</v>
      </c>
      <c r="AA39" s="6">
        <v>47.139726027397259</v>
      </c>
      <c r="AB39" s="10">
        <v>35936</v>
      </c>
      <c r="AC39" s="39" t="s">
        <v>224</v>
      </c>
      <c r="AD39" s="2">
        <v>2</v>
      </c>
      <c r="AE39" s="2" t="s">
        <v>25</v>
      </c>
      <c r="AF39" s="2">
        <v>2</v>
      </c>
      <c r="AG39" s="2">
        <v>38</v>
      </c>
      <c r="AH39" s="2">
        <v>29</v>
      </c>
      <c r="AI39" s="2">
        <v>0</v>
      </c>
      <c r="AJ39" s="2" t="s">
        <v>31</v>
      </c>
      <c r="AK39" s="2">
        <v>0</v>
      </c>
      <c r="AM39" s="2">
        <v>1</v>
      </c>
      <c r="AN39" s="41">
        <v>90</v>
      </c>
      <c r="AO39" s="2">
        <v>1</v>
      </c>
      <c r="AP39" s="41">
        <v>70</v>
      </c>
      <c r="AQ39" s="2">
        <v>1</v>
      </c>
      <c r="AR39" s="12">
        <v>0.1</v>
      </c>
      <c r="AS39" s="8">
        <f t="shared" si="0"/>
        <v>10</v>
      </c>
      <c r="AT39" s="12" t="s">
        <v>27</v>
      </c>
      <c r="AU39" s="8">
        <v>1</v>
      </c>
      <c r="AV39" s="12" t="s">
        <v>27</v>
      </c>
      <c r="AW39" s="29" t="s">
        <v>28</v>
      </c>
      <c r="AX39" s="9">
        <v>0</v>
      </c>
      <c r="AY39" s="11">
        <v>-0.47636496061469558</v>
      </c>
      <c r="AZ39" s="2" t="s">
        <v>29</v>
      </c>
      <c r="BA39" s="2">
        <v>2</v>
      </c>
    </row>
    <row r="40" spans="1:53" s="2" customFormat="1">
      <c r="A40" s="1">
        <v>39</v>
      </c>
      <c r="B40" s="2" t="s">
        <v>23</v>
      </c>
      <c r="C40" s="1" t="s">
        <v>78</v>
      </c>
      <c r="D40" s="1">
        <v>24.4</v>
      </c>
      <c r="E40" s="1">
        <v>27.04</v>
      </c>
      <c r="F40" s="1">
        <v>32.479999999999997</v>
      </c>
      <c r="G40" s="1">
        <v>36.26</v>
      </c>
      <c r="H40" s="11">
        <v>31.86</v>
      </c>
      <c r="I40" s="11">
        <v>26.33</v>
      </c>
      <c r="J40" s="11">
        <v>32.32</v>
      </c>
      <c r="K40" s="11">
        <v>38.21</v>
      </c>
      <c r="L40" s="11">
        <v>33.85</v>
      </c>
      <c r="M40" s="11">
        <v>29.15</v>
      </c>
      <c r="N40" s="11">
        <v>45</v>
      </c>
      <c r="O40" s="11">
        <v>31.44</v>
      </c>
      <c r="P40" s="11">
        <v>31.86</v>
      </c>
      <c r="Q40" s="11">
        <v>35.659999999999997</v>
      </c>
      <c r="R40" s="11">
        <v>34.020000000000003</v>
      </c>
      <c r="S40" s="11">
        <v>35.18</v>
      </c>
      <c r="T40" s="11">
        <v>34.979999999999997</v>
      </c>
      <c r="U40" s="11">
        <v>28.26</v>
      </c>
      <c r="V40" s="11">
        <v>29.01</v>
      </c>
      <c r="W40" s="11">
        <v>35.74</v>
      </c>
      <c r="X40" s="11">
        <v>31.32</v>
      </c>
      <c r="Y40" s="11">
        <v>32.840000000000003</v>
      </c>
      <c r="Z40" s="7">
        <v>8303</v>
      </c>
      <c r="AA40" s="6">
        <v>75.449315068493149</v>
      </c>
      <c r="AB40" s="10">
        <v>35817</v>
      </c>
      <c r="AC40" s="39" t="s">
        <v>222</v>
      </c>
      <c r="AD40" s="2">
        <v>1</v>
      </c>
      <c r="AE40" s="2" t="s">
        <v>25</v>
      </c>
      <c r="AF40" s="2">
        <v>2</v>
      </c>
      <c r="AG40" s="2">
        <v>40</v>
      </c>
      <c r="AH40" s="2">
        <v>13</v>
      </c>
      <c r="AI40" s="2">
        <v>0</v>
      </c>
      <c r="AJ40" s="2" t="s">
        <v>31</v>
      </c>
      <c r="AK40" s="2">
        <v>0</v>
      </c>
      <c r="AM40" s="2">
        <v>1</v>
      </c>
      <c r="AN40" s="41">
        <v>60</v>
      </c>
      <c r="AO40" s="2">
        <v>1</v>
      </c>
      <c r="AP40" s="41">
        <v>25</v>
      </c>
      <c r="AQ40" s="2">
        <v>2</v>
      </c>
      <c r="AR40" s="12">
        <v>0.05</v>
      </c>
      <c r="AS40" s="8">
        <f t="shared" si="0"/>
        <v>5</v>
      </c>
      <c r="AT40" s="12" t="s">
        <v>27</v>
      </c>
      <c r="AU40" s="8">
        <v>1</v>
      </c>
      <c r="AV40" s="12" t="s">
        <v>27</v>
      </c>
      <c r="AW40" s="29" t="s">
        <v>28</v>
      </c>
      <c r="AX40" s="9">
        <v>0</v>
      </c>
      <c r="AY40" s="11">
        <v>-1.9349654521531998</v>
      </c>
      <c r="AZ40" s="2" t="s">
        <v>35</v>
      </c>
      <c r="BA40" s="2">
        <v>1</v>
      </c>
    </row>
    <row r="41" spans="1:53" s="2" customFormat="1">
      <c r="A41" s="1">
        <v>40</v>
      </c>
      <c r="B41" s="2" t="s">
        <v>23</v>
      </c>
      <c r="C41" s="1" t="s">
        <v>79</v>
      </c>
      <c r="D41" s="1">
        <v>25.91</v>
      </c>
      <c r="E41" s="1">
        <v>27.78</v>
      </c>
      <c r="F41" s="1">
        <v>32.5</v>
      </c>
      <c r="G41" s="1">
        <v>37.39</v>
      </c>
      <c r="H41" s="11">
        <v>34.590000000000003</v>
      </c>
      <c r="I41" s="11">
        <v>26.78</v>
      </c>
      <c r="J41" s="11">
        <v>32.94</v>
      </c>
      <c r="K41" s="11">
        <v>35.43</v>
      </c>
      <c r="L41" s="11">
        <v>33.89</v>
      </c>
      <c r="M41" s="11">
        <v>32.75</v>
      </c>
      <c r="N41" s="11">
        <v>35.54</v>
      </c>
      <c r="O41" s="11">
        <v>32.72</v>
      </c>
      <c r="P41" s="11">
        <v>30.56</v>
      </c>
      <c r="Q41" s="11">
        <v>33.049999999999997</v>
      </c>
      <c r="R41" s="11">
        <v>33.24</v>
      </c>
      <c r="S41" s="11">
        <v>32.46</v>
      </c>
      <c r="T41" s="11">
        <v>33.25</v>
      </c>
      <c r="U41" s="11">
        <v>30.31</v>
      </c>
      <c r="V41" s="11">
        <v>28.97</v>
      </c>
      <c r="W41" s="11">
        <v>37.47</v>
      </c>
      <c r="X41" s="11">
        <v>32.99</v>
      </c>
      <c r="Y41" s="11">
        <v>33.61</v>
      </c>
      <c r="Z41" s="4">
        <v>14517</v>
      </c>
      <c r="AA41" s="6">
        <v>58.736986301369861</v>
      </c>
      <c r="AB41" s="10">
        <v>35956</v>
      </c>
      <c r="AC41" s="39" t="s">
        <v>225</v>
      </c>
      <c r="AE41" s="2" t="s">
        <v>25</v>
      </c>
      <c r="AF41" s="2">
        <v>2</v>
      </c>
      <c r="AG41" s="2">
        <v>30</v>
      </c>
      <c r="AH41" s="2">
        <v>33</v>
      </c>
      <c r="AI41" s="2">
        <v>2</v>
      </c>
      <c r="AJ41" s="2" t="s">
        <v>26</v>
      </c>
      <c r="AK41" s="2">
        <v>1</v>
      </c>
      <c r="AM41" s="2">
        <v>1</v>
      </c>
      <c r="AN41" s="41">
        <v>80</v>
      </c>
      <c r="AO41" s="2">
        <v>1</v>
      </c>
      <c r="AP41" s="41">
        <v>70</v>
      </c>
      <c r="AQ41" s="2">
        <v>1</v>
      </c>
      <c r="AR41" s="12">
        <v>0.1</v>
      </c>
      <c r="AS41" s="8">
        <f t="shared" si="0"/>
        <v>10</v>
      </c>
      <c r="AT41" s="12" t="s">
        <v>27</v>
      </c>
      <c r="AU41" s="8">
        <v>1</v>
      </c>
      <c r="AV41" s="12" t="s">
        <v>27</v>
      </c>
      <c r="AW41" s="29" t="s">
        <v>28</v>
      </c>
      <c r="AX41" s="2">
        <v>0</v>
      </c>
      <c r="AY41" s="11">
        <v>1.0070615067983573</v>
      </c>
      <c r="AZ41" s="2" t="s">
        <v>38</v>
      </c>
      <c r="BA41" s="2">
        <v>3</v>
      </c>
    </row>
    <row r="42" spans="1:53" s="2" customFormat="1">
      <c r="A42" s="1">
        <v>41</v>
      </c>
      <c r="B42" s="2" t="s">
        <v>23</v>
      </c>
      <c r="C42" s="1" t="s">
        <v>80</v>
      </c>
      <c r="D42" s="1">
        <v>27.5</v>
      </c>
      <c r="E42" s="1">
        <v>31.12</v>
      </c>
      <c r="F42" s="1">
        <v>33.119999999999997</v>
      </c>
      <c r="G42" s="1">
        <v>45</v>
      </c>
      <c r="H42" s="11">
        <v>34.79</v>
      </c>
      <c r="I42" s="11">
        <v>29.31</v>
      </c>
      <c r="J42" s="11">
        <v>34.83</v>
      </c>
      <c r="K42" s="11">
        <v>38.020000000000003</v>
      </c>
      <c r="L42" s="11">
        <v>35.130000000000003</v>
      </c>
      <c r="M42" s="11">
        <v>34.51</v>
      </c>
      <c r="N42" s="11">
        <v>45</v>
      </c>
      <c r="O42" s="11">
        <v>35.19</v>
      </c>
      <c r="P42" s="11">
        <v>34.479999999999997</v>
      </c>
      <c r="Q42" s="11">
        <v>45</v>
      </c>
      <c r="R42" s="11">
        <v>37.25</v>
      </c>
      <c r="S42" s="11">
        <v>35.090000000000003</v>
      </c>
      <c r="T42" s="11">
        <v>36.67</v>
      </c>
      <c r="U42" s="11">
        <v>32.4</v>
      </c>
      <c r="V42" s="11">
        <v>30.71</v>
      </c>
      <c r="W42" s="11">
        <v>45</v>
      </c>
      <c r="X42" s="11">
        <v>45</v>
      </c>
      <c r="Y42" s="11">
        <v>34.1</v>
      </c>
      <c r="Z42" s="7">
        <v>12875</v>
      </c>
      <c r="AA42" s="6">
        <v>63.273972602739725</v>
      </c>
      <c r="AB42" s="10">
        <v>35923</v>
      </c>
      <c r="AC42" s="39" t="s">
        <v>222</v>
      </c>
      <c r="AD42" s="2">
        <v>1</v>
      </c>
      <c r="AE42" s="2" t="s">
        <v>25</v>
      </c>
      <c r="AF42" s="2">
        <v>2</v>
      </c>
      <c r="AG42" s="2">
        <v>22</v>
      </c>
      <c r="AH42" s="2">
        <v>9</v>
      </c>
      <c r="AI42" s="2">
        <v>0</v>
      </c>
      <c r="AJ42" s="2" t="s">
        <v>31</v>
      </c>
      <c r="AK42" s="2">
        <v>0</v>
      </c>
      <c r="AM42" s="2">
        <v>1</v>
      </c>
      <c r="AN42" s="41">
        <v>95</v>
      </c>
      <c r="AO42" s="2">
        <v>1</v>
      </c>
      <c r="AP42" s="41">
        <v>90</v>
      </c>
      <c r="AQ42" s="2">
        <v>2</v>
      </c>
      <c r="AR42" s="12">
        <v>0.05</v>
      </c>
      <c r="AS42" s="8">
        <f t="shared" si="0"/>
        <v>5</v>
      </c>
      <c r="AT42" s="12" t="s">
        <v>27</v>
      </c>
      <c r="AU42" s="8">
        <v>1</v>
      </c>
      <c r="AV42" s="12" t="s">
        <v>27</v>
      </c>
      <c r="AW42" s="29" t="s">
        <v>28</v>
      </c>
      <c r="AX42" s="9">
        <v>0</v>
      </c>
      <c r="AY42" s="11">
        <v>-1.8225400179034863</v>
      </c>
      <c r="AZ42" s="2" t="s">
        <v>35</v>
      </c>
      <c r="BA42" s="2">
        <v>1</v>
      </c>
    </row>
    <row r="43" spans="1:53" s="2" customFormat="1">
      <c r="A43" s="1">
        <v>42</v>
      </c>
      <c r="B43" s="2" t="s">
        <v>23</v>
      </c>
      <c r="C43" s="1" t="s">
        <v>81</v>
      </c>
      <c r="D43" s="1">
        <v>23.8</v>
      </c>
      <c r="E43" s="1">
        <v>25.16</v>
      </c>
      <c r="F43" s="1">
        <v>29.11</v>
      </c>
      <c r="G43" s="1">
        <v>36.9</v>
      </c>
      <c r="H43" s="11">
        <v>30.79</v>
      </c>
      <c r="I43" s="11">
        <v>25.56</v>
      </c>
      <c r="J43" s="11">
        <v>30.72</v>
      </c>
      <c r="K43" s="11">
        <v>32.85</v>
      </c>
      <c r="L43" s="11">
        <v>28.92</v>
      </c>
      <c r="M43" s="11">
        <v>30.95</v>
      </c>
      <c r="N43" s="11">
        <v>32.89</v>
      </c>
      <c r="O43" s="11">
        <v>29.22</v>
      </c>
      <c r="P43" s="11">
        <v>31.06</v>
      </c>
      <c r="Q43" s="11">
        <v>29.5</v>
      </c>
      <c r="R43" s="11">
        <v>29.38</v>
      </c>
      <c r="S43" s="11">
        <v>32.75</v>
      </c>
      <c r="T43" s="11">
        <v>34.049999999999997</v>
      </c>
      <c r="U43" s="11">
        <v>30.11</v>
      </c>
      <c r="V43" s="11">
        <v>29.95</v>
      </c>
      <c r="W43" s="11">
        <v>34.61</v>
      </c>
      <c r="X43" s="11">
        <v>32.159999999999997</v>
      </c>
      <c r="Y43" s="11">
        <v>31.78</v>
      </c>
      <c r="Z43" s="7">
        <v>12638</v>
      </c>
      <c r="AA43" s="6">
        <v>63.517808219178079</v>
      </c>
      <c r="AB43" s="10">
        <v>35786</v>
      </c>
      <c r="AC43" s="39" t="s">
        <v>222</v>
      </c>
      <c r="AD43" s="2">
        <v>1</v>
      </c>
      <c r="AE43" s="2" t="s">
        <v>25</v>
      </c>
      <c r="AF43" s="2">
        <v>2</v>
      </c>
      <c r="AG43" s="2">
        <v>22</v>
      </c>
      <c r="AH43" s="2">
        <v>30</v>
      </c>
      <c r="AI43" s="2">
        <v>0</v>
      </c>
      <c r="AJ43" s="2" t="s">
        <v>31</v>
      </c>
      <c r="AK43" s="2">
        <v>0</v>
      </c>
      <c r="AM43" s="2">
        <v>2</v>
      </c>
      <c r="AN43" s="41" t="s">
        <v>33</v>
      </c>
      <c r="AO43" s="2">
        <v>2</v>
      </c>
      <c r="AP43" s="41" t="s">
        <v>33</v>
      </c>
      <c r="AQ43" s="2" t="s">
        <v>28</v>
      </c>
      <c r="AR43" s="12">
        <v>0.05</v>
      </c>
      <c r="AS43" s="8">
        <f t="shared" si="0"/>
        <v>5</v>
      </c>
      <c r="AT43" s="12" t="s">
        <v>27</v>
      </c>
      <c r="AU43" s="8">
        <v>1</v>
      </c>
      <c r="AV43" s="12" t="s">
        <v>27</v>
      </c>
      <c r="AW43" s="29" t="s">
        <v>28</v>
      </c>
      <c r="AX43" s="9">
        <v>0</v>
      </c>
      <c r="AY43" s="11">
        <v>0.31319433668413077</v>
      </c>
      <c r="AZ43" s="2" t="s">
        <v>38</v>
      </c>
      <c r="BA43" s="2">
        <v>3</v>
      </c>
    </row>
    <row r="44" spans="1:53" s="2" customFormat="1">
      <c r="A44" s="1">
        <v>43</v>
      </c>
      <c r="B44" s="2" t="s">
        <v>23</v>
      </c>
      <c r="C44" s="1" t="s">
        <v>82</v>
      </c>
      <c r="D44" s="1">
        <v>45</v>
      </c>
      <c r="E44" s="1">
        <v>45</v>
      </c>
      <c r="F44" s="1">
        <v>45</v>
      </c>
      <c r="G44" s="1">
        <v>45</v>
      </c>
      <c r="H44" s="11">
        <v>45</v>
      </c>
      <c r="I44" s="11">
        <v>45</v>
      </c>
      <c r="J44" s="11">
        <v>45</v>
      </c>
      <c r="K44" s="11">
        <v>45</v>
      </c>
      <c r="L44" s="11">
        <v>45</v>
      </c>
      <c r="M44" s="11">
        <v>45</v>
      </c>
      <c r="N44" s="11">
        <v>45</v>
      </c>
      <c r="O44" s="11">
        <v>45</v>
      </c>
      <c r="P44" s="11">
        <v>45</v>
      </c>
      <c r="Q44" s="11">
        <v>45</v>
      </c>
      <c r="R44" s="11">
        <v>45</v>
      </c>
      <c r="S44" s="11">
        <v>45</v>
      </c>
      <c r="T44" s="11">
        <v>45</v>
      </c>
      <c r="U44" s="11">
        <v>45</v>
      </c>
      <c r="V44" s="11">
        <v>45</v>
      </c>
      <c r="W44" s="11">
        <v>45</v>
      </c>
      <c r="X44" s="11">
        <v>45</v>
      </c>
      <c r="Y44" s="11">
        <v>45</v>
      </c>
      <c r="Z44" s="7">
        <v>12195</v>
      </c>
      <c r="AA44" s="6">
        <v>65.652054794520552</v>
      </c>
      <c r="AB44" s="10">
        <v>36119</v>
      </c>
      <c r="AC44" s="39" t="s">
        <v>222</v>
      </c>
      <c r="AD44" s="2">
        <v>1</v>
      </c>
      <c r="AE44" s="2" t="s">
        <v>25</v>
      </c>
      <c r="AF44" s="2">
        <v>2</v>
      </c>
      <c r="AG44" s="2">
        <v>25</v>
      </c>
      <c r="AH44" s="2">
        <v>19</v>
      </c>
      <c r="AI44" s="2">
        <v>0</v>
      </c>
      <c r="AJ44" s="2" t="s">
        <v>31</v>
      </c>
      <c r="AK44" s="2">
        <v>0</v>
      </c>
      <c r="AM44" s="2">
        <v>1</v>
      </c>
      <c r="AN44" s="41">
        <v>80</v>
      </c>
      <c r="AO44" s="2">
        <v>1</v>
      </c>
      <c r="AP44" s="41">
        <v>40</v>
      </c>
      <c r="AQ44" s="2">
        <v>2</v>
      </c>
      <c r="AR44" s="12">
        <v>0.05</v>
      </c>
      <c r="AS44" s="8">
        <f t="shared" si="0"/>
        <v>5</v>
      </c>
      <c r="AT44" s="12" t="s">
        <v>27</v>
      </c>
      <c r="AU44" s="8">
        <v>1</v>
      </c>
      <c r="AV44" s="12" t="s">
        <v>27</v>
      </c>
      <c r="AW44" s="29" t="s">
        <v>28</v>
      </c>
      <c r="AX44" s="9">
        <v>0</v>
      </c>
      <c r="AY44" s="11">
        <v>-0.57075800177244673</v>
      </c>
      <c r="AZ44" s="2" t="s">
        <v>29</v>
      </c>
      <c r="BA44" s="2">
        <v>2</v>
      </c>
    </row>
    <row r="45" spans="1:53" s="2" customFormat="1">
      <c r="A45" s="1">
        <v>44</v>
      </c>
      <c r="B45" s="2" t="s">
        <v>23</v>
      </c>
      <c r="C45" s="1" t="s">
        <v>83</v>
      </c>
      <c r="D45" s="1">
        <v>25.8</v>
      </c>
      <c r="E45" s="1">
        <v>28.04</v>
      </c>
      <c r="F45" s="1">
        <v>32.14</v>
      </c>
      <c r="G45" s="1">
        <v>45</v>
      </c>
      <c r="H45" s="11">
        <v>32.450000000000003</v>
      </c>
      <c r="I45" s="11">
        <v>27.83</v>
      </c>
      <c r="J45" s="11">
        <v>33.299999999999997</v>
      </c>
      <c r="K45" s="11">
        <v>34.43</v>
      </c>
      <c r="L45" s="11">
        <v>32.11</v>
      </c>
      <c r="M45" s="11">
        <v>30.71</v>
      </c>
      <c r="N45" s="11">
        <v>35.67</v>
      </c>
      <c r="O45" s="11">
        <v>31.62</v>
      </c>
      <c r="P45" s="11">
        <v>31.88</v>
      </c>
      <c r="Q45" s="11">
        <v>31.85</v>
      </c>
      <c r="R45" s="11">
        <v>33.83</v>
      </c>
      <c r="S45" s="11">
        <v>35.57</v>
      </c>
      <c r="T45" s="11">
        <v>34.049999999999997</v>
      </c>
      <c r="U45" s="11">
        <v>35</v>
      </c>
      <c r="V45" s="11">
        <v>30.25</v>
      </c>
      <c r="W45" s="11">
        <v>29.71</v>
      </c>
      <c r="X45" s="11">
        <v>35.700000000000003</v>
      </c>
      <c r="Y45" s="11">
        <v>34.1</v>
      </c>
      <c r="Z45" s="7">
        <v>13155</v>
      </c>
      <c r="AA45" s="6">
        <v>62.547945205479451</v>
      </c>
      <c r="AB45" s="10">
        <v>35956</v>
      </c>
      <c r="AC45" s="39" t="s">
        <v>224</v>
      </c>
      <c r="AD45" s="2">
        <v>2</v>
      </c>
      <c r="AE45" s="2" t="s">
        <v>37</v>
      </c>
      <c r="AF45" s="2">
        <v>1</v>
      </c>
      <c r="AG45" s="2">
        <v>19</v>
      </c>
      <c r="AH45" s="2">
        <v>30</v>
      </c>
      <c r="AI45" s="2">
        <v>0</v>
      </c>
      <c r="AJ45" s="2" t="s">
        <v>31</v>
      </c>
      <c r="AK45" s="2">
        <v>0</v>
      </c>
      <c r="AM45" s="2">
        <v>1</v>
      </c>
      <c r="AN45" s="41">
        <v>90</v>
      </c>
      <c r="AO45" s="2">
        <v>1</v>
      </c>
      <c r="AP45" s="41">
        <v>80</v>
      </c>
      <c r="AQ45" s="2">
        <v>1</v>
      </c>
      <c r="AR45" s="12">
        <v>0.1</v>
      </c>
      <c r="AS45" s="8">
        <f t="shared" si="0"/>
        <v>10</v>
      </c>
      <c r="AT45" s="12" t="s">
        <v>27</v>
      </c>
      <c r="AU45" s="8">
        <v>1</v>
      </c>
      <c r="AV45" s="12" t="s">
        <v>27</v>
      </c>
      <c r="AW45" s="29" t="s">
        <v>28</v>
      </c>
      <c r="AX45" s="9">
        <v>0</v>
      </c>
      <c r="AY45" s="11">
        <v>-0.23052062917375515</v>
      </c>
      <c r="AZ45" s="2" t="s">
        <v>29</v>
      </c>
      <c r="BA45" s="2">
        <v>2</v>
      </c>
    </row>
    <row r="46" spans="1:53" s="2" customFormat="1">
      <c r="A46" s="1">
        <v>45</v>
      </c>
      <c r="B46" s="2" t="s">
        <v>23</v>
      </c>
      <c r="C46" s="1" t="s">
        <v>84</v>
      </c>
      <c r="D46" s="1">
        <v>23.64</v>
      </c>
      <c r="E46" s="1">
        <v>26.06</v>
      </c>
      <c r="F46" s="1">
        <v>31.22</v>
      </c>
      <c r="G46" s="1">
        <v>45</v>
      </c>
      <c r="H46" s="11">
        <v>31.52</v>
      </c>
      <c r="I46" s="11">
        <v>27.78</v>
      </c>
      <c r="J46" s="11">
        <v>31.9</v>
      </c>
      <c r="K46" s="11">
        <v>31.7</v>
      </c>
      <c r="L46" s="11">
        <v>32.79</v>
      </c>
      <c r="M46" s="11">
        <v>26.96</v>
      </c>
      <c r="N46" s="11">
        <v>33.82</v>
      </c>
      <c r="O46" s="11">
        <v>32.11</v>
      </c>
      <c r="P46" s="11">
        <v>31.78</v>
      </c>
      <c r="Q46" s="11">
        <v>31.89</v>
      </c>
      <c r="R46" s="11">
        <v>31.31</v>
      </c>
      <c r="S46" s="11">
        <v>32.11</v>
      </c>
      <c r="T46" s="11">
        <v>34.57</v>
      </c>
      <c r="U46" s="11">
        <v>27.53</v>
      </c>
      <c r="V46" s="11">
        <v>27.9</v>
      </c>
      <c r="W46" s="11">
        <v>36.450000000000003</v>
      </c>
      <c r="X46" s="11">
        <v>31.61</v>
      </c>
      <c r="Y46" s="11">
        <v>31.96</v>
      </c>
      <c r="Z46" s="7">
        <v>9169</v>
      </c>
      <c r="AA46" s="6">
        <v>73.501369863013693</v>
      </c>
      <c r="AB46" s="10">
        <v>35950</v>
      </c>
      <c r="AC46" s="39" t="s">
        <v>226</v>
      </c>
      <c r="AE46" s="2" t="s">
        <v>69</v>
      </c>
      <c r="AF46" s="2">
        <v>3</v>
      </c>
      <c r="AG46" s="2">
        <v>80</v>
      </c>
      <c r="AH46" s="2">
        <v>7</v>
      </c>
      <c r="AI46" s="2">
        <v>0</v>
      </c>
      <c r="AJ46" s="2" t="s">
        <v>31</v>
      </c>
      <c r="AK46" s="2">
        <v>0</v>
      </c>
      <c r="AM46" s="2">
        <v>1</v>
      </c>
      <c r="AN46" s="41">
        <v>90</v>
      </c>
      <c r="AO46" s="2">
        <v>1</v>
      </c>
      <c r="AP46" s="41">
        <v>80</v>
      </c>
      <c r="AQ46" s="2" t="s">
        <v>28</v>
      </c>
      <c r="AR46" s="12">
        <v>0.15</v>
      </c>
      <c r="AS46" s="8">
        <f t="shared" si="0"/>
        <v>15</v>
      </c>
      <c r="AT46" s="12" t="s">
        <v>34</v>
      </c>
      <c r="AU46" s="8">
        <v>3</v>
      </c>
      <c r="AV46" s="8" t="s">
        <v>44</v>
      </c>
      <c r="AW46" s="29" t="s">
        <v>28</v>
      </c>
      <c r="AX46" s="9">
        <v>0</v>
      </c>
      <c r="AY46" s="11">
        <v>-0.63029833904042132</v>
      </c>
      <c r="AZ46" s="2" t="s">
        <v>29</v>
      </c>
      <c r="BA46" s="2">
        <v>2</v>
      </c>
    </row>
    <row r="47" spans="1:53" s="2" customFormat="1">
      <c r="A47" s="1">
        <v>46</v>
      </c>
      <c r="B47" s="2" t="s">
        <v>23</v>
      </c>
      <c r="C47" s="1" t="s">
        <v>85</v>
      </c>
      <c r="D47" s="1">
        <v>26.74</v>
      </c>
      <c r="E47" s="1">
        <v>28.2</v>
      </c>
      <c r="F47" s="1">
        <v>33.58</v>
      </c>
      <c r="G47" s="1">
        <v>45</v>
      </c>
      <c r="H47" s="11">
        <v>34.39</v>
      </c>
      <c r="I47" s="11">
        <v>27.72</v>
      </c>
      <c r="J47" s="11">
        <v>34</v>
      </c>
      <c r="K47" s="11">
        <v>34.46</v>
      </c>
      <c r="L47" s="11">
        <v>33.54</v>
      </c>
      <c r="M47" s="11">
        <v>32.299999999999997</v>
      </c>
      <c r="N47" s="11">
        <v>45</v>
      </c>
      <c r="O47" s="11">
        <v>33.51</v>
      </c>
      <c r="P47" s="11">
        <v>31.83</v>
      </c>
      <c r="Q47" s="11">
        <v>34.69</v>
      </c>
      <c r="R47" s="11">
        <v>33.54</v>
      </c>
      <c r="S47" s="11">
        <v>38.24</v>
      </c>
      <c r="T47" s="11">
        <v>33.33</v>
      </c>
      <c r="U47" s="11">
        <v>30.98</v>
      </c>
      <c r="V47" s="11">
        <v>29.97</v>
      </c>
      <c r="W47" s="11">
        <v>45</v>
      </c>
      <c r="X47" s="11">
        <v>34.450000000000003</v>
      </c>
      <c r="Y47" s="11">
        <v>35.07</v>
      </c>
      <c r="Z47" s="7">
        <v>12107</v>
      </c>
      <c r="AA47" s="6">
        <v>65.38082191780822</v>
      </c>
      <c r="AB47" s="10">
        <v>35940</v>
      </c>
      <c r="AC47" s="39" t="s">
        <v>224</v>
      </c>
      <c r="AD47" s="2">
        <v>2</v>
      </c>
      <c r="AE47" s="2" t="s">
        <v>37</v>
      </c>
      <c r="AF47" s="2">
        <v>1</v>
      </c>
      <c r="AG47" s="2">
        <v>17</v>
      </c>
      <c r="AH47" s="2">
        <v>34</v>
      </c>
      <c r="AI47" s="2">
        <v>2</v>
      </c>
      <c r="AJ47" s="2" t="s">
        <v>26</v>
      </c>
      <c r="AK47" s="2">
        <v>1</v>
      </c>
      <c r="AM47" s="2">
        <v>1</v>
      </c>
      <c r="AN47" s="41">
        <v>70</v>
      </c>
      <c r="AO47" s="2">
        <v>1</v>
      </c>
      <c r="AP47" s="41">
        <v>80</v>
      </c>
      <c r="AQ47" s="2">
        <v>1</v>
      </c>
      <c r="AR47" s="12">
        <v>0.05</v>
      </c>
      <c r="AS47" s="8">
        <f t="shared" si="0"/>
        <v>5</v>
      </c>
      <c r="AT47" s="12" t="s">
        <v>27</v>
      </c>
      <c r="AU47" s="8">
        <v>1</v>
      </c>
      <c r="AV47" s="12" t="s">
        <v>27</v>
      </c>
      <c r="AW47" s="29" t="s">
        <v>28</v>
      </c>
      <c r="AX47" s="9">
        <v>0</v>
      </c>
      <c r="AY47" s="11">
        <v>-0.73522207845707088</v>
      </c>
      <c r="AZ47" s="2" t="s">
        <v>29</v>
      </c>
      <c r="BA47" s="2">
        <v>2</v>
      </c>
    </row>
    <row r="48" spans="1:53" s="2" customFormat="1">
      <c r="A48" s="1">
        <v>47</v>
      </c>
      <c r="B48" s="2" t="s">
        <v>23</v>
      </c>
      <c r="C48" s="1" t="s">
        <v>86</v>
      </c>
      <c r="D48" s="1">
        <v>23.31</v>
      </c>
      <c r="E48" s="1">
        <v>26.36</v>
      </c>
      <c r="F48" s="1">
        <v>31.93</v>
      </c>
      <c r="G48" s="1">
        <v>45</v>
      </c>
      <c r="H48" s="11">
        <v>31.29</v>
      </c>
      <c r="I48" s="11">
        <v>26.33</v>
      </c>
      <c r="J48" s="11">
        <v>32.32</v>
      </c>
      <c r="K48" s="11">
        <v>33.270000000000003</v>
      </c>
      <c r="L48" s="11">
        <v>31.77</v>
      </c>
      <c r="M48" s="11">
        <v>30.36</v>
      </c>
      <c r="N48" s="11">
        <v>34.29</v>
      </c>
      <c r="O48" s="11">
        <v>30.96</v>
      </c>
      <c r="P48" s="11">
        <v>31.64</v>
      </c>
      <c r="Q48" s="11">
        <v>31.03</v>
      </c>
      <c r="R48" s="11">
        <v>30.77</v>
      </c>
      <c r="S48" s="11">
        <v>31.27</v>
      </c>
      <c r="T48" s="11">
        <v>32.71</v>
      </c>
      <c r="U48" s="11">
        <v>29.58</v>
      </c>
      <c r="V48" s="11">
        <v>28.16</v>
      </c>
      <c r="W48" s="11">
        <v>36.840000000000003</v>
      </c>
      <c r="X48" s="11">
        <v>32.26</v>
      </c>
      <c r="Y48" s="11">
        <v>32.56</v>
      </c>
      <c r="Z48" s="7">
        <v>15913</v>
      </c>
      <c r="AA48" s="6">
        <v>54.61917808219178</v>
      </c>
      <c r="AB48" s="10">
        <v>35817</v>
      </c>
      <c r="AC48" s="39" t="s">
        <v>222</v>
      </c>
      <c r="AD48" s="2">
        <v>1</v>
      </c>
      <c r="AE48" s="2" t="s">
        <v>25</v>
      </c>
      <c r="AF48" s="2">
        <v>2</v>
      </c>
      <c r="AG48" s="2">
        <v>21</v>
      </c>
      <c r="AH48" s="2">
        <v>19</v>
      </c>
      <c r="AI48" s="2">
        <v>1</v>
      </c>
      <c r="AJ48" s="2" t="s">
        <v>26</v>
      </c>
      <c r="AK48" s="2">
        <v>1</v>
      </c>
      <c r="AM48" s="2">
        <v>1</v>
      </c>
      <c r="AN48" s="41">
        <v>85</v>
      </c>
      <c r="AO48" s="2">
        <v>1</v>
      </c>
      <c r="AP48" s="41">
        <v>30</v>
      </c>
      <c r="AQ48" s="2" t="s">
        <v>28</v>
      </c>
      <c r="AR48" s="12">
        <v>0.35</v>
      </c>
      <c r="AS48" s="8">
        <f t="shared" si="0"/>
        <v>35</v>
      </c>
      <c r="AT48" s="12" t="s">
        <v>34</v>
      </c>
      <c r="AU48" s="8">
        <v>3</v>
      </c>
      <c r="AV48" s="8" t="s">
        <v>34</v>
      </c>
      <c r="AW48" s="29" t="s">
        <v>28</v>
      </c>
      <c r="AX48" s="9">
        <v>0</v>
      </c>
      <c r="AY48" s="11">
        <v>-0.1052985938995028</v>
      </c>
      <c r="AZ48" s="2" t="s">
        <v>38</v>
      </c>
      <c r="BA48" s="2">
        <v>3</v>
      </c>
    </row>
    <row r="49" spans="1:53" s="2" customFormat="1">
      <c r="A49" s="1">
        <v>48</v>
      </c>
      <c r="B49" s="2" t="s">
        <v>23</v>
      </c>
      <c r="C49" s="1" t="s">
        <v>87</v>
      </c>
      <c r="D49" s="1">
        <v>25.05</v>
      </c>
      <c r="E49" s="1">
        <v>28.01</v>
      </c>
      <c r="F49" s="1">
        <v>35.58</v>
      </c>
      <c r="G49" s="1">
        <v>45</v>
      </c>
      <c r="H49" s="11">
        <v>36.020000000000003</v>
      </c>
      <c r="I49" s="11">
        <v>27.87</v>
      </c>
      <c r="J49" s="11">
        <v>34.549999999999997</v>
      </c>
      <c r="K49" s="11">
        <v>35.01</v>
      </c>
      <c r="L49" s="11">
        <v>34.24</v>
      </c>
      <c r="M49" s="11">
        <v>32.92</v>
      </c>
      <c r="N49" s="11">
        <v>36.700000000000003</v>
      </c>
      <c r="O49" s="11">
        <v>33.5</v>
      </c>
      <c r="P49" s="11">
        <v>31.9</v>
      </c>
      <c r="Q49" s="11">
        <v>33.04</v>
      </c>
      <c r="R49" s="11">
        <v>32.97</v>
      </c>
      <c r="S49" s="11">
        <v>33.01</v>
      </c>
      <c r="T49" s="11">
        <v>36.06</v>
      </c>
      <c r="U49" s="11">
        <v>31.56</v>
      </c>
      <c r="V49" s="11">
        <v>29.61</v>
      </c>
      <c r="W49" s="11">
        <v>45</v>
      </c>
      <c r="X49" s="11">
        <v>38.130000000000003</v>
      </c>
      <c r="Y49" s="11">
        <v>45</v>
      </c>
      <c r="Z49" s="4">
        <v>21084</v>
      </c>
      <c r="AA49" s="6">
        <v>40.608219178082194</v>
      </c>
      <c r="AB49" s="10">
        <v>35906</v>
      </c>
      <c r="AC49" s="39" t="s">
        <v>222</v>
      </c>
      <c r="AD49" s="2">
        <v>1</v>
      </c>
      <c r="AE49" s="2" t="s">
        <v>25</v>
      </c>
      <c r="AF49" s="2">
        <v>2</v>
      </c>
      <c r="AG49" s="2">
        <v>25</v>
      </c>
      <c r="AH49" s="2">
        <v>34</v>
      </c>
      <c r="AI49" s="2">
        <v>23</v>
      </c>
      <c r="AJ49" s="2" t="s">
        <v>61</v>
      </c>
      <c r="AK49" s="2">
        <v>3</v>
      </c>
      <c r="AL49" s="2">
        <v>1</v>
      </c>
      <c r="AM49" s="2">
        <v>1</v>
      </c>
      <c r="AN49" s="41">
        <v>80</v>
      </c>
      <c r="AO49" s="2">
        <v>2</v>
      </c>
      <c r="AP49" s="41">
        <v>20</v>
      </c>
      <c r="AQ49" s="2">
        <v>3</v>
      </c>
      <c r="AR49" s="12">
        <v>0.2</v>
      </c>
      <c r="AS49" s="8">
        <f t="shared" si="0"/>
        <v>20</v>
      </c>
      <c r="AT49" s="12" t="s">
        <v>34</v>
      </c>
      <c r="AU49" s="8">
        <v>3</v>
      </c>
      <c r="AV49" s="8" t="s">
        <v>44</v>
      </c>
      <c r="AW49" s="29" t="s">
        <v>28</v>
      </c>
      <c r="AX49" s="2">
        <v>0</v>
      </c>
      <c r="AY49" s="11">
        <v>2.4346513132648111</v>
      </c>
      <c r="AZ49" s="2" t="s">
        <v>38</v>
      </c>
      <c r="BA49" s="2">
        <v>3</v>
      </c>
    </row>
    <row r="50" spans="1:53" s="2" customFormat="1">
      <c r="A50" s="1">
        <v>49</v>
      </c>
      <c r="B50" s="2" t="s">
        <v>23</v>
      </c>
      <c r="C50" s="1" t="s">
        <v>88</v>
      </c>
      <c r="D50" s="1">
        <v>25.34</v>
      </c>
      <c r="E50" s="1">
        <v>27.69</v>
      </c>
      <c r="F50" s="1">
        <v>30.38</v>
      </c>
      <c r="G50" s="1">
        <v>45</v>
      </c>
      <c r="H50" s="11">
        <v>31.32</v>
      </c>
      <c r="I50" s="11">
        <v>26.34</v>
      </c>
      <c r="J50" s="11">
        <v>33.44</v>
      </c>
      <c r="K50" s="11">
        <v>33.9</v>
      </c>
      <c r="L50" s="11">
        <v>33.69</v>
      </c>
      <c r="M50" s="11">
        <v>31</v>
      </c>
      <c r="N50" s="11">
        <v>34.770000000000003</v>
      </c>
      <c r="O50" s="11">
        <v>32.369999999999997</v>
      </c>
      <c r="P50" s="11">
        <v>31.47</v>
      </c>
      <c r="Q50" s="11">
        <v>34.24</v>
      </c>
      <c r="R50" s="11">
        <v>32.32</v>
      </c>
      <c r="S50" s="11">
        <v>36.06</v>
      </c>
      <c r="T50" s="11">
        <v>35.01</v>
      </c>
      <c r="U50" s="11">
        <v>30.25</v>
      </c>
      <c r="V50" s="11">
        <v>29.06</v>
      </c>
      <c r="W50" s="11">
        <v>45</v>
      </c>
      <c r="X50" s="11">
        <v>32.619999999999997</v>
      </c>
      <c r="Y50" s="11">
        <v>32.61</v>
      </c>
      <c r="Z50" s="7">
        <v>9835</v>
      </c>
      <c r="AA50" s="6">
        <v>71.276712328767118</v>
      </c>
      <c r="AB50" s="10">
        <v>35829</v>
      </c>
      <c r="AC50" s="39" t="s">
        <v>226</v>
      </c>
      <c r="AE50" s="2" t="s">
        <v>37</v>
      </c>
      <c r="AF50" s="2">
        <v>1</v>
      </c>
      <c r="AG50" s="2">
        <v>10</v>
      </c>
      <c r="AH50" s="2">
        <v>16</v>
      </c>
      <c r="AI50" s="2">
        <v>0</v>
      </c>
      <c r="AJ50" s="2" t="s">
        <v>31</v>
      </c>
      <c r="AK50" s="2">
        <v>0</v>
      </c>
      <c r="AM50" s="2">
        <v>1</v>
      </c>
      <c r="AN50" s="41">
        <v>90</v>
      </c>
      <c r="AO50" s="2">
        <v>1</v>
      </c>
      <c r="AP50" s="41">
        <v>30</v>
      </c>
      <c r="AQ50" s="2">
        <v>1</v>
      </c>
      <c r="AR50" s="12">
        <v>0.05</v>
      </c>
      <c r="AS50" s="8">
        <f t="shared" si="0"/>
        <v>5</v>
      </c>
      <c r="AT50" s="12" t="s">
        <v>27</v>
      </c>
      <c r="AU50" s="8">
        <v>1</v>
      </c>
      <c r="AV50" s="12" t="s">
        <v>27</v>
      </c>
      <c r="AW50" s="29" t="s">
        <v>28</v>
      </c>
      <c r="AX50" s="9">
        <v>0</v>
      </c>
      <c r="AY50" s="11">
        <v>-2.2340269483078723</v>
      </c>
      <c r="AZ50" s="2" t="s">
        <v>35</v>
      </c>
      <c r="BA50" s="2">
        <v>1</v>
      </c>
    </row>
    <row r="51" spans="1:53" s="2" customFormat="1">
      <c r="A51" s="1">
        <v>50</v>
      </c>
      <c r="B51" s="2" t="s">
        <v>23</v>
      </c>
      <c r="C51" s="1" t="s">
        <v>89</v>
      </c>
      <c r="D51" s="1">
        <v>27.67</v>
      </c>
      <c r="E51" s="1">
        <v>32.35</v>
      </c>
      <c r="F51" s="1">
        <v>36.21</v>
      </c>
      <c r="G51" s="1">
        <v>45</v>
      </c>
      <c r="H51" s="11">
        <v>45</v>
      </c>
      <c r="I51" s="11">
        <v>30.09</v>
      </c>
      <c r="J51" s="11">
        <v>45</v>
      </c>
      <c r="K51" s="11">
        <v>36.729999999999997</v>
      </c>
      <c r="L51" s="11">
        <v>32.92</v>
      </c>
      <c r="M51" s="11">
        <v>31.73</v>
      </c>
      <c r="N51" s="11">
        <v>45</v>
      </c>
      <c r="O51" s="11">
        <v>37.020000000000003</v>
      </c>
      <c r="P51" s="11">
        <v>35.700000000000003</v>
      </c>
      <c r="Q51" s="11">
        <v>36.35</v>
      </c>
      <c r="R51" s="11">
        <v>34.33</v>
      </c>
      <c r="S51" s="11">
        <v>45</v>
      </c>
      <c r="T51" s="11">
        <v>38.979999999999997</v>
      </c>
      <c r="U51" s="11">
        <v>32.590000000000003</v>
      </c>
      <c r="V51" s="11">
        <v>32.85</v>
      </c>
      <c r="W51" s="11">
        <v>45</v>
      </c>
      <c r="X51" s="11">
        <v>38.909999999999997</v>
      </c>
      <c r="Y51" s="11">
        <v>45</v>
      </c>
      <c r="Z51" s="7">
        <v>10856</v>
      </c>
      <c r="AA51" s="6">
        <v>68.358904109589048</v>
      </c>
      <c r="AB51" s="10">
        <v>35748</v>
      </c>
      <c r="AC51" s="39" t="s">
        <v>222</v>
      </c>
      <c r="AD51" s="2">
        <v>1</v>
      </c>
      <c r="AE51" s="2" t="s">
        <v>25</v>
      </c>
      <c r="AF51" s="2">
        <v>2</v>
      </c>
      <c r="AG51" s="2">
        <v>32</v>
      </c>
      <c r="AH51" s="2">
        <v>19</v>
      </c>
      <c r="AI51" s="2">
        <v>0</v>
      </c>
      <c r="AJ51" s="2" t="s">
        <v>31</v>
      </c>
      <c r="AK51" s="2">
        <v>0</v>
      </c>
      <c r="AM51" s="2">
        <v>1</v>
      </c>
      <c r="AN51" s="41">
        <v>50</v>
      </c>
      <c r="AO51" s="2">
        <v>1</v>
      </c>
      <c r="AP51" s="41">
        <v>50</v>
      </c>
      <c r="AQ51" s="2" t="s">
        <v>28</v>
      </c>
      <c r="AR51" s="12">
        <v>0.2</v>
      </c>
      <c r="AS51" s="8">
        <f t="shared" si="0"/>
        <v>20</v>
      </c>
      <c r="AT51" s="12" t="s">
        <v>34</v>
      </c>
      <c r="AU51" s="8">
        <v>3</v>
      </c>
      <c r="AV51" s="8" t="s">
        <v>44</v>
      </c>
      <c r="AW51" s="29" t="s">
        <v>28</v>
      </c>
      <c r="AX51" s="9">
        <v>0</v>
      </c>
      <c r="AY51" s="11">
        <v>0.2170217228687088</v>
      </c>
      <c r="AZ51" s="2" t="s">
        <v>38</v>
      </c>
      <c r="BA51" s="2">
        <v>3</v>
      </c>
    </row>
    <row r="52" spans="1:53" s="2" customFormat="1">
      <c r="A52" s="1">
        <v>51</v>
      </c>
      <c r="B52" s="2" t="s">
        <v>23</v>
      </c>
      <c r="C52" s="1" t="s">
        <v>90</v>
      </c>
      <c r="D52" s="1">
        <v>24.09</v>
      </c>
      <c r="E52" s="1">
        <v>26.76</v>
      </c>
      <c r="F52" s="1">
        <v>31.45</v>
      </c>
      <c r="G52" s="1">
        <v>35.67</v>
      </c>
      <c r="H52" s="11">
        <v>33.07</v>
      </c>
      <c r="I52" s="11">
        <v>26.13</v>
      </c>
      <c r="J52" s="11">
        <v>32.049999999999997</v>
      </c>
      <c r="K52" s="11">
        <v>32.76</v>
      </c>
      <c r="L52" s="11">
        <v>32.64</v>
      </c>
      <c r="M52" s="11">
        <v>30.85</v>
      </c>
      <c r="N52" s="11">
        <v>36.24</v>
      </c>
      <c r="O52" s="11">
        <v>31.08</v>
      </c>
      <c r="P52" s="11">
        <v>30.02</v>
      </c>
      <c r="Q52" s="11">
        <v>33.020000000000003</v>
      </c>
      <c r="R52" s="11">
        <v>31.13</v>
      </c>
      <c r="S52" s="11">
        <v>33.130000000000003</v>
      </c>
      <c r="T52" s="11">
        <v>34.51</v>
      </c>
      <c r="U52" s="11">
        <v>29.8</v>
      </c>
      <c r="V52" s="11">
        <v>30.11</v>
      </c>
      <c r="W52" s="11">
        <v>36.520000000000003</v>
      </c>
      <c r="X52" s="11">
        <v>33.04</v>
      </c>
      <c r="Y52" s="11">
        <v>32.24</v>
      </c>
      <c r="Z52" s="7">
        <v>12886</v>
      </c>
      <c r="AA52" s="6">
        <v>62.969863013698628</v>
      </c>
      <c r="AB52" s="10">
        <v>35835</v>
      </c>
      <c r="AC52" s="39" t="s">
        <v>224</v>
      </c>
      <c r="AD52" s="2">
        <v>2</v>
      </c>
      <c r="AE52" s="2" t="s">
        <v>25</v>
      </c>
      <c r="AF52" s="2">
        <v>2</v>
      </c>
      <c r="AG52" s="2">
        <v>27</v>
      </c>
      <c r="AH52" s="2">
        <v>20</v>
      </c>
      <c r="AI52" s="2">
        <v>0</v>
      </c>
      <c r="AJ52" s="2" t="s">
        <v>31</v>
      </c>
      <c r="AK52" s="2">
        <v>0</v>
      </c>
      <c r="AM52" s="2">
        <v>1</v>
      </c>
      <c r="AN52" s="41">
        <v>30</v>
      </c>
      <c r="AO52" s="2">
        <v>1</v>
      </c>
      <c r="AP52" s="41">
        <v>30</v>
      </c>
      <c r="AQ52" s="2">
        <v>1</v>
      </c>
      <c r="AR52" s="12">
        <v>0.1</v>
      </c>
      <c r="AS52" s="8">
        <f t="shared" si="0"/>
        <v>10</v>
      </c>
      <c r="AT52" s="12" t="s">
        <v>27</v>
      </c>
      <c r="AU52" s="8">
        <v>1</v>
      </c>
      <c r="AV52" s="12" t="s">
        <v>27</v>
      </c>
      <c r="AW52" s="29" t="s">
        <v>28</v>
      </c>
      <c r="AX52" s="9">
        <v>0</v>
      </c>
      <c r="AY52" s="11">
        <v>8.854124187394774E-2</v>
      </c>
      <c r="AZ52" s="2" t="s">
        <v>38</v>
      </c>
      <c r="BA52" s="2">
        <v>3</v>
      </c>
    </row>
    <row r="53" spans="1:53" s="2" customFormat="1">
      <c r="A53" s="1">
        <v>52</v>
      </c>
      <c r="B53" s="2" t="s">
        <v>23</v>
      </c>
      <c r="C53" s="1" t="s">
        <v>91</v>
      </c>
      <c r="D53" s="1">
        <v>24.19</v>
      </c>
      <c r="E53" s="1">
        <v>27.29</v>
      </c>
      <c r="F53" s="1">
        <v>31.99</v>
      </c>
      <c r="G53" s="1">
        <v>45</v>
      </c>
      <c r="H53" s="11">
        <v>34.4</v>
      </c>
      <c r="I53" s="11">
        <v>27.6</v>
      </c>
      <c r="J53" s="11">
        <v>34.4</v>
      </c>
      <c r="K53" s="11">
        <v>34.46</v>
      </c>
      <c r="L53" s="11">
        <v>30.98</v>
      </c>
      <c r="M53" s="11">
        <v>30.83</v>
      </c>
      <c r="N53" s="11">
        <v>34.57</v>
      </c>
      <c r="O53" s="11">
        <v>32.44</v>
      </c>
      <c r="P53" s="11">
        <v>32.619999999999997</v>
      </c>
      <c r="Q53" s="11">
        <v>31.4</v>
      </c>
      <c r="R53" s="11">
        <v>34</v>
      </c>
      <c r="S53" s="11">
        <v>32.69</v>
      </c>
      <c r="T53" s="11">
        <v>34.81</v>
      </c>
      <c r="U53" s="11">
        <v>33.049999999999997</v>
      </c>
      <c r="V53" s="11">
        <v>31.87</v>
      </c>
      <c r="W53" s="11">
        <v>45</v>
      </c>
      <c r="X53" s="11">
        <v>33.46</v>
      </c>
      <c r="Y53" s="11">
        <v>32.630000000000003</v>
      </c>
      <c r="Z53" s="7">
        <v>9176</v>
      </c>
      <c r="AA53" s="6">
        <v>73.158904109589045</v>
      </c>
      <c r="AB53" s="10">
        <v>35857</v>
      </c>
      <c r="AC53" s="39" t="s">
        <v>222</v>
      </c>
      <c r="AD53" s="2">
        <v>1</v>
      </c>
      <c r="AE53" s="2" t="s">
        <v>37</v>
      </c>
      <c r="AF53" s="2">
        <v>1</v>
      </c>
      <c r="AG53" s="2">
        <v>14</v>
      </c>
      <c r="AH53" s="2">
        <v>25</v>
      </c>
      <c r="AI53" s="2">
        <v>0</v>
      </c>
      <c r="AJ53" s="2" t="s">
        <v>31</v>
      </c>
      <c r="AK53" s="2">
        <v>0</v>
      </c>
      <c r="AM53" s="2">
        <v>2</v>
      </c>
      <c r="AN53" s="41" t="s">
        <v>33</v>
      </c>
      <c r="AO53" s="2">
        <v>2</v>
      </c>
      <c r="AP53" s="41" t="s">
        <v>33</v>
      </c>
      <c r="AQ53" s="2">
        <v>3</v>
      </c>
      <c r="AR53" s="12">
        <v>0.25</v>
      </c>
      <c r="AS53" s="8">
        <f t="shared" si="0"/>
        <v>25</v>
      </c>
      <c r="AT53" s="12" t="s">
        <v>34</v>
      </c>
      <c r="AU53" s="8">
        <v>3</v>
      </c>
      <c r="AV53" s="8" t="s">
        <v>44</v>
      </c>
      <c r="AW53" s="29" t="s">
        <v>28</v>
      </c>
      <c r="AX53" s="9">
        <v>0</v>
      </c>
      <c r="AY53" s="11">
        <v>1.0566472544291594</v>
      </c>
      <c r="AZ53" s="2" t="s">
        <v>38</v>
      </c>
      <c r="BA53" s="2">
        <v>3</v>
      </c>
    </row>
    <row r="54" spans="1:53" s="2" customFormat="1">
      <c r="A54" s="1">
        <v>53</v>
      </c>
      <c r="B54" s="2" t="s">
        <v>23</v>
      </c>
      <c r="C54" s="1" t="s">
        <v>92</v>
      </c>
      <c r="D54" s="1">
        <v>24.06</v>
      </c>
      <c r="E54" s="1">
        <v>25.21</v>
      </c>
      <c r="F54" s="1">
        <v>29.46</v>
      </c>
      <c r="G54" s="1">
        <v>36.08</v>
      </c>
      <c r="H54" s="11">
        <v>30.26</v>
      </c>
      <c r="I54" s="11">
        <v>25.84</v>
      </c>
      <c r="J54" s="11">
        <v>31.08</v>
      </c>
      <c r="K54" s="11">
        <v>32.17</v>
      </c>
      <c r="L54" s="11">
        <v>31.3</v>
      </c>
      <c r="M54" s="11">
        <v>29.48</v>
      </c>
      <c r="N54" s="11">
        <v>34</v>
      </c>
      <c r="O54" s="11">
        <v>30.82</v>
      </c>
      <c r="P54" s="11">
        <v>29.66</v>
      </c>
      <c r="Q54" s="11">
        <v>32.270000000000003</v>
      </c>
      <c r="R54" s="11">
        <v>31.97</v>
      </c>
      <c r="S54" s="11">
        <v>33.020000000000003</v>
      </c>
      <c r="T54" s="11">
        <v>31.73</v>
      </c>
      <c r="U54" s="11">
        <v>26.85</v>
      </c>
      <c r="V54" s="11">
        <v>27.36</v>
      </c>
      <c r="W54" s="11">
        <v>34.6</v>
      </c>
      <c r="X54" s="11">
        <v>32.18</v>
      </c>
      <c r="Y54" s="11">
        <v>32.25</v>
      </c>
      <c r="Z54" s="7">
        <v>9505</v>
      </c>
      <c r="AA54" s="6">
        <v>73.978082191780828</v>
      </c>
      <c r="AB54" s="10">
        <v>36472</v>
      </c>
      <c r="AC54" s="39" t="s">
        <v>222</v>
      </c>
      <c r="AD54" s="2">
        <v>1</v>
      </c>
      <c r="AE54" s="2" t="s">
        <v>37</v>
      </c>
      <c r="AF54" s="2">
        <v>1</v>
      </c>
      <c r="AG54" s="2">
        <v>6</v>
      </c>
      <c r="AH54" s="2">
        <v>7</v>
      </c>
      <c r="AI54" s="2">
        <v>0</v>
      </c>
      <c r="AJ54" s="2" t="s">
        <v>31</v>
      </c>
      <c r="AK54" s="2">
        <v>0</v>
      </c>
      <c r="AM54" s="2">
        <v>1</v>
      </c>
      <c r="AN54" s="41">
        <v>90</v>
      </c>
      <c r="AO54" s="2">
        <v>1</v>
      </c>
      <c r="AP54" s="41">
        <v>90</v>
      </c>
      <c r="AQ54" s="2">
        <v>1</v>
      </c>
      <c r="AR54" s="12">
        <v>0.15</v>
      </c>
      <c r="AS54" s="8">
        <f t="shared" si="0"/>
        <v>15</v>
      </c>
      <c r="AT54" s="12" t="s">
        <v>34</v>
      </c>
      <c r="AU54" s="8">
        <v>3</v>
      </c>
      <c r="AV54" s="8" t="s">
        <v>44</v>
      </c>
      <c r="AW54" s="29" t="s">
        <v>28</v>
      </c>
      <c r="AX54" s="9">
        <v>0</v>
      </c>
      <c r="AY54" s="11">
        <v>-1.0008446378555349</v>
      </c>
      <c r="AZ54" s="2" t="s">
        <v>35</v>
      </c>
      <c r="BA54" s="2">
        <v>1</v>
      </c>
    </row>
    <row r="55" spans="1:53" s="2" customFormat="1">
      <c r="A55" s="1">
        <v>54</v>
      </c>
      <c r="B55" s="2" t="s">
        <v>23</v>
      </c>
      <c r="C55" s="1" t="s">
        <v>93</v>
      </c>
      <c r="D55" s="1">
        <v>23.51</v>
      </c>
      <c r="E55" s="1">
        <v>26.65</v>
      </c>
      <c r="F55" s="1">
        <v>31.15</v>
      </c>
      <c r="G55" s="1">
        <v>45</v>
      </c>
      <c r="H55" s="11">
        <v>31.97</v>
      </c>
      <c r="I55" s="11">
        <v>26.27</v>
      </c>
      <c r="J55" s="11">
        <v>32.06</v>
      </c>
      <c r="K55" s="11">
        <v>33.5</v>
      </c>
      <c r="L55" s="11">
        <v>33.630000000000003</v>
      </c>
      <c r="M55" s="11">
        <v>30.39</v>
      </c>
      <c r="N55" s="11">
        <v>34.21</v>
      </c>
      <c r="O55" s="11">
        <v>31.75</v>
      </c>
      <c r="P55" s="11">
        <v>30.66</v>
      </c>
      <c r="Q55" s="11">
        <v>34.159999999999997</v>
      </c>
      <c r="R55" s="11">
        <v>32.47</v>
      </c>
      <c r="S55" s="11">
        <v>33.49</v>
      </c>
      <c r="T55" s="11">
        <v>32.700000000000003</v>
      </c>
      <c r="U55" s="11">
        <v>28.2</v>
      </c>
      <c r="V55" s="11">
        <v>28.72</v>
      </c>
      <c r="W55" s="11">
        <v>35.51</v>
      </c>
      <c r="X55" s="11">
        <v>32.840000000000003</v>
      </c>
      <c r="Y55" s="11">
        <v>32.590000000000003</v>
      </c>
      <c r="Z55" s="7">
        <v>18477</v>
      </c>
      <c r="AA55" s="6">
        <v>49.0027397260274</v>
      </c>
      <c r="AB55" s="10">
        <v>36329</v>
      </c>
      <c r="AC55" s="39" t="s">
        <v>222</v>
      </c>
      <c r="AD55" s="2">
        <v>1</v>
      </c>
      <c r="AE55" s="2" t="s">
        <v>37</v>
      </c>
      <c r="AF55" s="2">
        <v>1</v>
      </c>
      <c r="AG55" s="2">
        <v>12</v>
      </c>
      <c r="AH55" s="2">
        <v>13</v>
      </c>
      <c r="AI55" s="2">
        <v>0</v>
      </c>
      <c r="AJ55" s="2" t="s">
        <v>31</v>
      </c>
      <c r="AK55" s="2">
        <v>0</v>
      </c>
      <c r="AM55" s="2">
        <v>1</v>
      </c>
      <c r="AN55" s="41">
        <v>90</v>
      </c>
      <c r="AO55" s="2">
        <v>1</v>
      </c>
      <c r="AP55" s="41">
        <v>20</v>
      </c>
      <c r="AQ55" s="2">
        <v>2</v>
      </c>
      <c r="AR55" s="12">
        <v>0.15</v>
      </c>
      <c r="AS55" s="8">
        <f t="shared" si="0"/>
        <v>15</v>
      </c>
      <c r="AT55" s="12" t="s">
        <v>34</v>
      </c>
      <c r="AU55" s="8">
        <v>3</v>
      </c>
      <c r="AV55" s="8" t="s">
        <v>44</v>
      </c>
      <c r="AW55" s="29" t="s">
        <v>28</v>
      </c>
      <c r="AX55" s="9">
        <v>0</v>
      </c>
      <c r="AY55" s="11">
        <v>-1.4876920774866749</v>
      </c>
      <c r="AZ55" s="2" t="s">
        <v>35</v>
      </c>
      <c r="BA55" s="2">
        <v>1</v>
      </c>
    </row>
    <row r="56" spans="1:53" s="2" customFormat="1">
      <c r="A56" s="1">
        <v>55</v>
      </c>
      <c r="B56" s="2" t="s">
        <v>23</v>
      </c>
      <c r="C56" s="1" t="s">
        <v>94</v>
      </c>
      <c r="D56" s="1">
        <v>22.29</v>
      </c>
      <c r="E56" s="1">
        <v>24.25</v>
      </c>
      <c r="F56" s="1">
        <v>29.45</v>
      </c>
      <c r="G56" s="1">
        <v>36.49</v>
      </c>
      <c r="H56" s="11">
        <v>30.6</v>
      </c>
      <c r="I56" s="11">
        <v>24.93</v>
      </c>
      <c r="J56" s="11">
        <v>30.16</v>
      </c>
      <c r="K56" s="11">
        <v>32</v>
      </c>
      <c r="L56" s="11">
        <v>32.31</v>
      </c>
      <c r="M56" s="11">
        <v>27.69</v>
      </c>
      <c r="N56" s="11">
        <v>34.71</v>
      </c>
      <c r="O56" s="11">
        <v>29.45</v>
      </c>
      <c r="P56" s="11">
        <v>28.15</v>
      </c>
      <c r="Q56" s="11">
        <v>32.159999999999997</v>
      </c>
      <c r="R56" s="11">
        <v>30.46</v>
      </c>
      <c r="S56" s="11">
        <v>31.43</v>
      </c>
      <c r="T56" s="11">
        <v>31.15</v>
      </c>
      <c r="U56" s="11">
        <v>26.9</v>
      </c>
      <c r="V56" s="11">
        <v>27.37</v>
      </c>
      <c r="W56" s="11">
        <v>34.82</v>
      </c>
      <c r="X56" s="11">
        <v>29.41</v>
      </c>
      <c r="Y56" s="11">
        <v>31.22</v>
      </c>
      <c r="Z56" s="7">
        <v>11952</v>
      </c>
      <c r="AA56" s="6">
        <v>66.882191780821913</v>
      </c>
      <c r="AB56" s="10">
        <v>36340</v>
      </c>
      <c r="AC56" s="39" t="s">
        <v>222</v>
      </c>
      <c r="AD56" s="2">
        <v>1</v>
      </c>
      <c r="AE56" s="2" t="s">
        <v>37</v>
      </c>
      <c r="AF56" s="2">
        <v>1</v>
      </c>
      <c r="AG56" s="2">
        <v>15</v>
      </c>
      <c r="AH56" s="2">
        <v>23</v>
      </c>
      <c r="AI56" s="2">
        <v>11</v>
      </c>
      <c r="AJ56" s="2" t="s">
        <v>61</v>
      </c>
      <c r="AK56" s="2">
        <v>3</v>
      </c>
      <c r="AM56" s="2">
        <v>2</v>
      </c>
      <c r="AN56" s="41" t="s">
        <v>33</v>
      </c>
      <c r="AO56" s="2">
        <v>2</v>
      </c>
      <c r="AP56" s="41" t="s">
        <v>33</v>
      </c>
      <c r="AQ56" s="2">
        <v>3</v>
      </c>
      <c r="AR56" s="12">
        <v>0.9</v>
      </c>
      <c r="AS56" s="8">
        <f t="shared" si="0"/>
        <v>90</v>
      </c>
      <c r="AT56" s="12" t="s">
        <v>34</v>
      </c>
      <c r="AU56" s="8">
        <v>3</v>
      </c>
      <c r="AV56" s="8" t="s">
        <v>34</v>
      </c>
      <c r="AW56" s="29" t="s">
        <v>28</v>
      </c>
      <c r="AX56" s="9">
        <v>0</v>
      </c>
      <c r="AY56" s="11">
        <v>-0.81669609965891854</v>
      </c>
      <c r="AZ56" s="2" t="s">
        <v>29</v>
      </c>
      <c r="BA56" s="2">
        <v>2</v>
      </c>
    </row>
    <row r="57" spans="1:53" s="2" customFormat="1">
      <c r="A57" s="1">
        <v>56</v>
      </c>
      <c r="B57" s="2" t="s">
        <v>23</v>
      </c>
      <c r="C57" s="1" t="s">
        <v>95</v>
      </c>
      <c r="D57" s="1">
        <v>22.16</v>
      </c>
      <c r="E57" s="1">
        <v>25.09</v>
      </c>
      <c r="F57" s="1">
        <v>29.33</v>
      </c>
      <c r="G57" s="1">
        <v>45</v>
      </c>
      <c r="H57" s="11">
        <v>31.85</v>
      </c>
      <c r="I57" s="11">
        <v>25.71</v>
      </c>
      <c r="J57" s="11">
        <v>32.03</v>
      </c>
      <c r="K57" s="11">
        <v>32.35</v>
      </c>
      <c r="L57" s="11">
        <v>30.1</v>
      </c>
      <c r="M57" s="11">
        <v>30.59</v>
      </c>
      <c r="N57" s="11">
        <v>34.21</v>
      </c>
      <c r="O57" s="11">
        <v>29.89</v>
      </c>
      <c r="P57" s="11">
        <v>30.78</v>
      </c>
      <c r="Q57" s="11">
        <v>31.1</v>
      </c>
      <c r="R57" s="11">
        <v>29.79</v>
      </c>
      <c r="S57" s="11">
        <v>28.18</v>
      </c>
      <c r="T57" s="11">
        <v>31.71</v>
      </c>
      <c r="U57" s="11">
        <v>29.37</v>
      </c>
      <c r="V57" s="11">
        <v>28.85</v>
      </c>
      <c r="W57" s="11">
        <v>36.82</v>
      </c>
      <c r="X57" s="11">
        <v>28.41</v>
      </c>
      <c r="Y57" s="11">
        <v>32.56</v>
      </c>
      <c r="Z57" s="7">
        <v>20390</v>
      </c>
      <c r="AA57" s="6">
        <v>43.912328767123284</v>
      </c>
      <c r="AB57" s="10">
        <v>36397</v>
      </c>
      <c r="AC57" s="39" t="s">
        <v>222</v>
      </c>
      <c r="AD57" s="2">
        <v>1</v>
      </c>
      <c r="AE57" s="2" t="s">
        <v>37</v>
      </c>
      <c r="AF57" s="2">
        <v>1</v>
      </c>
      <c r="AG57" s="2">
        <v>17</v>
      </c>
      <c r="AH57" s="2">
        <v>53</v>
      </c>
      <c r="AI57" s="2">
        <v>44</v>
      </c>
      <c r="AJ57" s="2" t="s">
        <v>61</v>
      </c>
      <c r="AK57" s="2">
        <v>3</v>
      </c>
      <c r="AM57" s="2">
        <v>2</v>
      </c>
      <c r="AN57" s="41" t="s">
        <v>33</v>
      </c>
      <c r="AO57" s="2">
        <v>2</v>
      </c>
      <c r="AP57" s="41" t="s">
        <v>33</v>
      </c>
      <c r="AQ57" s="2">
        <v>3</v>
      </c>
      <c r="AR57" s="12">
        <v>0.7</v>
      </c>
      <c r="AS57" s="8">
        <f t="shared" si="0"/>
        <v>70</v>
      </c>
      <c r="AT57" s="12" t="s">
        <v>34</v>
      </c>
      <c r="AU57" s="8">
        <v>3</v>
      </c>
      <c r="AV57" s="8" t="s">
        <v>34</v>
      </c>
      <c r="AW57" s="29" t="s">
        <v>28</v>
      </c>
      <c r="AX57" s="9">
        <v>0</v>
      </c>
      <c r="AY57" s="11">
        <v>0.6164025571392735</v>
      </c>
      <c r="AZ57" s="2" t="s">
        <v>38</v>
      </c>
      <c r="BA57" s="2">
        <v>3</v>
      </c>
    </row>
    <row r="58" spans="1:53" s="2" customFormat="1">
      <c r="A58" s="1">
        <v>57</v>
      </c>
      <c r="B58" s="2" t="s">
        <v>23</v>
      </c>
      <c r="C58" s="1" t="s">
        <v>96</v>
      </c>
      <c r="D58" s="1">
        <v>24.92</v>
      </c>
      <c r="E58" s="1">
        <v>25.92</v>
      </c>
      <c r="F58" s="1">
        <v>31.61</v>
      </c>
      <c r="G58" s="1">
        <v>45</v>
      </c>
      <c r="H58" s="11">
        <v>32.31</v>
      </c>
      <c r="I58" s="11">
        <v>26.5</v>
      </c>
      <c r="J58" s="11">
        <v>31.68</v>
      </c>
      <c r="K58" s="11">
        <v>33.54</v>
      </c>
      <c r="L58" s="11">
        <v>32.18</v>
      </c>
      <c r="M58" s="11">
        <v>31.06</v>
      </c>
      <c r="N58" s="11">
        <v>36.700000000000003</v>
      </c>
      <c r="O58" s="11">
        <v>30.84</v>
      </c>
      <c r="P58" s="11">
        <v>31.04</v>
      </c>
      <c r="Q58" s="11">
        <v>33.450000000000003</v>
      </c>
      <c r="R58" s="11">
        <v>31.18</v>
      </c>
      <c r="S58" s="11">
        <v>33.18</v>
      </c>
      <c r="T58" s="11">
        <v>34.299999999999997</v>
      </c>
      <c r="U58" s="11">
        <v>27.95</v>
      </c>
      <c r="V58" s="11">
        <v>29.83</v>
      </c>
      <c r="W58" s="11">
        <v>45</v>
      </c>
      <c r="X58" s="11">
        <v>31.94</v>
      </c>
      <c r="Y58" s="11">
        <v>33.090000000000003</v>
      </c>
      <c r="Z58" s="4">
        <v>8032</v>
      </c>
      <c r="AA58" s="6">
        <v>77.654794520547952</v>
      </c>
      <c r="AB58" s="10">
        <v>36376</v>
      </c>
      <c r="AC58" s="39" t="s">
        <v>97</v>
      </c>
      <c r="AE58" s="2" t="s">
        <v>25</v>
      </c>
      <c r="AF58" s="2">
        <v>2</v>
      </c>
      <c r="AG58" s="2">
        <v>35</v>
      </c>
      <c r="AH58" s="2">
        <v>17</v>
      </c>
      <c r="AI58" s="2">
        <v>0</v>
      </c>
      <c r="AJ58" s="2" t="s">
        <v>31</v>
      </c>
      <c r="AK58" s="2">
        <v>0</v>
      </c>
      <c r="AM58" s="2">
        <v>1</v>
      </c>
      <c r="AN58" s="41">
        <v>80</v>
      </c>
      <c r="AO58" s="2">
        <v>2</v>
      </c>
      <c r="AP58" s="41" t="s">
        <v>33</v>
      </c>
      <c r="AQ58" s="2" t="s">
        <v>28</v>
      </c>
      <c r="AR58" s="12">
        <v>0.25</v>
      </c>
      <c r="AS58" s="8">
        <f t="shared" si="0"/>
        <v>25</v>
      </c>
      <c r="AT58" s="12" t="s">
        <v>34</v>
      </c>
      <c r="AU58" s="8">
        <v>3</v>
      </c>
      <c r="AV58" s="8" t="s">
        <v>44</v>
      </c>
      <c r="AW58" s="29" t="s">
        <v>28</v>
      </c>
      <c r="AX58" s="2">
        <v>0</v>
      </c>
      <c r="AY58" s="11">
        <v>-0.8515992820945133</v>
      </c>
      <c r="AZ58" s="2" t="s">
        <v>29</v>
      </c>
      <c r="BA58" s="2">
        <v>2</v>
      </c>
    </row>
    <row r="59" spans="1:53" s="2" customFormat="1">
      <c r="A59" s="1">
        <v>58</v>
      </c>
      <c r="B59" s="2" t="s">
        <v>23</v>
      </c>
      <c r="C59" s="1" t="s">
        <v>98</v>
      </c>
      <c r="D59" s="1">
        <v>23.16</v>
      </c>
      <c r="E59" s="1">
        <v>25.77</v>
      </c>
      <c r="F59" s="1">
        <v>29.77</v>
      </c>
      <c r="G59" s="1">
        <v>34.81</v>
      </c>
      <c r="H59" s="11">
        <v>32.090000000000003</v>
      </c>
      <c r="I59" s="11">
        <v>25.03</v>
      </c>
      <c r="J59" s="11">
        <v>31.6</v>
      </c>
      <c r="K59" s="11">
        <v>33.19</v>
      </c>
      <c r="L59" s="11">
        <v>31.72</v>
      </c>
      <c r="M59" s="11">
        <v>30.52</v>
      </c>
      <c r="N59" s="11">
        <v>35.99</v>
      </c>
      <c r="O59" s="11">
        <v>30.41</v>
      </c>
      <c r="P59" s="11">
        <v>29.28</v>
      </c>
      <c r="Q59" s="11">
        <v>32.979999999999997</v>
      </c>
      <c r="R59" s="11">
        <v>30.98</v>
      </c>
      <c r="S59" s="11">
        <v>32.85</v>
      </c>
      <c r="T59" s="11">
        <v>31.47</v>
      </c>
      <c r="U59" s="11">
        <v>28.93</v>
      </c>
      <c r="V59" s="11">
        <v>28.49</v>
      </c>
      <c r="W59" s="11">
        <v>34.58</v>
      </c>
      <c r="X59" s="11">
        <v>31.16</v>
      </c>
      <c r="Y59" s="11">
        <v>33.33</v>
      </c>
      <c r="Z59" s="7">
        <v>14759</v>
      </c>
      <c r="AA59" s="6">
        <v>59.260273972602739</v>
      </c>
      <c r="AB59" s="10">
        <v>36354</v>
      </c>
      <c r="AC59" s="39" t="s">
        <v>222</v>
      </c>
      <c r="AD59" s="2">
        <v>1</v>
      </c>
      <c r="AE59" s="2" t="s">
        <v>37</v>
      </c>
      <c r="AF59" s="2">
        <v>1</v>
      </c>
      <c r="AG59" s="2">
        <v>20</v>
      </c>
      <c r="AH59" s="2">
        <v>26</v>
      </c>
      <c r="AI59" s="2">
        <v>0</v>
      </c>
      <c r="AJ59" s="2" t="s">
        <v>31</v>
      </c>
      <c r="AK59" s="2">
        <v>0</v>
      </c>
      <c r="AM59" s="2">
        <v>2</v>
      </c>
      <c r="AN59" s="41" t="s">
        <v>33</v>
      </c>
      <c r="AO59" s="2">
        <v>2</v>
      </c>
      <c r="AP59" s="41" t="s">
        <v>33</v>
      </c>
      <c r="AQ59" s="2">
        <v>3</v>
      </c>
      <c r="AR59" s="12">
        <v>0.2</v>
      </c>
      <c r="AS59" s="8">
        <f t="shared" si="0"/>
        <v>20</v>
      </c>
      <c r="AT59" s="12" t="s">
        <v>34</v>
      </c>
      <c r="AU59" s="8">
        <v>3</v>
      </c>
      <c r="AV59" s="8" t="s">
        <v>44</v>
      </c>
      <c r="AW59" s="29" t="s">
        <v>28</v>
      </c>
      <c r="AX59" s="9">
        <v>0</v>
      </c>
      <c r="AY59" s="11">
        <v>5.6842877213028054E-3</v>
      </c>
      <c r="AZ59" s="2" t="s">
        <v>38</v>
      </c>
      <c r="BA59" s="2">
        <v>3</v>
      </c>
    </row>
    <row r="60" spans="1:53" s="2" customFormat="1">
      <c r="A60" s="1">
        <v>59</v>
      </c>
      <c r="B60" s="2" t="s">
        <v>23</v>
      </c>
      <c r="C60" s="1" t="s">
        <v>99</v>
      </c>
      <c r="D60" s="1">
        <v>22.67</v>
      </c>
      <c r="E60" s="1">
        <v>26.75</v>
      </c>
      <c r="F60" s="1">
        <v>31.59</v>
      </c>
      <c r="G60" s="1">
        <v>45</v>
      </c>
      <c r="H60" s="11">
        <v>33.21</v>
      </c>
      <c r="I60" s="11">
        <v>26.82</v>
      </c>
      <c r="J60" s="11">
        <v>32.17</v>
      </c>
      <c r="K60" s="11">
        <v>33.840000000000003</v>
      </c>
      <c r="L60" s="11">
        <v>29.02</v>
      </c>
      <c r="M60" s="11">
        <v>29.79</v>
      </c>
      <c r="N60" s="11">
        <v>33.619999999999997</v>
      </c>
      <c r="O60" s="11">
        <v>30.59</v>
      </c>
      <c r="P60" s="11">
        <v>32.54</v>
      </c>
      <c r="Q60" s="11">
        <v>31.26</v>
      </c>
      <c r="R60" s="11">
        <v>30.87</v>
      </c>
      <c r="S60" s="11">
        <v>30.01</v>
      </c>
      <c r="T60" s="11">
        <v>34.76</v>
      </c>
      <c r="U60" s="11">
        <v>29.42</v>
      </c>
      <c r="V60" s="11">
        <v>32.54</v>
      </c>
      <c r="W60" s="11">
        <v>34.270000000000003</v>
      </c>
      <c r="X60" s="11">
        <v>31.78</v>
      </c>
      <c r="Y60" s="11">
        <v>33.4</v>
      </c>
      <c r="Z60" s="7">
        <v>14474</v>
      </c>
      <c r="AA60" s="6">
        <v>59.964383561643835</v>
      </c>
      <c r="AB60" s="10">
        <v>36528</v>
      </c>
      <c r="AC60" s="39" t="s">
        <v>97</v>
      </c>
      <c r="AE60" s="2" t="s">
        <v>28</v>
      </c>
      <c r="AF60" s="2">
        <v>4</v>
      </c>
      <c r="AG60" s="2" t="s">
        <v>28</v>
      </c>
      <c r="AH60" s="2">
        <v>16</v>
      </c>
      <c r="AI60" s="2">
        <v>2</v>
      </c>
      <c r="AJ60" s="2" t="s">
        <v>26</v>
      </c>
      <c r="AK60" s="2">
        <v>1</v>
      </c>
      <c r="AM60" s="2">
        <v>2</v>
      </c>
      <c r="AN60" s="41" t="s">
        <v>33</v>
      </c>
      <c r="AO60" s="2">
        <v>2</v>
      </c>
      <c r="AP60" s="41" t="s">
        <v>33</v>
      </c>
      <c r="AQ60" s="2">
        <v>3</v>
      </c>
      <c r="AR60" s="12">
        <v>0</v>
      </c>
      <c r="AS60" s="8">
        <f t="shared" si="0"/>
        <v>0</v>
      </c>
      <c r="AT60" s="12" t="s">
        <v>27</v>
      </c>
      <c r="AU60" s="8">
        <v>1</v>
      </c>
      <c r="AV60" s="12" t="s">
        <v>27</v>
      </c>
      <c r="AW60" s="29" t="s">
        <v>28</v>
      </c>
      <c r="AX60" s="9">
        <v>0</v>
      </c>
      <c r="AY60" s="11">
        <v>1.1125893251073344</v>
      </c>
      <c r="AZ60" s="2" t="s">
        <v>38</v>
      </c>
      <c r="BA60" s="2">
        <v>3</v>
      </c>
    </row>
    <row r="61" spans="1:53" s="2" customFormat="1">
      <c r="A61" s="1">
        <v>60</v>
      </c>
      <c r="B61" s="2" t="s">
        <v>23</v>
      </c>
      <c r="C61" s="1" t="s">
        <v>46</v>
      </c>
      <c r="D61" s="1">
        <v>24.14</v>
      </c>
      <c r="E61" s="1">
        <v>27.11</v>
      </c>
      <c r="F61" s="1">
        <v>31.17</v>
      </c>
      <c r="G61" s="1">
        <v>45</v>
      </c>
      <c r="H61" s="11">
        <v>33.47</v>
      </c>
      <c r="I61" s="11">
        <v>26.64</v>
      </c>
      <c r="J61" s="11">
        <v>33.44</v>
      </c>
      <c r="K61" s="11">
        <v>33.61</v>
      </c>
      <c r="L61" s="11">
        <v>30.19</v>
      </c>
      <c r="M61" s="11">
        <v>31.53</v>
      </c>
      <c r="N61" s="11">
        <v>35.56</v>
      </c>
      <c r="O61" s="11">
        <v>32.25</v>
      </c>
      <c r="P61" s="11">
        <v>32.86</v>
      </c>
      <c r="Q61" s="11">
        <v>31.75</v>
      </c>
      <c r="R61" s="11">
        <v>31.15</v>
      </c>
      <c r="S61" s="11">
        <v>31.23</v>
      </c>
      <c r="T61" s="11">
        <v>33.94</v>
      </c>
      <c r="U61" s="11">
        <v>31.03</v>
      </c>
      <c r="V61" s="11">
        <v>30.26</v>
      </c>
      <c r="W61" s="11">
        <v>35.33</v>
      </c>
      <c r="X61" s="11">
        <v>34.86</v>
      </c>
      <c r="Y61" s="11">
        <v>32.54</v>
      </c>
      <c r="Z61" s="4">
        <v>11433</v>
      </c>
      <c r="AA61" s="6">
        <v>68.361643835616434</v>
      </c>
      <c r="AB61" s="10">
        <v>36385</v>
      </c>
      <c r="AC61" s="39" t="s">
        <v>222</v>
      </c>
      <c r="AD61" s="2">
        <v>1</v>
      </c>
      <c r="AE61" s="2" t="s">
        <v>25</v>
      </c>
      <c r="AF61" s="2">
        <v>2</v>
      </c>
      <c r="AG61" s="8">
        <v>40</v>
      </c>
      <c r="AH61" s="2">
        <v>4</v>
      </c>
      <c r="AI61" s="2">
        <v>4</v>
      </c>
      <c r="AJ61" s="2" t="s">
        <v>47</v>
      </c>
      <c r="AK61" s="2">
        <v>2</v>
      </c>
      <c r="AM61" s="2">
        <v>2</v>
      </c>
      <c r="AN61" s="41" t="s">
        <v>33</v>
      </c>
      <c r="AO61" s="2">
        <v>2</v>
      </c>
      <c r="AP61" s="41" t="s">
        <v>33</v>
      </c>
      <c r="AQ61" s="2">
        <v>3</v>
      </c>
      <c r="AR61" s="12">
        <v>0.8</v>
      </c>
      <c r="AS61" s="8">
        <f t="shared" si="0"/>
        <v>80</v>
      </c>
      <c r="AT61" s="12" t="s">
        <v>34</v>
      </c>
      <c r="AU61" s="8">
        <v>3</v>
      </c>
      <c r="AV61" s="8" t="s">
        <v>34</v>
      </c>
      <c r="AW61" s="29" t="s">
        <v>28</v>
      </c>
      <c r="AX61" s="2">
        <v>0</v>
      </c>
      <c r="AY61" s="11">
        <v>0.6562062445630894</v>
      </c>
      <c r="AZ61" s="2" t="s">
        <v>38</v>
      </c>
      <c r="BA61" s="2">
        <v>3</v>
      </c>
    </row>
    <row r="62" spans="1:53" s="2" customFormat="1">
      <c r="A62" s="1">
        <v>61</v>
      </c>
      <c r="B62" s="2" t="s">
        <v>23</v>
      </c>
      <c r="C62" s="1" t="s">
        <v>100</v>
      </c>
      <c r="D62" s="1">
        <v>22.49</v>
      </c>
      <c r="E62" s="1">
        <v>24.59</v>
      </c>
      <c r="F62" s="1">
        <v>29.32</v>
      </c>
      <c r="G62" s="1">
        <v>35.229999999999997</v>
      </c>
      <c r="H62" s="11">
        <v>30.95</v>
      </c>
      <c r="I62" s="11">
        <v>24.3</v>
      </c>
      <c r="J62" s="11">
        <v>30.81</v>
      </c>
      <c r="K62" s="11">
        <v>32.409999999999997</v>
      </c>
      <c r="L62" s="11">
        <v>31.21</v>
      </c>
      <c r="M62" s="11">
        <v>30.09</v>
      </c>
      <c r="N62" s="11">
        <v>35.83</v>
      </c>
      <c r="O62" s="11">
        <v>30.24</v>
      </c>
      <c r="P62" s="11">
        <v>28.42</v>
      </c>
      <c r="Q62" s="11">
        <v>33.6</v>
      </c>
      <c r="R62" s="11">
        <v>30.87</v>
      </c>
      <c r="S62" s="11">
        <v>32.31</v>
      </c>
      <c r="T62" s="11">
        <v>31.12</v>
      </c>
      <c r="U62" s="11">
        <v>28.61</v>
      </c>
      <c r="V62" s="11">
        <v>27.12</v>
      </c>
      <c r="W62" s="11">
        <v>36.42</v>
      </c>
      <c r="X62" s="11">
        <v>30.81</v>
      </c>
      <c r="Y62" s="11">
        <v>31.59</v>
      </c>
      <c r="Z62" s="7">
        <v>20861</v>
      </c>
      <c r="AA62" s="6">
        <v>42.339726027397262</v>
      </c>
      <c r="AB62" s="10">
        <v>36285</v>
      </c>
      <c r="AC62" s="39" t="s">
        <v>224</v>
      </c>
      <c r="AD62" s="2">
        <v>2</v>
      </c>
      <c r="AE62" s="2" t="s">
        <v>37</v>
      </c>
      <c r="AF62" s="2">
        <v>1</v>
      </c>
      <c r="AG62" s="2">
        <v>4</v>
      </c>
      <c r="AH62" s="2">
        <v>26</v>
      </c>
      <c r="AI62" s="2">
        <v>4</v>
      </c>
      <c r="AJ62" s="2" t="s">
        <v>47</v>
      </c>
      <c r="AK62" s="2">
        <v>2</v>
      </c>
      <c r="AM62" s="2">
        <v>1</v>
      </c>
      <c r="AN62" s="41">
        <v>80</v>
      </c>
      <c r="AO62" s="2">
        <v>1</v>
      </c>
      <c r="AP62" s="41">
        <v>85</v>
      </c>
      <c r="AQ62" s="2" t="s">
        <v>28</v>
      </c>
      <c r="AR62" s="12">
        <v>0.15</v>
      </c>
      <c r="AS62" s="8">
        <f t="shared" si="0"/>
        <v>15</v>
      </c>
      <c r="AT62" s="12" t="s">
        <v>34</v>
      </c>
      <c r="AU62" s="8">
        <v>3</v>
      </c>
      <c r="AV62" s="8" t="s">
        <v>44</v>
      </c>
      <c r="AW62" s="29" t="s">
        <v>28</v>
      </c>
      <c r="AX62" s="9">
        <v>0</v>
      </c>
      <c r="AY62" s="11">
        <v>-1.172561967574985</v>
      </c>
      <c r="AZ62" s="2" t="s">
        <v>35</v>
      </c>
      <c r="BA62" s="2">
        <v>1</v>
      </c>
    </row>
    <row r="63" spans="1:53" s="2" customFormat="1">
      <c r="A63" s="1">
        <v>62</v>
      </c>
      <c r="B63" s="2" t="s">
        <v>23</v>
      </c>
      <c r="C63" s="1" t="s">
        <v>101</v>
      </c>
      <c r="D63" s="1">
        <v>23.54</v>
      </c>
      <c r="E63" s="1">
        <v>24.41</v>
      </c>
      <c r="F63" s="1">
        <v>30.39</v>
      </c>
      <c r="G63" s="1">
        <v>34.53</v>
      </c>
      <c r="H63" s="11">
        <v>31.6</v>
      </c>
      <c r="I63" s="11">
        <v>24.77</v>
      </c>
      <c r="J63" s="11">
        <v>32.229999999999997</v>
      </c>
      <c r="K63" s="11">
        <v>30.15</v>
      </c>
      <c r="L63" s="11">
        <v>31.27</v>
      </c>
      <c r="M63" s="11">
        <v>32.47</v>
      </c>
      <c r="N63" s="11">
        <v>32.9</v>
      </c>
      <c r="O63" s="11">
        <v>30.05</v>
      </c>
      <c r="P63" s="11">
        <v>29.87</v>
      </c>
      <c r="Q63" s="11">
        <v>31.88</v>
      </c>
      <c r="R63" s="11">
        <v>30.18</v>
      </c>
      <c r="S63" s="11">
        <v>35.33</v>
      </c>
      <c r="T63" s="11">
        <v>32.020000000000003</v>
      </c>
      <c r="U63" s="11">
        <v>28.85</v>
      </c>
      <c r="V63" s="11">
        <v>27.16</v>
      </c>
      <c r="W63" s="11">
        <v>34.369999999999997</v>
      </c>
      <c r="X63" s="11">
        <v>28.45</v>
      </c>
      <c r="Y63" s="11">
        <v>31.82</v>
      </c>
      <c r="Z63" s="7">
        <v>6799</v>
      </c>
      <c r="AA63" s="6">
        <v>81.38082191780822</v>
      </c>
      <c r="AB63" s="10">
        <v>36472</v>
      </c>
      <c r="AC63" s="39" t="s">
        <v>222</v>
      </c>
      <c r="AD63" s="2">
        <v>1</v>
      </c>
      <c r="AE63" s="2" t="s">
        <v>25</v>
      </c>
      <c r="AF63" s="2">
        <v>2</v>
      </c>
      <c r="AG63" s="2">
        <v>35</v>
      </c>
      <c r="AH63" s="2">
        <v>0</v>
      </c>
      <c r="AI63" s="2" t="s">
        <v>28</v>
      </c>
      <c r="AJ63" s="2" t="s">
        <v>28</v>
      </c>
      <c r="AK63" s="2">
        <v>4</v>
      </c>
      <c r="AM63" s="2">
        <v>1</v>
      </c>
      <c r="AN63" s="41">
        <v>80</v>
      </c>
      <c r="AO63" s="2">
        <v>2</v>
      </c>
      <c r="AP63" s="41" t="s">
        <v>33</v>
      </c>
      <c r="AQ63" s="2">
        <v>1</v>
      </c>
      <c r="AR63" s="12">
        <v>0.2</v>
      </c>
      <c r="AS63" s="8">
        <f t="shared" si="0"/>
        <v>20</v>
      </c>
      <c r="AT63" s="12" t="s">
        <v>34</v>
      </c>
      <c r="AU63" s="8">
        <v>3</v>
      </c>
      <c r="AV63" s="8" t="s">
        <v>44</v>
      </c>
      <c r="AW63" s="29" t="s">
        <v>28</v>
      </c>
      <c r="AX63" s="9">
        <v>0</v>
      </c>
      <c r="AY63" s="11">
        <v>-0.42917914966728565</v>
      </c>
      <c r="AZ63" s="2" t="s">
        <v>29</v>
      </c>
      <c r="BA63" s="2">
        <v>2</v>
      </c>
    </row>
    <row r="64" spans="1:53" s="2" customFormat="1">
      <c r="A64" s="1">
        <v>63</v>
      </c>
      <c r="B64" s="2" t="s">
        <v>23</v>
      </c>
      <c r="C64" s="1" t="s">
        <v>102</v>
      </c>
      <c r="D64" s="1">
        <v>24.4</v>
      </c>
      <c r="E64" s="1">
        <v>27.19</v>
      </c>
      <c r="F64" s="1">
        <v>30.94</v>
      </c>
      <c r="G64" s="1">
        <v>45</v>
      </c>
      <c r="H64" s="11">
        <v>32.85</v>
      </c>
      <c r="I64" s="11">
        <v>26.7</v>
      </c>
      <c r="J64" s="11">
        <v>32.75</v>
      </c>
      <c r="K64" s="11">
        <v>34.28</v>
      </c>
      <c r="L64" s="11">
        <v>33.36</v>
      </c>
      <c r="M64" s="11">
        <v>30.76</v>
      </c>
      <c r="N64" s="11">
        <v>34.630000000000003</v>
      </c>
      <c r="O64" s="11">
        <v>31.61</v>
      </c>
      <c r="P64" s="11">
        <v>31.82</v>
      </c>
      <c r="Q64" s="11">
        <v>33.229999999999997</v>
      </c>
      <c r="R64" s="11">
        <v>31.37</v>
      </c>
      <c r="S64" s="11">
        <v>34.28</v>
      </c>
      <c r="T64" s="11">
        <v>35.049999999999997</v>
      </c>
      <c r="U64" s="11">
        <v>28.04</v>
      </c>
      <c r="V64" s="11">
        <v>29.37</v>
      </c>
      <c r="W64" s="11">
        <v>36.17</v>
      </c>
      <c r="X64" s="11">
        <v>34.22</v>
      </c>
      <c r="Y64" s="11">
        <v>33.67</v>
      </c>
      <c r="Z64" s="7">
        <v>15814</v>
      </c>
      <c r="AA64" s="6">
        <v>56.641095890410959</v>
      </c>
      <c r="AB64" s="10">
        <v>36448</v>
      </c>
      <c r="AC64" s="39" t="s">
        <v>222</v>
      </c>
      <c r="AD64" s="2">
        <v>1</v>
      </c>
      <c r="AE64" s="2" t="s">
        <v>37</v>
      </c>
      <c r="AF64" s="2">
        <v>1</v>
      </c>
      <c r="AG64" s="2">
        <v>15</v>
      </c>
      <c r="AH64" s="2">
        <v>17</v>
      </c>
      <c r="AI64" s="2">
        <v>0</v>
      </c>
      <c r="AJ64" s="2" t="s">
        <v>31</v>
      </c>
      <c r="AK64" s="2">
        <v>0</v>
      </c>
      <c r="AM64" s="2">
        <v>1</v>
      </c>
      <c r="AN64" s="41">
        <v>85</v>
      </c>
      <c r="AO64" s="2">
        <v>1</v>
      </c>
      <c r="AP64" s="41">
        <v>70</v>
      </c>
      <c r="AQ64" s="2">
        <v>2</v>
      </c>
      <c r="AR64" s="12">
        <v>0.1</v>
      </c>
      <c r="AS64" s="8">
        <f t="shared" si="0"/>
        <v>10</v>
      </c>
      <c r="AT64" s="12" t="s">
        <v>27</v>
      </c>
      <c r="AU64" s="8">
        <v>1</v>
      </c>
      <c r="AV64" s="12" t="s">
        <v>27</v>
      </c>
      <c r="AW64" s="29" t="s">
        <v>28</v>
      </c>
      <c r="AX64" s="9">
        <v>0</v>
      </c>
      <c r="AY64" s="11">
        <v>-0.53559495684589864</v>
      </c>
      <c r="AZ64" s="2" t="s">
        <v>29</v>
      </c>
      <c r="BA64" s="2">
        <v>2</v>
      </c>
    </row>
    <row r="65" spans="1:53" s="2" customFormat="1">
      <c r="A65" s="1">
        <v>64</v>
      </c>
      <c r="B65" s="2" t="s">
        <v>23</v>
      </c>
      <c r="C65" s="1" t="s">
        <v>103</v>
      </c>
      <c r="D65" s="1">
        <v>26.06</v>
      </c>
      <c r="E65" s="1">
        <v>28.95</v>
      </c>
      <c r="F65" s="1">
        <v>31.97</v>
      </c>
      <c r="G65" s="1">
        <v>45</v>
      </c>
      <c r="H65" s="11">
        <v>32.770000000000003</v>
      </c>
      <c r="I65" s="11">
        <v>28.01</v>
      </c>
      <c r="J65" s="11">
        <v>34.979999999999997</v>
      </c>
      <c r="K65" s="11">
        <v>36.229999999999997</v>
      </c>
      <c r="L65" s="11">
        <v>33.35</v>
      </c>
      <c r="M65" s="11">
        <v>31.69</v>
      </c>
      <c r="N65" s="11">
        <v>37.229999999999997</v>
      </c>
      <c r="O65" s="11">
        <v>32.58</v>
      </c>
      <c r="P65" s="11">
        <v>31.49</v>
      </c>
      <c r="Q65" s="11">
        <v>34.44</v>
      </c>
      <c r="R65" s="11">
        <v>33.74</v>
      </c>
      <c r="S65" s="11">
        <v>34.36</v>
      </c>
      <c r="T65" s="11">
        <v>34.33</v>
      </c>
      <c r="U65" s="11">
        <v>29.17</v>
      </c>
      <c r="V65" s="11">
        <v>28.47</v>
      </c>
      <c r="W65" s="11">
        <v>35.49</v>
      </c>
      <c r="X65" s="11">
        <v>33.880000000000003</v>
      </c>
      <c r="Y65" s="11">
        <v>33.020000000000003</v>
      </c>
      <c r="Z65" s="7">
        <v>10652</v>
      </c>
      <c r="AA65" s="6">
        <v>70.745205479452054</v>
      </c>
      <c r="AB65" s="10">
        <v>36411</v>
      </c>
      <c r="AC65" s="39" t="s">
        <v>222</v>
      </c>
      <c r="AD65" s="2">
        <v>1</v>
      </c>
      <c r="AE65" s="2" t="s">
        <v>25</v>
      </c>
      <c r="AF65" s="2">
        <v>2</v>
      </c>
      <c r="AG65" s="2">
        <v>24</v>
      </c>
      <c r="AH65" s="2">
        <v>25</v>
      </c>
      <c r="AI65" s="2">
        <v>0</v>
      </c>
      <c r="AJ65" s="2" t="s">
        <v>31</v>
      </c>
      <c r="AK65" s="2">
        <v>0</v>
      </c>
      <c r="AM65" s="2">
        <v>1</v>
      </c>
      <c r="AN65" s="41">
        <v>20</v>
      </c>
      <c r="AO65" s="2">
        <v>1</v>
      </c>
      <c r="AP65" s="41">
        <v>70</v>
      </c>
      <c r="AQ65" s="2">
        <v>2</v>
      </c>
      <c r="AR65" s="12">
        <v>0.1</v>
      </c>
      <c r="AS65" s="8">
        <f t="shared" si="0"/>
        <v>10</v>
      </c>
      <c r="AT65" s="12" t="s">
        <v>27</v>
      </c>
      <c r="AU65" s="8">
        <v>1</v>
      </c>
      <c r="AV65" s="12" t="s">
        <v>27</v>
      </c>
      <c r="AW65" s="29" t="s">
        <v>28</v>
      </c>
      <c r="AX65" s="9">
        <v>0</v>
      </c>
      <c r="AY65" s="11">
        <v>-1.2487617120388954</v>
      </c>
      <c r="AZ65" s="2" t="s">
        <v>35</v>
      </c>
      <c r="BA65" s="2">
        <v>1</v>
      </c>
    </row>
    <row r="66" spans="1:53" s="2" customFormat="1">
      <c r="A66" s="1">
        <v>65</v>
      </c>
      <c r="B66" s="2" t="s">
        <v>23</v>
      </c>
      <c r="C66" s="1" t="s">
        <v>75</v>
      </c>
      <c r="D66" s="1">
        <v>25.72</v>
      </c>
      <c r="E66" s="1">
        <v>28.96</v>
      </c>
      <c r="F66" s="1">
        <v>33.200000000000003</v>
      </c>
      <c r="G66" s="1">
        <v>45</v>
      </c>
      <c r="H66" s="11">
        <v>35.15</v>
      </c>
      <c r="I66" s="11">
        <v>28.05</v>
      </c>
      <c r="J66" s="11">
        <v>36</v>
      </c>
      <c r="K66" s="11">
        <v>37.15</v>
      </c>
      <c r="L66" s="11">
        <v>35.56</v>
      </c>
      <c r="M66" s="11">
        <v>30.83</v>
      </c>
      <c r="N66" s="11">
        <v>45</v>
      </c>
      <c r="O66" s="11">
        <v>32.46</v>
      </c>
      <c r="P66" s="11">
        <v>33.380000000000003</v>
      </c>
      <c r="Q66" s="11">
        <v>38.29</v>
      </c>
      <c r="R66" s="11">
        <v>33.549999999999997</v>
      </c>
      <c r="S66" s="11">
        <v>35.840000000000003</v>
      </c>
      <c r="T66" s="11">
        <v>36.65</v>
      </c>
      <c r="U66" s="11">
        <v>30.99</v>
      </c>
      <c r="V66" s="11">
        <v>31.13</v>
      </c>
      <c r="W66" s="11">
        <v>45</v>
      </c>
      <c r="X66" s="11">
        <v>34.39</v>
      </c>
      <c r="Y66" s="11">
        <v>35.880000000000003</v>
      </c>
      <c r="Z66" s="7">
        <v>17649</v>
      </c>
      <c r="AA66" s="6">
        <v>51.61643835616438</v>
      </c>
      <c r="AB66" s="10">
        <v>36462</v>
      </c>
      <c r="AC66" s="39" t="s">
        <v>222</v>
      </c>
      <c r="AD66" s="2">
        <v>1</v>
      </c>
      <c r="AE66" s="2" t="s">
        <v>37</v>
      </c>
      <c r="AF66" s="2">
        <v>1</v>
      </c>
      <c r="AG66" s="2">
        <v>20</v>
      </c>
      <c r="AH66" s="2">
        <v>11</v>
      </c>
      <c r="AI66" s="2">
        <v>4</v>
      </c>
      <c r="AJ66" s="2" t="s">
        <v>47</v>
      </c>
      <c r="AK66" s="2">
        <v>2</v>
      </c>
      <c r="AM66" s="2">
        <v>1</v>
      </c>
      <c r="AN66" s="41">
        <v>70</v>
      </c>
      <c r="AO66" s="2">
        <v>1</v>
      </c>
      <c r="AP66" s="41">
        <v>80</v>
      </c>
      <c r="AQ66" s="2">
        <v>3</v>
      </c>
      <c r="AR66" s="12">
        <v>0.3</v>
      </c>
      <c r="AS66" s="8">
        <f t="shared" si="0"/>
        <v>30</v>
      </c>
      <c r="AT66" s="12" t="s">
        <v>34</v>
      </c>
      <c r="AU66" s="8">
        <v>3</v>
      </c>
      <c r="AV66" s="8" t="s">
        <v>34</v>
      </c>
      <c r="AW66" s="29" t="s">
        <v>28</v>
      </c>
      <c r="AX66" s="9">
        <v>0</v>
      </c>
      <c r="AY66" s="11">
        <v>-1.3938413780234518</v>
      </c>
      <c r="AZ66" s="2" t="s">
        <v>35</v>
      </c>
      <c r="BA66" s="2">
        <v>1</v>
      </c>
    </row>
    <row r="67" spans="1:53" s="2" customFormat="1">
      <c r="A67" s="1">
        <v>66</v>
      </c>
      <c r="B67" s="2" t="s">
        <v>23</v>
      </c>
      <c r="C67" s="1" t="s">
        <v>104</v>
      </c>
      <c r="D67" s="1">
        <v>23.46</v>
      </c>
      <c r="E67" s="1">
        <v>25.97</v>
      </c>
      <c r="F67" s="1">
        <v>30.89</v>
      </c>
      <c r="G67" s="1">
        <v>35.42</v>
      </c>
      <c r="H67" s="11">
        <v>32.46</v>
      </c>
      <c r="I67" s="11">
        <v>25.89</v>
      </c>
      <c r="J67" s="11">
        <v>32.58</v>
      </c>
      <c r="K67" s="11">
        <v>32.99</v>
      </c>
      <c r="L67" s="11">
        <v>29.57</v>
      </c>
      <c r="M67" s="11">
        <v>30.43</v>
      </c>
      <c r="N67" s="11">
        <v>34.47</v>
      </c>
      <c r="O67" s="11">
        <v>30.7</v>
      </c>
      <c r="P67" s="11">
        <v>30.61</v>
      </c>
      <c r="Q67" s="11">
        <v>32.56</v>
      </c>
      <c r="R67" s="11">
        <v>31.75</v>
      </c>
      <c r="S67" s="11">
        <v>32.299999999999997</v>
      </c>
      <c r="T67" s="11">
        <v>33.97</v>
      </c>
      <c r="U67" s="11">
        <v>29.25</v>
      </c>
      <c r="V67" s="11">
        <v>28.53</v>
      </c>
      <c r="W67" s="11">
        <v>45</v>
      </c>
      <c r="X67" s="11">
        <v>32.53</v>
      </c>
      <c r="Y67" s="11">
        <v>32.74</v>
      </c>
      <c r="Z67" s="7">
        <v>17577</v>
      </c>
      <c r="AA67" s="6">
        <v>51.632876712328766</v>
      </c>
      <c r="AB67" s="10">
        <v>36356</v>
      </c>
      <c r="AC67" s="39" t="s">
        <v>222</v>
      </c>
      <c r="AD67" s="2">
        <v>1</v>
      </c>
      <c r="AE67" s="2" t="s">
        <v>37</v>
      </c>
      <c r="AF67" s="2">
        <v>1</v>
      </c>
      <c r="AG67" s="2">
        <v>20</v>
      </c>
      <c r="AH67" s="2">
        <v>18</v>
      </c>
      <c r="AI67" s="2">
        <v>8</v>
      </c>
      <c r="AJ67" s="2" t="s">
        <v>47</v>
      </c>
      <c r="AK67" s="2">
        <v>2</v>
      </c>
      <c r="AM67" s="2">
        <v>1</v>
      </c>
      <c r="AN67" s="41">
        <v>60</v>
      </c>
      <c r="AO67" s="2">
        <v>1</v>
      </c>
      <c r="AP67" s="41">
        <v>60</v>
      </c>
      <c r="AQ67" s="2">
        <v>3</v>
      </c>
      <c r="AR67" s="12">
        <v>0.6</v>
      </c>
      <c r="AS67" s="8">
        <f t="shared" ref="AS67:AS130" si="1">AR67*100</f>
        <v>60</v>
      </c>
      <c r="AT67" s="12" t="s">
        <v>34</v>
      </c>
      <c r="AU67" s="8">
        <v>3</v>
      </c>
      <c r="AV67" s="8" t="s">
        <v>34</v>
      </c>
      <c r="AW67" s="29" t="s">
        <v>28</v>
      </c>
      <c r="AX67" s="9">
        <v>0</v>
      </c>
      <c r="AY67" s="11">
        <v>0.25553567623930529</v>
      </c>
      <c r="AZ67" s="2" t="s">
        <v>38</v>
      </c>
      <c r="BA67" s="2">
        <v>3</v>
      </c>
    </row>
    <row r="68" spans="1:53" s="2" customFormat="1">
      <c r="A68" s="1">
        <v>67</v>
      </c>
      <c r="B68" s="2" t="s">
        <v>23</v>
      </c>
      <c r="C68" s="1" t="s">
        <v>105</v>
      </c>
      <c r="D68" s="1">
        <v>25.35</v>
      </c>
      <c r="E68" s="1">
        <v>27.46</v>
      </c>
      <c r="F68" s="1">
        <v>31.84</v>
      </c>
      <c r="G68" s="1">
        <v>45</v>
      </c>
      <c r="H68" s="11">
        <v>33.200000000000003</v>
      </c>
      <c r="I68" s="11">
        <v>27.2</v>
      </c>
      <c r="J68" s="11">
        <v>32.97</v>
      </c>
      <c r="K68" s="11">
        <v>35.6</v>
      </c>
      <c r="L68" s="11">
        <v>32.86</v>
      </c>
      <c r="M68" s="11">
        <v>30.86</v>
      </c>
      <c r="N68" s="11">
        <v>35.76</v>
      </c>
      <c r="O68" s="11">
        <v>31.06</v>
      </c>
      <c r="P68" s="11">
        <v>30.76</v>
      </c>
      <c r="Q68" s="11">
        <v>35.01</v>
      </c>
      <c r="R68" s="11">
        <v>32.65</v>
      </c>
      <c r="S68" s="11">
        <v>27.62</v>
      </c>
      <c r="T68" s="11">
        <v>32.979999999999997</v>
      </c>
      <c r="U68" s="11">
        <v>29.44</v>
      </c>
      <c r="V68" s="11">
        <v>29.33</v>
      </c>
      <c r="W68" s="11">
        <v>38.590000000000003</v>
      </c>
      <c r="X68" s="11">
        <v>33.03</v>
      </c>
      <c r="Y68" s="11">
        <v>45</v>
      </c>
      <c r="Z68" s="7">
        <v>18406</v>
      </c>
      <c r="AA68" s="6">
        <v>49.542465753424658</v>
      </c>
      <c r="AB68" s="10">
        <v>36475</v>
      </c>
      <c r="AC68" s="39" t="s">
        <v>231</v>
      </c>
      <c r="AE68" s="2" t="s">
        <v>37</v>
      </c>
      <c r="AF68" s="2">
        <v>1</v>
      </c>
      <c r="AG68" s="2">
        <v>13</v>
      </c>
      <c r="AH68" s="2">
        <v>16</v>
      </c>
      <c r="AI68" s="2">
        <v>0</v>
      </c>
      <c r="AJ68" s="2" t="s">
        <v>31</v>
      </c>
      <c r="AK68" s="2">
        <v>0</v>
      </c>
      <c r="AM68" s="2">
        <v>2</v>
      </c>
      <c r="AN68" s="41" t="s">
        <v>33</v>
      </c>
      <c r="AO68" s="2">
        <v>1</v>
      </c>
      <c r="AP68" s="41">
        <v>80</v>
      </c>
      <c r="AQ68" s="2">
        <v>1</v>
      </c>
      <c r="AR68" s="12">
        <v>0.1</v>
      </c>
      <c r="AS68" s="8">
        <f t="shared" si="1"/>
        <v>10</v>
      </c>
      <c r="AT68" s="12" t="s">
        <v>27</v>
      </c>
      <c r="AU68" s="8">
        <v>1</v>
      </c>
      <c r="AV68" s="12" t="s">
        <v>27</v>
      </c>
      <c r="AW68" s="29" t="s">
        <v>28</v>
      </c>
      <c r="AX68" s="9">
        <v>0</v>
      </c>
      <c r="AY68" s="11">
        <v>1.030644883631346</v>
      </c>
      <c r="AZ68" s="2" t="s">
        <v>38</v>
      </c>
      <c r="BA68" s="2">
        <v>3</v>
      </c>
    </row>
    <row r="69" spans="1:53" s="2" customFormat="1">
      <c r="A69" s="1">
        <v>68</v>
      </c>
      <c r="B69" s="2" t="s">
        <v>23</v>
      </c>
      <c r="C69" s="1" t="s">
        <v>106</v>
      </c>
      <c r="D69" s="1">
        <v>23.29</v>
      </c>
      <c r="E69" s="1">
        <v>24.14</v>
      </c>
      <c r="F69" s="1">
        <v>30.59</v>
      </c>
      <c r="G69" s="1">
        <v>34.729999999999997</v>
      </c>
      <c r="H69" s="11">
        <v>30.06</v>
      </c>
      <c r="I69" s="11">
        <v>24.52</v>
      </c>
      <c r="J69" s="11">
        <v>30.26</v>
      </c>
      <c r="K69" s="11">
        <v>32</v>
      </c>
      <c r="L69" s="11">
        <v>32.4</v>
      </c>
      <c r="M69" s="11">
        <v>26.92</v>
      </c>
      <c r="N69" s="11">
        <v>34.340000000000003</v>
      </c>
      <c r="O69" s="11">
        <v>30.35</v>
      </c>
      <c r="P69" s="11">
        <v>28.76</v>
      </c>
      <c r="Q69" s="11">
        <v>32.36</v>
      </c>
      <c r="R69" s="11">
        <v>30.5</v>
      </c>
      <c r="S69" s="11">
        <v>32.92</v>
      </c>
      <c r="T69" s="11">
        <v>31.55</v>
      </c>
      <c r="U69" s="11">
        <v>27.18</v>
      </c>
      <c r="V69" s="11">
        <v>27.64</v>
      </c>
      <c r="W69" s="11">
        <v>33.21</v>
      </c>
      <c r="X69" s="11">
        <v>28.71</v>
      </c>
      <c r="Y69" s="11">
        <v>30.4</v>
      </c>
      <c r="Z69" s="4">
        <v>6589</v>
      </c>
      <c r="AA69" s="6">
        <v>81.528767123287665</v>
      </c>
      <c r="AB69" s="10">
        <v>36347</v>
      </c>
      <c r="AC69" s="39" t="s">
        <v>224</v>
      </c>
      <c r="AD69" s="2">
        <v>2</v>
      </c>
      <c r="AE69" s="2" t="s">
        <v>25</v>
      </c>
      <c r="AF69" s="2">
        <v>2</v>
      </c>
      <c r="AG69" s="2">
        <v>30</v>
      </c>
      <c r="AH69" s="2">
        <v>12</v>
      </c>
      <c r="AI69" s="2">
        <v>0</v>
      </c>
      <c r="AJ69" s="2" t="s">
        <v>31</v>
      </c>
      <c r="AK69" s="2">
        <v>0</v>
      </c>
      <c r="AM69" s="2">
        <v>1</v>
      </c>
      <c r="AN69" s="41">
        <v>90</v>
      </c>
      <c r="AO69" s="2">
        <v>1</v>
      </c>
      <c r="AP69" s="41">
        <v>20</v>
      </c>
      <c r="AQ69" s="2" t="s">
        <v>28</v>
      </c>
      <c r="AR69" s="12">
        <v>0.1</v>
      </c>
      <c r="AS69" s="8">
        <f t="shared" si="1"/>
        <v>10</v>
      </c>
      <c r="AT69" s="12" t="s">
        <v>27</v>
      </c>
      <c r="AU69" s="8">
        <v>1</v>
      </c>
      <c r="AV69" s="12" t="s">
        <v>27</v>
      </c>
      <c r="AW69" s="29" t="s">
        <v>28</v>
      </c>
      <c r="AX69" s="2">
        <v>0</v>
      </c>
      <c r="AY69" s="11">
        <v>-1.3484042536971053</v>
      </c>
      <c r="AZ69" s="2" t="s">
        <v>35</v>
      </c>
      <c r="BA69" s="2">
        <v>1</v>
      </c>
    </row>
    <row r="70" spans="1:53" s="2" customFormat="1">
      <c r="A70" s="1">
        <v>69</v>
      </c>
      <c r="B70" s="2" t="s">
        <v>23</v>
      </c>
      <c r="C70" s="1" t="s">
        <v>107</v>
      </c>
      <c r="D70" s="1">
        <v>23.85</v>
      </c>
      <c r="E70" s="1">
        <v>25.88</v>
      </c>
      <c r="F70" s="1">
        <v>29.83</v>
      </c>
      <c r="G70" s="1">
        <v>35.99</v>
      </c>
      <c r="H70" s="11">
        <v>31.45</v>
      </c>
      <c r="I70" s="11">
        <v>25.32</v>
      </c>
      <c r="J70" s="11">
        <v>31.63</v>
      </c>
      <c r="K70" s="11">
        <v>32.86</v>
      </c>
      <c r="L70" s="11">
        <v>31.33</v>
      </c>
      <c r="M70" s="11">
        <v>30</v>
      </c>
      <c r="N70" s="11">
        <v>34.69</v>
      </c>
      <c r="O70" s="11">
        <v>30.55</v>
      </c>
      <c r="P70" s="11">
        <v>29.75</v>
      </c>
      <c r="Q70" s="11">
        <v>31.82</v>
      </c>
      <c r="R70" s="11">
        <v>32.15</v>
      </c>
      <c r="S70" s="11">
        <v>33.58</v>
      </c>
      <c r="T70" s="11">
        <v>32.14</v>
      </c>
      <c r="U70" s="11">
        <v>28.78</v>
      </c>
      <c r="V70" s="11">
        <v>28.35</v>
      </c>
      <c r="W70" s="11">
        <v>35.24</v>
      </c>
      <c r="X70" s="11">
        <v>33.44</v>
      </c>
      <c r="Y70" s="11">
        <v>31.27</v>
      </c>
      <c r="Z70" s="7">
        <v>17525</v>
      </c>
      <c r="AA70" s="6">
        <v>51.764383561643832</v>
      </c>
      <c r="AB70" s="10">
        <v>36395</v>
      </c>
      <c r="AC70" s="39" t="s">
        <v>224</v>
      </c>
      <c r="AD70" s="2">
        <v>2</v>
      </c>
      <c r="AE70" s="2" t="s">
        <v>37</v>
      </c>
      <c r="AF70" s="2">
        <v>1</v>
      </c>
      <c r="AG70" s="2">
        <v>18</v>
      </c>
      <c r="AH70" s="2">
        <v>23</v>
      </c>
      <c r="AI70" s="2">
        <v>7</v>
      </c>
      <c r="AJ70" s="2" t="s">
        <v>47</v>
      </c>
      <c r="AK70" s="2">
        <v>2</v>
      </c>
      <c r="AM70" s="2">
        <v>1</v>
      </c>
      <c r="AN70" s="41">
        <v>90</v>
      </c>
      <c r="AO70" s="2">
        <v>1</v>
      </c>
      <c r="AP70" s="41">
        <v>70</v>
      </c>
      <c r="AQ70" s="2">
        <v>1</v>
      </c>
      <c r="AR70" s="12">
        <v>0.05</v>
      </c>
      <c r="AS70" s="8">
        <f t="shared" si="1"/>
        <v>5</v>
      </c>
      <c r="AT70" s="12" t="s">
        <v>27</v>
      </c>
      <c r="AU70" s="8">
        <v>1</v>
      </c>
      <c r="AV70" s="12" t="s">
        <v>27</v>
      </c>
      <c r="AW70" s="29" t="s">
        <v>28</v>
      </c>
      <c r="AX70" s="9">
        <v>0</v>
      </c>
      <c r="AY70" s="11">
        <v>-0.50226901307317462</v>
      </c>
      <c r="AZ70" s="2" t="s">
        <v>29</v>
      </c>
      <c r="BA70" s="2">
        <v>2</v>
      </c>
    </row>
    <row r="71" spans="1:53" s="2" customFormat="1">
      <c r="A71" s="1">
        <v>70</v>
      </c>
      <c r="B71" s="2" t="s">
        <v>23</v>
      </c>
      <c r="C71" s="1" t="s">
        <v>108</v>
      </c>
      <c r="D71" s="1">
        <v>22.34</v>
      </c>
      <c r="E71" s="1">
        <v>24.07</v>
      </c>
      <c r="F71" s="1">
        <v>31.01</v>
      </c>
      <c r="G71" s="1">
        <v>36.590000000000003</v>
      </c>
      <c r="H71" s="11">
        <v>32.520000000000003</v>
      </c>
      <c r="I71" s="11">
        <v>25.38</v>
      </c>
      <c r="J71" s="11">
        <v>31.56</v>
      </c>
      <c r="K71" s="11">
        <v>31.9</v>
      </c>
      <c r="L71" s="11">
        <v>30.89</v>
      </c>
      <c r="M71" s="11">
        <v>30.33</v>
      </c>
      <c r="N71" s="11">
        <v>33.630000000000003</v>
      </c>
      <c r="O71" s="11">
        <v>29.88</v>
      </c>
      <c r="P71" s="11">
        <v>29.02</v>
      </c>
      <c r="Q71" s="11">
        <v>30.4</v>
      </c>
      <c r="R71" s="11">
        <v>30.38</v>
      </c>
      <c r="S71" s="11">
        <v>31.76</v>
      </c>
      <c r="T71" s="11">
        <v>32.86</v>
      </c>
      <c r="U71" s="11">
        <v>28.42</v>
      </c>
      <c r="V71" s="11">
        <v>27.8</v>
      </c>
      <c r="W71" s="11">
        <v>36.200000000000003</v>
      </c>
      <c r="X71" s="11">
        <v>29.92</v>
      </c>
      <c r="Y71" s="11">
        <v>31.05</v>
      </c>
      <c r="Z71" s="7">
        <v>18597</v>
      </c>
      <c r="AA71" s="6">
        <v>48.805479452054797</v>
      </c>
      <c r="AB71" s="10">
        <v>36384</v>
      </c>
      <c r="AC71" s="39" t="s">
        <v>222</v>
      </c>
      <c r="AD71" s="2">
        <v>1</v>
      </c>
      <c r="AE71" s="2" t="s">
        <v>37</v>
      </c>
      <c r="AF71" s="2">
        <v>1</v>
      </c>
      <c r="AG71" s="2">
        <v>19</v>
      </c>
      <c r="AH71" s="2">
        <v>19</v>
      </c>
      <c r="AI71" s="2">
        <v>0</v>
      </c>
      <c r="AJ71" s="2" t="s">
        <v>31</v>
      </c>
      <c r="AK71" s="2">
        <v>0</v>
      </c>
      <c r="AM71" s="2">
        <v>1</v>
      </c>
      <c r="AN71" s="41">
        <v>55</v>
      </c>
      <c r="AO71" s="2">
        <v>1</v>
      </c>
      <c r="AP71" s="41">
        <v>30</v>
      </c>
      <c r="AQ71" s="2">
        <v>2</v>
      </c>
      <c r="AR71" s="12">
        <v>0.35</v>
      </c>
      <c r="AS71" s="8">
        <f t="shared" si="1"/>
        <v>35</v>
      </c>
      <c r="AT71" s="12" t="s">
        <v>34</v>
      </c>
      <c r="AU71" s="8">
        <v>3</v>
      </c>
      <c r="AV71" s="8" t="s">
        <v>34</v>
      </c>
      <c r="AW71" s="29" t="s">
        <v>28</v>
      </c>
      <c r="AX71" s="9">
        <v>0</v>
      </c>
      <c r="AY71" s="11">
        <v>0.79904999987303005</v>
      </c>
      <c r="AZ71" s="2" t="s">
        <v>38</v>
      </c>
      <c r="BA71" s="2">
        <v>3</v>
      </c>
    </row>
    <row r="72" spans="1:53" s="2" customFormat="1">
      <c r="A72" s="1">
        <v>71</v>
      </c>
      <c r="B72" s="2" t="s">
        <v>23</v>
      </c>
      <c r="C72" s="1" t="s">
        <v>109</v>
      </c>
      <c r="D72" s="1">
        <v>23.57</v>
      </c>
      <c r="E72" s="1">
        <v>24.14</v>
      </c>
      <c r="F72" s="1">
        <v>29.54</v>
      </c>
      <c r="G72" s="1">
        <v>34.799999999999997</v>
      </c>
      <c r="H72" s="11">
        <v>30.84</v>
      </c>
      <c r="I72" s="11">
        <v>25.62</v>
      </c>
      <c r="J72" s="11">
        <v>31.14</v>
      </c>
      <c r="K72" s="11">
        <v>32.520000000000003</v>
      </c>
      <c r="L72" s="11">
        <v>32.22</v>
      </c>
      <c r="M72" s="11">
        <v>28.52</v>
      </c>
      <c r="N72" s="11">
        <v>33.96</v>
      </c>
      <c r="O72" s="11">
        <v>29.52</v>
      </c>
      <c r="P72" s="11">
        <v>28.47</v>
      </c>
      <c r="Q72" s="11">
        <v>31.14</v>
      </c>
      <c r="R72" s="11">
        <v>31.6</v>
      </c>
      <c r="S72" s="11">
        <v>33.049999999999997</v>
      </c>
      <c r="T72" s="11">
        <v>32.32</v>
      </c>
      <c r="U72" s="11">
        <v>28.17</v>
      </c>
      <c r="V72" s="11">
        <v>28.29</v>
      </c>
      <c r="W72" s="11">
        <v>37.130000000000003</v>
      </c>
      <c r="X72" s="11">
        <v>32.75</v>
      </c>
      <c r="Y72" s="11">
        <v>30.83</v>
      </c>
      <c r="Z72" s="7">
        <v>17369</v>
      </c>
      <c r="AA72" s="6">
        <v>52.18904109589041</v>
      </c>
      <c r="AB72" s="10">
        <v>36398</v>
      </c>
      <c r="AC72" s="39" t="s">
        <v>225</v>
      </c>
      <c r="AE72" s="2" t="s">
        <v>37</v>
      </c>
      <c r="AF72" s="2">
        <v>1</v>
      </c>
      <c r="AG72" s="2">
        <v>10</v>
      </c>
      <c r="AH72" s="2">
        <v>7</v>
      </c>
      <c r="AI72" s="2">
        <v>0</v>
      </c>
      <c r="AJ72" s="2" t="s">
        <v>31</v>
      </c>
      <c r="AK72" s="2">
        <v>0</v>
      </c>
      <c r="AM72" s="2">
        <v>1</v>
      </c>
      <c r="AN72" s="41">
        <v>65</v>
      </c>
      <c r="AO72" s="2">
        <v>1</v>
      </c>
      <c r="AP72" s="41">
        <v>70</v>
      </c>
      <c r="AQ72" s="2">
        <v>1</v>
      </c>
      <c r="AR72" s="12">
        <v>0.1</v>
      </c>
      <c r="AS72" s="8">
        <f t="shared" si="1"/>
        <v>10</v>
      </c>
      <c r="AT72" s="12" t="s">
        <v>27</v>
      </c>
      <c r="AU72" s="8">
        <v>1</v>
      </c>
      <c r="AV72" s="12" t="s">
        <v>27</v>
      </c>
      <c r="AW72" s="29" t="s">
        <v>28</v>
      </c>
      <c r="AX72" s="9">
        <v>0</v>
      </c>
      <c r="AY72" s="11">
        <v>-0.36674890037473551</v>
      </c>
      <c r="AZ72" s="2" t="s">
        <v>29</v>
      </c>
      <c r="BA72" s="2">
        <v>2</v>
      </c>
    </row>
    <row r="73" spans="1:53" s="2" customFormat="1">
      <c r="A73" s="1">
        <v>72</v>
      </c>
      <c r="B73" s="2" t="s">
        <v>23</v>
      </c>
      <c r="C73" s="1" t="s">
        <v>110</v>
      </c>
      <c r="D73" s="1">
        <v>24.21</v>
      </c>
      <c r="E73" s="1">
        <v>25.27</v>
      </c>
      <c r="F73" s="1">
        <v>30.28</v>
      </c>
      <c r="G73" s="1">
        <v>39.19</v>
      </c>
      <c r="H73" s="11">
        <v>32.25</v>
      </c>
      <c r="I73" s="11">
        <v>25.56</v>
      </c>
      <c r="J73" s="11">
        <v>31.52</v>
      </c>
      <c r="K73" s="11">
        <v>33.18</v>
      </c>
      <c r="L73" s="11">
        <v>33.200000000000003</v>
      </c>
      <c r="M73" s="11">
        <v>31.24</v>
      </c>
      <c r="N73" s="11">
        <v>35.15</v>
      </c>
      <c r="O73" s="11">
        <v>30.51</v>
      </c>
      <c r="P73" s="11">
        <v>28.67</v>
      </c>
      <c r="Q73" s="11">
        <v>32.54</v>
      </c>
      <c r="R73" s="11">
        <v>32.06</v>
      </c>
      <c r="S73" s="11">
        <v>32.76</v>
      </c>
      <c r="T73" s="11">
        <v>31.24</v>
      </c>
      <c r="U73" s="11">
        <v>29.33</v>
      </c>
      <c r="V73" s="11">
        <v>29.1</v>
      </c>
      <c r="W73" s="11">
        <v>37.11</v>
      </c>
      <c r="X73" s="11">
        <v>32.14</v>
      </c>
      <c r="Y73" s="11">
        <v>32.21</v>
      </c>
      <c r="Z73" s="7">
        <v>15905</v>
      </c>
      <c r="AA73" s="6">
        <v>56.465753424657535</v>
      </c>
      <c r="AB73" s="10">
        <v>36475</v>
      </c>
      <c r="AC73" s="39" t="s">
        <v>222</v>
      </c>
      <c r="AD73" s="2">
        <v>1</v>
      </c>
      <c r="AE73" s="2" t="s">
        <v>37</v>
      </c>
      <c r="AF73" s="2">
        <v>1</v>
      </c>
      <c r="AG73" s="2">
        <v>5</v>
      </c>
      <c r="AH73" s="2">
        <v>9</v>
      </c>
      <c r="AI73" s="2">
        <v>0</v>
      </c>
      <c r="AJ73" s="2" t="s">
        <v>31</v>
      </c>
      <c r="AK73" s="2">
        <v>0</v>
      </c>
      <c r="AM73" s="2">
        <v>1</v>
      </c>
      <c r="AN73" s="41">
        <v>80</v>
      </c>
      <c r="AO73" s="2">
        <v>1</v>
      </c>
      <c r="AP73" s="41">
        <v>80</v>
      </c>
      <c r="AQ73" s="2">
        <v>1</v>
      </c>
      <c r="AR73" s="12">
        <v>0.1</v>
      </c>
      <c r="AS73" s="8">
        <f t="shared" si="1"/>
        <v>10</v>
      </c>
      <c r="AT73" s="12" t="s">
        <v>27</v>
      </c>
      <c r="AU73" s="8">
        <v>1</v>
      </c>
      <c r="AV73" s="12" t="s">
        <v>27</v>
      </c>
      <c r="AW73" s="29" t="s">
        <v>28</v>
      </c>
      <c r="AX73" s="9">
        <v>0</v>
      </c>
      <c r="AY73" s="11">
        <v>-0.50930465920460133</v>
      </c>
      <c r="AZ73" s="2" t="s">
        <v>29</v>
      </c>
      <c r="BA73" s="2">
        <v>2</v>
      </c>
    </row>
    <row r="74" spans="1:53" s="2" customFormat="1">
      <c r="A74" s="1">
        <v>73</v>
      </c>
      <c r="B74" s="2" t="s">
        <v>23</v>
      </c>
      <c r="C74" s="1" t="s">
        <v>111</v>
      </c>
      <c r="D74" s="1">
        <v>24.05</v>
      </c>
      <c r="E74" s="1">
        <v>24.17</v>
      </c>
      <c r="F74" s="1">
        <v>29.24</v>
      </c>
      <c r="G74" s="1">
        <v>34.15</v>
      </c>
      <c r="H74" s="11">
        <v>30.94</v>
      </c>
      <c r="I74" s="11">
        <v>25.78</v>
      </c>
      <c r="J74" s="11">
        <v>30.99</v>
      </c>
      <c r="K74" s="11">
        <v>30.25</v>
      </c>
      <c r="L74" s="11">
        <v>30.04</v>
      </c>
      <c r="M74" s="11">
        <v>30.62</v>
      </c>
      <c r="N74" s="11">
        <v>32.92</v>
      </c>
      <c r="O74" s="11">
        <v>30.46</v>
      </c>
      <c r="P74" s="11">
        <v>31.05</v>
      </c>
      <c r="Q74" s="11">
        <v>30.23</v>
      </c>
      <c r="R74" s="11">
        <v>30.22</v>
      </c>
      <c r="S74" s="11">
        <v>30.66</v>
      </c>
      <c r="T74" s="11">
        <v>33.6</v>
      </c>
      <c r="U74" s="11">
        <v>25.29</v>
      </c>
      <c r="V74" s="11">
        <v>25.95</v>
      </c>
      <c r="W74" s="11">
        <v>36.840000000000003</v>
      </c>
      <c r="X74" s="11">
        <v>33.24</v>
      </c>
      <c r="Y74" s="11">
        <v>29.72</v>
      </c>
      <c r="Z74" s="7">
        <v>5866</v>
      </c>
      <c r="AA74" s="6">
        <v>83.778082191780825</v>
      </c>
      <c r="AB74" s="10">
        <v>36423</v>
      </c>
      <c r="AC74" s="39" t="s">
        <v>229</v>
      </c>
      <c r="AE74" s="2" t="s">
        <v>25</v>
      </c>
      <c r="AF74" s="2">
        <v>2</v>
      </c>
      <c r="AG74" s="2">
        <v>30</v>
      </c>
      <c r="AH74" s="2">
        <v>4</v>
      </c>
      <c r="AI74" s="2">
        <v>0</v>
      </c>
      <c r="AJ74" s="2" t="s">
        <v>31</v>
      </c>
      <c r="AK74" s="2">
        <v>0</v>
      </c>
      <c r="AM74" s="2">
        <v>1</v>
      </c>
      <c r="AN74" s="41">
        <v>90</v>
      </c>
      <c r="AO74" s="2">
        <v>1</v>
      </c>
      <c r="AP74" s="41">
        <v>50</v>
      </c>
      <c r="AQ74" s="2">
        <v>1</v>
      </c>
      <c r="AR74" s="12">
        <v>0.4</v>
      </c>
      <c r="AS74" s="8">
        <f t="shared" si="1"/>
        <v>40</v>
      </c>
      <c r="AT74" s="12" t="s">
        <v>34</v>
      </c>
      <c r="AU74" s="8">
        <v>3</v>
      </c>
      <c r="AV74" s="8" t="s">
        <v>34</v>
      </c>
      <c r="AW74" s="29" t="s">
        <v>28</v>
      </c>
      <c r="AX74" s="9">
        <v>0</v>
      </c>
      <c r="AY74" s="11">
        <v>0.30677991627936274</v>
      </c>
      <c r="AZ74" s="2" t="s">
        <v>38</v>
      </c>
      <c r="BA74" s="2">
        <v>3</v>
      </c>
    </row>
    <row r="75" spans="1:53" s="2" customFormat="1">
      <c r="A75" s="1">
        <v>74</v>
      </c>
      <c r="B75" s="2" t="s">
        <v>23</v>
      </c>
      <c r="C75" s="1" t="s">
        <v>112</v>
      </c>
      <c r="D75" s="1">
        <v>24.05</v>
      </c>
      <c r="E75" s="1">
        <v>26.31</v>
      </c>
      <c r="F75" s="1">
        <v>30.26</v>
      </c>
      <c r="G75" s="1">
        <v>36.200000000000003</v>
      </c>
      <c r="H75" s="11">
        <v>32.44</v>
      </c>
      <c r="I75" s="11">
        <v>25.81</v>
      </c>
      <c r="J75" s="11">
        <v>32.020000000000003</v>
      </c>
      <c r="K75" s="11">
        <v>34.36</v>
      </c>
      <c r="L75" s="11">
        <v>32.67</v>
      </c>
      <c r="M75" s="11">
        <v>31.5</v>
      </c>
      <c r="N75" s="11">
        <v>34.97</v>
      </c>
      <c r="O75" s="11">
        <v>31.47</v>
      </c>
      <c r="P75" s="11">
        <v>29.86</v>
      </c>
      <c r="Q75" s="11">
        <v>33.619999999999997</v>
      </c>
      <c r="R75" s="11">
        <v>32.090000000000003</v>
      </c>
      <c r="S75" s="11">
        <v>31.7</v>
      </c>
      <c r="T75" s="11">
        <v>32.96</v>
      </c>
      <c r="U75" s="11">
        <v>29.47</v>
      </c>
      <c r="V75" s="11">
        <v>28.4</v>
      </c>
      <c r="W75" s="11">
        <v>35.93</v>
      </c>
      <c r="X75" s="11">
        <v>33.4</v>
      </c>
      <c r="Y75" s="11">
        <v>33.369999999999997</v>
      </c>
      <c r="Z75" s="7">
        <v>19730</v>
      </c>
      <c r="AA75" s="6">
        <v>45.090410958904108</v>
      </c>
      <c r="AB75" s="10">
        <v>36145</v>
      </c>
      <c r="AC75" s="39" t="s">
        <v>222</v>
      </c>
      <c r="AD75" s="2">
        <v>1</v>
      </c>
      <c r="AE75" s="2" t="s">
        <v>37</v>
      </c>
      <c r="AF75" s="2">
        <v>1</v>
      </c>
      <c r="AG75" s="2">
        <v>20</v>
      </c>
      <c r="AH75" s="2">
        <v>9</v>
      </c>
      <c r="AI75" s="2">
        <v>1</v>
      </c>
      <c r="AJ75" s="2" t="s">
        <v>26</v>
      </c>
      <c r="AK75" s="2">
        <v>1</v>
      </c>
      <c r="AM75" s="2">
        <v>1</v>
      </c>
      <c r="AN75" s="41">
        <v>95</v>
      </c>
      <c r="AO75" s="2">
        <v>1</v>
      </c>
      <c r="AP75" s="41">
        <v>70</v>
      </c>
      <c r="AQ75" s="2">
        <v>2</v>
      </c>
      <c r="AR75" s="12">
        <v>0.1</v>
      </c>
      <c r="AS75" s="8">
        <f t="shared" si="1"/>
        <v>10</v>
      </c>
      <c r="AT75" s="12" t="s">
        <v>27</v>
      </c>
      <c r="AU75" s="8">
        <v>1</v>
      </c>
      <c r="AV75" s="12" t="s">
        <v>27</v>
      </c>
      <c r="AW75" s="29" t="s">
        <v>28</v>
      </c>
      <c r="AX75" s="9">
        <v>0</v>
      </c>
      <c r="AY75" s="11">
        <v>-8.8827577823078041E-2</v>
      </c>
      <c r="AZ75" s="2" t="s">
        <v>38</v>
      </c>
      <c r="BA75" s="2">
        <v>3</v>
      </c>
    </row>
    <row r="76" spans="1:53" s="2" customFormat="1">
      <c r="A76" s="1">
        <v>75</v>
      </c>
      <c r="B76" s="2" t="s">
        <v>23</v>
      </c>
      <c r="C76" s="1" t="s">
        <v>113</v>
      </c>
      <c r="D76" s="1">
        <v>24.91</v>
      </c>
      <c r="E76" s="1">
        <v>25.13</v>
      </c>
      <c r="F76" s="1">
        <v>29.87</v>
      </c>
      <c r="G76" s="1">
        <v>35.47</v>
      </c>
      <c r="H76" s="11">
        <v>29.36</v>
      </c>
      <c r="I76" s="11">
        <v>25.62</v>
      </c>
      <c r="J76" s="11">
        <v>30.73</v>
      </c>
      <c r="K76" s="11">
        <v>32.42</v>
      </c>
      <c r="L76" s="11">
        <v>32.9</v>
      </c>
      <c r="M76" s="11">
        <v>29.88</v>
      </c>
      <c r="N76" s="11">
        <v>38.46</v>
      </c>
      <c r="O76" s="11">
        <v>29.79</v>
      </c>
      <c r="P76" s="11">
        <v>28.62</v>
      </c>
      <c r="Q76" s="11">
        <v>33.44</v>
      </c>
      <c r="R76" s="11">
        <v>30.77</v>
      </c>
      <c r="S76" s="11">
        <v>35.78</v>
      </c>
      <c r="T76" s="11">
        <v>32.76</v>
      </c>
      <c r="U76" s="11">
        <v>28</v>
      </c>
      <c r="V76" s="11">
        <v>27.6</v>
      </c>
      <c r="W76" s="11">
        <v>33.53</v>
      </c>
      <c r="X76" s="11">
        <v>31.41</v>
      </c>
      <c r="Y76" s="11">
        <v>31.6</v>
      </c>
      <c r="Z76" s="7">
        <v>20959</v>
      </c>
      <c r="AA76" s="6">
        <v>42.545205479452058</v>
      </c>
      <c r="AB76" s="10">
        <v>36472</v>
      </c>
      <c r="AC76" s="39" t="s">
        <v>222</v>
      </c>
      <c r="AD76" s="2">
        <v>1</v>
      </c>
      <c r="AE76" s="2" t="s">
        <v>37</v>
      </c>
      <c r="AF76" s="2">
        <v>1</v>
      </c>
      <c r="AG76" s="2">
        <v>14</v>
      </c>
      <c r="AH76" s="2">
        <v>12</v>
      </c>
      <c r="AI76" s="2">
        <v>0</v>
      </c>
      <c r="AJ76" s="2" t="s">
        <v>31</v>
      </c>
      <c r="AK76" s="2">
        <v>0</v>
      </c>
      <c r="AM76" s="2">
        <v>1</v>
      </c>
      <c r="AN76" s="41">
        <v>95</v>
      </c>
      <c r="AO76" s="2">
        <v>1</v>
      </c>
      <c r="AP76" s="41">
        <v>95</v>
      </c>
      <c r="AQ76" s="2">
        <v>2</v>
      </c>
      <c r="AR76" s="12">
        <v>0</v>
      </c>
      <c r="AS76" s="8">
        <f t="shared" si="1"/>
        <v>0</v>
      </c>
      <c r="AT76" s="12" t="s">
        <v>27</v>
      </c>
      <c r="AU76" s="8">
        <v>1</v>
      </c>
      <c r="AV76" s="12" t="s">
        <v>27</v>
      </c>
      <c r="AW76" s="29" t="s">
        <v>28</v>
      </c>
      <c r="AX76" s="9">
        <v>0</v>
      </c>
      <c r="AY76" s="11">
        <v>-2.4477231519475771</v>
      </c>
      <c r="AZ76" s="2" t="s">
        <v>35</v>
      </c>
      <c r="BA76" s="2">
        <v>1</v>
      </c>
    </row>
    <row r="77" spans="1:53" s="2" customFormat="1">
      <c r="A77" s="1">
        <v>76</v>
      </c>
      <c r="B77" s="2" t="s">
        <v>23</v>
      </c>
      <c r="C77" s="1" t="s">
        <v>75</v>
      </c>
      <c r="D77" s="1">
        <v>21.63</v>
      </c>
      <c r="E77" s="1">
        <v>23.89</v>
      </c>
      <c r="F77" s="1">
        <v>28.74</v>
      </c>
      <c r="G77" s="1">
        <v>34.81</v>
      </c>
      <c r="H77" s="11">
        <v>29.63</v>
      </c>
      <c r="I77" s="11">
        <v>24.43</v>
      </c>
      <c r="J77" s="11">
        <v>30.14</v>
      </c>
      <c r="K77" s="11">
        <v>31.18</v>
      </c>
      <c r="L77" s="11">
        <v>31.15</v>
      </c>
      <c r="M77" s="11">
        <v>29</v>
      </c>
      <c r="N77" s="11">
        <v>38.450000000000003</v>
      </c>
      <c r="O77" s="11">
        <v>29.62</v>
      </c>
      <c r="P77" s="11">
        <v>28.49</v>
      </c>
      <c r="Q77" s="11">
        <v>32.119999999999997</v>
      </c>
      <c r="R77" s="11">
        <v>30.18</v>
      </c>
      <c r="S77" s="11">
        <v>29.46</v>
      </c>
      <c r="T77" s="11">
        <v>31.37</v>
      </c>
      <c r="U77" s="11">
        <v>27.86</v>
      </c>
      <c r="V77" s="11">
        <v>27.13</v>
      </c>
      <c r="W77" s="11">
        <v>33.619999999999997</v>
      </c>
      <c r="X77" s="11">
        <v>28.7</v>
      </c>
      <c r="Y77" s="11">
        <v>30.89</v>
      </c>
      <c r="Z77" s="7">
        <v>4786</v>
      </c>
      <c r="AA77" s="6">
        <v>86.772602739726025</v>
      </c>
      <c r="AB77" s="10">
        <v>36431</v>
      </c>
      <c r="AC77" s="39" t="s">
        <v>222</v>
      </c>
      <c r="AD77" s="2">
        <v>1</v>
      </c>
      <c r="AE77" s="2" t="s">
        <v>25</v>
      </c>
      <c r="AF77" s="2">
        <v>2</v>
      </c>
      <c r="AG77" s="2">
        <v>25</v>
      </c>
      <c r="AH77" s="2">
        <v>12</v>
      </c>
      <c r="AI77" s="2">
        <v>10</v>
      </c>
      <c r="AJ77" s="2" t="s">
        <v>47</v>
      </c>
      <c r="AK77" s="2">
        <v>2</v>
      </c>
      <c r="AM77" s="2">
        <v>1</v>
      </c>
      <c r="AN77" s="41">
        <v>80</v>
      </c>
      <c r="AO77" s="2">
        <v>1</v>
      </c>
      <c r="AP77" s="41">
        <v>80</v>
      </c>
      <c r="AQ77" s="2">
        <v>1</v>
      </c>
      <c r="AR77" s="12">
        <v>0.05</v>
      </c>
      <c r="AS77" s="8">
        <f t="shared" si="1"/>
        <v>5</v>
      </c>
      <c r="AT77" s="12" t="s">
        <v>27</v>
      </c>
      <c r="AU77" s="8">
        <v>1</v>
      </c>
      <c r="AV77" s="12" t="s">
        <v>27</v>
      </c>
      <c r="AW77" s="29" t="s">
        <v>28</v>
      </c>
      <c r="AX77" s="9">
        <v>0</v>
      </c>
      <c r="AY77" s="11">
        <v>-0.82307029935993015</v>
      </c>
      <c r="AZ77" s="2" t="s">
        <v>29</v>
      </c>
      <c r="BA77" s="2">
        <v>2</v>
      </c>
    </row>
    <row r="78" spans="1:53" s="2" customFormat="1">
      <c r="A78" s="1">
        <v>77</v>
      </c>
      <c r="B78" s="2" t="s">
        <v>23</v>
      </c>
      <c r="C78" s="1" t="s">
        <v>114</v>
      </c>
      <c r="D78" s="1">
        <v>23.91</v>
      </c>
      <c r="E78" s="1">
        <v>25.69</v>
      </c>
      <c r="F78" s="1">
        <v>29.93</v>
      </c>
      <c r="G78" s="1">
        <v>34.76</v>
      </c>
      <c r="H78" s="11">
        <v>31.55</v>
      </c>
      <c r="I78" s="11">
        <v>28.51</v>
      </c>
      <c r="J78" s="11">
        <v>34.770000000000003</v>
      </c>
      <c r="K78" s="11">
        <v>33.270000000000003</v>
      </c>
      <c r="L78" s="11">
        <v>32.83</v>
      </c>
      <c r="M78" s="11">
        <v>29.08</v>
      </c>
      <c r="N78" s="11">
        <v>35.46</v>
      </c>
      <c r="O78" s="11">
        <v>30.6</v>
      </c>
      <c r="P78" s="11">
        <v>29.39</v>
      </c>
      <c r="Q78" s="11">
        <v>33.75</v>
      </c>
      <c r="R78" s="11">
        <v>31.06</v>
      </c>
      <c r="S78" s="11">
        <v>32.19</v>
      </c>
      <c r="T78" s="11">
        <v>32.22</v>
      </c>
      <c r="U78" s="11">
        <v>28.53</v>
      </c>
      <c r="V78" s="11">
        <v>26.92</v>
      </c>
      <c r="W78" s="11">
        <v>34.229999999999997</v>
      </c>
      <c r="X78" s="11">
        <v>31.41</v>
      </c>
      <c r="Y78" s="11">
        <v>33.35</v>
      </c>
      <c r="Z78" s="7">
        <v>19211</v>
      </c>
      <c r="AA78" s="6">
        <v>46.893150684931506</v>
      </c>
      <c r="AB78" s="10">
        <v>36311</v>
      </c>
      <c r="AC78" s="39" t="s">
        <v>222</v>
      </c>
      <c r="AD78" s="2">
        <v>1</v>
      </c>
      <c r="AE78" s="2" t="s">
        <v>37</v>
      </c>
      <c r="AF78" s="2">
        <v>1</v>
      </c>
      <c r="AG78" s="2">
        <v>5</v>
      </c>
      <c r="AH78" s="2">
        <v>1</v>
      </c>
      <c r="AI78" s="2">
        <v>0</v>
      </c>
      <c r="AJ78" s="2" t="s">
        <v>31</v>
      </c>
      <c r="AK78" s="2">
        <v>0</v>
      </c>
      <c r="AM78" s="2">
        <v>1</v>
      </c>
      <c r="AN78" s="41">
        <v>60</v>
      </c>
      <c r="AO78" s="2">
        <v>1</v>
      </c>
      <c r="AP78" s="41">
        <v>70</v>
      </c>
      <c r="AQ78" s="2">
        <v>1</v>
      </c>
      <c r="AR78" s="12">
        <v>0.1</v>
      </c>
      <c r="AS78" s="8">
        <f t="shared" si="1"/>
        <v>10</v>
      </c>
      <c r="AT78" s="12" t="s">
        <v>27</v>
      </c>
      <c r="AU78" s="8">
        <v>1</v>
      </c>
      <c r="AV78" s="12" t="s">
        <v>27</v>
      </c>
      <c r="AW78" s="29" t="s">
        <v>28</v>
      </c>
      <c r="AX78" s="9">
        <v>0</v>
      </c>
      <c r="AY78" s="11">
        <v>-0.48024519935977406</v>
      </c>
      <c r="AZ78" s="2" t="s">
        <v>29</v>
      </c>
      <c r="BA78" s="2">
        <v>2</v>
      </c>
    </row>
    <row r="79" spans="1:53" s="2" customFormat="1">
      <c r="A79" s="1">
        <v>78</v>
      </c>
      <c r="B79" s="2" t="s">
        <v>23</v>
      </c>
      <c r="C79" s="1" t="s">
        <v>115</v>
      </c>
      <c r="D79" s="1">
        <v>23.36</v>
      </c>
      <c r="E79" s="1">
        <v>26.39</v>
      </c>
      <c r="F79" s="1">
        <v>30.58</v>
      </c>
      <c r="G79" s="1">
        <v>36.54</v>
      </c>
      <c r="H79" s="11">
        <v>30.48</v>
      </c>
      <c r="I79" s="11">
        <v>29.06</v>
      </c>
      <c r="J79" s="11">
        <v>45</v>
      </c>
      <c r="K79" s="11">
        <v>33.33</v>
      </c>
      <c r="L79" s="11">
        <v>32.49</v>
      </c>
      <c r="M79" s="11">
        <v>32.33</v>
      </c>
      <c r="N79" s="11">
        <v>36.65</v>
      </c>
      <c r="O79" s="11">
        <v>31.44</v>
      </c>
      <c r="P79" s="11">
        <v>30.94</v>
      </c>
      <c r="Q79" s="11">
        <v>32.18</v>
      </c>
      <c r="R79" s="11">
        <v>30.46</v>
      </c>
      <c r="S79" s="11">
        <v>35.1</v>
      </c>
      <c r="T79" s="11">
        <v>34.1</v>
      </c>
      <c r="U79" s="11">
        <v>28.57</v>
      </c>
      <c r="V79" s="11">
        <v>27.34</v>
      </c>
      <c r="W79" s="11">
        <v>45</v>
      </c>
      <c r="X79" s="11">
        <v>31.73</v>
      </c>
      <c r="Y79" s="11">
        <v>33.89</v>
      </c>
      <c r="Z79" s="7">
        <v>9943</v>
      </c>
      <c r="AA79" s="6">
        <v>72.671232876712324</v>
      </c>
      <c r="AB79" s="10">
        <v>36432</v>
      </c>
      <c r="AC79" s="39" t="s">
        <v>224</v>
      </c>
      <c r="AD79" s="2">
        <v>2</v>
      </c>
      <c r="AE79" s="2" t="s">
        <v>25</v>
      </c>
      <c r="AF79" s="2">
        <v>2</v>
      </c>
      <c r="AG79" s="2">
        <v>30</v>
      </c>
      <c r="AH79" s="2">
        <v>13</v>
      </c>
      <c r="AI79" s="2">
        <v>0</v>
      </c>
      <c r="AJ79" s="2" t="s">
        <v>31</v>
      </c>
      <c r="AK79" s="2">
        <v>0</v>
      </c>
      <c r="AM79" s="2">
        <v>1</v>
      </c>
      <c r="AN79" s="41">
        <v>80</v>
      </c>
      <c r="AO79" s="2">
        <v>1</v>
      </c>
      <c r="AP79" s="41">
        <v>20</v>
      </c>
      <c r="AQ79" s="2">
        <v>1</v>
      </c>
      <c r="AR79" s="12">
        <v>0.1</v>
      </c>
      <c r="AS79" s="8">
        <f t="shared" si="1"/>
        <v>10</v>
      </c>
      <c r="AT79" s="12" t="s">
        <v>27</v>
      </c>
      <c r="AU79" s="8">
        <v>1</v>
      </c>
      <c r="AV79" s="12" t="s">
        <v>27</v>
      </c>
      <c r="AW79" s="29" t="s">
        <v>28</v>
      </c>
      <c r="AX79" s="9">
        <v>0</v>
      </c>
      <c r="AY79" s="11">
        <v>-0.88799935268655128</v>
      </c>
      <c r="AZ79" s="2" t="s">
        <v>35</v>
      </c>
      <c r="BA79" s="2">
        <v>1</v>
      </c>
    </row>
    <row r="80" spans="1:53" s="2" customFormat="1">
      <c r="A80" s="1">
        <v>79</v>
      </c>
      <c r="B80" s="2" t="s">
        <v>23</v>
      </c>
      <c r="C80" s="1" t="s">
        <v>116</v>
      </c>
      <c r="D80" s="1">
        <v>22.88</v>
      </c>
      <c r="E80" s="1">
        <v>26.85</v>
      </c>
      <c r="F80" s="1">
        <v>32.08</v>
      </c>
      <c r="G80" s="1">
        <v>45</v>
      </c>
      <c r="H80" s="11">
        <v>31.24</v>
      </c>
      <c r="I80" s="11">
        <v>30.72</v>
      </c>
      <c r="J80" s="11">
        <v>31.84</v>
      </c>
      <c r="K80" s="11">
        <v>32.9</v>
      </c>
      <c r="L80" s="11">
        <v>30.33</v>
      </c>
      <c r="M80" s="11">
        <v>31.25</v>
      </c>
      <c r="N80" s="11">
        <v>34.65</v>
      </c>
      <c r="O80" s="11">
        <v>30.98</v>
      </c>
      <c r="P80" s="11">
        <v>36.35</v>
      </c>
      <c r="Q80" s="11">
        <v>30.96</v>
      </c>
      <c r="R80" s="11">
        <v>32.43</v>
      </c>
      <c r="S80" s="11">
        <v>30.93</v>
      </c>
      <c r="T80" s="11">
        <v>45</v>
      </c>
      <c r="U80" s="11">
        <v>29.76</v>
      </c>
      <c r="V80" s="11">
        <v>30.26</v>
      </c>
      <c r="W80" s="11">
        <v>35.770000000000003</v>
      </c>
      <c r="X80" s="11">
        <v>33.74</v>
      </c>
      <c r="Y80" s="11">
        <v>33.67</v>
      </c>
      <c r="Z80" s="7">
        <v>8861</v>
      </c>
      <c r="AA80" s="6">
        <v>75.369863013698634</v>
      </c>
      <c r="AB80" s="10">
        <v>36346</v>
      </c>
      <c r="AC80" s="39" t="s">
        <v>222</v>
      </c>
      <c r="AD80" s="2">
        <v>1</v>
      </c>
      <c r="AE80" s="2" t="s">
        <v>25</v>
      </c>
      <c r="AF80" s="2">
        <v>2</v>
      </c>
      <c r="AG80" s="2">
        <v>26</v>
      </c>
      <c r="AH80" s="2">
        <v>18</v>
      </c>
      <c r="AI80" s="2">
        <v>0</v>
      </c>
      <c r="AJ80" s="2" t="s">
        <v>31</v>
      </c>
      <c r="AK80" s="2">
        <v>0</v>
      </c>
      <c r="AM80" s="2">
        <v>1</v>
      </c>
      <c r="AN80" s="41">
        <v>75</v>
      </c>
      <c r="AO80" s="2">
        <v>2</v>
      </c>
      <c r="AP80" s="41" t="s">
        <v>33</v>
      </c>
      <c r="AQ80" s="2">
        <v>2</v>
      </c>
      <c r="AR80" s="12">
        <v>0.5</v>
      </c>
      <c r="AS80" s="8">
        <f t="shared" si="1"/>
        <v>50</v>
      </c>
      <c r="AT80" s="12" t="s">
        <v>34</v>
      </c>
      <c r="AU80" s="8">
        <v>3</v>
      </c>
      <c r="AV80" s="8" t="s">
        <v>34</v>
      </c>
      <c r="AW80" s="29" t="s">
        <v>28</v>
      </c>
      <c r="AX80" s="9">
        <v>0</v>
      </c>
      <c r="AY80" s="11">
        <v>0.19117051345212444</v>
      </c>
      <c r="AZ80" s="2" t="s">
        <v>38</v>
      </c>
      <c r="BA80" s="2">
        <v>3</v>
      </c>
    </row>
    <row r="81" spans="1:53" s="2" customFormat="1">
      <c r="A81" s="1">
        <v>80</v>
      </c>
      <c r="B81" s="2" t="s">
        <v>23</v>
      </c>
      <c r="C81" s="1" t="s">
        <v>117</v>
      </c>
      <c r="D81" s="1">
        <v>23.11</v>
      </c>
      <c r="E81" s="1">
        <v>24.69</v>
      </c>
      <c r="F81" s="1">
        <v>28.55</v>
      </c>
      <c r="G81" s="1">
        <v>36.29</v>
      </c>
      <c r="H81" s="11">
        <v>30.11</v>
      </c>
      <c r="I81" s="11">
        <v>25.88</v>
      </c>
      <c r="J81" s="11">
        <v>30.85</v>
      </c>
      <c r="K81" s="11">
        <v>31.75</v>
      </c>
      <c r="L81" s="11">
        <v>31.36</v>
      </c>
      <c r="M81" s="11">
        <v>25.92</v>
      </c>
      <c r="N81" s="11">
        <v>34.549999999999997</v>
      </c>
      <c r="O81" s="11">
        <v>29.78</v>
      </c>
      <c r="P81" s="11">
        <v>31</v>
      </c>
      <c r="Q81" s="11">
        <v>33.14</v>
      </c>
      <c r="R81" s="11">
        <v>31.52</v>
      </c>
      <c r="S81" s="11">
        <v>32.83</v>
      </c>
      <c r="T81" s="11">
        <v>35.19</v>
      </c>
      <c r="U81" s="11">
        <v>27.93</v>
      </c>
      <c r="V81" s="11">
        <v>27.08</v>
      </c>
      <c r="W81" s="11">
        <v>33.840000000000003</v>
      </c>
      <c r="X81" s="11">
        <v>30.7</v>
      </c>
      <c r="Y81" s="11">
        <v>32.08</v>
      </c>
      <c r="Z81" s="7">
        <v>11011</v>
      </c>
      <c r="AA81" s="6">
        <v>69.780821917808225</v>
      </c>
      <c r="AB81" s="10">
        <v>36447</v>
      </c>
      <c r="AC81" s="39" t="s">
        <v>224</v>
      </c>
      <c r="AD81" s="2">
        <v>2</v>
      </c>
      <c r="AE81" s="2" t="s">
        <v>37</v>
      </c>
      <c r="AF81" s="2">
        <v>1</v>
      </c>
      <c r="AG81" s="2">
        <v>15</v>
      </c>
      <c r="AH81" s="2">
        <v>10</v>
      </c>
      <c r="AI81" s="2">
        <v>0</v>
      </c>
      <c r="AJ81" s="2" t="s">
        <v>31</v>
      </c>
      <c r="AK81" s="2">
        <v>0</v>
      </c>
      <c r="AM81" s="2">
        <v>1</v>
      </c>
      <c r="AN81" s="41">
        <v>80</v>
      </c>
      <c r="AO81" s="2">
        <v>1</v>
      </c>
      <c r="AP81" s="41">
        <v>70</v>
      </c>
      <c r="AQ81" s="2">
        <v>1</v>
      </c>
      <c r="AR81" s="12">
        <v>0.05</v>
      </c>
      <c r="AS81" s="8">
        <f t="shared" si="1"/>
        <v>5</v>
      </c>
      <c r="AT81" s="12" t="s">
        <v>27</v>
      </c>
      <c r="AU81" s="8">
        <v>1</v>
      </c>
      <c r="AV81" s="12" t="s">
        <v>27</v>
      </c>
      <c r="AW81" s="29" t="s">
        <v>28</v>
      </c>
      <c r="AX81" s="9">
        <v>0</v>
      </c>
      <c r="AY81" s="11">
        <v>-1.4954371052251343</v>
      </c>
      <c r="AZ81" s="2" t="s">
        <v>35</v>
      </c>
      <c r="BA81" s="2">
        <v>1</v>
      </c>
    </row>
    <row r="82" spans="1:53" s="2" customFormat="1">
      <c r="A82" s="1">
        <v>81</v>
      </c>
      <c r="B82" s="2" t="s">
        <v>23</v>
      </c>
      <c r="C82" s="1" t="s">
        <v>118</v>
      </c>
      <c r="D82" s="1">
        <v>23.5</v>
      </c>
      <c r="E82" s="1">
        <v>24.71</v>
      </c>
      <c r="F82" s="1">
        <v>29.3</v>
      </c>
      <c r="G82" s="1">
        <v>36.369999999999997</v>
      </c>
      <c r="H82" s="11">
        <v>30.5</v>
      </c>
      <c r="I82" s="11">
        <v>24.77</v>
      </c>
      <c r="J82" s="11">
        <v>31.47</v>
      </c>
      <c r="K82" s="11">
        <v>32.729999999999997</v>
      </c>
      <c r="L82" s="11">
        <v>32.5</v>
      </c>
      <c r="M82" s="11">
        <v>28.16</v>
      </c>
      <c r="N82" s="11">
        <v>35.28</v>
      </c>
      <c r="O82" s="11">
        <v>30.25</v>
      </c>
      <c r="P82" s="11">
        <v>28</v>
      </c>
      <c r="Q82" s="11">
        <v>33.520000000000003</v>
      </c>
      <c r="R82" s="11">
        <v>30.78</v>
      </c>
      <c r="S82" s="11">
        <v>34.24</v>
      </c>
      <c r="T82" s="11">
        <v>31.25</v>
      </c>
      <c r="U82" s="11">
        <v>27.03</v>
      </c>
      <c r="V82" s="11">
        <v>27.29</v>
      </c>
      <c r="W82" s="11">
        <v>33.06</v>
      </c>
      <c r="X82" s="11">
        <v>31.42</v>
      </c>
      <c r="Y82" s="11">
        <v>31.17</v>
      </c>
      <c r="Z82" s="7">
        <v>20902</v>
      </c>
      <c r="AA82" s="6">
        <v>42.413698630136984</v>
      </c>
      <c r="AB82" s="10">
        <v>36341</v>
      </c>
      <c r="AC82" s="39" t="s">
        <v>231</v>
      </c>
      <c r="AE82" s="2" t="s">
        <v>37</v>
      </c>
      <c r="AF82" s="2">
        <v>1</v>
      </c>
      <c r="AG82" s="2">
        <v>10</v>
      </c>
      <c r="AH82" s="2">
        <v>24</v>
      </c>
      <c r="AI82" s="2">
        <v>0</v>
      </c>
      <c r="AJ82" s="2" t="s">
        <v>31</v>
      </c>
      <c r="AK82" s="2">
        <v>0</v>
      </c>
      <c r="AM82" s="2">
        <v>1</v>
      </c>
      <c r="AN82" s="41">
        <v>60</v>
      </c>
      <c r="AO82" s="2">
        <v>1</v>
      </c>
      <c r="AP82" s="41">
        <v>60</v>
      </c>
      <c r="AQ82" s="2" t="s">
        <v>28</v>
      </c>
      <c r="AR82" s="12">
        <v>0.1</v>
      </c>
      <c r="AS82" s="8">
        <f t="shared" si="1"/>
        <v>10</v>
      </c>
      <c r="AT82" s="12" t="s">
        <v>27</v>
      </c>
      <c r="AU82" s="8">
        <v>1</v>
      </c>
      <c r="AV82" s="12" t="s">
        <v>27</v>
      </c>
      <c r="AW82" s="29" t="s">
        <v>28</v>
      </c>
      <c r="AX82" s="9">
        <v>0</v>
      </c>
      <c r="AY82" s="11">
        <v>-1.8952505127328583</v>
      </c>
      <c r="AZ82" s="2" t="s">
        <v>35</v>
      </c>
      <c r="BA82" s="2">
        <v>1</v>
      </c>
    </row>
    <row r="83" spans="1:53" s="2" customFormat="1">
      <c r="A83" s="1">
        <v>82</v>
      </c>
      <c r="B83" s="2" t="s">
        <v>23</v>
      </c>
      <c r="C83" s="1" t="s">
        <v>119</v>
      </c>
      <c r="D83" s="1">
        <v>23.34</v>
      </c>
      <c r="E83" s="1">
        <v>28.02</v>
      </c>
      <c r="F83" s="1">
        <v>31.87</v>
      </c>
      <c r="G83" s="1">
        <v>45</v>
      </c>
      <c r="H83" s="11">
        <v>31.54</v>
      </c>
      <c r="I83" s="11">
        <v>27.15</v>
      </c>
      <c r="J83" s="11">
        <v>32.880000000000003</v>
      </c>
      <c r="K83" s="11">
        <v>45</v>
      </c>
      <c r="L83" s="11">
        <v>32.729999999999997</v>
      </c>
      <c r="M83" s="11">
        <v>30.95</v>
      </c>
      <c r="N83" s="11">
        <v>36.409999999999997</v>
      </c>
      <c r="O83" s="11">
        <v>32.630000000000003</v>
      </c>
      <c r="P83" s="11">
        <v>32.14</v>
      </c>
      <c r="Q83" s="11">
        <v>35.97</v>
      </c>
      <c r="R83" s="11">
        <v>31.9</v>
      </c>
      <c r="S83" s="11">
        <v>33.17</v>
      </c>
      <c r="T83" s="11">
        <v>36.770000000000003</v>
      </c>
      <c r="U83" s="11">
        <v>28.89</v>
      </c>
      <c r="V83" s="11">
        <v>31.37</v>
      </c>
      <c r="W83" s="11">
        <v>45</v>
      </c>
      <c r="X83" s="11">
        <v>33.64</v>
      </c>
      <c r="Y83" s="11">
        <v>34.9</v>
      </c>
      <c r="Z83" s="7">
        <v>14496</v>
      </c>
      <c r="AA83" s="6">
        <v>59.92876712328767</v>
      </c>
      <c r="AB83" s="10">
        <v>36343</v>
      </c>
      <c r="AC83" s="39" t="s">
        <v>226</v>
      </c>
      <c r="AE83" s="2" t="s">
        <v>25</v>
      </c>
      <c r="AF83" s="2">
        <v>2</v>
      </c>
      <c r="AG83" s="2">
        <v>22</v>
      </c>
      <c r="AH83" s="2">
        <v>9</v>
      </c>
      <c r="AI83" s="2">
        <v>0</v>
      </c>
      <c r="AJ83" s="2" t="s">
        <v>31</v>
      </c>
      <c r="AK83" s="2">
        <v>0</v>
      </c>
      <c r="AM83" s="2">
        <v>1</v>
      </c>
      <c r="AN83" s="41">
        <v>95</v>
      </c>
      <c r="AO83" s="2">
        <v>2</v>
      </c>
      <c r="AP83" s="41" t="s">
        <v>33</v>
      </c>
      <c r="AQ83" s="2">
        <v>2</v>
      </c>
      <c r="AR83" s="12">
        <v>0.3</v>
      </c>
      <c r="AS83" s="8">
        <f t="shared" si="1"/>
        <v>30</v>
      </c>
      <c r="AT83" s="12" t="s">
        <v>34</v>
      </c>
      <c r="AU83" s="8">
        <v>3</v>
      </c>
      <c r="AV83" s="8" t="s">
        <v>34</v>
      </c>
      <c r="AW83" s="29" t="s">
        <v>28</v>
      </c>
      <c r="AX83" s="9">
        <v>0</v>
      </c>
      <c r="AY83" s="11">
        <v>-1.9480413828115166</v>
      </c>
      <c r="AZ83" s="2" t="s">
        <v>35</v>
      </c>
      <c r="BA83" s="2">
        <v>1</v>
      </c>
    </row>
    <row r="84" spans="1:53" s="2" customFormat="1">
      <c r="A84" s="1">
        <v>83</v>
      </c>
      <c r="B84" s="2" t="s">
        <v>23</v>
      </c>
      <c r="C84" s="1" t="s">
        <v>120</v>
      </c>
      <c r="D84" s="1">
        <v>23.03</v>
      </c>
      <c r="E84" s="1">
        <v>24.38</v>
      </c>
      <c r="F84" s="1">
        <v>29</v>
      </c>
      <c r="G84" s="1">
        <v>35.25</v>
      </c>
      <c r="H84" s="11">
        <v>31.29</v>
      </c>
      <c r="I84" s="11">
        <v>24.91</v>
      </c>
      <c r="J84" s="11">
        <v>30.17</v>
      </c>
      <c r="K84" s="11">
        <v>29.77</v>
      </c>
      <c r="L84" s="11">
        <v>30.61</v>
      </c>
      <c r="M84" s="11">
        <v>29.8</v>
      </c>
      <c r="N84" s="11">
        <v>34.590000000000003</v>
      </c>
      <c r="O84" s="11">
        <v>29.18</v>
      </c>
      <c r="P84" s="11">
        <v>31.64</v>
      </c>
      <c r="Q84" s="11">
        <v>31.86</v>
      </c>
      <c r="R84" s="11">
        <v>30.81</v>
      </c>
      <c r="S84" s="11">
        <v>29.49</v>
      </c>
      <c r="T84" s="11">
        <v>38.5</v>
      </c>
      <c r="U84" s="11">
        <v>30.12</v>
      </c>
      <c r="V84" s="11">
        <v>27.69</v>
      </c>
      <c r="W84" s="11">
        <v>37.57</v>
      </c>
      <c r="X84" s="11">
        <v>30.1</v>
      </c>
      <c r="Y84" s="11">
        <v>31.46</v>
      </c>
      <c r="Z84" s="7">
        <v>12444</v>
      </c>
      <c r="AA84" s="6">
        <v>65.778082191780825</v>
      </c>
      <c r="AB84" s="10">
        <v>36403</v>
      </c>
      <c r="AC84" s="39" t="s">
        <v>222</v>
      </c>
      <c r="AD84" s="2">
        <v>1</v>
      </c>
      <c r="AE84" s="2" t="s">
        <v>37</v>
      </c>
      <c r="AF84" s="2">
        <v>1</v>
      </c>
      <c r="AG84" s="2">
        <v>14</v>
      </c>
      <c r="AH84" s="2">
        <v>5</v>
      </c>
      <c r="AI84" s="2">
        <v>0</v>
      </c>
      <c r="AJ84" s="2" t="s">
        <v>31</v>
      </c>
      <c r="AK84" s="2">
        <v>0</v>
      </c>
      <c r="AM84" s="2">
        <v>1</v>
      </c>
      <c r="AN84" s="41">
        <v>90</v>
      </c>
      <c r="AO84" s="2">
        <v>1</v>
      </c>
      <c r="AP84" s="41">
        <v>40</v>
      </c>
      <c r="AQ84" s="2">
        <v>2</v>
      </c>
      <c r="AR84" s="12">
        <v>0.1</v>
      </c>
      <c r="AS84" s="8">
        <f t="shared" si="1"/>
        <v>10</v>
      </c>
      <c r="AT84" s="12" t="s">
        <v>27</v>
      </c>
      <c r="AU84" s="8">
        <v>1</v>
      </c>
      <c r="AV84" s="12" t="s">
        <v>27</v>
      </c>
      <c r="AW84" s="29" t="s">
        <v>28</v>
      </c>
      <c r="AX84" s="9">
        <v>0</v>
      </c>
      <c r="AY84" s="11">
        <v>0.17384888654707908</v>
      </c>
      <c r="AZ84" s="2" t="s">
        <v>38</v>
      </c>
      <c r="BA84" s="2">
        <v>3</v>
      </c>
    </row>
    <row r="85" spans="1:53" s="2" customFormat="1">
      <c r="A85" s="1">
        <v>84</v>
      </c>
      <c r="B85" s="2" t="s">
        <v>23</v>
      </c>
      <c r="C85" s="1" t="s">
        <v>121</v>
      </c>
      <c r="D85" s="1">
        <v>24.5</v>
      </c>
      <c r="E85" s="1">
        <v>25.83</v>
      </c>
      <c r="F85" s="1">
        <v>31.75</v>
      </c>
      <c r="G85" s="1">
        <v>34.36</v>
      </c>
      <c r="H85" s="11">
        <v>31.89</v>
      </c>
      <c r="I85" s="11">
        <v>26.06</v>
      </c>
      <c r="J85" s="11">
        <v>32.94</v>
      </c>
      <c r="K85" s="11">
        <v>33.57</v>
      </c>
      <c r="L85" s="11">
        <v>33.79</v>
      </c>
      <c r="M85" s="11">
        <v>28.94</v>
      </c>
      <c r="N85" s="11">
        <v>33.97</v>
      </c>
      <c r="O85" s="11">
        <v>31.87</v>
      </c>
      <c r="P85" s="11">
        <v>30.41</v>
      </c>
      <c r="Q85" s="11">
        <v>34.39</v>
      </c>
      <c r="R85" s="11">
        <v>31.98</v>
      </c>
      <c r="S85" s="11">
        <v>45</v>
      </c>
      <c r="T85" s="11">
        <v>31.55</v>
      </c>
      <c r="U85" s="11">
        <v>28.71</v>
      </c>
      <c r="V85" s="11">
        <v>28.3</v>
      </c>
      <c r="W85" s="11">
        <v>33.130000000000003</v>
      </c>
      <c r="X85" s="11">
        <v>32.24</v>
      </c>
      <c r="Y85" s="11">
        <v>31.88</v>
      </c>
      <c r="Z85" s="7">
        <v>10253</v>
      </c>
      <c r="AA85" s="6">
        <v>71.895890410958899</v>
      </c>
      <c r="AB85" s="10">
        <v>36466</v>
      </c>
      <c r="AC85" s="39" t="s">
        <v>222</v>
      </c>
      <c r="AD85" s="2">
        <v>1</v>
      </c>
      <c r="AE85" s="2" t="s">
        <v>25</v>
      </c>
      <c r="AF85" s="2">
        <v>2</v>
      </c>
      <c r="AG85" s="2">
        <v>50</v>
      </c>
      <c r="AH85" s="2">
        <v>22</v>
      </c>
      <c r="AI85" s="2">
        <v>21</v>
      </c>
      <c r="AJ85" s="2" t="s">
        <v>61</v>
      </c>
      <c r="AK85" s="2">
        <v>3</v>
      </c>
      <c r="AM85" s="2">
        <v>1</v>
      </c>
      <c r="AN85" s="41">
        <v>80</v>
      </c>
      <c r="AO85" s="2">
        <v>1</v>
      </c>
      <c r="AP85" s="41">
        <v>90</v>
      </c>
      <c r="AQ85" s="2">
        <v>2</v>
      </c>
      <c r="AR85" s="12">
        <v>0.05</v>
      </c>
      <c r="AS85" s="8">
        <f t="shared" si="1"/>
        <v>5</v>
      </c>
      <c r="AT85" s="12" t="s">
        <v>27</v>
      </c>
      <c r="AU85" s="8">
        <v>1</v>
      </c>
      <c r="AV85" s="12" t="s">
        <v>27</v>
      </c>
      <c r="AW85" s="29" t="s">
        <v>28</v>
      </c>
      <c r="AX85" s="9">
        <v>0</v>
      </c>
      <c r="AY85" s="11">
        <v>-1.835709213106858</v>
      </c>
      <c r="AZ85" s="2" t="s">
        <v>35</v>
      </c>
      <c r="BA85" s="2">
        <v>1</v>
      </c>
    </row>
    <row r="86" spans="1:53" s="2" customFormat="1">
      <c r="A86" s="1">
        <v>85</v>
      </c>
      <c r="B86" s="2" t="s">
        <v>23</v>
      </c>
      <c r="C86" s="1" t="s">
        <v>45</v>
      </c>
      <c r="D86" s="1">
        <v>22.86</v>
      </c>
      <c r="E86" s="1">
        <v>23.86</v>
      </c>
      <c r="F86" s="1">
        <v>29.86</v>
      </c>
      <c r="G86" s="1">
        <v>33.06</v>
      </c>
      <c r="H86" s="11">
        <v>30.92</v>
      </c>
      <c r="I86" s="11">
        <v>24.36</v>
      </c>
      <c r="J86" s="11">
        <v>31.07</v>
      </c>
      <c r="K86" s="11">
        <v>31.35</v>
      </c>
      <c r="L86" s="11">
        <v>32.18</v>
      </c>
      <c r="M86" s="11">
        <v>26.3</v>
      </c>
      <c r="N86" s="11">
        <v>30.55</v>
      </c>
      <c r="O86" s="11">
        <v>30.35</v>
      </c>
      <c r="P86" s="11">
        <v>27.58</v>
      </c>
      <c r="Q86" s="11">
        <v>32.04</v>
      </c>
      <c r="R86" s="11">
        <v>30.02</v>
      </c>
      <c r="S86" s="11">
        <v>29.85</v>
      </c>
      <c r="T86" s="11">
        <v>30.82</v>
      </c>
      <c r="U86" s="11">
        <v>27.26</v>
      </c>
      <c r="V86" s="11">
        <v>27.03</v>
      </c>
      <c r="W86" s="11">
        <v>31.59</v>
      </c>
      <c r="X86" s="11">
        <v>29.89</v>
      </c>
      <c r="Y86" s="11">
        <v>30.61</v>
      </c>
      <c r="Z86" s="7">
        <v>12407</v>
      </c>
      <c r="AA86" s="6">
        <v>65.835616438356169</v>
      </c>
      <c r="AB86" s="10">
        <v>36410</v>
      </c>
      <c r="AC86" s="39" t="s">
        <v>222</v>
      </c>
      <c r="AD86" s="2">
        <v>1</v>
      </c>
      <c r="AE86" s="2" t="s">
        <v>37</v>
      </c>
      <c r="AF86" s="2">
        <v>1</v>
      </c>
      <c r="AG86" s="2">
        <v>20</v>
      </c>
      <c r="AH86" s="2">
        <v>15</v>
      </c>
      <c r="AI86" s="2">
        <v>2</v>
      </c>
      <c r="AJ86" s="2" t="s">
        <v>26</v>
      </c>
      <c r="AK86" s="2">
        <v>1</v>
      </c>
      <c r="AM86" s="2">
        <v>1</v>
      </c>
      <c r="AN86" s="41">
        <v>80</v>
      </c>
      <c r="AO86" s="2">
        <v>1</v>
      </c>
      <c r="AP86" s="41">
        <v>60</v>
      </c>
      <c r="AQ86" s="2">
        <v>2</v>
      </c>
      <c r="AR86" s="12">
        <v>0.05</v>
      </c>
      <c r="AS86" s="8">
        <f t="shared" si="1"/>
        <v>5</v>
      </c>
      <c r="AT86" s="12" t="s">
        <v>27</v>
      </c>
      <c r="AU86" s="8">
        <v>1</v>
      </c>
      <c r="AV86" s="12" t="s">
        <v>27</v>
      </c>
      <c r="AW86" s="29" t="s">
        <v>28</v>
      </c>
      <c r="AX86" s="9">
        <v>0</v>
      </c>
      <c r="AY86" s="11">
        <v>-4.5705713736303721E-2</v>
      </c>
      <c r="AZ86" s="2" t="s">
        <v>38</v>
      </c>
      <c r="BA86" s="2">
        <v>3</v>
      </c>
    </row>
    <row r="87" spans="1:53" s="2" customFormat="1">
      <c r="A87" s="1">
        <v>86</v>
      </c>
      <c r="B87" s="2" t="s">
        <v>23</v>
      </c>
      <c r="C87" s="1" t="s">
        <v>122</v>
      </c>
      <c r="D87" s="1">
        <v>23.49</v>
      </c>
      <c r="E87" s="1">
        <v>23.69</v>
      </c>
      <c r="F87" s="1">
        <v>28.66</v>
      </c>
      <c r="G87" s="1">
        <v>33.03</v>
      </c>
      <c r="H87" s="11">
        <v>29.88</v>
      </c>
      <c r="I87" s="11">
        <v>24.17</v>
      </c>
      <c r="J87" s="11">
        <v>30.31</v>
      </c>
      <c r="K87" s="11">
        <v>31.61</v>
      </c>
      <c r="L87" s="11">
        <v>32.159999999999997</v>
      </c>
      <c r="M87" s="11">
        <v>27.56</v>
      </c>
      <c r="N87" s="11">
        <v>32.74</v>
      </c>
      <c r="O87" s="11">
        <v>28.89</v>
      </c>
      <c r="P87" s="11">
        <v>27.21</v>
      </c>
      <c r="Q87" s="11">
        <v>31.68</v>
      </c>
      <c r="R87" s="11">
        <v>30.2</v>
      </c>
      <c r="S87" s="11">
        <v>32.86</v>
      </c>
      <c r="T87" s="11">
        <v>29.45</v>
      </c>
      <c r="U87" s="11">
        <v>27.39</v>
      </c>
      <c r="V87" s="11">
        <v>27.32</v>
      </c>
      <c r="W87" s="11">
        <v>33.71</v>
      </c>
      <c r="X87" s="11">
        <v>30.2</v>
      </c>
      <c r="Y87" s="11">
        <v>30.79</v>
      </c>
      <c r="Z87" s="7">
        <v>14418</v>
      </c>
      <c r="AA87" s="6">
        <v>60.558904109589044</v>
      </c>
      <c r="AB87" s="10">
        <v>36473</v>
      </c>
      <c r="AC87" s="39" t="s">
        <v>222</v>
      </c>
      <c r="AD87" s="2">
        <v>1</v>
      </c>
      <c r="AE87" s="2" t="s">
        <v>37</v>
      </c>
      <c r="AF87" s="2">
        <v>1</v>
      </c>
      <c r="AG87" s="2">
        <v>14</v>
      </c>
      <c r="AH87" s="2">
        <v>12</v>
      </c>
      <c r="AI87" s="2">
        <v>0</v>
      </c>
      <c r="AJ87" s="2" t="s">
        <v>31</v>
      </c>
      <c r="AK87" s="2">
        <v>0</v>
      </c>
      <c r="AM87" s="2">
        <v>1</v>
      </c>
      <c r="AN87" s="41">
        <v>90</v>
      </c>
      <c r="AO87" s="2">
        <v>1</v>
      </c>
      <c r="AP87" s="41">
        <v>60</v>
      </c>
      <c r="AQ87" s="2">
        <v>1</v>
      </c>
      <c r="AR87" s="12">
        <v>0.05</v>
      </c>
      <c r="AS87" s="8">
        <f t="shared" si="1"/>
        <v>5</v>
      </c>
      <c r="AT87" s="12" t="s">
        <v>27</v>
      </c>
      <c r="AU87" s="8">
        <v>1</v>
      </c>
      <c r="AV87" s="12" t="s">
        <v>27</v>
      </c>
      <c r="AW87" s="29" t="s">
        <v>28</v>
      </c>
      <c r="AX87" s="9">
        <v>0</v>
      </c>
      <c r="AY87" s="11">
        <v>-0.82760337439764498</v>
      </c>
      <c r="AZ87" s="2" t="s">
        <v>29</v>
      </c>
      <c r="BA87" s="2">
        <v>2</v>
      </c>
    </row>
    <row r="88" spans="1:53" s="2" customFormat="1">
      <c r="A88" s="1">
        <v>87</v>
      </c>
      <c r="B88" s="2" t="s">
        <v>23</v>
      </c>
      <c r="C88" s="1" t="s">
        <v>123</v>
      </c>
      <c r="D88" s="1">
        <v>25.74</v>
      </c>
      <c r="E88" s="1">
        <v>28.89</v>
      </c>
      <c r="F88" s="1">
        <v>34.770000000000003</v>
      </c>
      <c r="G88" s="1">
        <v>45</v>
      </c>
      <c r="H88" s="11">
        <v>34.67</v>
      </c>
      <c r="I88" s="11">
        <v>28.83</v>
      </c>
      <c r="J88" s="11">
        <v>34.22</v>
      </c>
      <c r="K88" s="11">
        <v>36.75</v>
      </c>
      <c r="L88" s="11">
        <v>32.68</v>
      </c>
      <c r="M88" s="11">
        <v>34.61</v>
      </c>
      <c r="N88" s="11">
        <v>37.89</v>
      </c>
      <c r="O88" s="11">
        <v>33.96</v>
      </c>
      <c r="P88" s="11">
        <v>35.369999999999997</v>
      </c>
      <c r="Q88" s="11">
        <v>33.39</v>
      </c>
      <c r="R88" s="11">
        <v>36.39</v>
      </c>
      <c r="S88" s="11">
        <v>33.200000000000003</v>
      </c>
      <c r="T88" s="11">
        <v>36</v>
      </c>
      <c r="U88" s="11">
        <v>33.729999999999997</v>
      </c>
      <c r="V88" s="11">
        <v>32.25</v>
      </c>
      <c r="W88" s="11">
        <v>45</v>
      </c>
      <c r="X88" s="11">
        <v>35.340000000000003</v>
      </c>
      <c r="Y88" s="11">
        <v>34.57</v>
      </c>
      <c r="Z88" s="7">
        <v>13469</v>
      </c>
      <c r="AA88" s="6">
        <v>61.410958904109592</v>
      </c>
      <c r="AB88" s="10">
        <v>35859</v>
      </c>
      <c r="AC88" s="39" t="s">
        <v>222</v>
      </c>
      <c r="AD88" s="2">
        <v>1</v>
      </c>
      <c r="AE88" s="2" t="s">
        <v>25</v>
      </c>
      <c r="AF88" s="2">
        <v>2</v>
      </c>
      <c r="AG88" s="2">
        <v>22</v>
      </c>
      <c r="AH88" s="2">
        <v>17</v>
      </c>
      <c r="AI88" s="2">
        <v>0</v>
      </c>
      <c r="AJ88" s="2" t="s">
        <v>31</v>
      </c>
      <c r="AK88" s="2">
        <v>0</v>
      </c>
      <c r="AM88" s="2">
        <v>1</v>
      </c>
      <c r="AN88" s="41">
        <v>90</v>
      </c>
      <c r="AO88" s="2">
        <v>2</v>
      </c>
      <c r="AP88" s="41" t="s">
        <v>33</v>
      </c>
      <c r="AQ88" s="2">
        <v>3</v>
      </c>
      <c r="AR88" s="12">
        <v>0.45</v>
      </c>
      <c r="AS88" s="8">
        <f t="shared" si="1"/>
        <v>45</v>
      </c>
      <c r="AT88" s="12" t="s">
        <v>34</v>
      </c>
      <c r="AU88" s="8">
        <v>3</v>
      </c>
      <c r="AV88" s="8" t="s">
        <v>34</v>
      </c>
      <c r="AW88" s="29" t="s">
        <v>28</v>
      </c>
      <c r="AX88" s="9">
        <v>0</v>
      </c>
      <c r="AY88" s="11">
        <v>0.65923374744329877</v>
      </c>
      <c r="AZ88" s="2" t="s">
        <v>38</v>
      </c>
      <c r="BA88" s="2">
        <v>3</v>
      </c>
    </row>
    <row r="89" spans="1:53" s="2" customFormat="1">
      <c r="A89" s="1">
        <v>88</v>
      </c>
      <c r="B89" s="2" t="s">
        <v>23</v>
      </c>
      <c r="C89" s="1" t="s">
        <v>124</v>
      </c>
      <c r="D89" s="1">
        <v>26.81</v>
      </c>
      <c r="E89" s="1">
        <v>29.89</v>
      </c>
      <c r="F89" s="1">
        <v>34.78</v>
      </c>
      <c r="G89" s="1">
        <v>45</v>
      </c>
      <c r="H89" s="11">
        <v>35.43</v>
      </c>
      <c r="I89" s="11">
        <v>28.97</v>
      </c>
      <c r="J89" s="11">
        <v>34.72</v>
      </c>
      <c r="K89" s="11">
        <v>35.42</v>
      </c>
      <c r="L89" s="11">
        <v>36.61</v>
      </c>
      <c r="M89" s="11">
        <v>30.96</v>
      </c>
      <c r="N89" s="11">
        <v>45</v>
      </c>
      <c r="O89" s="11">
        <v>34.200000000000003</v>
      </c>
      <c r="P89" s="11">
        <v>34</v>
      </c>
      <c r="Q89" s="11">
        <v>35</v>
      </c>
      <c r="R89" s="11">
        <v>35.119999999999997</v>
      </c>
      <c r="S89" s="11">
        <v>35.659999999999997</v>
      </c>
      <c r="T89" s="11">
        <v>33.11</v>
      </c>
      <c r="U89" s="11">
        <v>31.81</v>
      </c>
      <c r="V89" s="11">
        <v>31.65</v>
      </c>
      <c r="W89" s="11">
        <v>35.26</v>
      </c>
      <c r="X89" s="11">
        <v>36.020000000000003</v>
      </c>
      <c r="Y89" s="11">
        <v>34.71</v>
      </c>
      <c r="Z89" s="7">
        <v>10399</v>
      </c>
      <c r="AA89" s="6">
        <v>69.630136986301366</v>
      </c>
      <c r="AB89" s="10">
        <v>35767</v>
      </c>
      <c r="AC89" s="39" t="s">
        <v>224</v>
      </c>
      <c r="AD89" s="2">
        <v>2</v>
      </c>
      <c r="AE89" s="2" t="s">
        <v>25</v>
      </c>
      <c r="AF89" s="2">
        <v>2</v>
      </c>
      <c r="AG89" s="2">
        <v>22</v>
      </c>
      <c r="AH89" s="2">
        <v>27</v>
      </c>
      <c r="AI89" s="2">
        <v>0</v>
      </c>
      <c r="AJ89" s="2" t="s">
        <v>31</v>
      </c>
      <c r="AK89" s="2">
        <v>0</v>
      </c>
      <c r="AM89" s="2">
        <v>1</v>
      </c>
      <c r="AN89" s="41">
        <v>70</v>
      </c>
      <c r="AO89" s="2">
        <v>2</v>
      </c>
      <c r="AP89" s="41" t="s">
        <v>33</v>
      </c>
      <c r="AQ89" s="2">
        <v>1</v>
      </c>
      <c r="AR89" s="12">
        <v>0.05</v>
      </c>
      <c r="AS89" s="8">
        <f t="shared" si="1"/>
        <v>5</v>
      </c>
      <c r="AT89" s="12" t="s">
        <v>27</v>
      </c>
      <c r="AU89" s="8">
        <v>1</v>
      </c>
      <c r="AV89" s="12" t="s">
        <v>27</v>
      </c>
      <c r="AW89" s="29" t="s">
        <v>28</v>
      </c>
      <c r="AX89" s="9">
        <v>0</v>
      </c>
      <c r="AY89" s="11">
        <v>-2.5916101114622503E-2</v>
      </c>
      <c r="AZ89" s="2" t="s">
        <v>38</v>
      </c>
      <c r="BA89" s="2">
        <v>3</v>
      </c>
    </row>
    <row r="90" spans="1:53" s="2" customFormat="1">
      <c r="A90" s="1">
        <v>89</v>
      </c>
      <c r="B90" s="2" t="s">
        <v>23</v>
      </c>
      <c r="C90" s="1" t="s">
        <v>125</v>
      </c>
      <c r="D90" s="1">
        <v>24.62</v>
      </c>
      <c r="E90" s="1">
        <v>28.04</v>
      </c>
      <c r="F90" s="1">
        <v>33.07</v>
      </c>
      <c r="G90" s="1">
        <v>36.36</v>
      </c>
      <c r="H90" s="11">
        <v>34.56</v>
      </c>
      <c r="I90" s="11">
        <v>27.08</v>
      </c>
      <c r="J90" s="11">
        <v>33.24</v>
      </c>
      <c r="K90" s="11">
        <v>34.21</v>
      </c>
      <c r="L90" s="11">
        <v>30.29</v>
      </c>
      <c r="M90" s="11">
        <v>30.42</v>
      </c>
      <c r="N90" s="11">
        <v>35.020000000000003</v>
      </c>
      <c r="O90" s="11">
        <v>30.53</v>
      </c>
      <c r="P90" s="11">
        <v>34.4</v>
      </c>
      <c r="Q90" s="11">
        <v>33.46</v>
      </c>
      <c r="R90" s="11">
        <v>31.27</v>
      </c>
      <c r="S90" s="11">
        <v>34.53</v>
      </c>
      <c r="T90" s="11">
        <v>35.82</v>
      </c>
      <c r="U90" s="11">
        <v>31.71</v>
      </c>
      <c r="V90" s="11">
        <v>30.93</v>
      </c>
      <c r="W90" s="11">
        <v>37.590000000000003</v>
      </c>
      <c r="X90" s="11">
        <v>33.47</v>
      </c>
      <c r="Y90" s="11">
        <v>33.68</v>
      </c>
      <c r="Z90" s="7">
        <v>17448</v>
      </c>
      <c r="AA90" s="6">
        <v>51.586301369863016</v>
      </c>
      <c r="AB90" s="10">
        <v>36237</v>
      </c>
      <c r="AC90" s="39" t="s">
        <v>222</v>
      </c>
      <c r="AD90" s="2">
        <v>1</v>
      </c>
      <c r="AE90" s="2" t="s">
        <v>37</v>
      </c>
      <c r="AF90" s="2">
        <v>1</v>
      </c>
      <c r="AG90" s="2">
        <v>12</v>
      </c>
      <c r="AH90" s="2">
        <v>23</v>
      </c>
      <c r="AI90" s="2">
        <v>1</v>
      </c>
      <c r="AJ90" s="2" t="s">
        <v>26</v>
      </c>
      <c r="AK90" s="2">
        <v>1</v>
      </c>
      <c r="AM90" s="2">
        <v>2</v>
      </c>
      <c r="AN90" s="41" t="s">
        <v>33</v>
      </c>
      <c r="AO90" s="2">
        <v>2</v>
      </c>
      <c r="AP90" s="41" t="s">
        <v>33</v>
      </c>
      <c r="AQ90" s="2">
        <v>2</v>
      </c>
      <c r="AR90" s="12">
        <v>0.6</v>
      </c>
      <c r="AS90" s="8">
        <f t="shared" si="1"/>
        <v>60</v>
      </c>
      <c r="AT90" s="12" t="s">
        <v>34</v>
      </c>
      <c r="AU90" s="8">
        <v>3</v>
      </c>
      <c r="AV90" s="8" t="s">
        <v>34</v>
      </c>
      <c r="AW90" s="29" t="s">
        <v>28</v>
      </c>
      <c r="AX90" s="9">
        <v>0</v>
      </c>
      <c r="AY90" s="11">
        <v>0.63160618077638553</v>
      </c>
      <c r="AZ90" s="2" t="s">
        <v>38</v>
      </c>
      <c r="BA90" s="2">
        <v>3</v>
      </c>
    </row>
    <row r="91" spans="1:53" s="2" customFormat="1">
      <c r="A91" s="1">
        <v>90</v>
      </c>
      <c r="B91" s="2" t="s">
        <v>23</v>
      </c>
      <c r="C91" s="1" t="s">
        <v>126</v>
      </c>
      <c r="D91" s="1">
        <v>25.99</v>
      </c>
      <c r="E91" s="1">
        <v>28.05</v>
      </c>
      <c r="F91" s="1">
        <v>30.02</v>
      </c>
      <c r="G91" s="1">
        <v>45</v>
      </c>
      <c r="H91" s="11">
        <v>34.14</v>
      </c>
      <c r="I91" s="11">
        <v>28.25</v>
      </c>
      <c r="J91" s="11">
        <v>33.49</v>
      </c>
      <c r="K91" s="11">
        <v>35.729999999999997</v>
      </c>
      <c r="L91" s="11">
        <v>33.590000000000003</v>
      </c>
      <c r="M91" s="11">
        <v>31.9</v>
      </c>
      <c r="N91" s="11">
        <v>45</v>
      </c>
      <c r="O91" s="11">
        <v>32.630000000000003</v>
      </c>
      <c r="P91" s="11">
        <v>31.35</v>
      </c>
      <c r="Q91" s="11">
        <v>34.92</v>
      </c>
      <c r="R91" s="11">
        <v>33.700000000000003</v>
      </c>
      <c r="S91" s="11">
        <v>34.76</v>
      </c>
      <c r="T91" s="11">
        <v>31.53</v>
      </c>
      <c r="U91" s="11">
        <v>30.35</v>
      </c>
      <c r="V91" s="11">
        <v>29.68</v>
      </c>
      <c r="W91" s="11">
        <v>35</v>
      </c>
      <c r="X91" s="11">
        <v>33.43</v>
      </c>
      <c r="Y91" s="11">
        <v>33.65</v>
      </c>
      <c r="Z91" s="7">
        <v>20785</v>
      </c>
      <c r="AA91" s="6">
        <v>41.142465753424659</v>
      </c>
      <c r="AB91" s="10">
        <v>36139</v>
      </c>
      <c r="AC91" s="39" t="s">
        <v>224</v>
      </c>
      <c r="AD91" s="2">
        <v>2</v>
      </c>
      <c r="AE91" s="2" t="s">
        <v>37</v>
      </c>
      <c r="AF91" s="2">
        <v>1</v>
      </c>
      <c r="AG91" s="2">
        <v>8</v>
      </c>
      <c r="AH91" s="2">
        <v>3</v>
      </c>
      <c r="AI91" s="2">
        <v>0</v>
      </c>
      <c r="AJ91" s="2" t="s">
        <v>31</v>
      </c>
      <c r="AK91" s="2">
        <v>0</v>
      </c>
      <c r="AM91" s="2">
        <v>1</v>
      </c>
      <c r="AN91" s="41">
        <v>90</v>
      </c>
      <c r="AO91" s="2">
        <v>1</v>
      </c>
      <c r="AP91" s="41">
        <v>50</v>
      </c>
      <c r="AQ91" s="2" t="s">
        <v>28</v>
      </c>
      <c r="AR91" s="12">
        <v>0.1</v>
      </c>
      <c r="AS91" s="8">
        <f t="shared" si="1"/>
        <v>10</v>
      </c>
      <c r="AT91" s="12" t="s">
        <v>27</v>
      </c>
      <c r="AU91" s="8">
        <v>1</v>
      </c>
      <c r="AV91" s="12" t="s">
        <v>27</v>
      </c>
      <c r="AW91" s="29" t="s">
        <v>28</v>
      </c>
      <c r="AX91" s="9">
        <v>0</v>
      </c>
      <c r="AY91" s="11">
        <v>-0.71806092673226907</v>
      </c>
      <c r="AZ91" s="2" t="s">
        <v>29</v>
      </c>
      <c r="BA91" s="2">
        <v>2</v>
      </c>
    </row>
    <row r="92" spans="1:53" s="2" customFormat="1">
      <c r="A92" s="1">
        <v>91</v>
      </c>
      <c r="B92" s="2" t="s">
        <v>23</v>
      </c>
      <c r="C92" s="1" t="s">
        <v>127</v>
      </c>
      <c r="D92" s="1">
        <v>23.44</v>
      </c>
      <c r="E92" s="1">
        <v>26.77</v>
      </c>
      <c r="F92" s="1">
        <v>29.94</v>
      </c>
      <c r="G92" s="1">
        <v>45</v>
      </c>
      <c r="H92" s="11">
        <v>30.33</v>
      </c>
      <c r="I92" s="11">
        <v>26.68</v>
      </c>
      <c r="J92" s="11">
        <v>30.91</v>
      </c>
      <c r="K92" s="11">
        <v>32.74</v>
      </c>
      <c r="L92" s="11">
        <v>32.590000000000003</v>
      </c>
      <c r="M92" s="11">
        <v>29.77</v>
      </c>
      <c r="N92" s="11">
        <v>35.01</v>
      </c>
      <c r="O92" s="11">
        <v>30.99</v>
      </c>
      <c r="P92" s="11">
        <v>32.56</v>
      </c>
      <c r="Q92" s="11">
        <v>34.58</v>
      </c>
      <c r="R92" s="11">
        <v>31.22</v>
      </c>
      <c r="S92" s="11">
        <v>35.369999999999997</v>
      </c>
      <c r="T92" s="11">
        <v>34.44</v>
      </c>
      <c r="U92" s="11">
        <v>29.14</v>
      </c>
      <c r="V92" s="11">
        <v>28.66</v>
      </c>
      <c r="W92" s="11">
        <v>45</v>
      </c>
      <c r="X92" s="11">
        <v>31.76</v>
      </c>
      <c r="Y92" s="11">
        <v>31.75</v>
      </c>
      <c r="Z92" s="7">
        <v>8092</v>
      </c>
      <c r="AA92" s="6" t="e">
        <f>(#REF!-Z92)/365</f>
        <v>#REF!</v>
      </c>
      <c r="AB92" s="10">
        <v>36353</v>
      </c>
      <c r="AC92" s="39" t="s">
        <v>226</v>
      </c>
      <c r="AE92" s="10" t="s">
        <v>37</v>
      </c>
      <c r="AF92" s="2">
        <v>1</v>
      </c>
      <c r="AG92" s="2">
        <v>2</v>
      </c>
      <c r="AH92" s="2">
        <v>30</v>
      </c>
      <c r="AI92" s="2">
        <v>11</v>
      </c>
      <c r="AJ92" s="2" t="s">
        <v>61</v>
      </c>
      <c r="AK92" s="2">
        <v>3</v>
      </c>
      <c r="AL92" s="2">
        <v>0</v>
      </c>
      <c r="AM92" s="2">
        <v>1</v>
      </c>
      <c r="AN92" s="41">
        <v>95</v>
      </c>
      <c r="AO92" s="2">
        <v>2</v>
      </c>
      <c r="AP92" s="41" t="s">
        <v>33</v>
      </c>
      <c r="AQ92" s="2">
        <v>2</v>
      </c>
      <c r="AR92" s="12">
        <v>0</v>
      </c>
      <c r="AS92" s="8">
        <f t="shared" si="1"/>
        <v>0</v>
      </c>
      <c r="AT92" s="12" t="s">
        <v>27</v>
      </c>
      <c r="AU92" s="8">
        <v>1</v>
      </c>
      <c r="AV92" s="12" t="s">
        <v>27</v>
      </c>
      <c r="AW92" s="29" t="s">
        <v>28</v>
      </c>
      <c r="AX92" s="2">
        <v>0</v>
      </c>
      <c r="AY92" s="11">
        <v>-2.9527725284573054</v>
      </c>
      <c r="AZ92" s="2" t="s">
        <v>35</v>
      </c>
      <c r="BA92" s="2">
        <v>1</v>
      </c>
    </row>
    <row r="93" spans="1:53" s="2" customFormat="1">
      <c r="A93" s="1">
        <v>92</v>
      </c>
      <c r="B93" s="2" t="s">
        <v>23</v>
      </c>
      <c r="C93" s="1" t="s">
        <v>128</v>
      </c>
      <c r="D93" s="1">
        <v>28.43</v>
      </c>
      <c r="E93" s="1">
        <v>26.91</v>
      </c>
      <c r="F93" s="1">
        <v>32.92</v>
      </c>
      <c r="G93" s="1">
        <v>45</v>
      </c>
      <c r="H93" s="11">
        <v>32.659999999999997</v>
      </c>
      <c r="I93" s="11">
        <v>26.29</v>
      </c>
      <c r="J93" s="11">
        <v>32.68</v>
      </c>
      <c r="K93" s="11">
        <v>36.340000000000003</v>
      </c>
      <c r="L93" s="11">
        <v>32.44</v>
      </c>
      <c r="M93" s="11">
        <v>28.9</v>
      </c>
      <c r="N93" s="11">
        <v>35.82</v>
      </c>
      <c r="O93" s="11">
        <v>32.840000000000003</v>
      </c>
      <c r="P93" s="11">
        <v>31.88</v>
      </c>
      <c r="Q93" s="11">
        <v>33.869999999999997</v>
      </c>
      <c r="R93" s="11">
        <v>33.21</v>
      </c>
      <c r="S93" s="11">
        <v>34.33</v>
      </c>
      <c r="T93" s="11">
        <v>33.270000000000003</v>
      </c>
      <c r="U93" s="11">
        <v>30.06</v>
      </c>
      <c r="V93" s="11">
        <v>30.37</v>
      </c>
      <c r="W93" s="11">
        <v>36.72</v>
      </c>
      <c r="X93" s="11">
        <v>33.869999999999997</v>
      </c>
      <c r="Y93" s="11">
        <v>33.9</v>
      </c>
      <c r="Z93" s="7">
        <v>15294</v>
      </c>
      <c r="AA93" s="6">
        <v>57.43287671232877</v>
      </c>
      <c r="AB93" s="10">
        <v>36222</v>
      </c>
      <c r="AC93" s="39" t="s">
        <v>222</v>
      </c>
      <c r="AD93" s="2">
        <v>1</v>
      </c>
      <c r="AE93" s="2" t="s">
        <v>37</v>
      </c>
      <c r="AF93" s="2">
        <v>1</v>
      </c>
      <c r="AG93" s="2">
        <v>13</v>
      </c>
      <c r="AH93" s="2">
        <v>17</v>
      </c>
      <c r="AI93" s="2">
        <v>0</v>
      </c>
      <c r="AJ93" s="2" t="s">
        <v>31</v>
      </c>
      <c r="AK93" s="2">
        <v>0</v>
      </c>
      <c r="AM93" s="2">
        <v>1</v>
      </c>
      <c r="AN93" s="41">
        <v>70</v>
      </c>
      <c r="AO93" s="2">
        <v>1</v>
      </c>
      <c r="AP93" s="41">
        <v>75</v>
      </c>
      <c r="AQ93" s="2">
        <v>2</v>
      </c>
      <c r="AR93" s="12">
        <v>0.1</v>
      </c>
      <c r="AS93" s="8">
        <f t="shared" si="1"/>
        <v>10</v>
      </c>
      <c r="AT93" s="12" t="s">
        <v>27</v>
      </c>
      <c r="AU93" s="8">
        <v>1</v>
      </c>
      <c r="AV93" s="12" t="s">
        <v>27</v>
      </c>
      <c r="AW93" s="29" t="s">
        <v>28</v>
      </c>
      <c r="AX93" s="9">
        <v>0</v>
      </c>
      <c r="AY93" s="11">
        <v>-0.85836085752180358</v>
      </c>
      <c r="AZ93" s="2" t="s">
        <v>29</v>
      </c>
      <c r="BA93" s="2">
        <v>2</v>
      </c>
    </row>
    <row r="94" spans="1:53" s="2" customFormat="1">
      <c r="A94" s="1">
        <v>93</v>
      </c>
      <c r="B94" s="2" t="s">
        <v>23</v>
      </c>
      <c r="C94" s="1" t="s">
        <v>120</v>
      </c>
      <c r="D94" s="1">
        <v>26.2</v>
      </c>
      <c r="E94" s="1">
        <v>30.16</v>
      </c>
      <c r="F94" s="1">
        <v>34.869999999999997</v>
      </c>
      <c r="G94" s="1">
        <v>45</v>
      </c>
      <c r="H94" s="11">
        <v>45</v>
      </c>
      <c r="I94" s="11">
        <v>28.15</v>
      </c>
      <c r="J94" s="11">
        <v>33.130000000000003</v>
      </c>
      <c r="K94" s="11">
        <v>36.14</v>
      </c>
      <c r="L94" s="11">
        <v>35.4</v>
      </c>
      <c r="M94" s="11">
        <v>32.39</v>
      </c>
      <c r="N94" s="11">
        <v>36.770000000000003</v>
      </c>
      <c r="O94" s="11">
        <v>34.03</v>
      </c>
      <c r="P94" s="11">
        <v>35.18</v>
      </c>
      <c r="Q94" s="11">
        <v>45</v>
      </c>
      <c r="R94" s="11">
        <v>34.840000000000003</v>
      </c>
      <c r="S94" s="11">
        <v>35.14</v>
      </c>
      <c r="T94" s="11">
        <v>45</v>
      </c>
      <c r="U94" s="11">
        <v>31.47</v>
      </c>
      <c r="V94" s="11">
        <v>33.36</v>
      </c>
      <c r="W94" s="11">
        <v>45</v>
      </c>
      <c r="X94" s="11">
        <v>35.86</v>
      </c>
      <c r="Y94" s="11">
        <v>35.78</v>
      </c>
      <c r="Z94" s="4">
        <v>5908</v>
      </c>
      <c r="AA94" s="6">
        <v>82.361643835616434</v>
      </c>
      <c r="AB94" s="10">
        <v>35970</v>
      </c>
      <c r="AC94" s="39" t="s">
        <v>222</v>
      </c>
      <c r="AD94" s="2">
        <v>1</v>
      </c>
      <c r="AE94" s="2" t="s">
        <v>25</v>
      </c>
      <c r="AF94" s="2">
        <v>2</v>
      </c>
      <c r="AG94" s="2">
        <v>25</v>
      </c>
      <c r="AH94" s="2">
        <v>27</v>
      </c>
      <c r="AI94" s="2">
        <v>1</v>
      </c>
      <c r="AJ94" s="2" t="s">
        <v>26</v>
      </c>
      <c r="AK94" s="2">
        <v>1</v>
      </c>
      <c r="AM94" s="2">
        <v>1</v>
      </c>
      <c r="AN94" s="41">
        <v>90</v>
      </c>
      <c r="AO94" s="2">
        <v>1</v>
      </c>
      <c r="AP94" s="41">
        <v>60</v>
      </c>
      <c r="AQ94" s="2">
        <v>2</v>
      </c>
      <c r="AR94" s="12">
        <v>0.3</v>
      </c>
      <c r="AS94" s="8">
        <f t="shared" si="1"/>
        <v>30</v>
      </c>
      <c r="AT94" s="12" t="s">
        <v>34</v>
      </c>
      <c r="AU94" s="8">
        <v>3</v>
      </c>
      <c r="AV94" s="8" t="s">
        <v>34</v>
      </c>
      <c r="AW94" s="29" t="s">
        <v>28</v>
      </c>
      <c r="AX94" s="2">
        <v>0</v>
      </c>
      <c r="AY94" s="11">
        <v>-0.8045239322825295</v>
      </c>
      <c r="AZ94" s="2" t="s">
        <v>29</v>
      </c>
      <c r="BA94" s="2">
        <v>2</v>
      </c>
    </row>
    <row r="95" spans="1:53" s="2" customFormat="1">
      <c r="A95" s="1">
        <v>94</v>
      </c>
      <c r="B95" s="2" t="s">
        <v>23</v>
      </c>
      <c r="C95" s="1" t="s">
        <v>129</v>
      </c>
      <c r="D95" s="1">
        <v>26.14</v>
      </c>
      <c r="E95" s="1">
        <v>27.65</v>
      </c>
      <c r="F95" s="1">
        <v>36.85</v>
      </c>
      <c r="G95" s="1">
        <v>45</v>
      </c>
      <c r="H95" s="11">
        <v>32.74</v>
      </c>
      <c r="I95" s="11">
        <v>27.9</v>
      </c>
      <c r="J95" s="11">
        <v>34.32</v>
      </c>
      <c r="K95" s="11">
        <v>36.07</v>
      </c>
      <c r="L95" s="11">
        <v>45</v>
      </c>
      <c r="M95" s="11">
        <v>32.75</v>
      </c>
      <c r="N95" s="11">
        <v>35.200000000000003</v>
      </c>
      <c r="O95" s="11">
        <v>33.28</v>
      </c>
      <c r="P95" s="11">
        <v>34.229999999999997</v>
      </c>
      <c r="Q95" s="11">
        <v>34.93</v>
      </c>
      <c r="R95" s="11">
        <v>34.49</v>
      </c>
      <c r="S95" s="11">
        <v>35.22</v>
      </c>
      <c r="T95" s="11">
        <v>34.32</v>
      </c>
      <c r="U95" s="11">
        <v>29.6</v>
      </c>
      <c r="V95" s="11">
        <v>29.72</v>
      </c>
      <c r="W95" s="11">
        <v>45</v>
      </c>
      <c r="X95" s="11">
        <v>33.1</v>
      </c>
      <c r="Y95" s="11">
        <v>32.65</v>
      </c>
      <c r="Z95" s="7">
        <v>10310</v>
      </c>
      <c r="AA95" s="6">
        <v>70.358904109589048</v>
      </c>
      <c r="AB95" s="10">
        <v>35971</v>
      </c>
      <c r="AC95" s="39" t="s">
        <v>230</v>
      </c>
      <c r="AE95" s="2" t="s">
        <v>25</v>
      </c>
      <c r="AF95" s="2">
        <v>2</v>
      </c>
      <c r="AG95" s="2">
        <v>24</v>
      </c>
      <c r="AH95" s="2">
        <v>21</v>
      </c>
      <c r="AI95" s="2">
        <v>0</v>
      </c>
      <c r="AJ95" s="2" t="s">
        <v>31</v>
      </c>
      <c r="AK95" s="2">
        <v>0</v>
      </c>
      <c r="AM95" s="2">
        <v>1</v>
      </c>
      <c r="AN95" s="41">
        <v>95</v>
      </c>
      <c r="AO95" s="2">
        <v>1</v>
      </c>
      <c r="AP95" s="41">
        <v>50</v>
      </c>
      <c r="AQ95" s="2">
        <v>1</v>
      </c>
      <c r="AR95" s="12">
        <v>0.1</v>
      </c>
      <c r="AS95" s="8">
        <f t="shared" si="1"/>
        <v>10</v>
      </c>
      <c r="AT95" s="12" t="s">
        <v>27</v>
      </c>
      <c r="AU95" s="8">
        <v>1</v>
      </c>
      <c r="AV95" s="12" t="s">
        <v>27</v>
      </c>
      <c r="AW95" s="29" t="s">
        <v>28</v>
      </c>
      <c r="AX95" s="9">
        <v>0</v>
      </c>
      <c r="AY95" s="11">
        <v>-1.6959650343186752</v>
      </c>
      <c r="AZ95" s="2" t="s">
        <v>35</v>
      </c>
      <c r="BA95" s="2">
        <v>1</v>
      </c>
    </row>
    <row r="96" spans="1:53" s="2" customFormat="1">
      <c r="A96" s="1">
        <v>95</v>
      </c>
      <c r="B96" s="2" t="s">
        <v>23</v>
      </c>
      <c r="C96" s="1" t="s">
        <v>130</v>
      </c>
      <c r="D96" s="1">
        <v>29.33</v>
      </c>
      <c r="E96" s="1">
        <v>33.14</v>
      </c>
      <c r="F96" s="1">
        <v>36.68</v>
      </c>
      <c r="G96" s="1">
        <v>45</v>
      </c>
      <c r="H96" s="11">
        <v>45</v>
      </c>
      <c r="I96" s="11">
        <v>32.119999999999997</v>
      </c>
      <c r="J96" s="11">
        <v>45</v>
      </c>
      <c r="K96" s="11">
        <v>36.36</v>
      </c>
      <c r="L96" s="11">
        <v>36.549999999999997</v>
      </c>
      <c r="M96" s="11">
        <v>35.47</v>
      </c>
      <c r="N96" s="11">
        <v>37.840000000000003</v>
      </c>
      <c r="O96" s="11">
        <v>45</v>
      </c>
      <c r="P96" s="11">
        <v>45</v>
      </c>
      <c r="Q96" s="11">
        <v>45</v>
      </c>
      <c r="R96" s="11">
        <v>45</v>
      </c>
      <c r="S96" s="11">
        <v>35.590000000000003</v>
      </c>
      <c r="T96" s="11">
        <v>45</v>
      </c>
      <c r="U96" s="11">
        <v>35.11</v>
      </c>
      <c r="V96" s="11">
        <v>34.729999999999997</v>
      </c>
      <c r="W96" s="11">
        <v>45</v>
      </c>
      <c r="X96" s="11">
        <v>36.86</v>
      </c>
      <c r="Y96" s="11">
        <v>45</v>
      </c>
      <c r="Z96" s="7">
        <v>14038</v>
      </c>
      <c r="AA96" s="6">
        <v>60.723287671232875</v>
      </c>
      <c r="AB96" s="10">
        <v>36165</v>
      </c>
      <c r="AC96" s="39" t="s">
        <v>222</v>
      </c>
      <c r="AD96" s="2">
        <v>1</v>
      </c>
      <c r="AE96" s="2" t="s">
        <v>25</v>
      </c>
      <c r="AF96" s="2">
        <v>2</v>
      </c>
      <c r="AG96" s="2">
        <v>35</v>
      </c>
      <c r="AH96" s="2">
        <v>19</v>
      </c>
      <c r="AI96" s="2">
        <v>1</v>
      </c>
      <c r="AJ96" s="2" t="s">
        <v>26</v>
      </c>
      <c r="AK96" s="2">
        <v>1</v>
      </c>
      <c r="AM96" s="2">
        <v>1</v>
      </c>
      <c r="AN96" s="41">
        <v>40</v>
      </c>
      <c r="AO96" s="2">
        <v>2</v>
      </c>
      <c r="AP96" s="41" t="s">
        <v>33</v>
      </c>
      <c r="AQ96" s="2" t="s">
        <v>28</v>
      </c>
      <c r="AR96" s="12">
        <v>0.6</v>
      </c>
      <c r="AS96" s="8">
        <f t="shared" si="1"/>
        <v>60</v>
      </c>
      <c r="AT96" s="12" t="s">
        <v>34</v>
      </c>
      <c r="AU96" s="8">
        <v>3</v>
      </c>
      <c r="AV96" s="8" t="s">
        <v>34</v>
      </c>
      <c r="AW96" s="29" t="s">
        <v>28</v>
      </c>
      <c r="AX96" s="9">
        <v>0</v>
      </c>
      <c r="AY96" s="11">
        <v>-0.18248717261011338</v>
      </c>
      <c r="AZ96" s="2" t="s">
        <v>29</v>
      </c>
      <c r="BA96" s="2">
        <v>2</v>
      </c>
    </row>
    <row r="97" spans="1:53" s="2" customFormat="1">
      <c r="A97" s="1">
        <v>96</v>
      </c>
      <c r="B97" s="2" t="s">
        <v>23</v>
      </c>
      <c r="C97" s="1" t="s">
        <v>131</v>
      </c>
      <c r="D97" s="1">
        <v>28.64</v>
      </c>
      <c r="E97" s="1">
        <v>33.81</v>
      </c>
      <c r="F97" s="1">
        <v>37.54</v>
      </c>
      <c r="G97" s="1">
        <v>45</v>
      </c>
      <c r="H97" s="11">
        <v>33.61</v>
      </c>
      <c r="I97" s="11">
        <v>30.78</v>
      </c>
      <c r="J97" s="11">
        <v>38</v>
      </c>
      <c r="K97" s="11">
        <v>45</v>
      </c>
      <c r="L97" s="11">
        <v>35.83</v>
      </c>
      <c r="M97" s="11">
        <v>38.24</v>
      </c>
      <c r="N97" s="11">
        <v>45</v>
      </c>
      <c r="O97" s="11">
        <v>38.01</v>
      </c>
      <c r="P97" s="11">
        <v>45</v>
      </c>
      <c r="Q97" s="11">
        <v>45</v>
      </c>
      <c r="R97" s="11">
        <v>45</v>
      </c>
      <c r="S97" s="11">
        <v>37.520000000000003</v>
      </c>
      <c r="T97" s="11">
        <v>38.99</v>
      </c>
      <c r="U97" s="11">
        <v>35.07</v>
      </c>
      <c r="V97" s="11">
        <v>34.96</v>
      </c>
      <c r="W97" s="11">
        <v>45</v>
      </c>
      <c r="X97" s="11">
        <v>37.42</v>
      </c>
      <c r="Y97" s="11">
        <v>45</v>
      </c>
      <c r="Z97" s="7">
        <v>11192</v>
      </c>
      <c r="AA97" s="6">
        <v>68.654794520547952</v>
      </c>
      <c r="AB97" s="10">
        <v>36220</v>
      </c>
      <c r="AC97" s="39" t="s">
        <v>222</v>
      </c>
      <c r="AD97" s="2">
        <v>1</v>
      </c>
      <c r="AE97" s="2" t="s">
        <v>25</v>
      </c>
      <c r="AF97" s="2">
        <v>2</v>
      </c>
      <c r="AG97" s="2">
        <v>23</v>
      </c>
      <c r="AH97" s="2">
        <v>14</v>
      </c>
      <c r="AI97" s="2">
        <v>1</v>
      </c>
      <c r="AJ97" s="2" t="s">
        <v>26</v>
      </c>
      <c r="AK97" s="2">
        <v>1</v>
      </c>
      <c r="AM97" s="2">
        <v>1</v>
      </c>
      <c r="AN97" s="41">
        <v>70</v>
      </c>
      <c r="AO97" s="2">
        <v>2</v>
      </c>
      <c r="AP97" s="41" t="s">
        <v>33</v>
      </c>
      <c r="AQ97" s="2">
        <v>2</v>
      </c>
      <c r="AR97" s="12">
        <v>0.35</v>
      </c>
      <c r="AS97" s="8">
        <f t="shared" si="1"/>
        <v>35</v>
      </c>
      <c r="AT97" s="12" t="s">
        <v>34</v>
      </c>
      <c r="AU97" s="8">
        <v>3</v>
      </c>
      <c r="AV97" s="8" t="s">
        <v>34</v>
      </c>
      <c r="AW97" s="29" t="s">
        <v>28</v>
      </c>
      <c r="AX97" s="9">
        <v>0</v>
      </c>
      <c r="AY97" s="11">
        <v>-1.7387271600231098</v>
      </c>
      <c r="AZ97" s="2" t="s">
        <v>35</v>
      </c>
      <c r="BA97" s="2">
        <v>1</v>
      </c>
    </row>
    <row r="98" spans="1:53" s="2" customFormat="1">
      <c r="A98" s="1">
        <v>97</v>
      </c>
      <c r="B98" s="2" t="s">
        <v>23</v>
      </c>
      <c r="C98" s="1" t="s">
        <v>132</v>
      </c>
      <c r="D98" s="1">
        <v>29.04</v>
      </c>
      <c r="E98" s="1">
        <v>33.049999999999997</v>
      </c>
      <c r="F98" s="1">
        <v>31.07</v>
      </c>
      <c r="G98" s="1">
        <v>45</v>
      </c>
      <c r="H98" s="11">
        <v>45</v>
      </c>
      <c r="I98" s="11">
        <v>30.78</v>
      </c>
      <c r="J98" s="11">
        <v>36.159999999999997</v>
      </c>
      <c r="K98" s="11">
        <v>39.479999999999997</v>
      </c>
      <c r="L98" s="11">
        <v>45</v>
      </c>
      <c r="M98" s="11">
        <v>35.369999999999997</v>
      </c>
      <c r="N98" s="11">
        <v>45</v>
      </c>
      <c r="O98" s="11">
        <v>38.479999999999997</v>
      </c>
      <c r="P98" s="11">
        <v>45</v>
      </c>
      <c r="Q98" s="11">
        <v>45</v>
      </c>
      <c r="R98" s="11">
        <v>36.17</v>
      </c>
      <c r="S98" s="11">
        <v>35.74</v>
      </c>
      <c r="T98" s="11">
        <v>45</v>
      </c>
      <c r="U98" s="11">
        <v>34.86</v>
      </c>
      <c r="V98" s="11">
        <v>33.950000000000003</v>
      </c>
      <c r="W98" s="11">
        <v>35.71</v>
      </c>
      <c r="X98" s="11">
        <v>45</v>
      </c>
      <c r="Y98" s="11">
        <v>45</v>
      </c>
      <c r="Z98" s="7">
        <v>11779</v>
      </c>
      <c r="AA98" s="6">
        <v>66.490410958904107</v>
      </c>
      <c r="AB98" s="10">
        <v>36000</v>
      </c>
      <c r="AC98" s="39" t="s">
        <v>224</v>
      </c>
      <c r="AD98" s="2">
        <v>2</v>
      </c>
      <c r="AE98" s="2" t="s">
        <v>25</v>
      </c>
      <c r="AF98" s="2">
        <v>2</v>
      </c>
      <c r="AG98" s="2">
        <v>25</v>
      </c>
      <c r="AH98" s="2">
        <v>14</v>
      </c>
      <c r="AI98" s="2">
        <v>2</v>
      </c>
      <c r="AJ98" s="2" t="s">
        <v>26</v>
      </c>
      <c r="AK98" s="2">
        <v>1</v>
      </c>
      <c r="AM98" s="2">
        <v>1</v>
      </c>
      <c r="AN98" s="41">
        <v>85</v>
      </c>
      <c r="AO98" s="2">
        <v>1</v>
      </c>
      <c r="AP98" s="41">
        <v>75</v>
      </c>
      <c r="AQ98" s="2">
        <v>1</v>
      </c>
      <c r="AR98" s="12">
        <v>0.05</v>
      </c>
      <c r="AS98" s="8">
        <f t="shared" si="1"/>
        <v>5</v>
      </c>
      <c r="AT98" s="12" t="s">
        <v>27</v>
      </c>
      <c r="AU98" s="8">
        <v>1</v>
      </c>
      <c r="AV98" s="12" t="s">
        <v>27</v>
      </c>
      <c r="AW98" s="29" t="s">
        <v>28</v>
      </c>
      <c r="AX98" s="9">
        <v>0</v>
      </c>
      <c r="AY98" s="11">
        <v>-0.20737222505452912</v>
      </c>
      <c r="AZ98" s="2" t="s">
        <v>29</v>
      </c>
      <c r="BA98" s="2">
        <v>2</v>
      </c>
    </row>
    <row r="99" spans="1:53" s="2" customFormat="1">
      <c r="A99" s="1">
        <v>98</v>
      </c>
      <c r="B99" s="2" t="s">
        <v>23</v>
      </c>
      <c r="C99" s="1" t="s">
        <v>133</v>
      </c>
      <c r="D99" s="1">
        <v>24.41</v>
      </c>
      <c r="E99" s="1">
        <v>25.2</v>
      </c>
      <c r="F99" s="1">
        <v>29.66</v>
      </c>
      <c r="G99" s="1">
        <v>45</v>
      </c>
      <c r="H99" s="11">
        <v>31.39</v>
      </c>
      <c r="I99" s="11">
        <v>25.86</v>
      </c>
      <c r="J99" s="11">
        <v>31.19</v>
      </c>
      <c r="K99" s="11">
        <v>33.200000000000003</v>
      </c>
      <c r="L99" s="11">
        <v>33.74</v>
      </c>
      <c r="M99" s="11">
        <v>31.2</v>
      </c>
      <c r="N99" s="11">
        <v>34.6</v>
      </c>
      <c r="O99" s="11">
        <v>30.42</v>
      </c>
      <c r="P99" s="11">
        <v>30.35</v>
      </c>
      <c r="Q99" s="11">
        <v>34.25</v>
      </c>
      <c r="R99" s="11">
        <v>30.53</v>
      </c>
      <c r="S99" s="11">
        <v>33.93</v>
      </c>
      <c r="T99" s="11">
        <v>30.39</v>
      </c>
      <c r="U99" s="11">
        <v>28.74</v>
      </c>
      <c r="V99" s="11">
        <v>28.52</v>
      </c>
      <c r="W99" s="11">
        <v>34.090000000000003</v>
      </c>
      <c r="X99" s="11">
        <v>31.47</v>
      </c>
      <c r="Y99" s="11">
        <v>31.63</v>
      </c>
      <c r="Z99" s="4">
        <v>13543</v>
      </c>
      <c r="AA99" s="6">
        <v>61.594520547945208</v>
      </c>
      <c r="AB99" s="10">
        <v>36025</v>
      </c>
      <c r="AC99" s="39" t="s">
        <v>222</v>
      </c>
      <c r="AD99" s="2">
        <v>1</v>
      </c>
      <c r="AE99" s="2" t="s">
        <v>25</v>
      </c>
      <c r="AF99" s="2">
        <v>2</v>
      </c>
      <c r="AG99" s="2">
        <v>22</v>
      </c>
      <c r="AH99" s="2">
        <v>18</v>
      </c>
      <c r="AI99" s="2">
        <v>2</v>
      </c>
      <c r="AJ99" s="2" t="s">
        <v>26</v>
      </c>
      <c r="AK99" s="2">
        <v>1</v>
      </c>
      <c r="AM99" s="2">
        <v>2</v>
      </c>
      <c r="AN99" s="41" t="s">
        <v>33</v>
      </c>
      <c r="AO99" s="2">
        <v>2</v>
      </c>
      <c r="AP99" s="41" t="s">
        <v>33</v>
      </c>
      <c r="AQ99" s="2">
        <v>3</v>
      </c>
      <c r="AR99" s="12">
        <v>0.8</v>
      </c>
      <c r="AS99" s="8">
        <f t="shared" si="1"/>
        <v>80</v>
      </c>
      <c r="AT99" s="12" t="s">
        <v>34</v>
      </c>
      <c r="AU99" s="8">
        <v>3</v>
      </c>
      <c r="AV99" s="8" t="s">
        <v>34</v>
      </c>
      <c r="AW99" s="29" t="s">
        <v>28</v>
      </c>
      <c r="AX99" s="2">
        <v>0</v>
      </c>
      <c r="AY99" s="11">
        <v>0.93837103332030125</v>
      </c>
      <c r="AZ99" s="2" t="s">
        <v>38</v>
      </c>
      <c r="BA99" s="2">
        <v>3</v>
      </c>
    </row>
    <row r="100" spans="1:53" s="2" customFormat="1">
      <c r="A100" s="1">
        <v>99</v>
      </c>
      <c r="B100" s="2" t="s">
        <v>23</v>
      </c>
      <c r="C100" s="1" t="s">
        <v>134</v>
      </c>
      <c r="D100" s="1">
        <v>26.81</v>
      </c>
      <c r="E100" s="1">
        <v>29.27</v>
      </c>
      <c r="F100" s="1">
        <v>33.950000000000003</v>
      </c>
      <c r="G100" s="1">
        <v>36.24</v>
      </c>
      <c r="H100" s="11">
        <v>34.75</v>
      </c>
      <c r="I100" s="11">
        <v>28.62</v>
      </c>
      <c r="J100" s="11">
        <v>36.04</v>
      </c>
      <c r="K100" s="11">
        <v>36.21</v>
      </c>
      <c r="L100" s="11">
        <v>36.31</v>
      </c>
      <c r="M100" s="11">
        <v>33.24</v>
      </c>
      <c r="N100" s="11">
        <v>36.83</v>
      </c>
      <c r="O100" s="11">
        <v>34.15</v>
      </c>
      <c r="P100" s="11">
        <v>32.93</v>
      </c>
      <c r="Q100" s="11">
        <v>36.130000000000003</v>
      </c>
      <c r="R100" s="11">
        <v>45</v>
      </c>
      <c r="S100" s="11">
        <v>45</v>
      </c>
      <c r="T100" s="11">
        <v>33</v>
      </c>
      <c r="U100" s="11">
        <v>31.09</v>
      </c>
      <c r="V100" s="11">
        <v>32.229999999999997</v>
      </c>
      <c r="W100" s="11">
        <v>45</v>
      </c>
      <c r="X100" s="11">
        <v>35.11</v>
      </c>
      <c r="Y100" s="11">
        <v>36.619999999999997</v>
      </c>
      <c r="Z100" s="7">
        <v>12875</v>
      </c>
      <c r="AA100" s="6">
        <v>63.786301369863011</v>
      </c>
      <c r="AB100" s="10">
        <v>36096</v>
      </c>
      <c r="AC100" s="39" t="s">
        <v>225</v>
      </c>
      <c r="AE100" s="2" t="s">
        <v>37</v>
      </c>
      <c r="AF100" s="2">
        <v>1</v>
      </c>
      <c r="AG100" s="2">
        <v>6</v>
      </c>
      <c r="AH100" s="2">
        <v>6</v>
      </c>
      <c r="AI100" s="2">
        <v>0</v>
      </c>
      <c r="AJ100" s="2" t="s">
        <v>31</v>
      </c>
      <c r="AK100" s="2">
        <v>0</v>
      </c>
      <c r="AM100" s="2">
        <v>1</v>
      </c>
      <c r="AN100" s="41">
        <v>50</v>
      </c>
      <c r="AO100" s="2">
        <v>1</v>
      </c>
      <c r="AP100" s="41">
        <v>40</v>
      </c>
      <c r="AQ100" s="2" t="s">
        <v>28</v>
      </c>
      <c r="AR100" s="12">
        <v>0.2</v>
      </c>
      <c r="AS100" s="8">
        <f t="shared" si="1"/>
        <v>20</v>
      </c>
      <c r="AT100" s="12" t="s">
        <v>34</v>
      </c>
      <c r="AU100" s="8">
        <v>3</v>
      </c>
      <c r="AV100" s="8" t="s">
        <v>44</v>
      </c>
      <c r="AW100" s="29" t="s">
        <v>28</v>
      </c>
      <c r="AX100" s="9">
        <v>0</v>
      </c>
      <c r="AY100" s="11">
        <v>-2.0878236698071411</v>
      </c>
      <c r="AZ100" s="2" t="s">
        <v>35</v>
      </c>
      <c r="BA100" s="2">
        <v>1</v>
      </c>
    </row>
    <row r="101" spans="1:53" s="2" customFormat="1">
      <c r="A101" s="1">
        <v>100</v>
      </c>
      <c r="B101" s="2" t="s">
        <v>23</v>
      </c>
      <c r="C101" s="1" t="s">
        <v>135</v>
      </c>
      <c r="D101" s="1">
        <v>24.32</v>
      </c>
      <c r="E101" s="1">
        <v>24.72</v>
      </c>
      <c r="F101" s="1">
        <v>30.12</v>
      </c>
      <c r="G101" s="1">
        <v>35.67</v>
      </c>
      <c r="H101" s="11">
        <v>31.02</v>
      </c>
      <c r="I101" s="11">
        <v>25.6</v>
      </c>
      <c r="J101" s="11">
        <v>30.89</v>
      </c>
      <c r="K101" s="11">
        <v>33</v>
      </c>
      <c r="L101" s="11">
        <v>32.450000000000003</v>
      </c>
      <c r="M101" s="11">
        <v>30.6</v>
      </c>
      <c r="N101" s="11">
        <v>33.950000000000003</v>
      </c>
      <c r="O101" s="11">
        <v>30.43</v>
      </c>
      <c r="P101" s="11">
        <v>28.07</v>
      </c>
      <c r="Q101" s="11">
        <v>32.39</v>
      </c>
      <c r="R101" s="11">
        <v>30.84</v>
      </c>
      <c r="S101" s="11">
        <v>29.69</v>
      </c>
      <c r="T101" s="11">
        <v>30.56</v>
      </c>
      <c r="U101" s="11">
        <v>28.46</v>
      </c>
      <c r="V101" s="11">
        <v>26.53</v>
      </c>
      <c r="W101" s="11">
        <v>32.35</v>
      </c>
      <c r="X101" s="11">
        <v>30.54</v>
      </c>
      <c r="Y101" s="11">
        <v>32.159999999999997</v>
      </c>
      <c r="Z101" s="7">
        <v>14386</v>
      </c>
      <c r="AA101" s="6">
        <v>59.668493150684931</v>
      </c>
      <c r="AB101" s="10">
        <v>36131</v>
      </c>
      <c r="AC101" s="39" t="s">
        <v>222</v>
      </c>
      <c r="AD101" s="2">
        <v>1</v>
      </c>
      <c r="AE101" s="2" t="s">
        <v>25</v>
      </c>
      <c r="AF101" s="2">
        <v>2</v>
      </c>
      <c r="AG101" s="2">
        <v>25</v>
      </c>
      <c r="AH101" s="2" t="s">
        <v>28</v>
      </c>
      <c r="AI101" s="2">
        <v>0</v>
      </c>
      <c r="AJ101" s="2" t="s">
        <v>31</v>
      </c>
      <c r="AK101" s="2">
        <v>0</v>
      </c>
      <c r="AM101" s="2">
        <v>1</v>
      </c>
      <c r="AN101" s="41">
        <v>70</v>
      </c>
      <c r="AO101" s="2">
        <v>1</v>
      </c>
      <c r="AP101" s="41">
        <v>20</v>
      </c>
      <c r="AQ101" s="2">
        <v>2</v>
      </c>
      <c r="AR101" s="12">
        <v>0.6</v>
      </c>
      <c r="AS101" s="8">
        <f t="shared" si="1"/>
        <v>60</v>
      </c>
      <c r="AT101" s="12" t="s">
        <v>34</v>
      </c>
      <c r="AU101" s="8">
        <v>3</v>
      </c>
      <c r="AV101" s="8" t="s">
        <v>34</v>
      </c>
      <c r="AW101" s="29" t="s">
        <v>28</v>
      </c>
      <c r="AX101" s="9">
        <v>0</v>
      </c>
      <c r="AY101" s="11">
        <v>-0.40974010646380066</v>
      </c>
      <c r="AZ101" s="2" t="s">
        <v>29</v>
      </c>
      <c r="BA101" s="2">
        <v>2</v>
      </c>
    </row>
    <row r="102" spans="1:53" s="2" customFormat="1">
      <c r="A102" s="1">
        <v>101</v>
      </c>
      <c r="B102" s="2" t="s">
        <v>23</v>
      </c>
      <c r="C102" s="1" t="s">
        <v>136</v>
      </c>
      <c r="D102" s="1">
        <v>22.99</v>
      </c>
      <c r="E102" s="1">
        <v>25.96</v>
      </c>
      <c r="F102" s="1">
        <v>30.41</v>
      </c>
      <c r="G102" s="1">
        <v>45</v>
      </c>
      <c r="H102" s="11">
        <v>33.39</v>
      </c>
      <c r="I102" s="11">
        <v>27.08</v>
      </c>
      <c r="J102" s="11">
        <v>33.97</v>
      </c>
      <c r="K102" s="11">
        <v>32.700000000000003</v>
      </c>
      <c r="L102" s="11">
        <v>31.99</v>
      </c>
      <c r="M102" s="11">
        <v>34.700000000000003</v>
      </c>
      <c r="N102" s="11">
        <v>33.590000000000003</v>
      </c>
      <c r="O102" s="11">
        <v>30.87</v>
      </c>
      <c r="P102" s="11">
        <v>32.44</v>
      </c>
      <c r="Q102" s="11">
        <v>31.44</v>
      </c>
      <c r="R102" s="11">
        <v>33.270000000000003</v>
      </c>
      <c r="S102" s="11">
        <v>30.92</v>
      </c>
      <c r="T102" s="11">
        <v>32.83</v>
      </c>
      <c r="U102" s="11">
        <v>30.3</v>
      </c>
      <c r="V102" s="11">
        <v>30.42</v>
      </c>
      <c r="W102" s="11">
        <v>36.08</v>
      </c>
      <c r="X102" s="11">
        <v>32.44</v>
      </c>
      <c r="Y102" s="11">
        <v>33</v>
      </c>
      <c r="Z102" s="7">
        <v>18187</v>
      </c>
      <c r="AA102" s="6">
        <v>49.11780821917808</v>
      </c>
      <c r="AB102" s="10">
        <v>36082</v>
      </c>
      <c r="AC102" s="39" t="s">
        <v>137</v>
      </c>
      <c r="AE102" s="2" t="s">
        <v>37</v>
      </c>
      <c r="AF102" s="2">
        <v>1</v>
      </c>
      <c r="AG102" s="2">
        <v>18</v>
      </c>
      <c r="AH102" s="2">
        <v>6</v>
      </c>
      <c r="AI102" s="2">
        <v>0</v>
      </c>
      <c r="AJ102" s="2" t="s">
        <v>31</v>
      </c>
      <c r="AK102" s="2">
        <v>0</v>
      </c>
      <c r="AM102" s="2">
        <v>1</v>
      </c>
      <c r="AN102" s="41">
        <v>80</v>
      </c>
      <c r="AO102" s="2">
        <v>1</v>
      </c>
      <c r="AP102" s="41">
        <v>70</v>
      </c>
      <c r="AQ102" s="2">
        <v>1</v>
      </c>
      <c r="AR102" s="12">
        <v>0.1</v>
      </c>
      <c r="AS102" s="8">
        <f t="shared" si="1"/>
        <v>10</v>
      </c>
      <c r="AT102" s="12" t="s">
        <v>27</v>
      </c>
      <c r="AU102" s="8">
        <v>1</v>
      </c>
      <c r="AV102" s="12" t="s">
        <v>27</v>
      </c>
      <c r="AW102" s="29" t="s">
        <v>28</v>
      </c>
      <c r="AX102" s="9">
        <v>0</v>
      </c>
      <c r="AY102" s="11">
        <v>-0.12299972283740779</v>
      </c>
      <c r="AZ102" s="2" t="s">
        <v>38</v>
      </c>
      <c r="BA102" s="2">
        <v>3</v>
      </c>
    </row>
    <row r="103" spans="1:53" s="2" customFormat="1">
      <c r="A103" s="1">
        <v>102</v>
      </c>
      <c r="B103" s="2" t="s">
        <v>23</v>
      </c>
      <c r="C103" s="1" t="s">
        <v>138</v>
      </c>
      <c r="D103" s="1">
        <v>22.96</v>
      </c>
      <c r="E103" s="1">
        <v>23.99</v>
      </c>
      <c r="F103" s="1">
        <v>31.94</v>
      </c>
      <c r="G103" s="1">
        <v>34</v>
      </c>
      <c r="H103" s="11">
        <v>31.39</v>
      </c>
      <c r="I103" s="11">
        <v>24.74</v>
      </c>
      <c r="J103" s="11">
        <v>30.54</v>
      </c>
      <c r="K103" s="11">
        <v>31.86</v>
      </c>
      <c r="L103" s="11">
        <v>38.130000000000003</v>
      </c>
      <c r="M103" s="11">
        <v>28.5</v>
      </c>
      <c r="N103" s="11">
        <v>33.76</v>
      </c>
      <c r="O103" s="11">
        <v>29.28</v>
      </c>
      <c r="P103" s="11">
        <v>28.57</v>
      </c>
      <c r="Q103" s="11">
        <v>32.83</v>
      </c>
      <c r="R103" s="11">
        <v>31.32</v>
      </c>
      <c r="S103" s="11">
        <v>31.75</v>
      </c>
      <c r="T103" s="11">
        <v>32.29</v>
      </c>
      <c r="U103" s="11">
        <v>29.62</v>
      </c>
      <c r="V103" s="11">
        <v>26.54</v>
      </c>
      <c r="W103" s="11">
        <v>37.03</v>
      </c>
      <c r="X103" s="11">
        <v>33.4</v>
      </c>
      <c r="Y103" s="11">
        <v>30.38</v>
      </c>
      <c r="Z103" s="7">
        <v>19240</v>
      </c>
      <c r="AA103" s="6">
        <v>46.252054794520546</v>
      </c>
      <c r="AB103" s="10">
        <v>36103</v>
      </c>
      <c r="AC103" s="39" t="s">
        <v>224</v>
      </c>
      <c r="AD103" s="2">
        <v>2</v>
      </c>
      <c r="AE103" s="2" t="s">
        <v>37</v>
      </c>
      <c r="AF103" s="2">
        <v>1</v>
      </c>
      <c r="AG103" s="2">
        <v>8</v>
      </c>
      <c r="AH103" s="2">
        <v>19</v>
      </c>
      <c r="AI103" s="2">
        <v>0</v>
      </c>
      <c r="AJ103" s="2" t="s">
        <v>31</v>
      </c>
      <c r="AK103" s="2">
        <v>0</v>
      </c>
      <c r="AM103" s="2">
        <v>1</v>
      </c>
      <c r="AN103" s="41">
        <v>20</v>
      </c>
      <c r="AO103" s="2">
        <v>1</v>
      </c>
      <c r="AP103" s="41">
        <v>50</v>
      </c>
      <c r="AQ103" s="2" t="s">
        <v>28</v>
      </c>
      <c r="AR103" s="12">
        <v>0.5</v>
      </c>
      <c r="AS103" s="8">
        <f t="shared" si="1"/>
        <v>50</v>
      </c>
      <c r="AT103" s="12" t="s">
        <v>34</v>
      </c>
      <c r="AU103" s="8">
        <v>3</v>
      </c>
      <c r="AV103" s="8" t="s">
        <v>34</v>
      </c>
      <c r="AW103" s="29" t="s">
        <v>28</v>
      </c>
      <c r="AX103" s="9">
        <v>0</v>
      </c>
      <c r="AY103" s="11">
        <v>0.89187135574173704</v>
      </c>
      <c r="AZ103" s="2" t="s">
        <v>38</v>
      </c>
      <c r="BA103" s="2">
        <v>3</v>
      </c>
    </row>
    <row r="104" spans="1:53" s="2" customFormat="1">
      <c r="A104" s="1">
        <v>103</v>
      </c>
      <c r="B104" s="2" t="s">
        <v>23</v>
      </c>
      <c r="C104" s="1" t="s">
        <v>70</v>
      </c>
      <c r="D104" s="1">
        <v>24.82</v>
      </c>
      <c r="E104" s="1">
        <v>27.9</v>
      </c>
      <c r="F104" s="1">
        <v>34.880000000000003</v>
      </c>
      <c r="G104" s="1">
        <v>45</v>
      </c>
      <c r="H104" s="11">
        <v>35.47</v>
      </c>
      <c r="I104" s="11">
        <v>28.27</v>
      </c>
      <c r="J104" s="11">
        <v>33.479999999999997</v>
      </c>
      <c r="K104" s="11">
        <v>34.22</v>
      </c>
      <c r="L104" s="11">
        <v>35.28</v>
      </c>
      <c r="M104" s="11">
        <v>33.54</v>
      </c>
      <c r="N104" s="11">
        <v>36.119999999999997</v>
      </c>
      <c r="O104" s="11">
        <v>32.799999999999997</v>
      </c>
      <c r="P104" s="11">
        <v>34.270000000000003</v>
      </c>
      <c r="Q104" s="11">
        <v>34.119999999999997</v>
      </c>
      <c r="R104" s="11">
        <v>34.21</v>
      </c>
      <c r="S104" s="11">
        <v>33.35</v>
      </c>
      <c r="T104" s="11">
        <v>38.74</v>
      </c>
      <c r="U104" s="11">
        <v>34.04</v>
      </c>
      <c r="V104" s="11">
        <v>29.88</v>
      </c>
      <c r="W104" s="11">
        <v>45</v>
      </c>
      <c r="X104" s="11">
        <v>37.479999999999997</v>
      </c>
      <c r="Y104" s="11">
        <v>34.6</v>
      </c>
      <c r="Z104" s="7">
        <v>18187</v>
      </c>
      <c r="AA104" s="6">
        <v>49.11780821917808</v>
      </c>
      <c r="AB104" s="10">
        <v>36082</v>
      </c>
      <c r="AC104" s="39" t="s">
        <v>222</v>
      </c>
      <c r="AD104" s="2">
        <v>1</v>
      </c>
      <c r="AE104" s="2" t="s">
        <v>37</v>
      </c>
      <c r="AF104" s="2">
        <v>1</v>
      </c>
      <c r="AG104" s="2">
        <v>18</v>
      </c>
      <c r="AH104" s="2">
        <v>6</v>
      </c>
      <c r="AI104" s="2">
        <v>0</v>
      </c>
      <c r="AJ104" s="2" t="s">
        <v>31</v>
      </c>
      <c r="AK104" s="2">
        <v>0</v>
      </c>
      <c r="AM104" s="2">
        <v>1</v>
      </c>
      <c r="AN104" s="41">
        <v>80</v>
      </c>
      <c r="AO104" s="2">
        <v>1</v>
      </c>
      <c r="AP104" s="41">
        <v>70</v>
      </c>
      <c r="AQ104" s="2">
        <v>1</v>
      </c>
      <c r="AR104" s="12">
        <v>0.1</v>
      </c>
      <c r="AS104" s="8">
        <f t="shared" si="1"/>
        <v>10</v>
      </c>
      <c r="AT104" s="12" t="s">
        <v>27</v>
      </c>
      <c r="AU104" s="8">
        <v>1</v>
      </c>
      <c r="AV104" s="12" t="s">
        <v>27</v>
      </c>
      <c r="AW104" s="29" t="s">
        <v>28</v>
      </c>
      <c r="AX104" s="9">
        <v>0</v>
      </c>
      <c r="AY104" s="11">
        <v>-0.62932874613188172</v>
      </c>
      <c r="AZ104" s="2" t="s">
        <v>29</v>
      </c>
      <c r="BA104" s="2">
        <v>2</v>
      </c>
    </row>
    <row r="105" spans="1:53" s="2" customFormat="1">
      <c r="A105" s="1">
        <v>104</v>
      </c>
      <c r="B105" s="2" t="s">
        <v>23</v>
      </c>
      <c r="C105" s="1" t="s">
        <v>139</v>
      </c>
      <c r="D105" s="1">
        <v>24.39</v>
      </c>
      <c r="E105" s="1">
        <v>28.29</v>
      </c>
      <c r="F105" s="1">
        <v>32.82</v>
      </c>
      <c r="G105" s="1">
        <v>36.42</v>
      </c>
      <c r="H105" s="11">
        <v>32.31</v>
      </c>
      <c r="I105" s="11">
        <v>28.63</v>
      </c>
      <c r="J105" s="11">
        <v>35.64</v>
      </c>
      <c r="K105" s="11">
        <v>35.06</v>
      </c>
      <c r="L105" s="11">
        <v>34.93</v>
      </c>
      <c r="M105" s="11">
        <v>32.18</v>
      </c>
      <c r="N105" s="11">
        <v>35.99</v>
      </c>
      <c r="O105" s="11">
        <v>31.77</v>
      </c>
      <c r="P105" s="11">
        <v>32.72</v>
      </c>
      <c r="Q105" s="11">
        <v>34.450000000000003</v>
      </c>
      <c r="R105" s="11">
        <v>34.21</v>
      </c>
      <c r="S105" s="11">
        <v>32.61</v>
      </c>
      <c r="T105" s="11">
        <v>37.69</v>
      </c>
      <c r="U105" s="11">
        <v>28.78</v>
      </c>
      <c r="V105" s="11">
        <v>28.76</v>
      </c>
      <c r="W105" s="11">
        <v>37.47</v>
      </c>
      <c r="X105" s="11">
        <v>31.57</v>
      </c>
      <c r="Y105" s="11">
        <v>33.21</v>
      </c>
      <c r="Z105" s="7">
        <v>18339</v>
      </c>
      <c r="AA105" s="6">
        <v>48.575342465753423</v>
      </c>
      <c r="AB105" s="10">
        <v>36047</v>
      </c>
      <c r="AC105" s="39" t="s">
        <v>222</v>
      </c>
      <c r="AD105" s="2">
        <v>1</v>
      </c>
      <c r="AE105" s="2" t="s">
        <v>25</v>
      </c>
      <c r="AF105" s="2">
        <v>2</v>
      </c>
      <c r="AG105" s="2">
        <v>25</v>
      </c>
      <c r="AH105" s="2">
        <v>13</v>
      </c>
      <c r="AI105" s="2">
        <v>0</v>
      </c>
      <c r="AJ105" s="2" t="s">
        <v>31</v>
      </c>
      <c r="AK105" s="2">
        <v>0</v>
      </c>
      <c r="AM105" s="2">
        <v>1</v>
      </c>
      <c r="AN105" s="41">
        <v>80</v>
      </c>
      <c r="AO105" s="2">
        <v>1</v>
      </c>
      <c r="AP105" s="41">
        <v>40</v>
      </c>
      <c r="AQ105" s="2">
        <v>3</v>
      </c>
      <c r="AR105" s="12">
        <v>0.3</v>
      </c>
      <c r="AS105" s="8">
        <f t="shared" si="1"/>
        <v>30</v>
      </c>
      <c r="AT105" s="12" t="s">
        <v>34</v>
      </c>
      <c r="AU105" s="8">
        <v>3</v>
      </c>
      <c r="AV105" s="8" t="s">
        <v>34</v>
      </c>
      <c r="AW105" s="29" t="s">
        <v>28</v>
      </c>
      <c r="AX105" s="9">
        <v>0</v>
      </c>
      <c r="AY105" s="11">
        <v>0.70824768825729767</v>
      </c>
      <c r="AZ105" s="2" t="s">
        <v>38</v>
      </c>
      <c r="BA105" s="2">
        <v>3</v>
      </c>
    </row>
    <row r="106" spans="1:53" s="2" customFormat="1">
      <c r="A106" s="1">
        <v>106</v>
      </c>
      <c r="B106" s="2" t="s">
        <v>23</v>
      </c>
      <c r="C106" s="1" t="s">
        <v>140</v>
      </c>
      <c r="D106" s="1">
        <v>26.41</v>
      </c>
      <c r="E106" s="1">
        <v>28.4</v>
      </c>
      <c r="F106" s="1">
        <v>31.88</v>
      </c>
      <c r="G106" s="1">
        <v>45</v>
      </c>
      <c r="H106" s="11">
        <v>33.82</v>
      </c>
      <c r="I106" s="11">
        <v>27.94</v>
      </c>
      <c r="J106" s="11">
        <v>35.19</v>
      </c>
      <c r="K106" s="11">
        <v>37.520000000000003</v>
      </c>
      <c r="L106" s="11">
        <v>38.340000000000003</v>
      </c>
      <c r="M106" s="11">
        <v>32.76</v>
      </c>
      <c r="N106" s="11">
        <v>35.83</v>
      </c>
      <c r="O106" s="11">
        <v>33.11</v>
      </c>
      <c r="P106" s="11">
        <v>30.73</v>
      </c>
      <c r="Q106" s="11">
        <v>45</v>
      </c>
      <c r="R106" s="11">
        <v>35.18</v>
      </c>
      <c r="S106" s="11">
        <v>45</v>
      </c>
      <c r="T106" s="11">
        <v>34.86</v>
      </c>
      <c r="U106" s="11">
        <v>30.06</v>
      </c>
      <c r="V106" s="11">
        <v>28.89</v>
      </c>
      <c r="W106" s="11">
        <v>34.43</v>
      </c>
      <c r="X106" s="11">
        <v>35.49</v>
      </c>
      <c r="Y106" s="11">
        <v>34.19</v>
      </c>
      <c r="Z106" s="7">
        <v>13885</v>
      </c>
      <c r="AA106" s="6">
        <v>60.775342465753425</v>
      </c>
      <c r="AB106" s="10">
        <v>36031</v>
      </c>
      <c r="AC106" s="39" t="s">
        <v>224</v>
      </c>
      <c r="AD106" s="2">
        <v>2</v>
      </c>
      <c r="AE106" s="2" t="s">
        <v>37</v>
      </c>
      <c r="AF106" s="2">
        <v>1</v>
      </c>
      <c r="AG106" s="2">
        <v>19</v>
      </c>
      <c r="AH106" s="2">
        <v>15</v>
      </c>
      <c r="AI106" s="2">
        <v>0</v>
      </c>
      <c r="AJ106" s="2" t="s">
        <v>31</v>
      </c>
      <c r="AK106" s="2">
        <v>0</v>
      </c>
      <c r="AM106" s="2">
        <v>1</v>
      </c>
      <c r="AN106" s="41">
        <v>50</v>
      </c>
      <c r="AO106" s="2">
        <v>1</v>
      </c>
      <c r="AP106" s="41">
        <v>50</v>
      </c>
      <c r="AQ106" s="2" t="s">
        <v>28</v>
      </c>
      <c r="AR106" s="12">
        <v>0.1</v>
      </c>
      <c r="AS106" s="8">
        <f t="shared" si="1"/>
        <v>10</v>
      </c>
      <c r="AT106" s="12" t="s">
        <v>27</v>
      </c>
      <c r="AU106" s="8">
        <v>1</v>
      </c>
      <c r="AV106" s="12" t="s">
        <v>27</v>
      </c>
      <c r="AW106" s="29" t="s">
        <v>28</v>
      </c>
      <c r="AX106" s="9">
        <v>0</v>
      </c>
      <c r="AY106" s="11">
        <v>-0.71514879767495998</v>
      </c>
      <c r="AZ106" s="2" t="s">
        <v>29</v>
      </c>
      <c r="BA106" s="2">
        <v>2</v>
      </c>
    </row>
    <row r="107" spans="1:53" s="2" customFormat="1">
      <c r="A107" s="1">
        <v>107</v>
      </c>
      <c r="B107" s="2" t="s">
        <v>23</v>
      </c>
      <c r="C107" s="1" t="s">
        <v>141</v>
      </c>
      <c r="D107" s="1">
        <v>25.37</v>
      </c>
      <c r="E107" s="1">
        <v>25.1</v>
      </c>
      <c r="F107" s="1">
        <v>30.57</v>
      </c>
      <c r="G107" s="1">
        <v>45</v>
      </c>
      <c r="H107" s="11">
        <v>30.41</v>
      </c>
      <c r="I107" s="11">
        <v>26.11</v>
      </c>
      <c r="J107" s="11">
        <v>31.76</v>
      </c>
      <c r="K107" s="11">
        <v>32.17</v>
      </c>
      <c r="L107" s="11">
        <v>31.4</v>
      </c>
      <c r="M107" s="11">
        <v>28.27</v>
      </c>
      <c r="N107" s="11">
        <v>33.909999999999997</v>
      </c>
      <c r="O107" s="11">
        <v>30.73</v>
      </c>
      <c r="P107" s="11">
        <v>29.56</v>
      </c>
      <c r="Q107" s="11">
        <v>31.78</v>
      </c>
      <c r="R107" s="11">
        <v>31.37</v>
      </c>
      <c r="S107" s="11">
        <v>34.57</v>
      </c>
      <c r="T107" s="11">
        <v>33.79</v>
      </c>
      <c r="U107" s="11">
        <v>27.94</v>
      </c>
      <c r="V107" s="11">
        <v>27.78</v>
      </c>
      <c r="W107" s="11">
        <v>45</v>
      </c>
      <c r="X107" s="11">
        <v>31.75</v>
      </c>
      <c r="Y107" s="11">
        <v>30.55</v>
      </c>
      <c r="Z107" s="7">
        <v>12397</v>
      </c>
      <c r="AA107" s="6">
        <v>64.854794520547941</v>
      </c>
      <c r="AB107" s="10">
        <v>36032</v>
      </c>
      <c r="AC107" s="39" t="s">
        <v>225</v>
      </c>
      <c r="AE107" s="2" t="s">
        <v>25</v>
      </c>
      <c r="AF107" s="2">
        <v>2</v>
      </c>
      <c r="AG107" s="2">
        <v>23</v>
      </c>
      <c r="AH107" s="2">
        <v>27</v>
      </c>
      <c r="AI107" s="2">
        <v>0</v>
      </c>
      <c r="AJ107" s="2" t="s">
        <v>31</v>
      </c>
      <c r="AK107" s="2">
        <v>0</v>
      </c>
      <c r="AM107" s="2">
        <v>1</v>
      </c>
      <c r="AN107" s="41">
        <v>90</v>
      </c>
      <c r="AO107" s="2">
        <v>1</v>
      </c>
      <c r="AP107" s="41">
        <v>90</v>
      </c>
      <c r="AQ107" s="2" t="s">
        <v>28</v>
      </c>
      <c r="AR107" s="12">
        <v>0.1</v>
      </c>
      <c r="AS107" s="8">
        <f t="shared" si="1"/>
        <v>10</v>
      </c>
      <c r="AT107" s="12" t="s">
        <v>27</v>
      </c>
      <c r="AU107" s="8">
        <v>1</v>
      </c>
      <c r="AV107" s="12" t="s">
        <v>27</v>
      </c>
      <c r="AW107" s="29" t="s">
        <v>28</v>
      </c>
      <c r="AX107" s="9">
        <v>0</v>
      </c>
      <c r="AY107" s="11">
        <v>-2.8149953558881009</v>
      </c>
      <c r="AZ107" s="2" t="s">
        <v>35</v>
      </c>
      <c r="BA107" s="2">
        <v>1</v>
      </c>
    </row>
    <row r="108" spans="1:53" s="2" customFormat="1">
      <c r="A108" s="1">
        <v>108</v>
      </c>
      <c r="B108" s="2" t="s">
        <v>23</v>
      </c>
      <c r="C108" s="1" t="s">
        <v>142</v>
      </c>
      <c r="D108" s="1">
        <v>28.2</v>
      </c>
      <c r="E108" s="1">
        <v>29.7</v>
      </c>
      <c r="F108" s="1">
        <v>33.01</v>
      </c>
      <c r="G108" s="1">
        <v>45</v>
      </c>
      <c r="H108" s="11">
        <v>34.520000000000003</v>
      </c>
      <c r="I108" s="11">
        <v>29.44</v>
      </c>
      <c r="J108" s="11">
        <v>34.93</v>
      </c>
      <c r="K108" s="11">
        <v>36.549999999999997</v>
      </c>
      <c r="L108" s="11">
        <v>33.28</v>
      </c>
      <c r="M108" s="11">
        <v>33.81</v>
      </c>
      <c r="N108" s="11">
        <v>45</v>
      </c>
      <c r="O108" s="11">
        <v>35.75</v>
      </c>
      <c r="P108" s="11">
        <v>33.68</v>
      </c>
      <c r="Q108" s="11">
        <v>36.08</v>
      </c>
      <c r="R108" s="11">
        <v>36.67</v>
      </c>
      <c r="S108" s="11">
        <v>35.700000000000003</v>
      </c>
      <c r="T108" s="11">
        <v>36.369999999999997</v>
      </c>
      <c r="U108" s="11">
        <v>34.36</v>
      </c>
      <c r="V108" s="11">
        <v>33.630000000000003</v>
      </c>
      <c r="W108" s="11">
        <v>38.020000000000003</v>
      </c>
      <c r="X108" s="11">
        <v>45</v>
      </c>
      <c r="Y108" s="11">
        <v>37.229999999999997</v>
      </c>
      <c r="Z108" s="7">
        <v>21824</v>
      </c>
      <c r="AA108" s="6">
        <v>38.909589041095892</v>
      </c>
      <c r="AB108" s="10">
        <v>36004</v>
      </c>
      <c r="AC108" s="39" t="s">
        <v>222</v>
      </c>
      <c r="AD108" s="2">
        <v>1</v>
      </c>
      <c r="AE108" s="2" t="s">
        <v>37</v>
      </c>
      <c r="AF108" s="2">
        <v>1</v>
      </c>
      <c r="AG108" s="2">
        <v>17</v>
      </c>
      <c r="AH108" s="2">
        <v>22</v>
      </c>
      <c r="AI108" s="2">
        <v>1</v>
      </c>
      <c r="AJ108" s="2" t="s">
        <v>26</v>
      </c>
      <c r="AK108" s="2">
        <v>1</v>
      </c>
      <c r="AM108" s="2">
        <v>1</v>
      </c>
      <c r="AN108" s="41">
        <v>90</v>
      </c>
      <c r="AO108" s="2">
        <v>1</v>
      </c>
      <c r="AP108" s="41">
        <v>70</v>
      </c>
      <c r="AQ108" s="2">
        <v>2</v>
      </c>
      <c r="AR108" s="12">
        <v>0.1</v>
      </c>
      <c r="AS108" s="8">
        <f t="shared" si="1"/>
        <v>10</v>
      </c>
      <c r="AT108" s="12" t="s">
        <v>27</v>
      </c>
      <c r="AU108" s="8">
        <v>1</v>
      </c>
      <c r="AV108" s="12" t="s">
        <v>27</v>
      </c>
      <c r="AW108" s="29" t="s">
        <v>28</v>
      </c>
      <c r="AX108" s="9">
        <v>0</v>
      </c>
      <c r="AY108" s="11">
        <v>-1.811606752704721</v>
      </c>
      <c r="AZ108" s="2" t="s">
        <v>35</v>
      </c>
      <c r="BA108" s="2">
        <v>1</v>
      </c>
    </row>
    <row r="109" spans="1:53" s="2" customFormat="1">
      <c r="A109" s="1">
        <v>109</v>
      </c>
      <c r="B109" s="2" t="s">
        <v>23</v>
      </c>
      <c r="C109" s="1" t="s">
        <v>143</v>
      </c>
      <c r="D109" s="1">
        <v>26.37</v>
      </c>
      <c r="E109" s="1">
        <v>29.25</v>
      </c>
      <c r="F109" s="1">
        <v>32.369999999999997</v>
      </c>
      <c r="G109" s="1">
        <v>45</v>
      </c>
      <c r="H109" s="11">
        <v>35.03</v>
      </c>
      <c r="I109" s="11">
        <v>28.93</v>
      </c>
      <c r="J109" s="11">
        <v>34.590000000000003</v>
      </c>
      <c r="K109" s="11">
        <v>45</v>
      </c>
      <c r="L109" s="11">
        <v>34.83</v>
      </c>
      <c r="M109" s="11">
        <v>32.979999999999997</v>
      </c>
      <c r="N109" s="11">
        <v>45</v>
      </c>
      <c r="O109" s="11">
        <v>33.840000000000003</v>
      </c>
      <c r="P109" s="11">
        <v>32.44</v>
      </c>
      <c r="Q109" s="11">
        <v>45</v>
      </c>
      <c r="R109" s="11">
        <v>34.729999999999997</v>
      </c>
      <c r="S109" s="11">
        <v>34.880000000000003</v>
      </c>
      <c r="T109" s="11">
        <v>35.06</v>
      </c>
      <c r="U109" s="11">
        <v>32.72</v>
      </c>
      <c r="V109" s="11">
        <v>31.87</v>
      </c>
      <c r="W109" s="11">
        <v>38.33</v>
      </c>
      <c r="X109" s="11">
        <v>33.86</v>
      </c>
      <c r="Y109" s="11">
        <v>35.26</v>
      </c>
      <c r="Z109" s="7">
        <v>18358</v>
      </c>
      <c r="AA109" s="6">
        <v>48.42739726027397</v>
      </c>
      <c r="AB109" s="10">
        <v>36005</v>
      </c>
      <c r="AC109" s="39" t="s">
        <v>225</v>
      </c>
      <c r="AE109" s="2" t="s">
        <v>37</v>
      </c>
      <c r="AF109" s="2">
        <v>1</v>
      </c>
      <c r="AG109" s="2">
        <v>11</v>
      </c>
      <c r="AH109" s="2">
        <v>6</v>
      </c>
      <c r="AI109" s="2">
        <v>0</v>
      </c>
      <c r="AJ109" s="2" t="s">
        <v>31</v>
      </c>
      <c r="AK109" s="2">
        <v>0</v>
      </c>
      <c r="AM109" s="2">
        <v>1</v>
      </c>
      <c r="AN109" s="41">
        <v>50</v>
      </c>
      <c r="AO109" s="2">
        <v>1</v>
      </c>
      <c r="AP109" s="41">
        <v>60</v>
      </c>
      <c r="AQ109" s="2">
        <v>1</v>
      </c>
      <c r="AR109" s="12">
        <v>0.1</v>
      </c>
      <c r="AS109" s="8">
        <f t="shared" si="1"/>
        <v>10</v>
      </c>
      <c r="AT109" s="12" t="s">
        <v>27</v>
      </c>
      <c r="AU109" s="8">
        <v>1</v>
      </c>
      <c r="AV109" s="12" t="s">
        <v>27</v>
      </c>
      <c r="AW109" s="29" t="s">
        <v>28</v>
      </c>
      <c r="AX109" s="9">
        <v>0</v>
      </c>
      <c r="AY109" s="11">
        <v>-0.41343897075434466</v>
      </c>
      <c r="AZ109" s="2" t="s">
        <v>29</v>
      </c>
      <c r="BA109" s="2">
        <v>2</v>
      </c>
    </row>
    <row r="110" spans="1:53" s="2" customFormat="1">
      <c r="A110" s="1">
        <v>110</v>
      </c>
      <c r="B110" s="2" t="s">
        <v>23</v>
      </c>
      <c r="C110" s="1" t="s">
        <v>144</v>
      </c>
      <c r="D110" s="1">
        <v>26.83</v>
      </c>
      <c r="E110" s="1">
        <v>28.07</v>
      </c>
      <c r="F110" s="1">
        <v>30.67</v>
      </c>
      <c r="G110" s="1">
        <v>45</v>
      </c>
      <c r="H110" s="11">
        <v>33.17</v>
      </c>
      <c r="I110" s="11">
        <v>28.43</v>
      </c>
      <c r="J110" s="11">
        <v>34.64</v>
      </c>
      <c r="K110" s="11">
        <v>36.4</v>
      </c>
      <c r="L110" s="11">
        <v>32.26</v>
      </c>
      <c r="M110" s="11">
        <v>33.5</v>
      </c>
      <c r="N110" s="11">
        <v>45</v>
      </c>
      <c r="O110" s="11">
        <v>32.799999999999997</v>
      </c>
      <c r="P110" s="11">
        <v>31.75</v>
      </c>
      <c r="Q110" s="11">
        <v>36.450000000000003</v>
      </c>
      <c r="R110" s="11">
        <v>33.200000000000003</v>
      </c>
      <c r="S110" s="11">
        <v>34.4</v>
      </c>
      <c r="T110" s="11">
        <v>38.03</v>
      </c>
      <c r="U110" s="11">
        <v>31.04</v>
      </c>
      <c r="V110" s="11">
        <v>31.61</v>
      </c>
      <c r="W110" s="11">
        <v>45</v>
      </c>
      <c r="X110" s="11">
        <v>34.119999999999997</v>
      </c>
      <c r="Y110" s="11">
        <v>38.85</v>
      </c>
      <c r="Z110" s="7">
        <v>10362</v>
      </c>
      <c r="AA110" s="6">
        <v>70.654794520547952</v>
      </c>
      <c r="AB110" s="10">
        <v>36109</v>
      </c>
      <c r="AC110" s="39" t="s">
        <v>222</v>
      </c>
      <c r="AD110" s="2">
        <v>1</v>
      </c>
      <c r="AE110" s="2" t="s">
        <v>25</v>
      </c>
      <c r="AF110" s="2">
        <v>2</v>
      </c>
      <c r="AG110" s="2">
        <v>25</v>
      </c>
      <c r="AH110" s="2">
        <v>25</v>
      </c>
      <c r="AI110" s="2">
        <v>11</v>
      </c>
      <c r="AJ110" s="2" t="s">
        <v>61</v>
      </c>
      <c r="AK110" s="2">
        <v>3</v>
      </c>
      <c r="AM110" s="2">
        <v>1</v>
      </c>
      <c r="AN110" s="41">
        <v>80</v>
      </c>
      <c r="AO110" s="2">
        <v>1</v>
      </c>
      <c r="AP110" s="41">
        <v>50</v>
      </c>
      <c r="AQ110" s="2">
        <v>2</v>
      </c>
      <c r="AR110" s="12">
        <v>0.1</v>
      </c>
      <c r="AS110" s="8">
        <f t="shared" si="1"/>
        <v>10</v>
      </c>
      <c r="AT110" s="12" t="s">
        <v>27</v>
      </c>
      <c r="AU110" s="8">
        <v>1</v>
      </c>
      <c r="AV110" s="12" t="s">
        <v>27</v>
      </c>
      <c r="AW110" s="29" t="s">
        <v>28</v>
      </c>
      <c r="AX110" s="9">
        <v>0</v>
      </c>
      <c r="AY110" s="11">
        <v>-1.4326995675599132</v>
      </c>
      <c r="AZ110" s="2" t="s">
        <v>35</v>
      </c>
      <c r="BA110" s="2">
        <v>1</v>
      </c>
    </row>
    <row r="111" spans="1:53" s="2" customFormat="1">
      <c r="A111" s="1">
        <v>111</v>
      </c>
      <c r="B111" s="2" t="s">
        <v>23</v>
      </c>
      <c r="C111" s="1" t="s">
        <v>145</v>
      </c>
      <c r="D111" s="1">
        <v>24.73</v>
      </c>
      <c r="E111" s="1">
        <v>26.98</v>
      </c>
      <c r="F111" s="1">
        <v>31.42</v>
      </c>
      <c r="G111" s="1">
        <v>45</v>
      </c>
      <c r="H111" s="11">
        <v>33.369999999999997</v>
      </c>
      <c r="I111" s="11">
        <v>26.44</v>
      </c>
      <c r="J111" s="11">
        <v>32.39</v>
      </c>
      <c r="K111" s="11">
        <v>35.07</v>
      </c>
      <c r="L111" s="11">
        <v>34.380000000000003</v>
      </c>
      <c r="M111" s="11">
        <v>30.36</v>
      </c>
      <c r="N111" s="11">
        <v>36.51</v>
      </c>
      <c r="O111" s="11">
        <v>31.77</v>
      </c>
      <c r="P111" s="11">
        <v>29.77</v>
      </c>
      <c r="Q111" s="11">
        <v>34.479999999999997</v>
      </c>
      <c r="R111" s="11">
        <v>32.15</v>
      </c>
      <c r="S111" s="11">
        <v>36.590000000000003</v>
      </c>
      <c r="T111" s="11">
        <v>32.17</v>
      </c>
      <c r="U111" s="11">
        <v>29.28</v>
      </c>
      <c r="V111" s="11">
        <v>27.82</v>
      </c>
      <c r="W111" s="11">
        <v>34.5</v>
      </c>
      <c r="X111" s="11">
        <v>31.88</v>
      </c>
      <c r="Y111" s="11">
        <v>33.4</v>
      </c>
      <c r="Z111" s="7">
        <v>9125</v>
      </c>
      <c r="AA111" s="6">
        <v>74.717808219178082</v>
      </c>
      <c r="AB111" s="10">
        <v>36361</v>
      </c>
      <c r="AC111" s="39" t="s">
        <v>224</v>
      </c>
      <c r="AD111" s="2">
        <v>2</v>
      </c>
      <c r="AE111" s="2" t="s">
        <v>37</v>
      </c>
      <c r="AF111" s="2">
        <v>1</v>
      </c>
      <c r="AG111" s="2">
        <v>15</v>
      </c>
      <c r="AH111" s="2">
        <v>14</v>
      </c>
      <c r="AI111" s="2">
        <v>0</v>
      </c>
      <c r="AJ111" s="2" t="s">
        <v>31</v>
      </c>
      <c r="AK111" s="2">
        <v>0</v>
      </c>
      <c r="AM111" s="2">
        <v>1</v>
      </c>
      <c r="AN111" s="41">
        <v>90</v>
      </c>
      <c r="AO111" s="2">
        <v>1</v>
      </c>
      <c r="AP111" s="41">
        <v>75</v>
      </c>
      <c r="AQ111" s="2">
        <v>1</v>
      </c>
      <c r="AR111" s="12">
        <v>0.05</v>
      </c>
      <c r="AS111" s="8">
        <f t="shared" si="1"/>
        <v>5</v>
      </c>
      <c r="AT111" s="12" t="s">
        <v>27</v>
      </c>
      <c r="AU111" s="8">
        <v>1</v>
      </c>
      <c r="AV111" s="12" t="s">
        <v>27</v>
      </c>
      <c r="AW111" s="29" t="s">
        <v>28</v>
      </c>
      <c r="AX111" s="9">
        <v>0</v>
      </c>
      <c r="AY111" s="11">
        <v>-0.69799108625560757</v>
      </c>
      <c r="AZ111" s="2" t="s">
        <v>29</v>
      </c>
      <c r="BA111" s="2">
        <v>2</v>
      </c>
    </row>
    <row r="112" spans="1:53" s="2" customFormat="1">
      <c r="A112" s="1">
        <v>112</v>
      </c>
      <c r="B112" s="2" t="s">
        <v>23</v>
      </c>
      <c r="C112" s="1" t="s">
        <v>146</v>
      </c>
      <c r="D112" s="1">
        <v>26.07</v>
      </c>
      <c r="E112" s="1">
        <v>28.92</v>
      </c>
      <c r="F112" s="1">
        <v>33.82</v>
      </c>
      <c r="G112" s="1">
        <v>36.619999999999997</v>
      </c>
      <c r="H112" s="11">
        <v>34.22</v>
      </c>
      <c r="I112" s="11">
        <v>27.31</v>
      </c>
      <c r="J112" s="11">
        <v>35.619999999999997</v>
      </c>
      <c r="K112" s="11">
        <v>36.880000000000003</v>
      </c>
      <c r="L112" s="11">
        <v>33.5</v>
      </c>
      <c r="M112" s="11">
        <v>33.47</v>
      </c>
      <c r="N112" s="11">
        <v>35.380000000000003</v>
      </c>
      <c r="O112" s="11">
        <v>33.11</v>
      </c>
      <c r="P112" s="11">
        <v>31.59</v>
      </c>
      <c r="Q112" s="11">
        <v>34.65</v>
      </c>
      <c r="R112" s="11">
        <v>33.909999999999997</v>
      </c>
      <c r="S112" s="11">
        <v>34.94</v>
      </c>
      <c r="T112" s="11">
        <v>37.5</v>
      </c>
      <c r="U112" s="11">
        <v>30.54</v>
      </c>
      <c r="V112" s="11">
        <v>30.06</v>
      </c>
      <c r="W112" s="11">
        <v>36.19</v>
      </c>
      <c r="X112" s="11">
        <v>34.83</v>
      </c>
      <c r="Y112" s="11">
        <v>34.36</v>
      </c>
      <c r="Z112" s="7">
        <v>12683</v>
      </c>
      <c r="AA112" s="6">
        <v>64.780821917808225</v>
      </c>
      <c r="AB112" s="10">
        <v>36300</v>
      </c>
      <c r="AC112" s="39" t="s">
        <v>222</v>
      </c>
      <c r="AD112" s="2">
        <v>1</v>
      </c>
      <c r="AE112" s="2" t="s">
        <v>25</v>
      </c>
      <c r="AF112" s="2">
        <v>2</v>
      </c>
      <c r="AG112" s="2">
        <v>30</v>
      </c>
      <c r="AH112" s="2">
        <v>22</v>
      </c>
      <c r="AI112" s="2">
        <v>0</v>
      </c>
      <c r="AJ112" s="2" t="s">
        <v>31</v>
      </c>
      <c r="AK112" s="2">
        <v>0</v>
      </c>
      <c r="AM112" s="2">
        <v>1</v>
      </c>
      <c r="AN112" s="41">
        <v>80</v>
      </c>
      <c r="AO112" s="2">
        <v>1</v>
      </c>
      <c r="AP112" s="41">
        <v>40</v>
      </c>
      <c r="AQ112" s="2">
        <v>2</v>
      </c>
      <c r="AR112" s="12">
        <v>0.4</v>
      </c>
      <c r="AS112" s="8">
        <f t="shared" si="1"/>
        <v>40</v>
      </c>
      <c r="AT112" s="12" t="s">
        <v>34</v>
      </c>
      <c r="AU112" s="8">
        <v>3</v>
      </c>
      <c r="AV112" s="8" t="s">
        <v>34</v>
      </c>
      <c r="AW112" s="29" t="s">
        <v>28</v>
      </c>
      <c r="AX112" s="9">
        <v>0</v>
      </c>
      <c r="AY112" s="11">
        <v>-1.2501725593588757</v>
      </c>
      <c r="AZ112" s="2" t="s">
        <v>35</v>
      </c>
      <c r="BA112" s="2">
        <v>1</v>
      </c>
    </row>
    <row r="113" spans="1:53" s="2" customFormat="1">
      <c r="A113" s="1">
        <v>113</v>
      </c>
      <c r="B113" s="2" t="s">
        <v>23</v>
      </c>
      <c r="C113" s="1" t="s">
        <v>147</v>
      </c>
      <c r="D113" s="1">
        <v>24.07</v>
      </c>
      <c r="E113" s="1">
        <v>25.28</v>
      </c>
      <c r="F113" s="1">
        <v>30.71</v>
      </c>
      <c r="G113" s="1">
        <v>36.29</v>
      </c>
      <c r="H113" s="11">
        <v>30.45</v>
      </c>
      <c r="I113" s="11">
        <v>26.2</v>
      </c>
      <c r="J113" s="11">
        <v>31.36</v>
      </c>
      <c r="K113" s="11">
        <v>31.16</v>
      </c>
      <c r="L113" s="11">
        <v>32.5</v>
      </c>
      <c r="M113" s="11">
        <v>31.52</v>
      </c>
      <c r="N113" s="11">
        <v>35.659999999999997</v>
      </c>
      <c r="O113" s="11">
        <v>30.76</v>
      </c>
      <c r="P113" s="11">
        <v>30.22</v>
      </c>
      <c r="Q113" s="11">
        <v>33.79</v>
      </c>
      <c r="R113" s="11">
        <v>32.86</v>
      </c>
      <c r="S113" s="11">
        <v>32.270000000000003</v>
      </c>
      <c r="T113" s="11">
        <v>31.77</v>
      </c>
      <c r="U113" s="11">
        <v>29.47</v>
      </c>
      <c r="V113" s="11">
        <v>28.43</v>
      </c>
      <c r="W113" s="11">
        <v>36.35</v>
      </c>
      <c r="X113" s="11">
        <v>33.49</v>
      </c>
      <c r="Y113" s="11">
        <v>36.18</v>
      </c>
      <c r="Z113" s="7">
        <v>13170</v>
      </c>
      <c r="AA113" s="6">
        <v>62.794520547945204</v>
      </c>
      <c r="AB113" s="10">
        <v>36060</v>
      </c>
      <c r="AC113" s="39" t="s">
        <v>222</v>
      </c>
      <c r="AD113" s="2">
        <v>1</v>
      </c>
      <c r="AE113" s="2" t="s">
        <v>37</v>
      </c>
      <c r="AF113" s="2">
        <v>1</v>
      </c>
      <c r="AG113" s="2">
        <v>5</v>
      </c>
      <c r="AH113" s="2">
        <v>20</v>
      </c>
      <c r="AI113" s="2">
        <v>0</v>
      </c>
      <c r="AJ113" s="2" t="s">
        <v>31</v>
      </c>
      <c r="AK113" s="2">
        <v>0</v>
      </c>
      <c r="AM113" s="2">
        <v>1</v>
      </c>
      <c r="AN113" s="41">
        <v>80</v>
      </c>
      <c r="AO113" s="2">
        <v>1</v>
      </c>
      <c r="AP113" s="41">
        <v>70</v>
      </c>
      <c r="AQ113" s="2">
        <v>2</v>
      </c>
      <c r="AR113" s="12">
        <v>0.1</v>
      </c>
      <c r="AS113" s="8">
        <f t="shared" si="1"/>
        <v>10</v>
      </c>
      <c r="AT113" s="12" t="s">
        <v>27</v>
      </c>
      <c r="AU113" s="8">
        <v>1</v>
      </c>
      <c r="AV113" s="12" t="s">
        <v>27</v>
      </c>
      <c r="AW113" s="29" t="s">
        <v>28</v>
      </c>
      <c r="AX113" s="9">
        <v>0</v>
      </c>
      <c r="AY113" s="11">
        <v>-5.3001857608276914E-3</v>
      </c>
      <c r="AZ113" s="2" t="s">
        <v>38</v>
      </c>
      <c r="BA113" s="2">
        <v>3</v>
      </c>
    </row>
    <row r="114" spans="1:53" s="2" customFormat="1">
      <c r="A114" s="1">
        <v>114</v>
      </c>
      <c r="B114" s="2" t="s">
        <v>23</v>
      </c>
      <c r="C114" s="1" t="s">
        <v>148</v>
      </c>
      <c r="D114" s="1">
        <v>21.64</v>
      </c>
      <c r="E114" s="1">
        <v>23.98</v>
      </c>
      <c r="F114" s="1">
        <v>29.28</v>
      </c>
      <c r="G114" s="1">
        <v>35.090000000000003</v>
      </c>
      <c r="H114" s="11">
        <v>29.81</v>
      </c>
      <c r="I114" s="11">
        <v>24.58</v>
      </c>
      <c r="J114" s="11">
        <v>29.95</v>
      </c>
      <c r="K114" s="11">
        <v>31.83</v>
      </c>
      <c r="L114" s="11">
        <v>29.45</v>
      </c>
      <c r="M114" s="11">
        <v>29</v>
      </c>
      <c r="N114" s="11">
        <v>33.35</v>
      </c>
      <c r="O114" s="11">
        <v>30.08</v>
      </c>
      <c r="P114" s="11">
        <v>27.9</v>
      </c>
      <c r="Q114" s="11">
        <v>30.86</v>
      </c>
      <c r="R114" s="11">
        <v>29.57</v>
      </c>
      <c r="S114" s="11">
        <v>30.84</v>
      </c>
      <c r="T114" s="11">
        <v>31.75</v>
      </c>
      <c r="U114" s="11">
        <v>27.3</v>
      </c>
      <c r="V114" s="11">
        <v>27.71</v>
      </c>
      <c r="W114" s="11">
        <v>34.840000000000003</v>
      </c>
      <c r="X114" s="11">
        <v>28.9</v>
      </c>
      <c r="Y114" s="11">
        <v>30.55</v>
      </c>
      <c r="Z114" s="7">
        <v>6638</v>
      </c>
      <c r="AA114" s="6">
        <v>80.747945205479454</v>
      </c>
      <c r="AB114" s="10">
        <v>36111</v>
      </c>
      <c r="AC114" s="39" t="s">
        <v>222</v>
      </c>
      <c r="AD114" s="2">
        <v>1</v>
      </c>
      <c r="AE114" s="2" t="s">
        <v>37</v>
      </c>
      <c r="AF114" s="2">
        <v>1</v>
      </c>
      <c r="AG114" s="2">
        <v>13</v>
      </c>
      <c r="AH114" s="2">
        <v>16</v>
      </c>
      <c r="AI114" s="2">
        <v>0</v>
      </c>
      <c r="AJ114" s="2" t="s">
        <v>31</v>
      </c>
      <c r="AK114" s="2">
        <v>0</v>
      </c>
      <c r="AM114" s="2">
        <v>1</v>
      </c>
      <c r="AN114" s="41">
        <v>90</v>
      </c>
      <c r="AO114" s="2">
        <v>2</v>
      </c>
      <c r="AP114" s="41" t="s">
        <v>33</v>
      </c>
      <c r="AQ114" s="2">
        <v>2</v>
      </c>
      <c r="AR114" s="12">
        <v>0.1</v>
      </c>
      <c r="AS114" s="8">
        <f t="shared" si="1"/>
        <v>10</v>
      </c>
      <c r="AT114" s="12" t="s">
        <v>27</v>
      </c>
      <c r="AU114" s="8">
        <v>1</v>
      </c>
      <c r="AV114" s="12" t="s">
        <v>27</v>
      </c>
      <c r="AW114" s="29" t="s">
        <v>28</v>
      </c>
      <c r="AX114" s="9">
        <v>0</v>
      </c>
      <c r="AY114" s="11">
        <v>-0.64621631705392746</v>
      </c>
      <c r="AZ114" s="2" t="s">
        <v>29</v>
      </c>
      <c r="BA114" s="2">
        <v>2</v>
      </c>
    </row>
    <row r="115" spans="1:53" s="2" customFormat="1">
      <c r="A115" s="1">
        <v>115</v>
      </c>
      <c r="B115" s="2" t="s">
        <v>23</v>
      </c>
      <c r="C115" s="1" t="s">
        <v>149</v>
      </c>
      <c r="D115" s="1">
        <v>24.74</v>
      </c>
      <c r="E115" s="1">
        <v>26.19</v>
      </c>
      <c r="F115" s="1">
        <v>31.57</v>
      </c>
      <c r="G115" s="1">
        <v>35.25</v>
      </c>
      <c r="H115" s="11">
        <v>32.56</v>
      </c>
      <c r="I115" s="11">
        <v>26.5</v>
      </c>
      <c r="J115" s="11">
        <v>32.79</v>
      </c>
      <c r="K115" s="11">
        <v>32.619999999999997</v>
      </c>
      <c r="L115" s="11">
        <v>32.68</v>
      </c>
      <c r="M115" s="11">
        <v>31.28</v>
      </c>
      <c r="N115" s="11">
        <v>34.42</v>
      </c>
      <c r="O115" s="11">
        <v>31.27</v>
      </c>
      <c r="P115" s="11">
        <v>30.85</v>
      </c>
      <c r="Q115" s="11">
        <v>32.020000000000003</v>
      </c>
      <c r="R115" s="11">
        <v>32.479999999999997</v>
      </c>
      <c r="S115" s="11">
        <v>45</v>
      </c>
      <c r="T115" s="11">
        <v>35.47</v>
      </c>
      <c r="U115" s="11">
        <v>31.58</v>
      </c>
      <c r="V115" s="11">
        <v>29.07</v>
      </c>
      <c r="W115" s="11">
        <v>36.64</v>
      </c>
      <c r="X115" s="11">
        <v>32.71</v>
      </c>
      <c r="Y115" s="11">
        <v>31.34</v>
      </c>
      <c r="Z115" s="7">
        <v>14098</v>
      </c>
      <c r="AA115" s="6">
        <v>60.61643835616438</v>
      </c>
      <c r="AB115" s="10">
        <v>36199</v>
      </c>
      <c r="AC115" s="39" t="s">
        <v>224</v>
      </c>
      <c r="AD115" s="2">
        <v>2</v>
      </c>
      <c r="AE115" s="2" t="s">
        <v>37</v>
      </c>
      <c r="AF115" s="2">
        <v>1</v>
      </c>
      <c r="AG115" s="2">
        <v>5</v>
      </c>
      <c r="AH115" s="2">
        <v>28</v>
      </c>
      <c r="AI115" s="2">
        <v>2</v>
      </c>
      <c r="AJ115" s="2" t="s">
        <v>26</v>
      </c>
      <c r="AK115" s="2">
        <v>1</v>
      </c>
      <c r="AM115" s="2">
        <v>1</v>
      </c>
      <c r="AN115" s="41">
        <v>90</v>
      </c>
      <c r="AO115" s="2">
        <v>1</v>
      </c>
      <c r="AP115" s="41">
        <v>60</v>
      </c>
      <c r="AQ115" s="2">
        <v>1</v>
      </c>
      <c r="AR115" s="12">
        <v>0.1</v>
      </c>
      <c r="AS115" s="8">
        <f t="shared" si="1"/>
        <v>10</v>
      </c>
      <c r="AT115" s="12" t="s">
        <v>27</v>
      </c>
      <c r="AU115" s="8">
        <v>1</v>
      </c>
      <c r="AV115" s="12" t="s">
        <v>27</v>
      </c>
      <c r="AW115" s="29" t="s">
        <v>28</v>
      </c>
      <c r="AX115" s="9">
        <v>0</v>
      </c>
      <c r="AY115" s="11">
        <v>-0.50651313714660851</v>
      </c>
      <c r="AZ115" s="2" t="s">
        <v>29</v>
      </c>
      <c r="BA115" s="2">
        <v>2</v>
      </c>
    </row>
    <row r="116" spans="1:53" s="2" customFormat="1">
      <c r="A116" s="1">
        <v>116</v>
      </c>
      <c r="B116" s="2" t="s">
        <v>23</v>
      </c>
      <c r="C116" s="1" t="s">
        <v>150</v>
      </c>
      <c r="D116" s="1">
        <v>23.43</v>
      </c>
      <c r="E116" s="1">
        <v>28.35</v>
      </c>
      <c r="F116" s="1">
        <v>31.15</v>
      </c>
      <c r="G116" s="1">
        <v>45</v>
      </c>
      <c r="H116" s="11">
        <v>34.74</v>
      </c>
      <c r="I116" s="11">
        <v>28.39</v>
      </c>
      <c r="J116" s="11">
        <v>33.159999999999997</v>
      </c>
      <c r="K116" s="11">
        <v>37.17</v>
      </c>
      <c r="L116" s="11">
        <v>32.49</v>
      </c>
      <c r="M116" s="11">
        <v>33.99</v>
      </c>
      <c r="N116" s="11">
        <v>35.619999999999997</v>
      </c>
      <c r="O116" s="11">
        <v>32.56</v>
      </c>
      <c r="P116" s="11">
        <v>32.869999999999997</v>
      </c>
      <c r="Q116" s="11">
        <v>33.21</v>
      </c>
      <c r="R116" s="11">
        <v>32.86</v>
      </c>
      <c r="S116" s="11">
        <v>32.479999999999997</v>
      </c>
      <c r="T116" s="11">
        <v>35.22</v>
      </c>
      <c r="U116" s="11">
        <v>30.34</v>
      </c>
      <c r="V116" s="11">
        <v>29.67</v>
      </c>
      <c r="W116" s="11">
        <v>45</v>
      </c>
      <c r="X116" s="11">
        <v>32.659999999999997</v>
      </c>
      <c r="Y116" s="11">
        <v>33.659999999999997</v>
      </c>
      <c r="Z116" s="4">
        <v>22919</v>
      </c>
      <c r="AA116" s="6">
        <v>36.30958904109589</v>
      </c>
      <c r="AB116" s="10">
        <v>36172</v>
      </c>
      <c r="AC116" s="39" t="s">
        <v>222</v>
      </c>
      <c r="AD116" s="2">
        <v>1</v>
      </c>
      <c r="AE116" s="2" t="s">
        <v>37</v>
      </c>
      <c r="AF116" s="2">
        <v>1</v>
      </c>
      <c r="AG116" s="2">
        <v>15</v>
      </c>
      <c r="AH116" s="2">
        <v>23</v>
      </c>
      <c r="AI116" s="2">
        <v>8</v>
      </c>
      <c r="AJ116" s="2" t="s">
        <v>47</v>
      </c>
      <c r="AK116" s="2">
        <v>2</v>
      </c>
      <c r="AM116" s="2">
        <v>2</v>
      </c>
      <c r="AN116" s="41" t="s">
        <v>33</v>
      </c>
      <c r="AO116" s="2">
        <v>2</v>
      </c>
      <c r="AP116" s="41" t="s">
        <v>33</v>
      </c>
      <c r="AQ116" s="2">
        <v>3</v>
      </c>
      <c r="AR116" s="12">
        <v>0.25</v>
      </c>
      <c r="AS116" s="8">
        <f t="shared" si="1"/>
        <v>25</v>
      </c>
      <c r="AT116" s="12" t="s">
        <v>34</v>
      </c>
      <c r="AU116" s="8">
        <v>3</v>
      </c>
      <c r="AV116" s="8" t="s">
        <v>44</v>
      </c>
      <c r="AW116" s="29" t="s">
        <v>28</v>
      </c>
      <c r="AX116" s="2">
        <v>0</v>
      </c>
      <c r="AY116" s="11">
        <v>-0.6934778865940785</v>
      </c>
      <c r="AZ116" s="2" t="s">
        <v>29</v>
      </c>
      <c r="BA116" s="2">
        <v>2</v>
      </c>
    </row>
    <row r="117" spans="1:53" s="2" customFormat="1">
      <c r="A117" s="1">
        <v>117</v>
      </c>
      <c r="B117" s="2" t="s">
        <v>23</v>
      </c>
      <c r="C117" s="1" t="s">
        <v>151</v>
      </c>
      <c r="D117" s="1">
        <v>23.88</v>
      </c>
      <c r="E117" s="1">
        <v>25.24</v>
      </c>
      <c r="F117" s="1">
        <v>30.74</v>
      </c>
      <c r="G117" s="1">
        <v>35.15</v>
      </c>
      <c r="H117" s="11">
        <v>33.369999999999997</v>
      </c>
      <c r="I117" s="11">
        <v>25.38</v>
      </c>
      <c r="J117" s="11">
        <v>32.479999999999997</v>
      </c>
      <c r="K117" s="11">
        <v>32.43</v>
      </c>
      <c r="L117" s="11">
        <v>30.83</v>
      </c>
      <c r="M117" s="11">
        <v>31.32</v>
      </c>
      <c r="N117" s="11">
        <v>34.49</v>
      </c>
      <c r="O117" s="11">
        <v>30.68</v>
      </c>
      <c r="P117" s="11">
        <v>29.59</v>
      </c>
      <c r="Q117" s="11">
        <v>31.66</v>
      </c>
      <c r="R117" s="11">
        <v>30.61</v>
      </c>
      <c r="S117" s="11">
        <v>32.58</v>
      </c>
      <c r="T117" s="11">
        <v>32.94</v>
      </c>
      <c r="U117" s="11">
        <v>33.15</v>
      </c>
      <c r="V117" s="11">
        <v>28.88</v>
      </c>
      <c r="W117" s="11">
        <v>33.61</v>
      </c>
      <c r="X117" s="11">
        <v>30.32</v>
      </c>
      <c r="Y117" s="11">
        <v>32.270000000000003</v>
      </c>
      <c r="Z117" s="7">
        <v>8233</v>
      </c>
      <c r="AA117" s="6">
        <v>77.180821917808217</v>
      </c>
      <c r="AB117" s="10">
        <v>36350</v>
      </c>
      <c r="AC117" s="40" t="s">
        <v>222</v>
      </c>
      <c r="AD117" s="2">
        <v>1</v>
      </c>
      <c r="AE117" s="2" t="s">
        <v>37</v>
      </c>
      <c r="AF117" s="2">
        <v>1</v>
      </c>
      <c r="AG117" s="2">
        <v>10</v>
      </c>
      <c r="AH117" s="2">
        <v>18</v>
      </c>
      <c r="AI117" s="2">
        <v>0</v>
      </c>
      <c r="AJ117" s="2" t="s">
        <v>31</v>
      </c>
      <c r="AK117" s="2">
        <v>0</v>
      </c>
      <c r="AM117" s="2">
        <v>1</v>
      </c>
      <c r="AN117" s="41">
        <v>90</v>
      </c>
      <c r="AO117" s="2">
        <v>1</v>
      </c>
      <c r="AP117" s="41">
        <v>70</v>
      </c>
      <c r="AQ117" s="2">
        <v>2</v>
      </c>
      <c r="AR117" s="12">
        <v>0.1</v>
      </c>
      <c r="AS117" s="8">
        <f t="shared" si="1"/>
        <v>10</v>
      </c>
      <c r="AT117" s="12" t="s">
        <v>27</v>
      </c>
      <c r="AU117" s="8">
        <v>1</v>
      </c>
      <c r="AV117" s="12" t="s">
        <v>27</v>
      </c>
      <c r="AW117" s="29" t="s">
        <v>28</v>
      </c>
      <c r="AX117" s="9">
        <v>0</v>
      </c>
      <c r="AY117" s="11">
        <v>0.68259670526772842</v>
      </c>
      <c r="AZ117" s="2" t="s">
        <v>38</v>
      </c>
      <c r="BA117" s="2">
        <v>3</v>
      </c>
    </row>
    <row r="118" spans="1:53" s="2" customFormat="1">
      <c r="A118" s="1">
        <v>118</v>
      </c>
      <c r="B118" s="2" t="s">
        <v>23</v>
      </c>
      <c r="C118" s="1" t="s">
        <v>152</v>
      </c>
      <c r="D118" s="1">
        <v>27.63</v>
      </c>
      <c r="E118" s="1">
        <v>28.71</v>
      </c>
      <c r="F118" s="1">
        <v>33.33</v>
      </c>
      <c r="G118" s="1">
        <v>45</v>
      </c>
      <c r="H118" s="11">
        <v>36.159999999999997</v>
      </c>
      <c r="I118" s="11">
        <v>28.89</v>
      </c>
      <c r="J118" s="11">
        <v>34.25</v>
      </c>
      <c r="K118" s="11">
        <v>36.69</v>
      </c>
      <c r="L118" s="11">
        <v>34.159999999999997</v>
      </c>
      <c r="M118" s="11">
        <v>45</v>
      </c>
      <c r="N118" s="11">
        <v>45</v>
      </c>
      <c r="O118" s="11">
        <v>34.18</v>
      </c>
      <c r="P118" s="11">
        <v>33.299999999999997</v>
      </c>
      <c r="Q118" s="11">
        <v>36.94</v>
      </c>
      <c r="R118" s="11">
        <v>34.68</v>
      </c>
      <c r="S118" s="11">
        <v>37.46</v>
      </c>
      <c r="T118" s="11">
        <v>34.92</v>
      </c>
      <c r="U118" s="11">
        <v>31.31</v>
      </c>
      <c r="V118" s="11">
        <v>31.1</v>
      </c>
      <c r="W118" s="11">
        <v>45</v>
      </c>
      <c r="X118" s="11">
        <v>36.56</v>
      </c>
      <c r="Y118" s="11">
        <v>35.159999999999997</v>
      </c>
      <c r="Z118" s="7">
        <v>11352</v>
      </c>
      <c r="AA118" s="6">
        <v>67.797260273972597</v>
      </c>
      <c r="AB118" s="10">
        <v>36080</v>
      </c>
      <c r="AC118" s="39" t="s">
        <v>222</v>
      </c>
      <c r="AD118" s="2">
        <v>1</v>
      </c>
      <c r="AE118" s="2" t="s">
        <v>28</v>
      </c>
      <c r="AF118" s="2">
        <v>4</v>
      </c>
      <c r="AG118" s="2" t="s">
        <v>28</v>
      </c>
      <c r="AH118" s="2">
        <v>19</v>
      </c>
      <c r="AI118" s="2">
        <v>3</v>
      </c>
      <c r="AJ118" s="2" t="s">
        <v>26</v>
      </c>
      <c r="AK118" s="2">
        <v>1</v>
      </c>
      <c r="AM118" s="2">
        <v>1</v>
      </c>
      <c r="AN118" s="41">
        <v>90</v>
      </c>
      <c r="AO118" s="2">
        <v>1</v>
      </c>
      <c r="AP118" s="41">
        <v>70</v>
      </c>
      <c r="AQ118" s="2">
        <v>2</v>
      </c>
      <c r="AR118" s="12">
        <v>0.2</v>
      </c>
      <c r="AS118" s="8">
        <f t="shared" si="1"/>
        <v>20</v>
      </c>
      <c r="AT118" s="12" t="s">
        <v>34</v>
      </c>
      <c r="AU118" s="8">
        <v>3</v>
      </c>
      <c r="AV118" s="8" t="s">
        <v>44</v>
      </c>
      <c r="AW118" s="29" t="s">
        <v>28</v>
      </c>
      <c r="AX118" s="9">
        <v>0</v>
      </c>
      <c r="AY118" s="11">
        <v>0.98872494941438482</v>
      </c>
      <c r="AZ118" s="2" t="s">
        <v>38</v>
      </c>
      <c r="BA118" s="2">
        <v>3</v>
      </c>
    </row>
    <row r="119" spans="1:53" s="2" customFormat="1">
      <c r="A119" s="1">
        <v>119</v>
      </c>
      <c r="B119" s="2" t="s">
        <v>23</v>
      </c>
      <c r="C119" s="1" t="s">
        <v>153</v>
      </c>
      <c r="D119" s="1">
        <v>24.64</v>
      </c>
      <c r="E119" s="1">
        <v>26.02</v>
      </c>
      <c r="F119" s="1">
        <v>30.92</v>
      </c>
      <c r="G119" s="1">
        <v>37.630000000000003</v>
      </c>
      <c r="H119" s="11">
        <v>31.38</v>
      </c>
      <c r="I119" s="11">
        <v>26.39</v>
      </c>
      <c r="J119" s="11">
        <v>31.57</v>
      </c>
      <c r="K119" s="11">
        <v>33.03</v>
      </c>
      <c r="L119" s="11">
        <v>34.19</v>
      </c>
      <c r="M119" s="11">
        <v>30.39</v>
      </c>
      <c r="N119" s="11">
        <v>36.31</v>
      </c>
      <c r="O119" s="11">
        <v>30.7</v>
      </c>
      <c r="P119" s="11">
        <v>30.01</v>
      </c>
      <c r="Q119" s="11">
        <v>33.51</v>
      </c>
      <c r="R119" s="11">
        <v>31.1</v>
      </c>
      <c r="S119" s="11">
        <v>31.58</v>
      </c>
      <c r="T119" s="11">
        <v>33.14</v>
      </c>
      <c r="U119" s="11">
        <v>28.45</v>
      </c>
      <c r="V119" s="11">
        <v>28.52</v>
      </c>
      <c r="W119" s="11">
        <v>33.43</v>
      </c>
      <c r="X119" s="11">
        <v>31.24</v>
      </c>
      <c r="Y119" s="11">
        <v>32.47</v>
      </c>
      <c r="Z119" s="7">
        <v>7454</v>
      </c>
      <c r="AA119" s="6">
        <v>78.62465753424658</v>
      </c>
      <c r="AB119" s="10">
        <v>36095</v>
      </c>
      <c r="AC119" s="39" t="s">
        <v>224</v>
      </c>
      <c r="AD119" s="2">
        <v>2</v>
      </c>
      <c r="AE119" s="2" t="s">
        <v>25</v>
      </c>
      <c r="AF119" s="2">
        <v>2</v>
      </c>
      <c r="AG119" s="2">
        <v>40</v>
      </c>
      <c r="AH119" s="2">
        <v>21</v>
      </c>
      <c r="AI119" s="2">
        <v>3</v>
      </c>
      <c r="AJ119" s="2" t="s">
        <v>26</v>
      </c>
      <c r="AK119" s="2">
        <v>1</v>
      </c>
      <c r="AM119" s="2">
        <v>1</v>
      </c>
      <c r="AN119" s="41">
        <v>60</v>
      </c>
      <c r="AO119" s="2">
        <v>1</v>
      </c>
      <c r="AP119" s="41">
        <v>30</v>
      </c>
      <c r="AQ119" s="2" t="s">
        <v>28</v>
      </c>
      <c r="AR119" s="12">
        <v>0.05</v>
      </c>
      <c r="AS119" s="8">
        <f t="shared" si="1"/>
        <v>5</v>
      </c>
      <c r="AT119" s="12" t="s">
        <v>27</v>
      </c>
      <c r="AU119" s="8">
        <v>1</v>
      </c>
      <c r="AV119" s="12" t="s">
        <v>27</v>
      </c>
      <c r="AW119" s="29" t="s">
        <v>28</v>
      </c>
      <c r="AX119" s="9">
        <v>0</v>
      </c>
      <c r="AY119" s="11">
        <v>-0.70820415012506466</v>
      </c>
      <c r="AZ119" s="2" t="s">
        <v>29</v>
      </c>
      <c r="BA119" s="2">
        <v>2</v>
      </c>
    </row>
    <row r="120" spans="1:53" s="2" customFormat="1">
      <c r="A120" s="1">
        <v>120</v>
      </c>
      <c r="B120" s="2" t="s">
        <v>23</v>
      </c>
      <c r="C120" s="1" t="s">
        <v>154</v>
      </c>
      <c r="D120" s="1">
        <v>22.94</v>
      </c>
      <c r="E120" s="1">
        <v>25.77</v>
      </c>
      <c r="F120" s="1">
        <v>31.51</v>
      </c>
      <c r="G120" s="1">
        <v>36.92</v>
      </c>
      <c r="H120" s="11">
        <v>31.41</v>
      </c>
      <c r="I120" s="11">
        <v>26.3</v>
      </c>
      <c r="J120" s="11">
        <v>31.95</v>
      </c>
      <c r="K120" s="11">
        <v>33.159999999999997</v>
      </c>
      <c r="L120" s="11">
        <v>31.43</v>
      </c>
      <c r="M120" s="11">
        <v>33.49</v>
      </c>
      <c r="N120" s="11">
        <v>34.200000000000003</v>
      </c>
      <c r="O120" s="11">
        <v>31.38</v>
      </c>
      <c r="P120" s="11">
        <v>30.47</v>
      </c>
      <c r="Q120" s="11">
        <v>34.44</v>
      </c>
      <c r="R120" s="11">
        <v>30.78</v>
      </c>
      <c r="S120" s="11">
        <v>31.69</v>
      </c>
      <c r="T120" s="11">
        <v>32.869999999999997</v>
      </c>
      <c r="U120" s="11">
        <v>30.21</v>
      </c>
      <c r="V120" s="11">
        <v>28.79</v>
      </c>
      <c r="W120" s="11">
        <v>36.729999999999997</v>
      </c>
      <c r="X120" s="11">
        <v>33.04</v>
      </c>
      <c r="Y120" s="11">
        <v>32.58</v>
      </c>
      <c r="Z120" s="7">
        <v>15390</v>
      </c>
      <c r="AA120" s="6">
        <v>57.035616438356165</v>
      </c>
      <c r="AB120" s="10">
        <v>36175</v>
      </c>
      <c r="AC120" s="39" t="s">
        <v>222</v>
      </c>
      <c r="AD120" s="2">
        <v>1</v>
      </c>
      <c r="AE120" s="2" t="s">
        <v>37</v>
      </c>
      <c r="AF120" s="2">
        <v>1</v>
      </c>
      <c r="AG120" s="2">
        <v>13</v>
      </c>
      <c r="AH120" s="2">
        <v>26</v>
      </c>
      <c r="AI120" s="2">
        <v>0</v>
      </c>
      <c r="AJ120" s="2" t="s">
        <v>31</v>
      </c>
      <c r="AK120" s="2">
        <v>0</v>
      </c>
      <c r="AM120" s="2">
        <v>1</v>
      </c>
      <c r="AN120" s="41">
        <v>95</v>
      </c>
      <c r="AO120" s="2">
        <v>2</v>
      </c>
      <c r="AP120" s="41" t="s">
        <v>33</v>
      </c>
      <c r="AQ120" s="2">
        <v>2</v>
      </c>
      <c r="AR120" s="12">
        <v>0.55000000000000004</v>
      </c>
      <c r="AS120" s="8">
        <f t="shared" si="1"/>
        <v>55.000000000000007</v>
      </c>
      <c r="AT120" s="12" t="s">
        <v>34</v>
      </c>
      <c r="AU120" s="8">
        <v>3</v>
      </c>
      <c r="AV120" s="8" t="s">
        <v>34</v>
      </c>
      <c r="AW120" s="29" t="s">
        <v>28</v>
      </c>
      <c r="AX120" s="9">
        <v>0</v>
      </c>
      <c r="AY120" s="11">
        <v>-0.91744270244359649</v>
      </c>
      <c r="AZ120" s="2" t="s">
        <v>35</v>
      </c>
      <c r="BA120" s="2">
        <v>1</v>
      </c>
    </row>
    <row r="121" spans="1:53" s="2" customFormat="1">
      <c r="A121" s="1">
        <v>121</v>
      </c>
      <c r="B121" s="2" t="s">
        <v>23</v>
      </c>
      <c r="C121" s="1" t="s">
        <v>68</v>
      </c>
      <c r="D121" s="1">
        <v>22.76</v>
      </c>
      <c r="E121" s="1">
        <v>24</v>
      </c>
      <c r="F121" s="1">
        <v>29.36</v>
      </c>
      <c r="G121" s="1">
        <v>33.79</v>
      </c>
      <c r="H121" s="11">
        <v>30.01</v>
      </c>
      <c r="I121" s="11">
        <v>24.56</v>
      </c>
      <c r="J121" s="11">
        <v>30</v>
      </c>
      <c r="K121" s="11">
        <v>30.93</v>
      </c>
      <c r="L121" s="11">
        <v>30.28</v>
      </c>
      <c r="M121" s="11">
        <v>30.63</v>
      </c>
      <c r="N121" s="11">
        <v>32.770000000000003</v>
      </c>
      <c r="O121" s="11">
        <v>28.94</v>
      </c>
      <c r="P121" s="11">
        <v>28.77</v>
      </c>
      <c r="Q121" s="11">
        <v>30.82</v>
      </c>
      <c r="R121" s="11">
        <v>30.5</v>
      </c>
      <c r="S121" s="11">
        <v>31.49</v>
      </c>
      <c r="T121" s="11">
        <v>30.17</v>
      </c>
      <c r="U121" s="11">
        <v>26.16</v>
      </c>
      <c r="V121" s="11">
        <v>26.93</v>
      </c>
      <c r="W121" s="11">
        <v>32.83</v>
      </c>
      <c r="X121" s="11">
        <v>30.49</v>
      </c>
      <c r="Y121" s="11">
        <v>29.94</v>
      </c>
      <c r="Z121" s="7">
        <v>19293</v>
      </c>
      <c r="AA121" s="6">
        <v>46.364383561643834</v>
      </c>
      <c r="AB121" s="10">
        <v>36159</v>
      </c>
      <c r="AC121" s="39" t="s">
        <v>224</v>
      </c>
      <c r="AD121" s="2">
        <v>2</v>
      </c>
      <c r="AE121" s="2" t="s">
        <v>69</v>
      </c>
      <c r="AF121" s="2">
        <v>3</v>
      </c>
      <c r="AG121" s="2">
        <v>55</v>
      </c>
      <c r="AH121" s="2">
        <v>12</v>
      </c>
      <c r="AI121" s="2">
        <v>0</v>
      </c>
      <c r="AJ121" s="2" t="s">
        <v>31</v>
      </c>
      <c r="AK121" s="2">
        <v>0</v>
      </c>
      <c r="AM121" s="2">
        <v>1</v>
      </c>
      <c r="AN121" s="41">
        <v>55</v>
      </c>
      <c r="AO121" s="2">
        <v>1</v>
      </c>
      <c r="AP121" s="41">
        <v>60</v>
      </c>
      <c r="AQ121" s="2">
        <v>1</v>
      </c>
      <c r="AR121" s="12">
        <v>0.1</v>
      </c>
      <c r="AS121" s="8">
        <f t="shared" si="1"/>
        <v>10</v>
      </c>
      <c r="AT121" s="12" t="s">
        <v>27</v>
      </c>
      <c r="AU121" s="8">
        <v>1</v>
      </c>
      <c r="AV121" s="12" t="s">
        <v>27</v>
      </c>
      <c r="AW121" s="29" t="s">
        <v>28</v>
      </c>
      <c r="AX121" s="9">
        <v>0</v>
      </c>
      <c r="AY121" s="11">
        <v>-1.2201183100705975</v>
      </c>
      <c r="AZ121" s="2" t="s">
        <v>35</v>
      </c>
      <c r="BA121" s="2">
        <v>1</v>
      </c>
    </row>
    <row r="122" spans="1:53" s="2" customFormat="1">
      <c r="A122" s="1">
        <v>122</v>
      </c>
      <c r="B122" s="2" t="s">
        <v>23</v>
      </c>
      <c r="C122" s="1" t="s">
        <v>155</v>
      </c>
      <c r="D122" s="1">
        <v>21.92</v>
      </c>
      <c r="E122" s="1">
        <v>24.16</v>
      </c>
      <c r="F122" s="1">
        <v>29.09</v>
      </c>
      <c r="G122" s="1">
        <v>35.18</v>
      </c>
      <c r="H122" s="11">
        <v>29.85</v>
      </c>
      <c r="I122" s="11">
        <v>23.9</v>
      </c>
      <c r="J122" s="11">
        <v>30.14</v>
      </c>
      <c r="K122" s="11">
        <v>28.81</v>
      </c>
      <c r="L122" s="11">
        <v>30.5</v>
      </c>
      <c r="M122" s="11">
        <v>25.91</v>
      </c>
      <c r="N122" s="11">
        <v>32.630000000000003</v>
      </c>
      <c r="O122" s="11">
        <v>28.84</v>
      </c>
      <c r="P122" s="11">
        <v>29.48</v>
      </c>
      <c r="Q122" s="11">
        <v>31.21</v>
      </c>
      <c r="R122" s="11">
        <v>29.68</v>
      </c>
      <c r="S122" s="11">
        <v>32.11</v>
      </c>
      <c r="T122" s="11">
        <v>31.33</v>
      </c>
      <c r="U122" s="11">
        <v>25.48</v>
      </c>
      <c r="V122" s="11">
        <v>25.94</v>
      </c>
      <c r="W122" s="11">
        <v>33.43</v>
      </c>
      <c r="X122" s="11">
        <v>29.45</v>
      </c>
      <c r="Y122" s="11">
        <v>30.64</v>
      </c>
      <c r="Z122" s="7">
        <v>17965</v>
      </c>
      <c r="AA122" s="6">
        <v>50.843835616438355</v>
      </c>
      <c r="AB122" s="10">
        <v>36482</v>
      </c>
      <c r="AC122" s="39" t="s">
        <v>222</v>
      </c>
      <c r="AD122" s="2">
        <v>1</v>
      </c>
      <c r="AE122" s="2" t="s">
        <v>37</v>
      </c>
      <c r="AF122" s="2">
        <v>1</v>
      </c>
      <c r="AG122" s="2">
        <v>18</v>
      </c>
      <c r="AH122" s="2">
        <v>7</v>
      </c>
      <c r="AI122" s="2">
        <v>3</v>
      </c>
      <c r="AJ122" s="2" t="s">
        <v>26</v>
      </c>
      <c r="AK122" s="2">
        <v>1</v>
      </c>
      <c r="AM122" s="2">
        <v>2</v>
      </c>
      <c r="AN122" s="41" t="s">
        <v>33</v>
      </c>
      <c r="AO122" s="2">
        <v>2</v>
      </c>
      <c r="AP122" s="41" t="s">
        <v>33</v>
      </c>
      <c r="AQ122" s="2">
        <v>3</v>
      </c>
      <c r="AR122" s="12">
        <v>0.6</v>
      </c>
      <c r="AS122" s="8">
        <f t="shared" si="1"/>
        <v>60</v>
      </c>
      <c r="AT122" s="12" t="s">
        <v>34</v>
      </c>
      <c r="AU122" s="8">
        <v>3</v>
      </c>
      <c r="AV122" s="8" t="s">
        <v>34</v>
      </c>
      <c r="AW122" s="29" t="s">
        <v>28</v>
      </c>
      <c r="AX122" s="9">
        <v>0</v>
      </c>
      <c r="AY122" s="11">
        <v>-0.45163616918092098</v>
      </c>
      <c r="AZ122" s="2" t="s">
        <v>29</v>
      </c>
      <c r="BA122" s="2">
        <v>2</v>
      </c>
    </row>
    <row r="123" spans="1:53" s="2" customFormat="1">
      <c r="A123" s="1">
        <v>123</v>
      </c>
      <c r="B123" s="2" t="s">
        <v>23</v>
      </c>
      <c r="C123" s="1" t="s">
        <v>75</v>
      </c>
      <c r="D123" s="1">
        <v>25.74</v>
      </c>
      <c r="E123" s="1">
        <v>27.51</v>
      </c>
      <c r="F123" s="1">
        <v>32.78</v>
      </c>
      <c r="G123" s="1">
        <v>45</v>
      </c>
      <c r="H123" s="11">
        <v>34.57</v>
      </c>
      <c r="I123" s="11">
        <v>26.85</v>
      </c>
      <c r="J123" s="11">
        <v>33.89</v>
      </c>
      <c r="K123" s="11">
        <v>34.64</v>
      </c>
      <c r="L123" s="11">
        <v>34.31</v>
      </c>
      <c r="M123" s="11">
        <v>32.590000000000003</v>
      </c>
      <c r="N123" s="11">
        <v>35.97</v>
      </c>
      <c r="O123" s="11">
        <v>31.98</v>
      </c>
      <c r="P123" s="11">
        <v>32.58</v>
      </c>
      <c r="Q123" s="11">
        <v>33.619999999999997</v>
      </c>
      <c r="R123" s="11">
        <v>33.770000000000003</v>
      </c>
      <c r="S123" s="11">
        <v>33.39</v>
      </c>
      <c r="T123" s="11">
        <v>34.64</v>
      </c>
      <c r="U123" s="11">
        <v>30.56</v>
      </c>
      <c r="V123" s="11">
        <v>29.45</v>
      </c>
      <c r="W123" s="11">
        <v>36.450000000000003</v>
      </c>
      <c r="X123" s="11">
        <v>35.26</v>
      </c>
      <c r="Y123" s="11">
        <v>34.56</v>
      </c>
      <c r="Z123" s="7">
        <v>22888</v>
      </c>
      <c r="AA123" s="6">
        <v>36.876712328767127</v>
      </c>
      <c r="AB123" s="10">
        <v>36206</v>
      </c>
      <c r="AC123" s="39" t="s">
        <v>222</v>
      </c>
      <c r="AD123" s="2">
        <v>1</v>
      </c>
      <c r="AE123" s="2" t="s">
        <v>25</v>
      </c>
      <c r="AF123" s="2">
        <v>2</v>
      </c>
      <c r="AG123" s="2">
        <v>22</v>
      </c>
      <c r="AH123" s="2">
        <v>24</v>
      </c>
      <c r="AI123" s="2">
        <v>0</v>
      </c>
      <c r="AJ123" s="2" t="s">
        <v>31</v>
      </c>
      <c r="AK123" s="2">
        <v>0</v>
      </c>
      <c r="AM123" s="2">
        <v>1</v>
      </c>
      <c r="AN123" s="41">
        <v>60</v>
      </c>
      <c r="AO123" s="2">
        <v>1</v>
      </c>
      <c r="AP123" s="41">
        <v>50</v>
      </c>
      <c r="AQ123" s="2">
        <v>3</v>
      </c>
      <c r="AR123" s="12">
        <v>0.3</v>
      </c>
      <c r="AS123" s="8">
        <f t="shared" si="1"/>
        <v>30</v>
      </c>
      <c r="AT123" s="12" t="s">
        <v>34</v>
      </c>
      <c r="AU123" s="8">
        <v>3</v>
      </c>
      <c r="AV123" s="8" t="s">
        <v>34</v>
      </c>
      <c r="AW123" s="29" t="s">
        <v>28</v>
      </c>
      <c r="AX123" s="9">
        <v>0</v>
      </c>
      <c r="AY123" s="11">
        <v>-0.83095438181989767</v>
      </c>
      <c r="AZ123" s="2" t="s">
        <v>29</v>
      </c>
      <c r="BA123" s="2">
        <v>2</v>
      </c>
    </row>
    <row r="124" spans="1:53" s="2" customFormat="1">
      <c r="A124" s="1">
        <v>124</v>
      </c>
      <c r="B124" s="2" t="s">
        <v>23</v>
      </c>
      <c r="C124" s="1" t="s">
        <v>156</v>
      </c>
      <c r="D124" s="1">
        <v>25.2</v>
      </c>
      <c r="E124" s="1">
        <v>27.6</v>
      </c>
      <c r="F124" s="1">
        <v>33.33</v>
      </c>
      <c r="G124" s="1">
        <v>45</v>
      </c>
      <c r="H124" s="11">
        <v>33.29</v>
      </c>
      <c r="I124" s="11">
        <v>27.56</v>
      </c>
      <c r="J124" s="11">
        <v>33.93</v>
      </c>
      <c r="K124" s="11">
        <v>45</v>
      </c>
      <c r="L124" s="11">
        <v>33.43</v>
      </c>
      <c r="M124" s="11">
        <v>29.4</v>
      </c>
      <c r="N124" s="11">
        <v>38.61</v>
      </c>
      <c r="O124" s="11">
        <v>32.43</v>
      </c>
      <c r="P124" s="11">
        <v>32.35</v>
      </c>
      <c r="Q124" s="11">
        <v>35.4</v>
      </c>
      <c r="R124" s="11">
        <v>33.56</v>
      </c>
      <c r="S124" s="11">
        <v>35.71</v>
      </c>
      <c r="T124" s="11">
        <v>35.36</v>
      </c>
      <c r="U124" s="11">
        <v>29.07</v>
      </c>
      <c r="V124" s="11">
        <v>29.68</v>
      </c>
      <c r="W124" s="11">
        <v>36.44</v>
      </c>
      <c r="X124" s="11">
        <v>35.159999999999997</v>
      </c>
      <c r="Y124" s="11">
        <v>34.659999999999997</v>
      </c>
      <c r="Z124" s="7">
        <v>19001</v>
      </c>
      <c r="AA124" s="6">
        <v>47.336986301369862</v>
      </c>
      <c r="AB124" s="10">
        <v>36242</v>
      </c>
      <c r="AC124" s="39" t="s">
        <v>224</v>
      </c>
      <c r="AD124" s="2">
        <v>2</v>
      </c>
      <c r="AE124" s="2" t="s">
        <v>25</v>
      </c>
      <c r="AF124" s="2">
        <v>2</v>
      </c>
      <c r="AG124" s="2">
        <v>32</v>
      </c>
      <c r="AH124" s="2">
        <v>9</v>
      </c>
      <c r="AI124" s="2">
        <v>0</v>
      </c>
      <c r="AJ124" s="2" t="s">
        <v>31</v>
      </c>
      <c r="AK124" s="2">
        <v>0</v>
      </c>
      <c r="AM124" s="2">
        <v>1</v>
      </c>
      <c r="AN124" s="41">
        <v>30</v>
      </c>
      <c r="AO124" s="2">
        <v>1</v>
      </c>
      <c r="AP124" s="41">
        <v>60</v>
      </c>
      <c r="AQ124" s="2">
        <v>2</v>
      </c>
      <c r="AR124" s="12">
        <v>0</v>
      </c>
      <c r="AS124" s="8">
        <f t="shared" si="1"/>
        <v>0</v>
      </c>
      <c r="AT124" s="12" t="s">
        <v>27</v>
      </c>
      <c r="AU124" s="8">
        <v>1</v>
      </c>
      <c r="AV124" s="12" t="s">
        <v>27</v>
      </c>
      <c r="AW124" s="29" t="s">
        <v>28</v>
      </c>
      <c r="AX124" s="9">
        <v>0</v>
      </c>
      <c r="AY124" s="11">
        <v>0.47251015125655149</v>
      </c>
      <c r="AZ124" s="2" t="s">
        <v>38</v>
      </c>
      <c r="BA124" s="2">
        <v>3</v>
      </c>
    </row>
    <row r="125" spans="1:53" s="2" customFormat="1">
      <c r="A125" s="1">
        <v>125</v>
      </c>
      <c r="B125" s="2" t="s">
        <v>23</v>
      </c>
      <c r="C125" s="1" t="s">
        <v>157</v>
      </c>
      <c r="D125" s="1">
        <v>23.09</v>
      </c>
      <c r="E125" s="1">
        <v>25.99</v>
      </c>
      <c r="F125" s="1">
        <v>32.08</v>
      </c>
      <c r="G125" s="1">
        <v>45</v>
      </c>
      <c r="H125" s="11">
        <v>31.31</v>
      </c>
      <c r="I125" s="11">
        <v>26.1</v>
      </c>
      <c r="J125" s="11">
        <v>31.38</v>
      </c>
      <c r="K125" s="11">
        <v>34.5</v>
      </c>
      <c r="L125" s="11">
        <v>31.18</v>
      </c>
      <c r="M125" s="11">
        <v>30.53</v>
      </c>
      <c r="N125" s="11">
        <v>35.090000000000003</v>
      </c>
      <c r="O125" s="11">
        <v>31.65</v>
      </c>
      <c r="P125" s="11">
        <v>31.97</v>
      </c>
      <c r="Q125" s="11">
        <v>30.73</v>
      </c>
      <c r="R125" s="11">
        <v>31.86</v>
      </c>
      <c r="S125" s="11">
        <v>32.89</v>
      </c>
      <c r="T125" s="11">
        <v>33.270000000000003</v>
      </c>
      <c r="U125" s="11">
        <v>27.93</v>
      </c>
      <c r="V125" s="11">
        <v>28.81</v>
      </c>
      <c r="W125" s="11">
        <v>36.57</v>
      </c>
      <c r="X125" s="11">
        <v>32.19</v>
      </c>
      <c r="Y125" s="11">
        <v>30.7</v>
      </c>
      <c r="Z125" s="7">
        <v>13177</v>
      </c>
      <c r="AA125" s="6">
        <v>62.789041095890411</v>
      </c>
      <c r="AB125" s="10">
        <v>36074</v>
      </c>
      <c r="AC125" s="39" t="s">
        <v>224</v>
      </c>
      <c r="AD125" s="2">
        <v>2</v>
      </c>
      <c r="AE125" s="2" t="s">
        <v>25</v>
      </c>
      <c r="AF125" s="2">
        <v>2</v>
      </c>
      <c r="AG125" s="2">
        <v>40</v>
      </c>
      <c r="AH125" s="2">
        <v>29</v>
      </c>
      <c r="AI125" s="2">
        <v>27</v>
      </c>
      <c r="AJ125" s="2" t="s">
        <v>61</v>
      </c>
      <c r="AK125" s="2">
        <v>3</v>
      </c>
      <c r="AM125" s="2">
        <v>1</v>
      </c>
      <c r="AN125" s="41">
        <v>90</v>
      </c>
      <c r="AO125" s="2">
        <v>1</v>
      </c>
      <c r="AP125" s="41">
        <v>50</v>
      </c>
      <c r="AQ125" s="2" t="s">
        <v>28</v>
      </c>
      <c r="AR125" s="12">
        <v>0.3</v>
      </c>
      <c r="AS125" s="8">
        <f t="shared" si="1"/>
        <v>30</v>
      </c>
      <c r="AT125" s="12" t="s">
        <v>34</v>
      </c>
      <c r="AU125" s="8">
        <v>3</v>
      </c>
      <c r="AV125" s="8" t="s">
        <v>34</v>
      </c>
      <c r="AW125" s="29" t="s">
        <v>28</v>
      </c>
      <c r="AX125" s="9">
        <v>0</v>
      </c>
      <c r="AY125" s="11">
        <v>-1.2835215544639271</v>
      </c>
      <c r="AZ125" s="2" t="s">
        <v>35</v>
      </c>
      <c r="BA125" s="2">
        <v>1</v>
      </c>
    </row>
    <row r="126" spans="1:53" s="2" customFormat="1">
      <c r="A126" s="1">
        <v>126</v>
      </c>
      <c r="B126" s="2" t="s">
        <v>23</v>
      </c>
      <c r="C126" s="1" t="s">
        <v>158</v>
      </c>
      <c r="D126" s="1">
        <v>23.74</v>
      </c>
      <c r="E126" s="1">
        <v>25.68</v>
      </c>
      <c r="F126" s="1">
        <v>30.44</v>
      </c>
      <c r="G126" s="1">
        <v>45</v>
      </c>
      <c r="H126" s="11">
        <v>30.99</v>
      </c>
      <c r="I126" s="11">
        <v>25.25</v>
      </c>
      <c r="J126" s="11">
        <v>32.33</v>
      </c>
      <c r="K126" s="11">
        <v>33.799999999999997</v>
      </c>
      <c r="L126" s="11">
        <v>34.340000000000003</v>
      </c>
      <c r="M126" s="11">
        <v>30.33</v>
      </c>
      <c r="N126" s="11">
        <v>35.630000000000003</v>
      </c>
      <c r="O126" s="11">
        <v>30.85</v>
      </c>
      <c r="P126" s="11">
        <v>29.21</v>
      </c>
      <c r="Q126" s="11">
        <v>34.409999999999997</v>
      </c>
      <c r="R126" s="11">
        <v>32.31</v>
      </c>
      <c r="S126" s="11">
        <v>32.58</v>
      </c>
      <c r="T126" s="11">
        <v>32.36</v>
      </c>
      <c r="U126" s="11">
        <v>28.4</v>
      </c>
      <c r="V126" s="11">
        <v>28.91</v>
      </c>
      <c r="W126" s="11">
        <v>36.409999999999997</v>
      </c>
      <c r="X126" s="11">
        <v>32.42</v>
      </c>
      <c r="Y126" s="11">
        <v>31.62</v>
      </c>
      <c r="Z126" s="7">
        <v>13480</v>
      </c>
      <c r="AA126" s="6">
        <v>62.323287671232876</v>
      </c>
      <c r="AB126" s="10">
        <v>36194</v>
      </c>
      <c r="AC126" s="39" t="s">
        <v>225</v>
      </c>
      <c r="AE126" s="2" t="s">
        <v>37</v>
      </c>
      <c r="AF126" s="2">
        <v>1</v>
      </c>
      <c r="AG126" s="2">
        <v>12</v>
      </c>
      <c r="AH126" s="2">
        <v>16</v>
      </c>
      <c r="AI126" s="2">
        <v>0</v>
      </c>
      <c r="AJ126" s="2" t="s">
        <v>31</v>
      </c>
      <c r="AK126" s="2">
        <v>0</v>
      </c>
      <c r="AM126" s="2">
        <v>1</v>
      </c>
      <c r="AN126" s="41">
        <v>90</v>
      </c>
      <c r="AO126" s="2">
        <v>1</v>
      </c>
      <c r="AP126" s="41">
        <v>40</v>
      </c>
      <c r="AQ126" s="2">
        <v>1</v>
      </c>
      <c r="AR126" s="12">
        <v>0.1</v>
      </c>
      <c r="AS126" s="8">
        <f t="shared" si="1"/>
        <v>10</v>
      </c>
      <c r="AT126" s="12" t="s">
        <v>27</v>
      </c>
      <c r="AU126" s="8">
        <v>1</v>
      </c>
      <c r="AV126" s="12" t="s">
        <v>27</v>
      </c>
      <c r="AW126" s="29" t="s">
        <v>28</v>
      </c>
      <c r="AX126" s="9">
        <v>0</v>
      </c>
      <c r="AY126" s="11">
        <v>-0.61677126950261063</v>
      </c>
      <c r="AZ126" s="2" t="s">
        <v>29</v>
      </c>
      <c r="BA126" s="2">
        <v>2</v>
      </c>
    </row>
    <row r="127" spans="1:53" s="2" customFormat="1">
      <c r="A127" s="1">
        <v>127</v>
      </c>
      <c r="B127" s="2" t="s">
        <v>23</v>
      </c>
      <c r="C127" s="1" t="s">
        <v>159</v>
      </c>
      <c r="D127" s="1">
        <v>22.96</v>
      </c>
      <c r="E127" s="1">
        <v>23.29</v>
      </c>
      <c r="F127" s="1">
        <v>29.83</v>
      </c>
      <c r="G127" s="1">
        <v>36.53</v>
      </c>
      <c r="H127" s="11">
        <v>33.9</v>
      </c>
      <c r="I127" s="11">
        <v>25.11</v>
      </c>
      <c r="J127" s="11">
        <v>30.1</v>
      </c>
      <c r="K127" s="11">
        <v>30.95</v>
      </c>
      <c r="L127" s="11">
        <v>29.84</v>
      </c>
      <c r="M127" s="11">
        <v>29.08</v>
      </c>
      <c r="N127" s="11">
        <v>33</v>
      </c>
      <c r="O127" s="11">
        <v>28.66</v>
      </c>
      <c r="P127" s="11">
        <v>30.05</v>
      </c>
      <c r="Q127" s="11">
        <v>30.64</v>
      </c>
      <c r="R127" s="11">
        <v>31.82</v>
      </c>
      <c r="S127" s="11">
        <v>30.59</v>
      </c>
      <c r="T127" s="11">
        <v>32.26</v>
      </c>
      <c r="U127" s="11">
        <v>27.02</v>
      </c>
      <c r="V127" s="11">
        <v>27.91</v>
      </c>
      <c r="W127" s="11">
        <v>34.74</v>
      </c>
      <c r="X127" s="11">
        <v>30.89</v>
      </c>
      <c r="Y127" s="11">
        <v>31.05</v>
      </c>
      <c r="Z127" s="4">
        <v>17368</v>
      </c>
      <c r="AA127" s="6">
        <v>51.304109589041097</v>
      </c>
      <c r="AB127" s="10">
        <v>36094</v>
      </c>
      <c r="AC127" s="39" t="s">
        <v>222</v>
      </c>
      <c r="AD127" s="2">
        <v>1</v>
      </c>
      <c r="AE127" s="2" t="s">
        <v>37</v>
      </c>
      <c r="AF127" s="2">
        <v>1</v>
      </c>
      <c r="AG127" s="2">
        <v>15</v>
      </c>
      <c r="AH127" s="2">
        <v>21</v>
      </c>
      <c r="AI127" s="2">
        <v>1</v>
      </c>
      <c r="AJ127" s="2" t="s">
        <v>26</v>
      </c>
      <c r="AK127" s="2">
        <v>1</v>
      </c>
      <c r="AM127" s="2">
        <v>1</v>
      </c>
      <c r="AN127" s="41">
        <v>90</v>
      </c>
      <c r="AO127" s="2">
        <v>2</v>
      </c>
      <c r="AP127" s="41" t="s">
        <v>33</v>
      </c>
      <c r="AQ127" s="2">
        <v>2</v>
      </c>
      <c r="AR127" s="12">
        <v>0.05</v>
      </c>
      <c r="AS127" s="8">
        <f t="shared" si="1"/>
        <v>5</v>
      </c>
      <c r="AT127" s="12" t="s">
        <v>27</v>
      </c>
      <c r="AU127" s="8">
        <v>1</v>
      </c>
      <c r="AV127" s="12" t="s">
        <v>27</v>
      </c>
      <c r="AW127" s="29" t="s">
        <v>28</v>
      </c>
      <c r="AX127" s="2">
        <v>0</v>
      </c>
      <c r="AY127" s="11">
        <v>-2.1462340654764973</v>
      </c>
      <c r="AZ127" s="2" t="s">
        <v>35</v>
      </c>
      <c r="BA127" s="2">
        <v>1</v>
      </c>
    </row>
    <row r="128" spans="1:53" s="2" customFormat="1">
      <c r="A128" s="1">
        <v>128</v>
      </c>
      <c r="B128" s="2" t="s">
        <v>23</v>
      </c>
      <c r="C128" s="1" t="s">
        <v>126</v>
      </c>
      <c r="D128" s="1">
        <v>22.76</v>
      </c>
      <c r="E128" s="1">
        <v>25.17</v>
      </c>
      <c r="F128" s="1">
        <v>29.99</v>
      </c>
      <c r="G128" s="1">
        <v>37.04</v>
      </c>
      <c r="H128" s="11">
        <v>31.23</v>
      </c>
      <c r="I128" s="11">
        <v>26.33</v>
      </c>
      <c r="J128" s="11">
        <v>31.42</v>
      </c>
      <c r="K128" s="11">
        <v>31.09</v>
      </c>
      <c r="L128" s="11">
        <v>30.28</v>
      </c>
      <c r="M128" s="11">
        <v>31.13</v>
      </c>
      <c r="N128" s="11">
        <v>34.83</v>
      </c>
      <c r="O128" s="11">
        <v>30</v>
      </c>
      <c r="P128" s="11">
        <v>29.31</v>
      </c>
      <c r="Q128" s="11">
        <v>30.97</v>
      </c>
      <c r="R128" s="11">
        <v>30.29</v>
      </c>
      <c r="S128" s="11">
        <v>32.950000000000003</v>
      </c>
      <c r="T128" s="11">
        <v>32.36</v>
      </c>
      <c r="U128" s="11">
        <v>28.5</v>
      </c>
      <c r="V128" s="11">
        <v>28.42</v>
      </c>
      <c r="W128" s="11">
        <v>36.020000000000003</v>
      </c>
      <c r="X128" s="11">
        <v>31.31</v>
      </c>
      <c r="Y128" s="11">
        <v>31.07</v>
      </c>
      <c r="Z128" s="7">
        <v>23500</v>
      </c>
      <c r="AA128" s="6">
        <v>34.898630136986299</v>
      </c>
      <c r="AB128" s="10">
        <v>36215</v>
      </c>
      <c r="AC128" s="39" t="s">
        <v>222</v>
      </c>
      <c r="AD128" s="2">
        <v>1</v>
      </c>
      <c r="AE128" s="2" t="s">
        <v>28</v>
      </c>
      <c r="AF128" s="2">
        <v>4</v>
      </c>
      <c r="AG128" s="2" t="s">
        <v>28</v>
      </c>
      <c r="AH128" s="2">
        <v>18</v>
      </c>
      <c r="AI128" s="2">
        <v>1</v>
      </c>
      <c r="AJ128" s="2" t="s">
        <v>26</v>
      </c>
      <c r="AK128" s="2">
        <v>1</v>
      </c>
      <c r="AM128" s="2">
        <v>1</v>
      </c>
      <c r="AN128" s="41">
        <v>40</v>
      </c>
      <c r="AO128" s="2">
        <v>2</v>
      </c>
      <c r="AP128" s="41">
        <v>10</v>
      </c>
      <c r="AQ128" s="2">
        <v>3</v>
      </c>
      <c r="AR128" s="12">
        <v>0.05</v>
      </c>
      <c r="AS128" s="8">
        <f t="shared" si="1"/>
        <v>5</v>
      </c>
      <c r="AT128" s="12" t="s">
        <v>27</v>
      </c>
      <c r="AU128" s="8">
        <v>1</v>
      </c>
      <c r="AV128" s="12" t="s">
        <v>27</v>
      </c>
      <c r="AW128" s="29" t="s">
        <v>28</v>
      </c>
      <c r="AX128" s="9">
        <v>0</v>
      </c>
      <c r="AY128" s="11">
        <v>1.5615017904411785</v>
      </c>
      <c r="AZ128" s="2" t="s">
        <v>38</v>
      </c>
      <c r="BA128" s="2">
        <v>3</v>
      </c>
    </row>
    <row r="129" spans="1:53" s="2" customFormat="1">
      <c r="A129" s="1">
        <v>129</v>
      </c>
      <c r="B129" s="2" t="s">
        <v>23</v>
      </c>
      <c r="C129" s="1" t="s">
        <v>116</v>
      </c>
      <c r="D129" s="1">
        <v>25.36</v>
      </c>
      <c r="E129" s="1">
        <v>27.75</v>
      </c>
      <c r="F129" s="1">
        <v>32.5</v>
      </c>
      <c r="G129" s="1">
        <v>45</v>
      </c>
      <c r="H129" s="11">
        <v>32.909999999999997</v>
      </c>
      <c r="I129" s="11">
        <v>27.53</v>
      </c>
      <c r="J129" s="11">
        <v>33.340000000000003</v>
      </c>
      <c r="K129" s="11">
        <v>35.950000000000003</v>
      </c>
      <c r="L129" s="11">
        <v>31.47</v>
      </c>
      <c r="M129" s="11">
        <v>29.29</v>
      </c>
      <c r="N129" s="11">
        <v>45</v>
      </c>
      <c r="O129" s="11">
        <v>32.1</v>
      </c>
      <c r="P129" s="11">
        <v>32.119999999999997</v>
      </c>
      <c r="Q129" s="11">
        <v>35</v>
      </c>
      <c r="R129" s="11">
        <v>33.159999999999997</v>
      </c>
      <c r="S129" s="11">
        <v>32.5</v>
      </c>
      <c r="T129" s="11">
        <v>34.340000000000003</v>
      </c>
      <c r="U129" s="11">
        <v>30.15</v>
      </c>
      <c r="V129" s="11">
        <v>30.24</v>
      </c>
      <c r="W129" s="11">
        <v>36.130000000000003</v>
      </c>
      <c r="X129" s="11">
        <v>36.75</v>
      </c>
      <c r="Y129" s="11">
        <v>34.229999999999997</v>
      </c>
      <c r="Z129" s="7">
        <v>15952</v>
      </c>
      <c r="AA129" s="6">
        <v>55.172602739726024</v>
      </c>
      <c r="AB129" s="10">
        <v>36052</v>
      </c>
      <c r="AC129" s="39" t="s">
        <v>222</v>
      </c>
      <c r="AD129" s="2">
        <v>1</v>
      </c>
      <c r="AE129" s="2" t="s">
        <v>37</v>
      </c>
      <c r="AF129" s="2">
        <v>1</v>
      </c>
      <c r="AG129" s="2">
        <v>20</v>
      </c>
      <c r="AH129" s="2">
        <v>34</v>
      </c>
      <c r="AI129" s="2">
        <v>0</v>
      </c>
      <c r="AJ129" s="2" t="s">
        <v>31</v>
      </c>
      <c r="AK129" s="2">
        <v>0</v>
      </c>
      <c r="AM129" s="2">
        <v>1</v>
      </c>
      <c r="AN129" s="41">
        <v>70</v>
      </c>
      <c r="AO129" s="2">
        <v>2</v>
      </c>
      <c r="AP129" s="41">
        <v>20</v>
      </c>
      <c r="AQ129" s="2">
        <v>3</v>
      </c>
      <c r="AR129" s="12">
        <v>0.1</v>
      </c>
      <c r="AS129" s="8">
        <f t="shared" si="1"/>
        <v>10</v>
      </c>
      <c r="AT129" s="12" t="s">
        <v>27</v>
      </c>
      <c r="AU129" s="8">
        <v>1</v>
      </c>
      <c r="AV129" s="12" t="s">
        <v>27</v>
      </c>
      <c r="AW129" s="29" t="s">
        <v>28</v>
      </c>
      <c r="AX129" s="9">
        <v>0</v>
      </c>
      <c r="AY129" s="11">
        <v>-0.32098839290807279</v>
      </c>
      <c r="AZ129" s="2" t="s">
        <v>29</v>
      </c>
      <c r="BA129" s="2">
        <v>2</v>
      </c>
    </row>
    <row r="130" spans="1:53" s="2" customFormat="1">
      <c r="A130" s="1">
        <v>130</v>
      </c>
      <c r="B130" s="2" t="s">
        <v>23</v>
      </c>
      <c r="C130" s="1" t="s">
        <v>160</v>
      </c>
      <c r="D130" s="1">
        <v>25.28</v>
      </c>
      <c r="E130" s="1">
        <v>28.29</v>
      </c>
      <c r="F130" s="1">
        <v>32.21</v>
      </c>
      <c r="G130" s="1">
        <v>45</v>
      </c>
      <c r="H130" s="11">
        <v>32.82</v>
      </c>
      <c r="I130" s="11">
        <v>27.07</v>
      </c>
      <c r="J130" s="11">
        <v>34.24</v>
      </c>
      <c r="K130" s="11">
        <v>45</v>
      </c>
      <c r="L130" s="11">
        <v>31.65</v>
      </c>
      <c r="M130" s="11">
        <v>31.86</v>
      </c>
      <c r="N130" s="11">
        <v>36.44</v>
      </c>
      <c r="O130" s="11">
        <v>34.04</v>
      </c>
      <c r="P130" s="11">
        <v>32.159999999999997</v>
      </c>
      <c r="Q130" s="11">
        <v>35.700000000000003</v>
      </c>
      <c r="R130" s="11">
        <v>34.42</v>
      </c>
      <c r="S130" s="11">
        <v>35.14</v>
      </c>
      <c r="T130" s="11">
        <v>34.369999999999997</v>
      </c>
      <c r="U130" s="11">
        <v>30.09</v>
      </c>
      <c r="V130" s="11">
        <v>39.43</v>
      </c>
      <c r="W130" s="11">
        <v>45</v>
      </c>
      <c r="X130" s="11">
        <v>33.909999999999997</v>
      </c>
      <c r="Y130" s="11">
        <v>34.200000000000003</v>
      </c>
      <c r="Z130" s="4">
        <v>8105</v>
      </c>
      <c r="AA130" s="6">
        <v>76.884931506849313</v>
      </c>
      <c r="AB130" s="10">
        <v>36168</v>
      </c>
      <c r="AC130" s="39" t="s">
        <v>222</v>
      </c>
      <c r="AD130" s="2">
        <v>1</v>
      </c>
      <c r="AE130" s="2" t="s">
        <v>37</v>
      </c>
      <c r="AF130" s="2">
        <v>1</v>
      </c>
      <c r="AG130" s="2">
        <v>15</v>
      </c>
      <c r="AH130" s="2">
        <v>7</v>
      </c>
      <c r="AI130" s="2">
        <v>0</v>
      </c>
      <c r="AJ130" s="2" t="s">
        <v>31</v>
      </c>
      <c r="AK130" s="2">
        <v>0</v>
      </c>
      <c r="AM130" s="2">
        <v>1</v>
      </c>
      <c r="AN130" s="41">
        <v>80</v>
      </c>
      <c r="AO130" s="2">
        <v>1</v>
      </c>
      <c r="AP130" s="41">
        <v>80</v>
      </c>
      <c r="AQ130" s="2">
        <v>2</v>
      </c>
      <c r="AR130" s="12">
        <v>0.2</v>
      </c>
      <c r="AS130" s="8">
        <f t="shared" si="1"/>
        <v>20</v>
      </c>
      <c r="AT130" s="12" t="s">
        <v>34</v>
      </c>
      <c r="AU130" s="8">
        <v>3</v>
      </c>
      <c r="AV130" s="8" t="s">
        <v>44</v>
      </c>
      <c r="AW130" s="29" t="s">
        <v>28</v>
      </c>
      <c r="AX130" s="2">
        <v>0</v>
      </c>
      <c r="AY130" s="11">
        <v>-0.88005463185911736</v>
      </c>
      <c r="AZ130" s="2" t="s">
        <v>35</v>
      </c>
      <c r="BA130" s="2">
        <v>1</v>
      </c>
    </row>
    <row r="131" spans="1:53" s="2" customFormat="1">
      <c r="A131" s="1">
        <v>131</v>
      </c>
      <c r="B131" s="2" t="s">
        <v>23</v>
      </c>
      <c r="C131" s="1" t="s">
        <v>161</v>
      </c>
      <c r="D131" s="1">
        <v>22.95</v>
      </c>
      <c r="E131" s="1">
        <v>25.43</v>
      </c>
      <c r="F131" s="1">
        <v>29.5</v>
      </c>
      <c r="G131" s="1">
        <v>35.54</v>
      </c>
      <c r="H131" s="11">
        <v>31.67</v>
      </c>
      <c r="I131" s="11">
        <v>24.96</v>
      </c>
      <c r="J131" s="11">
        <v>31.92</v>
      </c>
      <c r="K131" s="11">
        <v>32.33</v>
      </c>
      <c r="L131" s="11">
        <v>30.96</v>
      </c>
      <c r="M131" s="11">
        <v>31.89</v>
      </c>
      <c r="N131" s="11">
        <v>33.869999999999997</v>
      </c>
      <c r="O131" s="11">
        <v>30.57</v>
      </c>
      <c r="P131" s="11">
        <v>29.26</v>
      </c>
      <c r="Q131" s="11">
        <v>34.270000000000003</v>
      </c>
      <c r="R131" s="11">
        <v>31.24</v>
      </c>
      <c r="S131" s="11">
        <v>31.05</v>
      </c>
      <c r="T131" s="11">
        <v>32.200000000000003</v>
      </c>
      <c r="U131" s="11">
        <v>29.49</v>
      </c>
      <c r="V131" s="11">
        <v>34</v>
      </c>
      <c r="W131" s="11">
        <v>34.479999999999997</v>
      </c>
      <c r="X131" s="11">
        <v>31.39</v>
      </c>
      <c r="Y131" s="11">
        <v>32.14</v>
      </c>
      <c r="Z131" s="7">
        <v>14838</v>
      </c>
      <c r="AA131" s="6">
        <v>58.07123287671233</v>
      </c>
      <c r="AB131" s="10">
        <v>36011</v>
      </c>
      <c r="AC131" s="39" t="s">
        <v>224</v>
      </c>
      <c r="AD131" s="2">
        <v>2</v>
      </c>
      <c r="AE131" s="2" t="s">
        <v>37</v>
      </c>
      <c r="AF131" s="2">
        <v>1</v>
      </c>
      <c r="AG131" s="2">
        <v>18</v>
      </c>
      <c r="AH131" s="2">
        <v>25</v>
      </c>
      <c r="AI131" s="2">
        <v>1</v>
      </c>
      <c r="AJ131" s="2" t="s">
        <v>26</v>
      </c>
      <c r="AK131" s="2">
        <v>1</v>
      </c>
      <c r="AM131" s="2">
        <v>1</v>
      </c>
      <c r="AN131" s="41">
        <v>50</v>
      </c>
      <c r="AO131" s="2">
        <v>2</v>
      </c>
      <c r="AP131" s="41" t="s">
        <v>33</v>
      </c>
      <c r="AQ131" s="2" t="s">
        <v>28</v>
      </c>
      <c r="AR131" s="12">
        <v>0.1</v>
      </c>
      <c r="AS131" s="8">
        <f t="shared" ref="AS131:AS194" si="2">AR131*100</f>
        <v>10</v>
      </c>
      <c r="AT131" s="12" t="s">
        <v>27</v>
      </c>
      <c r="AU131" s="8">
        <v>1</v>
      </c>
      <c r="AV131" s="12" t="s">
        <v>27</v>
      </c>
      <c r="AW131" s="29" t="s">
        <v>28</v>
      </c>
      <c r="AX131" s="9">
        <v>0</v>
      </c>
      <c r="AY131" s="11">
        <v>-1.6532934373531427</v>
      </c>
      <c r="AZ131" s="2" t="s">
        <v>35</v>
      </c>
      <c r="BA131" s="2">
        <v>1</v>
      </c>
    </row>
    <row r="132" spans="1:53" s="2" customFormat="1">
      <c r="A132" s="1">
        <v>132</v>
      </c>
      <c r="B132" s="2" t="s">
        <v>23</v>
      </c>
      <c r="C132" s="1" t="s">
        <v>63</v>
      </c>
      <c r="D132" s="1">
        <v>24.4</v>
      </c>
      <c r="E132" s="1">
        <v>25.68</v>
      </c>
      <c r="F132" s="1">
        <v>30.78</v>
      </c>
      <c r="G132" s="1">
        <v>38.409999999999997</v>
      </c>
      <c r="H132" s="11">
        <v>32.17</v>
      </c>
      <c r="I132" s="11">
        <v>25.27</v>
      </c>
      <c r="J132" s="11">
        <v>31.69</v>
      </c>
      <c r="K132" s="11">
        <v>33.6</v>
      </c>
      <c r="L132" s="11">
        <v>33.340000000000003</v>
      </c>
      <c r="M132" s="11">
        <v>28.27</v>
      </c>
      <c r="N132" s="11">
        <v>34.81</v>
      </c>
      <c r="O132" s="11">
        <v>30.18</v>
      </c>
      <c r="P132" s="11">
        <v>29.66</v>
      </c>
      <c r="Q132" s="11">
        <v>35.31</v>
      </c>
      <c r="R132" s="11">
        <v>31.15</v>
      </c>
      <c r="S132" s="11">
        <v>35.299999999999997</v>
      </c>
      <c r="T132" s="11">
        <v>31.64</v>
      </c>
      <c r="U132" s="11">
        <v>28.65</v>
      </c>
      <c r="V132" s="11">
        <v>28.19</v>
      </c>
      <c r="W132" s="11">
        <v>33.909999999999997</v>
      </c>
      <c r="X132" s="11">
        <v>31.79</v>
      </c>
      <c r="Y132" s="11">
        <v>33.06</v>
      </c>
      <c r="Z132" s="7">
        <v>19696</v>
      </c>
      <c r="AA132" s="6">
        <v>45.276712328767125</v>
      </c>
      <c r="AB132" s="10">
        <v>36192</v>
      </c>
      <c r="AC132" s="39" t="s">
        <v>222</v>
      </c>
      <c r="AD132" s="2">
        <v>1</v>
      </c>
      <c r="AE132" s="2" t="s">
        <v>37</v>
      </c>
      <c r="AF132" s="2">
        <v>1</v>
      </c>
      <c r="AG132" s="2">
        <v>18</v>
      </c>
      <c r="AH132" s="2">
        <v>22</v>
      </c>
      <c r="AI132" s="2">
        <v>0</v>
      </c>
      <c r="AJ132" s="2" t="s">
        <v>31</v>
      </c>
      <c r="AK132" s="2">
        <v>0</v>
      </c>
      <c r="AM132" s="2">
        <v>1</v>
      </c>
      <c r="AN132" s="41">
        <v>90</v>
      </c>
      <c r="AO132" s="2">
        <v>1</v>
      </c>
      <c r="AP132" s="41">
        <v>80</v>
      </c>
      <c r="AQ132" s="2">
        <v>1</v>
      </c>
      <c r="AR132" s="12">
        <v>0.1</v>
      </c>
      <c r="AS132" s="8">
        <f t="shared" si="2"/>
        <v>10</v>
      </c>
      <c r="AT132" s="12" t="s">
        <v>27</v>
      </c>
      <c r="AU132" s="8">
        <v>1</v>
      </c>
      <c r="AV132" s="12" t="s">
        <v>27</v>
      </c>
      <c r="AW132" s="29" t="s">
        <v>28</v>
      </c>
      <c r="AX132" s="9">
        <v>0</v>
      </c>
      <c r="AY132" s="11">
        <v>-0.83445963343528851</v>
      </c>
      <c r="AZ132" s="2" t="s">
        <v>29</v>
      </c>
      <c r="BA132" s="2">
        <v>2</v>
      </c>
    </row>
    <row r="133" spans="1:53" s="2" customFormat="1">
      <c r="A133" s="1">
        <v>133</v>
      </c>
      <c r="B133" s="2" t="s">
        <v>23</v>
      </c>
      <c r="C133" s="1" t="s">
        <v>162</v>
      </c>
      <c r="D133" s="1">
        <v>24.36</v>
      </c>
      <c r="E133" s="1">
        <v>26.94</v>
      </c>
      <c r="F133" s="1">
        <v>31</v>
      </c>
      <c r="G133" s="1">
        <v>45</v>
      </c>
      <c r="H133" s="11">
        <v>32.25</v>
      </c>
      <c r="I133" s="11">
        <v>25.31</v>
      </c>
      <c r="J133" s="11">
        <v>30.97</v>
      </c>
      <c r="K133" s="11">
        <v>31.39</v>
      </c>
      <c r="L133" s="11">
        <v>29.37</v>
      </c>
      <c r="M133" s="11">
        <v>31.84</v>
      </c>
      <c r="N133" s="11">
        <v>34.04</v>
      </c>
      <c r="O133" s="11">
        <v>30.02</v>
      </c>
      <c r="P133" s="11">
        <v>30.87</v>
      </c>
      <c r="Q133" s="11">
        <v>31.6</v>
      </c>
      <c r="R133" s="11">
        <v>29.95</v>
      </c>
      <c r="S133" s="11">
        <v>31.67</v>
      </c>
      <c r="T133" s="11">
        <v>32.46</v>
      </c>
      <c r="U133" s="11">
        <v>29.25</v>
      </c>
      <c r="V133" s="11">
        <v>29.3</v>
      </c>
      <c r="W133" s="11">
        <v>35.21</v>
      </c>
      <c r="X133" s="11">
        <v>32.229999999999997</v>
      </c>
      <c r="Y133" s="11">
        <v>31.24</v>
      </c>
      <c r="Z133" s="4">
        <v>11359</v>
      </c>
      <c r="AA133" s="6">
        <v>67.769863013698625</v>
      </c>
      <c r="AB133" s="10">
        <v>36095</v>
      </c>
      <c r="AC133" s="39" t="s">
        <v>222</v>
      </c>
      <c r="AD133" s="2">
        <v>1</v>
      </c>
      <c r="AE133" s="2" t="s">
        <v>25</v>
      </c>
      <c r="AF133" s="2">
        <v>2</v>
      </c>
      <c r="AG133" s="2">
        <v>50</v>
      </c>
      <c r="AH133" s="2" t="s">
        <v>28</v>
      </c>
      <c r="AI133" s="2" t="s">
        <v>64</v>
      </c>
      <c r="AJ133" s="2" t="s">
        <v>47</v>
      </c>
      <c r="AK133" s="2">
        <v>2</v>
      </c>
      <c r="AM133" s="2">
        <v>1</v>
      </c>
      <c r="AN133" s="41">
        <v>40</v>
      </c>
      <c r="AO133" s="2">
        <v>1</v>
      </c>
      <c r="AP133" s="41">
        <v>40</v>
      </c>
      <c r="AQ133" s="2">
        <v>3</v>
      </c>
      <c r="AR133" s="12">
        <v>0</v>
      </c>
      <c r="AS133" s="8">
        <f t="shared" si="2"/>
        <v>0</v>
      </c>
      <c r="AT133" s="12" t="s">
        <v>27</v>
      </c>
      <c r="AU133" s="8">
        <v>1</v>
      </c>
      <c r="AV133" s="12" t="s">
        <v>27</v>
      </c>
      <c r="AW133" s="29" t="s">
        <v>28</v>
      </c>
      <c r="AX133" s="2">
        <v>0</v>
      </c>
      <c r="AY133" s="11">
        <v>-1.881539070902353</v>
      </c>
      <c r="AZ133" s="2" t="s">
        <v>35</v>
      </c>
      <c r="BA133" s="2">
        <v>1</v>
      </c>
    </row>
    <row r="134" spans="1:53" s="2" customFormat="1">
      <c r="A134" s="1">
        <v>134</v>
      </c>
      <c r="B134" s="2" t="s">
        <v>23</v>
      </c>
      <c r="C134" s="1" t="s">
        <v>163</v>
      </c>
      <c r="D134" s="1">
        <v>26.21</v>
      </c>
      <c r="E134" s="1">
        <v>28.74</v>
      </c>
      <c r="F134" s="1">
        <v>33.119999999999997</v>
      </c>
      <c r="G134" s="1">
        <v>45</v>
      </c>
      <c r="H134" s="11">
        <v>33.729999999999997</v>
      </c>
      <c r="I134" s="11">
        <v>27.65</v>
      </c>
      <c r="J134" s="11">
        <v>34.979999999999997</v>
      </c>
      <c r="K134" s="11">
        <v>35.42</v>
      </c>
      <c r="L134" s="11">
        <v>33.729999999999997</v>
      </c>
      <c r="M134" s="11">
        <v>29.92</v>
      </c>
      <c r="N134" s="11">
        <v>45</v>
      </c>
      <c r="O134" s="11">
        <v>34.9</v>
      </c>
      <c r="P134" s="11">
        <v>31.75</v>
      </c>
      <c r="Q134" s="11">
        <v>45</v>
      </c>
      <c r="R134" s="11">
        <v>34.93</v>
      </c>
      <c r="S134" s="11">
        <v>35.21</v>
      </c>
      <c r="T134" s="11">
        <v>33.33</v>
      </c>
      <c r="U134" s="11">
        <v>31.33</v>
      </c>
      <c r="V134" s="11">
        <v>32</v>
      </c>
      <c r="W134" s="11">
        <v>37.340000000000003</v>
      </c>
      <c r="X134" s="11">
        <v>33.82</v>
      </c>
      <c r="Y134" s="11">
        <v>36.51</v>
      </c>
      <c r="Z134" s="7">
        <v>12579</v>
      </c>
      <c r="AA134" s="6">
        <v>63.926027397260277</v>
      </c>
      <c r="AB134" s="10">
        <v>35881</v>
      </c>
      <c r="AC134" s="39" t="s">
        <v>97</v>
      </c>
      <c r="AE134" s="2" t="s">
        <v>25</v>
      </c>
      <c r="AF134" s="2">
        <v>2</v>
      </c>
      <c r="AG134" s="2">
        <v>25</v>
      </c>
      <c r="AH134" s="2">
        <v>16</v>
      </c>
      <c r="AI134" s="2">
        <v>0</v>
      </c>
      <c r="AJ134" s="2" t="s">
        <v>31</v>
      </c>
      <c r="AK134" s="2">
        <v>0</v>
      </c>
      <c r="AM134" s="2">
        <v>1</v>
      </c>
      <c r="AN134" s="41">
        <v>90</v>
      </c>
      <c r="AO134" s="2">
        <v>1</v>
      </c>
      <c r="AP134" s="41">
        <v>90</v>
      </c>
      <c r="AQ134" s="2">
        <v>2</v>
      </c>
      <c r="AR134" s="12">
        <v>0.3</v>
      </c>
      <c r="AS134" s="8">
        <f t="shared" si="2"/>
        <v>30</v>
      </c>
      <c r="AT134" s="12" t="s">
        <v>34</v>
      </c>
      <c r="AU134" s="8">
        <v>3</v>
      </c>
      <c r="AV134" s="8" t="s">
        <v>34</v>
      </c>
      <c r="AW134" s="29" t="s">
        <v>28</v>
      </c>
      <c r="AX134" s="9">
        <v>0</v>
      </c>
      <c r="AY134" s="11">
        <v>-0.22380845206485711</v>
      </c>
      <c r="AZ134" s="2" t="s">
        <v>29</v>
      </c>
      <c r="BA134" s="2">
        <v>2</v>
      </c>
    </row>
    <row r="135" spans="1:53" s="2" customFormat="1">
      <c r="A135" s="1">
        <v>135</v>
      </c>
      <c r="B135" s="2" t="s">
        <v>23</v>
      </c>
      <c r="C135" s="1" t="s">
        <v>164</v>
      </c>
      <c r="D135" s="1">
        <v>24.64</v>
      </c>
      <c r="E135" s="1">
        <v>27.44</v>
      </c>
      <c r="F135" s="1">
        <v>30.66</v>
      </c>
      <c r="G135" s="1">
        <v>35.28</v>
      </c>
      <c r="H135" s="11">
        <v>32.47</v>
      </c>
      <c r="I135" s="11">
        <v>25.78</v>
      </c>
      <c r="J135" s="11">
        <v>32</v>
      </c>
      <c r="K135" s="11">
        <v>31.86</v>
      </c>
      <c r="L135" s="11">
        <v>32.57</v>
      </c>
      <c r="M135" s="11">
        <v>31.72</v>
      </c>
      <c r="N135" s="11">
        <v>35.07</v>
      </c>
      <c r="O135" s="11">
        <v>31.21</v>
      </c>
      <c r="P135" s="11">
        <v>32.18</v>
      </c>
      <c r="Q135" s="11">
        <v>32.130000000000003</v>
      </c>
      <c r="R135" s="11">
        <v>31.64</v>
      </c>
      <c r="S135" s="11">
        <v>32.04</v>
      </c>
      <c r="T135" s="11">
        <v>33.630000000000003</v>
      </c>
      <c r="U135" s="11">
        <v>28.54</v>
      </c>
      <c r="V135" s="11">
        <v>27.95</v>
      </c>
      <c r="W135" s="11">
        <v>37.090000000000003</v>
      </c>
      <c r="X135" s="11">
        <v>34.06</v>
      </c>
      <c r="Y135" s="11">
        <v>32.450000000000003</v>
      </c>
      <c r="Z135" s="7">
        <v>9597</v>
      </c>
      <c r="AA135" s="6">
        <v>72.465753424657535</v>
      </c>
      <c r="AB135" s="10">
        <v>10432</v>
      </c>
      <c r="AC135" s="39" t="s">
        <v>222</v>
      </c>
      <c r="AD135" s="2">
        <v>1</v>
      </c>
      <c r="AE135" s="2" t="s">
        <v>37</v>
      </c>
      <c r="AF135" s="2">
        <v>1</v>
      </c>
      <c r="AG135" s="2">
        <v>19</v>
      </c>
      <c r="AH135" s="2">
        <v>13</v>
      </c>
      <c r="AI135" s="2">
        <v>0</v>
      </c>
      <c r="AJ135" s="2" t="s">
        <v>31</v>
      </c>
      <c r="AK135" s="2">
        <v>0</v>
      </c>
      <c r="AM135" s="2">
        <v>1</v>
      </c>
      <c r="AN135" s="41">
        <v>55</v>
      </c>
      <c r="AO135" s="2">
        <v>2</v>
      </c>
      <c r="AP135" s="41" t="s">
        <v>33</v>
      </c>
      <c r="AQ135" s="2">
        <v>2</v>
      </c>
      <c r="AR135" s="12">
        <v>0.1</v>
      </c>
      <c r="AS135" s="8">
        <f t="shared" si="2"/>
        <v>10</v>
      </c>
      <c r="AT135" s="12" t="s">
        <v>27</v>
      </c>
      <c r="AU135" s="8">
        <v>1</v>
      </c>
      <c r="AV135" s="12" t="s">
        <v>27</v>
      </c>
      <c r="AW135" s="29" t="s">
        <v>28</v>
      </c>
      <c r="AX135" s="9">
        <v>0</v>
      </c>
      <c r="AY135" s="11">
        <v>-1.8580650486861536</v>
      </c>
      <c r="AZ135" s="2" t="s">
        <v>35</v>
      </c>
      <c r="BA135" s="2">
        <v>1</v>
      </c>
    </row>
    <row r="136" spans="1:53" s="2" customFormat="1">
      <c r="A136" s="1">
        <v>136</v>
      </c>
      <c r="B136" s="2" t="s">
        <v>23</v>
      </c>
      <c r="C136" s="1" t="s">
        <v>165</v>
      </c>
      <c r="D136" s="1">
        <v>25.17</v>
      </c>
      <c r="E136" s="1">
        <v>27.09</v>
      </c>
      <c r="F136" s="1">
        <v>30.74</v>
      </c>
      <c r="G136" s="1">
        <v>45</v>
      </c>
      <c r="H136" s="11">
        <v>32.33</v>
      </c>
      <c r="I136" s="11">
        <v>26.92</v>
      </c>
      <c r="J136" s="11">
        <v>32.92</v>
      </c>
      <c r="K136" s="11">
        <v>34.65</v>
      </c>
      <c r="L136" s="11">
        <v>35.72</v>
      </c>
      <c r="M136" s="11">
        <v>33</v>
      </c>
      <c r="N136" s="11">
        <v>35.119999999999997</v>
      </c>
      <c r="O136" s="11">
        <v>31.52</v>
      </c>
      <c r="P136" s="11">
        <v>30.89</v>
      </c>
      <c r="Q136" s="11">
        <v>33.85</v>
      </c>
      <c r="R136" s="11">
        <v>33.58</v>
      </c>
      <c r="S136" s="11">
        <v>34.53</v>
      </c>
      <c r="T136" s="11">
        <v>33.51</v>
      </c>
      <c r="U136" s="11">
        <v>30.08</v>
      </c>
      <c r="V136" s="11">
        <v>29.73</v>
      </c>
      <c r="W136" s="11">
        <v>35.369999999999997</v>
      </c>
      <c r="X136" s="11">
        <v>34.6</v>
      </c>
      <c r="Y136" s="11">
        <v>32.659999999999997</v>
      </c>
      <c r="Z136" s="7">
        <v>19916</v>
      </c>
      <c r="AA136" s="6">
        <v>44.12054794520548</v>
      </c>
      <c r="AB136" s="10">
        <v>35992</v>
      </c>
      <c r="AC136" s="39" t="s">
        <v>222</v>
      </c>
      <c r="AD136" s="2">
        <v>1</v>
      </c>
      <c r="AE136" s="2" t="s">
        <v>37</v>
      </c>
      <c r="AF136" s="2">
        <v>1</v>
      </c>
      <c r="AG136" s="2">
        <v>15</v>
      </c>
      <c r="AH136" s="2">
        <v>11</v>
      </c>
      <c r="AI136" s="2">
        <v>1</v>
      </c>
      <c r="AJ136" s="2" t="s">
        <v>26</v>
      </c>
      <c r="AK136" s="2">
        <v>1</v>
      </c>
      <c r="AM136" s="2">
        <v>1</v>
      </c>
      <c r="AN136" s="41">
        <v>60</v>
      </c>
      <c r="AO136" s="2">
        <v>1</v>
      </c>
      <c r="AP136" s="41">
        <v>30</v>
      </c>
      <c r="AQ136" s="2">
        <v>2</v>
      </c>
      <c r="AR136" s="12">
        <v>0.15</v>
      </c>
      <c r="AS136" s="8">
        <f t="shared" si="2"/>
        <v>15</v>
      </c>
      <c r="AT136" s="12" t="s">
        <v>34</v>
      </c>
      <c r="AU136" s="8">
        <v>3</v>
      </c>
      <c r="AV136" s="8" t="s">
        <v>44</v>
      </c>
      <c r="AW136" s="29" t="s">
        <v>28</v>
      </c>
      <c r="AX136" s="9">
        <v>0</v>
      </c>
      <c r="AY136" s="11">
        <v>0.45611368077641856</v>
      </c>
      <c r="AZ136" s="2" t="s">
        <v>38</v>
      </c>
      <c r="BA136" s="2">
        <v>3</v>
      </c>
    </row>
    <row r="137" spans="1:53" s="2" customFormat="1">
      <c r="A137" s="1">
        <v>137</v>
      </c>
      <c r="B137" s="2" t="s">
        <v>23</v>
      </c>
      <c r="C137" s="1" t="s">
        <v>166</v>
      </c>
      <c r="D137" s="1">
        <v>23.77</v>
      </c>
      <c r="E137" s="1">
        <v>27.64</v>
      </c>
      <c r="F137" s="1">
        <v>29.99</v>
      </c>
      <c r="G137" s="1">
        <v>35.4</v>
      </c>
      <c r="H137" s="11">
        <v>30.86</v>
      </c>
      <c r="I137" s="11">
        <v>27.09</v>
      </c>
      <c r="J137" s="11">
        <v>34.18</v>
      </c>
      <c r="K137" s="11">
        <v>34.46</v>
      </c>
      <c r="L137" s="11">
        <v>32.21</v>
      </c>
      <c r="M137" s="11">
        <v>32.11</v>
      </c>
      <c r="N137" s="11">
        <v>38.020000000000003</v>
      </c>
      <c r="O137" s="11">
        <v>34.18</v>
      </c>
      <c r="P137" s="11">
        <v>31.72</v>
      </c>
      <c r="Q137" s="11">
        <v>32.29</v>
      </c>
      <c r="R137" s="11">
        <v>31.93</v>
      </c>
      <c r="S137" s="11">
        <v>34.64</v>
      </c>
      <c r="T137" s="11">
        <v>33.24</v>
      </c>
      <c r="U137" s="11">
        <v>28.27</v>
      </c>
      <c r="V137" s="11">
        <v>32.39</v>
      </c>
      <c r="W137" s="11">
        <v>37.159999999999997</v>
      </c>
      <c r="X137" s="11">
        <v>31.9</v>
      </c>
      <c r="Y137" s="11">
        <v>31.17</v>
      </c>
      <c r="Z137" s="7">
        <v>11148</v>
      </c>
      <c r="AA137" s="6">
        <v>68.328767123287676</v>
      </c>
      <c r="AB137" s="10">
        <v>36068</v>
      </c>
      <c r="AC137" s="39" t="s">
        <v>222</v>
      </c>
      <c r="AD137" s="2">
        <v>1</v>
      </c>
      <c r="AE137" s="2" t="s">
        <v>37</v>
      </c>
      <c r="AF137" s="2">
        <v>1</v>
      </c>
      <c r="AG137" s="2">
        <v>12</v>
      </c>
      <c r="AH137" s="2">
        <v>15</v>
      </c>
      <c r="AI137" s="2">
        <v>15</v>
      </c>
      <c r="AJ137" s="2" t="s">
        <v>61</v>
      </c>
      <c r="AK137" s="2">
        <v>3</v>
      </c>
      <c r="AM137" s="2">
        <v>1</v>
      </c>
      <c r="AN137" s="41">
        <v>90</v>
      </c>
      <c r="AO137" s="2">
        <v>1</v>
      </c>
      <c r="AP137" s="41">
        <v>40</v>
      </c>
      <c r="AQ137" s="2">
        <v>2</v>
      </c>
      <c r="AR137" s="12">
        <v>0.35</v>
      </c>
      <c r="AS137" s="8">
        <f t="shared" si="2"/>
        <v>35</v>
      </c>
      <c r="AT137" s="12" t="s">
        <v>34</v>
      </c>
      <c r="AU137" s="8">
        <v>3</v>
      </c>
      <c r="AV137" s="8" t="s">
        <v>34</v>
      </c>
      <c r="AW137" s="29" t="s">
        <v>28</v>
      </c>
      <c r="AX137" s="9">
        <v>0</v>
      </c>
      <c r="AY137" s="11">
        <v>-1.3167781284866948</v>
      </c>
      <c r="AZ137" s="2" t="s">
        <v>35</v>
      </c>
      <c r="BA137" s="2">
        <v>1</v>
      </c>
    </row>
    <row r="138" spans="1:53" s="2" customFormat="1">
      <c r="A138" s="1">
        <v>138</v>
      </c>
      <c r="B138" s="2" t="s">
        <v>23</v>
      </c>
      <c r="C138" s="1" t="s">
        <v>79</v>
      </c>
      <c r="D138" s="1">
        <v>23.12</v>
      </c>
      <c r="E138" s="1">
        <v>24.94</v>
      </c>
      <c r="F138" s="1">
        <v>29.42</v>
      </c>
      <c r="G138" s="1">
        <v>36.14</v>
      </c>
      <c r="H138" s="11">
        <v>30.89</v>
      </c>
      <c r="I138" s="11">
        <v>24.22</v>
      </c>
      <c r="J138" s="11">
        <v>31.07</v>
      </c>
      <c r="K138" s="11">
        <v>33.17</v>
      </c>
      <c r="L138" s="11">
        <v>33.07</v>
      </c>
      <c r="M138" s="11">
        <v>37.58</v>
      </c>
      <c r="N138" s="11">
        <v>35.33</v>
      </c>
      <c r="O138" s="11">
        <v>31.32</v>
      </c>
      <c r="P138" s="11">
        <v>29.42</v>
      </c>
      <c r="Q138" s="11">
        <v>30.14</v>
      </c>
      <c r="R138" s="11">
        <v>30.3</v>
      </c>
      <c r="S138" s="11">
        <v>30.87</v>
      </c>
      <c r="T138" s="11">
        <v>30.75</v>
      </c>
      <c r="U138" s="11">
        <v>27.96</v>
      </c>
      <c r="V138" s="11">
        <v>27.67</v>
      </c>
      <c r="W138" s="11">
        <v>32.86</v>
      </c>
      <c r="X138" s="11">
        <v>31.35</v>
      </c>
      <c r="Y138" s="11">
        <v>32.42</v>
      </c>
      <c r="Z138" s="7">
        <v>14921</v>
      </c>
      <c r="AA138" s="6">
        <v>57.747945205479454</v>
      </c>
      <c r="AB138" s="10">
        <v>35968</v>
      </c>
      <c r="AC138" s="39" t="s">
        <v>222</v>
      </c>
      <c r="AD138" s="2">
        <v>1</v>
      </c>
      <c r="AE138" s="2" t="s">
        <v>37</v>
      </c>
      <c r="AF138" s="2">
        <v>1</v>
      </c>
      <c r="AG138" s="2">
        <v>20</v>
      </c>
      <c r="AH138" s="2">
        <v>37</v>
      </c>
      <c r="AI138" s="2">
        <v>0</v>
      </c>
      <c r="AJ138" s="2" t="s">
        <v>31</v>
      </c>
      <c r="AK138" s="2">
        <v>0</v>
      </c>
      <c r="AM138" s="2">
        <v>1</v>
      </c>
      <c r="AN138" s="41">
        <v>90</v>
      </c>
      <c r="AO138" s="2">
        <v>1</v>
      </c>
      <c r="AP138" s="41">
        <v>80</v>
      </c>
      <c r="AQ138" s="2">
        <v>2</v>
      </c>
      <c r="AR138" s="12">
        <v>0.1</v>
      </c>
      <c r="AS138" s="8">
        <f t="shared" si="2"/>
        <v>10</v>
      </c>
      <c r="AT138" s="12" t="s">
        <v>27</v>
      </c>
      <c r="AU138" s="8">
        <v>1</v>
      </c>
      <c r="AV138" s="12" t="s">
        <v>27</v>
      </c>
      <c r="AW138" s="29" t="s">
        <v>28</v>
      </c>
      <c r="AX138" s="9">
        <v>0</v>
      </c>
      <c r="AY138" s="11">
        <v>-1.1056548931210892</v>
      </c>
      <c r="AZ138" s="2" t="s">
        <v>35</v>
      </c>
      <c r="BA138" s="2">
        <v>1</v>
      </c>
    </row>
    <row r="139" spans="1:53">
      <c r="A139" s="16">
        <v>151</v>
      </c>
      <c r="B139" t="s">
        <v>167</v>
      </c>
      <c r="C139" s="36">
        <v>153</v>
      </c>
      <c r="D139" s="17">
        <v>24.69</v>
      </c>
      <c r="E139" s="17">
        <v>28.15</v>
      </c>
      <c r="F139" s="17">
        <v>31</v>
      </c>
      <c r="G139" s="17" t="s">
        <v>211</v>
      </c>
      <c r="H139" s="3">
        <v>33.03</v>
      </c>
      <c r="I139" s="3">
        <v>26.91</v>
      </c>
      <c r="J139" s="3">
        <v>33.090000000000003</v>
      </c>
      <c r="K139" s="3">
        <v>33.47</v>
      </c>
      <c r="L139" s="3">
        <v>33.22</v>
      </c>
      <c r="M139" s="3">
        <v>32.159999999999997</v>
      </c>
      <c r="N139" s="3">
        <v>34.409999999999997</v>
      </c>
      <c r="O139" s="3">
        <v>32.64</v>
      </c>
      <c r="P139" s="3">
        <v>31.6</v>
      </c>
      <c r="Q139" s="3">
        <v>33.369999999999997</v>
      </c>
      <c r="R139" s="3">
        <v>33.36</v>
      </c>
      <c r="S139" s="3">
        <v>33.5</v>
      </c>
      <c r="T139" s="3">
        <v>34.74</v>
      </c>
      <c r="U139" s="3">
        <v>29.58</v>
      </c>
      <c r="V139" s="3">
        <v>30.17</v>
      </c>
      <c r="W139" s="3">
        <v>36.67</v>
      </c>
      <c r="X139" s="3">
        <v>32.520000000000003</v>
      </c>
      <c r="Y139" s="3">
        <v>34.369999999999997</v>
      </c>
      <c r="Z139" s="18">
        <v>14762</v>
      </c>
      <c r="AA139" s="19" t="e">
        <f>(#REF!-Z139)/365</f>
        <v>#REF!</v>
      </c>
      <c r="AB139" s="10">
        <v>35821</v>
      </c>
      <c r="AC139" s="39" t="s">
        <v>222</v>
      </c>
      <c r="AD139" s="2">
        <v>1</v>
      </c>
      <c r="AE139" t="s">
        <v>37</v>
      </c>
      <c r="AF139" s="2">
        <v>1</v>
      </c>
      <c r="AG139">
        <v>13</v>
      </c>
      <c r="AH139">
        <v>43</v>
      </c>
      <c r="AI139">
        <v>0</v>
      </c>
      <c r="AJ139" t="s">
        <v>31</v>
      </c>
      <c r="AK139" s="2">
        <v>0</v>
      </c>
      <c r="AM139">
        <v>1</v>
      </c>
      <c r="AN139" s="41">
        <v>95</v>
      </c>
      <c r="AO139">
        <v>1</v>
      </c>
      <c r="AP139" s="41">
        <v>85</v>
      </c>
      <c r="AQ139">
        <v>2</v>
      </c>
      <c r="AR139" s="12">
        <v>0.2</v>
      </c>
      <c r="AS139" s="8">
        <f t="shared" si="2"/>
        <v>20</v>
      </c>
      <c r="AT139" s="12" t="s">
        <v>34</v>
      </c>
      <c r="AU139" s="8">
        <v>3</v>
      </c>
      <c r="AV139" s="8" t="s">
        <v>44</v>
      </c>
      <c r="AW139" s="29" t="s">
        <v>28</v>
      </c>
      <c r="AX139" s="20">
        <v>0</v>
      </c>
      <c r="AY139" s="3">
        <v>-0.19061192239162961</v>
      </c>
      <c r="AZ139" s="2" t="s">
        <v>29</v>
      </c>
      <c r="BA139" s="2">
        <v>2</v>
      </c>
    </row>
    <row r="140" spans="1:53">
      <c r="A140" s="16">
        <v>153</v>
      </c>
      <c r="B140" t="s">
        <v>167</v>
      </c>
      <c r="C140" s="37">
        <v>460</v>
      </c>
      <c r="D140" s="17">
        <v>24.89</v>
      </c>
      <c r="E140" s="17">
        <v>27.05</v>
      </c>
      <c r="F140" s="17">
        <v>29.61</v>
      </c>
      <c r="G140" s="17" t="s">
        <v>211</v>
      </c>
      <c r="H140" s="3">
        <v>32.97</v>
      </c>
      <c r="I140" s="3">
        <v>25.37</v>
      </c>
      <c r="J140" s="3">
        <v>33.07</v>
      </c>
      <c r="K140" s="3">
        <v>32.67</v>
      </c>
      <c r="L140" s="3">
        <v>33.43</v>
      </c>
      <c r="M140" s="3">
        <v>30.28</v>
      </c>
      <c r="N140" s="3">
        <v>35.200000000000003</v>
      </c>
      <c r="O140" s="3">
        <v>30.97</v>
      </c>
      <c r="P140" s="3">
        <v>30.35</v>
      </c>
      <c r="Q140" s="3">
        <v>34.64</v>
      </c>
      <c r="R140" s="3">
        <v>32.36</v>
      </c>
      <c r="S140" s="3">
        <v>34.340000000000003</v>
      </c>
      <c r="T140" s="3">
        <v>32.64</v>
      </c>
      <c r="U140" s="3">
        <v>29.55</v>
      </c>
      <c r="V140" s="3">
        <v>30.32</v>
      </c>
      <c r="W140" s="3">
        <v>33.950000000000003</v>
      </c>
      <c r="X140" s="3">
        <v>30.19</v>
      </c>
      <c r="Y140" s="3">
        <v>31.7</v>
      </c>
      <c r="Z140" s="18">
        <v>7877</v>
      </c>
      <c r="AA140" s="19" t="e">
        <f>(#REF!-Z140)/365</f>
        <v>#REF!</v>
      </c>
      <c r="AB140" s="10">
        <v>36199</v>
      </c>
      <c r="AC140" s="39" t="s">
        <v>224</v>
      </c>
      <c r="AD140" s="2">
        <v>2</v>
      </c>
      <c r="AE140" t="s">
        <v>25</v>
      </c>
      <c r="AF140" s="2">
        <v>2</v>
      </c>
      <c r="AG140">
        <v>25</v>
      </c>
      <c r="AH140">
        <v>1</v>
      </c>
      <c r="AI140">
        <v>0</v>
      </c>
      <c r="AJ140" t="s">
        <v>31</v>
      </c>
      <c r="AK140" s="2">
        <v>0</v>
      </c>
      <c r="AM140">
        <v>1</v>
      </c>
      <c r="AN140" s="41">
        <v>90</v>
      </c>
      <c r="AO140">
        <v>2</v>
      </c>
      <c r="AP140" s="41" t="s">
        <v>33</v>
      </c>
      <c r="AQ140" s="2" t="s">
        <v>28</v>
      </c>
      <c r="AR140" s="12">
        <v>0.5</v>
      </c>
      <c r="AS140" s="8">
        <f t="shared" si="2"/>
        <v>50</v>
      </c>
      <c r="AT140" s="12" t="s">
        <v>34</v>
      </c>
      <c r="AU140" s="8">
        <v>3</v>
      </c>
      <c r="AV140" s="8" t="s">
        <v>34</v>
      </c>
      <c r="AW140" s="29" t="s">
        <v>28</v>
      </c>
      <c r="AX140" s="20">
        <v>0</v>
      </c>
      <c r="AY140" s="3">
        <v>-1.4829494129263279</v>
      </c>
      <c r="AZ140" s="2" t="s">
        <v>35</v>
      </c>
      <c r="BA140" s="2">
        <v>1</v>
      </c>
    </row>
    <row r="141" spans="1:53">
      <c r="A141" s="16">
        <v>154</v>
      </c>
      <c r="B141" t="s">
        <v>167</v>
      </c>
      <c r="C141" s="36">
        <v>394</v>
      </c>
      <c r="D141" s="17">
        <v>26.43</v>
      </c>
      <c r="E141" s="17">
        <v>29.16</v>
      </c>
      <c r="F141" s="17">
        <v>31.23</v>
      </c>
      <c r="G141" s="17" t="s">
        <v>211</v>
      </c>
      <c r="H141" s="3">
        <v>34.270000000000003</v>
      </c>
      <c r="I141" s="3">
        <v>27.68</v>
      </c>
      <c r="J141" s="3">
        <v>34.53</v>
      </c>
      <c r="K141" s="3">
        <v>33.770000000000003</v>
      </c>
      <c r="L141" s="3">
        <v>33.340000000000003</v>
      </c>
      <c r="M141" s="3" t="s">
        <v>211</v>
      </c>
      <c r="N141" s="3">
        <v>36.79</v>
      </c>
      <c r="O141" s="3">
        <v>34.950000000000003</v>
      </c>
      <c r="P141" s="3">
        <v>33.619999999999997</v>
      </c>
      <c r="Q141" s="3">
        <v>34.81</v>
      </c>
      <c r="R141" s="3">
        <v>34.25</v>
      </c>
      <c r="S141" s="3">
        <v>33.130000000000003</v>
      </c>
      <c r="T141" s="3">
        <v>36.340000000000003</v>
      </c>
      <c r="U141" s="3">
        <v>30.5</v>
      </c>
      <c r="V141" s="3">
        <v>31.78</v>
      </c>
      <c r="W141" s="3">
        <v>36.47</v>
      </c>
      <c r="X141" s="3">
        <v>36.4</v>
      </c>
      <c r="Y141" s="3">
        <v>34.729999999999997</v>
      </c>
      <c r="Z141" s="18">
        <v>10363</v>
      </c>
      <c r="AA141" s="19" t="e">
        <f>(#REF!-Z141)/365</f>
        <v>#REF!</v>
      </c>
      <c r="AB141" s="10">
        <v>35984</v>
      </c>
      <c r="AC141" s="39" t="s">
        <v>225</v>
      </c>
      <c r="AD141" s="2"/>
      <c r="AE141" t="s">
        <v>37</v>
      </c>
      <c r="AF141" s="2">
        <v>1</v>
      </c>
      <c r="AG141">
        <v>12</v>
      </c>
      <c r="AH141">
        <v>23</v>
      </c>
      <c r="AI141">
        <v>1</v>
      </c>
      <c r="AJ141" t="s">
        <v>26</v>
      </c>
      <c r="AK141" s="2">
        <v>1</v>
      </c>
      <c r="AM141">
        <v>1</v>
      </c>
      <c r="AN141" s="41">
        <v>90</v>
      </c>
      <c r="AO141">
        <v>1</v>
      </c>
      <c r="AP141" s="41">
        <v>85</v>
      </c>
      <c r="AQ141">
        <v>1</v>
      </c>
      <c r="AR141" s="12">
        <v>0.1</v>
      </c>
      <c r="AS141" s="8">
        <f t="shared" si="2"/>
        <v>10</v>
      </c>
      <c r="AT141" s="12" t="s">
        <v>27</v>
      </c>
      <c r="AU141" s="8">
        <v>1</v>
      </c>
      <c r="AV141" s="12" t="s">
        <v>27</v>
      </c>
      <c r="AW141" s="29" t="s">
        <v>28</v>
      </c>
      <c r="AX141" s="20">
        <v>0</v>
      </c>
      <c r="AY141" s="3">
        <v>-7.1935342620149001E-2</v>
      </c>
      <c r="AZ141" s="2" t="s">
        <v>38</v>
      </c>
      <c r="BA141" s="2">
        <v>3</v>
      </c>
    </row>
    <row r="142" spans="1:53">
      <c r="A142" s="16">
        <v>155</v>
      </c>
      <c r="B142" t="s">
        <v>167</v>
      </c>
      <c r="C142" s="36" t="s">
        <v>168</v>
      </c>
      <c r="D142" s="17">
        <v>26.57</v>
      </c>
      <c r="E142" s="17">
        <v>28.52</v>
      </c>
      <c r="F142" s="17">
        <v>30.64</v>
      </c>
      <c r="G142" s="17">
        <v>36.880000000000003</v>
      </c>
      <c r="H142" s="3">
        <v>33.549999999999997</v>
      </c>
      <c r="I142" s="3">
        <v>26.77</v>
      </c>
      <c r="J142" s="3">
        <v>34.19</v>
      </c>
      <c r="K142" s="3">
        <v>33.35</v>
      </c>
      <c r="L142" s="3">
        <v>32.29</v>
      </c>
      <c r="M142" s="3">
        <v>31.25</v>
      </c>
      <c r="N142" s="3">
        <v>36.9</v>
      </c>
      <c r="O142" s="3">
        <v>31.4</v>
      </c>
      <c r="P142" s="3">
        <v>31.07</v>
      </c>
      <c r="Q142" s="3">
        <v>33.049999999999997</v>
      </c>
      <c r="R142" s="3">
        <v>32.43</v>
      </c>
      <c r="S142" s="3" t="s">
        <v>211</v>
      </c>
      <c r="T142" s="3">
        <v>35.799999999999997</v>
      </c>
      <c r="U142" s="3">
        <v>30.18</v>
      </c>
      <c r="V142" s="3">
        <v>31</v>
      </c>
      <c r="W142" s="3" t="s">
        <v>211</v>
      </c>
      <c r="X142" s="3">
        <v>34.56</v>
      </c>
      <c r="Y142" s="3">
        <v>33.08</v>
      </c>
      <c r="Z142" s="18">
        <v>20944</v>
      </c>
      <c r="AA142" s="19" t="e">
        <f>(#REF!-Z142)/365</f>
        <v>#REF!</v>
      </c>
      <c r="AB142" s="10">
        <v>35885</v>
      </c>
      <c r="AC142" s="39" t="s">
        <v>224</v>
      </c>
      <c r="AD142" s="2">
        <v>2</v>
      </c>
      <c r="AE142" t="s">
        <v>69</v>
      </c>
      <c r="AF142" s="2">
        <v>3</v>
      </c>
      <c r="AG142">
        <v>70</v>
      </c>
      <c r="AH142">
        <v>10</v>
      </c>
      <c r="AI142">
        <v>7</v>
      </c>
      <c r="AJ142" t="s">
        <v>47</v>
      </c>
      <c r="AK142" s="2">
        <v>2</v>
      </c>
      <c r="AL142">
        <v>1</v>
      </c>
      <c r="AM142">
        <v>1</v>
      </c>
      <c r="AN142" s="41">
        <v>40</v>
      </c>
      <c r="AO142">
        <v>1</v>
      </c>
      <c r="AP142" s="41">
        <v>70</v>
      </c>
      <c r="AQ142">
        <v>2</v>
      </c>
      <c r="AR142" s="12">
        <v>0.5</v>
      </c>
      <c r="AS142" s="8">
        <f t="shared" si="2"/>
        <v>50</v>
      </c>
      <c r="AT142" s="12" t="s">
        <v>34</v>
      </c>
      <c r="AU142" s="8">
        <v>3</v>
      </c>
      <c r="AV142" s="8" t="s">
        <v>34</v>
      </c>
      <c r="AW142" s="29" t="s">
        <v>28</v>
      </c>
      <c r="AX142" s="20">
        <v>0</v>
      </c>
      <c r="AY142" s="3">
        <v>-0.4718272133780731</v>
      </c>
      <c r="AZ142" s="2" t="s">
        <v>29</v>
      </c>
      <c r="BA142" s="2">
        <v>2</v>
      </c>
    </row>
    <row r="143" spans="1:53">
      <c r="A143" s="16">
        <v>156</v>
      </c>
      <c r="B143" t="s">
        <v>167</v>
      </c>
      <c r="C143" s="36">
        <v>36.799999999999997</v>
      </c>
      <c r="D143" s="17">
        <v>26.42</v>
      </c>
      <c r="E143" s="17">
        <v>28.43</v>
      </c>
      <c r="F143" s="17">
        <v>30.16</v>
      </c>
      <c r="G143" s="17">
        <v>36.619999999999997</v>
      </c>
      <c r="H143" s="3">
        <v>32.979999999999997</v>
      </c>
      <c r="I143" s="3">
        <v>26.7</v>
      </c>
      <c r="J143" s="3">
        <v>35.409999999999997</v>
      </c>
      <c r="K143" s="3">
        <v>34.340000000000003</v>
      </c>
      <c r="L143" s="3">
        <v>36.65</v>
      </c>
      <c r="M143" s="3">
        <v>38.5</v>
      </c>
      <c r="N143" s="3">
        <v>37.58</v>
      </c>
      <c r="O143" s="3">
        <v>32.340000000000003</v>
      </c>
      <c r="P143" s="3">
        <v>30.76</v>
      </c>
      <c r="Q143" s="3">
        <v>34.26</v>
      </c>
      <c r="R143" s="3">
        <v>32.51</v>
      </c>
      <c r="S143" s="3">
        <v>36.130000000000003</v>
      </c>
      <c r="T143" s="3">
        <v>31.93</v>
      </c>
      <c r="U143" s="3">
        <v>30.67</v>
      </c>
      <c r="V143" s="3">
        <v>30.49</v>
      </c>
      <c r="W143" s="3">
        <v>35.14</v>
      </c>
      <c r="X143" s="3">
        <v>33.35</v>
      </c>
      <c r="Y143" s="3">
        <v>34.92</v>
      </c>
      <c r="Z143" s="18">
        <v>12275</v>
      </c>
      <c r="AA143" s="19" t="e">
        <f>(#REF!-Z143)/365</f>
        <v>#REF!</v>
      </c>
      <c r="AB143" s="10">
        <v>35824</v>
      </c>
      <c r="AC143" s="39" t="s">
        <v>222</v>
      </c>
      <c r="AD143" s="2">
        <v>1</v>
      </c>
      <c r="AE143" t="s">
        <v>37</v>
      </c>
      <c r="AF143" s="2">
        <v>1</v>
      </c>
      <c r="AG143">
        <v>5</v>
      </c>
      <c r="AH143">
        <v>7</v>
      </c>
      <c r="AI143">
        <v>0</v>
      </c>
      <c r="AJ143" t="s">
        <v>31</v>
      </c>
      <c r="AK143" s="2">
        <v>0</v>
      </c>
      <c r="AM143">
        <v>1</v>
      </c>
      <c r="AN143" s="41">
        <v>90</v>
      </c>
      <c r="AO143">
        <v>0</v>
      </c>
      <c r="AP143" s="41" t="s">
        <v>52</v>
      </c>
      <c r="AQ143">
        <v>2</v>
      </c>
      <c r="AR143" s="12">
        <v>0</v>
      </c>
      <c r="AS143" s="8">
        <f t="shared" si="2"/>
        <v>0</v>
      </c>
      <c r="AT143" s="12" t="s">
        <v>27</v>
      </c>
      <c r="AU143" s="8">
        <v>1</v>
      </c>
      <c r="AV143" s="12" t="s">
        <v>27</v>
      </c>
      <c r="AW143" s="29" t="s">
        <v>28</v>
      </c>
      <c r="AX143" s="20">
        <v>0</v>
      </c>
      <c r="AY143" s="3">
        <v>-0.48337806258753346</v>
      </c>
      <c r="AZ143" s="2" t="s">
        <v>29</v>
      </c>
      <c r="BA143" s="2">
        <v>2</v>
      </c>
    </row>
    <row r="144" spans="1:53">
      <c r="A144" s="16">
        <v>157</v>
      </c>
      <c r="B144" t="s">
        <v>167</v>
      </c>
      <c r="C144" s="36">
        <v>577</v>
      </c>
      <c r="D144" s="17">
        <v>24.55</v>
      </c>
      <c r="E144" s="17">
        <v>25.89</v>
      </c>
      <c r="F144" s="17">
        <v>29.93</v>
      </c>
      <c r="G144" s="17" t="s">
        <v>211</v>
      </c>
      <c r="H144" s="3">
        <v>33.67</v>
      </c>
      <c r="I144" s="3">
        <v>25.89</v>
      </c>
      <c r="J144" s="3">
        <v>33</v>
      </c>
      <c r="K144" s="3">
        <v>32.869999999999997</v>
      </c>
      <c r="L144" s="3">
        <v>31.69</v>
      </c>
      <c r="M144" s="3">
        <v>31.79</v>
      </c>
      <c r="N144" s="3">
        <v>33.74</v>
      </c>
      <c r="O144" s="3">
        <v>29.96</v>
      </c>
      <c r="P144" s="3">
        <v>31.09</v>
      </c>
      <c r="Q144" s="3">
        <v>32.26</v>
      </c>
      <c r="R144" s="3">
        <v>31.55</v>
      </c>
      <c r="S144" s="3">
        <v>32.85</v>
      </c>
      <c r="T144" s="3">
        <v>33.880000000000003</v>
      </c>
      <c r="U144" s="3">
        <v>31.89</v>
      </c>
      <c r="V144" s="3">
        <v>30.63</v>
      </c>
      <c r="W144" s="3" t="s">
        <v>211</v>
      </c>
      <c r="X144" s="3">
        <v>31.16</v>
      </c>
      <c r="Y144" s="3">
        <v>32.32</v>
      </c>
      <c r="Z144" s="18">
        <v>10746</v>
      </c>
      <c r="AA144" s="19" t="e">
        <f>(#REF!-Z144)/365</f>
        <v>#REF!</v>
      </c>
      <c r="AB144" s="10">
        <v>36249</v>
      </c>
      <c r="AC144" s="39" t="s">
        <v>222</v>
      </c>
      <c r="AD144" s="2">
        <v>1</v>
      </c>
      <c r="AE144" t="s">
        <v>37</v>
      </c>
      <c r="AF144" s="2">
        <v>1</v>
      </c>
      <c r="AG144">
        <v>10</v>
      </c>
      <c r="AH144">
        <v>21</v>
      </c>
      <c r="AI144">
        <v>0</v>
      </c>
      <c r="AJ144" t="s">
        <v>31</v>
      </c>
      <c r="AK144" s="2">
        <v>0</v>
      </c>
      <c r="AM144">
        <v>2</v>
      </c>
      <c r="AN144" s="41" t="s">
        <v>33</v>
      </c>
      <c r="AO144">
        <v>2</v>
      </c>
      <c r="AP144" s="41" t="s">
        <v>33</v>
      </c>
      <c r="AQ144">
        <v>3</v>
      </c>
      <c r="AR144" s="12">
        <v>0.3</v>
      </c>
      <c r="AS144" s="8">
        <f t="shared" si="2"/>
        <v>30</v>
      </c>
      <c r="AT144" s="12" t="s">
        <v>34</v>
      </c>
      <c r="AU144" s="8">
        <v>3</v>
      </c>
      <c r="AV144" s="8" t="s">
        <v>34</v>
      </c>
      <c r="AW144" s="29" t="s">
        <v>28</v>
      </c>
      <c r="AX144" s="20">
        <v>0</v>
      </c>
      <c r="AY144" s="3">
        <v>0.26877087399446942</v>
      </c>
      <c r="AZ144" s="2" t="s">
        <v>38</v>
      </c>
      <c r="BA144" s="2">
        <v>3</v>
      </c>
    </row>
    <row r="145" spans="1:53">
      <c r="A145" s="16">
        <v>158</v>
      </c>
      <c r="B145" t="s">
        <v>167</v>
      </c>
      <c r="C145" s="36">
        <v>301</v>
      </c>
      <c r="D145" s="17">
        <v>26.68</v>
      </c>
      <c r="E145" s="17">
        <v>29.68</v>
      </c>
      <c r="F145" s="17">
        <v>30.85</v>
      </c>
      <c r="G145" s="17" t="s">
        <v>211</v>
      </c>
      <c r="H145" s="3" t="s">
        <v>211</v>
      </c>
      <c r="I145" s="3">
        <v>27.42</v>
      </c>
      <c r="J145" s="3">
        <v>33.68</v>
      </c>
      <c r="K145" s="3" t="s">
        <v>211</v>
      </c>
      <c r="L145" s="3">
        <v>35.85</v>
      </c>
      <c r="M145" s="3">
        <v>34.75</v>
      </c>
      <c r="N145" s="3">
        <v>34.96</v>
      </c>
      <c r="O145" s="3">
        <v>31.71</v>
      </c>
      <c r="P145" s="3">
        <v>32</v>
      </c>
      <c r="Q145" s="3">
        <v>36.64</v>
      </c>
      <c r="R145" s="3">
        <v>32.61</v>
      </c>
      <c r="S145" s="3" t="s">
        <v>211</v>
      </c>
      <c r="T145" s="3">
        <v>36.03</v>
      </c>
      <c r="U145" s="3">
        <v>29.84</v>
      </c>
      <c r="V145" s="3">
        <v>29.96</v>
      </c>
      <c r="W145" s="3">
        <v>35.619999999999997</v>
      </c>
      <c r="X145" s="3">
        <v>34.090000000000003</v>
      </c>
      <c r="Y145" s="3">
        <v>34.96</v>
      </c>
      <c r="Z145" s="18">
        <v>23667</v>
      </c>
      <c r="AA145" s="19" t="e">
        <f>(#REF!-Z145)/365</f>
        <v>#REF!</v>
      </c>
      <c r="AB145" s="10">
        <v>35814</v>
      </c>
      <c r="AC145" s="39" t="s">
        <v>222</v>
      </c>
      <c r="AD145" s="2">
        <v>1</v>
      </c>
      <c r="AE145" t="s">
        <v>37</v>
      </c>
      <c r="AF145" s="2">
        <v>1</v>
      </c>
      <c r="AG145">
        <v>14</v>
      </c>
      <c r="AH145">
        <v>8</v>
      </c>
      <c r="AI145">
        <v>0</v>
      </c>
      <c r="AJ145" t="s">
        <v>31</v>
      </c>
      <c r="AK145" s="2">
        <v>0</v>
      </c>
      <c r="AM145">
        <v>1</v>
      </c>
      <c r="AN145" s="41">
        <v>35</v>
      </c>
      <c r="AO145">
        <v>1</v>
      </c>
      <c r="AP145" s="41">
        <v>30</v>
      </c>
      <c r="AQ145">
        <v>1</v>
      </c>
      <c r="AR145" s="12">
        <v>0.05</v>
      </c>
      <c r="AS145" s="8">
        <f t="shared" si="2"/>
        <v>5</v>
      </c>
      <c r="AT145" s="12" t="s">
        <v>27</v>
      </c>
      <c r="AU145" s="8">
        <v>1</v>
      </c>
      <c r="AV145" s="12" t="s">
        <v>27</v>
      </c>
      <c r="AW145" s="29" t="s">
        <v>28</v>
      </c>
      <c r="AX145" s="20">
        <v>0</v>
      </c>
      <c r="AY145" s="3">
        <v>0.70309972294605561</v>
      </c>
      <c r="AZ145" s="2" t="s">
        <v>38</v>
      </c>
      <c r="BA145" s="2">
        <v>3</v>
      </c>
    </row>
    <row r="146" spans="1:53">
      <c r="A146" s="16">
        <v>159</v>
      </c>
      <c r="B146" t="s">
        <v>167</v>
      </c>
      <c r="C146" s="36">
        <v>103</v>
      </c>
      <c r="D146" s="17">
        <v>25.02</v>
      </c>
      <c r="E146" s="17">
        <v>26.71</v>
      </c>
      <c r="F146" s="17">
        <v>29.47</v>
      </c>
      <c r="G146" s="17" t="s">
        <v>211</v>
      </c>
      <c r="H146" s="3">
        <v>31.19</v>
      </c>
      <c r="I146" s="3">
        <v>25.49</v>
      </c>
      <c r="J146" s="3">
        <v>32.01</v>
      </c>
      <c r="K146" s="3">
        <v>31.75</v>
      </c>
      <c r="L146" s="3">
        <v>35.1</v>
      </c>
      <c r="M146" s="3">
        <v>35.729999999999997</v>
      </c>
      <c r="N146" s="3">
        <v>34.549999999999997</v>
      </c>
      <c r="O146" s="3">
        <v>30.31</v>
      </c>
      <c r="P146" s="3">
        <v>29.32</v>
      </c>
      <c r="Q146" s="3">
        <v>34.29</v>
      </c>
      <c r="R146" s="3">
        <v>30.65</v>
      </c>
      <c r="S146" s="3">
        <v>34.200000000000003</v>
      </c>
      <c r="T146" s="3">
        <v>31.2</v>
      </c>
      <c r="U146" s="3">
        <v>28.48</v>
      </c>
      <c r="V146" s="3">
        <v>28.4</v>
      </c>
      <c r="W146" s="3">
        <v>33.94</v>
      </c>
      <c r="X146" s="3">
        <v>29.52</v>
      </c>
      <c r="Y146" s="3">
        <v>32.79</v>
      </c>
      <c r="Z146" s="18">
        <v>17202</v>
      </c>
      <c r="AA146" s="19" t="e">
        <f>(#REF!-Z146)/365</f>
        <v>#REF!</v>
      </c>
      <c r="AB146" s="10">
        <v>36290</v>
      </c>
      <c r="AC146" s="39" t="s">
        <v>225</v>
      </c>
      <c r="AD146" s="2"/>
      <c r="AE146" t="s">
        <v>37</v>
      </c>
      <c r="AF146" s="2">
        <v>1</v>
      </c>
      <c r="AG146">
        <v>7</v>
      </c>
      <c r="AH146">
        <v>16</v>
      </c>
      <c r="AI146">
        <v>0</v>
      </c>
      <c r="AJ146" t="s">
        <v>31</v>
      </c>
      <c r="AK146" s="2">
        <v>0</v>
      </c>
      <c r="AM146">
        <v>1</v>
      </c>
      <c r="AN146" s="41">
        <v>80</v>
      </c>
      <c r="AO146">
        <v>1</v>
      </c>
      <c r="AP146" s="41">
        <v>70</v>
      </c>
      <c r="AQ146">
        <v>1</v>
      </c>
      <c r="AR146" s="12">
        <v>0.1</v>
      </c>
      <c r="AS146" s="8">
        <f t="shared" si="2"/>
        <v>10</v>
      </c>
      <c r="AT146" s="12" t="s">
        <v>27</v>
      </c>
      <c r="AU146" s="8">
        <v>1</v>
      </c>
      <c r="AV146" s="12" t="s">
        <v>27</v>
      </c>
      <c r="AW146" s="29" t="s">
        <v>28</v>
      </c>
      <c r="AX146" s="20">
        <v>0</v>
      </c>
      <c r="AY146" s="3">
        <v>-1.9491118754076515</v>
      </c>
      <c r="AZ146" s="2" t="s">
        <v>35</v>
      </c>
      <c r="BA146" s="2">
        <v>1</v>
      </c>
    </row>
    <row r="147" spans="1:53">
      <c r="A147" s="16">
        <v>160</v>
      </c>
      <c r="B147" t="s">
        <v>167</v>
      </c>
      <c r="C147" s="36">
        <v>77.2</v>
      </c>
      <c r="D147" s="17">
        <v>27.9</v>
      </c>
      <c r="E147" s="17">
        <v>29.81</v>
      </c>
      <c r="F147" s="17">
        <v>30.85</v>
      </c>
      <c r="G147" s="17" t="s">
        <v>211</v>
      </c>
      <c r="H147" s="3">
        <v>33.39</v>
      </c>
      <c r="I147" s="3">
        <v>28.56</v>
      </c>
      <c r="J147" s="3">
        <v>36.83</v>
      </c>
      <c r="K147" s="3" t="s">
        <v>211</v>
      </c>
      <c r="L147" s="3">
        <v>32.56</v>
      </c>
      <c r="M147" s="3">
        <v>35.74</v>
      </c>
      <c r="N147" s="3" t="s">
        <v>211</v>
      </c>
      <c r="O147" s="3">
        <v>34.31</v>
      </c>
      <c r="P147" s="3">
        <v>32.44</v>
      </c>
      <c r="Q147" s="3">
        <v>34.5</v>
      </c>
      <c r="R147" s="3">
        <v>34.64</v>
      </c>
      <c r="S147" s="3">
        <v>38.51</v>
      </c>
      <c r="T147" s="3">
        <v>35.299999999999997</v>
      </c>
      <c r="U147" s="3">
        <v>30.34</v>
      </c>
      <c r="V147" s="3">
        <v>32.39</v>
      </c>
      <c r="W147" s="3" t="s">
        <v>211</v>
      </c>
      <c r="X147" s="3">
        <v>34.840000000000003</v>
      </c>
      <c r="Y147" s="3">
        <v>35.909999999999997</v>
      </c>
      <c r="Z147" s="18">
        <v>16434</v>
      </c>
      <c r="AA147" s="19" t="e">
        <f>(#REF!-Z147)/365</f>
        <v>#REF!</v>
      </c>
      <c r="AB147" s="10">
        <v>36182</v>
      </c>
      <c r="AC147" s="39" t="s">
        <v>222</v>
      </c>
      <c r="AD147" s="2">
        <v>1</v>
      </c>
      <c r="AE147" t="s">
        <v>37</v>
      </c>
      <c r="AF147" s="2">
        <v>1</v>
      </c>
      <c r="AG147">
        <v>5</v>
      </c>
      <c r="AH147">
        <v>9</v>
      </c>
      <c r="AI147">
        <v>0</v>
      </c>
      <c r="AJ147" t="s">
        <v>31</v>
      </c>
      <c r="AK147" s="2">
        <v>0</v>
      </c>
      <c r="AM147">
        <v>1</v>
      </c>
      <c r="AN147" s="41">
        <v>65</v>
      </c>
      <c r="AO147">
        <v>1</v>
      </c>
      <c r="AP147" s="41">
        <v>90</v>
      </c>
      <c r="AQ147">
        <v>3</v>
      </c>
      <c r="AR147" s="12">
        <v>0.45</v>
      </c>
      <c r="AS147" s="8">
        <f t="shared" si="2"/>
        <v>45</v>
      </c>
      <c r="AT147" s="12" t="s">
        <v>34</v>
      </c>
      <c r="AU147" s="8">
        <v>3</v>
      </c>
      <c r="AV147" s="8" t="s">
        <v>34</v>
      </c>
      <c r="AW147" s="29" t="s">
        <v>28</v>
      </c>
      <c r="AX147" s="20">
        <v>0</v>
      </c>
      <c r="AY147" s="3">
        <v>-0.95500076545244017</v>
      </c>
      <c r="AZ147" s="2" t="s">
        <v>35</v>
      </c>
      <c r="BA147" s="2">
        <v>1</v>
      </c>
    </row>
    <row r="148" spans="1:53">
      <c r="A148" s="16">
        <v>161</v>
      </c>
      <c r="B148" t="s">
        <v>167</v>
      </c>
      <c r="C148" s="27">
        <v>500</v>
      </c>
      <c r="D148" s="17">
        <v>23.99</v>
      </c>
      <c r="E148" s="17">
        <v>25.68</v>
      </c>
      <c r="F148" s="17">
        <v>28.87</v>
      </c>
      <c r="G148" s="17">
        <v>34.75</v>
      </c>
      <c r="H148" s="3">
        <v>31.01</v>
      </c>
      <c r="I148" s="3">
        <v>24.48</v>
      </c>
      <c r="J148" s="3">
        <v>30.4</v>
      </c>
      <c r="K148" s="3">
        <v>31.2</v>
      </c>
      <c r="L148" s="3">
        <v>30.64</v>
      </c>
      <c r="M148" s="3">
        <v>31.41</v>
      </c>
      <c r="N148" s="3">
        <v>33.29</v>
      </c>
      <c r="O148" s="3">
        <v>29.78</v>
      </c>
      <c r="P148" s="3">
        <v>28.24</v>
      </c>
      <c r="Q148" s="3">
        <v>31.82</v>
      </c>
      <c r="R148" s="3">
        <v>30.38</v>
      </c>
      <c r="S148" s="3">
        <v>34.9</v>
      </c>
      <c r="T148" s="3">
        <v>30.65</v>
      </c>
      <c r="U148" s="3">
        <v>27.14</v>
      </c>
      <c r="V148" s="3">
        <v>27.54</v>
      </c>
      <c r="W148" s="3">
        <v>31.5</v>
      </c>
      <c r="X148" s="3">
        <v>29.29</v>
      </c>
      <c r="Y148" s="3">
        <v>29.94</v>
      </c>
      <c r="Z148" s="18">
        <v>14870</v>
      </c>
      <c r="AA148" s="19" t="e">
        <f>(#REF!-Z148)/365</f>
        <v>#REF!</v>
      </c>
      <c r="AB148" s="10">
        <v>36775</v>
      </c>
      <c r="AC148" s="39" t="s">
        <v>222</v>
      </c>
      <c r="AD148" s="2">
        <v>1</v>
      </c>
      <c r="AE148" t="s">
        <v>37</v>
      </c>
      <c r="AF148" s="2">
        <v>1</v>
      </c>
      <c r="AG148">
        <v>12</v>
      </c>
      <c r="AH148">
        <v>8</v>
      </c>
      <c r="AI148">
        <v>0</v>
      </c>
      <c r="AJ148" t="s">
        <v>31</v>
      </c>
      <c r="AK148" s="2">
        <v>0</v>
      </c>
      <c r="AM148">
        <v>1</v>
      </c>
      <c r="AN148" s="41">
        <v>70</v>
      </c>
      <c r="AO148">
        <v>1</v>
      </c>
      <c r="AP148" s="41">
        <v>70</v>
      </c>
      <c r="AQ148">
        <v>2</v>
      </c>
      <c r="AR148" s="12">
        <v>0.1</v>
      </c>
      <c r="AS148" s="8">
        <f t="shared" si="2"/>
        <v>10</v>
      </c>
      <c r="AT148" s="12" t="s">
        <v>27</v>
      </c>
      <c r="AU148" s="8">
        <v>1</v>
      </c>
      <c r="AV148" s="12" t="s">
        <v>27</v>
      </c>
      <c r="AW148" s="29" t="s">
        <v>28</v>
      </c>
      <c r="AX148" s="20">
        <v>0</v>
      </c>
      <c r="AY148" s="3">
        <v>-1.0218371208262238</v>
      </c>
      <c r="AZ148" s="2" t="s">
        <v>35</v>
      </c>
      <c r="BA148" s="2">
        <v>1</v>
      </c>
    </row>
    <row r="149" spans="1:53">
      <c r="A149" s="16">
        <v>162</v>
      </c>
      <c r="B149" t="s">
        <v>167</v>
      </c>
      <c r="C149" s="36">
        <v>330</v>
      </c>
      <c r="D149" s="17">
        <v>27.88</v>
      </c>
      <c r="E149" s="17">
        <v>30.71</v>
      </c>
      <c r="F149" s="17" t="s">
        <v>211</v>
      </c>
      <c r="G149" s="17">
        <v>34.450000000000003</v>
      </c>
      <c r="H149" s="3">
        <v>33.97</v>
      </c>
      <c r="I149" s="3">
        <v>27.7</v>
      </c>
      <c r="J149" s="3">
        <v>34.79</v>
      </c>
      <c r="K149" s="3" t="s">
        <v>211</v>
      </c>
      <c r="L149" s="3">
        <v>34.700000000000003</v>
      </c>
      <c r="M149" s="3">
        <v>35.6</v>
      </c>
      <c r="N149" s="3" t="s">
        <v>211</v>
      </c>
      <c r="O149" s="3">
        <v>33.85</v>
      </c>
      <c r="P149" s="3">
        <v>33.04</v>
      </c>
      <c r="Q149" s="3">
        <v>34.99</v>
      </c>
      <c r="R149" s="3">
        <v>33.270000000000003</v>
      </c>
      <c r="S149" s="3">
        <v>33.36</v>
      </c>
      <c r="T149" s="3" t="s">
        <v>211</v>
      </c>
      <c r="U149" s="3">
        <v>31.68</v>
      </c>
      <c r="V149" s="3">
        <v>31.97</v>
      </c>
      <c r="W149" s="3" t="s">
        <v>211</v>
      </c>
      <c r="X149" s="3">
        <v>33.630000000000003</v>
      </c>
      <c r="Y149" s="3">
        <v>34.15</v>
      </c>
      <c r="Z149" s="18">
        <v>21468</v>
      </c>
      <c r="AA149" s="19" t="e">
        <f>(#REF!-Z149)/365</f>
        <v>#REF!</v>
      </c>
      <c r="AB149" s="10">
        <v>35821</v>
      </c>
      <c r="AC149" s="39" t="s">
        <v>222</v>
      </c>
      <c r="AD149" s="2">
        <v>1</v>
      </c>
      <c r="AE149" t="s">
        <v>25</v>
      </c>
      <c r="AF149" s="2">
        <v>2</v>
      </c>
      <c r="AG149">
        <v>31</v>
      </c>
      <c r="AH149">
        <v>21</v>
      </c>
      <c r="AI149">
        <v>0</v>
      </c>
      <c r="AJ149" t="s">
        <v>31</v>
      </c>
      <c r="AK149" s="2">
        <v>0</v>
      </c>
      <c r="AM149">
        <v>1</v>
      </c>
      <c r="AN149" s="41">
        <v>80</v>
      </c>
      <c r="AO149">
        <v>1</v>
      </c>
      <c r="AP149" s="41">
        <v>80</v>
      </c>
      <c r="AQ149">
        <v>3</v>
      </c>
      <c r="AR149" s="12">
        <v>0.35</v>
      </c>
      <c r="AS149" s="8">
        <f t="shared" si="2"/>
        <v>35</v>
      </c>
      <c r="AT149" s="12" t="s">
        <v>34</v>
      </c>
      <c r="AU149" s="8">
        <v>3</v>
      </c>
      <c r="AV149" s="8" t="s">
        <v>34</v>
      </c>
      <c r="AW149" s="29" t="s">
        <v>28</v>
      </c>
      <c r="AX149" s="20">
        <v>0</v>
      </c>
      <c r="AY149" s="3">
        <v>0.24328857410901983</v>
      </c>
      <c r="AZ149" s="2" t="s">
        <v>38</v>
      </c>
      <c r="BA149" s="2">
        <v>3</v>
      </c>
    </row>
    <row r="150" spans="1:53">
      <c r="A150" s="16">
        <v>163</v>
      </c>
      <c r="B150" t="s">
        <v>167</v>
      </c>
      <c r="C150" s="36">
        <v>224</v>
      </c>
      <c r="D150" s="17">
        <v>26.42</v>
      </c>
      <c r="E150" s="17">
        <v>29.48</v>
      </c>
      <c r="F150" s="17">
        <v>31.39</v>
      </c>
      <c r="G150" s="17" t="s">
        <v>211</v>
      </c>
      <c r="H150" s="3">
        <v>34.96</v>
      </c>
      <c r="I150" s="3">
        <v>27.78</v>
      </c>
      <c r="J150" s="3">
        <v>35.47</v>
      </c>
      <c r="K150" s="3">
        <v>34.299999999999997</v>
      </c>
      <c r="L150" s="3">
        <v>34.049999999999997</v>
      </c>
      <c r="M150" s="3">
        <v>31.21</v>
      </c>
      <c r="N150" s="3">
        <v>35.65</v>
      </c>
      <c r="O150" s="3">
        <v>33.880000000000003</v>
      </c>
      <c r="P150" s="3">
        <v>31.82</v>
      </c>
      <c r="Q150" s="3">
        <v>35.56</v>
      </c>
      <c r="R150" s="3">
        <v>33.11</v>
      </c>
      <c r="S150" s="3">
        <v>35.1</v>
      </c>
      <c r="T150" s="3">
        <v>35.83</v>
      </c>
      <c r="U150" s="3">
        <v>30.39</v>
      </c>
      <c r="V150" s="3">
        <v>31.45</v>
      </c>
      <c r="W150" s="3" t="s">
        <v>211</v>
      </c>
      <c r="X150" s="3">
        <v>33.17</v>
      </c>
      <c r="Y150" s="3">
        <v>37.020000000000003</v>
      </c>
      <c r="Z150" s="18">
        <v>9737</v>
      </c>
      <c r="AA150" s="19" t="e">
        <f>(#REF!-Z150)/365</f>
        <v>#REF!</v>
      </c>
      <c r="AB150" s="10">
        <v>35971</v>
      </c>
      <c r="AC150" s="39" t="s">
        <v>224</v>
      </c>
      <c r="AD150" s="2">
        <v>2</v>
      </c>
      <c r="AE150" t="s">
        <v>37</v>
      </c>
      <c r="AF150" s="2">
        <v>1</v>
      </c>
      <c r="AG150">
        <v>10</v>
      </c>
      <c r="AH150">
        <v>34</v>
      </c>
      <c r="AI150">
        <v>0</v>
      </c>
      <c r="AJ150" t="s">
        <v>31</v>
      </c>
      <c r="AK150" s="2">
        <v>0</v>
      </c>
      <c r="AM150">
        <v>1</v>
      </c>
      <c r="AN150" s="41">
        <v>85</v>
      </c>
      <c r="AO150">
        <v>1</v>
      </c>
      <c r="AP150" s="41">
        <v>60</v>
      </c>
      <c r="AQ150">
        <v>2</v>
      </c>
      <c r="AR150" s="12">
        <v>7.0000000000000007E-2</v>
      </c>
      <c r="AS150" s="8">
        <f t="shared" si="2"/>
        <v>7.0000000000000009</v>
      </c>
      <c r="AT150" s="12" t="s">
        <v>27</v>
      </c>
      <c r="AU150" s="8">
        <v>1</v>
      </c>
      <c r="AV150" s="12" t="s">
        <v>27</v>
      </c>
      <c r="AW150" s="29" t="s">
        <v>28</v>
      </c>
      <c r="AX150" s="20">
        <v>0</v>
      </c>
      <c r="AY150" s="3">
        <v>0.1178102074320817</v>
      </c>
      <c r="AZ150" s="2" t="s">
        <v>38</v>
      </c>
      <c r="BA150" s="2">
        <v>3</v>
      </c>
    </row>
    <row r="151" spans="1:53">
      <c r="A151" s="16">
        <v>165</v>
      </c>
      <c r="B151" t="s">
        <v>167</v>
      </c>
      <c r="C151" s="27">
        <v>481</v>
      </c>
      <c r="D151" s="17">
        <v>23.62</v>
      </c>
      <c r="E151" s="17">
        <v>24.65</v>
      </c>
      <c r="F151" s="17">
        <v>28.06</v>
      </c>
      <c r="G151" s="17">
        <v>39.67</v>
      </c>
      <c r="H151" s="3">
        <v>28.4</v>
      </c>
      <c r="I151" s="3">
        <v>23.38</v>
      </c>
      <c r="J151" s="3">
        <v>28.56</v>
      </c>
      <c r="K151" s="3">
        <v>29.55</v>
      </c>
      <c r="L151" s="3">
        <v>30.44</v>
      </c>
      <c r="M151" s="3">
        <v>27.82</v>
      </c>
      <c r="N151" s="3">
        <v>31.02</v>
      </c>
      <c r="O151" s="3">
        <v>27.91</v>
      </c>
      <c r="P151" s="3">
        <v>27.29</v>
      </c>
      <c r="Q151" s="3">
        <v>29.36</v>
      </c>
      <c r="R151" s="3">
        <v>28.69</v>
      </c>
      <c r="S151" s="3">
        <v>31.21</v>
      </c>
      <c r="T151" s="3">
        <v>30.9</v>
      </c>
      <c r="U151" s="3">
        <v>25.75</v>
      </c>
      <c r="V151" s="3">
        <v>24.78</v>
      </c>
      <c r="W151" s="3">
        <v>33.56</v>
      </c>
      <c r="X151" s="3">
        <v>27.62</v>
      </c>
      <c r="Y151" s="3">
        <v>28.68</v>
      </c>
      <c r="Z151" s="18">
        <v>13698</v>
      </c>
      <c r="AA151" s="19" t="e">
        <f>(#REF!-Z151)/365</f>
        <v>#REF!</v>
      </c>
      <c r="AB151" s="10">
        <v>36675</v>
      </c>
      <c r="AC151" s="39" t="s">
        <v>222</v>
      </c>
      <c r="AD151" s="2">
        <v>1</v>
      </c>
      <c r="AE151" t="s">
        <v>37</v>
      </c>
      <c r="AF151" s="2">
        <v>1</v>
      </c>
      <c r="AG151">
        <v>15</v>
      </c>
      <c r="AH151">
        <v>27</v>
      </c>
      <c r="AI151">
        <v>0</v>
      </c>
      <c r="AJ151" t="s">
        <v>31</v>
      </c>
      <c r="AK151" s="2">
        <v>0</v>
      </c>
      <c r="AM151">
        <v>1</v>
      </c>
      <c r="AN151" s="41">
        <v>90</v>
      </c>
      <c r="AO151">
        <v>1</v>
      </c>
      <c r="AP151" s="41">
        <v>90</v>
      </c>
      <c r="AQ151">
        <v>2</v>
      </c>
      <c r="AR151" s="12">
        <v>0.1</v>
      </c>
      <c r="AS151" s="8">
        <f t="shared" si="2"/>
        <v>10</v>
      </c>
      <c r="AT151" s="12" t="s">
        <v>27</v>
      </c>
      <c r="AU151" s="8">
        <v>1</v>
      </c>
      <c r="AV151" s="12" t="s">
        <v>27</v>
      </c>
      <c r="AW151" s="29" t="s">
        <v>28</v>
      </c>
      <c r="AX151" s="20">
        <v>0</v>
      </c>
      <c r="AY151" s="3">
        <v>-1.5518698445226855</v>
      </c>
      <c r="AZ151" s="2" t="s">
        <v>35</v>
      </c>
      <c r="BA151" s="2">
        <v>1</v>
      </c>
    </row>
    <row r="152" spans="1:53">
      <c r="A152" s="16">
        <v>167</v>
      </c>
      <c r="B152" t="s">
        <v>167</v>
      </c>
      <c r="C152" s="27">
        <v>152</v>
      </c>
      <c r="D152" s="17">
        <v>24.64</v>
      </c>
      <c r="E152" s="17">
        <v>24.79</v>
      </c>
      <c r="F152" s="17">
        <v>28.99</v>
      </c>
      <c r="G152" s="17" t="s">
        <v>211</v>
      </c>
      <c r="H152" s="3">
        <v>30.92</v>
      </c>
      <c r="I152" s="3">
        <v>24.67</v>
      </c>
      <c r="J152" s="3">
        <v>31.23</v>
      </c>
      <c r="K152" s="3">
        <v>32.56</v>
      </c>
      <c r="L152" s="3">
        <v>32.99</v>
      </c>
      <c r="M152" s="3">
        <v>32.299999999999997</v>
      </c>
      <c r="N152" s="3">
        <v>33.49</v>
      </c>
      <c r="O152" s="3">
        <v>30</v>
      </c>
      <c r="P152" s="3">
        <v>28.48</v>
      </c>
      <c r="Q152" s="3">
        <v>31.32</v>
      </c>
      <c r="R152" s="3">
        <v>30.62</v>
      </c>
      <c r="S152" s="3">
        <v>33.99</v>
      </c>
      <c r="T152" s="3">
        <v>30.81</v>
      </c>
      <c r="U152" s="3">
        <v>27.99</v>
      </c>
      <c r="V152" s="3">
        <v>28.88</v>
      </c>
      <c r="W152" s="3">
        <v>32.31</v>
      </c>
      <c r="X152" s="3">
        <v>31.91</v>
      </c>
      <c r="Y152" s="3">
        <v>31.51</v>
      </c>
      <c r="Z152" s="18">
        <v>18322</v>
      </c>
      <c r="AA152" s="19" t="e">
        <f>(#REF!-Z152)/365</f>
        <v>#REF!</v>
      </c>
      <c r="AB152" s="10">
        <v>36602</v>
      </c>
      <c r="AC152" s="39" t="s">
        <v>224</v>
      </c>
      <c r="AD152" s="2">
        <v>2</v>
      </c>
      <c r="AE152" t="s">
        <v>37</v>
      </c>
      <c r="AF152" s="2">
        <v>1</v>
      </c>
      <c r="AG152">
        <v>5</v>
      </c>
      <c r="AH152">
        <v>12</v>
      </c>
      <c r="AI152">
        <v>0</v>
      </c>
      <c r="AJ152" t="s">
        <v>31</v>
      </c>
      <c r="AK152" s="2">
        <v>0</v>
      </c>
      <c r="AM152">
        <v>1</v>
      </c>
      <c r="AN152" s="41">
        <v>75</v>
      </c>
      <c r="AO152">
        <v>1</v>
      </c>
      <c r="AP152" s="41">
        <v>85</v>
      </c>
      <c r="AQ152">
        <v>1</v>
      </c>
      <c r="AR152" s="12">
        <v>0.1</v>
      </c>
      <c r="AS152" s="8">
        <f t="shared" si="2"/>
        <v>10</v>
      </c>
      <c r="AT152" s="12" t="s">
        <v>27</v>
      </c>
      <c r="AU152" s="8">
        <v>1</v>
      </c>
      <c r="AV152" s="12" t="s">
        <v>27</v>
      </c>
      <c r="AW152" s="29" t="s">
        <v>28</v>
      </c>
      <c r="AX152" s="20">
        <v>0</v>
      </c>
      <c r="AY152" s="3">
        <v>-1.0244391864188898</v>
      </c>
      <c r="AZ152" s="2" t="s">
        <v>35</v>
      </c>
      <c r="BA152" s="2">
        <v>1</v>
      </c>
    </row>
    <row r="153" spans="1:53">
      <c r="A153" s="16">
        <v>168</v>
      </c>
      <c r="B153" t="s">
        <v>167</v>
      </c>
      <c r="C153" s="27">
        <v>426</v>
      </c>
      <c r="D153" s="17">
        <v>28.45</v>
      </c>
      <c r="E153" s="17">
        <v>29.77</v>
      </c>
      <c r="F153" s="17">
        <v>34.11</v>
      </c>
      <c r="G153" s="17" t="s">
        <v>211</v>
      </c>
      <c r="H153" s="3">
        <v>34.19</v>
      </c>
      <c r="I153" s="3">
        <v>29.3</v>
      </c>
      <c r="J153" s="3">
        <v>38.200000000000003</v>
      </c>
      <c r="K153" s="3">
        <v>36.58</v>
      </c>
      <c r="L153" s="3">
        <v>35.159999999999997</v>
      </c>
      <c r="M153" s="3" t="s">
        <v>211</v>
      </c>
      <c r="N153" s="3">
        <v>35.65</v>
      </c>
      <c r="O153" s="3">
        <v>36.5</v>
      </c>
      <c r="P153" s="3">
        <v>35.479999999999997</v>
      </c>
      <c r="Q153" s="3">
        <v>36.270000000000003</v>
      </c>
      <c r="R153" s="3">
        <v>37.18</v>
      </c>
      <c r="S153" s="3">
        <v>37.869999999999997</v>
      </c>
      <c r="T153" s="3">
        <v>38.33</v>
      </c>
      <c r="U153" s="3">
        <v>32.29</v>
      </c>
      <c r="V153" s="3">
        <v>32.950000000000003</v>
      </c>
      <c r="W153" s="3" t="s">
        <v>211</v>
      </c>
      <c r="X153" s="3">
        <v>34.61</v>
      </c>
      <c r="Y153" s="3">
        <v>35.99</v>
      </c>
      <c r="Z153" s="18">
        <v>12921</v>
      </c>
      <c r="AA153" s="19" t="e">
        <f>(#REF!-Z153)/365</f>
        <v>#REF!</v>
      </c>
      <c r="AB153" s="10">
        <v>36615</v>
      </c>
      <c r="AC153" s="39" t="s">
        <v>224</v>
      </c>
      <c r="AD153" s="2">
        <v>2</v>
      </c>
      <c r="AE153" t="s">
        <v>25</v>
      </c>
      <c r="AF153" s="2">
        <v>2</v>
      </c>
      <c r="AG153">
        <v>45</v>
      </c>
      <c r="AH153">
        <v>29</v>
      </c>
      <c r="AI153">
        <v>18</v>
      </c>
      <c r="AJ153" t="s">
        <v>61</v>
      </c>
      <c r="AK153" s="2">
        <v>3</v>
      </c>
      <c r="AM153">
        <v>1</v>
      </c>
      <c r="AN153" s="41">
        <v>20</v>
      </c>
      <c r="AO153">
        <v>1</v>
      </c>
      <c r="AP153" s="41">
        <v>70</v>
      </c>
      <c r="AQ153">
        <v>1</v>
      </c>
      <c r="AR153" s="12">
        <v>0.1</v>
      </c>
      <c r="AS153" s="8">
        <f t="shared" si="2"/>
        <v>10</v>
      </c>
      <c r="AT153" s="12" t="s">
        <v>27</v>
      </c>
      <c r="AU153" s="8">
        <v>1</v>
      </c>
      <c r="AV153" s="12" t="s">
        <v>27</v>
      </c>
      <c r="AW153" s="29" t="s">
        <v>33</v>
      </c>
      <c r="AX153" s="20">
        <v>0.15</v>
      </c>
      <c r="AY153" s="3">
        <v>-1.2207798690282279</v>
      </c>
      <c r="AZ153" s="2" t="s">
        <v>35</v>
      </c>
      <c r="BA153" s="2">
        <v>1</v>
      </c>
    </row>
    <row r="154" spans="1:53">
      <c r="A154" s="16">
        <v>169</v>
      </c>
      <c r="B154" t="s">
        <v>167</v>
      </c>
      <c r="C154" s="27">
        <v>202</v>
      </c>
      <c r="D154" s="17">
        <v>23.54</v>
      </c>
      <c r="E154" s="17">
        <v>23.76</v>
      </c>
      <c r="F154" s="17">
        <v>28.83</v>
      </c>
      <c r="G154" s="17" t="s">
        <v>211</v>
      </c>
      <c r="H154" s="3">
        <v>30.95</v>
      </c>
      <c r="I154" s="3">
        <v>23.85</v>
      </c>
      <c r="J154" s="3">
        <v>29.97</v>
      </c>
      <c r="K154" s="3">
        <v>30.35</v>
      </c>
      <c r="L154" s="3">
        <v>29.48</v>
      </c>
      <c r="M154" s="3">
        <v>29.24</v>
      </c>
      <c r="N154" s="3">
        <v>31.96</v>
      </c>
      <c r="O154" s="3">
        <v>29.59</v>
      </c>
      <c r="P154" s="3">
        <v>28.7</v>
      </c>
      <c r="Q154" s="3">
        <v>30.29</v>
      </c>
      <c r="R154" s="3">
        <v>29.23</v>
      </c>
      <c r="S154" s="3">
        <v>32.14</v>
      </c>
      <c r="T154" s="3">
        <v>31.55</v>
      </c>
      <c r="U154" s="3">
        <v>27.65</v>
      </c>
      <c r="V154" s="3">
        <v>28.09</v>
      </c>
      <c r="W154" s="3">
        <v>32.020000000000003</v>
      </c>
      <c r="X154" s="3">
        <v>30.4</v>
      </c>
      <c r="Y154" s="3">
        <v>29.58</v>
      </c>
      <c r="Z154" s="18">
        <v>12196</v>
      </c>
      <c r="AA154" s="19" t="e">
        <f>(#REF!-Z154)/365</f>
        <v>#REF!</v>
      </c>
      <c r="AB154" s="10">
        <v>36809</v>
      </c>
      <c r="AC154" s="39" t="s">
        <v>222</v>
      </c>
      <c r="AD154" s="2">
        <v>1</v>
      </c>
      <c r="AE154" t="s">
        <v>37</v>
      </c>
      <c r="AF154" s="2">
        <v>1</v>
      </c>
      <c r="AG154">
        <v>14</v>
      </c>
      <c r="AH154">
        <v>11</v>
      </c>
      <c r="AI154">
        <v>0</v>
      </c>
      <c r="AJ154" t="s">
        <v>31</v>
      </c>
      <c r="AK154" s="2">
        <v>0</v>
      </c>
      <c r="AM154">
        <v>2</v>
      </c>
      <c r="AN154" s="41" t="s">
        <v>33</v>
      </c>
      <c r="AO154">
        <v>2</v>
      </c>
      <c r="AP154" s="41" t="s">
        <v>33</v>
      </c>
      <c r="AQ154">
        <v>2</v>
      </c>
      <c r="AR154" s="12">
        <v>0.3</v>
      </c>
      <c r="AS154" s="8">
        <f t="shared" si="2"/>
        <v>30</v>
      </c>
      <c r="AT154" s="12" t="s">
        <v>34</v>
      </c>
      <c r="AU154" s="8">
        <v>3</v>
      </c>
      <c r="AV154" s="8" t="s">
        <v>34</v>
      </c>
      <c r="AW154" s="29" t="s">
        <v>169</v>
      </c>
      <c r="AX154" s="20">
        <v>0</v>
      </c>
      <c r="AY154" s="3">
        <v>-0.68456058769117056</v>
      </c>
      <c r="AZ154" s="2" t="s">
        <v>29</v>
      </c>
      <c r="BA154" s="2">
        <v>2</v>
      </c>
    </row>
    <row r="155" spans="1:53">
      <c r="A155" s="16">
        <v>170</v>
      </c>
      <c r="B155" t="s">
        <v>167</v>
      </c>
      <c r="C155" s="27">
        <v>182</v>
      </c>
      <c r="D155" s="17">
        <v>23.63</v>
      </c>
      <c r="E155" s="17">
        <v>24.1</v>
      </c>
      <c r="F155" s="17">
        <v>29.04</v>
      </c>
      <c r="G155" s="17" t="s">
        <v>211</v>
      </c>
      <c r="H155" s="3">
        <v>29.75</v>
      </c>
      <c r="I155" s="3">
        <v>24.44</v>
      </c>
      <c r="J155" s="3">
        <v>30.31</v>
      </c>
      <c r="K155" s="3">
        <v>30.26</v>
      </c>
      <c r="L155" s="3">
        <v>32.35</v>
      </c>
      <c r="M155" s="3">
        <v>30.26</v>
      </c>
      <c r="N155" s="3">
        <v>32.33</v>
      </c>
      <c r="O155" s="3">
        <v>28.96</v>
      </c>
      <c r="P155" s="3">
        <v>27.85</v>
      </c>
      <c r="Q155" s="3">
        <v>30.87</v>
      </c>
      <c r="R155" s="3">
        <v>30.02</v>
      </c>
      <c r="S155" s="3">
        <v>31.51</v>
      </c>
      <c r="T155" s="3">
        <v>29.51</v>
      </c>
      <c r="U155" s="3">
        <v>27.75</v>
      </c>
      <c r="V155" s="3">
        <v>27.52</v>
      </c>
      <c r="W155" s="3">
        <v>33.51</v>
      </c>
      <c r="X155" s="3">
        <v>29.94</v>
      </c>
      <c r="Y155" s="3">
        <v>30.45</v>
      </c>
      <c r="Z155" s="18">
        <v>19899</v>
      </c>
      <c r="AA155" s="19" t="e">
        <f>(#REF!-Z155)/365</f>
        <v>#REF!</v>
      </c>
      <c r="AB155" s="10">
        <v>36696</v>
      </c>
      <c r="AC155" s="39" t="s">
        <v>222</v>
      </c>
      <c r="AD155" s="2">
        <v>1</v>
      </c>
      <c r="AE155" t="s">
        <v>37</v>
      </c>
      <c r="AF155" s="2">
        <v>1</v>
      </c>
      <c r="AG155">
        <v>20</v>
      </c>
      <c r="AH155">
        <v>29</v>
      </c>
      <c r="AI155">
        <v>0</v>
      </c>
      <c r="AJ155" t="s">
        <v>31</v>
      </c>
      <c r="AK155" s="2">
        <v>0</v>
      </c>
      <c r="AM155">
        <v>1</v>
      </c>
      <c r="AN155" s="41">
        <v>85</v>
      </c>
      <c r="AO155">
        <v>2</v>
      </c>
      <c r="AP155" s="41" t="s">
        <v>33</v>
      </c>
      <c r="AQ155">
        <v>1</v>
      </c>
      <c r="AR155" s="12">
        <v>0</v>
      </c>
      <c r="AS155" s="8">
        <f t="shared" si="2"/>
        <v>0</v>
      </c>
      <c r="AT155" s="12" t="s">
        <v>27</v>
      </c>
      <c r="AU155" s="8">
        <v>1</v>
      </c>
      <c r="AV155" s="12" t="s">
        <v>27</v>
      </c>
      <c r="AW155" s="29" t="s">
        <v>169</v>
      </c>
      <c r="AX155" s="20">
        <v>0</v>
      </c>
      <c r="AY155" s="3">
        <v>-1.242721261614617</v>
      </c>
      <c r="AZ155" s="2" t="s">
        <v>35</v>
      </c>
      <c r="BA155" s="2">
        <v>1</v>
      </c>
    </row>
    <row r="156" spans="1:53">
      <c r="A156" s="16">
        <v>171</v>
      </c>
      <c r="B156" t="s">
        <v>167</v>
      </c>
      <c r="C156" s="27">
        <v>535</v>
      </c>
      <c r="D156" s="17">
        <v>24.17</v>
      </c>
      <c r="E156" s="17">
        <v>25.47</v>
      </c>
      <c r="F156" s="17">
        <v>29.03</v>
      </c>
      <c r="G156" s="17" t="s">
        <v>211</v>
      </c>
      <c r="H156" s="3">
        <v>29.46</v>
      </c>
      <c r="I156" s="3">
        <v>24.69</v>
      </c>
      <c r="J156" s="3">
        <v>30.58</v>
      </c>
      <c r="K156" s="3">
        <v>31.01</v>
      </c>
      <c r="L156" s="3">
        <v>33.69</v>
      </c>
      <c r="M156" s="3">
        <v>30.4</v>
      </c>
      <c r="N156" s="3">
        <v>32.61</v>
      </c>
      <c r="O156" s="3">
        <v>29</v>
      </c>
      <c r="P156" s="3">
        <v>28.89</v>
      </c>
      <c r="Q156" s="3">
        <v>32.72</v>
      </c>
      <c r="R156" s="3">
        <v>30.66</v>
      </c>
      <c r="S156" s="3">
        <v>31.9</v>
      </c>
      <c r="T156" s="3">
        <v>30.88</v>
      </c>
      <c r="U156" s="3">
        <v>27.55</v>
      </c>
      <c r="V156" s="3">
        <v>29.03</v>
      </c>
      <c r="W156" s="3">
        <v>33.22</v>
      </c>
      <c r="X156" s="3">
        <v>30.29</v>
      </c>
      <c r="Y156" s="3">
        <v>30.99</v>
      </c>
      <c r="Z156" s="18">
        <v>21362</v>
      </c>
      <c r="AA156" s="19" t="e">
        <f>(#REF!-Z156)/365</f>
        <v>#REF!</v>
      </c>
      <c r="AB156" s="10">
        <v>36704</v>
      </c>
      <c r="AC156" s="39" t="s">
        <v>231</v>
      </c>
      <c r="AD156" s="2"/>
      <c r="AE156" t="s">
        <v>37</v>
      </c>
      <c r="AF156" s="2">
        <v>1</v>
      </c>
      <c r="AG156">
        <v>15</v>
      </c>
      <c r="AH156">
        <v>14</v>
      </c>
      <c r="AI156">
        <v>0</v>
      </c>
      <c r="AJ156" t="s">
        <v>31</v>
      </c>
      <c r="AK156" s="2">
        <v>0</v>
      </c>
      <c r="AM156">
        <v>1</v>
      </c>
      <c r="AN156" s="41">
        <v>70</v>
      </c>
      <c r="AO156">
        <v>2</v>
      </c>
      <c r="AP156" s="41" t="s">
        <v>33</v>
      </c>
      <c r="AQ156">
        <v>1</v>
      </c>
      <c r="AR156" s="12">
        <v>0.05</v>
      </c>
      <c r="AS156" s="8">
        <f t="shared" si="2"/>
        <v>5</v>
      </c>
      <c r="AT156" s="12" t="s">
        <v>27</v>
      </c>
      <c r="AU156" s="8">
        <v>1</v>
      </c>
      <c r="AV156" s="12" t="s">
        <v>27</v>
      </c>
      <c r="AW156" s="29" t="s">
        <v>169</v>
      </c>
      <c r="AX156" s="20">
        <v>0</v>
      </c>
      <c r="AY156" s="3">
        <v>-2.1394366746412028</v>
      </c>
      <c r="AZ156" s="2" t="s">
        <v>35</v>
      </c>
      <c r="BA156" s="2">
        <v>1</v>
      </c>
    </row>
    <row r="157" spans="1:53">
      <c r="A157" s="16">
        <v>172</v>
      </c>
      <c r="B157" t="s">
        <v>167</v>
      </c>
      <c r="C157" s="27">
        <v>981</v>
      </c>
      <c r="D157" s="17">
        <v>20.77</v>
      </c>
      <c r="E157" s="17">
        <v>22.01</v>
      </c>
      <c r="F157" s="17">
        <v>28.3</v>
      </c>
      <c r="G157" s="17" t="s">
        <v>211</v>
      </c>
      <c r="H157" s="3">
        <v>30.82</v>
      </c>
      <c r="I157" s="3" t="s">
        <v>168</v>
      </c>
      <c r="J157" s="3">
        <v>28.93</v>
      </c>
      <c r="K157" s="3">
        <v>28.05</v>
      </c>
      <c r="L157" s="3">
        <v>27.98</v>
      </c>
      <c r="M157" s="3">
        <v>28.85</v>
      </c>
      <c r="N157" s="3">
        <v>30.48</v>
      </c>
      <c r="O157" s="3">
        <v>28.39</v>
      </c>
      <c r="P157" s="3">
        <v>27.79</v>
      </c>
      <c r="Q157" s="3">
        <v>28.39</v>
      </c>
      <c r="R157" s="3">
        <v>28.74</v>
      </c>
      <c r="S157" s="3">
        <v>28.93</v>
      </c>
      <c r="T157" s="3">
        <v>29.87</v>
      </c>
      <c r="U157" s="3">
        <v>27.11</v>
      </c>
      <c r="V157" s="3">
        <v>29.76</v>
      </c>
      <c r="W157" s="3">
        <v>34.03</v>
      </c>
      <c r="X157" s="3">
        <v>27.22</v>
      </c>
      <c r="Y157" s="3">
        <v>30.14</v>
      </c>
      <c r="Z157" s="18">
        <v>19306</v>
      </c>
      <c r="AA157" s="19" t="e">
        <f>(#REF!-Z157)/365</f>
        <v>#REF!</v>
      </c>
      <c r="AB157" s="10">
        <v>36718</v>
      </c>
      <c r="AC157" s="39" t="s">
        <v>223</v>
      </c>
      <c r="AD157" s="2">
        <v>1</v>
      </c>
      <c r="AE157" t="s">
        <v>25</v>
      </c>
      <c r="AF157" s="2">
        <v>2</v>
      </c>
      <c r="AG157">
        <v>22</v>
      </c>
      <c r="AH157">
        <v>28</v>
      </c>
      <c r="AI157">
        <v>0</v>
      </c>
      <c r="AJ157" t="s">
        <v>31</v>
      </c>
      <c r="AK157" s="2">
        <v>0</v>
      </c>
      <c r="AM157">
        <v>2</v>
      </c>
      <c r="AN157" s="41" t="s">
        <v>33</v>
      </c>
      <c r="AO157">
        <v>2</v>
      </c>
      <c r="AP157" s="41" t="s">
        <v>33</v>
      </c>
      <c r="AQ157">
        <v>3</v>
      </c>
      <c r="AR157" s="12">
        <v>0.25</v>
      </c>
      <c r="AS157" s="8">
        <f t="shared" si="2"/>
        <v>25</v>
      </c>
      <c r="AT157" s="12" t="s">
        <v>34</v>
      </c>
      <c r="AU157" s="8">
        <v>3</v>
      </c>
      <c r="AV157" s="8" t="s">
        <v>44</v>
      </c>
      <c r="AW157" s="29" t="s">
        <v>169</v>
      </c>
      <c r="AX157" s="20">
        <v>0</v>
      </c>
      <c r="AY157" s="3">
        <v>0.69483984639542828</v>
      </c>
      <c r="AZ157" s="2" t="s">
        <v>38</v>
      </c>
      <c r="BA157" s="2">
        <v>3</v>
      </c>
    </row>
    <row r="158" spans="1:53">
      <c r="A158" s="16">
        <v>173</v>
      </c>
      <c r="B158" t="s">
        <v>167</v>
      </c>
      <c r="C158" s="27">
        <v>636</v>
      </c>
      <c r="D158" s="17">
        <v>24.21</v>
      </c>
      <c r="E158" s="17">
        <v>26.58</v>
      </c>
      <c r="F158" s="17">
        <v>30.85</v>
      </c>
      <c r="G158" s="17" t="s">
        <v>211</v>
      </c>
      <c r="H158" s="3">
        <v>30.42</v>
      </c>
      <c r="I158" s="3" t="s">
        <v>168</v>
      </c>
      <c r="J158" s="3">
        <v>32.9</v>
      </c>
      <c r="K158" s="3">
        <v>33.31</v>
      </c>
      <c r="L158" s="3">
        <v>33.130000000000003</v>
      </c>
      <c r="M158" s="3">
        <v>32.53</v>
      </c>
      <c r="N158" s="3">
        <v>33.89</v>
      </c>
      <c r="O158" s="3">
        <v>32.020000000000003</v>
      </c>
      <c r="P158" s="3">
        <v>32.08</v>
      </c>
      <c r="Q158" s="3">
        <v>33.06</v>
      </c>
      <c r="R158" s="3">
        <v>32.630000000000003</v>
      </c>
      <c r="S158" s="3">
        <v>36.28</v>
      </c>
      <c r="T158" s="3">
        <v>32.83</v>
      </c>
      <c r="U158" s="3">
        <v>31.56</v>
      </c>
      <c r="V158" s="3">
        <v>31.65</v>
      </c>
      <c r="W158" s="3">
        <v>38.369999999999997</v>
      </c>
      <c r="X158" s="3">
        <v>31.88</v>
      </c>
      <c r="Y158" s="3">
        <v>33</v>
      </c>
      <c r="Z158" s="18">
        <v>10133</v>
      </c>
      <c r="AA158" s="19" t="e">
        <f>(#REF!-Z158)/365</f>
        <v>#REF!</v>
      </c>
      <c r="AB158" s="10">
        <v>36627</v>
      </c>
      <c r="AC158" s="39" t="s">
        <v>222</v>
      </c>
      <c r="AD158" s="2">
        <v>1</v>
      </c>
      <c r="AE158" t="s">
        <v>37</v>
      </c>
      <c r="AF158" s="2">
        <v>1</v>
      </c>
      <c r="AG158">
        <v>20</v>
      </c>
      <c r="AH158">
        <v>20</v>
      </c>
      <c r="AI158">
        <v>0</v>
      </c>
      <c r="AJ158" t="s">
        <v>31</v>
      </c>
      <c r="AK158" s="2">
        <v>0</v>
      </c>
      <c r="AM158">
        <v>1</v>
      </c>
      <c r="AN158" s="41">
        <v>80</v>
      </c>
      <c r="AO158">
        <v>1</v>
      </c>
      <c r="AP158" s="41">
        <v>80</v>
      </c>
      <c r="AQ158">
        <v>3</v>
      </c>
      <c r="AR158" s="12">
        <v>0.1</v>
      </c>
      <c r="AS158" s="8">
        <f t="shared" si="2"/>
        <v>10</v>
      </c>
      <c r="AT158" s="12" t="s">
        <v>27</v>
      </c>
      <c r="AU158" s="8">
        <v>1</v>
      </c>
      <c r="AV158" s="12" t="s">
        <v>27</v>
      </c>
      <c r="AW158" s="29" t="s">
        <v>28</v>
      </c>
      <c r="AX158" s="20">
        <v>0</v>
      </c>
      <c r="AY158" s="3">
        <v>-2.0721118089104644</v>
      </c>
      <c r="AZ158" s="2" t="s">
        <v>35</v>
      </c>
      <c r="BA158" s="2">
        <v>1</v>
      </c>
    </row>
    <row r="159" spans="1:53">
      <c r="A159" s="16">
        <v>174</v>
      </c>
      <c r="B159" t="s">
        <v>167</v>
      </c>
      <c r="C159" s="27">
        <v>291</v>
      </c>
      <c r="D159" s="17">
        <v>25.64</v>
      </c>
      <c r="E159" s="17">
        <v>27.67</v>
      </c>
      <c r="F159" s="17">
        <v>31.48</v>
      </c>
      <c r="G159" s="17" t="s">
        <v>211</v>
      </c>
      <c r="H159" s="3">
        <v>31.23</v>
      </c>
      <c r="I159" s="3" t="s">
        <v>168</v>
      </c>
      <c r="J159" s="3">
        <v>33.19</v>
      </c>
      <c r="K159" s="3">
        <v>33.75</v>
      </c>
      <c r="L159" s="3">
        <v>36.15</v>
      </c>
      <c r="M159" s="3">
        <v>34.31</v>
      </c>
      <c r="N159" s="3">
        <v>34.19</v>
      </c>
      <c r="O159" s="3">
        <v>33.28</v>
      </c>
      <c r="P159" s="3">
        <v>30.46</v>
      </c>
      <c r="Q159" s="3">
        <v>36.1</v>
      </c>
      <c r="R159" s="3">
        <v>32.74</v>
      </c>
      <c r="S159" s="3" t="s">
        <v>211</v>
      </c>
      <c r="T159" s="3">
        <v>32.76</v>
      </c>
      <c r="U159" s="3">
        <v>30.35</v>
      </c>
      <c r="V159" s="3">
        <v>30.51</v>
      </c>
      <c r="W159" s="3">
        <v>35.58</v>
      </c>
      <c r="X159" s="3">
        <v>32.979999999999997</v>
      </c>
      <c r="Y159" s="3">
        <v>33.03</v>
      </c>
      <c r="Z159" s="18">
        <v>7605</v>
      </c>
      <c r="AA159" s="19" t="e">
        <f>(#REF!-Z159)/365</f>
        <v>#REF!</v>
      </c>
      <c r="AB159" s="10">
        <v>36630</v>
      </c>
      <c r="AC159" s="39" t="s">
        <v>222</v>
      </c>
      <c r="AD159" s="2">
        <v>1</v>
      </c>
      <c r="AE159" t="s">
        <v>25</v>
      </c>
      <c r="AF159" s="2">
        <v>2</v>
      </c>
      <c r="AG159">
        <v>25</v>
      </c>
      <c r="AH159">
        <v>20</v>
      </c>
      <c r="AI159">
        <v>0</v>
      </c>
      <c r="AJ159" t="s">
        <v>31</v>
      </c>
      <c r="AK159" s="2">
        <v>0</v>
      </c>
      <c r="AM159">
        <v>2</v>
      </c>
      <c r="AN159" s="41" t="s">
        <v>33</v>
      </c>
      <c r="AO159">
        <v>2</v>
      </c>
      <c r="AP159" s="41" t="s">
        <v>33</v>
      </c>
      <c r="AQ159">
        <v>3</v>
      </c>
      <c r="AR159" s="12">
        <v>0.4</v>
      </c>
      <c r="AS159" s="8">
        <f t="shared" si="2"/>
        <v>40</v>
      </c>
      <c r="AT159" s="12" t="s">
        <v>34</v>
      </c>
      <c r="AU159" s="8">
        <v>3</v>
      </c>
      <c r="AV159" s="8" t="s">
        <v>34</v>
      </c>
      <c r="AW159" s="29" t="s">
        <v>169</v>
      </c>
      <c r="AX159" s="20">
        <v>0</v>
      </c>
      <c r="AY159" s="3">
        <v>-3.3466865650652657</v>
      </c>
      <c r="AZ159" s="2" t="s">
        <v>35</v>
      </c>
      <c r="BA159" s="2">
        <v>1</v>
      </c>
    </row>
    <row r="160" spans="1:53" ht="15">
      <c r="A160" s="16">
        <v>175</v>
      </c>
      <c r="B160" t="s">
        <v>167</v>
      </c>
      <c r="C160" s="27">
        <v>164</v>
      </c>
      <c r="D160" s="17">
        <v>25.87</v>
      </c>
      <c r="E160" s="17">
        <v>26.64</v>
      </c>
      <c r="F160" s="17">
        <v>30.63</v>
      </c>
      <c r="G160" s="17" t="s">
        <v>211</v>
      </c>
      <c r="H160" s="3">
        <v>30.96</v>
      </c>
      <c r="I160" s="3" t="s">
        <v>168</v>
      </c>
      <c r="J160" s="3">
        <v>32.92</v>
      </c>
      <c r="K160" s="3">
        <v>32.33</v>
      </c>
      <c r="L160" s="3">
        <v>32.35</v>
      </c>
      <c r="M160" s="3">
        <v>32.479999999999997</v>
      </c>
      <c r="N160" s="3">
        <v>34.39</v>
      </c>
      <c r="O160" s="3">
        <v>32.47</v>
      </c>
      <c r="P160" s="3">
        <v>30</v>
      </c>
      <c r="Q160" s="3">
        <v>31.91</v>
      </c>
      <c r="R160" s="3">
        <v>32.380000000000003</v>
      </c>
      <c r="S160" s="3" t="s">
        <v>211</v>
      </c>
      <c r="T160" s="3">
        <v>32.58</v>
      </c>
      <c r="U160" s="3">
        <v>29.8</v>
      </c>
      <c r="V160" s="3">
        <v>30.15</v>
      </c>
      <c r="W160" s="3">
        <v>35.67</v>
      </c>
      <c r="X160" s="3">
        <v>31.3</v>
      </c>
      <c r="Y160" s="3">
        <v>34.24</v>
      </c>
      <c r="Z160" s="18">
        <v>16660</v>
      </c>
      <c r="AA160" s="19" t="e">
        <f>(#REF!-Z160)/365</f>
        <v>#REF!</v>
      </c>
      <c r="AB160" s="10">
        <v>36585</v>
      </c>
      <c r="AC160" s="39" t="s">
        <v>222</v>
      </c>
      <c r="AD160" s="2">
        <v>1</v>
      </c>
      <c r="AE160" t="s">
        <v>37</v>
      </c>
      <c r="AF160" s="2">
        <v>1</v>
      </c>
      <c r="AG160">
        <v>10</v>
      </c>
      <c r="AH160">
        <v>13</v>
      </c>
      <c r="AI160">
        <v>0</v>
      </c>
      <c r="AJ160" t="s">
        <v>31</v>
      </c>
      <c r="AK160" s="2">
        <v>0</v>
      </c>
      <c r="AM160">
        <v>1</v>
      </c>
      <c r="AN160" s="41">
        <v>90</v>
      </c>
      <c r="AO160">
        <v>1</v>
      </c>
      <c r="AP160" s="43">
        <v>90</v>
      </c>
      <c r="AQ160">
        <v>1</v>
      </c>
      <c r="AR160" s="12">
        <v>0.2</v>
      </c>
      <c r="AS160" s="8">
        <f t="shared" si="2"/>
        <v>20</v>
      </c>
      <c r="AT160" s="12" t="s">
        <v>34</v>
      </c>
      <c r="AU160" s="8">
        <v>3</v>
      </c>
      <c r="AV160" s="8" t="s">
        <v>44</v>
      </c>
      <c r="AW160" s="29" t="s">
        <v>28</v>
      </c>
      <c r="AX160" s="20">
        <v>0</v>
      </c>
      <c r="AY160" s="3">
        <v>-1.3827837213925562</v>
      </c>
      <c r="AZ160" s="2" t="s">
        <v>35</v>
      </c>
      <c r="BA160" s="2">
        <v>1</v>
      </c>
    </row>
    <row r="161" spans="1:53">
      <c r="A161" s="16">
        <v>176</v>
      </c>
      <c r="B161" t="s">
        <v>167</v>
      </c>
      <c r="C161" s="27">
        <v>55.3</v>
      </c>
      <c r="D161" s="17">
        <v>22.94</v>
      </c>
      <c r="E161" s="17">
        <v>24.96</v>
      </c>
      <c r="F161" s="17">
        <v>28.98</v>
      </c>
      <c r="G161" s="17" t="s">
        <v>211</v>
      </c>
      <c r="H161" s="3">
        <v>29.41</v>
      </c>
      <c r="I161" s="3" t="s">
        <v>168</v>
      </c>
      <c r="J161" s="3">
        <v>30.88</v>
      </c>
      <c r="K161" s="3">
        <v>30.95</v>
      </c>
      <c r="L161" s="3">
        <v>31.42</v>
      </c>
      <c r="M161" s="3">
        <v>31.41</v>
      </c>
      <c r="N161" s="3">
        <v>33.61</v>
      </c>
      <c r="O161" s="3">
        <v>30.65</v>
      </c>
      <c r="P161" s="3">
        <v>29.7</v>
      </c>
      <c r="Q161" s="3">
        <v>32.340000000000003</v>
      </c>
      <c r="R161" s="3">
        <v>30.4</v>
      </c>
      <c r="S161" s="3">
        <v>30.79</v>
      </c>
      <c r="T161" s="3">
        <v>31.45</v>
      </c>
      <c r="U161" s="3">
        <v>27.61</v>
      </c>
      <c r="V161" s="3">
        <v>28.38</v>
      </c>
      <c r="W161" s="3">
        <v>35.869999999999997</v>
      </c>
      <c r="X161" s="3">
        <v>28.07</v>
      </c>
      <c r="Y161" s="3">
        <v>32.33</v>
      </c>
      <c r="Z161" s="18">
        <v>8500</v>
      </c>
      <c r="AA161" s="19" t="e">
        <f>(#REF!-Z161)/365</f>
        <v>#REF!</v>
      </c>
      <c r="AB161" s="10">
        <v>36627</v>
      </c>
      <c r="AC161" s="39" t="s">
        <v>222</v>
      </c>
      <c r="AD161" s="2">
        <v>1</v>
      </c>
      <c r="AE161" t="s">
        <v>37</v>
      </c>
      <c r="AF161" s="2">
        <v>1</v>
      </c>
      <c r="AG161">
        <v>5</v>
      </c>
      <c r="AH161">
        <v>22</v>
      </c>
      <c r="AI161">
        <v>0</v>
      </c>
      <c r="AJ161" t="s">
        <v>31</v>
      </c>
      <c r="AK161" s="2">
        <v>0</v>
      </c>
      <c r="AM161">
        <v>1</v>
      </c>
      <c r="AN161" s="42">
        <v>90</v>
      </c>
      <c r="AO161">
        <v>1</v>
      </c>
      <c r="AP161" s="42">
        <v>90</v>
      </c>
      <c r="AQ161">
        <v>2</v>
      </c>
      <c r="AR161" s="12">
        <v>0.05</v>
      </c>
      <c r="AS161" s="8">
        <f t="shared" si="2"/>
        <v>5</v>
      </c>
      <c r="AT161" s="12" t="s">
        <v>27</v>
      </c>
      <c r="AU161" s="8">
        <v>1</v>
      </c>
      <c r="AV161" s="12" t="s">
        <v>27</v>
      </c>
      <c r="AW161" s="29" t="s">
        <v>28</v>
      </c>
      <c r="AX161" s="20">
        <v>0</v>
      </c>
      <c r="AY161" s="3">
        <v>-1.5415038884874566</v>
      </c>
      <c r="AZ161" s="2" t="s">
        <v>35</v>
      </c>
      <c r="BA161" s="2">
        <v>1</v>
      </c>
    </row>
    <row r="162" spans="1:53" ht="15">
      <c r="A162" s="16">
        <v>177</v>
      </c>
      <c r="B162" t="s">
        <v>167</v>
      </c>
      <c r="C162" s="27">
        <v>98.7</v>
      </c>
      <c r="D162" s="17">
        <v>23.51</v>
      </c>
      <c r="E162" s="17">
        <v>23.89</v>
      </c>
      <c r="F162" s="17">
        <v>29.15</v>
      </c>
      <c r="G162" s="17">
        <v>38.06</v>
      </c>
      <c r="H162" s="3">
        <v>30.59</v>
      </c>
      <c r="I162" s="3" t="s">
        <v>168</v>
      </c>
      <c r="J162" s="3">
        <v>31.06</v>
      </c>
      <c r="K162" s="3">
        <v>31.19</v>
      </c>
      <c r="L162" s="3">
        <v>31.9</v>
      </c>
      <c r="M162" s="3">
        <v>35.03</v>
      </c>
      <c r="N162" s="3">
        <v>33.299999999999997</v>
      </c>
      <c r="O162" s="3">
        <v>31.41</v>
      </c>
      <c r="P162" s="3">
        <v>27.93</v>
      </c>
      <c r="Q162" s="3">
        <v>31.09</v>
      </c>
      <c r="R162" s="3">
        <v>30.24</v>
      </c>
      <c r="S162" s="3">
        <v>32.25</v>
      </c>
      <c r="T162" s="3">
        <v>30.46</v>
      </c>
      <c r="U162" s="3">
        <v>27.86</v>
      </c>
      <c r="V162" s="3">
        <v>29.99</v>
      </c>
      <c r="W162" s="3">
        <v>34.369999999999997</v>
      </c>
      <c r="X162" s="3">
        <v>31.34</v>
      </c>
      <c r="Y162" s="3">
        <v>31.97</v>
      </c>
      <c r="Z162" s="18">
        <v>14952</v>
      </c>
      <c r="AA162" s="19" t="e">
        <f>(#REF!-Z162)/365</f>
        <v>#REF!</v>
      </c>
      <c r="AB162" s="10">
        <v>36587</v>
      </c>
      <c r="AC162" s="39" t="s">
        <v>224</v>
      </c>
      <c r="AD162" s="2">
        <v>2</v>
      </c>
      <c r="AE162" t="s">
        <v>37</v>
      </c>
      <c r="AF162" s="2">
        <v>1</v>
      </c>
      <c r="AG162">
        <v>20</v>
      </c>
      <c r="AH162">
        <v>36</v>
      </c>
      <c r="AI162">
        <v>0</v>
      </c>
      <c r="AJ162" t="s">
        <v>31</v>
      </c>
      <c r="AK162" s="2">
        <v>0</v>
      </c>
      <c r="AM162">
        <v>1</v>
      </c>
      <c r="AN162" s="41">
        <v>40</v>
      </c>
      <c r="AO162">
        <v>1</v>
      </c>
      <c r="AP162" s="43">
        <v>90</v>
      </c>
      <c r="AQ162">
        <v>2</v>
      </c>
      <c r="AR162" s="12">
        <v>0.2</v>
      </c>
      <c r="AS162" s="8">
        <f t="shared" si="2"/>
        <v>20</v>
      </c>
      <c r="AT162" s="12" t="s">
        <v>34</v>
      </c>
      <c r="AU162" s="8">
        <v>3</v>
      </c>
      <c r="AV162" s="8" t="s">
        <v>44</v>
      </c>
      <c r="AW162" s="29" t="s">
        <v>28</v>
      </c>
      <c r="AX162" s="20">
        <v>0.01</v>
      </c>
      <c r="AY162" s="3">
        <v>-0.49316328943507559</v>
      </c>
      <c r="AZ162" s="2" t="s">
        <v>29</v>
      </c>
      <c r="BA162" s="2">
        <v>2</v>
      </c>
    </row>
    <row r="163" spans="1:53" ht="15">
      <c r="A163" s="16">
        <v>178</v>
      </c>
      <c r="B163" t="s">
        <v>167</v>
      </c>
      <c r="C163" s="27">
        <v>374</v>
      </c>
      <c r="D163" s="17">
        <v>24.06</v>
      </c>
      <c r="E163" s="17">
        <v>24.85</v>
      </c>
      <c r="F163" s="17">
        <v>29.25</v>
      </c>
      <c r="G163" s="17" t="s">
        <v>211</v>
      </c>
      <c r="H163" s="3">
        <v>31.38</v>
      </c>
      <c r="I163" s="3" t="s">
        <v>168</v>
      </c>
      <c r="J163" s="3">
        <v>31.03</v>
      </c>
      <c r="K163" s="3">
        <v>31.4</v>
      </c>
      <c r="L163" s="3">
        <v>33.58</v>
      </c>
      <c r="M163" s="3">
        <v>35.049999999999997</v>
      </c>
      <c r="N163" s="3">
        <v>32.56</v>
      </c>
      <c r="O163" s="3">
        <v>30.2</v>
      </c>
      <c r="P163" s="3">
        <v>29.1</v>
      </c>
      <c r="Q163" s="3">
        <v>32.76</v>
      </c>
      <c r="R163" s="3">
        <v>30.68</v>
      </c>
      <c r="S163" s="3">
        <v>30.81</v>
      </c>
      <c r="T163" s="3">
        <v>30.68</v>
      </c>
      <c r="U163" s="3">
        <v>27.39</v>
      </c>
      <c r="V163" s="3">
        <v>30.24</v>
      </c>
      <c r="W163" s="3">
        <v>35.590000000000003</v>
      </c>
      <c r="X163" s="3">
        <v>31.22</v>
      </c>
      <c r="Y163" s="3">
        <v>31.52</v>
      </c>
      <c r="Z163" s="18">
        <v>16948</v>
      </c>
      <c r="AA163" s="19" t="e">
        <f>(#REF!-Z163)/365</f>
        <v>#REF!</v>
      </c>
      <c r="AB163" s="10">
        <v>36769</v>
      </c>
      <c r="AC163" s="39" t="s">
        <v>222</v>
      </c>
      <c r="AD163" s="2">
        <v>1</v>
      </c>
      <c r="AE163" t="s">
        <v>37</v>
      </c>
      <c r="AF163" s="2">
        <v>1</v>
      </c>
      <c r="AG163">
        <v>10</v>
      </c>
      <c r="AH163">
        <v>12</v>
      </c>
      <c r="AI163">
        <v>0</v>
      </c>
      <c r="AJ163" t="s">
        <v>31</v>
      </c>
      <c r="AK163" s="2">
        <v>0</v>
      </c>
      <c r="AM163">
        <v>1</v>
      </c>
      <c r="AN163" s="43">
        <v>70</v>
      </c>
      <c r="AO163">
        <v>1</v>
      </c>
      <c r="AP163" s="43">
        <v>70</v>
      </c>
      <c r="AQ163">
        <v>2</v>
      </c>
      <c r="AR163" s="12">
        <v>0.15</v>
      </c>
      <c r="AS163" s="8">
        <f t="shared" si="2"/>
        <v>15</v>
      </c>
      <c r="AT163" s="12" t="s">
        <v>34</v>
      </c>
      <c r="AU163" s="8">
        <v>3</v>
      </c>
      <c r="AV163" s="8" t="s">
        <v>44</v>
      </c>
      <c r="AW163" s="29" t="s">
        <v>28</v>
      </c>
      <c r="AX163" s="20">
        <v>0</v>
      </c>
      <c r="AY163" s="3">
        <v>-0.93087899391089235</v>
      </c>
      <c r="AZ163" s="2" t="s">
        <v>35</v>
      </c>
      <c r="BA163" s="2">
        <v>1</v>
      </c>
    </row>
    <row r="164" spans="1:53">
      <c r="A164" s="16">
        <v>179</v>
      </c>
      <c r="B164" t="s">
        <v>167</v>
      </c>
      <c r="C164" s="27">
        <v>429</v>
      </c>
      <c r="D164" s="17">
        <v>23.4</v>
      </c>
      <c r="E164" s="17">
        <v>24.15</v>
      </c>
      <c r="F164" s="17">
        <v>28.36</v>
      </c>
      <c r="G164" s="17" t="s">
        <v>211</v>
      </c>
      <c r="H164" s="3">
        <v>31.98</v>
      </c>
      <c r="I164" s="3" t="s">
        <v>168</v>
      </c>
      <c r="J164" s="3">
        <v>29.45</v>
      </c>
      <c r="K164" s="3">
        <v>31.04</v>
      </c>
      <c r="L164" s="3">
        <v>31.16</v>
      </c>
      <c r="M164" s="3">
        <v>29.89</v>
      </c>
      <c r="N164" s="3">
        <v>31.48</v>
      </c>
      <c r="O164" s="3">
        <v>29.76</v>
      </c>
      <c r="P164" s="3">
        <v>29.31</v>
      </c>
      <c r="Q164" s="3">
        <v>31.25</v>
      </c>
      <c r="R164" s="3">
        <v>29.68</v>
      </c>
      <c r="S164" s="3">
        <v>35.39</v>
      </c>
      <c r="T164" s="3">
        <v>30.86</v>
      </c>
      <c r="U164" s="3">
        <v>29.78</v>
      </c>
      <c r="V164" s="3">
        <v>30.68</v>
      </c>
      <c r="W164" s="3">
        <v>34.51</v>
      </c>
      <c r="X164" s="3">
        <v>29.13</v>
      </c>
      <c r="Y164" s="3">
        <v>30.5</v>
      </c>
      <c r="Z164" s="18">
        <v>5101</v>
      </c>
      <c r="AA164" s="19" t="e">
        <f>(#REF!-Z164)/365</f>
        <v>#REF!</v>
      </c>
      <c r="AB164" s="10">
        <v>36629</v>
      </c>
      <c r="AC164" s="39" t="s">
        <v>233</v>
      </c>
      <c r="AD164" s="2"/>
      <c r="AE164" t="s">
        <v>28</v>
      </c>
      <c r="AF164" s="2">
        <v>4</v>
      </c>
      <c r="AG164" t="s">
        <v>28</v>
      </c>
      <c r="AH164">
        <v>12</v>
      </c>
      <c r="AI164">
        <v>12</v>
      </c>
      <c r="AJ164" t="s">
        <v>61</v>
      </c>
      <c r="AK164" s="2">
        <v>3</v>
      </c>
      <c r="AM164">
        <v>2</v>
      </c>
      <c r="AN164" s="41" t="s">
        <v>33</v>
      </c>
      <c r="AO164">
        <v>2</v>
      </c>
      <c r="AP164" s="41" t="s">
        <v>33</v>
      </c>
      <c r="AQ164" s="2" t="s">
        <v>28</v>
      </c>
      <c r="AR164" s="12">
        <v>0.15</v>
      </c>
      <c r="AS164" s="8">
        <f t="shared" si="2"/>
        <v>15</v>
      </c>
      <c r="AT164" s="12" t="s">
        <v>34</v>
      </c>
      <c r="AU164" s="8">
        <v>3</v>
      </c>
      <c r="AV164" s="8" t="s">
        <v>44</v>
      </c>
      <c r="AW164" s="29" t="s">
        <v>28</v>
      </c>
      <c r="AX164" s="20">
        <v>0</v>
      </c>
      <c r="AY164" s="3">
        <v>-0.91498567308510537</v>
      </c>
      <c r="AZ164" s="2" t="s">
        <v>35</v>
      </c>
      <c r="BA164" s="2">
        <v>1</v>
      </c>
    </row>
    <row r="165" spans="1:53" ht="15">
      <c r="A165" s="16">
        <v>180</v>
      </c>
      <c r="B165" t="s">
        <v>167</v>
      </c>
      <c r="C165" s="27">
        <v>114</v>
      </c>
      <c r="D165" s="17">
        <v>25.64</v>
      </c>
      <c r="E165" s="17">
        <v>27.67</v>
      </c>
      <c r="F165" s="17">
        <v>31.48</v>
      </c>
      <c r="G165" s="17" t="s">
        <v>211</v>
      </c>
      <c r="H165" s="3">
        <v>31.23</v>
      </c>
      <c r="I165" s="3" t="s">
        <v>168</v>
      </c>
      <c r="J165" s="3">
        <v>33.19</v>
      </c>
      <c r="K165" s="3">
        <v>33.75</v>
      </c>
      <c r="L165" s="3">
        <v>36.15</v>
      </c>
      <c r="M165" s="3">
        <v>34.31</v>
      </c>
      <c r="N165" s="3">
        <v>34.19</v>
      </c>
      <c r="O165" s="3">
        <v>33.28</v>
      </c>
      <c r="P165" s="3">
        <v>30.46</v>
      </c>
      <c r="Q165" s="3">
        <v>36.1</v>
      </c>
      <c r="R165" s="3">
        <v>32.74</v>
      </c>
      <c r="S165" s="3" t="s">
        <v>211</v>
      </c>
      <c r="T165" s="3">
        <v>32.76</v>
      </c>
      <c r="U165" s="3">
        <v>30.35</v>
      </c>
      <c r="V165" s="3">
        <v>30.51</v>
      </c>
      <c r="W165" s="3">
        <v>35.58</v>
      </c>
      <c r="X165" s="3">
        <v>32.979999999999997</v>
      </c>
      <c r="Y165" s="3">
        <v>33.03</v>
      </c>
      <c r="Z165" s="18">
        <v>15236</v>
      </c>
      <c r="AA165" s="19" t="e">
        <f>(#REF!-Z165)/365</f>
        <v>#REF!</v>
      </c>
      <c r="AB165" s="10">
        <v>36665</v>
      </c>
      <c r="AC165" s="39" t="s">
        <v>222</v>
      </c>
      <c r="AD165" s="2">
        <v>1</v>
      </c>
      <c r="AE165" t="s">
        <v>37</v>
      </c>
      <c r="AF165" s="2">
        <v>1</v>
      </c>
      <c r="AG165">
        <v>5</v>
      </c>
      <c r="AH165">
        <v>11</v>
      </c>
      <c r="AI165">
        <v>0</v>
      </c>
      <c r="AJ165" t="s">
        <v>31</v>
      </c>
      <c r="AK165" s="2">
        <v>0</v>
      </c>
      <c r="AM165">
        <v>1</v>
      </c>
      <c r="AN165" s="43">
        <v>90</v>
      </c>
      <c r="AO165">
        <v>1</v>
      </c>
      <c r="AP165" s="43">
        <v>90</v>
      </c>
      <c r="AQ165">
        <v>2</v>
      </c>
      <c r="AR165" s="12">
        <v>0</v>
      </c>
      <c r="AS165" s="8">
        <f t="shared" si="2"/>
        <v>0</v>
      </c>
      <c r="AT165" s="12" t="s">
        <v>27</v>
      </c>
      <c r="AU165" s="8">
        <v>1</v>
      </c>
      <c r="AV165" s="12" t="s">
        <v>27</v>
      </c>
      <c r="AW165" s="29" t="s">
        <v>28</v>
      </c>
      <c r="AX165" s="20">
        <v>0</v>
      </c>
      <c r="AY165" s="3">
        <v>-3.3466865650652657</v>
      </c>
      <c r="AZ165" s="2" t="s">
        <v>35</v>
      </c>
      <c r="BA165" s="2">
        <v>1</v>
      </c>
    </row>
    <row r="166" spans="1:53">
      <c r="A166" s="16">
        <v>181</v>
      </c>
      <c r="B166" t="s">
        <v>167</v>
      </c>
      <c r="C166" s="27">
        <v>495</v>
      </c>
      <c r="D166" s="17">
        <v>22.71</v>
      </c>
      <c r="E166" s="17">
        <v>24.57</v>
      </c>
      <c r="F166" s="17">
        <v>29.7</v>
      </c>
      <c r="G166" s="17" t="s">
        <v>211</v>
      </c>
      <c r="H166" s="3">
        <v>32.18</v>
      </c>
      <c r="I166" s="3" t="s">
        <v>168</v>
      </c>
      <c r="J166" s="3">
        <v>30.78</v>
      </c>
      <c r="K166" s="3">
        <v>31.36</v>
      </c>
      <c r="L166" s="3">
        <v>30.83</v>
      </c>
      <c r="M166" s="3">
        <v>31.96</v>
      </c>
      <c r="N166" s="3">
        <v>32.479999999999997</v>
      </c>
      <c r="O166" s="3">
        <v>30.14</v>
      </c>
      <c r="P166" s="3">
        <v>29.57</v>
      </c>
      <c r="Q166" s="3">
        <v>30.22</v>
      </c>
      <c r="R166" s="3">
        <v>30.64</v>
      </c>
      <c r="S166" s="3">
        <v>30.74</v>
      </c>
      <c r="T166" s="3">
        <v>31.14</v>
      </c>
      <c r="U166" s="3">
        <v>29.11</v>
      </c>
      <c r="V166" s="3">
        <v>31.3</v>
      </c>
      <c r="W166" s="3">
        <v>35.33</v>
      </c>
      <c r="X166" s="3">
        <v>30.3</v>
      </c>
      <c r="Y166" s="3">
        <v>32.53</v>
      </c>
      <c r="Z166" s="18">
        <v>15798</v>
      </c>
      <c r="AA166" s="19" t="e">
        <f>(#REF!-Z166)/365</f>
        <v>#REF!</v>
      </c>
      <c r="AB166" s="10">
        <v>36662</v>
      </c>
      <c r="AC166" s="39" t="s">
        <v>222</v>
      </c>
      <c r="AD166" s="2">
        <v>1</v>
      </c>
      <c r="AE166" t="s">
        <v>37</v>
      </c>
      <c r="AF166" s="2">
        <v>1</v>
      </c>
      <c r="AG166">
        <v>18</v>
      </c>
      <c r="AH166">
        <v>16</v>
      </c>
      <c r="AI166">
        <v>0</v>
      </c>
      <c r="AJ166" t="s">
        <v>31</v>
      </c>
      <c r="AK166" s="2">
        <v>0</v>
      </c>
      <c r="AM166">
        <v>2</v>
      </c>
      <c r="AN166" s="41" t="s">
        <v>33</v>
      </c>
      <c r="AO166">
        <v>2</v>
      </c>
      <c r="AP166" s="41" t="s">
        <v>33</v>
      </c>
      <c r="AQ166">
        <v>3</v>
      </c>
      <c r="AR166" s="12">
        <v>0.5</v>
      </c>
      <c r="AS166" s="8">
        <f t="shared" si="2"/>
        <v>50</v>
      </c>
      <c r="AT166" s="12" t="s">
        <v>34</v>
      </c>
      <c r="AU166" s="8">
        <v>3</v>
      </c>
      <c r="AV166" s="8" t="s">
        <v>34</v>
      </c>
      <c r="AW166" s="29" t="s">
        <v>28</v>
      </c>
      <c r="AX166" s="20">
        <v>0</v>
      </c>
      <c r="AY166" s="3">
        <v>0.79999541870742952</v>
      </c>
      <c r="AZ166" s="2" t="s">
        <v>38</v>
      </c>
      <c r="BA166" s="2">
        <v>3</v>
      </c>
    </row>
    <row r="167" spans="1:53">
      <c r="A167" s="16">
        <v>182</v>
      </c>
      <c r="B167" t="s">
        <v>167</v>
      </c>
      <c r="C167" s="27">
        <v>533</v>
      </c>
      <c r="D167" s="17">
        <v>24.28</v>
      </c>
      <c r="E167" s="17">
        <v>24.28</v>
      </c>
      <c r="F167" s="17">
        <v>29.17</v>
      </c>
      <c r="G167" s="17" t="s">
        <v>211</v>
      </c>
      <c r="H167" s="3">
        <v>30.17</v>
      </c>
      <c r="I167" s="3" t="s">
        <v>168</v>
      </c>
      <c r="J167" s="3">
        <v>31.09</v>
      </c>
      <c r="K167" s="3">
        <v>31.35</v>
      </c>
      <c r="L167" s="3">
        <v>30.35</v>
      </c>
      <c r="M167" s="3">
        <v>36.67</v>
      </c>
      <c r="N167" s="3">
        <v>33.770000000000003</v>
      </c>
      <c r="O167" s="3">
        <v>28.98</v>
      </c>
      <c r="P167" s="3">
        <v>30.71</v>
      </c>
      <c r="Q167" s="3">
        <v>30.77</v>
      </c>
      <c r="R167" s="3">
        <v>28.53</v>
      </c>
      <c r="S167" s="3">
        <v>31</v>
      </c>
      <c r="T167" s="3">
        <v>32.97</v>
      </c>
      <c r="U167" s="3">
        <v>29.08</v>
      </c>
      <c r="V167" s="3">
        <v>32.43</v>
      </c>
      <c r="W167" s="3">
        <v>35.57</v>
      </c>
      <c r="X167" s="3">
        <v>33.35</v>
      </c>
      <c r="Y167" s="3">
        <v>32.17</v>
      </c>
      <c r="Z167" s="18">
        <v>19029</v>
      </c>
      <c r="AA167" s="19" t="e">
        <f>(#REF!-Z167)/365</f>
        <v>#REF!</v>
      </c>
      <c r="AB167" s="10">
        <v>36664</v>
      </c>
      <c r="AC167" s="39" t="s">
        <v>170</v>
      </c>
      <c r="AD167" s="2"/>
      <c r="AE167" t="s">
        <v>37</v>
      </c>
      <c r="AF167" s="2">
        <v>1</v>
      </c>
      <c r="AG167">
        <v>15</v>
      </c>
      <c r="AH167">
        <v>17</v>
      </c>
      <c r="AI167">
        <v>0</v>
      </c>
      <c r="AJ167" t="s">
        <v>31</v>
      </c>
      <c r="AK167" s="2">
        <v>0</v>
      </c>
      <c r="AM167">
        <v>2</v>
      </c>
      <c r="AN167" s="41" t="s">
        <v>33</v>
      </c>
      <c r="AO167">
        <v>2</v>
      </c>
      <c r="AP167" s="41" t="s">
        <v>33</v>
      </c>
      <c r="AQ167">
        <v>3</v>
      </c>
      <c r="AR167" s="12">
        <v>0.4</v>
      </c>
      <c r="AS167" s="8">
        <f t="shared" si="2"/>
        <v>40</v>
      </c>
      <c r="AT167" s="12" t="s">
        <v>34</v>
      </c>
      <c r="AU167" s="8">
        <v>3</v>
      </c>
      <c r="AV167" s="8" t="s">
        <v>34</v>
      </c>
      <c r="AW167" s="29" t="s">
        <v>28</v>
      </c>
      <c r="AX167" s="20">
        <v>0</v>
      </c>
      <c r="AY167" s="3">
        <v>-0.54363391670963968</v>
      </c>
      <c r="AZ167" s="2" t="s">
        <v>29</v>
      </c>
      <c r="BA167" s="2">
        <v>2</v>
      </c>
    </row>
    <row r="168" spans="1:53" ht="15">
      <c r="A168" s="16">
        <v>183</v>
      </c>
      <c r="B168" t="s">
        <v>167</v>
      </c>
      <c r="C168" s="27">
        <v>386</v>
      </c>
      <c r="D168" s="17">
        <v>24.5</v>
      </c>
      <c r="E168" s="17">
        <v>25.31</v>
      </c>
      <c r="F168" s="17">
        <v>31.08</v>
      </c>
      <c r="G168" s="17" t="s">
        <v>211</v>
      </c>
      <c r="H168" s="3">
        <v>33.21</v>
      </c>
      <c r="I168" s="3" t="s">
        <v>168</v>
      </c>
      <c r="J168" s="3">
        <v>33.18</v>
      </c>
      <c r="K168" s="3">
        <v>33.36</v>
      </c>
      <c r="L168" s="3">
        <v>33.42</v>
      </c>
      <c r="M168" s="3">
        <v>30.89</v>
      </c>
      <c r="N168" s="3">
        <v>34.64</v>
      </c>
      <c r="O168" s="3">
        <v>32.04</v>
      </c>
      <c r="P168" s="3">
        <v>30.36</v>
      </c>
      <c r="Q168" s="3">
        <v>34.090000000000003</v>
      </c>
      <c r="R168" s="3">
        <v>32.4</v>
      </c>
      <c r="S168" s="3">
        <v>32.44</v>
      </c>
      <c r="T168" s="3">
        <v>31.6</v>
      </c>
      <c r="U168" s="3">
        <v>29.86</v>
      </c>
      <c r="V168" s="3">
        <v>32.01</v>
      </c>
      <c r="W168" s="3">
        <v>35.15</v>
      </c>
      <c r="X168" s="3">
        <v>32.53</v>
      </c>
      <c r="Y168" s="3">
        <v>33.89</v>
      </c>
      <c r="Z168" s="18">
        <v>16642</v>
      </c>
      <c r="AA168" s="19" t="e">
        <f>(#REF!-Z168)/365</f>
        <v>#REF!</v>
      </c>
      <c r="AB168" s="10">
        <v>36735</v>
      </c>
      <c r="AC168" s="39" t="s">
        <v>222</v>
      </c>
      <c r="AD168" s="2">
        <v>1</v>
      </c>
      <c r="AE168" t="s">
        <v>37</v>
      </c>
      <c r="AF168" s="2">
        <v>1</v>
      </c>
      <c r="AG168">
        <v>17</v>
      </c>
      <c r="AH168">
        <v>9</v>
      </c>
      <c r="AI168">
        <v>0</v>
      </c>
      <c r="AJ168" t="s">
        <v>31</v>
      </c>
      <c r="AK168" s="2">
        <v>0</v>
      </c>
      <c r="AM168">
        <v>2</v>
      </c>
      <c r="AN168" s="41" t="s">
        <v>33</v>
      </c>
      <c r="AO168">
        <v>1</v>
      </c>
      <c r="AP168" s="43">
        <v>90</v>
      </c>
      <c r="AQ168">
        <v>2</v>
      </c>
      <c r="AR168" s="12">
        <v>0.02</v>
      </c>
      <c r="AS168" s="8">
        <f t="shared" si="2"/>
        <v>2</v>
      </c>
      <c r="AT168" s="12" t="s">
        <v>27</v>
      </c>
      <c r="AU168" s="8">
        <v>1</v>
      </c>
      <c r="AV168" s="12" t="s">
        <v>27</v>
      </c>
      <c r="AW168" s="29" t="s">
        <v>28</v>
      </c>
      <c r="AX168" s="20">
        <v>0</v>
      </c>
      <c r="AY168" s="3">
        <v>-0.36362946744678926</v>
      </c>
      <c r="AZ168" s="2" t="s">
        <v>29</v>
      </c>
      <c r="BA168" s="2">
        <v>2</v>
      </c>
    </row>
    <row r="169" spans="1:53">
      <c r="A169" s="16">
        <v>184</v>
      </c>
      <c r="B169" t="s">
        <v>167</v>
      </c>
      <c r="C169" s="27">
        <v>347</v>
      </c>
      <c r="D169" s="17">
        <v>25.55</v>
      </c>
      <c r="E169" s="17">
        <v>26.5</v>
      </c>
      <c r="F169" s="17">
        <v>29.79</v>
      </c>
      <c r="G169" s="17" t="s">
        <v>211</v>
      </c>
      <c r="H169" s="3">
        <v>33.840000000000003</v>
      </c>
      <c r="I169" s="3" t="s">
        <v>168</v>
      </c>
      <c r="J169" s="3">
        <v>33.1</v>
      </c>
      <c r="K169" s="3">
        <v>32.42</v>
      </c>
      <c r="L169" s="3">
        <v>31.9</v>
      </c>
      <c r="M169" s="3">
        <v>33.770000000000003</v>
      </c>
      <c r="N169" s="3">
        <v>34.380000000000003</v>
      </c>
      <c r="O169" s="3">
        <v>30.24</v>
      </c>
      <c r="P169" s="3">
        <v>31.18</v>
      </c>
      <c r="Q169" s="3">
        <v>30.17</v>
      </c>
      <c r="R169" s="3">
        <v>31.74</v>
      </c>
      <c r="S169" s="3">
        <v>33.18</v>
      </c>
      <c r="T169" s="3">
        <v>32.6</v>
      </c>
      <c r="U169" s="3">
        <v>31.25</v>
      </c>
      <c r="V169" s="3">
        <v>33.6</v>
      </c>
      <c r="W169" s="3">
        <v>35.96</v>
      </c>
      <c r="X169" s="3">
        <v>32.08</v>
      </c>
      <c r="Y169" s="3">
        <v>33.770000000000003</v>
      </c>
      <c r="Z169" s="18">
        <v>16388</v>
      </c>
      <c r="AA169" s="19" t="e">
        <f>(#REF!-Z169)/365</f>
        <v>#REF!</v>
      </c>
      <c r="AB169" s="10">
        <v>36774</v>
      </c>
      <c r="AC169" s="39" t="s">
        <v>223</v>
      </c>
      <c r="AD169" s="2">
        <v>1</v>
      </c>
      <c r="AE169" t="s">
        <v>37</v>
      </c>
      <c r="AF169" s="2">
        <v>1</v>
      </c>
      <c r="AG169">
        <v>8</v>
      </c>
      <c r="AH169">
        <v>41</v>
      </c>
      <c r="AI169">
        <v>0</v>
      </c>
      <c r="AJ169" t="s">
        <v>31</v>
      </c>
      <c r="AK169" s="2">
        <v>0</v>
      </c>
      <c r="AM169">
        <v>2</v>
      </c>
      <c r="AN169" s="41" t="s">
        <v>33</v>
      </c>
      <c r="AO169">
        <v>2</v>
      </c>
      <c r="AP169" s="41" t="s">
        <v>33</v>
      </c>
      <c r="AQ169">
        <v>3</v>
      </c>
      <c r="AR169" s="12">
        <v>0.25</v>
      </c>
      <c r="AS169" s="8">
        <f t="shared" si="2"/>
        <v>25</v>
      </c>
      <c r="AT169" s="12" t="s">
        <v>34</v>
      </c>
      <c r="AU169" s="8">
        <v>3</v>
      </c>
      <c r="AV169" s="8" t="s">
        <v>44</v>
      </c>
      <c r="AW169" s="25" t="s">
        <v>171</v>
      </c>
      <c r="AX169" s="20">
        <v>0.1</v>
      </c>
      <c r="AY169" s="3">
        <v>1.5329320212892406</v>
      </c>
      <c r="AZ169" s="2" t="s">
        <v>38</v>
      </c>
      <c r="BA169" s="2">
        <v>3</v>
      </c>
    </row>
    <row r="170" spans="1:53" ht="15">
      <c r="A170" s="16">
        <v>185</v>
      </c>
      <c r="B170" t="s">
        <v>167</v>
      </c>
      <c r="C170" s="27">
        <v>259</v>
      </c>
      <c r="D170" s="17">
        <v>23.93</v>
      </c>
      <c r="E170" s="17">
        <v>26.03</v>
      </c>
      <c r="F170" s="17">
        <v>29.39</v>
      </c>
      <c r="G170" s="17" t="s">
        <v>211</v>
      </c>
      <c r="H170" s="3">
        <v>30.43</v>
      </c>
      <c r="I170" s="3" t="s">
        <v>168</v>
      </c>
      <c r="J170" s="3">
        <v>31.29</v>
      </c>
      <c r="K170" s="3">
        <v>31.69</v>
      </c>
      <c r="L170" s="3">
        <v>31.73</v>
      </c>
      <c r="M170" s="3">
        <v>30.82</v>
      </c>
      <c r="N170" s="3">
        <v>33.590000000000003</v>
      </c>
      <c r="O170" s="3">
        <v>30.23</v>
      </c>
      <c r="P170" s="3">
        <v>28.27</v>
      </c>
      <c r="Q170" s="3">
        <v>31.51</v>
      </c>
      <c r="R170" s="3">
        <v>30.87</v>
      </c>
      <c r="S170" s="3">
        <v>33.33</v>
      </c>
      <c r="T170" s="3">
        <v>32.11</v>
      </c>
      <c r="U170" s="3">
        <v>29.88</v>
      </c>
      <c r="V170" s="3">
        <v>29.09</v>
      </c>
      <c r="W170" s="3">
        <v>35.200000000000003</v>
      </c>
      <c r="X170" s="3">
        <v>30.48</v>
      </c>
      <c r="Y170" s="3">
        <v>31.29</v>
      </c>
      <c r="Z170" s="18">
        <v>13854</v>
      </c>
      <c r="AA170" s="19" t="e">
        <f>(#REF!-Z170)/365</f>
        <v>#REF!</v>
      </c>
      <c r="AB170" s="10">
        <v>36767</v>
      </c>
      <c r="AC170" s="39" t="s">
        <v>222</v>
      </c>
      <c r="AD170" s="2">
        <v>1</v>
      </c>
      <c r="AE170" t="s">
        <v>37</v>
      </c>
      <c r="AF170" s="2">
        <v>1</v>
      </c>
      <c r="AG170">
        <v>14</v>
      </c>
      <c r="AH170">
        <v>21</v>
      </c>
      <c r="AI170">
        <v>0</v>
      </c>
      <c r="AJ170" t="s">
        <v>31</v>
      </c>
      <c r="AK170" s="2">
        <v>0</v>
      </c>
      <c r="AM170">
        <v>1</v>
      </c>
      <c r="AN170" s="41">
        <v>80</v>
      </c>
      <c r="AO170">
        <v>1</v>
      </c>
      <c r="AP170" s="43">
        <v>80</v>
      </c>
      <c r="AQ170">
        <v>2</v>
      </c>
      <c r="AR170" s="12">
        <v>0.1</v>
      </c>
      <c r="AS170" s="8">
        <f t="shared" si="2"/>
        <v>10</v>
      </c>
      <c r="AT170" s="12" t="s">
        <v>27</v>
      </c>
      <c r="AU170" s="8">
        <v>1</v>
      </c>
      <c r="AV170" s="12" t="s">
        <v>27</v>
      </c>
      <c r="AW170" s="29" t="s">
        <v>28</v>
      </c>
      <c r="AX170" s="20">
        <v>0</v>
      </c>
      <c r="AY170" s="3">
        <v>-1.290280727621661</v>
      </c>
      <c r="AZ170" s="2" t="s">
        <v>35</v>
      </c>
      <c r="BA170" s="2">
        <v>1</v>
      </c>
    </row>
    <row r="171" spans="1:53">
      <c r="A171" s="16">
        <v>186</v>
      </c>
      <c r="B171" t="s">
        <v>167</v>
      </c>
      <c r="C171" s="27">
        <v>362</v>
      </c>
      <c r="D171" s="17">
        <v>22.03</v>
      </c>
      <c r="E171" s="17">
        <v>23.31</v>
      </c>
      <c r="F171" s="17">
        <v>28.85</v>
      </c>
      <c r="G171" s="17" t="s">
        <v>211</v>
      </c>
      <c r="H171" s="3">
        <v>28.01</v>
      </c>
      <c r="I171" s="3" t="s">
        <v>168</v>
      </c>
      <c r="J171" s="3">
        <v>29.34</v>
      </c>
      <c r="K171" s="3">
        <v>30.03</v>
      </c>
      <c r="L171" s="3">
        <v>30.64</v>
      </c>
      <c r="M171" s="3">
        <v>33.85</v>
      </c>
      <c r="N171" s="3">
        <v>31.72</v>
      </c>
      <c r="O171" s="3">
        <v>28.95</v>
      </c>
      <c r="P171" s="3">
        <v>28.4</v>
      </c>
      <c r="Q171" s="3">
        <v>30.74</v>
      </c>
      <c r="R171" s="3">
        <v>29.72</v>
      </c>
      <c r="S171" s="3">
        <v>28.42</v>
      </c>
      <c r="T171" s="3">
        <v>30.87</v>
      </c>
      <c r="U171" s="3">
        <v>27.33</v>
      </c>
      <c r="V171" s="3">
        <v>27.98</v>
      </c>
      <c r="W171" s="3" t="s">
        <v>211</v>
      </c>
      <c r="X171" s="3">
        <v>27.8</v>
      </c>
      <c r="Y171" s="3">
        <v>30.72</v>
      </c>
      <c r="Z171" s="18">
        <v>9478</v>
      </c>
      <c r="AA171" s="19" t="e">
        <f>(#REF!-Z171)/365</f>
        <v>#REF!</v>
      </c>
      <c r="AB171" s="10">
        <v>36682</v>
      </c>
      <c r="AC171" s="39" t="s">
        <v>226</v>
      </c>
      <c r="AD171" s="2"/>
      <c r="AE171" t="s">
        <v>37</v>
      </c>
      <c r="AF171" s="2">
        <v>1</v>
      </c>
      <c r="AG171">
        <v>10</v>
      </c>
      <c r="AH171">
        <v>15</v>
      </c>
      <c r="AI171">
        <v>0</v>
      </c>
      <c r="AJ171" t="s">
        <v>31</v>
      </c>
      <c r="AK171" s="2">
        <v>0</v>
      </c>
      <c r="AM171">
        <v>1</v>
      </c>
      <c r="AN171" s="41">
        <v>90</v>
      </c>
      <c r="AO171">
        <v>1</v>
      </c>
      <c r="AP171" s="41">
        <v>80</v>
      </c>
      <c r="AQ171" s="2" t="s">
        <v>28</v>
      </c>
      <c r="AR171" s="12">
        <v>0.15</v>
      </c>
      <c r="AS171" s="8">
        <f t="shared" si="2"/>
        <v>15</v>
      </c>
      <c r="AT171" s="12" t="s">
        <v>34</v>
      </c>
      <c r="AU171" s="8">
        <v>3</v>
      </c>
      <c r="AV171" s="8" t="s">
        <v>44</v>
      </c>
      <c r="AW171" s="29" t="s">
        <v>28</v>
      </c>
      <c r="AX171" s="20">
        <v>0</v>
      </c>
      <c r="AY171" s="3">
        <v>-1.5056379178926453</v>
      </c>
      <c r="AZ171" s="2" t="s">
        <v>35</v>
      </c>
      <c r="BA171" s="2">
        <v>1</v>
      </c>
    </row>
    <row r="172" spans="1:53" ht="15">
      <c r="A172" s="16">
        <v>187</v>
      </c>
      <c r="B172" t="s">
        <v>167</v>
      </c>
      <c r="C172" s="27">
        <v>648</v>
      </c>
      <c r="D172" s="17">
        <v>23.48</v>
      </c>
      <c r="E172" s="17">
        <v>24.8</v>
      </c>
      <c r="F172" s="17">
        <v>30.41</v>
      </c>
      <c r="G172" s="17" t="s">
        <v>211</v>
      </c>
      <c r="H172" s="3">
        <v>28.86</v>
      </c>
      <c r="I172" s="3" t="s">
        <v>168</v>
      </c>
      <c r="J172" s="3">
        <v>30.5</v>
      </c>
      <c r="K172" s="3">
        <v>31.1</v>
      </c>
      <c r="L172" s="3">
        <v>31.28</v>
      </c>
      <c r="M172" s="3">
        <v>30.8</v>
      </c>
      <c r="N172" s="3">
        <v>32.39</v>
      </c>
      <c r="O172" s="3">
        <v>29.42</v>
      </c>
      <c r="P172" s="3">
        <v>28.95</v>
      </c>
      <c r="Q172" s="3">
        <v>30.2</v>
      </c>
      <c r="R172" s="3">
        <v>30.3</v>
      </c>
      <c r="S172" s="3">
        <v>31.36</v>
      </c>
      <c r="T172" s="3">
        <v>30.9</v>
      </c>
      <c r="U172" s="3">
        <v>26.31</v>
      </c>
      <c r="V172" s="3">
        <v>26.96</v>
      </c>
      <c r="W172" s="3">
        <v>33.950000000000003</v>
      </c>
      <c r="X172" s="3">
        <v>28.09</v>
      </c>
      <c r="Y172" s="3">
        <v>29.74</v>
      </c>
      <c r="Z172" s="18">
        <v>12334</v>
      </c>
      <c r="AA172" s="19" t="e">
        <f>(#REF!-Z172)/365</f>
        <v>#REF!</v>
      </c>
      <c r="AB172" s="10">
        <v>36719</v>
      </c>
      <c r="AC172" s="39" t="s">
        <v>223</v>
      </c>
      <c r="AD172" s="2">
        <v>1</v>
      </c>
      <c r="AE172" t="s">
        <v>37</v>
      </c>
      <c r="AF172" s="2">
        <v>1</v>
      </c>
      <c r="AG172">
        <v>18</v>
      </c>
      <c r="AH172">
        <v>7</v>
      </c>
      <c r="AI172">
        <v>0</v>
      </c>
      <c r="AJ172" t="s">
        <v>31</v>
      </c>
      <c r="AK172" s="2">
        <v>0</v>
      </c>
      <c r="AM172">
        <v>1</v>
      </c>
      <c r="AN172" s="41">
        <v>90</v>
      </c>
      <c r="AO172">
        <v>1</v>
      </c>
      <c r="AP172" s="43">
        <v>80</v>
      </c>
      <c r="AQ172">
        <v>2</v>
      </c>
      <c r="AR172" s="12">
        <v>0.1</v>
      </c>
      <c r="AS172" s="8">
        <f t="shared" si="2"/>
        <v>10</v>
      </c>
      <c r="AT172" s="12" t="s">
        <v>27</v>
      </c>
      <c r="AU172" s="8">
        <v>1</v>
      </c>
      <c r="AV172" s="12" t="s">
        <v>27</v>
      </c>
      <c r="AW172" s="29" t="s">
        <v>28</v>
      </c>
      <c r="AX172" s="20">
        <v>0</v>
      </c>
      <c r="AY172" s="3">
        <v>-1.511806671229962</v>
      </c>
      <c r="AZ172" s="2" t="s">
        <v>35</v>
      </c>
      <c r="BA172" s="2">
        <v>1</v>
      </c>
    </row>
    <row r="173" spans="1:53">
      <c r="A173" s="16">
        <v>188</v>
      </c>
      <c r="B173" t="s">
        <v>167</v>
      </c>
      <c r="C173" s="27">
        <v>906</v>
      </c>
      <c r="D173" s="17">
        <v>24.53</v>
      </c>
      <c r="E173" s="17">
        <v>24.6</v>
      </c>
      <c r="F173" s="17">
        <v>30.64</v>
      </c>
      <c r="G173" s="17" t="s">
        <v>211</v>
      </c>
      <c r="H173" s="3">
        <v>31.64</v>
      </c>
      <c r="I173" s="3" t="s">
        <v>168</v>
      </c>
      <c r="J173" s="3">
        <v>31.63</v>
      </c>
      <c r="K173" s="3">
        <v>32.520000000000003</v>
      </c>
      <c r="L173" s="3">
        <v>32.21</v>
      </c>
      <c r="M173" s="3">
        <v>28.94</v>
      </c>
      <c r="N173" s="3">
        <v>34.04</v>
      </c>
      <c r="O173" s="3">
        <v>30.95</v>
      </c>
      <c r="P173" s="3">
        <v>29.17</v>
      </c>
      <c r="Q173" s="3">
        <v>32.26</v>
      </c>
      <c r="R173" s="3">
        <v>32.28</v>
      </c>
      <c r="S173" s="3">
        <v>32.549999999999997</v>
      </c>
      <c r="T173" s="3">
        <v>32.07</v>
      </c>
      <c r="U173" s="3">
        <v>28.76</v>
      </c>
      <c r="V173" s="3">
        <v>31.3</v>
      </c>
      <c r="W173" s="3">
        <v>36.86</v>
      </c>
      <c r="X173" s="3">
        <v>32.4</v>
      </c>
      <c r="Y173" s="3">
        <v>32.380000000000003</v>
      </c>
      <c r="Z173" s="18">
        <v>18641</v>
      </c>
      <c r="AA173" s="19" t="e">
        <f>(#REF!-Z173)/365</f>
        <v>#REF!</v>
      </c>
      <c r="AB173" s="10">
        <v>36506</v>
      </c>
      <c r="AC173" s="39" t="s">
        <v>222</v>
      </c>
      <c r="AD173" s="2">
        <v>1</v>
      </c>
      <c r="AE173" t="s">
        <v>37</v>
      </c>
      <c r="AF173" s="2">
        <v>1</v>
      </c>
      <c r="AG173">
        <v>20</v>
      </c>
      <c r="AH173">
        <v>5</v>
      </c>
      <c r="AI173">
        <v>2</v>
      </c>
      <c r="AJ173" t="s">
        <v>26</v>
      </c>
      <c r="AK173" s="2">
        <v>1</v>
      </c>
      <c r="AM173">
        <v>1</v>
      </c>
      <c r="AN173" s="41">
        <v>80</v>
      </c>
      <c r="AO173">
        <v>1</v>
      </c>
      <c r="AP173" s="41">
        <v>90</v>
      </c>
      <c r="AQ173">
        <v>2</v>
      </c>
      <c r="AR173" s="12">
        <v>0.2</v>
      </c>
      <c r="AS173" s="8">
        <f t="shared" si="2"/>
        <v>20</v>
      </c>
      <c r="AT173" s="12" t="s">
        <v>34</v>
      </c>
      <c r="AU173" s="8">
        <v>3</v>
      </c>
      <c r="AV173" s="8" t="s">
        <v>44</v>
      </c>
      <c r="AW173" s="29" t="s">
        <v>28</v>
      </c>
      <c r="AX173" s="20">
        <v>0</v>
      </c>
      <c r="AY173" s="3">
        <v>-0.67342840792467951</v>
      </c>
      <c r="AZ173" s="2" t="s">
        <v>29</v>
      </c>
      <c r="BA173" s="2">
        <v>2</v>
      </c>
    </row>
    <row r="174" spans="1:53">
      <c r="A174" s="16">
        <v>189</v>
      </c>
      <c r="B174" t="s">
        <v>167</v>
      </c>
      <c r="C174" s="27">
        <v>450</v>
      </c>
      <c r="D174" s="17">
        <v>25.01</v>
      </c>
      <c r="E174" s="17">
        <v>26.29</v>
      </c>
      <c r="F174" s="17">
        <v>30.88</v>
      </c>
      <c r="G174" s="17" t="s">
        <v>211</v>
      </c>
      <c r="H174" s="3">
        <v>33.22</v>
      </c>
      <c r="I174" s="3" t="s">
        <v>168</v>
      </c>
      <c r="J174" s="3">
        <v>32.97</v>
      </c>
      <c r="K174" s="3">
        <v>33.299999999999997</v>
      </c>
      <c r="L174" s="3">
        <v>32.86</v>
      </c>
      <c r="M174" s="3">
        <v>37.06</v>
      </c>
      <c r="N174" s="3">
        <v>34.24</v>
      </c>
      <c r="O174" s="3">
        <v>32.299999999999997</v>
      </c>
      <c r="P174" s="3">
        <v>30.47</v>
      </c>
      <c r="Q174" s="3">
        <v>34.409999999999997</v>
      </c>
      <c r="R174" s="3">
        <v>31.87</v>
      </c>
      <c r="S174" s="3">
        <v>36.07</v>
      </c>
      <c r="T174" s="3">
        <v>32.49</v>
      </c>
      <c r="U174" s="3">
        <v>30.83</v>
      </c>
      <c r="V174" s="3">
        <v>30.18</v>
      </c>
      <c r="W174" s="3">
        <v>34.270000000000003</v>
      </c>
      <c r="X174" s="3">
        <v>32.24</v>
      </c>
      <c r="Y174" s="3">
        <v>35.01</v>
      </c>
      <c r="Z174" s="18">
        <v>10157</v>
      </c>
      <c r="AA174" s="19" t="e">
        <f>(#REF!-Z174)/365</f>
        <v>#REF!</v>
      </c>
      <c r="AB174" s="10">
        <v>36515</v>
      </c>
      <c r="AC174" s="39" t="s">
        <v>224</v>
      </c>
      <c r="AD174" s="2">
        <v>2</v>
      </c>
      <c r="AE174" t="s">
        <v>37</v>
      </c>
      <c r="AF174" s="2">
        <v>1</v>
      </c>
      <c r="AG174">
        <v>15</v>
      </c>
      <c r="AH174">
        <v>26</v>
      </c>
      <c r="AI174">
        <v>26</v>
      </c>
      <c r="AJ174" t="s">
        <v>61</v>
      </c>
      <c r="AK174" s="2">
        <v>3</v>
      </c>
      <c r="AM174">
        <v>1</v>
      </c>
      <c r="AN174" s="41">
        <v>80</v>
      </c>
      <c r="AO174">
        <v>1</v>
      </c>
      <c r="AP174" s="41">
        <v>80</v>
      </c>
      <c r="AQ174" s="2" t="s">
        <v>28</v>
      </c>
      <c r="AR174" s="12">
        <v>0.1</v>
      </c>
      <c r="AS174" s="8">
        <f t="shared" si="2"/>
        <v>10</v>
      </c>
      <c r="AT174" s="12" t="s">
        <v>27</v>
      </c>
      <c r="AU174" s="8">
        <v>1</v>
      </c>
      <c r="AV174" s="12" t="s">
        <v>27</v>
      </c>
      <c r="AW174" s="29" t="s">
        <v>28</v>
      </c>
      <c r="AX174" s="20">
        <v>0</v>
      </c>
      <c r="AY174" s="3">
        <v>-0.82630618379995036</v>
      </c>
      <c r="AZ174" s="2" t="s">
        <v>29</v>
      </c>
      <c r="BA174" s="2">
        <v>2</v>
      </c>
    </row>
    <row r="175" spans="1:53">
      <c r="A175" s="16">
        <v>190</v>
      </c>
      <c r="B175" t="s">
        <v>167</v>
      </c>
      <c r="C175" s="27">
        <v>169</v>
      </c>
      <c r="D175" s="17">
        <v>22.36</v>
      </c>
      <c r="E175" s="17">
        <v>23.55</v>
      </c>
      <c r="F175" s="17">
        <v>28.41</v>
      </c>
      <c r="G175" s="17">
        <v>39.81</v>
      </c>
      <c r="H175" s="3">
        <v>29.27</v>
      </c>
      <c r="I175" s="3" t="s">
        <v>168</v>
      </c>
      <c r="J175" s="3">
        <v>30.48</v>
      </c>
      <c r="K175" s="3">
        <v>30.12</v>
      </c>
      <c r="L175" s="3">
        <v>32.22</v>
      </c>
      <c r="M175" s="3">
        <v>30.49</v>
      </c>
      <c r="N175" s="3">
        <v>32.04</v>
      </c>
      <c r="O175" s="3">
        <v>29.33</v>
      </c>
      <c r="P175" s="3">
        <v>27.48</v>
      </c>
      <c r="Q175" s="3">
        <v>31.49</v>
      </c>
      <c r="R175" s="3">
        <v>29.62</v>
      </c>
      <c r="S175" s="3">
        <v>30.6</v>
      </c>
      <c r="T175" s="3">
        <v>28.97</v>
      </c>
      <c r="U175" s="3">
        <v>27</v>
      </c>
      <c r="V175" s="3">
        <v>27.79</v>
      </c>
      <c r="W175" s="3">
        <v>32.5</v>
      </c>
      <c r="X175" s="3">
        <v>29.08</v>
      </c>
      <c r="Y175" s="3">
        <v>30.07</v>
      </c>
      <c r="Z175" s="18">
        <v>15248</v>
      </c>
      <c r="AA175" s="19">
        <v>60.054794520547944</v>
      </c>
      <c r="AB175" s="10">
        <v>37138</v>
      </c>
      <c r="AC175" s="39" t="s">
        <v>222</v>
      </c>
      <c r="AD175" s="2">
        <v>1</v>
      </c>
      <c r="AE175" t="s">
        <v>37</v>
      </c>
      <c r="AF175" s="2">
        <v>1</v>
      </c>
      <c r="AG175">
        <v>11</v>
      </c>
      <c r="AH175">
        <v>21</v>
      </c>
      <c r="AI175">
        <v>0</v>
      </c>
      <c r="AJ175" t="s">
        <v>31</v>
      </c>
      <c r="AK175" s="2">
        <v>0</v>
      </c>
      <c r="AM175">
        <v>1</v>
      </c>
      <c r="AN175" s="41">
        <v>90</v>
      </c>
      <c r="AO175">
        <v>1</v>
      </c>
      <c r="AP175" s="41">
        <v>90</v>
      </c>
      <c r="AQ175">
        <v>1</v>
      </c>
      <c r="AR175" s="12">
        <v>0.05</v>
      </c>
      <c r="AS175" s="8">
        <f t="shared" si="2"/>
        <v>5</v>
      </c>
      <c r="AT175" s="12" t="s">
        <v>27</v>
      </c>
      <c r="AU175" s="8">
        <v>1</v>
      </c>
      <c r="AV175" s="12" t="s">
        <v>27</v>
      </c>
      <c r="AW175" s="29" t="s">
        <v>28</v>
      </c>
      <c r="AX175" s="20">
        <v>0.05</v>
      </c>
      <c r="AY175" s="3">
        <v>-1.6945198725541692</v>
      </c>
      <c r="AZ175" s="2" t="s">
        <v>35</v>
      </c>
      <c r="BA175" s="2">
        <v>1</v>
      </c>
    </row>
    <row r="176" spans="1:53">
      <c r="A176" s="16">
        <v>191</v>
      </c>
      <c r="B176" t="s">
        <v>167</v>
      </c>
      <c r="C176" s="27">
        <v>187</v>
      </c>
      <c r="D176" s="17">
        <v>22.02</v>
      </c>
      <c r="E176" s="17">
        <v>23.87</v>
      </c>
      <c r="F176" s="17">
        <v>28.28</v>
      </c>
      <c r="G176" s="17" t="s">
        <v>211</v>
      </c>
      <c r="H176" s="3">
        <v>30.81</v>
      </c>
      <c r="I176" s="3" t="s">
        <v>168</v>
      </c>
      <c r="J176" s="3">
        <v>30.13</v>
      </c>
      <c r="K176" s="3">
        <v>30.45</v>
      </c>
      <c r="L176" s="3">
        <v>29.82</v>
      </c>
      <c r="M176" s="3">
        <v>29.98</v>
      </c>
      <c r="N176" s="3">
        <v>31.82</v>
      </c>
      <c r="O176" s="3">
        <v>29.44</v>
      </c>
      <c r="P176" s="3">
        <v>30.38</v>
      </c>
      <c r="Q176" s="3">
        <v>29.96</v>
      </c>
      <c r="R176" s="3">
        <v>29.02</v>
      </c>
      <c r="S176" s="3">
        <v>30.42</v>
      </c>
      <c r="T176" s="3">
        <v>31.68</v>
      </c>
      <c r="U176" s="3">
        <v>29.99</v>
      </c>
      <c r="V176" s="3">
        <v>30.63</v>
      </c>
      <c r="W176" s="3">
        <v>35.270000000000003</v>
      </c>
      <c r="X176" s="3">
        <v>29.6</v>
      </c>
      <c r="Y176" s="3">
        <v>31.4</v>
      </c>
      <c r="Z176" s="18">
        <v>22568</v>
      </c>
      <c r="AA176" s="19" t="e">
        <f>(#REF!-Z176)/365</f>
        <v>#REF!</v>
      </c>
      <c r="AB176" s="10">
        <v>36720</v>
      </c>
      <c r="AC176" s="39" t="s">
        <v>222</v>
      </c>
      <c r="AD176" s="2">
        <v>1</v>
      </c>
      <c r="AE176" t="s">
        <v>37</v>
      </c>
      <c r="AF176" s="2">
        <v>1</v>
      </c>
      <c r="AG176">
        <v>15</v>
      </c>
      <c r="AH176">
        <v>28</v>
      </c>
      <c r="AI176">
        <v>0</v>
      </c>
      <c r="AJ176" t="s">
        <v>31</v>
      </c>
      <c r="AK176" s="2">
        <v>0</v>
      </c>
      <c r="AM176">
        <v>2</v>
      </c>
      <c r="AN176" s="41" t="s">
        <v>33</v>
      </c>
      <c r="AO176">
        <v>2</v>
      </c>
      <c r="AP176" s="41" t="s">
        <v>33</v>
      </c>
      <c r="AQ176">
        <v>3</v>
      </c>
      <c r="AR176" s="12">
        <v>0.5</v>
      </c>
      <c r="AS176" s="8">
        <f t="shared" si="2"/>
        <v>50</v>
      </c>
      <c r="AT176" s="12" t="s">
        <v>34</v>
      </c>
      <c r="AU176" s="8">
        <v>3</v>
      </c>
      <c r="AV176" s="8" t="s">
        <v>34</v>
      </c>
      <c r="AW176" s="29" t="s">
        <v>28</v>
      </c>
      <c r="AX176" s="20">
        <v>0</v>
      </c>
      <c r="AY176" s="3">
        <v>4.5270019730780597E-2</v>
      </c>
      <c r="AZ176" s="2" t="s">
        <v>38</v>
      </c>
      <c r="BA176" s="2">
        <v>3</v>
      </c>
    </row>
    <row r="177" spans="1:53">
      <c r="A177" s="16">
        <v>192</v>
      </c>
      <c r="B177" t="s">
        <v>167</v>
      </c>
      <c r="C177" s="27">
        <v>273</v>
      </c>
      <c r="D177" s="17">
        <v>21.48</v>
      </c>
      <c r="E177" s="17">
        <v>22.02</v>
      </c>
      <c r="F177" s="17">
        <v>26.84</v>
      </c>
      <c r="G177" s="17">
        <v>38.840000000000003</v>
      </c>
      <c r="H177" s="3">
        <v>27.01</v>
      </c>
      <c r="I177" s="3" t="s">
        <v>168</v>
      </c>
      <c r="J177" s="3">
        <v>28.96</v>
      </c>
      <c r="K177" s="3">
        <v>28.25</v>
      </c>
      <c r="L177" s="3">
        <v>28.77</v>
      </c>
      <c r="M177" s="3">
        <v>30.13</v>
      </c>
      <c r="N177" s="3">
        <v>31.66</v>
      </c>
      <c r="O177" s="3">
        <v>28.9</v>
      </c>
      <c r="P177" s="3">
        <v>26.18</v>
      </c>
      <c r="Q177" s="3">
        <v>28.82</v>
      </c>
      <c r="R177" s="3">
        <v>28.6</v>
      </c>
      <c r="S177" s="3">
        <v>29.78</v>
      </c>
      <c r="T177" s="3">
        <v>28.14</v>
      </c>
      <c r="U177" s="3">
        <v>25.87</v>
      </c>
      <c r="V177" s="3">
        <v>27.8</v>
      </c>
      <c r="W177" s="3">
        <v>32.1</v>
      </c>
      <c r="X177" s="3">
        <v>28.83</v>
      </c>
      <c r="Y177" s="3">
        <v>30.78</v>
      </c>
      <c r="Z177" s="18">
        <v>12661</v>
      </c>
      <c r="AA177" s="19" t="e">
        <f>(#REF!-Z177)/365</f>
        <v>#REF!</v>
      </c>
      <c r="AB177" s="10">
        <v>36508</v>
      </c>
      <c r="AC177" s="39" t="s">
        <v>222</v>
      </c>
      <c r="AD177" s="2">
        <v>1</v>
      </c>
      <c r="AE177" t="s">
        <v>37</v>
      </c>
      <c r="AF177" s="2">
        <v>1</v>
      </c>
      <c r="AG177">
        <v>6</v>
      </c>
      <c r="AH177">
        <v>14</v>
      </c>
      <c r="AI177">
        <v>0</v>
      </c>
      <c r="AJ177" t="s">
        <v>31</v>
      </c>
      <c r="AK177" s="2">
        <v>0</v>
      </c>
      <c r="AM177">
        <v>1</v>
      </c>
      <c r="AN177" s="41">
        <v>95</v>
      </c>
      <c r="AO177">
        <v>1</v>
      </c>
      <c r="AP177" s="41">
        <v>95</v>
      </c>
      <c r="AQ177">
        <v>2</v>
      </c>
      <c r="AR177" s="12">
        <v>0.2</v>
      </c>
      <c r="AS177" s="8">
        <f t="shared" si="2"/>
        <v>20</v>
      </c>
      <c r="AT177" s="12" t="s">
        <v>34</v>
      </c>
      <c r="AU177" s="8">
        <v>3</v>
      </c>
      <c r="AV177" s="8" t="s">
        <v>44</v>
      </c>
      <c r="AW177" s="29" t="s">
        <v>28</v>
      </c>
      <c r="AX177" s="20">
        <v>0</v>
      </c>
      <c r="AY177" s="3">
        <v>-1.2347626877645901</v>
      </c>
      <c r="AZ177" s="2" t="s">
        <v>35</v>
      </c>
      <c r="BA177" s="2">
        <v>1</v>
      </c>
    </row>
    <row r="178" spans="1:53" ht="15">
      <c r="A178" s="16">
        <v>193</v>
      </c>
      <c r="B178" t="s">
        <v>167</v>
      </c>
      <c r="C178" s="27">
        <v>258</v>
      </c>
      <c r="D178" s="17">
        <v>24.53</v>
      </c>
      <c r="E178" s="17">
        <v>26.3</v>
      </c>
      <c r="F178" s="17">
        <v>30.3</v>
      </c>
      <c r="G178" s="17" t="s">
        <v>211</v>
      </c>
      <c r="H178" s="3">
        <v>30.69</v>
      </c>
      <c r="I178" s="3" t="s">
        <v>168</v>
      </c>
      <c r="J178" s="3">
        <v>32.15</v>
      </c>
      <c r="K178" s="3">
        <v>33.729999999999997</v>
      </c>
      <c r="L178" s="3">
        <v>33.65</v>
      </c>
      <c r="M178" s="3" t="s">
        <v>211</v>
      </c>
      <c r="N178" s="3">
        <v>34.43</v>
      </c>
      <c r="O178" s="3">
        <v>31.4</v>
      </c>
      <c r="P178" s="3">
        <v>30.3</v>
      </c>
      <c r="Q178" s="3">
        <v>36.450000000000003</v>
      </c>
      <c r="R178" s="3">
        <v>31.76</v>
      </c>
      <c r="S178" s="3">
        <v>35.409999999999997</v>
      </c>
      <c r="T178" s="3">
        <v>31.43</v>
      </c>
      <c r="U178" s="3">
        <v>28.7</v>
      </c>
      <c r="V178" s="3">
        <v>30.91</v>
      </c>
      <c r="W178" s="3">
        <v>33.89</v>
      </c>
      <c r="X178" s="3">
        <v>32.67</v>
      </c>
      <c r="Y178" s="3">
        <v>33.26</v>
      </c>
      <c r="Z178" s="18">
        <v>19071</v>
      </c>
      <c r="AA178" s="19" t="e">
        <f>(#REF!-Z178)/365</f>
        <v>#REF!</v>
      </c>
      <c r="AB178" s="10">
        <v>36829</v>
      </c>
      <c r="AC178" s="39" t="s">
        <v>222</v>
      </c>
      <c r="AD178" s="2">
        <v>1</v>
      </c>
      <c r="AE178" t="s">
        <v>37</v>
      </c>
      <c r="AF178" s="2">
        <v>1</v>
      </c>
      <c r="AG178">
        <v>12</v>
      </c>
      <c r="AH178">
        <v>15</v>
      </c>
      <c r="AI178">
        <v>0</v>
      </c>
      <c r="AJ178" t="s">
        <v>31</v>
      </c>
      <c r="AK178" s="2">
        <v>0</v>
      </c>
      <c r="AM178">
        <v>1</v>
      </c>
      <c r="AN178" s="41">
        <v>90</v>
      </c>
      <c r="AO178">
        <v>1</v>
      </c>
      <c r="AP178" s="43">
        <v>85</v>
      </c>
      <c r="AQ178">
        <v>2</v>
      </c>
      <c r="AR178" s="12">
        <v>0.1</v>
      </c>
      <c r="AS178" s="8">
        <f t="shared" si="2"/>
        <v>10</v>
      </c>
      <c r="AT178" s="12" t="s">
        <v>27</v>
      </c>
      <c r="AU178" s="8">
        <v>1</v>
      </c>
      <c r="AV178" s="12" t="s">
        <v>27</v>
      </c>
      <c r="AW178" s="29" t="s">
        <v>28</v>
      </c>
      <c r="AX178" s="20">
        <v>0</v>
      </c>
      <c r="AY178" s="3">
        <v>-3.2370383080739034</v>
      </c>
      <c r="AZ178" s="2" t="s">
        <v>35</v>
      </c>
      <c r="BA178" s="2">
        <v>1</v>
      </c>
    </row>
    <row r="179" spans="1:53" ht="15">
      <c r="A179" s="16">
        <v>194</v>
      </c>
      <c r="B179" t="s">
        <v>167</v>
      </c>
      <c r="C179" s="27">
        <v>60</v>
      </c>
      <c r="D179" s="17">
        <v>25.82</v>
      </c>
      <c r="E179" s="17">
        <v>25.89</v>
      </c>
      <c r="F179" s="17">
        <v>30.23</v>
      </c>
      <c r="G179" s="17" t="s">
        <v>211</v>
      </c>
      <c r="H179" s="3">
        <v>33.75</v>
      </c>
      <c r="I179" s="3" t="s">
        <v>168</v>
      </c>
      <c r="J179" s="3">
        <v>32.520000000000003</v>
      </c>
      <c r="K179" s="3">
        <v>32.03</v>
      </c>
      <c r="L179" s="3">
        <v>31.04</v>
      </c>
      <c r="M179" s="3">
        <v>36.01</v>
      </c>
      <c r="N179" s="3">
        <v>33.340000000000003</v>
      </c>
      <c r="O179" s="3">
        <v>30.75</v>
      </c>
      <c r="P179" s="3">
        <v>32.08</v>
      </c>
      <c r="Q179" s="3">
        <v>30.98</v>
      </c>
      <c r="R179" s="3">
        <v>32.020000000000003</v>
      </c>
      <c r="S179" s="3">
        <v>34.78</v>
      </c>
      <c r="T179" s="3">
        <v>31.53</v>
      </c>
      <c r="U179" s="3">
        <v>29.79</v>
      </c>
      <c r="V179" s="3">
        <v>31.98</v>
      </c>
      <c r="W179" s="3" t="s">
        <v>211</v>
      </c>
      <c r="X179" s="3">
        <v>31.24</v>
      </c>
      <c r="Y179" s="3">
        <v>31.84</v>
      </c>
      <c r="Z179" s="18">
        <v>11281</v>
      </c>
      <c r="AA179" s="19" t="e">
        <f>(#REF!-Z179)/365</f>
        <v>#REF!</v>
      </c>
      <c r="AB179" s="10">
        <v>36609</v>
      </c>
      <c r="AC179" s="39" t="s">
        <v>222</v>
      </c>
      <c r="AD179" s="2">
        <v>1</v>
      </c>
      <c r="AE179" t="s">
        <v>37</v>
      </c>
      <c r="AF179" s="2">
        <v>1</v>
      </c>
      <c r="AG179">
        <v>18</v>
      </c>
      <c r="AH179">
        <v>11</v>
      </c>
      <c r="AI179">
        <v>0</v>
      </c>
      <c r="AJ179" t="s">
        <v>31</v>
      </c>
      <c r="AK179" s="2">
        <v>0</v>
      </c>
      <c r="AM179">
        <v>1</v>
      </c>
      <c r="AN179" s="43">
        <v>90</v>
      </c>
      <c r="AO179">
        <v>1</v>
      </c>
      <c r="AP179" s="43">
        <v>80</v>
      </c>
      <c r="AQ179">
        <v>2</v>
      </c>
      <c r="AR179" s="12">
        <v>0.7</v>
      </c>
      <c r="AS179" s="8">
        <f t="shared" si="2"/>
        <v>70</v>
      </c>
      <c r="AT179" s="12" t="s">
        <v>34</v>
      </c>
      <c r="AU179" s="8">
        <v>3</v>
      </c>
      <c r="AV179" s="8" t="s">
        <v>34</v>
      </c>
      <c r="AW179" s="29" t="s">
        <v>28</v>
      </c>
      <c r="AX179" s="20">
        <v>0</v>
      </c>
      <c r="AY179" s="3">
        <v>0.46945315832992951</v>
      </c>
      <c r="AZ179" s="2" t="s">
        <v>38</v>
      </c>
      <c r="BA179" s="2">
        <v>3</v>
      </c>
    </row>
    <row r="180" spans="1:53">
      <c r="A180" s="16">
        <v>195</v>
      </c>
      <c r="B180" t="s">
        <v>167</v>
      </c>
      <c r="C180" s="27">
        <v>421</v>
      </c>
      <c r="D180" s="17">
        <v>23.51</v>
      </c>
      <c r="E180" s="17">
        <v>25.16</v>
      </c>
      <c r="F180" s="17">
        <v>29.42</v>
      </c>
      <c r="G180" s="17" t="s">
        <v>211</v>
      </c>
      <c r="H180" s="3">
        <v>30.05</v>
      </c>
      <c r="I180" s="3" t="s">
        <v>168</v>
      </c>
      <c r="J180" s="3">
        <v>31.41</v>
      </c>
      <c r="K180" s="3">
        <v>32.07</v>
      </c>
      <c r="L180" s="3">
        <v>31.97</v>
      </c>
      <c r="M180" s="3">
        <v>34.64</v>
      </c>
      <c r="N180" s="3">
        <v>33.42</v>
      </c>
      <c r="O180" s="3">
        <v>31.24</v>
      </c>
      <c r="P180" s="3">
        <v>30.05</v>
      </c>
      <c r="Q180" s="3">
        <v>33.33</v>
      </c>
      <c r="R180" s="3">
        <v>30.83</v>
      </c>
      <c r="S180" s="3">
        <v>32.24</v>
      </c>
      <c r="T180" s="3">
        <v>33.19</v>
      </c>
      <c r="U180" s="3">
        <v>27.79</v>
      </c>
      <c r="V180" s="3">
        <v>29.42</v>
      </c>
      <c r="W180" s="3" t="s">
        <v>211</v>
      </c>
      <c r="X180" s="3">
        <v>31.19</v>
      </c>
      <c r="Y180" s="3">
        <v>33.68</v>
      </c>
      <c r="Z180" s="18">
        <v>13153</v>
      </c>
      <c r="AA180" s="19">
        <v>65.536986301369865</v>
      </c>
      <c r="AB180" s="10">
        <v>37029</v>
      </c>
      <c r="AC180" s="39" t="s">
        <v>222</v>
      </c>
      <c r="AD180" s="2">
        <v>1</v>
      </c>
      <c r="AE180" t="s">
        <v>25</v>
      </c>
      <c r="AF180" s="2">
        <v>2</v>
      </c>
      <c r="AG180">
        <v>26</v>
      </c>
      <c r="AH180">
        <v>16</v>
      </c>
      <c r="AI180">
        <v>5</v>
      </c>
      <c r="AJ180" t="s">
        <v>47</v>
      </c>
      <c r="AK180" s="2">
        <v>2</v>
      </c>
      <c r="AM180">
        <v>1</v>
      </c>
      <c r="AN180" s="41">
        <v>95</v>
      </c>
      <c r="AO180">
        <v>1</v>
      </c>
      <c r="AP180" s="41">
        <v>95</v>
      </c>
      <c r="AQ180">
        <v>2</v>
      </c>
      <c r="AR180" s="12">
        <v>0.1</v>
      </c>
      <c r="AS180" s="8">
        <f t="shared" si="2"/>
        <v>10</v>
      </c>
      <c r="AT180" s="12" t="s">
        <v>27</v>
      </c>
      <c r="AU180" s="8">
        <v>1</v>
      </c>
      <c r="AV180" s="12" t="s">
        <v>27</v>
      </c>
      <c r="AW180" s="29" t="s">
        <v>28</v>
      </c>
      <c r="AX180" s="20">
        <v>0</v>
      </c>
      <c r="AY180" s="3">
        <v>-1.5987641841632079</v>
      </c>
      <c r="AZ180" s="2" t="s">
        <v>35</v>
      </c>
      <c r="BA180" s="2">
        <v>1</v>
      </c>
    </row>
    <row r="181" spans="1:53">
      <c r="A181" s="16">
        <v>196</v>
      </c>
      <c r="B181" t="s">
        <v>167</v>
      </c>
      <c r="C181" s="27">
        <v>1120</v>
      </c>
      <c r="D181" s="17">
        <v>24.47</v>
      </c>
      <c r="E181" s="17">
        <v>24.46</v>
      </c>
      <c r="F181" s="17">
        <v>30.08</v>
      </c>
      <c r="G181" s="17" t="s">
        <v>211</v>
      </c>
      <c r="H181" s="3">
        <v>32.76</v>
      </c>
      <c r="I181" s="3" t="s">
        <v>168</v>
      </c>
      <c r="J181" s="3">
        <v>31.58</v>
      </c>
      <c r="K181" s="3">
        <v>32.24</v>
      </c>
      <c r="L181" s="3">
        <v>30.24</v>
      </c>
      <c r="M181" s="3">
        <v>27.99</v>
      </c>
      <c r="N181" s="3">
        <v>34.409999999999997</v>
      </c>
      <c r="O181" s="3">
        <v>31.16</v>
      </c>
      <c r="P181" s="3">
        <v>29.99</v>
      </c>
      <c r="Q181" s="3">
        <v>31.53</v>
      </c>
      <c r="R181" s="3">
        <v>31.22</v>
      </c>
      <c r="S181" s="3">
        <v>33.9</v>
      </c>
      <c r="T181" s="3">
        <v>32.92</v>
      </c>
      <c r="U181" s="3">
        <v>29.66</v>
      </c>
      <c r="V181" s="3">
        <v>31.78</v>
      </c>
      <c r="W181" s="3">
        <v>34.76</v>
      </c>
      <c r="X181" s="3">
        <v>32.6</v>
      </c>
      <c r="Y181" s="3">
        <v>33.11</v>
      </c>
      <c r="Z181" s="24">
        <v>13622</v>
      </c>
      <c r="AA181" s="19" t="e">
        <f>(#REF!-Z181)/365</f>
        <v>#REF!</v>
      </c>
      <c r="AB181" s="10">
        <v>36487</v>
      </c>
      <c r="AC181" s="39" t="s">
        <v>224</v>
      </c>
      <c r="AD181" s="2">
        <v>2</v>
      </c>
      <c r="AE181" t="s">
        <v>37</v>
      </c>
      <c r="AF181" s="2">
        <v>1</v>
      </c>
      <c r="AG181">
        <v>20</v>
      </c>
      <c r="AH181">
        <v>20</v>
      </c>
      <c r="AI181">
        <v>2</v>
      </c>
      <c r="AJ181" t="s">
        <v>26</v>
      </c>
      <c r="AK181" s="2">
        <v>1</v>
      </c>
      <c r="AM181">
        <v>1</v>
      </c>
      <c r="AN181" s="41">
        <v>60</v>
      </c>
      <c r="AO181">
        <v>1</v>
      </c>
      <c r="AP181" s="41">
        <v>80</v>
      </c>
      <c r="AQ181">
        <v>1</v>
      </c>
      <c r="AR181" s="12">
        <v>0.3</v>
      </c>
      <c r="AS181" s="8">
        <f t="shared" si="2"/>
        <v>30</v>
      </c>
      <c r="AT181" s="12" t="s">
        <v>34</v>
      </c>
      <c r="AU181" s="8">
        <v>3</v>
      </c>
      <c r="AV181" s="8" t="s">
        <v>34</v>
      </c>
      <c r="AW181" s="29" t="s">
        <v>28</v>
      </c>
      <c r="AX181">
        <v>0</v>
      </c>
      <c r="AY181" s="3">
        <v>0.14120217178309857</v>
      </c>
      <c r="AZ181" s="2" t="s">
        <v>38</v>
      </c>
      <c r="BA181" s="2">
        <v>3</v>
      </c>
    </row>
    <row r="182" spans="1:53">
      <c r="A182" s="16">
        <v>197</v>
      </c>
      <c r="B182" t="s">
        <v>167</v>
      </c>
      <c r="C182" s="27">
        <v>1140</v>
      </c>
      <c r="D182" s="17">
        <v>21.8</v>
      </c>
      <c r="E182" s="17">
        <v>23.63</v>
      </c>
      <c r="F182" s="17">
        <v>28.93</v>
      </c>
      <c r="G182" s="17" t="s">
        <v>211</v>
      </c>
      <c r="H182" s="3">
        <v>29.26</v>
      </c>
      <c r="I182" s="3" t="s">
        <v>168</v>
      </c>
      <c r="J182" s="3">
        <v>30.85</v>
      </c>
      <c r="K182" s="3">
        <v>32.229999999999997</v>
      </c>
      <c r="L182" s="3">
        <v>29.65</v>
      </c>
      <c r="M182" s="3">
        <v>31.09</v>
      </c>
      <c r="N182" s="3">
        <v>31.89</v>
      </c>
      <c r="O182" s="3">
        <v>30.1</v>
      </c>
      <c r="P182" s="3">
        <v>29.61</v>
      </c>
      <c r="Q182" s="3">
        <v>30.34</v>
      </c>
      <c r="R182" s="3">
        <v>29.88</v>
      </c>
      <c r="S182" s="3">
        <v>30.84</v>
      </c>
      <c r="T182" s="3">
        <v>31.31</v>
      </c>
      <c r="U182" s="3">
        <v>30.34</v>
      </c>
      <c r="V182" s="3">
        <v>32.21</v>
      </c>
      <c r="W182" s="3">
        <v>35.020000000000003</v>
      </c>
      <c r="X182" s="3">
        <v>30.02</v>
      </c>
      <c r="Y182" s="3">
        <v>31.63</v>
      </c>
      <c r="Z182" s="18">
        <v>12258</v>
      </c>
      <c r="AA182" s="19" t="e">
        <f>(#REF!-Z182)/365</f>
        <v>#REF!</v>
      </c>
      <c r="AB182" s="10">
        <v>36503</v>
      </c>
      <c r="AC182" s="39" t="s">
        <v>222</v>
      </c>
      <c r="AD182" s="2">
        <v>1</v>
      </c>
      <c r="AE182" t="s">
        <v>37</v>
      </c>
      <c r="AF182" s="2">
        <v>1</v>
      </c>
      <c r="AG182">
        <v>20</v>
      </c>
      <c r="AH182">
        <v>6</v>
      </c>
      <c r="AI182">
        <v>0</v>
      </c>
      <c r="AJ182" t="s">
        <v>31</v>
      </c>
      <c r="AK182" s="2">
        <v>0</v>
      </c>
      <c r="AM182">
        <v>2</v>
      </c>
      <c r="AN182" s="41" t="s">
        <v>33</v>
      </c>
      <c r="AO182">
        <v>2</v>
      </c>
      <c r="AP182" s="41" t="s">
        <v>33</v>
      </c>
      <c r="AQ182">
        <v>3</v>
      </c>
      <c r="AR182" s="12">
        <v>0.6</v>
      </c>
      <c r="AS182" s="8">
        <f t="shared" si="2"/>
        <v>60</v>
      </c>
      <c r="AT182" s="12" t="s">
        <v>34</v>
      </c>
      <c r="AU182" s="8">
        <v>3</v>
      </c>
      <c r="AV182" s="8" t="s">
        <v>34</v>
      </c>
      <c r="AW182" s="29" t="s">
        <v>28</v>
      </c>
      <c r="AX182" s="20">
        <v>0</v>
      </c>
      <c r="AY182" s="3">
        <v>-0.9019540285769988</v>
      </c>
      <c r="AZ182" s="2" t="s">
        <v>35</v>
      </c>
      <c r="BA182" s="2">
        <v>1</v>
      </c>
    </row>
    <row r="183" spans="1:53">
      <c r="A183" s="16">
        <v>198</v>
      </c>
      <c r="B183" t="s">
        <v>167</v>
      </c>
      <c r="C183" s="27">
        <v>250</v>
      </c>
      <c r="D183" s="17">
        <v>24.15</v>
      </c>
      <c r="E183" s="17">
        <v>24.89</v>
      </c>
      <c r="F183" s="17">
        <v>29.9</v>
      </c>
      <c r="G183" s="17" t="s">
        <v>211</v>
      </c>
      <c r="H183" s="3">
        <v>31.13</v>
      </c>
      <c r="I183" s="3" t="s">
        <v>168</v>
      </c>
      <c r="J183" s="3">
        <v>32</v>
      </c>
      <c r="K183" s="3">
        <v>32.26</v>
      </c>
      <c r="L183" s="3">
        <v>32.83</v>
      </c>
      <c r="M183" s="3">
        <v>30.31</v>
      </c>
      <c r="N183" s="3">
        <v>37.29</v>
      </c>
      <c r="O183" s="3">
        <v>31.1</v>
      </c>
      <c r="P183" s="3">
        <v>28.81</v>
      </c>
      <c r="Q183" s="3">
        <v>33.549999999999997</v>
      </c>
      <c r="R183" s="3">
        <v>32</v>
      </c>
      <c r="S183" s="3">
        <v>32.58</v>
      </c>
      <c r="T183" s="3">
        <v>32.14</v>
      </c>
      <c r="U183" s="3">
        <v>29.32</v>
      </c>
      <c r="V183" s="3">
        <v>30.51</v>
      </c>
      <c r="W183" s="3">
        <v>33.869999999999997</v>
      </c>
      <c r="X183" s="3">
        <v>32.04</v>
      </c>
      <c r="Y183" s="3">
        <v>31.93</v>
      </c>
      <c r="Z183" s="18">
        <v>15816</v>
      </c>
      <c r="AA183" s="19" t="e">
        <f>(#REF!-Z183)/365</f>
        <v>#REF!</v>
      </c>
      <c r="AB183" s="10">
        <v>36686</v>
      </c>
      <c r="AC183" s="39" t="s">
        <v>224</v>
      </c>
      <c r="AD183" s="2">
        <v>2</v>
      </c>
      <c r="AE183" t="s">
        <v>37</v>
      </c>
      <c r="AF183" s="2">
        <v>1</v>
      </c>
      <c r="AG183">
        <v>8</v>
      </c>
      <c r="AH183">
        <v>11</v>
      </c>
      <c r="AI183">
        <v>0</v>
      </c>
      <c r="AJ183" t="s">
        <v>31</v>
      </c>
      <c r="AK183" s="2">
        <v>0</v>
      </c>
      <c r="AM183">
        <v>1</v>
      </c>
      <c r="AN183" s="41">
        <v>70</v>
      </c>
      <c r="AO183">
        <v>1</v>
      </c>
      <c r="AP183" s="41">
        <v>70</v>
      </c>
      <c r="AQ183">
        <v>1</v>
      </c>
      <c r="AR183" s="12">
        <v>0.1</v>
      </c>
      <c r="AS183" s="8">
        <f t="shared" si="2"/>
        <v>10</v>
      </c>
      <c r="AT183" s="12" t="s">
        <v>27</v>
      </c>
      <c r="AU183" s="8">
        <v>1</v>
      </c>
      <c r="AV183" s="12" t="s">
        <v>27</v>
      </c>
      <c r="AW183" s="29" t="s">
        <v>28</v>
      </c>
      <c r="AX183" s="20">
        <v>0</v>
      </c>
      <c r="AY183" s="3">
        <v>-1.5916463093983717</v>
      </c>
      <c r="AZ183" s="2" t="s">
        <v>35</v>
      </c>
      <c r="BA183" s="2">
        <v>1</v>
      </c>
    </row>
    <row r="184" spans="1:53" ht="15">
      <c r="A184" s="16">
        <v>199</v>
      </c>
      <c r="B184" t="s">
        <v>167</v>
      </c>
      <c r="C184" s="27">
        <v>915</v>
      </c>
      <c r="D184" s="17">
        <v>23.86</v>
      </c>
      <c r="E184" s="17">
        <v>25.44</v>
      </c>
      <c r="F184" s="17">
        <v>31.08</v>
      </c>
      <c r="G184" s="17" t="s">
        <v>211</v>
      </c>
      <c r="H184" s="3">
        <v>35.33</v>
      </c>
      <c r="I184" s="3" t="s">
        <v>168</v>
      </c>
      <c r="J184" s="3">
        <v>33.1</v>
      </c>
      <c r="K184" s="3">
        <v>32.86</v>
      </c>
      <c r="L184" s="3">
        <v>33.03</v>
      </c>
      <c r="M184" s="3">
        <v>31.88</v>
      </c>
      <c r="N184" s="3">
        <v>34.159999999999997</v>
      </c>
      <c r="O184" s="3">
        <v>31.56</v>
      </c>
      <c r="P184" s="3">
        <v>30.77</v>
      </c>
      <c r="Q184" s="3">
        <v>33.549999999999997</v>
      </c>
      <c r="R184" s="3">
        <v>32.53</v>
      </c>
      <c r="S184" s="3">
        <v>32.47</v>
      </c>
      <c r="T184" s="3">
        <v>31.38</v>
      </c>
      <c r="U184" s="3">
        <v>29.42</v>
      </c>
      <c r="V184" s="3">
        <v>32.21</v>
      </c>
      <c r="W184" s="3">
        <v>36.15</v>
      </c>
      <c r="X184" s="3">
        <v>32.15</v>
      </c>
      <c r="Y184" s="3">
        <v>34.01</v>
      </c>
      <c r="Z184" s="18">
        <v>15196</v>
      </c>
      <c r="AA184" s="19" t="e">
        <f>(#REF!-Z184)/365</f>
        <v>#REF!</v>
      </c>
      <c r="AB184" s="10">
        <v>36651</v>
      </c>
      <c r="AC184" s="39" t="s">
        <v>222</v>
      </c>
      <c r="AD184" s="2">
        <v>1</v>
      </c>
      <c r="AE184" t="s">
        <v>37</v>
      </c>
      <c r="AF184" s="2">
        <v>1</v>
      </c>
      <c r="AG184">
        <v>20</v>
      </c>
      <c r="AH184">
        <v>24</v>
      </c>
      <c r="AI184">
        <v>1</v>
      </c>
      <c r="AJ184" t="s">
        <v>26</v>
      </c>
      <c r="AK184" s="2">
        <v>1</v>
      </c>
      <c r="AM184">
        <v>2</v>
      </c>
      <c r="AN184" s="41" t="s">
        <v>33</v>
      </c>
      <c r="AO184">
        <v>1</v>
      </c>
      <c r="AP184" s="43">
        <v>40</v>
      </c>
      <c r="AQ184">
        <v>2</v>
      </c>
      <c r="AR184" s="12">
        <v>0.1</v>
      </c>
      <c r="AS184" s="8">
        <f t="shared" si="2"/>
        <v>10</v>
      </c>
      <c r="AT184" s="12" t="s">
        <v>27</v>
      </c>
      <c r="AU184" s="8">
        <v>1</v>
      </c>
      <c r="AV184" s="12" t="s">
        <v>27</v>
      </c>
      <c r="AW184" s="29" t="s">
        <v>28</v>
      </c>
      <c r="AX184" s="20">
        <v>0</v>
      </c>
      <c r="AY184" s="3">
        <v>0.93456977010602404</v>
      </c>
      <c r="AZ184" s="2" t="s">
        <v>38</v>
      </c>
      <c r="BA184" s="2">
        <v>3</v>
      </c>
    </row>
    <row r="185" spans="1:53" ht="15">
      <c r="A185" s="16">
        <v>200</v>
      </c>
      <c r="B185" t="s">
        <v>167</v>
      </c>
      <c r="C185" s="27">
        <v>214</v>
      </c>
      <c r="D185" s="17">
        <v>23.14</v>
      </c>
      <c r="E185" s="17">
        <v>23.77</v>
      </c>
      <c r="F185" s="17">
        <v>29.27</v>
      </c>
      <c r="G185" s="17" t="s">
        <v>211</v>
      </c>
      <c r="H185" s="3">
        <v>29.1</v>
      </c>
      <c r="I185" s="3" t="s">
        <v>168</v>
      </c>
      <c r="J185" s="3">
        <v>29.86</v>
      </c>
      <c r="K185" s="3">
        <v>30.94</v>
      </c>
      <c r="L185" s="3">
        <v>32.69</v>
      </c>
      <c r="M185" s="3">
        <v>29.88</v>
      </c>
      <c r="N185" s="3">
        <v>33.26</v>
      </c>
      <c r="O185" s="3">
        <v>29.57</v>
      </c>
      <c r="P185" s="3">
        <v>27.9</v>
      </c>
      <c r="Q185" s="3">
        <v>32.06</v>
      </c>
      <c r="R185" s="3">
        <v>30.65</v>
      </c>
      <c r="S185" s="3">
        <v>32.97</v>
      </c>
      <c r="T185" s="3">
        <v>29.76</v>
      </c>
      <c r="U185" s="3">
        <v>27.76</v>
      </c>
      <c r="V185" s="3">
        <v>28.61</v>
      </c>
      <c r="W185" s="3">
        <v>33.06</v>
      </c>
      <c r="X185" s="3">
        <v>30.05</v>
      </c>
      <c r="Y185" s="3">
        <v>31.14</v>
      </c>
      <c r="Z185" s="18">
        <v>10677</v>
      </c>
      <c r="AA185" s="19" t="e">
        <f>(#REF!-Z185)/365</f>
        <v>#REF!</v>
      </c>
      <c r="AB185" s="10">
        <v>36837</v>
      </c>
      <c r="AC185" s="39" t="s">
        <v>97</v>
      </c>
      <c r="AD185" s="2"/>
      <c r="AE185" t="s">
        <v>37</v>
      </c>
      <c r="AF185" s="2">
        <v>1</v>
      </c>
      <c r="AG185">
        <v>12</v>
      </c>
      <c r="AH185">
        <v>41</v>
      </c>
      <c r="AI185">
        <v>2</v>
      </c>
      <c r="AJ185" t="s">
        <v>26</v>
      </c>
      <c r="AK185" s="2">
        <v>1</v>
      </c>
      <c r="AM185">
        <v>1</v>
      </c>
      <c r="AN185" s="41">
        <v>90</v>
      </c>
      <c r="AO185">
        <v>1</v>
      </c>
      <c r="AP185" s="43">
        <v>30</v>
      </c>
      <c r="AQ185">
        <v>2</v>
      </c>
      <c r="AR185" s="12">
        <v>0.1</v>
      </c>
      <c r="AS185" s="8">
        <f t="shared" si="2"/>
        <v>10</v>
      </c>
      <c r="AT185" s="12" t="s">
        <v>27</v>
      </c>
      <c r="AU185" s="8">
        <v>1</v>
      </c>
      <c r="AV185" s="12" t="s">
        <v>27</v>
      </c>
      <c r="AW185" s="29" t="s">
        <v>28</v>
      </c>
      <c r="AX185" s="20">
        <v>0</v>
      </c>
      <c r="AY185" s="3">
        <v>-2.1706758218437368</v>
      </c>
      <c r="AZ185" s="2" t="s">
        <v>35</v>
      </c>
      <c r="BA185" s="2">
        <v>1</v>
      </c>
    </row>
    <row r="186" spans="1:53">
      <c r="A186" s="16">
        <v>201</v>
      </c>
      <c r="B186" t="s">
        <v>167</v>
      </c>
      <c r="C186" s="27">
        <v>664</v>
      </c>
      <c r="D186" s="17">
        <v>22.18</v>
      </c>
      <c r="E186" s="17">
        <v>22.71</v>
      </c>
      <c r="F186" s="17">
        <v>27.9</v>
      </c>
      <c r="G186" s="17" t="s">
        <v>211</v>
      </c>
      <c r="H186" s="3">
        <v>28.18</v>
      </c>
      <c r="I186" s="3" t="s">
        <v>168</v>
      </c>
      <c r="J186" s="3">
        <v>29.25</v>
      </c>
      <c r="K186" s="3">
        <v>29.61</v>
      </c>
      <c r="L186" s="3">
        <v>30.63</v>
      </c>
      <c r="M186" s="3">
        <v>24.78</v>
      </c>
      <c r="N186" s="3">
        <v>32.71</v>
      </c>
      <c r="O186" s="3">
        <v>28.81</v>
      </c>
      <c r="P186" s="3">
        <v>28.19</v>
      </c>
      <c r="Q186" s="3">
        <v>30.33</v>
      </c>
      <c r="R186" s="3">
        <v>29.25</v>
      </c>
      <c r="S186" s="3">
        <v>33.630000000000003</v>
      </c>
      <c r="T186" s="3">
        <v>31.16</v>
      </c>
      <c r="U186" s="3">
        <v>26.74</v>
      </c>
      <c r="V186" s="3">
        <v>27.16</v>
      </c>
      <c r="W186" s="3">
        <v>34.9</v>
      </c>
      <c r="X186" s="3">
        <v>28.91</v>
      </c>
      <c r="Y186" s="3">
        <v>30.79</v>
      </c>
      <c r="Z186" s="18">
        <v>17630</v>
      </c>
      <c r="AA186" s="19">
        <v>53.027397260273972</v>
      </c>
      <c r="AB186" s="10">
        <v>36956</v>
      </c>
      <c r="AC186" s="39" t="s">
        <v>222</v>
      </c>
      <c r="AD186" s="2">
        <v>1</v>
      </c>
      <c r="AE186" t="s">
        <v>25</v>
      </c>
      <c r="AF186" s="2">
        <v>2</v>
      </c>
      <c r="AG186">
        <v>30</v>
      </c>
      <c r="AH186">
        <v>39</v>
      </c>
      <c r="AI186">
        <v>11</v>
      </c>
      <c r="AJ186" t="s">
        <v>61</v>
      </c>
      <c r="AK186" s="2">
        <v>3</v>
      </c>
      <c r="AM186">
        <v>1</v>
      </c>
      <c r="AN186" s="41">
        <v>90</v>
      </c>
      <c r="AO186">
        <v>1</v>
      </c>
      <c r="AP186" s="41">
        <v>90</v>
      </c>
      <c r="AQ186">
        <v>2</v>
      </c>
      <c r="AR186" s="12">
        <v>0.1</v>
      </c>
      <c r="AS186" s="8">
        <f t="shared" si="2"/>
        <v>10</v>
      </c>
      <c r="AT186" s="12" t="s">
        <v>27</v>
      </c>
      <c r="AU186" s="8">
        <v>1</v>
      </c>
      <c r="AV186" s="12" t="s">
        <v>27</v>
      </c>
      <c r="AW186" s="29" t="s">
        <v>28</v>
      </c>
      <c r="AX186" s="20">
        <v>0.1</v>
      </c>
      <c r="AY186" s="3">
        <v>-2.0477226434625333</v>
      </c>
      <c r="AZ186" s="2" t="s">
        <v>35</v>
      </c>
      <c r="BA186" s="2">
        <v>1</v>
      </c>
    </row>
    <row r="187" spans="1:53">
      <c r="A187" s="16">
        <v>202</v>
      </c>
      <c r="B187" t="s">
        <v>167</v>
      </c>
      <c r="C187" s="27">
        <v>1000</v>
      </c>
      <c r="D187" s="17">
        <v>22.31</v>
      </c>
      <c r="E187" s="17">
        <v>22.84</v>
      </c>
      <c r="F187" s="17">
        <v>27.97</v>
      </c>
      <c r="G187" s="17" t="s">
        <v>211</v>
      </c>
      <c r="H187" s="3">
        <v>32.299999999999997</v>
      </c>
      <c r="I187" s="3" t="s">
        <v>168</v>
      </c>
      <c r="J187" s="3">
        <v>30.07</v>
      </c>
      <c r="K187" s="3">
        <v>29.5</v>
      </c>
      <c r="L187" s="3">
        <v>27.94</v>
      </c>
      <c r="M187" s="3">
        <v>29.89</v>
      </c>
      <c r="N187" s="3">
        <v>32.24</v>
      </c>
      <c r="O187" s="3">
        <v>28.95</v>
      </c>
      <c r="P187" s="3">
        <v>29.79</v>
      </c>
      <c r="Q187" s="3">
        <v>30.47</v>
      </c>
      <c r="R187" s="3">
        <v>30.41</v>
      </c>
      <c r="S187" s="3">
        <v>32.86</v>
      </c>
      <c r="T187" s="3">
        <v>32.29</v>
      </c>
      <c r="U187" s="3">
        <v>30.8</v>
      </c>
      <c r="V187" s="3">
        <v>31.61</v>
      </c>
      <c r="W187" s="3">
        <v>34.869999999999997</v>
      </c>
      <c r="X187" s="3">
        <v>29.72</v>
      </c>
      <c r="Y187" s="3">
        <v>33.35</v>
      </c>
      <c r="Z187" s="18">
        <v>15297</v>
      </c>
      <c r="AA187" s="19" t="e">
        <f>(#REF!-Z187)/365</f>
        <v>#REF!</v>
      </c>
      <c r="AB187" s="10">
        <v>36664</v>
      </c>
      <c r="AC187" s="39" t="s">
        <v>222</v>
      </c>
      <c r="AD187" s="2">
        <v>1</v>
      </c>
      <c r="AE187" t="s">
        <v>25</v>
      </c>
      <c r="AF187" s="2">
        <v>2</v>
      </c>
      <c r="AG187">
        <v>22</v>
      </c>
      <c r="AH187">
        <v>26</v>
      </c>
      <c r="AI187">
        <v>1</v>
      </c>
      <c r="AJ187" t="s">
        <v>26</v>
      </c>
      <c r="AK187" s="2">
        <v>1</v>
      </c>
      <c r="AM187">
        <v>2</v>
      </c>
      <c r="AN187" s="41" t="s">
        <v>33</v>
      </c>
      <c r="AO187">
        <v>2</v>
      </c>
      <c r="AP187" s="41" t="s">
        <v>33</v>
      </c>
      <c r="AQ187">
        <v>3</v>
      </c>
      <c r="AR187" s="12">
        <v>0.25</v>
      </c>
      <c r="AS187" s="8">
        <f t="shared" si="2"/>
        <v>25</v>
      </c>
      <c r="AT187" s="12" t="s">
        <v>34</v>
      </c>
      <c r="AU187" s="8">
        <v>3</v>
      </c>
      <c r="AV187" s="8" t="s">
        <v>44</v>
      </c>
      <c r="AW187" s="29" t="s">
        <v>28</v>
      </c>
      <c r="AX187" s="20">
        <v>0</v>
      </c>
      <c r="AY187" s="3">
        <v>0.58220931837448942</v>
      </c>
      <c r="AZ187" s="2" t="s">
        <v>38</v>
      </c>
      <c r="BA187" s="2">
        <v>3</v>
      </c>
    </row>
    <row r="188" spans="1:53">
      <c r="A188" s="16">
        <v>203</v>
      </c>
      <c r="B188" t="s">
        <v>167</v>
      </c>
      <c r="C188" s="27">
        <v>153</v>
      </c>
      <c r="D188" s="17">
        <v>21.36</v>
      </c>
      <c r="E188" s="17">
        <v>23.11</v>
      </c>
      <c r="F188" s="17">
        <v>27.88</v>
      </c>
      <c r="G188" s="17" t="s">
        <v>211</v>
      </c>
      <c r="H188" s="3">
        <v>28.98</v>
      </c>
      <c r="I188" s="3" t="s">
        <v>168</v>
      </c>
      <c r="J188" s="3">
        <v>30.11</v>
      </c>
      <c r="K188" s="3">
        <v>30.13</v>
      </c>
      <c r="L188" s="3">
        <v>31.71</v>
      </c>
      <c r="M188" s="3">
        <v>31.94</v>
      </c>
      <c r="N188" s="3">
        <v>32.479999999999997</v>
      </c>
      <c r="O188" s="3">
        <v>29.75</v>
      </c>
      <c r="P188" s="3">
        <v>28.38</v>
      </c>
      <c r="Q188" s="3">
        <v>31.85</v>
      </c>
      <c r="R188" s="3">
        <v>29.6</v>
      </c>
      <c r="S188" s="3">
        <v>29.28</v>
      </c>
      <c r="T188" s="3">
        <v>28.9</v>
      </c>
      <c r="U188" s="3">
        <v>28.09</v>
      </c>
      <c r="V188" s="3">
        <v>28.24</v>
      </c>
      <c r="W188" s="3">
        <v>33.44</v>
      </c>
      <c r="X188" s="3">
        <v>29.18</v>
      </c>
      <c r="Y188" s="3">
        <v>31.39</v>
      </c>
      <c r="Z188" s="18">
        <v>17954</v>
      </c>
      <c r="AA188" s="19">
        <v>52.328767123287669</v>
      </c>
      <c r="AB188" s="10">
        <v>37026</v>
      </c>
      <c r="AC188" s="39" t="s">
        <v>228</v>
      </c>
      <c r="AD188" s="2"/>
      <c r="AE188" t="s">
        <v>37</v>
      </c>
      <c r="AF188" s="2">
        <v>1</v>
      </c>
      <c r="AG188">
        <v>10</v>
      </c>
      <c r="AH188">
        <v>35</v>
      </c>
      <c r="AI188">
        <v>3</v>
      </c>
      <c r="AJ188" t="s">
        <v>26</v>
      </c>
      <c r="AK188" s="2">
        <v>1</v>
      </c>
      <c r="AM188">
        <v>1</v>
      </c>
      <c r="AN188" s="41">
        <v>80</v>
      </c>
      <c r="AO188">
        <v>2</v>
      </c>
      <c r="AP188" s="41" t="s">
        <v>33</v>
      </c>
      <c r="AQ188">
        <v>3</v>
      </c>
      <c r="AR188" s="12">
        <v>0</v>
      </c>
      <c r="AS188" s="8">
        <f t="shared" si="2"/>
        <v>0</v>
      </c>
      <c r="AT188" s="12" t="s">
        <v>27</v>
      </c>
      <c r="AU188" s="8">
        <v>1</v>
      </c>
      <c r="AV188" s="12" t="s">
        <v>27</v>
      </c>
      <c r="AW188" s="25" t="s">
        <v>33</v>
      </c>
      <c r="AX188" s="20">
        <v>0.1</v>
      </c>
      <c r="AY188" s="3">
        <v>-1.5126384321834587</v>
      </c>
      <c r="AZ188" s="2" t="s">
        <v>35</v>
      </c>
      <c r="BA188" s="2">
        <v>1</v>
      </c>
    </row>
    <row r="189" spans="1:53">
      <c r="A189" s="16">
        <v>204</v>
      </c>
      <c r="B189" t="s">
        <v>167</v>
      </c>
      <c r="C189" s="27">
        <v>272</v>
      </c>
      <c r="D189" s="17">
        <v>23.06</v>
      </c>
      <c r="E189" s="17">
        <v>23.99</v>
      </c>
      <c r="F189" s="17">
        <v>28.92</v>
      </c>
      <c r="G189" s="17" t="s">
        <v>211</v>
      </c>
      <c r="H189" s="3">
        <v>30.37</v>
      </c>
      <c r="I189" s="3" t="s">
        <v>168</v>
      </c>
      <c r="J189" s="3">
        <v>31.28</v>
      </c>
      <c r="K189" s="3">
        <v>31.04</v>
      </c>
      <c r="L189" s="3">
        <v>31.61</v>
      </c>
      <c r="M189" s="3">
        <v>28.69</v>
      </c>
      <c r="N189" s="3">
        <v>33.94</v>
      </c>
      <c r="O189" s="3">
        <v>31.06</v>
      </c>
      <c r="P189" s="3">
        <v>28.32</v>
      </c>
      <c r="Q189" s="3">
        <v>33.24</v>
      </c>
      <c r="R189" s="3">
        <v>30.55</v>
      </c>
      <c r="S189" s="3">
        <v>33.08</v>
      </c>
      <c r="T189" s="3">
        <v>30.27</v>
      </c>
      <c r="U189" s="3">
        <v>27.36</v>
      </c>
      <c r="V189" s="3">
        <v>27.6</v>
      </c>
      <c r="W189" s="3">
        <v>33.22</v>
      </c>
      <c r="X189" s="3">
        <v>30.53</v>
      </c>
      <c r="Y189" s="3">
        <v>32.18</v>
      </c>
      <c r="Z189" s="18">
        <v>20320</v>
      </c>
      <c r="AA189" s="19">
        <v>46.227397260273975</v>
      </c>
      <c r="AB189" s="10">
        <v>37152</v>
      </c>
      <c r="AC189" s="39" t="s">
        <v>222</v>
      </c>
      <c r="AD189" s="2">
        <v>1</v>
      </c>
      <c r="AE189" t="s">
        <v>37</v>
      </c>
      <c r="AF189" s="2">
        <v>1</v>
      </c>
      <c r="AG189">
        <v>20</v>
      </c>
      <c r="AH189">
        <v>6</v>
      </c>
      <c r="AI189">
        <v>1</v>
      </c>
      <c r="AJ189" t="s">
        <v>26</v>
      </c>
      <c r="AK189" s="2">
        <v>1</v>
      </c>
      <c r="AM189">
        <v>1</v>
      </c>
      <c r="AN189" s="41">
        <v>40</v>
      </c>
      <c r="AO189">
        <v>1</v>
      </c>
      <c r="AP189" s="41">
        <v>90</v>
      </c>
      <c r="AQ189">
        <v>1</v>
      </c>
      <c r="AR189" s="12">
        <v>0.05</v>
      </c>
      <c r="AS189" s="8">
        <f t="shared" si="2"/>
        <v>5</v>
      </c>
      <c r="AT189" s="12" t="s">
        <v>27</v>
      </c>
      <c r="AU189" s="8">
        <v>1</v>
      </c>
      <c r="AV189" s="12" t="s">
        <v>27</v>
      </c>
      <c r="AW189" s="29" t="s">
        <v>33</v>
      </c>
      <c r="AX189" s="20">
        <v>0</v>
      </c>
      <c r="AY189" s="3">
        <v>-1.8606809959949864</v>
      </c>
      <c r="AZ189" s="2" t="s">
        <v>35</v>
      </c>
      <c r="BA189" s="2">
        <v>1</v>
      </c>
    </row>
    <row r="190" spans="1:53">
      <c r="A190" s="16">
        <v>205</v>
      </c>
      <c r="B190" t="s">
        <v>167</v>
      </c>
      <c r="C190" s="27">
        <v>304</v>
      </c>
      <c r="D190" s="17">
        <v>24.51</v>
      </c>
      <c r="E190" s="17">
        <v>25.35</v>
      </c>
      <c r="F190" s="17">
        <v>29.85</v>
      </c>
      <c r="G190" s="17" t="s">
        <v>211</v>
      </c>
      <c r="H190" s="3">
        <v>33.42</v>
      </c>
      <c r="I190" s="3" t="s">
        <v>168</v>
      </c>
      <c r="J190" s="3">
        <v>32.74</v>
      </c>
      <c r="K190" s="3">
        <v>32.92</v>
      </c>
      <c r="L190" s="3">
        <v>30.23</v>
      </c>
      <c r="M190" s="3">
        <v>31.52</v>
      </c>
      <c r="N190" s="3">
        <v>33.19</v>
      </c>
      <c r="O190" s="3">
        <v>30.59</v>
      </c>
      <c r="P190" s="3">
        <v>31.38</v>
      </c>
      <c r="Q190" s="3">
        <v>31.79</v>
      </c>
      <c r="R190" s="3">
        <v>30.14</v>
      </c>
      <c r="S190" s="3" t="s">
        <v>211</v>
      </c>
      <c r="T190" s="3">
        <v>32.75</v>
      </c>
      <c r="U190" s="3">
        <v>31.01</v>
      </c>
      <c r="V190" s="3">
        <v>32.450000000000003</v>
      </c>
      <c r="W190" s="3">
        <v>33.83</v>
      </c>
      <c r="X190" s="3">
        <v>33.32</v>
      </c>
      <c r="Y190" s="3">
        <v>32.19</v>
      </c>
      <c r="Z190" s="18">
        <v>18687</v>
      </c>
      <c r="AA190" s="19" t="e">
        <f>(#REF!-Z190)/365</f>
        <v>#REF!</v>
      </c>
      <c r="AB190" s="10">
        <v>36532</v>
      </c>
      <c r="AC190" s="39" t="s">
        <v>222</v>
      </c>
      <c r="AD190" s="2">
        <v>1</v>
      </c>
      <c r="AE190" t="s">
        <v>37</v>
      </c>
      <c r="AF190" s="2">
        <v>1</v>
      </c>
      <c r="AG190">
        <v>12</v>
      </c>
      <c r="AH190">
        <v>8</v>
      </c>
      <c r="AI190">
        <v>0</v>
      </c>
      <c r="AJ190" t="s">
        <v>31</v>
      </c>
      <c r="AK190" s="2">
        <v>0</v>
      </c>
      <c r="AM190">
        <v>2</v>
      </c>
      <c r="AN190" s="41" t="s">
        <v>33</v>
      </c>
      <c r="AO190">
        <v>2</v>
      </c>
      <c r="AP190" s="41" t="s">
        <v>33</v>
      </c>
      <c r="AQ190">
        <v>3</v>
      </c>
      <c r="AR190" s="12">
        <v>0.3</v>
      </c>
      <c r="AS190" s="8">
        <f t="shared" si="2"/>
        <v>30</v>
      </c>
      <c r="AT190" s="12" t="s">
        <v>34</v>
      </c>
      <c r="AU190" s="8">
        <v>3</v>
      </c>
      <c r="AV190" s="8" t="s">
        <v>34</v>
      </c>
      <c r="AW190" s="29" t="s">
        <v>28</v>
      </c>
      <c r="AX190" s="20">
        <v>0</v>
      </c>
      <c r="AY190" s="3">
        <v>-0.56653222219121768</v>
      </c>
      <c r="AZ190" s="2" t="s">
        <v>29</v>
      </c>
      <c r="BA190" s="2">
        <v>2</v>
      </c>
    </row>
    <row r="191" spans="1:53" ht="15">
      <c r="A191" s="16">
        <v>206</v>
      </c>
      <c r="B191" t="s">
        <v>167</v>
      </c>
      <c r="C191" s="27">
        <v>1356</v>
      </c>
      <c r="D191" s="17">
        <v>27.91</v>
      </c>
      <c r="E191" s="17">
        <v>29.29</v>
      </c>
      <c r="F191" s="17" t="s">
        <v>211</v>
      </c>
      <c r="G191" s="17" t="s">
        <v>211</v>
      </c>
      <c r="H191" s="3">
        <v>33.97</v>
      </c>
      <c r="I191" s="3" t="s">
        <v>168</v>
      </c>
      <c r="J191" s="3">
        <v>39.92</v>
      </c>
      <c r="K191" s="3" t="s">
        <v>211</v>
      </c>
      <c r="L191" s="3">
        <v>35.85</v>
      </c>
      <c r="M191" s="3">
        <v>37.43</v>
      </c>
      <c r="N191" s="3">
        <v>36.1</v>
      </c>
      <c r="O191" s="3">
        <v>38.21</v>
      </c>
      <c r="P191" s="3">
        <v>36.11</v>
      </c>
      <c r="Q191" s="3">
        <v>34.450000000000003</v>
      </c>
      <c r="R191" s="3" t="s">
        <v>211</v>
      </c>
      <c r="S191" s="3">
        <v>31.98</v>
      </c>
      <c r="T191" s="3">
        <v>35.53</v>
      </c>
      <c r="U191" s="3" t="s">
        <v>211</v>
      </c>
      <c r="V191" s="3">
        <v>37.869999999999997</v>
      </c>
      <c r="W191" s="3" t="s">
        <v>211</v>
      </c>
      <c r="X191" s="3" t="s">
        <v>211</v>
      </c>
      <c r="Y191" s="3" t="s">
        <v>211</v>
      </c>
      <c r="Z191" s="18">
        <v>14939</v>
      </c>
      <c r="AA191" s="19">
        <v>60.145205479452052</v>
      </c>
      <c r="AB191" s="10">
        <v>36854</v>
      </c>
      <c r="AC191" s="39" t="s">
        <v>222</v>
      </c>
      <c r="AD191" s="2">
        <v>1</v>
      </c>
      <c r="AE191" t="s">
        <v>25</v>
      </c>
      <c r="AF191" s="2">
        <v>2</v>
      </c>
      <c r="AG191">
        <v>42</v>
      </c>
      <c r="AH191">
        <v>21</v>
      </c>
      <c r="AI191">
        <v>0</v>
      </c>
      <c r="AJ191" t="s">
        <v>31</v>
      </c>
      <c r="AK191" s="2">
        <v>0</v>
      </c>
      <c r="AM191">
        <v>1</v>
      </c>
      <c r="AN191" s="44">
        <v>70</v>
      </c>
      <c r="AO191">
        <v>1</v>
      </c>
      <c r="AP191" s="44">
        <v>90</v>
      </c>
      <c r="AQ191">
        <v>2</v>
      </c>
      <c r="AR191" s="12">
        <v>0.4</v>
      </c>
      <c r="AS191" s="8">
        <f t="shared" si="2"/>
        <v>40</v>
      </c>
      <c r="AT191" s="12" t="s">
        <v>34</v>
      </c>
      <c r="AU191" s="8">
        <v>3</v>
      </c>
      <c r="AV191" s="8" t="s">
        <v>34</v>
      </c>
      <c r="AW191" s="29" t="s">
        <v>28</v>
      </c>
      <c r="AX191" s="20">
        <v>0</v>
      </c>
      <c r="AY191" s="3">
        <v>1.0235027848408003</v>
      </c>
      <c r="AZ191" s="2" t="s">
        <v>38</v>
      </c>
      <c r="BA191" s="2">
        <v>3</v>
      </c>
    </row>
    <row r="192" spans="1:53">
      <c r="A192" s="16">
        <v>207</v>
      </c>
      <c r="B192" t="s">
        <v>167</v>
      </c>
      <c r="C192" s="27">
        <v>430</v>
      </c>
      <c r="D192" s="17">
        <v>24.37</v>
      </c>
      <c r="E192" s="17">
        <v>24.33</v>
      </c>
      <c r="F192" s="17">
        <v>29.33</v>
      </c>
      <c r="G192" s="17">
        <v>39.82</v>
      </c>
      <c r="H192" s="3">
        <v>29.15</v>
      </c>
      <c r="I192" s="3" t="s">
        <v>168</v>
      </c>
      <c r="J192" s="3">
        <v>30.93</v>
      </c>
      <c r="K192" s="3">
        <v>30.68</v>
      </c>
      <c r="L192" s="3">
        <v>30.61</v>
      </c>
      <c r="M192" s="3">
        <v>31.79</v>
      </c>
      <c r="N192" s="3">
        <v>33.54</v>
      </c>
      <c r="O192" s="3">
        <v>31.17</v>
      </c>
      <c r="P192" s="3">
        <v>29.12</v>
      </c>
      <c r="Q192" s="3">
        <v>31.17</v>
      </c>
      <c r="R192" s="3">
        <v>32.270000000000003</v>
      </c>
      <c r="S192" s="3">
        <v>32.33</v>
      </c>
      <c r="T192" s="3">
        <v>31.37</v>
      </c>
      <c r="U192" s="3">
        <v>28.41</v>
      </c>
      <c r="V192" s="3">
        <v>30.09</v>
      </c>
      <c r="W192" s="3">
        <v>35.799999999999997</v>
      </c>
      <c r="X192" s="3">
        <v>33.04</v>
      </c>
      <c r="Y192" s="3">
        <v>32.26</v>
      </c>
      <c r="Z192" s="18">
        <v>15416</v>
      </c>
      <c r="AA192" s="19">
        <v>59.134246575342466</v>
      </c>
      <c r="AB192" s="10">
        <v>36972</v>
      </c>
      <c r="AC192" s="39" t="s">
        <v>222</v>
      </c>
      <c r="AD192" s="2">
        <v>1</v>
      </c>
      <c r="AE192" t="s">
        <v>37</v>
      </c>
      <c r="AF192" s="2">
        <v>1</v>
      </c>
      <c r="AG192">
        <v>10</v>
      </c>
      <c r="AH192">
        <v>15</v>
      </c>
      <c r="AI192">
        <v>7</v>
      </c>
      <c r="AJ192" t="s">
        <v>47</v>
      </c>
      <c r="AK192" s="2">
        <v>2</v>
      </c>
      <c r="AM192">
        <v>1</v>
      </c>
      <c r="AN192" s="41">
        <v>95</v>
      </c>
      <c r="AO192">
        <v>1</v>
      </c>
      <c r="AP192" s="41">
        <v>95</v>
      </c>
      <c r="AQ192">
        <v>2</v>
      </c>
      <c r="AR192" s="12">
        <v>0.1</v>
      </c>
      <c r="AS192" s="8">
        <f t="shared" si="2"/>
        <v>10</v>
      </c>
      <c r="AT192" s="12" t="s">
        <v>27</v>
      </c>
      <c r="AU192" s="8">
        <v>1</v>
      </c>
      <c r="AV192" s="12" t="s">
        <v>27</v>
      </c>
      <c r="AW192" s="29" t="s">
        <v>28</v>
      </c>
      <c r="AX192" s="20">
        <v>0</v>
      </c>
      <c r="AY192" s="3">
        <v>-1.4088027074276148</v>
      </c>
      <c r="AZ192" s="2" t="s">
        <v>35</v>
      </c>
      <c r="BA192" s="2">
        <v>1</v>
      </c>
    </row>
    <row r="193" spans="1:53">
      <c r="A193" s="16">
        <v>208</v>
      </c>
      <c r="B193" t="s">
        <v>167</v>
      </c>
      <c r="C193" s="27">
        <v>200</v>
      </c>
      <c r="D193" s="17">
        <v>26.08</v>
      </c>
      <c r="E193" s="17">
        <v>27.38</v>
      </c>
      <c r="F193" s="17">
        <v>32.19</v>
      </c>
      <c r="G193" s="17" t="s">
        <v>211</v>
      </c>
      <c r="H193" s="3">
        <v>33.96</v>
      </c>
      <c r="I193" s="3" t="s">
        <v>168</v>
      </c>
      <c r="J193" s="3">
        <v>36.11</v>
      </c>
      <c r="K193" s="3">
        <v>34.46</v>
      </c>
      <c r="L193" s="3">
        <v>35.380000000000003</v>
      </c>
      <c r="M193" s="3">
        <v>34.03</v>
      </c>
      <c r="N193" s="3">
        <v>35.26</v>
      </c>
      <c r="O193" s="3">
        <v>34.159999999999997</v>
      </c>
      <c r="P193" s="3">
        <v>31.63</v>
      </c>
      <c r="Q193" s="3">
        <v>35.82</v>
      </c>
      <c r="R193" s="3">
        <v>35.01</v>
      </c>
      <c r="S193" s="3">
        <v>34.46</v>
      </c>
      <c r="T193" s="3">
        <v>32.270000000000003</v>
      </c>
      <c r="U193" s="3">
        <v>31.41</v>
      </c>
      <c r="V193" s="3">
        <v>33.29</v>
      </c>
      <c r="W193" s="3">
        <v>36.119999999999997</v>
      </c>
      <c r="X193" s="3">
        <v>33.299999999999997</v>
      </c>
      <c r="Y193" s="3">
        <v>35.65</v>
      </c>
      <c r="Z193" s="18">
        <v>13394</v>
      </c>
      <c r="AA193" s="19">
        <v>64.895890410958899</v>
      </c>
      <c r="AB193" s="10">
        <v>37320</v>
      </c>
      <c r="AC193" s="39" t="s">
        <v>222</v>
      </c>
      <c r="AD193" s="2">
        <v>1</v>
      </c>
      <c r="AE193" t="s">
        <v>37</v>
      </c>
      <c r="AF193" s="2">
        <v>1</v>
      </c>
      <c r="AG193">
        <v>17</v>
      </c>
      <c r="AH193">
        <v>22</v>
      </c>
      <c r="AI193">
        <v>4</v>
      </c>
      <c r="AJ193" t="s">
        <v>47</v>
      </c>
      <c r="AK193" s="2">
        <v>2</v>
      </c>
      <c r="AM193" s="20">
        <v>1</v>
      </c>
      <c r="AN193" s="41">
        <v>90</v>
      </c>
      <c r="AO193" s="20">
        <v>1</v>
      </c>
      <c r="AP193" s="41">
        <v>80</v>
      </c>
      <c r="AQ193" s="20">
        <v>2</v>
      </c>
      <c r="AR193" s="12">
        <v>0.02</v>
      </c>
      <c r="AS193" s="8">
        <f t="shared" si="2"/>
        <v>2</v>
      </c>
      <c r="AT193" s="12" t="s">
        <v>27</v>
      </c>
      <c r="AU193" s="8">
        <v>1</v>
      </c>
      <c r="AV193" s="12" t="s">
        <v>27</v>
      </c>
      <c r="AW193" s="29" t="s">
        <v>33</v>
      </c>
      <c r="AX193" s="20">
        <v>0.31</v>
      </c>
      <c r="AY193" s="3">
        <v>-0.6867131633870327</v>
      </c>
      <c r="AZ193" s="2" t="s">
        <v>29</v>
      </c>
      <c r="BA193" s="2">
        <v>2</v>
      </c>
    </row>
    <row r="194" spans="1:53">
      <c r="A194" s="16">
        <v>209</v>
      </c>
      <c r="B194" t="s">
        <v>167</v>
      </c>
      <c r="C194" s="27">
        <v>400</v>
      </c>
      <c r="D194" s="17">
        <v>22.33</v>
      </c>
      <c r="E194" s="17">
        <v>22.38</v>
      </c>
      <c r="F194" s="17">
        <v>27.35</v>
      </c>
      <c r="G194" s="17">
        <v>38.25</v>
      </c>
      <c r="H194" s="3">
        <v>29.33</v>
      </c>
      <c r="I194" s="3" t="s">
        <v>168</v>
      </c>
      <c r="J194" s="3">
        <v>29.81</v>
      </c>
      <c r="K194" s="3">
        <v>30.44</v>
      </c>
      <c r="L194" s="3">
        <v>30.14</v>
      </c>
      <c r="M194" s="3">
        <v>26.12</v>
      </c>
      <c r="N194" s="3">
        <v>32.22</v>
      </c>
      <c r="O194" s="3">
        <v>28.65</v>
      </c>
      <c r="P194" s="3">
        <v>26.79</v>
      </c>
      <c r="Q194" s="3">
        <v>29.38</v>
      </c>
      <c r="R194" s="3">
        <v>29.46</v>
      </c>
      <c r="S194" s="3">
        <v>30.46</v>
      </c>
      <c r="T194" s="3">
        <v>30.05</v>
      </c>
      <c r="U194" s="3">
        <v>26.08</v>
      </c>
      <c r="V194" s="3">
        <v>28.02</v>
      </c>
      <c r="W194" s="3">
        <v>34.979999999999997</v>
      </c>
      <c r="X194" s="3">
        <v>28.66</v>
      </c>
      <c r="Y194" s="3">
        <v>29.95</v>
      </c>
      <c r="Z194" s="18">
        <v>15558</v>
      </c>
      <c r="AA194" s="19">
        <v>58.863013698630134</v>
      </c>
      <c r="AB194" s="10">
        <v>37020</v>
      </c>
      <c r="AC194" s="39" t="s">
        <v>222</v>
      </c>
      <c r="AD194" s="2">
        <v>1</v>
      </c>
      <c r="AE194" t="s">
        <v>37</v>
      </c>
      <c r="AF194" s="2">
        <v>1</v>
      </c>
      <c r="AG194">
        <v>18</v>
      </c>
      <c r="AH194">
        <v>12</v>
      </c>
      <c r="AI194">
        <v>0</v>
      </c>
      <c r="AJ194" t="s">
        <v>31</v>
      </c>
      <c r="AK194" s="2">
        <v>0</v>
      </c>
      <c r="AM194">
        <v>1</v>
      </c>
      <c r="AN194" s="41">
        <v>90</v>
      </c>
      <c r="AO194">
        <v>1</v>
      </c>
      <c r="AP194" s="41">
        <v>30</v>
      </c>
      <c r="AQ194">
        <v>2</v>
      </c>
      <c r="AR194" s="12">
        <v>0.15</v>
      </c>
      <c r="AS194" s="8">
        <f t="shared" si="2"/>
        <v>15</v>
      </c>
      <c r="AT194" s="12" t="s">
        <v>34</v>
      </c>
      <c r="AU194" s="8">
        <v>3</v>
      </c>
      <c r="AV194" s="8" t="s">
        <v>44</v>
      </c>
      <c r="AW194" s="29" t="s">
        <v>28</v>
      </c>
      <c r="AX194" s="20">
        <v>0.01</v>
      </c>
      <c r="AY194" s="3">
        <v>-0.5434400619109272</v>
      </c>
      <c r="AZ194" s="2" t="s">
        <v>29</v>
      </c>
      <c r="BA194" s="2">
        <v>2</v>
      </c>
    </row>
    <row r="195" spans="1:53">
      <c r="A195" s="16">
        <v>210</v>
      </c>
      <c r="B195" t="s">
        <v>167</v>
      </c>
      <c r="C195" s="27">
        <v>746</v>
      </c>
      <c r="D195" s="17">
        <v>23.23</v>
      </c>
      <c r="E195" s="17">
        <v>24.18</v>
      </c>
      <c r="F195" s="17">
        <v>29.01</v>
      </c>
      <c r="G195" s="17" t="s">
        <v>211</v>
      </c>
      <c r="H195" s="3">
        <v>27.6</v>
      </c>
      <c r="I195" s="3" t="s">
        <v>168</v>
      </c>
      <c r="J195" s="3">
        <v>30.97</v>
      </c>
      <c r="K195" s="3">
        <v>30.41</v>
      </c>
      <c r="L195" s="3">
        <v>29.34</v>
      </c>
      <c r="M195" s="3">
        <v>30.87</v>
      </c>
      <c r="N195" s="3">
        <v>34.25</v>
      </c>
      <c r="O195" s="3">
        <v>30.09</v>
      </c>
      <c r="P195" s="3">
        <v>28.84</v>
      </c>
      <c r="Q195" s="3">
        <v>30.4</v>
      </c>
      <c r="R195" s="3">
        <v>30.91</v>
      </c>
      <c r="S195" s="3">
        <v>30.93</v>
      </c>
      <c r="T195" s="3">
        <v>31.79</v>
      </c>
      <c r="U195" s="3">
        <v>29.32</v>
      </c>
      <c r="V195" s="3">
        <v>29.84</v>
      </c>
      <c r="W195" s="3">
        <v>35.93</v>
      </c>
      <c r="X195" s="3">
        <v>30.38</v>
      </c>
      <c r="Y195" s="3">
        <v>30.68</v>
      </c>
      <c r="Z195" s="18">
        <v>17484</v>
      </c>
      <c r="AA195" s="19" t="e">
        <f>(#REF!-Z195)/365</f>
        <v>#REF!</v>
      </c>
      <c r="AB195" s="10">
        <v>36872</v>
      </c>
      <c r="AC195" s="39" t="s">
        <v>222</v>
      </c>
      <c r="AD195" s="2">
        <v>1</v>
      </c>
      <c r="AE195" t="s">
        <v>25</v>
      </c>
      <c r="AF195" s="2">
        <v>2</v>
      </c>
      <c r="AG195">
        <v>30</v>
      </c>
      <c r="AH195">
        <v>17</v>
      </c>
      <c r="AI195">
        <v>3</v>
      </c>
      <c r="AJ195" t="s">
        <v>26</v>
      </c>
      <c r="AK195" s="2">
        <v>1</v>
      </c>
      <c r="AM195">
        <v>1</v>
      </c>
      <c r="AN195" s="41">
        <v>70</v>
      </c>
      <c r="AO195">
        <v>1</v>
      </c>
      <c r="AP195" s="41">
        <v>50</v>
      </c>
      <c r="AQ195">
        <v>2</v>
      </c>
      <c r="AR195" s="12">
        <v>0.25</v>
      </c>
      <c r="AS195" s="8">
        <f t="shared" ref="AS195:AS258" si="3">AR195*100</f>
        <v>25</v>
      </c>
      <c r="AT195" s="12" t="s">
        <v>34</v>
      </c>
      <c r="AU195" s="8">
        <v>3</v>
      </c>
      <c r="AV195" s="8" t="s">
        <v>44</v>
      </c>
      <c r="AW195" s="29" t="s">
        <v>33</v>
      </c>
      <c r="AX195" s="20">
        <v>0.01</v>
      </c>
      <c r="AY195" s="3">
        <v>-1.9539183187913527</v>
      </c>
      <c r="AZ195" s="2" t="s">
        <v>35</v>
      </c>
      <c r="BA195" s="2">
        <v>1</v>
      </c>
    </row>
    <row r="196" spans="1:53" ht="15">
      <c r="A196" s="16">
        <v>211</v>
      </c>
      <c r="B196" t="s">
        <v>167</v>
      </c>
      <c r="C196" s="27">
        <v>664</v>
      </c>
      <c r="D196" s="17">
        <v>23.73</v>
      </c>
      <c r="E196" s="17">
        <v>25.16</v>
      </c>
      <c r="F196" s="17">
        <v>30.24</v>
      </c>
      <c r="G196" s="17" t="s">
        <v>211</v>
      </c>
      <c r="H196" s="3">
        <v>30.14</v>
      </c>
      <c r="I196" s="3" t="s">
        <v>168</v>
      </c>
      <c r="J196" s="3">
        <v>31.24</v>
      </c>
      <c r="K196" s="3">
        <v>33.369999999999997</v>
      </c>
      <c r="L196" s="3">
        <v>31.48</v>
      </c>
      <c r="M196" s="3">
        <v>32.64</v>
      </c>
      <c r="N196" s="3">
        <v>34.409999999999997</v>
      </c>
      <c r="O196" s="3">
        <v>31.5</v>
      </c>
      <c r="P196" s="3">
        <v>28.76</v>
      </c>
      <c r="Q196" s="3">
        <v>32.799999999999997</v>
      </c>
      <c r="R196" s="3">
        <v>31.08</v>
      </c>
      <c r="S196" s="3">
        <v>30.17</v>
      </c>
      <c r="T196" s="3">
        <v>31.7</v>
      </c>
      <c r="U196" s="3">
        <v>29.49</v>
      </c>
      <c r="V196" s="3">
        <v>28.76</v>
      </c>
      <c r="W196" s="3">
        <v>35.94</v>
      </c>
      <c r="X196" s="3">
        <v>30.71</v>
      </c>
      <c r="Y196" s="3">
        <v>31.94</v>
      </c>
      <c r="Z196" s="18">
        <v>10808</v>
      </c>
      <c r="AA196" s="19" t="e">
        <f>(#REF!-Z196)/365</f>
        <v>#REF!</v>
      </c>
      <c r="AB196" s="10">
        <v>36822</v>
      </c>
      <c r="AC196" s="39" t="s">
        <v>222</v>
      </c>
      <c r="AD196" s="2">
        <v>1</v>
      </c>
      <c r="AE196" t="s">
        <v>37</v>
      </c>
      <c r="AF196" s="2">
        <v>1</v>
      </c>
      <c r="AG196">
        <v>20</v>
      </c>
      <c r="AH196">
        <v>17</v>
      </c>
      <c r="AI196">
        <v>0</v>
      </c>
      <c r="AJ196" t="s">
        <v>31</v>
      </c>
      <c r="AK196" s="2">
        <v>0</v>
      </c>
      <c r="AM196">
        <v>1</v>
      </c>
      <c r="AN196" s="41">
        <v>90</v>
      </c>
      <c r="AO196">
        <v>1</v>
      </c>
      <c r="AP196" s="43">
        <v>90</v>
      </c>
      <c r="AQ196">
        <v>2</v>
      </c>
      <c r="AR196" s="12">
        <v>0.1</v>
      </c>
      <c r="AS196" s="8">
        <f t="shared" si="3"/>
        <v>10</v>
      </c>
      <c r="AT196" s="12" t="s">
        <v>27</v>
      </c>
      <c r="AU196" s="8">
        <v>1</v>
      </c>
      <c r="AV196" s="12" t="s">
        <v>27</v>
      </c>
      <c r="AW196" s="29" t="s">
        <v>28</v>
      </c>
      <c r="AX196" s="20">
        <v>0</v>
      </c>
      <c r="AY196" s="3">
        <v>-1.3674775883910311</v>
      </c>
      <c r="AZ196" s="2" t="s">
        <v>35</v>
      </c>
      <c r="BA196" s="2">
        <v>1</v>
      </c>
    </row>
    <row r="197" spans="1:53" ht="15">
      <c r="A197" s="16">
        <v>212</v>
      </c>
      <c r="B197" t="s">
        <v>167</v>
      </c>
      <c r="C197" s="27">
        <v>274</v>
      </c>
      <c r="D197" s="17">
        <v>23.99</v>
      </c>
      <c r="E197" s="17">
        <v>24.4</v>
      </c>
      <c r="F197" s="17">
        <v>29.16</v>
      </c>
      <c r="G197" s="17" t="s">
        <v>211</v>
      </c>
      <c r="H197" s="3">
        <v>28.83</v>
      </c>
      <c r="I197" s="3" t="s">
        <v>168</v>
      </c>
      <c r="J197" s="3">
        <v>30.68</v>
      </c>
      <c r="K197" s="3">
        <v>31.66</v>
      </c>
      <c r="L197" s="3">
        <v>31.77</v>
      </c>
      <c r="M197" s="3">
        <v>28.11</v>
      </c>
      <c r="N197" s="3">
        <v>33.11</v>
      </c>
      <c r="O197" s="3">
        <v>30.3</v>
      </c>
      <c r="P197" s="3">
        <v>27.83</v>
      </c>
      <c r="Q197" s="3">
        <v>31.69</v>
      </c>
      <c r="R197" s="3">
        <v>31.26</v>
      </c>
      <c r="S197" s="3">
        <v>33.6</v>
      </c>
      <c r="T197" s="3">
        <v>30.37</v>
      </c>
      <c r="U197" s="3">
        <v>27.94</v>
      </c>
      <c r="V197" s="3">
        <v>27.63</v>
      </c>
      <c r="W197" s="3">
        <v>35.020000000000003</v>
      </c>
      <c r="X197" s="3">
        <v>30.23</v>
      </c>
      <c r="Y197" s="3">
        <v>31.72</v>
      </c>
      <c r="Z197" s="18">
        <v>20378</v>
      </c>
      <c r="AA197" s="19" t="e">
        <f>(#REF!-Z197)/365</f>
        <v>#REF!</v>
      </c>
      <c r="AB197" s="10">
        <v>36712</v>
      </c>
      <c r="AC197" s="39" t="s">
        <v>225</v>
      </c>
      <c r="AD197" s="2"/>
      <c r="AE197" t="s">
        <v>37</v>
      </c>
      <c r="AF197" s="2">
        <v>1</v>
      </c>
      <c r="AG197">
        <v>10</v>
      </c>
      <c r="AH197">
        <v>16</v>
      </c>
      <c r="AI197">
        <v>0</v>
      </c>
      <c r="AJ197" t="s">
        <v>31</v>
      </c>
      <c r="AK197" s="2">
        <v>0</v>
      </c>
      <c r="AM197">
        <v>1</v>
      </c>
      <c r="AN197" s="41">
        <v>80</v>
      </c>
      <c r="AO197">
        <v>1</v>
      </c>
      <c r="AP197" s="43">
        <v>90</v>
      </c>
      <c r="AQ197">
        <v>1</v>
      </c>
      <c r="AR197" s="12">
        <v>0.1</v>
      </c>
      <c r="AS197" s="8">
        <f t="shared" si="3"/>
        <v>10</v>
      </c>
      <c r="AT197" s="12" t="s">
        <v>27</v>
      </c>
      <c r="AU197" s="8">
        <v>1</v>
      </c>
      <c r="AV197" s="12" t="s">
        <v>27</v>
      </c>
      <c r="AW197" s="29" t="s">
        <v>28</v>
      </c>
      <c r="AX197" s="20">
        <v>0</v>
      </c>
      <c r="AY197" s="3">
        <v>-2.1110251240096964</v>
      </c>
      <c r="AZ197" s="2" t="s">
        <v>35</v>
      </c>
      <c r="BA197" s="2">
        <v>1</v>
      </c>
    </row>
    <row r="198" spans="1:53">
      <c r="A198" s="16">
        <v>213</v>
      </c>
      <c r="B198" t="s">
        <v>167</v>
      </c>
      <c r="C198" s="27">
        <v>812</v>
      </c>
      <c r="D198" s="17">
        <v>26.19</v>
      </c>
      <c r="E198" s="17">
        <v>26.63</v>
      </c>
      <c r="F198" s="17">
        <v>34</v>
      </c>
      <c r="G198" s="17" t="s">
        <v>211</v>
      </c>
      <c r="H198" s="3">
        <v>31.84</v>
      </c>
      <c r="I198" s="3" t="s">
        <v>168</v>
      </c>
      <c r="J198" s="3" t="s">
        <v>211</v>
      </c>
      <c r="K198" s="3">
        <v>34.549999999999997</v>
      </c>
      <c r="L198" s="3">
        <v>33.51</v>
      </c>
      <c r="M198" s="3">
        <v>34.92</v>
      </c>
      <c r="N198" s="3">
        <v>34.07</v>
      </c>
      <c r="O198" s="3">
        <v>36.83</v>
      </c>
      <c r="P198" s="3">
        <v>34.130000000000003</v>
      </c>
      <c r="Q198" s="3">
        <v>32.33</v>
      </c>
      <c r="R198" s="3">
        <v>37.159999999999997</v>
      </c>
      <c r="S198" s="3">
        <v>27.69</v>
      </c>
      <c r="T198" s="3">
        <v>33.950000000000003</v>
      </c>
      <c r="U198" s="3">
        <v>38.15</v>
      </c>
      <c r="V198" s="3">
        <v>37.409999999999997</v>
      </c>
      <c r="W198" s="3" t="s">
        <v>211</v>
      </c>
      <c r="X198" s="3">
        <v>34.72</v>
      </c>
      <c r="Y198" s="3">
        <v>35.659999999999997</v>
      </c>
      <c r="Z198" s="18">
        <v>7882</v>
      </c>
      <c r="AA198" s="19" t="e">
        <f>(#REF!-Z198)/365</f>
        <v>#REF!</v>
      </c>
      <c r="AB198" s="10">
        <v>36670</v>
      </c>
      <c r="AC198" s="39" t="s">
        <v>227</v>
      </c>
      <c r="AD198" s="2"/>
      <c r="AE198" t="s">
        <v>37</v>
      </c>
      <c r="AF198" s="2">
        <v>1</v>
      </c>
      <c r="AG198">
        <v>17</v>
      </c>
      <c r="AH198">
        <v>19</v>
      </c>
      <c r="AI198">
        <v>0</v>
      </c>
      <c r="AJ198" t="s">
        <v>31</v>
      </c>
      <c r="AK198" s="2">
        <v>0</v>
      </c>
      <c r="AM198">
        <v>2</v>
      </c>
      <c r="AN198" s="41" t="s">
        <v>33</v>
      </c>
      <c r="AO198">
        <v>2</v>
      </c>
      <c r="AP198" s="41" t="s">
        <v>33</v>
      </c>
      <c r="AQ198">
        <v>3</v>
      </c>
      <c r="AR198" s="12">
        <v>0.8</v>
      </c>
      <c r="AS198" s="8">
        <f t="shared" si="3"/>
        <v>80</v>
      </c>
      <c r="AT198" s="12" t="s">
        <v>34</v>
      </c>
      <c r="AU198" s="8">
        <v>3</v>
      </c>
      <c r="AV198" s="8" t="s">
        <v>34</v>
      </c>
      <c r="AW198" s="29" t="s">
        <v>28</v>
      </c>
      <c r="AX198" s="20">
        <v>0</v>
      </c>
      <c r="AY198" s="3">
        <v>0.87029265994555205</v>
      </c>
      <c r="AZ198" s="2" t="s">
        <v>38</v>
      </c>
      <c r="BA198" s="2">
        <v>3</v>
      </c>
    </row>
    <row r="199" spans="1:53" ht="15">
      <c r="A199" s="16">
        <v>214</v>
      </c>
      <c r="B199" t="s">
        <v>167</v>
      </c>
      <c r="C199" s="27">
        <v>144</v>
      </c>
      <c r="D199" s="17">
        <v>23.98</v>
      </c>
      <c r="E199" s="17">
        <v>25.09</v>
      </c>
      <c r="F199" s="17">
        <v>29.96</v>
      </c>
      <c r="G199" s="17" t="s">
        <v>211</v>
      </c>
      <c r="H199" s="3">
        <v>31.24</v>
      </c>
      <c r="I199" s="3" t="s">
        <v>168</v>
      </c>
      <c r="J199" s="3">
        <v>32.36</v>
      </c>
      <c r="K199" s="3">
        <v>32.97</v>
      </c>
      <c r="L199" s="3">
        <v>34.409999999999997</v>
      </c>
      <c r="M199" s="3">
        <v>31.28</v>
      </c>
      <c r="N199" s="3">
        <v>34.46</v>
      </c>
      <c r="O199" s="3">
        <v>31.55</v>
      </c>
      <c r="P199" s="3">
        <v>29.19</v>
      </c>
      <c r="Q199" s="3">
        <v>33.950000000000003</v>
      </c>
      <c r="R199" s="3">
        <v>31.89</v>
      </c>
      <c r="S199" s="3">
        <v>33.26</v>
      </c>
      <c r="T199" s="3">
        <v>30.51</v>
      </c>
      <c r="U199" s="3">
        <v>28.32</v>
      </c>
      <c r="V199" s="3">
        <v>29.6</v>
      </c>
      <c r="W199" s="3">
        <v>35.020000000000003</v>
      </c>
      <c r="X199" s="3">
        <v>31.44</v>
      </c>
      <c r="Y199" s="3">
        <v>33.119999999999997</v>
      </c>
      <c r="Z199" s="18">
        <v>11856</v>
      </c>
      <c r="AA199" s="19" t="e">
        <f>(#REF!-Z199)/365</f>
        <v>#REF!</v>
      </c>
      <c r="AB199" s="10">
        <v>36630</v>
      </c>
      <c r="AC199" s="39" t="s">
        <v>225</v>
      </c>
      <c r="AD199" s="2"/>
      <c r="AE199" t="s">
        <v>37</v>
      </c>
      <c r="AF199" s="2">
        <v>1</v>
      </c>
      <c r="AG199">
        <v>7</v>
      </c>
      <c r="AH199">
        <v>9</v>
      </c>
      <c r="AI199">
        <v>0</v>
      </c>
      <c r="AJ199" t="s">
        <v>31</v>
      </c>
      <c r="AK199" s="2">
        <v>0</v>
      </c>
      <c r="AM199">
        <v>1</v>
      </c>
      <c r="AN199" s="41">
        <v>90</v>
      </c>
      <c r="AO199">
        <v>1</v>
      </c>
      <c r="AP199" s="43">
        <v>60</v>
      </c>
      <c r="AQ199">
        <v>2</v>
      </c>
      <c r="AR199" s="12">
        <v>0.1</v>
      </c>
      <c r="AS199" s="8">
        <f t="shared" si="3"/>
        <v>10</v>
      </c>
      <c r="AT199" s="12" t="s">
        <v>27</v>
      </c>
      <c r="AU199" s="8">
        <v>1</v>
      </c>
      <c r="AV199" s="12" t="s">
        <v>27</v>
      </c>
      <c r="AW199" s="29" t="s">
        <v>28</v>
      </c>
      <c r="AX199" s="20">
        <v>0</v>
      </c>
      <c r="AY199" s="3">
        <v>-1.5663866400181381</v>
      </c>
      <c r="AZ199" s="2" t="s">
        <v>35</v>
      </c>
      <c r="BA199" s="2">
        <v>1</v>
      </c>
    </row>
    <row r="200" spans="1:53" ht="15">
      <c r="A200" s="16">
        <v>215</v>
      </c>
      <c r="B200" t="s">
        <v>167</v>
      </c>
      <c r="C200" s="27">
        <v>600</v>
      </c>
      <c r="D200" s="17">
        <v>23.34</v>
      </c>
      <c r="E200" s="17">
        <v>23.64</v>
      </c>
      <c r="F200" s="17">
        <v>29.04</v>
      </c>
      <c r="G200" s="17">
        <v>37.46</v>
      </c>
      <c r="H200" s="3">
        <v>28.93</v>
      </c>
      <c r="I200" s="3" t="s">
        <v>168</v>
      </c>
      <c r="J200" s="3">
        <v>30.21</v>
      </c>
      <c r="K200" s="3">
        <v>31.03</v>
      </c>
      <c r="L200" s="3">
        <v>31.99</v>
      </c>
      <c r="M200" s="3">
        <v>28.52</v>
      </c>
      <c r="N200" s="3">
        <v>33.229999999999997</v>
      </c>
      <c r="O200" s="3">
        <v>29.82</v>
      </c>
      <c r="P200" s="3">
        <v>27.59</v>
      </c>
      <c r="Q200" s="3">
        <v>32.06</v>
      </c>
      <c r="R200" s="3">
        <v>30.03</v>
      </c>
      <c r="S200" s="3">
        <v>33.020000000000003</v>
      </c>
      <c r="T200" s="3">
        <v>30.04</v>
      </c>
      <c r="U200" s="3">
        <v>26.94</v>
      </c>
      <c r="V200" s="3">
        <v>28.62</v>
      </c>
      <c r="W200" s="3">
        <v>33.799999999999997</v>
      </c>
      <c r="X200" s="3">
        <v>29.81</v>
      </c>
      <c r="Y200" s="3">
        <v>32.43</v>
      </c>
      <c r="Z200" s="18">
        <v>16531</v>
      </c>
      <c r="AA200" s="19" t="e">
        <f>(#REF!-Z200)/365</f>
        <v>#REF!</v>
      </c>
      <c r="AB200" s="10">
        <v>36678</v>
      </c>
      <c r="AC200" s="39" t="s">
        <v>231</v>
      </c>
      <c r="AD200" s="2"/>
      <c r="AE200" t="s">
        <v>37</v>
      </c>
      <c r="AF200" s="2">
        <v>1</v>
      </c>
      <c r="AG200">
        <v>15</v>
      </c>
      <c r="AH200">
        <v>7</v>
      </c>
      <c r="AI200">
        <v>0</v>
      </c>
      <c r="AJ200" t="s">
        <v>31</v>
      </c>
      <c r="AK200" s="2">
        <v>0</v>
      </c>
      <c r="AM200">
        <v>1</v>
      </c>
      <c r="AN200" s="41">
        <v>90</v>
      </c>
      <c r="AO200">
        <v>1</v>
      </c>
      <c r="AP200" s="43">
        <v>90</v>
      </c>
      <c r="AQ200">
        <v>1</v>
      </c>
      <c r="AR200" s="12">
        <v>0.1</v>
      </c>
      <c r="AS200" s="8">
        <f t="shared" si="3"/>
        <v>10</v>
      </c>
      <c r="AT200" s="12" t="s">
        <v>27</v>
      </c>
      <c r="AU200" s="8">
        <v>1</v>
      </c>
      <c r="AV200" s="12" t="s">
        <v>27</v>
      </c>
      <c r="AW200" s="29" t="s">
        <v>28</v>
      </c>
      <c r="AX200" s="20">
        <v>0</v>
      </c>
      <c r="AY200" s="3">
        <v>-1.6821508919470984</v>
      </c>
      <c r="AZ200" s="2" t="s">
        <v>35</v>
      </c>
      <c r="BA200" s="2">
        <v>1</v>
      </c>
    </row>
    <row r="201" spans="1:53">
      <c r="A201" s="16">
        <v>216</v>
      </c>
      <c r="B201" t="s">
        <v>167</v>
      </c>
      <c r="C201" s="27">
        <v>257</v>
      </c>
      <c r="D201" s="17">
        <v>24.68</v>
      </c>
      <c r="E201" s="17">
        <v>26.17</v>
      </c>
      <c r="F201" s="17" t="s">
        <v>211</v>
      </c>
      <c r="G201" s="17" t="s">
        <v>211</v>
      </c>
      <c r="H201" s="3">
        <v>32.67</v>
      </c>
      <c r="I201" s="3" t="s">
        <v>168</v>
      </c>
      <c r="J201" s="3">
        <v>32.28</v>
      </c>
      <c r="K201" s="3">
        <v>32.869999999999997</v>
      </c>
      <c r="L201" s="3">
        <v>34.200000000000003</v>
      </c>
      <c r="M201" s="3">
        <v>33.619999999999997</v>
      </c>
      <c r="N201" s="3">
        <v>35.020000000000003</v>
      </c>
      <c r="O201" s="3">
        <v>32.01</v>
      </c>
      <c r="P201" s="3">
        <v>30.38</v>
      </c>
      <c r="Q201" s="3">
        <v>33.61</v>
      </c>
      <c r="R201" s="3">
        <v>32.21</v>
      </c>
      <c r="S201" s="3">
        <v>26.53</v>
      </c>
      <c r="T201" s="3">
        <v>32.49</v>
      </c>
      <c r="U201" s="3">
        <v>28.13</v>
      </c>
      <c r="V201" s="3">
        <v>30.52</v>
      </c>
      <c r="W201" s="3">
        <v>35.159999999999997</v>
      </c>
      <c r="X201" s="3">
        <v>33.04</v>
      </c>
      <c r="Y201" s="3">
        <v>33.619999999999997</v>
      </c>
      <c r="Z201" s="18">
        <v>21183</v>
      </c>
      <c r="AA201" s="19" t="e">
        <f>(#REF!-Z201)/365</f>
        <v>#REF!</v>
      </c>
      <c r="AB201" s="10">
        <v>36511</v>
      </c>
      <c r="AC201" s="39" t="s">
        <v>231</v>
      </c>
      <c r="AD201" s="2"/>
      <c r="AE201" t="s">
        <v>37</v>
      </c>
      <c r="AF201" s="2">
        <v>1</v>
      </c>
      <c r="AG201">
        <v>5</v>
      </c>
      <c r="AH201">
        <v>16</v>
      </c>
      <c r="AI201">
        <v>0</v>
      </c>
      <c r="AJ201" t="s">
        <v>31</v>
      </c>
      <c r="AK201" s="2">
        <v>0</v>
      </c>
      <c r="AM201">
        <v>1</v>
      </c>
      <c r="AN201" s="41">
        <v>80</v>
      </c>
      <c r="AO201">
        <v>1</v>
      </c>
      <c r="AP201" s="41">
        <v>95</v>
      </c>
      <c r="AQ201">
        <v>1</v>
      </c>
      <c r="AR201" s="12">
        <v>0.05</v>
      </c>
      <c r="AS201" s="8">
        <f t="shared" si="3"/>
        <v>5</v>
      </c>
      <c r="AT201" s="12" t="s">
        <v>27</v>
      </c>
      <c r="AU201" s="8">
        <v>1</v>
      </c>
      <c r="AV201" s="12" t="s">
        <v>27</v>
      </c>
      <c r="AW201" s="29" t="s">
        <v>28</v>
      </c>
      <c r="AX201" s="20">
        <v>0</v>
      </c>
      <c r="AY201" s="3">
        <v>0.45655122034556705</v>
      </c>
      <c r="AZ201" s="2" t="s">
        <v>38</v>
      </c>
      <c r="BA201" s="2">
        <v>3</v>
      </c>
    </row>
    <row r="202" spans="1:53">
      <c r="A202" s="16">
        <v>217</v>
      </c>
      <c r="B202" t="s">
        <v>167</v>
      </c>
      <c r="C202" s="27">
        <v>863</v>
      </c>
      <c r="D202" s="17">
        <v>22.96</v>
      </c>
      <c r="E202" s="17">
        <v>22.7</v>
      </c>
      <c r="F202" s="17">
        <v>28.44</v>
      </c>
      <c r="G202" s="17">
        <v>37.85</v>
      </c>
      <c r="H202" s="3">
        <v>29.2</v>
      </c>
      <c r="I202" s="3" t="s">
        <v>168</v>
      </c>
      <c r="J202" s="3">
        <v>29.62</v>
      </c>
      <c r="K202" s="3">
        <v>30.2</v>
      </c>
      <c r="L202" s="3">
        <v>32.18</v>
      </c>
      <c r="M202" s="3">
        <v>25</v>
      </c>
      <c r="N202" s="3">
        <v>31.69</v>
      </c>
      <c r="O202" s="3">
        <v>28.77</v>
      </c>
      <c r="P202" s="3">
        <v>27.06</v>
      </c>
      <c r="Q202" s="3">
        <v>31.37</v>
      </c>
      <c r="R202" s="3">
        <v>30.17</v>
      </c>
      <c r="S202" s="3">
        <v>33.07</v>
      </c>
      <c r="T202" s="3">
        <v>30.36</v>
      </c>
      <c r="U202" s="3">
        <v>28.07</v>
      </c>
      <c r="V202" s="3">
        <v>28.84</v>
      </c>
      <c r="W202" s="3">
        <v>32.78</v>
      </c>
      <c r="X202" s="3">
        <v>28.81</v>
      </c>
      <c r="Y202" s="3">
        <v>31.07</v>
      </c>
      <c r="Z202" s="18">
        <v>18142</v>
      </c>
      <c r="AA202" s="19" t="e">
        <f>(#REF!-Z202)/365</f>
        <v>#REF!</v>
      </c>
      <c r="AB202" s="10">
        <v>36508</v>
      </c>
      <c r="AC202" s="39" t="s">
        <v>224</v>
      </c>
      <c r="AD202" s="2">
        <v>2</v>
      </c>
      <c r="AE202" t="s">
        <v>25</v>
      </c>
      <c r="AF202" s="2">
        <v>2</v>
      </c>
      <c r="AG202">
        <v>50</v>
      </c>
      <c r="AH202">
        <v>18</v>
      </c>
      <c r="AI202">
        <v>5</v>
      </c>
      <c r="AJ202" t="s">
        <v>47</v>
      </c>
      <c r="AK202" s="2">
        <v>2</v>
      </c>
      <c r="AM202">
        <v>1</v>
      </c>
      <c r="AN202" s="41">
        <v>70</v>
      </c>
      <c r="AO202">
        <v>1</v>
      </c>
      <c r="AP202" s="41">
        <v>30</v>
      </c>
      <c r="AQ202" s="2" t="s">
        <v>28</v>
      </c>
      <c r="AR202" s="12">
        <v>0.05</v>
      </c>
      <c r="AS202" s="8">
        <f t="shared" si="3"/>
        <v>5</v>
      </c>
      <c r="AT202" s="12" t="s">
        <v>27</v>
      </c>
      <c r="AU202" s="8">
        <v>1</v>
      </c>
      <c r="AV202" s="12" t="s">
        <v>27</v>
      </c>
      <c r="AW202" s="29" t="s">
        <v>28</v>
      </c>
      <c r="AX202" s="20">
        <v>0</v>
      </c>
      <c r="AY202" s="3">
        <v>-1.5997810644059571</v>
      </c>
      <c r="AZ202" s="2" t="s">
        <v>35</v>
      </c>
      <c r="BA202" s="2">
        <v>1</v>
      </c>
    </row>
    <row r="203" spans="1:53" ht="15">
      <c r="A203" s="16">
        <v>218</v>
      </c>
      <c r="B203" t="s">
        <v>167</v>
      </c>
      <c r="C203" s="27">
        <v>216</v>
      </c>
      <c r="D203" s="17">
        <v>23.95</v>
      </c>
      <c r="E203" s="17">
        <v>24.96</v>
      </c>
      <c r="F203" s="17">
        <v>29.85</v>
      </c>
      <c r="G203" s="17" t="s">
        <v>211</v>
      </c>
      <c r="H203" s="3">
        <v>30.22</v>
      </c>
      <c r="I203" s="3" t="s">
        <v>168</v>
      </c>
      <c r="J203" s="3">
        <v>31.33</v>
      </c>
      <c r="K203" s="3">
        <v>31.51</v>
      </c>
      <c r="L203" s="3">
        <v>33.18</v>
      </c>
      <c r="M203" s="3">
        <v>31.55</v>
      </c>
      <c r="N203" s="3">
        <v>33.49</v>
      </c>
      <c r="O203" s="3">
        <v>30.6</v>
      </c>
      <c r="P203" s="3">
        <v>28.7</v>
      </c>
      <c r="Q203" s="3">
        <v>32.36</v>
      </c>
      <c r="R203" s="3">
        <v>31.74</v>
      </c>
      <c r="S203" s="3">
        <v>28.56</v>
      </c>
      <c r="T203" s="3">
        <v>30.94</v>
      </c>
      <c r="U203" s="3">
        <v>28.79</v>
      </c>
      <c r="V203" s="3">
        <v>28.62</v>
      </c>
      <c r="W203" s="3">
        <v>34.14</v>
      </c>
      <c r="X203" s="3">
        <v>28.96</v>
      </c>
      <c r="Y203" s="3">
        <v>32.18</v>
      </c>
      <c r="Z203" s="18">
        <v>12580</v>
      </c>
      <c r="AA203" s="19" t="e">
        <f>(#REF!-Z203)/365</f>
        <v>#REF!</v>
      </c>
      <c r="AB203" s="10">
        <v>36648</v>
      </c>
      <c r="AC203" s="39" t="s">
        <v>224</v>
      </c>
      <c r="AD203" s="2">
        <v>2</v>
      </c>
      <c r="AE203" t="s">
        <v>37</v>
      </c>
      <c r="AF203" s="2">
        <v>1</v>
      </c>
      <c r="AG203">
        <v>5</v>
      </c>
      <c r="AH203">
        <v>14</v>
      </c>
      <c r="AI203">
        <v>0</v>
      </c>
      <c r="AJ203" t="s">
        <v>31</v>
      </c>
      <c r="AK203" s="2">
        <v>0</v>
      </c>
      <c r="AM203">
        <v>1</v>
      </c>
      <c r="AN203" s="43">
        <v>90</v>
      </c>
      <c r="AO203">
        <v>1</v>
      </c>
      <c r="AP203" s="43">
        <v>90</v>
      </c>
      <c r="AQ203">
        <v>1</v>
      </c>
      <c r="AR203" s="12">
        <v>0.05</v>
      </c>
      <c r="AS203" s="8">
        <f t="shared" si="3"/>
        <v>5</v>
      </c>
      <c r="AT203" s="12" t="s">
        <v>27</v>
      </c>
      <c r="AU203" s="8">
        <v>1</v>
      </c>
      <c r="AV203" s="12" t="s">
        <v>27</v>
      </c>
      <c r="AW203" s="29" t="s">
        <v>33</v>
      </c>
      <c r="AX203" s="20">
        <v>0</v>
      </c>
      <c r="AY203" s="3">
        <v>-0.83051833088979266</v>
      </c>
      <c r="AZ203" s="2" t="s">
        <v>29</v>
      </c>
      <c r="BA203" s="2">
        <v>2</v>
      </c>
    </row>
    <row r="204" spans="1:53">
      <c r="A204" s="16">
        <v>219</v>
      </c>
      <c r="B204" t="s">
        <v>167</v>
      </c>
      <c r="C204" s="27">
        <v>850</v>
      </c>
      <c r="D204" s="17">
        <v>23.42</v>
      </c>
      <c r="E204" s="17">
        <v>25.23</v>
      </c>
      <c r="F204" s="17">
        <v>30.79</v>
      </c>
      <c r="G204" s="17" t="s">
        <v>211</v>
      </c>
      <c r="H204" s="3">
        <v>30.16</v>
      </c>
      <c r="I204" s="3" t="s">
        <v>168</v>
      </c>
      <c r="J204" s="3">
        <v>31.49</v>
      </c>
      <c r="K204" s="3">
        <v>33.049999999999997</v>
      </c>
      <c r="L204" s="3">
        <v>32.03</v>
      </c>
      <c r="M204" s="3">
        <v>30.89</v>
      </c>
      <c r="N204" s="3">
        <v>33.770000000000003</v>
      </c>
      <c r="O204" s="3">
        <v>31.4</v>
      </c>
      <c r="P204" s="3">
        <v>30.21</v>
      </c>
      <c r="Q204" s="3">
        <v>33.04</v>
      </c>
      <c r="R204" s="3">
        <v>31.39</v>
      </c>
      <c r="S204" s="3">
        <v>29</v>
      </c>
      <c r="T204" s="3">
        <v>32.56</v>
      </c>
      <c r="U204" s="3">
        <v>30.54</v>
      </c>
      <c r="V204" s="3">
        <v>31.45</v>
      </c>
      <c r="W204" s="3">
        <v>36.31</v>
      </c>
      <c r="X204" s="3">
        <v>30.69</v>
      </c>
      <c r="Y204" s="3">
        <v>32.119999999999997</v>
      </c>
      <c r="Z204" s="18">
        <v>5638</v>
      </c>
      <c r="AA204" s="19" t="e">
        <f>(#REF!-Z204)/365</f>
        <v>#REF!</v>
      </c>
      <c r="AB204" s="10">
        <v>36871</v>
      </c>
      <c r="AC204" s="39" t="s">
        <v>222</v>
      </c>
      <c r="AD204" s="2">
        <v>1</v>
      </c>
      <c r="AE204" t="s">
        <v>37</v>
      </c>
      <c r="AF204" s="2">
        <v>1</v>
      </c>
      <c r="AG204">
        <v>20</v>
      </c>
      <c r="AH204" t="s">
        <v>28</v>
      </c>
      <c r="AI204" t="s">
        <v>28</v>
      </c>
      <c r="AJ204" t="s">
        <v>28</v>
      </c>
      <c r="AK204">
        <v>4</v>
      </c>
      <c r="AM204">
        <v>1</v>
      </c>
      <c r="AN204" s="41">
        <v>90</v>
      </c>
      <c r="AO204">
        <v>1</v>
      </c>
      <c r="AP204" s="41">
        <v>90</v>
      </c>
      <c r="AQ204">
        <v>2</v>
      </c>
      <c r="AR204" s="12">
        <v>0.05</v>
      </c>
      <c r="AS204" s="8">
        <f t="shared" si="3"/>
        <v>5</v>
      </c>
      <c r="AT204" s="12" t="s">
        <v>27</v>
      </c>
      <c r="AU204" s="8">
        <v>1</v>
      </c>
      <c r="AV204" s="12" t="s">
        <v>27</v>
      </c>
      <c r="AW204" s="29" t="s">
        <v>28</v>
      </c>
      <c r="AX204" s="20">
        <v>0</v>
      </c>
      <c r="AY204" s="3">
        <v>-1.2424326696422834</v>
      </c>
      <c r="AZ204" s="2" t="s">
        <v>35</v>
      </c>
      <c r="BA204" s="2">
        <v>1</v>
      </c>
    </row>
    <row r="205" spans="1:53" ht="15">
      <c r="A205" s="16">
        <v>220</v>
      </c>
      <c r="B205" t="s">
        <v>167</v>
      </c>
      <c r="C205" s="27">
        <v>846</v>
      </c>
      <c r="D205" s="17">
        <v>22.87</v>
      </c>
      <c r="E205" s="17">
        <v>24.71</v>
      </c>
      <c r="F205" s="17">
        <v>28.41</v>
      </c>
      <c r="G205" s="17" t="s">
        <v>211</v>
      </c>
      <c r="H205" s="3">
        <v>30.03</v>
      </c>
      <c r="I205" s="3" t="s">
        <v>168</v>
      </c>
      <c r="J205" s="3">
        <v>30.53</v>
      </c>
      <c r="K205" s="3">
        <v>31</v>
      </c>
      <c r="L205" s="3">
        <v>29.52</v>
      </c>
      <c r="M205" s="3">
        <v>30.21</v>
      </c>
      <c r="N205" s="3">
        <v>31.64</v>
      </c>
      <c r="O205" s="3">
        <v>29.43</v>
      </c>
      <c r="P205" s="3">
        <v>29.29</v>
      </c>
      <c r="Q205" s="3">
        <v>31.31</v>
      </c>
      <c r="R205" s="3">
        <v>29.31</v>
      </c>
      <c r="S205" s="3">
        <v>30.85</v>
      </c>
      <c r="T205" s="3">
        <v>32.17</v>
      </c>
      <c r="U205" s="3">
        <v>28.79</v>
      </c>
      <c r="V205" s="3">
        <v>30.35</v>
      </c>
      <c r="W205" s="3">
        <v>35.92</v>
      </c>
      <c r="X205" s="3">
        <v>28.45</v>
      </c>
      <c r="Y205" s="3">
        <v>31.86</v>
      </c>
      <c r="Z205" s="18">
        <v>23964</v>
      </c>
      <c r="AA205" s="19" t="e">
        <f>(#REF!-Z205)/365</f>
        <v>#REF!</v>
      </c>
      <c r="AB205" s="10">
        <v>36549</v>
      </c>
      <c r="AC205" s="39" t="s">
        <v>172</v>
      </c>
      <c r="AD205" s="2"/>
      <c r="AE205" t="s">
        <v>37</v>
      </c>
      <c r="AF205" s="2">
        <v>1</v>
      </c>
      <c r="AG205">
        <v>15</v>
      </c>
      <c r="AH205">
        <v>9</v>
      </c>
      <c r="AI205">
        <v>0</v>
      </c>
      <c r="AJ205" t="s">
        <v>31</v>
      </c>
      <c r="AK205" s="2">
        <v>0</v>
      </c>
      <c r="AM205">
        <v>1</v>
      </c>
      <c r="AN205" s="43">
        <v>30</v>
      </c>
      <c r="AO205">
        <v>1</v>
      </c>
      <c r="AP205" s="43">
        <v>50</v>
      </c>
      <c r="AQ205">
        <v>3</v>
      </c>
      <c r="AR205" s="12">
        <v>0.6</v>
      </c>
      <c r="AS205" s="8">
        <f t="shared" si="3"/>
        <v>60</v>
      </c>
      <c r="AT205" s="12" t="s">
        <v>34</v>
      </c>
      <c r="AU205" s="8">
        <v>3</v>
      </c>
      <c r="AV205" s="8" t="s">
        <v>34</v>
      </c>
      <c r="AW205" s="29" t="s">
        <v>28</v>
      </c>
      <c r="AX205" s="20">
        <v>0</v>
      </c>
      <c r="AY205" s="3">
        <v>-0.8956016422171218</v>
      </c>
      <c r="AZ205" s="2" t="s">
        <v>35</v>
      </c>
      <c r="BA205" s="2">
        <v>1</v>
      </c>
    </row>
    <row r="206" spans="1:53">
      <c r="A206" s="16">
        <v>221</v>
      </c>
      <c r="B206" t="s">
        <v>167</v>
      </c>
      <c r="C206" s="27">
        <v>512</v>
      </c>
      <c r="D206" s="17">
        <v>22.84</v>
      </c>
      <c r="E206" s="17">
        <v>23.35</v>
      </c>
      <c r="F206" s="17">
        <v>27.83</v>
      </c>
      <c r="G206" s="17" t="s">
        <v>211</v>
      </c>
      <c r="H206" s="3">
        <v>27.25</v>
      </c>
      <c r="I206" s="3" t="s">
        <v>168</v>
      </c>
      <c r="J206" s="3">
        <v>29.2</v>
      </c>
      <c r="K206" s="3">
        <v>29.98</v>
      </c>
      <c r="L206" s="3">
        <v>29.41</v>
      </c>
      <c r="M206" s="3">
        <v>28.87</v>
      </c>
      <c r="N206" s="3">
        <v>33.65</v>
      </c>
      <c r="O206" s="3">
        <v>29.16</v>
      </c>
      <c r="P206" s="3">
        <v>28.33</v>
      </c>
      <c r="Q206" s="3">
        <v>29.9</v>
      </c>
      <c r="R206" s="3">
        <v>29.13</v>
      </c>
      <c r="S206" s="3">
        <v>34.06</v>
      </c>
      <c r="T206" s="3">
        <v>29.99</v>
      </c>
      <c r="U206" s="3">
        <v>29.12</v>
      </c>
      <c r="V206" s="3">
        <v>28.24</v>
      </c>
      <c r="W206" s="3">
        <v>33.17</v>
      </c>
      <c r="X206" s="3">
        <v>29.49</v>
      </c>
      <c r="Y206" s="3">
        <v>30.59</v>
      </c>
      <c r="Z206" s="18">
        <v>10759</v>
      </c>
      <c r="AA206" s="19" t="e">
        <f>(#REF!-Z206)/365</f>
        <v>#REF!</v>
      </c>
      <c r="AB206" s="10">
        <v>36823</v>
      </c>
      <c r="AC206" s="39" t="s">
        <v>222</v>
      </c>
      <c r="AD206" s="2">
        <v>1</v>
      </c>
      <c r="AE206" t="s">
        <v>25</v>
      </c>
      <c r="AF206" s="2">
        <v>2</v>
      </c>
      <c r="AG206">
        <v>22</v>
      </c>
      <c r="AH206">
        <v>18</v>
      </c>
      <c r="AI206">
        <v>1</v>
      </c>
      <c r="AJ206" t="s">
        <v>26</v>
      </c>
      <c r="AK206" s="2">
        <v>1</v>
      </c>
      <c r="AM206">
        <v>1</v>
      </c>
      <c r="AN206" s="41">
        <v>90</v>
      </c>
      <c r="AO206">
        <v>1</v>
      </c>
      <c r="AP206" s="41">
        <v>20</v>
      </c>
      <c r="AQ206">
        <v>2</v>
      </c>
      <c r="AR206" s="12">
        <v>0.25</v>
      </c>
      <c r="AS206" s="8">
        <f t="shared" si="3"/>
        <v>25</v>
      </c>
      <c r="AT206" s="12" t="s">
        <v>34</v>
      </c>
      <c r="AU206" s="8">
        <v>3</v>
      </c>
      <c r="AV206" s="8" t="s">
        <v>44</v>
      </c>
      <c r="AW206" s="29" t="s">
        <v>28</v>
      </c>
      <c r="AX206" s="20">
        <v>0</v>
      </c>
      <c r="AY206" s="3">
        <v>-2.420734736358134</v>
      </c>
      <c r="AZ206" s="2" t="s">
        <v>35</v>
      </c>
      <c r="BA206" s="2">
        <v>1</v>
      </c>
    </row>
    <row r="207" spans="1:53" ht="15">
      <c r="A207" s="16">
        <v>222</v>
      </c>
      <c r="B207" t="s">
        <v>167</v>
      </c>
      <c r="C207" s="27">
        <v>967</v>
      </c>
      <c r="D207" s="17">
        <v>24.5</v>
      </c>
      <c r="E207" s="17">
        <v>24.88</v>
      </c>
      <c r="F207" s="17">
        <v>29.71</v>
      </c>
      <c r="G207" s="17" t="s">
        <v>211</v>
      </c>
      <c r="H207" s="3">
        <v>34.799999999999997</v>
      </c>
      <c r="I207" s="3" t="s">
        <v>168</v>
      </c>
      <c r="J207" s="3">
        <v>31.22</v>
      </c>
      <c r="K207" s="3">
        <v>31.75</v>
      </c>
      <c r="L207" s="3">
        <v>29.03</v>
      </c>
      <c r="M207" s="3">
        <v>31.61</v>
      </c>
      <c r="N207" s="3">
        <v>32.770000000000003</v>
      </c>
      <c r="O207" s="3">
        <v>30.69</v>
      </c>
      <c r="P207" s="3">
        <v>30.41</v>
      </c>
      <c r="Q207" s="3">
        <v>29.42</v>
      </c>
      <c r="R207" s="3">
        <v>30.03</v>
      </c>
      <c r="S207" s="3">
        <v>30.69</v>
      </c>
      <c r="T207" s="3">
        <v>33.35</v>
      </c>
      <c r="U207" s="3">
        <v>26.35</v>
      </c>
      <c r="V207" s="3">
        <v>31.03</v>
      </c>
      <c r="W207" s="3">
        <v>36.200000000000003</v>
      </c>
      <c r="X207" s="3">
        <v>34.03</v>
      </c>
      <c r="Y207" s="3">
        <v>31.33</v>
      </c>
      <c r="Z207" s="18">
        <v>14121</v>
      </c>
      <c r="AA207" s="19" t="e">
        <f>(#REF!-Z207)/365</f>
        <v>#REF!</v>
      </c>
      <c r="AB207" s="10">
        <v>36619</v>
      </c>
      <c r="AC207" s="39" t="s">
        <v>222</v>
      </c>
      <c r="AD207" s="2">
        <v>1</v>
      </c>
      <c r="AE207" t="s">
        <v>25</v>
      </c>
      <c r="AF207" s="2">
        <v>2</v>
      </c>
      <c r="AG207">
        <v>40</v>
      </c>
      <c r="AH207">
        <v>11</v>
      </c>
      <c r="AI207">
        <v>0</v>
      </c>
      <c r="AJ207" t="s">
        <v>31</v>
      </c>
      <c r="AK207" s="2">
        <v>0</v>
      </c>
      <c r="AM207">
        <v>1</v>
      </c>
      <c r="AN207" s="43">
        <v>80</v>
      </c>
      <c r="AO207">
        <v>1</v>
      </c>
      <c r="AP207" s="43">
        <v>70</v>
      </c>
      <c r="AQ207">
        <v>3</v>
      </c>
      <c r="AR207" s="12">
        <v>0.55000000000000004</v>
      </c>
      <c r="AS207" s="8">
        <f t="shared" si="3"/>
        <v>55.000000000000007</v>
      </c>
      <c r="AT207" s="12" t="s">
        <v>34</v>
      </c>
      <c r="AU207" s="8">
        <v>3</v>
      </c>
      <c r="AV207" s="8" t="s">
        <v>34</v>
      </c>
      <c r="AW207" s="29" t="s">
        <v>28</v>
      </c>
      <c r="AX207" s="20">
        <v>0</v>
      </c>
      <c r="AY207" s="3">
        <v>2.1972001598487485</v>
      </c>
      <c r="AZ207" s="2" t="s">
        <v>38</v>
      </c>
      <c r="BA207" s="2">
        <v>3</v>
      </c>
    </row>
    <row r="208" spans="1:53" ht="15">
      <c r="A208" s="16">
        <v>223</v>
      </c>
      <c r="B208" t="s">
        <v>167</v>
      </c>
      <c r="C208" s="27">
        <v>915</v>
      </c>
      <c r="D208" s="17">
        <v>22.34</v>
      </c>
      <c r="E208" s="17">
        <v>24.22</v>
      </c>
      <c r="F208" s="17">
        <v>29.3</v>
      </c>
      <c r="G208" s="17" t="s">
        <v>211</v>
      </c>
      <c r="H208" s="3">
        <v>31.49</v>
      </c>
      <c r="I208" s="3" t="s">
        <v>168</v>
      </c>
      <c r="J208" s="3">
        <v>29.9</v>
      </c>
      <c r="K208" s="3">
        <v>32.69</v>
      </c>
      <c r="L208" s="3">
        <v>31.39</v>
      </c>
      <c r="M208" s="3">
        <v>30.55</v>
      </c>
      <c r="N208" s="3">
        <v>33.69</v>
      </c>
      <c r="O208" s="3">
        <v>29.87</v>
      </c>
      <c r="P208" s="3">
        <v>28.06</v>
      </c>
      <c r="Q208" s="3">
        <v>32.229999999999997</v>
      </c>
      <c r="R208" s="3">
        <v>30.98</v>
      </c>
      <c r="S208" s="3">
        <v>34.94</v>
      </c>
      <c r="T208" s="3">
        <v>31.39</v>
      </c>
      <c r="U208" s="3">
        <v>29.87</v>
      </c>
      <c r="V208" s="3">
        <v>30.33</v>
      </c>
      <c r="W208" s="3">
        <v>34.22</v>
      </c>
      <c r="X208" s="3">
        <v>31.43</v>
      </c>
      <c r="Y208" s="3">
        <v>31.57</v>
      </c>
      <c r="Z208" s="18">
        <v>15320</v>
      </c>
      <c r="AA208" s="19" t="e">
        <f>(#REF!-Z208)/365</f>
        <v>#REF!</v>
      </c>
      <c r="AB208" s="10">
        <v>36629</v>
      </c>
      <c r="AC208" s="39" t="s">
        <v>97</v>
      </c>
      <c r="AD208" s="2"/>
      <c r="AE208" t="s">
        <v>25</v>
      </c>
      <c r="AF208" s="2">
        <v>2</v>
      </c>
      <c r="AG208">
        <v>25</v>
      </c>
      <c r="AH208">
        <v>30</v>
      </c>
      <c r="AI208">
        <v>0</v>
      </c>
      <c r="AJ208" t="s">
        <v>31</v>
      </c>
      <c r="AK208" s="2">
        <v>0</v>
      </c>
      <c r="AM208">
        <v>1</v>
      </c>
      <c r="AN208" s="41">
        <v>80</v>
      </c>
      <c r="AO208">
        <v>1</v>
      </c>
      <c r="AP208" s="43">
        <v>50</v>
      </c>
      <c r="AQ208">
        <v>2</v>
      </c>
      <c r="AR208" s="12">
        <v>0.3</v>
      </c>
      <c r="AS208" s="8">
        <f t="shared" si="3"/>
        <v>30</v>
      </c>
      <c r="AT208" s="12" t="s">
        <v>34</v>
      </c>
      <c r="AU208" s="8">
        <v>3</v>
      </c>
      <c r="AV208" s="8" t="s">
        <v>34</v>
      </c>
      <c r="AW208" s="29" t="s">
        <v>28</v>
      </c>
      <c r="AX208" s="20">
        <v>0</v>
      </c>
      <c r="AY208" s="3">
        <v>-1.290762102430804</v>
      </c>
      <c r="AZ208" s="2" t="s">
        <v>35</v>
      </c>
      <c r="BA208" s="2">
        <v>1</v>
      </c>
    </row>
    <row r="209" spans="1:53">
      <c r="A209" s="16">
        <v>224</v>
      </c>
      <c r="B209" t="s">
        <v>167</v>
      </c>
      <c r="C209" s="27">
        <v>165</v>
      </c>
      <c r="D209" s="17">
        <v>24.34</v>
      </c>
      <c r="E209" s="17">
        <v>25.76</v>
      </c>
      <c r="F209" s="17">
        <v>30.83</v>
      </c>
      <c r="G209" s="17" t="s">
        <v>211</v>
      </c>
      <c r="H209" s="3">
        <v>31.81</v>
      </c>
      <c r="I209" s="3" t="s">
        <v>168</v>
      </c>
      <c r="J209" s="3">
        <v>32.76</v>
      </c>
      <c r="K209" s="3">
        <v>32.799999999999997</v>
      </c>
      <c r="L209" s="3">
        <v>34.18</v>
      </c>
      <c r="M209" s="3">
        <v>35.04</v>
      </c>
      <c r="N209" s="3">
        <v>35.19</v>
      </c>
      <c r="O209" s="3">
        <v>32.07</v>
      </c>
      <c r="P209" s="3">
        <v>30.24</v>
      </c>
      <c r="Q209" s="3">
        <v>34.56</v>
      </c>
      <c r="R209" s="3">
        <v>32.11</v>
      </c>
      <c r="S209" s="3">
        <v>30.29</v>
      </c>
      <c r="T209" s="3">
        <v>31.99</v>
      </c>
      <c r="U209" s="3">
        <v>29.94</v>
      </c>
      <c r="V209" s="3">
        <v>30.99</v>
      </c>
      <c r="W209" s="3">
        <v>35.020000000000003</v>
      </c>
      <c r="X209" s="3">
        <v>30.08</v>
      </c>
      <c r="Y209" s="3">
        <v>32.590000000000003</v>
      </c>
      <c r="Z209" s="18">
        <v>13881</v>
      </c>
      <c r="AA209" s="19" t="e">
        <f>(#REF!-Z209)/365</f>
        <v>#REF!</v>
      </c>
      <c r="AB209" s="10">
        <v>36648</v>
      </c>
      <c r="AC209" s="39" t="s">
        <v>222</v>
      </c>
      <c r="AD209" s="2">
        <v>1</v>
      </c>
      <c r="AE209" t="s">
        <v>37</v>
      </c>
      <c r="AF209" s="2">
        <v>1</v>
      </c>
      <c r="AG209">
        <v>10</v>
      </c>
      <c r="AH209">
        <v>30</v>
      </c>
      <c r="AI209">
        <v>0</v>
      </c>
      <c r="AJ209" t="s">
        <v>31</v>
      </c>
      <c r="AK209" s="2">
        <v>0</v>
      </c>
      <c r="AM209">
        <v>1</v>
      </c>
      <c r="AN209" s="41">
        <v>90</v>
      </c>
      <c r="AO209">
        <v>1</v>
      </c>
      <c r="AP209" s="41">
        <v>30</v>
      </c>
      <c r="AQ209">
        <v>2</v>
      </c>
      <c r="AR209" s="12">
        <v>0.05</v>
      </c>
      <c r="AS209" s="8">
        <f t="shared" si="3"/>
        <v>5</v>
      </c>
      <c r="AT209" s="12" t="s">
        <v>27</v>
      </c>
      <c r="AU209" s="8">
        <v>1</v>
      </c>
      <c r="AV209" s="12" t="s">
        <v>27</v>
      </c>
      <c r="AW209" s="29" t="s">
        <v>28</v>
      </c>
      <c r="AX209" s="20">
        <v>0.01</v>
      </c>
      <c r="AY209" s="3">
        <v>-1.197425265514565</v>
      </c>
      <c r="AZ209" s="2" t="s">
        <v>35</v>
      </c>
      <c r="BA209" s="2">
        <v>1</v>
      </c>
    </row>
    <row r="210" spans="1:53">
      <c r="A210" s="16">
        <v>225</v>
      </c>
      <c r="B210" t="s">
        <v>167</v>
      </c>
      <c r="C210" s="27">
        <v>569</v>
      </c>
      <c r="D210" s="17">
        <v>24.48</v>
      </c>
      <c r="E210" s="17">
        <v>24.35</v>
      </c>
      <c r="F210" s="17">
        <v>29.88</v>
      </c>
      <c r="G210" s="17" t="s">
        <v>211</v>
      </c>
      <c r="H210" s="3">
        <v>29.53</v>
      </c>
      <c r="I210" s="3" t="s">
        <v>168</v>
      </c>
      <c r="J210" s="3">
        <v>31.5</v>
      </c>
      <c r="K210" s="3">
        <v>31.52</v>
      </c>
      <c r="L210" s="3">
        <v>31.55</v>
      </c>
      <c r="M210" s="3">
        <v>29.67</v>
      </c>
      <c r="N210" s="3">
        <v>33.86</v>
      </c>
      <c r="O210" s="3">
        <v>30.49</v>
      </c>
      <c r="P210" s="3">
        <v>29.45</v>
      </c>
      <c r="Q210" s="3">
        <v>32.99</v>
      </c>
      <c r="R210" s="3">
        <v>31.47</v>
      </c>
      <c r="S210" s="3">
        <v>35.409999999999997</v>
      </c>
      <c r="T210" s="3">
        <v>31.44</v>
      </c>
      <c r="U210" s="3">
        <v>27.79</v>
      </c>
      <c r="V210" s="3">
        <v>28.49</v>
      </c>
      <c r="W210" s="3">
        <v>36.82</v>
      </c>
      <c r="X210" s="3">
        <v>30.82</v>
      </c>
      <c r="Y210" s="3">
        <v>32.32</v>
      </c>
      <c r="Z210" s="18">
        <v>13747</v>
      </c>
      <c r="AA210" s="19">
        <v>63.972602739726028</v>
      </c>
      <c r="AB210" s="10">
        <v>37043</v>
      </c>
      <c r="AC210" s="39" t="s">
        <v>222</v>
      </c>
      <c r="AD210" s="2">
        <v>1</v>
      </c>
      <c r="AE210" t="s">
        <v>37</v>
      </c>
      <c r="AF210" s="2">
        <v>1</v>
      </c>
      <c r="AG210">
        <v>15</v>
      </c>
      <c r="AH210">
        <v>8</v>
      </c>
      <c r="AI210">
        <v>0</v>
      </c>
      <c r="AJ210" t="s">
        <v>31</v>
      </c>
      <c r="AK210" s="2">
        <v>0</v>
      </c>
      <c r="AM210">
        <v>1</v>
      </c>
      <c r="AN210" s="41">
        <v>70</v>
      </c>
      <c r="AO210">
        <v>1</v>
      </c>
      <c r="AP210" s="41">
        <v>50</v>
      </c>
      <c r="AQ210">
        <v>2</v>
      </c>
      <c r="AR210" s="12">
        <v>0.1</v>
      </c>
      <c r="AS210" s="8">
        <f t="shared" si="3"/>
        <v>10</v>
      </c>
      <c r="AT210" s="12" t="s">
        <v>27</v>
      </c>
      <c r="AU210" s="8">
        <v>1</v>
      </c>
      <c r="AV210" s="12" t="s">
        <v>27</v>
      </c>
      <c r="AW210" s="29" t="s">
        <v>28</v>
      </c>
      <c r="AX210" s="20">
        <v>0</v>
      </c>
      <c r="AY210" s="3">
        <v>-2.4932946559274227</v>
      </c>
      <c r="AZ210" s="2" t="s">
        <v>35</v>
      </c>
      <c r="BA210" s="2">
        <v>1</v>
      </c>
    </row>
    <row r="211" spans="1:53">
      <c r="A211" s="16">
        <v>226</v>
      </c>
      <c r="B211" t="s">
        <v>167</v>
      </c>
      <c r="C211" s="27">
        <v>551</v>
      </c>
      <c r="D211" s="17">
        <v>22.97</v>
      </c>
      <c r="E211" s="17">
        <v>24.78</v>
      </c>
      <c r="F211" s="17">
        <v>29.8</v>
      </c>
      <c r="G211" s="17" t="s">
        <v>211</v>
      </c>
      <c r="H211" s="3">
        <v>33.61</v>
      </c>
      <c r="I211" s="3" t="s">
        <v>168</v>
      </c>
      <c r="J211" s="3">
        <v>31.58</v>
      </c>
      <c r="K211" s="3">
        <v>33.44</v>
      </c>
      <c r="L211" s="3">
        <v>29.69</v>
      </c>
      <c r="M211" s="3">
        <v>29.67</v>
      </c>
      <c r="N211" s="3">
        <v>32.86</v>
      </c>
      <c r="O211" s="3">
        <v>31.42</v>
      </c>
      <c r="P211" s="3">
        <v>30.49</v>
      </c>
      <c r="Q211" s="3">
        <v>32.56</v>
      </c>
      <c r="R211" s="3">
        <v>31.25</v>
      </c>
      <c r="S211" s="3">
        <v>32.56</v>
      </c>
      <c r="T211" s="3">
        <v>32.49</v>
      </c>
      <c r="U211" s="3">
        <v>30.78</v>
      </c>
      <c r="V211" s="3">
        <v>31.59</v>
      </c>
      <c r="W211" s="3">
        <v>33</v>
      </c>
      <c r="X211" s="3">
        <v>30.11</v>
      </c>
      <c r="Y211" s="3">
        <v>33.65</v>
      </c>
      <c r="Z211" s="18">
        <v>12201</v>
      </c>
      <c r="AA211" s="19">
        <v>68.221917808219175</v>
      </c>
      <c r="AB211" s="10">
        <v>37070</v>
      </c>
      <c r="AC211" s="39" t="s">
        <v>222</v>
      </c>
      <c r="AD211" s="2">
        <v>1</v>
      </c>
      <c r="AE211" t="s">
        <v>25</v>
      </c>
      <c r="AF211" s="2">
        <v>2</v>
      </c>
      <c r="AG211">
        <v>30</v>
      </c>
      <c r="AH211">
        <v>22</v>
      </c>
      <c r="AI211">
        <v>17</v>
      </c>
      <c r="AJ211" t="s">
        <v>61</v>
      </c>
      <c r="AK211" s="2">
        <v>3</v>
      </c>
      <c r="AM211">
        <v>2</v>
      </c>
      <c r="AN211" s="41" t="s">
        <v>33</v>
      </c>
      <c r="AO211">
        <v>2</v>
      </c>
      <c r="AP211" s="41" t="s">
        <v>33</v>
      </c>
      <c r="AQ211">
        <v>3</v>
      </c>
      <c r="AR211" s="12">
        <v>0.65</v>
      </c>
      <c r="AS211" s="8">
        <f t="shared" si="3"/>
        <v>65</v>
      </c>
      <c r="AT211" s="12" t="s">
        <v>34</v>
      </c>
      <c r="AU211" s="8">
        <v>3</v>
      </c>
      <c r="AV211" s="8" t="s">
        <v>34</v>
      </c>
      <c r="AW211" s="29" t="s">
        <v>28</v>
      </c>
      <c r="AX211" s="20">
        <v>0</v>
      </c>
      <c r="AY211" s="3">
        <v>0.42874343905309775</v>
      </c>
      <c r="AZ211" s="2" t="s">
        <v>38</v>
      </c>
      <c r="BA211" s="2">
        <v>3</v>
      </c>
    </row>
    <row r="212" spans="1:53">
      <c r="A212" s="16">
        <v>227</v>
      </c>
      <c r="B212" t="s">
        <v>167</v>
      </c>
      <c r="C212" s="36">
        <v>100</v>
      </c>
      <c r="D212" s="17">
        <v>23.91</v>
      </c>
      <c r="E212" s="17">
        <v>25.46</v>
      </c>
      <c r="F212" s="17">
        <v>30.09</v>
      </c>
      <c r="G212" s="17" t="s">
        <v>211</v>
      </c>
      <c r="H212" s="3">
        <v>33.270000000000003</v>
      </c>
      <c r="I212" s="3" t="s">
        <v>168</v>
      </c>
      <c r="J212" s="3">
        <v>32.520000000000003</v>
      </c>
      <c r="K212" s="3">
        <v>33.06</v>
      </c>
      <c r="L212" s="3">
        <v>31.2</v>
      </c>
      <c r="M212" s="3">
        <v>33.770000000000003</v>
      </c>
      <c r="N212" s="3">
        <v>35.6</v>
      </c>
      <c r="O212" s="3">
        <v>31.25</v>
      </c>
      <c r="P212" s="3">
        <v>29.2</v>
      </c>
      <c r="Q212" s="3">
        <v>31.91</v>
      </c>
      <c r="R212" s="3">
        <v>31.59</v>
      </c>
      <c r="S212" s="3">
        <v>29.68</v>
      </c>
      <c r="T212" s="3">
        <v>32.43</v>
      </c>
      <c r="U212" s="3">
        <v>28.32</v>
      </c>
      <c r="V212" s="3">
        <v>31.24</v>
      </c>
      <c r="W212" s="3">
        <v>38.520000000000003</v>
      </c>
      <c r="X212" s="3">
        <v>31.92</v>
      </c>
      <c r="Y212" s="3">
        <v>33.61</v>
      </c>
      <c r="Z212" s="18">
        <v>9138</v>
      </c>
      <c r="AA212" s="19" t="e">
        <f>(#REF!-Z212)/365</f>
        <v>#REF!</v>
      </c>
      <c r="AB212" s="10">
        <v>35748</v>
      </c>
      <c r="AC212" s="39" t="s">
        <v>222</v>
      </c>
      <c r="AD212" s="2">
        <v>1</v>
      </c>
      <c r="AE212" t="s">
        <v>37</v>
      </c>
      <c r="AF212" s="2">
        <v>1</v>
      </c>
      <c r="AG212">
        <v>10</v>
      </c>
      <c r="AH212">
        <v>7</v>
      </c>
      <c r="AI212">
        <v>0</v>
      </c>
      <c r="AJ212" t="s">
        <v>31</v>
      </c>
      <c r="AK212" s="2">
        <v>0</v>
      </c>
      <c r="AM212">
        <v>2</v>
      </c>
      <c r="AN212" s="41" t="s">
        <v>33</v>
      </c>
      <c r="AO212">
        <v>2</v>
      </c>
      <c r="AP212" s="41" t="s">
        <v>33</v>
      </c>
      <c r="AQ212">
        <v>3</v>
      </c>
      <c r="AR212" s="12">
        <v>0.3</v>
      </c>
      <c r="AS212" s="8">
        <f t="shared" si="3"/>
        <v>30</v>
      </c>
      <c r="AT212" s="12" t="s">
        <v>34</v>
      </c>
      <c r="AU212" s="8">
        <v>3</v>
      </c>
      <c r="AV212" s="8" t="s">
        <v>34</v>
      </c>
      <c r="AW212" s="29" t="s">
        <v>28</v>
      </c>
      <c r="AX212" s="20">
        <v>0</v>
      </c>
      <c r="AY212" s="3">
        <v>0.99641693691910849</v>
      </c>
      <c r="AZ212" s="2" t="s">
        <v>38</v>
      </c>
      <c r="BA212" s="2">
        <v>3</v>
      </c>
    </row>
    <row r="213" spans="1:53" ht="15">
      <c r="A213" s="16">
        <v>228</v>
      </c>
      <c r="B213" t="s">
        <v>167</v>
      </c>
      <c r="C213" s="27">
        <v>462</v>
      </c>
      <c r="D213" s="17">
        <v>24.07</v>
      </c>
      <c r="E213" s="17">
        <v>25.29</v>
      </c>
      <c r="F213" s="17">
        <v>30.91</v>
      </c>
      <c r="G213" s="17" t="s">
        <v>211</v>
      </c>
      <c r="H213" s="3">
        <v>30.98</v>
      </c>
      <c r="I213" s="3" t="s">
        <v>168</v>
      </c>
      <c r="J213" s="3">
        <v>31.94</v>
      </c>
      <c r="K213" s="3">
        <v>33.409999999999997</v>
      </c>
      <c r="L213" s="3">
        <v>32.71</v>
      </c>
      <c r="M213" s="3">
        <v>28.02</v>
      </c>
      <c r="N213" s="3">
        <v>34.450000000000003</v>
      </c>
      <c r="O213" s="3">
        <v>31.57</v>
      </c>
      <c r="P213" s="3">
        <v>30.29</v>
      </c>
      <c r="Q213" s="3">
        <v>33.11</v>
      </c>
      <c r="R213" s="3">
        <v>31.56</v>
      </c>
      <c r="S213" s="3">
        <v>32.42</v>
      </c>
      <c r="T213" s="3">
        <v>31.36</v>
      </c>
      <c r="U213" s="3">
        <v>29.6</v>
      </c>
      <c r="V213" s="3">
        <v>30.15</v>
      </c>
      <c r="W213" s="3">
        <v>35.380000000000003</v>
      </c>
      <c r="X213" s="3">
        <v>30.02</v>
      </c>
      <c r="Y213" s="3">
        <v>34.119999999999997</v>
      </c>
      <c r="Z213" s="18">
        <v>8621</v>
      </c>
      <c r="AA213" s="19" t="e">
        <f>(#REF!-Z213)/365</f>
        <v>#REF!</v>
      </c>
      <c r="AB213" s="10">
        <v>36623</v>
      </c>
      <c r="AC213" s="39" t="s">
        <v>222</v>
      </c>
      <c r="AD213" s="2">
        <v>1</v>
      </c>
      <c r="AE213" t="s">
        <v>37</v>
      </c>
      <c r="AF213" s="2">
        <v>1</v>
      </c>
      <c r="AG213">
        <v>20</v>
      </c>
      <c r="AH213">
        <v>15</v>
      </c>
      <c r="AI213">
        <v>2</v>
      </c>
      <c r="AJ213" t="s">
        <v>26</v>
      </c>
      <c r="AK213" s="2">
        <v>1</v>
      </c>
      <c r="AM213">
        <v>1</v>
      </c>
      <c r="AN213" s="41">
        <v>95</v>
      </c>
      <c r="AO213">
        <v>1</v>
      </c>
      <c r="AP213" s="43">
        <v>95</v>
      </c>
      <c r="AQ213">
        <v>2</v>
      </c>
      <c r="AR213" s="12">
        <v>0</v>
      </c>
      <c r="AS213" s="8">
        <f t="shared" si="3"/>
        <v>0</v>
      </c>
      <c r="AT213" s="12" t="s">
        <v>27</v>
      </c>
      <c r="AU213" s="8">
        <v>1</v>
      </c>
      <c r="AV213" s="12" t="s">
        <v>27</v>
      </c>
      <c r="AW213" s="29" t="s">
        <v>33</v>
      </c>
      <c r="AX213" s="20">
        <v>0.1</v>
      </c>
      <c r="AY213" s="3">
        <v>-0.97796188162833286</v>
      </c>
      <c r="AZ213" s="2" t="s">
        <v>35</v>
      </c>
      <c r="BA213" s="2">
        <v>1</v>
      </c>
    </row>
    <row r="214" spans="1:53" ht="15">
      <c r="A214" s="16">
        <v>229</v>
      </c>
      <c r="B214" t="s">
        <v>167</v>
      </c>
      <c r="C214" s="27">
        <v>244</v>
      </c>
      <c r="D214" s="17">
        <v>24.39</v>
      </c>
      <c r="E214" s="17">
        <v>25.75</v>
      </c>
      <c r="F214" s="17">
        <v>30.19</v>
      </c>
      <c r="G214" s="17" t="s">
        <v>211</v>
      </c>
      <c r="H214" s="3">
        <v>31.97</v>
      </c>
      <c r="I214" s="3" t="s">
        <v>168</v>
      </c>
      <c r="J214" s="3">
        <v>32.49</v>
      </c>
      <c r="K214" s="3">
        <v>32.65</v>
      </c>
      <c r="L214" s="3">
        <v>34.380000000000003</v>
      </c>
      <c r="M214" s="3">
        <v>32.5</v>
      </c>
      <c r="N214" s="3">
        <v>34.549999999999997</v>
      </c>
      <c r="O214" s="3">
        <v>31.76</v>
      </c>
      <c r="P214" s="3">
        <v>29.38</v>
      </c>
      <c r="Q214" s="3">
        <v>33.590000000000003</v>
      </c>
      <c r="R214" s="3">
        <v>32.74</v>
      </c>
      <c r="S214" s="3">
        <v>34.18</v>
      </c>
      <c r="T214" s="3">
        <v>31.47</v>
      </c>
      <c r="U214" s="3">
        <v>29.08</v>
      </c>
      <c r="V214" s="3">
        <v>30.81</v>
      </c>
      <c r="W214" s="3">
        <v>34.43</v>
      </c>
      <c r="X214" s="3">
        <v>32.72</v>
      </c>
      <c r="Y214" s="3">
        <v>33.85</v>
      </c>
      <c r="Z214" s="18">
        <v>18866</v>
      </c>
      <c r="AA214" s="19" t="e">
        <f>(#REF!-Z214)/365</f>
        <v>#REF!</v>
      </c>
      <c r="AB214" s="10">
        <v>36620</v>
      </c>
      <c r="AC214" s="39" t="s">
        <v>224</v>
      </c>
      <c r="AD214" s="2">
        <v>2</v>
      </c>
      <c r="AE214" t="s">
        <v>37</v>
      </c>
      <c r="AF214" s="2">
        <v>1</v>
      </c>
      <c r="AG214">
        <v>13</v>
      </c>
      <c r="AH214">
        <v>21</v>
      </c>
      <c r="AI214">
        <v>0</v>
      </c>
      <c r="AJ214" t="s">
        <v>31</v>
      </c>
      <c r="AK214" s="2">
        <v>0</v>
      </c>
      <c r="AM214">
        <v>1</v>
      </c>
      <c r="AN214" s="43">
        <v>70</v>
      </c>
      <c r="AO214">
        <v>1</v>
      </c>
      <c r="AP214" s="43">
        <v>90</v>
      </c>
      <c r="AQ214">
        <v>2</v>
      </c>
      <c r="AR214" s="12">
        <v>0.05</v>
      </c>
      <c r="AS214" s="8">
        <f t="shared" si="3"/>
        <v>5</v>
      </c>
      <c r="AT214" s="12" t="s">
        <v>27</v>
      </c>
      <c r="AU214" s="8">
        <v>1</v>
      </c>
      <c r="AV214" s="12" t="s">
        <v>27</v>
      </c>
      <c r="AW214" s="29" t="s">
        <v>28</v>
      </c>
      <c r="AX214" s="20">
        <v>0</v>
      </c>
      <c r="AY214" s="3">
        <v>-1.0351756144728208</v>
      </c>
      <c r="AZ214" s="2" t="s">
        <v>35</v>
      </c>
      <c r="BA214" s="2">
        <v>1</v>
      </c>
    </row>
    <row r="215" spans="1:53">
      <c r="A215" s="16">
        <v>230</v>
      </c>
      <c r="B215" t="s">
        <v>167</v>
      </c>
      <c r="C215" s="27">
        <v>790</v>
      </c>
      <c r="D215" s="17">
        <v>22.3</v>
      </c>
      <c r="E215" s="17">
        <v>21.94</v>
      </c>
      <c r="F215" s="17">
        <v>27.87</v>
      </c>
      <c r="G215" s="17" t="s">
        <v>211</v>
      </c>
      <c r="H215" s="3">
        <v>28.86</v>
      </c>
      <c r="I215" s="3" t="s">
        <v>168</v>
      </c>
      <c r="J215" s="3">
        <v>29.47</v>
      </c>
      <c r="K215" s="3">
        <v>29.08</v>
      </c>
      <c r="L215" s="3">
        <v>29.7</v>
      </c>
      <c r="M215" s="3">
        <v>29.04</v>
      </c>
      <c r="N215" s="3">
        <v>30.59</v>
      </c>
      <c r="O215" s="3">
        <v>29.09</v>
      </c>
      <c r="P215" s="3">
        <v>28.27</v>
      </c>
      <c r="Q215" s="3">
        <v>29.7</v>
      </c>
      <c r="R215" s="3">
        <v>29.49</v>
      </c>
      <c r="S215" s="3">
        <v>29.96</v>
      </c>
      <c r="T215" s="3">
        <v>31.55</v>
      </c>
      <c r="U215" s="3">
        <v>28.7</v>
      </c>
      <c r="V215" s="3">
        <v>29.22</v>
      </c>
      <c r="W215" s="3">
        <v>33.65</v>
      </c>
      <c r="X215" s="3">
        <v>28.78</v>
      </c>
      <c r="Y215" s="3">
        <v>31.01</v>
      </c>
      <c r="Z215" s="18">
        <v>23408</v>
      </c>
      <c r="AA215" s="19">
        <v>37.153424657534245</v>
      </c>
      <c r="AB215" s="10">
        <v>36951</v>
      </c>
      <c r="AC215" s="40" t="s">
        <v>173</v>
      </c>
      <c r="AD215" s="2"/>
      <c r="AE215" t="s">
        <v>69</v>
      </c>
      <c r="AF215" s="2">
        <v>3</v>
      </c>
      <c r="AG215">
        <v>60</v>
      </c>
      <c r="AH215">
        <v>43</v>
      </c>
      <c r="AI215">
        <v>29</v>
      </c>
      <c r="AJ215" t="s">
        <v>61</v>
      </c>
      <c r="AK215" s="2">
        <v>3</v>
      </c>
      <c r="AM215">
        <v>1</v>
      </c>
      <c r="AN215" s="41">
        <v>50</v>
      </c>
      <c r="AO215">
        <v>1</v>
      </c>
      <c r="AP215" s="41">
        <v>50</v>
      </c>
      <c r="AQ215">
        <v>3</v>
      </c>
      <c r="AR215" s="12">
        <v>0.3</v>
      </c>
      <c r="AS215" s="8">
        <f t="shared" si="3"/>
        <v>30</v>
      </c>
      <c r="AT215" s="12" t="s">
        <v>34</v>
      </c>
      <c r="AU215" s="8">
        <v>3</v>
      </c>
      <c r="AV215" s="8" t="s">
        <v>34</v>
      </c>
      <c r="AW215" s="25" t="s">
        <v>171</v>
      </c>
      <c r="AX215" s="20">
        <v>0.7</v>
      </c>
      <c r="AY215" s="3">
        <v>-0.81469681395435178</v>
      </c>
      <c r="AZ215" s="2" t="s">
        <v>29</v>
      </c>
      <c r="BA215" s="2">
        <v>2</v>
      </c>
    </row>
    <row r="216" spans="1:53">
      <c r="A216" s="16">
        <v>231</v>
      </c>
      <c r="B216" t="s">
        <v>167</v>
      </c>
      <c r="C216" s="27">
        <v>426</v>
      </c>
      <c r="D216" s="17">
        <v>23.81</v>
      </c>
      <c r="E216" s="17">
        <v>25.67</v>
      </c>
      <c r="F216" s="17">
        <v>31.12</v>
      </c>
      <c r="G216" s="17" t="s">
        <v>211</v>
      </c>
      <c r="H216" s="3">
        <v>32.85</v>
      </c>
      <c r="I216" s="3" t="s">
        <v>168</v>
      </c>
      <c r="J216" s="3">
        <v>33.14</v>
      </c>
      <c r="K216" s="3">
        <v>33.64</v>
      </c>
      <c r="L216" s="3">
        <v>31.22</v>
      </c>
      <c r="M216" s="3">
        <v>32.270000000000003</v>
      </c>
      <c r="N216" s="3">
        <v>35.76</v>
      </c>
      <c r="O216" s="3">
        <v>32.46</v>
      </c>
      <c r="P216" s="3">
        <v>30.53</v>
      </c>
      <c r="Q216" s="3">
        <v>33.35</v>
      </c>
      <c r="R216" s="3">
        <v>32.11</v>
      </c>
      <c r="S216" s="3">
        <v>29.87</v>
      </c>
      <c r="T216" s="3">
        <v>32.82</v>
      </c>
      <c r="U216" s="3">
        <v>29.21</v>
      </c>
      <c r="V216" s="3">
        <v>30.35</v>
      </c>
      <c r="W216" s="3" t="s">
        <v>211</v>
      </c>
      <c r="X216" s="3">
        <v>30.34</v>
      </c>
      <c r="Y216" s="3">
        <v>33.43</v>
      </c>
      <c r="Z216" s="18">
        <v>12420</v>
      </c>
      <c r="AA216" s="19">
        <v>67.320547945205476</v>
      </c>
      <c r="AB216" s="10">
        <v>36949</v>
      </c>
      <c r="AC216" s="39" t="s">
        <v>222</v>
      </c>
      <c r="AD216" s="2">
        <v>1</v>
      </c>
      <c r="AE216" t="s">
        <v>25</v>
      </c>
      <c r="AF216" s="2">
        <v>2</v>
      </c>
      <c r="AG216">
        <v>23</v>
      </c>
      <c r="AH216">
        <v>12</v>
      </c>
      <c r="AI216">
        <v>0</v>
      </c>
      <c r="AJ216" t="s">
        <v>31</v>
      </c>
      <c r="AK216" s="2">
        <v>0</v>
      </c>
      <c r="AM216">
        <v>1</v>
      </c>
      <c r="AN216" s="41">
        <v>90</v>
      </c>
      <c r="AO216">
        <v>2</v>
      </c>
      <c r="AP216" s="41" t="s">
        <v>33</v>
      </c>
      <c r="AQ216">
        <v>3</v>
      </c>
      <c r="AR216" s="12">
        <v>0.3</v>
      </c>
      <c r="AS216" s="8">
        <f t="shared" si="3"/>
        <v>30</v>
      </c>
      <c r="AT216" s="12" t="s">
        <v>34</v>
      </c>
      <c r="AU216" s="8">
        <v>3</v>
      </c>
      <c r="AV216" s="8" t="s">
        <v>34</v>
      </c>
      <c r="AW216" s="29" t="s">
        <v>28</v>
      </c>
      <c r="AX216" s="20">
        <v>0</v>
      </c>
      <c r="AY216" s="3">
        <v>8.8952230762452178E-2</v>
      </c>
      <c r="AZ216" s="2" t="s">
        <v>38</v>
      </c>
      <c r="BA216" s="2">
        <v>3</v>
      </c>
    </row>
    <row r="217" spans="1:53">
      <c r="A217" s="16">
        <v>232</v>
      </c>
      <c r="B217" t="s">
        <v>167</v>
      </c>
      <c r="C217" s="27">
        <v>184</v>
      </c>
      <c r="D217" s="17">
        <v>25.84</v>
      </c>
      <c r="E217" s="17">
        <v>27.25</v>
      </c>
      <c r="F217" s="17">
        <v>31.31</v>
      </c>
      <c r="G217" s="17" t="s">
        <v>211</v>
      </c>
      <c r="H217" s="3">
        <v>32.630000000000003</v>
      </c>
      <c r="I217" s="3" t="s">
        <v>168</v>
      </c>
      <c r="J217" s="3">
        <v>33.67</v>
      </c>
      <c r="K217" s="3">
        <v>33.619999999999997</v>
      </c>
      <c r="L217" s="3">
        <v>34.15</v>
      </c>
      <c r="M217" s="3">
        <v>32.9</v>
      </c>
      <c r="N217" s="3">
        <v>34.619999999999997</v>
      </c>
      <c r="O217" s="3">
        <v>32</v>
      </c>
      <c r="P217" s="3">
        <v>30.85</v>
      </c>
      <c r="Q217" s="3">
        <v>32.79</v>
      </c>
      <c r="R217" s="3">
        <v>34.11</v>
      </c>
      <c r="S217" s="3">
        <v>31.14</v>
      </c>
      <c r="T217" s="3">
        <v>32.32</v>
      </c>
      <c r="U217" s="3">
        <v>31.92</v>
      </c>
      <c r="V217" s="3">
        <v>32.32</v>
      </c>
      <c r="W217" s="3">
        <v>35.42</v>
      </c>
      <c r="X217" s="3">
        <v>33.83</v>
      </c>
      <c r="Y217" s="3">
        <v>34.4</v>
      </c>
      <c r="Z217" s="18">
        <v>12185</v>
      </c>
      <c r="AA217" s="19">
        <v>67.775342465753425</v>
      </c>
      <c r="AB217" s="10">
        <v>36899</v>
      </c>
      <c r="AC217" s="39" t="s">
        <v>222</v>
      </c>
      <c r="AD217" s="2">
        <v>1</v>
      </c>
      <c r="AE217" t="s">
        <v>37</v>
      </c>
      <c r="AF217" s="2">
        <v>1</v>
      </c>
      <c r="AG217">
        <v>8</v>
      </c>
      <c r="AH217">
        <v>11</v>
      </c>
      <c r="AI217">
        <v>2</v>
      </c>
      <c r="AJ217" t="s">
        <v>26</v>
      </c>
      <c r="AK217" s="2">
        <v>1</v>
      </c>
      <c r="AM217">
        <v>1</v>
      </c>
      <c r="AN217" s="41">
        <v>90</v>
      </c>
      <c r="AO217">
        <v>1</v>
      </c>
      <c r="AP217" s="41">
        <v>40</v>
      </c>
      <c r="AQ217">
        <v>1</v>
      </c>
      <c r="AR217" s="12">
        <v>0.05</v>
      </c>
      <c r="AS217" s="8">
        <f t="shared" si="3"/>
        <v>5</v>
      </c>
      <c r="AT217" s="12" t="s">
        <v>27</v>
      </c>
      <c r="AU217" s="8">
        <v>1</v>
      </c>
      <c r="AV217" s="12" t="s">
        <v>27</v>
      </c>
      <c r="AW217" s="29" t="s">
        <v>28</v>
      </c>
      <c r="AX217" s="20">
        <v>0</v>
      </c>
      <c r="AY217" s="3">
        <v>0.24513092068427811</v>
      </c>
      <c r="AZ217" s="2" t="s">
        <v>38</v>
      </c>
      <c r="BA217" s="2">
        <v>3</v>
      </c>
    </row>
    <row r="218" spans="1:53">
      <c r="A218" s="16">
        <v>233</v>
      </c>
      <c r="B218" t="s">
        <v>167</v>
      </c>
      <c r="C218" s="27">
        <v>666</v>
      </c>
      <c r="D218" s="17">
        <v>22.34</v>
      </c>
      <c r="E218" s="17">
        <v>23.73</v>
      </c>
      <c r="F218" s="17">
        <v>28.43</v>
      </c>
      <c r="G218" s="17" t="s">
        <v>211</v>
      </c>
      <c r="H218" s="3">
        <v>29.72</v>
      </c>
      <c r="I218" s="3" t="s">
        <v>168</v>
      </c>
      <c r="J218" s="3">
        <v>30.41</v>
      </c>
      <c r="K218" s="3">
        <v>30.92</v>
      </c>
      <c r="L218" s="3">
        <v>30.37</v>
      </c>
      <c r="M218" s="3">
        <v>29</v>
      </c>
      <c r="N218" s="3">
        <v>32.28</v>
      </c>
      <c r="O218" s="3">
        <v>30.31</v>
      </c>
      <c r="P218" s="3">
        <v>28.45</v>
      </c>
      <c r="Q218" s="3">
        <v>31.12</v>
      </c>
      <c r="R218" s="3">
        <v>29.38</v>
      </c>
      <c r="S218" s="3">
        <v>32.520000000000003</v>
      </c>
      <c r="T218" s="3">
        <v>30.78</v>
      </c>
      <c r="U218" s="3">
        <v>28.09</v>
      </c>
      <c r="V218" s="3">
        <v>29.56</v>
      </c>
      <c r="W218" s="3">
        <v>34.270000000000003</v>
      </c>
      <c r="X218" s="3">
        <v>29.41</v>
      </c>
      <c r="Y218" s="3">
        <v>31.59</v>
      </c>
      <c r="Z218" s="18">
        <v>9716</v>
      </c>
      <c r="AA218" s="19">
        <v>74.728767123287668</v>
      </c>
      <c r="AB218" s="10">
        <v>36948</v>
      </c>
      <c r="AC218" s="39" t="s">
        <v>226</v>
      </c>
      <c r="AD218" s="2"/>
      <c r="AE218" t="s">
        <v>37</v>
      </c>
      <c r="AF218" s="2">
        <v>1</v>
      </c>
      <c r="AG218">
        <v>20</v>
      </c>
      <c r="AH218">
        <v>24</v>
      </c>
      <c r="AI218">
        <v>0</v>
      </c>
      <c r="AJ218" t="s">
        <v>31</v>
      </c>
      <c r="AK218" s="2">
        <v>0</v>
      </c>
      <c r="AM218">
        <v>1</v>
      </c>
      <c r="AN218" s="41">
        <v>90</v>
      </c>
      <c r="AO218">
        <v>1</v>
      </c>
      <c r="AP218" s="41">
        <v>50</v>
      </c>
      <c r="AQ218">
        <v>2</v>
      </c>
      <c r="AR218" s="12">
        <v>0.05</v>
      </c>
      <c r="AS218" s="8">
        <f t="shared" si="3"/>
        <v>5</v>
      </c>
      <c r="AT218" s="12" t="s">
        <v>27</v>
      </c>
      <c r="AU218" s="8">
        <v>1</v>
      </c>
      <c r="AV218" s="12" t="s">
        <v>27</v>
      </c>
      <c r="AW218" s="29" t="s">
        <v>33</v>
      </c>
      <c r="AX218" s="20">
        <v>0.1</v>
      </c>
      <c r="AY218" s="3">
        <v>-1.2896205479589238</v>
      </c>
      <c r="AZ218" s="2" t="s">
        <v>35</v>
      </c>
      <c r="BA218" s="2">
        <v>1</v>
      </c>
    </row>
    <row r="219" spans="1:53">
      <c r="A219" s="16">
        <v>234</v>
      </c>
      <c r="B219" t="s">
        <v>167</v>
      </c>
      <c r="C219" s="27">
        <v>794</v>
      </c>
      <c r="D219" s="17">
        <v>24.93</v>
      </c>
      <c r="E219" s="17">
        <v>25.18</v>
      </c>
      <c r="F219" s="17">
        <v>29.83</v>
      </c>
      <c r="G219" s="17" t="s">
        <v>211</v>
      </c>
      <c r="H219" s="3">
        <v>33.520000000000003</v>
      </c>
      <c r="I219" s="3" t="s">
        <v>168</v>
      </c>
      <c r="J219" s="3">
        <v>31.31</v>
      </c>
      <c r="K219" s="3">
        <v>31.92</v>
      </c>
      <c r="L219" s="3">
        <v>31.98</v>
      </c>
      <c r="M219" s="3">
        <v>29.95</v>
      </c>
      <c r="N219" s="3">
        <v>32.94</v>
      </c>
      <c r="O219" s="3">
        <v>31.18</v>
      </c>
      <c r="P219" s="3">
        <v>30.26</v>
      </c>
      <c r="Q219" s="3">
        <v>31.73</v>
      </c>
      <c r="R219" s="3">
        <v>31.66</v>
      </c>
      <c r="S219" s="3">
        <v>30.4</v>
      </c>
      <c r="T219" s="3">
        <v>31.84</v>
      </c>
      <c r="U219" s="3">
        <v>32.11</v>
      </c>
      <c r="V219" s="3">
        <v>32.07</v>
      </c>
      <c r="W219" s="3">
        <v>33.92</v>
      </c>
      <c r="X219" s="3">
        <v>32.78</v>
      </c>
      <c r="Y219" s="3">
        <v>32.82</v>
      </c>
      <c r="Z219" s="18">
        <v>12815</v>
      </c>
      <c r="AA219" s="19">
        <v>66.126027397260273</v>
      </c>
      <c r="AB219" s="10">
        <v>36940</v>
      </c>
      <c r="AC219" s="39" t="s">
        <v>222</v>
      </c>
      <c r="AD219" s="2">
        <v>1</v>
      </c>
      <c r="AE219" t="s">
        <v>37</v>
      </c>
      <c r="AF219" s="2">
        <v>1</v>
      </c>
      <c r="AG219">
        <v>18</v>
      </c>
      <c r="AH219">
        <v>17</v>
      </c>
      <c r="AI219">
        <v>0</v>
      </c>
      <c r="AJ219" t="s">
        <v>31</v>
      </c>
      <c r="AK219" s="2">
        <v>0</v>
      </c>
      <c r="AM219">
        <v>2</v>
      </c>
      <c r="AN219" s="41" t="s">
        <v>33</v>
      </c>
      <c r="AO219">
        <v>2</v>
      </c>
      <c r="AP219" s="41" t="s">
        <v>33</v>
      </c>
      <c r="AQ219">
        <v>2</v>
      </c>
      <c r="AR219" s="12">
        <v>0.3</v>
      </c>
      <c r="AS219" s="8">
        <f t="shared" si="3"/>
        <v>30</v>
      </c>
      <c r="AT219" s="12" t="s">
        <v>34</v>
      </c>
      <c r="AU219" s="8">
        <v>3</v>
      </c>
      <c r="AV219" s="8" t="s">
        <v>34</v>
      </c>
      <c r="AW219" s="29" t="s">
        <v>33</v>
      </c>
      <c r="AX219" s="20">
        <v>0.3</v>
      </c>
      <c r="AY219" s="3">
        <v>0.91821539210154191</v>
      </c>
      <c r="AZ219" s="2" t="s">
        <v>38</v>
      </c>
      <c r="BA219" s="2">
        <v>3</v>
      </c>
    </row>
    <row r="220" spans="1:53">
      <c r="A220" s="16">
        <v>235</v>
      </c>
      <c r="B220" t="s">
        <v>167</v>
      </c>
      <c r="C220" s="27">
        <v>837</v>
      </c>
      <c r="D220" s="17">
        <v>25.43</v>
      </c>
      <c r="E220" s="17">
        <v>25.39</v>
      </c>
      <c r="F220" s="17">
        <v>31.32</v>
      </c>
      <c r="G220" s="17" t="s">
        <v>211</v>
      </c>
      <c r="H220" s="3">
        <v>30</v>
      </c>
      <c r="I220" s="3" t="s">
        <v>168</v>
      </c>
      <c r="J220" s="3">
        <v>32.19</v>
      </c>
      <c r="K220" s="3">
        <v>32.57</v>
      </c>
      <c r="L220" s="3">
        <v>32.130000000000003</v>
      </c>
      <c r="M220" s="3">
        <v>30.82</v>
      </c>
      <c r="N220" s="3">
        <v>33.700000000000003</v>
      </c>
      <c r="O220" s="3">
        <v>31.72</v>
      </c>
      <c r="P220" s="3">
        <v>30.59</v>
      </c>
      <c r="Q220" s="3">
        <v>31.83</v>
      </c>
      <c r="R220" s="3">
        <v>32.57</v>
      </c>
      <c r="S220" s="3">
        <v>33.6</v>
      </c>
      <c r="T220" s="3">
        <v>32.46</v>
      </c>
      <c r="U220" s="3">
        <v>29.29</v>
      </c>
      <c r="V220" s="3">
        <v>29.83</v>
      </c>
      <c r="W220" s="3">
        <v>37.57</v>
      </c>
      <c r="X220" s="3">
        <v>29.87</v>
      </c>
      <c r="Y220" s="3">
        <v>33.06</v>
      </c>
      <c r="Z220" s="18">
        <v>11921</v>
      </c>
      <c r="AA220" s="19">
        <v>69.284931506849318</v>
      </c>
      <c r="AB220" s="10">
        <v>37166</v>
      </c>
      <c r="AC220" s="39" t="s">
        <v>222</v>
      </c>
      <c r="AD220" s="2">
        <v>1</v>
      </c>
      <c r="AE220" t="s">
        <v>25</v>
      </c>
      <c r="AF220" s="2">
        <v>2</v>
      </c>
      <c r="AG220">
        <v>25</v>
      </c>
      <c r="AH220">
        <v>22</v>
      </c>
      <c r="AI220">
        <v>0</v>
      </c>
      <c r="AJ220" t="s">
        <v>31</v>
      </c>
      <c r="AK220" s="2">
        <v>0</v>
      </c>
      <c r="AM220">
        <v>1</v>
      </c>
      <c r="AN220" s="41">
        <v>20</v>
      </c>
      <c r="AO220">
        <v>1</v>
      </c>
      <c r="AP220" s="41">
        <v>50</v>
      </c>
      <c r="AQ220">
        <v>2</v>
      </c>
      <c r="AR220" s="12">
        <v>0.15</v>
      </c>
      <c r="AS220" s="8">
        <f t="shared" si="3"/>
        <v>15</v>
      </c>
      <c r="AT220" s="12" t="s">
        <v>34</v>
      </c>
      <c r="AU220" s="8">
        <v>3</v>
      </c>
      <c r="AV220" s="8" t="s">
        <v>44</v>
      </c>
      <c r="AW220" s="29" t="s">
        <v>33</v>
      </c>
      <c r="AX220" s="20">
        <v>0.01</v>
      </c>
      <c r="AY220" s="3">
        <v>-1.3038356652199212</v>
      </c>
      <c r="AZ220" s="2" t="s">
        <v>35</v>
      </c>
      <c r="BA220" s="2">
        <v>1</v>
      </c>
    </row>
    <row r="221" spans="1:53">
      <c r="A221" s="16">
        <v>236</v>
      </c>
      <c r="B221" t="s">
        <v>167</v>
      </c>
      <c r="C221" s="27">
        <v>1200</v>
      </c>
      <c r="D221" s="17">
        <v>22.84</v>
      </c>
      <c r="E221" s="17">
        <v>24.29</v>
      </c>
      <c r="F221" s="17">
        <v>28.68</v>
      </c>
      <c r="G221" s="17" t="s">
        <v>211</v>
      </c>
      <c r="H221" s="3">
        <v>29.76</v>
      </c>
      <c r="I221" s="3" t="s">
        <v>168</v>
      </c>
      <c r="J221" s="3">
        <v>31.46</v>
      </c>
      <c r="K221" s="3">
        <v>31.29</v>
      </c>
      <c r="L221" s="3">
        <v>28.24</v>
      </c>
      <c r="M221" s="3">
        <v>31.86</v>
      </c>
      <c r="N221" s="3">
        <v>31.86</v>
      </c>
      <c r="O221" s="3">
        <v>30.49</v>
      </c>
      <c r="P221" s="3">
        <v>30.08</v>
      </c>
      <c r="Q221" s="3">
        <v>29.54</v>
      </c>
      <c r="R221" s="3">
        <v>28.11</v>
      </c>
      <c r="S221" s="3">
        <v>31.58</v>
      </c>
      <c r="T221" s="3">
        <v>32.340000000000003</v>
      </c>
      <c r="U221" s="3">
        <v>28.07</v>
      </c>
      <c r="V221" s="3">
        <v>31.86</v>
      </c>
      <c r="W221" s="3">
        <v>34.79</v>
      </c>
      <c r="X221" s="3">
        <v>31.72</v>
      </c>
      <c r="Y221" s="3">
        <v>31.56</v>
      </c>
      <c r="Z221" s="18">
        <v>22901</v>
      </c>
      <c r="AA221" s="19">
        <v>39.202739726027396</v>
      </c>
      <c r="AB221" s="10">
        <v>37181</v>
      </c>
      <c r="AC221" s="39" t="s">
        <v>222</v>
      </c>
      <c r="AD221" s="2">
        <v>1</v>
      </c>
      <c r="AE221" t="s">
        <v>25</v>
      </c>
      <c r="AF221" s="2">
        <v>2</v>
      </c>
      <c r="AG221">
        <v>30</v>
      </c>
      <c r="AH221">
        <v>18</v>
      </c>
      <c r="AI221">
        <v>9</v>
      </c>
      <c r="AJ221" t="s">
        <v>47</v>
      </c>
      <c r="AK221" s="2">
        <v>2</v>
      </c>
      <c r="AM221">
        <v>1</v>
      </c>
      <c r="AN221" s="41">
        <v>70</v>
      </c>
      <c r="AO221">
        <v>1</v>
      </c>
      <c r="AP221" s="41">
        <v>60</v>
      </c>
      <c r="AQ221">
        <v>3</v>
      </c>
      <c r="AR221" s="12">
        <v>0.7</v>
      </c>
      <c r="AS221" s="8">
        <f t="shared" si="3"/>
        <v>70</v>
      </c>
      <c r="AT221" s="12" t="s">
        <v>34</v>
      </c>
      <c r="AU221" s="8">
        <v>3</v>
      </c>
      <c r="AV221" s="8" t="s">
        <v>34</v>
      </c>
      <c r="AW221" s="29" t="s">
        <v>33</v>
      </c>
      <c r="AX221" s="20">
        <v>0.1</v>
      </c>
      <c r="AY221" s="3">
        <v>-0.43082760662817154</v>
      </c>
      <c r="AZ221" s="2" t="s">
        <v>29</v>
      </c>
      <c r="BA221" s="2">
        <v>2</v>
      </c>
    </row>
    <row r="222" spans="1:53">
      <c r="A222" s="16">
        <v>237</v>
      </c>
      <c r="B222" t="s">
        <v>167</v>
      </c>
      <c r="C222" s="27">
        <v>540</v>
      </c>
      <c r="D222" s="17">
        <v>23.07</v>
      </c>
      <c r="E222" s="17">
        <v>24.34</v>
      </c>
      <c r="F222" s="17">
        <v>29.53</v>
      </c>
      <c r="G222" s="17" t="s">
        <v>211</v>
      </c>
      <c r="H222" s="3">
        <v>30.88</v>
      </c>
      <c r="I222" s="3" t="s">
        <v>168</v>
      </c>
      <c r="J222" s="3">
        <v>31.76</v>
      </c>
      <c r="K222" s="3">
        <v>31.67</v>
      </c>
      <c r="L222" s="3">
        <v>31.94</v>
      </c>
      <c r="M222" s="3">
        <v>29.94</v>
      </c>
      <c r="N222" s="3">
        <v>32.78</v>
      </c>
      <c r="O222" s="3">
        <v>31.16</v>
      </c>
      <c r="P222" s="3">
        <v>30.39</v>
      </c>
      <c r="Q222" s="3">
        <v>35.03</v>
      </c>
      <c r="R222" s="3">
        <v>31.43</v>
      </c>
      <c r="S222" s="3">
        <v>30.84</v>
      </c>
      <c r="T222" s="3">
        <v>33.299999999999997</v>
      </c>
      <c r="U222" s="3">
        <v>30.85</v>
      </c>
      <c r="V222" s="3">
        <v>30.4</v>
      </c>
      <c r="W222" s="3">
        <v>36.82</v>
      </c>
      <c r="X222" s="3">
        <v>30.69</v>
      </c>
      <c r="Y222" s="3">
        <v>33.29</v>
      </c>
      <c r="Z222" s="18">
        <v>8288</v>
      </c>
      <c r="AA222" s="19">
        <v>78.413698630136992</v>
      </c>
      <c r="AB222" s="10">
        <v>36857</v>
      </c>
      <c r="AC222" s="39" t="s">
        <v>222</v>
      </c>
      <c r="AD222" s="2">
        <v>1</v>
      </c>
      <c r="AE222" t="s">
        <v>37</v>
      </c>
      <c r="AF222" s="2">
        <v>1</v>
      </c>
      <c r="AG222">
        <v>15</v>
      </c>
      <c r="AH222">
        <v>7</v>
      </c>
      <c r="AI222">
        <v>2</v>
      </c>
      <c r="AJ222" t="s">
        <v>26</v>
      </c>
      <c r="AK222" s="2">
        <v>1</v>
      </c>
      <c r="AM222">
        <v>1</v>
      </c>
      <c r="AN222" s="41">
        <v>90</v>
      </c>
      <c r="AO222">
        <v>1</v>
      </c>
      <c r="AP222" s="41">
        <v>90</v>
      </c>
      <c r="AQ222">
        <v>2</v>
      </c>
      <c r="AR222" s="12">
        <v>0.1</v>
      </c>
      <c r="AS222" s="8">
        <f t="shared" si="3"/>
        <v>10</v>
      </c>
      <c r="AT222" s="12" t="s">
        <v>27</v>
      </c>
      <c r="AU222" s="8">
        <v>1</v>
      </c>
      <c r="AV222" s="12" t="s">
        <v>27</v>
      </c>
      <c r="AW222" s="29" t="s">
        <v>33</v>
      </c>
      <c r="AX222" s="20">
        <v>0.6</v>
      </c>
      <c r="AY222" s="3">
        <v>-1.8061482564553648</v>
      </c>
      <c r="AZ222" s="2" t="s">
        <v>35</v>
      </c>
      <c r="BA222" s="2">
        <v>1</v>
      </c>
    </row>
    <row r="223" spans="1:53">
      <c r="A223" s="16">
        <v>238</v>
      </c>
      <c r="B223" t="s">
        <v>167</v>
      </c>
      <c r="C223" s="27">
        <v>574</v>
      </c>
      <c r="D223" s="17">
        <v>22.03</v>
      </c>
      <c r="E223" s="17">
        <v>22.98</v>
      </c>
      <c r="F223" s="17">
        <v>28.83</v>
      </c>
      <c r="G223" s="17" t="s">
        <v>211</v>
      </c>
      <c r="H223" s="3">
        <v>29.4</v>
      </c>
      <c r="I223" s="3" t="s">
        <v>168</v>
      </c>
      <c r="J223" s="3">
        <v>29.73</v>
      </c>
      <c r="K223" s="3">
        <v>29.76</v>
      </c>
      <c r="L223" s="3">
        <v>30.8</v>
      </c>
      <c r="M223" s="3">
        <v>30.04</v>
      </c>
      <c r="N223" s="3">
        <v>32.39</v>
      </c>
      <c r="O223" s="3">
        <v>29.6</v>
      </c>
      <c r="P223" s="3">
        <v>27.75</v>
      </c>
      <c r="Q223" s="3">
        <v>31.12</v>
      </c>
      <c r="R223" s="3">
        <v>30.04</v>
      </c>
      <c r="S223" s="3">
        <v>28.85</v>
      </c>
      <c r="T223" s="3">
        <v>29.17</v>
      </c>
      <c r="U223" s="3">
        <v>26.29</v>
      </c>
      <c r="V223" s="3">
        <v>26.91</v>
      </c>
      <c r="W223" s="3">
        <v>33.82</v>
      </c>
      <c r="X223" s="3">
        <v>29.62</v>
      </c>
      <c r="Y223" s="3">
        <v>31.1</v>
      </c>
      <c r="Z223" s="18">
        <v>9177</v>
      </c>
      <c r="AA223" s="19">
        <v>76.169863013698631</v>
      </c>
      <c r="AB223" s="10">
        <v>36963</v>
      </c>
      <c r="AC223" s="39" t="s">
        <v>224</v>
      </c>
      <c r="AD223" s="2">
        <v>2</v>
      </c>
      <c r="AE223" t="s">
        <v>37</v>
      </c>
      <c r="AF223" s="2">
        <v>1</v>
      </c>
      <c r="AG223">
        <v>12</v>
      </c>
      <c r="AH223">
        <v>15</v>
      </c>
      <c r="AI223">
        <v>0</v>
      </c>
      <c r="AJ223" t="s">
        <v>31</v>
      </c>
      <c r="AK223" s="2">
        <v>0</v>
      </c>
      <c r="AM223">
        <v>1</v>
      </c>
      <c r="AN223" s="41">
        <v>90</v>
      </c>
      <c r="AO223">
        <v>1</v>
      </c>
      <c r="AP223" s="41">
        <v>90</v>
      </c>
      <c r="AQ223">
        <v>2</v>
      </c>
      <c r="AR223" s="12">
        <v>0.1</v>
      </c>
      <c r="AS223" s="8">
        <f t="shared" si="3"/>
        <v>10</v>
      </c>
      <c r="AT223" s="12" t="s">
        <v>27</v>
      </c>
      <c r="AU223" s="8">
        <v>1</v>
      </c>
      <c r="AV223" s="12" t="s">
        <v>27</v>
      </c>
      <c r="AW223" s="29" t="s">
        <v>28</v>
      </c>
      <c r="AX223" s="20">
        <v>0</v>
      </c>
      <c r="AY223" s="3">
        <v>-0.97797777912391348</v>
      </c>
      <c r="AZ223" s="2" t="s">
        <v>35</v>
      </c>
      <c r="BA223" s="2">
        <v>1</v>
      </c>
    </row>
    <row r="224" spans="1:53">
      <c r="A224" s="16">
        <v>239</v>
      </c>
      <c r="B224" t="s">
        <v>167</v>
      </c>
      <c r="C224" s="27">
        <v>1482</v>
      </c>
      <c r="D224" s="17">
        <v>25.02</v>
      </c>
      <c r="E224" s="17">
        <v>25.28</v>
      </c>
      <c r="F224" s="17">
        <v>29.97</v>
      </c>
      <c r="G224" s="17" t="s">
        <v>211</v>
      </c>
      <c r="H224" s="3">
        <v>32.99</v>
      </c>
      <c r="I224" s="3" t="s">
        <v>168</v>
      </c>
      <c r="J224" s="3">
        <v>31.75</v>
      </c>
      <c r="K224" s="3">
        <v>32.42</v>
      </c>
      <c r="L224" s="3">
        <v>30.21</v>
      </c>
      <c r="M224" s="3">
        <v>31</v>
      </c>
      <c r="N224" s="3">
        <v>32.950000000000003</v>
      </c>
      <c r="O224" s="3">
        <v>30.99</v>
      </c>
      <c r="P224" s="3">
        <v>30.64</v>
      </c>
      <c r="Q224" s="3">
        <v>30.86</v>
      </c>
      <c r="R224" s="3">
        <v>31.89</v>
      </c>
      <c r="S224" s="3">
        <v>32.47</v>
      </c>
      <c r="T224" s="3">
        <v>33.74</v>
      </c>
      <c r="U224" s="3">
        <v>31.26</v>
      </c>
      <c r="V224" s="3">
        <v>32.18</v>
      </c>
      <c r="W224" s="3">
        <v>37.83</v>
      </c>
      <c r="X224" s="3">
        <v>33.93</v>
      </c>
      <c r="Y224" s="3">
        <v>32.85</v>
      </c>
      <c r="Z224" s="18">
        <v>11958</v>
      </c>
      <c r="AA224" s="19">
        <v>69.241095890410961</v>
      </c>
      <c r="AB224" s="10">
        <v>37201</v>
      </c>
      <c r="AC224" s="39" t="s">
        <v>222</v>
      </c>
      <c r="AD224" s="2">
        <v>1</v>
      </c>
      <c r="AE224" t="s">
        <v>37</v>
      </c>
      <c r="AF224" s="2">
        <v>1</v>
      </c>
      <c r="AG224">
        <v>15</v>
      </c>
      <c r="AH224">
        <v>23</v>
      </c>
      <c r="AI224">
        <v>2</v>
      </c>
      <c r="AJ224" t="s">
        <v>26</v>
      </c>
      <c r="AK224" s="2">
        <v>1</v>
      </c>
      <c r="AM224">
        <v>1</v>
      </c>
      <c r="AN224" s="41">
        <v>80</v>
      </c>
      <c r="AO224">
        <v>1</v>
      </c>
      <c r="AP224" s="41">
        <v>20</v>
      </c>
      <c r="AQ224">
        <v>3</v>
      </c>
      <c r="AR224" s="12">
        <v>0.4</v>
      </c>
      <c r="AS224" s="8">
        <f t="shared" si="3"/>
        <v>40</v>
      </c>
      <c r="AT224" s="12" t="s">
        <v>34</v>
      </c>
      <c r="AU224" s="8">
        <v>3</v>
      </c>
      <c r="AV224" s="8" t="s">
        <v>34</v>
      </c>
      <c r="AW224" s="29" t="s">
        <v>33</v>
      </c>
      <c r="AX224" s="20">
        <v>0.1</v>
      </c>
      <c r="AY224" s="3">
        <v>0.72274965375133449</v>
      </c>
      <c r="AZ224" s="2" t="s">
        <v>38</v>
      </c>
      <c r="BA224" s="2">
        <v>3</v>
      </c>
    </row>
    <row r="225" spans="1:53">
      <c r="A225" s="16">
        <v>240</v>
      </c>
      <c r="B225" t="s">
        <v>167</v>
      </c>
      <c r="C225" s="27">
        <v>591</v>
      </c>
      <c r="D225" s="17">
        <v>21.61</v>
      </c>
      <c r="E225" s="17">
        <v>22.58</v>
      </c>
      <c r="F225" s="17">
        <v>27.13</v>
      </c>
      <c r="G225" s="17" t="s">
        <v>211</v>
      </c>
      <c r="H225" s="3">
        <v>28.97</v>
      </c>
      <c r="I225" s="3" t="s">
        <v>168</v>
      </c>
      <c r="J225" s="3">
        <v>30.4</v>
      </c>
      <c r="K225" s="3">
        <v>29.57</v>
      </c>
      <c r="L225" s="3">
        <v>30.23</v>
      </c>
      <c r="M225" s="3">
        <v>30.36</v>
      </c>
      <c r="N225" s="3">
        <v>30.6</v>
      </c>
      <c r="O225" s="3">
        <v>28.94</v>
      </c>
      <c r="P225" s="3">
        <v>27.32</v>
      </c>
      <c r="Q225" s="3">
        <v>31.72</v>
      </c>
      <c r="R225" s="3">
        <v>29.7</v>
      </c>
      <c r="S225" s="3">
        <v>29.72</v>
      </c>
      <c r="T225" s="3">
        <v>31.61</v>
      </c>
      <c r="U225" s="3">
        <v>27.47</v>
      </c>
      <c r="V225" s="3">
        <v>29.07</v>
      </c>
      <c r="W225" s="3">
        <v>34.93</v>
      </c>
      <c r="X225" s="3">
        <v>28.72</v>
      </c>
      <c r="Y225" s="3">
        <v>30.43</v>
      </c>
      <c r="Z225" s="18">
        <v>18444</v>
      </c>
      <c r="AA225" s="19">
        <v>50.945205479452056</v>
      </c>
      <c r="AB225" s="10">
        <v>36987</v>
      </c>
      <c r="AC225" s="40" t="s">
        <v>223</v>
      </c>
      <c r="AD225" s="2">
        <v>1</v>
      </c>
      <c r="AE225" t="s">
        <v>25</v>
      </c>
      <c r="AF225" s="2">
        <v>2</v>
      </c>
      <c r="AG225">
        <v>30</v>
      </c>
      <c r="AH225">
        <v>21</v>
      </c>
      <c r="AI225">
        <v>1</v>
      </c>
      <c r="AJ225" t="s">
        <v>26</v>
      </c>
      <c r="AK225" s="2">
        <v>1</v>
      </c>
      <c r="AM225">
        <v>1</v>
      </c>
      <c r="AN225" s="41">
        <v>40</v>
      </c>
      <c r="AO225">
        <v>1</v>
      </c>
      <c r="AP225" s="41">
        <v>40</v>
      </c>
      <c r="AQ225">
        <v>2</v>
      </c>
      <c r="AR225" s="12">
        <v>0.1</v>
      </c>
      <c r="AS225" s="8">
        <f t="shared" si="3"/>
        <v>10</v>
      </c>
      <c r="AT225" s="12" t="s">
        <v>27</v>
      </c>
      <c r="AU225" s="8">
        <v>1</v>
      </c>
      <c r="AV225" s="12" t="s">
        <v>27</v>
      </c>
      <c r="AW225" s="25" t="s">
        <v>33</v>
      </c>
      <c r="AX225" s="20">
        <v>0.5</v>
      </c>
      <c r="AY225" s="3">
        <v>-1.7344077159652271</v>
      </c>
      <c r="AZ225" s="2" t="s">
        <v>35</v>
      </c>
      <c r="BA225" s="2">
        <v>1</v>
      </c>
    </row>
    <row r="226" spans="1:53">
      <c r="A226" s="16">
        <v>241</v>
      </c>
      <c r="B226" t="s">
        <v>167</v>
      </c>
      <c r="C226" s="27">
        <v>860</v>
      </c>
      <c r="D226" s="17">
        <v>21.73</v>
      </c>
      <c r="E226" s="17">
        <v>22.55</v>
      </c>
      <c r="F226" s="17">
        <v>28.36</v>
      </c>
      <c r="G226" s="17" t="s">
        <v>211</v>
      </c>
      <c r="H226" s="3">
        <v>31.79</v>
      </c>
      <c r="I226" s="3" t="s">
        <v>168</v>
      </c>
      <c r="J226" s="3">
        <v>30.22</v>
      </c>
      <c r="K226" s="3">
        <v>29.01</v>
      </c>
      <c r="L226" s="3">
        <v>28.97</v>
      </c>
      <c r="M226" s="3">
        <v>28.99</v>
      </c>
      <c r="N226" s="3">
        <v>31.04</v>
      </c>
      <c r="O226" s="3">
        <v>29.18</v>
      </c>
      <c r="P226" s="3">
        <v>27.92</v>
      </c>
      <c r="Q226" s="3">
        <v>29.73</v>
      </c>
      <c r="R226" s="3">
        <v>29.44</v>
      </c>
      <c r="S226" s="3">
        <v>30.4</v>
      </c>
      <c r="T226" s="3">
        <v>30.32</v>
      </c>
      <c r="U226" s="3">
        <v>28.83</v>
      </c>
      <c r="V226" s="3">
        <v>29.64</v>
      </c>
      <c r="W226" s="3">
        <v>33.700000000000003</v>
      </c>
      <c r="X226" s="3">
        <v>29.04</v>
      </c>
      <c r="Y226" s="3">
        <v>30.56</v>
      </c>
      <c r="Z226" s="18">
        <v>7747</v>
      </c>
      <c r="AA226" s="19">
        <v>80.2</v>
      </c>
      <c r="AB226" s="10">
        <v>36986</v>
      </c>
      <c r="AC226" s="39" t="s">
        <v>222</v>
      </c>
      <c r="AD226" s="2">
        <v>1</v>
      </c>
      <c r="AE226" t="s">
        <v>37</v>
      </c>
      <c r="AF226" s="2">
        <v>1</v>
      </c>
      <c r="AG226">
        <v>20</v>
      </c>
      <c r="AH226" t="s">
        <v>28</v>
      </c>
      <c r="AI226" t="s">
        <v>28</v>
      </c>
      <c r="AJ226" t="s">
        <v>28</v>
      </c>
      <c r="AK226">
        <v>4</v>
      </c>
      <c r="AM226">
        <v>1</v>
      </c>
      <c r="AN226" s="41">
        <v>50</v>
      </c>
      <c r="AO226">
        <v>2</v>
      </c>
      <c r="AP226" s="41" t="s">
        <v>33</v>
      </c>
      <c r="AQ226">
        <v>3</v>
      </c>
      <c r="AR226" s="12">
        <v>0.5</v>
      </c>
      <c r="AS226" s="8">
        <f t="shared" si="3"/>
        <v>50</v>
      </c>
      <c r="AT226" s="12" t="s">
        <v>34</v>
      </c>
      <c r="AU226" s="8">
        <v>3</v>
      </c>
      <c r="AV226" s="8" t="s">
        <v>34</v>
      </c>
      <c r="AW226" s="29" t="s">
        <v>171</v>
      </c>
      <c r="AX226" s="20">
        <v>0.01</v>
      </c>
      <c r="AY226" s="3">
        <v>0.44650209214472625</v>
      </c>
      <c r="AZ226" s="2" t="s">
        <v>38</v>
      </c>
      <c r="BA226" s="2">
        <v>3</v>
      </c>
    </row>
    <row r="227" spans="1:53">
      <c r="A227" s="16">
        <v>242</v>
      </c>
      <c r="B227" t="s">
        <v>167</v>
      </c>
      <c r="C227" s="27">
        <v>689</v>
      </c>
      <c r="D227" s="17">
        <v>22.87</v>
      </c>
      <c r="E227" s="17">
        <v>24.07</v>
      </c>
      <c r="F227" s="17">
        <v>30.09</v>
      </c>
      <c r="G227" s="17" t="s">
        <v>211</v>
      </c>
      <c r="H227" s="3">
        <v>32.17</v>
      </c>
      <c r="I227" s="3" t="s">
        <v>168</v>
      </c>
      <c r="J227" s="3">
        <v>31.11</v>
      </c>
      <c r="K227" s="3">
        <v>33.020000000000003</v>
      </c>
      <c r="L227" s="3">
        <v>30.03</v>
      </c>
      <c r="M227" s="3">
        <v>32.54</v>
      </c>
      <c r="N227" s="3">
        <v>33.1</v>
      </c>
      <c r="O227" s="3">
        <v>30.47</v>
      </c>
      <c r="P227" s="3">
        <v>28.87</v>
      </c>
      <c r="Q227" s="3">
        <v>30.58</v>
      </c>
      <c r="R227" s="3">
        <v>30.46</v>
      </c>
      <c r="S227" s="3">
        <v>31.79</v>
      </c>
      <c r="T227" s="3">
        <v>31.78</v>
      </c>
      <c r="U227" s="3">
        <v>28.82</v>
      </c>
      <c r="V227" s="3">
        <v>29.26</v>
      </c>
      <c r="W227" s="3">
        <v>34.43</v>
      </c>
      <c r="X227" s="3">
        <v>30.43</v>
      </c>
      <c r="Y227" s="3">
        <v>32.14</v>
      </c>
      <c r="Z227" s="18">
        <v>20032</v>
      </c>
      <c r="AA227" s="19">
        <v>46.484931506849314</v>
      </c>
      <c r="AB227" s="10">
        <v>36973</v>
      </c>
      <c r="AC227" s="39" t="s">
        <v>222</v>
      </c>
      <c r="AD227" s="2">
        <v>1</v>
      </c>
      <c r="AE227" t="s">
        <v>25</v>
      </c>
      <c r="AF227" s="2">
        <v>2</v>
      </c>
      <c r="AG227">
        <v>30</v>
      </c>
      <c r="AH227">
        <v>15</v>
      </c>
      <c r="AI227">
        <v>2</v>
      </c>
      <c r="AJ227" t="s">
        <v>26</v>
      </c>
      <c r="AK227" s="2">
        <v>1</v>
      </c>
      <c r="AM227">
        <v>1</v>
      </c>
      <c r="AN227" s="41">
        <v>70</v>
      </c>
      <c r="AO227">
        <v>1</v>
      </c>
      <c r="AP227" s="41">
        <v>80</v>
      </c>
      <c r="AQ227">
        <v>2</v>
      </c>
      <c r="AR227" s="12">
        <v>0.2</v>
      </c>
      <c r="AS227" s="8">
        <f t="shared" si="3"/>
        <v>20</v>
      </c>
      <c r="AT227" s="12" t="s">
        <v>34</v>
      </c>
      <c r="AU227" s="8">
        <v>3</v>
      </c>
      <c r="AV227" s="8" t="s">
        <v>44</v>
      </c>
      <c r="AW227" s="29" t="s">
        <v>28</v>
      </c>
      <c r="AX227" s="20">
        <v>0</v>
      </c>
      <c r="AY227" s="3">
        <v>0.38693115708391157</v>
      </c>
      <c r="AZ227" s="2" t="s">
        <v>38</v>
      </c>
      <c r="BA227" s="2">
        <v>3</v>
      </c>
    </row>
    <row r="228" spans="1:53">
      <c r="A228" s="16">
        <v>243</v>
      </c>
      <c r="B228" t="s">
        <v>167</v>
      </c>
      <c r="C228" s="27">
        <v>826</v>
      </c>
      <c r="D228" s="17">
        <v>20.92</v>
      </c>
      <c r="E228" s="17">
        <v>22.19</v>
      </c>
      <c r="F228" s="17">
        <v>27.7</v>
      </c>
      <c r="G228" s="17" t="s">
        <v>211</v>
      </c>
      <c r="H228" s="3">
        <v>27.69</v>
      </c>
      <c r="I228" s="3" t="s">
        <v>168</v>
      </c>
      <c r="J228" s="3">
        <v>28.81</v>
      </c>
      <c r="K228" s="3">
        <v>28.95</v>
      </c>
      <c r="L228" s="3">
        <v>30.7</v>
      </c>
      <c r="M228" s="3">
        <v>28.52</v>
      </c>
      <c r="N228" s="3">
        <v>31.24</v>
      </c>
      <c r="O228" s="3">
        <v>28.76</v>
      </c>
      <c r="P228" s="3">
        <v>27</v>
      </c>
      <c r="Q228" s="3">
        <v>30.37</v>
      </c>
      <c r="R228" s="3">
        <v>28.93</v>
      </c>
      <c r="S228" s="3">
        <v>31.17</v>
      </c>
      <c r="T228" s="3">
        <v>30.08</v>
      </c>
      <c r="U228" s="3">
        <v>26.92</v>
      </c>
      <c r="V228" s="3">
        <v>26.68</v>
      </c>
      <c r="W228" s="3">
        <v>34.64</v>
      </c>
      <c r="X228" s="3">
        <v>27.83</v>
      </c>
      <c r="Y228" s="3">
        <v>30.1</v>
      </c>
      <c r="Z228" s="18">
        <v>11660</v>
      </c>
      <c r="AA228" s="19">
        <v>70.016438356164386</v>
      </c>
      <c r="AB228" s="10">
        <v>37165</v>
      </c>
      <c r="AC228" s="39" t="s">
        <v>222</v>
      </c>
      <c r="AD228" s="2">
        <v>1</v>
      </c>
      <c r="AE228" t="s">
        <v>25</v>
      </c>
      <c r="AF228" s="2">
        <v>2</v>
      </c>
      <c r="AG228">
        <v>30</v>
      </c>
      <c r="AH228">
        <v>9</v>
      </c>
      <c r="AI228">
        <v>1</v>
      </c>
      <c r="AJ228" t="s">
        <v>26</v>
      </c>
      <c r="AK228" s="2">
        <v>1</v>
      </c>
      <c r="AM228">
        <v>1</v>
      </c>
      <c r="AN228" s="41">
        <v>70</v>
      </c>
      <c r="AO228">
        <v>1</v>
      </c>
      <c r="AP228" s="41">
        <v>60</v>
      </c>
      <c r="AQ228">
        <v>2</v>
      </c>
      <c r="AR228" s="12">
        <v>0.15</v>
      </c>
      <c r="AS228" s="8">
        <f t="shared" si="3"/>
        <v>15</v>
      </c>
      <c r="AT228" s="12" t="s">
        <v>34</v>
      </c>
      <c r="AU228" s="8">
        <v>3</v>
      </c>
      <c r="AV228" s="8" t="s">
        <v>44</v>
      </c>
      <c r="AW228" s="29" t="s">
        <v>33</v>
      </c>
      <c r="AX228" s="20">
        <v>0.1</v>
      </c>
      <c r="AY228" s="3">
        <v>-2.0737839543191994</v>
      </c>
      <c r="AZ228" s="2" t="s">
        <v>35</v>
      </c>
      <c r="BA228" s="2">
        <v>1</v>
      </c>
    </row>
    <row r="229" spans="1:53">
      <c r="A229" s="16">
        <v>244</v>
      </c>
      <c r="B229" t="s">
        <v>167</v>
      </c>
      <c r="C229" s="38">
        <v>174</v>
      </c>
      <c r="D229" s="17">
        <v>25.71</v>
      </c>
      <c r="E229" s="17">
        <v>25.18</v>
      </c>
      <c r="F229" s="17">
        <v>30.49</v>
      </c>
      <c r="G229" s="17" t="s">
        <v>211</v>
      </c>
      <c r="H229" s="3">
        <v>32.61</v>
      </c>
      <c r="I229" s="3" t="s">
        <v>168</v>
      </c>
      <c r="J229" s="3">
        <v>32.04</v>
      </c>
      <c r="K229" s="3">
        <v>32.68</v>
      </c>
      <c r="L229" s="3">
        <v>31.43</v>
      </c>
      <c r="M229" s="3">
        <v>31.33</v>
      </c>
      <c r="N229" s="3">
        <v>34.57</v>
      </c>
      <c r="O229" s="3">
        <v>30.1</v>
      </c>
      <c r="P229" s="3">
        <v>29.26</v>
      </c>
      <c r="Q229" s="3">
        <v>32.29</v>
      </c>
      <c r="R229" s="3">
        <v>31.42</v>
      </c>
      <c r="S229" s="3">
        <v>29.2</v>
      </c>
      <c r="T229" s="3">
        <v>32.24</v>
      </c>
      <c r="U229" s="3">
        <v>31.21</v>
      </c>
      <c r="V229" s="3">
        <v>29.92</v>
      </c>
      <c r="W229" s="3">
        <v>37.659999999999997</v>
      </c>
      <c r="X229" s="3">
        <v>30.7</v>
      </c>
      <c r="Y229" s="3">
        <v>35.75</v>
      </c>
      <c r="Z229" s="26">
        <v>9956</v>
      </c>
      <c r="AA229" s="19" t="e">
        <f>(#REF!-Z229)/365</f>
        <v>#REF!</v>
      </c>
      <c r="AB229" s="10">
        <v>36437</v>
      </c>
      <c r="AC229" s="39" t="s">
        <v>222</v>
      </c>
      <c r="AD229" s="2">
        <v>1</v>
      </c>
      <c r="AE229" t="s">
        <v>37</v>
      </c>
      <c r="AF229" s="2">
        <v>1</v>
      </c>
      <c r="AG229">
        <v>5</v>
      </c>
      <c r="AH229">
        <v>16</v>
      </c>
      <c r="AI229">
        <v>14</v>
      </c>
      <c r="AJ229" t="s">
        <v>61</v>
      </c>
      <c r="AK229" s="2">
        <v>3</v>
      </c>
      <c r="AM229">
        <v>1</v>
      </c>
      <c r="AN229" s="41">
        <v>80</v>
      </c>
      <c r="AO229">
        <v>1</v>
      </c>
      <c r="AP229" s="41">
        <v>60</v>
      </c>
      <c r="AQ229">
        <v>2</v>
      </c>
      <c r="AR229" s="12">
        <v>0</v>
      </c>
      <c r="AS229" s="8">
        <f t="shared" si="3"/>
        <v>0</v>
      </c>
      <c r="AT229" s="12" t="s">
        <v>27</v>
      </c>
      <c r="AU229" s="8">
        <v>1</v>
      </c>
      <c r="AV229" s="12" t="s">
        <v>27</v>
      </c>
      <c r="AW229" s="29" t="s">
        <v>28</v>
      </c>
      <c r="AX229" s="20">
        <v>0</v>
      </c>
      <c r="AY229" s="3">
        <v>1.041922323615899</v>
      </c>
      <c r="AZ229" s="2" t="s">
        <v>38</v>
      </c>
      <c r="BA229" s="2">
        <v>3</v>
      </c>
    </row>
    <row r="230" spans="1:53">
      <c r="A230" s="16">
        <v>245</v>
      </c>
      <c r="B230" t="s">
        <v>167</v>
      </c>
      <c r="C230" s="36">
        <v>180</v>
      </c>
      <c r="D230" s="17">
        <v>25.12</v>
      </c>
      <c r="E230" s="17">
        <v>26.04</v>
      </c>
      <c r="F230" s="17">
        <v>29.9</v>
      </c>
      <c r="G230" s="17" t="s">
        <v>211</v>
      </c>
      <c r="H230" s="3">
        <v>31.44</v>
      </c>
      <c r="I230" s="3" t="s">
        <v>168</v>
      </c>
      <c r="J230" s="3">
        <v>31.66</v>
      </c>
      <c r="K230" s="3">
        <v>32.82</v>
      </c>
      <c r="L230" s="3">
        <v>32.94</v>
      </c>
      <c r="M230" s="3">
        <v>32.53</v>
      </c>
      <c r="N230" s="3">
        <v>35.270000000000003</v>
      </c>
      <c r="O230" s="3">
        <v>30.46</v>
      </c>
      <c r="P230" s="3">
        <v>29.26</v>
      </c>
      <c r="Q230" s="3">
        <v>33.840000000000003</v>
      </c>
      <c r="R230" s="3">
        <v>31.68</v>
      </c>
      <c r="S230" s="3">
        <v>32.35</v>
      </c>
      <c r="T230" s="3">
        <v>30.47</v>
      </c>
      <c r="U230" s="3">
        <v>28.31</v>
      </c>
      <c r="V230" s="3">
        <v>29.43</v>
      </c>
      <c r="W230" s="3" t="s">
        <v>211</v>
      </c>
      <c r="X230" s="3">
        <v>31.66</v>
      </c>
      <c r="Y230" s="3">
        <v>34.42</v>
      </c>
      <c r="Z230" s="18">
        <v>16869</v>
      </c>
      <c r="AA230" s="19" t="e">
        <f>(#REF!-Z230)/365</f>
        <v>#REF!</v>
      </c>
      <c r="AB230" s="10">
        <v>35794</v>
      </c>
      <c r="AC230" s="39" t="s">
        <v>224</v>
      </c>
      <c r="AD230" s="2">
        <v>2</v>
      </c>
      <c r="AE230" t="s">
        <v>37</v>
      </c>
      <c r="AF230" s="2">
        <v>1</v>
      </c>
      <c r="AG230">
        <v>8</v>
      </c>
      <c r="AH230">
        <v>23</v>
      </c>
      <c r="AI230">
        <v>0</v>
      </c>
      <c r="AJ230" t="s">
        <v>31</v>
      </c>
      <c r="AK230" s="2">
        <v>0</v>
      </c>
      <c r="AM230">
        <v>1</v>
      </c>
      <c r="AN230" s="41">
        <v>75</v>
      </c>
      <c r="AO230">
        <v>1</v>
      </c>
      <c r="AP230" s="41">
        <v>35</v>
      </c>
      <c r="AQ230" s="2" t="s">
        <v>28</v>
      </c>
      <c r="AR230" s="12">
        <v>0.1</v>
      </c>
      <c r="AS230" s="8">
        <f t="shared" si="3"/>
        <v>10</v>
      </c>
      <c r="AT230" s="12" t="s">
        <v>27</v>
      </c>
      <c r="AU230" s="8">
        <v>1</v>
      </c>
      <c r="AV230" s="12" t="s">
        <v>27</v>
      </c>
      <c r="AW230" s="29" t="s">
        <v>28</v>
      </c>
      <c r="AX230" s="20">
        <v>0</v>
      </c>
      <c r="AY230" s="3">
        <v>-0.9914747514178166</v>
      </c>
      <c r="AZ230" s="2" t="s">
        <v>35</v>
      </c>
      <c r="BA230" s="2">
        <v>1</v>
      </c>
    </row>
    <row r="231" spans="1:53">
      <c r="A231" s="16">
        <v>246</v>
      </c>
      <c r="B231" t="s">
        <v>167</v>
      </c>
      <c r="C231" s="27">
        <v>54.6</v>
      </c>
      <c r="D231" s="17">
        <v>24.49</v>
      </c>
      <c r="E231" s="17">
        <v>26.23</v>
      </c>
      <c r="F231" s="17">
        <v>30.91</v>
      </c>
      <c r="G231" s="17" t="s">
        <v>211</v>
      </c>
      <c r="H231" s="3">
        <v>32.15</v>
      </c>
      <c r="I231" s="3" t="s">
        <v>168</v>
      </c>
      <c r="J231" s="3">
        <v>33.36</v>
      </c>
      <c r="K231" s="3">
        <v>33.880000000000003</v>
      </c>
      <c r="L231" s="3">
        <v>33.46</v>
      </c>
      <c r="M231" s="3">
        <v>33.49</v>
      </c>
      <c r="N231" s="3">
        <v>35.47</v>
      </c>
      <c r="O231" s="3">
        <v>31.75</v>
      </c>
      <c r="P231" s="3">
        <v>32.119999999999997</v>
      </c>
      <c r="Q231" s="3">
        <v>36.4</v>
      </c>
      <c r="R231" s="3">
        <v>32.51</v>
      </c>
      <c r="S231" s="3">
        <v>29.87</v>
      </c>
      <c r="T231" s="3">
        <v>32.31</v>
      </c>
      <c r="U231" s="3">
        <v>29.85</v>
      </c>
      <c r="V231" s="3">
        <v>30.62</v>
      </c>
      <c r="W231" s="3">
        <v>37.479999999999997</v>
      </c>
      <c r="X231" s="3">
        <v>32.880000000000003</v>
      </c>
      <c r="Y231" s="3">
        <v>34.15</v>
      </c>
      <c r="Z231" s="18">
        <v>23825</v>
      </c>
      <c r="AA231" s="19" t="e">
        <f>(#REF!-Z231)/365</f>
        <v>#REF!</v>
      </c>
      <c r="AB231" s="10">
        <v>36759</v>
      </c>
      <c r="AC231" s="39" t="s">
        <v>222</v>
      </c>
      <c r="AD231" s="2">
        <v>1</v>
      </c>
      <c r="AE231" t="s">
        <v>28</v>
      </c>
      <c r="AF231" s="2">
        <v>4</v>
      </c>
      <c r="AG231" t="s">
        <v>28</v>
      </c>
      <c r="AH231">
        <v>16</v>
      </c>
      <c r="AI231">
        <v>15</v>
      </c>
      <c r="AJ231" t="s">
        <v>61</v>
      </c>
      <c r="AK231" s="2">
        <v>3</v>
      </c>
      <c r="AM231">
        <v>1</v>
      </c>
      <c r="AN231" s="41">
        <v>30</v>
      </c>
      <c r="AO231">
        <v>2</v>
      </c>
      <c r="AP231" s="41" t="s">
        <v>33</v>
      </c>
      <c r="AQ231">
        <v>3</v>
      </c>
      <c r="AR231" s="12">
        <v>0.1</v>
      </c>
      <c r="AS231" s="8">
        <f t="shared" si="3"/>
        <v>10</v>
      </c>
      <c r="AT231" s="12" t="s">
        <v>27</v>
      </c>
      <c r="AU231" s="8">
        <v>1</v>
      </c>
      <c r="AV231" s="12" t="s">
        <v>27</v>
      </c>
      <c r="AW231" s="29" t="s">
        <v>33</v>
      </c>
      <c r="AX231" s="20">
        <v>0.01</v>
      </c>
      <c r="AY231" s="3">
        <v>-1.4370067605534773</v>
      </c>
      <c r="AZ231" s="2" t="s">
        <v>35</v>
      </c>
      <c r="BA231" s="2">
        <v>1</v>
      </c>
    </row>
    <row r="232" spans="1:53" ht="15">
      <c r="A232" s="16">
        <v>247</v>
      </c>
      <c r="B232" t="s">
        <v>167</v>
      </c>
      <c r="C232" s="27">
        <v>173</v>
      </c>
      <c r="D232" s="17">
        <v>23.12</v>
      </c>
      <c r="E232" s="17">
        <v>23.58</v>
      </c>
      <c r="F232" s="17">
        <v>28.9</v>
      </c>
      <c r="G232" s="17">
        <v>39.19</v>
      </c>
      <c r="H232" s="3">
        <v>30.32</v>
      </c>
      <c r="I232" s="3" t="s">
        <v>168</v>
      </c>
      <c r="J232" s="3">
        <v>30.7</v>
      </c>
      <c r="K232" s="3">
        <v>30.03</v>
      </c>
      <c r="L232" s="3">
        <v>30.96</v>
      </c>
      <c r="M232" s="3">
        <v>29.98</v>
      </c>
      <c r="N232" s="3">
        <v>33.450000000000003</v>
      </c>
      <c r="O232" s="3">
        <v>28.66</v>
      </c>
      <c r="P232" s="3">
        <v>27.54</v>
      </c>
      <c r="Q232" s="3">
        <v>32.020000000000003</v>
      </c>
      <c r="R232" s="3">
        <v>30.03</v>
      </c>
      <c r="S232" s="3">
        <v>28.88</v>
      </c>
      <c r="T232" s="3">
        <v>29.53</v>
      </c>
      <c r="U232" s="3">
        <v>27.52</v>
      </c>
      <c r="V232" s="3">
        <v>28.45</v>
      </c>
      <c r="W232" s="3">
        <v>33.270000000000003</v>
      </c>
      <c r="X232" s="3">
        <v>30.7</v>
      </c>
      <c r="Y232" s="3">
        <v>32.72</v>
      </c>
      <c r="Z232" s="18">
        <v>17260</v>
      </c>
      <c r="AA232" s="19" t="e">
        <f>(#REF!-Z232)/365</f>
        <v>#REF!</v>
      </c>
      <c r="AB232" s="10">
        <v>36727</v>
      </c>
      <c r="AC232" s="39" t="s">
        <v>222</v>
      </c>
      <c r="AD232" s="2">
        <v>1</v>
      </c>
      <c r="AE232" t="s">
        <v>37</v>
      </c>
      <c r="AF232" s="2">
        <v>1</v>
      </c>
      <c r="AG232">
        <v>8</v>
      </c>
      <c r="AH232">
        <v>14</v>
      </c>
      <c r="AI232">
        <v>0</v>
      </c>
      <c r="AJ232" t="s">
        <v>31</v>
      </c>
      <c r="AK232" s="2">
        <v>0</v>
      </c>
      <c r="AM232">
        <v>1</v>
      </c>
      <c r="AN232" s="41">
        <v>90</v>
      </c>
      <c r="AO232">
        <v>1</v>
      </c>
      <c r="AP232" s="43">
        <v>90</v>
      </c>
      <c r="AQ232">
        <v>2</v>
      </c>
      <c r="AR232" s="12">
        <v>0.1</v>
      </c>
      <c r="AS232" s="8">
        <f t="shared" si="3"/>
        <v>10</v>
      </c>
      <c r="AT232" s="12" t="s">
        <v>27</v>
      </c>
      <c r="AU232" s="8">
        <v>1</v>
      </c>
      <c r="AV232" s="12" t="s">
        <v>27</v>
      </c>
      <c r="AW232" s="29" t="s">
        <v>28</v>
      </c>
      <c r="AX232" s="20">
        <v>0</v>
      </c>
      <c r="AY232" s="3">
        <v>-0.49233457534092628</v>
      </c>
      <c r="AZ232" s="2" t="s">
        <v>29</v>
      </c>
      <c r="BA232" s="2">
        <v>2</v>
      </c>
    </row>
    <row r="233" spans="1:53" ht="15">
      <c r="A233" s="16">
        <v>248</v>
      </c>
      <c r="B233" t="s">
        <v>167</v>
      </c>
      <c r="C233" s="27">
        <v>66.2</v>
      </c>
      <c r="D233" s="17">
        <v>26.46</v>
      </c>
      <c r="E233" s="17">
        <v>29</v>
      </c>
      <c r="F233" s="17">
        <v>31.06</v>
      </c>
      <c r="G233" s="17" t="s">
        <v>211</v>
      </c>
      <c r="H233" s="3">
        <v>34.56</v>
      </c>
      <c r="I233" s="3" t="s">
        <v>168</v>
      </c>
      <c r="J233" s="3">
        <v>34.020000000000003</v>
      </c>
      <c r="K233" s="3">
        <v>34.770000000000003</v>
      </c>
      <c r="L233" s="3">
        <v>33.270000000000003</v>
      </c>
      <c r="M233" s="3" t="s">
        <v>211</v>
      </c>
      <c r="N233" s="3">
        <v>36.380000000000003</v>
      </c>
      <c r="O233" s="3">
        <v>32.9</v>
      </c>
      <c r="P233" s="3">
        <v>31</v>
      </c>
      <c r="Q233" s="3">
        <v>34.28</v>
      </c>
      <c r="R233" s="3">
        <v>33.56</v>
      </c>
      <c r="S233" s="3">
        <v>32.159999999999997</v>
      </c>
      <c r="T233" s="3">
        <v>32.6</v>
      </c>
      <c r="U233" s="3">
        <v>30.92</v>
      </c>
      <c r="V233" s="3">
        <v>32.26</v>
      </c>
      <c r="W233" s="3">
        <v>35.86</v>
      </c>
      <c r="X233" s="3">
        <v>34.33</v>
      </c>
      <c r="Y233" s="3">
        <v>36.369999999999997</v>
      </c>
      <c r="Z233" s="18">
        <v>11821</v>
      </c>
      <c r="AA233" s="19">
        <v>68.715068493150682</v>
      </c>
      <c r="AB233" s="10">
        <v>36887</v>
      </c>
      <c r="AC233" s="39" t="s">
        <v>231</v>
      </c>
      <c r="AD233" s="2"/>
      <c r="AE233" t="s">
        <v>37</v>
      </c>
      <c r="AF233" s="2">
        <v>1</v>
      </c>
      <c r="AG233">
        <v>8</v>
      </c>
      <c r="AH233">
        <v>33</v>
      </c>
      <c r="AI233">
        <v>0</v>
      </c>
      <c r="AJ233" t="s">
        <v>31</v>
      </c>
      <c r="AK233" s="2">
        <v>0</v>
      </c>
      <c r="AM233">
        <v>1</v>
      </c>
      <c r="AN233" s="43">
        <v>90</v>
      </c>
      <c r="AO233">
        <v>1</v>
      </c>
      <c r="AP233" s="43">
        <v>85</v>
      </c>
      <c r="AQ233">
        <v>1</v>
      </c>
      <c r="AR233" s="12">
        <v>0.05</v>
      </c>
      <c r="AS233" s="8">
        <f t="shared" si="3"/>
        <v>5</v>
      </c>
      <c r="AT233" s="12" t="s">
        <v>27</v>
      </c>
      <c r="AU233" s="8">
        <v>1</v>
      </c>
      <c r="AV233" s="12" t="s">
        <v>27</v>
      </c>
      <c r="AW233" s="29" t="s">
        <v>33</v>
      </c>
      <c r="AX233" s="20">
        <v>0</v>
      </c>
      <c r="AY233" s="3">
        <v>0.80584960247297133</v>
      </c>
      <c r="AZ233" s="2" t="s">
        <v>38</v>
      </c>
      <c r="BA233" s="2">
        <v>3</v>
      </c>
    </row>
    <row r="234" spans="1:53">
      <c r="A234" s="16">
        <v>249</v>
      </c>
      <c r="B234" t="s">
        <v>167</v>
      </c>
      <c r="C234" s="27">
        <v>217</v>
      </c>
      <c r="D234" s="17">
        <v>27.65</v>
      </c>
      <c r="E234" s="17">
        <v>28.41</v>
      </c>
      <c r="F234" s="17" t="s">
        <v>211</v>
      </c>
      <c r="G234" s="17" t="s">
        <v>211</v>
      </c>
      <c r="H234" s="3">
        <v>33.68</v>
      </c>
      <c r="I234" s="3" t="s">
        <v>168</v>
      </c>
      <c r="J234" s="3" t="s">
        <v>211</v>
      </c>
      <c r="K234" s="3">
        <v>38.92</v>
      </c>
      <c r="L234" s="3" t="s">
        <v>211</v>
      </c>
      <c r="M234" s="3" t="s">
        <v>211</v>
      </c>
      <c r="N234" s="3" t="s">
        <v>211</v>
      </c>
      <c r="O234" s="3">
        <v>35.85</v>
      </c>
      <c r="P234" s="3">
        <v>32.450000000000003</v>
      </c>
      <c r="Q234" s="3">
        <v>37.17</v>
      </c>
      <c r="R234" s="3">
        <v>35.75</v>
      </c>
      <c r="S234" s="3" t="s">
        <v>211</v>
      </c>
      <c r="T234" s="3">
        <v>31.75</v>
      </c>
      <c r="U234" s="3">
        <v>31.77</v>
      </c>
      <c r="V234" s="3">
        <v>34.17</v>
      </c>
      <c r="W234" s="3" t="s">
        <v>211</v>
      </c>
      <c r="X234" s="3">
        <v>35.49</v>
      </c>
      <c r="Y234" s="3">
        <v>36.14</v>
      </c>
      <c r="Z234" s="18">
        <v>12686</v>
      </c>
      <c r="AA234" s="19">
        <v>66.364383561643834</v>
      </c>
      <c r="AB234" s="10">
        <v>36861</v>
      </c>
      <c r="AC234" s="39" t="s">
        <v>222</v>
      </c>
      <c r="AD234" s="2">
        <v>1</v>
      </c>
      <c r="AE234" t="s">
        <v>37</v>
      </c>
      <c r="AF234" s="2">
        <v>1</v>
      </c>
      <c r="AG234">
        <v>18</v>
      </c>
      <c r="AH234">
        <v>14</v>
      </c>
      <c r="AI234">
        <v>0</v>
      </c>
      <c r="AJ234" t="s">
        <v>31</v>
      </c>
      <c r="AK234" s="2">
        <v>0</v>
      </c>
      <c r="AM234">
        <v>1</v>
      </c>
      <c r="AN234" s="41">
        <v>90</v>
      </c>
      <c r="AO234">
        <v>1</v>
      </c>
      <c r="AP234" s="41">
        <v>90</v>
      </c>
      <c r="AQ234">
        <v>1</v>
      </c>
      <c r="AR234" s="12">
        <v>0.05</v>
      </c>
      <c r="AS234" s="8">
        <f t="shared" si="3"/>
        <v>5</v>
      </c>
      <c r="AT234" s="12" t="s">
        <v>27</v>
      </c>
      <c r="AU234" s="8">
        <v>1</v>
      </c>
      <c r="AV234" s="12" t="s">
        <v>27</v>
      </c>
      <c r="AW234" s="29" t="s">
        <v>33</v>
      </c>
      <c r="AX234" s="20">
        <v>0.1</v>
      </c>
      <c r="AY234" s="3">
        <v>-1.9424077739571493</v>
      </c>
      <c r="AZ234" s="2" t="s">
        <v>35</v>
      </c>
      <c r="BA234" s="2">
        <v>1</v>
      </c>
    </row>
    <row r="235" spans="1:53">
      <c r="A235" s="16">
        <v>250</v>
      </c>
      <c r="B235" t="s">
        <v>167</v>
      </c>
      <c r="C235" s="36">
        <v>450</v>
      </c>
      <c r="D235" s="17">
        <v>23.13</v>
      </c>
      <c r="E235" s="17">
        <v>25.36</v>
      </c>
      <c r="F235" s="17">
        <v>30.62</v>
      </c>
      <c r="G235" s="17" t="s">
        <v>211</v>
      </c>
      <c r="H235" s="3" t="s">
        <v>211</v>
      </c>
      <c r="I235" s="3" t="s">
        <v>168</v>
      </c>
      <c r="J235" s="3">
        <v>32.69</v>
      </c>
      <c r="K235" s="3">
        <v>32.83</v>
      </c>
      <c r="L235" s="3">
        <v>28.98</v>
      </c>
      <c r="M235" s="3">
        <v>33.35</v>
      </c>
      <c r="N235" s="3">
        <v>32.9</v>
      </c>
      <c r="O235" s="3">
        <v>30.27</v>
      </c>
      <c r="P235" s="3">
        <v>31.17</v>
      </c>
      <c r="Q235" s="3">
        <v>30.74</v>
      </c>
      <c r="R235" s="3">
        <v>30.45</v>
      </c>
      <c r="S235" s="3">
        <v>29.58</v>
      </c>
      <c r="T235" s="3">
        <v>32.4</v>
      </c>
      <c r="U235" s="3">
        <v>30.45</v>
      </c>
      <c r="V235" s="3">
        <v>30.29</v>
      </c>
      <c r="W235" s="3">
        <v>39.340000000000003</v>
      </c>
      <c r="X235" s="3">
        <v>31.41</v>
      </c>
      <c r="Y235" s="3">
        <v>35.85</v>
      </c>
      <c r="Z235" s="18">
        <v>19194</v>
      </c>
      <c r="AA235" s="19" t="e">
        <f>(#REF!-Z235)/365</f>
        <v>#REF!</v>
      </c>
      <c r="AB235" s="10">
        <v>35823</v>
      </c>
      <c r="AC235" s="39" t="s">
        <v>222</v>
      </c>
      <c r="AD235" s="2">
        <v>1</v>
      </c>
      <c r="AE235" t="s">
        <v>37</v>
      </c>
      <c r="AF235" s="2">
        <v>1</v>
      </c>
      <c r="AG235">
        <v>20</v>
      </c>
      <c r="AH235">
        <v>12</v>
      </c>
      <c r="AI235">
        <v>0</v>
      </c>
      <c r="AJ235" t="s">
        <v>31</v>
      </c>
      <c r="AK235" s="2">
        <v>0</v>
      </c>
      <c r="AM235">
        <v>2</v>
      </c>
      <c r="AN235" s="41" t="s">
        <v>33</v>
      </c>
      <c r="AO235">
        <v>0</v>
      </c>
      <c r="AP235" s="41" t="s">
        <v>52</v>
      </c>
      <c r="AQ235">
        <v>3</v>
      </c>
      <c r="AR235" s="12">
        <v>0.7</v>
      </c>
      <c r="AS235" s="8">
        <f t="shared" si="3"/>
        <v>70</v>
      </c>
      <c r="AT235" s="12" t="s">
        <v>34</v>
      </c>
      <c r="AU235" s="8">
        <v>3</v>
      </c>
      <c r="AV235" s="8" t="s">
        <v>34</v>
      </c>
      <c r="AW235" s="29" t="s">
        <v>28</v>
      </c>
      <c r="AX235" s="20">
        <v>0</v>
      </c>
      <c r="AY235" s="3">
        <v>4.865377911699011</v>
      </c>
      <c r="AZ235" s="2" t="s">
        <v>38</v>
      </c>
      <c r="BA235" s="2">
        <v>3</v>
      </c>
    </row>
    <row r="236" spans="1:53" s="15" customFormat="1">
      <c r="A236" s="27">
        <v>251</v>
      </c>
      <c r="B236" s="25" t="s">
        <v>167</v>
      </c>
      <c r="C236" s="13" t="s">
        <v>174</v>
      </c>
      <c r="D236" s="25">
        <v>24.5</v>
      </c>
      <c r="E236" s="25">
        <v>26.48</v>
      </c>
      <c r="F236" s="25">
        <v>32.93</v>
      </c>
      <c r="G236" s="25" t="s">
        <v>211</v>
      </c>
      <c r="H236" s="3">
        <v>33.72</v>
      </c>
      <c r="I236" s="3">
        <v>25.82</v>
      </c>
      <c r="J236" s="3">
        <v>33.58</v>
      </c>
      <c r="K236" s="3">
        <v>34.33</v>
      </c>
      <c r="L236" s="3">
        <v>35.130000000000003</v>
      </c>
      <c r="M236" s="3">
        <v>30.19</v>
      </c>
      <c r="N236" s="3">
        <v>35.799999999999997</v>
      </c>
      <c r="O236" s="3">
        <v>32.43</v>
      </c>
      <c r="P236" s="3">
        <v>31.36</v>
      </c>
      <c r="Q236" s="3">
        <v>34.72</v>
      </c>
      <c r="R236" s="3">
        <v>32.450000000000003</v>
      </c>
      <c r="S236" s="3">
        <v>30.01</v>
      </c>
      <c r="T236" s="3">
        <v>35.729999999999997</v>
      </c>
      <c r="U236" s="3">
        <v>30.2</v>
      </c>
      <c r="V236" s="3">
        <v>31.21</v>
      </c>
      <c r="W236" s="3" t="s">
        <v>211</v>
      </c>
      <c r="X236" s="3">
        <v>33.18</v>
      </c>
      <c r="Y236" s="3">
        <v>35.869999999999997</v>
      </c>
      <c r="Z236" s="28">
        <v>12469</v>
      </c>
      <c r="AA236" s="25">
        <v>69</v>
      </c>
      <c r="AB236" s="29">
        <v>37725</v>
      </c>
      <c r="AC236" s="39" t="s">
        <v>222</v>
      </c>
      <c r="AD236" s="2">
        <v>1</v>
      </c>
      <c r="AE236" s="25" t="s">
        <v>25</v>
      </c>
      <c r="AF236" s="2">
        <v>2</v>
      </c>
      <c r="AG236" s="25">
        <v>24</v>
      </c>
      <c r="AH236" s="25">
        <v>12</v>
      </c>
      <c r="AI236" s="25">
        <v>0</v>
      </c>
      <c r="AJ236" s="25" t="s">
        <v>31</v>
      </c>
      <c r="AK236" s="2">
        <v>0</v>
      </c>
      <c r="AL236" s="25"/>
      <c r="AM236" s="25">
        <v>1</v>
      </c>
      <c r="AN236" s="41">
        <v>40</v>
      </c>
      <c r="AO236" s="25">
        <v>1</v>
      </c>
      <c r="AP236" s="41">
        <v>30</v>
      </c>
      <c r="AQ236" s="25">
        <v>2</v>
      </c>
      <c r="AR236" s="12">
        <v>0</v>
      </c>
      <c r="AS236" s="8">
        <f t="shared" si="3"/>
        <v>0</v>
      </c>
      <c r="AT236" s="12" t="s">
        <v>27</v>
      </c>
      <c r="AU236" s="8">
        <v>1</v>
      </c>
      <c r="AV236" s="12" t="s">
        <v>27</v>
      </c>
      <c r="AW236" s="29" t="s">
        <v>33</v>
      </c>
      <c r="AX236" s="25"/>
      <c r="AY236" s="3">
        <v>0.41764215785542125</v>
      </c>
      <c r="AZ236" s="2" t="s">
        <v>38</v>
      </c>
      <c r="BA236" s="2">
        <v>3</v>
      </c>
    </row>
    <row r="237" spans="1:53" s="25" customFormat="1">
      <c r="A237" s="27">
        <v>252</v>
      </c>
      <c r="B237" s="25" t="s">
        <v>167</v>
      </c>
      <c r="C237" s="13" t="s">
        <v>175</v>
      </c>
      <c r="D237" s="25">
        <v>21.95</v>
      </c>
      <c r="E237" s="25">
        <v>23.85</v>
      </c>
      <c r="F237" s="25">
        <v>29.73</v>
      </c>
      <c r="G237" s="25" t="s">
        <v>211</v>
      </c>
      <c r="H237" s="3">
        <v>32.06</v>
      </c>
      <c r="I237" s="3">
        <v>23.68</v>
      </c>
      <c r="J237" s="3">
        <v>30.52</v>
      </c>
      <c r="K237" s="3">
        <v>30.57</v>
      </c>
      <c r="L237" s="3">
        <v>30.65</v>
      </c>
      <c r="M237" s="3">
        <v>29.16</v>
      </c>
      <c r="N237" s="3">
        <v>32.71</v>
      </c>
      <c r="O237" s="3">
        <v>29.56</v>
      </c>
      <c r="P237" s="3">
        <v>30.3</v>
      </c>
      <c r="Q237" s="3">
        <v>31.15</v>
      </c>
      <c r="R237" s="3">
        <v>29.94</v>
      </c>
      <c r="S237" s="3">
        <v>29.04</v>
      </c>
      <c r="T237" s="3">
        <v>37.28</v>
      </c>
      <c r="U237" s="3">
        <v>31</v>
      </c>
      <c r="V237" s="3">
        <v>30.01</v>
      </c>
      <c r="W237" s="3" t="s">
        <v>211</v>
      </c>
      <c r="X237" s="3">
        <v>30.34</v>
      </c>
      <c r="Y237" s="3">
        <v>33.1</v>
      </c>
      <c r="Z237" s="28">
        <v>15292</v>
      </c>
      <c r="AA237" s="30">
        <v>60</v>
      </c>
      <c r="AB237" s="29">
        <v>37292</v>
      </c>
      <c r="AC237" s="39" t="s">
        <v>172</v>
      </c>
      <c r="AD237" s="2"/>
      <c r="AE237" s="25" t="s">
        <v>37</v>
      </c>
      <c r="AF237" s="2">
        <v>1</v>
      </c>
      <c r="AG237" s="25">
        <v>9</v>
      </c>
      <c r="AH237" s="25">
        <v>19</v>
      </c>
      <c r="AI237" s="25">
        <v>3</v>
      </c>
      <c r="AJ237" s="25" t="s">
        <v>26</v>
      </c>
      <c r="AK237" s="2">
        <v>1</v>
      </c>
      <c r="AL237" s="13"/>
      <c r="AM237" s="25">
        <v>2</v>
      </c>
      <c r="AN237" s="41" t="s">
        <v>33</v>
      </c>
      <c r="AO237" s="25">
        <v>2</v>
      </c>
      <c r="AP237" s="41" t="s">
        <v>33</v>
      </c>
      <c r="AQ237" s="25">
        <v>3</v>
      </c>
      <c r="AR237" s="12">
        <v>0.15</v>
      </c>
      <c r="AS237" s="8">
        <f t="shared" si="3"/>
        <v>15</v>
      </c>
      <c r="AT237" s="12" t="s">
        <v>34</v>
      </c>
      <c r="AU237" s="8">
        <v>3</v>
      </c>
      <c r="AV237" s="8" t="s">
        <v>44</v>
      </c>
      <c r="AW237" s="29" t="s">
        <v>33</v>
      </c>
      <c r="AX237" s="13"/>
      <c r="AY237" s="3">
        <v>0.71607653647765535</v>
      </c>
      <c r="AZ237" s="2" t="s">
        <v>38</v>
      </c>
      <c r="BA237" s="2">
        <v>3</v>
      </c>
    </row>
    <row r="238" spans="1:53" s="25" customFormat="1">
      <c r="A238" s="27">
        <v>253</v>
      </c>
      <c r="B238" s="25" t="s">
        <v>167</v>
      </c>
      <c r="C238" s="13" t="s">
        <v>151</v>
      </c>
      <c r="D238" s="25">
        <v>27.46</v>
      </c>
      <c r="E238" s="25">
        <v>28.43</v>
      </c>
      <c r="F238" s="25">
        <v>35.43</v>
      </c>
      <c r="G238" s="25" t="s">
        <v>211</v>
      </c>
      <c r="H238" s="3">
        <v>37.409999999999997</v>
      </c>
      <c r="I238" s="3">
        <v>28.06</v>
      </c>
      <c r="J238" s="3">
        <v>31.79</v>
      </c>
      <c r="K238" s="3">
        <v>29.57</v>
      </c>
      <c r="L238" s="3">
        <v>36.97</v>
      </c>
      <c r="M238" s="3">
        <v>33.54</v>
      </c>
      <c r="N238" s="3">
        <v>36.96</v>
      </c>
      <c r="O238" s="3">
        <v>36.46</v>
      </c>
      <c r="P238" s="3">
        <v>33.49</v>
      </c>
      <c r="Q238" s="3">
        <v>30.31</v>
      </c>
      <c r="R238" s="3">
        <v>35.01</v>
      </c>
      <c r="S238" s="3">
        <v>32.19</v>
      </c>
      <c r="T238" s="3">
        <v>36.94</v>
      </c>
      <c r="U238" s="3">
        <v>33.78</v>
      </c>
      <c r="V238" s="3">
        <v>35.36</v>
      </c>
      <c r="W238" s="3" t="s">
        <v>211</v>
      </c>
      <c r="X238" s="3">
        <v>35.200000000000003</v>
      </c>
      <c r="Y238" s="3" t="s">
        <v>211</v>
      </c>
      <c r="Z238" s="28">
        <v>16045</v>
      </c>
      <c r="AA238" s="31">
        <v>59</v>
      </c>
      <c r="AB238" s="29">
        <v>37494</v>
      </c>
      <c r="AC238" s="39" t="s">
        <v>222</v>
      </c>
      <c r="AD238" s="2">
        <v>1</v>
      </c>
      <c r="AE238" s="25" t="s">
        <v>25</v>
      </c>
      <c r="AF238" s="2">
        <v>2</v>
      </c>
      <c r="AG238" s="25">
        <v>32</v>
      </c>
      <c r="AH238" s="25">
        <v>14</v>
      </c>
      <c r="AI238" s="25">
        <v>13</v>
      </c>
      <c r="AJ238" s="25" t="s">
        <v>61</v>
      </c>
      <c r="AK238" s="2">
        <v>3</v>
      </c>
      <c r="AM238" s="25">
        <v>1</v>
      </c>
      <c r="AN238" s="41">
        <v>50</v>
      </c>
      <c r="AO238" s="25">
        <v>2</v>
      </c>
      <c r="AP238" s="41" t="s">
        <v>33</v>
      </c>
      <c r="AQ238" s="25">
        <v>3</v>
      </c>
      <c r="AR238" s="12">
        <v>0.2</v>
      </c>
      <c r="AS238" s="8">
        <f t="shared" si="3"/>
        <v>20</v>
      </c>
      <c r="AT238" s="12" t="s">
        <v>34</v>
      </c>
      <c r="AU238" s="8">
        <v>3</v>
      </c>
      <c r="AV238" s="8" t="s">
        <v>44</v>
      </c>
      <c r="AW238" s="29" t="s">
        <v>33</v>
      </c>
      <c r="AY238" s="3">
        <v>4.4958447070544096</v>
      </c>
      <c r="AZ238" s="2" t="s">
        <v>38</v>
      </c>
      <c r="BA238" s="2">
        <v>3</v>
      </c>
    </row>
    <row r="239" spans="1:53" s="13" customFormat="1">
      <c r="A239" s="27">
        <v>254</v>
      </c>
      <c r="B239" s="25" t="s">
        <v>167</v>
      </c>
      <c r="C239" s="13" t="s">
        <v>176</v>
      </c>
      <c r="D239" s="25">
        <v>27.99</v>
      </c>
      <c r="E239" s="25">
        <v>28.53</v>
      </c>
      <c r="F239" s="25">
        <v>35.14</v>
      </c>
      <c r="G239" s="25" t="s">
        <v>211</v>
      </c>
      <c r="H239" s="3">
        <v>36.79</v>
      </c>
      <c r="I239" s="3">
        <v>28.54</v>
      </c>
      <c r="J239" s="3">
        <v>36.76</v>
      </c>
      <c r="K239" s="3">
        <v>35.07</v>
      </c>
      <c r="L239" s="3">
        <v>36.299999999999997</v>
      </c>
      <c r="M239" s="3">
        <v>33.549999999999997</v>
      </c>
      <c r="N239" s="3">
        <v>37.04</v>
      </c>
      <c r="O239" s="3">
        <v>34.979999999999997</v>
      </c>
      <c r="P239" s="3">
        <v>33.1</v>
      </c>
      <c r="Q239" s="3">
        <v>36.799999999999997</v>
      </c>
      <c r="R239" s="3">
        <v>34.83</v>
      </c>
      <c r="S239" s="3">
        <v>32.21</v>
      </c>
      <c r="T239" s="3">
        <v>37.4</v>
      </c>
      <c r="U239" s="3">
        <v>34.28</v>
      </c>
      <c r="V239" s="3">
        <v>35.479999999999997</v>
      </c>
      <c r="W239" s="3" t="s">
        <v>211</v>
      </c>
      <c r="X239" s="3">
        <v>36.17</v>
      </c>
      <c r="Y239" s="3">
        <v>37.9</v>
      </c>
      <c r="Z239" s="28">
        <v>13676</v>
      </c>
      <c r="AA239" s="30">
        <v>65</v>
      </c>
      <c r="AB239" s="29">
        <v>37424</v>
      </c>
      <c r="AC239" s="39" t="s">
        <v>222</v>
      </c>
      <c r="AD239" s="2">
        <v>1</v>
      </c>
      <c r="AE239" s="25" t="s">
        <v>25</v>
      </c>
      <c r="AF239" s="2">
        <v>2</v>
      </c>
      <c r="AG239" s="25">
        <v>35</v>
      </c>
      <c r="AH239" s="25">
        <v>42</v>
      </c>
      <c r="AI239" s="25">
        <v>25</v>
      </c>
      <c r="AJ239" s="25" t="s">
        <v>61</v>
      </c>
      <c r="AK239" s="2">
        <v>3</v>
      </c>
      <c r="AL239" s="25"/>
      <c r="AM239" s="25">
        <v>2</v>
      </c>
      <c r="AN239" s="41" t="s">
        <v>33</v>
      </c>
      <c r="AO239" s="25">
        <v>2</v>
      </c>
      <c r="AP239" s="41" t="s">
        <v>33</v>
      </c>
      <c r="AQ239" s="25">
        <v>3</v>
      </c>
      <c r="AR239" s="12">
        <v>0.5</v>
      </c>
      <c r="AS239" s="8">
        <f t="shared" si="3"/>
        <v>50</v>
      </c>
      <c r="AT239" s="12" t="s">
        <v>34</v>
      </c>
      <c r="AU239" s="8">
        <v>3</v>
      </c>
      <c r="AV239" s="8" t="s">
        <v>34</v>
      </c>
      <c r="AW239" s="29" t="s">
        <v>171</v>
      </c>
      <c r="AX239" s="25"/>
      <c r="AY239" s="3">
        <v>1.1154256807457219</v>
      </c>
      <c r="AZ239" s="2" t="s">
        <v>38</v>
      </c>
      <c r="BA239" s="2">
        <v>3</v>
      </c>
    </row>
    <row r="240" spans="1:53" s="25" customFormat="1">
      <c r="A240" s="27">
        <v>255</v>
      </c>
      <c r="B240" s="25" t="s">
        <v>167</v>
      </c>
      <c r="C240" s="13" t="s">
        <v>87</v>
      </c>
      <c r="D240" s="25">
        <v>28.02</v>
      </c>
      <c r="E240" s="25">
        <v>29.07</v>
      </c>
      <c r="F240" s="25">
        <v>35.630000000000003</v>
      </c>
      <c r="G240" s="25" t="s">
        <v>211</v>
      </c>
      <c r="H240" s="3">
        <v>39.1</v>
      </c>
      <c r="I240" s="3">
        <v>30.45</v>
      </c>
      <c r="J240" s="3">
        <v>36.31</v>
      </c>
      <c r="K240" s="3">
        <v>39.14</v>
      </c>
      <c r="L240" s="3">
        <v>39.450000000000003</v>
      </c>
      <c r="M240" s="3">
        <v>35.35</v>
      </c>
      <c r="N240" s="3">
        <v>38.450000000000003</v>
      </c>
      <c r="O240" s="3">
        <v>35.4</v>
      </c>
      <c r="P240" s="3">
        <v>36.26</v>
      </c>
      <c r="Q240" s="3" t="s">
        <v>211</v>
      </c>
      <c r="R240" s="3">
        <v>38.17</v>
      </c>
      <c r="S240" s="3">
        <v>32.99</v>
      </c>
      <c r="T240" s="3" t="s">
        <v>211</v>
      </c>
      <c r="U240" s="3">
        <v>39.04</v>
      </c>
      <c r="V240" s="3">
        <v>38.92</v>
      </c>
      <c r="W240" s="3">
        <v>38.130000000000003</v>
      </c>
      <c r="X240" s="3">
        <v>38.340000000000003</v>
      </c>
      <c r="Y240" s="3">
        <v>38.18</v>
      </c>
      <c r="Z240" s="28">
        <v>15486</v>
      </c>
      <c r="AA240" s="25">
        <v>61</v>
      </c>
      <c r="AB240" s="29">
        <v>37768</v>
      </c>
      <c r="AC240" s="39" t="s">
        <v>229</v>
      </c>
      <c r="AD240" s="2"/>
      <c r="AE240" s="25" t="s">
        <v>25</v>
      </c>
      <c r="AF240" s="2">
        <v>2</v>
      </c>
      <c r="AG240" s="25">
        <v>50</v>
      </c>
      <c r="AH240" s="25">
        <v>12</v>
      </c>
      <c r="AI240" s="25">
        <v>0</v>
      </c>
      <c r="AJ240" s="25" t="s">
        <v>31</v>
      </c>
      <c r="AK240" s="2">
        <v>0</v>
      </c>
      <c r="AM240" s="25">
        <v>2</v>
      </c>
      <c r="AN240" s="41" t="s">
        <v>33</v>
      </c>
      <c r="AO240" s="25">
        <v>2</v>
      </c>
      <c r="AP240" s="41" t="s">
        <v>33</v>
      </c>
      <c r="AQ240" s="25">
        <v>3</v>
      </c>
      <c r="AR240" s="12">
        <v>0.25</v>
      </c>
      <c r="AS240" s="8">
        <f t="shared" si="3"/>
        <v>25</v>
      </c>
      <c r="AT240" s="12" t="s">
        <v>34</v>
      </c>
      <c r="AU240" s="8">
        <v>3</v>
      </c>
      <c r="AV240" s="8" t="s">
        <v>44</v>
      </c>
      <c r="AW240" s="29" t="s">
        <v>171</v>
      </c>
      <c r="AY240" s="3">
        <v>1.9076331108249591</v>
      </c>
      <c r="AZ240" s="2" t="s">
        <v>38</v>
      </c>
      <c r="BA240" s="2">
        <v>3</v>
      </c>
    </row>
    <row r="241" spans="1:53" s="25" customFormat="1">
      <c r="A241" s="27">
        <v>256</v>
      </c>
      <c r="B241" s="25" t="s">
        <v>167</v>
      </c>
      <c r="C241" s="13" t="s">
        <v>177</v>
      </c>
      <c r="D241" s="25">
        <v>29.13</v>
      </c>
      <c r="E241" s="25">
        <v>29.85</v>
      </c>
      <c r="F241" s="25">
        <v>34.51</v>
      </c>
      <c r="G241" s="25">
        <v>38.119999999999997</v>
      </c>
      <c r="H241" s="3">
        <v>35.78</v>
      </c>
      <c r="I241" s="3">
        <v>29.86</v>
      </c>
      <c r="J241" s="3">
        <v>36.32</v>
      </c>
      <c r="K241" s="3">
        <v>36.450000000000003</v>
      </c>
      <c r="L241" s="3">
        <v>37.82</v>
      </c>
      <c r="M241" s="3">
        <v>36.08</v>
      </c>
      <c r="N241" s="3">
        <v>38.770000000000003</v>
      </c>
      <c r="O241" s="3">
        <v>35.54</v>
      </c>
      <c r="P241" s="3">
        <v>34.49</v>
      </c>
      <c r="Q241" s="3">
        <v>37.44</v>
      </c>
      <c r="R241" s="3">
        <v>37.54</v>
      </c>
      <c r="S241" s="3">
        <v>35.61</v>
      </c>
      <c r="T241" s="3">
        <v>36.58</v>
      </c>
      <c r="U241" s="3">
        <v>33.630000000000003</v>
      </c>
      <c r="V241" s="3">
        <v>35.53</v>
      </c>
      <c r="W241" s="3">
        <v>38.85</v>
      </c>
      <c r="X241" s="3">
        <v>37.700000000000003</v>
      </c>
      <c r="Y241" s="3">
        <v>37.979999999999997</v>
      </c>
      <c r="Z241" s="28">
        <v>17013</v>
      </c>
      <c r="AA241" s="25">
        <v>57</v>
      </c>
      <c r="AB241" s="29">
        <v>37819</v>
      </c>
      <c r="AC241" s="39" t="s">
        <v>224</v>
      </c>
      <c r="AD241" s="2">
        <v>2</v>
      </c>
      <c r="AE241" s="25" t="s">
        <v>37</v>
      </c>
      <c r="AF241" s="2">
        <v>1</v>
      </c>
      <c r="AG241" s="25">
        <v>10</v>
      </c>
      <c r="AH241" s="25">
        <v>4</v>
      </c>
      <c r="AI241" s="25">
        <v>0</v>
      </c>
      <c r="AJ241" s="25" t="s">
        <v>31</v>
      </c>
      <c r="AK241" s="2">
        <v>0</v>
      </c>
      <c r="AM241" s="25">
        <v>1</v>
      </c>
      <c r="AN241" s="41">
        <v>40</v>
      </c>
      <c r="AO241" s="25">
        <v>1</v>
      </c>
      <c r="AP241" s="41">
        <v>40</v>
      </c>
      <c r="AQ241" s="25">
        <v>3</v>
      </c>
      <c r="AR241" s="12">
        <v>0.1</v>
      </c>
      <c r="AS241" s="8">
        <f t="shared" si="3"/>
        <v>10</v>
      </c>
      <c r="AT241" s="12" t="s">
        <v>27</v>
      </c>
      <c r="AU241" s="8">
        <v>1</v>
      </c>
      <c r="AV241" s="12" t="s">
        <v>27</v>
      </c>
      <c r="AW241" s="29" t="s">
        <v>33</v>
      </c>
      <c r="AY241" s="3">
        <v>4.6888880447169434E-2</v>
      </c>
      <c r="AZ241" s="2" t="s">
        <v>38</v>
      </c>
      <c r="BA241" s="2">
        <v>3</v>
      </c>
    </row>
    <row r="242" spans="1:53" s="25" customFormat="1">
      <c r="A242" s="27">
        <v>257</v>
      </c>
      <c r="B242" s="25" t="s">
        <v>167</v>
      </c>
      <c r="C242" s="13" t="s">
        <v>178</v>
      </c>
      <c r="D242" s="25">
        <v>25</v>
      </c>
      <c r="E242" s="25">
        <v>27.02</v>
      </c>
      <c r="F242" s="25">
        <v>31.09</v>
      </c>
      <c r="G242" s="25" t="s">
        <v>211</v>
      </c>
      <c r="H242" s="3">
        <v>31.45</v>
      </c>
      <c r="I242" s="3">
        <v>25.68</v>
      </c>
      <c r="J242" s="3">
        <v>32.47</v>
      </c>
      <c r="K242" s="3">
        <v>31.65</v>
      </c>
      <c r="L242" s="3">
        <v>33.450000000000003</v>
      </c>
      <c r="M242" s="3">
        <v>28.75</v>
      </c>
      <c r="N242" s="3">
        <v>33.58</v>
      </c>
      <c r="O242" s="3">
        <v>31.8</v>
      </c>
      <c r="P242" s="3">
        <v>29.97</v>
      </c>
      <c r="Q242" s="3">
        <v>31.8</v>
      </c>
      <c r="R242" s="3">
        <v>31.83</v>
      </c>
      <c r="S242" s="3">
        <v>31.61</v>
      </c>
      <c r="T242" s="3">
        <v>35.130000000000003</v>
      </c>
      <c r="U242" s="3">
        <v>31.48</v>
      </c>
      <c r="V242" s="3">
        <v>31.48</v>
      </c>
      <c r="W242" s="3" t="s">
        <v>211</v>
      </c>
      <c r="X242" s="3">
        <v>33.75</v>
      </c>
      <c r="Y242" s="3">
        <v>34.36</v>
      </c>
      <c r="Z242" s="26">
        <v>16896</v>
      </c>
      <c r="AA242" s="25">
        <v>44</v>
      </c>
      <c r="AB242" s="29">
        <v>32960</v>
      </c>
      <c r="AC242" s="39" t="s">
        <v>231</v>
      </c>
      <c r="AD242" s="2"/>
      <c r="AE242" s="25" t="s">
        <v>37</v>
      </c>
      <c r="AF242" s="2">
        <v>1</v>
      </c>
      <c r="AG242" s="32">
        <v>15</v>
      </c>
      <c r="AH242" s="25">
        <v>17</v>
      </c>
      <c r="AI242" s="25">
        <v>1</v>
      </c>
      <c r="AJ242" s="25" t="s">
        <v>26</v>
      </c>
      <c r="AK242" s="2">
        <v>1</v>
      </c>
      <c r="AM242" s="25">
        <v>1</v>
      </c>
      <c r="AN242" s="41">
        <v>95</v>
      </c>
      <c r="AO242" s="25">
        <v>1</v>
      </c>
      <c r="AP242" s="41">
        <v>60</v>
      </c>
      <c r="AQ242" s="25" t="s">
        <v>28</v>
      </c>
      <c r="AR242" s="12" t="s">
        <v>28</v>
      </c>
      <c r="AS242" s="8" t="s">
        <v>28</v>
      </c>
      <c r="AT242" s="12" t="s">
        <v>28</v>
      </c>
      <c r="AU242" s="8">
        <v>0</v>
      </c>
      <c r="AV242" s="8" t="s">
        <v>28</v>
      </c>
      <c r="AW242" s="29" t="s">
        <v>171</v>
      </c>
      <c r="AY242" s="3">
        <v>1.5017240429704426E-2</v>
      </c>
      <c r="AZ242" s="2" t="s">
        <v>38</v>
      </c>
      <c r="BA242" s="2">
        <v>3</v>
      </c>
    </row>
    <row r="243" spans="1:53" s="25" customFormat="1">
      <c r="A243" s="27">
        <v>258</v>
      </c>
      <c r="B243" s="25" t="s">
        <v>167</v>
      </c>
      <c r="C243" s="13" t="s">
        <v>179</v>
      </c>
      <c r="D243" s="25">
        <v>21.55</v>
      </c>
      <c r="E243" s="25">
        <v>24.8</v>
      </c>
      <c r="F243" s="25">
        <v>30.79</v>
      </c>
      <c r="G243" s="25" t="s">
        <v>211</v>
      </c>
      <c r="H243" s="3">
        <v>30.9</v>
      </c>
      <c r="I243" s="3">
        <v>23.3</v>
      </c>
      <c r="J243" s="3">
        <v>30.63</v>
      </c>
      <c r="K243" s="3">
        <v>30.64</v>
      </c>
      <c r="L243" s="3">
        <v>32.369999999999997</v>
      </c>
      <c r="M243" s="3">
        <v>29.72</v>
      </c>
      <c r="N243" s="3">
        <v>32.479999999999997</v>
      </c>
      <c r="O243" s="3">
        <v>29.63</v>
      </c>
      <c r="P243" s="3">
        <v>28.61</v>
      </c>
      <c r="Q243" s="3">
        <v>31.62</v>
      </c>
      <c r="R243" s="3">
        <v>28.98</v>
      </c>
      <c r="S243" s="3">
        <v>30.11</v>
      </c>
      <c r="T243" s="3">
        <v>32.700000000000003</v>
      </c>
      <c r="U243" s="3">
        <v>28.65</v>
      </c>
      <c r="V243" s="3">
        <v>27.99</v>
      </c>
      <c r="W243" s="3">
        <v>35.58</v>
      </c>
      <c r="X243" s="3">
        <v>28.91</v>
      </c>
      <c r="Y243" s="3">
        <v>31.82</v>
      </c>
      <c r="Z243" s="28">
        <v>12189</v>
      </c>
      <c r="AA243" s="25">
        <v>70</v>
      </c>
      <c r="AB243" s="29">
        <v>37917</v>
      </c>
      <c r="AC243" s="39" t="s">
        <v>222</v>
      </c>
      <c r="AD243" s="2">
        <v>1</v>
      </c>
      <c r="AE243" s="25" t="s">
        <v>25</v>
      </c>
      <c r="AF243" s="2">
        <v>2</v>
      </c>
      <c r="AG243" s="25">
        <v>40</v>
      </c>
      <c r="AH243" s="25">
        <v>12</v>
      </c>
      <c r="AI243" s="25">
        <v>1</v>
      </c>
      <c r="AJ243" s="25" t="s">
        <v>26</v>
      </c>
      <c r="AK243" s="2">
        <v>1</v>
      </c>
      <c r="AM243" s="25">
        <v>1</v>
      </c>
      <c r="AN243" s="41">
        <v>95</v>
      </c>
      <c r="AO243" s="25">
        <v>2</v>
      </c>
      <c r="AP243" s="41">
        <v>50</v>
      </c>
      <c r="AQ243" s="25">
        <v>3</v>
      </c>
      <c r="AR243" s="12">
        <v>0.05</v>
      </c>
      <c r="AS243" s="8">
        <f t="shared" si="3"/>
        <v>5</v>
      </c>
      <c r="AT243" s="12" t="s">
        <v>27</v>
      </c>
      <c r="AU243" s="8">
        <v>1</v>
      </c>
      <c r="AV243" s="12" t="s">
        <v>27</v>
      </c>
      <c r="AW243" s="29" t="s">
        <v>33</v>
      </c>
      <c r="AY243" s="3">
        <v>-0.49998082444810332</v>
      </c>
      <c r="AZ243" s="2" t="s">
        <v>29</v>
      </c>
      <c r="BA243" s="2">
        <v>2</v>
      </c>
    </row>
    <row r="244" spans="1:53" s="25" customFormat="1">
      <c r="A244" s="27">
        <v>259</v>
      </c>
      <c r="B244" s="25" t="s">
        <v>167</v>
      </c>
      <c r="C244" s="13" t="s">
        <v>165</v>
      </c>
      <c r="D244" s="25">
        <v>27.07</v>
      </c>
      <c r="E244" s="25">
        <v>27.54</v>
      </c>
      <c r="F244" s="25">
        <v>33.67</v>
      </c>
      <c r="G244" s="25" t="s">
        <v>211</v>
      </c>
      <c r="H244" s="3">
        <v>34.880000000000003</v>
      </c>
      <c r="I244" s="3">
        <v>27.57</v>
      </c>
      <c r="J244" s="3">
        <v>34.85</v>
      </c>
      <c r="K244" s="3">
        <v>33.56</v>
      </c>
      <c r="L244" s="3">
        <v>34.92</v>
      </c>
      <c r="M244" s="3">
        <v>32.369999999999997</v>
      </c>
      <c r="N244" s="3">
        <v>34.42</v>
      </c>
      <c r="O244" s="3">
        <v>33.56</v>
      </c>
      <c r="P244" s="3">
        <v>31.88</v>
      </c>
      <c r="Q244" s="3">
        <v>35.26</v>
      </c>
      <c r="R244" s="3">
        <v>33.479999999999997</v>
      </c>
      <c r="S244" s="3">
        <v>30.89</v>
      </c>
      <c r="T244" s="3">
        <v>36.06</v>
      </c>
      <c r="U244" s="3">
        <v>33.06</v>
      </c>
      <c r="V244" s="3">
        <v>32.93</v>
      </c>
      <c r="W244" s="3" t="s">
        <v>211</v>
      </c>
      <c r="X244" s="3">
        <v>34.93</v>
      </c>
      <c r="Y244" s="3">
        <v>36.26</v>
      </c>
      <c r="Z244" s="26">
        <v>13895</v>
      </c>
      <c r="AA244" s="25">
        <v>66</v>
      </c>
      <c r="AB244" s="29">
        <v>38211</v>
      </c>
      <c r="AC244" s="39" t="s">
        <v>172</v>
      </c>
      <c r="AD244" s="2"/>
      <c r="AE244" s="25" t="s">
        <v>25</v>
      </c>
      <c r="AF244" s="2">
        <v>2</v>
      </c>
      <c r="AG244" s="32">
        <v>40</v>
      </c>
      <c r="AH244" s="25">
        <v>15</v>
      </c>
      <c r="AI244" s="25">
        <v>15</v>
      </c>
      <c r="AJ244" s="25" t="s">
        <v>61</v>
      </c>
      <c r="AK244" s="2">
        <v>3</v>
      </c>
      <c r="AM244" s="25">
        <v>2</v>
      </c>
      <c r="AN244" s="41" t="s">
        <v>33</v>
      </c>
      <c r="AO244" s="25">
        <v>2</v>
      </c>
      <c r="AP244" s="41" t="s">
        <v>33</v>
      </c>
      <c r="AQ244" s="25">
        <v>3</v>
      </c>
      <c r="AR244" s="12">
        <v>0.1</v>
      </c>
      <c r="AS244" s="8">
        <f t="shared" si="3"/>
        <v>10</v>
      </c>
      <c r="AT244" s="12" t="s">
        <v>27</v>
      </c>
      <c r="AU244" s="8">
        <v>1</v>
      </c>
      <c r="AV244" s="12" t="s">
        <v>27</v>
      </c>
      <c r="AW244" s="29" t="s">
        <v>33</v>
      </c>
      <c r="AY244" s="3">
        <v>0.70566769582010302</v>
      </c>
      <c r="AZ244" s="2" t="s">
        <v>38</v>
      </c>
      <c r="BA244" s="2">
        <v>3</v>
      </c>
    </row>
    <row r="245" spans="1:53" s="25" customFormat="1">
      <c r="A245" s="27">
        <v>260</v>
      </c>
      <c r="B245" s="25" t="s">
        <v>167</v>
      </c>
      <c r="C245" s="13" t="s">
        <v>180</v>
      </c>
      <c r="D245" s="25">
        <v>22.47</v>
      </c>
      <c r="E245" s="25">
        <v>22.91</v>
      </c>
      <c r="F245" s="25">
        <v>28.32</v>
      </c>
      <c r="G245" s="25" t="s">
        <v>211</v>
      </c>
      <c r="H245" s="3">
        <v>29.37</v>
      </c>
      <c r="I245" s="3">
        <v>22.41</v>
      </c>
      <c r="J245" s="3">
        <v>29.11</v>
      </c>
      <c r="K245" s="3">
        <v>29.12</v>
      </c>
      <c r="L245" s="3">
        <v>31.06</v>
      </c>
      <c r="M245" s="3">
        <v>28.32</v>
      </c>
      <c r="N245" s="3">
        <v>32.200000000000003</v>
      </c>
      <c r="O245" s="3">
        <v>27.6</v>
      </c>
      <c r="P245" s="3">
        <v>27.03</v>
      </c>
      <c r="Q245" s="3">
        <v>30.19</v>
      </c>
      <c r="R245" s="3">
        <v>28.76</v>
      </c>
      <c r="S245" s="3">
        <v>26.2</v>
      </c>
      <c r="T245" s="3">
        <v>30.17</v>
      </c>
      <c r="U245" s="3">
        <v>27.72</v>
      </c>
      <c r="V245" s="3">
        <v>26.9</v>
      </c>
      <c r="W245" s="3">
        <v>33.36</v>
      </c>
      <c r="X245" s="3">
        <v>28.67</v>
      </c>
      <c r="Y245" s="3">
        <v>31.03</v>
      </c>
      <c r="Z245" s="26">
        <v>19148</v>
      </c>
      <c r="AA245" s="25">
        <v>52</v>
      </c>
      <c r="AB245" s="29">
        <v>38372</v>
      </c>
      <c r="AC245" s="39" t="s">
        <v>222</v>
      </c>
      <c r="AD245" s="2">
        <v>1</v>
      </c>
      <c r="AE245" s="25" t="s">
        <v>37</v>
      </c>
      <c r="AF245" s="2">
        <v>1</v>
      </c>
      <c r="AG245" s="25">
        <v>9</v>
      </c>
      <c r="AH245" s="25">
        <v>1</v>
      </c>
      <c r="AI245" s="25">
        <v>0</v>
      </c>
      <c r="AJ245" s="25" t="s">
        <v>31</v>
      </c>
      <c r="AK245" s="2">
        <v>0</v>
      </c>
      <c r="AM245" s="25">
        <v>1</v>
      </c>
      <c r="AN245" s="41">
        <v>90</v>
      </c>
      <c r="AO245" s="25">
        <v>1</v>
      </c>
      <c r="AP245" s="41">
        <v>40</v>
      </c>
      <c r="AQ245" s="25">
        <v>2</v>
      </c>
      <c r="AR245" s="12">
        <v>0.1</v>
      </c>
      <c r="AS245" s="8">
        <f t="shared" si="3"/>
        <v>10</v>
      </c>
      <c r="AT245" s="12" t="s">
        <v>27</v>
      </c>
      <c r="AU245" s="8">
        <v>1</v>
      </c>
      <c r="AV245" s="12" t="s">
        <v>27</v>
      </c>
      <c r="AW245" s="29" t="s">
        <v>33</v>
      </c>
      <c r="AY245" s="3">
        <v>-0.18062848736375942</v>
      </c>
      <c r="AZ245" s="2" t="s">
        <v>29</v>
      </c>
      <c r="BA245" s="2">
        <v>2</v>
      </c>
    </row>
    <row r="246" spans="1:53" s="25" customFormat="1">
      <c r="A246" s="27">
        <v>261</v>
      </c>
      <c r="B246" s="25" t="s">
        <v>167</v>
      </c>
      <c r="C246" s="13" t="s">
        <v>181</v>
      </c>
      <c r="D246" s="25">
        <v>26.86</v>
      </c>
      <c r="E246" s="25">
        <v>27.19</v>
      </c>
      <c r="F246" s="25">
        <v>34</v>
      </c>
      <c r="G246" s="25" t="s">
        <v>211</v>
      </c>
      <c r="H246" s="3">
        <v>34.799999999999997</v>
      </c>
      <c r="I246" s="3">
        <v>26.26</v>
      </c>
      <c r="J246" s="3">
        <v>34.35</v>
      </c>
      <c r="K246" s="3">
        <v>35.549999999999997</v>
      </c>
      <c r="L246" s="3">
        <v>35.74</v>
      </c>
      <c r="M246" s="3">
        <v>31.9</v>
      </c>
      <c r="N246" s="3" t="s">
        <v>211</v>
      </c>
      <c r="O246" s="3">
        <v>33.04</v>
      </c>
      <c r="P246" s="3">
        <v>31.78</v>
      </c>
      <c r="Q246" s="3">
        <v>34.479999999999997</v>
      </c>
      <c r="R246" s="3">
        <v>31.02</v>
      </c>
      <c r="S246" s="3">
        <v>32.82</v>
      </c>
      <c r="T246" s="3">
        <v>37.090000000000003</v>
      </c>
      <c r="U246" s="3">
        <v>31.93</v>
      </c>
      <c r="V246" s="3">
        <v>33.380000000000003</v>
      </c>
      <c r="W246" s="3">
        <v>37.32</v>
      </c>
      <c r="X246" s="3">
        <v>33.71</v>
      </c>
      <c r="Y246" s="3">
        <v>36.4</v>
      </c>
      <c r="Z246" s="28">
        <v>18680</v>
      </c>
      <c r="AA246" s="25">
        <v>52</v>
      </c>
      <c r="AB246" s="29">
        <v>37270</v>
      </c>
      <c r="AC246" s="39" t="s">
        <v>222</v>
      </c>
      <c r="AD246" s="2">
        <v>1</v>
      </c>
      <c r="AE246" s="25" t="s">
        <v>25</v>
      </c>
      <c r="AF246" s="2">
        <v>2</v>
      </c>
      <c r="AG246" s="25">
        <v>23</v>
      </c>
      <c r="AH246" s="25">
        <v>21</v>
      </c>
      <c r="AI246" s="25">
        <v>3</v>
      </c>
      <c r="AJ246" s="25" t="s">
        <v>26</v>
      </c>
      <c r="AK246" s="2">
        <v>1</v>
      </c>
      <c r="AM246" s="25">
        <v>2</v>
      </c>
      <c r="AN246" s="41" t="s">
        <v>33</v>
      </c>
      <c r="AO246" s="25">
        <v>1</v>
      </c>
      <c r="AP246" s="41">
        <v>70</v>
      </c>
      <c r="AQ246" s="25">
        <v>3</v>
      </c>
      <c r="AR246" s="12">
        <v>0.5</v>
      </c>
      <c r="AS246" s="8">
        <f t="shared" si="3"/>
        <v>50</v>
      </c>
      <c r="AT246" s="12" t="s">
        <v>34</v>
      </c>
      <c r="AU246" s="8">
        <v>3</v>
      </c>
      <c r="AV246" s="8" t="s">
        <v>34</v>
      </c>
      <c r="AW246" s="29" t="s">
        <v>33</v>
      </c>
      <c r="AY246" s="3">
        <v>0.73417654232327823</v>
      </c>
      <c r="AZ246" s="2" t="s">
        <v>38</v>
      </c>
      <c r="BA246" s="2">
        <v>3</v>
      </c>
    </row>
    <row r="247" spans="1:53" s="25" customFormat="1">
      <c r="A247" s="27">
        <v>262</v>
      </c>
      <c r="B247" s="25" t="s">
        <v>167</v>
      </c>
      <c r="C247" s="13" t="s">
        <v>182</v>
      </c>
      <c r="D247" s="25">
        <v>30.05</v>
      </c>
      <c r="E247" s="25">
        <v>32.64</v>
      </c>
      <c r="F247" s="25">
        <v>37.82</v>
      </c>
      <c r="G247" s="25" t="s">
        <v>211</v>
      </c>
      <c r="H247" s="3">
        <v>38.71</v>
      </c>
      <c r="I247" s="3">
        <v>31.76</v>
      </c>
      <c r="J247" s="3">
        <v>39.299999999999997</v>
      </c>
      <c r="K247" s="3">
        <v>38.020000000000003</v>
      </c>
      <c r="L247" s="3">
        <v>35.75</v>
      </c>
      <c r="M247" s="3">
        <v>35.58</v>
      </c>
      <c r="N247" s="3" t="s">
        <v>211</v>
      </c>
      <c r="O247" s="3">
        <v>38.47</v>
      </c>
      <c r="P247" s="3">
        <v>38.770000000000003</v>
      </c>
      <c r="Q247" s="3">
        <v>37.340000000000003</v>
      </c>
      <c r="R247" s="3">
        <v>37.700000000000003</v>
      </c>
      <c r="S247" s="3" t="s">
        <v>211</v>
      </c>
      <c r="T247" s="3">
        <v>36.83</v>
      </c>
      <c r="U247" s="3">
        <v>36.4</v>
      </c>
      <c r="V247" s="3">
        <v>37.130000000000003</v>
      </c>
      <c r="W247" s="3">
        <v>37.93</v>
      </c>
      <c r="X247" s="3">
        <v>36.65</v>
      </c>
      <c r="Y247" s="3">
        <v>38.94</v>
      </c>
      <c r="Z247" s="26">
        <v>13573</v>
      </c>
      <c r="AA247" s="25">
        <v>70</v>
      </c>
      <c r="AB247" s="29">
        <v>36149</v>
      </c>
      <c r="AC247" s="39" t="s">
        <v>222</v>
      </c>
      <c r="AD247" s="2">
        <v>1</v>
      </c>
      <c r="AE247" s="25" t="s">
        <v>25</v>
      </c>
      <c r="AF247" s="2">
        <v>2</v>
      </c>
      <c r="AG247" s="32">
        <v>23</v>
      </c>
      <c r="AH247" s="25">
        <v>8</v>
      </c>
      <c r="AI247" s="25">
        <v>0</v>
      </c>
      <c r="AJ247" s="25" t="s">
        <v>31</v>
      </c>
      <c r="AK247" s="2">
        <v>0</v>
      </c>
      <c r="AM247" s="25">
        <v>1</v>
      </c>
      <c r="AN247" s="41">
        <v>80</v>
      </c>
      <c r="AO247" s="25">
        <v>2</v>
      </c>
      <c r="AP247" s="41" t="s">
        <v>33</v>
      </c>
      <c r="AQ247" s="25">
        <v>3</v>
      </c>
      <c r="AR247" s="12">
        <v>0.35</v>
      </c>
      <c r="AS247" s="8">
        <f t="shared" si="3"/>
        <v>35</v>
      </c>
      <c r="AT247" s="12" t="s">
        <v>34</v>
      </c>
      <c r="AU247" s="8">
        <v>3</v>
      </c>
      <c r="AV247" s="8" t="s">
        <v>34</v>
      </c>
      <c r="AW247" s="29" t="s">
        <v>28</v>
      </c>
      <c r="AY247" s="3">
        <v>1.0702974823996354</v>
      </c>
      <c r="AZ247" s="2" t="s">
        <v>38</v>
      </c>
      <c r="BA247" s="2">
        <v>3</v>
      </c>
    </row>
    <row r="248" spans="1:53" s="25" customFormat="1">
      <c r="A248" s="27">
        <v>263</v>
      </c>
      <c r="B248" s="25" t="s">
        <v>167</v>
      </c>
      <c r="C248" s="13" t="s">
        <v>146</v>
      </c>
      <c r="D248" s="25">
        <v>23.4</v>
      </c>
      <c r="E248" s="25">
        <v>24.45</v>
      </c>
      <c r="F248" s="25">
        <v>30.42</v>
      </c>
      <c r="G248" s="25" t="s">
        <v>211</v>
      </c>
      <c r="H248" s="3">
        <v>32.69</v>
      </c>
      <c r="I248" s="3">
        <v>24.17</v>
      </c>
      <c r="J248" s="3">
        <v>31.25</v>
      </c>
      <c r="K248" s="3">
        <v>32.24</v>
      </c>
      <c r="L248" s="3">
        <v>32.450000000000003</v>
      </c>
      <c r="M248" s="3">
        <v>30.99</v>
      </c>
      <c r="N248" s="3">
        <v>35.29</v>
      </c>
      <c r="O248" s="3">
        <v>30.16</v>
      </c>
      <c r="P248" s="3">
        <v>30.05</v>
      </c>
      <c r="Q248" s="3">
        <v>31.8</v>
      </c>
      <c r="R248" s="3">
        <v>31.33</v>
      </c>
      <c r="S248" s="3">
        <v>28.12</v>
      </c>
      <c r="T248" s="3">
        <v>33.520000000000003</v>
      </c>
      <c r="U248" s="3">
        <v>30.69</v>
      </c>
      <c r="V248" s="3">
        <v>30.88</v>
      </c>
      <c r="W248" s="3" t="s">
        <v>211</v>
      </c>
      <c r="X248" s="3">
        <v>31.58</v>
      </c>
      <c r="Y248" s="3">
        <v>34.090000000000003</v>
      </c>
      <c r="Z248" s="26">
        <v>12935</v>
      </c>
      <c r="AA248" s="25">
        <v>66</v>
      </c>
      <c r="AB248" s="29">
        <v>37244</v>
      </c>
      <c r="AC248" s="39" t="s">
        <v>222</v>
      </c>
      <c r="AD248" s="2">
        <v>1</v>
      </c>
      <c r="AE248" s="25" t="s">
        <v>25</v>
      </c>
      <c r="AF248" s="2">
        <v>2</v>
      </c>
      <c r="AG248" s="32">
        <v>30</v>
      </c>
      <c r="AH248" s="25">
        <v>59</v>
      </c>
      <c r="AI248" s="25">
        <v>56</v>
      </c>
      <c r="AJ248" s="25" t="s">
        <v>61</v>
      </c>
      <c r="AK248" s="2">
        <v>3</v>
      </c>
      <c r="AM248" s="25">
        <v>2</v>
      </c>
      <c r="AN248" s="41" t="s">
        <v>33</v>
      </c>
      <c r="AO248" s="25">
        <v>2</v>
      </c>
      <c r="AP248" s="41" t="s">
        <v>33</v>
      </c>
      <c r="AQ248" s="25">
        <v>2</v>
      </c>
      <c r="AR248" s="12">
        <v>0.3</v>
      </c>
      <c r="AS248" s="8">
        <f t="shared" si="3"/>
        <v>30</v>
      </c>
      <c r="AT248" s="12" t="s">
        <v>34</v>
      </c>
      <c r="AU248" s="8">
        <v>3</v>
      </c>
      <c r="AV248" s="8" t="s">
        <v>34</v>
      </c>
      <c r="AW248" s="29" t="s">
        <v>171</v>
      </c>
      <c r="AY248" s="3">
        <v>1.1025437454169911</v>
      </c>
      <c r="AZ248" s="2" t="s">
        <v>38</v>
      </c>
      <c r="BA248" s="2">
        <v>3</v>
      </c>
    </row>
    <row r="249" spans="1:53" s="25" customFormat="1">
      <c r="A249" s="27">
        <v>264</v>
      </c>
      <c r="B249" s="25" t="s">
        <v>167</v>
      </c>
      <c r="C249" s="13" t="s">
        <v>183</v>
      </c>
      <c r="D249" s="25">
        <v>22.32</v>
      </c>
      <c r="E249" s="25">
        <v>22.28</v>
      </c>
      <c r="F249" s="25">
        <v>28.92</v>
      </c>
      <c r="G249" s="25" t="s">
        <v>212</v>
      </c>
      <c r="H249" s="3">
        <v>30.78</v>
      </c>
      <c r="I249" s="3">
        <v>21.82</v>
      </c>
      <c r="J249" s="3">
        <v>29.61</v>
      </c>
      <c r="K249" s="3">
        <v>28.55</v>
      </c>
      <c r="L249" s="3">
        <v>28.95</v>
      </c>
      <c r="M249" s="3">
        <v>30.26</v>
      </c>
      <c r="N249" s="3">
        <v>31.29</v>
      </c>
      <c r="O249" s="3">
        <v>26.78</v>
      </c>
      <c r="P249" s="3">
        <v>29.67</v>
      </c>
      <c r="Q249" s="3">
        <v>29.07</v>
      </c>
      <c r="R249" s="3">
        <v>27.54</v>
      </c>
      <c r="S249" s="3">
        <v>25.92</v>
      </c>
      <c r="T249" s="3">
        <v>31.85</v>
      </c>
      <c r="U249" s="3">
        <v>29.33</v>
      </c>
      <c r="V249" s="3">
        <v>30.26</v>
      </c>
      <c r="W249" s="3">
        <v>37.79</v>
      </c>
      <c r="X249" s="3">
        <v>28.55</v>
      </c>
      <c r="Y249" s="3">
        <v>32.76</v>
      </c>
      <c r="Z249" s="26">
        <v>14256</v>
      </c>
      <c r="AA249" s="25">
        <v>63</v>
      </c>
      <c r="AB249" s="29">
        <v>38237</v>
      </c>
      <c r="AC249" s="39" t="s">
        <v>222</v>
      </c>
      <c r="AD249" s="2">
        <v>1</v>
      </c>
      <c r="AE249" s="25" t="s">
        <v>37</v>
      </c>
      <c r="AF249" s="2">
        <v>1</v>
      </c>
      <c r="AG249" s="32">
        <v>15</v>
      </c>
      <c r="AH249" s="25">
        <v>21</v>
      </c>
      <c r="AI249" s="25">
        <v>2</v>
      </c>
      <c r="AJ249" s="25" t="s">
        <v>26</v>
      </c>
      <c r="AK249" s="2">
        <v>1</v>
      </c>
      <c r="AM249" s="25">
        <v>2</v>
      </c>
      <c r="AN249" s="41" t="s">
        <v>33</v>
      </c>
      <c r="AO249" s="25">
        <v>2</v>
      </c>
      <c r="AP249" s="41" t="s">
        <v>33</v>
      </c>
      <c r="AQ249" s="25">
        <v>3</v>
      </c>
      <c r="AR249" s="12">
        <v>0.3</v>
      </c>
      <c r="AS249" s="8">
        <f t="shared" si="3"/>
        <v>30</v>
      </c>
      <c r="AT249" s="12" t="s">
        <v>34</v>
      </c>
      <c r="AU249" s="8">
        <v>3</v>
      </c>
      <c r="AV249" s="8" t="s">
        <v>34</v>
      </c>
      <c r="AW249" s="29" t="s">
        <v>33</v>
      </c>
      <c r="AY249" s="3">
        <v>1.413932761852742</v>
      </c>
      <c r="AZ249" s="2" t="s">
        <v>38</v>
      </c>
      <c r="BA249" s="2">
        <v>3</v>
      </c>
    </row>
    <row r="250" spans="1:53" s="25" customFormat="1">
      <c r="A250" s="27">
        <v>265</v>
      </c>
      <c r="B250" s="25" t="s">
        <v>167</v>
      </c>
      <c r="C250" s="13" t="s">
        <v>74</v>
      </c>
      <c r="D250" s="25">
        <v>27.84</v>
      </c>
      <c r="E250" s="25">
        <v>24.74</v>
      </c>
      <c r="F250" s="25">
        <v>33.090000000000003</v>
      </c>
      <c r="G250" s="25" t="s">
        <v>212</v>
      </c>
      <c r="H250" s="3">
        <v>30.55</v>
      </c>
      <c r="I250" s="3">
        <v>23.64</v>
      </c>
      <c r="J250" s="3">
        <v>32.6</v>
      </c>
      <c r="K250" s="3">
        <v>32.04</v>
      </c>
      <c r="L250" s="3">
        <v>32.479999999999997</v>
      </c>
      <c r="M250" s="3">
        <v>29.98</v>
      </c>
      <c r="N250" s="3">
        <v>34.65</v>
      </c>
      <c r="O250" s="3">
        <v>30.39</v>
      </c>
      <c r="P250" s="3">
        <v>30.19</v>
      </c>
      <c r="Q250" s="3">
        <v>33.43</v>
      </c>
      <c r="R250" s="3">
        <v>31.72</v>
      </c>
      <c r="S250" s="3">
        <v>30.89</v>
      </c>
      <c r="T250" s="3">
        <v>34.85</v>
      </c>
      <c r="U250" s="3">
        <v>29.69</v>
      </c>
      <c r="V250" s="3">
        <v>31.25</v>
      </c>
      <c r="W250" s="3" t="s">
        <v>211</v>
      </c>
      <c r="X250" s="3">
        <v>31.14</v>
      </c>
      <c r="Y250" s="3">
        <v>33.42</v>
      </c>
      <c r="Z250" s="28">
        <v>9148</v>
      </c>
      <c r="AA250" s="30">
        <v>77</v>
      </c>
      <c r="AB250" s="29">
        <v>37214</v>
      </c>
      <c r="AC250" s="40" t="s">
        <v>232</v>
      </c>
      <c r="AD250" s="2"/>
      <c r="AE250" s="25" t="s">
        <v>37</v>
      </c>
      <c r="AF250" s="2">
        <v>1</v>
      </c>
      <c r="AG250" s="25">
        <v>10</v>
      </c>
      <c r="AH250" s="25">
        <v>22</v>
      </c>
      <c r="AI250" s="25">
        <v>0</v>
      </c>
      <c r="AJ250" s="25" t="s">
        <v>31</v>
      </c>
      <c r="AK250" s="2">
        <v>0</v>
      </c>
      <c r="AM250" s="25">
        <v>1</v>
      </c>
      <c r="AN250" s="41">
        <v>90</v>
      </c>
      <c r="AO250" s="25">
        <v>1</v>
      </c>
      <c r="AP250" s="41">
        <v>90</v>
      </c>
      <c r="AQ250" s="25">
        <v>1</v>
      </c>
      <c r="AR250" s="12">
        <v>0.01</v>
      </c>
      <c r="AS250" s="8">
        <f t="shared" si="3"/>
        <v>1</v>
      </c>
      <c r="AT250" s="12" t="s">
        <v>27</v>
      </c>
      <c r="AU250" s="8">
        <v>1</v>
      </c>
      <c r="AV250" s="12" t="s">
        <v>27</v>
      </c>
      <c r="AW250" s="29" t="s">
        <v>33</v>
      </c>
      <c r="AY250" s="3">
        <v>-1.2293668035960452</v>
      </c>
      <c r="AZ250" s="2" t="s">
        <v>35</v>
      </c>
      <c r="BA250" s="2">
        <v>1</v>
      </c>
    </row>
    <row r="251" spans="1:53" s="25" customFormat="1">
      <c r="A251" s="27">
        <v>266</v>
      </c>
      <c r="B251" s="25" t="s">
        <v>167</v>
      </c>
      <c r="C251" s="13" t="s">
        <v>184</v>
      </c>
      <c r="D251" s="25">
        <v>25.58</v>
      </c>
      <c r="E251" s="25">
        <v>25.37</v>
      </c>
      <c r="F251" s="25">
        <v>31.38</v>
      </c>
      <c r="G251" s="25">
        <v>32.14</v>
      </c>
      <c r="H251" s="3">
        <v>32.74</v>
      </c>
      <c r="I251" s="3">
        <v>25.21</v>
      </c>
      <c r="J251" s="3">
        <v>30.89</v>
      </c>
      <c r="K251" s="3">
        <v>31.94</v>
      </c>
      <c r="L251" s="3">
        <v>33.369999999999997</v>
      </c>
      <c r="M251" s="3">
        <v>28.9</v>
      </c>
      <c r="N251" s="3">
        <v>34.54</v>
      </c>
      <c r="O251" s="3">
        <v>29.54</v>
      </c>
      <c r="P251" s="3">
        <v>30.66</v>
      </c>
      <c r="Q251" s="3">
        <v>32.72</v>
      </c>
      <c r="R251" s="3">
        <v>31.69</v>
      </c>
      <c r="S251" s="3">
        <v>29.33</v>
      </c>
      <c r="T251" s="3">
        <v>34.53</v>
      </c>
      <c r="U251" s="3">
        <v>30.19</v>
      </c>
      <c r="V251" s="3">
        <v>31.43</v>
      </c>
      <c r="W251" s="3" t="s">
        <v>211</v>
      </c>
      <c r="X251" s="3">
        <v>32.130000000000003</v>
      </c>
      <c r="Y251" s="3">
        <v>34.33</v>
      </c>
      <c r="Z251" s="28">
        <v>10809</v>
      </c>
      <c r="AA251" s="25">
        <v>85</v>
      </c>
      <c r="AB251" s="29">
        <v>37949</v>
      </c>
      <c r="AC251" s="39" t="s">
        <v>225</v>
      </c>
      <c r="AD251" s="2"/>
      <c r="AE251" s="25" t="s">
        <v>69</v>
      </c>
      <c r="AF251" s="15">
        <v>3</v>
      </c>
      <c r="AG251" s="25">
        <v>55</v>
      </c>
      <c r="AH251" s="25">
        <v>15</v>
      </c>
      <c r="AI251" s="25">
        <v>0</v>
      </c>
      <c r="AJ251" s="25" t="s">
        <v>31</v>
      </c>
      <c r="AK251" s="2">
        <v>0</v>
      </c>
      <c r="AM251" s="25">
        <v>1</v>
      </c>
      <c r="AN251" s="41">
        <v>80</v>
      </c>
      <c r="AO251" s="25">
        <v>1</v>
      </c>
      <c r="AP251" s="41">
        <v>60</v>
      </c>
      <c r="AQ251" s="25">
        <v>2</v>
      </c>
      <c r="AR251" s="12">
        <v>0.25</v>
      </c>
      <c r="AS251" s="8">
        <f t="shared" si="3"/>
        <v>25</v>
      </c>
      <c r="AT251" s="12" t="s">
        <v>34</v>
      </c>
      <c r="AU251" s="8">
        <v>3</v>
      </c>
      <c r="AV251" s="8" t="s">
        <v>44</v>
      </c>
      <c r="AW251" s="29" t="s">
        <v>33</v>
      </c>
      <c r="AY251" s="3">
        <v>1.5849120569296025</v>
      </c>
      <c r="AZ251" s="2" t="s">
        <v>38</v>
      </c>
      <c r="BA251" s="2">
        <v>3</v>
      </c>
    </row>
    <row r="252" spans="1:53" s="25" customFormat="1">
      <c r="A252" s="33">
        <v>267</v>
      </c>
      <c r="B252" t="s">
        <v>167</v>
      </c>
      <c r="C252" s="1" t="s">
        <v>185</v>
      </c>
      <c r="D252">
        <v>26.17</v>
      </c>
      <c r="E252">
        <v>23.6</v>
      </c>
      <c r="F252">
        <v>29.37</v>
      </c>
      <c r="G252" t="s">
        <v>211</v>
      </c>
      <c r="H252" s="3">
        <v>31.35</v>
      </c>
      <c r="I252" s="3">
        <v>23.57</v>
      </c>
      <c r="J252" s="3">
        <v>30.07</v>
      </c>
      <c r="K252" s="3">
        <v>31.16</v>
      </c>
      <c r="L252" s="3">
        <v>31.41</v>
      </c>
      <c r="M252" s="3">
        <v>28.84</v>
      </c>
      <c r="N252" s="3">
        <v>33.909999999999997</v>
      </c>
      <c r="O252" s="3">
        <v>28.39</v>
      </c>
      <c r="P252" s="3">
        <v>31.94</v>
      </c>
      <c r="Q252" s="3">
        <v>30.99</v>
      </c>
      <c r="R252" s="3">
        <v>29.3</v>
      </c>
      <c r="S252" s="3">
        <v>26.97</v>
      </c>
      <c r="T252" s="3">
        <v>31.98</v>
      </c>
      <c r="U252" s="3">
        <v>32.22</v>
      </c>
      <c r="V252" s="3">
        <v>28.91</v>
      </c>
      <c r="W252" s="3">
        <v>32.659999999999997</v>
      </c>
      <c r="X252" s="3">
        <v>30.77</v>
      </c>
      <c r="Y252" s="3">
        <v>31.84</v>
      </c>
      <c r="Z252" s="18">
        <v>9066</v>
      </c>
      <c r="AA252" s="19">
        <v>77</v>
      </c>
      <c r="AB252" s="10">
        <v>37224</v>
      </c>
      <c r="AC252" s="39" t="s">
        <v>222</v>
      </c>
      <c r="AD252" s="2">
        <v>1</v>
      </c>
      <c r="AE252" t="s">
        <v>37</v>
      </c>
      <c r="AF252" s="2">
        <v>1</v>
      </c>
      <c r="AG252">
        <v>12</v>
      </c>
      <c r="AH252">
        <v>14</v>
      </c>
      <c r="AI252">
        <v>0</v>
      </c>
      <c r="AJ252" t="s">
        <v>31</v>
      </c>
      <c r="AK252" s="2">
        <v>0</v>
      </c>
      <c r="AL252"/>
      <c r="AM252">
        <v>1</v>
      </c>
      <c r="AN252" s="41">
        <v>90</v>
      </c>
      <c r="AO252">
        <v>1</v>
      </c>
      <c r="AP252" s="41">
        <v>70</v>
      </c>
      <c r="AQ252">
        <v>2</v>
      </c>
      <c r="AR252" s="12">
        <v>0.15</v>
      </c>
      <c r="AS252" s="8">
        <f t="shared" si="3"/>
        <v>15</v>
      </c>
      <c r="AT252" s="12" t="s">
        <v>34</v>
      </c>
      <c r="AU252" s="8">
        <v>3</v>
      </c>
      <c r="AV252" s="8" t="s">
        <v>44</v>
      </c>
      <c r="AW252" s="29" t="s">
        <v>33</v>
      </c>
      <c r="AX252"/>
      <c r="AY252" s="3">
        <v>0.50734845724852307</v>
      </c>
      <c r="AZ252" s="2" t="s">
        <v>38</v>
      </c>
      <c r="BA252" s="2">
        <v>3</v>
      </c>
    </row>
    <row r="253" spans="1:53" s="25" customFormat="1">
      <c r="A253" s="33">
        <v>268</v>
      </c>
      <c r="B253" t="s">
        <v>167</v>
      </c>
      <c r="C253" s="1" t="s">
        <v>186</v>
      </c>
      <c r="D253">
        <v>23.35</v>
      </c>
      <c r="E253">
        <v>23.29</v>
      </c>
      <c r="F253">
        <v>28.46</v>
      </c>
      <c r="G253">
        <v>32.799999999999997</v>
      </c>
      <c r="H253" s="3">
        <v>32.590000000000003</v>
      </c>
      <c r="I253" s="3">
        <v>23.25</v>
      </c>
      <c r="J253" s="3">
        <v>29.86</v>
      </c>
      <c r="K253" s="3">
        <v>31.82</v>
      </c>
      <c r="L253" s="3">
        <v>31.55</v>
      </c>
      <c r="M253" s="3">
        <v>30.7</v>
      </c>
      <c r="N253" s="3">
        <v>33.119999999999997</v>
      </c>
      <c r="O253" s="3">
        <v>28.18</v>
      </c>
      <c r="P253" s="3">
        <v>28.32</v>
      </c>
      <c r="Q253" s="3">
        <v>30.63</v>
      </c>
      <c r="R253" s="3">
        <v>28.73</v>
      </c>
      <c r="S253" s="3">
        <v>27.64</v>
      </c>
      <c r="T253" s="3">
        <v>31.71</v>
      </c>
      <c r="U253" s="3">
        <v>30.7</v>
      </c>
      <c r="V253" s="3">
        <v>31.03</v>
      </c>
      <c r="W253" s="3">
        <v>33.21</v>
      </c>
      <c r="X253" s="3">
        <v>29.93</v>
      </c>
      <c r="Y253" s="3">
        <v>31.96</v>
      </c>
      <c r="Z253" s="22">
        <v>11417</v>
      </c>
      <c r="AA253">
        <v>77</v>
      </c>
      <c r="AB253" s="10">
        <v>39682</v>
      </c>
      <c r="AC253" s="39" t="s">
        <v>222</v>
      </c>
      <c r="AD253" s="2">
        <v>1</v>
      </c>
      <c r="AE253" t="s">
        <v>25</v>
      </c>
      <c r="AF253" s="2">
        <v>2</v>
      </c>
      <c r="AG253" s="34">
        <v>27</v>
      </c>
      <c r="AH253">
        <v>23</v>
      </c>
      <c r="AI253">
        <v>15</v>
      </c>
      <c r="AJ253" t="s">
        <v>61</v>
      </c>
      <c r="AK253" s="2">
        <v>3</v>
      </c>
      <c r="AL253"/>
      <c r="AM253">
        <v>2</v>
      </c>
      <c r="AN253" s="41" t="s">
        <v>33</v>
      </c>
      <c r="AO253">
        <v>2</v>
      </c>
      <c r="AP253" s="41" t="s">
        <v>33</v>
      </c>
      <c r="AQ253">
        <v>3</v>
      </c>
      <c r="AR253" s="12" t="s">
        <v>28</v>
      </c>
      <c r="AS253" s="8" t="s">
        <v>28</v>
      </c>
      <c r="AT253" s="12" t="s">
        <v>28</v>
      </c>
      <c r="AU253" s="8">
        <v>0</v>
      </c>
      <c r="AV253" s="8" t="s">
        <v>28</v>
      </c>
      <c r="AW253" s="29" t="s">
        <v>171</v>
      </c>
      <c r="AX253"/>
      <c r="AY253" s="3">
        <v>2.0915433481541781</v>
      </c>
      <c r="AZ253" s="2" t="s">
        <v>38</v>
      </c>
      <c r="BA253" s="2">
        <v>3</v>
      </c>
    </row>
    <row r="254" spans="1:53" s="25" customFormat="1">
      <c r="A254" s="33">
        <v>269</v>
      </c>
      <c r="B254" t="s">
        <v>167</v>
      </c>
      <c r="C254" s="1" t="s">
        <v>187</v>
      </c>
      <c r="D254">
        <v>23.43</v>
      </c>
      <c r="E254">
        <v>25.31</v>
      </c>
      <c r="F254">
        <v>31.05</v>
      </c>
      <c r="G254" t="s">
        <v>211</v>
      </c>
      <c r="H254" s="3">
        <v>31.78</v>
      </c>
      <c r="I254" s="3">
        <v>26.07</v>
      </c>
      <c r="J254" s="3">
        <v>30.9</v>
      </c>
      <c r="K254" s="3">
        <v>35.04</v>
      </c>
      <c r="L254" s="3">
        <v>35.79</v>
      </c>
      <c r="M254" s="3">
        <v>35.869999999999997</v>
      </c>
      <c r="N254" s="3" t="s">
        <v>211</v>
      </c>
      <c r="O254" s="3">
        <v>30.15</v>
      </c>
      <c r="P254" s="3">
        <v>30.42</v>
      </c>
      <c r="Q254" s="3">
        <v>33.200000000000003</v>
      </c>
      <c r="R254" s="3">
        <v>31.46</v>
      </c>
      <c r="S254" s="3">
        <v>31.25</v>
      </c>
      <c r="T254" s="3">
        <v>36.06</v>
      </c>
      <c r="U254" s="3">
        <v>34.520000000000003</v>
      </c>
      <c r="V254" s="3">
        <v>34.06</v>
      </c>
      <c r="W254" s="3">
        <v>36.21</v>
      </c>
      <c r="X254" s="3">
        <v>34.049999999999997</v>
      </c>
      <c r="Y254" s="3">
        <v>34.409999999999997</v>
      </c>
      <c r="Z254" s="22">
        <v>16610</v>
      </c>
      <c r="AA254">
        <v>46</v>
      </c>
      <c r="AB254" s="10">
        <v>33352</v>
      </c>
      <c r="AC254" s="39" t="s">
        <v>222</v>
      </c>
      <c r="AD254" s="2">
        <v>1</v>
      </c>
      <c r="AE254" t="s">
        <v>37</v>
      </c>
      <c r="AF254" s="2">
        <v>1</v>
      </c>
      <c r="AG254" s="34">
        <v>14</v>
      </c>
      <c r="AH254">
        <v>10</v>
      </c>
      <c r="AI254">
        <v>1</v>
      </c>
      <c r="AJ254" t="s">
        <v>26</v>
      </c>
      <c r="AK254" s="2">
        <v>1</v>
      </c>
      <c r="AL254"/>
      <c r="AM254">
        <v>1</v>
      </c>
      <c r="AN254" s="41">
        <v>70</v>
      </c>
      <c r="AO254">
        <v>1</v>
      </c>
      <c r="AP254" s="41">
        <v>70</v>
      </c>
      <c r="AQ254" t="s">
        <v>28</v>
      </c>
      <c r="AR254" s="12" t="s">
        <v>28</v>
      </c>
      <c r="AS254" s="8" t="s">
        <v>28</v>
      </c>
      <c r="AT254" s="12" t="s">
        <v>28</v>
      </c>
      <c r="AU254" s="8">
        <v>0</v>
      </c>
      <c r="AV254" s="8" t="s">
        <v>28</v>
      </c>
      <c r="AW254" s="29" t="s">
        <v>28</v>
      </c>
      <c r="AX254"/>
      <c r="AY254" s="3">
        <v>-0.38028306090581721</v>
      </c>
      <c r="AZ254" s="2" t="s">
        <v>29</v>
      </c>
      <c r="BA254" s="2">
        <v>2</v>
      </c>
    </row>
    <row r="255" spans="1:53" s="25" customFormat="1">
      <c r="A255" s="33">
        <v>270</v>
      </c>
      <c r="B255" t="s">
        <v>167</v>
      </c>
      <c r="C255" s="1" t="s">
        <v>188</v>
      </c>
      <c r="D255">
        <v>31.83</v>
      </c>
      <c r="E255">
        <v>33.090000000000003</v>
      </c>
      <c r="F255">
        <v>39.57</v>
      </c>
      <c r="G255" t="s">
        <v>211</v>
      </c>
      <c r="H255" s="3">
        <v>37.97</v>
      </c>
      <c r="I255" s="3" t="s">
        <v>211</v>
      </c>
      <c r="J255" s="3">
        <v>39.58</v>
      </c>
      <c r="K255" s="3">
        <v>32.21</v>
      </c>
      <c r="L255" s="3" t="s">
        <v>211</v>
      </c>
      <c r="M255" s="3" t="s">
        <v>211</v>
      </c>
      <c r="N255" s="3" t="s">
        <v>211</v>
      </c>
      <c r="O255" s="3" t="s">
        <v>211</v>
      </c>
      <c r="P255" s="3" t="s">
        <v>211</v>
      </c>
      <c r="Q255" s="3" t="s">
        <v>211</v>
      </c>
      <c r="R255" s="3">
        <v>37.47</v>
      </c>
      <c r="S255" s="3">
        <v>37.340000000000003</v>
      </c>
      <c r="T255" s="3" t="s">
        <v>211</v>
      </c>
      <c r="U255" s="3">
        <v>34.53</v>
      </c>
      <c r="V255" s="3">
        <v>37.14</v>
      </c>
      <c r="W255" s="3" t="s">
        <v>211</v>
      </c>
      <c r="X255" s="3">
        <v>38.090000000000003</v>
      </c>
      <c r="Y255" s="3">
        <v>37.42</v>
      </c>
      <c r="Z255" s="18">
        <v>8640</v>
      </c>
      <c r="AA255">
        <v>80</v>
      </c>
      <c r="AB255" s="10">
        <v>37931</v>
      </c>
      <c r="AC255" s="39" t="s">
        <v>222</v>
      </c>
      <c r="AD255" s="2">
        <v>1</v>
      </c>
      <c r="AE255" t="s">
        <v>25</v>
      </c>
      <c r="AF255" s="2">
        <v>2</v>
      </c>
      <c r="AG255">
        <v>25</v>
      </c>
      <c r="AH255">
        <v>2</v>
      </c>
      <c r="AI255">
        <v>0</v>
      </c>
      <c r="AJ255" t="s">
        <v>31</v>
      </c>
      <c r="AK255" s="2">
        <v>0</v>
      </c>
      <c r="AL255"/>
      <c r="AM255">
        <v>1</v>
      </c>
      <c r="AN255" s="41">
        <v>60</v>
      </c>
      <c r="AO255">
        <v>1</v>
      </c>
      <c r="AP255" s="41">
        <v>40</v>
      </c>
      <c r="AQ255">
        <v>2</v>
      </c>
      <c r="AR255" s="12">
        <v>0.15</v>
      </c>
      <c r="AS255" s="8">
        <f t="shared" si="3"/>
        <v>15</v>
      </c>
      <c r="AT255" s="12" t="s">
        <v>34</v>
      </c>
      <c r="AU255" s="8">
        <v>3</v>
      </c>
      <c r="AV255" s="8" t="s">
        <v>44</v>
      </c>
      <c r="AW255" s="29" t="s">
        <v>33</v>
      </c>
      <c r="AX255"/>
      <c r="AY255" s="3">
        <v>0.52734804210992881</v>
      </c>
      <c r="AZ255" s="2" t="s">
        <v>38</v>
      </c>
      <c r="BA255" s="2">
        <v>3</v>
      </c>
    </row>
    <row r="256" spans="1:53" s="25" customFormat="1">
      <c r="A256" s="27">
        <v>271</v>
      </c>
      <c r="B256" s="25" t="s">
        <v>167</v>
      </c>
      <c r="C256" s="13" t="s">
        <v>156</v>
      </c>
      <c r="D256" s="25">
        <v>26.53</v>
      </c>
      <c r="E256" s="25">
        <v>27.68</v>
      </c>
      <c r="F256" s="25">
        <v>33.42</v>
      </c>
      <c r="G256" s="25" t="s">
        <v>211</v>
      </c>
      <c r="H256" s="3">
        <v>35.08</v>
      </c>
      <c r="I256" s="3">
        <v>26.93</v>
      </c>
      <c r="J256" s="3">
        <v>35.58</v>
      </c>
      <c r="K256" s="3">
        <v>34.369999999999997</v>
      </c>
      <c r="L256" s="3">
        <v>35.19</v>
      </c>
      <c r="M256" s="3">
        <v>36.43</v>
      </c>
      <c r="N256" s="3">
        <v>36.5</v>
      </c>
      <c r="O256" s="3">
        <v>37.36</v>
      </c>
      <c r="P256" s="3">
        <v>33.67</v>
      </c>
      <c r="Q256" s="3">
        <v>31.32</v>
      </c>
      <c r="R256" s="3">
        <v>37.35</v>
      </c>
      <c r="S256" s="3">
        <v>34.67</v>
      </c>
      <c r="T256" s="3">
        <v>31.97</v>
      </c>
      <c r="U256" s="3">
        <v>36.24</v>
      </c>
      <c r="V256" s="3">
        <v>30.48</v>
      </c>
      <c r="W256" s="3">
        <v>32.64</v>
      </c>
      <c r="X256" s="3" t="s">
        <v>211</v>
      </c>
      <c r="Y256" s="3">
        <v>36.71</v>
      </c>
      <c r="Z256" s="28">
        <v>10684</v>
      </c>
      <c r="AA256" s="30">
        <v>74</v>
      </c>
      <c r="AB256" s="29">
        <v>37511</v>
      </c>
      <c r="AC256" s="39" t="s">
        <v>222</v>
      </c>
      <c r="AD256" s="2">
        <v>1</v>
      </c>
      <c r="AE256" s="25" t="s">
        <v>25</v>
      </c>
      <c r="AF256" s="2">
        <v>2</v>
      </c>
      <c r="AG256" s="25">
        <v>24</v>
      </c>
      <c r="AH256" s="25">
        <v>25</v>
      </c>
      <c r="AI256" s="25">
        <v>0</v>
      </c>
      <c r="AJ256" s="25" t="s">
        <v>31</v>
      </c>
      <c r="AK256" s="2">
        <v>0</v>
      </c>
      <c r="AL256" s="15"/>
      <c r="AM256" s="25">
        <v>1</v>
      </c>
      <c r="AN256" s="41">
        <v>85</v>
      </c>
      <c r="AO256" s="25">
        <v>2</v>
      </c>
      <c r="AP256" s="41" t="s">
        <v>33</v>
      </c>
      <c r="AQ256" s="25">
        <v>2</v>
      </c>
      <c r="AR256" s="12">
        <v>0.1</v>
      </c>
      <c r="AS256" s="8">
        <f t="shared" si="3"/>
        <v>10</v>
      </c>
      <c r="AT256" s="12" t="s">
        <v>27</v>
      </c>
      <c r="AU256" s="8">
        <v>1</v>
      </c>
      <c r="AV256" s="12" t="s">
        <v>27</v>
      </c>
      <c r="AW256" s="29" t="s">
        <v>171</v>
      </c>
      <c r="AX256" s="15"/>
      <c r="AY256" s="3">
        <v>2.0372759762622512</v>
      </c>
      <c r="AZ256" s="2" t="s">
        <v>38</v>
      </c>
      <c r="BA256" s="2">
        <v>3</v>
      </c>
    </row>
    <row r="257" spans="1:53" s="25" customFormat="1">
      <c r="A257" s="27">
        <v>272</v>
      </c>
      <c r="B257" s="25" t="s">
        <v>167</v>
      </c>
      <c r="C257" s="13" t="s">
        <v>215</v>
      </c>
      <c r="D257" s="25">
        <v>24.37</v>
      </c>
      <c r="E257" s="25">
        <v>25.33</v>
      </c>
      <c r="F257" s="25">
        <v>30.66</v>
      </c>
      <c r="G257" s="25" t="s">
        <v>211</v>
      </c>
      <c r="H257" s="3">
        <v>32</v>
      </c>
      <c r="I257" s="3">
        <v>25.31</v>
      </c>
      <c r="J257" s="3">
        <v>30.9</v>
      </c>
      <c r="K257" s="3">
        <v>33.119999999999997</v>
      </c>
      <c r="L257" s="3">
        <v>32.950000000000003</v>
      </c>
      <c r="M257" s="3">
        <v>30.57</v>
      </c>
      <c r="N257" s="3">
        <v>34.58</v>
      </c>
      <c r="O257" s="3">
        <v>31.05</v>
      </c>
      <c r="P257" s="3">
        <v>29.55</v>
      </c>
      <c r="Q257" s="3">
        <v>34.159999999999997</v>
      </c>
      <c r="R257" s="3">
        <v>33.18</v>
      </c>
      <c r="S257" s="3">
        <v>29.07</v>
      </c>
      <c r="T257" s="3">
        <v>33.619999999999997</v>
      </c>
      <c r="U257" s="3">
        <v>31.16</v>
      </c>
      <c r="V257" s="3">
        <v>31.04</v>
      </c>
      <c r="W257" s="3" t="s">
        <v>211</v>
      </c>
      <c r="X257" s="3">
        <v>32.93</v>
      </c>
      <c r="Y257" s="3" t="s">
        <v>211</v>
      </c>
      <c r="Z257" s="35">
        <v>16949</v>
      </c>
      <c r="AA257" s="25">
        <v>56</v>
      </c>
      <c r="AB257" s="29">
        <v>37587</v>
      </c>
      <c r="AC257" s="39" t="s">
        <v>222</v>
      </c>
      <c r="AD257" s="2">
        <v>1</v>
      </c>
      <c r="AE257" s="25" t="s">
        <v>37</v>
      </c>
      <c r="AF257" s="2">
        <v>1</v>
      </c>
      <c r="AG257" s="25">
        <v>20</v>
      </c>
      <c r="AH257" s="25">
        <v>13</v>
      </c>
      <c r="AI257" s="25">
        <v>0</v>
      </c>
      <c r="AJ257" s="25" t="s">
        <v>31</v>
      </c>
      <c r="AK257" s="2">
        <v>0</v>
      </c>
      <c r="AM257" s="25">
        <v>1</v>
      </c>
      <c r="AN257" s="41">
        <v>80</v>
      </c>
      <c r="AO257" s="25">
        <v>2</v>
      </c>
      <c r="AP257" s="41" t="s">
        <v>33</v>
      </c>
      <c r="AQ257" s="25">
        <v>2</v>
      </c>
      <c r="AR257" s="12">
        <v>0.2</v>
      </c>
      <c r="AS257" s="8">
        <f t="shared" si="3"/>
        <v>20</v>
      </c>
      <c r="AT257" s="12" t="s">
        <v>34</v>
      </c>
      <c r="AU257" s="8">
        <v>3</v>
      </c>
      <c r="AV257" s="8" t="s">
        <v>44</v>
      </c>
      <c r="AW257" s="29" t="s">
        <v>171</v>
      </c>
      <c r="AY257" s="3">
        <v>0.61830652302685518</v>
      </c>
      <c r="AZ257" s="2" t="s">
        <v>38</v>
      </c>
      <c r="BA257" s="2">
        <v>3</v>
      </c>
    </row>
    <row r="258" spans="1:53" s="25" customFormat="1">
      <c r="A258" s="27">
        <v>273</v>
      </c>
      <c r="B258" s="25" t="s">
        <v>167</v>
      </c>
      <c r="C258" s="13" t="s">
        <v>140</v>
      </c>
      <c r="D258" s="25">
        <v>24.42</v>
      </c>
      <c r="E258" s="25">
        <v>27.06</v>
      </c>
      <c r="F258" s="25">
        <v>32.47</v>
      </c>
      <c r="G258" s="25" t="s">
        <v>211</v>
      </c>
      <c r="H258" s="3">
        <v>33.450000000000003</v>
      </c>
      <c r="I258" s="3">
        <v>25.3</v>
      </c>
      <c r="J258" s="3">
        <v>33.79</v>
      </c>
      <c r="K258" s="3">
        <v>34.01</v>
      </c>
      <c r="L258" s="3">
        <v>32.71</v>
      </c>
      <c r="M258" s="3">
        <v>31.97</v>
      </c>
      <c r="N258" s="3" t="s">
        <v>211</v>
      </c>
      <c r="O258" s="3">
        <v>31.53</v>
      </c>
      <c r="P258" s="3">
        <v>33.31</v>
      </c>
      <c r="Q258" s="3">
        <v>33.619999999999997</v>
      </c>
      <c r="R258" s="3">
        <v>34.35</v>
      </c>
      <c r="S258" s="3">
        <v>31.64</v>
      </c>
      <c r="T258" s="3" t="s">
        <v>211</v>
      </c>
      <c r="U258" s="3">
        <v>30.28</v>
      </c>
      <c r="V258" s="3">
        <v>30.62</v>
      </c>
      <c r="W258" s="3">
        <v>38.880000000000003</v>
      </c>
      <c r="X258" s="3">
        <v>33.61</v>
      </c>
      <c r="Y258" s="3">
        <v>36.64</v>
      </c>
      <c r="Z258" s="28">
        <v>21358</v>
      </c>
      <c r="AA258" s="25">
        <v>45</v>
      </c>
      <c r="AB258" s="29">
        <v>37637</v>
      </c>
      <c r="AC258" s="39" t="s">
        <v>224</v>
      </c>
      <c r="AD258" s="2">
        <v>2</v>
      </c>
      <c r="AE258" s="25" t="s">
        <v>25</v>
      </c>
      <c r="AF258" s="2">
        <v>2</v>
      </c>
      <c r="AG258" s="25">
        <v>25</v>
      </c>
      <c r="AH258" s="25">
        <v>12</v>
      </c>
      <c r="AI258" s="25">
        <v>2</v>
      </c>
      <c r="AJ258" s="25" t="s">
        <v>26</v>
      </c>
      <c r="AK258" s="2">
        <v>1</v>
      </c>
      <c r="AM258" s="25">
        <v>1</v>
      </c>
      <c r="AN258" s="41">
        <v>70</v>
      </c>
      <c r="AO258" s="25">
        <v>1</v>
      </c>
      <c r="AP258" s="41">
        <v>40</v>
      </c>
      <c r="AQ258" s="25">
        <v>2</v>
      </c>
      <c r="AR258" s="12">
        <v>0.02</v>
      </c>
      <c r="AS258" s="8">
        <f t="shared" si="3"/>
        <v>2</v>
      </c>
      <c r="AT258" s="12" t="s">
        <v>27</v>
      </c>
      <c r="AU258" s="8">
        <v>1</v>
      </c>
      <c r="AV258" s="12" t="s">
        <v>27</v>
      </c>
      <c r="AW258" s="29" t="s">
        <v>33</v>
      </c>
      <c r="AY258" s="3">
        <v>0.67801574325824765</v>
      </c>
      <c r="AZ258" s="2" t="s">
        <v>38</v>
      </c>
      <c r="BA258" s="2">
        <v>3</v>
      </c>
    </row>
    <row r="259" spans="1:53">
      <c r="A259" s="27">
        <v>274</v>
      </c>
      <c r="B259" s="25" t="s">
        <v>167</v>
      </c>
      <c r="C259" s="13" t="s">
        <v>110</v>
      </c>
      <c r="D259" s="25">
        <v>27.47</v>
      </c>
      <c r="E259" s="25">
        <v>28.95</v>
      </c>
      <c r="F259" s="25">
        <v>32.39</v>
      </c>
      <c r="G259" s="25" t="s">
        <v>211</v>
      </c>
      <c r="H259" s="3">
        <v>34.840000000000003</v>
      </c>
      <c r="I259" s="3">
        <v>28.31</v>
      </c>
      <c r="J259" s="3">
        <v>33.94</v>
      </c>
      <c r="K259" s="3" t="s">
        <v>211</v>
      </c>
      <c r="L259" s="3">
        <v>31.62</v>
      </c>
      <c r="M259" s="3" t="s">
        <v>211</v>
      </c>
      <c r="N259" s="3">
        <v>32.42</v>
      </c>
      <c r="O259" s="3">
        <v>34.18</v>
      </c>
      <c r="P259" s="3">
        <v>33.15</v>
      </c>
      <c r="Q259" s="3" t="s">
        <v>211</v>
      </c>
      <c r="R259" s="3">
        <v>34.18</v>
      </c>
      <c r="S259" s="3">
        <v>31.63</v>
      </c>
      <c r="T259" s="3" t="s">
        <v>211</v>
      </c>
      <c r="U259" s="3">
        <v>34.700000000000003</v>
      </c>
      <c r="V259" s="3">
        <v>33.14</v>
      </c>
      <c r="W259" s="3" t="s">
        <v>211</v>
      </c>
      <c r="X259" s="3">
        <v>34.11</v>
      </c>
      <c r="Y259" s="3" t="s">
        <v>211</v>
      </c>
      <c r="Z259" s="26">
        <v>15653</v>
      </c>
      <c r="AA259" s="25">
        <v>53</v>
      </c>
      <c r="AB259" s="29">
        <v>34859</v>
      </c>
      <c r="AC259" s="39" t="s">
        <v>222</v>
      </c>
      <c r="AD259" s="8">
        <v>1</v>
      </c>
      <c r="AE259" s="25" t="s">
        <v>25</v>
      </c>
      <c r="AF259" s="2">
        <v>2</v>
      </c>
      <c r="AG259" s="32">
        <v>25</v>
      </c>
      <c r="AH259" s="25">
        <v>24</v>
      </c>
      <c r="AI259" s="25">
        <v>3</v>
      </c>
      <c r="AJ259" s="25" t="s">
        <v>26</v>
      </c>
      <c r="AK259" s="2">
        <v>1</v>
      </c>
      <c r="AL259" s="25"/>
      <c r="AM259" s="25">
        <v>1</v>
      </c>
      <c r="AN259" s="41">
        <v>90</v>
      </c>
      <c r="AO259" s="25">
        <v>1</v>
      </c>
      <c r="AP259" s="41">
        <v>40</v>
      </c>
      <c r="AQ259" s="25" t="s">
        <v>28</v>
      </c>
      <c r="AR259" s="12" t="s">
        <v>28</v>
      </c>
      <c r="AS259" s="8" t="s">
        <v>28</v>
      </c>
      <c r="AT259" s="12" t="s">
        <v>28</v>
      </c>
      <c r="AU259" s="8">
        <v>0</v>
      </c>
      <c r="AV259" s="8" t="s">
        <v>28</v>
      </c>
      <c r="AW259" s="29" t="s">
        <v>33</v>
      </c>
      <c r="AX259" s="25"/>
      <c r="AY259" s="3">
        <v>0.18915827095487048</v>
      </c>
      <c r="AZ259" s="2" t="s">
        <v>38</v>
      </c>
      <c r="BA259" s="2">
        <v>3</v>
      </c>
    </row>
    <row r="260" spans="1:53">
      <c r="A260" s="27">
        <v>275</v>
      </c>
      <c r="B260" s="25" t="s">
        <v>167</v>
      </c>
      <c r="C260" s="13" t="s">
        <v>216</v>
      </c>
      <c r="D260" s="25">
        <v>24.24</v>
      </c>
      <c r="E260" s="25">
        <v>26.84</v>
      </c>
      <c r="F260" s="25">
        <v>31.99</v>
      </c>
      <c r="G260" s="25" t="s">
        <v>211</v>
      </c>
      <c r="H260" s="3">
        <v>35.450000000000003</v>
      </c>
      <c r="I260" s="3">
        <v>25.44</v>
      </c>
      <c r="J260" s="3">
        <v>32.119999999999997</v>
      </c>
      <c r="K260" s="3">
        <v>33.31</v>
      </c>
      <c r="L260" s="3">
        <v>34.590000000000003</v>
      </c>
      <c r="M260" s="3">
        <v>31.02</v>
      </c>
      <c r="N260" s="3">
        <v>36.31</v>
      </c>
      <c r="O260" s="3">
        <v>31.11</v>
      </c>
      <c r="P260" s="3">
        <v>31.75</v>
      </c>
      <c r="Q260" s="3">
        <v>34.06</v>
      </c>
      <c r="R260" s="3">
        <v>32.44</v>
      </c>
      <c r="S260" s="3">
        <v>31.69</v>
      </c>
      <c r="T260" s="3">
        <v>37.369999999999997</v>
      </c>
      <c r="U260" s="3">
        <v>33.14</v>
      </c>
      <c r="V260" s="3">
        <v>33.32</v>
      </c>
      <c r="W260" s="3">
        <v>35.01</v>
      </c>
      <c r="X260" s="3">
        <v>32.18</v>
      </c>
      <c r="Y260" s="3">
        <v>34.6</v>
      </c>
      <c r="Z260" s="26">
        <v>15973</v>
      </c>
      <c r="AA260" s="25">
        <v>65</v>
      </c>
      <c r="AB260" s="29">
        <v>39674</v>
      </c>
      <c r="AC260" s="39" t="s">
        <v>222</v>
      </c>
      <c r="AD260" s="8">
        <v>1</v>
      </c>
      <c r="AE260" s="25" t="s">
        <v>25</v>
      </c>
      <c r="AF260" s="2">
        <v>2</v>
      </c>
      <c r="AG260" s="32">
        <v>30</v>
      </c>
      <c r="AH260" s="25">
        <v>14</v>
      </c>
      <c r="AI260" s="25">
        <v>2</v>
      </c>
      <c r="AJ260" s="25" t="s">
        <v>26</v>
      </c>
      <c r="AK260" s="2">
        <v>1</v>
      </c>
      <c r="AL260" s="25"/>
      <c r="AM260" s="25">
        <v>2</v>
      </c>
      <c r="AN260" s="41" t="s">
        <v>33</v>
      </c>
      <c r="AO260" s="25">
        <v>2</v>
      </c>
      <c r="AP260" s="41" t="s">
        <v>33</v>
      </c>
      <c r="AQ260" s="25">
        <v>2</v>
      </c>
      <c r="AR260" s="12">
        <v>0.4</v>
      </c>
      <c r="AS260" s="8">
        <f t="shared" ref="AS260:AS262" si="4">AR260*100</f>
        <v>40</v>
      </c>
      <c r="AT260" s="12" t="s">
        <v>34</v>
      </c>
      <c r="AU260" s="8">
        <v>3</v>
      </c>
      <c r="AV260" s="8" t="s">
        <v>34</v>
      </c>
      <c r="AW260" s="29" t="s">
        <v>171</v>
      </c>
      <c r="AX260" s="25"/>
      <c r="AY260" s="3">
        <v>1.022625230974227</v>
      </c>
      <c r="AZ260" s="2" t="s">
        <v>38</v>
      </c>
      <c r="BA260" s="2">
        <v>3</v>
      </c>
    </row>
    <row r="261" spans="1:53">
      <c r="A261" s="27">
        <v>276</v>
      </c>
      <c r="B261" s="25" t="s">
        <v>167</v>
      </c>
      <c r="C261" s="13" t="s">
        <v>217</v>
      </c>
      <c r="D261" s="25">
        <v>23.41</v>
      </c>
      <c r="E261" s="25">
        <v>24.95</v>
      </c>
      <c r="F261" s="25">
        <v>30.01</v>
      </c>
      <c r="G261" s="25" t="s">
        <v>211</v>
      </c>
      <c r="H261" s="3">
        <v>32.28</v>
      </c>
      <c r="I261" s="3">
        <v>23.77</v>
      </c>
      <c r="J261" s="3">
        <v>31.84</v>
      </c>
      <c r="K261" s="3">
        <v>31.81</v>
      </c>
      <c r="L261" s="3">
        <v>31.66</v>
      </c>
      <c r="M261" s="3">
        <v>31.44</v>
      </c>
      <c r="N261" s="3" t="s">
        <v>211</v>
      </c>
      <c r="O261" s="3">
        <v>29.72</v>
      </c>
      <c r="P261" s="3">
        <v>30.8</v>
      </c>
      <c r="Q261" s="3">
        <v>32.68</v>
      </c>
      <c r="R261" s="3">
        <v>30.57</v>
      </c>
      <c r="S261" s="3">
        <v>27.77</v>
      </c>
      <c r="T261" s="3">
        <v>33.22</v>
      </c>
      <c r="U261" s="3">
        <v>30.46</v>
      </c>
      <c r="V261" s="3">
        <v>31.3</v>
      </c>
      <c r="W261" s="3">
        <v>34.53</v>
      </c>
      <c r="X261" s="3">
        <v>31.71</v>
      </c>
      <c r="Y261" s="3">
        <v>33.880000000000003</v>
      </c>
      <c r="Z261" s="26">
        <v>14690</v>
      </c>
      <c r="AA261" s="25">
        <v>69</v>
      </c>
      <c r="AB261" s="29">
        <v>39476</v>
      </c>
      <c r="AC261" s="39" t="s">
        <v>222</v>
      </c>
      <c r="AD261" s="8">
        <v>1</v>
      </c>
      <c r="AE261" s="25" t="s">
        <v>37</v>
      </c>
      <c r="AF261" s="2">
        <v>1</v>
      </c>
      <c r="AG261" s="32">
        <v>5</v>
      </c>
      <c r="AH261" s="25">
        <v>27</v>
      </c>
      <c r="AI261" s="25">
        <v>25</v>
      </c>
      <c r="AJ261" s="25" t="s">
        <v>61</v>
      </c>
      <c r="AK261" s="2">
        <v>3</v>
      </c>
      <c r="AL261" s="25"/>
      <c r="AM261" s="25">
        <v>2</v>
      </c>
      <c r="AN261" s="41" t="s">
        <v>33</v>
      </c>
      <c r="AO261" s="25">
        <v>2</v>
      </c>
      <c r="AP261" s="41" t="s">
        <v>33</v>
      </c>
      <c r="AQ261" s="25">
        <v>3</v>
      </c>
      <c r="AR261" s="12">
        <v>0.7</v>
      </c>
      <c r="AS261" s="8">
        <f t="shared" si="4"/>
        <v>70</v>
      </c>
      <c r="AT261" s="12" t="s">
        <v>34</v>
      </c>
      <c r="AU261" s="8">
        <v>3</v>
      </c>
      <c r="AV261" s="8" t="s">
        <v>34</v>
      </c>
      <c r="AW261" s="29" t="s">
        <v>171</v>
      </c>
      <c r="AX261" s="25"/>
      <c r="AY261" s="3">
        <v>0.52622480393367754</v>
      </c>
      <c r="AZ261" s="2" t="s">
        <v>38</v>
      </c>
      <c r="BA261" s="2">
        <v>3</v>
      </c>
    </row>
    <row r="262" spans="1:53">
      <c r="A262" s="27">
        <v>277</v>
      </c>
      <c r="B262" s="25" t="s">
        <v>167</v>
      </c>
      <c r="C262" s="13" t="s">
        <v>88</v>
      </c>
      <c r="D262" s="25">
        <v>29.12</v>
      </c>
      <c r="E262" s="25">
        <v>29.14</v>
      </c>
      <c r="F262" s="25">
        <v>33.85</v>
      </c>
      <c r="G262" s="25" t="s">
        <v>211</v>
      </c>
      <c r="H262" s="3">
        <v>35.549999999999997</v>
      </c>
      <c r="I262" s="3">
        <v>28.99</v>
      </c>
      <c r="J262" s="3">
        <v>35.9</v>
      </c>
      <c r="K262" s="3">
        <v>35.82</v>
      </c>
      <c r="L262" s="3">
        <v>35.75</v>
      </c>
      <c r="M262" s="3">
        <v>37.56</v>
      </c>
      <c r="N262" s="3" t="s">
        <v>211</v>
      </c>
      <c r="O262" s="3">
        <v>34.6</v>
      </c>
      <c r="P262" s="3">
        <v>34.44</v>
      </c>
      <c r="Q262" s="3">
        <v>37.08</v>
      </c>
      <c r="R262" s="3">
        <v>36.46</v>
      </c>
      <c r="S262" s="3">
        <v>34.19</v>
      </c>
      <c r="T262" s="3" t="s">
        <v>211</v>
      </c>
      <c r="U262" s="3">
        <v>34.15</v>
      </c>
      <c r="V262" s="3">
        <v>33.93</v>
      </c>
      <c r="W262" s="3" t="s">
        <v>211</v>
      </c>
      <c r="X262" s="3" t="s">
        <v>211</v>
      </c>
      <c r="Y262" s="3" t="s">
        <v>211</v>
      </c>
      <c r="Z262" s="26">
        <v>11587</v>
      </c>
      <c r="AA262" s="25">
        <v>73</v>
      </c>
      <c r="AB262" s="29">
        <v>38218</v>
      </c>
      <c r="AC262" s="39" t="s">
        <v>230</v>
      </c>
      <c r="AD262" s="29"/>
      <c r="AE262" s="25" t="s">
        <v>25</v>
      </c>
      <c r="AF262" s="2">
        <v>2</v>
      </c>
      <c r="AG262" s="25">
        <v>40</v>
      </c>
      <c r="AH262" s="25">
        <v>8</v>
      </c>
      <c r="AI262" s="25">
        <v>5</v>
      </c>
      <c r="AJ262" s="25" t="s">
        <v>47</v>
      </c>
      <c r="AK262" s="15">
        <v>2</v>
      </c>
      <c r="AL262" s="25"/>
      <c r="AM262" s="25">
        <v>1</v>
      </c>
      <c r="AN262" s="25">
        <v>70</v>
      </c>
      <c r="AO262" s="25">
        <v>2</v>
      </c>
      <c r="AP262" s="41" t="s">
        <v>33</v>
      </c>
      <c r="AQ262" s="25">
        <v>2</v>
      </c>
      <c r="AR262" s="12">
        <v>0.2</v>
      </c>
      <c r="AS262" s="8">
        <f t="shared" si="4"/>
        <v>20</v>
      </c>
      <c r="AT262" s="12" t="s">
        <v>34</v>
      </c>
      <c r="AU262" s="8">
        <v>3</v>
      </c>
      <c r="AV262" s="8" t="s">
        <v>44</v>
      </c>
      <c r="AW262" s="29" t="s">
        <v>33</v>
      </c>
      <c r="AX262" s="25"/>
      <c r="AY262" s="3">
        <v>0.29931064059297219</v>
      </c>
      <c r="AZ262" s="2" t="s">
        <v>38</v>
      </c>
      <c r="BA262" s="2">
        <v>3</v>
      </c>
    </row>
  </sheetData>
  <printOptions gridLines="1"/>
  <pageMargins left="0.75" right="0.75" top="1" bottom="1" header="0.5" footer="0.5"/>
  <pageSetup paperSize="9"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 Tutti Casi Lavoro</vt:lpstr>
    </vt:vector>
  </TitlesOfParts>
  <Company>Docente di Oncologia, Università di Trieste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  GIORGIO MUSTACCHI</dc:creator>
  <cp:lastModifiedBy>Utente Windows</cp:lastModifiedBy>
  <dcterms:created xsi:type="dcterms:W3CDTF">2012-12-28T15:01:39Z</dcterms:created>
  <dcterms:modified xsi:type="dcterms:W3CDTF">2013-01-06T15:22:43Z</dcterms:modified>
</cp:coreProperties>
</file>