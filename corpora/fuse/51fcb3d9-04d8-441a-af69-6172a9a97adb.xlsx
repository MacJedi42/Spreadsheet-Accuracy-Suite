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charts/chart6.xml" ContentType="application/vnd.openxmlformats-officedocument.drawingml.chart+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charts/chart4.xml" ContentType="application/vnd.openxmlformats-officedocument.drawingml.chart+xml"/>
  <Override PartName="/xl/comments8.xml" ContentType="application/vnd.openxmlformats-officedocument.spreadsheetml.comments+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charts/chart2.xml" ContentType="application/vnd.openxmlformats-officedocument.drawingml.chart+xml"/>
  <Override PartName="/xl/comments6.xml" ContentType="application/vnd.openxmlformats-officedocument.spreadsheetml.comments+xml"/>
  <Default Extension="rels" ContentType="application/vnd.openxmlformats-package.relationships+xml"/>
  <Default Extension="xml" ContentType="application/xml"/>
  <Override PartName="/xl/worksheets/sheet5.xml" ContentType="application/vnd.openxmlformats-officedocument.spreadsheetml.worksheet+xml"/>
  <Override PartName="/xl/externalLinks/externalLink5.xml" ContentType="application/vnd.openxmlformats-officedocument.spreadsheetml.externalLink+xml"/>
  <Override PartName="/xl/comments4.xml" ContentType="application/vnd.openxmlformats-officedocument.spreadsheetml.comments+xml"/>
  <Override PartName="/xl/drawings/drawing2.xml" ContentType="application/vnd.openxmlformats-officedocument.drawing+xml"/>
  <Override PartName="/xl/worksheets/sheet3.xml" ContentType="application/vnd.openxmlformats-officedocument.spreadsheetml.worksheet+xml"/>
  <Override PartName="/xl/externalLinks/externalLink3.xml" ContentType="application/vnd.openxmlformats-officedocument.spreadsheetml.externalLink+xml"/>
  <Override PartName="/xl/comments2.xml" ContentType="application/vnd.openxmlformats-officedocument.spreadsheetml.comments+xml"/>
  <Override PartName="/xl/comments16.xml" ContentType="application/vnd.openxmlformats-officedocument.spreadsheetml.comments+xml"/>
  <Override PartName="/xl/worksheets/sheet1.xml" ContentType="application/vnd.openxmlformats-officedocument.spreadsheetml.worksheet+xml"/>
  <Override PartName="/xl/externalLinks/externalLink1.xml" ContentType="application/vnd.openxmlformats-officedocument.spreadsheetml.externalLink+xml"/>
  <Override PartName="/xl/comments14.xml" ContentType="application/vnd.openxmlformats-officedocument.spreadsheetml.comments+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comments12.xml" ContentType="application/vnd.openxmlformats-officedocument.spreadsheetml.comments+xml"/>
  <Override PartName="/xl/comments13.xml" ContentType="application/vnd.openxmlformats-officedocument.spreadsheetml.comment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8.xml" ContentType="application/vnd.openxmlformats-officedocument.drawingml.chart+xml"/>
  <Override PartName="/xl/charts/chart9.xml" ContentType="application/vnd.openxmlformats-officedocument.drawingml.chart+xml"/>
  <Override PartName="/xl/comments10.xml" ContentType="application/vnd.openxmlformats-officedocument.spreadsheetml.comments+xml"/>
  <Override PartName="/xl/comments11.xml" ContentType="application/vnd.openxmlformats-officedocument.spreadsheetml.comments+xml"/>
  <Override PartName="/xl/charts/chart11.xml" ContentType="application/vnd.openxmlformats-officedocument.drawingml.chart+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Override PartName="/xl/charts/chart7.xml" ContentType="application/vnd.openxmlformats-officedocument.drawingml.chart+xml"/>
  <Override PartName="/xl/charts/chart10.xml" ContentType="application/vnd.openxmlformats-officedocument.drawingml.chart+xml"/>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charts/chart5.xml" ContentType="application/vnd.openxmlformats-officedocument.drawingml.chart+xml"/>
  <Override PartName="/xl/comments9.xml" ContentType="application/vnd.openxmlformats-officedocument.spreadsheetml.comments+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externalLinks/externalLink6.xml" ContentType="application/vnd.openxmlformats-officedocument.spreadsheetml.externalLink+xml"/>
  <Override PartName="/xl/charts/chart3.xml" ContentType="application/vnd.openxmlformats-officedocument.drawingml.chart+xml"/>
  <Override PartName="/xl/comments7.xml" ContentType="application/vnd.openxmlformats-officedocument.spreadsheetml.comments+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externalLinks/externalLink4.xml" ContentType="application/vnd.openxmlformats-officedocument.spreadsheetml.externalLink+xml"/>
  <Override PartName="/xl/comments5.xml" ContentType="application/vnd.openxmlformats-officedocument.spreadsheetml.comments+xml"/>
  <Override PartName="/xl/charts/chart1.xml" ContentType="application/vnd.openxmlformats-officedocument.drawingml.chart+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comments3.xml" ContentType="application/vnd.openxmlformats-officedocument.spreadsheetml.comments+xml"/>
  <Override PartName="/xl/drawings/drawing1.xml" ContentType="application/vnd.openxmlformats-officedocument.drawing+xml"/>
  <Override PartName="/xl/comments17.xml" ContentType="application/vnd.openxmlformats-officedocument.spreadsheetml.comments+xml"/>
  <Default Extension="vml" ContentType="application/vnd.openxmlformats-officedocument.vmlDrawing"/>
  <Override PartName="/xl/comments1.xml" ContentType="application/vnd.openxmlformats-officedocument.spreadsheetml.comments+xml"/>
  <Override PartName="/xl/comments15.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105" windowWidth="14355" windowHeight="2385" tabRatio="878" firstSheet="17" activeTab="17"/>
  </bookViews>
  <sheets>
    <sheet name="Intro" sheetId="9" r:id="rId1"/>
    <sheet name="Reg&gt;&gt;" sheetId="61" r:id="rId2"/>
    <sheet name="HAL - Reg" sheetId="10" r:id="rId3"/>
    <sheet name="GAL - Reg" sheetId="11" r:id="rId4"/>
    <sheet name="STAL - Reg" sheetId="12" r:id="rId5"/>
    <sheet name="HAL&gt;&gt;" sheetId="57" r:id="rId6"/>
    <sheet name="HAL - iBP " sheetId="5" r:id="rId7"/>
    <sheet name="HAL - fBP" sheetId="18" r:id="rId8"/>
    <sheet name="HAL - rBP" sheetId="43" r:id="rId9"/>
    <sheet name="HAL - aBP" sheetId="48" r:id="rId10"/>
    <sheet name="CAA&gt;&gt;" sheetId="62" r:id="rId11"/>
    <sheet name="HAL - CAA - ip" sheetId="45" r:id="rId12"/>
    <sheet name="HAL - CAA - fp" sheetId="22" r:id="rId13"/>
    <sheet name="Analysis&gt;&gt;" sheetId="56" r:id="rId14"/>
    <sheet name="Other Opex" sheetId="23" r:id="rId15"/>
    <sheet name="MandA" sheetId="26" r:id="rId16"/>
    <sheet name="Central Support" sheetId="24" r:id="rId17"/>
    <sheet name="Wages" sheetId="25" r:id="rId18"/>
    <sheet name="Wage growth" sheetId="40" r:id="rId19"/>
    <sheet name="Absenteeism" sheetId="50" r:id="rId20"/>
    <sheet name="Frontier Shift" sheetId="31" r:id="rId21"/>
    <sheet name="Pensions" sheetId="32" r:id="rId22"/>
    <sheet name="Security" sheetId="33" r:id="rId23"/>
    <sheet name="Overlays" sheetId="39" r:id="rId24"/>
    <sheet name="Appendix&gt;&gt;" sheetId="55" r:id="rId25"/>
    <sheet name="Q Summary" sheetId="13" r:id="rId26"/>
    <sheet name="RPI" sheetId="1" r:id="rId27"/>
    <sheet name="CPI" sheetId="2" r:id="rId28"/>
    <sheet name="OBR" sheetId="36" r:id="rId29"/>
    <sheet name="Elasticity" sheetId="41" r:id="rId30"/>
    <sheet name="Staff Costs" sheetId="42" r:id="rId31"/>
    <sheet name="Staff Data" sheetId="53" r:id="rId32"/>
    <sheet name="Pension Data" sheetId="54" r:id="rId33"/>
  </sheets>
  <externalReferences>
    <externalReference r:id="rId34"/>
    <externalReference r:id="rId35"/>
    <externalReference r:id="rId36"/>
    <externalReference r:id="rId37"/>
    <externalReference r:id="rId38"/>
    <externalReference r:id="rId39"/>
  </externalReferences>
  <definedNames>
    <definedName name="_xlnm.Print_Area" localSheetId="19">Absenteeism!$B$2:$S$3</definedName>
    <definedName name="_xlnm.Print_Area" localSheetId="16">'Central Support'!$C$2:$M$120</definedName>
    <definedName name="_xlnm.Print_Area" localSheetId="20">'Frontier Shift'!$B$2:$U$17</definedName>
    <definedName name="_xlnm.Print_Area" localSheetId="3">'GAL - Reg'!$A$1:$AA$93</definedName>
    <definedName name="_xlnm.Print_Area" localSheetId="9">'HAL - aBP'!$B$4:$X$55</definedName>
    <definedName name="_xlnm.Print_Area" localSheetId="12">'HAL - CAA - fp'!$B$42:$AB$195</definedName>
    <definedName name="_xlnm.Print_Area" localSheetId="11">'HAL - CAA - ip'!$B$2:$AA$54</definedName>
    <definedName name="_xlnm.Print_Area" localSheetId="7">'HAL - fBP'!$B$4:$X$55</definedName>
    <definedName name="_xlnm.Print_Area" localSheetId="6">'HAL - iBP '!$B$4:$X$74</definedName>
    <definedName name="_xlnm.Print_Area" localSheetId="8">'HAL - rBP'!$B$4:$X$55</definedName>
    <definedName name="_xlnm.Print_Area" localSheetId="2">'HAL - Reg'!$A$1:$AA$96</definedName>
    <definedName name="_xlnm.Print_Area" localSheetId="15">MandA!$C$2:$M$35</definedName>
    <definedName name="_xlnm.Print_Area" localSheetId="14">'Other Opex'!$C$2:$M$48</definedName>
    <definedName name="_xlnm.Print_Area" localSheetId="21">Pensions!$B$2:$S$38</definedName>
    <definedName name="_xlnm.Print_Area" localSheetId="22">Security!$B$2:$Q$24</definedName>
    <definedName name="_xlnm.Print_Area" localSheetId="4">'STAL - Reg'!$B$2:$X$97</definedName>
    <definedName name="_xlnm.Print_Area" localSheetId="17">Wages!$B$2:$S$38</definedName>
  </definedNames>
  <calcPr calcId="125725"/>
</workbook>
</file>

<file path=xl/calcChain.xml><?xml version="1.0" encoding="utf-8"?>
<calcChain xmlns="http://schemas.openxmlformats.org/spreadsheetml/2006/main">
  <c r="H61" i="24"/>
  <c r="S36" i="5"/>
  <c r="X36"/>
  <c r="O40" i="24"/>
  <c r="P40"/>
  <c r="M24"/>
  <c r="E10"/>
  <c r="F10"/>
  <c r="G10"/>
  <c r="H10"/>
  <c r="I10"/>
  <c r="J10"/>
  <c r="K10"/>
  <c r="L10"/>
  <c r="M10"/>
  <c r="D10"/>
  <c r="C10"/>
  <c r="F22" i="26"/>
  <c r="G22"/>
  <c r="H22"/>
  <c r="I22"/>
  <c r="J22"/>
  <c r="E22"/>
  <c r="M55" i="10"/>
  <c r="X6" i="12"/>
  <c r="X34"/>
  <c r="X56"/>
  <c r="M35" i="25"/>
  <c r="Q51" i="13"/>
  <c r="C89" i="18"/>
  <c r="L45" i="25" l="1"/>
  <c r="M45"/>
  <c r="N45"/>
  <c r="O45"/>
  <c r="P45"/>
  <c r="F45" l="1"/>
  <c r="J32" i="23" l="1"/>
  <c r="M78" i="48" s="1"/>
  <c r="U78"/>
  <c r="U77"/>
  <c r="X77"/>
  <c r="V77"/>
  <c r="E32" i="26" l="1"/>
  <c r="M12" i="45"/>
  <c r="M51" i="22" l="1"/>
  <c r="L124" i="36" l="1"/>
  <c r="X28" i="48"/>
  <c r="E32" i="23" l="1"/>
  <c r="H78" i="48" s="1"/>
  <c r="X78" s="1"/>
  <c r="F32" i="23"/>
  <c r="I78" i="48" s="1"/>
  <c r="G32" i="23"/>
  <c r="J78" i="48" s="1"/>
  <c r="H32" i="23"/>
  <c r="K78" i="48" s="1"/>
  <c r="I32" i="23"/>
  <c r="L78" i="48" s="1"/>
  <c r="V78" l="1"/>
  <c r="P89" i="54" l="1"/>
  <c r="P90" s="1"/>
  <c r="P91" s="1"/>
  <c r="P92" s="1"/>
  <c r="P93" s="1"/>
  <c r="P94" s="1"/>
  <c r="P10" i="39"/>
  <c r="O10"/>
  <c r="N10"/>
  <c r="M10"/>
  <c r="I156" i="22"/>
  <c r="K45" i="25" l="1"/>
  <c r="C14" i="23" l="1"/>
  <c r="C15"/>
  <c r="C16"/>
  <c r="C18"/>
  <c r="C19"/>
  <c r="C21"/>
  <c r="C22"/>
  <c r="C23"/>
  <c r="J45" i="25" l="1"/>
  <c r="J47" s="1"/>
  <c r="K47" s="1"/>
  <c r="I45"/>
  <c r="L35"/>
  <c r="N35"/>
  <c r="O35"/>
  <c r="P35"/>
  <c r="C11" i="42"/>
  <c r="D11"/>
  <c r="C12"/>
  <c r="D12"/>
  <c r="C13"/>
  <c r="D13"/>
  <c r="C14"/>
  <c r="D14"/>
  <c r="L47" i="25" l="1"/>
  <c r="C16" i="42"/>
  <c r="D16"/>
  <c r="D70" i="24" l="1"/>
  <c r="G26" i="25"/>
  <c r="C70" i="24"/>
  <c r="F26" i="25"/>
  <c r="M47"/>
  <c r="N47" l="1"/>
  <c r="O47" s="1"/>
  <c r="S171" i="22"/>
  <c r="T171"/>
  <c r="U171"/>
  <c r="V171"/>
  <c r="W171"/>
  <c r="X171"/>
  <c r="Y171"/>
  <c r="Z171"/>
  <c r="AA171"/>
  <c r="AB171"/>
  <c r="S172"/>
  <c r="T172"/>
  <c r="AA172"/>
  <c r="AB172"/>
  <c r="S173"/>
  <c r="T173"/>
  <c r="U173"/>
  <c r="W173"/>
  <c r="X173"/>
  <c r="Y173"/>
  <c r="Z173"/>
  <c r="AA173"/>
  <c r="AB173"/>
  <c r="S174"/>
  <c r="T174"/>
  <c r="U174"/>
  <c r="V174"/>
  <c r="X174"/>
  <c r="Y174"/>
  <c r="Z174"/>
  <c r="AA174"/>
  <c r="AB174"/>
  <c r="S175"/>
  <c r="T175"/>
  <c r="U175"/>
  <c r="V175"/>
  <c r="W175"/>
  <c r="Y175"/>
  <c r="Z175"/>
  <c r="AA175"/>
  <c r="AB175"/>
  <c r="S176"/>
  <c r="T176"/>
  <c r="U176"/>
  <c r="V176"/>
  <c r="W176"/>
  <c r="X176"/>
  <c r="Z176"/>
  <c r="AA176"/>
  <c r="AB176"/>
  <c r="S177"/>
  <c r="T177"/>
  <c r="U177"/>
  <c r="V177"/>
  <c r="W177"/>
  <c r="X177"/>
  <c r="Y177"/>
  <c r="Z177"/>
  <c r="AA177"/>
  <c r="AB177"/>
  <c r="S178"/>
  <c r="T178"/>
  <c r="U178"/>
  <c r="V178"/>
  <c r="W178"/>
  <c r="X178"/>
  <c r="Y178"/>
  <c r="Z178"/>
  <c r="AA178"/>
  <c r="AB178"/>
  <c r="S179"/>
  <c r="T179"/>
  <c r="U179"/>
  <c r="V179"/>
  <c r="W179"/>
  <c r="X179"/>
  <c r="Y179"/>
  <c r="AA179"/>
  <c r="AB179"/>
  <c r="S180"/>
  <c r="T180"/>
  <c r="U180"/>
  <c r="V180"/>
  <c r="W180"/>
  <c r="X180"/>
  <c r="Y180"/>
  <c r="Z180"/>
  <c r="AB180"/>
  <c r="S181"/>
  <c r="T181"/>
  <c r="U181"/>
  <c r="V181"/>
  <c r="W181"/>
  <c r="X181"/>
  <c r="Y181"/>
  <c r="Z181"/>
  <c r="AA181"/>
  <c r="AB181"/>
  <c r="T170"/>
  <c r="U170"/>
  <c r="V170"/>
  <c r="W170"/>
  <c r="X170"/>
  <c r="Y170"/>
  <c r="Z170"/>
  <c r="AA170"/>
  <c r="AB170"/>
  <c r="S170"/>
  <c r="P47" i="25" l="1"/>
  <c r="S47" l="1"/>
  <c r="N71" i="13"/>
  <c r="O71"/>
  <c r="P71"/>
  <c r="Q71"/>
  <c r="M71"/>
  <c r="J28" i="26"/>
  <c r="I28"/>
  <c r="H28"/>
  <c r="G28"/>
  <c r="F28"/>
  <c r="E28"/>
  <c r="I10" i="31"/>
  <c r="J10"/>
  <c r="K10"/>
  <c r="L10"/>
  <c r="M10"/>
  <c r="N10"/>
  <c r="O10"/>
  <c r="P10"/>
  <c r="Q10"/>
  <c r="R10"/>
  <c r="H10"/>
  <c r="I11"/>
  <c r="J11"/>
  <c r="K11"/>
  <c r="L11"/>
  <c r="M11"/>
  <c r="N11"/>
  <c r="O11"/>
  <c r="P11"/>
  <c r="Q11"/>
  <c r="R11"/>
  <c r="H11"/>
  <c r="S71" i="13" l="1"/>
  <c r="G35" i="25" l="1"/>
  <c r="H35"/>
  <c r="I35"/>
  <c r="J35"/>
  <c r="K35"/>
  <c r="C124" i="36"/>
  <c r="C123"/>
  <c r="E12" i="42"/>
  <c r="F12"/>
  <c r="E13"/>
  <c r="F13"/>
  <c r="E14"/>
  <c r="F14"/>
  <c r="G12"/>
  <c r="G13"/>
  <c r="G14"/>
  <c r="G11"/>
  <c r="F11"/>
  <c r="E11"/>
  <c r="G16" l="1"/>
  <c r="F23"/>
  <c r="E23"/>
  <c r="F16"/>
  <c r="E16"/>
  <c r="E25"/>
  <c r="E24"/>
  <c r="G25"/>
  <c r="G24"/>
  <c r="G23"/>
  <c r="F24"/>
  <c r="F25"/>
  <c r="E70" i="24" l="1"/>
  <c r="H26" i="25"/>
  <c r="F70" i="24"/>
  <c r="I26" i="25"/>
  <c r="G70" i="24"/>
  <c r="J26" i="25"/>
  <c r="G30" i="26" l="1"/>
  <c r="H30"/>
  <c r="I30"/>
  <c r="J30"/>
  <c r="M77" i="10"/>
  <c r="M75"/>
  <c r="Z77"/>
  <c r="Z73"/>
  <c r="Z75"/>
  <c r="Z55"/>
  <c r="M28"/>
  <c r="M26"/>
  <c r="M24"/>
  <c r="M22"/>
  <c r="M20"/>
  <c r="M18"/>
  <c r="M16"/>
  <c r="M14"/>
  <c r="M12"/>
  <c r="M11"/>
  <c r="M10"/>
  <c r="M9"/>
  <c r="M8"/>
  <c r="M7"/>
  <c r="M6"/>
  <c r="Z14"/>
  <c r="Z16"/>
  <c r="Z18"/>
  <c r="Z20"/>
  <c r="Z22"/>
  <c r="Z24"/>
  <c r="Z26"/>
  <c r="Z28"/>
  <c r="Z12"/>
  <c r="Z11"/>
  <c r="Z10"/>
  <c r="Z9"/>
  <c r="Z8"/>
  <c r="Z7"/>
  <c r="Z6"/>
  <c r="Z33"/>
  <c r="Z34"/>
  <c r="Z35"/>
  <c r="Z36"/>
  <c r="Z37"/>
  <c r="Z38"/>
  <c r="Z39"/>
  <c r="Z41"/>
  <c r="Z43"/>
  <c r="Z44"/>
  <c r="Z46"/>
  <c r="Z32"/>
  <c r="F30" i="26" l="1"/>
  <c r="G18" i="25"/>
  <c r="H18"/>
  <c r="I18"/>
  <c r="J18"/>
  <c r="K18"/>
  <c r="L18"/>
  <c r="M18"/>
  <c r="N18"/>
  <c r="O18"/>
  <c r="P18"/>
  <c r="J22" l="1"/>
  <c r="L22"/>
  <c r="K22"/>
  <c r="L14" i="50"/>
  <c r="M14" s="1"/>
  <c r="E8" i="33"/>
  <c r="F8"/>
  <c r="G8"/>
  <c r="H8"/>
  <c r="I8"/>
  <c r="J8"/>
  <c r="K8"/>
  <c r="L8"/>
  <c r="M8"/>
  <c r="N8"/>
  <c r="D8"/>
  <c r="J105" i="45" l="1"/>
  <c r="K105"/>
  <c r="L105"/>
  <c r="M105"/>
  <c r="J106"/>
  <c r="K106"/>
  <c r="L106"/>
  <c r="M106"/>
  <c r="J107"/>
  <c r="K107"/>
  <c r="L107"/>
  <c r="M107"/>
  <c r="J108"/>
  <c r="K108"/>
  <c r="L108"/>
  <c r="M108"/>
  <c r="J109"/>
  <c r="K109"/>
  <c r="L109"/>
  <c r="M109"/>
  <c r="I106"/>
  <c r="I107"/>
  <c r="I108"/>
  <c r="I109"/>
  <c r="I105"/>
  <c r="C94"/>
  <c r="D94"/>
  <c r="E94"/>
  <c r="F94"/>
  <c r="G94"/>
  <c r="H94"/>
  <c r="I94"/>
  <c r="J94"/>
  <c r="K94"/>
  <c r="L94"/>
  <c r="M94"/>
  <c r="O94"/>
  <c r="C95"/>
  <c r="D95"/>
  <c r="E95"/>
  <c r="F95"/>
  <c r="G95"/>
  <c r="H95"/>
  <c r="I95"/>
  <c r="J95"/>
  <c r="K95"/>
  <c r="L95"/>
  <c r="M95"/>
  <c r="O95"/>
  <c r="C96"/>
  <c r="D96"/>
  <c r="E96"/>
  <c r="F96"/>
  <c r="G96"/>
  <c r="H96"/>
  <c r="I96"/>
  <c r="J96"/>
  <c r="K96"/>
  <c r="L96"/>
  <c r="M96"/>
  <c r="O96"/>
  <c r="C97"/>
  <c r="D97"/>
  <c r="E97"/>
  <c r="F97"/>
  <c r="G97"/>
  <c r="H97"/>
  <c r="I97"/>
  <c r="J97"/>
  <c r="K97"/>
  <c r="L97"/>
  <c r="M97"/>
  <c r="O97"/>
  <c r="C98"/>
  <c r="D98"/>
  <c r="E98"/>
  <c r="F98"/>
  <c r="G98"/>
  <c r="H98"/>
  <c r="I98"/>
  <c r="J98"/>
  <c r="K98"/>
  <c r="L98"/>
  <c r="M98"/>
  <c r="O98"/>
  <c r="C99"/>
  <c r="D99"/>
  <c r="E99"/>
  <c r="F99"/>
  <c r="G99"/>
  <c r="H99"/>
  <c r="I99"/>
  <c r="J99"/>
  <c r="K99"/>
  <c r="L99"/>
  <c r="M99"/>
  <c r="O99"/>
  <c r="C100"/>
  <c r="D100"/>
  <c r="E100"/>
  <c r="F100"/>
  <c r="G100"/>
  <c r="H100"/>
  <c r="I100"/>
  <c r="J100"/>
  <c r="K100"/>
  <c r="L100"/>
  <c r="M100"/>
  <c r="O100"/>
  <c r="P100" s="1"/>
  <c r="C101"/>
  <c r="D101"/>
  <c r="E101"/>
  <c r="F101"/>
  <c r="G101"/>
  <c r="H101"/>
  <c r="I101"/>
  <c r="J101"/>
  <c r="K101"/>
  <c r="L101"/>
  <c r="M101"/>
  <c r="O101"/>
  <c r="O93"/>
  <c r="D93"/>
  <c r="E93"/>
  <c r="F93"/>
  <c r="G93"/>
  <c r="H93"/>
  <c r="I93"/>
  <c r="J93"/>
  <c r="K93"/>
  <c r="L93"/>
  <c r="M93"/>
  <c r="C93"/>
  <c r="W12"/>
  <c r="X12"/>
  <c r="Y12"/>
  <c r="Z12"/>
  <c r="AA12"/>
  <c r="W13"/>
  <c r="X13"/>
  <c r="Y13"/>
  <c r="Z13"/>
  <c r="AA13"/>
  <c r="W15"/>
  <c r="X15"/>
  <c r="Y15"/>
  <c r="Z15"/>
  <c r="AA15"/>
  <c r="W16"/>
  <c r="X16"/>
  <c r="Y16"/>
  <c r="Z16"/>
  <c r="AA16"/>
  <c r="W17"/>
  <c r="X17"/>
  <c r="Y17"/>
  <c r="Z17"/>
  <c r="AA17"/>
  <c r="W19"/>
  <c r="X19"/>
  <c r="Y19"/>
  <c r="Z19"/>
  <c r="AA19"/>
  <c r="W20"/>
  <c r="X20"/>
  <c r="Y20"/>
  <c r="Z20"/>
  <c r="AA20"/>
  <c r="W21"/>
  <c r="X21"/>
  <c r="Y21"/>
  <c r="Z21"/>
  <c r="AA21"/>
  <c r="X10"/>
  <c r="Y10"/>
  <c r="Z10"/>
  <c r="AA10"/>
  <c r="W10"/>
  <c r="R10"/>
  <c r="S10"/>
  <c r="T10"/>
  <c r="R12"/>
  <c r="S12"/>
  <c r="T12"/>
  <c r="R13"/>
  <c r="S13"/>
  <c r="T13"/>
  <c r="R15"/>
  <c r="S15"/>
  <c r="T15"/>
  <c r="R16"/>
  <c r="S16"/>
  <c r="T16"/>
  <c r="R17"/>
  <c r="S17"/>
  <c r="T17"/>
  <c r="R19"/>
  <c r="R20"/>
  <c r="R21"/>
  <c r="Q12"/>
  <c r="Q13"/>
  <c r="Q15"/>
  <c r="Q16"/>
  <c r="Q17"/>
  <c r="Q19"/>
  <c r="Q20"/>
  <c r="Q21"/>
  <c r="Q10"/>
  <c r="W37"/>
  <c r="X37"/>
  <c r="Y37"/>
  <c r="Z37"/>
  <c r="AA37"/>
  <c r="W38"/>
  <c r="X38"/>
  <c r="Y38"/>
  <c r="Z38"/>
  <c r="AA38"/>
  <c r="Y39"/>
  <c r="Z39"/>
  <c r="AA39"/>
  <c r="W40"/>
  <c r="X40"/>
  <c r="Y40"/>
  <c r="Z40"/>
  <c r="AA40"/>
  <c r="W41"/>
  <c r="X41"/>
  <c r="Y41"/>
  <c r="Z41"/>
  <c r="AA41"/>
  <c r="W42"/>
  <c r="X42"/>
  <c r="Y42"/>
  <c r="Z42"/>
  <c r="AA42"/>
  <c r="W44"/>
  <c r="X44"/>
  <c r="Y44"/>
  <c r="Z44"/>
  <c r="AA44"/>
  <c r="W45"/>
  <c r="X45"/>
  <c r="Y45"/>
  <c r="Z45"/>
  <c r="AA45"/>
  <c r="W46"/>
  <c r="X46"/>
  <c r="Y46"/>
  <c r="Z46"/>
  <c r="AA46"/>
  <c r="X35"/>
  <c r="Y35"/>
  <c r="Z35"/>
  <c r="AA35"/>
  <c r="W35"/>
  <c r="Q37"/>
  <c r="R37"/>
  <c r="S37"/>
  <c r="T37"/>
  <c r="Q38"/>
  <c r="R38"/>
  <c r="S38"/>
  <c r="T38"/>
  <c r="Q40"/>
  <c r="Q41"/>
  <c r="Q42"/>
  <c r="Q44"/>
  <c r="Q45"/>
  <c r="Q46"/>
  <c r="R35"/>
  <c r="S35"/>
  <c r="T35"/>
  <c r="Q35"/>
  <c r="I51"/>
  <c r="J51"/>
  <c r="K51"/>
  <c r="L51"/>
  <c r="I52"/>
  <c r="J52"/>
  <c r="K52"/>
  <c r="L52"/>
  <c r="I53"/>
  <c r="J53"/>
  <c r="K53"/>
  <c r="L53"/>
  <c r="M51"/>
  <c r="M52"/>
  <c r="M53"/>
  <c r="C48"/>
  <c r="D48"/>
  <c r="E48"/>
  <c r="F48"/>
  <c r="G48"/>
  <c r="H48"/>
  <c r="I48"/>
  <c r="J48"/>
  <c r="K48"/>
  <c r="L48"/>
  <c r="C49"/>
  <c r="D49"/>
  <c r="E49"/>
  <c r="F49"/>
  <c r="G49"/>
  <c r="H49"/>
  <c r="I49"/>
  <c r="J49"/>
  <c r="K49"/>
  <c r="L49"/>
  <c r="M43"/>
  <c r="M44"/>
  <c r="M45"/>
  <c r="M46"/>
  <c r="M47"/>
  <c r="M48"/>
  <c r="M49"/>
  <c r="I40"/>
  <c r="J40"/>
  <c r="K40"/>
  <c r="L40"/>
  <c r="I41"/>
  <c r="J41"/>
  <c r="K41"/>
  <c r="L41"/>
  <c r="I42"/>
  <c r="J42"/>
  <c r="K42"/>
  <c r="L42"/>
  <c r="M41"/>
  <c r="M42"/>
  <c r="M40"/>
  <c r="C38"/>
  <c r="D38"/>
  <c r="E38"/>
  <c r="F38"/>
  <c r="G38"/>
  <c r="H38"/>
  <c r="I38"/>
  <c r="J38"/>
  <c r="K38"/>
  <c r="L38"/>
  <c r="M38"/>
  <c r="C37"/>
  <c r="D37"/>
  <c r="E37"/>
  <c r="F37"/>
  <c r="G37"/>
  <c r="H37"/>
  <c r="I37"/>
  <c r="J37"/>
  <c r="K37"/>
  <c r="L37"/>
  <c r="M37"/>
  <c r="I44"/>
  <c r="J44"/>
  <c r="K44"/>
  <c r="L44"/>
  <c r="I45"/>
  <c r="J45"/>
  <c r="K45"/>
  <c r="L45"/>
  <c r="I46"/>
  <c r="J46"/>
  <c r="K46"/>
  <c r="L46"/>
  <c r="D35"/>
  <c r="E35"/>
  <c r="F35"/>
  <c r="G35"/>
  <c r="H35"/>
  <c r="I35"/>
  <c r="J35"/>
  <c r="K35"/>
  <c r="L35"/>
  <c r="M35"/>
  <c r="C35"/>
  <c r="C23"/>
  <c r="D23"/>
  <c r="E23"/>
  <c r="F23"/>
  <c r="G23"/>
  <c r="H23"/>
  <c r="C24"/>
  <c r="D24"/>
  <c r="E24"/>
  <c r="F24"/>
  <c r="G24"/>
  <c r="H24"/>
  <c r="I10"/>
  <c r="J10"/>
  <c r="K10"/>
  <c r="L10"/>
  <c r="I12"/>
  <c r="J12"/>
  <c r="K12"/>
  <c r="L12"/>
  <c r="I13"/>
  <c r="J13"/>
  <c r="K13"/>
  <c r="L13"/>
  <c r="I15"/>
  <c r="J15"/>
  <c r="K15"/>
  <c r="L15"/>
  <c r="I16"/>
  <c r="J16"/>
  <c r="K16"/>
  <c r="L16"/>
  <c r="I17"/>
  <c r="J17"/>
  <c r="K17"/>
  <c r="L17"/>
  <c r="I19"/>
  <c r="J19"/>
  <c r="K19"/>
  <c r="L19"/>
  <c r="I20"/>
  <c r="J20"/>
  <c r="K20"/>
  <c r="L20"/>
  <c r="I21"/>
  <c r="J21"/>
  <c r="K21"/>
  <c r="L21"/>
  <c r="I23"/>
  <c r="J23"/>
  <c r="K23"/>
  <c r="L23"/>
  <c r="I24"/>
  <c r="J24"/>
  <c r="K24"/>
  <c r="L24"/>
  <c r="I26"/>
  <c r="J26"/>
  <c r="K26"/>
  <c r="L26"/>
  <c r="I27"/>
  <c r="J27"/>
  <c r="K27"/>
  <c r="L27"/>
  <c r="I28"/>
  <c r="J28"/>
  <c r="K28"/>
  <c r="L28"/>
  <c r="C10"/>
  <c r="D10"/>
  <c r="E10"/>
  <c r="F10"/>
  <c r="G10"/>
  <c r="H10"/>
  <c r="M13"/>
  <c r="M15"/>
  <c r="M16"/>
  <c r="M17"/>
  <c r="M19"/>
  <c r="M20"/>
  <c r="M21"/>
  <c r="M23"/>
  <c r="M24"/>
  <c r="M26"/>
  <c r="M27"/>
  <c r="M28"/>
  <c r="M10"/>
  <c r="P99" l="1"/>
  <c r="P98"/>
  <c r="P97"/>
  <c r="P96"/>
  <c r="P95"/>
  <c r="P94"/>
  <c r="J158" i="22"/>
  <c r="K158"/>
  <c r="L158"/>
  <c r="M158"/>
  <c r="D51"/>
  <c r="E51"/>
  <c r="F51"/>
  <c r="F151" s="1"/>
  <c r="G51"/>
  <c r="G151" s="1"/>
  <c r="H51"/>
  <c r="H151" s="1"/>
  <c r="I51"/>
  <c r="J51"/>
  <c r="K51"/>
  <c r="L51"/>
  <c r="C51"/>
  <c r="Q28"/>
  <c r="Q29"/>
  <c r="Q21"/>
  <c r="Q22"/>
  <c r="B28"/>
  <c r="P28" s="1"/>
  <c r="V28" s="1"/>
  <c r="B29"/>
  <c r="P29" s="1"/>
  <c r="V29" s="1"/>
  <c r="B21"/>
  <c r="P21" s="1"/>
  <c r="V21" s="1"/>
  <c r="B22"/>
  <c r="P22" s="1"/>
  <c r="V22" s="1"/>
  <c r="B37"/>
  <c r="B38"/>
  <c r="P58"/>
  <c r="V58" s="1"/>
  <c r="Q58"/>
  <c r="P59"/>
  <c r="V59" s="1"/>
  <c r="Q59"/>
  <c r="P65"/>
  <c r="V65" s="1"/>
  <c r="Q65"/>
  <c r="P66"/>
  <c r="V66" s="1"/>
  <c r="Q66"/>
  <c r="E34" i="26"/>
  <c r="K151" i="22" l="1"/>
  <c r="L151"/>
  <c r="D151"/>
  <c r="C151"/>
  <c r="I151"/>
  <c r="E151"/>
  <c r="J151"/>
  <c r="Y51"/>
  <c r="M151"/>
  <c r="AA51"/>
  <c r="I112" i="24" l="1"/>
  <c r="J112"/>
  <c r="K112"/>
  <c r="L112"/>
  <c r="M112"/>
  <c r="H112"/>
  <c r="N14" i="50"/>
  <c r="O14" s="1"/>
  <c r="P14" s="1"/>
  <c r="S14" s="1"/>
  <c r="T13"/>
  <c r="T97" i="13"/>
  <c r="S97"/>
  <c r="Q87"/>
  <c r="Q88"/>
  <c r="L130"/>
  <c r="L129"/>
  <c r="L128"/>
  <c r="L127"/>
  <c r="L126"/>
  <c r="L125"/>
  <c r="L124"/>
  <c r="L123"/>
  <c r="L122"/>
  <c r="M116"/>
  <c r="M115"/>
  <c r="M114"/>
  <c r="M113"/>
  <c r="M112"/>
  <c r="M111"/>
  <c r="M110"/>
  <c r="M109"/>
  <c r="M108"/>
  <c r="M107"/>
  <c r="L116"/>
  <c r="L115"/>
  <c r="Q70"/>
  <c r="J54" i="11"/>
  <c r="R14" i="50" l="1"/>
  <c r="T14" s="1"/>
  <c r="Q89" i="13"/>
  <c r="Q90" s="1"/>
  <c r="Q72"/>
  <c r="Q73" s="1"/>
  <c r="M39" i="48" l="1"/>
  <c r="C101" i="18" l="1"/>
  <c r="D101"/>
  <c r="E101"/>
  <c r="F101"/>
  <c r="G101"/>
  <c r="H101"/>
  <c r="I101"/>
  <c r="J101"/>
  <c r="K101"/>
  <c r="L101"/>
  <c r="M101"/>
  <c r="C103"/>
  <c r="D103"/>
  <c r="E103"/>
  <c r="C104"/>
  <c r="D104"/>
  <c r="E104"/>
  <c r="C90"/>
  <c r="D90"/>
  <c r="Q90" s="1"/>
  <c r="R90" s="1"/>
  <c r="E90"/>
  <c r="F90"/>
  <c r="G90"/>
  <c r="H90"/>
  <c r="I90"/>
  <c r="J90"/>
  <c r="K90"/>
  <c r="L90"/>
  <c r="M90"/>
  <c r="C91"/>
  <c r="D91"/>
  <c r="E91"/>
  <c r="Q91" s="1"/>
  <c r="R91" s="1"/>
  <c r="F91"/>
  <c r="G91"/>
  <c r="H91"/>
  <c r="I91"/>
  <c r="J91"/>
  <c r="K91"/>
  <c r="L91"/>
  <c r="M91"/>
  <c r="C92"/>
  <c r="D92"/>
  <c r="E92"/>
  <c r="F92"/>
  <c r="G92"/>
  <c r="H92"/>
  <c r="I92"/>
  <c r="J92"/>
  <c r="K92"/>
  <c r="L92"/>
  <c r="M92"/>
  <c r="C93"/>
  <c r="Q93" s="1"/>
  <c r="R93" s="1"/>
  <c r="D93"/>
  <c r="E93"/>
  <c r="F93"/>
  <c r="G93"/>
  <c r="H93"/>
  <c r="I93"/>
  <c r="J93"/>
  <c r="K93"/>
  <c r="V93" s="1"/>
  <c r="W93" s="1"/>
  <c r="L93"/>
  <c r="M93"/>
  <c r="C94"/>
  <c r="D94"/>
  <c r="Q94" s="1"/>
  <c r="R94" s="1"/>
  <c r="E94"/>
  <c r="F94"/>
  <c r="G94"/>
  <c r="H94"/>
  <c r="I94"/>
  <c r="V94" s="1"/>
  <c r="W94" s="1"/>
  <c r="J94"/>
  <c r="K94"/>
  <c r="L94"/>
  <c r="M94"/>
  <c r="C95"/>
  <c r="D95"/>
  <c r="E95"/>
  <c r="Q95" s="1"/>
  <c r="R95" s="1"/>
  <c r="F95"/>
  <c r="G95"/>
  <c r="H95"/>
  <c r="I95"/>
  <c r="J95"/>
  <c r="K95"/>
  <c r="L95"/>
  <c r="M95"/>
  <c r="C96"/>
  <c r="D96"/>
  <c r="E96"/>
  <c r="F96"/>
  <c r="G96"/>
  <c r="H96"/>
  <c r="I96"/>
  <c r="J96"/>
  <c r="V96" s="1"/>
  <c r="W96" s="1"/>
  <c r="K96"/>
  <c r="L96"/>
  <c r="M96"/>
  <c r="C97"/>
  <c r="Q97" s="1"/>
  <c r="R97" s="1"/>
  <c r="D97"/>
  <c r="E97"/>
  <c r="F97"/>
  <c r="G97"/>
  <c r="H97"/>
  <c r="I97"/>
  <c r="J97"/>
  <c r="K97"/>
  <c r="V97" s="1"/>
  <c r="W97" s="1"/>
  <c r="L97"/>
  <c r="M97"/>
  <c r="C98"/>
  <c r="D98"/>
  <c r="Q98" s="1"/>
  <c r="R98" s="1"/>
  <c r="E98"/>
  <c r="F98"/>
  <c r="G98"/>
  <c r="H98"/>
  <c r="I98"/>
  <c r="V98" s="1"/>
  <c r="W98" s="1"/>
  <c r="J98"/>
  <c r="K98"/>
  <c r="L98"/>
  <c r="M98"/>
  <c r="C99"/>
  <c r="D99"/>
  <c r="E99"/>
  <c r="F99"/>
  <c r="G99"/>
  <c r="H99"/>
  <c r="I99"/>
  <c r="J99"/>
  <c r="K99"/>
  <c r="L99"/>
  <c r="M99"/>
  <c r="C100"/>
  <c r="D100"/>
  <c r="E100"/>
  <c r="F100"/>
  <c r="G100"/>
  <c r="H100"/>
  <c r="D89"/>
  <c r="E89"/>
  <c r="F89"/>
  <c r="G89"/>
  <c r="H89"/>
  <c r="I89"/>
  <c r="J89"/>
  <c r="K89"/>
  <c r="L89"/>
  <c r="M89"/>
  <c r="P104"/>
  <c r="U104" s="1"/>
  <c r="P103"/>
  <c r="U103" s="1"/>
  <c r="P100"/>
  <c r="U100" s="1"/>
  <c r="P98"/>
  <c r="U98" s="1"/>
  <c r="P97"/>
  <c r="U97" s="1"/>
  <c r="Q96"/>
  <c r="R96" s="1"/>
  <c r="P96"/>
  <c r="U96" s="1"/>
  <c r="P95"/>
  <c r="U95" s="1"/>
  <c r="P94"/>
  <c r="U94" s="1"/>
  <c r="P93"/>
  <c r="U93" s="1"/>
  <c r="Q92"/>
  <c r="R92" s="1"/>
  <c r="P92"/>
  <c r="U92" s="1"/>
  <c r="P91"/>
  <c r="U91" s="1"/>
  <c r="P90"/>
  <c r="U90" s="1"/>
  <c r="P89"/>
  <c r="U89" s="1"/>
  <c r="D79"/>
  <c r="E79"/>
  <c r="C79"/>
  <c r="P80"/>
  <c r="U80" s="1"/>
  <c r="P79"/>
  <c r="U79" s="1"/>
  <c r="P76"/>
  <c r="U76" s="1"/>
  <c r="M76"/>
  <c r="M100" s="1"/>
  <c r="L76"/>
  <c r="L100" s="1"/>
  <c r="K76"/>
  <c r="K100" s="1"/>
  <c r="J76"/>
  <c r="J100" s="1"/>
  <c r="I76"/>
  <c r="I100" s="1"/>
  <c r="H76"/>
  <c r="G76"/>
  <c r="F76"/>
  <c r="E76"/>
  <c r="E80" s="1"/>
  <c r="D76"/>
  <c r="C76"/>
  <c r="X74"/>
  <c r="V74"/>
  <c r="S74"/>
  <c r="Q74"/>
  <c r="P74"/>
  <c r="U74" s="1"/>
  <c r="X73"/>
  <c r="V73"/>
  <c r="S73"/>
  <c r="Q73"/>
  <c r="P73"/>
  <c r="U73" s="1"/>
  <c r="X72"/>
  <c r="V72"/>
  <c r="S72"/>
  <c r="Q72"/>
  <c r="P72"/>
  <c r="U72" s="1"/>
  <c r="X71"/>
  <c r="V71"/>
  <c r="S71"/>
  <c r="Q71"/>
  <c r="P71"/>
  <c r="U71" s="1"/>
  <c r="X70"/>
  <c r="V70"/>
  <c r="S70"/>
  <c r="Q70"/>
  <c r="P70"/>
  <c r="U70" s="1"/>
  <c r="X69"/>
  <c r="V69"/>
  <c r="S69"/>
  <c r="Q69"/>
  <c r="P69"/>
  <c r="U69" s="1"/>
  <c r="X68"/>
  <c r="V68"/>
  <c r="S68"/>
  <c r="Q68"/>
  <c r="P68"/>
  <c r="U68" s="1"/>
  <c r="X67"/>
  <c r="V67"/>
  <c r="S67"/>
  <c r="Q67"/>
  <c r="P67"/>
  <c r="U67" s="1"/>
  <c r="X66"/>
  <c r="V66"/>
  <c r="S66"/>
  <c r="Q66"/>
  <c r="P66"/>
  <c r="U66" s="1"/>
  <c r="X65"/>
  <c r="V65"/>
  <c r="S65"/>
  <c r="Q65"/>
  <c r="P65"/>
  <c r="U65" s="1"/>
  <c r="G8" i="25"/>
  <c r="G20" s="1"/>
  <c r="H8"/>
  <c r="H20" s="1"/>
  <c r="I8"/>
  <c r="I20" s="1"/>
  <c r="K8"/>
  <c r="K20" s="1"/>
  <c r="L8"/>
  <c r="L20" s="1"/>
  <c r="M8"/>
  <c r="M20" s="1"/>
  <c r="O8"/>
  <c r="O20" s="1"/>
  <c r="P8"/>
  <c r="P20" s="1"/>
  <c r="J8"/>
  <c r="J20" s="1"/>
  <c r="N8"/>
  <c r="N20" s="1"/>
  <c r="F8"/>
  <c r="S20" l="1"/>
  <c r="F8" i="40"/>
  <c r="K8"/>
  <c r="L8"/>
  <c r="G8"/>
  <c r="J8"/>
  <c r="M8"/>
  <c r="H8"/>
  <c r="N8"/>
  <c r="P8"/>
  <c r="O8"/>
  <c r="I8"/>
  <c r="V95" i="18"/>
  <c r="W95" s="1"/>
  <c r="V92"/>
  <c r="W92" s="1"/>
  <c r="V90"/>
  <c r="W90" s="1"/>
  <c r="V91"/>
  <c r="W91" s="1"/>
  <c r="V100"/>
  <c r="V89"/>
  <c r="W89" s="1"/>
  <c r="Q100"/>
  <c r="Q89"/>
  <c r="R89" s="1"/>
  <c r="R100"/>
  <c r="D80"/>
  <c r="C80"/>
  <c r="Q76"/>
  <c r="V76"/>
  <c r="S76"/>
  <c r="X76"/>
  <c r="S8" i="25"/>
  <c r="R8"/>
  <c r="T8" s="1"/>
  <c r="C27" i="42"/>
  <c r="E27" s="1"/>
  <c r="E28" s="1"/>
  <c r="E29" l="1"/>
  <c r="S8" i="40"/>
  <c r="R8"/>
  <c r="T8" s="1"/>
  <c r="F27" i="42"/>
  <c r="W100" i="18"/>
  <c r="F29" i="42" l="1"/>
  <c r="F28"/>
  <c r="F30"/>
  <c r="D40" i="24" l="1"/>
  <c r="E40"/>
  <c r="F40"/>
  <c r="G40"/>
  <c r="H40"/>
  <c r="I40"/>
  <c r="J40"/>
  <c r="K40"/>
  <c r="L40"/>
  <c r="M40"/>
  <c r="C40"/>
  <c r="Q20" i="22"/>
  <c r="B20"/>
  <c r="P20" s="1"/>
  <c r="V20" s="1"/>
  <c r="P57"/>
  <c r="V57" s="1"/>
  <c r="Q57"/>
  <c r="P64"/>
  <c r="V64" s="1"/>
  <c r="Q64"/>
  <c r="Q27"/>
  <c r="B36"/>
  <c r="B34"/>
  <c r="B27"/>
  <c r="P27" s="1"/>
  <c r="V27" s="1"/>
  <c r="H111" i="24" l="1"/>
  <c r="O30"/>
  <c r="C39"/>
  <c r="D39"/>
  <c r="O95"/>
  <c r="I111"/>
  <c r="J111"/>
  <c r="K111"/>
  <c r="L111"/>
  <c r="M111"/>
  <c r="I113"/>
  <c r="J113"/>
  <c r="K113"/>
  <c r="L113"/>
  <c r="M113"/>
  <c r="H113"/>
  <c r="O109"/>
  <c r="O106"/>
  <c r="O105"/>
  <c r="O104"/>
  <c r="O103"/>
  <c r="O100"/>
  <c r="M43" i="48"/>
  <c r="P55"/>
  <c r="U55" s="1"/>
  <c r="X55"/>
  <c r="L19"/>
  <c r="L18" i="42" s="1"/>
  <c r="J19" i="48"/>
  <c r="J18" i="42" s="1"/>
  <c r="S55" i="48"/>
  <c r="F19"/>
  <c r="F18" i="42" s="1"/>
  <c r="E19" i="48"/>
  <c r="E18" i="42" s="1"/>
  <c r="D19" i="48"/>
  <c r="D18" i="42" s="1"/>
  <c r="F18" i="25"/>
  <c r="F20" s="1"/>
  <c r="P54" i="48"/>
  <c r="U54" s="1"/>
  <c r="P53"/>
  <c r="U53" s="1"/>
  <c r="P52"/>
  <c r="U52" s="1"/>
  <c r="P51"/>
  <c r="U51" s="1"/>
  <c r="P50"/>
  <c r="U50" s="1"/>
  <c r="P49"/>
  <c r="U49" s="1"/>
  <c r="P43"/>
  <c r="U43" s="1"/>
  <c r="V42"/>
  <c r="V20" s="1"/>
  <c r="P42"/>
  <c r="U42" s="1"/>
  <c r="H42"/>
  <c r="S42" s="1"/>
  <c r="G42"/>
  <c r="G20" s="1"/>
  <c r="F42"/>
  <c r="M41"/>
  <c r="X41" s="1"/>
  <c r="L41"/>
  <c r="K41"/>
  <c r="J41"/>
  <c r="I41"/>
  <c r="H41"/>
  <c r="G41"/>
  <c r="F41"/>
  <c r="E41"/>
  <c r="D41"/>
  <c r="C41"/>
  <c r="P39"/>
  <c r="U39" s="1"/>
  <c r="L39"/>
  <c r="L43" s="1"/>
  <c r="K39"/>
  <c r="K43" s="1"/>
  <c r="J39"/>
  <c r="J43" s="1"/>
  <c r="I39"/>
  <c r="H39"/>
  <c r="G39"/>
  <c r="F39"/>
  <c r="E39"/>
  <c r="E43" s="1"/>
  <c r="D39"/>
  <c r="D43" s="1"/>
  <c r="C39"/>
  <c r="C43" s="1"/>
  <c r="X37"/>
  <c r="V37"/>
  <c r="S37"/>
  <c r="Q37"/>
  <c r="P37"/>
  <c r="U37" s="1"/>
  <c r="X36"/>
  <c r="V36"/>
  <c r="S36"/>
  <c r="Q36"/>
  <c r="P36"/>
  <c r="U36" s="1"/>
  <c r="X35"/>
  <c r="V35"/>
  <c r="S35"/>
  <c r="Q35"/>
  <c r="P35"/>
  <c r="U35" s="1"/>
  <c r="X34"/>
  <c r="V34"/>
  <c r="S34"/>
  <c r="Q34"/>
  <c r="P34"/>
  <c r="U34" s="1"/>
  <c r="X33"/>
  <c r="V33"/>
  <c r="S33"/>
  <c r="Q33"/>
  <c r="P33"/>
  <c r="U33" s="1"/>
  <c r="X32"/>
  <c r="V32"/>
  <c r="S32"/>
  <c r="Q32"/>
  <c r="P32"/>
  <c r="U32" s="1"/>
  <c r="X31"/>
  <c r="V31"/>
  <c r="S31"/>
  <c r="Q31"/>
  <c r="P31"/>
  <c r="U31" s="1"/>
  <c r="X30"/>
  <c r="V30"/>
  <c r="S30"/>
  <c r="Q30"/>
  <c r="P30"/>
  <c r="U30" s="1"/>
  <c r="X29"/>
  <c r="V29"/>
  <c r="S29"/>
  <c r="Q29"/>
  <c r="P29"/>
  <c r="U29" s="1"/>
  <c r="V28"/>
  <c r="S28"/>
  <c r="Q28"/>
  <c r="P28"/>
  <c r="U28" s="1"/>
  <c r="G24"/>
  <c r="F24"/>
  <c r="F11" s="1"/>
  <c r="E24"/>
  <c r="E6" s="1"/>
  <c r="D24"/>
  <c r="C24"/>
  <c r="C13" s="1"/>
  <c r="P21"/>
  <c r="U21" s="1"/>
  <c r="P20"/>
  <c r="U20" s="1"/>
  <c r="M20"/>
  <c r="L20"/>
  <c r="K20"/>
  <c r="J20"/>
  <c r="I20"/>
  <c r="E20"/>
  <c r="D20"/>
  <c r="C20"/>
  <c r="U19"/>
  <c r="K19"/>
  <c r="K18" i="42" s="1"/>
  <c r="G19" i="48"/>
  <c r="G18" i="42" s="1"/>
  <c r="G21" s="1"/>
  <c r="C19" i="48"/>
  <c r="C18" i="42" s="1"/>
  <c r="P17" i="48"/>
  <c r="U17" s="1"/>
  <c r="B15"/>
  <c r="P15" s="1"/>
  <c r="U15" s="1"/>
  <c r="F14"/>
  <c r="B14"/>
  <c r="P14" s="1"/>
  <c r="U14" s="1"/>
  <c r="B13"/>
  <c r="P13" s="1"/>
  <c r="U13" s="1"/>
  <c r="B12"/>
  <c r="P12" s="1"/>
  <c r="U12" s="1"/>
  <c r="B11"/>
  <c r="P11" s="1"/>
  <c r="U11" s="1"/>
  <c r="B10"/>
  <c r="P10" s="1"/>
  <c r="U10" s="1"/>
  <c r="B9"/>
  <c r="P9" s="1"/>
  <c r="U9" s="1"/>
  <c r="B8"/>
  <c r="P8" s="1"/>
  <c r="U8" s="1"/>
  <c r="B7"/>
  <c r="P7" s="1"/>
  <c r="U7" s="1"/>
  <c r="B6"/>
  <c r="P6" s="1"/>
  <c r="U6" s="1"/>
  <c r="J21" i="42" l="1"/>
  <c r="J11" s="1"/>
  <c r="S41" i="48"/>
  <c r="E12"/>
  <c r="F7"/>
  <c r="F9"/>
  <c r="E13"/>
  <c r="H43"/>
  <c r="S43" s="1"/>
  <c r="V41"/>
  <c r="V19" s="1"/>
  <c r="V55"/>
  <c r="F43"/>
  <c r="C14"/>
  <c r="D13"/>
  <c r="F6"/>
  <c r="F8"/>
  <c r="F10"/>
  <c r="H19"/>
  <c r="G17"/>
  <c r="G21" s="1"/>
  <c r="F12"/>
  <c r="F13"/>
  <c r="F15"/>
  <c r="I19"/>
  <c r="I18" i="42" s="1"/>
  <c r="M19" i="48"/>
  <c r="M18" i="42" s="1"/>
  <c r="Q41" i="48"/>
  <c r="Q55"/>
  <c r="R55" s="1"/>
  <c r="G43"/>
  <c r="F17"/>
  <c r="E17"/>
  <c r="E21" s="1"/>
  <c r="E9"/>
  <c r="E7"/>
  <c r="E8"/>
  <c r="E14"/>
  <c r="C8"/>
  <c r="E10"/>
  <c r="E15"/>
  <c r="G8"/>
  <c r="E11"/>
  <c r="D8"/>
  <c r="G9"/>
  <c r="C12"/>
  <c r="G12"/>
  <c r="C9"/>
  <c r="D12"/>
  <c r="G13"/>
  <c r="H20"/>
  <c r="Q42"/>
  <c r="F20"/>
  <c r="D7"/>
  <c r="D15"/>
  <c r="D6"/>
  <c r="C7"/>
  <c r="G7"/>
  <c r="D10"/>
  <c r="C11"/>
  <c r="G11"/>
  <c r="D14"/>
  <c r="C15"/>
  <c r="G15"/>
  <c r="C17"/>
  <c r="C21" s="1"/>
  <c r="D11"/>
  <c r="D17"/>
  <c r="D21" s="1"/>
  <c r="C6"/>
  <c r="G6"/>
  <c r="D9"/>
  <c r="C10"/>
  <c r="G10"/>
  <c r="G14"/>
  <c r="V39"/>
  <c r="S39"/>
  <c r="X39"/>
  <c r="X42"/>
  <c r="I43"/>
  <c r="Q39"/>
  <c r="S19" l="1"/>
  <c r="H18" i="42"/>
  <c r="H21" s="1"/>
  <c r="H11" s="1"/>
  <c r="W55" i="48"/>
  <c r="W77"/>
  <c r="W78"/>
  <c r="X43"/>
  <c r="X19"/>
  <c r="Q19"/>
  <c r="R36"/>
  <c r="W37"/>
  <c r="R33"/>
  <c r="R35"/>
  <c r="R37"/>
  <c r="R34"/>
  <c r="R29"/>
  <c r="Q20"/>
  <c r="S20"/>
  <c r="X20"/>
  <c r="F21"/>
  <c r="W35"/>
  <c r="W36"/>
  <c r="W39"/>
  <c r="W29"/>
  <c r="W28"/>
  <c r="V43"/>
  <c r="W30"/>
  <c r="W33"/>
  <c r="W31"/>
  <c r="W32"/>
  <c r="W34"/>
  <c r="R32"/>
  <c r="Q43"/>
  <c r="R39"/>
  <c r="R30"/>
  <c r="R31"/>
  <c r="R28"/>
  <c r="O49" i="24" l="1"/>
  <c r="P49"/>
  <c r="P30"/>
  <c r="O32"/>
  <c r="P32"/>
  <c r="O33"/>
  <c r="P33"/>
  <c r="O34"/>
  <c r="P34"/>
  <c r="O35"/>
  <c r="O36"/>
  <c r="P36"/>
  <c r="O37"/>
  <c r="P37"/>
  <c r="P31"/>
  <c r="O31"/>
  <c r="O13"/>
  <c r="P13"/>
  <c r="O14"/>
  <c r="P14"/>
  <c r="O15"/>
  <c r="P15"/>
  <c r="O16"/>
  <c r="P16"/>
  <c r="O17"/>
  <c r="P17"/>
  <c r="O18"/>
  <c r="P18"/>
  <c r="O19"/>
  <c r="P19"/>
  <c r="O20"/>
  <c r="P20"/>
  <c r="O21"/>
  <c r="P21"/>
  <c r="O22"/>
  <c r="O94"/>
  <c r="O96"/>
  <c r="O97"/>
  <c r="O98"/>
  <c r="O99"/>
  <c r="O101"/>
  <c r="O102"/>
  <c r="O107"/>
  <c r="O108"/>
  <c r="H63"/>
  <c r="D63"/>
  <c r="E63"/>
  <c r="F63"/>
  <c r="G63"/>
  <c r="I63"/>
  <c r="J63"/>
  <c r="K63"/>
  <c r="L63"/>
  <c r="C63"/>
  <c r="D42"/>
  <c r="E39"/>
  <c r="E42" s="1"/>
  <c r="F39"/>
  <c r="F42" s="1"/>
  <c r="G39"/>
  <c r="G42" s="1"/>
  <c r="H39"/>
  <c r="H42" s="1"/>
  <c r="I39"/>
  <c r="I42" s="1"/>
  <c r="J39"/>
  <c r="J42" s="1"/>
  <c r="K39"/>
  <c r="K42" s="1"/>
  <c r="L39"/>
  <c r="L42" s="1"/>
  <c r="M39"/>
  <c r="M42" s="1"/>
  <c r="C42"/>
  <c r="C24"/>
  <c r="L24"/>
  <c r="K24"/>
  <c r="J24"/>
  <c r="I24"/>
  <c r="H24"/>
  <c r="G24"/>
  <c r="F24"/>
  <c r="E24"/>
  <c r="D24"/>
  <c r="P9" i="33"/>
  <c r="R9" s="1"/>
  <c r="Q9"/>
  <c r="M63" i="24" l="1"/>
  <c r="P61"/>
  <c r="P39"/>
  <c r="P10"/>
  <c r="O24"/>
  <c r="O39"/>
  <c r="O42" s="1"/>
  <c r="O10"/>
  <c r="P24"/>
  <c r="O61"/>
  <c r="O63" s="1"/>
  <c r="C39" i="43" l="1"/>
  <c r="C43" s="1"/>
  <c r="P51" i="22" l="1"/>
  <c r="V51" s="1"/>
  <c r="P62"/>
  <c r="V62" s="1"/>
  <c r="Q62"/>
  <c r="Q25"/>
  <c r="Q18"/>
  <c r="P47"/>
  <c r="V47" s="1"/>
  <c r="B25"/>
  <c r="P25" s="1"/>
  <c r="V25" s="1"/>
  <c r="W55"/>
  <c r="Q55"/>
  <c r="P55"/>
  <c r="V55" s="1"/>
  <c r="B18"/>
  <c r="P18" s="1"/>
  <c r="V18" s="1"/>
  <c r="B32"/>
  <c r="B15"/>
  <c r="P15" s="1"/>
  <c r="V15" s="1"/>
  <c r="D47"/>
  <c r="D70" s="1"/>
  <c r="E47"/>
  <c r="E70" s="1"/>
  <c r="I47"/>
  <c r="I70" s="1"/>
  <c r="J47"/>
  <c r="J70" s="1"/>
  <c r="K47"/>
  <c r="K70" s="1"/>
  <c r="L47"/>
  <c r="L70" s="1"/>
  <c r="M47"/>
  <c r="M70" s="1"/>
  <c r="C47"/>
  <c r="C70" s="1"/>
  <c r="B11"/>
  <c r="P11" s="1"/>
  <c r="V11" s="1"/>
  <c r="K41" i="43"/>
  <c r="L41"/>
  <c r="E41"/>
  <c r="G41"/>
  <c r="P55"/>
  <c r="U55" s="1"/>
  <c r="M41"/>
  <c r="K19"/>
  <c r="J19"/>
  <c r="I41"/>
  <c r="H41"/>
  <c r="G19"/>
  <c r="F19"/>
  <c r="D41"/>
  <c r="C41"/>
  <c r="P54"/>
  <c r="U54" s="1"/>
  <c r="P53"/>
  <c r="U53" s="1"/>
  <c r="P52"/>
  <c r="U52" s="1"/>
  <c r="P51"/>
  <c r="U51" s="1"/>
  <c r="P50"/>
  <c r="U50" s="1"/>
  <c r="P49"/>
  <c r="U49" s="1"/>
  <c r="P43"/>
  <c r="U43" s="1"/>
  <c r="P42"/>
  <c r="U42" s="1"/>
  <c r="V42"/>
  <c r="V20" s="1"/>
  <c r="H42"/>
  <c r="S42" s="1"/>
  <c r="G42"/>
  <c r="G47" i="22" s="1"/>
  <c r="F42" i="43"/>
  <c r="F47" i="22" s="1"/>
  <c r="P39" i="43"/>
  <c r="U39" s="1"/>
  <c r="M39"/>
  <c r="L39"/>
  <c r="L43" s="1"/>
  <c r="K39"/>
  <c r="K43" s="1"/>
  <c r="J39"/>
  <c r="J43" s="1"/>
  <c r="I39"/>
  <c r="H39"/>
  <c r="G39"/>
  <c r="F39"/>
  <c r="E39"/>
  <c r="E43" s="1"/>
  <c r="D39"/>
  <c r="D43" s="1"/>
  <c r="X37"/>
  <c r="V37"/>
  <c r="S37"/>
  <c r="Q37"/>
  <c r="P37"/>
  <c r="U37" s="1"/>
  <c r="X36"/>
  <c r="V36"/>
  <c r="S36"/>
  <c r="Q36"/>
  <c r="P36"/>
  <c r="U36" s="1"/>
  <c r="X35"/>
  <c r="V35"/>
  <c r="S35"/>
  <c r="Q35"/>
  <c r="P35"/>
  <c r="U35" s="1"/>
  <c r="X34"/>
  <c r="V34"/>
  <c r="S34"/>
  <c r="Q34"/>
  <c r="P34"/>
  <c r="U34" s="1"/>
  <c r="X33"/>
  <c r="V33"/>
  <c r="S33"/>
  <c r="Q33"/>
  <c r="P33"/>
  <c r="U33" s="1"/>
  <c r="X32"/>
  <c r="V32"/>
  <c r="S32"/>
  <c r="Q32"/>
  <c r="P32"/>
  <c r="U32" s="1"/>
  <c r="X31"/>
  <c r="V31"/>
  <c r="S31"/>
  <c r="Q31"/>
  <c r="P31"/>
  <c r="U31" s="1"/>
  <c r="X30"/>
  <c r="V30"/>
  <c r="S30"/>
  <c r="Q30"/>
  <c r="P30"/>
  <c r="U30" s="1"/>
  <c r="X29"/>
  <c r="V29"/>
  <c r="S29"/>
  <c r="Q29"/>
  <c r="P29"/>
  <c r="U29" s="1"/>
  <c r="X28"/>
  <c r="V28"/>
  <c r="S28"/>
  <c r="Q28"/>
  <c r="P28"/>
  <c r="U28" s="1"/>
  <c r="G24"/>
  <c r="G14" s="1"/>
  <c r="F24"/>
  <c r="F14" s="1"/>
  <c r="E24"/>
  <c r="E14" s="1"/>
  <c r="D24"/>
  <c r="D15" s="1"/>
  <c r="C24"/>
  <c r="C14" s="1"/>
  <c r="P21"/>
  <c r="U21" s="1"/>
  <c r="P20"/>
  <c r="U20" s="1"/>
  <c r="M20"/>
  <c r="L20"/>
  <c r="K20"/>
  <c r="J20"/>
  <c r="I20"/>
  <c r="E20"/>
  <c r="D20"/>
  <c r="C20"/>
  <c r="U19"/>
  <c r="P17"/>
  <c r="U17" s="1"/>
  <c r="B15"/>
  <c r="P15" s="1"/>
  <c r="U15" s="1"/>
  <c r="B14"/>
  <c r="P14" s="1"/>
  <c r="U14" s="1"/>
  <c r="D13"/>
  <c r="B13"/>
  <c r="P13" s="1"/>
  <c r="U13" s="1"/>
  <c r="B12"/>
  <c r="P12" s="1"/>
  <c r="U12" s="1"/>
  <c r="B11"/>
  <c r="P11" s="1"/>
  <c r="U11" s="1"/>
  <c r="B10"/>
  <c r="P10" s="1"/>
  <c r="U10" s="1"/>
  <c r="B9"/>
  <c r="P9" s="1"/>
  <c r="U9" s="1"/>
  <c r="B8"/>
  <c r="P8" s="1"/>
  <c r="U8" s="1"/>
  <c r="B7"/>
  <c r="P7" s="1"/>
  <c r="U7" s="1"/>
  <c r="B6"/>
  <c r="P6" s="1"/>
  <c r="U6" s="1"/>
  <c r="F31" i="42"/>
  <c r="E30"/>
  <c r="E7" i="43" l="1"/>
  <c r="E12"/>
  <c r="E8"/>
  <c r="E10"/>
  <c r="F41"/>
  <c r="D12"/>
  <c r="J41"/>
  <c r="F7"/>
  <c r="H20"/>
  <c r="S20" s="1"/>
  <c r="G7"/>
  <c r="F70" i="22"/>
  <c r="G70"/>
  <c r="E13" i="43"/>
  <c r="E15"/>
  <c r="E6"/>
  <c r="E9"/>
  <c r="E11"/>
  <c r="G13"/>
  <c r="C15"/>
  <c r="F11"/>
  <c r="F13"/>
  <c r="G15"/>
  <c r="C13"/>
  <c r="C7"/>
  <c r="F9"/>
  <c r="F15"/>
  <c r="F20"/>
  <c r="AA47" i="22"/>
  <c r="D11" i="43"/>
  <c r="D8"/>
  <c r="D9"/>
  <c r="C11"/>
  <c r="G11"/>
  <c r="D10"/>
  <c r="D6"/>
  <c r="D7"/>
  <c r="C9"/>
  <c r="G9"/>
  <c r="D14"/>
  <c r="F33" i="42"/>
  <c r="F34" s="1"/>
  <c r="G20" i="43"/>
  <c r="G11" i="22"/>
  <c r="C11"/>
  <c r="F11"/>
  <c r="D11"/>
  <c r="E11"/>
  <c r="H47"/>
  <c r="E31" i="42"/>
  <c r="E33" s="1"/>
  <c r="E34" s="1"/>
  <c r="M11" i="22"/>
  <c r="AA11" s="1"/>
  <c r="J11"/>
  <c r="L11"/>
  <c r="I11"/>
  <c r="K11"/>
  <c r="W51"/>
  <c r="E172" s="1"/>
  <c r="W47"/>
  <c r="C6" i="43"/>
  <c r="G6"/>
  <c r="C8"/>
  <c r="G8"/>
  <c r="C10"/>
  <c r="G10"/>
  <c r="C12"/>
  <c r="G12"/>
  <c r="F6"/>
  <c r="F8"/>
  <c r="F10"/>
  <c r="F12"/>
  <c r="Q51" i="22"/>
  <c r="S51"/>
  <c r="H43" i="43"/>
  <c r="S43" s="1"/>
  <c r="Q42"/>
  <c r="X42"/>
  <c r="G43"/>
  <c r="F43"/>
  <c r="S41"/>
  <c r="Q55"/>
  <c r="R55" s="1"/>
  <c r="C19"/>
  <c r="V55"/>
  <c r="X55"/>
  <c r="S55"/>
  <c r="G17"/>
  <c r="X39"/>
  <c r="D17"/>
  <c r="D21" s="1"/>
  <c r="C17"/>
  <c r="C21" s="1"/>
  <c r="F17"/>
  <c r="E17"/>
  <c r="E21" s="1"/>
  <c r="V39"/>
  <c r="W39" s="1"/>
  <c r="S39"/>
  <c r="Q41"/>
  <c r="M43"/>
  <c r="E19"/>
  <c r="I19"/>
  <c r="M19"/>
  <c r="X41"/>
  <c r="I43"/>
  <c r="D19"/>
  <c r="H19"/>
  <c r="L19"/>
  <c r="Q39"/>
  <c r="X20" l="1"/>
  <c r="H70" i="22"/>
  <c r="F21" i="43"/>
  <c r="Q20"/>
  <c r="U172" i="22"/>
  <c r="Z51"/>
  <c r="X51"/>
  <c r="X55"/>
  <c r="R55"/>
  <c r="R60"/>
  <c r="R65"/>
  <c r="R59"/>
  <c r="R64"/>
  <c r="R58"/>
  <c r="R62"/>
  <c r="R57"/>
  <c r="R66"/>
  <c r="R51"/>
  <c r="Z55"/>
  <c r="X47"/>
  <c r="G21" i="43"/>
  <c r="H11" i="22"/>
  <c r="S11" s="1"/>
  <c r="Y47"/>
  <c r="X43" i="43"/>
  <c r="Q47" i="22"/>
  <c r="R47" s="1"/>
  <c r="S47"/>
  <c r="W11"/>
  <c r="X11" s="1"/>
  <c r="Q19" i="43"/>
  <c r="W55"/>
  <c r="S19"/>
  <c r="W31"/>
  <c r="W29"/>
  <c r="W36"/>
  <c r="W28"/>
  <c r="W35"/>
  <c r="W33"/>
  <c r="V43"/>
  <c r="W32"/>
  <c r="W37"/>
  <c r="W30"/>
  <c r="W34"/>
  <c r="Q43"/>
  <c r="R37"/>
  <c r="R36"/>
  <c r="R35"/>
  <c r="R34"/>
  <c r="R33"/>
  <c r="R32"/>
  <c r="R31"/>
  <c r="R30"/>
  <c r="R29"/>
  <c r="R28"/>
  <c r="R39"/>
  <c r="X19"/>
  <c r="V41"/>
  <c r="V19" s="1"/>
  <c r="Y11" i="22" l="1"/>
  <c r="Q11"/>
  <c r="R11" s="1"/>
  <c r="X118" i="1" l="1"/>
  <c r="X114" l="1"/>
  <c r="X111"/>
  <c r="O11" i="32" l="1"/>
  <c r="O11" i="54" s="1"/>
  <c r="P11" i="32"/>
  <c r="P11" i="54" s="1"/>
  <c r="G42" i="18"/>
  <c r="G79" s="1"/>
  <c r="H42"/>
  <c r="H79" s="1"/>
  <c r="H103" s="1"/>
  <c r="I42"/>
  <c r="I79" s="1"/>
  <c r="I103" s="1"/>
  <c r="J42"/>
  <c r="J79" s="1"/>
  <c r="K42"/>
  <c r="K79" s="1"/>
  <c r="L42"/>
  <c r="L79" s="1"/>
  <c r="M42"/>
  <c r="M79" s="1"/>
  <c r="F42"/>
  <c r="F79" s="1"/>
  <c r="F103" s="1"/>
  <c r="K80" l="1"/>
  <c r="K103"/>
  <c r="G80"/>
  <c r="G103"/>
  <c r="Q103" s="1"/>
  <c r="L80"/>
  <c r="L103"/>
  <c r="J80"/>
  <c r="J103"/>
  <c r="M80"/>
  <c r="M103"/>
  <c r="X79"/>
  <c r="H80"/>
  <c r="S79"/>
  <c r="F80"/>
  <c r="Q79"/>
  <c r="Q80" s="1"/>
  <c r="V79"/>
  <c r="V80" s="1"/>
  <c r="I80"/>
  <c r="X42"/>
  <c r="V103" l="1"/>
  <c r="S80"/>
  <c r="X80"/>
  <c r="L128" i="36"/>
  <c r="L123"/>
  <c r="L11" i="32"/>
  <c r="L11" i="54" s="1"/>
  <c r="E140" i="13" l="1"/>
  <c r="F140" s="1"/>
  <c r="E123"/>
  <c r="E124"/>
  <c r="E125"/>
  <c r="E126"/>
  <c r="E127"/>
  <c r="F127" s="1"/>
  <c r="E128"/>
  <c r="E122"/>
  <c r="I130" i="36"/>
  <c r="J130"/>
  <c r="K130"/>
  <c r="L130"/>
  <c r="H130"/>
  <c r="I128"/>
  <c r="J128"/>
  <c r="K128"/>
  <c r="H128"/>
  <c r="C13" i="26"/>
  <c r="C16"/>
  <c r="F47" i="23"/>
  <c r="E47"/>
  <c r="D21"/>
  <c r="J46"/>
  <c r="J47"/>
  <c r="E46"/>
  <c r="E45"/>
  <c r="D23"/>
  <c r="D19"/>
  <c r="D18"/>
  <c r="D14"/>
  <c r="D12"/>
  <c r="D15"/>
  <c r="D16"/>
  <c r="D22"/>
  <c r="D11"/>
  <c r="C12"/>
  <c r="C11"/>
  <c r="K124" i="36"/>
  <c r="J124"/>
  <c r="I124"/>
  <c r="H124"/>
  <c r="G124"/>
  <c r="F124"/>
  <c r="E124"/>
  <c r="D124"/>
  <c r="K123"/>
  <c r="K125" s="1"/>
  <c r="J123"/>
  <c r="J125" s="1"/>
  <c r="C125"/>
  <c r="D123"/>
  <c r="D125" s="1"/>
  <c r="E123"/>
  <c r="E125" s="1"/>
  <c r="F123"/>
  <c r="F125" s="1"/>
  <c r="G123"/>
  <c r="G125" s="1"/>
  <c r="H123"/>
  <c r="H125" s="1"/>
  <c r="I123"/>
  <c r="I125" s="1"/>
  <c r="E15" i="31"/>
  <c r="E16"/>
  <c r="E14"/>
  <c r="M152" i="22" l="1"/>
  <c r="Q14" i="31"/>
  <c r="P14"/>
  <c r="R14"/>
  <c r="O14"/>
  <c r="N14"/>
  <c r="Q16"/>
  <c r="R16"/>
  <c r="N16"/>
  <c r="O16"/>
  <c r="P16"/>
  <c r="R15"/>
  <c r="N15"/>
  <c r="Q15"/>
  <c r="P15"/>
  <c r="O15"/>
  <c r="L125" i="36"/>
  <c r="T15" i="31" l="1"/>
  <c r="T103" i="1" l="1"/>
  <c r="I50" i="12" l="1"/>
  <c r="Z103" i="1"/>
  <c r="X104"/>
  <c r="X105" s="1"/>
  <c r="X106" s="1"/>
  <c r="X107" s="1"/>
  <c r="X108" l="1"/>
  <c r="X109" s="1"/>
  <c r="X110" s="1"/>
  <c r="X112" s="1"/>
  <c r="X113" s="1"/>
  <c r="X115" s="1"/>
  <c r="B17" i="22"/>
  <c r="P17" s="1"/>
  <c r="V17" s="1"/>
  <c r="B24"/>
  <c r="P24" s="1"/>
  <c r="V24" s="1"/>
  <c r="P54"/>
  <c r="V54" s="1"/>
  <c r="P61"/>
  <c r="V61" s="1"/>
  <c r="S46" i="10" l="1"/>
  <c r="M80" i="12" l="1"/>
  <c r="O30"/>
  <c r="P30"/>
  <c r="Q30"/>
  <c r="R30"/>
  <c r="S30"/>
  <c r="T30"/>
  <c r="N30"/>
  <c r="B80"/>
  <c r="D30"/>
  <c r="E30"/>
  <c r="C30"/>
  <c r="O76"/>
  <c r="P76"/>
  <c r="Q76"/>
  <c r="R76"/>
  <c r="S76"/>
  <c r="T76"/>
  <c r="O78"/>
  <c r="P78"/>
  <c r="Q78"/>
  <c r="R78"/>
  <c r="S78"/>
  <c r="T78"/>
  <c r="N78"/>
  <c r="N76"/>
  <c r="M76"/>
  <c r="M78"/>
  <c r="D76"/>
  <c r="E76"/>
  <c r="D78"/>
  <c r="E78"/>
  <c r="C78"/>
  <c r="C76"/>
  <c r="D56"/>
  <c r="E56"/>
  <c r="C56"/>
  <c r="B78"/>
  <c r="B76"/>
  <c r="B57"/>
  <c r="B58"/>
  <c r="B59"/>
  <c r="B60"/>
  <c r="B61"/>
  <c r="B62"/>
  <c r="B64"/>
  <c r="B65"/>
  <c r="B66"/>
  <c r="B68"/>
  <c r="B70"/>
  <c r="B72"/>
  <c r="B74"/>
  <c r="B56"/>
  <c r="M57"/>
  <c r="M58"/>
  <c r="M59"/>
  <c r="M60"/>
  <c r="M61"/>
  <c r="M62"/>
  <c r="M64"/>
  <c r="M65"/>
  <c r="M66"/>
  <c r="M68"/>
  <c r="M70"/>
  <c r="M72"/>
  <c r="M74"/>
  <c r="M56"/>
  <c r="C143" i="13" l="1"/>
  <c r="E137"/>
  <c r="F137" s="1"/>
  <c r="E138"/>
  <c r="F138" s="1"/>
  <c r="O51"/>
  <c r="P51"/>
  <c r="N51"/>
  <c r="AA109" i="1"/>
  <c r="AA110" s="1"/>
  <c r="AA111" s="1"/>
  <c r="AA112" s="1"/>
  <c r="AA113" s="1"/>
  <c r="AA114" s="1"/>
  <c r="AA115" s="1"/>
  <c r="AA108"/>
  <c r="AA107"/>
  <c r="AA106"/>
  <c r="AA105"/>
  <c r="AA104"/>
  <c r="Z104" s="1"/>
  <c r="J50" i="12" l="1"/>
  <c r="Z105" i="1"/>
  <c r="X103"/>
  <c r="V103"/>
  <c r="V112"/>
  <c r="V113" s="1"/>
  <c r="V114" s="1"/>
  <c r="V115" s="1"/>
  <c r="Z106" l="1"/>
  <c r="Z107" s="1"/>
  <c r="Z108" s="1"/>
  <c r="Z109" s="1"/>
  <c r="Z110" s="1"/>
  <c r="Z111" s="1"/>
  <c r="Z112" s="1"/>
  <c r="Z113" s="1"/>
  <c r="Z114" s="1"/>
  <c r="Z115" s="1"/>
  <c r="K50" i="12"/>
  <c r="W48" i="11"/>
  <c r="I48"/>
  <c r="I93" s="1"/>
  <c r="L107" i="1"/>
  <c r="L106"/>
  <c r="L105"/>
  <c r="T100"/>
  <c r="T101"/>
  <c r="U101" l="1"/>
  <c r="Z101"/>
  <c r="V101"/>
  <c r="X101"/>
  <c r="Z100"/>
  <c r="X100"/>
  <c r="V100"/>
  <c r="P12"/>
  <c r="T12"/>
  <c r="T61"/>
  <c r="T60"/>
  <c r="Z60" l="1"/>
  <c r="X60"/>
  <c r="V60"/>
  <c r="AA101"/>
  <c r="Y101"/>
  <c r="W101"/>
  <c r="U61"/>
  <c r="Z61"/>
  <c r="V61"/>
  <c r="X61"/>
  <c r="Z12"/>
  <c r="X12"/>
  <c r="V12"/>
  <c r="F48" i="11"/>
  <c r="T48"/>
  <c r="U48"/>
  <c r="G48"/>
  <c r="X48"/>
  <c r="J48"/>
  <c r="J55" s="1"/>
  <c r="X81" l="1"/>
  <c r="X85"/>
  <c r="X91"/>
  <c r="X55"/>
  <c r="X59"/>
  <c r="X66"/>
  <c r="X80"/>
  <c r="X84"/>
  <c r="X90"/>
  <c r="X58"/>
  <c r="X64"/>
  <c r="X72"/>
  <c r="X83"/>
  <c r="X88"/>
  <c r="X57"/>
  <c r="X62"/>
  <c r="X70"/>
  <c r="X82"/>
  <c r="X86"/>
  <c r="X93"/>
  <c r="X56"/>
  <c r="X60"/>
  <c r="X68"/>
  <c r="AA61" i="1"/>
  <c r="Y61"/>
  <c r="W61"/>
  <c r="U50" i="18" l="1"/>
  <c r="U53"/>
  <c r="U54"/>
  <c r="P50"/>
  <c r="P51"/>
  <c r="U51" s="1"/>
  <c r="P52"/>
  <c r="U52" s="1"/>
  <c r="P53"/>
  <c r="P54"/>
  <c r="P55"/>
  <c r="U55" s="1"/>
  <c r="P49"/>
  <c r="U49" s="1"/>
  <c r="E10" i="33"/>
  <c r="F10"/>
  <c r="G10"/>
  <c r="H10"/>
  <c r="I10"/>
  <c r="D10"/>
  <c r="G11" i="32"/>
  <c r="G11" i="54" s="1"/>
  <c r="H11" i="32"/>
  <c r="H11" i="54" s="1"/>
  <c r="I11" i="32"/>
  <c r="I11" i="54" s="1"/>
  <c r="J11" i="32"/>
  <c r="J11" i="54" s="1"/>
  <c r="K11" i="32"/>
  <c r="K11" i="54" s="1"/>
  <c r="M11" i="32"/>
  <c r="M11" i="54" s="1"/>
  <c r="N11" i="32"/>
  <c r="N11" i="54" s="1"/>
  <c r="F11" i="32"/>
  <c r="F11" i="54" s="1"/>
  <c r="N17" l="1"/>
  <c r="H17"/>
  <c r="G17"/>
  <c r="K17"/>
  <c r="S11"/>
  <c r="M17"/>
  <c r="R11"/>
  <c r="T11" s="1"/>
  <c r="I17"/>
  <c r="O17"/>
  <c r="P17"/>
  <c r="L17"/>
  <c r="F17"/>
  <c r="J17"/>
  <c r="L21" i="33"/>
  <c r="L10"/>
  <c r="M20"/>
  <c r="M10"/>
  <c r="K20"/>
  <c r="K10"/>
  <c r="N21"/>
  <c r="N10"/>
  <c r="J21"/>
  <c r="J10"/>
  <c r="I17" i="32"/>
  <c r="L17"/>
  <c r="O17"/>
  <c r="M17"/>
  <c r="N17"/>
  <c r="P17"/>
  <c r="S11"/>
  <c r="R11"/>
  <c r="T11" s="1"/>
  <c r="J17"/>
  <c r="K17"/>
  <c r="F17"/>
  <c r="N22" i="33"/>
  <c r="L22"/>
  <c r="J22"/>
  <c r="M21"/>
  <c r="K21"/>
  <c r="N20"/>
  <c r="L20"/>
  <c r="J20"/>
  <c r="M22"/>
  <c r="K22"/>
  <c r="Q8"/>
  <c r="P8"/>
  <c r="R8" s="1"/>
  <c r="H17" i="32"/>
  <c r="G17"/>
  <c r="Q10" i="33" l="1"/>
  <c r="P10"/>
  <c r="R10" s="1"/>
  <c r="P22"/>
  <c r="R22" s="1"/>
  <c r="P21"/>
  <c r="R21" s="1"/>
  <c r="P20"/>
  <c r="R20" s="1"/>
  <c r="P23" l="1"/>
  <c r="R23" s="1"/>
  <c r="B33" i="22"/>
  <c r="U19" i="18" l="1"/>
  <c r="Q32" i="13"/>
  <c r="B31" i="22"/>
  <c r="B13"/>
  <c r="P13" s="1"/>
  <c r="V13" s="1"/>
  <c r="B14"/>
  <c r="P14" s="1"/>
  <c r="V14" s="1"/>
  <c r="B10"/>
  <c r="P10" s="1"/>
  <c r="V10" s="1"/>
  <c r="T54" i="1"/>
  <c r="Z54" s="1"/>
  <c r="X54" l="1"/>
  <c r="V54"/>
  <c r="M6" i="11" l="1"/>
  <c r="P46" i="22" l="1"/>
  <c r="V46" s="1"/>
  <c r="P49"/>
  <c r="V49" s="1"/>
  <c r="P50"/>
  <c r="V50" s="1"/>
  <c r="P43" i="18" l="1"/>
  <c r="Q42" l="1"/>
  <c r="S42"/>
  <c r="X29" l="1"/>
  <c r="X28"/>
  <c r="X30"/>
  <c r="X31"/>
  <c r="X32"/>
  <c r="X33"/>
  <c r="X34"/>
  <c r="X35"/>
  <c r="X36"/>
  <c r="X37"/>
  <c r="V28"/>
  <c r="Q29"/>
  <c r="Q30"/>
  <c r="Q31"/>
  <c r="Q32"/>
  <c r="Q33"/>
  <c r="Q34"/>
  <c r="Q35"/>
  <c r="Q36"/>
  <c r="Q37"/>
  <c r="Q28"/>
  <c r="P29"/>
  <c r="U29" s="1"/>
  <c r="P30"/>
  <c r="U30" s="1"/>
  <c r="P31"/>
  <c r="U31" s="1"/>
  <c r="P32"/>
  <c r="U32" s="1"/>
  <c r="P33"/>
  <c r="U33" s="1"/>
  <c r="P34"/>
  <c r="U34" s="1"/>
  <c r="P35"/>
  <c r="U35" s="1"/>
  <c r="P36"/>
  <c r="U36" s="1"/>
  <c r="P37"/>
  <c r="U37" s="1"/>
  <c r="P39"/>
  <c r="U39" s="1"/>
  <c r="P42"/>
  <c r="U42" s="1"/>
  <c r="U43"/>
  <c r="P28"/>
  <c r="U28" s="1"/>
  <c r="P17"/>
  <c r="U17" s="1"/>
  <c r="P20"/>
  <c r="U20" s="1"/>
  <c r="P21"/>
  <c r="U21" s="1"/>
  <c r="C20"/>
  <c r="B7"/>
  <c r="P7" s="1"/>
  <c r="U7" s="1"/>
  <c r="B8"/>
  <c r="P8" s="1"/>
  <c r="U8" s="1"/>
  <c r="B9"/>
  <c r="P9" s="1"/>
  <c r="U9" s="1"/>
  <c r="B10"/>
  <c r="P10" s="1"/>
  <c r="U10" s="1"/>
  <c r="B11"/>
  <c r="P11" s="1"/>
  <c r="U11" s="1"/>
  <c r="B12"/>
  <c r="P12" s="1"/>
  <c r="U12" s="1"/>
  <c r="B13"/>
  <c r="P13" s="1"/>
  <c r="U13" s="1"/>
  <c r="B14"/>
  <c r="P14" s="1"/>
  <c r="U14" s="1"/>
  <c r="B15"/>
  <c r="P15" s="1"/>
  <c r="U15" s="1"/>
  <c r="B6"/>
  <c r="P6" s="1"/>
  <c r="U6" s="1"/>
  <c r="D20"/>
  <c r="E20"/>
  <c r="F20"/>
  <c r="G20"/>
  <c r="H20"/>
  <c r="I20"/>
  <c r="J20"/>
  <c r="K20"/>
  <c r="L20"/>
  <c r="M20"/>
  <c r="C39"/>
  <c r="D39"/>
  <c r="E39"/>
  <c r="F39"/>
  <c r="G39"/>
  <c r="H39"/>
  <c r="I39"/>
  <c r="J39"/>
  <c r="K39"/>
  <c r="L39"/>
  <c r="M39"/>
  <c r="D43"/>
  <c r="E43"/>
  <c r="F43"/>
  <c r="G43"/>
  <c r="H43"/>
  <c r="I43"/>
  <c r="J43"/>
  <c r="K43"/>
  <c r="L43"/>
  <c r="M43"/>
  <c r="V42"/>
  <c r="V37"/>
  <c r="S37"/>
  <c r="V36"/>
  <c r="S36"/>
  <c r="V35"/>
  <c r="S35"/>
  <c r="V34"/>
  <c r="S34"/>
  <c r="V33"/>
  <c r="S33"/>
  <c r="V32"/>
  <c r="S32"/>
  <c r="V31"/>
  <c r="S31"/>
  <c r="V30"/>
  <c r="S30"/>
  <c r="V29"/>
  <c r="S29"/>
  <c r="S28"/>
  <c r="Q100" i="13"/>
  <c r="R31" i="5"/>
  <c r="R32"/>
  <c r="R33"/>
  <c r="R34"/>
  <c r="R35"/>
  <c r="R36"/>
  <c r="R37"/>
  <c r="R38"/>
  <c r="R39"/>
  <c r="R40"/>
  <c r="R42"/>
  <c r="M13" i="13"/>
  <c r="M31"/>
  <c r="E139"/>
  <c r="F139" s="1"/>
  <c r="E141"/>
  <c r="F141" s="1"/>
  <c r="E142"/>
  <c r="F142" s="1"/>
  <c r="E143"/>
  <c r="C16"/>
  <c r="D16"/>
  <c r="E16"/>
  <c r="F16"/>
  <c r="G16"/>
  <c r="O98"/>
  <c r="O99" s="1"/>
  <c r="O100" s="1"/>
  <c r="P98"/>
  <c r="P99" s="1"/>
  <c r="P100" s="1"/>
  <c r="N98"/>
  <c r="M7" i="11"/>
  <c r="M8"/>
  <c r="M9"/>
  <c r="M10"/>
  <c r="M11"/>
  <c r="M12"/>
  <c r="M14"/>
  <c r="M16"/>
  <c r="M18"/>
  <c r="M20"/>
  <c r="M22"/>
  <c r="M24"/>
  <c r="AA32"/>
  <c r="R100" i="13" l="1"/>
  <c r="G104" i="18"/>
  <c r="L104"/>
  <c r="H104"/>
  <c r="J104"/>
  <c r="F104"/>
  <c r="K104"/>
  <c r="M104"/>
  <c r="I104"/>
  <c r="K50" i="22"/>
  <c r="K69" s="1"/>
  <c r="R39" i="18"/>
  <c r="G50" i="22"/>
  <c r="G69" s="1"/>
  <c r="C50"/>
  <c r="C69" s="1"/>
  <c r="K41" i="18"/>
  <c r="K78" s="1"/>
  <c r="K102" s="1"/>
  <c r="K19"/>
  <c r="G41"/>
  <c r="G78" s="1"/>
  <c r="G102" s="1"/>
  <c r="G19"/>
  <c r="F12" i="33"/>
  <c r="E46" i="22"/>
  <c r="E10" s="1"/>
  <c r="E11" i="41" s="1"/>
  <c r="D12" i="33"/>
  <c r="C46" i="22"/>
  <c r="C10" s="1"/>
  <c r="C11" i="41" s="1"/>
  <c r="L50" i="22"/>
  <c r="L69" s="1"/>
  <c r="H50"/>
  <c r="H69" s="1"/>
  <c r="S39" i="18"/>
  <c r="D50" i="22"/>
  <c r="D69" s="1"/>
  <c r="L41" i="18"/>
  <c r="L78" s="1"/>
  <c r="L102" s="1"/>
  <c r="L19"/>
  <c r="S55"/>
  <c r="H41"/>
  <c r="H78" s="1"/>
  <c r="H102" s="1"/>
  <c r="H19"/>
  <c r="D41"/>
  <c r="D78" s="1"/>
  <c r="D102" s="1"/>
  <c r="D19"/>
  <c r="D21" i="42" s="1"/>
  <c r="U11" i="31"/>
  <c r="M50" i="22"/>
  <c r="X39" i="18"/>
  <c r="I50" i="22"/>
  <c r="I69" s="1"/>
  <c r="E50"/>
  <c r="E69" s="1"/>
  <c r="X55" i="18"/>
  <c r="M19"/>
  <c r="M41"/>
  <c r="V55"/>
  <c r="I19"/>
  <c r="I41"/>
  <c r="I78" s="1"/>
  <c r="E19"/>
  <c r="E21" i="42" s="1"/>
  <c r="E41" i="18"/>
  <c r="E78" s="1"/>
  <c r="E102" s="1"/>
  <c r="J50" i="22"/>
  <c r="J69" s="1"/>
  <c r="F50"/>
  <c r="F69" s="1"/>
  <c r="Q55" i="18"/>
  <c r="C41"/>
  <c r="C78" s="1"/>
  <c r="C19"/>
  <c r="J41"/>
  <c r="J78" s="1"/>
  <c r="J102" s="1"/>
  <c r="J19"/>
  <c r="F41"/>
  <c r="F78" s="1"/>
  <c r="F102" s="1"/>
  <c r="F19"/>
  <c r="E12" i="33"/>
  <c r="D46" i="22"/>
  <c r="D10" s="1"/>
  <c r="D11" i="41" s="1"/>
  <c r="Q39" i="18"/>
  <c r="C43"/>
  <c r="V39"/>
  <c r="K46" i="22"/>
  <c r="L12" i="33"/>
  <c r="G46" i="22"/>
  <c r="H12" i="33"/>
  <c r="L46" i="22"/>
  <c r="M12" i="33"/>
  <c r="H46" i="22"/>
  <c r="I12" i="33"/>
  <c r="M46" i="22"/>
  <c r="N12" i="33"/>
  <c r="N17" s="1"/>
  <c r="I46" i="22"/>
  <c r="J12" i="33"/>
  <c r="J17" s="1"/>
  <c r="J46" i="22"/>
  <c r="K12" i="33"/>
  <c r="F46" i="22"/>
  <c r="G12" i="33"/>
  <c r="S20" i="18"/>
  <c r="X20"/>
  <c r="Q20"/>
  <c r="V20"/>
  <c r="T51" i="13"/>
  <c r="F143"/>
  <c r="N99"/>
  <c r="S51"/>
  <c r="D73" i="5"/>
  <c r="E73"/>
  <c r="F73"/>
  <c r="G73"/>
  <c r="H73"/>
  <c r="I73"/>
  <c r="J73"/>
  <c r="K73"/>
  <c r="L73"/>
  <c r="M73"/>
  <c r="C73"/>
  <c r="E14" i="41" l="1"/>
  <c r="E16" s="1"/>
  <c r="I102" i="18"/>
  <c r="X41"/>
  <c r="M78"/>
  <c r="S41"/>
  <c r="C102"/>
  <c r="Q102" s="1"/>
  <c r="S78"/>
  <c r="Q78"/>
  <c r="Y50" i="22"/>
  <c r="M69"/>
  <c r="F21" i="42"/>
  <c r="S99" i="13"/>
  <c r="S100" s="1"/>
  <c r="M62" i="22"/>
  <c r="AA50"/>
  <c r="M10"/>
  <c r="AA10" s="1"/>
  <c r="AA46"/>
  <c r="S46"/>
  <c r="K21" i="42"/>
  <c r="K11" s="1"/>
  <c r="L21"/>
  <c r="L11" s="1"/>
  <c r="I21"/>
  <c r="I22" i="25"/>
  <c r="G17" i="33"/>
  <c r="I17"/>
  <c r="E17"/>
  <c r="H17"/>
  <c r="F17"/>
  <c r="K17"/>
  <c r="M17"/>
  <c r="L17"/>
  <c r="D17"/>
  <c r="M22" i="25"/>
  <c r="F22"/>
  <c r="O22"/>
  <c r="H22"/>
  <c r="P22"/>
  <c r="G22"/>
  <c r="N22"/>
  <c r="P12" i="40"/>
  <c r="P9" i="50"/>
  <c r="I9"/>
  <c r="L12" i="40"/>
  <c r="L9" i="50"/>
  <c r="G12" i="40"/>
  <c r="G9" i="50"/>
  <c r="N12" i="40"/>
  <c r="N9" i="50"/>
  <c r="M9"/>
  <c r="F9"/>
  <c r="O9"/>
  <c r="H12" i="40"/>
  <c r="H9" i="50"/>
  <c r="J12" i="40"/>
  <c r="J13" s="1"/>
  <c r="J9" i="50"/>
  <c r="K12" i="40"/>
  <c r="K9" i="50"/>
  <c r="K16" s="1"/>
  <c r="M12" i="40"/>
  <c r="O12"/>
  <c r="F12"/>
  <c r="I12"/>
  <c r="J62" i="22"/>
  <c r="J73" s="1"/>
  <c r="J12" i="41"/>
  <c r="R72" i="18"/>
  <c r="R65"/>
  <c r="R70"/>
  <c r="R67"/>
  <c r="R66"/>
  <c r="R74"/>
  <c r="R73"/>
  <c r="R68"/>
  <c r="R71"/>
  <c r="R69"/>
  <c r="R76"/>
  <c r="Q43"/>
  <c r="F19" i="42"/>
  <c r="M12" i="41"/>
  <c r="W55" i="18"/>
  <c r="S18" i="25"/>
  <c r="I62" i="22"/>
  <c r="I73" s="1"/>
  <c r="I12" i="41"/>
  <c r="W50" i="22"/>
  <c r="S19" i="18"/>
  <c r="M157" i="22"/>
  <c r="L157"/>
  <c r="K157"/>
  <c r="J157"/>
  <c r="C12" i="41"/>
  <c r="Q50" i="22"/>
  <c r="R50" s="1"/>
  <c r="Q46"/>
  <c r="T11" i="31"/>
  <c r="V11" s="1"/>
  <c r="Q41" i="18"/>
  <c r="X19"/>
  <c r="L62" i="22"/>
  <c r="L73" s="1"/>
  <c r="L12" i="41"/>
  <c r="W69" i="18"/>
  <c r="W68"/>
  <c r="W65"/>
  <c r="W71"/>
  <c r="W72"/>
  <c r="W67"/>
  <c r="W74"/>
  <c r="W70"/>
  <c r="W73"/>
  <c r="W66"/>
  <c r="W76"/>
  <c r="W39"/>
  <c r="R55"/>
  <c r="E12" i="41"/>
  <c r="E13" s="1"/>
  <c r="C21" i="42"/>
  <c r="Q19" i="18"/>
  <c r="F12" i="41"/>
  <c r="E19" i="42"/>
  <c r="R18" i="25"/>
  <c r="T18" s="1"/>
  <c r="D12" i="41"/>
  <c r="D13" s="1"/>
  <c r="H12"/>
  <c r="S50" i="22"/>
  <c r="G12" i="41"/>
  <c r="K62" i="22"/>
  <c r="K73" s="1"/>
  <c r="K12" i="41"/>
  <c r="V41" i="18"/>
  <c r="V19" s="1"/>
  <c r="V43"/>
  <c r="D14" i="41"/>
  <c r="D16" s="1"/>
  <c r="L10" i="22"/>
  <c r="L11" i="41" s="1"/>
  <c r="G10" i="22"/>
  <c r="G11" i="41" s="1"/>
  <c r="H10" i="22"/>
  <c r="Y46"/>
  <c r="I10"/>
  <c r="I11" i="41" s="1"/>
  <c r="J10" i="22"/>
  <c r="J11" i="41" s="1"/>
  <c r="F10" i="22"/>
  <c r="F11" i="41" s="1"/>
  <c r="F14" s="1"/>
  <c r="P12" i="33"/>
  <c r="R12" s="1"/>
  <c r="Q12"/>
  <c r="K10" i="22"/>
  <c r="K11" i="41" s="1"/>
  <c r="K14" s="1"/>
  <c r="W46" i="22"/>
  <c r="X46" s="1"/>
  <c r="W37" i="18"/>
  <c r="W36"/>
  <c r="W35"/>
  <c r="W34"/>
  <c r="W33"/>
  <c r="W32"/>
  <c r="W31"/>
  <c r="W30"/>
  <c r="W29"/>
  <c r="W28"/>
  <c r="S43"/>
  <c r="R36"/>
  <c r="R34"/>
  <c r="R32"/>
  <c r="R30"/>
  <c r="R28"/>
  <c r="R37"/>
  <c r="R35"/>
  <c r="R33"/>
  <c r="R31"/>
  <c r="R29"/>
  <c r="N100" i="13"/>
  <c r="X48" i="5"/>
  <c r="X73"/>
  <c r="X31"/>
  <c r="X23"/>
  <c r="X32"/>
  <c r="X33"/>
  <c r="X34"/>
  <c r="X35"/>
  <c r="X37"/>
  <c r="X38"/>
  <c r="X39"/>
  <c r="X40"/>
  <c r="G14" i="41" l="1"/>
  <c r="G16" s="1"/>
  <c r="X78" i="18"/>
  <c r="M102"/>
  <c r="V102" s="1"/>
  <c r="V78"/>
  <c r="L14" i="41"/>
  <c r="L16" s="1"/>
  <c r="J14"/>
  <c r="J16" s="1"/>
  <c r="AA62" i="22"/>
  <c r="Y62"/>
  <c r="I12" i="42"/>
  <c r="I11"/>
  <c r="Y10" i="22"/>
  <c r="M11" i="41"/>
  <c r="T57" i="22"/>
  <c r="R46"/>
  <c r="X50"/>
  <c r="Z50"/>
  <c r="J13" i="42"/>
  <c r="J14"/>
  <c r="J27"/>
  <c r="J12"/>
  <c r="K13"/>
  <c r="K12"/>
  <c r="K27"/>
  <c r="K14"/>
  <c r="H13"/>
  <c r="H27"/>
  <c r="H12"/>
  <c r="H14"/>
  <c r="I14"/>
  <c r="I13"/>
  <c r="L12"/>
  <c r="L27"/>
  <c r="L13"/>
  <c r="L14"/>
  <c r="P18"/>
  <c r="M21"/>
  <c r="M11" s="1"/>
  <c r="J16" i="50"/>
  <c r="J15"/>
  <c r="M16"/>
  <c r="M15"/>
  <c r="P16"/>
  <c r="P15"/>
  <c r="K15"/>
  <c r="O16"/>
  <c r="O15"/>
  <c r="N16"/>
  <c r="N15"/>
  <c r="L16"/>
  <c r="L15"/>
  <c r="M13" i="40"/>
  <c r="M73" i="22"/>
  <c r="L13" i="41"/>
  <c r="T64" i="22"/>
  <c r="T59"/>
  <c r="T66"/>
  <c r="T65"/>
  <c r="T58"/>
  <c r="O13" i="40"/>
  <c r="H13"/>
  <c r="G13"/>
  <c r="I13"/>
  <c r="L13"/>
  <c r="F13"/>
  <c r="P13"/>
  <c r="S12"/>
  <c r="K13"/>
  <c r="K12" i="50"/>
  <c r="M12"/>
  <c r="J12"/>
  <c r="O12"/>
  <c r="N12"/>
  <c r="P12"/>
  <c r="S9"/>
  <c r="L12"/>
  <c r="R9"/>
  <c r="T9" s="1"/>
  <c r="H12"/>
  <c r="G12"/>
  <c r="F12"/>
  <c r="N13" i="40"/>
  <c r="I12" i="50"/>
  <c r="T51" i="22"/>
  <c r="R12" i="40"/>
  <c r="T12" s="1"/>
  <c r="T16" i="31"/>
  <c r="V16" s="1"/>
  <c r="P12" i="41"/>
  <c r="C13"/>
  <c r="C18"/>
  <c r="C19" s="1"/>
  <c r="I157" i="22"/>
  <c r="Q12" i="41"/>
  <c r="T46" i="22"/>
  <c r="T62"/>
  <c r="J13" i="41"/>
  <c r="I13"/>
  <c r="G13"/>
  <c r="T14" i="31"/>
  <c r="V14" s="1"/>
  <c r="O151" i="22"/>
  <c r="Q18" i="42"/>
  <c r="T47" i="22"/>
  <c r="T50"/>
  <c r="T55"/>
  <c r="W62"/>
  <c r="H11" i="41"/>
  <c r="H14" s="1"/>
  <c r="H16" s="1"/>
  <c r="S10" i="22"/>
  <c r="F13" i="41"/>
  <c r="K13"/>
  <c r="W10" i="22"/>
  <c r="X10" s="1"/>
  <c r="K16" i="41"/>
  <c r="F16"/>
  <c r="Q10" i="22"/>
  <c r="R10" s="1"/>
  <c r="X43" i="18"/>
  <c r="S23" i="5"/>
  <c r="V73"/>
  <c r="S73"/>
  <c r="Q73"/>
  <c r="I27" i="42" l="1"/>
  <c r="P11"/>
  <c r="P11" i="41"/>
  <c r="M14"/>
  <c r="M16" s="1"/>
  <c r="I14"/>
  <c r="I16" s="1"/>
  <c r="I16" i="42"/>
  <c r="L26" i="25" s="1"/>
  <c r="H16" i="42"/>
  <c r="K26" i="25" s="1"/>
  <c r="V15" i="31"/>
  <c r="M13" i="41"/>
  <c r="P13" s="1"/>
  <c r="X62" i="22"/>
  <c r="Z62"/>
  <c r="L23" i="42"/>
  <c r="L28" s="1"/>
  <c r="J23"/>
  <c r="J28" s="1"/>
  <c r="M13"/>
  <c r="M12"/>
  <c r="M14"/>
  <c r="P14" s="1"/>
  <c r="M27"/>
  <c r="K23"/>
  <c r="K28" s="1"/>
  <c r="I24"/>
  <c r="H23"/>
  <c r="H28" s="1"/>
  <c r="K25"/>
  <c r="I23"/>
  <c r="K24"/>
  <c r="H25"/>
  <c r="J25"/>
  <c r="L25"/>
  <c r="I25"/>
  <c r="H24"/>
  <c r="J24"/>
  <c r="L24"/>
  <c r="S13" i="40"/>
  <c r="T20" i="22"/>
  <c r="T29"/>
  <c r="T22"/>
  <c r="T28"/>
  <c r="T21"/>
  <c r="D18" i="41"/>
  <c r="D19" s="1"/>
  <c r="G27" i="42"/>
  <c r="G28" s="1"/>
  <c r="G19"/>
  <c r="R13" i="40"/>
  <c r="T13" s="1"/>
  <c r="R12" i="50"/>
  <c r="T12" s="1"/>
  <c r="S12"/>
  <c r="S16"/>
  <c r="L16" i="42"/>
  <c r="O26" i="25" s="1"/>
  <c r="J16" i="42"/>
  <c r="M26" i="25" s="1"/>
  <c r="K16" i="42"/>
  <c r="N26" i="25" s="1"/>
  <c r="Q21" i="42"/>
  <c r="O157" i="22"/>
  <c r="I176" s="1"/>
  <c r="Y176" s="1"/>
  <c r="T25"/>
  <c r="T27"/>
  <c r="H13" i="41"/>
  <c r="Q11"/>
  <c r="T18" i="22"/>
  <c r="N88" i="13"/>
  <c r="O88"/>
  <c r="P88"/>
  <c r="M88"/>
  <c r="N87"/>
  <c r="O87"/>
  <c r="P87"/>
  <c r="M87"/>
  <c r="N70"/>
  <c r="O70"/>
  <c r="P70"/>
  <c r="M70"/>
  <c r="Q48" i="5"/>
  <c r="Q23"/>
  <c r="S32"/>
  <c r="S33"/>
  <c r="S34"/>
  <c r="S35"/>
  <c r="S37"/>
  <c r="S38"/>
  <c r="S39"/>
  <c r="S40"/>
  <c r="S48"/>
  <c r="S31"/>
  <c r="G42"/>
  <c r="V48"/>
  <c r="V23" s="1"/>
  <c r="I28" i="42" l="1"/>
  <c r="I70" i="24"/>
  <c r="H19" i="42"/>
  <c r="H70" i="24"/>
  <c r="H115" s="1"/>
  <c r="H117" s="1"/>
  <c r="K19" i="42"/>
  <c r="K70" i="24"/>
  <c r="L19" i="42"/>
  <c r="L70" i="24"/>
  <c r="J19" i="42"/>
  <c r="J70" i="24"/>
  <c r="Q13" i="41"/>
  <c r="M24" i="42"/>
  <c r="M25"/>
  <c r="M23"/>
  <c r="M28" s="1"/>
  <c r="G29"/>
  <c r="G30"/>
  <c r="E18" i="41"/>
  <c r="E19" s="1"/>
  <c r="M16" i="42"/>
  <c r="P12"/>
  <c r="R16" i="50"/>
  <c r="T16" s="1"/>
  <c r="J30" i="42"/>
  <c r="T71" i="13"/>
  <c r="S88"/>
  <c r="S70"/>
  <c r="T70"/>
  <c r="S87"/>
  <c r="K29" i="42"/>
  <c r="K30"/>
  <c r="J29"/>
  <c r="Q13"/>
  <c r="Q12"/>
  <c r="I19"/>
  <c r="H30"/>
  <c r="H29"/>
  <c r="Q11"/>
  <c r="Q14"/>
  <c r="P13"/>
  <c r="L29"/>
  <c r="L30"/>
  <c r="I29"/>
  <c r="I30"/>
  <c r="T87" i="13"/>
  <c r="P89"/>
  <c r="P90" s="1"/>
  <c r="N89"/>
  <c r="N90" s="1"/>
  <c r="O89"/>
  <c r="O90" s="1"/>
  <c r="T88"/>
  <c r="M89"/>
  <c r="P72"/>
  <c r="N72"/>
  <c r="O72"/>
  <c r="M72"/>
  <c r="M70" i="24" l="1"/>
  <c r="P26" i="25"/>
  <c r="S72" i="13"/>
  <c r="S73" s="1"/>
  <c r="H118" i="24"/>
  <c r="H119"/>
  <c r="G31" i="42"/>
  <c r="G33" s="1"/>
  <c r="G34" s="1"/>
  <c r="J31"/>
  <c r="J33" s="1"/>
  <c r="J34" s="1"/>
  <c r="F18" i="41"/>
  <c r="G18" s="1"/>
  <c r="K31" i="42"/>
  <c r="K33" s="1"/>
  <c r="K34" s="1"/>
  <c r="Q28"/>
  <c r="H31"/>
  <c r="H33" s="1"/>
  <c r="H34" s="1"/>
  <c r="L31"/>
  <c r="L33" s="1"/>
  <c r="L34" s="1"/>
  <c r="Q27"/>
  <c r="Q16"/>
  <c r="M19"/>
  <c r="Q19" s="1"/>
  <c r="M29"/>
  <c r="Q29" s="1"/>
  <c r="P27"/>
  <c r="M30"/>
  <c r="Q30" s="1"/>
  <c r="I31"/>
  <c r="I33" s="1"/>
  <c r="P16"/>
  <c r="R16" s="1"/>
  <c r="O73" i="13"/>
  <c r="P73"/>
  <c r="N73"/>
  <c r="S89"/>
  <c r="S90" s="1"/>
  <c r="M90"/>
  <c r="M73"/>
  <c r="M79" s="1"/>
  <c r="P30" i="42" l="1"/>
  <c r="S26" i="25"/>
  <c r="R26"/>
  <c r="T26" s="1"/>
  <c r="M80" i="13"/>
  <c r="M81"/>
  <c r="I34" i="42"/>
  <c r="F19" i="41"/>
  <c r="M31" i="42"/>
  <c r="M33" s="1"/>
  <c r="P33" s="1"/>
  <c r="P28"/>
  <c r="G19" i="41"/>
  <c r="H18"/>
  <c r="R12" i="42"/>
  <c r="R14"/>
  <c r="R11"/>
  <c r="P29"/>
  <c r="R13"/>
  <c r="P19"/>
  <c r="C55" i="10"/>
  <c r="T25" i="1"/>
  <c r="H34" i="13"/>
  <c r="G34"/>
  <c r="F34"/>
  <c r="E34"/>
  <c r="D34"/>
  <c r="C34"/>
  <c r="H16"/>
  <c r="M130"/>
  <c r="M129"/>
  <c r="M128"/>
  <c r="M127"/>
  <c r="M126"/>
  <c r="M125"/>
  <c r="M124"/>
  <c r="M123"/>
  <c r="M122"/>
  <c r="F45" i="11"/>
  <c r="N32" i="13"/>
  <c r="O32"/>
  <c r="P32"/>
  <c r="M32"/>
  <c r="N31"/>
  <c r="O31"/>
  <c r="P31"/>
  <c r="N14"/>
  <c r="O14"/>
  <c r="P14"/>
  <c r="M14"/>
  <c r="N13"/>
  <c r="N81" s="1"/>
  <c r="O13"/>
  <c r="O80" s="1"/>
  <c r="P13"/>
  <c r="P81" s="1"/>
  <c r="F107"/>
  <c r="F114"/>
  <c r="F113"/>
  <c r="F112"/>
  <c r="F111"/>
  <c r="F110"/>
  <c r="F109"/>
  <c r="F108"/>
  <c r="F123"/>
  <c r="F122"/>
  <c r="F128"/>
  <c r="F126"/>
  <c r="F125"/>
  <c r="F124"/>
  <c r="AA54" i="11"/>
  <c r="D74"/>
  <c r="E74"/>
  <c r="F74"/>
  <c r="G74"/>
  <c r="H74"/>
  <c r="I74"/>
  <c r="M74" s="1"/>
  <c r="J74"/>
  <c r="D76"/>
  <c r="E76"/>
  <c r="F76"/>
  <c r="G76"/>
  <c r="H76"/>
  <c r="I76"/>
  <c r="J76"/>
  <c r="C76"/>
  <c r="C74"/>
  <c r="C54"/>
  <c r="D54"/>
  <c r="E54"/>
  <c r="F54"/>
  <c r="G54"/>
  <c r="H54"/>
  <c r="I54"/>
  <c r="V31" i="5"/>
  <c r="Q32"/>
  <c r="Q33"/>
  <c r="Q34"/>
  <c r="Q35"/>
  <c r="Q36"/>
  <c r="Q37"/>
  <c r="Q38"/>
  <c r="Q39"/>
  <c r="Q40"/>
  <c r="Q31"/>
  <c r="N79" i="13" l="1"/>
  <c r="O81"/>
  <c r="P79"/>
  <c r="N80"/>
  <c r="P80"/>
  <c r="O79"/>
  <c r="M34" i="42"/>
  <c r="Q33"/>
  <c r="Q31"/>
  <c r="I18" i="41"/>
  <c r="H19"/>
  <c r="P31" i="42"/>
  <c r="Z25" i="1"/>
  <c r="V25"/>
  <c r="X25"/>
  <c r="N129" i="13"/>
  <c r="S32"/>
  <c r="T32"/>
  <c r="M117"/>
  <c r="N130"/>
  <c r="M131"/>
  <c r="N116"/>
  <c r="N115"/>
  <c r="M54" i="11"/>
  <c r="M76"/>
  <c r="I19" i="41" l="1"/>
  <c r="J18"/>
  <c r="C6" i="10"/>
  <c r="I14" i="13"/>
  <c r="I13"/>
  <c r="I32"/>
  <c r="I31"/>
  <c r="I46" i="10"/>
  <c r="H46"/>
  <c r="G46"/>
  <c r="F46"/>
  <c r="J39"/>
  <c r="M39" s="1"/>
  <c r="J38"/>
  <c r="J37"/>
  <c r="J36"/>
  <c r="J35"/>
  <c r="J34"/>
  <c r="J33"/>
  <c r="J32"/>
  <c r="M32" s="1"/>
  <c r="G32"/>
  <c r="F32"/>
  <c r="I16"/>
  <c r="H16"/>
  <c r="G16"/>
  <c r="F16"/>
  <c r="T36" i="2"/>
  <c r="T13"/>
  <c r="T35"/>
  <c r="U36" s="1"/>
  <c r="T34"/>
  <c r="U34" s="1"/>
  <c r="T33"/>
  <c r="U33" s="1"/>
  <c r="T32"/>
  <c r="T31"/>
  <c r="U32" s="1"/>
  <c r="T30"/>
  <c r="U31" s="1"/>
  <c r="T29"/>
  <c r="T28"/>
  <c r="U29" s="1"/>
  <c r="T27"/>
  <c r="U28" s="1"/>
  <c r="T26"/>
  <c r="T25"/>
  <c r="T24"/>
  <c r="T23"/>
  <c r="T22"/>
  <c r="T21"/>
  <c r="T20"/>
  <c r="T19"/>
  <c r="T18"/>
  <c r="T17"/>
  <c r="U17" s="1"/>
  <c r="T16"/>
  <c r="T15"/>
  <c r="U15" s="1"/>
  <c r="T14"/>
  <c r="U14" s="1"/>
  <c r="T11" i="1"/>
  <c r="F111"/>
  <c r="E111"/>
  <c r="D111"/>
  <c r="O110"/>
  <c r="N110"/>
  <c r="M110"/>
  <c r="L110"/>
  <c r="K110"/>
  <c r="J110"/>
  <c r="I110"/>
  <c r="H110"/>
  <c r="G110"/>
  <c r="J23" i="5"/>
  <c r="K23"/>
  <c r="L23"/>
  <c r="M23"/>
  <c r="I23"/>
  <c r="F110" i="1"/>
  <c r="E110"/>
  <c r="D110"/>
  <c r="O109"/>
  <c r="N109"/>
  <c r="M109"/>
  <c r="L109"/>
  <c r="K109"/>
  <c r="J109"/>
  <c r="I109"/>
  <c r="H109"/>
  <c r="G109"/>
  <c r="F109"/>
  <c r="E109"/>
  <c r="D109"/>
  <c r="O108"/>
  <c r="N108"/>
  <c r="M108"/>
  <c r="L108"/>
  <c r="K108"/>
  <c r="J108"/>
  <c r="I108"/>
  <c r="H108"/>
  <c r="G108"/>
  <c r="F108"/>
  <c r="D108"/>
  <c r="E108"/>
  <c r="O107"/>
  <c r="N107"/>
  <c r="M107"/>
  <c r="K107"/>
  <c r="J107"/>
  <c r="I107"/>
  <c r="H107"/>
  <c r="G107"/>
  <c r="F107"/>
  <c r="E107"/>
  <c r="D107"/>
  <c r="O106"/>
  <c r="N106"/>
  <c r="M106"/>
  <c r="K106"/>
  <c r="J106"/>
  <c r="I106"/>
  <c r="H106"/>
  <c r="G106"/>
  <c r="F106"/>
  <c r="E106"/>
  <c r="D106"/>
  <c r="O105"/>
  <c r="N105"/>
  <c r="M105"/>
  <c r="L113" i="13" l="1"/>
  <c r="M38" i="10"/>
  <c r="L111" i="13"/>
  <c r="M33" i="10"/>
  <c r="L112" i="13"/>
  <c r="M37" i="10"/>
  <c r="L108" i="13"/>
  <c r="M36" i="10"/>
  <c r="L109" i="13"/>
  <c r="M34" i="10"/>
  <c r="L110" i="13"/>
  <c r="M35" i="10"/>
  <c r="L114" i="13"/>
  <c r="N114" s="1"/>
  <c r="O114" s="1"/>
  <c r="L107"/>
  <c r="K18" i="41"/>
  <c r="J19"/>
  <c r="Z11" i="1"/>
  <c r="V11"/>
  <c r="X11"/>
  <c r="U12"/>
  <c r="P106"/>
  <c r="P105"/>
  <c r="T104"/>
  <c r="V104"/>
  <c r="P109"/>
  <c r="P110"/>
  <c r="U16" i="2"/>
  <c r="U18"/>
  <c r="U20"/>
  <c r="U22"/>
  <c r="U24"/>
  <c r="U26"/>
  <c r="U35"/>
  <c r="U19"/>
  <c r="U21"/>
  <c r="U23"/>
  <c r="U25"/>
  <c r="U30"/>
  <c r="J41" i="10"/>
  <c r="M41" s="1"/>
  <c r="V110" i="1"/>
  <c r="V106"/>
  <c r="U27" i="2"/>
  <c r="V105" i="1"/>
  <c r="P107"/>
  <c r="V109"/>
  <c r="V107"/>
  <c r="P108"/>
  <c r="V108"/>
  <c r="L117" i="13" l="1"/>
  <c r="N117" s="1"/>
  <c r="L18" i="41"/>
  <c r="M18" s="1"/>
  <c r="Q18" s="1"/>
  <c r="K19"/>
  <c r="J24" i="43"/>
  <c r="J7" s="1"/>
  <c r="J24" i="48"/>
  <c r="H24" i="43"/>
  <c r="H14" s="1"/>
  <c r="H24" i="48"/>
  <c r="K24" i="43"/>
  <c r="K13" s="1"/>
  <c r="K24" i="48"/>
  <c r="M24" i="43"/>
  <c r="M8" s="1"/>
  <c r="M24" i="48"/>
  <c r="M6" s="1"/>
  <c r="L24" i="43"/>
  <c r="L12" s="1"/>
  <c r="L24" i="48"/>
  <c r="I24" i="43"/>
  <c r="I13" s="1"/>
  <c r="I24" i="48"/>
  <c r="K12" i="43"/>
  <c r="Y12" i="1"/>
  <c r="AA12"/>
  <c r="W12"/>
  <c r="Q110"/>
  <c r="J46" i="10"/>
  <c r="W106" i="1"/>
  <c r="W107"/>
  <c r="W111"/>
  <c r="Q108"/>
  <c r="Q106"/>
  <c r="Q107"/>
  <c r="G27" i="5"/>
  <c r="G17" s="1"/>
  <c r="W109" i="1"/>
  <c r="L27" i="5"/>
  <c r="L11" s="1"/>
  <c r="W110" i="1"/>
  <c r="I27" i="5"/>
  <c r="Q109" i="1"/>
  <c r="W108"/>
  <c r="K27" i="5"/>
  <c r="K11" s="1"/>
  <c r="J27"/>
  <c r="J11" s="1"/>
  <c r="M27"/>
  <c r="M11" s="1"/>
  <c r="H27"/>
  <c r="H11" s="1"/>
  <c r="W105" i="1"/>
  <c r="I19" i="5" l="1"/>
  <c r="I11"/>
  <c r="K8" i="43"/>
  <c r="Q13" i="13"/>
  <c r="Q81" s="1"/>
  <c r="S81" s="1"/>
  <c r="M46" i="10"/>
  <c r="K17" i="43"/>
  <c r="K21" s="1"/>
  <c r="M7"/>
  <c r="J13"/>
  <c r="M13"/>
  <c r="H15"/>
  <c r="S15" s="1"/>
  <c r="L7"/>
  <c r="J10"/>
  <c r="M17" i="48"/>
  <c r="I6" i="43"/>
  <c r="I7"/>
  <c r="L15"/>
  <c r="H13"/>
  <c r="X13" s="1"/>
  <c r="I8"/>
  <c r="L11"/>
  <c r="H9"/>
  <c r="S9" s="1"/>
  <c r="J15"/>
  <c r="L19" i="41"/>
  <c r="I14" i="48"/>
  <c r="I9"/>
  <c r="I7"/>
  <c r="I13"/>
  <c r="I11"/>
  <c r="I15"/>
  <c r="I8"/>
  <c r="I6"/>
  <c r="I12"/>
  <c r="I10"/>
  <c r="I17"/>
  <c r="L17"/>
  <c r="L21" s="1"/>
  <c r="L8"/>
  <c r="L12"/>
  <c r="L7"/>
  <c r="L10"/>
  <c r="L15"/>
  <c r="L9"/>
  <c r="L14"/>
  <c r="L6"/>
  <c r="L11"/>
  <c r="L13"/>
  <c r="M15"/>
  <c r="M13"/>
  <c r="M10"/>
  <c r="M14"/>
  <c r="M8"/>
  <c r="M7"/>
  <c r="M12"/>
  <c r="M11"/>
  <c r="M9"/>
  <c r="K14"/>
  <c r="K8"/>
  <c r="K12"/>
  <c r="K9"/>
  <c r="K17"/>
  <c r="K21" s="1"/>
  <c r="K13"/>
  <c r="K7"/>
  <c r="K6"/>
  <c r="K11"/>
  <c r="K10"/>
  <c r="K15"/>
  <c r="H13"/>
  <c r="H8"/>
  <c r="H12"/>
  <c r="H6"/>
  <c r="H11"/>
  <c r="H7"/>
  <c r="H17"/>
  <c r="H10"/>
  <c r="H15"/>
  <c r="H9"/>
  <c r="H14"/>
  <c r="J12"/>
  <c r="J10"/>
  <c r="J14"/>
  <c r="J9"/>
  <c r="J7"/>
  <c r="J17"/>
  <c r="J21" s="1"/>
  <c r="J13"/>
  <c r="J11"/>
  <c r="J15"/>
  <c r="J8"/>
  <c r="J6"/>
  <c r="I17" i="43"/>
  <c r="I21" s="1"/>
  <c r="I15"/>
  <c r="I14"/>
  <c r="L6"/>
  <c r="L10"/>
  <c r="L14"/>
  <c r="M9"/>
  <c r="M12"/>
  <c r="M11"/>
  <c r="K7"/>
  <c r="K11"/>
  <c r="H17"/>
  <c r="S17" s="1"/>
  <c r="H8"/>
  <c r="X8" s="1"/>
  <c r="H12"/>
  <c r="Q12" s="1"/>
  <c r="J11"/>
  <c r="J8"/>
  <c r="J12"/>
  <c r="I12"/>
  <c r="I10"/>
  <c r="L17"/>
  <c r="L21" s="1"/>
  <c r="L9"/>
  <c r="L13"/>
  <c r="M6"/>
  <c r="M15"/>
  <c r="M10"/>
  <c r="K6"/>
  <c r="K10"/>
  <c r="K14"/>
  <c r="H7"/>
  <c r="Q7" s="1"/>
  <c r="H11"/>
  <c r="Q11" s="1"/>
  <c r="J17"/>
  <c r="J21" s="1"/>
  <c r="J6"/>
  <c r="J9"/>
  <c r="I11"/>
  <c r="I9"/>
  <c r="L8"/>
  <c r="M17"/>
  <c r="M21" s="1"/>
  <c r="M14"/>
  <c r="X14" s="1"/>
  <c r="K15"/>
  <c r="K9"/>
  <c r="H6"/>
  <c r="S6" s="1"/>
  <c r="H10"/>
  <c r="Q10" s="1"/>
  <c r="J14"/>
  <c r="S14"/>
  <c r="Q14"/>
  <c r="M6" i="5"/>
  <c r="M7"/>
  <c r="M8"/>
  <c r="M9"/>
  <c r="M10"/>
  <c r="M12"/>
  <c r="M13"/>
  <c r="M14"/>
  <c r="M15"/>
  <c r="M18"/>
  <c r="M19"/>
  <c r="M20"/>
  <c r="J6"/>
  <c r="J7"/>
  <c r="J8"/>
  <c r="J9"/>
  <c r="J10"/>
  <c r="J12"/>
  <c r="J13"/>
  <c r="J14"/>
  <c r="J15"/>
  <c r="J18"/>
  <c r="J19"/>
  <c r="J20"/>
  <c r="I7"/>
  <c r="I6"/>
  <c r="I9"/>
  <c r="I13"/>
  <c r="I18"/>
  <c r="I20"/>
  <c r="I15"/>
  <c r="I8"/>
  <c r="I10"/>
  <c r="I12"/>
  <c r="I14"/>
  <c r="H6"/>
  <c r="H8"/>
  <c r="H10"/>
  <c r="H12"/>
  <c r="H14"/>
  <c r="H7"/>
  <c r="H9"/>
  <c r="H13"/>
  <c r="H15"/>
  <c r="K6"/>
  <c r="K7"/>
  <c r="K8"/>
  <c r="K9"/>
  <c r="K10"/>
  <c r="K12"/>
  <c r="K13"/>
  <c r="K14"/>
  <c r="K15"/>
  <c r="K18"/>
  <c r="K19"/>
  <c r="K20"/>
  <c r="L6"/>
  <c r="L7"/>
  <c r="L8"/>
  <c r="L9"/>
  <c r="L10"/>
  <c r="L12"/>
  <c r="L13"/>
  <c r="L14"/>
  <c r="L15"/>
  <c r="L18"/>
  <c r="L19"/>
  <c r="L20"/>
  <c r="G6"/>
  <c r="G8"/>
  <c r="G10"/>
  <c r="G12"/>
  <c r="G14"/>
  <c r="G15"/>
  <c r="G13"/>
  <c r="G11"/>
  <c r="G9"/>
  <c r="G7"/>
  <c r="G45" i="11"/>
  <c r="H45"/>
  <c r="I45"/>
  <c r="N128" i="13"/>
  <c r="O128" s="1"/>
  <c r="M32" i="11"/>
  <c r="Q79" i="13" l="1"/>
  <c r="S79" s="1"/>
  <c r="Q80"/>
  <c r="S80" s="1"/>
  <c r="T13"/>
  <c r="S13"/>
  <c r="Q8" i="43"/>
  <c r="V11"/>
  <c r="V6"/>
  <c r="V13"/>
  <c r="V12"/>
  <c r="V7"/>
  <c r="V15"/>
  <c r="V8"/>
  <c r="V17"/>
  <c r="V9"/>
  <c r="Q15"/>
  <c r="S8"/>
  <c r="S7"/>
  <c r="Q9"/>
  <c r="Q6"/>
  <c r="Q17"/>
  <c r="R7" s="1"/>
  <c r="Q13"/>
  <c r="X6"/>
  <c r="X9"/>
  <c r="X17"/>
  <c r="X7"/>
  <c r="H21"/>
  <c r="S21" s="1"/>
  <c r="S13"/>
  <c r="X15"/>
  <c r="S11"/>
  <c r="X11"/>
  <c r="V10"/>
  <c r="V14"/>
  <c r="X7" i="48"/>
  <c r="V12"/>
  <c r="X12"/>
  <c r="X10"/>
  <c r="P18" i="41"/>
  <c r="M19"/>
  <c r="P19" s="1"/>
  <c r="V6" i="48"/>
  <c r="X6"/>
  <c r="S15"/>
  <c r="Q15"/>
  <c r="S11"/>
  <c r="Q11"/>
  <c r="S13"/>
  <c r="Q13"/>
  <c r="M21"/>
  <c r="X17"/>
  <c r="S9"/>
  <c r="Q9"/>
  <c r="Q7"/>
  <c r="S7"/>
  <c r="S8"/>
  <c r="Q8"/>
  <c r="S14"/>
  <c r="Q14"/>
  <c r="H21"/>
  <c r="S21" s="1"/>
  <c r="Q17"/>
  <c r="S17"/>
  <c r="S12"/>
  <c r="Q12"/>
  <c r="I21"/>
  <c r="V17"/>
  <c r="S10"/>
  <c r="Q10"/>
  <c r="S6"/>
  <c r="Q6"/>
  <c r="S10" i="43"/>
  <c r="V11" i="48"/>
  <c r="V13"/>
  <c r="V9"/>
  <c r="V15"/>
  <c r="S12" i="43"/>
  <c r="X12"/>
  <c r="V10" i="48"/>
  <c r="X11"/>
  <c r="X14"/>
  <c r="X15"/>
  <c r="V14"/>
  <c r="V7"/>
  <c r="V8"/>
  <c r="X10" i="43"/>
  <c r="X9" i="48"/>
  <c r="X8"/>
  <c r="X13"/>
  <c r="V15" i="5"/>
  <c r="V6"/>
  <c r="F40" i="22"/>
  <c r="F24" i="18"/>
  <c r="Q6" i="13"/>
  <c r="Q60" s="1"/>
  <c r="R6"/>
  <c r="R60" s="1"/>
  <c r="P6"/>
  <c r="P60" s="1"/>
  <c r="T50" i="12"/>
  <c r="W49" i="10"/>
  <c r="W82" s="1"/>
  <c r="J49"/>
  <c r="E52" i="5"/>
  <c r="G52"/>
  <c r="I52"/>
  <c r="I61" s="1"/>
  <c r="K52"/>
  <c r="K61" s="1"/>
  <c r="V49" i="10"/>
  <c r="V83" s="1"/>
  <c r="I49"/>
  <c r="D52" i="5"/>
  <c r="F52"/>
  <c r="H52"/>
  <c r="H61" s="1"/>
  <c r="J52"/>
  <c r="J61" s="1"/>
  <c r="L52"/>
  <c r="L61" s="1"/>
  <c r="C52"/>
  <c r="C56" s="1"/>
  <c r="M52"/>
  <c r="M61" s="1"/>
  <c r="L40" i="22"/>
  <c r="L24" i="18"/>
  <c r="K24"/>
  <c r="J40" i="22"/>
  <c r="J24" i="18"/>
  <c r="M40" i="22"/>
  <c r="M14" s="1"/>
  <c r="H40"/>
  <c r="H24" i="18"/>
  <c r="I40" i="22"/>
  <c r="I18" s="1"/>
  <c r="G24" i="18"/>
  <c r="K40" i="22"/>
  <c r="M24" i="18"/>
  <c r="I24"/>
  <c r="G40" i="22"/>
  <c r="X15" i="5"/>
  <c r="X11"/>
  <c r="X7"/>
  <c r="X13"/>
  <c r="X9"/>
  <c r="X14"/>
  <c r="X12"/>
  <c r="X10"/>
  <c r="X8"/>
  <c r="X6"/>
  <c r="J85" i="11"/>
  <c r="J83"/>
  <c r="J81"/>
  <c r="M45"/>
  <c r="J80"/>
  <c r="M37"/>
  <c r="M33"/>
  <c r="M38"/>
  <c r="J86"/>
  <c r="M36"/>
  <c r="J84"/>
  <c r="M34"/>
  <c r="J82"/>
  <c r="M35"/>
  <c r="V19" i="5"/>
  <c r="V20"/>
  <c r="V18"/>
  <c r="W104" i="1"/>
  <c r="F27" i="5"/>
  <c r="V12"/>
  <c r="V8"/>
  <c r="V13"/>
  <c r="V9"/>
  <c r="V7"/>
  <c r="V14"/>
  <c r="V10"/>
  <c r="V11"/>
  <c r="W15" i="43" l="1"/>
  <c r="W14"/>
  <c r="R8"/>
  <c r="W12"/>
  <c r="W6"/>
  <c r="W9"/>
  <c r="W8"/>
  <c r="W10"/>
  <c r="W11"/>
  <c r="V61" i="10"/>
  <c r="W17" i="43"/>
  <c r="W13"/>
  <c r="J56" i="10"/>
  <c r="J60"/>
  <c r="J67"/>
  <c r="J59"/>
  <c r="J65"/>
  <c r="J73"/>
  <c r="J58"/>
  <c r="J63"/>
  <c r="J71"/>
  <c r="J57"/>
  <c r="J61"/>
  <c r="J69"/>
  <c r="J82"/>
  <c r="W46"/>
  <c r="J25" i="25"/>
  <c r="J27" s="1"/>
  <c r="W86" i="10"/>
  <c r="W91"/>
  <c r="W56"/>
  <c r="W60"/>
  <c r="W65"/>
  <c r="W71"/>
  <c r="W85"/>
  <c r="W89"/>
  <c r="W96"/>
  <c r="W59"/>
  <c r="W64"/>
  <c r="W69"/>
  <c r="W84"/>
  <c r="W88"/>
  <c r="W94"/>
  <c r="W58"/>
  <c r="W63"/>
  <c r="W68"/>
  <c r="W83"/>
  <c r="W87"/>
  <c r="W93"/>
  <c r="W57"/>
  <c r="W61"/>
  <c r="W67"/>
  <c r="W7" i="43"/>
  <c r="V71" i="10"/>
  <c r="V21" i="43"/>
  <c r="R17"/>
  <c r="R14"/>
  <c r="R11"/>
  <c r="R12"/>
  <c r="X21"/>
  <c r="R6"/>
  <c r="R13"/>
  <c r="Q21"/>
  <c r="R10"/>
  <c r="R15"/>
  <c r="R9"/>
  <c r="J18" i="22"/>
  <c r="L18"/>
  <c r="M18"/>
  <c r="M15"/>
  <c r="AA15" s="1"/>
  <c r="K18"/>
  <c r="Q42" i="13"/>
  <c r="Q22"/>
  <c r="W6" i="48"/>
  <c r="R14"/>
  <c r="R8"/>
  <c r="R9"/>
  <c r="R11"/>
  <c r="R6"/>
  <c r="R12"/>
  <c r="R7"/>
  <c r="W7"/>
  <c r="W9"/>
  <c r="R10"/>
  <c r="X21"/>
  <c r="I25" i="22"/>
  <c r="I34"/>
  <c r="M25"/>
  <c r="M34"/>
  <c r="K25"/>
  <c r="K34"/>
  <c r="J25"/>
  <c r="J34"/>
  <c r="L25"/>
  <c r="L34"/>
  <c r="W17" i="48"/>
  <c r="V21"/>
  <c r="Q21"/>
  <c r="R17"/>
  <c r="W8"/>
  <c r="W15"/>
  <c r="W12"/>
  <c r="W11"/>
  <c r="W14"/>
  <c r="W10"/>
  <c r="W13"/>
  <c r="R13"/>
  <c r="R15"/>
  <c r="I32" i="22"/>
  <c r="K32"/>
  <c r="K15"/>
  <c r="H15"/>
  <c r="H32"/>
  <c r="J15"/>
  <c r="J32"/>
  <c r="I15"/>
  <c r="L15"/>
  <c r="L32"/>
  <c r="F15"/>
  <c r="F32"/>
  <c r="G15"/>
  <c r="G32"/>
  <c r="M32"/>
  <c r="V65" i="10"/>
  <c r="V86"/>
  <c r="V89"/>
  <c r="V69"/>
  <c r="V60"/>
  <c r="V91"/>
  <c r="V68"/>
  <c r="V57"/>
  <c r="V85"/>
  <c r="V56"/>
  <c r="V67"/>
  <c r="V63"/>
  <c r="V58"/>
  <c r="V94"/>
  <c r="V88"/>
  <c r="V84"/>
  <c r="V64"/>
  <c r="V59"/>
  <c r="V93"/>
  <c r="V87"/>
  <c r="T57" i="12"/>
  <c r="T58"/>
  <c r="T59"/>
  <c r="T60"/>
  <c r="T80" s="1"/>
  <c r="T61"/>
  <c r="T62"/>
  <c r="T64"/>
  <c r="T65"/>
  <c r="T66"/>
  <c r="T68"/>
  <c r="T70"/>
  <c r="T72"/>
  <c r="T74"/>
  <c r="AA14" i="22"/>
  <c r="J14"/>
  <c r="L14"/>
  <c r="F14"/>
  <c r="G14"/>
  <c r="K14"/>
  <c r="I14"/>
  <c r="H14"/>
  <c r="F6" i="23"/>
  <c r="I14" i="18"/>
  <c r="I12"/>
  <c r="I11"/>
  <c r="I10"/>
  <c r="I9"/>
  <c r="I8"/>
  <c r="I7"/>
  <c r="I17"/>
  <c r="I15"/>
  <c r="I13"/>
  <c r="I6"/>
  <c r="J6" i="23"/>
  <c r="J7" s="1"/>
  <c r="M14" i="18"/>
  <c r="M12"/>
  <c r="M11"/>
  <c r="M10"/>
  <c r="M9"/>
  <c r="M8"/>
  <c r="M7"/>
  <c r="M17"/>
  <c r="M15"/>
  <c r="M13"/>
  <c r="M6"/>
  <c r="G6" i="23"/>
  <c r="G7" s="1"/>
  <c r="J17" i="18"/>
  <c r="J21" s="1"/>
  <c r="J15"/>
  <c r="J13"/>
  <c r="J6"/>
  <c r="J14"/>
  <c r="J12"/>
  <c r="J11"/>
  <c r="J10"/>
  <c r="J9"/>
  <c r="J8"/>
  <c r="J7"/>
  <c r="I6" i="23"/>
  <c r="I7" s="1"/>
  <c r="L17" i="18"/>
  <c r="L21" s="1"/>
  <c r="L15"/>
  <c r="L13"/>
  <c r="L6"/>
  <c r="L14"/>
  <c r="L12"/>
  <c r="L11"/>
  <c r="L10"/>
  <c r="L9"/>
  <c r="L8"/>
  <c r="L7"/>
  <c r="M57" i="5"/>
  <c r="M56"/>
  <c r="M69"/>
  <c r="M64"/>
  <c r="M62"/>
  <c r="M60"/>
  <c r="M58"/>
  <c r="M70"/>
  <c r="M68"/>
  <c r="M65"/>
  <c r="M63"/>
  <c r="M59"/>
  <c r="L56"/>
  <c r="L69"/>
  <c r="L64"/>
  <c r="L62"/>
  <c r="L60"/>
  <c r="L58"/>
  <c r="L70"/>
  <c r="L68"/>
  <c r="L65"/>
  <c r="L63"/>
  <c r="L59"/>
  <c r="L57"/>
  <c r="H56"/>
  <c r="H69"/>
  <c r="H64"/>
  <c r="H62"/>
  <c r="H60"/>
  <c r="H58"/>
  <c r="H70"/>
  <c r="H68"/>
  <c r="H65"/>
  <c r="H63"/>
  <c r="H59"/>
  <c r="H57"/>
  <c r="D56"/>
  <c r="D71"/>
  <c r="D69"/>
  <c r="D67"/>
  <c r="D64"/>
  <c r="D62"/>
  <c r="D60"/>
  <c r="D58"/>
  <c r="D74"/>
  <c r="D70"/>
  <c r="D68"/>
  <c r="D65"/>
  <c r="D63"/>
  <c r="D61"/>
  <c r="D59"/>
  <c r="D57"/>
  <c r="I83" i="10"/>
  <c r="I67"/>
  <c r="I60"/>
  <c r="I58"/>
  <c r="I82"/>
  <c r="I93"/>
  <c r="I87"/>
  <c r="I73"/>
  <c r="I65"/>
  <c r="I91"/>
  <c r="I86"/>
  <c r="I59"/>
  <c r="I71"/>
  <c r="I63"/>
  <c r="I94"/>
  <c r="I56"/>
  <c r="I96"/>
  <c r="I89"/>
  <c r="I85"/>
  <c r="I69"/>
  <c r="I61"/>
  <c r="I88"/>
  <c r="I84"/>
  <c r="I57"/>
  <c r="V96"/>
  <c r="V82"/>
  <c r="I57" i="5"/>
  <c r="I69"/>
  <c r="I64"/>
  <c r="I62"/>
  <c r="I60"/>
  <c r="I58"/>
  <c r="I56"/>
  <c r="I70"/>
  <c r="I68"/>
  <c r="I65"/>
  <c r="I63"/>
  <c r="I59"/>
  <c r="E57"/>
  <c r="E71"/>
  <c r="E69"/>
  <c r="E67"/>
  <c r="E64"/>
  <c r="E62"/>
  <c r="E60"/>
  <c r="E58"/>
  <c r="E56"/>
  <c r="E74"/>
  <c r="E70"/>
  <c r="E68"/>
  <c r="E65"/>
  <c r="E63"/>
  <c r="E61"/>
  <c r="E59"/>
  <c r="T95" i="12"/>
  <c r="T92"/>
  <c r="T89"/>
  <c r="T87"/>
  <c r="T85"/>
  <c r="T97"/>
  <c r="T94"/>
  <c r="T90"/>
  <c r="T88"/>
  <c r="T86"/>
  <c r="T84"/>
  <c r="P42" i="13"/>
  <c r="G14" i="18"/>
  <c r="G12"/>
  <c r="G11"/>
  <c r="G10"/>
  <c r="G9"/>
  <c r="G8"/>
  <c r="G7"/>
  <c r="G17"/>
  <c r="G21" s="1"/>
  <c r="G15"/>
  <c r="G13"/>
  <c r="G6"/>
  <c r="E6" i="23"/>
  <c r="H17" i="18"/>
  <c r="H15"/>
  <c r="H13"/>
  <c r="H6"/>
  <c r="H14"/>
  <c r="H12"/>
  <c r="H11"/>
  <c r="H10"/>
  <c r="H9"/>
  <c r="H8"/>
  <c r="H7"/>
  <c r="H6" i="23"/>
  <c r="H7" s="1"/>
  <c r="K14" i="18"/>
  <c r="K12"/>
  <c r="K11"/>
  <c r="K10"/>
  <c r="K9"/>
  <c r="K8"/>
  <c r="K7"/>
  <c r="K17"/>
  <c r="K21" s="1"/>
  <c r="K15"/>
  <c r="K13"/>
  <c r="K6"/>
  <c r="C58" i="5"/>
  <c r="C70"/>
  <c r="C65"/>
  <c r="C61"/>
  <c r="C57"/>
  <c r="C71"/>
  <c r="C67"/>
  <c r="C62"/>
  <c r="C74"/>
  <c r="C68"/>
  <c r="C63"/>
  <c r="C59"/>
  <c r="C69"/>
  <c r="C64"/>
  <c r="C60"/>
  <c r="J56"/>
  <c r="J70"/>
  <c r="J68"/>
  <c r="J65"/>
  <c r="J63"/>
  <c r="J59"/>
  <c r="J57"/>
  <c r="J69"/>
  <c r="J64"/>
  <c r="J62"/>
  <c r="J60"/>
  <c r="J58"/>
  <c r="F56"/>
  <c r="F74"/>
  <c r="F70"/>
  <c r="F68"/>
  <c r="F65"/>
  <c r="F63"/>
  <c r="F61"/>
  <c r="F59"/>
  <c r="F57"/>
  <c r="F71"/>
  <c r="F69"/>
  <c r="F67"/>
  <c r="F64"/>
  <c r="F62"/>
  <c r="F60"/>
  <c r="F58"/>
  <c r="I55" i="11"/>
  <c r="I68"/>
  <c r="I56"/>
  <c r="I90"/>
  <c r="I86"/>
  <c r="I84"/>
  <c r="I82"/>
  <c r="I80"/>
  <c r="I62"/>
  <c r="I64"/>
  <c r="I60"/>
  <c r="I72"/>
  <c r="I58"/>
  <c r="I91"/>
  <c r="I88"/>
  <c r="I85"/>
  <c r="I83"/>
  <c r="I81"/>
  <c r="I70"/>
  <c r="I59"/>
  <c r="I57"/>
  <c r="I66"/>
  <c r="W59"/>
  <c r="W58"/>
  <c r="W83"/>
  <c r="W88"/>
  <c r="W55"/>
  <c r="W57"/>
  <c r="W62"/>
  <c r="W66"/>
  <c r="W70"/>
  <c r="W80"/>
  <c r="W84"/>
  <c r="W90"/>
  <c r="W81"/>
  <c r="W85"/>
  <c r="W91"/>
  <c r="W56"/>
  <c r="W60"/>
  <c r="W64"/>
  <c r="W68"/>
  <c r="W72"/>
  <c r="W82"/>
  <c r="W86"/>
  <c r="W93"/>
  <c r="K57" i="5"/>
  <c r="K56"/>
  <c r="K70"/>
  <c r="K68"/>
  <c r="K65"/>
  <c r="K63"/>
  <c r="K59"/>
  <c r="K69"/>
  <c r="K64"/>
  <c r="K62"/>
  <c r="K60"/>
  <c r="K58"/>
  <c r="G57"/>
  <c r="G56"/>
  <c r="G74"/>
  <c r="G70"/>
  <c r="G68"/>
  <c r="G65"/>
  <c r="G63"/>
  <c r="G61"/>
  <c r="G59"/>
  <c r="G71"/>
  <c r="G69"/>
  <c r="G67"/>
  <c r="G64"/>
  <c r="G62"/>
  <c r="G60"/>
  <c r="G58"/>
  <c r="J96" i="10"/>
  <c r="J94"/>
  <c r="J93"/>
  <c r="J85"/>
  <c r="J89"/>
  <c r="J86"/>
  <c r="J91"/>
  <c r="J83"/>
  <c r="J87"/>
  <c r="J84"/>
  <c r="J88"/>
  <c r="Q14" i="13"/>
  <c r="Q23" s="1"/>
  <c r="J57" i="11"/>
  <c r="J59"/>
  <c r="J56"/>
  <c r="J90"/>
  <c r="J72"/>
  <c r="J68"/>
  <c r="J70"/>
  <c r="J66"/>
  <c r="J91"/>
  <c r="F17" i="18"/>
  <c r="F21" s="1"/>
  <c r="F15"/>
  <c r="F13"/>
  <c r="F6"/>
  <c r="F14"/>
  <c r="F12"/>
  <c r="F11"/>
  <c r="F10"/>
  <c r="F9"/>
  <c r="F8"/>
  <c r="F7"/>
  <c r="J60" i="11"/>
  <c r="L131" i="13"/>
  <c r="J88" i="11"/>
  <c r="F6" i="5"/>
  <c r="F8"/>
  <c r="F10"/>
  <c r="F12"/>
  <c r="F14"/>
  <c r="F7"/>
  <c r="F9"/>
  <c r="F11"/>
  <c r="F13"/>
  <c r="F15"/>
  <c r="J58" i="11"/>
  <c r="M40"/>
  <c r="AA25" i="22" l="1"/>
  <c r="Y25"/>
  <c r="I25" i="25"/>
  <c r="J12" i="23"/>
  <c r="J26"/>
  <c r="J27"/>
  <c r="I15" i="40"/>
  <c r="Q24" i="13"/>
  <c r="Q25" s="1"/>
  <c r="W25" i="22"/>
  <c r="P70" i="24"/>
  <c r="O70"/>
  <c r="Y15" i="22"/>
  <c r="W15"/>
  <c r="W14"/>
  <c r="I11" i="23"/>
  <c r="I14"/>
  <c r="I18"/>
  <c r="I22"/>
  <c r="I12"/>
  <c r="I15"/>
  <c r="I16"/>
  <c r="I21"/>
  <c r="I23"/>
  <c r="J15"/>
  <c r="J16"/>
  <c r="J19"/>
  <c r="J21"/>
  <c r="J23"/>
  <c r="J11"/>
  <c r="J14"/>
  <c r="J18"/>
  <c r="J22"/>
  <c r="H12"/>
  <c r="H15"/>
  <c r="H21"/>
  <c r="H23"/>
  <c r="H16"/>
  <c r="H11"/>
  <c r="H14"/>
  <c r="H18"/>
  <c r="H22"/>
  <c r="G21"/>
  <c r="G11"/>
  <c r="G14"/>
  <c r="G16"/>
  <c r="G18"/>
  <c r="G22"/>
  <c r="G12"/>
  <c r="G15"/>
  <c r="G23"/>
  <c r="E7"/>
  <c r="F7"/>
  <c r="I19"/>
  <c r="H19"/>
  <c r="G19"/>
  <c r="M34"/>
  <c r="M41"/>
  <c r="Y14" i="22"/>
  <c r="H6" i="26"/>
  <c r="H7" s="1"/>
  <c r="H21" i="18"/>
  <c r="E49" i="22"/>
  <c r="E68" s="1"/>
  <c r="D49"/>
  <c r="D68" s="1"/>
  <c r="I6" i="26"/>
  <c r="I7" s="1"/>
  <c r="M21" i="18"/>
  <c r="X17"/>
  <c r="J6" i="26"/>
  <c r="J7" s="1"/>
  <c r="Q64" i="5"/>
  <c r="Q56"/>
  <c r="Q63"/>
  <c r="Q67"/>
  <c r="Q57"/>
  <c r="Q65"/>
  <c r="Q58"/>
  <c r="V59"/>
  <c r="V63"/>
  <c r="V68"/>
  <c r="V58"/>
  <c r="V62"/>
  <c r="S57"/>
  <c r="S61"/>
  <c r="S65"/>
  <c r="S58"/>
  <c r="S62"/>
  <c r="X59"/>
  <c r="X63"/>
  <c r="X58"/>
  <c r="X62"/>
  <c r="X57"/>
  <c r="X13" i="18"/>
  <c r="X8"/>
  <c r="X10"/>
  <c r="X12"/>
  <c r="V6"/>
  <c r="V15"/>
  <c r="V7"/>
  <c r="V9"/>
  <c r="V11"/>
  <c r="V14"/>
  <c r="S14" i="13"/>
  <c r="G49" i="22"/>
  <c r="G68" s="1"/>
  <c r="G31" s="1"/>
  <c r="F49"/>
  <c r="F68" s="1"/>
  <c r="F31" s="1"/>
  <c r="C49"/>
  <c r="C68" s="1"/>
  <c r="E6" i="26"/>
  <c r="E7" s="1"/>
  <c r="E13" s="1"/>
  <c r="G6"/>
  <c r="G7" s="1"/>
  <c r="I21" i="18"/>
  <c r="V17"/>
  <c r="F6" i="26"/>
  <c r="F7" s="1"/>
  <c r="F13" s="1"/>
  <c r="Q60" i="5"/>
  <c r="Q59"/>
  <c r="Q62"/>
  <c r="Q61"/>
  <c r="V61"/>
  <c r="V65"/>
  <c r="V70"/>
  <c r="V56"/>
  <c r="V60"/>
  <c r="V64"/>
  <c r="V69"/>
  <c r="V57"/>
  <c r="S59"/>
  <c r="S63"/>
  <c r="S60"/>
  <c r="S64"/>
  <c r="S56"/>
  <c r="X61"/>
  <c r="X65"/>
  <c r="X60"/>
  <c r="X64"/>
  <c r="X56"/>
  <c r="X6" i="18"/>
  <c r="X15"/>
  <c r="X7"/>
  <c r="X9"/>
  <c r="X11"/>
  <c r="X14"/>
  <c r="V13"/>
  <c r="V8"/>
  <c r="V10"/>
  <c r="V12"/>
  <c r="J64" i="11"/>
  <c r="J62"/>
  <c r="J93"/>
  <c r="Q31" i="13"/>
  <c r="Q41" s="1"/>
  <c r="Q43" s="1"/>
  <c r="Q44" s="1"/>
  <c r="X7" i="12"/>
  <c r="X8"/>
  <c r="X9"/>
  <c r="X10"/>
  <c r="X11"/>
  <c r="X12"/>
  <c r="X14"/>
  <c r="X16"/>
  <c r="X18"/>
  <c r="X20"/>
  <c r="X22"/>
  <c r="X24"/>
  <c r="X26"/>
  <c r="X28"/>
  <c r="X35"/>
  <c r="X36"/>
  <c r="X37"/>
  <c r="X38"/>
  <c r="X39"/>
  <c r="X40"/>
  <c r="X42"/>
  <c r="X44"/>
  <c r="X47"/>
  <c r="P41" i="13"/>
  <c r="M33"/>
  <c r="P23"/>
  <c r="P22"/>
  <c r="AA38" i="11"/>
  <c r="AA37"/>
  <c r="AA36"/>
  <c r="AA35"/>
  <c r="AA34"/>
  <c r="AA33"/>
  <c r="AA24"/>
  <c r="AA22"/>
  <c r="AA20"/>
  <c r="AA18"/>
  <c r="AA16"/>
  <c r="AA14"/>
  <c r="AA12"/>
  <c r="AA11"/>
  <c r="AA10"/>
  <c r="AA9"/>
  <c r="AA8"/>
  <c r="AA7"/>
  <c r="AA6"/>
  <c r="V45"/>
  <c r="U45"/>
  <c r="T45"/>
  <c r="AA45" s="1"/>
  <c r="W40"/>
  <c r="AA40" s="1"/>
  <c r="T46" i="10"/>
  <c r="U46"/>
  <c r="V46"/>
  <c r="U16"/>
  <c r="T13" i="1"/>
  <c r="T14"/>
  <c r="T15"/>
  <c r="T16"/>
  <c r="T17"/>
  <c r="T18"/>
  <c r="T19"/>
  <c r="T20"/>
  <c r="T21"/>
  <c r="T22"/>
  <c r="T23"/>
  <c r="T24"/>
  <c r="U25"/>
  <c r="T26"/>
  <c r="T27"/>
  <c r="T28"/>
  <c r="T29"/>
  <c r="T30"/>
  <c r="T31"/>
  <c r="T32"/>
  <c r="T33"/>
  <c r="T34"/>
  <c r="T35"/>
  <c r="T36"/>
  <c r="T37"/>
  <c r="T38"/>
  <c r="T39"/>
  <c r="T40"/>
  <c r="T41"/>
  <c r="T42"/>
  <c r="T43"/>
  <c r="T44"/>
  <c r="T45"/>
  <c r="T46"/>
  <c r="T47"/>
  <c r="T48"/>
  <c r="T49"/>
  <c r="T50"/>
  <c r="T51"/>
  <c r="T52"/>
  <c r="T53"/>
  <c r="T55"/>
  <c r="Z55" s="1"/>
  <c r="T56"/>
  <c r="Z56" s="1"/>
  <c r="T57"/>
  <c r="Z57" s="1"/>
  <c r="T58"/>
  <c r="T59"/>
  <c r="T62"/>
  <c r="T63"/>
  <c r="T64"/>
  <c r="T65"/>
  <c r="T66"/>
  <c r="T67"/>
  <c r="T68"/>
  <c r="T69"/>
  <c r="T70"/>
  <c r="T71"/>
  <c r="T72"/>
  <c r="T73"/>
  <c r="T74"/>
  <c r="T75"/>
  <c r="T76"/>
  <c r="T77"/>
  <c r="T78"/>
  <c r="T79"/>
  <c r="T80"/>
  <c r="T81"/>
  <c r="T82"/>
  <c r="T83"/>
  <c r="T84"/>
  <c r="T85"/>
  <c r="T86"/>
  <c r="T87"/>
  <c r="T88"/>
  <c r="T89"/>
  <c r="T90"/>
  <c r="T91"/>
  <c r="T92"/>
  <c r="T93"/>
  <c r="T94"/>
  <c r="T95"/>
  <c r="T96"/>
  <c r="T97"/>
  <c r="T98"/>
  <c r="T99"/>
  <c r="T102"/>
  <c r="I27" i="25" l="1"/>
  <c r="K25"/>
  <c r="P25"/>
  <c r="P27" s="1"/>
  <c r="L25"/>
  <c r="L27" s="1"/>
  <c r="I50"/>
  <c r="M25"/>
  <c r="M27" s="1"/>
  <c r="I10" i="50"/>
  <c r="N25" i="25"/>
  <c r="N27" s="1"/>
  <c r="O25"/>
  <c r="O27" s="1"/>
  <c r="K27"/>
  <c r="X14" i="22"/>
  <c r="Z15"/>
  <c r="X15"/>
  <c r="Z25"/>
  <c r="X25"/>
  <c r="U10" i="31"/>
  <c r="J15" i="40"/>
  <c r="J10" i="50"/>
  <c r="J17" s="1"/>
  <c r="J50" i="25"/>
  <c r="R65" i="5"/>
  <c r="T10" i="31"/>
  <c r="V10" s="1"/>
  <c r="Z14" i="22"/>
  <c r="Z102" i="1"/>
  <c r="X102"/>
  <c r="V102"/>
  <c r="Z96"/>
  <c r="X96"/>
  <c r="V96"/>
  <c r="Z92"/>
  <c r="X92"/>
  <c r="V92"/>
  <c r="Z88"/>
  <c r="X88"/>
  <c r="V88"/>
  <c r="Z84"/>
  <c r="X84"/>
  <c r="V84"/>
  <c r="Z80"/>
  <c r="X80"/>
  <c r="V80"/>
  <c r="Z76"/>
  <c r="X76"/>
  <c r="V76"/>
  <c r="Z72"/>
  <c r="X72"/>
  <c r="V72"/>
  <c r="Z68"/>
  <c r="X68"/>
  <c r="V68"/>
  <c r="Z64"/>
  <c r="X64"/>
  <c r="V64"/>
  <c r="Z58"/>
  <c r="X58"/>
  <c r="V58"/>
  <c r="U53"/>
  <c r="Z53"/>
  <c r="V53"/>
  <c r="X53"/>
  <c r="U49"/>
  <c r="Z49"/>
  <c r="V49"/>
  <c r="X49"/>
  <c r="U43"/>
  <c r="Z43"/>
  <c r="V43"/>
  <c r="X43"/>
  <c r="U39"/>
  <c r="Z39"/>
  <c r="V39"/>
  <c r="X39"/>
  <c r="U35"/>
  <c r="Z35"/>
  <c r="V35"/>
  <c r="X35"/>
  <c r="U31"/>
  <c r="Z31"/>
  <c r="V31"/>
  <c r="X31"/>
  <c r="U29"/>
  <c r="Z29"/>
  <c r="V29"/>
  <c r="X29"/>
  <c r="AA25"/>
  <c r="Y25"/>
  <c r="W25"/>
  <c r="U21"/>
  <c r="Z21"/>
  <c r="V21"/>
  <c r="X21"/>
  <c r="U17"/>
  <c r="Z17"/>
  <c r="V17"/>
  <c r="X17"/>
  <c r="Z15"/>
  <c r="U15"/>
  <c r="V15"/>
  <c r="X15"/>
  <c r="Z13"/>
  <c r="V13"/>
  <c r="X13"/>
  <c r="Z98"/>
  <c r="D50" i="12"/>
  <c r="X98" i="1"/>
  <c r="V98"/>
  <c r="Z94"/>
  <c r="X94"/>
  <c r="V94"/>
  <c r="Z90"/>
  <c r="X90"/>
  <c r="V90"/>
  <c r="Z86"/>
  <c r="X86"/>
  <c r="V86"/>
  <c r="Z82"/>
  <c r="X82"/>
  <c r="V82"/>
  <c r="Z78"/>
  <c r="X78"/>
  <c r="V78"/>
  <c r="Z74"/>
  <c r="X74"/>
  <c r="V74"/>
  <c r="Z70"/>
  <c r="X70"/>
  <c r="V70"/>
  <c r="Z66"/>
  <c r="X66"/>
  <c r="V66"/>
  <c r="Z62"/>
  <c r="X62"/>
  <c r="V62"/>
  <c r="U51"/>
  <c r="Z51"/>
  <c r="V51"/>
  <c r="X51"/>
  <c r="U47"/>
  <c r="Z47"/>
  <c r="V47"/>
  <c r="X47"/>
  <c r="U45"/>
  <c r="Z45"/>
  <c r="V45"/>
  <c r="X45"/>
  <c r="U41"/>
  <c r="Z41"/>
  <c r="V41"/>
  <c r="X41"/>
  <c r="U37"/>
  <c r="Z37"/>
  <c r="V37"/>
  <c r="X37"/>
  <c r="U33"/>
  <c r="Z33"/>
  <c r="V33"/>
  <c r="X33"/>
  <c r="U27"/>
  <c r="Z27"/>
  <c r="V27"/>
  <c r="X27"/>
  <c r="U23"/>
  <c r="Z23"/>
  <c r="V23"/>
  <c r="X23"/>
  <c r="U19"/>
  <c r="Z19"/>
  <c r="V19"/>
  <c r="X19"/>
  <c r="U99"/>
  <c r="Z99"/>
  <c r="X99"/>
  <c r="V99"/>
  <c r="Z97"/>
  <c r="V97"/>
  <c r="X97"/>
  <c r="Z95"/>
  <c r="X95"/>
  <c r="V95"/>
  <c r="Z93"/>
  <c r="V93"/>
  <c r="X93"/>
  <c r="Z91"/>
  <c r="X91"/>
  <c r="V91"/>
  <c r="Z89"/>
  <c r="V89"/>
  <c r="X89"/>
  <c r="Z87"/>
  <c r="V87"/>
  <c r="X87"/>
  <c r="Z85"/>
  <c r="V85"/>
  <c r="X85"/>
  <c r="Z83"/>
  <c r="V83"/>
  <c r="X83"/>
  <c r="Z81"/>
  <c r="V81"/>
  <c r="X81"/>
  <c r="Z79"/>
  <c r="V79"/>
  <c r="X79"/>
  <c r="Z77"/>
  <c r="V77"/>
  <c r="X77"/>
  <c r="Z75"/>
  <c r="V75"/>
  <c r="X75"/>
  <c r="Z73"/>
  <c r="V73"/>
  <c r="X73"/>
  <c r="U71"/>
  <c r="Z71"/>
  <c r="V71"/>
  <c r="X71"/>
  <c r="U69"/>
  <c r="Z69"/>
  <c r="V69"/>
  <c r="X69"/>
  <c r="U67"/>
  <c r="Z67"/>
  <c r="V67"/>
  <c r="X67"/>
  <c r="U65"/>
  <c r="Z65"/>
  <c r="V65"/>
  <c r="X65"/>
  <c r="U63"/>
  <c r="Z63"/>
  <c r="V63"/>
  <c r="X63"/>
  <c r="U59"/>
  <c r="Z59"/>
  <c r="V59"/>
  <c r="X59"/>
  <c r="U60"/>
  <c r="Z52"/>
  <c r="X52"/>
  <c r="V52"/>
  <c r="Z50"/>
  <c r="X50"/>
  <c r="V50"/>
  <c r="Z48"/>
  <c r="X48"/>
  <c r="V48"/>
  <c r="Z46"/>
  <c r="X46"/>
  <c r="V46"/>
  <c r="Z44"/>
  <c r="X44"/>
  <c r="V44"/>
  <c r="Z42"/>
  <c r="X42"/>
  <c r="V42"/>
  <c r="Z40"/>
  <c r="X40"/>
  <c r="V40"/>
  <c r="Z38"/>
  <c r="X38"/>
  <c r="V38"/>
  <c r="Z36"/>
  <c r="X36"/>
  <c r="V36"/>
  <c r="Z34"/>
  <c r="X34"/>
  <c r="V34"/>
  <c r="Z32"/>
  <c r="X32"/>
  <c r="V32"/>
  <c r="Z30"/>
  <c r="X30"/>
  <c r="V30"/>
  <c r="Z28"/>
  <c r="X28"/>
  <c r="V28"/>
  <c r="Z26"/>
  <c r="X26"/>
  <c r="V26"/>
  <c r="Z24"/>
  <c r="X24"/>
  <c r="V24"/>
  <c r="Z22"/>
  <c r="X22"/>
  <c r="V22"/>
  <c r="Z20"/>
  <c r="X20"/>
  <c r="V20"/>
  <c r="Z18"/>
  <c r="X18"/>
  <c r="V18"/>
  <c r="Z16"/>
  <c r="X16"/>
  <c r="V16"/>
  <c r="Z14"/>
  <c r="U14"/>
  <c r="X14"/>
  <c r="V14"/>
  <c r="I47" i="23"/>
  <c r="W10" i="18"/>
  <c r="W13"/>
  <c r="R61" i="5"/>
  <c r="R59"/>
  <c r="R62"/>
  <c r="R60"/>
  <c r="X21" i="18"/>
  <c r="G13" i="26"/>
  <c r="G16"/>
  <c r="E16"/>
  <c r="J16"/>
  <c r="J13"/>
  <c r="M13" s="1"/>
  <c r="H16"/>
  <c r="H13"/>
  <c r="F16"/>
  <c r="I13"/>
  <c r="I16"/>
  <c r="F12" i="23"/>
  <c r="F15"/>
  <c r="L15" s="1"/>
  <c r="F23"/>
  <c r="L23" s="1"/>
  <c r="N23" s="1"/>
  <c r="F27"/>
  <c r="F11"/>
  <c r="L11" s="1"/>
  <c r="N11" s="1"/>
  <c r="F14"/>
  <c r="L14" s="1"/>
  <c r="N14" s="1"/>
  <c r="F16"/>
  <c r="L16" s="1"/>
  <c r="N16" s="1"/>
  <c r="F18"/>
  <c r="L18" s="1"/>
  <c r="N18" s="1"/>
  <c r="F21"/>
  <c r="L21" s="1"/>
  <c r="N21" s="1"/>
  <c r="F22"/>
  <c r="L22" s="1"/>
  <c r="N22" s="1"/>
  <c r="E25"/>
  <c r="E26"/>
  <c r="E27"/>
  <c r="E12"/>
  <c r="E15"/>
  <c r="E19"/>
  <c r="E22"/>
  <c r="E11"/>
  <c r="M11" s="1"/>
  <c r="E14"/>
  <c r="M14" s="1"/>
  <c r="E16"/>
  <c r="E18"/>
  <c r="M18" s="1"/>
  <c r="E21"/>
  <c r="E23"/>
  <c r="F19"/>
  <c r="L19" s="1"/>
  <c r="N19" s="1"/>
  <c r="H47"/>
  <c r="G47"/>
  <c r="W12" i="18"/>
  <c r="W8"/>
  <c r="L34" i="23"/>
  <c r="N34" s="1"/>
  <c r="L43"/>
  <c r="N43" s="1"/>
  <c r="M38"/>
  <c r="L39"/>
  <c r="L38"/>
  <c r="N38" s="1"/>
  <c r="L42"/>
  <c r="N42" s="1"/>
  <c r="L41"/>
  <c r="N41" s="1"/>
  <c r="L36"/>
  <c r="N36" s="1"/>
  <c r="L35"/>
  <c r="N35" s="1"/>
  <c r="F13" i="22"/>
  <c r="G13"/>
  <c r="V55" i="1"/>
  <c r="X55"/>
  <c r="V57"/>
  <c r="X57"/>
  <c r="X56"/>
  <c r="V56"/>
  <c r="T31" i="13"/>
  <c r="S31"/>
  <c r="U57" i="1"/>
  <c r="AA57" s="1"/>
  <c r="U55"/>
  <c r="AA55" s="1"/>
  <c r="D40" i="22"/>
  <c r="C40"/>
  <c r="D24" i="18"/>
  <c r="C24"/>
  <c r="N6" i="13"/>
  <c r="N60" s="1"/>
  <c r="R50" i="12"/>
  <c r="T49" i="10"/>
  <c r="T96" s="1"/>
  <c r="G49"/>
  <c r="G50" i="12"/>
  <c r="L31" i="23"/>
  <c r="N31" s="1"/>
  <c r="G18" i="26"/>
  <c r="Q74" i="5"/>
  <c r="R67"/>
  <c r="W11" i="18"/>
  <c r="W7"/>
  <c r="W6"/>
  <c r="R56" i="5"/>
  <c r="O7" i="13"/>
  <c r="Q7"/>
  <c r="Q59" s="1"/>
  <c r="M7"/>
  <c r="F8"/>
  <c r="D8"/>
  <c r="N7"/>
  <c r="N59" s="1"/>
  <c r="P7"/>
  <c r="R7"/>
  <c r="H8"/>
  <c r="G8"/>
  <c r="E8"/>
  <c r="C8"/>
  <c r="E50" i="12"/>
  <c r="P50"/>
  <c r="R49" i="10"/>
  <c r="E49"/>
  <c r="N50" i="12"/>
  <c r="P49" i="10"/>
  <c r="C49"/>
  <c r="C50" i="12"/>
  <c r="E40" i="22"/>
  <c r="E24" i="18"/>
  <c r="O6" i="13"/>
  <c r="O60" s="1"/>
  <c r="H50" i="12"/>
  <c r="U49" i="10"/>
  <c r="U96" s="1"/>
  <c r="H49"/>
  <c r="S50" i="12"/>
  <c r="F50"/>
  <c r="S49" i="10"/>
  <c r="F49"/>
  <c r="Q50" i="12"/>
  <c r="M6" i="13"/>
  <c r="Q49" i="10"/>
  <c r="D49"/>
  <c r="O50" i="12"/>
  <c r="W17" i="18"/>
  <c r="V21"/>
  <c r="E18" i="26"/>
  <c r="M31" i="23"/>
  <c r="I18" i="26"/>
  <c r="H18"/>
  <c r="W14" i="18"/>
  <c r="W9"/>
  <c r="W15"/>
  <c r="R58" i="5"/>
  <c r="R57"/>
  <c r="R63"/>
  <c r="R64"/>
  <c r="M34" i="13"/>
  <c r="Q33"/>
  <c r="Q34" s="1"/>
  <c r="N33"/>
  <c r="N34" s="1"/>
  <c r="O33"/>
  <c r="O34" s="1"/>
  <c r="T14"/>
  <c r="P24"/>
  <c r="P25" s="1"/>
  <c r="N15"/>
  <c r="N16" s="1"/>
  <c r="M15"/>
  <c r="U13" i="1"/>
  <c r="V34" i="2"/>
  <c r="D27" i="5"/>
  <c r="U97" i="1"/>
  <c r="U102"/>
  <c r="E27" i="5"/>
  <c r="U100" i="1"/>
  <c r="C27" i="5"/>
  <c r="C6" s="1"/>
  <c r="U98" i="1"/>
  <c r="U96"/>
  <c r="U94"/>
  <c r="U92"/>
  <c r="U90"/>
  <c r="U88"/>
  <c r="U86"/>
  <c r="U84"/>
  <c r="U82"/>
  <c r="U80"/>
  <c r="U78"/>
  <c r="U76"/>
  <c r="U74"/>
  <c r="U72"/>
  <c r="U95"/>
  <c r="U93"/>
  <c r="U91"/>
  <c r="U89"/>
  <c r="U87"/>
  <c r="U85"/>
  <c r="U83"/>
  <c r="U81"/>
  <c r="U79"/>
  <c r="U77"/>
  <c r="U75"/>
  <c r="U73"/>
  <c r="U70"/>
  <c r="U68"/>
  <c r="U66"/>
  <c r="U64"/>
  <c r="U62"/>
  <c r="U58"/>
  <c r="AA58" s="1"/>
  <c r="U56"/>
  <c r="AA56" s="1"/>
  <c r="U54"/>
  <c r="AA54" s="1"/>
  <c r="U52"/>
  <c r="U50"/>
  <c r="U48"/>
  <c r="U46"/>
  <c r="U44"/>
  <c r="U42"/>
  <c r="U40"/>
  <c r="U38"/>
  <c r="U36"/>
  <c r="U34"/>
  <c r="U32"/>
  <c r="U30"/>
  <c r="U28"/>
  <c r="U26"/>
  <c r="U24"/>
  <c r="U22"/>
  <c r="U20"/>
  <c r="U18"/>
  <c r="U16"/>
  <c r="U103"/>
  <c r="V32" i="2"/>
  <c r="P15" i="13"/>
  <c r="P16" s="1"/>
  <c r="O15"/>
  <c r="O16" s="1"/>
  <c r="N107"/>
  <c r="O107" s="1"/>
  <c r="N109"/>
  <c r="O109" s="1"/>
  <c r="N111"/>
  <c r="O111" s="1"/>
  <c r="N113"/>
  <c r="O113" s="1"/>
  <c r="N123"/>
  <c r="O123" s="1"/>
  <c r="N125"/>
  <c r="O125" s="1"/>
  <c r="N127"/>
  <c r="O127" s="1"/>
  <c r="N108"/>
  <c r="O108" s="1"/>
  <c r="N110"/>
  <c r="O110" s="1"/>
  <c r="N112"/>
  <c r="O112" s="1"/>
  <c r="N124"/>
  <c r="O124" s="1"/>
  <c r="N126"/>
  <c r="O126" s="1"/>
  <c r="N122"/>
  <c r="O50" i="25" l="1"/>
  <c r="P50"/>
  <c r="S25"/>
  <c r="P10" i="50"/>
  <c r="P17" s="1"/>
  <c r="P20" s="1"/>
  <c r="M10"/>
  <c r="M17" s="1"/>
  <c r="M20" s="1"/>
  <c r="L10"/>
  <c r="L17" s="1"/>
  <c r="L20" s="1"/>
  <c r="K10"/>
  <c r="K17" s="1"/>
  <c r="K20" s="1"/>
  <c r="O10"/>
  <c r="O17" s="1"/>
  <c r="O20" s="1"/>
  <c r="N10"/>
  <c r="N17" s="1"/>
  <c r="N20" s="1"/>
  <c r="N39" i="23"/>
  <c r="R27" i="25"/>
  <c r="T27" s="1"/>
  <c r="S27"/>
  <c r="L50"/>
  <c r="K50"/>
  <c r="M50"/>
  <c r="N50"/>
  <c r="N15" i="23"/>
  <c r="L16" i="40"/>
  <c r="P16"/>
  <c r="K16"/>
  <c r="N16"/>
  <c r="M16"/>
  <c r="O16"/>
  <c r="G27" i="23"/>
  <c r="H27"/>
  <c r="I27"/>
  <c r="H51" i="13"/>
  <c r="H50"/>
  <c r="P59"/>
  <c r="O59"/>
  <c r="O50" s="1"/>
  <c r="O52" s="1"/>
  <c r="O53" s="1"/>
  <c r="M23"/>
  <c r="T23" s="1"/>
  <c r="R59"/>
  <c r="R61" s="1"/>
  <c r="R62" s="1"/>
  <c r="E15" i="22"/>
  <c r="E32"/>
  <c r="D15"/>
  <c r="D32"/>
  <c r="C13"/>
  <c r="C15"/>
  <c r="C32"/>
  <c r="AA18" i="1"/>
  <c r="Y18"/>
  <c r="W18"/>
  <c r="AA26"/>
  <c r="Y26"/>
  <c r="W26"/>
  <c r="AA34"/>
  <c r="Y34"/>
  <c r="W34"/>
  <c r="AA42"/>
  <c r="Y42"/>
  <c r="W42"/>
  <c r="AA46"/>
  <c r="Y46"/>
  <c r="W46"/>
  <c r="AA64"/>
  <c r="Y64"/>
  <c r="W64"/>
  <c r="AA77"/>
  <c r="Y77"/>
  <c r="W77"/>
  <c r="AA16"/>
  <c r="Y16"/>
  <c r="W16"/>
  <c r="AA20"/>
  <c r="Y20"/>
  <c r="W20"/>
  <c r="AA24"/>
  <c r="Y24"/>
  <c r="W24"/>
  <c r="AA28"/>
  <c r="Y28"/>
  <c r="W28"/>
  <c r="AA32"/>
  <c r="Y32"/>
  <c r="W32"/>
  <c r="AA36"/>
  <c r="Y36"/>
  <c r="W36"/>
  <c r="AA40"/>
  <c r="Y40"/>
  <c r="W40"/>
  <c r="AA44"/>
  <c r="Y44"/>
  <c r="W44"/>
  <c r="AA48"/>
  <c r="Y48"/>
  <c r="W48"/>
  <c r="AA52"/>
  <c r="Y52"/>
  <c r="W52"/>
  <c r="AA62"/>
  <c r="Y62"/>
  <c r="W62"/>
  <c r="AA66"/>
  <c r="Y66"/>
  <c r="W66"/>
  <c r="AA70"/>
  <c r="Y70"/>
  <c r="W70"/>
  <c r="AA75"/>
  <c r="Y75"/>
  <c r="W75"/>
  <c r="AA79"/>
  <c r="Y79"/>
  <c r="W79"/>
  <c r="V16" i="2"/>
  <c r="AA83" i="1"/>
  <c r="Y83"/>
  <c r="W83"/>
  <c r="V20" i="2"/>
  <c r="AA87" i="1"/>
  <c r="Y87"/>
  <c r="W87"/>
  <c r="V24" i="2"/>
  <c r="AA91" i="1"/>
  <c r="Y91"/>
  <c r="W91"/>
  <c r="V28" i="2"/>
  <c r="AA95" i="1"/>
  <c r="Y95"/>
  <c r="W95"/>
  <c r="AA74"/>
  <c r="Y74"/>
  <c r="W74"/>
  <c r="AA78"/>
  <c r="Y78"/>
  <c r="W78"/>
  <c r="V15" i="2"/>
  <c r="AA82" i="1"/>
  <c r="Y82"/>
  <c r="W82"/>
  <c r="V19" i="2"/>
  <c r="AA86" i="1"/>
  <c r="Y86"/>
  <c r="W86"/>
  <c r="V23" i="2"/>
  <c r="AA90" i="1"/>
  <c r="Y90"/>
  <c r="W90"/>
  <c r="V27" i="2"/>
  <c r="AA94" i="1"/>
  <c r="Y94"/>
  <c r="W94"/>
  <c r="V31" i="2"/>
  <c r="AA98" i="1"/>
  <c r="Y98"/>
  <c r="W98"/>
  <c r="V33" i="2"/>
  <c r="AA100" i="1"/>
  <c r="Y100"/>
  <c r="W100"/>
  <c r="V35" i="2"/>
  <c r="AA102" i="1"/>
  <c r="Y102"/>
  <c r="W102"/>
  <c r="AA13"/>
  <c r="Y13"/>
  <c r="W13"/>
  <c r="AA14"/>
  <c r="Y14"/>
  <c r="W14"/>
  <c r="Q48" i="11"/>
  <c r="Q55" s="1"/>
  <c r="C48"/>
  <c r="C58" s="1"/>
  <c r="S48"/>
  <c r="S64" s="1"/>
  <c r="E48"/>
  <c r="E62" s="1"/>
  <c r="AA99" i="1"/>
  <c r="Y99"/>
  <c r="W99"/>
  <c r="AA19"/>
  <c r="Y19"/>
  <c r="W19"/>
  <c r="AA23"/>
  <c r="Y23"/>
  <c r="W23"/>
  <c r="AA27"/>
  <c r="Y27"/>
  <c r="W27"/>
  <c r="AA33"/>
  <c r="Y33"/>
  <c r="W33"/>
  <c r="AA37"/>
  <c r="Y37"/>
  <c r="W37"/>
  <c r="AA41"/>
  <c r="Y41"/>
  <c r="W41"/>
  <c r="AA45"/>
  <c r="Y45"/>
  <c r="W45"/>
  <c r="AA47"/>
  <c r="Y47"/>
  <c r="W47"/>
  <c r="AA51"/>
  <c r="Y51"/>
  <c r="W51"/>
  <c r="AA17"/>
  <c r="Y17"/>
  <c r="W17"/>
  <c r="AA21"/>
  <c r="Y21"/>
  <c r="W21"/>
  <c r="AA22"/>
  <c r="Y22"/>
  <c r="W22"/>
  <c r="AA30"/>
  <c r="Y30"/>
  <c r="W30"/>
  <c r="AA38"/>
  <c r="Y38"/>
  <c r="W38"/>
  <c r="AA50"/>
  <c r="Y50"/>
  <c r="W50"/>
  <c r="AA68"/>
  <c r="Y68"/>
  <c r="W68"/>
  <c r="AA73"/>
  <c r="Y73"/>
  <c r="W73"/>
  <c r="V14" i="2"/>
  <c r="AA81" i="1"/>
  <c r="Y81"/>
  <c r="W81"/>
  <c r="V18" i="2"/>
  <c r="AA85" i="1"/>
  <c r="Y85"/>
  <c r="W85"/>
  <c r="V22" i="2"/>
  <c r="AA89" i="1"/>
  <c r="Y89"/>
  <c r="W89"/>
  <c r="V26" i="2"/>
  <c r="AA93" i="1"/>
  <c r="Y93"/>
  <c r="W93"/>
  <c r="AA72"/>
  <c r="Y72"/>
  <c r="W72"/>
  <c r="AA76"/>
  <c r="Y76"/>
  <c r="W76"/>
  <c r="AA80"/>
  <c r="Y80"/>
  <c r="W80"/>
  <c r="V17" i="2"/>
  <c r="AA84" i="1"/>
  <c r="Y84"/>
  <c r="W84"/>
  <c r="V21" i="2"/>
  <c r="AA88" i="1"/>
  <c r="Y88"/>
  <c r="W88"/>
  <c r="V25" i="2"/>
  <c r="AA92" i="1"/>
  <c r="Y92"/>
  <c r="W92"/>
  <c r="V29" i="2"/>
  <c r="AA96" i="1"/>
  <c r="Y96"/>
  <c r="W96"/>
  <c r="V30" i="2"/>
  <c r="AA97" i="1"/>
  <c r="Y97"/>
  <c r="W97"/>
  <c r="AA60"/>
  <c r="Y60"/>
  <c r="W60"/>
  <c r="AA59"/>
  <c r="Y59"/>
  <c r="W59"/>
  <c r="AA63"/>
  <c r="Y63"/>
  <c r="W63"/>
  <c r="AA65"/>
  <c r="Y65"/>
  <c r="W65"/>
  <c r="AA67"/>
  <c r="Y67"/>
  <c r="W67"/>
  <c r="AA69"/>
  <c r="Y69"/>
  <c r="W69"/>
  <c r="AA71"/>
  <c r="Y71"/>
  <c r="W71"/>
  <c r="R48" i="11"/>
  <c r="R62" s="1"/>
  <c r="D48"/>
  <c r="D55" s="1"/>
  <c r="AA15" i="1"/>
  <c r="Y15"/>
  <c r="W15"/>
  <c r="AA29"/>
  <c r="Y29"/>
  <c r="W29"/>
  <c r="AA31"/>
  <c r="Y31"/>
  <c r="W31"/>
  <c r="AA35"/>
  <c r="Y35"/>
  <c r="W35"/>
  <c r="AA39"/>
  <c r="Y39"/>
  <c r="W39"/>
  <c r="AA43"/>
  <c r="Y43"/>
  <c r="W43"/>
  <c r="AA49"/>
  <c r="Y49"/>
  <c r="W49"/>
  <c r="AA53"/>
  <c r="Y53"/>
  <c r="W53"/>
  <c r="V48" i="11"/>
  <c r="V90" s="1"/>
  <c r="H48"/>
  <c r="H60" s="1"/>
  <c r="L16" i="26"/>
  <c r="N16" s="1"/>
  <c r="L13"/>
  <c r="N13" s="1"/>
  <c r="V36" i="2"/>
  <c r="AA103" i="1"/>
  <c r="Y103"/>
  <c r="W103"/>
  <c r="Q50" i="13"/>
  <c r="Q52" s="1"/>
  <c r="Q53" s="1"/>
  <c r="Q61"/>
  <c r="D57" i="12"/>
  <c r="D58"/>
  <c r="D59"/>
  <c r="D60"/>
  <c r="D80" s="1"/>
  <c r="D61"/>
  <c r="D62"/>
  <c r="D64"/>
  <c r="D65"/>
  <c r="D66"/>
  <c r="D68"/>
  <c r="D70"/>
  <c r="D72"/>
  <c r="D74"/>
  <c r="Q57"/>
  <c r="Q58"/>
  <c r="Q59"/>
  <c r="Q60"/>
  <c r="Q80" s="1"/>
  <c r="Q61"/>
  <c r="Q62"/>
  <c r="Q64"/>
  <c r="Q65"/>
  <c r="Q66"/>
  <c r="Q68"/>
  <c r="Q70"/>
  <c r="Q72"/>
  <c r="Q74"/>
  <c r="S57"/>
  <c r="S58"/>
  <c r="S59"/>
  <c r="S60"/>
  <c r="S80" s="1"/>
  <c r="S61"/>
  <c r="S62"/>
  <c r="S64"/>
  <c r="S65"/>
  <c r="S66"/>
  <c r="S68"/>
  <c r="S70"/>
  <c r="S72"/>
  <c r="S74"/>
  <c r="N58"/>
  <c r="X58" s="1"/>
  <c r="N60"/>
  <c r="N80" s="1"/>
  <c r="N62"/>
  <c r="X62" s="1"/>
  <c r="N65"/>
  <c r="N68"/>
  <c r="X68" s="1"/>
  <c r="N72"/>
  <c r="X72" s="1"/>
  <c r="N57"/>
  <c r="X57" s="1"/>
  <c r="N59"/>
  <c r="N61"/>
  <c r="N64"/>
  <c r="X64" s="1"/>
  <c r="N66"/>
  <c r="X66" s="1"/>
  <c r="N70"/>
  <c r="X70" s="1"/>
  <c r="N74"/>
  <c r="X74" s="1"/>
  <c r="R57"/>
  <c r="R58"/>
  <c r="R59"/>
  <c r="R60"/>
  <c r="R80" s="1"/>
  <c r="R61"/>
  <c r="R62"/>
  <c r="R64"/>
  <c r="R65"/>
  <c r="R66"/>
  <c r="R68"/>
  <c r="R70"/>
  <c r="R72"/>
  <c r="R74"/>
  <c r="O57"/>
  <c r="O58"/>
  <c r="O59"/>
  <c r="O60"/>
  <c r="O80" s="1"/>
  <c r="O61"/>
  <c r="O62"/>
  <c r="O64"/>
  <c r="O65"/>
  <c r="O66"/>
  <c r="O68"/>
  <c r="O70"/>
  <c r="O72"/>
  <c r="O74"/>
  <c r="C59"/>
  <c r="C61"/>
  <c r="C64"/>
  <c r="C66"/>
  <c r="C70"/>
  <c r="C74"/>
  <c r="C58"/>
  <c r="C60"/>
  <c r="C80" s="1"/>
  <c r="C62"/>
  <c r="C65"/>
  <c r="C68"/>
  <c r="C72"/>
  <c r="C57"/>
  <c r="P57"/>
  <c r="P58"/>
  <c r="P59"/>
  <c r="P60"/>
  <c r="P80" s="1"/>
  <c r="P61"/>
  <c r="P62"/>
  <c r="P64"/>
  <c r="P65"/>
  <c r="P66"/>
  <c r="P68"/>
  <c r="P70"/>
  <c r="P72"/>
  <c r="P74"/>
  <c r="E57"/>
  <c r="E58"/>
  <c r="E59"/>
  <c r="E60"/>
  <c r="E80" s="1"/>
  <c r="E61"/>
  <c r="E62"/>
  <c r="E64"/>
  <c r="E65"/>
  <c r="E66"/>
  <c r="E68"/>
  <c r="E70"/>
  <c r="E72"/>
  <c r="E74"/>
  <c r="Y56" i="1"/>
  <c r="W56"/>
  <c r="Y54"/>
  <c r="W54"/>
  <c r="Y58"/>
  <c r="W58"/>
  <c r="Y55"/>
  <c r="W55"/>
  <c r="Y57"/>
  <c r="W57"/>
  <c r="O113" i="24"/>
  <c r="D14" i="22"/>
  <c r="D31"/>
  <c r="E14"/>
  <c r="E31"/>
  <c r="C14"/>
  <c r="C31"/>
  <c r="D13"/>
  <c r="E13"/>
  <c r="O111" i="24"/>
  <c r="L25" i="26"/>
  <c r="N25" s="1"/>
  <c r="D58" i="10"/>
  <c r="D73"/>
  <c r="D65"/>
  <c r="D59"/>
  <c r="D71"/>
  <c r="D63"/>
  <c r="D60"/>
  <c r="D56"/>
  <c r="D69"/>
  <c r="D61"/>
  <c r="D57"/>
  <c r="D67"/>
  <c r="M22" i="13"/>
  <c r="M41"/>
  <c r="M42"/>
  <c r="Q84" i="12"/>
  <c r="Q97"/>
  <c r="Q94"/>
  <c r="Q90"/>
  <c r="Q88"/>
  <c r="Q86"/>
  <c r="Q95"/>
  <c r="Q92"/>
  <c r="Q89"/>
  <c r="Q87"/>
  <c r="Q85"/>
  <c r="S82" i="10"/>
  <c r="F25" i="25" s="1"/>
  <c r="F27" s="1"/>
  <c r="S96" i="10"/>
  <c r="Z96" s="1"/>
  <c r="S86"/>
  <c r="S91"/>
  <c r="Z91" s="1"/>
  <c r="S58"/>
  <c r="Z58" s="1"/>
  <c r="S63"/>
  <c r="Z63" s="1"/>
  <c r="S67"/>
  <c r="Z67" s="1"/>
  <c r="S56"/>
  <c r="Z56" s="1"/>
  <c r="S85"/>
  <c r="S89"/>
  <c r="S57"/>
  <c r="Z57" s="1"/>
  <c r="S61"/>
  <c r="Z61" s="1"/>
  <c r="S68"/>
  <c r="S84"/>
  <c r="S88"/>
  <c r="S94"/>
  <c r="S60"/>
  <c r="Z60" s="1"/>
  <c r="S65"/>
  <c r="Z65" s="1"/>
  <c r="S69"/>
  <c r="Z69" s="1"/>
  <c r="S83"/>
  <c r="S87"/>
  <c r="S93"/>
  <c r="S59"/>
  <c r="Z59" s="1"/>
  <c r="S64"/>
  <c r="S71"/>
  <c r="Z71" s="1"/>
  <c r="T81" i="11"/>
  <c r="T85"/>
  <c r="T91"/>
  <c r="T82"/>
  <c r="T86"/>
  <c r="T93"/>
  <c r="AA93" s="1"/>
  <c r="T56"/>
  <c r="AA56" s="1"/>
  <c r="T58"/>
  <c r="AA58" s="1"/>
  <c r="T60"/>
  <c r="AA60" s="1"/>
  <c r="T64"/>
  <c r="AA64" s="1"/>
  <c r="T68"/>
  <c r="AA68" s="1"/>
  <c r="T72"/>
  <c r="AA72" s="1"/>
  <c r="T83"/>
  <c r="T88"/>
  <c r="AA88" s="1"/>
  <c r="T80"/>
  <c r="T84"/>
  <c r="T90"/>
  <c r="T55"/>
  <c r="AA55" s="1"/>
  <c r="T57"/>
  <c r="AA57" s="1"/>
  <c r="T59"/>
  <c r="AA59" s="1"/>
  <c r="T62"/>
  <c r="AA62" s="1"/>
  <c r="T66"/>
  <c r="AA66" s="1"/>
  <c r="T70"/>
  <c r="AA70" s="1"/>
  <c r="H58" i="10"/>
  <c r="H96"/>
  <c r="H69"/>
  <c r="H61"/>
  <c r="H91"/>
  <c r="H86"/>
  <c r="H57"/>
  <c r="H93"/>
  <c r="H87"/>
  <c r="H83"/>
  <c r="H67"/>
  <c r="H60"/>
  <c r="H84"/>
  <c r="H56"/>
  <c r="H73"/>
  <c r="H65"/>
  <c r="H94"/>
  <c r="H88"/>
  <c r="H59"/>
  <c r="H82"/>
  <c r="H89"/>
  <c r="H85"/>
  <c r="H71"/>
  <c r="H63"/>
  <c r="O41" i="13"/>
  <c r="O23"/>
  <c r="O42"/>
  <c r="O22"/>
  <c r="E15" i="18"/>
  <c r="E14"/>
  <c r="E12"/>
  <c r="E10"/>
  <c r="E8"/>
  <c r="E17"/>
  <c r="E21" s="1"/>
  <c r="E6"/>
  <c r="E9"/>
  <c r="E13"/>
  <c r="E7"/>
  <c r="E11"/>
  <c r="Q58" i="11"/>
  <c r="C56" i="10"/>
  <c r="C59"/>
  <c r="C71"/>
  <c r="C58"/>
  <c r="C61"/>
  <c r="C60"/>
  <c r="C65"/>
  <c r="C57"/>
  <c r="C63"/>
  <c r="C69"/>
  <c r="C67"/>
  <c r="C73"/>
  <c r="R59"/>
  <c r="R64"/>
  <c r="R71"/>
  <c r="R60"/>
  <c r="R65"/>
  <c r="R69"/>
  <c r="R57"/>
  <c r="R61"/>
  <c r="R68"/>
  <c r="R58"/>
  <c r="R63"/>
  <c r="R67"/>
  <c r="R56"/>
  <c r="C51" i="13"/>
  <c r="C50"/>
  <c r="G51"/>
  <c r="G50"/>
  <c r="F50"/>
  <c r="F51"/>
  <c r="J18" i="26"/>
  <c r="G64" i="11"/>
  <c r="G55"/>
  <c r="G60"/>
  <c r="G58"/>
  <c r="G91"/>
  <c r="G88"/>
  <c r="G85"/>
  <c r="G83"/>
  <c r="G81"/>
  <c r="G70"/>
  <c r="G59"/>
  <c r="G72"/>
  <c r="G57"/>
  <c r="G66"/>
  <c r="G68"/>
  <c r="G56"/>
  <c r="G90"/>
  <c r="G86"/>
  <c r="G84"/>
  <c r="G82"/>
  <c r="G80"/>
  <c r="G62"/>
  <c r="G93"/>
  <c r="G73" i="10"/>
  <c r="G65"/>
  <c r="G91"/>
  <c r="G86"/>
  <c r="G59"/>
  <c r="G71"/>
  <c r="G63"/>
  <c r="G94"/>
  <c r="G56"/>
  <c r="G96"/>
  <c r="G89"/>
  <c r="G85"/>
  <c r="G83"/>
  <c r="G69"/>
  <c r="G61"/>
  <c r="G88"/>
  <c r="G84"/>
  <c r="G57"/>
  <c r="G67"/>
  <c r="G60"/>
  <c r="G58"/>
  <c r="G82"/>
  <c r="G93"/>
  <c r="G87"/>
  <c r="R97" i="12"/>
  <c r="R94"/>
  <c r="R90"/>
  <c r="R88"/>
  <c r="R86"/>
  <c r="R84"/>
  <c r="R95"/>
  <c r="R92"/>
  <c r="R89"/>
  <c r="R87"/>
  <c r="R85"/>
  <c r="D17" i="18"/>
  <c r="D21" s="1"/>
  <c r="D11"/>
  <c r="D9"/>
  <c r="D7"/>
  <c r="D6"/>
  <c r="D15"/>
  <c r="D14"/>
  <c r="D13"/>
  <c r="D12"/>
  <c r="D10"/>
  <c r="D8"/>
  <c r="L22" i="26"/>
  <c r="N22" s="1"/>
  <c r="F18"/>
  <c r="Q58" i="10"/>
  <c r="Q63"/>
  <c r="Q67"/>
  <c r="Q56"/>
  <c r="Q59"/>
  <c r="Q64"/>
  <c r="Q71"/>
  <c r="Q60"/>
  <c r="Q65"/>
  <c r="Q69"/>
  <c r="Q57"/>
  <c r="Q61"/>
  <c r="Q68"/>
  <c r="F56"/>
  <c r="M56" s="1"/>
  <c r="F89"/>
  <c r="F59"/>
  <c r="M59" s="1"/>
  <c r="F82"/>
  <c r="M82" s="1"/>
  <c r="F93"/>
  <c r="F85"/>
  <c r="F71"/>
  <c r="M71" s="1"/>
  <c r="F63"/>
  <c r="M63" s="1"/>
  <c r="F58"/>
  <c r="M58" s="1"/>
  <c r="F73"/>
  <c r="M73" s="1"/>
  <c r="F65"/>
  <c r="M65" s="1"/>
  <c r="F94"/>
  <c r="F88"/>
  <c r="F84"/>
  <c r="F57"/>
  <c r="M57" s="1"/>
  <c r="F87"/>
  <c r="F83"/>
  <c r="F67"/>
  <c r="M67" s="1"/>
  <c r="F60"/>
  <c r="M60" s="1"/>
  <c r="F96"/>
  <c r="M96" s="1"/>
  <c r="F69"/>
  <c r="M69" s="1"/>
  <c r="F61"/>
  <c r="M61" s="1"/>
  <c r="F91"/>
  <c r="M91" s="1"/>
  <c r="F86"/>
  <c r="F82" i="11"/>
  <c r="F62"/>
  <c r="M62" s="1"/>
  <c r="F72"/>
  <c r="M72" s="1"/>
  <c r="F88"/>
  <c r="F64"/>
  <c r="M64" s="1"/>
  <c r="F56"/>
  <c r="M56" s="1"/>
  <c r="F84"/>
  <c r="F60"/>
  <c r="M60" s="1"/>
  <c r="F85"/>
  <c r="F68"/>
  <c r="M68" s="1"/>
  <c r="F55"/>
  <c r="M55" s="1"/>
  <c r="F70"/>
  <c r="M70" s="1"/>
  <c r="F59"/>
  <c r="M59" s="1"/>
  <c r="F80"/>
  <c r="F83"/>
  <c r="F58"/>
  <c r="M58" s="1"/>
  <c r="F90"/>
  <c r="F66"/>
  <c r="M66" s="1"/>
  <c r="F91"/>
  <c r="F81"/>
  <c r="F57"/>
  <c r="M57" s="1"/>
  <c r="F86"/>
  <c r="F93"/>
  <c r="M93" s="1"/>
  <c r="S95" i="12"/>
  <c r="S92"/>
  <c r="S89"/>
  <c r="S87"/>
  <c r="S85"/>
  <c r="S84"/>
  <c r="S97"/>
  <c r="S94"/>
  <c r="S90"/>
  <c r="S88"/>
  <c r="S86"/>
  <c r="U82" i="10"/>
  <c r="H25" i="25" s="1"/>
  <c r="H27" s="1"/>
  <c r="U84" i="10"/>
  <c r="U88"/>
  <c r="U94"/>
  <c r="U60"/>
  <c r="U67"/>
  <c r="U56"/>
  <c r="U85"/>
  <c r="U89"/>
  <c r="U57"/>
  <c r="U61"/>
  <c r="U68"/>
  <c r="U86"/>
  <c r="U91"/>
  <c r="U58"/>
  <c r="U63"/>
  <c r="U69"/>
  <c r="U83"/>
  <c r="U87"/>
  <c r="U93"/>
  <c r="U59"/>
  <c r="U64"/>
  <c r="U71"/>
  <c r="V88" i="11"/>
  <c r="P59" i="10"/>
  <c r="P64"/>
  <c r="P71"/>
  <c r="P58"/>
  <c r="P63"/>
  <c r="P67"/>
  <c r="P57"/>
  <c r="P61"/>
  <c r="P68"/>
  <c r="P56"/>
  <c r="P60"/>
  <c r="P65"/>
  <c r="P69"/>
  <c r="E56"/>
  <c r="E67"/>
  <c r="E60"/>
  <c r="E73"/>
  <c r="E65"/>
  <c r="E59"/>
  <c r="E71"/>
  <c r="E63"/>
  <c r="E58"/>
  <c r="E69"/>
  <c r="E61"/>
  <c r="E57"/>
  <c r="P85" i="12"/>
  <c r="X85" s="1"/>
  <c r="P90"/>
  <c r="X90" s="1"/>
  <c r="P89"/>
  <c r="X89" s="1"/>
  <c r="P88"/>
  <c r="X88" s="1"/>
  <c r="P92"/>
  <c r="X92" s="1"/>
  <c r="P97"/>
  <c r="X97" s="1"/>
  <c r="P86"/>
  <c r="X86" s="1"/>
  <c r="P95"/>
  <c r="P94"/>
  <c r="X94" s="1"/>
  <c r="P84"/>
  <c r="X84" s="1"/>
  <c r="P87"/>
  <c r="X87" s="1"/>
  <c r="E58" i="11"/>
  <c r="E51" i="13"/>
  <c r="E50"/>
  <c r="D50"/>
  <c r="D51"/>
  <c r="U83" i="11"/>
  <c r="U88"/>
  <c r="U55"/>
  <c r="U57"/>
  <c r="U59"/>
  <c r="U62"/>
  <c r="U66"/>
  <c r="U70"/>
  <c r="U80"/>
  <c r="U84"/>
  <c r="U90"/>
  <c r="U81"/>
  <c r="U85"/>
  <c r="U91"/>
  <c r="U56"/>
  <c r="U58"/>
  <c r="U60"/>
  <c r="U64"/>
  <c r="U68"/>
  <c r="U72"/>
  <c r="U82"/>
  <c r="U86"/>
  <c r="U93"/>
  <c r="T82" i="10"/>
  <c r="G25" i="25" s="1"/>
  <c r="G27" s="1"/>
  <c r="T83" i="10"/>
  <c r="T87"/>
  <c r="T93"/>
  <c r="T59"/>
  <c r="T64"/>
  <c r="T71"/>
  <c r="T86"/>
  <c r="T91"/>
  <c r="T58"/>
  <c r="T63"/>
  <c r="T67"/>
  <c r="T56"/>
  <c r="T85"/>
  <c r="T89"/>
  <c r="T57"/>
  <c r="T61"/>
  <c r="T68"/>
  <c r="T84"/>
  <c r="T88"/>
  <c r="T94"/>
  <c r="T60"/>
  <c r="T65"/>
  <c r="T69"/>
  <c r="N42" i="13"/>
  <c r="N22"/>
  <c r="N41"/>
  <c r="N23"/>
  <c r="C15" i="18"/>
  <c r="C14"/>
  <c r="C11"/>
  <c r="S11" s="1"/>
  <c r="C9"/>
  <c r="S9" s="1"/>
  <c r="C7"/>
  <c r="C13"/>
  <c r="S13" s="1"/>
  <c r="C8"/>
  <c r="C10"/>
  <c r="C17"/>
  <c r="C6"/>
  <c r="C12"/>
  <c r="U65" i="10"/>
  <c r="M22" i="26"/>
  <c r="O112" i="24"/>
  <c r="O122" i="13"/>
  <c r="N131"/>
  <c r="O131" s="1"/>
  <c r="M16"/>
  <c r="P33"/>
  <c r="S33" s="1"/>
  <c r="S34" s="1"/>
  <c r="Q15"/>
  <c r="S15" s="1"/>
  <c r="S16" s="1"/>
  <c r="E6" i="5"/>
  <c r="E10"/>
  <c r="E14"/>
  <c r="E13"/>
  <c r="E9"/>
  <c r="E8"/>
  <c r="E12"/>
  <c r="E15"/>
  <c r="E11"/>
  <c r="E7"/>
  <c r="C13"/>
  <c r="C15"/>
  <c r="C12"/>
  <c r="C11"/>
  <c r="C10"/>
  <c r="C9"/>
  <c r="C7"/>
  <c r="C8"/>
  <c r="C14"/>
  <c r="D10"/>
  <c r="D14"/>
  <c r="D9"/>
  <c r="D13"/>
  <c r="D6"/>
  <c r="D8"/>
  <c r="D12"/>
  <c r="D7"/>
  <c r="D11"/>
  <c r="D15"/>
  <c r="O117" i="13"/>
  <c r="H93" i="11" l="1"/>
  <c r="Q62"/>
  <c r="R55"/>
  <c r="S20" i="50"/>
  <c r="E66" i="11"/>
  <c r="E64"/>
  <c r="H62"/>
  <c r="D60"/>
  <c r="R111" i="13"/>
  <c r="V80" i="11"/>
  <c r="S56"/>
  <c r="P19" i="40"/>
  <c r="V72" i="11"/>
  <c r="S55"/>
  <c r="R109" i="13"/>
  <c r="V59" i="11"/>
  <c r="V81"/>
  <c r="S126" i="13" s="1"/>
  <c r="S66" i="11"/>
  <c r="R114" i="13"/>
  <c r="V60" i="11"/>
  <c r="C62"/>
  <c r="C60"/>
  <c r="V62"/>
  <c r="V82"/>
  <c r="S124" i="13" s="1"/>
  <c r="V85" i="11"/>
  <c r="S58"/>
  <c r="D59"/>
  <c r="V83"/>
  <c r="S125" i="13" s="1"/>
  <c r="V58" i="11"/>
  <c r="R113" i="13"/>
  <c r="R115"/>
  <c r="S72" i="11"/>
  <c r="R50" i="25"/>
  <c r="T50" s="1"/>
  <c r="U50"/>
  <c r="S50"/>
  <c r="H84" i="11"/>
  <c r="R123" i="13" s="1"/>
  <c r="E59" i="11"/>
  <c r="E60"/>
  <c r="E56"/>
  <c r="R66"/>
  <c r="Q68"/>
  <c r="H88"/>
  <c r="E70"/>
  <c r="E55"/>
  <c r="E68"/>
  <c r="E57"/>
  <c r="E72"/>
  <c r="R60"/>
  <c r="H64"/>
  <c r="H57"/>
  <c r="L19" i="40"/>
  <c r="M19"/>
  <c r="K19"/>
  <c r="N19"/>
  <c r="O19"/>
  <c r="S112" i="13"/>
  <c r="Z87" i="10"/>
  <c r="S110" i="13"/>
  <c r="Z85" i="10"/>
  <c r="S107" i="13"/>
  <c r="Z82" i="10"/>
  <c r="S115" i="13"/>
  <c r="Z93" i="10"/>
  <c r="S109" i="13"/>
  <c r="Z84" i="10"/>
  <c r="S113" i="13"/>
  <c r="Z88" i="10"/>
  <c r="S108" i="13"/>
  <c r="Z86" i="10"/>
  <c r="C68" i="11"/>
  <c r="R110" i="13"/>
  <c r="D57" i="11"/>
  <c r="C59"/>
  <c r="V66"/>
  <c r="V55"/>
  <c r="V86"/>
  <c r="S128" i="13" s="1"/>
  <c r="V64" i="11"/>
  <c r="V91"/>
  <c r="S130" i="13" s="1"/>
  <c r="V84" i="11"/>
  <c r="S123" i="13" s="1"/>
  <c r="S59" i="11"/>
  <c r="S60"/>
  <c r="D58"/>
  <c r="S114" i="13"/>
  <c r="Z89" i="10"/>
  <c r="R107" i="13"/>
  <c r="S111"/>
  <c r="Z83" i="10"/>
  <c r="S116" i="13"/>
  <c r="Z94" i="10"/>
  <c r="D64" i="11"/>
  <c r="C64"/>
  <c r="C66"/>
  <c r="V70"/>
  <c r="V57"/>
  <c r="V93"/>
  <c r="V68"/>
  <c r="V56"/>
  <c r="R108" i="13"/>
  <c r="R112"/>
  <c r="R116"/>
  <c r="S62" i="11"/>
  <c r="S68"/>
  <c r="D66"/>
  <c r="R17" i="50"/>
  <c r="T17" s="1"/>
  <c r="S17"/>
  <c r="R20"/>
  <c r="T20" s="1"/>
  <c r="L18" i="26"/>
  <c r="N18" s="1"/>
  <c r="H15" i="40"/>
  <c r="H10" i="50"/>
  <c r="G15" i="40"/>
  <c r="G10" i="50"/>
  <c r="F15" i="40"/>
  <c r="F10" i="50"/>
  <c r="H52" i="13"/>
  <c r="H53" s="1"/>
  <c r="S59"/>
  <c r="P50"/>
  <c r="P52" s="1"/>
  <c r="P53" s="1"/>
  <c r="P61"/>
  <c r="P62" s="1"/>
  <c r="M24"/>
  <c r="M25" s="1"/>
  <c r="R18" i="40"/>
  <c r="T18" s="1"/>
  <c r="S18"/>
  <c r="S16"/>
  <c r="R16"/>
  <c r="T16" s="1"/>
  <c r="N50" i="13"/>
  <c r="T50" s="1"/>
  <c r="R64" i="11"/>
  <c r="R70"/>
  <c r="R57"/>
  <c r="Q70"/>
  <c r="Q64"/>
  <c r="Q59"/>
  <c r="H56"/>
  <c r="H83"/>
  <c r="R125" i="13" s="1"/>
  <c r="H66" i="11"/>
  <c r="H72"/>
  <c r="H91"/>
  <c r="R130" i="13" s="1"/>
  <c r="C70" i="11"/>
  <c r="C56"/>
  <c r="C55"/>
  <c r="R68"/>
  <c r="R56"/>
  <c r="R59"/>
  <c r="Q56"/>
  <c r="Q72"/>
  <c r="Q66"/>
  <c r="H86"/>
  <c r="R128" i="13" s="1"/>
  <c r="H70" i="11"/>
  <c r="H68"/>
  <c r="H58"/>
  <c r="H85"/>
  <c r="R127" i="13" s="1"/>
  <c r="H80" i="11"/>
  <c r="R122" i="13" s="1"/>
  <c r="D56" i="11"/>
  <c r="D68"/>
  <c r="D62"/>
  <c r="C57"/>
  <c r="C72"/>
  <c r="R72"/>
  <c r="R58"/>
  <c r="J50" i="13"/>
  <c r="S70" i="11"/>
  <c r="S57"/>
  <c r="Q60"/>
  <c r="Q57"/>
  <c r="H82"/>
  <c r="R124" i="13" s="1"/>
  <c r="H59" i="11"/>
  <c r="H55"/>
  <c r="H90"/>
  <c r="R129" i="13" s="1"/>
  <c r="H81" i="11"/>
  <c r="R126" i="13" s="1"/>
  <c r="D70" i="11"/>
  <c r="D72"/>
  <c r="Q15" i="22"/>
  <c r="S15"/>
  <c r="O154"/>
  <c r="K178" s="1"/>
  <c r="S42" i="13"/>
  <c r="T42"/>
  <c r="S41"/>
  <c r="T41"/>
  <c r="X60" i="12"/>
  <c r="O43" i="13"/>
  <c r="O44" s="1"/>
  <c r="N24"/>
  <c r="N25" s="1"/>
  <c r="T59"/>
  <c r="L28" i="26"/>
  <c r="N28" s="1"/>
  <c r="Q62" i="13"/>
  <c r="T60"/>
  <c r="O61"/>
  <c r="Q6" i="5"/>
  <c r="N43" i="13"/>
  <c r="N44" s="1"/>
  <c r="S23"/>
  <c r="Q8" i="5"/>
  <c r="Q15"/>
  <c r="D52" i="13"/>
  <c r="D53" s="1"/>
  <c r="E52"/>
  <c r="E53" s="1"/>
  <c r="Q14" i="22"/>
  <c r="S14"/>
  <c r="Q12" i="18"/>
  <c r="S12"/>
  <c r="M86" i="11"/>
  <c r="M80"/>
  <c r="M88"/>
  <c r="M87" i="10"/>
  <c r="M84"/>
  <c r="M85"/>
  <c r="M89"/>
  <c r="C21" i="18"/>
  <c r="S21" s="1"/>
  <c r="Q17"/>
  <c r="S17"/>
  <c r="Q8"/>
  <c r="S8"/>
  <c r="Q7"/>
  <c r="S7"/>
  <c r="Q15"/>
  <c r="S15"/>
  <c r="M81" i="11"/>
  <c r="M86" i="10"/>
  <c r="C52" i="13"/>
  <c r="C53" s="1"/>
  <c r="I50"/>
  <c r="AA84" i="11"/>
  <c r="AA82"/>
  <c r="S127" i="13"/>
  <c r="AA85" i="11"/>
  <c r="Q6" i="18"/>
  <c r="S6"/>
  <c r="S10"/>
  <c r="Q10"/>
  <c r="Q14"/>
  <c r="S14"/>
  <c r="S60" i="13"/>
  <c r="N61"/>
  <c r="M83" i="11"/>
  <c r="M85"/>
  <c r="M84"/>
  <c r="M82"/>
  <c r="M83" i="10"/>
  <c r="M88"/>
  <c r="J51" i="13"/>
  <c r="G52"/>
  <c r="G53" s="1"/>
  <c r="S122"/>
  <c r="AA80" i="11"/>
  <c r="AA83"/>
  <c r="AA86"/>
  <c r="AA81"/>
  <c r="Q11" i="18"/>
  <c r="Q13"/>
  <c r="M43" i="13"/>
  <c r="M44" s="1"/>
  <c r="F52"/>
  <c r="F53" s="1"/>
  <c r="I51"/>
  <c r="Q9" i="18"/>
  <c r="O24" i="13"/>
  <c r="O25" s="1"/>
  <c r="S129"/>
  <c r="S22"/>
  <c r="T22"/>
  <c r="P43"/>
  <c r="P44" s="1"/>
  <c r="S8" i="5"/>
  <c r="S6"/>
  <c r="Q10"/>
  <c r="S10"/>
  <c r="Q12"/>
  <c r="S12"/>
  <c r="Q13"/>
  <c r="S13"/>
  <c r="Q14"/>
  <c r="S14"/>
  <c r="Q7"/>
  <c r="S7"/>
  <c r="Q9"/>
  <c r="S9"/>
  <c r="Q11"/>
  <c r="S11"/>
  <c r="S15"/>
  <c r="P34" i="13"/>
  <c r="Q16"/>
  <c r="V32" i="5"/>
  <c r="V33"/>
  <c r="V34"/>
  <c r="V35"/>
  <c r="V36"/>
  <c r="V37"/>
  <c r="V38"/>
  <c r="V39"/>
  <c r="V40"/>
  <c r="V43"/>
  <c r="V44"/>
  <c r="V45"/>
  <c r="J42"/>
  <c r="K42"/>
  <c r="L42"/>
  <c r="M42"/>
  <c r="I42"/>
  <c r="I67" s="1"/>
  <c r="D42"/>
  <c r="D46" s="1"/>
  <c r="E42"/>
  <c r="E46" s="1"/>
  <c r="F42"/>
  <c r="F46" s="1"/>
  <c r="G46"/>
  <c r="H42"/>
  <c r="H67" s="1"/>
  <c r="S67" s="1"/>
  <c r="C42"/>
  <c r="P37" i="2"/>
  <c r="P13" i="1"/>
  <c r="Q13" s="1"/>
  <c r="P14"/>
  <c r="P15"/>
  <c r="P16"/>
  <c r="P17"/>
  <c r="P18"/>
  <c r="P19"/>
  <c r="P20"/>
  <c r="P21"/>
  <c r="P22"/>
  <c r="P23"/>
  <c r="P24"/>
  <c r="P25"/>
  <c r="P26"/>
  <c r="P27"/>
  <c r="P28"/>
  <c r="P29"/>
  <c r="P30"/>
  <c r="P31"/>
  <c r="P32"/>
  <c r="P33"/>
  <c r="P34"/>
  <c r="P35"/>
  <c r="P36"/>
  <c r="P37"/>
  <c r="P38"/>
  <c r="P39"/>
  <c r="P40"/>
  <c r="P41"/>
  <c r="P42"/>
  <c r="P43"/>
  <c r="P44"/>
  <c r="P45"/>
  <c r="P46"/>
  <c r="P47"/>
  <c r="P48"/>
  <c r="P49"/>
  <c r="P50"/>
  <c r="P51"/>
  <c r="P52"/>
  <c r="P53"/>
  <c r="P54"/>
  <c r="P55"/>
  <c r="P56"/>
  <c r="P57"/>
  <c r="P58"/>
  <c r="P59"/>
  <c r="P60"/>
  <c r="P61"/>
  <c r="Q61" s="1"/>
  <c r="P62"/>
  <c r="P63"/>
  <c r="P64"/>
  <c r="P65"/>
  <c r="P66"/>
  <c r="P67"/>
  <c r="P68"/>
  <c r="P69"/>
  <c r="P70"/>
  <c r="P71"/>
  <c r="P72"/>
  <c r="P73"/>
  <c r="P74"/>
  <c r="P75"/>
  <c r="P76"/>
  <c r="P77"/>
  <c r="P78"/>
  <c r="P79"/>
  <c r="P80"/>
  <c r="P81"/>
  <c r="P82"/>
  <c r="P83"/>
  <c r="P84"/>
  <c r="P85"/>
  <c r="P86"/>
  <c r="P87"/>
  <c r="P88"/>
  <c r="P89"/>
  <c r="P90"/>
  <c r="P91"/>
  <c r="P92"/>
  <c r="P93"/>
  <c r="P94"/>
  <c r="P95"/>
  <c r="P96"/>
  <c r="P97"/>
  <c r="P98"/>
  <c r="P99"/>
  <c r="P100"/>
  <c r="P101"/>
  <c r="P102"/>
  <c r="P103"/>
  <c r="P104"/>
  <c r="P11"/>
  <c r="Q12" s="1"/>
  <c r="P14" i="2"/>
  <c r="P15"/>
  <c r="P16"/>
  <c r="Q16" s="1"/>
  <c r="P17"/>
  <c r="P18"/>
  <c r="Q18" s="1"/>
  <c r="P19"/>
  <c r="P20"/>
  <c r="Q20" s="1"/>
  <c r="P21"/>
  <c r="P22"/>
  <c r="Q22" s="1"/>
  <c r="P23"/>
  <c r="P24"/>
  <c r="Q24" s="1"/>
  <c r="P25"/>
  <c r="P26"/>
  <c r="Q26" s="1"/>
  <c r="P27"/>
  <c r="P28"/>
  <c r="Q28" s="1"/>
  <c r="P29"/>
  <c r="P30"/>
  <c r="Q30" s="1"/>
  <c r="P31"/>
  <c r="P32"/>
  <c r="Q32" s="1"/>
  <c r="P33"/>
  <c r="P34"/>
  <c r="Q34" s="1"/>
  <c r="P35"/>
  <c r="P36"/>
  <c r="Q36" s="1"/>
  <c r="P13"/>
  <c r="K46" i="5" l="1"/>
  <c r="K71" s="1"/>
  <c r="K49" i="22" s="1"/>
  <c r="K67" i="5"/>
  <c r="L46"/>
  <c r="L71" s="1"/>
  <c r="L49" i="22" s="1"/>
  <c r="L67" i="5"/>
  <c r="J46"/>
  <c r="J71" s="1"/>
  <c r="J49" i="22" s="1"/>
  <c r="J67" i="5"/>
  <c r="X42"/>
  <c r="M46"/>
  <c r="M67"/>
  <c r="S19" i="40"/>
  <c r="R7" i="18"/>
  <c r="R10"/>
  <c r="R14" i="22"/>
  <c r="R21"/>
  <c r="R18"/>
  <c r="R22"/>
  <c r="R28"/>
  <c r="R27"/>
  <c r="R15"/>
  <c r="R20"/>
  <c r="R25"/>
  <c r="R19"/>
  <c r="R29"/>
  <c r="N52" i="13"/>
  <c r="N53" s="1"/>
  <c r="R19" i="40"/>
  <c r="T19" s="1"/>
  <c r="T109" i="13"/>
  <c r="U109" s="1"/>
  <c r="T110"/>
  <c r="U110" s="1"/>
  <c r="I52"/>
  <c r="I53" s="1"/>
  <c r="S50"/>
  <c r="T125"/>
  <c r="U125" s="1"/>
  <c r="T15" i="22"/>
  <c r="R11" i="18"/>
  <c r="R15"/>
  <c r="R8"/>
  <c r="S43" i="13"/>
  <c r="S44" s="1"/>
  <c r="Q104" i="1"/>
  <c r="Q102"/>
  <c r="Q100"/>
  <c r="Q98"/>
  <c r="Q96"/>
  <c r="Q94"/>
  <c r="Q92"/>
  <c r="Q90"/>
  <c r="Q88"/>
  <c r="Q86"/>
  <c r="Q84"/>
  <c r="Q82"/>
  <c r="Q80"/>
  <c r="Q78"/>
  <c r="Q76"/>
  <c r="Q74"/>
  <c r="Q72"/>
  <c r="Q70"/>
  <c r="Q68"/>
  <c r="Q66"/>
  <c r="Q64"/>
  <c r="Q62"/>
  <c r="Q60"/>
  <c r="Q54"/>
  <c r="Q52"/>
  <c r="Q50"/>
  <c r="Q48"/>
  <c r="Q46"/>
  <c r="T115" i="13"/>
  <c r="R9" i="18"/>
  <c r="R13"/>
  <c r="T128" i="13"/>
  <c r="U128" s="1"/>
  <c r="R14" i="18"/>
  <c r="R6"/>
  <c r="T108" i="13"/>
  <c r="U108" s="1"/>
  <c r="T126"/>
  <c r="U126" s="1"/>
  <c r="T116"/>
  <c r="T114"/>
  <c r="U114" s="1"/>
  <c r="T130"/>
  <c r="T111"/>
  <c r="U111" s="1"/>
  <c r="T112"/>
  <c r="U112" s="1"/>
  <c r="O62"/>
  <c r="T129"/>
  <c r="T14" i="22"/>
  <c r="Q54"/>
  <c r="R54" s="1"/>
  <c r="Q58" i="1"/>
  <c r="Q56"/>
  <c r="S131" i="13"/>
  <c r="T122"/>
  <c r="U122" s="1"/>
  <c r="S61"/>
  <c r="N62"/>
  <c r="Q35" i="2"/>
  <c r="Q33"/>
  <c r="Q31"/>
  <c r="Q29"/>
  <c r="Q27"/>
  <c r="Q25"/>
  <c r="Q23"/>
  <c r="Q21"/>
  <c r="Q19"/>
  <c r="Q17"/>
  <c r="Q15"/>
  <c r="Q37"/>
  <c r="T113" i="13"/>
  <c r="U113" s="1"/>
  <c r="R131"/>
  <c r="S117"/>
  <c r="T107"/>
  <c r="U107" s="1"/>
  <c r="Q21" i="18"/>
  <c r="R17"/>
  <c r="Q14" i="2"/>
  <c r="Q44" i="1"/>
  <c r="Q42"/>
  <c r="Q40"/>
  <c r="Q38"/>
  <c r="Q36"/>
  <c r="Q34"/>
  <c r="Q32"/>
  <c r="Q30"/>
  <c r="Q28"/>
  <c r="Q26"/>
  <c r="Q24"/>
  <c r="Q22"/>
  <c r="Q20"/>
  <c r="Q18"/>
  <c r="Q16"/>
  <c r="Q14"/>
  <c r="T127" i="13"/>
  <c r="U127" s="1"/>
  <c r="T124"/>
  <c r="U124" s="1"/>
  <c r="T123"/>
  <c r="U123" s="1"/>
  <c r="R117"/>
  <c r="R12" i="18"/>
  <c r="S24" i="13"/>
  <c r="S25" s="1"/>
  <c r="S42" i="5"/>
  <c r="H46"/>
  <c r="H71" s="1"/>
  <c r="H49" i="22" s="1"/>
  <c r="C46" i="5"/>
  <c r="Q42"/>
  <c r="Q49" s="1"/>
  <c r="V42"/>
  <c r="I46"/>
  <c r="I71" s="1"/>
  <c r="I49" i="22" s="1"/>
  <c r="C17" i="5"/>
  <c r="G21"/>
  <c r="G49"/>
  <c r="E21"/>
  <c r="E49"/>
  <c r="H49"/>
  <c r="H74" s="1"/>
  <c r="S74" s="1"/>
  <c r="F21"/>
  <c r="F49"/>
  <c r="D21"/>
  <c r="D49"/>
  <c r="Q19" i="1"/>
  <c r="Q15"/>
  <c r="Q103"/>
  <c r="Q101"/>
  <c r="Q99"/>
  <c r="Q97"/>
  <c r="Q95"/>
  <c r="Q93"/>
  <c r="Q91"/>
  <c r="Q89"/>
  <c r="Q87"/>
  <c r="Q85"/>
  <c r="Q83"/>
  <c r="Q81"/>
  <c r="Q79"/>
  <c r="Q77"/>
  <c r="Q75"/>
  <c r="Q73"/>
  <c r="Q71"/>
  <c r="Q69"/>
  <c r="Q67"/>
  <c r="Q65"/>
  <c r="Q63"/>
  <c r="Q59"/>
  <c r="Q57"/>
  <c r="Q55"/>
  <c r="Q53"/>
  <c r="Q51"/>
  <c r="Q49"/>
  <c r="Q47"/>
  <c r="Q45"/>
  <c r="Q43"/>
  <c r="Q41"/>
  <c r="Q39"/>
  <c r="Q37"/>
  <c r="Q35"/>
  <c r="Q33"/>
  <c r="Q31"/>
  <c r="Q29"/>
  <c r="Q27"/>
  <c r="Q25"/>
  <c r="Q23"/>
  <c r="Q21"/>
  <c r="Q17"/>
  <c r="E17" i="5"/>
  <c r="E24" s="1"/>
  <c r="I17"/>
  <c r="L49"/>
  <c r="L74" s="1"/>
  <c r="L17"/>
  <c r="J17"/>
  <c r="H17"/>
  <c r="F17"/>
  <c r="F24" s="1"/>
  <c r="D17"/>
  <c r="D24" s="1"/>
  <c r="M49"/>
  <c r="M17"/>
  <c r="K17"/>
  <c r="Q105" i="1"/>
  <c r="H21" i="5" l="1"/>
  <c r="K68" i="22"/>
  <c r="K31" s="1"/>
  <c r="K13"/>
  <c r="I68"/>
  <c r="I31" s="1"/>
  <c r="I13"/>
  <c r="L68"/>
  <c r="L31" s="1"/>
  <c r="L13"/>
  <c r="K49" i="5"/>
  <c r="K74" s="1"/>
  <c r="J68" i="22"/>
  <c r="J31" s="1"/>
  <c r="J13"/>
  <c r="H68"/>
  <c r="H31" s="1"/>
  <c r="H13"/>
  <c r="Q49"/>
  <c r="S49"/>
  <c r="J49" i="5"/>
  <c r="J74" s="1"/>
  <c r="X46"/>
  <c r="M71"/>
  <c r="W34"/>
  <c r="W38"/>
  <c r="W31"/>
  <c r="W37"/>
  <c r="W40"/>
  <c r="W35"/>
  <c r="W33"/>
  <c r="W42"/>
  <c r="W32"/>
  <c r="W39"/>
  <c r="X67"/>
  <c r="V67"/>
  <c r="W36"/>
  <c r="S52" i="13"/>
  <c r="S53" s="1"/>
  <c r="X17" i="5"/>
  <c r="T131" i="13"/>
  <c r="U131" s="1"/>
  <c r="Q17" i="22"/>
  <c r="Q24"/>
  <c r="S62" i="13"/>
  <c r="T54" i="22"/>
  <c r="Q61"/>
  <c r="T117" i="13"/>
  <c r="U117" s="1"/>
  <c r="X49" i="5"/>
  <c r="M74"/>
  <c r="H24"/>
  <c r="S17"/>
  <c r="S49"/>
  <c r="Q17"/>
  <c r="G24"/>
  <c r="V17"/>
  <c r="I21"/>
  <c r="I49"/>
  <c r="I74" s="1"/>
  <c r="C49"/>
  <c r="C21"/>
  <c r="C24" s="1"/>
  <c r="V46"/>
  <c r="V49" s="1"/>
  <c r="K21"/>
  <c r="K24" s="1"/>
  <c r="J21"/>
  <c r="J24" s="1"/>
  <c r="L21"/>
  <c r="L24" s="1"/>
  <c r="M21"/>
  <c r="X21" s="1"/>
  <c r="Q13" i="22" l="1"/>
  <c r="S13"/>
  <c r="R49"/>
  <c r="T49"/>
  <c r="W67" i="5"/>
  <c r="W56"/>
  <c r="W63"/>
  <c r="W59"/>
  <c r="W61"/>
  <c r="W64"/>
  <c r="W58"/>
  <c r="W62"/>
  <c r="W60"/>
  <c r="W57"/>
  <c r="W65"/>
  <c r="M49" i="22"/>
  <c r="V71" i="5"/>
  <c r="V74" s="1"/>
  <c r="X71"/>
  <c r="T61" i="22"/>
  <c r="R61"/>
  <c r="T17"/>
  <c r="R17"/>
  <c r="T24"/>
  <c r="R24"/>
  <c r="W17" i="5"/>
  <c r="W9"/>
  <c r="W7"/>
  <c r="W12"/>
  <c r="W11"/>
  <c r="W6"/>
  <c r="W14"/>
  <c r="W10"/>
  <c r="W13"/>
  <c r="W15"/>
  <c r="W8"/>
  <c r="Q24"/>
  <c r="R17"/>
  <c r="R15"/>
  <c r="R6"/>
  <c r="R8"/>
  <c r="R11"/>
  <c r="R7"/>
  <c r="R13"/>
  <c r="R10"/>
  <c r="R9"/>
  <c r="R14"/>
  <c r="R12"/>
  <c r="X74"/>
  <c r="R25" i="25"/>
  <c r="M24" i="5"/>
  <c r="X24" s="1"/>
  <c r="S24"/>
  <c r="I24"/>
  <c r="V21"/>
  <c r="V24" s="1"/>
  <c r="R13" i="22" l="1"/>
  <c r="T13"/>
  <c r="M13"/>
  <c r="Y49"/>
  <c r="AA49"/>
  <c r="W49"/>
  <c r="M68"/>
  <c r="M31" s="1"/>
  <c r="T25" i="25"/>
  <c r="Z49" i="22" l="1"/>
  <c r="X49"/>
  <c r="AA13"/>
  <c r="W13"/>
  <c r="Y13"/>
  <c r="J45" i="23"/>
  <c r="J25" s="1"/>
  <c r="X13" i="22" l="1"/>
  <c r="Z13"/>
  <c r="I45" i="23"/>
  <c r="I25" s="1"/>
  <c r="I46"/>
  <c r="L152" i="22" l="1"/>
  <c r="I26" i="23"/>
  <c r="F45" l="1"/>
  <c r="F25" s="1"/>
  <c r="F46"/>
  <c r="F26" l="1"/>
  <c r="I152" i="22"/>
  <c r="G45" i="23"/>
  <c r="G25" s="1"/>
  <c r="G46"/>
  <c r="J152" i="22" l="1"/>
  <c r="G26" i="23"/>
  <c r="L47"/>
  <c r="N47" s="1"/>
  <c r="H45"/>
  <c r="L32"/>
  <c r="H46"/>
  <c r="K152" i="22" l="1"/>
  <c r="N32" i="23"/>
  <c r="L46"/>
  <c r="N46" s="1"/>
  <c r="H26"/>
  <c r="L26" s="1"/>
  <c r="N26" s="1"/>
  <c r="L45"/>
  <c r="N45" s="1"/>
  <c r="H25"/>
  <c r="L25" s="1"/>
  <c r="N25" s="1"/>
  <c r="L27"/>
  <c r="N27" s="1"/>
  <c r="L12"/>
  <c r="N12" s="1"/>
  <c r="O152" i="22" l="1"/>
  <c r="G174" s="1"/>
  <c r="W174" l="1"/>
  <c r="L54" l="1"/>
  <c r="K156" l="1"/>
  <c r="L156"/>
  <c r="M156"/>
  <c r="J156"/>
  <c r="L61"/>
  <c r="L17"/>
  <c r="I54"/>
  <c r="M54"/>
  <c r="K54"/>
  <c r="J54"/>
  <c r="W54" l="1"/>
  <c r="O156"/>
  <c r="J177" s="1"/>
  <c r="K61"/>
  <c r="K24" s="1"/>
  <c r="K17"/>
  <c r="J61"/>
  <c r="J72" s="1"/>
  <c r="J33" s="1"/>
  <c r="J17"/>
  <c r="I61"/>
  <c r="I24" s="1"/>
  <c r="I17"/>
  <c r="M61"/>
  <c r="Y61" s="1"/>
  <c r="M17"/>
  <c r="W18"/>
  <c r="X18" s="1"/>
  <c r="L72"/>
  <c r="L33" s="1"/>
  <c r="L24"/>
  <c r="M24" l="1"/>
  <c r="AA24" s="1"/>
  <c r="AA61"/>
  <c r="Z54"/>
  <c r="X54"/>
  <c r="K72"/>
  <c r="K33" s="1"/>
  <c r="W17"/>
  <c r="M72"/>
  <c r="M33" s="1"/>
  <c r="J24"/>
  <c r="W61"/>
  <c r="I72"/>
  <c r="I33" s="1"/>
  <c r="Z18"/>
  <c r="Y24" l="1"/>
  <c r="W24"/>
  <c r="X24" s="1"/>
  <c r="Z61"/>
  <c r="X61"/>
  <c r="Z17"/>
  <c r="X17"/>
  <c r="Z24" l="1"/>
  <c r="L10" i="39" l="1"/>
  <c r="I158" i="22" l="1"/>
  <c r="R10" i="39"/>
  <c r="T10" s="1"/>
  <c r="O158" i="22" l="1"/>
  <c r="L179" s="1"/>
  <c r="Z179" l="1"/>
  <c r="M115" i="24" l="1"/>
  <c r="M118" s="1"/>
  <c r="I115" l="1"/>
  <c r="I117" s="1"/>
  <c r="O36" i="25"/>
  <c r="O37" s="1"/>
  <c r="K115" i="24"/>
  <c r="I155" i="22"/>
  <c r="F32" i="26"/>
  <c r="L36" i="25"/>
  <c r="L37" s="1"/>
  <c r="P36"/>
  <c r="P37" s="1"/>
  <c r="J32" i="26"/>
  <c r="J34" s="1"/>
  <c r="M155" i="22"/>
  <c r="I32" i="26"/>
  <c r="I34" s="1"/>
  <c r="J115" i="24"/>
  <c r="L115" l="1"/>
  <c r="L117" s="1"/>
  <c r="N36" i="25"/>
  <c r="N37" s="1"/>
  <c r="L155" i="22"/>
  <c r="K155"/>
  <c r="K119" i="24"/>
  <c r="H32" i="26"/>
  <c r="H34" s="1"/>
  <c r="K59" i="22" s="1"/>
  <c r="K66" s="1"/>
  <c r="L57"/>
  <c r="L58"/>
  <c r="L65" s="1"/>
  <c r="L59"/>
  <c r="M58"/>
  <c r="M21" s="1"/>
  <c r="M57"/>
  <c r="M64" s="1"/>
  <c r="M59"/>
  <c r="M66" s="1"/>
  <c r="J155"/>
  <c r="M36" i="25"/>
  <c r="M37" s="1"/>
  <c r="R37" s="1"/>
  <c r="T37" s="1"/>
  <c r="G32" i="26"/>
  <c r="G34" s="1"/>
  <c r="F34"/>
  <c r="L153" i="22"/>
  <c r="M153"/>
  <c r="M160" s="1"/>
  <c r="I119" i="24"/>
  <c r="I118"/>
  <c r="M119"/>
  <c r="M117"/>
  <c r="K57" i="22" l="1"/>
  <c r="K20" s="1"/>
  <c r="L160"/>
  <c r="L118" i="24"/>
  <c r="K58" i="22"/>
  <c r="K65" s="1"/>
  <c r="L119" i="24"/>
  <c r="K118"/>
  <c r="M65" i="22"/>
  <c r="M161" s="1"/>
  <c r="M162" s="1"/>
  <c r="L21"/>
  <c r="O115" i="24"/>
  <c r="O155" i="22"/>
  <c r="F173" s="1"/>
  <c r="V173" s="1"/>
  <c r="K153"/>
  <c r="K160" s="1"/>
  <c r="K117" i="24"/>
  <c r="I57" i="22"/>
  <c r="I20" s="1"/>
  <c r="I58"/>
  <c r="I59"/>
  <c r="J58"/>
  <c r="J57"/>
  <c r="J59"/>
  <c r="M22"/>
  <c r="M20"/>
  <c r="K22"/>
  <c r="F172"/>
  <c r="J153"/>
  <c r="J160" s="1"/>
  <c r="K29"/>
  <c r="K77"/>
  <c r="K38" s="1"/>
  <c r="M27"/>
  <c r="Y64"/>
  <c r="AA64"/>
  <c r="M75"/>
  <c r="M36" s="1"/>
  <c r="L76"/>
  <c r="L37" s="1"/>
  <c r="L161"/>
  <c r="L28"/>
  <c r="AA66"/>
  <c r="Y66"/>
  <c r="M29"/>
  <c r="M77"/>
  <c r="M38" s="1"/>
  <c r="J118" i="24"/>
  <c r="J117"/>
  <c r="J119"/>
  <c r="L32" i="26"/>
  <c r="N32" s="1"/>
  <c r="L22" i="22"/>
  <c r="L66"/>
  <c r="L64"/>
  <c r="L20"/>
  <c r="L34" i="26"/>
  <c r="N34" s="1"/>
  <c r="I153" i="22"/>
  <c r="L162" l="1"/>
  <c r="K64"/>
  <c r="K75" s="1"/>
  <c r="K36" s="1"/>
  <c r="Y65"/>
  <c r="O119" i="24"/>
  <c r="K21" i="22"/>
  <c r="M28"/>
  <c r="AA28" s="1"/>
  <c r="AA65"/>
  <c r="M76"/>
  <c r="M37" s="1"/>
  <c r="O117" i="24"/>
  <c r="O118"/>
  <c r="I64" i="22"/>
  <c r="I27" s="1"/>
  <c r="W57"/>
  <c r="X57" s="1"/>
  <c r="K28"/>
  <c r="K161"/>
  <c r="K162" s="1"/>
  <c r="K76"/>
  <c r="K37" s="1"/>
  <c r="J22"/>
  <c r="J66"/>
  <c r="J20"/>
  <c r="W20" s="1"/>
  <c r="J64"/>
  <c r="J21"/>
  <c r="J65"/>
  <c r="I21"/>
  <c r="W58"/>
  <c r="I65"/>
  <c r="L29"/>
  <c r="L77"/>
  <c r="L38" s="1"/>
  <c r="Y27"/>
  <c r="AA27"/>
  <c r="W59"/>
  <c r="I22"/>
  <c r="I66"/>
  <c r="L27"/>
  <c r="L75"/>
  <c r="L36" s="1"/>
  <c r="V172"/>
  <c r="G172"/>
  <c r="I160"/>
  <c r="O153"/>
  <c r="H175" s="1"/>
  <c r="X175" s="1"/>
  <c r="Y29"/>
  <c r="AA29"/>
  <c r="K27" l="1"/>
  <c r="Y28"/>
  <c r="I75"/>
  <c r="I36" s="1"/>
  <c r="W64"/>
  <c r="X64" s="1"/>
  <c r="Z57"/>
  <c r="W21"/>
  <c r="Z21" s="1"/>
  <c r="W22"/>
  <c r="Z22" s="1"/>
  <c r="Z20"/>
  <c r="X20"/>
  <c r="W172"/>
  <c r="H172"/>
  <c r="J161"/>
  <c r="J162" s="1"/>
  <c r="J76"/>
  <c r="J37" s="1"/>
  <c r="J28"/>
  <c r="J77"/>
  <c r="J38" s="1"/>
  <c r="J29"/>
  <c r="O160"/>
  <c r="W66"/>
  <c r="I29"/>
  <c r="I77"/>
  <c r="I38" s="1"/>
  <c r="I28"/>
  <c r="I161"/>
  <c r="W65"/>
  <c r="I76"/>
  <c r="I37" s="1"/>
  <c r="X59"/>
  <c r="Z59"/>
  <c r="Z58"/>
  <c r="X58"/>
  <c r="J75"/>
  <c r="J36" s="1"/>
  <c r="J27"/>
  <c r="W27" l="1"/>
  <c r="X27" s="1"/>
  <c r="Z64"/>
  <c r="O161"/>
  <c r="M180" s="1"/>
  <c r="AA180" s="1"/>
  <c r="X22"/>
  <c r="X21"/>
  <c r="W28"/>
  <c r="X28" s="1"/>
  <c r="X66"/>
  <c r="Z66"/>
  <c r="I172"/>
  <c r="X172"/>
  <c r="Z65"/>
  <c r="X65"/>
  <c r="W29"/>
  <c r="I162"/>
  <c r="Z27" l="1"/>
  <c r="O162"/>
  <c r="Z28"/>
  <c r="X29"/>
  <c r="Z29"/>
  <c r="Y172"/>
  <c r="J172"/>
  <c r="K172" s="1"/>
  <c r="L172" s="1"/>
  <c r="Z172" s="1"/>
</calcChain>
</file>

<file path=xl/comments1.xml><?xml version="1.0" encoding="utf-8"?>
<comments xmlns="http://schemas.openxmlformats.org/spreadsheetml/2006/main">
  <authors>
    <author>duncan.kernohan</author>
  </authors>
  <commentList>
    <comment ref="J5" authorId="0">
      <text>
        <r>
          <rPr>
            <b/>
            <sz val="9"/>
            <color indexed="81"/>
            <rFont val="Tahoma"/>
            <family val="2"/>
          </rPr>
          <t>duncan.kernohan:</t>
        </r>
        <r>
          <rPr>
            <sz val="9"/>
            <color indexed="81"/>
            <rFont val="Tahoma"/>
            <family val="2"/>
          </rPr>
          <t xml:space="preserve">
From HAL Extract</t>
        </r>
      </text>
    </comment>
    <comment ref="W54" authorId="0">
      <text>
        <r>
          <rPr>
            <b/>
            <sz val="9"/>
            <color indexed="81"/>
            <rFont val="Tahoma"/>
            <family val="2"/>
          </rPr>
          <t>duncan.kernohan:</t>
        </r>
        <r>
          <rPr>
            <sz val="9"/>
            <color indexed="81"/>
            <rFont val="Tahoma"/>
            <family val="2"/>
          </rPr>
          <t xml:space="preserve">
From Heathrow IBP</t>
        </r>
      </text>
    </comment>
  </commentList>
</comments>
</file>

<file path=xl/comments2.xml><?xml version="1.0" encoding="utf-8"?>
<comments xmlns="http://schemas.openxmlformats.org/spreadsheetml/2006/main">
  <authors>
    <author>duncan.kernohan</author>
  </authors>
  <commentList>
    <comment ref="J5" authorId="0">
      <text>
        <r>
          <rPr>
            <b/>
            <sz val="9"/>
            <color indexed="81"/>
            <rFont val="Tahoma"/>
            <family val="2"/>
          </rPr>
          <t>duncan.kernohan:</t>
        </r>
        <r>
          <rPr>
            <sz val="9"/>
            <color indexed="81"/>
            <rFont val="Tahoma"/>
            <family val="2"/>
          </rPr>
          <t xml:space="preserve">
Based on extract from Gatwick Business Model.</t>
        </r>
      </text>
    </comment>
    <comment ref="J53" authorId="0">
      <text>
        <r>
          <rPr>
            <b/>
            <sz val="9"/>
            <color indexed="81"/>
            <rFont val="Tahoma"/>
            <family val="2"/>
          </rPr>
          <t>duncan.kernohan:</t>
        </r>
        <r>
          <rPr>
            <sz val="9"/>
            <color indexed="81"/>
            <rFont val="Tahoma"/>
            <family val="2"/>
          </rPr>
          <t xml:space="preserve">
Based on extract from Gatwick Business Model.</t>
        </r>
      </text>
    </comment>
  </commentList>
</comments>
</file>

<file path=xl/comments3.xml><?xml version="1.0" encoding="utf-8"?>
<comments xmlns="http://schemas.openxmlformats.org/spreadsheetml/2006/main">
  <authors>
    <author>duncan.kernohan</author>
  </authors>
  <commentList>
    <comment ref="B42" authorId="0">
      <text>
        <r>
          <rPr>
            <b/>
            <sz val="9"/>
            <color indexed="81"/>
            <rFont val="Tahoma"/>
            <family val="2"/>
          </rPr>
          <t>duncan.kernohan:</t>
        </r>
        <r>
          <rPr>
            <sz val="9"/>
            <color indexed="81"/>
            <rFont val="Tahoma"/>
            <family val="2"/>
          </rPr>
          <t xml:space="preserve">
Changed to use FBP model forecast. </t>
        </r>
      </text>
    </comment>
    <comment ref="B61" authorId="0">
      <text>
        <r>
          <rPr>
            <b/>
            <sz val="9"/>
            <color indexed="81"/>
            <rFont val="Tahoma"/>
            <family val="2"/>
          </rPr>
          <t>duncan.kernohan:</t>
        </r>
        <r>
          <rPr>
            <sz val="9"/>
            <color indexed="81"/>
            <rFont val="Tahoma"/>
            <family val="2"/>
          </rPr>
          <t xml:space="preserve">
See: </t>
        </r>
        <r>
          <rPr>
            <sz val="9"/>
            <color indexed="81"/>
            <rFont val="Wingdings"/>
            <charset val="2"/>
          </rPr>
          <t>"</t>
        </r>
      </text>
    </comment>
    <comment ref="B79" authorId="0">
      <text>
        <r>
          <rPr>
            <b/>
            <sz val="9"/>
            <color indexed="81"/>
            <rFont val="Tahoma"/>
            <family val="2"/>
          </rPr>
          <t>duncan.kernohan:</t>
        </r>
        <r>
          <rPr>
            <sz val="9"/>
            <color indexed="81"/>
            <rFont val="Tahoma"/>
            <family val="2"/>
          </rPr>
          <t xml:space="preserve">
Changed to use FBP model forecast. </t>
        </r>
      </text>
    </comment>
    <comment ref="B103" authorId="0">
      <text>
        <r>
          <rPr>
            <b/>
            <sz val="9"/>
            <color indexed="81"/>
            <rFont val="Tahoma"/>
            <family val="2"/>
          </rPr>
          <t>duncan.kernohan:</t>
        </r>
        <r>
          <rPr>
            <sz val="9"/>
            <color indexed="81"/>
            <rFont val="Tahoma"/>
            <family val="2"/>
          </rPr>
          <t xml:space="preserve">
Changed to use FBP model forecast. </t>
        </r>
      </text>
    </comment>
  </commentList>
</comments>
</file>

<file path=xl/comments4.xml><?xml version="1.0" encoding="utf-8"?>
<comments xmlns="http://schemas.openxmlformats.org/spreadsheetml/2006/main">
  <authors>
    <author>duncan.kernohan</author>
  </authors>
  <commentList>
    <comment ref="B42" authorId="0">
      <text>
        <r>
          <rPr>
            <b/>
            <sz val="9"/>
            <color indexed="81"/>
            <rFont val="Tahoma"/>
            <family val="2"/>
          </rPr>
          <t>duncan.kernohan:</t>
        </r>
        <r>
          <rPr>
            <sz val="9"/>
            <color indexed="81"/>
            <rFont val="Tahoma"/>
            <family val="2"/>
          </rPr>
          <t xml:space="preserve">
Based on central case forecasts on page 32 of updated FBP.</t>
        </r>
      </text>
    </comment>
  </commentList>
</comments>
</file>

<file path=xl/comments5.xml><?xml version="1.0" encoding="utf-8"?>
<comments xmlns="http://schemas.openxmlformats.org/spreadsheetml/2006/main">
  <authors>
    <author>duncan.kernohan</author>
  </authors>
  <commentList>
    <comment ref="B42" authorId="0">
      <text>
        <r>
          <rPr>
            <b/>
            <sz val="9"/>
            <color indexed="81"/>
            <rFont val="Tahoma"/>
            <family val="2"/>
          </rPr>
          <t>duncan.kernohan:</t>
        </r>
        <r>
          <rPr>
            <sz val="9"/>
            <color indexed="81"/>
            <rFont val="Tahoma"/>
            <family val="2"/>
          </rPr>
          <t xml:space="preserve">
Based on central case forecasts on page 32 of updated FBP.</t>
        </r>
      </text>
    </comment>
  </commentList>
</comments>
</file>

<file path=xl/comments6.xml><?xml version="1.0" encoding="utf-8"?>
<comments xmlns="http://schemas.openxmlformats.org/spreadsheetml/2006/main">
  <authors>
    <author>duncan.kernohan</author>
  </authors>
  <commentList>
    <comment ref="B55" authorId="0">
      <text>
        <r>
          <rPr>
            <b/>
            <sz val="9"/>
            <color indexed="81"/>
            <rFont val="Tahoma"/>
            <family val="2"/>
          </rPr>
          <t>duncan.kernohan:</t>
        </r>
        <r>
          <rPr>
            <sz val="9"/>
            <color indexed="81"/>
            <rFont val="Tahoma"/>
            <family val="2"/>
          </rPr>
          <t xml:space="preserve">
Interpretation of efficiency savings based on LACC table showing total savings of £1,185m over Q6 (see page 29)</t>
        </r>
      </text>
    </comment>
  </commentList>
</comments>
</file>

<file path=xl/comments7.xml><?xml version="1.0" encoding="utf-8"?>
<comments xmlns="http://schemas.openxmlformats.org/spreadsheetml/2006/main">
  <authors>
    <author>duncan.kernohan</author>
  </authors>
  <commentList>
    <comment ref="C10" authorId="0">
      <text>
        <r>
          <rPr>
            <b/>
            <sz val="9"/>
            <color indexed="81"/>
            <rFont val="Tahoma"/>
            <family val="2"/>
          </rPr>
          <t>duncan.kernohan:</t>
        </r>
        <r>
          <rPr>
            <sz val="9"/>
            <color indexed="81"/>
            <rFont val="Tahoma"/>
            <family val="2"/>
          </rPr>
          <t xml:space="preserve">
The level of risk / ambition has been identified in the consultants report.</t>
        </r>
      </text>
    </comment>
    <comment ref="C29" authorId="0">
      <text>
        <r>
          <rPr>
            <b/>
            <sz val="9"/>
            <color indexed="81"/>
            <rFont val="Tahoma"/>
            <family val="2"/>
          </rPr>
          <t>duncan.kernohan:</t>
        </r>
        <r>
          <rPr>
            <sz val="9"/>
            <color indexed="81"/>
            <rFont val="Tahoma"/>
            <family val="2"/>
          </rPr>
          <t xml:space="preserve">
The level of risk / ambition has been identified in the consultants report.</t>
        </r>
      </text>
    </comment>
    <comment ref="C30" authorId="0">
      <text>
        <r>
          <rPr>
            <b/>
            <sz val="9"/>
            <color indexed="81"/>
            <rFont val="Tahoma"/>
            <family val="2"/>
          </rPr>
          <t>duncan.kernohan:</t>
        </r>
        <r>
          <rPr>
            <sz val="9"/>
            <color indexed="81"/>
            <rFont val="Tahoma"/>
            <family val="2"/>
          </rPr>
          <t xml:space="preserve">
The level of risk / ambition has been identified in the consultants report.</t>
        </r>
      </text>
    </comment>
  </commentList>
</comments>
</file>

<file path=xl/comments8.xml><?xml version="1.0" encoding="utf-8"?>
<comments xmlns="http://schemas.openxmlformats.org/spreadsheetml/2006/main">
  <authors>
    <author>duncan.kernohan</author>
  </authors>
  <commentList>
    <comment ref="D9" authorId="0">
      <text>
        <r>
          <rPr>
            <b/>
            <sz val="9"/>
            <color indexed="81"/>
            <rFont val="Tahoma"/>
            <family val="2"/>
          </rPr>
          <t>duncan.kernohan:</t>
        </r>
        <r>
          <rPr>
            <sz val="9"/>
            <color indexed="81"/>
            <rFont val="Tahoma"/>
            <family val="2"/>
          </rPr>
          <t xml:space="preserve">
Heathrow analysis was based on total costs including staff costs. It is therefore neccecary to reduce the impact of the saving to take account of the staff cost adjustment. </t>
        </r>
      </text>
    </comment>
    <comment ref="E9" authorId="0">
      <text>
        <r>
          <rPr>
            <b/>
            <sz val="9"/>
            <color indexed="81"/>
            <rFont val="Tahoma"/>
            <family val="2"/>
          </rPr>
          <t>duncan.kernohan:</t>
        </r>
        <r>
          <rPr>
            <sz val="9"/>
            <color indexed="81"/>
            <rFont val="Tahoma"/>
            <family val="2"/>
          </rPr>
          <t xml:space="preserve">
Set to 1 to offset saving with staff efficiency.</t>
        </r>
      </text>
    </comment>
    <comment ref="C12" authorId="0">
      <text>
        <r>
          <rPr>
            <b/>
            <sz val="9"/>
            <color indexed="81"/>
            <rFont val="Tahoma"/>
            <family val="2"/>
          </rPr>
          <t>duncan.kernohan:</t>
        </r>
        <r>
          <rPr>
            <sz val="9"/>
            <color indexed="81"/>
            <rFont val="Tahoma"/>
            <family val="2"/>
          </rPr>
          <t xml:space="preserve">
The level of risk / ambition has been identified in the consultants report.</t>
        </r>
      </text>
    </comment>
    <comment ref="B21" authorId="0">
      <text>
        <r>
          <rPr>
            <b/>
            <sz val="9"/>
            <color indexed="81"/>
            <rFont val="Tahoma"/>
            <family val="2"/>
          </rPr>
          <t>duncan.kernohan:</t>
        </r>
        <r>
          <rPr>
            <sz val="9"/>
            <color indexed="81"/>
            <rFont val="Tahoma"/>
            <family val="2"/>
          </rPr>
          <t xml:space="preserve">
C - Catchup
O - Forecast Error</t>
        </r>
      </text>
    </comment>
    <comment ref="C21" authorId="0">
      <text>
        <r>
          <rPr>
            <b/>
            <sz val="9"/>
            <color indexed="81"/>
            <rFont val="Tahoma"/>
            <family val="2"/>
          </rPr>
          <t>duncan.kernohan:</t>
        </r>
        <r>
          <rPr>
            <sz val="9"/>
            <color indexed="81"/>
            <rFont val="Tahoma"/>
            <family val="2"/>
          </rPr>
          <t xml:space="preserve">
The level of risk / ambition has been identified in the consultants report.</t>
        </r>
      </text>
    </comment>
    <comment ref="D30" authorId="0">
      <text>
        <r>
          <rPr>
            <b/>
            <sz val="9"/>
            <color indexed="81"/>
            <rFont val="Tahoma"/>
            <family val="2"/>
          </rPr>
          <t>duncan.kernohan:</t>
        </r>
        <r>
          <rPr>
            <sz val="9"/>
            <color indexed="81"/>
            <rFont val="Tahoma"/>
            <family val="2"/>
          </rPr>
          <t xml:space="preserve">
Based on data provided by HAL. </t>
        </r>
      </text>
    </comment>
  </commentList>
</comments>
</file>

<file path=xl/comments9.xml><?xml version="1.0" encoding="utf-8"?>
<comments xmlns="http://schemas.openxmlformats.org/spreadsheetml/2006/main">
  <authors>
    <author>duncan.kernohan</author>
  </authors>
  <commentList>
    <comment ref="B76" authorId="0">
      <text>
        <r>
          <rPr>
            <b/>
            <sz val="9"/>
            <color indexed="81"/>
            <rFont val="Tahoma"/>
            <family val="2"/>
          </rPr>
          <t>duncan.kernohan:</t>
        </r>
        <r>
          <rPr>
            <sz val="9"/>
            <color indexed="81"/>
            <rFont val="Tahoma"/>
            <family val="2"/>
          </rPr>
          <t xml:space="preserve">
Majority of development costs are capitalised.</t>
        </r>
      </text>
    </comment>
    <comment ref="C92" authorId="0">
      <text>
        <r>
          <rPr>
            <b/>
            <sz val="9"/>
            <color indexed="81"/>
            <rFont val="Tahoma"/>
            <family val="2"/>
          </rPr>
          <t>duncan.kernohan:</t>
        </r>
        <r>
          <rPr>
            <sz val="9"/>
            <color indexed="81"/>
            <rFont val="Tahoma"/>
            <family val="2"/>
          </rPr>
          <t xml:space="preserve">
The level of risk / ambition has been identified in the consultants report.</t>
        </r>
      </text>
    </comment>
  </commentList>
</comments>
</file>

<file path=xl/comments10.xml><?xml version="1.0" encoding="utf-8"?>
<comments xmlns="http://schemas.openxmlformats.org/spreadsheetml/2006/main">
  <authors>
    <author>duncan.kernohan</author>
  </authors>
  <commentList>
    <comment ref="B22" authorId="0">
      <text>
        <r>
          <rPr>
            <b/>
            <sz val="9"/>
            <color indexed="81"/>
            <rFont val="Tahoma"/>
            <family val="2"/>
          </rPr>
          <t>duncan.kernohan:</t>
        </r>
        <r>
          <rPr>
            <sz val="9"/>
            <color indexed="81"/>
            <rFont val="Tahoma"/>
            <family val="2"/>
          </rPr>
          <t xml:space="preserve">
Use 2011/12 for consistency with IDS evidence. </t>
        </r>
      </text>
    </comment>
    <comment ref="B25" authorId="0">
      <text>
        <r>
          <rPr>
            <b/>
            <sz val="9"/>
            <color indexed="81"/>
            <rFont val="Tahoma"/>
            <family val="2"/>
          </rPr>
          <t>duncan.kernohan:</t>
        </r>
        <r>
          <rPr>
            <sz val="9"/>
            <color indexed="81"/>
            <rFont val="Tahoma"/>
            <family val="2"/>
          </rPr>
          <t xml:space="preserve">
Includes wages, pensions and social security costs.</t>
        </r>
      </text>
    </comment>
    <comment ref="B29" authorId="0">
      <text>
        <r>
          <rPr>
            <b/>
            <sz val="9"/>
            <color indexed="81"/>
            <rFont val="Tahoma"/>
            <family val="2"/>
          </rPr>
          <t>duncan.kernohan:</t>
        </r>
        <r>
          <rPr>
            <sz val="9"/>
            <color indexed="81"/>
            <rFont val="Tahoma"/>
            <family val="2"/>
          </rPr>
          <t xml:space="preserve">
Wages fall by </t>
        </r>
        <r>
          <rPr>
            <sz val="9"/>
            <color indexed="81"/>
            <rFont val="Wingdings"/>
            <charset val="2"/>
          </rPr>
          <t>"</t>
        </r>
        <r>
          <rPr>
            <sz val="9"/>
            <color indexed="81"/>
            <rFont val="Tahoma"/>
            <family val="2"/>
          </rPr>
          <t>% per year in real terms, resulting in total efficiency of £</t>
        </r>
        <r>
          <rPr>
            <sz val="9"/>
            <color indexed="81"/>
            <rFont val="Wingdings"/>
            <charset val="2"/>
          </rPr>
          <t>"</t>
        </r>
        <r>
          <rPr>
            <sz val="9"/>
            <color indexed="81"/>
            <rFont val="Tahoma"/>
            <family val="2"/>
          </rPr>
          <t xml:space="preserve">
</t>
        </r>
      </text>
    </comment>
    <comment ref="C30" authorId="0">
      <text>
        <r>
          <rPr>
            <b/>
            <sz val="9"/>
            <color indexed="81"/>
            <rFont val="Tahoma"/>
            <family val="2"/>
          </rPr>
          <t>duncan.kernohan:</t>
        </r>
        <r>
          <rPr>
            <sz val="9"/>
            <color indexed="81"/>
            <rFont val="Tahoma"/>
            <family val="2"/>
          </rPr>
          <t xml:space="preserve">
Based on page 20 of the IDS Final Report</t>
        </r>
      </text>
    </comment>
    <comment ref="B32" authorId="0">
      <text>
        <r>
          <rPr>
            <b/>
            <sz val="9"/>
            <color indexed="81"/>
            <rFont val="Tahoma"/>
            <family val="2"/>
          </rPr>
          <t>duncan.kernohan:</t>
        </r>
        <r>
          <rPr>
            <sz val="9"/>
            <color indexed="81"/>
            <rFont val="Tahoma"/>
            <family val="2"/>
          </rPr>
          <t xml:space="preserve">
In selecting the appropriate factor we have considered that it is likely that wages will tend to outgrow inflation towards the later parts of Q6. This is shown to some extent by the latest OBR forecasts of RPI inflation and wage growth. The recent upturn may increase wage growth further. </t>
        </r>
      </text>
    </comment>
  </commentList>
</comments>
</file>

<file path=xl/comments11.xml><?xml version="1.0" encoding="utf-8"?>
<comments xmlns="http://schemas.openxmlformats.org/spreadsheetml/2006/main">
  <authors>
    <author>duncan.kernohan</author>
  </authors>
  <commentList>
    <comment ref="B14" authorId="0">
      <text>
        <r>
          <rPr>
            <b/>
            <sz val="9"/>
            <color indexed="81"/>
            <rFont val="Tahoma"/>
            <family val="2"/>
          </rPr>
          <t>duncan.kernohan:</t>
        </r>
        <r>
          <rPr>
            <sz val="9"/>
            <color indexed="81"/>
            <rFont val="Tahoma"/>
            <family val="2"/>
          </rPr>
          <t xml:space="preserve">
Based on: Benchmarking employment costs: A research report for the CAA - Heathrow. Page 16.</t>
        </r>
      </text>
    </comment>
  </commentList>
</comments>
</file>

<file path=xl/comments12.xml><?xml version="1.0" encoding="utf-8"?>
<comments xmlns="http://schemas.openxmlformats.org/spreadsheetml/2006/main">
  <authors>
    <author>duncan.kernohan</author>
  </authors>
  <commentList>
    <comment ref="C13" authorId="0">
      <text>
        <r>
          <rPr>
            <b/>
            <sz val="9"/>
            <color indexed="81"/>
            <rFont val="Tahoma"/>
            <family val="2"/>
          </rPr>
          <t>duncan.kernohan:</t>
        </r>
        <r>
          <rPr>
            <sz val="9"/>
            <color indexed="81"/>
            <rFont val="Tahoma"/>
            <family val="2"/>
          </rPr>
          <t xml:space="preserve">
Refer to page 69 of the CEPA report.</t>
        </r>
      </text>
    </comment>
    <comment ref="D13" authorId="0">
      <text>
        <r>
          <rPr>
            <b/>
            <sz val="9"/>
            <color indexed="81"/>
            <rFont val="Tahoma"/>
            <family val="2"/>
          </rPr>
          <t>duncan.kernohan:</t>
        </r>
        <r>
          <rPr>
            <sz val="9"/>
            <color indexed="81"/>
            <rFont val="Tahoma"/>
            <family val="2"/>
          </rPr>
          <t xml:space="preserve">
Based on £138m target identified in the business plan. </t>
        </r>
        <r>
          <rPr>
            <sz val="9"/>
            <color indexed="81"/>
            <rFont val="Wingdings"/>
            <charset val="2"/>
          </rPr>
          <t>"</t>
        </r>
        <r>
          <rPr>
            <sz val="9"/>
            <color indexed="81"/>
            <rFont val="Tahoma"/>
            <family val="2"/>
          </rPr>
          <t>.</t>
        </r>
      </text>
    </comment>
  </commentList>
</comments>
</file>

<file path=xl/comments13.xml><?xml version="1.0" encoding="utf-8"?>
<comments xmlns="http://schemas.openxmlformats.org/spreadsheetml/2006/main">
  <authors>
    <author>duncan.kernohan</author>
  </authors>
  <commentList>
    <comment ref="B19" authorId="0">
      <text>
        <r>
          <rPr>
            <b/>
            <sz val="9"/>
            <color indexed="81"/>
            <rFont val="Tahoma"/>
            <family val="2"/>
          </rPr>
          <t>duncan.kernohan:</t>
        </r>
        <r>
          <rPr>
            <sz val="9"/>
            <color indexed="81"/>
            <rFont val="Tahoma"/>
            <family val="2"/>
          </rPr>
          <t xml:space="preserve">
Based on HAL indicative pension membership profile.</t>
        </r>
      </text>
    </comment>
    <comment ref="K27" authorId="0">
      <text>
        <r>
          <rPr>
            <b/>
            <sz val="9"/>
            <color indexed="81"/>
            <rFont val="Tahoma"/>
            <family val="2"/>
          </rPr>
          <t>duncan.kernohan:</t>
        </r>
        <r>
          <rPr>
            <sz val="9"/>
            <color indexed="81"/>
            <rFont val="Tahoma"/>
            <family val="2"/>
          </rPr>
          <t xml:space="preserve">
Based on impact of Edinburgh and Stansted commutation payments of £48.3m. GAD conclude that the payment will reduce HAL's defecit by £16m. Based on a recovery period of 10 years, this will reduce the defecit payments by £6.4m over Q6.</t>
        </r>
      </text>
    </comment>
    <comment ref="B29" authorId="0">
      <text>
        <r>
          <rPr>
            <b/>
            <sz val="9"/>
            <color indexed="81"/>
            <rFont val="Tahoma"/>
            <family val="2"/>
          </rPr>
          <t>duncan.kernohan:</t>
        </r>
        <r>
          <rPr>
            <sz val="9"/>
            <color indexed="81"/>
            <rFont val="Tahoma"/>
            <family val="2"/>
          </rPr>
          <t xml:space="preserve">
</t>
        </r>
        <r>
          <rPr>
            <sz val="9"/>
            <color indexed="81"/>
            <rFont val="Wingdings"/>
            <charset val="2"/>
          </rPr>
          <t>"</t>
        </r>
      </text>
    </comment>
  </commentList>
</comments>
</file>

<file path=xl/comments14.xml><?xml version="1.0" encoding="utf-8"?>
<comments xmlns="http://schemas.openxmlformats.org/spreadsheetml/2006/main">
  <authors>
    <author>duncan.kernohan</author>
  </authors>
  <commentList>
    <comment ref="B15" authorId="0">
      <text>
        <r>
          <rPr>
            <b/>
            <sz val="9"/>
            <color indexed="81"/>
            <rFont val="Tahoma"/>
            <family val="2"/>
          </rPr>
          <t>duncan.kernohan:</t>
        </r>
        <r>
          <rPr>
            <sz val="9"/>
            <color indexed="81"/>
            <rFont val="Tahoma"/>
            <family val="2"/>
          </rPr>
          <t xml:space="preserve">
Assuming 130 in 2011/12</t>
        </r>
      </text>
    </comment>
  </commentList>
</comments>
</file>

<file path=xl/comments15.xml><?xml version="1.0" encoding="utf-8"?>
<comments xmlns="http://schemas.openxmlformats.org/spreadsheetml/2006/main">
  <authors>
    <author>duncan.kernohan</author>
  </authors>
  <commentList>
    <comment ref="C6" authorId="0">
      <text>
        <r>
          <rPr>
            <b/>
            <sz val="9"/>
            <color indexed="81"/>
            <rFont val="Tahoma"/>
            <family val="2"/>
          </rPr>
          <t>duncan.kernohan:</t>
        </r>
        <r>
          <rPr>
            <sz val="9"/>
            <color indexed="81"/>
            <rFont val="Tahoma"/>
            <family val="2"/>
          </rPr>
          <t xml:space="preserve">
Set to 1 to include factor in final proposals. </t>
        </r>
      </text>
    </comment>
  </commentList>
</comments>
</file>

<file path=xl/comments16.xml><?xml version="1.0" encoding="utf-8"?>
<comments xmlns="http://schemas.openxmlformats.org/spreadsheetml/2006/main">
  <authors>
    <author>duncan.kernohan</author>
  </authors>
  <commentList>
    <comment ref="B48" authorId="0">
      <text>
        <r>
          <rPr>
            <b/>
            <sz val="9"/>
            <color indexed="81"/>
            <rFont val="Tahoma"/>
            <family val="2"/>
          </rPr>
          <t>duncan.kernohan:</t>
        </r>
        <r>
          <rPr>
            <sz val="9"/>
            <color indexed="81"/>
            <rFont val="Tahoma"/>
            <family val="2"/>
          </rPr>
          <t xml:space="preserve">
Entered in 2007/08 prices</t>
        </r>
      </text>
    </comment>
    <comment ref="L57" authorId="0">
      <text>
        <r>
          <rPr>
            <b/>
            <sz val="9"/>
            <color indexed="81"/>
            <rFont val="Tahoma"/>
            <family val="2"/>
          </rPr>
          <t>duncan.kernohan:</t>
        </r>
        <r>
          <rPr>
            <sz val="9"/>
            <color indexed="81"/>
            <rFont val="Tahoma"/>
            <family val="2"/>
          </rPr>
          <t xml:space="preserve">
Determination entered in 2007/08 prices</t>
        </r>
      </text>
    </comment>
  </commentList>
</comments>
</file>

<file path=xl/comments17.xml><?xml version="1.0" encoding="utf-8"?>
<comments xmlns="http://schemas.openxmlformats.org/spreadsheetml/2006/main">
  <authors>
    <author>duncan.kernohan</author>
  </authors>
  <commentList>
    <comment ref="C6" authorId="0">
      <text>
        <r>
          <rPr>
            <b/>
            <sz val="9"/>
            <color indexed="81"/>
            <rFont val="Tahoma"/>
            <family val="2"/>
          </rPr>
          <t>duncan.kernohan:</t>
        </r>
        <r>
          <rPr>
            <sz val="9"/>
            <color indexed="81"/>
            <rFont val="Tahoma"/>
            <family val="2"/>
          </rPr>
          <t xml:space="preserve">
Evidence from CC and SDG suggests a range of 0.3 to 0.5.</t>
        </r>
      </text>
    </comment>
  </commentList>
</comments>
</file>

<file path=xl/sharedStrings.xml><?xml version="1.0" encoding="utf-8"?>
<sst xmlns="http://schemas.openxmlformats.org/spreadsheetml/2006/main" count="4855" uniqueCount="810">
  <si>
    <t>JAN</t>
  </si>
  <si>
    <t>FEB</t>
  </si>
  <si>
    <t>MAR</t>
  </si>
  <si>
    <t>APR</t>
  </si>
  <si>
    <t>MAY</t>
  </si>
  <si>
    <t>JUN</t>
  </si>
  <si>
    <t>JUL</t>
  </si>
  <si>
    <t>AUG</t>
  </si>
  <si>
    <t>SEP</t>
  </si>
  <si>
    <t>OCT</t>
  </si>
  <si>
    <t>NOV</t>
  </si>
  <si>
    <t>DEC</t>
  </si>
  <si>
    <t>2008/09</t>
  </si>
  <si>
    <t>2009/10</t>
  </si>
  <si>
    <t>2010/11</t>
  </si>
  <si>
    <t>2011/12</t>
  </si>
  <si>
    <t>2012/13</t>
  </si>
  <si>
    <t>2013/14</t>
  </si>
  <si>
    <t>Security Costs</t>
  </si>
  <si>
    <t>Staff Costs  - Other Operational</t>
  </si>
  <si>
    <t>Facilities Management</t>
  </si>
  <si>
    <t>Utilities</t>
  </si>
  <si>
    <t>Rent and Rates</t>
  </si>
  <si>
    <t>Central Support Services</t>
  </si>
  <si>
    <t>Rail</t>
  </si>
  <si>
    <t>Commercial Expenditure</t>
  </si>
  <si>
    <t>Other</t>
  </si>
  <si>
    <t>Pensions</t>
  </si>
  <si>
    <t>Total</t>
  </si>
  <si>
    <t>£m 2012/13 prices</t>
  </si>
  <si>
    <t>Q5</t>
  </si>
  <si>
    <t>Q6</t>
  </si>
  <si>
    <t>2014/15</t>
  </si>
  <si>
    <t>2015/16</t>
  </si>
  <si>
    <t>2016/17</t>
  </si>
  <si>
    <t>2017/18</t>
  </si>
  <si>
    <t>2018/19</t>
  </si>
  <si>
    <t>Total Q6</t>
  </si>
  <si>
    <t>Impact of T1 Closure</t>
  </si>
  <si>
    <t>Increase opex saving by 0.2%</t>
  </si>
  <si>
    <t>CAGR</t>
  </si>
  <si>
    <t>Staff Costs</t>
  </si>
  <si>
    <t xml:space="preserve">Other </t>
  </si>
  <si>
    <t>Police Costs</t>
  </si>
  <si>
    <t>2006/07</t>
  </si>
  <si>
    <t>2007/08</t>
  </si>
  <si>
    <t>£m nominal</t>
  </si>
  <si>
    <t>CHAW</t>
  </si>
  <si>
    <t xml:space="preserve"> January 1987=100</t>
  </si>
  <si>
    <t>Office for National Statistics</t>
  </si>
  <si>
    <t>http://www.ons.gov.uk/ons/rel/cpi/consumer-price-indices/july-2012/cpi-time-series-data.html</t>
  </si>
  <si>
    <t>Inflation Index</t>
  </si>
  <si>
    <t>Source:</t>
  </si>
  <si>
    <t>Terminal Pax</t>
  </si>
  <si>
    <t>Other Revenue</t>
  </si>
  <si>
    <t>Operating Costs</t>
  </si>
  <si>
    <t>Regulatory Operating Profit</t>
  </si>
  <si>
    <t>Net Revenue from Airport Charges</t>
  </si>
  <si>
    <t>Total Revenue</t>
  </si>
  <si>
    <t>Total Expenditure</t>
  </si>
  <si>
    <t>Capital Expenditure</t>
  </si>
  <si>
    <t>Opening Basic RAB</t>
  </si>
  <si>
    <t>Weighted average basic RAB</t>
  </si>
  <si>
    <t>Closing Basic RAB</t>
  </si>
  <si>
    <t>Return on weighted average basic RAB (%)</t>
  </si>
  <si>
    <t>Maintenance and equipment costs</t>
  </si>
  <si>
    <t>Rent and rates</t>
  </si>
  <si>
    <t>Police costs</t>
  </si>
  <si>
    <t>Other costs</t>
  </si>
  <si>
    <t>Intragroup costs</t>
  </si>
  <si>
    <t>Rail costs</t>
  </si>
  <si>
    <t>Total operating costs</t>
  </si>
  <si>
    <t>Exceptional operating costs</t>
  </si>
  <si>
    <t>Service Quality Rebates</t>
  </si>
  <si>
    <t>Adjusted operating costs</t>
  </si>
  <si>
    <t>Regulatory Accounts</t>
  </si>
  <si>
    <t>Assumed Ordinary Depreciation</t>
  </si>
  <si>
    <t>Q4</t>
  </si>
  <si>
    <t>2003/04</t>
  </si>
  <si>
    <t>2004/05</t>
  </si>
  <si>
    <t>2005/06</t>
  </si>
  <si>
    <t>Variance</t>
  </si>
  <si>
    <t>CAA</t>
  </si>
  <si>
    <t>Actual</t>
  </si>
  <si>
    <t>Staff</t>
  </si>
  <si>
    <t>Police</t>
  </si>
  <si>
    <t>Maintenance and Equipment</t>
  </si>
  <si>
    <t xml:space="preserve">Rail </t>
  </si>
  <si>
    <t>Source: Table 1 - Competition Commission (2007) The Economic Regulation of Heathrow and Gatwick</t>
  </si>
  <si>
    <t>Note: Includes forecast for 2007/08</t>
  </si>
  <si>
    <t>Heathrow - Operating Costs - Q5</t>
  </si>
  <si>
    <t>Gatwick - Operating Costs - Q5</t>
  </si>
  <si>
    <t xml:space="preserve">Heathrow - Period Totals - Q5 </t>
  </si>
  <si>
    <t>Gatwick - Period Totals - Q5</t>
  </si>
  <si>
    <t>Source: Table 2 - Competition Commission (2007) The Economic Regulation of Heathrow and Gatwick</t>
  </si>
  <si>
    <t>Heathrow - Operating Costs - Q4</t>
  </si>
  <si>
    <t>Gatwick - Operating Costs - Q4</t>
  </si>
  <si>
    <t>Gatwick - Period Totals - Q4</t>
  </si>
  <si>
    <t>Heathrow</t>
  </si>
  <si>
    <t>CAGR (3)</t>
  </si>
  <si>
    <t>1915/16</t>
  </si>
  <si>
    <t>1916/17</t>
  </si>
  <si>
    <t>1917/18</t>
  </si>
  <si>
    <t>1918/19</t>
  </si>
  <si>
    <t>1919/20</t>
  </si>
  <si>
    <t>1920/21</t>
  </si>
  <si>
    <t>1921/22</t>
  </si>
  <si>
    <t>1922/23</t>
  </si>
  <si>
    <t>1923/24</t>
  </si>
  <si>
    <t>1924/25</t>
  </si>
  <si>
    <t>1925/26</t>
  </si>
  <si>
    <t>1926/27</t>
  </si>
  <si>
    <t>1927/28</t>
  </si>
  <si>
    <t>1928/29</t>
  </si>
  <si>
    <t>1929/30</t>
  </si>
  <si>
    <t>1930/31</t>
  </si>
  <si>
    <t>1931/32</t>
  </si>
  <si>
    <t>1932/33</t>
  </si>
  <si>
    <t>1933/34</t>
  </si>
  <si>
    <t>1934/35</t>
  </si>
  <si>
    <t>1935/36</t>
  </si>
  <si>
    <t>1936/37</t>
  </si>
  <si>
    <t>1937/38</t>
  </si>
  <si>
    <t>1938/39</t>
  </si>
  <si>
    <t>1939/40</t>
  </si>
  <si>
    <t>1940/41</t>
  </si>
  <si>
    <t>1941/42</t>
  </si>
  <si>
    <t>1942/43</t>
  </si>
  <si>
    <t>1943/44</t>
  </si>
  <si>
    <t>1944/45</t>
  </si>
  <si>
    <t>1945/46</t>
  </si>
  <si>
    <t>1946/47</t>
  </si>
  <si>
    <t>1947/48</t>
  </si>
  <si>
    <t>1948/49</t>
  </si>
  <si>
    <t>1949/50</t>
  </si>
  <si>
    <t>1950/51</t>
  </si>
  <si>
    <t>1951/52</t>
  </si>
  <si>
    <t>1952/53</t>
  </si>
  <si>
    <t>1953/54</t>
  </si>
  <si>
    <t>1954/55</t>
  </si>
  <si>
    <t>1955/56</t>
  </si>
  <si>
    <t>1956/57</t>
  </si>
  <si>
    <t>1957/58</t>
  </si>
  <si>
    <t>1958/59</t>
  </si>
  <si>
    <t>1959/60</t>
  </si>
  <si>
    <t>1960/61</t>
  </si>
  <si>
    <t>1961/62</t>
  </si>
  <si>
    <t>1962/63</t>
  </si>
  <si>
    <t>1963/64</t>
  </si>
  <si>
    <t>1964/65</t>
  </si>
  <si>
    <t>1970/71</t>
  </si>
  <si>
    <t>1971/72</t>
  </si>
  <si>
    <t>1972/73</t>
  </si>
  <si>
    <t>1973/74</t>
  </si>
  <si>
    <t>1974/75</t>
  </si>
  <si>
    <t>1975/76</t>
  </si>
  <si>
    <t>1976/77</t>
  </si>
  <si>
    <t>1977/78</t>
  </si>
  <si>
    <t>1978/79</t>
  </si>
  <si>
    <t>1979/80</t>
  </si>
  <si>
    <t>1980/81</t>
  </si>
  <si>
    <t>1981/82</t>
  </si>
  <si>
    <t>1982/83</t>
  </si>
  <si>
    <t>1983/84</t>
  </si>
  <si>
    <t>1984/85</t>
  </si>
  <si>
    <t>1985/86</t>
  </si>
  <si>
    <t>1986/87</t>
  </si>
  <si>
    <t>1987/88</t>
  </si>
  <si>
    <t>1988/89</t>
  </si>
  <si>
    <t>1989/90</t>
  </si>
  <si>
    <t>1990/91</t>
  </si>
  <si>
    <t>1991/92</t>
  </si>
  <si>
    <t>1992/93</t>
  </si>
  <si>
    <t>1993/94</t>
  </si>
  <si>
    <t>1994/95</t>
  </si>
  <si>
    <t>1995/96</t>
  </si>
  <si>
    <t>1996/97</t>
  </si>
  <si>
    <t>1997/98</t>
  </si>
  <si>
    <t>1998/99</t>
  </si>
  <si>
    <t>1999/00</t>
  </si>
  <si>
    <t>2000/01</t>
  </si>
  <si>
    <t>2001/02</t>
  </si>
  <si>
    <t>2002/03</t>
  </si>
  <si>
    <t>Year (calender)</t>
  </si>
  <si>
    <t>July 2012 IBP Forecast</t>
  </si>
  <si>
    <t>Source: Regulatory Accounts and Airport Business Model (for 2012/13)</t>
  </si>
  <si>
    <t>Historic</t>
  </si>
  <si>
    <t>Q5+1</t>
  </si>
  <si>
    <t>Owner: Duncan Kernohan</t>
  </si>
  <si>
    <t>duncan.kernohan@caa.co.uk</t>
  </si>
  <si>
    <t>Year (Calender)</t>
  </si>
  <si>
    <t xml:space="preserve"> JUNE 2005=100</t>
  </si>
  <si>
    <t>D7BT</t>
  </si>
  <si>
    <t>http://www.ons.gov.uk/ons/rel/cpi/consumer-price-indices/december-2012/cpi-time-series-data.html</t>
  </si>
  <si>
    <t xml:space="preserve">Historic </t>
  </si>
  <si>
    <t>CY Average</t>
  </si>
  <si>
    <t>CY Inflation Rate</t>
  </si>
  <si>
    <t>FY Average</t>
  </si>
  <si>
    <t>FY Inflation Rate</t>
  </si>
  <si>
    <t>Year (Financial)</t>
  </si>
  <si>
    <t>-</t>
  </si>
  <si>
    <t>Regulatory Operating Profit (Before Exceptional)</t>
  </si>
  <si>
    <t>Exceptional</t>
  </si>
  <si>
    <t>Return on weighted average basic RAB (pre-exceptional) (%)</t>
  </si>
  <si>
    <t>Utility costs</t>
  </si>
  <si>
    <t>CAGR (Q5)</t>
  </si>
  <si>
    <t>CAGR (Q6)</t>
  </si>
  <si>
    <t>Passengers (m)</t>
  </si>
  <si>
    <t>Heathrow - Outturn</t>
  </si>
  <si>
    <t>Out-Turn</t>
  </si>
  <si>
    <t>Variance %</t>
  </si>
  <si>
    <t>Breakdown of Operating Costs</t>
  </si>
  <si>
    <t>Heathrow - Period Totals - Q4</t>
  </si>
  <si>
    <t>Breakdown of Operating Costs - CAA Projection</t>
  </si>
  <si>
    <t>Breakdown of Operating Costs - CAA Projections</t>
  </si>
  <si>
    <t>Intragroup Costs</t>
  </si>
  <si>
    <t>SQRs</t>
  </si>
  <si>
    <t>CAGR (6)</t>
  </si>
  <si>
    <t>CAGR (4)</t>
  </si>
  <si>
    <t>Var %</t>
  </si>
  <si>
    <t>Var</t>
  </si>
  <si>
    <t>Historic / Forecast</t>
  </si>
  <si>
    <t>SQR at 5 mins queuing in transfers</t>
  </si>
  <si>
    <t>Total Q6 after Adjustments</t>
  </si>
  <si>
    <t>Total opex / passenger</t>
  </si>
  <si>
    <t>CAGR (Q5+1)</t>
  </si>
  <si>
    <t>Total Q5+1</t>
  </si>
  <si>
    <t>Heathrow - Passengers - Q5</t>
  </si>
  <si>
    <t>million</t>
  </si>
  <si>
    <t>Gatwick - Passengers - Q5</t>
  </si>
  <si>
    <t>Price Base Conversion to 2011/12</t>
  </si>
  <si>
    <t>£m 2011/12</t>
  </si>
  <si>
    <t>£m 2011/12 prices</t>
  </si>
  <si>
    <t>Price Base Conversion to Real 2011/12</t>
  </si>
  <si>
    <t>Stansted - Operating Costs - Q5</t>
  </si>
  <si>
    <t>Stansted - Passengers - Q5</t>
  </si>
  <si>
    <t>Stansted - Operating Costs - Q4</t>
  </si>
  <si>
    <t>Source: Table 1 - Appendix H, Competition Commission (2008) Q5 Price Control Review</t>
  </si>
  <si>
    <t>Price Conversion (2007/08) to nominal</t>
  </si>
  <si>
    <t>Stansted - Period Totals - Q4</t>
  </si>
  <si>
    <t>Price Conversion nominal to (2011/12)</t>
  </si>
  <si>
    <t>Price Conversion (2007/08) to (2011/12)</t>
  </si>
  <si>
    <t>Q4+1</t>
  </si>
  <si>
    <t>Source: Table 2 - Appendix H, Competition Commission (2008) Q5 Stansted Price Control Review</t>
  </si>
  <si>
    <t>Source: Table 2 - Appendix H, Competition Commission (2008) Q5 Stansted Price Control Review and Regulatory Accounts</t>
  </si>
  <si>
    <t>Source: SDG Review of operating expenditure and investment consultation and Regulatory Accounts and Airport Business Model (for 2012/13)</t>
  </si>
  <si>
    <t>% of Total</t>
  </si>
  <si>
    <t>July 2012 IBP Forecast - Summary</t>
  </si>
  <si>
    <t>IT</t>
  </si>
  <si>
    <t>Total Operational Staff</t>
  </si>
  <si>
    <t>Security Costs (includes police)</t>
  </si>
  <si>
    <t>Commercial</t>
  </si>
  <si>
    <t>Man Years</t>
  </si>
  <si>
    <t>Security</t>
  </si>
  <si>
    <t>Operations</t>
  </si>
  <si>
    <t>Facilities</t>
  </si>
  <si>
    <t>Central Support</t>
  </si>
  <si>
    <t>Price Base Conversion 11/12 to Nominal</t>
  </si>
  <si>
    <t>January 2013 FBP Forecast</t>
  </si>
  <si>
    <t>January 2013 FBP Forecast - Summary Q6</t>
  </si>
  <si>
    <t>IBP</t>
  </si>
  <si>
    <t>FBP</t>
  </si>
  <si>
    <t>Diff</t>
  </si>
  <si>
    <t>January 2013 FBP Forecast - Summary - Q5+1</t>
  </si>
  <si>
    <t>Maintenance</t>
  </si>
  <si>
    <t>Total Man Years</t>
  </si>
  <si>
    <t>CAA Forecast</t>
  </si>
  <si>
    <t>Total FBP</t>
  </si>
  <si>
    <t>Price Conversion nominal to 2011/12</t>
  </si>
  <si>
    <t>Q6 Total</t>
  </si>
  <si>
    <t>Total IBP</t>
  </si>
  <si>
    <t>Opex per pax IBP</t>
  </si>
  <si>
    <t>Opex per pax FBP</t>
  </si>
  <si>
    <t>Staff Total Index (2011/12 =1)</t>
  </si>
  <si>
    <t>CAA March 2013 HAL Projections</t>
  </si>
  <si>
    <t>CAA March 2013 HAL Projections - Summary Q5+1</t>
  </si>
  <si>
    <t>CAA March 2013 HAL Projections - Summary Q6</t>
  </si>
  <si>
    <t>% of FBP</t>
  </si>
  <si>
    <t>A - Better procurement strategies</t>
  </si>
  <si>
    <t>Total Efficiency (Low)</t>
  </si>
  <si>
    <t>Total Efficiency (Mid)</t>
  </si>
  <si>
    <t>Total Efficiency (High)</t>
  </si>
  <si>
    <t>Price Base Conversion 2012/13 to Nominal</t>
  </si>
  <si>
    <t>Price Base Conversion 2012/13 to 2011/12</t>
  </si>
  <si>
    <t>Finance</t>
  </si>
  <si>
    <t>Legal</t>
  </si>
  <si>
    <t>HR</t>
  </si>
  <si>
    <t>Insurance</t>
  </si>
  <si>
    <t>BA</t>
  </si>
  <si>
    <t>January 2013 RBP Forecast</t>
  </si>
  <si>
    <t>Regulatory Staff Costs (Forecasts)</t>
  </si>
  <si>
    <t>Airport Efficiency Estimate</t>
  </si>
  <si>
    <t>Low Efficiency Estimate</t>
  </si>
  <si>
    <t>High Efficiency Estimate</t>
  </si>
  <si>
    <t>Increasing retirement age to 65</t>
  </si>
  <si>
    <t>Using career average earnings</t>
  </si>
  <si>
    <t>All three measures</t>
  </si>
  <si>
    <t>Pension Cost Total</t>
  </si>
  <si>
    <t>Pension Cost Index 2011/12 = 1</t>
  </si>
  <si>
    <t>Opex per Pax</t>
  </si>
  <si>
    <t>Flow Rate Efficiency</t>
  </si>
  <si>
    <t>Rostering Efficiency</t>
  </si>
  <si>
    <t>Outsourcing Efficiency</t>
  </si>
  <si>
    <t>Frontier Shift</t>
  </si>
  <si>
    <t>% of pensionable earnings</t>
  </si>
  <si>
    <t>Efficiency Impact</t>
  </si>
  <si>
    <t>2019/20</t>
  </si>
  <si>
    <t>2020/21</t>
  </si>
  <si>
    <t>2021/22</t>
  </si>
  <si>
    <t>2022/23</t>
  </si>
  <si>
    <t>2023/24</t>
  </si>
  <si>
    <t>% Change</t>
  </si>
  <si>
    <t>1964/66</t>
  </si>
  <si>
    <t>Year (FY)</t>
  </si>
  <si>
    <t>Heathrow Forecasts Index</t>
  </si>
  <si>
    <t>Heathrow Forecasts %</t>
  </si>
  <si>
    <t>Gatwick Forecasts Index</t>
  </si>
  <si>
    <t>Gatwick Forecasts %</t>
  </si>
  <si>
    <t>DB contribution rate of pensionable earnings</t>
  </si>
  <si>
    <t>Mid Efficiency Estimate</t>
  </si>
  <si>
    <t>FY Average i</t>
  </si>
  <si>
    <t>OBR Forecast (December 2012)</t>
  </si>
  <si>
    <t>HTW FBP Forecast</t>
  </si>
  <si>
    <t>x</t>
  </si>
  <si>
    <t>Profile of CU Efficiency</t>
  </si>
  <si>
    <t>In Business Plan?</t>
  </si>
  <si>
    <t>Net</t>
  </si>
  <si>
    <t>Opex per pax</t>
  </si>
  <si>
    <t>HAL fBP - RATES</t>
  </si>
  <si>
    <t>A - Reduction of 40 customer facing staff</t>
  </si>
  <si>
    <t>HAL fBP - Rail Costs</t>
  </si>
  <si>
    <t>HAL fBP - ANS Costs</t>
  </si>
  <si>
    <t>HAL fBP - Cleaning Costs</t>
  </si>
  <si>
    <t>Efficiency Included in the FBP</t>
  </si>
  <si>
    <t>na</t>
  </si>
  <si>
    <t>1.4 LABOUR MARKET</t>
  </si>
  <si>
    <t>Employ-ment (16+, millions)</t>
  </si>
  <si>
    <t>Employ-ment rate (16+, per cent)</t>
  </si>
  <si>
    <t>ILO unemploy-ment (16+, millions)</t>
  </si>
  <si>
    <t>ILO unemploy-ment rate (16+, per cent)</t>
  </si>
  <si>
    <t>Particip-ation rate (16+, per cent)</t>
  </si>
  <si>
    <t>Output per hour (2009Q1=100)</t>
  </si>
  <si>
    <t>Claimant count (milllions)</t>
  </si>
  <si>
    <t>Trend employm-ent rate (16+, per cent)</t>
  </si>
  <si>
    <t>Trend employm-ent (16+, millions)</t>
  </si>
  <si>
    <t>Trend populat-ion (16+, millions)</t>
  </si>
  <si>
    <t>Labour share (per cent)</t>
  </si>
  <si>
    <t>Average hours worked</t>
  </si>
  <si>
    <t>Total hours worked (millions)</t>
  </si>
  <si>
    <t>Average earnings growth (per cent)</t>
  </si>
  <si>
    <t>Compensa-tion of employees                    (£ billion)</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</si>
  <si>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</si>
  <si>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</si>
  <si>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</si>
  <si>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</si>
  <si>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</si>
  <si>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</si>
  <si>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</si>
  <si>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</si>
  <si>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</si>
  <si>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</si>
  <si>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</si>
  <si>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</si>
  <si>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</si>
  <si>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</si>
  <si>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</si>
  <si>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</si>
  <si>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</si>
  <si>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</si>
  <si>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</si>
  <si>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</si>
  <si>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</si>
  <si>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</si>
  <si>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</si>
  <si>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</si>
  <si>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</si>
  <si>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</si>
  <si>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</si>
  <si>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</si>
  <si>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</si>
  <si>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</si>
  <si>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</si>
  <si>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</si>
  <si>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</si>
  <si>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LFS employment, all aged 16 and over (ONS identifier: MGRZ)</t>
  </si>
  <si>
    <t>LFS employment rate, all aged 16 and over (ONS identifier: MGSR)</t>
  </si>
  <si>
    <t>ILO unemployment, all aged 16 and over (ONS identifier: MGSC)</t>
  </si>
  <si>
    <t>ILO unemployment rate, all aged 16 and over (ONS identifier: MGSX)</t>
  </si>
  <si>
    <t>LFS participation rate, all aged 16 and over (ONS identifier: MGWG)</t>
  </si>
  <si>
    <t>Output her hour worked: non-oil Gross Value Added (ONS identifier: KLS2) divided by total weekly hours worked (ONS identifier: YBUS)</t>
  </si>
  <si>
    <t>Claimant count: the number of people claiming Jobseeker's allowance (ONS identifier: BCJD)</t>
  </si>
  <si>
    <t>OBR estimate of the trend employment rate,  based on LFS employment rate, all aged 16 and over (ONS identifier: MGSR)</t>
  </si>
  <si>
    <t>OBR estimate of trend employment,  based on LFS employment, all aged 16 and over (ONS identifier: MGRZ)</t>
  </si>
  <si>
    <t>OBR estimate of trend population, based on LFS household population, all aged 16 and over (ONS identifier:MGSL)</t>
  </si>
  <si>
    <t>LFS average (mean) actual weekly hours worked, all workers (ONS identifier: YBUV)</t>
  </si>
  <si>
    <t>LFS total weekly hours worked, millions (ONS identifier: YBUS)</t>
  </si>
  <si>
    <t>Total compensation of employees (ONS identifier:DTWM)</t>
  </si>
  <si>
    <t>Average earnings index (Q1 2007=100)</t>
  </si>
  <si>
    <t>Private sector average weekly earnings (£)</t>
  </si>
  <si>
    <t>2017Q2</t>
  </si>
  <si>
    <t>2017Q3</t>
  </si>
  <si>
    <t>2017Q4</t>
  </si>
  <si>
    <t>2018Q1</t>
  </si>
  <si>
    <t>Definitions:</t>
  </si>
  <si>
    <t>Labour share: total compensation of employees (ONS identifier: DTWM) and mixed income (ONS identifier: ROYH) as a share of nominal Gross Value Added (ONS identifier: ABML)</t>
  </si>
  <si>
    <t>Average earnings growth: wages and salaries divided by employees, year on year growth rates. Wages and salaries equal to total compensation of employees (ONS identifier: DTWM) minus employers social contributions (ONS identifier: ROYK).  Employees equal to LFS employment, all aged 16 and over (ONS identifier: MGRZ) minus self-employed (ONS identifier: MGRQ).</t>
  </si>
  <si>
    <t>Average weekly earnings, private sector (ONS identtifier: KAC4)</t>
  </si>
  <si>
    <t>RPI Growth</t>
  </si>
  <si>
    <t>1.5 INFLATION</t>
  </si>
  <si>
    <t>RPI</t>
  </si>
  <si>
    <t>RPIX</t>
  </si>
  <si>
    <t>CPI</t>
  </si>
  <si>
    <t>ROSSI</t>
  </si>
  <si>
    <t>Producer output prices</t>
  </si>
  <si>
    <t>Consumer expenditure deflator</t>
  </si>
  <si>
    <t>House price inflation</t>
  </si>
  <si>
    <t>year-on-year growth</t>
  </si>
  <si>
    <t>Notes:</t>
  </si>
  <si>
    <t>RPI, RPIX, CPI and ROSSI inflation and Producer output prices are based on outturn data up to and including January 2013</t>
  </si>
  <si>
    <t>All items Retail Prices Index, all items Retail Prices Index excluding mortgage interest payments, all items Consumer Prices Index, all items Retail Price Index excluding mortgage interest payments, council tax, housing depreciation and rents, Producer output prices, all manufacturing products (excluding duty), (percentage change over 12 months) (ONS Consumer Prices Index and Producer Prices Index Statistical Bulletins, identifier: CZBH, CDKQ, D7G7, GUMG, JVZ8 respectively)</t>
  </si>
  <si>
    <t>Consumer expenditure deflator: Households final consumption expenditure at current market prices (ABJQ) plus non-profit institutions (HAYE) divided by Households final consumption expenditure, chained volume measure (ABJR) plus non-profit institutions (HAYO)</t>
  </si>
  <si>
    <t>ONS House Price Index, based on outturn data up to and including December 2012, annual house price growth (House Price Index Statistical Bulletin)</t>
  </si>
  <si>
    <t>CAA Analysis</t>
  </si>
  <si>
    <t>Gross Wage Growth</t>
  </si>
  <si>
    <t>Net Wage Growth</t>
  </si>
  <si>
    <t>OBR Economic Forecasts - March 2013</t>
  </si>
  <si>
    <t>http://budgetresponsibility.independent.gov.uk/category/topics/economic-forecasts/</t>
  </si>
  <si>
    <t>Economic and Fiscal Supplemnetary Tables</t>
  </si>
  <si>
    <t>Frontier shift</t>
  </si>
  <si>
    <t>Catch up</t>
  </si>
  <si>
    <t>Pessimistic forecasts</t>
  </si>
  <si>
    <t>Relative to 2011/12</t>
  </si>
  <si>
    <t>B - Reduction of 72 customer facing staff</t>
  </si>
  <si>
    <t>A - Reduction to average benchmark costs</t>
  </si>
  <si>
    <t>Price Conversion 2011/12 to nominal</t>
  </si>
  <si>
    <t>Total Blended Average %</t>
  </si>
  <si>
    <t>DB rates %</t>
  </si>
  <si>
    <t>DC rates %</t>
  </si>
  <si>
    <t>DB Efficiency</t>
  </si>
  <si>
    <t>DB Membership rate</t>
  </si>
  <si>
    <t>DC Efficiency</t>
  </si>
  <si>
    <t>Example DB Efficiency</t>
  </si>
  <si>
    <t>HAL FBP</t>
  </si>
  <si>
    <t>GAL RBP</t>
  </si>
  <si>
    <t>YOY Wage Growth</t>
  </si>
  <si>
    <t>End</t>
  </si>
  <si>
    <t>%</t>
  </si>
  <si>
    <t>OBR Forecast Index (December 2012)</t>
  </si>
  <si>
    <t>Year:</t>
  </si>
  <si>
    <t>Diff %</t>
  </si>
  <si>
    <t>HAL</t>
  </si>
  <si>
    <t>Efficiency Estimate (Low Stretch)</t>
  </si>
  <si>
    <t>Efficiency Estimate (Mid Stretch)</t>
  </si>
  <si>
    <t>Efficiency Estimate (High Stretch)</t>
  </si>
  <si>
    <t>Opex Forecast (Low Stretch)</t>
  </si>
  <si>
    <t>Opex Forecast (Mid Stretch)</t>
  </si>
  <si>
    <t>Opex Forecast (High Stretch)</t>
  </si>
  <si>
    <t>Opex per pax (Low Stretch)</t>
  </si>
  <si>
    <t>Opex per pax (Mid Stretch)</t>
  </si>
  <si>
    <t>Opex per pax (High Stretch)</t>
  </si>
  <si>
    <t>per year</t>
  </si>
  <si>
    <t xml:space="preserve">Line / Saving </t>
  </si>
  <si>
    <t>Bottom Up Projections</t>
  </si>
  <si>
    <t>Level of inefficiency (IDS)</t>
  </si>
  <si>
    <t>HAL (net relative to economy)</t>
  </si>
  <si>
    <t>GAL (net relative to economy)</t>
  </si>
  <si>
    <t>RPI Forecasts</t>
  </si>
  <si>
    <t>CPI Forecasts</t>
  </si>
  <si>
    <t>Intergroup costs</t>
  </si>
  <si>
    <t>Changing accrual rate from 54th to 80ths</t>
  </si>
  <si>
    <t>DB costs</t>
  </si>
  <si>
    <t>DC costs</t>
  </si>
  <si>
    <t>Deficit costs</t>
  </si>
  <si>
    <t>Analysis of Efficiency</t>
  </si>
  <si>
    <t>2011/12 prices</t>
  </si>
  <si>
    <t>Other Opex</t>
  </si>
  <si>
    <t>MandA</t>
  </si>
  <si>
    <t>Central Services</t>
  </si>
  <si>
    <t>Wage efficiency</t>
  </si>
  <si>
    <t>Pension Efficiency</t>
  </si>
  <si>
    <t>Breakdown</t>
  </si>
  <si>
    <t>Other opex</t>
  </si>
  <si>
    <t>M and A</t>
  </si>
  <si>
    <t>Central services</t>
  </si>
  <si>
    <t>Pension efficiency</t>
  </si>
  <si>
    <t>Charts</t>
  </si>
  <si>
    <t>Risk (1 low, 2 mid, 3 high)</t>
  </si>
  <si>
    <t>Breakdown of bottom up mid point estimate</t>
  </si>
  <si>
    <t>% of total</t>
  </si>
  <si>
    <t>Regulatory Staff Costs</t>
  </si>
  <si>
    <t>Opex</t>
  </si>
  <si>
    <t>Opex/Pax</t>
  </si>
  <si>
    <t>Elasticity Based Estimates</t>
  </si>
  <si>
    <t>Pax</t>
  </si>
  <si>
    <t>YoY% Change in Pax</t>
  </si>
  <si>
    <t>Opex Estimate</t>
  </si>
  <si>
    <t>% Opex Impact</t>
  </si>
  <si>
    <t>Wages</t>
  </si>
  <si>
    <t>Social Security</t>
  </si>
  <si>
    <t>Other Staff Costs</t>
  </si>
  <si>
    <t>Total employment costs</t>
  </si>
  <si>
    <t>Employees (man year)</t>
  </si>
  <si>
    <t>Index</t>
  </si>
  <si>
    <t>Passengers (fbp) (m)</t>
  </si>
  <si>
    <t>CAA - ip - opex</t>
  </si>
  <si>
    <t>LACC - opex</t>
  </si>
  <si>
    <t>LACC - opex per passenger</t>
  </si>
  <si>
    <t>Security Costs (Inc Police)</t>
  </si>
  <si>
    <t xml:space="preserve">Security Costs </t>
  </si>
  <si>
    <t>Security Staff</t>
  </si>
  <si>
    <t>Pax / staff</t>
  </si>
  <si>
    <t>Flow rate estimate?</t>
  </si>
  <si>
    <t>Pax (m)</t>
  </si>
  <si>
    <t>TS&amp;A</t>
  </si>
  <si>
    <t>Communications</t>
  </si>
  <si>
    <t>Economics and Regulation</t>
  </si>
  <si>
    <t>Capital</t>
  </si>
  <si>
    <t>Technology</t>
  </si>
  <si>
    <t>Consultancy Fees</t>
  </si>
  <si>
    <t>Capitalised Costs</t>
  </si>
  <si>
    <t>Business Support Costs</t>
  </si>
  <si>
    <t>Inter-company charge</t>
  </si>
  <si>
    <t>FBP Central Service Cost</t>
  </si>
  <si>
    <t>Development</t>
  </si>
  <si>
    <t>E&amp;R</t>
  </si>
  <si>
    <t>Other (Board and Exec)</t>
  </si>
  <si>
    <t>% of Heathrow Total</t>
  </si>
  <si>
    <t>Heathrow - Helios Efficiency</t>
  </si>
  <si>
    <t>Employees</t>
  </si>
  <si>
    <t>Finance - Core</t>
  </si>
  <si>
    <t>Finance - Stretch</t>
  </si>
  <si>
    <t xml:space="preserve">HR - Core </t>
  </si>
  <si>
    <t>HR - Stretch</t>
  </si>
  <si>
    <t>IT - Core</t>
  </si>
  <si>
    <t>IT - Stretch</t>
  </si>
  <si>
    <t>Legal - Core</t>
  </si>
  <si>
    <t>Legal - Stretch</t>
  </si>
  <si>
    <t>Communications - Core</t>
  </si>
  <si>
    <t>Communications - Stretch</t>
  </si>
  <si>
    <t>Strategy and Reg - Core</t>
  </si>
  <si>
    <t>Strategy and Reg - Stretch</t>
  </si>
  <si>
    <t>Insurance - Core</t>
  </si>
  <si>
    <t>Insurance - Stretch</t>
  </si>
  <si>
    <t>Airport Management - Core</t>
  </si>
  <si>
    <t>% Staff Costs</t>
  </si>
  <si>
    <t>Airport Management - Stretch</t>
  </si>
  <si>
    <t>Total Central Services Opex</t>
  </si>
  <si>
    <t xml:space="preserve">Staff costs </t>
  </si>
  <si>
    <t>% of Heathrow Total Staff Costs</t>
  </si>
  <si>
    <t>Heathrow Total Headcount</t>
  </si>
  <si>
    <t>Central Service Total Headcount</t>
  </si>
  <si>
    <t xml:space="preserve">Central Service Total </t>
  </si>
  <si>
    <t>Total mandays lost</t>
  </si>
  <si>
    <t>Staff Total Index (2012/13 =1)</t>
  </si>
  <si>
    <t>Efficiency from reduction in absence</t>
  </si>
  <si>
    <t>Absenteeism (and target benchmark)</t>
  </si>
  <si>
    <t>Do Nothing Cost of absence £m (2011/12)</t>
  </si>
  <si>
    <t>CAA - ip - opex per pax</t>
  </si>
  <si>
    <t>Total excluding non-capitalised costs</t>
  </si>
  <si>
    <t>T1</t>
  </si>
  <si>
    <t>T2</t>
  </si>
  <si>
    <t>T3</t>
  </si>
  <si>
    <t>T4</t>
  </si>
  <si>
    <t>T5</t>
  </si>
  <si>
    <t>July 2013 aBP Forecast</t>
  </si>
  <si>
    <t>July 2013 aBP Forecast - Summary - Q5+1</t>
  </si>
  <si>
    <t>July 2013 aBP Forecast - Summary Q6</t>
  </si>
  <si>
    <t>July 2013 uBP Forecast</t>
  </si>
  <si>
    <t>July 2013 uBP Forecast - Summary - Q5+1</t>
  </si>
  <si>
    <t>July 2013 uBP Forecast - Summary Q6</t>
  </si>
  <si>
    <t>Cost / man year (£k)</t>
  </si>
  <si>
    <t>Average SS rate</t>
  </si>
  <si>
    <t>Average other rate</t>
  </si>
  <si>
    <t>Other staff costs</t>
  </si>
  <si>
    <t>Total staff costs</t>
  </si>
  <si>
    <t>Difference between DM and FBP</t>
  </si>
  <si>
    <t xml:space="preserve">This sheet contains the CAA's estimates of the impact of wage growth assumptions on the airports staff costs. </t>
  </si>
  <si>
    <t>HAL Business Plan with efficiency only</t>
  </si>
  <si>
    <t>Regulatory Staff Costs (Forecasts at current rates)</t>
  </si>
  <si>
    <t>Terminal Area M2</t>
  </si>
  <si>
    <t>DB Members (estimate)</t>
  </si>
  <si>
    <t>Total Members (estimate)</t>
  </si>
  <si>
    <t>DC Members (estimate)</t>
  </si>
  <si>
    <t>Opex period totals</t>
  </si>
  <si>
    <t>Summary of perfromance against outturn - Q4 and Q5</t>
  </si>
  <si>
    <t>Passenger numbers</t>
  </si>
  <si>
    <t>Heathrow - Absenteeism</t>
  </si>
  <si>
    <t>Staff costs from ABP (cross check)</t>
  </si>
  <si>
    <t>Staff Cost (£m 2011/12)</t>
  </si>
  <si>
    <t>Total mandays @230</t>
  </si>
  <si>
    <t>Staff cost efficiency in central services</t>
  </si>
  <si>
    <t>CAA - fp - Efficiency - low stretch</t>
  </si>
  <si>
    <t>CAA - fp - Efficiency - mid stretch</t>
  </si>
  <si>
    <t>CAA - fp - Efficiency - high stretch</t>
  </si>
  <si>
    <t>CAA - fp - opex - low stretch</t>
  </si>
  <si>
    <t>CAA - fp - opex - mid stretch</t>
  </si>
  <si>
    <t>Net Efficiency - Mid</t>
  </si>
  <si>
    <t>Charts - Final Proposals</t>
  </si>
  <si>
    <t>Charts - Compare Positions</t>
  </si>
  <si>
    <t>Impact of nominal wage freeze</t>
  </si>
  <si>
    <t>Heathrow Total Staff Costs</t>
  </si>
  <si>
    <t>A - Maintain front of house costs per metre to 2012/13 levels over Q6 (allowing for pension costs)</t>
  </si>
  <si>
    <t>B - Move to 2012/13 benchmark average by 2016/17 (allowing for pension costs)</t>
  </si>
  <si>
    <t>B - Reduction of and delay to revaluation impact</t>
  </si>
  <si>
    <t>A - Better procurement strategies that reduce third party engineering costs, imporving to an estimated 12.5% savings by the end of Q6</t>
  </si>
  <si>
    <t>Saving related to staff cost efficiency</t>
  </si>
  <si>
    <t>CAA - fp - opex - high stretch</t>
  </si>
  <si>
    <t>CAA - fp - opex per passenger - low stretch</t>
  </si>
  <si>
    <t>CAA - fp - opex per passenger - mid stretch</t>
  </si>
  <si>
    <t>CAA - fp - opex per passenger - high stretch</t>
  </si>
  <si>
    <t>Total ABP</t>
  </si>
  <si>
    <t>Opex per pax aBP</t>
  </si>
  <si>
    <t>ABP</t>
  </si>
  <si>
    <t>PRT Opex impact - to be stripped out due to removal from RAB</t>
  </si>
  <si>
    <t>% of ABP</t>
  </si>
  <si>
    <t>Passengers (r/abp) (m)</t>
  </si>
  <si>
    <t>Total Efficiency (Core)</t>
  </si>
  <si>
    <t>Total Efficiency (Stretch)</t>
  </si>
  <si>
    <t>Price Base:</t>
  </si>
  <si>
    <t>HAL - staff costs</t>
  </si>
  <si>
    <t>Security cost per pax</t>
  </si>
  <si>
    <t>Staff Man Year Index (2012/13 =1)</t>
  </si>
  <si>
    <t>Cost per staff</t>
  </si>
  <si>
    <t>Average pension contribution rate</t>
  </si>
  <si>
    <t>Impact of net wage growth</t>
  </si>
  <si>
    <t>Mid point staff costs</t>
  </si>
  <si>
    <t>Staff costs from aBP (cross check)</t>
  </si>
  <si>
    <t>Benchmark Reduction</t>
  </si>
  <si>
    <t>Relative to 2012/13</t>
  </si>
  <si>
    <t>CAA-IR-29 - Appendix A</t>
  </si>
  <si>
    <t>1) Total staff cost breakdown (£m and 2011/12prices)</t>
  </si>
  <si>
    <t>Wages and Salaries</t>
  </si>
  <si>
    <t>National Insurance</t>
  </si>
  <si>
    <t>Other Staff Related Costs</t>
  </si>
  <si>
    <t>Total Staff Costs</t>
  </si>
  <si>
    <t>2) Departmental man years</t>
  </si>
  <si>
    <t>Central support</t>
  </si>
  <si>
    <t>Total man years</t>
  </si>
  <si>
    <t>3) Departmental total staff costs (£m and 2011/12prices)</t>
  </si>
  <si>
    <t>4) Departmental total staff cost split (£m and 2011/12prices)</t>
  </si>
  <si>
    <t>Staff Data from HAL</t>
  </si>
  <si>
    <t>2) Departmental man years %</t>
  </si>
  <si>
    <t>3) Departmental total staff costs (£m and 2011/12prices) %</t>
  </si>
  <si>
    <t>1) Total staff cost breakdown (£m and 2011/12prices) %</t>
  </si>
  <si>
    <t>PRT</t>
  </si>
  <si>
    <t>Pension Costs Data</t>
  </si>
  <si>
    <t>Weighted-average contribution rates to private sector occupational pension schemes: by benefit structure and contributor, 2000 to 2011</t>
  </si>
  <si>
    <t>United Kingdom</t>
  </si>
  <si>
    <t>Percentages</t>
  </si>
  <si>
    <t>Defined benefit</t>
  </si>
  <si>
    <t>Defined contribution</t>
  </si>
  <si>
    <t>Employee</t>
  </si>
  <si>
    <t>Employer</t>
  </si>
  <si>
    <t>1. Includes schemes where standard contributions (either from the employee or the employer) were zero.</t>
  </si>
  <si>
    <t>2. Excludes normal contributions paid as fixed amounts.</t>
  </si>
  <si>
    <t>3. Includes rates for open, closed and frozen schemes.</t>
  </si>
  <si>
    <t>4. Excludes schemes with fewer than 12 members.</t>
  </si>
  <si>
    <t>5. Caution should be used when analysing trends in average contribution rates over time as there have been several changes to the OPSS questionnaire. In particular, in 2010, the OPSS questionnaire was redeveloped to ensure that, if there were different contribution rates for different groups of members, then these were recorded. The scheme was asked to give the different rates and the corresponding proportion of active members to whom that rate applied. Prior to 2010, only the contribution rate that applied to the majority of members was recorded. This means that caution should be exercised when comparing the figures for 2010 and 2011 with earlier estimates.</t>
  </si>
  <si>
    <t>Source: Occupational Pension Schemes Survey, Office for National Statistics</t>
  </si>
  <si>
    <t>Table 7: Weighted-average contribution rates to private sector occupational</t>
  </si>
  <si>
    <t xml:space="preserve">                pension schemes by benefit structure and contributor</t>
  </si>
  <si>
    <t>Member</t>
  </si>
  <si>
    <t>Defined benefit schemes</t>
  </si>
  <si>
    <t>Career average schemes</t>
  </si>
  <si>
    <t>Defined contribution schemes</t>
  </si>
  <si>
    <t xml:space="preserve">1. Includes schemes where standard contributions were zero. </t>
  </si>
  <si>
    <t>Source: Office for National Statistics</t>
  </si>
  <si>
    <t>5. Components in tables may not sum to totals due to rounding.</t>
  </si>
  <si>
    <t>Table 8.1</t>
  </si>
  <si>
    <t>Cost per many year</t>
  </si>
  <si>
    <t>Total cost per man year</t>
  </si>
  <si>
    <t>HAL staff costs based on statutory accounts</t>
  </si>
  <si>
    <t>Central Service Total (ex development)</t>
  </si>
  <si>
    <t>Additional Pension Analysis based on GAD report</t>
  </si>
  <si>
    <t>CAA Selection within range</t>
  </si>
  <si>
    <t>%dif</t>
  </si>
  <si>
    <t>Group personal pensions</t>
  </si>
  <si>
    <t>Stakeholder pensions</t>
  </si>
  <si>
    <t>No contribution</t>
  </si>
  <si>
    <t>Greater than zero and under 3%</t>
  </si>
  <si>
    <t>3% to under 6%</t>
  </si>
  <si>
    <t>6% to under 9%</t>
  </si>
  <si>
    <t>9% to under 12%</t>
  </si>
  <si>
    <t>12% to under 15%</t>
  </si>
  <si>
    <t>15% and over</t>
  </si>
  <si>
    <t>1. Pension is arranged through an employer, main pension only.</t>
  </si>
  <si>
    <t>2. Contributions include one-off fixed amount payments, but exclude employer contributions covering more than one employee.</t>
  </si>
  <si>
    <t>3.  The private sector is classified using the legal status from the Inter-Departmental Business Register and does not include 'third sector' organisations such as charities.</t>
  </si>
  <si>
    <t>Source: Annual Survey of Hours and Earnings, Office for National Statistics</t>
  </si>
  <si>
    <r>
      <t xml:space="preserve">Data for figure </t>
    </r>
    <r>
      <rPr>
        <b/>
        <sz val="10"/>
        <rFont val="Calibri"/>
        <family val="2"/>
      </rPr>
      <t>8.13</t>
    </r>
  </si>
  <si>
    <r>
      <t>Distribution of employee members of private sector group personal pensions and stakeholder pensions where employer has 100 employees or more: by employer contribution rates</t>
    </r>
    <r>
      <rPr>
        <b/>
        <sz val="10"/>
        <rFont val="Calibri"/>
        <family val="2"/>
      </rPr>
      <t>, 2012</t>
    </r>
  </si>
  <si>
    <r>
      <t xml:space="preserve">Data for figure </t>
    </r>
    <r>
      <rPr>
        <b/>
        <sz val="10"/>
        <rFont val="Calibri"/>
        <family val="2"/>
      </rPr>
      <t>8.4</t>
    </r>
  </si>
  <si>
    <t>Distribution of active membership of private sector occupational pension schemes: by type of scheme and employer contribution rate, 2007 to 2011</t>
  </si>
  <si>
    <t>Under 4%</t>
  </si>
  <si>
    <t/>
  </si>
  <si>
    <t>4% to under 8%</t>
  </si>
  <si>
    <t>8% to under 10%</t>
  </si>
  <si>
    <t>10% to under 12%</t>
  </si>
  <si>
    <t>Excludes schemes with fewer than 12 members.</t>
  </si>
  <si>
    <t>Excludes non-contributory arrangements and contributions paid as fixed amounts only.</t>
  </si>
  <si>
    <t>Percentages are calculated excluding non-response.</t>
  </si>
  <si>
    <t>Caution should be used when analysing trends in contribution rates over time as there have been several changes to the OPSS questionnaire. In particular, in 2010, the OPSS questionnaire was redeveloped to ensure that, if there were different contribution rates for different groups of members, then these were recorded. The scheme was asked to give the different rates and the corresponding proportion of active members to whom that rate applied. Prior to 2010, only the contribution rate that applied to the majority of members was recorded. This means that caution should be exercised when comparing the figures for 2010 and 2011 with earlier estimates.</t>
  </si>
  <si>
    <t>Source: Occupational Pension Scheme Survey, Office for National Statistics</t>
  </si>
  <si>
    <t>Benchmark DC rate %</t>
  </si>
  <si>
    <t>Deficit Efficiency</t>
  </si>
  <si>
    <t>Elasticity :</t>
  </si>
  <si>
    <t>Average</t>
  </si>
  <si>
    <t>Defined benefit Defined contribution</t>
  </si>
  <si>
    <t>Member Employer Total Member Employer Total</t>
  </si>
  <si>
    <t>10,000+ 4.9 15.6 20.5 2.5 6.7 9.2 5,000 to 9,999 5.8 16.9 22.7 2.6 7.1 9.7 1,000 to 4,999 5.5 16.1 21.6 2.9 4.5 7.4 100 to 999 5.1 15.4 20.5 3.5 8.2 11.7 12 to 99 3.3 18.6 21.8 2.8 5.8 8.6 Total 5.1 15.8 20.8 2.7 6.2 8.9</t>
  </si>
  <si>
    <t>1 Includes schemes where standard contributions were</t>
  </si>
  <si>
    <t>zero.</t>
  </si>
  <si>
    <t>2 Excludes normal contributions paid as fixed amounts.</t>
  </si>
  <si>
    <t>3 Includes rates for open, closed and frozen schemes.</t>
  </si>
  <si>
    <t>4 Excludes schemes with fewer than 12 members.</t>
  </si>
  <si>
    <t>5 Breakdowns by size band for defined contribution</t>
  </si>
  <si>
    <t>schemes are based on relatively small samples.</t>
  </si>
  <si>
    <t>Source: Occupational Pension Schemes Survey</t>
  </si>
  <si>
    <t>Table 4.2: Weighted-average contribution rates to private sector occupational pension schemes: by size, benefit structure and contributor1,2,3,4,5, 2010</t>
  </si>
  <si>
    <t>100 to 999</t>
  </si>
  <si>
    <t>12 to 99</t>
  </si>
  <si>
    <t>10,000+</t>
  </si>
  <si>
    <t>5,000 to 9,999</t>
  </si>
  <si>
    <t>1,000 to 4,999</t>
  </si>
  <si>
    <t>http://www.ons.gov.uk/ons/rel/pensions/occupational-pension-scheme-survey-annual-report/2010-annual-report/index.html</t>
  </si>
  <si>
    <t>Sum</t>
  </si>
  <si>
    <t>Staff Cost - Wage and Pension Breakdown based on Statutory Accounts</t>
  </si>
  <si>
    <t>DB Members (approx)</t>
  </si>
  <si>
    <t>DC Members (approx)</t>
  </si>
  <si>
    <t>Total Members (approx)</t>
  </si>
  <si>
    <t>Change</t>
  </si>
  <si>
    <t>Include Rate Efficiency?</t>
  </si>
  <si>
    <t>£m nominal (for base data)</t>
  </si>
  <si>
    <t>Statutory Staff Costs (Forecasts)</t>
  </si>
  <si>
    <t>ABP Wage Efficiency</t>
  </si>
  <si>
    <t xml:space="preserve">CAA Reconcilliation </t>
  </si>
  <si>
    <t>ABP Rates cost forecast</t>
  </si>
  <si>
    <t xml:space="preserve"> Forecasts</t>
  </si>
  <si>
    <t>Heathrow - CAA Allowance</t>
  </si>
  <si>
    <t>Gatwick - CAA Allowance</t>
  </si>
  <si>
    <t>Check?</t>
  </si>
  <si>
    <t>Stansted - CAA Allowance</t>
  </si>
  <si>
    <t>Impact of passenger numbers on opex allowance:</t>
  </si>
  <si>
    <t>Q6 Final Proposals - Opex - HAL</t>
  </si>
  <si>
    <t>t: 020 7453 6210</t>
  </si>
  <si>
    <t>This sheet shows the CAA's final proposals for HAL's opex allowance in Q6.</t>
  </si>
  <si>
    <t>Set to 1 to include the rates revaluation efficiency (without passthrough).</t>
  </si>
  <si>
    <t>Analysis of Efficiency in Mid Stretch Scenario</t>
  </si>
  <si>
    <t>These figures show the difference between the FBP, and the FBP excluding structural factors that are expected to increase costs including closure of T1, opening of T2, baggage handling improvements in T3 and T4 and enhancements to the commercial estate. The net impact of T2 opening will be £499m over Q6, this is offset by closure of T1 which will reduce costs by £179m.</t>
  </si>
  <si>
    <t>CAA - ip - Efficiency relative to FBP</t>
  </si>
  <si>
    <t>LACC - Efficiency relative to FBP</t>
  </si>
  <si>
    <t>Heathrow - Initial Business Plan - July 2012</t>
  </si>
  <si>
    <t>Heathrow - Full Business Plan - January 2013</t>
  </si>
  <si>
    <t>Heathrow - Revised Business Plan - June 2013</t>
  </si>
  <si>
    <t>Heathrow - Alternative Business Plan - 19th July 2013</t>
  </si>
  <si>
    <t>Heathrow - CAA Allowance - April 2013 - Initial Proposals</t>
  </si>
  <si>
    <t>Heathrow - CAA Projections - October 2013 - Final Proposals</t>
  </si>
  <si>
    <t>Central support efficiency proposals</t>
  </si>
  <si>
    <t>Heathrow - central support costs by type</t>
  </si>
  <si>
    <t>Heathrow - central support costs by function</t>
  </si>
  <si>
    <t>Heathrow - central support headcount</t>
  </si>
  <si>
    <t>Heathrow - central support staff costs by type</t>
  </si>
  <si>
    <t>Heathrow - wage efficiency</t>
  </si>
  <si>
    <t>Heathrow - wage growth</t>
  </si>
  <si>
    <t>Heathrow - frontier shift</t>
  </si>
  <si>
    <t>Heathrow - pensions</t>
  </si>
  <si>
    <t>Heathrow - other opex</t>
  </si>
  <si>
    <t>Other opex efficiency proposals - nominal</t>
  </si>
  <si>
    <t>Other opex efficiency proposals - real</t>
  </si>
  <si>
    <t>M&amp;A opex efficiency proposals - real</t>
  </si>
  <si>
    <t>M&amp;A opex efficiency proposals - nominal</t>
  </si>
  <si>
    <t>Heathrow - maintenance</t>
  </si>
  <si>
    <t>Proposal</t>
  </si>
  <si>
    <t>Opex / Passenger elasticity:</t>
  </si>
  <si>
    <t>Include factor?</t>
  </si>
  <si>
    <t xml:space="preserve">This sheet provides analysis of opex performance relative to the Q4 and Q5 regulatory settlements across Heathrow, Gatwick and Stansted. </t>
  </si>
  <si>
    <t>Net Efficiency - Core</t>
  </si>
  <si>
    <t>Net Efficiency - Stretch</t>
  </si>
  <si>
    <t>The spreadsheet contains analysis underpinning the CAA's final proposal opex allowance for HAL over Q6.</t>
  </si>
  <si>
    <t>Green text denotes cells containing parameters. These cells are usually used  to include or exclude certain factors from the final proposals or to convert from a nominal to real price base.</t>
  </si>
  <si>
    <t>Net efficiency</t>
  </si>
  <si>
    <t>Maintenance staff costs as % of total</t>
  </si>
  <si>
    <t>Include Staff Impact:</t>
  </si>
  <si>
    <t>HAL ABP - Maintenance and Equipment</t>
  </si>
  <si>
    <t>IDS Low Benchmark</t>
  </si>
  <si>
    <t>IDS High Benchmark</t>
  </si>
  <si>
    <t>This sheet shows the CAA's analysis of pension costs based on the study by GAD and IDS / Hymans.</t>
  </si>
  <si>
    <t xml:space="preserve">This sheet shows the analysis of frontier shift based on the CEPA study. </t>
  </si>
  <si>
    <t>This sheet contains historic and forecast values of RPI.</t>
  </si>
  <si>
    <t>This sheet contains historic values of CPI.</t>
  </si>
  <si>
    <t>This sheet shows the latest OBR forecasts, referred to in the final propsals.</t>
  </si>
  <si>
    <t xml:space="preserve">This sheet provides a breakdown of wage and pension costs to assess the impact of the seperate treatment of wage and pension cost efficiency. </t>
  </si>
  <si>
    <t xml:space="preserve">This sheet shows staff cost data provided by HAL. </t>
  </si>
  <si>
    <t>This sheet contains additional pension information from HAL and from the ONS and other sources.</t>
  </si>
  <si>
    <t>This sheet provides a summary of the efficiency proposals identified in the SDG Maintenance and Asset Renewal Opex report.</t>
  </si>
  <si>
    <t>This sheet provides a summary of the efficiency proposals identified in the Helios Central Services report.</t>
  </si>
  <si>
    <t>This sheet shows the CAA's analysis of staff cost efficiency based on the IDS report and employment cost benchmarking.</t>
  </si>
  <si>
    <t>Inflation Assumption based on OBR</t>
  </si>
  <si>
    <t xml:space="preserve">This sheet provides an estimation of the poteintial for reductions in costs related to lower rates of absenteesism at HAL. </t>
  </si>
  <si>
    <t xml:space="preserve">This sheets provides analysis of security costs including costs per passenger and the numbers of passengers per security staff based on HAL's business plan. </t>
  </si>
  <si>
    <t>This sheet shows the impact of overlays included in the final proposals (-ve's indicate a reduction in opex).</t>
  </si>
  <si>
    <t>This sheet provides an alternative estimate of opex over Q6 dervived using a cost elasticty estimate.</t>
  </si>
  <si>
    <t xml:space="preserve">Grey denotes input cell. These cells are used to denote input data from consultancy reports and other external sources. </t>
  </si>
  <si>
    <t>Gatwick - Outturn</t>
  </si>
  <si>
    <t>Stansted - Outturn</t>
  </si>
  <si>
    <t xml:space="preserve">These figures show the business plan without the impact of structural changes, but with efficiency savings and provide HAL's assessment of underlying efficiency. </t>
  </si>
  <si>
    <t>This sheet shows the CAA's initial proposals for HAL's opex allowance over Q6.</t>
  </si>
  <si>
    <t xml:space="preserve">This sheet provides a summary of SDG's Other Opex efficiency proposals. These proposals have been used to develop the CAA's final propsals. </t>
  </si>
  <si>
    <t>"</t>
  </si>
  <si>
    <r>
      <t xml:space="preserve">Forecast with </t>
    </r>
    <r>
      <rPr>
        <sz val="10"/>
        <color theme="1"/>
        <rFont val="Wingdings"/>
        <charset val="2"/>
      </rPr>
      <t>"</t>
    </r>
    <r>
      <rPr>
        <sz val="10"/>
        <color theme="1"/>
        <rFont val="Arial"/>
        <family val="2"/>
      </rPr>
      <t xml:space="preserve"> reduction</t>
    </r>
  </si>
</sst>
</file>

<file path=xl/styles.xml><?xml version="1.0" encoding="utf-8"?>
<styleSheet xmlns="http://schemas.openxmlformats.org/spreadsheetml/2006/main">
  <numFmts count="17">
    <numFmt numFmtId="43" formatCode="_-* #,##0.00_-;\-* #,##0.00_-;_-* &quot;-&quot;??_-;_-@_-"/>
    <numFmt numFmtId="164" formatCode="0.000"/>
    <numFmt numFmtId="165" formatCode="0.0%"/>
    <numFmt numFmtId="166" formatCode="#,##0.0"/>
    <numFmt numFmtId="167" formatCode="0.0"/>
    <numFmt numFmtId="168" formatCode="_-* #,##0_-;\-* #,##0_-;_-* &quot;-&quot;??_-;_-@_-"/>
    <numFmt numFmtId="169" formatCode="_-* #,##0.0_-;\-* #,##0.0_-;_-* &quot;-&quot;??_-;_-@_-"/>
    <numFmt numFmtId="170" formatCode="#,##0.00_ ;\-#,##0.00\ "/>
    <numFmt numFmtId="171" formatCode="0.000000"/>
    <numFmt numFmtId="172" formatCode="0.000%"/>
    <numFmt numFmtId="173" formatCode="#,##0.000"/>
    <numFmt numFmtId="174" formatCode="#,##0_);[Red]\(#,##0\);\-_)"/>
    <numFmt numFmtId="175" formatCode="0.0000"/>
    <numFmt numFmtId="176" formatCode="0.00000"/>
    <numFmt numFmtId="177" formatCode="_-* #,##0.000_-;\-* #,##0.000_-;_-* &quot;-&quot;??_-;_-@_-"/>
    <numFmt numFmtId="178" formatCode="#,##0.0,,;\(#,##0.0,,\)"/>
    <numFmt numFmtId="179" formatCode="0.000000000000000%"/>
  </numFmts>
  <fonts count="44">
    <font>
      <sz val="11"/>
      <color theme="1"/>
      <name val="Calibri"/>
      <family val="2"/>
      <scheme val="minor"/>
    </font>
    <font>
      <sz val="11"/>
      <color theme="1"/>
      <name val="Calibri"/>
      <family val="2"/>
      <scheme val="minor"/>
    </font>
    <font>
      <sz val="9"/>
      <color indexed="81"/>
      <name val="Tahoma"/>
      <family val="2"/>
    </font>
    <font>
      <b/>
      <sz val="9"/>
      <color indexed="81"/>
      <name val="Tahoma"/>
      <family val="2"/>
    </font>
    <font>
      <u/>
      <sz val="11"/>
      <color theme="10"/>
      <name val="Calibri"/>
      <family val="2"/>
    </font>
    <font>
      <b/>
      <sz val="11"/>
      <color theme="1"/>
      <name val="Arial"/>
      <family val="2"/>
    </font>
    <font>
      <sz val="11"/>
      <color theme="1"/>
      <name val="Arial"/>
      <family val="2"/>
    </font>
    <font>
      <b/>
      <sz val="11"/>
      <color rgb="FF000000"/>
      <name val="Arial"/>
      <family val="2"/>
    </font>
    <font>
      <sz val="11"/>
      <color rgb="FF000000"/>
      <name val="Arial"/>
      <family val="2"/>
    </font>
    <font>
      <sz val="8"/>
      <color theme="1"/>
      <name val="Arial"/>
      <family val="2"/>
    </font>
    <font>
      <sz val="10"/>
      <color rgb="FF000000"/>
      <name val="Arial"/>
      <family val="2"/>
    </font>
    <font>
      <b/>
      <sz val="10"/>
      <color rgb="FF000000"/>
      <name val="Arial"/>
      <family val="2"/>
    </font>
    <font>
      <sz val="10"/>
      <color theme="1"/>
      <name val="Arial"/>
      <family val="2"/>
    </font>
    <font>
      <b/>
      <sz val="10"/>
      <color theme="1"/>
      <name val="Arial"/>
      <family val="2"/>
    </font>
    <font>
      <b/>
      <sz val="10"/>
      <color theme="0"/>
      <name val="Arial"/>
      <family val="2"/>
    </font>
    <font>
      <sz val="10"/>
      <color theme="0"/>
      <name val="Arial"/>
      <family val="2"/>
    </font>
    <font>
      <sz val="10"/>
      <color rgb="FFFF0000"/>
      <name val="Arial"/>
      <family val="2"/>
    </font>
    <font>
      <sz val="11"/>
      <color rgb="FFFF0000"/>
      <name val="Arial"/>
      <family val="2"/>
    </font>
    <font>
      <sz val="10"/>
      <name val="Arial"/>
      <family val="2"/>
    </font>
    <font>
      <b/>
      <sz val="10"/>
      <name val="Arial"/>
      <family val="2"/>
    </font>
    <font>
      <sz val="11"/>
      <name val="Calibri"/>
      <family val="2"/>
      <scheme val="minor"/>
    </font>
    <font>
      <b/>
      <sz val="11"/>
      <color theme="0"/>
      <name val="Calibri"/>
      <family val="2"/>
      <scheme val="minor"/>
    </font>
    <font>
      <sz val="11"/>
      <color theme="0"/>
      <name val="Calibri"/>
      <family val="2"/>
      <scheme val="minor"/>
    </font>
    <font>
      <sz val="10"/>
      <color rgb="FF00B050"/>
      <name val="Arial"/>
      <family val="2"/>
    </font>
    <font>
      <u/>
      <sz val="10"/>
      <color theme="10"/>
      <name val="Arial"/>
      <family val="2"/>
    </font>
    <font>
      <sz val="11"/>
      <color rgb="FF00B050"/>
      <name val="Calibri"/>
      <family val="2"/>
      <scheme val="minor"/>
    </font>
    <font>
      <b/>
      <sz val="11"/>
      <color theme="1"/>
      <name val="Calibri"/>
      <family val="2"/>
    </font>
    <font>
      <sz val="11"/>
      <name val="Arial"/>
      <family val="2"/>
    </font>
    <font>
      <b/>
      <sz val="10"/>
      <color rgb="FF00B050"/>
      <name val="Arial"/>
      <family val="2"/>
    </font>
    <font>
      <b/>
      <sz val="10"/>
      <color indexed="8"/>
      <name val="Arial"/>
      <family val="2"/>
    </font>
    <font>
      <sz val="10"/>
      <color indexed="8"/>
      <name val="Arial"/>
      <family val="2"/>
    </font>
    <font>
      <b/>
      <sz val="11"/>
      <color theme="0"/>
      <name val="Arial"/>
      <family val="2"/>
    </font>
    <font>
      <b/>
      <sz val="11"/>
      <color theme="1"/>
      <name val="Calibri"/>
      <family val="2"/>
      <scheme val="minor"/>
    </font>
    <font>
      <sz val="10"/>
      <name val="MS Sans Serif"/>
      <family val="2"/>
    </font>
    <font>
      <i/>
      <sz val="10"/>
      <name val="Arial"/>
      <family val="2"/>
    </font>
    <font>
      <sz val="10"/>
      <name val="Calibri"/>
      <family val="2"/>
      <scheme val="minor"/>
    </font>
    <font>
      <b/>
      <sz val="10"/>
      <name val="Calibri"/>
      <family val="2"/>
      <scheme val="minor"/>
    </font>
    <font>
      <b/>
      <sz val="10"/>
      <name val="Calibri"/>
      <family val="2"/>
    </font>
    <font>
      <sz val="11"/>
      <color rgb="FF00B050"/>
      <name val="Arial"/>
      <family val="2"/>
    </font>
    <font>
      <sz val="11"/>
      <color rgb="FFFF0000"/>
      <name val="Calibri"/>
      <family val="2"/>
      <scheme val="minor"/>
    </font>
    <font>
      <sz val="10"/>
      <color theme="1"/>
      <name val="Wingdings"/>
      <charset val="2"/>
    </font>
    <font>
      <b/>
      <sz val="10"/>
      <color theme="1"/>
      <name val="Wingdings"/>
      <charset val="2"/>
    </font>
    <font>
      <sz val="9"/>
      <color indexed="81"/>
      <name val="Wingdings"/>
      <charset val="2"/>
    </font>
    <font>
      <sz val="10"/>
      <name val="Wingdings"/>
      <charset val="2"/>
    </font>
  </fonts>
  <fills count="14">
    <fill>
      <patternFill patternType="none"/>
    </fill>
    <fill>
      <patternFill patternType="gray125"/>
    </fill>
    <fill>
      <patternFill patternType="solid">
        <fgColor rgb="FF4F81BD"/>
        <bgColor indexed="64"/>
      </patternFill>
    </fill>
    <fill>
      <patternFill patternType="solid">
        <fgColor rgb="FFFFFFFF"/>
        <bgColor indexed="64"/>
      </patternFill>
    </fill>
    <fill>
      <patternFill patternType="solid">
        <fgColor theme="5"/>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4"/>
        <bgColor indexed="64"/>
      </patternFill>
    </fill>
    <fill>
      <patternFill patternType="solid">
        <fgColor theme="0"/>
        <bgColor indexed="64"/>
      </patternFill>
    </fill>
    <fill>
      <patternFill patternType="solid">
        <fgColor theme="5" tint="0.79998168889431442"/>
        <bgColor indexed="64"/>
      </patternFill>
    </fill>
    <fill>
      <patternFill patternType="solid">
        <fgColor indexed="42"/>
        <bgColor indexed="64"/>
      </patternFill>
    </fill>
    <fill>
      <patternFill patternType="solid">
        <fgColor indexed="9"/>
        <bgColor indexed="64"/>
      </patternFill>
    </fill>
    <fill>
      <patternFill patternType="solid">
        <fgColor indexed="65"/>
        <bgColor indexed="64"/>
      </patternFill>
    </fill>
  </fills>
  <borders count="53">
    <border>
      <left/>
      <right/>
      <top/>
      <bottom/>
      <diagonal/>
    </border>
    <border>
      <left style="medium">
        <color rgb="FF4F81BD"/>
      </left>
      <right style="medium">
        <color rgb="FF4F81BD"/>
      </right>
      <top style="medium">
        <color rgb="FF4F81BD"/>
      </top>
      <bottom style="medium">
        <color rgb="FF4F81BD"/>
      </bottom>
      <diagonal/>
    </border>
    <border>
      <left/>
      <right style="medium">
        <color rgb="FF4F81BD"/>
      </right>
      <top style="medium">
        <color rgb="FF4F81BD"/>
      </top>
      <bottom style="medium">
        <color rgb="FF4F81BD"/>
      </bottom>
      <diagonal/>
    </border>
    <border>
      <left/>
      <right/>
      <top style="medium">
        <color rgb="FF4F81BD"/>
      </top>
      <bottom style="medium">
        <color rgb="FF4F81BD"/>
      </bottom>
      <diagonal/>
    </border>
    <border>
      <left style="medium">
        <color rgb="FF4F81BD"/>
      </left>
      <right style="medium">
        <color rgb="FF4F81BD"/>
      </right>
      <top/>
      <bottom style="medium">
        <color rgb="FF4F81BD"/>
      </bottom>
      <diagonal/>
    </border>
    <border>
      <left/>
      <right style="medium">
        <color rgb="FF4F81BD"/>
      </right>
      <top/>
      <bottom style="medium">
        <color rgb="FF4F81BD"/>
      </bottom>
      <diagonal/>
    </border>
    <border>
      <left style="medium">
        <color rgb="FF4F81BD"/>
      </left>
      <right/>
      <top style="medium">
        <color rgb="FF4F81BD"/>
      </top>
      <bottom style="medium">
        <color rgb="FF4F81BD"/>
      </bottom>
      <diagonal/>
    </border>
    <border>
      <left/>
      <right/>
      <top style="thin">
        <color indexed="64"/>
      </top>
      <bottom/>
      <diagonal/>
    </border>
    <border>
      <left style="medium">
        <color theme="0"/>
      </left>
      <right style="medium">
        <color theme="0"/>
      </right>
      <top style="medium">
        <color rgb="FF4F81BD"/>
      </top>
      <bottom style="medium">
        <color rgb="FF4F81BD"/>
      </bottom>
      <diagonal/>
    </border>
    <border>
      <left style="medium">
        <color theme="0"/>
      </left>
      <right/>
      <top style="medium">
        <color rgb="FF4F81BD"/>
      </top>
      <bottom style="medium">
        <color rgb="FF4F81BD"/>
      </bottom>
      <diagonal/>
    </border>
    <border>
      <left/>
      <right style="medium">
        <color theme="0"/>
      </right>
      <top style="medium">
        <color rgb="FF4F81BD"/>
      </top>
      <bottom style="medium">
        <color rgb="FF4F81BD"/>
      </bottom>
      <diagonal/>
    </border>
    <border>
      <left style="thin">
        <color theme="0"/>
      </left>
      <right style="thin">
        <color theme="0"/>
      </right>
      <top/>
      <bottom/>
      <diagonal/>
    </border>
    <border>
      <left style="thin">
        <color theme="0"/>
      </left>
      <right/>
      <top/>
      <bottom/>
      <diagonal/>
    </border>
    <border>
      <left/>
      <right style="thin">
        <color theme="0"/>
      </right>
      <top/>
      <bottom/>
      <diagonal/>
    </border>
    <border>
      <left/>
      <right/>
      <top/>
      <bottom style="thin">
        <color theme="3"/>
      </bottom>
      <diagonal/>
    </border>
    <border>
      <left/>
      <right/>
      <top style="thin">
        <color theme="3"/>
      </top>
      <bottom style="thin">
        <color theme="3"/>
      </bottom>
      <diagonal/>
    </border>
    <border>
      <left/>
      <right/>
      <top style="thin">
        <color theme="3"/>
      </top>
      <bottom/>
      <diagonal/>
    </border>
    <border>
      <left/>
      <right style="thin">
        <color indexed="64"/>
      </right>
      <top/>
      <bottom/>
      <diagonal/>
    </border>
    <border>
      <left style="medium">
        <color indexed="45"/>
      </left>
      <right/>
      <top style="medium">
        <color indexed="45"/>
      </top>
      <bottom/>
      <diagonal/>
    </border>
    <border>
      <left/>
      <right/>
      <top style="medium">
        <color indexed="45"/>
      </top>
      <bottom/>
      <diagonal/>
    </border>
    <border>
      <left/>
      <right style="medium">
        <color indexed="45"/>
      </right>
      <top style="medium">
        <color indexed="45"/>
      </top>
      <bottom/>
      <diagonal/>
    </border>
    <border>
      <left style="medium">
        <color indexed="45"/>
      </left>
      <right/>
      <top style="medium">
        <color indexed="45"/>
      </top>
      <bottom style="thin">
        <color indexed="45"/>
      </bottom>
      <diagonal/>
    </border>
    <border>
      <left/>
      <right/>
      <top style="medium">
        <color indexed="45"/>
      </top>
      <bottom style="thin">
        <color indexed="45"/>
      </bottom>
      <diagonal/>
    </border>
    <border>
      <left/>
      <right style="medium">
        <color indexed="45"/>
      </right>
      <top style="medium">
        <color indexed="45"/>
      </top>
      <bottom style="thin">
        <color indexed="45"/>
      </bottom>
      <diagonal/>
    </border>
    <border>
      <left style="medium">
        <color indexed="45"/>
      </left>
      <right/>
      <top/>
      <bottom/>
      <diagonal/>
    </border>
    <border>
      <left/>
      <right style="medium">
        <color indexed="45"/>
      </right>
      <top/>
      <bottom/>
      <diagonal/>
    </border>
    <border>
      <left style="medium">
        <color indexed="45"/>
      </left>
      <right/>
      <top/>
      <bottom style="thin">
        <color indexed="45"/>
      </bottom>
      <diagonal/>
    </border>
    <border>
      <left/>
      <right/>
      <top/>
      <bottom style="thin">
        <color indexed="45"/>
      </bottom>
      <diagonal/>
    </border>
    <border>
      <left/>
      <right style="medium">
        <color indexed="45"/>
      </right>
      <top/>
      <bottom style="thin">
        <color indexed="45"/>
      </bottom>
      <diagonal/>
    </border>
    <border>
      <left style="medium">
        <color indexed="45"/>
      </left>
      <right/>
      <top/>
      <bottom style="medium">
        <color indexed="45"/>
      </bottom>
      <diagonal/>
    </border>
    <border>
      <left/>
      <right/>
      <top/>
      <bottom style="medium">
        <color indexed="45"/>
      </bottom>
      <diagonal/>
    </border>
    <border>
      <left/>
      <right style="medium">
        <color indexed="45"/>
      </right>
      <top/>
      <bottom style="medium">
        <color indexed="45"/>
      </bottom>
      <diagonal/>
    </border>
    <border>
      <left style="medium">
        <color indexed="45"/>
      </left>
      <right/>
      <top style="medium">
        <color indexed="45"/>
      </top>
      <bottom style="medium">
        <color indexed="45"/>
      </bottom>
      <diagonal/>
    </border>
    <border>
      <left/>
      <right/>
      <top style="medium">
        <color indexed="45"/>
      </top>
      <bottom style="medium">
        <color indexed="45"/>
      </bottom>
      <diagonal/>
    </border>
    <border>
      <left/>
      <right style="medium">
        <color indexed="45"/>
      </right>
      <top style="medium">
        <color indexed="45"/>
      </top>
      <bottom style="medium">
        <color indexed="45"/>
      </bottom>
      <diagonal/>
    </border>
    <border>
      <left/>
      <right/>
      <top style="thin">
        <color indexed="45"/>
      </top>
      <bottom style="thin">
        <color indexed="45"/>
      </bottom>
      <diagonal/>
    </border>
    <border>
      <left/>
      <right/>
      <top style="thin">
        <color auto="1"/>
      </top>
      <bottom/>
      <diagonal/>
    </border>
    <border>
      <left/>
      <right/>
      <top style="thin">
        <color auto="1"/>
      </top>
      <bottom style="thin">
        <color theme="3"/>
      </bottom>
      <diagonal/>
    </border>
    <border>
      <left/>
      <right/>
      <top style="thin">
        <color indexed="64"/>
      </top>
      <bottom style="thin">
        <color indexed="64"/>
      </bottom>
      <diagonal/>
    </border>
    <border>
      <left/>
      <right/>
      <top style="hair">
        <color indexed="64"/>
      </top>
      <bottom/>
      <diagonal/>
    </border>
    <border>
      <left/>
      <right/>
      <top/>
      <bottom style="hair">
        <color indexed="64"/>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
      <left/>
      <right/>
      <top style="hair">
        <color indexed="23"/>
      </top>
      <bottom/>
      <diagonal/>
    </border>
    <border>
      <left/>
      <right/>
      <top/>
      <bottom style="hair">
        <color indexed="23"/>
      </bottom>
      <diagonal/>
    </border>
    <border>
      <left/>
      <right/>
      <top style="hair">
        <color indexed="23"/>
      </top>
      <bottom style="hair">
        <color indexed="55"/>
      </bottom>
      <diagonal/>
    </border>
    <border>
      <left/>
      <right/>
      <top/>
      <bottom style="hair">
        <color indexed="55"/>
      </bottom>
      <diagonal/>
    </border>
    <border>
      <left style="medium">
        <color theme="0"/>
      </left>
      <right/>
      <top style="medium">
        <color rgb="FF4F81BD"/>
      </top>
      <bottom/>
      <diagonal/>
    </border>
    <border>
      <left/>
      <right/>
      <top style="medium">
        <color rgb="FF4F81BD"/>
      </top>
      <bottom/>
      <diagonal/>
    </border>
    <border>
      <left/>
      <right style="medium">
        <color theme="0"/>
      </right>
      <top style="medium">
        <color rgb="FF4F81BD"/>
      </top>
      <bottom/>
      <diagonal/>
    </border>
    <border>
      <left style="medium">
        <color theme="0"/>
      </left>
      <right style="medium">
        <color theme="0"/>
      </right>
      <top style="medium">
        <color rgb="FF4F81BD"/>
      </top>
      <bottom/>
      <diagonal/>
    </border>
    <border>
      <left/>
      <right style="medium">
        <color rgb="FF4F81BD"/>
      </right>
      <top style="medium">
        <color rgb="FF4F81BD"/>
      </top>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alignment vertical="top"/>
      <protection locked="0"/>
    </xf>
    <xf numFmtId="0" fontId="18" fillId="0" borderId="0"/>
    <xf numFmtId="0" fontId="18" fillId="0" borderId="0"/>
    <xf numFmtId="9" fontId="18" fillId="0" borderId="0" applyFont="0" applyFill="0" applyBorder="0" applyAlignment="0" applyProtection="0"/>
    <xf numFmtId="43" fontId="33" fillId="0" borderId="0" applyFont="0" applyFill="0" applyBorder="0" applyAlignment="0" applyProtection="0"/>
    <xf numFmtId="0" fontId="18" fillId="0" borderId="0"/>
    <xf numFmtId="0" fontId="18" fillId="0" borderId="0"/>
  </cellStyleXfs>
  <cellXfs count="709">
    <xf numFmtId="0" fontId="0" fillId="0" borderId="0" xfId="0"/>
    <xf numFmtId="0" fontId="0" fillId="0" borderId="0" xfId="0" applyAlignment="1">
      <alignment wrapText="1"/>
    </xf>
    <xf numFmtId="0" fontId="4" fillId="0" borderId="0" xfId="3" applyAlignment="1" applyProtection="1"/>
    <xf numFmtId="0" fontId="5" fillId="0" borderId="0" xfId="0" applyFont="1"/>
    <xf numFmtId="0" fontId="6" fillId="0" borderId="0" xfId="0" applyFont="1"/>
    <xf numFmtId="165" fontId="6" fillId="0" borderId="0" xfId="2" applyNumberFormat="1" applyFont="1"/>
    <xf numFmtId="9" fontId="6" fillId="0" borderId="0" xfId="2" applyFont="1"/>
    <xf numFmtId="0" fontId="9" fillId="0" borderId="0" xfId="0" applyFont="1"/>
    <xf numFmtId="0" fontId="7" fillId="0" borderId="0" xfId="0" applyFont="1" applyFill="1" applyBorder="1" applyAlignment="1">
      <alignment vertical="top"/>
    </xf>
    <xf numFmtId="0" fontId="8" fillId="3" borderId="0" xfId="0" applyFont="1" applyFill="1" applyBorder="1" applyAlignment="1">
      <alignment horizontal="right" vertical="top"/>
    </xf>
    <xf numFmtId="0" fontId="7" fillId="0" borderId="0" xfId="0" applyFont="1" applyFill="1" applyBorder="1" applyAlignment="1">
      <alignment horizontal="center" vertical="center"/>
    </xf>
    <xf numFmtId="165" fontId="6" fillId="0" borderId="0" xfId="0" applyNumberFormat="1" applyFont="1"/>
    <xf numFmtId="0" fontId="8" fillId="0" borderId="0" xfId="0" applyFont="1" applyFill="1" applyBorder="1" applyAlignment="1">
      <alignment horizontal="right" vertical="top"/>
    </xf>
    <xf numFmtId="0" fontId="12" fillId="2" borderId="2" xfId="0" applyFont="1" applyFill="1" applyBorder="1" applyAlignment="1">
      <alignment vertical="top"/>
    </xf>
    <xf numFmtId="0" fontId="12" fillId="3" borderId="4" xfId="0" applyFont="1" applyFill="1" applyBorder="1" applyAlignment="1">
      <alignment vertical="top"/>
    </xf>
    <xf numFmtId="0" fontId="10" fillId="3" borderId="4" xfId="0" applyFont="1" applyFill="1" applyBorder="1" applyAlignment="1">
      <alignment vertical="top"/>
    </xf>
    <xf numFmtId="0" fontId="10" fillId="3" borderId="5" xfId="0" applyFont="1" applyFill="1" applyBorder="1" applyAlignment="1">
      <alignment horizontal="right" vertical="top"/>
    </xf>
    <xf numFmtId="165" fontId="10" fillId="3" borderId="5" xfId="2" applyNumberFormat="1" applyFont="1" applyFill="1" applyBorder="1" applyAlignment="1">
      <alignment horizontal="right" vertical="top"/>
    </xf>
    <xf numFmtId="0" fontId="13" fillId="0" borderId="0" xfId="0" applyFont="1"/>
    <xf numFmtId="0" fontId="12" fillId="0" borderId="0" xfId="0" applyFont="1"/>
    <xf numFmtId="0" fontId="11" fillId="0" borderId="0" xfId="0" applyFont="1" applyFill="1" applyBorder="1" applyAlignment="1">
      <alignment vertical="top"/>
    </xf>
    <xf numFmtId="166" fontId="12" fillId="0" borderId="0" xfId="0" applyNumberFormat="1" applyFont="1"/>
    <xf numFmtId="0" fontId="14" fillId="2" borderId="1" xfId="0" applyFont="1" applyFill="1" applyBorder="1" applyAlignment="1">
      <alignment vertical="top"/>
    </xf>
    <xf numFmtId="0" fontId="15" fillId="2" borderId="2" xfId="0" applyFont="1" applyFill="1" applyBorder="1" applyAlignment="1">
      <alignment vertical="top"/>
    </xf>
    <xf numFmtId="0" fontId="9" fillId="0" borderId="0" xfId="0" applyFont="1" applyFill="1"/>
    <xf numFmtId="166" fontId="8" fillId="0" borderId="0" xfId="0" applyNumberFormat="1" applyFont="1" applyFill="1" applyBorder="1" applyAlignment="1">
      <alignment horizontal="right" vertical="top"/>
    </xf>
    <xf numFmtId="166" fontId="8" fillId="0" borderId="0" xfId="0" applyNumberFormat="1" applyFont="1" applyFill="1" applyBorder="1" applyAlignment="1">
      <alignment vertical="top"/>
    </xf>
    <xf numFmtId="0" fontId="6" fillId="0" borderId="0" xfId="0" applyFont="1" applyFill="1"/>
    <xf numFmtId="166" fontId="10" fillId="0" borderId="0" xfId="0" applyNumberFormat="1" applyFont="1" applyFill="1" applyBorder="1" applyAlignment="1">
      <alignment horizontal="right" vertical="top"/>
    </xf>
    <xf numFmtId="0" fontId="16" fillId="0" borderId="0" xfId="0" applyFont="1"/>
    <xf numFmtId="3" fontId="12" fillId="0" borderId="0" xfId="0" applyNumberFormat="1" applyFont="1"/>
    <xf numFmtId="165" fontId="12" fillId="0" borderId="0" xfId="2" applyNumberFormat="1" applyFont="1"/>
    <xf numFmtId="0" fontId="12" fillId="0" borderId="7" xfId="0" applyFont="1" applyBorder="1"/>
    <xf numFmtId="167" fontId="12" fillId="0" borderId="0" xfId="0" applyNumberFormat="1" applyFont="1"/>
    <xf numFmtId="2" fontId="12" fillId="0" borderId="0" xfId="0" applyNumberFormat="1" applyFont="1"/>
    <xf numFmtId="0" fontId="16" fillId="0" borderId="7" xfId="0" applyFont="1" applyBorder="1"/>
    <xf numFmtId="2" fontId="16" fillId="0" borderId="7" xfId="0" applyNumberFormat="1" applyFont="1" applyBorder="1"/>
    <xf numFmtId="2" fontId="12" fillId="0" borderId="7" xfId="0" applyNumberFormat="1" applyFont="1" applyBorder="1"/>
    <xf numFmtId="1" fontId="12" fillId="0" borderId="0" xfId="0" applyNumberFormat="1" applyFont="1"/>
    <xf numFmtId="168" fontId="12" fillId="0" borderId="0" xfId="1" applyNumberFormat="1" applyFont="1"/>
    <xf numFmtId="0" fontId="12" fillId="0" borderId="0" xfId="0" applyFont="1" applyAlignment="1">
      <alignment horizontal="center" vertical="center"/>
    </xf>
    <xf numFmtId="0" fontId="16" fillId="0" borderId="0" xfId="0" applyFont="1" applyBorder="1"/>
    <xf numFmtId="2" fontId="16" fillId="0" borderId="0" xfId="0" applyNumberFormat="1" applyFont="1" applyBorder="1"/>
    <xf numFmtId="0" fontId="12" fillId="0" borderId="0" xfId="0" applyFont="1" applyBorder="1"/>
    <xf numFmtId="9" fontId="10" fillId="3" borderId="5" xfId="2" applyFont="1" applyFill="1" applyBorder="1" applyAlignment="1">
      <alignment horizontal="right" vertical="top"/>
    </xf>
    <xf numFmtId="2" fontId="17" fillId="0" borderId="0" xfId="0" applyNumberFormat="1" applyFont="1"/>
    <xf numFmtId="3" fontId="10" fillId="3" borderId="5" xfId="0" applyNumberFormat="1" applyFont="1" applyFill="1" applyBorder="1" applyAlignment="1">
      <alignment horizontal="right" vertical="top"/>
    </xf>
    <xf numFmtId="3" fontId="10" fillId="3" borderId="5" xfId="0" applyNumberFormat="1" applyFont="1" applyFill="1" applyBorder="1" applyAlignment="1">
      <alignment vertical="top"/>
    </xf>
    <xf numFmtId="0" fontId="13" fillId="0" borderId="0" xfId="0" applyFont="1" applyAlignment="1">
      <alignment horizontal="center" vertical="center"/>
    </xf>
    <xf numFmtId="0" fontId="13" fillId="0" borderId="0" xfId="0" applyFont="1" applyAlignment="1">
      <alignment horizontal="center" vertical="center" wrapText="1"/>
    </xf>
    <xf numFmtId="0" fontId="13" fillId="0" borderId="0" xfId="0" applyFont="1" applyAlignment="1">
      <alignment horizontal="center" vertical="center" wrapText="1"/>
    </xf>
    <xf numFmtId="0" fontId="14" fillId="2" borderId="2" xfId="0" applyFont="1" applyFill="1" applyBorder="1" applyAlignment="1">
      <alignment horizontal="center" vertical="center"/>
    </xf>
    <xf numFmtId="9" fontId="6" fillId="0" borderId="0" xfId="2" applyFont="1" applyFill="1"/>
    <xf numFmtId="0" fontId="18" fillId="0" borderId="0" xfId="0" applyFont="1"/>
    <xf numFmtId="0" fontId="19" fillId="0" borderId="0" xfId="0" applyFont="1"/>
    <xf numFmtId="0" fontId="12" fillId="0" borderId="0" xfId="0" applyFont="1" applyAlignment="1">
      <alignment horizontal="center" vertical="center" wrapText="1"/>
    </xf>
    <xf numFmtId="165" fontId="12" fillId="0" borderId="0" xfId="0" applyNumberFormat="1" applyFont="1"/>
    <xf numFmtId="167" fontId="12" fillId="5" borderId="0" xfId="0" applyNumberFormat="1" applyFont="1" applyFill="1"/>
    <xf numFmtId="0" fontId="12" fillId="5" borderId="0" xfId="0" applyFont="1" applyFill="1"/>
    <xf numFmtId="165" fontId="12" fillId="5" borderId="0" xfId="2" applyNumberFormat="1" applyFont="1" applyFill="1"/>
    <xf numFmtId="2" fontId="12" fillId="5" borderId="0" xfId="0" applyNumberFormat="1" applyFont="1" applyFill="1"/>
    <xf numFmtId="0" fontId="12" fillId="0" borderId="0" xfId="0" applyFont="1" applyFill="1"/>
    <xf numFmtId="2" fontId="12" fillId="0" borderId="0" xfId="0" applyNumberFormat="1" applyFont="1" applyFill="1"/>
    <xf numFmtId="165" fontId="12" fillId="0" borderId="0" xfId="2" applyNumberFormat="1" applyFont="1" applyFill="1"/>
    <xf numFmtId="165" fontId="12" fillId="0" borderId="0" xfId="0" applyNumberFormat="1" applyFont="1" applyFill="1"/>
    <xf numFmtId="164" fontId="12" fillId="0" borderId="0" xfId="0" applyNumberFormat="1" applyFont="1" applyFill="1"/>
    <xf numFmtId="164" fontId="12" fillId="0" borderId="0" xfId="0" applyNumberFormat="1" applyFont="1"/>
    <xf numFmtId="0" fontId="12" fillId="0" borderId="0" xfId="0" applyFont="1" applyAlignment="1">
      <alignment vertical="center"/>
    </xf>
    <xf numFmtId="167" fontId="12" fillId="0" borderId="0" xfId="0" applyNumberFormat="1" applyFont="1" applyAlignment="1">
      <alignment vertical="center"/>
    </xf>
    <xf numFmtId="165" fontId="12" fillId="0" borderId="0" xfId="0" applyNumberFormat="1" applyFont="1" applyAlignment="1">
      <alignment vertical="center"/>
    </xf>
    <xf numFmtId="165" fontId="12" fillId="0" borderId="0" xfId="2" applyNumberFormat="1" applyFont="1" applyAlignment="1">
      <alignment vertical="center"/>
    </xf>
    <xf numFmtId="167" fontId="12" fillId="5" borderId="0" xfId="0" applyNumberFormat="1" applyFont="1" applyFill="1" applyAlignment="1">
      <alignment vertical="center"/>
    </xf>
    <xf numFmtId="165" fontId="12" fillId="5" borderId="0" xfId="2" applyNumberFormat="1" applyFont="1" applyFill="1" applyAlignment="1">
      <alignment vertical="center"/>
    </xf>
    <xf numFmtId="0" fontId="13" fillId="0" borderId="0" xfId="0" applyFont="1" applyAlignment="1">
      <alignment horizontal="center" vertical="center" wrapText="1"/>
    </xf>
    <xf numFmtId="0" fontId="20" fillId="7" borderId="0" xfId="0" applyFont="1" applyFill="1"/>
    <xf numFmtId="0" fontId="13" fillId="0" borderId="0" xfId="0" applyFont="1" applyAlignment="1">
      <alignment wrapText="1"/>
    </xf>
    <xf numFmtId="9" fontId="12" fillId="0" borderId="0" xfId="2" applyFont="1"/>
    <xf numFmtId="4" fontId="12" fillId="0" borderId="0" xfId="0" applyNumberFormat="1" applyFont="1"/>
    <xf numFmtId="166" fontId="10" fillId="3" borderId="5" xfId="0" applyNumberFormat="1" applyFont="1" applyFill="1" applyBorder="1" applyAlignment="1">
      <alignment horizontal="right" vertical="top"/>
    </xf>
    <xf numFmtId="166" fontId="10" fillId="3" borderId="5" xfId="0" applyNumberFormat="1" applyFont="1" applyFill="1" applyBorder="1" applyAlignment="1">
      <alignment vertical="top"/>
    </xf>
    <xf numFmtId="0" fontId="14" fillId="2" borderId="6" xfId="0" applyFont="1" applyFill="1" applyBorder="1" applyAlignment="1">
      <alignment vertical="top"/>
    </xf>
    <xf numFmtId="0" fontId="14" fillId="2" borderId="8" xfId="0" applyFont="1" applyFill="1" applyBorder="1" applyAlignment="1">
      <alignment horizontal="center" vertical="center"/>
    </xf>
    <xf numFmtId="9" fontId="13" fillId="0" borderId="0" xfId="2" applyFont="1"/>
    <xf numFmtId="0" fontId="10" fillId="3" borderId="5" xfId="0" applyFont="1" applyFill="1" applyBorder="1" applyAlignment="1">
      <alignment horizontal="center" vertical="center"/>
    </xf>
    <xf numFmtId="0" fontId="14" fillId="8" borderId="0" xfId="0" applyFont="1" applyFill="1"/>
    <xf numFmtId="0" fontId="14" fillId="8" borderId="0" xfId="0" applyFont="1" applyFill="1" applyAlignment="1">
      <alignment horizontal="center" vertical="center"/>
    </xf>
    <xf numFmtId="0" fontId="15" fillId="8" borderId="0" xfId="0" applyFont="1" applyFill="1"/>
    <xf numFmtId="0" fontId="14" fillId="8" borderId="11" xfId="0" applyFont="1" applyFill="1" applyBorder="1" applyAlignment="1">
      <alignment horizontal="center" vertical="center"/>
    </xf>
    <xf numFmtId="165" fontId="12" fillId="8" borderId="0" xfId="2" applyNumberFormat="1" applyFont="1" applyFill="1"/>
    <xf numFmtId="165" fontId="15" fillId="8" borderId="0" xfId="2" applyNumberFormat="1" applyFont="1" applyFill="1"/>
    <xf numFmtId="166" fontId="12" fillId="0" borderId="0" xfId="0" applyNumberFormat="1" applyFont="1" applyFill="1"/>
    <xf numFmtId="166" fontId="12" fillId="0" borderId="12" xfId="0" applyNumberFormat="1" applyFont="1" applyFill="1" applyBorder="1"/>
    <xf numFmtId="0" fontId="12" fillId="0" borderId="14" xfId="0" applyFont="1" applyBorder="1"/>
    <xf numFmtId="1" fontId="12" fillId="0" borderId="14" xfId="0" applyNumberFormat="1" applyFont="1" applyFill="1" applyBorder="1" applyAlignment="1">
      <alignment horizontal="right" vertical="center"/>
    </xf>
    <xf numFmtId="0" fontId="12" fillId="0" borderId="15" xfId="0" applyFont="1" applyBorder="1"/>
    <xf numFmtId="1" fontId="12" fillId="0" borderId="15" xfId="0" applyNumberFormat="1" applyFont="1" applyFill="1" applyBorder="1" applyAlignment="1">
      <alignment horizontal="right" vertical="center"/>
    </xf>
    <xf numFmtId="168" fontId="12" fillId="0" borderId="15" xfId="1" applyNumberFormat="1" applyFont="1" applyFill="1" applyBorder="1" applyAlignment="1">
      <alignment horizontal="right" vertical="center"/>
    </xf>
    <xf numFmtId="168" fontId="12" fillId="0" borderId="15" xfId="0" applyNumberFormat="1" applyFont="1" applyFill="1" applyBorder="1" applyAlignment="1">
      <alignment horizontal="right" vertical="center"/>
    </xf>
    <xf numFmtId="0" fontId="12" fillId="0" borderId="16" xfId="0" applyFont="1" applyBorder="1"/>
    <xf numFmtId="0" fontId="12" fillId="6" borderId="14" xfId="0" applyFont="1" applyFill="1" applyBorder="1" applyAlignment="1">
      <alignment horizontal="right" vertical="center"/>
    </xf>
    <xf numFmtId="0" fontId="12" fillId="6" borderId="15" xfId="0" applyFont="1" applyFill="1" applyBorder="1" applyAlignment="1">
      <alignment horizontal="right" vertical="center"/>
    </xf>
    <xf numFmtId="9" fontId="12" fillId="6" borderId="15" xfId="2" applyFont="1" applyFill="1" applyBorder="1" applyAlignment="1">
      <alignment horizontal="right" vertical="center"/>
    </xf>
    <xf numFmtId="1" fontId="12" fillId="0" borderId="14" xfId="0" applyNumberFormat="1" applyFont="1" applyBorder="1" applyAlignment="1">
      <alignment horizontal="right" vertical="center"/>
    </xf>
    <xf numFmtId="1" fontId="12" fillId="0" borderId="15" xfId="0" applyNumberFormat="1" applyFont="1" applyBorder="1" applyAlignment="1">
      <alignment horizontal="right" vertical="center"/>
    </xf>
    <xf numFmtId="0" fontId="12" fillId="0" borderId="15" xfId="0" applyFont="1" applyBorder="1" applyAlignment="1">
      <alignment horizontal="right" vertical="center"/>
    </xf>
    <xf numFmtId="168" fontId="12" fillId="0" borderId="15" xfId="1" applyNumberFormat="1" applyFont="1" applyBorder="1" applyAlignment="1">
      <alignment horizontal="right" vertical="center"/>
    </xf>
    <xf numFmtId="3" fontId="12" fillId="0" borderId="15" xfId="0" applyNumberFormat="1" applyFont="1" applyBorder="1" applyAlignment="1">
      <alignment horizontal="right" vertical="center"/>
    </xf>
    <xf numFmtId="2" fontId="12" fillId="0" borderId="16" xfId="0" applyNumberFormat="1" applyFont="1" applyBorder="1" applyAlignment="1">
      <alignment horizontal="right" vertical="center"/>
    </xf>
    <xf numFmtId="0" fontId="12" fillId="6" borderId="14" xfId="0" applyFont="1" applyFill="1" applyBorder="1"/>
    <xf numFmtId="3" fontId="12" fillId="6" borderId="14" xfId="0" applyNumberFormat="1" applyFont="1" applyFill="1" applyBorder="1"/>
    <xf numFmtId="165" fontId="12" fillId="0" borderId="14" xfId="2" applyNumberFormat="1" applyFont="1" applyBorder="1"/>
    <xf numFmtId="0" fontId="12" fillId="6" borderId="15" xfId="0" applyFont="1" applyFill="1" applyBorder="1"/>
    <xf numFmtId="3" fontId="12" fillId="6" borderId="15" xfId="0" applyNumberFormat="1" applyFont="1" applyFill="1" applyBorder="1"/>
    <xf numFmtId="165" fontId="12" fillId="0" borderId="15" xfId="2" applyNumberFormat="1" applyFont="1" applyBorder="1"/>
    <xf numFmtId="166" fontId="12" fillId="6" borderId="15" xfId="0" applyNumberFormat="1" applyFont="1" applyFill="1" applyBorder="1"/>
    <xf numFmtId="0" fontId="12" fillId="6" borderId="16" xfId="0" applyFont="1" applyFill="1" applyBorder="1"/>
    <xf numFmtId="3" fontId="12" fillId="6" borderId="16" xfId="0" applyNumberFormat="1" applyFont="1" applyFill="1" applyBorder="1"/>
    <xf numFmtId="165" fontId="12" fillId="0" borderId="16" xfId="2" applyNumberFormat="1" applyFont="1" applyBorder="1"/>
    <xf numFmtId="3" fontId="12" fillId="0" borderId="14" xfId="0" applyNumberFormat="1" applyFont="1" applyBorder="1"/>
    <xf numFmtId="166" fontId="12" fillId="0" borderId="14" xfId="0" applyNumberFormat="1" applyFont="1" applyBorder="1"/>
    <xf numFmtId="3" fontId="12" fillId="0" borderId="15" xfId="0" applyNumberFormat="1" applyFont="1" applyBorder="1"/>
    <xf numFmtId="166" fontId="12" fillId="0" borderId="15" xfId="0" applyNumberFormat="1" applyFont="1" applyBorder="1"/>
    <xf numFmtId="166" fontId="12" fillId="0" borderId="16" xfId="0" applyNumberFormat="1" applyFont="1" applyBorder="1"/>
    <xf numFmtId="3" fontId="12" fillId="0" borderId="16" xfId="0" applyNumberFormat="1" applyFont="1" applyBorder="1"/>
    <xf numFmtId="166" fontId="12" fillId="6" borderId="14" xfId="0" applyNumberFormat="1" applyFont="1" applyFill="1" applyBorder="1"/>
    <xf numFmtId="166" fontId="12" fillId="6" borderId="16" xfId="0" applyNumberFormat="1" applyFont="1" applyFill="1" applyBorder="1"/>
    <xf numFmtId="1" fontId="12" fillId="0" borderId="15" xfId="0" applyNumberFormat="1" applyFont="1" applyBorder="1"/>
    <xf numFmtId="168" fontId="12" fillId="0" borderId="16" xfId="1" applyNumberFormat="1" applyFont="1" applyBorder="1"/>
    <xf numFmtId="3" fontId="12" fillId="0" borderId="14" xfId="0" applyNumberFormat="1" applyFont="1" applyBorder="1" applyAlignment="1">
      <alignment horizontal="right" vertical="center"/>
    </xf>
    <xf numFmtId="165" fontId="12" fillId="0" borderId="14" xfId="2" applyNumberFormat="1" applyFont="1" applyBorder="1" applyAlignment="1">
      <alignment horizontal="right" vertical="center"/>
    </xf>
    <xf numFmtId="165" fontId="12" fillId="0" borderId="15" xfId="2" applyNumberFormat="1" applyFont="1" applyBorder="1" applyAlignment="1">
      <alignment horizontal="right" vertical="center"/>
    </xf>
    <xf numFmtId="165" fontId="12" fillId="0" borderId="16" xfId="2" applyNumberFormat="1" applyFont="1" applyBorder="1" applyAlignment="1">
      <alignment horizontal="right" vertical="center"/>
    </xf>
    <xf numFmtId="4" fontId="12" fillId="0" borderId="16" xfId="0" applyNumberFormat="1" applyFont="1" applyBorder="1" applyAlignment="1">
      <alignment horizontal="right" vertical="center"/>
    </xf>
    <xf numFmtId="168" fontId="12" fillId="6" borderId="15" xfId="1" applyNumberFormat="1" applyFont="1" applyFill="1" applyBorder="1" applyAlignment="1">
      <alignment horizontal="right" vertical="center"/>
    </xf>
    <xf numFmtId="167" fontId="12" fillId="0" borderId="15" xfId="0" applyNumberFormat="1" applyFont="1" applyFill="1" applyBorder="1" applyAlignment="1">
      <alignment horizontal="right" vertical="center"/>
    </xf>
    <xf numFmtId="165" fontId="12" fillId="0" borderId="0" xfId="2" applyNumberFormat="1" applyFont="1" applyBorder="1"/>
    <xf numFmtId="0" fontId="14" fillId="8" borderId="11" xfId="0" applyFont="1" applyFill="1" applyBorder="1" applyAlignment="1">
      <alignment horizontal="center" vertical="center" wrapText="1"/>
    </xf>
    <xf numFmtId="3" fontId="12" fillId="0" borderId="0" xfId="0" applyNumberFormat="1" applyFont="1" applyBorder="1"/>
    <xf numFmtId="0" fontId="14" fillId="0" borderId="0" xfId="0" applyFont="1" applyFill="1"/>
    <xf numFmtId="0" fontId="14" fillId="0" borderId="0" xfId="0" applyFont="1" applyFill="1" applyBorder="1" applyAlignment="1">
      <alignment horizontal="center" vertical="center"/>
    </xf>
    <xf numFmtId="0" fontId="12" fillId="0" borderId="0" xfId="0" applyFont="1" applyFill="1" applyBorder="1"/>
    <xf numFmtId="0" fontId="13" fillId="0" borderId="0" xfId="0" applyFont="1" applyFill="1" applyBorder="1" applyAlignment="1">
      <alignment wrapText="1"/>
    </xf>
    <xf numFmtId="1" fontId="12" fillId="0" borderId="0" xfId="0" applyNumberFormat="1" applyFont="1" applyFill="1" applyBorder="1" applyAlignment="1">
      <alignment horizontal="right" vertical="center"/>
    </xf>
    <xf numFmtId="168" fontId="12" fillId="0" borderId="0" xfId="1" applyNumberFormat="1" applyFont="1" applyFill="1" applyBorder="1" applyAlignment="1">
      <alignment horizontal="right" vertical="center"/>
    </xf>
    <xf numFmtId="0" fontId="12" fillId="0" borderId="0" xfId="0" applyFont="1" applyFill="1" applyBorder="1" applyAlignment="1">
      <alignment horizontal="right" vertical="center"/>
    </xf>
    <xf numFmtId="2" fontId="12" fillId="0" borderId="0" xfId="0" applyNumberFormat="1" applyFont="1" applyFill="1" applyBorder="1" applyAlignment="1">
      <alignment horizontal="right" vertical="center"/>
    </xf>
    <xf numFmtId="2" fontId="16" fillId="0" borderId="0" xfId="0" applyNumberFormat="1" applyFont="1" applyFill="1" applyBorder="1"/>
    <xf numFmtId="9" fontId="12" fillId="0" borderId="0" xfId="2" applyFont="1" applyFill="1" applyBorder="1" applyAlignment="1">
      <alignment horizontal="right" vertical="center"/>
    </xf>
    <xf numFmtId="168" fontId="12" fillId="0" borderId="0" xfId="0" applyNumberFormat="1" applyFont="1" applyFill="1" applyBorder="1" applyAlignment="1">
      <alignment horizontal="right" vertical="center"/>
    </xf>
    <xf numFmtId="167" fontId="12" fillId="0" borderId="0" xfId="0" applyNumberFormat="1" applyFont="1" applyFill="1" applyBorder="1" applyAlignment="1">
      <alignment horizontal="right" vertical="center"/>
    </xf>
    <xf numFmtId="0" fontId="13" fillId="0" borderId="0" xfId="0" applyFont="1" applyFill="1" applyAlignment="1">
      <alignment horizontal="center" vertical="center" wrapText="1"/>
    </xf>
    <xf numFmtId="165" fontId="12" fillId="0" borderId="0" xfId="2" applyNumberFormat="1" applyFont="1" applyFill="1" applyBorder="1" applyAlignment="1">
      <alignment horizontal="right" vertical="center"/>
    </xf>
    <xf numFmtId="0" fontId="12" fillId="8" borderId="0" xfId="0" applyFont="1" applyFill="1"/>
    <xf numFmtId="9" fontId="12" fillId="0" borderId="14" xfId="2" applyFont="1" applyBorder="1" applyAlignment="1">
      <alignment horizontal="right" vertical="center"/>
    </xf>
    <xf numFmtId="0" fontId="13" fillId="0" borderId="0" xfId="0" applyFont="1" applyFill="1" applyBorder="1"/>
    <xf numFmtId="3" fontId="12" fillId="0" borderId="0" xfId="0" applyNumberFormat="1" applyFont="1" applyFill="1" applyBorder="1"/>
    <xf numFmtId="165" fontId="12" fillId="0" borderId="0" xfId="2" applyNumberFormat="1" applyFont="1" applyFill="1" applyBorder="1"/>
    <xf numFmtId="167" fontId="12" fillId="0" borderId="16" xfId="0" applyNumberFormat="1" applyFont="1" applyBorder="1" applyAlignment="1">
      <alignment horizontal="right" vertical="center"/>
    </xf>
    <xf numFmtId="9" fontId="12" fillId="0" borderId="0" xfId="2" applyFont="1" applyBorder="1"/>
    <xf numFmtId="0" fontId="13" fillId="0" borderId="0" xfId="0" applyFont="1" applyBorder="1"/>
    <xf numFmtId="3" fontId="12" fillId="0" borderId="15" xfId="0" applyNumberFormat="1" applyFont="1" applyFill="1" applyBorder="1"/>
    <xf numFmtId="2" fontId="12" fillId="6" borderId="16" xfId="0" applyNumberFormat="1" applyFont="1" applyFill="1" applyBorder="1" applyAlignment="1">
      <alignment horizontal="right" vertical="center"/>
    </xf>
    <xf numFmtId="43" fontId="12" fillId="0" borderId="0" xfId="1" applyFont="1"/>
    <xf numFmtId="4" fontId="12" fillId="0" borderId="0" xfId="0" applyNumberFormat="1" applyFont="1" applyFill="1" applyBorder="1" applyAlignment="1">
      <alignment horizontal="right" vertical="center"/>
    </xf>
    <xf numFmtId="9" fontId="12" fillId="0" borderId="0" xfId="0" applyNumberFormat="1" applyFont="1"/>
    <xf numFmtId="1" fontId="12" fillId="6" borderId="14" xfId="0" applyNumberFormat="1" applyFont="1" applyFill="1" applyBorder="1" applyAlignment="1">
      <alignment horizontal="right" vertical="center"/>
    </xf>
    <xf numFmtId="1" fontId="12" fillId="6" borderId="15" xfId="0" applyNumberFormat="1" applyFont="1" applyFill="1" applyBorder="1" applyAlignment="1">
      <alignment horizontal="right" vertical="center"/>
    </xf>
    <xf numFmtId="2" fontId="12" fillId="0" borderId="16" xfId="0" applyNumberFormat="1" applyFont="1" applyFill="1" applyBorder="1" applyAlignment="1">
      <alignment horizontal="right" vertical="center"/>
    </xf>
    <xf numFmtId="43" fontId="12" fillId="0" borderId="0" xfId="1" applyFont="1" applyBorder="1"/>
    <xf numFmtId="0" fontId="13" fillId="0" borderId="15" xfId="0" applyFont="1" applyBorder="1"/>
    <xf numFmtId="168" fontId="12" fillId="0" borderId="15" xfId="1" applyNumberFormat="1" applyFont="1" applyBorder="1"/>
    <xf numFmtId="168" fontId="12" fillId="0" borderId="0" xfId="1" applyNumberFormat="1" applyFont="1" applyBorder="1"/>
    <xf numFmtId="168" fontId="12" fillId="0" borderId="14" xfId="1" applyNumberFormat="1" applyFont="1" applyBorder="1"/>
    <xf numFmtId="0" fontId="14" fillId="8" borderId="13" xfId="0" applyFont="1" applyFill="1" applyBorder="1" applyAlignment="1">
      <alignment horizontal="center" vertical="center"/>
    </xf>
    <xf numFmtId="167" fontId="12" fillId="6" borderId="15" xfId="0" applyNumberFormat="1" applyFont="1" applyFill="1" applyBorder="1" applyAlignment="1">
      <alignment horizontal="right" vertical="center"/>
    </xf>
    <xf numFmtId="168" fontId="12" fillId="6" borderId="15" xfId="0" applyNumberFormat="1" applyFont="1" applyFill="1" applyBorder="1" applyAlignment="1">
      <alignment horizontal="right" vertical="center"/>
    </xf>
    <xf numFmtId="0" fontId="13" fillId="0" borderId="0" xfId="0" applyFont="1" applyBorder="1" applyAlignment="1">
      <alignment horizontal="center" vertical="center" wrapText="1"/>
    </xf>
    <xf numFmtId="0" fontId="16" fillId="0" borderId="0" xfId="0" applyFont="1" applyFill="1" applyBorder="1"/>
    <xf numFmtId="0" fontId="14" fillId="8" borderId="13" xfId="0" applyFont="1" applyFill="1" applyBorder="1" applyAlignment="1">
      <alignment horizontal="center" vertical="center"/>
    </xf>
    <xf numFmtId="0" fontId="14" fillId="8" borderId="0" xfId="0" applyFont="1" applyFill="1" applyAlignment="1">
      <alignment horizontal="center" vertical="center"/>
    </xf>
    <xf numFmtId="170" fontId="12" fillId="0" borderId="15" xfId="1" applyNumberFormat="1" applyFont="1" applyBorder="1" applyAlignment="1">
      <alignment horizontal="right" vertical="center"/>
    </xf>
    <xf numFmtId="167" fontId="12" fillId="0" borderId="15" xfId="0" applyNumberFormat="1" applyFont="1" applyBorder="1" applyAlignment="1">
      <alignment horizontal="right" vertical="center"/>
    </xf>
    <xf numFmtId="166" fontId="12" fillId="0" borderId="15" xfId="0" applyNumberFormat="1" applyFont="1" applyFill="1" applyBorder="1"/>
    <xf numFmtId="0" fontId="14" fillId="8" borderId="13" xfId="0" applyFont="1" applyFill="1" applyBorder="1"/>
    <xf numFmtId="168" fontId="12" fillId="0" borderId="0" xfId="0" applyNumberFormat="1" applyFont="1" applyFill="1" applyBorder="1"/>
    <xf numFmtId="168" fontId="12" fillId="0" borderId="0" xfId="0" applyNumberFormat="1" applyFont="1"/>
    <xf numFmtId="171" fontId="12" fillId="0" borderId="0" xfId="0" applyNumberFormat="1" applyFont="1"/>
    <xf numFmtId="0" fontId="14" fillId="8" borderId="0" xfId="0" applyFont="1" applyFill="1" applyAlignment="1">
      <alignment horizontal="center" vertical="center"/>
    </xf>
    <xf numFmtId="168" fontId="12" fillId="0" borderId="15" xfId="0" applyNumberFormat="1" applyFont="1" applyBorder="1"/>
    <xf numFmtId="2" fontId="12" fillId="0" borderId="15" xfId="0" applyNumberFormat="1" applyFont="1" applyBorder="1"/>
    <xf numFmtId="0" fontId="13" fillId="0" borderId="16" xfId="0" applyFont="1" applyBorder="1"/>
    <xf numFmtId="9" fontId="23" fillId="0" borderId="0" xfId="2" applyFont="1" applyFill="1" applyBorder="1"/>
    <xf numFmtId="168" fontId="12" fillId="0" borderId="0" xfId="1" applyNumberFormat="1" applyFont="1" applyAlignment="1">
      <alignment wrapText="1"/>
    </xf>
    <xf numFmtId="1" fontId="12" fillId="0" borderId="0" xfId="0" applyNumberFormat="1" applyFont="1" applyAlignment="1">
      <alignment wrapText="1"/>
    </xf>
    <xf numFmtId="9" fontId="23" fillId="0" borderId="0" xfId="2" applyFont="1"/>
    <xf numFmtId="172" fontId="12" fillId="0" borderId="0" xfId="0" applyNumberFormat="1" applyFont="1"/>
    <xf numFmtId="43" fontId="12" fillId="0" borderId="0" xfId="0" applyNumberFormat="1" applyFont="1"/>
    <xf numFmtId="165" fontId="12" fillId="0" borderId="0" xfId="2" applyNumberFormat="1" applyFont="1" applyBorder="1" applyAlignment="1">
      <alignment horizontal="right" vertical="center"/>
    </xf>
    <xf numFmtId="43" fontId="12" fillId="0" borderId="15" xfId="1" applyFont="1" applyBorder="1" applyAlignment="1">
      <alignment horizontal="right" vertical="center"/>
    </xf>
    <xf numFmtId="0" fontId="15" fillId="0" borderId="0" xfId="0" applyFont="1" applyFill="1"/>
    <xf numFmtId="0" fontId="14" fillId="8" borderId="0" xfId="0" applyFont="1" applyFill="1" applyBorder="1"/>
    <xf numFmtId="167" fontId="12" fillId="6" borderId="0" xfId="0" applyNumberFormat="1" applyFont="1" applyFill="1"/>
    <xf numFmtId="0" fontId="12" fillId="9" borderId="0" xfId="0" applyFont="1" applyFill="1"/>
    <xf numFmtId="167" fontId="12" fillId="9" borderId="0" xfId="0" applyNumberFormat="1" applyFont="1" applyFill="1"/>
    <xf numFmtId="0" fontId="23" fillId="0" borderId="0" xfId="0" applyFont="1"/>
    <xf numFmtId="9" fontId="12" fillId="0" borderId="0" xfId="2" applyFont="1" applyFill="1"/>
    <xf numFmtId="0" fontId="23" fillId="0" borderId="0" xfId="0" applyFont="1" applyFill="1" applyBorder="1"/>
    <xf numFmtId="166" fontId="12" fillId="0" borderId="0" xfId="0" applyNumberFormat="1" applyFont="1" applyFill="1" applyBorder="1"/>
    <xf numFmtId="4" fontId="12" fillId="0" borderId="0" xfId="0" applyNumberFormat="1" applyFont="1" applyFill="1" applyBorder="1"/>
    <xf numFmtId="0" fontId="16" fillId="0" borderId="15" xfId="0" applyFont="1" applyBorder="1"/>
    <xf numFmtId="167" fontId="12" fillId="0" borderId="0" xfId="0" applyNumberFormat="1" applyFont="1" applyBorder="1"/>
    <xf numFmtId="9" fontId="12" fillId="0" borderId="15" xfId="2" applyFont="1" applyBorder="1"/>
    <xf numFmtId="0" fontId="12" fillId="0" borderId="15" xfId="0" applyFont="1" applyFill="1" applyBorder="1"/>
    <xf numFmtId="9" fontId="23" fillId="0" borderId="15" xfId="2" applyFont="1" applyFill="1" applyBorder="1"/>
    <xf numFmtId="43" fontId="12" fillId="0" borderId="15" xfId="1" applyNumberFormat="1" applyFont="1" applyBorder="1"/>
    <xf numFmtId="169" fontId="12" fillId="0" borderId="15" xfId="1" applyNumberFormat="1" applyFont="1" applyBorder="1"/>
    <xf numFmtId="168" fontId="12" fillId="0" borderId="15" xfId="1" applyNumberFormat="1" applyFont="1" applyBorder="1" applyAlignment="1">
      <alignment wrapText="1"/>
    </xf>
    <xf numFmtId="43" fontId="12" fillId="0" borderId="15" xfId="1" applyFont="1" applyBorder="1"/>
    <xf numFmtId="1" fontId="12" fillId="0" borderId="15" xfId="0" applyNumberFormat="1" applyFont="1" applyFill="1" applyBorder="1"/>
    <xf numFmtId="168" fontId="12" fillId="0" borderId="15" xfId="0" applyNumberFormat="1" applyFont="1" applyFill="1" applyBorder="1"/>
    <xf numFmtId="167" fontId="12" fillId="0" borderId="17" xfId="0" applyNumberFormat="1" applyFont="1" applyBorder="1"/>
    <xf numFmtId="167" fontId="12" fillId="5" borderId="0" xfId="0" applyNumberFormat="1" applyFont="1" applyFill="1" applyBorder="1"/>
    <xf numFmtId="167" fontId="12" fillId="5" borderId="17" xfId="0" applyNumberFormat="1" applyFont="1" applyFill="1" applyBorder="1"/>
    <xf numFmtId="0" fontId="12" fillId="0" borderId="17" xfId="0" applyFont="1" applyBorder="1"/>
    <xf numFmtId="165" fontId="12" fillId="5" borderId="0" xfId="0" applyNumberFormat="1" applyFont="1" applyFill="1"/>
    <xf numFmtId="167" fontId="12" fillId="9" borderId="0" xfId="0" applyNumberFormat="1" applyFont="1" applyFill="1" applyBorder="1"/>
    <xf numFmtId="167" fontId="12" fillId="9" borderId="17" xfId="0" applyNumberFormat="1" applyFont="1" applyFill="1" applyBorder="1"/>
    <xf numFmtId="167" fontId="12" fillId="0" borderId="0" xfId="0" applyNumberFormat="1" applyFont="1" applyFill="1"/>
    <xf numFmtId="0" fontId="12" fillId="0" borderId="0" xfId="0" applyFont="1" applyFill="1" applyAlignment="1">
      <alignment vertical="center"/>
    </xf>
    <xf numFmtId="165" fontId="12" fillId="0" borderId="0" xfId="2" applyNumberFormat="1" applyFont="1" applyFill="1" applyAlignment="1">
      <alignment vertical="center"/>
    </xf>
    <xf numFmtId="0" fontId="24" fillId="0" borderId="0" xfId="3" applyFont="1" applyAlignment="1" applyProtection="1"/>
    <xf numFmtId="167" fontId="12" fillId="0" borderId="0" xfId="0" applyNumberFormat="1" applyFont="1" applyProtection="1"/>
    <xf numFmtId="0" fontId="25" fillId="0" borderId="0" xfId="0" applyFont="1"/>
    <xf numFmtId="168" fontId="12" fillId="0" borderId="0" xfId="0" applyNumberFormat="1" applyFont="1" applyBorder="1"/>
    <xf numFmtId="0" fontId="14" fillId="8" borderId="13" xfId="0" applyFont="1" applyFill="1" applyBorder="1" applyAlignment="1">
      <alignment horizontal="center" vertical="center"/>
    </xf>
    <xf numFmtId="0" fontId="14" fillId="8" borderId="0" xfId="0" applyFont="1" applyFill="1" applyAlignment="1">
      <alignment horizontal="center" vertical="center"/>
    </xf>
    <xf numFmtId="0" fontId="23" fillId="0" borderId="0" xfId="0" applyFont="1" applyFill="1"/>
    <xf numFmtId="43" fontId="12" fillId="0" borderId="0" xfId="0" applyNumberFormat="1" applyFont="1" applyFill="1" applyBorder="1" applyAlignment="1">
      <alignment horizontal="right" vertical="center"/>
    </xf>
    <xf numFmtId="0" fontId="23" fillId="0" borderId="15" xfId="0" applyFont="1" applyBorder="1"/>
    <xf numFmtId="173" fontId="12" fillId="0" borderId="15" xfId="0" applyNumberFormat="1" applyFont="1" applyBorder="1"/>
    <xf numFmtId="166" fontId="12" fillId="0" borderId="0" xfId="0" applyNumberFormat="1" applyFont="1" applyBorder="1"/>
    <xf numFmtId="0" fontId="26" fillId="0" borderId="0" xfId="0" applyFont="1"/>
    <xf numFmtId="174" fontId="0" fillId="0" borderId="0" xfId="0" applyNumberFormat="1"/>
    <xf numFmtId="175" fontId="12" fillId="0" borderId="0" xfId="0" applyNumberFormat="1" applyFont="1"/>
    <xf numFmtId="10" fontId="12" fillId="0" borderId="0" xfId="2" applyNumberFormat="1" applyFont="1"/>
    <xf numFmtId="3" fontId="12" fillId="0" borderId="0" xfId="0" applyNumberFormat="1" applyFont="1" applyBorder="1" applyAlignment="1">
      <alignment horizontal="right" vertical="center"/>
    </xf>
    <xf numFmtId="9" fontId="12" fillId="0" borderId="0" xfId="2" applyFont="1" applyBorder="1" applyAlignment="1">
      <alignment horizontal="right" vertical="center"/>
    </xf>
    <xf numFmtId="3" fontId="18" fillId="0" borderId="15" xfId="0" applyNumberFormat="1" applyFont="1" applyBorder="1" applyAlignment="1">
      <alignment horizontal="right"/>
    </xf>
    <xf numFmtId="0" fontId="12" fillId="0" borderId="14" xfId="0" applyFont="1" applyFill="1" applyBorder="1"/>
    <xf numFmtId="43" fontId="12" fillId="0" borderId="14" xfId="1" applyFont="1" applyBorder="1"/>
    <xf numFmtId="2" fontId="12" fillId="0" borderId="0" xfId="0" applyNumberFormat="1" applyFont="1" applyFill="1" applyBorder="1"/>
    <xf numFmtId="169" fontId="12" fillId="0" borderId="0" xfId="1" applyNumberFormat="1" applyFont="1"/>
    <xf numFmtId="167" fontId="12" fillId="0" borderId="0" xfId="0" applyNumberFormat="1" applyFont="1" applyAlignment="1">
      <alignment wrapText="1"/>
    </xf>
    <xf numFmtId="0" fontId="22" fillId="8" borderId="0" xfId="0" applyFont="1" applyFill="1"/>
    <xf numFmtId="0" fontId="16" fillId="0" borderId="0" xfId="0" applyFont="1" applyFill="1"/>
    <xf numFmtId="9" fontId="23" fillId="0" borderId="14" xfId="2" applyFont="1" applyFill="1" applyBorder="1"/>
    <xf numFmtId="9" fontId="23" fillId="0" borderId="15" xfId="2" applyFont="1" applyBorder="1"/>
    <xf numFmtId="9" fontId="23" fillId="0" borderId="14" xfId="2" applyFont="1" applyBorder="1"/>
    <xf numFmtId="3" fontId="16" fillId="0" borderId="15" xfId="0" applyNumberFormat="1" applyFont="1" applyBorder="1"/>
    <xf numFmtId="0" fontId="18" fillId="0" borderId="0" xfId="0" applyFont="1" applyFill="1"/>
    <xf numFmtId="0" fontId="13" fillId="0" borderId="0" xfId="0" applyFont="1" applyBorder="1" applyAlignment="1">
      <alignment wrapText="1"/>
    </xf>
    <xf numFmtId="0" fontId="13" fillId="0" borderId="0" xfId="0" applyFont="1" applyFill="1"/>
    <xf numFmtId="43" fontId="12" fillId="0" borderId="0" xfId="0" applyNumberFormat="1" applyFont="1" applyFill="1" applyBorder="1"/>
    <xf numFmtId="165" fontId="12" fillId="0" borderId="15" xfId="2" applyNumberFormat="1" applyFont="1" applyFill="1" applyBorder="1"/>
    <xf numFmtId="0" fontId="16" fillId="0" borderId="0" xfId="0" applyFont="1" applyAlignment="1">
      <alignment wrapText="1"/>
    </xf>
    <xf numFmtId="43" fontId="16" fillId="0" borderId="14" xfId="1" applyFont="1" applyBorder="1"/>
    <xf numFmtId="168" fontId="16" fillId="0" borderId="14" xfId="1" applyNumberFormat="1" applyFont="1" applyBorder="1"/>
    <xf numFmtId="4" fontId="12" fillId="0" borderId="0" xfId="0" applyNumberFormat="1" applyFont="1" applyBorder="1" applyAlignment="1">
      <alignment horizontal="right" vertical="center"/>
    </xf>
    <xf numFmtId="3" fontId="12" fillId="0" borderId="16" xfId="0" applyNumberFormat="1" applyFont="1" applyBorder="1" applyAlignment="1">
      <alignment horizontal="right" vertical="center"/>
    </xf>
    <xf numFmtId="168" fontId="12" fillId="0" borderId="0" xfId="1" applyNumberFormat="1" applyFont="1" applyFill="1" applyBorder="1"/>
    <xf numFmtId="0" fontId="21" fillId="8" borderId="0" xfId="0" applyFont="1" applyFill="1"/>
    <xf numFmtId="169" fontId="12" fillId="5" borderId="0" xfId="1" applyNumberFormat="1" applyFont="1" applyFill="1"/>
    <xf numFmtId="3" fontId="12" fillId="0" borderId="0" xfId="0" applyNumberFormat="1" applyFont="1" applyFill="1" applyBorder="1" applyAlignment="1">
      <alignment horizontal="right" vertical="center"/>
    </xf>
    <xf numFmtId="43" fontId="12" fillId="0" borderId="14" xfId="1" applyFont="1" applyBorder="1" applyAlignment="1">
      <alignment horizontal="right" vertical="center"/>
    </xf>
    <xf numFmtId="43" fontId="12" fillId="0" borderId="0" xfId="1" applyFont="1" applyBorder="1" applyAlignment="1">
      <alignment horizontal="right" vertical="center"/>
    </xf>
    <xf numFmtId="0" fontId="14" fillId="8" borderId="0" xfId="0" applyFont="1" applyFill="1" applyAlignment="1">
      <alignment horizontal="center" vertical="center"/>
    </xf>
    <xf numFmtId="0" fontId="10" fillId="0" borderId="0" xfId="0" applyFont="1" applyFill="1" applyBorder="1" applyAlignment="1">
      <alignment vertical="top"/>
    </xf>
    <xf numFmtId="167" fontId="10" fillId="0" borderId="15" xfId="0" applyNumberFormat="1" applyFont="1" applyFill="1" applyBorder="1" applyAlignment="1">
      <alignment horizontal="right" vertical="top"/>
    </xf>
    <xf numFmtId="0" fontId="12" fillId="0" borderId="15" xfId="0" applyFont="1" applyFill="1" applyBorder="1" applyAlignment="1">
      <alignment horizontal="right"/>
    </xf>
    <xf numFmtId="10" fontId="23" fillId="0" borderId="15" xfId="2" applyNumberFormat="1" applyFont="1" applyBorder="1"/>
    <xf numFmtId="176" fontId="12" fillId="0" borderId="0" xfId="0" applyNumberFormat="1" applyFont="1"/>
    <xf numFmtId="10" fontId="18" fillId="0" borderId="15" xfId="0" applyNumberFormat="1" applyFont="1" applyBorder="1"/>
    <xf numFmtId="0" fontId="23" fillId="0" borderId="0" xfId="0" applyFont="1" applyFill="1" applyBorder="1" applyAlignment="1">
      <alignment horizontal="right"/>
    </xf>
    <xf numFmtId="169" fontId="12" fillId="0" borderId="0" xfId="0" applyNumberFormat="1" applyFont="1"/>
    <xf numFmtId="165" fontId="12" fillId="0" borderId="0" xfId="2" applyNumberFormat="1" applyFont="1" applyAlignment="1">
      <alignment horizontal="right"/>
    </xf>
    <xf numFmtId="0" fontId="14" fillId="8" borderId="0" xfId="0" applyFont="1" applyFill="1" applyAlignment="1">
      <alignment horizontal="center" vertical="center"/>
    </xf>
    <xf numFmtId="0" fontId="28" fillId="0" borderId="0" xfId="0" applyFont="1"/>
    <xf numFmtId="43" fontId="12" fillId="0" borderId="0" xfId="1" applyFont="1" applyFill="1"/>
    <xf numFmtId="169" fontId="12" fillId="0" borderId="0" xfId="1" applyNumberFormat="1" applyFont="1" applyFill="1"/>
    <xf numFmtId="43" fontId="16" fillId="0" borderId="15" xfId="1" applyFont="1" applyBorder="1"/>
    <xf numFmtId="0" fontId="29" fillId="11" borderId="24" xfId="0" applyFont="1" applyFill="1" applyBorder="1"/>
    <xf numFmtId="0" fontId="29" fillId="11" borderId="22" xfId="0" applyFont="1" applyFill="1" applyBorder="1"/>
    <xf numFmtId="0" fontId="29" fillId="11" borderId="22" xfId="0" applyFont="1" applyFill="1" applyBorder="1" applyAlignment="1">
      <alignment horizontal="center" wrapText="1"/>
    </xf>
    <xf numFmtId="0" fontId="29" fillId="11" borderId="26" xfId="0" applyFont="1" applyFill="1" applyBorder="1"/>
    <xf numFmtId="0" fontId="30" fillId="12" borderId="24" xfId="0" applyFont="1" applyFill="1" applyBorder="1"/>
    <xf numFmtId="0" fontId="30" fillId="12" borderId="0" xfId="0" applyFont="1" applyFill="1" applyBorder="1" applyAlignment="1">
      <alignment horizontal="center"/>
    </xf>
    <xf numFmtId="0" fontId="30" fillId="12" borderId="0" xfId="0" applyFont="1" applyFill="1" applyBorder="1"/>
    <xf numFmtId="0" fontId="30" fillId="12" borderId="25" xfId="0" applyFont="1" applyFill="1" applyBorder="1"/>
    <xf numFmtId="0" fontId="29" fillId="12" borderId="24" xfId="0" applyFont="1" applyFill="1" applyBorder="1"/>
    <xf numFmtId="167" fontId="30" fillId="12" borderId="0" xfId="0" applyNumberFormat="1" applyFont="1" applyFill="1" applyBorder="1" applyAlignment="1">
      <alignment horizontal="center"/>
    </xf>
    <xf numFmtId="167" fontId="30" fillId="12" borderId="25" xfId="0" applyNumberFormat="1" applyFont="1" applyFill="1" applyBorder="1" applyAlignment="1">
      <alignment horizontal="center"/>
    </xf>
    <xf numFmtId="0" fontId="29" fillId="12" borderId="26" xfId="0" applyFont="1" applyFill="1" applyBorder="1"/>
    <xf numFmtId="0" fontId="30" fillId="12" borderId="27" xfId="0" applyFont="1" applyFill="1" applyBorder="1"/>
    <xf numFmtId="0" fontId="30" fillId="12" borderId="28" xfId="0" applyFont="1" applyFill="1" applyBorder="1"/>
    <xf numFmtId="0" fontId="29" fillId="11" borderId="21" xfId="0" applyFont="1" applyFill="1" applyBorder="1"/>
    <xf numFmtId="0" fontId="29" fillId="11" borderId="23" xfId="0" applyFont="1" applyFill="1" applyBorder="1" applyAlignment="1">
      <alignment horizontal="center" wrapText="1"/>
    </xf>
    <xf numFmtId="167" fontId="30" fillId="12" borderId="0" xfId="0" applyNumberFormat="1" applyFont="1" applyFill="1" applyBorder="1" applyAlignment="1">
      <alignment horizontal="center" wrapText="1"/>
    </xf>
    <xf numFmtId="2" fontId="30" fillId="12" borderId="0" xfId="0" applyNumberFormat="1" applyFont="1" applyFill="1" applyBorder="1" applyAlignment="1">
      <alignment horizontal="center" wrapText="1"/>
    </xf>
    <xf numFmtId="167" fontId="18" fillId="12" borderId="0" xfId="0" applyNumberFormat="1" applyFont="1" applyFill="1" applyBorder="1" applyAlignment="1">
      <alignment horizontal="center" wrapText="1"/>
    </xf>
    <xf numFmtId="1" fontId="30" fillId="12" borderId="0" xfId="0" applyNumberFormat="1" applyFont="1" applyFill="1" applyBorder="1" applyAlignment="1">
      <alignment horizontal="center" wrapText="1"/>
    </xf>
    <xf numFmtId="167" fontId="30" fillId="12" borderId="25" xfId="0" applyNumberFormat="1" applyFont="1" applyFill="1" applyBorder="1" applyAlignment="1">
      <alignment horizontal="center" wrapText="1"/>
    </xf>
    <xf numFmtId="167" fontId="18" fillId="12" borderId="0" xfId="0" applyNumberFormat="1" applyFont="1" applyFill="1" applyBorder="1" applyAlignment="1">
      <alignment horizontal="center"/>
    </xf>
    <xf numFmtId="167" fontId="18" fillId="12" borderId="0" xfId="4" applyNumberFormat="1" applyFont="1" applyFill="1" applyBorder="1" applyAlignment="1">
      <alignment horizontal="center"/>
    </xf>
    <xf numFmtId="167" fontId="18" fillId="12" borderId="0" xfId="5" applyNumberFormat="1" applyFont="1" applyFill="1" applyBorder="1" applyAlignment="1">
      <alignment horizontal="center"/>
    </xf>
    <xf numFmtId="1" fontId="30" fillId="12" borderId="0" xfId="2" applyNumberFormat="1" applyFont="1" applyFill="1" applyBorder="1" applyAlignment="1">
      <alignment horizontal="center" wrapText="1"/>
    </xf>
    <xf numFmtId="0" fontId="30" fillId="12" borderId="26" xfId="0" applyFont="1" applyFill="1" applyBorder="1"/>
    <xf numFmtId="167" fontId="18" fillId="12" borderId="27" xfId="5" applyNumberFormat="1" applyFont="1" applyFill="1" applyBorder="1"/>
    <xf numFmtId="0" fontId="30" fillId="12" borderId="0" xfId="0" applyFont="1" applyFill="1" applyBorder="1" applyAlignment="1">
      <alignment wrapText="1"/>
    </xf>
    <xf numFmtId="0" fontId="30" fillId="12" borderId="25" xfId="0" applyFont="1" applyFill="1" applyBorder="1" applyAlignment="1">
      <alignment wrapText="1"/>
    </xf>
    <xf numFmtId="0" fontId="30" fillId="12" borderId="24" xfId="0" applyFont="1" applyFill="1" applyBorder="1" applyAlignment="1"/>
    <xf numFmtId="167" fontId="30" fillId="12" borderId="0" xfId="0" applyNumberFormat="1" applyFont="1" applyFill="1" applyBorder="1"/>
    <xf numFmtId="0" fontId="30" fillId="12" borderId="29" xfId="0" applyFont="1" applyFill="1" applyBorder="1" applyAlignment="1"/>
    <xf numFmtId="0" fontId="30" fillId="12" borderId="30" xfId="0" applyFont="1" applyFill="1" applyBorder="1" applyAlignment="1"/>
    <xf numFmtId="0" fontId="30" fillId="12" borderId="30" xfId="0" applyFont="1" applyFill="1" applyBorder="1" applyAlignment="1">
      <alignment wrapText="1"/>
    </xf>
    <xf numFmtId="0" fontId="30" fillId="12" borderId="31" xfId="0" applyFont="1" applyFill="1" applyBorder="1" applyAlignment="1">
      <alignment wrapText="1"/>
    </xf>
    <xf numFmtId="0" fontId="30" fillId="13" borderId="0" xfId="0" applyFont="1" applyFill="1" applyBorder="1"/>
    <xf numFmtId="0" fontId="30" fillId="12" borderId="24" xfId="0" applyFont="1" applyFill="1" applyBorder="1" applyAlignment="1">
      <alignment horizontal="left"/>
    </xf>
    <xf numFmtId="10" fontId="12" fillId="0" borderId="15" xfId="0" applyNumberFormat="1" applyFont="1" applyBorder="1"/>
    <xf numFmtId="10" fontId="12" fillId="0" borderId="14" xfId="2" applyNumberFormat="1" applyFont="1" applyBorder="1"/>
    <xf numFmtId="0" fontId="14" fillId="4" borderId="0" xfId="0" applyFont="1" applyFill="1"/>
    <xf numFmtId="0" fontId="12" fillId="4" borderId="0" xfId="0" applyFont="1" applyFill="1"/>
    <xf numFmtId="0" fontId="15" fillId="4" borderId="0" xfId="0" applyFont="1" applyFill="1"/>
    <xf numFmtId="0" fontId="15" fillId="0" borderId="0" xfId="0" applyFont="1"/>
    <xf numFmtId="0" fontId="31" fillId="4" borderId="0" xfId="0" applyFont="1" applyFill="1"/>
    <xf numFmtId="2" fontId="12" fillId="0" borderId="0" xfId="0" applyNumberFormat="1" applyFont="1" applyAlignment="1">
      <alignment vertical="center"/>
    </xf>
    <xf numFmtId="175" fontId="12" fillId="0" borderId="0" xfId="0" applyNumberFormat="1" applyFont="1" applyFill="1" applyBorder="1" applyAlignment="1">
      <alignment horizontal="right" vertical="center"/>
    </xf>
    <xf numFmtId="0" fontId="12" fillId="0" borderId="0" xfId="0" applyFont="1" applyFill="1" applyBorder="1" applyAlignment="1">
      <alignment horizontal="left" vertical="top"/>
    </xf>
    <xf numFmtId="0" fontId="14" fillId="8" borderId="0" xfId="0" applyFont="1" applyFill="1" applyBorder="1" applyAlignment="1">
      <alignment horizontal="left" vertical="top"/>
    </xf>
    <xf numFmtId="43" fontId="18" fillId="0" borderId="0" xfId="0" applyNumberFormat="1" applyFont="1" applyAlignment="1">
      <alignment horizontal="left"/>
    </xf>
    <xf numFmtId="43" fontId="12" fillId="0" borderId="0" xfId="0" applyNumberFormat="1" applyFont="1" applyBorder="1"/>
    <xf numFmtId="0" fontId="10" fillId="0" borderId="15" xfId="0" applyFont="1" applyFill="1" applyBorder="1" applyAlignment="1">
      <alignment horizontal="left" vertical="top"/>
    </xf>
    <xf numFmtId="0" fontId="12" fillId="0" borderId="15" xfId="0" applyFont="1" applyFill="1" applyBorder="1" applyAlignment="1">
      <alignment horizontal="left"/>
    </xf>
    <xf numFmtId="0" fontId="12" fillId="0" borderId="15" xfId="0" applyFont="1" applyBorder="1" applyAlignment="1">
      <alignment horizontal="left"/>
    </xf>
    <xf numFmtId="169" fontId="12" fillId="0" borderId="15" xfId="1" applyNumberFormat="1" applyFont="1" applyFill="1" applyBorder="1"/>
    <xf numFmtId="0" fontId="10" fillId="0" borderId="16" xfId="0" applyFont="1" applyFill="1" applyBorder="1" applyAlignment="1">
      <alignment horizontal="left" vertical="top"/>
    </xf>
    <xf numFmtId="167" fontId="10" fillId="0" borderId="16" xfId="0" applyNumberFormat="1" applyFont="1" applyFill="1" applyBorder="1" applyAlignment="1">
      <alignment horizontal="right" vertical="top"/>
    </xf>
    <xf numFmtId="167" fontId="12" fillId="0" borderId="0" xfId="0" applyNumberFormat="1" applyFont="1" applyFill="1" applyBorder="1"/>
    <xf numFmtId="0" fontId="23" fillId="0" borderId="0" xfId="0" applyFont="1" applyBorder="1"/>
    <xf numFmtId="165" fontId="10" fillId="0" borderId="16" xfId="2" applyNumberFormat="1" applyFont="1" applyFill="1" applyBorder="1" applyAlignment="1">
      <alignment horizontal="right" vertical="top"/>
    </xf>
    <xf numFmtId="10" fontId="10" fillId="0" borderId="16" xfId="2" applyNumberFormat="1" applyFont="1" applyFill="1" applyBorder="1" applyAlignment="1">
      <alignment horizontal="right" vertical="top"/>
    </xf>
    <xf numFmtId="0" fontId="12" fillId="0" borderId="16" xfId="0" applyFont="1" applyBorder="1" applyAlignment="1">
      <alignment horizontal="left"/>
    </xf>
    <xf numFmtId="168" fontId="12" fillId="0" borderId="15" xfId="1" applyNumberFormat="1" applyFont="1" applyFill="1" applyBorder="1"/>
    <xf numFmtId="1" fontId="10" fillId="0" borderId="16" xfId="0" applyNumberFormat="1" applyFont="1" applyFill="1" applyBorder="1" applyAlignment="1">
      <alignment horizontal="right" vertical="top"/>
    </xf>
    <xf numFmtId="1" fontId="10" fillId="0" borderId="16" xfId="1" applyNumberFormat="1" applyFont="1" applyFill="1" applyBorder="1" applyAlignment="1">
      <alignment horizontal="right" vertical="top"/>
    </xf>
    <xf numFmtId="169" fontId="12" fillId="0" borderId="15" xfId="1" applyNumberFormat="1" applyFont="1" applyFill="1" applyBorder="1" applyAlignment="1">
      <alignment horizontal="right"/>
    </xf>
    <xf numFmtId="169" fontId="12" fillId="0" borderId="16" xfId="1" applyNumberFormat="1" applyFont="1" applyBorder="1"/>
    <xf numFmtId="168" fontId="10" fillId="0" borderId="16" xfId="1" applyNumberFormat="1" applyFont="1" applyFill="1" applyBorder="1" applyAlignment="1">
      <alignment horizontal="right" vertical="top"/>
    </xf>
    <xf numFmtId="0" fontId="16" fillId="0" borderId="0" xfId="0" applyFont="1" applyFill="1" applyBorder="1" applyAlignment="1">
      <alignment vertical="top"/>
    </xf>
    <xf numFmtId="9" fontId="10" fillId="0" borderId="16" xfId="2" applyFont="1" applyFill="1" applyBorder="1" applyAlignment="1">
      <alignment horizontal="right" vertical="top"/>
    </xf>
    <xf numFmtId="0" fontId="14" fillId="8" borderId="0" xfId="0" applyFont="1" applyFill="1" applyAlignment="1">
      <alignment horizontal="center" vertical="center"/>
    </xf>
    <xf numFmtId="0" fontId="14" fillId="8" borderId="13" xfId="0" applyFont="1" applyFill="1" applyBorder="1" applyAlignment="1">
      <alignment horizontal="center" vertical="center"/>
    </xf>
    <xf numFmtId="0" fontId="14" fillId="8" borderId="0" xfId="0" applyFont="1" applyFill="1" applyAlignment="1">
      <alignment horizontal="center" vertical="center"/>
    </xf>
    <xf numFmtId="0" fontId="19" fillId="0" borderId="0" xfId="0" applyFont="1" applyFill="1"/>
    <xf numFmtId="1" fontId="18" fillId="0" borderId="0" xfId="0" applyNumberFormat="1" applyFont="1" applyFill="1"/>
    <xf numFmtId="167" fontId="18" fillId="0" borderId="0" xfId="0" applyNumberFormat="1" applyFont="1" applyFill="1"/>
    <xf numFmtId="168" fontId="18" fillId="0" borderId="0" xfId="1" applyNumberFormat="1" applyFont="1" applyFill="1"/>
    <xf numFmtId="168" fontId="18" fillId="0" borderId="0" xfId="0" applyNumberFormat="1" applyFont="1" applyFill="1"/>
    <xf numFmtId="3" fontId="12" fillId="0" borderId="15" xfId="0" applyNumberFormat="1" applyFont="1" applyFill="1" applyBorder="1" applyAlignment="1">
      <alignment horizontal="right" vertical="center"/>
    </xf>
    <xf numFmtId="0" fontId="14" fillId="8" borderId="13" xfId="0" applyFont="1" applyFill="1" applyBorder="1" applyAlignment="1">
      <alignment horizontal="center" vertical="center"/>
    </xf>
    <xf numFmtId="9" fontId="23" fillId="0" borderId="0" xfId="2" applyFont="1" applyFill="1"/>
    <xf numFmtId="0" fontId="14" fillId="8" borderId="13" xfId="0" applyFont="1" applyFill="1" applyBorder="1" applyAlignment="1">
      <alignment horizontal="center" vertical="center"/>
    </xf>
    <xf numFmtId="0" fontId="14" fillId="0" borderId="0" xfId="0" applyFont="1" applyFill="1" applyBorder="1" applyAlignment="1">
      <alignment horizontal="center" vertical="center"/>
    </xf>
    <xf numFmtId="0" fontId="14" fillId="8" borderId="0" xfId="0" applyFont="1" applyFill="1" applyAlignment="1">
      <alignment horizontal="center" vertical="center"/>
    </xf>
    <xf numFmtId="0" fontId="14" fillId="0" borderId="0" xfId="0" applyFont="1" applyFill="1" applyBorder="1" applyAlignment="1">
      <alignment horizontal="center" vertical="center"/>
    </xf>
    <xf numFmtId="0" fontId="14" fillId="8" borderId="0" xfId="0" applyFont="1" applyFill="1" applyAlignment="1">
      <alignment horizontal="center" vertical="center"/>
    </xf>
    <xf numFmtId="43" fontId="12" fillId="10" borderId="15" xfId="1" applyNumberFormat="1" applyFont="1" applyFill="1" applyBorder="1"/>
    <xf numFmtId="0" fontId="18" fillId="0" borderId="15" xfId="0" applyFont="1" applyBorder="1"/>
    <xf numFmtId="0" fontId="0" fillId="0" borderId="0" xfId="0" applyFill="1"/>
    <xf numFmtId="167" fontId="23" fillId="0" borderId="0" xfId="0" applyNumberFormat="1" applyFont="1"/>
    <xf numFmtId="174" fontId="12" fillId="0" borderId="0" xfId="0" applyNumberFormat="1" applyFont="1"/>
    <xf numFmtId="174" fontId="12" fillId="0" borderId="15" xfId="0" applyNumberFormat="1" applyFont="1" applyBorder="1"/>
    <xf numFmtId="169" fontId="12" fillId="0" borderId="15" xfId="0" applyNumberFormat="1" applyFont="1" applyBorder="1"/>
    <xf numFmtId="0" fontId="23" fillId="0" borderId="15" xfId="0" applyFont="1" applyFill="1" applyBorder="1"/>
    <xf numFmtId="0" fontId="23" fillId="0" borderId="16" xfId="0" applyFont="1" applyBorder="1" applyAlignment="1">
      <alignment horizontal="left"/>
    </xf>
    <xf numFmtId="2" fontId="10" fillId="0" borderId="16" xfId="0" applyNumberFormat="1" applyFont="1" applyFill="1" applyBorder="1" applyAlignment="1">
      <alignment horizontal="right" vertical="top"/>
    </xf>
    <xf numFmtId="168" fontId="10" fillId="6" borderId="15" xfId="1" applyNumberFormat="1" applyFont="1" applyFill="1" applyBorder="1" applyAlignment="1">
      <alignment horizontal="right" vertical="top"/>
    </xf>
    <xf numFmtId="168" fontId="10" fillId="0" borderId="15" xfId="1" applyNumberFormat="1" applyFont="1" applyFill="1" applyBorder="1" applyAlignment="1">
      <alignment horizontal="right" vertical="top"/>
    </xf>
    <xf numFmtId="168" fontId="10" fillId="0" borderId="16" xfId="2" applyNumberFormat="1" applyFont="1" applyFill="1" applyBorder="1" applyAlignment="1">
      <alignment horizontal="right" vertical="top"/>
    </xf>
    <xf numFmtId="168" fontId="10" fillId="6" borderId="16" xfId="2" applyNumberFormat="1" applyFont="1" applyFill="1" applyBorder="1" applyAlignment="1">
      <alignment horizontal="right" vertical="top"/>
    </xf>
    <xf numFmtId="0" fontId="23" fillId="0" borderId="7" xfId="0" applyFont="1" applyBorder="1"/>
    <xf numFmtId="2" fontId="23" fillId="0" borderId="0" xfId="0" applyNumberFormat="1" applyFont="1"/>
    <xf numFmtId="2" fontId="23" fillId="0" borderId="7" xfId="0" applyNumberFormat="1" applyFont="1" applyBorder="1"/>
    <xf numFmtId="0" fontId="23" fillId="0" borderId="7" xfId="0" applyFont="1" applyFill="1" applyBorder="1"/>
    <xf numFmtId="0" fontId="16" fillId="0" borderId="7" xfId="0" applyFont="1" applyFill="1" applyBorder="1"/>
    <xf numFmtId="2" fontId="12" fillId="0" borderId="7" xfId="0" applyNumberFormat="1" applyFont="1" applyFill="1" applyBorder="1"/>
    <xf numFmtId="0" fontId="12" fillId="0" borderId="7" xfId="0" applyFont="1" applyFill="1" applyBorder="1"/>
    <xf numFmtId="168" fontId="16" fillId="0" borderId="15" xfId="1" applyNumberFormat="1" applyFont="1" applyBorder="1"/>
    <xf numFmtId="43" fontId="12" fillId="0" borderId="15" xfId="1" applyFont="1" applyBorder="1" applyAlignment="1">
      <alignment horizontal="right"/>
    </xf>
    <xf numFmtId="165" fontId="12" fillId="0" borderId="15" xfId="2" applyNumberFormat="1" applyFont="1" applyBorder="1" applyAlignment="1">
      <alignment horizontal="right"/>
    </xf>
    <xf numFmtId="9" fontId="16" fillId="0" borderId="15" xfId="2" applyFont="1" applyBorder="1"/>
    <xf numFmtId="0" fontId="14" fillId="2" borderId="3" xfId="0" applyFont="1" applyFill="1" applyBorder="1" applyAlignment="1">
      <alignment horizontal="center" vertical="center"/>
    </xf>
    <xf numFmtId="0" fontId="14" fillId="8" borderId="0" xfId="0" applyFont="1" applyFill="1" applyAlignment="1">
      <alignment horizontal="center" vertical="center"/>
    </xf>
    <xf numFmtId="3" fontId="18" fillId="0" borderId="15" xfId="0" applyNumberFormat="1" applyFont="1" applyBorder="1"/>
    <xf numFmtId="3" fontId="10" fillId="0" borderId="5" xfId="0" applyNumberFormat="1" applyFont="1" applyFill="1" applyBorder="1" applyAlignment="1">
      <alignment horizontal="right" vertical="top"/>
    </xf>
    <xf numFmtId="0" fontId="10" fillId="3" borderId="0" xfId="0" applyFont="1" applyFill="1" applyBorder="1" applyAlignment="1">
      <alignment vertical="top"/>
    </xf>
    <xf numFmtId="3" fontId="10" fillId="3" borderId="0" xfId="0" applyNumberFormat="1" applyFont="1" applyFill="1" applyBorder="1" applyAlignment="1">
      <alignment horizontal="right" vertical="top"/>
    </xf>
    <xf numFmtId="9" fontId="10" fillId="3" borderId="0" xfId="2" applyFont="1" applyFill="1" applyBorder="1" applyAlignment="1">
      <alignment horizontal="right" vertical="top"/>
    </xf>
    <xf numFmtId="0" fontId="14" fillId="8" borderId="0" xfId="0" applyFont="1" applyFill="1" applyAlignment="1">
      <alignment horizontal="center" vertical="center"/>
    </xf>
    <xf numFmtId="0" fontId="14" fillId="8" borderId="0" xfId="0" applyFont="1" applyFill="1" applyAlignment="1">
      <alignment horizontal="center" vertical="center"/>
    </xf>
    <xf numFmtId="2" fontId="12" fillId="0" borderId="15" xfId="0" applyNumberFormat="1" applyFont="1" applyBorder="1" applyAlignment="1">
      <alignment horizontal="right" vertical="center"/>
    </xf>
    <xf numFmtId="4" fontId="12" fillId="0" borderId="14" xfId="0" applyNumberFormat="1" applyFont="1" applyBorder="1" applyAlignment="1">
      <alignment horizontal="right" vertical="center"/>
    </xf>
    <xf numFmtId="9" fontId="23" fillId="0" borderId="16" xfId="2" applyFont="1" applyFill="1" applyBorder="1" applyAlignment="1">
      <alignment horizontal="right" vertical="top"/>
    </xf>
    <xf numFmtId="0" fontId="16" fillId="0" borderId="16" xfId="0" applyFont="1" applyBorder="1" applyAlignment="1">
      <alignment horizontal="left"/>
    </xf>
    <xf numFmtId="167" fontId="16" fillId="0" borderId="16" xfId="0" applyNumberFormat="1" applyFont="1" applyFill="1" applyBorder="1" applyAlignment="1">
      <alignment horizontal="right" vertical="top"/>
    </xf>
    <xf numFmtId="168" fontId="16" fillId="0" borderId="16" xfId="1" applyNumberFormat="1" applyFont="1" applyFill="1" applyBorder="1" applyAlignment="1">
      <alignment horizontal="right" vertical="top"/>
    </xf>
    <xf numFmtId="167" fontId="23" fillId="0" borderId="16" xfId="0" applyNumberFormat="1" applyFont="1" applyFill="1" applyBorder="1" applyAlignment="1">
      <alignment horizontal="right" vertical="top"/>
    </xf>
    <xf numFmtId="168" fontId="12" fillId="0" borderId="37" xfId="1" applyNumberFormat="1" applyFont="1" applyBorder="1"/>
    <xf numFmtId="165" fontId="12" fillId="0" borderId="37" xfId="2" applyNumberFormat="1" applyFont="1" applyBorder="1"/>
    <xf numFmtId="169" fontId="12" fillId="0" borderId="37" xfId="0" applyNumberFormat="1" applyFont="1" applyBorder="1"/>
    <xf numFmtId="1" fontId="12" fillId="0" borderId="37" xfId="0" applyNumberFormat="1" applyFont="1" applyBorder="1" applyAlignment="1">
      <alignment wrapText="1"/>
    </xf>
    <xf numFmtId="0" fontId="12" fillId="0" borderId="37" xfId="0" applyFont="1" applyBorder="1"/>
    <xf numFmtId="0" fontId="23" fillId="0" borderId="37" xfId="0" applyFont="1" applyBorder="1"/>
    <xf numFmtId="2" fontId="23" fillId="0" borderId="37" xfId="0" applyNumberFormat="1" applyFont="1" applyBorder="1"/>
    <xf numFmtId="167" fontId="23" fillId="0" borderId="15" xfId="0" applyNumberFormat="1" applyFont="1" applyFill="1" applyBorder="1" applyAlignment="1">
      <alignment horizontal="center" vertical="center"/>
    </xf>
    <xf numFmtId="178" fontId="0" fillId="0" borderId="0" xfId="0" applyNumberFormat="1" applyFont="1" applyFill="1" applyBorder="1"/>
    <xf numFmtId="178" fontId="32" fillId="0" borderId="0" xfId="0" applyNumberFormat="1" applyFont="1" applyFill="1" applyBorder="1"/>
    <xf numFmtId="178" fontId="13" fillId="0" borderId="0" xfId="0" applyNumberFormat="1" applyFont="1" applyFill="1"/>
    <xf numFmtId="178" fontId="12" fillId="0" borderId="0" xfId="0" applyNumberFormat="1" applyFont="1" applyFill="1"/>
    <xf numFmtId="178" fontId="12" fillId="0" borderId="0" xfId="0" applyNumberFormat="1" applyFont="1" applyFill="1" applyBorder="1"/>
    <xf numFmtId="178" fontId="13" fillId="0" borderId="0" xfId="0" applyNumberFormat="1" applyFont="1" applyFill="1" applyBorder="1"/>
    <xf numFmtId="3" fontId="12" fillId="0" borderId="0" xfId="0" applyNumberFormat="1" applyFont="1" applyFill="1"/>
    <xf numFmtId="178" fontId="12" fillId="0" borderId="0" xfId="0" applyNumberFormat="1" applyFont="1" applyFill="1" applyAlignment="1">
      <alignment horizontal="left" indent="3"/>
    </xf>
    <xf numFmtId="165" fontId="23" fillId="0" borderId="15" xfId="2" applyNumberFormat="1" applyFont="1" applyBorder="1"/>
    <xf numFmtId="0" fontId="16" fillId="0" borderId="15" xfId="0" applyFont="1" applyFill="1" applyBorder="1"/>
    <xf numFmtId="10" fontId="12" fillId="0" borderId="0" xfId="2" applyNumberFormat="1" applyFont="1" applyFill="1"/>
    <xf numFmtId="167" fontId="10" fillId="3" borderId="0" xfId="0" applyNumberFormat="1" applyFont="1" applyFill="1" applyBorder="1" applyAlignment="1">
      <alignment vertical="top"/>
    </xf>
    <xf numFmtId="167" fontId="6" fillId="0" borderId="0" xfId="0" applyNumberFormat="1" applyFont="1"/>
    <xf numFmtId="0" fontId="30" fillId="12" borderId="0" xfId="0" applyFont="1" applyFill="1" applyBorder="1" applyAlignment="1">
      <alignment horizontal="left" wrapText="1"/>
    </xf>
    <xf numFmtId="0" fontId="34" fillId="12" borderId="0" xfId="0" applyFont="1" applyFill="1" applyAlignment="1">
      <alignment horizontal="right"/>
    </xf>
    <xf numFmtId="0" fontId="18" fillId="12" borderId="0" xfId="0" applyFont="1" applyFill="1"/>
    <xf numFmtId="0" fontId="18" fillId="0" borderId="0" xfId="0" applyFont="1" applyFill="1" applyAlignment="1">
      <alignment vertical="center"/>
    </xf>
    <xf numFmtId="0" fontId="18" fillId="0" borderId="0" xfId="0" applyFont="1" applyFill="1" applyBorder="1"/>
    <xf numFmtId="2" fontId="18" fillId="0" borderId="0" xfId="0" applyNumberFormat="1" applyFont="1" applyAlignment="1">
      <alignment horizontal="right"/>
    </xf>
    <xf numFmtId="1" fontId="18" fillId="0" borderId="39" xfId="0" applyNumberFormat="1" applyFont="1" applyFill="1" applyBorder="1"/>
    <xf numFmtId="1" fontId="18" fillId="0" borderId="40" xfId="0" applyNumberFormat="1" applyFont="1" applyFill="1" applyBorder="1"/>
    <xf numFmtId="1" fontId="18" fillId="0" borderId="40" xfId="0" applyNumberFormat="1" applyFont="1" applyFill="1" applyBorder="1" applyAlignment="1">
      <alignment horizontal="right"/>
    </xf>
    <xf numFmtId="1" fontId="18" fillId="0" borderId="0" xfId="0" applyNumberFormat="1" applyFont="1" applyFill="1" applyAlignment="1">
      <alignment horizontal="left"/>
    </xf>
    <xf numFmtId="167" fontId="18" fillId="0" borderId="0" xfId="6" applyNumberFormat="1" applyFont="1" applyAlignment="1"/>
    <xf numFmtId="1" fontId="18" fillId="0" borderId="0" xfId="0" applyNumberFormat="1" applyFont="1" applyFill="1" applyBorder="1" applyAlignment="1">
      <alignment horizontal="left"/>
    </xf>
    <xf numFmtId="1" fontId="18" fillId="0" borderId="40" xfId="0" applyNumberFormat="1" applyFont="1" applyFill="1" applyBorder="1" applyAlignment="1">
      <alignment horizontal="left"/>
    </xf>
    <xf numFmtId="167" fontId="18" fillId="0" borderId="40" xfId="6" applyNumberFormat="1" applyFont="1" applyBorder="1" applyAlignment="1"/>
    <xf numFmtId="2" fontId="18" fillId="0" borderId="0" xfId="0" applyNumberFormat="1" applyFont="1" applyAlignment="1">
      <alignment horizontal="center"/>
    </xf>
    <xf numFmtId="0" fontId="19" fillId="0" borderId="0" xfId="0" applyFont="1" applyFill="1" applyAlignment="1">
      <alignment vertical="center"/>
    </xf>
    <xf numFmtId="0" fontId="19" fillId="0" borderId="0" xfId="0" applyFont="1" applyFill="1" applyBorder="1" applyAlignment="1">
      <alignment horizontal="left" vertical="center"/>
    </xf>
    <xf numFmtId="0" fontId="19" fillId="0" borderId="0" xfId="0" applyFont="1" applyFill="1" applyAlignment="1"/>
    <xf numFmtId="0" fontId="29" fillId="12" borderId="41" xfId="0" applyFont="1" applyFill="1" applyBorder="1" applyAlignment="1">
      <alignment horizontal="left" vertical="center"/>
    </xf>
    <xf numFmtId="0" fontId="30" fillId="12" borderId="41" xfId="0" applyFont="1" applyFill="1" applyBorder="1" applyAlignment="1">
      <alignment wrapText="1"/>
    </xf>
    <xf numFmtId="0" fontId="12" fillId="12" borderId="41" xfId="0" applyFont="1" applyFill="1" applyBorder="1" applyAlignment="1">
      <alignment horizontal="right"/>
    </xf>
    <xf numFmtId="0" fontId="12" fillId="9" borderId="41" xfId="0" applyFont="1" applyFill="1" applyBorder="1"/>
    <xf numFmtId="0" fontId="30" fillId="9" borderId="41" xfId="0" applyFont="1" applyFill="1" applyBorder="1" applyAlignment="1">
      <alignment wrapText="1"/>
    </xf>
    <xf numFmtId="0" fontId="12" fillId="9" borderId="41" xfId="0" applyFont="1" applyFill="1" applyBorder="1" applyAlignment="1">
      <alignment horizontal="right"/>
    </xf>
    <xf numFmtId="0" fontId="29" fillId="12" borderId="0" xfId="0" applyFont="1" applyFill="1" applyBorder="1" applyAlignment="1">
      <alignment horizontal="left" vertical="center"/>
    </xf>
    <xf numFmtId="0" fontId="18" fillId="9" borderId="0" xfId="0" applyFont="1" applyFill="1"/>
    <xf numFmtId="0" fontId="29" fillId="12" borderId="0" xfId="0" applyFont="1" applyFill="1" applyBorder="1" applyAlignment="1">
      <alignment vertical="center"/>
    </xf>
    <xf numFmtId="0" fontId="30" fillId="12" borderId="43" xfId="0" applyFont="1" applyFill="1" applyBorder="1" applyAlignment="1">
      <alignment horizontal="right" wrapText="1"/>
    </xf>
    <xf numFmtId="0" fontId="29" fillId="12" borderId="43" xfId="0" applyFont="1" applyFill="1" applyBorder="1" applyAlignment="1">
      <alignment horizontal="right" vertical="center" wrapText="1"/>
    </xf>
    <xf numFmtId="0" fontId="18" fillId="9" borderId="43" xfId="0" applyFont="1" applyFill="1" applyBorder="1"/>
    <xf numFmtId="0" fontId="30" fillId="12" borderId="0" xfId="0" applyFont="1" applyFill="1" applyBorder="1" applyAlignment="1">
      <alignment horizontal="center" wrapText="1"/>
    </xf>
    <xf numFmtId="0" fontId="29" fillId="12" borderId="0" xfId="0" applyFont="1" applyFill="1" applyBorder="1" applyAlignment="1">
      <alignment horizontal="center" wrapText="1"/>
    </xf>
    <xf numFmtId="0" fontId="29" fillId="12" borderId="0" xfId="0" applyFont="1" applyFill="1" applyBorder="1" applyAlignment="1">
      <alignment wrapText="1"/>
    </xf>
    <xf numFmtId="0" fontId="30" fillId="12" borderId="0" xfId="0" applyFont="1" applyFill="1" applyBorder="1" applyAlignment="1">
      <alignment horizontal="left" wrapText="1" indent="2"/>
    </xf>
    <xf numFmtId="167" fontId="30" fillId="12" borderId="0" xfId="0" applyNumberFormat="1" applyFont="1" applyFill="1" applyBorder="1" applyAlignment="1">
      <alignment wrapText="1"/>
    </xf>
    <xf numFmtId="167" fontId="29" fillId="12" borderId="0" xfId="0" applyNumberFormat="1" applyFont="1" applyFill="1" applyBorder="1" applyAlignment="1">
      <alignment wrapText="1"/>
    </xf>
    <xf numFmtId="0" fontId="30" fillId="12" borderId="0" xfId="0" applyFont="1" applyFill="1" applyBorder="1" applyAlignment="1">
      <alignment horizontal="left" wrapText="1" indent="1"/>
    </xf>
    <xf numFmtId="167" fontId="30" fillId="12" borderId="0" xfId="0" applyNumberFormat="1" applyFont="1" applyFill="1" applyBorder="1" applyAlignment="1">
      <alignment horizontal="right" wrapText="1"/>
    </xf>
    <xf numFmtId="167" fontId="19" fillId="12" borderId="0" xfId="0" applyNumberFormat="1" applyFont="1" applyFill="1" applyBorder="1"/>
    <xf numFmtId="167" fontId="30" fillId="12" borderId="0" xfId="7" applyNumberFormat="1" applyFont="1" applyFill="1" applyBorder="1" applyAlignment="1"/>
    <xf numFmtId="167" fontId="29" fillId="12" borderId="0" xfId="7" applyNumberFormat="1" applyFont="1" applyFill="1" applyBorder="1" applyAlignment="1"/>
    <xf numFmtId="0" fontId="30" fillId="12" borderId="41" xfId="0" applyFont="1" applyFill="1" applyBorder="1" applyAlignment="1">
      <alignment horizontal="left" wrapText="1" indent="1"/>
    </xf>
    <xf numFmtId="167" fontId="30" fillId="12" borderId="41" xfId="7" applyNumberFormat="1" applyFont="1" applyFill="1" applyBorder="1" applyAlignment="1"/>
    <xf numFmtId="0" fontId="30" fillId="12" borderId="0" xfId="0" applyFont="1" applyFill="1" applyBorder="1" applyAlignment="1">
      <alignment horizontal="left" vertical="center" wrapText="1"/>
    </xf>
    <xf numFmtId="0" fontId="30" fillId="12" borderId="0" xfId="0" applyFont="1" applyFill="1" applyBorder="1" applyAlignment="1">
      <alignment vertical="top" wrapText="1"/>
    </xf>
    <xf numFmtId="0" fontId="12" fillId="12" borderId="0" xfId="0" applyFont="1" applyFill="1"/>
    <xf numFmtId="0" fontId="14" fillId="8" borderId="0" xfId="0" applyFont="1" applyFill="1" applyAlignment="1">
      <alignment horizontal="center" vertical="center"/>
    </xf>
    <xf numFmtId="9" fontId="23" fillId="0" borderId="15" xfId="2" applyNumberFormat="1" applyFont="1" applyFill="1" applyBorder="1"/>
    <xf numFmtId="10" fontId="23" fillId="0" borderId="14" xfId="0" applyNumberFormat="1" applyFont="1" applyBorder="1"/>
    <xf numFmtId="0" fontId="16" fillId="0" borderId="0" xfId="0" applyNumberFormat="1" applyFont="1"/>
    <xf numFmtId="0" fontId="35" fillId="0" borderId="0" xfId="4" applyFont="1" applyAlignment="1">
      <alignment vertical="center"/>
    </xf>
    <xf numFmtId="0" fontId="35" fillId="0" borderId="44" xfId="4" applyFont="1" applyFill="1" applyBorder="1" applyAlignment="1">
      <alignment horizontal="center" vertical="center" wrapText="1"/>
    </xf>
    <xf numFmtId="0" fontId="35" fillId="0" borderId="44" xfId="4" applyFont="1" applyFill="1" applyBorder="1" applyAlignment="1">
      <alignment horizontal="right" vertical="center" wrapText="1"/>
    </xf>
    <xf numFmtId="0" fontId="35" fillId="0" borderId="0" xfId="4" applyFont="1" applyFill="1" applyAlignment="1">
      <alignment wrapText="1"/>
    </xf>
    <xf numFmtId="1" fontId="35" fillId="0" borderId="0" xfId="4" applyNumberFormat="1" applyFont="1"/>
    <xf numFmtId="0" fontId="36" fillId="0" borderId="0" xfId="4" applyFont="1" applyFill="1" applyAlignment="1">
      <alignment vertical="center"/>
    </xf>
    <xf numFmtId="0" fontId="36" fillId="0" borderId="0" xfId="4" applyFont="1" applyFill="1" applyAlignment="1">
      <alignment horizontal="left" vertical="center"/>
    </xf>
    <xf numFmtId="0" fontId="36" fillId="0" borderId="0" xfId="4" applyFont="1" applyFill="1" applyBorder="1" applyAlignment="1">
      <alignment horizontal="left" vertical="center"/>
    </xf>
    <xf numFmtId="0" fontId="35" fillId="0" borderId="0" xfId="4" applyFont="1" applyFill="1" applyBorder="1" applyAlignment="1">
      <alignment horizontal="right" vertical="center"/>
    </xf>
    <xf numFmtId="0" fontId="35" fillId="0" borderId="45" xfId="4" applyFont="1" applyFill="1" applyBorder="1" applyAlignment="1">
      <alignment wrapText="1"/>
    </xf>
    <xf numFmtId="49" fontId="36" fillId="0" borderId="45" xfId="4" applyNumberFormat="1" applyFont="1" applyFill="1" applyBorder="1" applyAlignment="1">
      <alignment horizontal="center" wrapText="1"/>
    </xf>
    <xf numFmtId="0" fontId="35" fillId="0" borderId="45" xfId="4" applyFont="1" applyFill="1" applyBorder="1" applyAlignment="1">
      <alignment horizontal="right" wrapText="1"/>
    </xf>
    <xf numFmtId="0" fontId="35" fillId="0" borderId="0" xfId="4" applyFont="1" applyFill="1" applyBorder="1" applyAlignment="1">
      <alignment wrapText="1"/>
    </xf>
    <xf numFmtId="0" fontId="35" fillId="0" borderId="0" xfId="4" applyFont="1" applyFill="1" applyBorder="1" applyAlignment="1">
      <alignment horizontal="right" wrapText="1"/>
    </xf>
    <xf numFmtId="0" fontId="36" fillId="0" borderId="0" xfId="4" applyFont="1" applyFill="1" applyAlignment="1"/>
    <xf numFmtId="0" fontId="36" fillId="0" borderId="0" xfId="4" applyFont="1" applyFill="1" applyAlignment="1">
      <alignment wrapText="1"/>
    </xf>
    <xf numFmtId="0" fontId="35" fillId="0" borderId="0" xfId="9" applyFont="1" applyFill="1"/>
    <xf numFmtId="0" fontId="35" fillId="0" borderId="45" xfId="9" applyFont="1" applyFill="1" applyBorder="1" applyAlignment="1">
      <alignment horizontal="right" vertical="center" wrapText="1"/>
    </xf>
    <xf numFmtId="0" fontId="35" fillId="0" borderId="0" xfId="9" applyFont="1"/>
    <xf numFmtId="0" fontId="35" fillId="0" borderId="0" xfId="9" applyFont="1" applyFill="1" applyBorder="1" applyAlignment="1">
      <alignment horizontal="right" vertical="center" wrapText="1"/>
    </xf>
    <xf numFmtId="0" fontId="35" fillId="0" borderId="44" xfId="9" applyFont="1" applyFill="1" applyBorder="1" applyAlignment="1">
      <alignment horizontal="center" vertical="center" wrapText="1"/>
    </xf>
    <xf numFmtId="0" fontId="35" fillId="0" borderId="45" xfId="9" applyFont="1" applyFill="1" applyBorder="1" applyAlignment="1">
      <alignment vertical="center" wrapText="1"/>
    </xf>
    <xf numFmtId="1" fontId="35" fillId="0" borderId="0" xfId="9" applyNumberFormat="1" applyFont="1" applyFill="1" applyAlignment="1">
      <alignment horizontal="right" wrapText="1"/>
    </xf>
    <xf numFmtId="0" fontId="35" fillId="0" borderId="47" xfId="9" applyFont="1" applyFill="1" applyBorder="1" applyAlignment="1">
      <alignment vertical="center" wrapText="1"/>
    </xf>
    <xf numFmtId="0" fontId="35" fillId="0" borderId="47" xfId="9" applyFont="1" applyFill="1" applyBorder="1"/>
    <xf numFmtId="0" fontId="35" fillId="0" borderId="0" xfId="9" applyFont="1" applyFill="1" applyBorder="1" applyAlignment="1">
      <alignment wrapText="1"/>
    </xf>
    <xf numFmtId="0" fontId="35" fillId="0" borderId="0" xfId="9" applyFont="1" applyFill="1" applyBorder="1"/>
    <xf numFmtId="1" fontId="35" fillId="0" borderId="0" xfId="9" applyNumberFormat="1" applyFont="1" applyFill="1"/>
    <xf numFmtId="0" fontId="35" fillId="0" borderId="0" xfId="9" applyFont="1" applyFill="1" applyBorder="1" applyAlignment="1">
      <alignment horizontal="left" vertical="top" wrapText="1"/>
    </xf>
    <xf numFmtId="167" fontId="35" fillId="0" borderId="0" xfId="9" applyNumberFormat="1" applyFont="1" applyFill="1"/>
    <xf numFmtId="0" fontId="35" fillId="0" borderId="0" xfId="9" applyFont="1" applyFill="1" applyAlignment="1">
      <alignment horizontal="left" vertical="top" wrapText="1"/>
    </xf>
    <xf numFmtId="0" fontId="35" fillId="0" borderId="0" xfId="9" applyFont="1" applyAlignment="1"/>
    <xf numFmtId="0" fontId="35" fillId="0" borderId="0" xfId="0" applyFont="1" applyFill="1" applyAlignment="1">
      <alignment vertical="top"/>
    </xf>
    <xf numFmtId="1" fontId="35" fillId="0" borderId="0" xfId="9" applyNumberFormat="1" applyFont="1" applyFill="1" applyBorder="1" applyAlignment="1">
      <alignment horizontal="left" vertical="top" wrapText="1"/>
    </xf>
    <xf numFmtId="0" fontId="36" fillId="0" borderId="0" xfId="9" applyFont="1" applyFill="1" applyBorder="1" applyAlignment="1">
      <alignment horizontal="left" wrapText="1"/>
    </xf>
    <xf numFmtId="3" fontId="28" fillId="0" borderId="14" xfId="0" applyNumberFormat="1" applyFont="1" applyBorder="1" applyAlignment="1">
      <alignment horizontal="right"/>
    </xf>
    <xf numFmtId="0" fontId="28" fillId="0" borderId="15" xfId="0" applyFont="1" applyFill="1" applyBorder="1" applyAlignment="1">
      <alignment horizontal="right"/>
    </xf>
    <xf numFmtId="0" fontId="12" fillId="0" borderId="15" xfId="2" applyNumberFormat="1" applyFont="1" applyBorder="1" applyAlignment="1">
      <alignment horizontal="right"/>
    </xf>
    <xf numFmtId="0" fontId="12" fillId="0" borderId="15" xfId="1" applyNumberFormat="1" applyFont="1" applyBorder="1" applyAlignment="1">
      <alignment horizontal="right"/>
    </xf>
    <xf numFmtId="0" fontId="38" fillId="0" borderId="0" xfId="0" applyFont="1"/>
    <xf numFmtId="0" fontId="36" fillId="0" borderId="0" xfId="9" applyFont="1" applyFill="1" applyBorder="1" applyAlignment="1">
      <alignment horizontal="left" wrapText="1"/>
    </xf>
    <xf numFmtId="0" fontId="35" fillId="0" borderId="0" xfId="9" applyFont="1" applyFill="1" applyBorder="1" applyAlignment="1">
      <alignment horizontal="left" wrapText="1"/>
    </xf>
    <xf numFmtId="3" fontId="12" fillId="0" borderId="38" xfId="0" applyNumberFormat="1" applyFont="1" applyBorder="1"/>
    <xf numFmtId="179" fontId="12" fillId="0" borderId="0" xfId="0" applyNumberFormat="1" applyFont="1"/>
    <xf numFmtId="167" fontId="35" fillId="0" borderId="0" xfId="9" applyNumberFormat="1" applyFont="1" applyFill="1" applyAlignment="1">
      <alignment horizontal="right" wrapText="1"/>
    </xf>
    <xf numFmtId="0" fontId="35" fillId="0" borderId="0" xfId="9" applyFont="1" applyFill="1" applyBorder="1" applyAlignment="1">
      <alignment horizontal="center" vertical="center" wrapText="1"/>
    </xf>
    <xf numFmtId="0" fontId="35" fillId="0" borderId="0" xfId="9" applyFont="1" applyFill="1" applyBorder="1" applyAlignment="1">
      <alignment vertical="center" wrapText="1"/>
    </xf>
    <xf numFmtId="1" fontId="35" fillId="0" borderId="0" xfId="9" applyNumberFormat="1" applyFont="1" applyFill="1" applyBorder="1" applyAlignment="1">
      <alignment horizontal="right" wrapText="1"/>
    </xf>
    <xf numFmtId="0" fontId="39" fillId="0" borderId="0" xfId="0" applyFont="1"/>
    <xf numFmtId="3" fontId="23" fillId="0" borderId="15" xfId="0" applyNumberFormat="1" applyFont="1" applyBorder="1" applyAlignment="1">
      <alignment horizontal="right"/>
    </xf>
    <xf numFmtId="3" fontId="16" fillId="0" borderId="14" xfId="0" applyNumberFormat="1" applyFont="1" applyBorder="1"/>
    <xf numFmtId="166" fontId="12" fillId="0" borderId="15" xfId="0" applyNumberFormat="1" applyFont="1" applyFill="1" applyBorder="1" applyAlignment="1">
      <alignment horizontal="right" vertical="center"/>
    </xf>
    <xf numFmtId="43" fontId="18" fillId="0" borderId="0" xfId="1" applyFont="1"/>
    <xf numFmtId="0" fontId="14" fillId="0" borderId="0" xfId="0" applyFont="1" applyFill="1" applyBorder="1" applyAlignment="1">
      <alignment horizontal="center" vertical="center"/>
    </xf>
    <xf numFmtId="168" fontId="23" fillId="0" borderId="0" xfId="0" applyNumberFormat="1" applyFont="1"/>
    <xf numFmtId="168" fontId="23" fillId="0" borderId="16" xfId="0" applyNumberFormat="1" applyFont="1" applyBorder="1"/>
    <xf numFmtId="167" fontId="10" fillId="0" borderId="0" xfId="0" applyNumberFormat="1" applyFont="1" applyFill="1" applyBorder="1" applyAlignment="1">
      <alignment vertical="top"/>
    </xf>
    <xf numFmtId="0" fontId="14" fillId="2" borderId="51" xfId="0" applyFont="1" applyFill="1" applyBorder="1" applyAlignment="1">
      <alignment horizontal="center" vertical="center"/>
    </xf>
    <xf numFmtId="0" fontId="12" fillId="2" borderId="52" xfId="0" applyFont="1" applyFill="1" applyBorder="1" applyAlignment="1">
      <alignment vertical="top"/>
    </xf>
    <xf numFmtId="0" fontId="10" fillId="3" borderId="0" xfId="0" applyFont="1" applyFill="1" applyBorder="1" applyAlignment="1">
      <alignment horizontal="center" vertical="center"/>
    </xf>
    <xf numFmtId="177" fontId="12" fillId="0" borderId="0" xfId="1" applyNumberFormat="1" applyFont="1" applyBorder="1" applyAlignment="1">
      <alignment horizontal="right" vertical="center"/>
    </xf>
    <xf numFmtId="0" fontId="32" fillId="0" borderId="0" xfId="0" applyFont="1" applyAlignment="1">
      <alignment wrapText="1"/>
    </xf>
    <xf numFmtId="2" fontId="16" fillId="0" borderId="7" xfId="0" applyNumberFormat="1" applyFont="1" applyFill="1" applyBorder="1"/>
    <xf numFmtId="165" fontId="15" fillId="0" borderId="0" xfId="2" applyNumberFormat="1" applyFont="1" applyFill="1"/>
    <xf numFmtId="0" fontId="18" fillId="0" borderId="0" xfId="0" applyFont="1" applyFill="1" applyBorder="1" applyAlignment="1">
      <alignment horizontal="left" vertical="center"/>
    </xf>
    <xf numFmtId="9" fontId="18" fillId="0" borderId="15" xfId="2" applyFont="1" applyFill="1" applyBorder="1"/>
    <xf numFmtId="9" fontId="12" fillId="0" borderId="15" xfId="2" applyFont="1" applyFill="1" applyBorder="1" applyAlignment="1">
      <alignment horizontal="left" vertical="top"/>
    </xf>
    <xf numFmtId="0" fontId="14" fillId="8" borderId="12" xfId="0" applyFont="1" applyFill="1" applyBorder="1" applyAlignment="1">
      <alignment horizontal="center" vertical="center"/>
    </xf>
    <xf numFmtId="0" fontId="14" fillId="0" borderId="0" xfId="0" applyFont="1" applyFill="1" applyBorder="1" applyAlignment="1">
      <alignment horizontal="center" vertical="center"/>
    </xf>
    <xf numFmtId="165" fontId="12" fillId="0" borderId="0" xfId="2" applyNumberFormat="1" applyFont="1" applyAlignment="1">
      <alignment horizontal="center" vertical="center"/>
    </xf>
    <xf numFmtId="167" fontId="12" fillId="0" borderId="15" xfId="0" applyNumberFormat="1" applyFont="1" applyBorder="1" applyAlignment="1">
      <alignment wrapText="1"/>
    </xf>
    <xf numFmtId="9" fontId="18" fillId="0" borderId="0" xfId="2" applyFont="1"/>
    <xf numFmtId="0" fontId="28" fillId="0" borderId="0" xfId="0" applyFont="1" applyFill="1"/>
    <xf numFmtId="0" fontId="27" fillId="0" borderId="0" xfId="0" applyFont="1"/>
    <xf numFmtId="0" fontId="18" fillId="0" borderId="15" xfId="0" applyFont="1" applyFill="1" applyBorder="1"/>
    <xf numFmtId="2" fontId="23" fillId="9" borderId="0" xfId="0" applyNumberFormat="1" applyFont="1" applyFill="1"/>
    <xf numFmtId="0" fontId="23" fillId="9" borderId="0" xfId="0" applyFont="1" applyFill="1"/>
    <xf numFmtId="167" fontId="18" fillId="6" borderId="0" xfId="0" applyNumberFormat="1" applyFont="1" applyFill="1"/>
    <xf numFmtId="167" fontId="18" fillId="0" borderId="0" xfId="0" applyNumberFormat="1" applyFont="1"/>
    <xf numFmtId="3" fontId="18" fillId="0" borderId="15" xfId="0" applyNumberFormat="1" applyFont="1" applyFill="1" applyBorder="1"/>
    <xf numFmtId="0" fontId="18" fillId="0" borderId="37" xfId="0" applyFont="1" applyBorder="1"/>
    <xf numFmtId="10" fontId="18" fillId="0" borderId="14" xfId="0" applyNumberFormat="1" applyFont="1" applyBorder="1"/>
    <xf numFmtId="2" fontId="18" fillId="0" borderId="15" xfId="0" applyNumberFormat="1" applyFont="1" applyBorder="1"/>
    <xf numFmtId="169" fontId="18" fillId="0" borderId="15" xfId="1" applyNumberFormat="1" applyFont="1" applyBorder="1"/>
    <xf numFmtId="168" fontId="18" fillId="0" borderId="15" xfId="1" applyNumberFormat="1" applyFont="1" applyBorder="1"/>
    <xf numFmtId="1" fontId="12" fillId="0" borderId="15" xfId="0" applyNumberFormat="1" applyFont="1" applyBorder="1" applyAlignment="1">
      <alignment wrapText="1"/>
    </xf>
    <xf numFmtId="3" fontId="18" fillId="0" borderId="14" xfId="0" applyNumberFormat="1" applyFont="1" applyBorder="1" applyAlignment="1">
      <alignment horizontal="right"/>
    </xf>
    <xf numFmtId="2" fontId="23" fillId="0" borderId="36" xfId="0" applyNumberFormat="1" applyFont="1" applyBorder="1"/>
    <xf numFmtId="2" fontId="23" fillId="0" borderId="0" xfId="0" applyNumberFormat="1" applyFont="1" applyFill="1" applyBorder="1"/>
    <xf numFmtId="2" fontId="16" fillId="0" borderId="36" xfId="0" applyNumberFormat="1" applyFont="1" applyBorder="1"/>
    <xf numFmtId="9" fontId="13" fillId="0" borderId="0" xfId="2" applyFont="1" applyFill="1" applyBorder="1"/>
    <xf numFmtId="43" fontId="12" fillId="0" borderId="15" xfId="1" applyNumberFormat="1" applyFont="1" applyFill="1" applyBorder="1" applyAlignment="1">
      <alignment horizontal="right" vertical="center"/>
    </xf>
    <xf numFmtId="170" fontId="12" fillId="0" borderId="15" xfId="1" applyNumberFormat="1" applyFont="1" applyFill="1" applyBorder="1" applyAlignment="1">
      <alignment horizontal="right" vertical="center"/>
    </xf>
    <xf numFmtId="3" fontId="12" fillId="0" borderId="14" xfId="0" applyNumberFormat="1" applyFont="1" applyFill="1" applyBorder="1" applyAlignment="1">
      <alignment horizontal="right" vertical="center"/>
    </xf>
    <xf numFmtId="165" fontId="12" fillId="0" borderId="14" xfId="2" applyNumberFormat="1" applyFont="1" applyFill="1" applyBorder="1" applyAlignment="1">
      <alignment horizontal="right" vertical="center"/>
    </xf>
    <xf numFmtId="165" fontId="12" fillId="0" borderId="15" xfId="2" applyNumberFormat="1" applyFont="1" applyFill="1" applyBorder="1" applyAlignment="1">
      <alignment horizontal="right" vertical="center"/>
    </xf>
    <xf numFmtId="43" fontId="12" fillId="0" borderId="15" xfId="1" applyFont="1" applyFill="1" applyBorder="1" applyAlignment="1">
      <alignment horizontal="right" vertical="center"/>
    </xf>
    <xf numFmtId="165" fontId="12" fillId="0" borderId="16" xfId="2" applyNumberFormat="1" applyFont="1" applyFill="1" applyBorder="1" applyAlignment="1">
      <alignment horizontal="right" vertical="center"/>
    </xf>
    <xf numFmtId="3" fontId="12" fillId="0" borderId="16" xfId="0" applyNumberFormat="1" applyFont="1" applyFill="1" applyBorder="1" applyAlignment="1">
      <alignment horizontal="right" vertical="center"/>
    </xf>
    <xf numFmtId="169" fontId="12" fillId="0" borderId="15" xfId="1" applyNumberFormat="1" applyFont="1" applyFill="1" applyBorder="1" applyAlignment="1">
      <alignment horizontal="right" vertical="center"/>
    </xf>
    <xf numFmtId="43" fontId="12" fillId="0" borderId="15" xfId="0" applyNumberFormat="1" applyFont="1" applyFill="1" applyBorder="1" applyAlignment="1">
      <alignment horizontal="right" vertical="center"/>
    </xf>
    <xf numFmtId="0" fontId="12" fillId="0" borderId="15" xfId="0" applyFont="1" applyFill="1" applyBorder="1" applyAlignment="1">
      <alignment horizontal="right" vertical="center"/>
    </xf>
    <xf numFmtId="168" fontId="23" fillId="0" borderId="15" xfId="1" applyNumberFormat="1" applyFont="1" applyFill="1" applyBorder="1" applyAlignment="1">
      <alignment horizontal="right" vertical="center"/>
    </xf>
    <xf numFmtId="9" fontId="23" fillId="0" borderId="15" xfId="2" applyFont="1" applyFill="1" applyBorder="1" applyAlignment="1">
      <alignment horizontal="right" vertical="center"/>
    </xf>
    <xf numFmtId="9" fontId="12" fillId="0" borderId="15" xfId="2" applyFont="1" applyFill="1" applyBorder="1" applyAlignment="1">
      <alignment horizontal="right" vertical="center"/>
    </xf>
    <xf numFmtId="43" fontId="12" fillId="0" borderId="14" xfId="1" applyFont="1" applyFill="1" applyBorder="1" applyAlignment="1">
      <alignment horizontal="right" vertical="center"/>
    </xf>
    <xf numFmtId="9" fontId="12" fillId="0" borderId="14" xfId="2" applyFont="1" applyFill="1" applyBorder="1" applyAlignment="1">
      <alignment horizontal="right" vertical="center"/>
    </xf>
    <xf numFmtId="43" fontId="23" fillId="0" borderId="15" xfId="1" applyNumberFormat="1" applyFont="1" applyFill="1" applyBorder="1" applyAlignment="1">
      <alignment horizontal="right" vertical="center"/>
    </xf>
    <xf numFmtId="0" fontId="18" fillId="0" borderId="16" xfId="0" applyFont="1" applyBorder="1" applyAlignment="1">
      <alignment horizontal="left"/>
    </xf>
    <xf numFmtId="9" fontId="18" fillId="0" borderId="16" xfId="2" applyFont="1" applyFill="1" applyBorder="1" applyAlignment="1">
      <alignment horizontal="right" vertical="top"/>
    </xf>
    <xf numFmtId="167" fontId="18" fillId="0" borderId="16" xfId="0" applyNumberFormat="1" applyFont="1" applyFill="1" applyBorder="1" applyAlignment="1">
      <alignment horizontal="right" vertical="top"/>
    </xf>
    <xf numFmtId="168" fontId="40" fillId="0" borderId="14" xfId="1" applyNumberFormat="1" applyFont="1" applyBorder="1"/>
    <xf numFmtId="178" fontId="40" fillId="0" borderId="0" xfId="0" applyNumberFormat="1" applyFont="1" applyFill="1" applyBorder="1"/>
    <xf numFmtId="178" fontId="41" fillId="0" borderId="38" xfId="0" applyNumberFormat="1" applyFont="1" applyFill="1" applyBorder="1"/>
    <xf numFmtId="169" fontId="40" fillId="0" borderId="0" xfId="1" applyNumberFormat="1" applyFont="1" applyFill="1"/>
    <xf numFmtId="178" fontId="41" fillId="0" borderId="38" xfId="0" applyNumberFormat="1" applyFont="1" applyFill="1" applyBorder="1" applyAlignment="1">
      <alignment horizontal="center" vertical="center"/>
    </xf>
    <xf numFmtId="169" fontId="40" fillId="0" borderId="0" xfId="1" applyNumberFormat="1" applyFont="1" applyFill="1" applyAlignment="1">
      <alignment horizontal="center" vertical="center"/>
    </xf>
    <xf numFmtId="178" fontId="40" fillId="0" borderId="0" xfId="0" applyNumberFormat="1" applyFont="1" applyFill="1" applyBorder="1" applyAlignment="1">
      <alignment horizontal="center" vertical="center"/>
    </xf>
    <xf numFmtId="169" fontId="41" fillId="0" borderId="38" xfId="1" applyNumberFormat="1" applyFont="1" applyFill="1" applyBorder="1"/>
    <xf numFmtId="169" fontId="41" fillId="0" borderId="38" xfId="1" applyNumberFormat="1" applyFont="1" applyFill="1" applyBorder="1" applyAlignment="1">
      <alignment horizontal="center" vertical="center"/>
    </xf>
    <xf numFmtId="169" fontId="40" fillId="0" borderId="38" xfId="1" applyNumberFormat="1" applyFont="1" applyFill="1" applyBorder="1" applyAlignment="1">
      <alignment horizontal="center" vertical="center"/>
    </xf>
    <xf numFmtId="3" fontId="40" fillId="0" borderId="15" xfId="0" applyNumberFormat="1" applyFont="1" applyFill="1" applyBorder="1"/>
    <xf numFmtId="3" fontId="40" fillId="0" borderId="15" xfId="0" applyNumberFormat="1" applyFont="1" applyFill="1" applyBorder="1" applyAlignment="1">
      <alignment horizontal="center" vertical="center"/>
    </xf>
    <xf numFmtId="0" fontId="12" fillId="0" borderId="0" xfId="0" applyFont="1" applyBorder="1" applyAlignment="1">
      <alignment horizontal="center" vertical="center"/>
    </xf>
    <xf numFmtId="174" fontId="40" fillId="0" borderId="15" xfId="0" applyNumberFormat="1" applyFont="1" applyBorder="1"/>
    <xf numFmtId="3" fontId="40" fillId="0" borderId="15" xfId="0" applyNumberFormat="1" applyFont="1" applyBorder="1"/>
    <xf numFmtId="3" fontId="40" fillId="0" borderId="15" xfId="0" applyNumberFormat="1" applyFont="1" applyBorder="1" applyAlignment="1">
      <alignment horizontal="center" vertical="center"/>
    </xf>
    <xf numFmtId="168" fontId="40" fillId="0" borderId="14" xfId="1" applyNumberFormat="1" applyFont="1" applyBorder="1" applyAlignment="1">
      <alignment horizontal="center" vertical="center"/>
    </xf>
    <xf numFmtId="3" fontId="40" fillId="0" borderId="14" xfId="0" applyNumberFormat="1" applyFont="1" applyBorder="1" applyAlignment="1">
      <alignment horizontal="right" vertical="center"/>
    </xf>
    <xf numFmtId="0" fontId="40" fillId="0" borderId="15" xfId="0" applyFont="1" applyFill="1" applyBorder="1"/>
    <xf numFmtId="9" fontId="18" fillId="0" borderId="0" xfId="2" applyFont="1" applyFill="1"/>
    <xf numFmtId="168" fontId="43" fillId="6" borderId="0" xfId="1" applyNumberFormat="1" applyFont="1" applyFill="1" applyAlignment="1">
      <alignment horizontal="center" vertical="center"/>
    </xf>
    <xf numFmtId="0" fontId="18" fillId="0" borderId="0" xfId="0" applyFont="1" applyFill="1" applyAlignment="1">
      <alignment horizontal="center" vertical="center"/>
    </xf>
    <xf numFmtId="165" fontId="40" fillId="0" borderId="0" xfId="2" applyNumberFormat="1" applyFont="1" applyAlignment="1">
      <alignment horizontal="center" vertical="center"/>
    </xf>
    <xf numFmtId="168" fontId="40" fillId="0" borderId="0" xfId="1" applyNumberFormat="1" applyFont="1" applyAlignment="1">
      <alignment horizontal="center" vertical="center"/>
    </xf>
    <xf numFmtId="0" fontId="18" fillId="9" borderId="0" xfId="0" applyFont="1" applyFill="1" applyAlignment="1">
      <alignment horizontal="center" vertical="center"/>
    </xf>
    <xf numFmtId="168" fontId="18" fillId="0" borderId="0" xfId="1" applyNumberFormat="1" applyFont="1" applyFill="1" applyAlignment="1">
      <alignment horizontal="center" vertical="center"/>
    </xf>
    <xf numFmtId="168" fontId="12" fillId="0" borderId="0" xfId="1" applyNumberFormat="1" applyFont="1" applyAlignment="1">
      <alignment horizontal="center" vertical="center"/>
    </xf>
    <xf numFmtId="168" fontId="43" fillId="0" borderId="0" xfId="0" applyNumberFormat="1" applyFont="1" applyFill="1" applyAlignment="1">
      <alignment horizontal="center" vertical="center"/>
    </xf>
    <xf numFmtId="0" fontId="14" fillId="8" borderId="12" xfId="0" applyFont="1" applyFill="1" applyBorder="1" applyAlignment="1">
      <alignment horizontal="center" vertical="center"/>
    </xf>
    <xf numFmtId="0" fontId="14" fillId="8" borderId="0" xfId="0" applyFont="1" applyFill="1" applyBorder="1" applyAlignment="1">
      <alignment horizontal="center" vertical="center"/>
    </xf>
    <xf numFmtId="0" fontId="14" fillId="8" borderId="13" xfId="0" applyFont="1" applyFill="1" applyBorder="1" applyAlignment="1">
      <alignment horizontal="center" vertical="center"/>
    </xf>
    <xf numFmtId="166" fontId="14" fillId="8" borderId="12" xfId="0" applyNumberFormat="1" applyFont="1" applyFill="1" applyBorder="1" applyAlignment="1">
      <alignment horizontal="center" vertical="center"/>
    </xf>
    <xf numFmtId="0" fontId="21" fillId="8" borderId="0" xfId="0" applyFont="1" applyFill="1" applyBorder="1" applyAlignment="1">
      <alignment horizontal="center" vertical="center"/>
    </xf>
    <xf numFmtId="0" fontId="21" fillId="8" borderId="13" xfId="0" applyFont="1" applyFill="1" applyBorder="1" applyAlignment="1">
      <alignment horizontal="center" vertical="center"/>
    </xf>
    <xf numFmtId="0" fontId="14" fillId="8" borderId="12" xfId="0" applyFont="1" applyFill="1" applyBorder="1" applyAlignment="1">
      <alignment horizontal="center" vertical="center" wrapText="1"/>
    </xf>
    <xf numFmtId="0" fontId="0" fillId="0" borderId="0" xfId="0" applyAlignment="1">
      <alignment horizontal="center" vertical="center" wrapText="1"/>
    </xf>
    <xf numFmtId="0" fontId="22" fillId="8" borderId="0" xfId="0" applyFont="1" applyFill="1" applyBorder="1" applyAlignment="1"/>
    <xf numFmtId="0" fontId="22" fillId="8" borderId="0" xfId="0" applyFont="1" applyFill="1" applyBorder="1" applyAlignment="1">
      <alignment horizontal="center" vertical="center"/>
    </xf>
    <xf numFmtId="0" fontId="14" fillId="8" borderId="0" xfId="0" applyFont="1" applyFill="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21" fillId="8" borderId="0" xfId="0" applyFont="1" applyFill="1" applyBorder="1" applyAlignment="1"/>
    <xf numFmtId="0" fontId="21" fillId="8" borderId="13" xfId="0" applyFont="1" applyFill="1" applyBorder="1" applyAlignment="1"/>
    <xf numFmtId="0" fontId="14" fillId="2" borderId="9" xfId="0" applyFont="1" applyFill="1" applyBorder="1" applyAlignment="1">
      <alignment horizontal="center" vertical="center"/>
    </xf>
    <xf numFmtId="0" fontId="0" fillId="0" borderId="3" xfId="0" applyBorder="1" applyAlignment="1">
      <alignment horizontal="center"/>
    </xf>
    <xf numFmtId="0" fontId="0" fillId="0" borderId="10" xfId="0" applyBorder="1" applyAlignment="1">
      <alignment horizontal="center"/>
    </xf>
    <xf numFmtId="0" fontId="14" fillId="2" borderId="9" xfId="0" applyFont="1" applyFill="1" applyBorder="1" applyAlignment="1">
      <alignment horizontal="center" vertical="top"/>
    </xf>
    <xf numFmtId="0" fontId="14" fillId="2" borderId="3" xfId="0" applyFont="1" applyFill="1" applyBorder="1" applyAlignment="1">
      <alignment horizontal="center" vertical="top"/>
    </xf>
    <xf numFmtId="0" fontId="14" fillId="2" borderId="10" xfId="0" applyFont="1" applyFill="1" applyBorder="1" applyAlignment="1">
      <alignment horizontal="center" vertical="top"/>
    </xf>
    <xf numFmtId="0" fontId="14" fillId="2" borderId="3" xfId="0" applyFont="1" applyFill="1" applyBorder="1" applyAlignment="1">
      <alignment horizontal="center" vertical="center"/>
    </xf>
    <xf numFmtId="0" fontId="0" fillId="0" borderId="3" xfId="0" applyBorder="1" applyAlignment="1">
      <alignment horizontal="center" vertical="top"/>
    </xf>
    <xf numFmtId="0" fontId="0" fillId="0" borderId="10" xfId="0" applyBorder="1" applyAlignment="1">
      <alignment horizontal="center" vertical="top"/>
    </xf>
    <xf numFmtId="0" fontId="14" fillId="2" borderId="48" xfId="0" applyFont="1" applyFill="1" applyBorder="1" applyAlignment="1">
      <alignment horizontal="center" vertical="top"/>
    </xf>
    <xf numFmtId="0" fontId="14" fillId="2" borderId="49" xfId="0" applyFont="1" applyFill="1" applyBorder="1" applyAlignment="1">
      <alignment horizontal="center" vertical="top"/>
    </xf>
    <xf numFmtId="0" fontId="14" fillId="2" borderId="50" xfId="0" applyFont="1" applyFill="1" applyBorder="1" applyAlignment="1">
      <alignment horizontal="center" vertical="top"/>
    </xf>
    <xf numFmtId="0" fontId="30" fillId="12" borderId="29" xfId="0" applyFont="1" applyFill="1" applyBorder="1" applyAlignment="1">
      <alignment wrapText="1"/>
    </xf>
    <xf numFmtId="0" fontId="30" fillId="13" borderId="30" xfId="0" applyFont="1" applyFill="1" applyBorder="1" applyAlignment="1">
      <alignment wrapText="1"/>
    </xf>
    <xf numFmtId="0" fontId="30" fillId="13" borderId="31" xfId="0" applyFont="1" applyFill="1" applyBorder="1" applyAlignment="1">
      <alignment wrapText="1"/>
    </xf>
    <xf numFmtId="0" fontId="29" fillId="11" borderId="18" xfId="0" applyFont="1" applyFill="1" applyBorder="1" applyAlignment="1">
      <alignment horizontal="center"/>
    </xf>
    <xf numFmtId="0" fontId="29" fillId="11" borderId="19" xfId="0" applyFont="1" applyFill="1" applyBorder="1" applyAlignment="1">
      <alignment horizontal="center"/>
    </xf>
    <xf numFmtId="0" fontId="29" fillId="11" borderId="20" xfId="0" applyFont="1" applyFill="1" applyBorder="1" applyAlignment="1">
      <alignment horizontal="center"/>
    </xf>
    <xf numFmtId="0" fontId="18" fillId="12" borderId="24" xfId="0" applyFont="1" applyFill="1" applyBorder="1" applyAlignment="1">
      <alignment wrapText="1"/>
    </xf>
    <xf numFmtId="0" fontId="18" fillId="12" borderId="0" xfId="0" applyFont="1" applyFill="1" applyBorder="1" applyAlignment="1">
      <alignment wrapText="1"/>
    </xf>
    <xf numFmtId="0" fontId="18" fillId="12" borderId="25" xfId="0" applyFont="1" applyFill="1" applyBorder="1" applyAlignment="1">
      <alignment wrapText="1"/>
    </xf>
    <xf numFmtId="0" fontId="30" fillId="12" borderId="24" xfId="0" applyFont="1" applyFill="1" applyBorder="1" applyAlignment="1">
      <alignment horizontal="left" wrapText="1"/>
    </xf>
    <xf numFmtId="0" fontId="30" fillId="12" borderId="0" xfId="0" applyFont="1" applyFill="1" applyBorder="1" applyAlignment="1">
      <alignment horizontal="left" wrapText="1"/>
    </xf>
    <xf numFmtId="0" fontId="30" fillId="12" borderId="25" xfId="0" applyFont="1" applyFill="1" applyBorder="1" applyAlignment="1">
      <alignment horizontal="left" wrapText="1"/>
    </xf>
    <xf numFmtId="0" fontId="29" fillId="11" borderId="32" xfId="0" applyFont="1" applyFill="1" applyBorder="1" applyAlignment="1">
      <alignment horizontal="center"/>
    </xf>
    <xf numFmtId="0" fontId="29" fillId="11" borderId="33" xfId="0" applyFont="1" applyFill="1" applyBorder="1" applyAlignment="1">
      <alignment horizontal="center"/>
    </xf>
    <xf numFmtId="0" fontId="29" fillId="11" borderId="34" xfId="0" applyFont="1" applyFill="1" applyBorder="1" applyAlignment="1">
      <alignment horizontal="center"/>
    </xf>
    <xf numFmtId="0" fontId="29" fillId="11" borderId="0" xfId="0" applyFont="1" applyFill="1" applyBorder="1" applyAlignment="1">
      <alignment horizontal="center" wrapText="1"/>
    </xf>
    <xf numFmtId="0" fontId="29" fillId="11" borderId="27" xfId="0" applyFont="1" applyFill="1" applyBorder="1" applyAlignment="1">
      <alignment horizontal="center" wrapText="1"/>
    </xf>
    <xf numFmtId="0" fontId="29" fillId="11" borderId="25" xfId="0" applyFont="1" applyFill="1" applyBorder="1" applyAlignment="1">
      <alignment horizontal="center" wrapText="1"/>
    </xf>
    <xf numFmtId="0" fontId="29" fillId="11" borderId="28" xfId="0" applyFont="1" applyFill="1" applyBorder="1" applyAlignment="1">
      <alignment horizontal="center" wrapText="1"/>
    </xf>
    <xf numFmtId="0" fontId="29" fillId="11" borderId="35" xfId="0" applyFont="1" applyFill="1" applyBorder="1" applyAlignment="1">
      <alignment horizontal="center" vertical="center"/>
    </xf>
    <xf numFmtId="0" fontId="30" fillId="12" borderId="24" xfId="0" applyFont="1" applyFill="1" applyBorder="1" applyAlignment="1">
      <alignment wrapText="1"/>
    </xf>
    <xf numFmtId="0" fontId="12" fillId="0" borderId="0" xfId="0" applyFont="1" applyBorder="1" applyAlignment="1">
      <alignment wrapText="1"/>
    </xf>
    <xf numFmtId="0" fontId="12" fillId="0" borderId="25" xfId="0" applyFont="1" applyBorder="1" applyAlignment="1">
      <alignment wrapText="1"/>
    </xf>
    <xf numFmtId="178" fontId="12" fillId="0" borderId="0" xfId="0" applyNumberFormat="1" applyFont="1" applyFill="1" applyAlignment="1">
      <alignment horizontal="center"/>
    </xf>
    <xf numFmtId="0" fontId="35" fillId="0" borderId="46" xfId="9" applyFont="1" applyFill="1" applyBorder="1" applyAlignment="1">
      <alignment horizontal="center" vertical="center" wrapText="1"/>
    </xf>
    <xf numFmtId="0" fontId="35" fillId="0" borderId="0" xfId="9" applyFont="1" applyFill="1" applyBorder="1" applyAlignment="1">
      <alignment horizontal="left" vertical="top" wrapText="1"/>
    </xf>
    <xf numFmtId="1" fontId="35" fillId="0" borderId="0" xfId="9" applyNumberFormat="1" applyFont="1" applyFill="1" applyBorder="1" applyAlignment="1">
      <alignment horizontal="left" vertical="top" wrapText="1"/>
    </xf>
    <xf numFmtId="0" fontId="35" fillId="0" borderId="0" xfId="9" applyFont="1" applyAlignment="1"/>
    <xf numFmtId="0" fontId="36" fillId="0" borderId="0" xfId="9" applyFont="1" applyFill="1" applyBorder="1" applyAlignment="1">
      <alignment horizontal="left" wrapText="1"/>
    </xf>
    <xf numFmtId="0" fontId="35" fillId="0" borderId="0" xfId="9" applyFont="1" applyFill="1" applyBorder="1" applyAlignment="1">
      <alignment horizontal="left" wrapText="1"/>
    </xf>
    <xf numFmtId="0" fontId="36" fillId="0" borderId="0" xfId="9" applyFont="1" applyFill="1" applyAlignment="1">
      <alignment horizontal="left" wrapText="1"/>
    </xf>
    <xf numFmtId="0" fontId="35" fillId="0" borderId="0" xfId="9" applyFont="1" applyAlignment="1">
      <alignment wrapText="1"/>
    </xf>
    <xf numFmtId="0" fontId="36" fillId="0" borderId="45" xfId="9" applyFont="1" applyFill="1" applyBorder="1" applyAlignment="1">
      <alignment horizontal="left" vertical="center" wrapText="1"/>
    </xf>
    <xf numFmtId="0" fontId="35" fillId="0" borderId="46" xfId="9" applyFont="1" applyBorder="1" applyAlignment="1">
      <alignment horizontal="center" vertical="center" wrapText="1"/>
    </xf>
    <xf numFmtId="0" fontId="36" fillId="0" borderId="0" xfId="4" applyFont="1" applyFill="1" applyAlignment="1">
      <alignment horizontal="left" wrapText="1"/>
    </xf>
    <xf numFmtId="0" fontId="35" fillId="0" borderId="0" xfId="4" applyFont="1" applyFill="1" applyBorder="1" applyAlignment="1">
      <alignment horizontal="left" vertical="top" wrapText="1"/>
    </xf>
    <xf numFmtId="0" fontId="35" fillId="0" borderId="0" xfId="8" applyFont="1" applyFill="1" applyBorder="1" applyAlignment="1">
      <alignment horizontal="left" vertical="top" wrapText="1"/>
    </xf>
    <xf numFmtId="0" fontId="35" fillId="0" borderId="0" xfId="4" applyFont="1" applyAlignment="1">
      <alignment horizontal="left" vertical="top" wrapText="1"/>
    </xf>
    <xf numFmtId="0" fontId="36" fillId="0" borderId="0" xfId="9" applyFont="1" applyFill="1" applyAlignment="1">
      <alignment vertical="center"/>
    </xf>
    <xf numFmtId="0" fontId="35" fillId="0" borderId="0" xfId="9" applyFont="1" applyFill="1" applyAlignment="1">
      <alignment vertical="center"/>
    </xf>
    <xf numFmtId="0" fontId="30" fillId="12" borderId="0" xfId="0" applyFont="1" applyFill="1" applyBorder="1" applyAlignment="1">
      <alignment horizontal="left" vertical="center" wrapText="1"/>
    </xf>
    <xf numFmtId="0" fontId="18" fillId="12" borderId="0" xfId="0" applyFont="1" applyFill="1" applyAlignment="1">
      <alignment horizontal="left" vertical="center" wrapText="1"/>
    </xf>
    <xf numFmtId="0" fontId="19" fillId="0" borderId="0" xfId="0" applyFont="1" applyFill="1" applyAlignment="1">
      <alignment horizontal="left" wrapText="1"/>
    </xf>
    <xf numFmtId="1" fontId="18" fillId="0" borderId="39" xfId="0" applyNumberFormat="1" applyFont="1" applyFill="1" applyBorder="1" applyAlignment="1">
      <alignment horizontal="center"/>
    </xf>
    <xf numFmtId="0" fontId="18" fillId="0" borderId="0" xfId="0" applyFont="1" applyFill="1" applyBorder="1" applyAlignment="1">
      <alignment horizontal="left" vertical="top"/>
    </xf>
    <xf numFmtId="0" fontId="18" fillId="0" borderId="0" xfId="0" applyFont="1" applyFill="1" applyAlignment="1">
      <alignment horizontal="left" vertical="top"/>
    </xf>
    <xf numFmtId="0" fontId="18" fillId="0" borderId="0" xfId="0" applyNumberFormat="1" applyFont="1" applyFill="1" applyAlignment="1">
      <alignment horizontal="left" vertical="top" wrapText="1"/>
    </xf>
    <xf numFmtId="0" fontId="12" fillId="0" borderId="0" xfId="0" applyFont="1" applyAlignment="1">
      <alignment horizontal="left" vertical="top" wrapText="1"/>
    </xf>
    <xf numFmtId="0" fontId="29" fillId="12" borderId="0" xfId="0" applyFont="1" applyFill="1" applyBorder="1" applyAlignment="1">
      <alignment horizontal="left" wrapText="1"/>
    </xf>
    <xf numFmtId="0" fontId="12" fillId="0" borderId="0" xfId="0" applyFont="1" applyAlignment="1">
      <alignment wrapText="1"/>
    </xf>
    <xf numFmtId="0" fontId="29" fillId="12" borderId="0" xfId="0" applyFont="1" applyFill="1" applyBorder="1" applyAlignment="1">
      <alignment horizontal="left"/>
    </xf>
    <xf numFmtId="0" fontId="12" fillId="0" borderId="0" xfId="0" applyFont="1" applyAlignment="1"/>
    <xf numFmtId="0" fontId="30" fillId="12" borderId="42" xfId="0" applyFont="1" applyFill="1" applyBorder="1" applyAlignment="1">
      <alignment horizontal="center" wrapText="1"/>
    </xf>
    <xf numFmtId="0" fontId="18" fillId="0" borderId="42" xfId="0" applyFont="1" applyBorder="1" applyAlignment="1">
      <alignment horizontal="center" wrapText="1"/>
    </xf>
    <xf numFmtId="0" fontId="18" fillId="12" borderId="0" xfId="0" applyFont="1" applyFill="1" applyBorder="1" applyAlignment="1">
      <alignment horizontal="left" vertical="center" wrapText="1"/>
    </xf>
    <xf numFmtId="0" fontId="12" fillId="0" borderId="0" xfId="0" applyFont="1" applyAlignment="1">
      <alignment horizontal="left" vertical="center" wrapText="1"/>
    </xf>
  </cellXfs>
  <cellStyles count="10">
    <cellStyle name="Comma" xfId="1" builtinId="3"/>
    <cellStyle name="Comma 2" xfId="7"/>
    <cellStyle name="Hyperlink" xfId="3" builtinId="8"/>
    <cellStyle name="Normal" xfId="0" builtinId="0"/>
    <cellStyle name="Normal 2" xfId="4"/>
    <cellStyle name="Normal 3" xfId="9"/>
    <cellStyle name="Normal 5" xfId="5"/>
    <cellStyle name="Normal_8.05 Item master" xfId="8"/>
    <cellStyle name="Percent" xfId="2" builtinId="5"/>
    <cellStyle name="Percent 2" xfId="6"/>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a:pPr>
            <a:r>
              <a:rPr lang="en-US"/>
              <a:t>Total Opex</a:t>
            </a:r>
          </a:p>
        </c:rich>
      </c:tx>
      <c:overlay val="1"/>
    </c:title>
    <c:plotArea>
      <c:layout>
        <c:manualLayout>
          <c:layoutTarget val="inner"/>
          <c:xMode val="edge"/>
          <c:yMode val="edge"/>
          <c:x val="0.11964129483814523"/>
          <c:y val="0.10054621674307376"/>
          <c:w val="0.84195581802275365"/>
          <c:h val="0.74521769517793657"/>
        </c:manualLayout>
      </c:layout>
      <c:lineChart>
        <c:grouping val="standard"/>
        <c:ser>
          <c:idx val="0"/>
          <c:order val="0"/>
          <c:tx>
            <c:strRef>
              <c:f>'HAL - CAA - ip'!$B$38</c:f>
              <c:strCache>
                <c:ptCount val="1"/>
                <c:pt idx="0">
                  <c:v>Total FBP</c:v>
                </c:pt>
              </c:strCache>
            </c:strRef>
          </c:tx>
          <c:spPr>
            <a:ln w="15875"/>
          </c:spPr>
          <c:dLbls>
            <c:dLblPos val="t"/>
            <c:showVal val="1"/>
          </c:dLbls>
          <c:cat>
            <c:strRef>
              <c:f>'HAL - CAA - ip'!$C$34:$M$34</c:f>
              <c:strCache>
                <c:ptCount val="11"/>
                <c:pt idx="0">
                  <c:v>2008/09</c:v>
                </c:pt>
                <c:pt idx="1">
                  <c:v>2009/10</c:v>
                </c:pt>
                <c:pt idx="2">
                  <c:v>2010/11</c:v>
                </c:pt>
                <c:pt idx="3">
                  <c:v>2011/12</c:v>
                </c:pt>
                <c:pt idx="4">
                  <c:v>2012/13</c:v>
                </c:pt>
                <c:pt idx="5">
                  <c:v>2013/14</c:v>
                </c:pt>
                <c:pt idx="6">
                  <c:v>2014/15</c:v>
                </c:pt>
                <c:pt idx="7">
                  <c:v>2015/16</c:v>
                </c:pt>
                <c:pt idx="8">
                  <c:v>2016/17</c:v>
                </c:pt>
                <c:pt idx="9">
                  <c:v>2017/18</c:v>
                </c:pt>
                <c:pt idx="10">
                  <c:v>2018/19</c:v>
                </c:pt>
              </c:strCache>
            </c:strRef>
          </c:cat>
          <c:val>
            <c:numRef>
              <c:f>'HAL - CAA - ip'!$C$38:$M$38</c:f>
              <c:numCache>
                <c:formatCode>_-* #,##0_-;\-* #,##0_-;_-* "-"??_-;_-@_-</c:formatCode>
                <c:ptCount val="11"/>
                <c:pt idx="0">
                  <c:v>1053.7</c:v>
                </c:pt>
                <c:pt idx="1">
                  <c:v>1083</c:v>
                </c:pt>
                <c:pt idx="2">
                  <c:v>1026.3999999999999</c:v>
                </c:pt>
                <c:pt idx="3">
                  <c:v>1029.5</c:v>
                </c:pt>
                <c:pt idx="4">
                  <c:v>1042.3000000000002</c:v>
                </c:pt>
                <c:pt idx="5">
                  <c:v>1050.0999999999999</c:v>
                </c:pt>
                <c:pt idx="6">
                  <c:v>1081.8</c:v>
                </c:pt>
                <c:pt idx="7">
                  <c:v>1049.8999999999999</c:v>
                </c:pt>
                <c:pt idx="8">
                  <c:v>1034</c:v>
                </c:pt>
                <c:pt idx="9">
                  <c:v>1029.8999999999999</c:v>
                </c:pt>
                <c:pt idx="10">
                  <c:v>1038.3999999999999</c:v>
                </c:pt>
              </c:numCache>
            </c:numRef>
          </c:val>
        </c:ser>
        <c:ser>
          <c:idx val="1"/>
          <c:order val="1"/>
          <c:tx>
            <c:strRef>
              <c:f>'HAL - CAA - ip'!$B$44</c:f>
              <c:strCache>
                <c:ptCount val="1"/>
                <c:pt idx="0">
                  <c:v>Opex Forecast (Low Stretch)</c:v>
                </c:pt>
              </c:strCache>
            </c:strRef>
          </c:tx>
          <c:spPr>
            <a:ln w="15875"/>
          </c:spPr>
          <c:dLbls>
            <c:dLblPos val="b"/>
            <c:showVal val="1"/>
          </c:dLbls>
          <c:val>
            <c:numRef>
              <c:f>'HAL - CAA - ip'!$C$44:$M$44</c:f>
              <c:numCache>
                <c:formatCode>_-* #,##0_-;\-* #,##0_-;_-* "-"??_-;_-@_-</c:formatCode>
                <c:ptCount val="11"/>
                <c:pt idx="6">
                  <c:v>1072.4649034325012</c:v>
                </c:pt>
                <c:pt idx="7">
                  <c:v>1037.4443216233631</c:v>
                </c:pt>
                <c:pt idx="8">
                  <c:v>1018.8097650196472</c:v>
                </c:pt>
                <c:pt idx="9">
                  <c:v>1011.7418717061606</c:v>
                </c:pt>
                <c:pt idx="10">
                  <c:v>1016.5195223765085</c:v>
                </c:pt>
              </c:numCache>
            </c:numRef>
          </c:val>
        </c:ser>
        <c:ser>
          <c:idx val="2"/>
          <c:order val="2"/>
          <c:tx>
            <c:strRef>
              <c:f>'HAL - CAA - ip'!$B$45</c:f>
              <c:strCache>
                <c:ptCount val="1"/>
                <c:pt idx="0">
                  <c:v>Opex Forecast (Mid Stretch)</c:v>
                </c:pt>
              </c:strCache>
            </c:strRef>
          </c:tx>
          <c:spPr>
            <a:ln w="15875">
              <a:solidFill>
                <a:schemeClr val="accent2">
                  <a:lumMod val="60000"/>
                  <a:lumOff val="40000"/>
                </a:schemeClr>
              </a:solidFill>
            </a:ln>
          </c:spPr>
          <c:marker>
            <c:spPr>
              <a:solidFill>
                <a:schemeClr val="accent2">
                  <a:lumMod val="40000"/>
                  <a:lumOff val="60000"/>
                </a:schemeClr>
              </a:solidFill>
              <a:ln>
                <a:solidFill>
                  <a:schemeClr val="accent2">
                    <a:lumMod val="40000"/>
                    <a:lumOff val="60000"/>
                  </a:schemeClr>
                </a:solidFill>
              </a:ln>
            </c:spPr>
          </c:marker>
          <c:dLbls>
            <c:dLblPos val="b"/>
            <c:showVal val="1"/>
          </c:dLbls>
          <c:val>
            <c:numRef>
              <c:f>'HAL - CAA - ip'!$C$45:$M$45</c:f>
              <c:numCache>
                <c:formatCode>_-* #,##0_-;\-* #,##0_-;_-* "-"??_-;_-@_-</c:formatCode>
                <c:ptCount val="11"/>
                <c:pt idx="6">
                  <c:v>1065.5566626055997</c:v>
                </c:pt>
                <c:pt idx="7">
                  <c:v>1029.7333118123902</c:v>
                </c:pt>
                <c:pt idx="8">
                  <c:v>993.64042195939987</c:v>
                </c:pt>
                <c:pt idx="9">
                  <c:v>970.5377436227169</c:v>
                </c:pt>
                <c:pt idx="10">
                  <c:v>957.32346615432641</c:v>
                </c:pt>
              </c:numCache>
            </c:numRef>
          </c:val>
        </c:ser>
        <c:ser>
          <c:idx val="3"/>
          <c:order val="3"/>
          <c:tx>
            <c:strRef>
              <c:f>'HAL - CAA - ip'!$B$46</c:f>
              <c:strCache>
                <c:ptCount val="1"/>
                <c:pt idx="0">
                  <c:v>Opex Forecast (High Stretch)</c:v>
                </c:pt>
              </c:strCache>
            </c:strRef>
          </c:tx>
          <c:spPr>
            <a:ln w="15875">
              <a:solidFill>
                <a:schemeClr val="accent2">
                  <a:lumMod val="40000"/>
                  <a:lumOff val="60000"/>
                </a:schemeClr>
              </a:solidFill>
            </a:ln>
          </c:spPr>
          <c:marker>
            <c:spPr>
              <a:ln>
                <a:solidFill>
                  <a:srgbClr val="C0504D">
                    <a:lumMod val="40000"/>
                    <a:lumOff val="60000"/>
                  </a:srgbClr>
                </a:solidFill>
              </a:ln>
            </c:spPr>
          </c:marker>
          <c:dLbls>
            <c:dLblPos val="b"/>
            <c:showVal val="1"/>
          </c:dLbls>
          <c:val>
            <c:numRef>
              <c:f>'HAL - CAA - ip'!$C$46:$M$46</c:f>
              <c:numCache>
                <c:formatCode>_-* #,##0_-;\-* #,##0_-;_-* "-"??_-;_-@_-</c:formatCode>
                <c:ptCount val="11"/>
                <c:pt idx="6">
                  <c:v>1060.2284217786985</c:v>
                </c:pt>
                <c:pt idx="7">
                  <c:v>1015.6623020014175</c:v>
                </c:pt>
                <c:pt idx="8">
                  <c:v>983.93107889915245</c:v>
                </c:pt>
                <c:pt idx="9">
                  <c:v>953.3336155392733</c:v>
                </c:pt>
                <c:pt idx="10">
                  <c:v>930.42740993214443</c:v>
                </c:pt>
              </c:numCache>
            </c:numRef>
          </c:val>
        </c:ser>
        <c:marker val="1"/>
        <c:axId val="43381120"/>
        <c:axId val="43382656"/>
      </c:lineChart>
      <c:catAx>
        <c:axId val="43381120"/>
        <c:scaling>
          <c:orientation val="minMax"/>
        </c:scaling>
        <c:axPos val="b"/>
        <c:tickLblPos val="nextTo"/>
        <c:crossAx val="43382656"/>
        <c:crosses val="autoZero"/>
        <c:auto val="1"/>
        <c:lblAlgn val="ctr"/>
        <c:lblOffset val="100"/>
      </c:catAx>
      <c:valAx>
        <c:axId val="43382656"/>
        <c:scaling>
          <c:orientation val="minMax"/>
        </c:scaling>
        <c:axPos val="l"/>
        <c:majorGridlines/>
        <c:title>
          <c:tx>
            <c:rich>
              <a:bodyPr rot="-5400000" vert="horz"/>
              <a:lstStyle/>
              <a:p>
                <a:pPr>
                  <a:defRPr/>
                </a:pPr>
                <a:r>
                  <a:rPr lang="en-US"/>
                  <a:t>£m 2011/12</a:t>
                </a:r>
              </a:p>
            </c:rich>
          </c:tx>
        </c:title>
        <c:numFmt formatCode="_-* #,##0_-;\-* #,##0_-;_-* &quot;-&quot;??_-;_-@_-" sourceLinked="1"/>
        <c:tickLblPos val="nextTo"/>
        <c:crossAx val="43381120"/>
        <c:crosses val="autoZero"/>
        <c:crossBetween val="between"/>
      </c:valAx>
    </c:plotArea>
    <c:legend>
      <c:legendPos val="r"/>
      <c:layout>
        <c:manualLayout>
          <c:xMode val="edge"/>
          <c:yMode val="edge"/>
          <c:x val="0.14215266841644789"/>
          <c:y val="0.69274589675944598"/>
          <c:w val="0.8411806649168857"/>
          <c:h val="0.12946769301095309"/>
        </c:manualLayout>
      </c:layout>
    </c:legend>
    <c:plotVisOnly val="1"/>
  </c:chart>
  <c:spPr>
    <a:ln>
      <a:noFill/>
    </a:ln>
  </c:spPr>
  <c:txPr>
    <a:bodyPr/>
    <a:lstStyle/>
    <a:p>
      <a:pPr>
        <a:defRPr>
          <a:latin typeface="Arial" pitchFamily="34" charset="0"/>
          <a:cs typeface="Arial" pitchFamily="34" charset="0"/>
        </a:defRPr>
      </a:pPr>
      <a:endParaRPr lang="en-US"/>
    </a:p>
  </c:txPr>
  <c:printSettings>
    <c:headerFooter/>
    <c:pageMargins b="0.75000000000001277" l="0.70000000000000062" r="0.70000000000000062" t="0.75000000000001277"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a:pPr>
            <a:r>
              <a:rPr lang="en-US"/>
              <a:t>Opex per pax</a:t>
            </a:r>
          </a:p>
        </c:rich>
      </c:tx>
      <c:overlay val="1"/>
    </c:title>
    <c:plotArea>
      <c:layout>
        <c:manualLayout>
          <c:layoutTarget val="inner"/>
          <c:xMode val="edge"/>
          <c:yMode val="edge"/>
          <c:x val="0.11964129483814523"/>
          <c:y val="0.10054621674307376"/>
          <c:w val="0.84195581802275365"/>
          <c:h val="0.74521769517793657"/>
        </c:manualLayout>
      </c:layout>
      <c:lineChart>
        <c:grouping val="standard"/>
        <c:ser>
          <c:idx val="0"/>
          <c:order val="0"/>
          <c:tx>
            <c:v>FBP</c:v>
          </c:tx>
          <c:spPr>
            <a:ln w="15875"/>
          </c:spPr>
          <c:dLbls>
            <c:dLblPos val="t"/>
            <c:showVal val="1"/>
          </c:dLbls>
          <c:cat>
            <c:strRef>
              <c:f>'HAL - CAA - ip'!$C$34:$M$34</c:f>
              <c:strCache>
                <c:ptCount val="11"/>
                <c:pt idx="0">
                  <c:v>2008/09</c:v>
                </c:pt>
                <c:pt idx="1">
                  <c:v>2009/10</c:v>
                </c:pt>
                <c:pt idx="2">
                  <c:v>2010/11</c:v>
                </c:pt>
                <c:pt idx="3">
                  <c:v>2011/12</c:v>
                </c:pt>
                <c:pt idx="4">
                  <c:v>2012/13</c:v>
                </c:pt>
                <c:pt idx="5">
                  <c:v>2013/14</c:v>
                </c:pt>
                <c:pt idx="6">
                  <c:v>2014/15</c:v>
                </c:pt>
                <c:pt idx="7">
                  <c:v>2015/16</c:v>
                </c:pt>
                <c:pt idx="8">
                  <c:v>2016/17</c:v>
                </c:pt>
                <c:pt idx="9">
                  <c:v>2017/18</c:v>
                </c:pt>
                <c:pt idx="10">
                  <c:v>2018/19</c:v>
                </c:pt>
              </c:strCache>
            </c:strRef>
          </c:cat>
          <c:val>
            <c:numRef>
              <c:f>'HAL - CAA - ip'!$C$49:$M$49</c:f>
              <c:numCache>
                <c:formatCode>_-* #,##0.00_-;\-* #,##0.00_-;_-* "-"??_-;_-@_-</c:formatCode>
                <c:ptCount val="11"/>
                <c:pt idx="0">
                  <c:v>15.98937784522003</c:v>
                </c:pt>
                <c:pt idx="1">
                  <c:v>16.384266263237521</c:v>
                </c:pt>
                <c:pt idx="2">
                  <c:v>15.527987897125566</c:v>
                </c:pt>
                <c:pt idx="3">
                  <c:v>14.692948838866702</c:v>
                </c:pt>
                <c:pt idx="4">
                  <c:v>14.975574712643683</c:v>
                </c:pt>
                <c:pt idx="5">
                  <c:v>15.263081395348836</c:v>
                </c:pt>
                <c:pt idx="6">
                  <c:v>15.566784195071921</c:v>
                </c:pt>
                <c:pt idx="7">
                  <c:v>14.943886198385233</c:v>
                </c:pt>
                <c:pt idx="8">
                  <c:v>14.558112705416871</c:v>
                </c:pt>
                <c:pt idx="9">
                  <c:v>14.341458642061461</c:v>
                </c:pt>
                <c:pt idx="10">
                  <c:v>14.302529714490294</c:v>
                </c:pt>
              </c:numCache>
            </c:numRef>
          </c:val>
        </c:ser>
        <c:ser>
          <c:idx val="1"/>
          <c:order val="1"/>
          <c:tx>
            <c:v>Low stretch</c:v>
          </c:tx>
          <c:spPr>
            <a:ln w="15875"/>
          </c:spPr>
          <c:dLbls>
            <c:dLblPos val="t"/>
            <c:showVal val="1"/>
          </c:dLbls>
          <c:val>
            <c:numRef>
              <c:f>'HAL - CAA - ip'!$C$51:$M$51</c:f>
              <c:numCache>
                <c:formatCode>_-* #,##0.00_-;\-* #,##0.00_-;_-* "-"??_-;_-@_-</c:formatCode>
                <c:ptCount val="11"/>
                <c:pt idx="6">
                  <c:v>15.432454897876127</c:v>
                </c:pt>
                <c:pt idx="7">
                  <c:v>14.76659670397229</c:v>
                </c:pt>
                <c:pt idx="8">
                  <c:v>14.344243118506096</c:v>
                </c:pt>
                <c:pt idx="9">
                  <c:v>14.088604922337854</c:v>
                </c:pt>
                <c:pt idx="10">
                  <c:v>14.001156273256447</c:v>
                </c:pt>
              </c:numCache>
            </c:numRef>
          </c:val>
        </c:ser>
        <c:ser>
          <c:idx val="2"/>
          <c:order val="2"/>
          <c:tx>
            <c:v>Mid stretch</c:v>
          </c:tx>
          <c:spPr>
            <a:ln w="15875">
              <a:solidFill>
                <a:schemeClr val="accent2">
                  <a:lumMod val="60000"/>
                  <a:lumOff val="40000"/>
                </a:schemeClr>
              </a:solidFill>
            </a:ln>
          </c:spPr>
          <c:marker>
            <c:spPr>
              <a:solidFill>
                <a:srgbClr val="C0504D">
                  <a:lumMod val="40000"/>
                  <a:lumOff val="60000"/>
                </a:srgbClr>
              </a:solidFill>
              <a:ln>
                <a:solidFill>
                  <a:srgbClr val="C0504D">
                    <a:lumMod val="40000"/>
                    <a:lumOff val="60000"/>
                  </a:srgbClr>
                </a:solidFill>
              </a:ln>
            </c:spPr>
          </c:marker>
          <c:dLbls>
            <c:dLblPos val="ctr"/>
            <c:showVal val="1"/>
          </c:dLbls>
          <c:val>
            <c:numRef>
              <c:f>'HAL - CAA - ip'!$C$52:$M$52</c:f>
              <c:numCache>
                <c:formatCode>#,##0.00_ ;\-#,##0.00\ </c:formatCode>
                <c:ptCount val="11"/>
                <c:pt idx="6" formatCode="_-* #,##0.00_-;\-* #,##0.00_-;_-* &quot;-&quot;??_-;_-@_-">
                  <c:v>15.344415209758314</c:v>
                </c:pt>
                <c:pt idx="7" formatCode="_-* #,##0.00_-;\-* #,##0.00_-;_-* &quot;-&quot;??_-;_-@_-">
                  <c:v>14.611578120106518</c:v>
                </c:pt>
                <c:pt idx="8" formatCode="_-* #,##0.00_-;\-* #,##0.00_-;_-* &quot;-&quot;??_-;_-@_-">
                  <c:v>14.098707410788968</c:v>
                </c:pt>
                <c:pt idx="9" formatCode="_-* #,##0.00_-;\-* #,##0.00_-;_-* &quot;-&quot;??_-;_-@_-">
                  <c:v>13.681934570763747</c:v>
                </c:pt>
                <c:pt idx="10" formatCode="_-* #,##0.00_-;\-* #,##0.00_-;_-* &quot;-&quot;??_-;_-@_-">
                  <c:v>13.408256140158048</c:v>
                </c:pt>
              </c:numCache>
            </c:numRef>
          </c:val>
        </c:ser>
        <c:ser>
          <c:idx val="3"/>
          <c:order val="3"/>
          <c:tx>
            <c:v>High stretch</c:v>
          </c:tx>
          <c:spPr>
            <a:ln w="15875">
              <a:solidFill>
                <a:schemeClr val="accent2">
                  <a:lumMod val="40000"/>
                  <a:lumOff val="60000"/>
                </a:schemeClr>
              </a:solidFill>
            </a:ln>
          </c:spPr>
          <c:marker>
            <c:spPr>
              <a:ln>
                <a:solidFill>
                  <a:srgbClr val="C0504D">
                    <a:lumMod val="40000"/>
                    <a:lumOff val="60000"/>
                  </a:srgbClr>
                </a:solidFill>
              </a:ln>
            </c:spPr>
          </c:marker>
          <c:dLbls>
            <c:dLblPos val="b"/>
            <c:showVal val="1"/>
          </c:dLbls>
          <c:val>
            <c:numRef>
              <c:f>'HAL - CAA - ip'!$C$53:$M$53</c:f>
              <c:numCache>
                <c:formatCode>_-* #,##0.00_-;\-* #,##0.00_-;_-* "-"??_-;_-@_-</c:formatCode>
                <c:ptCount val="11"/>
                <c:pt idx="6">
                  <c:v>15.256375521640498</c:v>
                </c:pt>
                <c:pt idx="7">
                  <c:v>14.456559536240745</c:v>
                </c:pt>
                <c:pt idx="8">
                  <c:v>13.853171703071839</c:v>
                </c:pt>
                <c:pt idx="9">
                  <c:v>13.275264219189641</c:v>
                </c:pt>
                <c:pt idx="10">
                  <c:v>12.815356007059648</c:v>
                </c:pt>
              </c:numCache>
            </c:numRef>
          </c:val>
        </c:ser>
        <c:marker val="1"/>
        <c:axId val="41916288"/>
        <c:axId val="41917824"/>
      </c:lineChart>
      <c:catAx>
        <c:axId val="41916288"/>
        <c:scaling>
          <c:orientation val="minMax"/>
        </c:scaling>
        <c:axPos val="b"/>
        <c:tickLblPos val="nextTo"/>
        <c:crossAx val="41917824"/>
        <c:crosses val="autoZero"/>
        <c:auto val="1"/>
        <c:lblAlgn val="ctr"/>
        <c:lblOffset val="100"/>
      </c:catAx>
      <c:valAx>
        <c:axId val="41917824"/>
        <c:scaling>
          <c:orientation val="minMax"/>
          <c:min val="12"/>
        </c:scaling>
        <c:axPos val="l"/>
        <c:majorGridlines/>
        <c:title>
          <c:tx>
            <c:rich>
              <a:bodyPr rot="-5400000" vert="horz"/>
              <a:lstStyle/>
              <a:p>
                <a:pPr>
                  <a:defRPr/>
                </a:pPr>
                <a:r>
                  <a:rPr lang="en-US"/>
                  <a:t>£ 2011/12</a:t>
                </a:r>
              </a:p>
            </c:rich>
          </c:tx>
        </c:title>
        <c:numFmt formatCode="_-* #,##0.00_-;\-* #,##0.00_-;_-* &quot;-&quot;??_-;_-@_-" sourceLinked="1"/>
        <c:tickLblPos val="nextTo"/>
        <c:crossAx val="41916288"/>
        <c:crosses val="autoZero"/>
        <c:crossBetween val="between"/>
      </c:valAx>
    </c:plotArea>
    <c:legend>
      <c:legendPos val="r"/>
      <c:layout>
        <c:manualLayout>
          <c:xMode val="edge"/>
          <c:yMode val="edge"/>
          <c:x val="0.11854181588731916"/>
          <c:y val="0.74167512370543864"/>
          <c:w val="0.85219914110875061"/>
          <c:h val="9.7807636400061779E-2"/>
        </c:manualLayout>
      </c:layout>
    </c:legend>
    <c:plotVisOnly val="1"/>
  </c:chart>
  <c:spPr>
    <a:ln>
      <a:noFill/>
    </a:ln>
  </c:spPr>
  <c:txPr>
    <a:bodyPr/>
    <a:lstStyle/>
    <a:p>
      <a:pPr>
        <a:defRPr>
          <a:latin typeface="Arial" pitchFamily="34" charset="0"/>
          <a:cs typeface="Arial" pitchFamily="34" charset="0"/>
        </a:defRPr>
      </a:pPr>
      <a:endParaRPr lang="en-US"/>
    </a:p>
  </c:txPr>
  <c:printSettings>
    <c:headerFooter/>
    <c:pageMargins b="0.75000000000001299" l="0.70000000000000062" r="0.70000000000000062" t="0.75000000000001299"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sz="1400"/>
            </a:pPr>
            <a:r>
              <a:rPr lang="en-US" sz="1400"/>
              <a:t>Breakdown of CAA Efficiency Initial Proposals</a:t>
            </a:r>
          </a:p>
        </c:rich>
      </c:tx>
      <c:overlay val="1"/>
    </c:title>
    <c:plotArea>
      <c:layout>
        <c:manualLayout>
          <c:layoutTarget val="inner"/>
          <c:xMode val="edge"/>
          <c:yMode val="edge"/>
          <c:x val="7.2636836759665091E-2"/>
          <c:y val="0.11965815186974947"/>
          <c:w val="0.91418387568412962"/>
          <c:h val="0.75884884819945453"/>
        </c:manualLayout>
      </c:layout>
      <c:barChart>
        <c:barDir val="col"/>
        <c:grouping val="stacked"/>
        <c:ser>
          <c:idx val="0"/>
          <c:order val="0"/>
          <c:tx>
            <c:strRef>
              <c:f>'HAL - CAA - ip'!$B$116</c:f>
              <c:strCache>
                <c:ptCount val="1"/>
                <c:pt idx="0">
                  <c:v>IBP</c:v>
                </c:pt>
              </c:strCache>
            </c:strRef>
          </c:tx>
          <c:spPr>
            <a:solidFill>
              <a:schemeClr val="tx2"/>
            </a:solidFill>
          </c:spPr>
          <c:dLbls>
            <c:txPr>
              <a:bodyPr/>
              <a:lstStyle/>
              <a:p>
                <a:pPr>
                  <a:defRPr>
                    <a:solidFill>
                      <a:schemeClr val="bg1"/>
                    </a:solidFill>
                  </a:defRPr>
                </a:pPr>
                <a:endParaRPr lang="en-US"/>
              </a:p>
            </c:txPr>
            <c:showVal val="1"/>
          </c:dLbls>
          <c:cat>
            <c:strRef>
              <c:f>'HAL - CAA - ip'!$C$115:$L$115</c:f>
              <c:strCache>
                <c:ptCount val="10"/>
                <c:pt idx="0">
                  <c:v>IBP</c:v>
                </c:pt>
                <c:pt idx="1">
                  <c:v>FBP</c:v>
                </c:pt>
                <c:pt idx="2">
                  <c:v>Wage efficiency</c:v>
                </c:pt>
                <c:pt idx="3">
                  <c:v>Other opex</c:v>
                </c:pt>
                <c:pt idx="4">
                  <c:v>M and A</c:v>
                </c:pt>
                <c:pt idx="5">
                  <c:v>Frontier shift</c:v>
                </c:pt>
                <c:pt idx="6">
                  <c:v>Pension efficiency</c:v>
                </c:pt>
                <c:pt idx="7">
                  <c:v>Central support</c:v>
                </c:pt>
                <c:pt idx="8">
                  <c:v>CAA</c:v>
                </c:pt>
                <c:pt idx="9">
                  <c:v>BA</c:v>
                </c:pt>
              </c:strCache>
            </c:strRef>
          </c:cat>
          <c:val>
            <c:numRef>
              <c:f>'HAL - CAA - ip'!$C$116:$L$116</c:f>
              <c:numCache>
                <c:formatCode>General</c:formatCode>
                <c:ptCount val="10"/>
                <c:pt idx="0" formatCode="#,##0">
                  <c:v>5304.1145737543011</c:v>
                </c:pt>
              </c:numCache>
            </c:numRef>
          </c:val>
        </c:ser>
        <c:ser>
          <c:idx val="1"/>
          <c:order val="1"/>
          <c:tx>
            <c:strRef>
              <c:f>'HAL - CAA - ip'!$B$117</c:f>
              <c:strCache>
                <c:ptCount val="1"/>
                <c:pt idx="0">
                  <c:v>FBP</c:v>
                </c:pt>
              </c:strCache>
            </c:strRef>
          </c:tx>
          <c:dPt>
            <c:idx val="1"/>
            <c:spPr>
              <a:solidFill>
                <a:schemeClr val="tx2"/>
              </a:solidFill>
            </c:spPr>
          </c:dPt>
          <c:dPt>
            <c:idx val="2"/>
            <c:spPr>
              <a:noFill/>
            </c:spPr>
          </c:dPt>
          <c:dPt>
            <c:idx val="3"/>
            <c:spPr>
              <a:noFill/>
            </c:spPr>
          </c:dPt>
          <c:dPt>
            <c:idx val="4"/>
            <c:spPr>
              <a:noFill/>
            </c:spPr>
          </c:dPt>
          <c:dPt>
            <c:idx val="5"/>
            <c:spPr>
              <a:noFill/>
            </c:spPr>
          </c:dPt>
          <c:dPt>
            <c:idx val="6"/>
            <c:spPr>
              <a:noFill/>
            </c:spPr>
          </c:dPt>
          <c:dPt>
            <c:idx val="7"/>
            <c:spPr>
              <a:noFill/>
            </c:spPr>
          </c:dPt>
          <c:dLbls>
            <c:dLbl>
              <c:idx val="2"/>
              <c:delete val="1"/>
            </c:dLbl>
            <c:dLbl>
              <c:idx val="3"/>
              <c:delete val="1"/>
            </c:dLbl>
            <c:dLbl>
              <c:idx val="4"/>
              <c:delete val="1"/>
            </c:dLbl>
            <c:dLbl>
              <c:idx val="5"/>
              <c:delete val="1"/>
            </c:dLbl>
            <c:dLbl>
              <c:idx val="6"/>
              <c:delete val="1"/>
            </c:dLbl>
            <c:dLbl>
              <c:idx val="7"/>
              <c:delete val="1"/>
            </c:dLbl>
            <c:txPr>
              <a:bodyPr/>
              <a:lstStyle/>
              <a:p>
                <a:pPr>
                  <a:defRPr>
                    <a:solidFill>
                      <a:schemeClr val="bg1"/>
                    </a:solidFill>
                  </a:defRPr>
                </a:pPr>
                <a:endParaRPr lang="en-US"/>
              </a:p>
            </c:txPr>
            <c:showVal val="1"/>
          </c:dLbls>
          <c:cat>
            <c:strRef>
              <c:f>'HAL - CAA - ip'!$C$115:$L$115</c:f>
              <c:strCache>
                <c:ptCount val="10"/>
                <c:pt idx="0">
                  <c:v>IBP</c:v>
                </c:pt>
                <c:pt idx="1">
                  <c:v>FBP</c:v>
                </c:pt>
                <c:pt idx="2">
                  <c:v>Wage efficiency</c:v>
                </c:pt>
                <c:pt idx="3">
                  <c:v>Other opex</c:v>
                </c:pt>
                <c:pt idx="4">
                  <c:v>M and A</c:v>
                </c:pt>
                <c:pt idx="5">
                  <c:v>Frontier shift</c:v>
                </c:pt>
                <c:pt idx="6">
                  <c:v>Pension efficiency</c:v>
                </c:pt>
                <c:pt idx="7">
                  <c:v>Central support</c:v>
                </c:pt>
                <c:pt idx="8">
                  <c:v>CAA</c:v>
                </c:pt>
                <c:pt idx="9">
                  <c:v>BA</c:v>
                </c:pt>
              </c:strCache>
            </c:strRef>
          </c:cat>
          <c:val>
            <c:numRef>
              <c:f>'HAL - CAA - ip'!$C$117:$L$117</c:f>
              <c:numCache>
                <c:formatCode>_-* #,##0_-;\-* #,##0_-;_-* "-"??_-;_-@_-</c:formatCode>
                <c:ptCount val="10"/>
                <c:pt idx="1">
                  <c:v>5233.9999999999991</c:v>
                </c:pt>
                <c:pt idx="2">
                  <c:v>5153.8861710803476</c:v>
                </c:pt>
                <c:pt idx="3">
                  <c:v>5076.3061710803477</c:v>
                </c:pt>
                <c:pt idx="4">
                  <c:v>5048.0861710803474</c:v>
                </c:pt>
                <c:pt idx="5">
                  <c:v>5026.8598834916738</c:v>
                </c:pt>
                <c:pt idx="6">
                  <c:v>5016.791606154432</c:v>
                </c:pt>
                <c:pt idx="7">
                  <c:v>5016.791606154432</c:v>
                </c:pt>
              </c:numCache>
            </c:numRef>
          </c:val>
        </c:ser>
        <c:ser>
          <c:idx val="2"/>
          <c:order val="2"/>
          <c:tx>
            <c:strRef>
              <c:f>'HAL - CAA - ip'!$B$118</c:f>
              <c:strCache>
                <c:ptCount val="1"/>
                <c:pt idx="0">
                  <c:v>Wage efficiency</c:v>
                </c:pt>
              </c:strCache>
            </c:strRef>
          </c:tx>
          <c:dPt>
            <c:idx val="2"/>
            <c:spPr>
              <a:solidFill>
                <a:schemeClr val="accent2"/>
              </a:solidFill>
            </c:spPr>
          </c:dPt>
          <c:dLbls>
            <c:txPr>
              <a:bodyPr/>
              <a:lstStyle/>
              <a:p>
                <a:pPr>
                  <a:defRPr>
                    <a:solidFill>
                      <a:schemeClr val="bg1"/>
                    </a:solidFill>
                  </a:defRPr>
                </a:pPr>
                <a:endParaRPr lang="en-US"/>
              </a:p>
            </c:txPr>
            <c:showVal val="1"/>
          </c:dLbls>
          <c:cat>
            <c:strRef>
              <c:f>'HAL - CAA - ip'!$C$115:$L$115</c:f>
              <c:strCache>
                <c:ptCount val="10"/>
                <c:pt idx="0">
                  <c:v>IBP</c:v>
                </c:pt>
                <c:pt idx="1">
                  <c:v>FBP</c:v>
                </c:pt>
                <c:pt idx="2">
                  <c:v>Wage efficiency</c:v>
                </c:pt>
                <c:pt idx="3">
                  <c:v>Other opex</c:v>
                </c:pt>
                <c:pt idx="4">
                  <c:v>M and A</c:v>
                </c:pt>
                <c:pt idx="5">
                  <c:v>Frontier shift</c:v>
                </c:pt>
                <c:pt idx="6">
                  <c:v>Pension efficiency</c:v>
                </c:pt>
                <c:pt idx="7">
                  <c:v>Central support</c:v>
                </c:pt>
                <c:pt idx="8">
                  <c:v>CAA</c:v>
                </c:pt>
                <c:pt idx="9">
                  <c:v>BA</c:v>
                </c:pt>
              </c:strCache>
            </c:strRef>
          </c:cat>
          <c:val>
            <c:numRef>
              <c:f>'HAL - CAA - ip'!$C$118:$L$118</c:f>
              <c:numCache>
                <c:formatCode>_-* #,##0_-;\-* #,##0_-;_-* "-"??_-;_-@_-</c:formatCode>
                <c:ptCount val="10"/>
                <c:pt idx="2">
                  <c:v>80.113828919651084</c:v>
                </c:pt>
              </c:numCache>
            </c:numRef>
          </c:val>
        </c:ser>
        <c:ser>
          <c:idx val="3"/>
          <c:order val="3"/>
          <c:tx>
            <c:strRef>
              <c:f>'HAL - CAA - ip'!$B$119</c:f>
              <c:strCache>
                <c:ptCount val="1"/>
                <c:pt idx="0">
                  <c:v>Other opex</c:v>
                </c:pt>
              </c:strCache>
            </c:strRef>
          </c:tx>
          <c:spPr>
            <a:solidFill>
              <a:schemeClr val="accent2"/>
            </a:solidFill>
          </c:spPr>
          <c:dLbls>
            <c:txPr>
              <a:bodyPr/>
              <a:lstStyle/>
              <a:p>
                <a:pPr>
                  <a:defRPr>
                    <a:solidFill>
                      <a:schemeClr val="bg1"/>
                    </a:solidFill>
                  </a:defRPr>
                </a:pPr>
                <a:endParaRPr lang="en-US"/>
              </a:p>
            </c:txPr>
            <c:showVal val="1"/>
          </c:dLbls>
          <c:cat>
            <c:strRef>
              <c:f>'HAL - CAA - ip'!$C$115:$L$115</c:f>
              <c:strCache>
                <c:ptCount val="10"/>
                <c:pt idx="0">
                  <c:v>IBP</c:v>
                </c:pt>
                <c:pt idx="1">
                  <c:v>FBP</c:v>
                </c:pt>
                <c:pt idx="2">
                  <c:v>Wage efficiency</c:v>
                </c:pt>
                <c:pt idx="3">
                  <c:v>Other opex</c:v>
                </c:pt>
                <c:pt idx="4">
                  <c:v>M and A</c:v>
                </c:pt>
                <c:pt idx="5">
                  <c:v>Frontier shift</c:v>
                </c:pt>
                <c:pt idx="6">
                  <c:v>Pension efficiency</c:v>
                </c:pt>
                <c:pt idx="7">
                  <c:v>Central support</c:v>
                </c:pt>
                <c:pt idx="8">
                  <c:v>CAA</c:v>
                </c:pt>
                <c:pt idx="9">
                  <c:v>BA</c:v>
                </c:pt>
              </c:strCache>
            </c:strRef>
          </c:cat>
          <c:val>
            <c:numRef>
              <c:f>'HAL - CAA - ip'!$C$119:$L$119</c:f>
              <c:numCache>
                <c:formatCode>_-* #,##0_-;\-* #,##0_-;_-* "-"??_-;_-@_-</c:formatCode>
                <c:ptCount val="10"/>
                <c:pt idx="3">
                  <c:v>77.579999999999984</c:v>
                </c:pt>
              </c:numCache>
            </c:numRef>
          </c:val>
        </c:ser>
        <c:ser>
          <c:idx val="4"/>
          <c:order val="4"/>
          <c:tx>
            <c:strRef>
              <c:f>'HAL - CAA - ip'!$B$120</c:f>
              <c:strCache>
                <c:ptCount val="1"/>
                <c:pt idx="0">
                  <c:v>M and A</c:v>
                </c:pt>
              </c:strCache>
            </c:strRef>
          </c:tx>
          <c:spPr>
            <a:solidFill>
              <a:schemeClr val="accent2"/>
            </a:solidFill>
          </c:spPr>
          <c:dLbls>
            <c:showVal val="1"/>
          </c:dLbls>
          <c:cat>
            <c:strRef>
              <c:f>'HAL - CAA - ip'!$C$115:$L$115</c:f>
              <c:strCache>
                <c:ptCount val="10"/>
                <c:pt idx="0">
                  <c:v>IBP</c:v>
                </c:pt>
                <c:pt idx="1">
                  <c:v>FBP</c:v>
                </c:pt>
                <c:pt idx="2">
                  <c:v>Wage efficiency</c:v>
                </c:pt>
                <c:pt idx="3">
                  <c:v>Other opex</c:v>
                </c:pt>
                <c:pt idx="4">
                  <c:v>M and A</c:v>
                </c:pt>
                <c:pt idx="5">
                  <c:v>Frontier shift</c:v>
                </c:pt>
                <c:pt idx="6">
                  <c:v>Pension efficiency</c:v>
                </c:pt>
                <c:pt idx="7">
                  <c:v>Central support</c:v>
                </c:pt>
                <c:pt idx="8">
                  <c:v>CAA</c:v>
                </c:pt>
                <c:pt idx="9">
                  <c:v>BA</c:v>
                </c:pt>
              </c:strCache>
            </c:strRef>
          </c:cat>
          <c:val>
            <c:numRef>
              <c:f>'HAL - CAA - ip'!$C$120:$L$120</c:f>
              <c:numCache>
                <c:formatCode>_-* #,##0_-;\-* #,##0_-;_-* "-"??_-;_-@_-</c:formatCode>
                <c:ptCount val="10"/>
                <c:pt idx="4">
                  <c:v>28.22</c:v>
                </c:pt>
              </c:numCache>
            </c:numRef>
          </c:val>
        </c:ser>
        <c:ser>
          <c:idx val="5"/>
          <c:order val="5"/>
          <c:tx>
            <c:strRef>
              <c:f>'HAL - CAA - ip'!$B$121</c:f>
              <c:strCache>
                <c:ptCount val="1"/>
                <c:pt idx="0">
                  <c:v>Frontier shift</c:v>
                </c:pt>
              </c:strCache>
            </c:strRef>
          </c:tx>
          <c:spPr>
            <a:solidFill>
              <a:schemeClr val="accent2"/>
            </a:solidFill>
          </c:spPr>
          <c:dLbls>
            <c:showVal val="1"/>
          </c:dLbls>
          <c:cat>
            <c:strRef>
              <c:f>'HAL - CAA - ip'!$C$115:$L$115</c:f>
              <c:strCache>
                <c:ptCount val="10"/>
                <c:pt idx="0">
                  <c:v>IBP</c:v>
                </c:pt>
                <c:pt idx="1">
                  <c:v>FBP</c:v>
                </c:pt>
                <c:pt idx="2">
                  <c:v>Wage efficiency</c:v>
                </c:pt>
                <c:pt idx="3">
                  <c:v>Other opex</c:v>
                </c:pt>
                <c:pt idx="4">
                  <c:v>M and A</c:v>
                </c:pt>
                <c:pt idx="5">
                  <c:v>Frontier shift</c:v>
                </c:pt>
                <c:pt idx="6">
                  <c:v>Pension efficiency</c:v>
                </c:pt>
                <c:pt idx="7">
                  <c:v>Central support</c:v>
                </c:pt>
                <c:pt idx="8">
                  <c:v>CAA</c:v>
                </c:pt>
                <c:pt idx="9">
                  <c:v>BA</c:v>
                </c:pt>
              </c:strCache>
            </c:strRef>
          </c:cat>
          <c:val>
            <c:numRef>
              <c:f>'HAL - CAA - ip'!$C$121:$L$121</c:f>
              <c:numCache>
                <c:formatCode>_-* #,##0_-;\-* #,##0_-;_-* "-"??_-;_-@_-</c:formatCode>
                <c:ptCount val="10"/>
                <c:pt idx="5">
                  <c:v>21.226287588673586</c:v>
                </c:pt>
              </c:numCache>
            </c:numRef>
          </c:val>
        </c:ser>
        <c:ser>
          <c:idx val="6"/>
          <c:order val="6"/>
          <c:tx>
            <c:strRef>
              <c:f>'HAL - CAA - ip'!$B$122</c:f>
              <c:strCache>
                <c:ptCount val="1"/>
                <c:pt idx="0">
                  <c:v>Pension efficiency</c:v>
                </c:pt>
              </c:strCache>
            </c:strRef>
          </c:tx>
          <c:spPr>
            <a:solidFill>
              <a:schemeClr val="accent2"/>
            </a:solidFill>
          </c:spPr>
          <c:dLbls>
            <c:showVal val="1"/>
          </c:dLbls>
          <c:cat>
            <c:strRef>
              <c:f>'HAL - CAA - ip'!$C$115:$L$115</c:f>
              <c:strCache>
                <c:ptCount val="10"/>
                <c:pt idx="0">
                  <c:v>IBP</c:v>
                </c:pt>
                <c:pt idx="1">
                  <c:v>FBP</c:v>
                </c:pt>
                <c:pt idx="2">
                  <c:v>Wage efficiency</c:v>
                </c:pt>
                <c:pt idx="3">
                  <c:v>Other opex</c:v>
                </c:pt>
                <c:pt idx="4">
                  <c:v>M and A</c:v>
                </c:pt>
                <c:pt idx="5">
                  <c:v>Frontier shift</c:v>
                </c:pt>
                <c:pt idx="6">
                  <c:v>Pension efficiency</c:v>
                </c:pt>
                <c:pt idx="7">
                  <c:v>Central support</c:v>
                </c:pt>
                <c:pt idx="8">
                  <c:v>CAA</c:v>
                </c:pt>
                <c:pt idx="9">
                  <c:v>BA</c:v>
                </c:pt>
              </c:strCache>
            </c:strRef>
          </c:cat>
          <c:val>
            <c:numRef>
              <c:f>'HAL - CAA - ip'!$C$122:$L$122</c:f>
              <c:numCache>
                <c:formatCode>_-* #,##0_-;\-* #,##0_-;_-* "-"??_-;_-@_-</c:formatCode>
                <c:ptCount val="10"/>
                <c:pt idx="6">
                  <c:v>10.068277337241591</c:v>
                </c:pt>
              </c:numCache>
            </c:numRef>
          </c:val>
        </c:ser>
        <c:ser>
          <c:idx val="7"/>
          <c:order val="7"/>
          <c:tx>
            <c:strRef>
              <c:f>'HAL - CAA - ip'!$B$123</c:f>
              <c:strCache>
                <c:ptCount val="1"/>
                <c:pt idx="0">
                  <c:v>Central support</c:v>
                </c:pt>
              </c:strCache>
            </c:strRef>
          </c:tx>
          <c:cat>
            <c:strRef>
              <c:f>'HAL - CAA - ip'!$C$115:$L$115</c:f>
              <c:strCache>
                <c:ptCount val="10"/>
                <c:pt idx="0">
                  <c:v>IBP</c:v>
                </c:pt>
                <c:pt idx="1">
                  <c:v>FBP</c:v>
                </c:pt>
                <c:pt idx="2">
                  <c:v>Wage efficiency</c:v>
                </c:pt>
                <c:pt idx="3">
                  <c:v>Other opex</c:v>
                </c:pt>
                <c:pt idx="4">
                  <c:v>M and A</c:v>
                </c:pt>
                <c:pt idx="5">
                  <c:v>Frontier shift</c:v>
                </c:pt>
                <c:pt idx="6">
                  <c:v>Pension efficiency</c:v>
                </c:pt>
                <c:pt idx="7">
                  <c:v>Central support</c:v>
                </c:pt>
                <c:pt idx="8">
                  <c:v>CAA</c:v>
                </c:pt>
                <c:pt idx="9">
                  <c:v>BA</c:v>
                </c:pt>
              </c:strCache>
            </c:strRef>
          </c:cat>
          <c:val>
            <c:numRef>
              <c:f>'HAL - CAA - ip'!$C$123:$L$123</c:f>
              <c:numCache>
                <c:formatCode>_-* #,##0_-;\-* #,##0_-;_-* "-"??_-;_-@_-</c:formatCode>
                <c:ptCount val="10"/>
                <c:pt idx="7">
                  <c:v>0</c:v>
                </c:pt>
              </c:numCache>
            </c:numRef>
          </c:val>
        </c:ser>
        <c:ser>
          <c:idx val="8"/>
          <c:order val="8"/>
          <c:tx>
            <c:strRef>
              <c:f>'HAL - CAA - ip'!$B$124</c:f>
              <c:strCache>
                <c:ptCount val="1"/>
                <c:pt idx="0">
                  <c:v>CAA</c:v>
                </c:pt>
              </c:strCache>
            </c:strRef>
          </c:tx>
          <c:spPr>
            <a:solidFill>
              <a:schemeClr val="tx2"/>
            </a:solidFill>
          </c:spPr>
          <c:dLbls>
            <c:txPr>
              <a:bodyPr/>
              <a:lstStyle/>
              <a:p>
                <a:pPr>
                  <a:defRPr>
                    <a:solidFill>
                      <a:schemeClr val="bg1"/>
                    </a:solidFill>
                  </a:defRPr>
                </a:pPr>
                <a:endParaRPr lang="en-US"/>
              </a:p>
            </c:txPr>
            <c:showVal val="1"/>
          </c:dLbls>
          <c:cat>
            <c:strRef>
              <c:f>'HAL - CAA - ip'!$C$115:$L$115</c:f>
              <c:strCache>
                <c:ptCount val="10"/>
                <c:pt idx="0">
                  <c:v>IBP</c:v>
                </c:pt>
                <c:pt idx="1">
                  <c:v>FBP</c:v>
                </c:pt>
                <c:pt idx="2">
                  <c:v>Wage efficiency</c:v>
                </c:pt>
                <c:pt idx="3">
                  <c:v>Other opex</c:v>
                </c:pt>
                <c:pt idx="4">
                  <c:v>M and A</c:v>
                </c:pt>
                <c:pt idx="5">
                  <c:v>Frontier shift</c:v>
                </c:pt>
                <c:pt idx="6">
                  <c:v>Pension efficiency</c:v>
                </c:pt>
                <c:pt idx="7">
                  <c:v>Central support</c:v>
                </c:pt>
                <c:pt idx="8">
                  <c:v>CAA</c:v>
                </c:pt>
                <c:pt idx="9">
                  <c:v>BA</c:v>
                </c:pt>
              </c:strCache>
            </c:strRef>
          </c:cat>
          <c:val>
            <c:numRef>
              <c:f>'HAL - CAA - ip'!$C$124:$L$124</c:f>
              <c:numCache>
                <c:formatCode>_-* #,##0_-;\-* #,##0_-;_-* "-"??_-;_-@_-</c:formatCode>
                <c:ptCount val="10"/>
                <c:pt idx="8">
                  <c:v>5016.7916061544329</c:v>
                </c:pt>
              </c:numCache>
            </c:numRef>
          </c:val>
        </c:ser>
        <c:ser>
          <c:idx val="9"/>
          <c:order val="9"/>
          <c:tx>
            <c:strRef>
              <c:f>'HAL - CAA - ip'!$B$125</c:f>
              <c:strCache>
                <c:ptCount val="1"/>
                <c:pt idx="0">
                  <c:v>BA</c:v>
                </c:pt>
              </c:strCache>
            </c:strRef>
          </c:tx>
          <c:dPt>
            <c:idx val="9"/>
            <c:spPr>
              <a:solidFill>
                <a:schemeClr val="accent3"/>
              </a:solidFill>
            </c:spPr>
          </c:dPt>
          <c:dLbls>
            <c:txPr>
              <a:bodyPr/>
              <a:lstStyle/>
              <a:p>
                <a:pPr>
                  <a:defRPr>
                    <a:solidFill>
                      <a:schemeClr val="bg1"/>
                    </a:solidFill>
                  </a:defRPr>
                </a:pPr>
                <a:endParaRPr lang="en-US"/>
              </a:p>
            </c:txPr>
            <c:showVal val="1"/>
          </c:dLbls>
          <c:cat>
            <c:strRef>
              <c:f>'HAL - CAA - ip'!$C$115:$L$115</c:f>
              <c:strCache>
                <c:ptCount val="10"/>
                <c:pt idx="0">
                  <c:v>IBP</c:v>
                </c:pt>
                <c:pt idx="1">
                  <c:v>FBP</c:v>
                </c:pt>
                <c:pt idx="2">
                  <c:v>Wage efficiency</c:v>
                </c:pt>
                <c:pt idx="3">
                  <c:v>Other opex</c:v>
                </c:pt>
                <c:pt idx="4">
                  <c:v>M and A</c:v>
                </c:pt>
                <c:pt idx="5">
                  <c:v>Frontier shift</c:v>
                </c:pt>
                <c:pt idx="6">
                  <c:v>Pension efficiency</c:v>
                </c:pt>
                <c:pt idx="7">
                  <c:v>Central support</c:v>
                </c:pt>
                <c:pt idx="8">
                  <c:v>CAA</c:v>
                </c:pt>
                <c:pt idx="9">
                  <c:v>BA</c:v>
                </c:pt>
              </c:strCache>
            </c:strRef>
          </c:cat>
          <c:val>
            <c:numRef>
              <c:f>'HAL - CAA - ip'!$C$125:$L$125</c:f>
              <c:numCache>
                <c:formatCode>General</c:formatCode>
                <c:ptCount val="10"/>
                <c:pt idx="9" formatCode="_-* #,##0_-;\-* #,##0_-;_-* &quot;-&quot;??_-;_-@_-">
                  <c:v>4048.1219713225028</c:v>
                </c:pt>
              </c:numCache>
            </c:numRef>
          </c:val>
        </c:ser>
        <c:gapWidth val="5"/>
        <c:overlap val="100"/>
        <c:axId val="43575168"/>
        <c:axId val="43576704"/>
      </c:barChart>
      <c:catAx>
        <c:axId val="43575168"/>
        <c:scaling>
          <c:orientation val="minMax"/>
        </c:scaling>
        <c:axPos val="b"/>
        <c:tickLblPos val="nextTo"/>
        <c:crossAx val="43576704"/>
        <c:crosses val="autoZero"/>
        <c:auto val="1"/>
        <c:lblAlgn val="ctr"/>
        <c:lblOffset val="100"/>
      </c:catAx>
      <c:valAx>
        <c:axId val="43576704"/>
        <c:scaling>
          <c:orientation val="minMax"/>
          <c:min val="4000"/>
        </c:scaling>
        <c:axPos val="l"/>
        <c:majorGridlines/>
        <c:title>
          <c:tx>
            <c:rich>
              <a:bodyPr rot="-5400000" vert="horz"/>
              <a:lstStyle/>
              <a:p>
                <a:pPr>
                  <a:defRPr/>
                </a:pPr>
                <a:r>
                  <a:rPr lang="en-US"/>
                  <a:t>£m 2011/12</a:t>
                </a:r>
              </a:p>
            </c:rich>
          </c:tx>
        </c:title>
        <c:numFmt formatCode="#,##0" sourceLinked="1"/>
        <c:tickLblPos val="nextTo"/>
        <c:crossAx val="43575168"/>
        <c:crosses val="autoZero"/>
        <c:crossBetween val="between"/>
      </c:valAx>
    </c:plotArea>
    <c:plotVisOnly val="1"/>
  </c:chart>
  <c:spPr>
    <a:ln>
      <a:noFill/>
    </a:ln>
  </c:spPr>
  <c:txPr>
    <a:bodyPr/>
    <a:lstStyle/>
    <a:p>
      <a:pPr>
        <a:defRPr>
          <a:latin typeface="Arial" pitchFamily="34" charset="0"/>
          <a:cs typeface="Arial" pitchFamily="34" charset="0"/>
        </a:defRPr>
      </a:pPr>
      <a:endParaRPr lang="en-US"/>
    </a:p>
  </c:txPr>
  <c:printSettings>
    <c:headerFooter/>
    <c:pageMargins b="0.75000000000001132" l="0.70000000000000062" r="0.70000000000000062" t="0.75000000000001132"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a:pPr>
            <a:r>
              <a:rPr lang="en-US"/>
              <a:t>Total Opex - IP Positions</a:t>
            </a:r>
          </a:p>
        </c:rich>
      </c:tx>
      <c:overlay val="1"/>
    </c:title>
    <c:plotArea>
      <c:layout>
        <c:manualLayout>
          <c:layoutTarget val="inner"/>
          <c:xMode val="edge"/>
          <c:yMode val="edge"/>
          <c:x val="0.11964129483814523"/>
          <c:y val="0.10054621674307376"/>
          <c:w val="0.84195581802275365"/>
          <c:h val="0.74521769517793657"/>
        </c:manualLayout>
      </c:layout>
      <c:lineChart>
        <c:grouping val="standard"/>
        <c:ser>
          <c:idx val="0"/>
          <c:order val="0"/>
          <c:tx>
            <c:v>HAL - FBP</c:v>
          </c:tx>
          <c:spPr>
            <a:ln w="15875"/>
          </c:spPr>
          <c:dLbls>
            <c:dLblPos val="t"/>
            <c:showVal val="1"/>
          </c:dLbls>
          <c:cat>
            <c:strRef>
              <c:f>'HAL - CAA - fp'!$C$45:$M$45</c:f>
              <c:strCache>
                <c:ptCount val="11"/>
                <c:pt idx="0">
                  <c:v>2008/09</c:v>
                </c:pt>
                <c:pt idx="1">
                  <c:v>2009/10</c:v>
                </c:pt>
                <c:pt idx="2">
                  <c:v>2010/11</c:v>
                </c:pt>
                <c:pt idx="3">
                  <c:v>2011/12</c:v>
                </c:pt>
                <c:pt idx="4">
                  <c:v>2012/13</c:v>
                </c:pt>
                <c:pt idx="5">
                  <c:v>2013/14</c:v>
                </c:pt>
                <c:pt idx="6">
                  <c:v>2014/15</c:v>
                </c:pt>
                <c:pt idx="7">
                  <c:v>2015/16</c:v>
                </c:pt>
                <c:pt idx="8">
                  <c:v>2016/17</c:v>
                </c:pt>
                <c:pt idx="9">
                  <c:v>2017/18</c:v>
                </c:pt>
                <c:pt idx="10">
                  <c:v>2018/19</c:v>
                </c:pt>
              </c:strCache>
            </c:strRef>
          </c:cat>
          <c:val>
            <c:numRef>
              <c:f>'HAL - CAA - fp'!$C$50:$M$50</c:f>
              <c:numCache>
                <c:formatCode>_-* #,##0_-;\-* #,##0_-;_-* "-"??_-;_-@_-</c:formatCode>
                <c:ptCount val="11"/>
                <c:pt idx="0">
                  <c:v>1053.7</c:v>
                </c:pt>
                <c:pt idx="1">
                  <c:v>1083</c:v>
                </c:pt>
                <c:pt idx="2">
                  <c:v>1026.3999999999999</c:v>
                </c:pt>
                <c:pt idx="3">
                  <c:v>1029.5</c:v>
                </c:pt>
                <c:pt idx="4">
                  <c:v>1042.3000000000002</c:v>
                </c:pt>
                <c:pt idx="5">
                  <c:v>1050.0999999999999</c:v>
                </c:pt>
                <c:pt idx="6">
                  <c:v>1081.8</c:v>
                </c:pt>
                <c:pt idx="7">
                  <c:v>1049.8999999999999</c:v>
                </c:pt>
                <c:pt idx="8">
                  <c:v>1034</c:v>
                </c:pt>
                <c:pt idx="9">
                  <c:v>1029.8999999999999</c:v>
                </c:pt>
                <c:pt idx="10">
                  <c:v>1038.3999999999999</c:v>
                </c:pt>
              </c:numCache>
            </c:numRef>
          </c:val>
        </c:ser>
        <c:ser>
          <c:idx val="3"/>
          <c:order val="1"/>
          <c:tx>
            <c:v>HAL - ABP</c:v>
          </c:tx>
          <c:spPr>
            <a:ln w="15875">
              <a:solidFill>
                <a:schemeClr val="tx2">
                  <a:lumMod val="40000"/>
                  <a:lumOff val="60000"/>
                </a:schemeClr>
              </a:solidFill>
            </a:ln>
          </c:spPr>
          <c:marker>
            <c:symbol val="circle"/>
            <c:size val="7"/>
            <c:spPr>
              <a:solidFill>
                <a:schemeClr val="tx2">
                  <a:lumMod val="40000"/>
                  <a:lumOff val="60000"/>
                </a:schemeClr>
              </a:solidFill>
              <a:ln>
                <a:solidFill>
                  <a:srgbClr val="4F81BD">
                    <a:lumMod val="40000"/>
                    <a:lumOff val="60000"/>
                  </a:srgbClr>
                </a:solidFill>
              </a:ln>
            </c:spPr>
          </c:marker>
          <c:dLbls>
            <c:dLbl>
              <c:idx val="0"/>
              <c:delete val="1"/>
            </c:dLbl>
            <c:dLbl>
              <c:idx val="1"/>
              <c:delete val="1"/>
            </c:dLbl>
            <c:dLbl>
              <c:idx val="2"/>
              <c:delete val="1"/>
            </c:dLbl>
            <c:dLbl>
              <c:idx val="3"/>
              <c:delete val="1"/>
            </c:dLbl>
            <c:dLbl>
              <c:idx val="4"/>
              <c:delete val="1"/>
            </c:dLbl>
            <c:dLbl>
              <c:idx val="5"/>
              <c:delete val="1"/>
            </c:dLbl>
            <c:dLblPos val="ctr"/>
            <c:showVal val="1"/>
          </c:dLbls>
          <c:val>
            <c:numRef>
              <c:f>'HAL - CAA - fp'!$C$51:$M$51</c:f>
              <c:numCache>
                <c:formatCode>_-* #,##0_-;\-* #,##0_-;_-* "-"??_-;_-@_-</c:formatCode>
                <c:ptCount val="11"/>
                <c:pt idx="0">
                  <c:v>1053.7</c:v>
                </c:pt>
                <c:pt idx="1">
                  <c:v>1083</c:v>
                </c:pt>
                <c:pt idx="2">
                  <c:v>1026.3999999999999</c:v>
                </c:pt>
                <c:pt idx="3">
                  <c:v>1029.5</c:v>
                </c:pt>
                <c:pt idx="4">
                  <c:v>1042.3000000000002</c:v>
                </c:pt>
                <c:pt idx="5" formatCode="_-* #,##0.0_-;\-* #,##0.0_-;_-* &quot;-&quot;??_-;_-@_-">
                  <c:v>1050.0999999999999</c:v>
                </c:pt>
                <c:pt idx="6" formatCode="_-* #,##0.0_-;\-* #,##0.0_-;_-* &quot;-&quot;??_-;_-@_-">
                  <c:v>1071.5999999999999</c:v>
                </c:pt>
                <c:pt idx="7" formatCode="_-* #,##0.0_-;\-* #,##0.0_-;_-* &quot;-&quot;??_-;_-@_-">
                  <c:v>1029.1000000000001</c:v>
                </c:pt>
                <c:pt idx="8" formatCode="_-* #,##0.0_-;\-* #,##0.0_-;_-* &quot;-&quot;??_-;_-@_-">
                  <c:v>1010.0999999999999</c:v>
                </c:pt>
                <c:pt idx="9" formatCode="_-* #,##0.0_-;\-* #,##0.0_-;_-* &quot;-&quot;??_-;_-@_-">
                  <c:v>999.5</c:v>
                </c:pt>
                <c:pt idx="10" formatCode="_-* #,##0.0_-;\-* #,##0.0_-;_-* &quot;-&quot;??_-;_-@_-">
                  <c:v>1009.4999999999999</c:v>
                </c:pt>
              </c:numCache>
            </c:numRef>
          </c:val>
        </c:ser>
        <c:ser>
          <c:idx val="2"/>
          <c:order val="2"/>
          <c:tx>
            <c:v>CAA - ip</c:v>
          </c:tx>
          <c:spPr>
            <a:ln w="15875">
              <a:solidFill>
                <a:schemeClr val="accent2">
                  <a:lumMod val="60000"/>
                  <a:lumOff val="40000"/>
                </a:schemeClr>
              </a:solidFill>
            </a:ln>
          </c:spPr>
          <c:marker>
            <c:spPr>
              <a:solidFill>
                <a:schemeClr val="accent2">
                  <a:lumMod val="40000"/>
                  <a:lumOff val="60000"/>
                </a:schemeClr>
              </a:solidFill>
              <a:ln>
                <a:solidFill>
                  <a:schemeClr val="accent2">
                    <a:lumMod val="40000"/>
                    <a:lumOff val="60000"/>
                  </a:schemeClr>
                </a:solidFill>
              </a:ln>
            </c:spPr>
          </c:marker>
          <c:dLbls>
            <c:dLblPos val="b"/>
            <c:showVal val="1"/>
          </c:dLbls>
          <c:cat>
            <c:strRef>
              <c:f>'HAL - CAA - fp'!$C$45:$M$45</c:f>
              <c:strCache>
                <c:ptCount val="11"/>
                <c:pt idx="0">
                  <c:v>2008/09</c:v>
                </c:pt>
                <c:pt idx="1">
                  <c:v>2009/10</c:v>
                </c:pt>
                <c:pt idx="2">
                  <c:v>2010/11</c:v>
                </c:pt>
                <c:pt idx="3">
                  <c:v>2011/12</c:v>
                </c:pt>
                <c:pt idx="4">
                  <c:v>2012/13</c:v>
                </c:pt>
                <c:pt idx="5">
                  <c:v>2013/14</c:v>
                </c:pt>
                <c:pt idx="6">
                  <c:v>2014/15</c:v>
                </c:pt>
                <c:pt idx="7">
                  <c:v>2015/16</c:v>
                </c:pt>
                <c:pt idx="8">
                  <c:v>2016/17</c:v>
                </c:pt>
                <c:pt idx="9">
                  <c:v>2017/18</c:v>
                </c:pt>
                <c:pt idx="10">
                  <c:v>2018/19</c:v>
                </c:pt>
              </c:strCache>
            </c:strRef>
          </c:cat>
          <c:val>
            <c:numRef>
              <c:f>'HAL - CAA - fp'!$C$61:$M$61</c:f>
              <c:numCache>
                <c:formatCode>_-* #,##0_-;\-* #,##0_-;_-* "-"??_-;_-@_-</c:formatCode>
                <c:ptCount val="11"/>
                <c:pt idx="6">
                  <c:v>1065.5566626055997</c:v>
                </c:pt>
                <c:pt idx="7">
                  <c:v>1029.7333118123902</c:v>
                </c:pt>
                <c:pt idx="8">
                  <c:v>993.64042195939987</c:v>
                </c:pt>
                <c:pt idx="9">
                  <c:v>970.5377436227169</c:v>
                </c:pt>
                <c:pt idx="10">
                  <c:v>957.32346615432641</c:v>
                </c:pt>
              </c:numCache>
            </c:numRef>
          </c:val>
        </c:ser>
        <c:ser>
          <c:idx val="1"/>
          <c:order val="3"/>
          <c:tx>
            <c:v>LACC</c:v>
          </c:tx>
          <c:spPr>
            <a:ln w="15875"/>
          </c:spPr>
          <c:dLbls>
            <c:dLblPos val="b"/>
            <c:showVal val="1"/>
          </c:dLbls>
          <c:cat>
            <c:strRef>
              <c:f>'HAL - CAA - fp'!$C$45:$M$45</c:f>
              <c:strCache>
                <c:ptCount val="11"/>
                <c:pt idx="0">
                  <c:v>2008/09</c:v>
                </c:pt>
                <c:pt idx="1">
                  <c:v>2009/10</c:v>
                </c:pt>
                <c:pt idx="2">
                  <c:v>2010/11</c:v>
                </c:pt>
                <c:pt idx="3">
                  <c:v>2011/12</c:v>
                </c:pt>
                <c:pt idx="4">
                  <c:v>2012/13</c:v>
                </c:pt>
                <c:pt idx="5">
                  <c:v>2013/14</c:v>
                </c:pt>
                <c:pt idx="6">
                  <c:v>2014/15</c:v>
                </c:pt>
                <c:pt idx="7">
                  <c:v>2015/16</c:v>
                </c:pt>
                <c:pt idx="8">
                  <c:v>2016/17</c:v>
                </c:pt>
                <c:pt idx="9">
                  <c:v>2017/18</c:v>
                </c:pt>
                <c:pt idx="10">
                  <c:v>2018/19</c:v>
                </c:pt>
              </c:strCache>
            </c:strRef>
          </c:cat>
          <c:val>
            <c:numRef>
              <c:f>'HAL - CAA - fp'!$C$62:$M$62</c:f>
              <c:numCache>
                <c:formatCode>_-* #,##0_-;\-* #,##0_-;_-* "-"??_-;_-@_-</c:formatCode>
                <c:ptCount val="11"/>
                <c:pt idx="6">
                  <c:v>1002.8</c:v>
                </c:pt>
                <c:pt idx="7">
                  <c:v>891.89999999999986</c:v>
                </c:pt>
                <c:pt idx="8">
                  <c:v>797</c:v>
                </c:pt>
                <c:pt idx="9">
                  <c:v>713.89999999999986</c:v>
                </c:pt>
                <c:pt idx="10">
                  <c:v>643.39999999999986</c:v>
                </c:pt>
              </c:numCache>
            </c:numRef>
          </c:val>
        </c:ser>
        <c:marker val="1"/>
        <c:axId val="43810816"/>
        <c:axId val="43812352"/>
      </c:lineChart>
      <c:catAx>
        <c:axId val="43810816"/>
        <c:scaling>
          <c:orientation val="minMax"/>
        </c:scaling>
        <c:axPos val="b"/>
        <c:tickLblPos val="nextTo"/>
        <c:crossAx val="43812352"/>
        <c:crosses val="autoZero"/>
        <c:auto val="1"/>
        <c:lblAlgn val="ctr"/>
        <c:lblOffset val="100"/>
      </c:catAx>
      <c:valAx>
        <c:axId val="43812352"/>
        <c:scaling>
          <c:orientation val="minMax"/>
          <c:min val="600"/>
        </c:scaling>
        <c:axPos val="l"/>
        <c:majorGridlines/>
        <c:title>
          <c:tx>
            <c:rich>
              <a:bodyPr rot="-5400000" vert="horz"/>
              <a:lstStyle/>
              <a:p>
                <a:pPr>
                  <a:defRPr/>
                </a:pPr>
                <a:r>
                  <a:rPr lang="en-US"/>
                  <a:t>£m 2011/12</a:t>
                </a:r>
              </a:p>
            </c:rich>
          </c:tx>
        </c:title>
        <c:numFmt formatCode="_-* #,##0_-;\-* #,##0_-;_-* &quot;-&quot;??_-;_-@_-" sourceLinked="1"/>
        <c:tickLblPos val="nextTo"/>
        <c:crossAx val="43810816"/>
        <c:crosses val="autoZero"/>
        <c:crossBetween val="between"/>
      </c:valAx>
    </c:plotArea>
    <c:legend>
      <c:legendPos val="r"/>
      <c:layout>
        <c:manualLayout>
          <c:xMode val="edge"/>
          <c:yMode val="edge"/>
          <c:x val="0.14215266841644789"/>
          <c:y val="0.69274589675944565"/>
          <c:w val="0.78867359298089446"/>
          <c:h val="0.14135222700057587"/>
        </c:manualLayout>
      </c:layout>
    </c:legend>
    <c:plotVisOnly val="1"/>
  </c:chart>
  <c:spPr>
    <a:ln>
      <a:noFill/>
    </a:ln>
  </c:spPr>
  <c:txPr>
    <a:bodyPr/>
    <a:lstStyle/>
    <a:p>
      <a:pPr>
        <a:defRPr>
          <a:latin typeface="Arial" pitchFamily="34" charset="0"/>
          <a:cs typeface="Arial" pitchFamily="34" charset="0"/>
        </a:defRPr>
      </a:pPr>
      <a:endParaRPr lang="en-US"/>
    </a:p>
  </c:txPr>
  <c:printSettings>
    <c:headerFooter/>
    <c:pageMargins b="0.75000000000001255" l="0.70000000000000062" r="0.70000000000000062" t="0.75000000000001255"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a:pPr>
            <a:r>
              <a:rPr lang="en-US"/>
              <a:t>Opex per pax - IP Positions</a:t>
            </a:r>
          </a:p>
        </c:rich>
      </c:tx>
      <c:overlay val="1"/>
    </c:title>
    <c:plotArea>
      <c:layout>
        <c:manualLayout>
          <c:layoutTarget val="inner"/>
          <c:xMode val="edge"/>
          <c:yMode val="edge"/>
          <c:x val="0.11964129483814523"/>
          <c:y val="0.10054621674307376"/>
          <c:w val="0.84195581802275365"/>
          <c:h val="0.74521769517793657"/>
        </c:manualLayout>
      </c:layout>
      <c:lineChart>
        <c:grouping val="standard"/>
        <c:ser>
          <c:idx val="0"/>
          <c:order val="0"/>
          <c:tx>
            <c:v>HAL - FBP</c:v>
          </c:tx>
          <c:spPr>
            <a:ln w="15875"/>
          </c:spPr>
          <c:dLbls>
            <c:dLblPos val="t"/>
            <c:showVal val="1"/>
          </c:dLbls>
          <c:cat>
            <c:strRef>
              <c:f>'HAL - CAA - fp'!$C$45:$M$45</c:f>
              <c:strCache>
                <c:ptCount val="11"/>
                <c:pt idx="0">
                  <c:v>2008/09</c:v>
                </c:pt>
                <c:pt idx="1">
                  <c:v>2009/10</c:v>
                </c:pt>
                <c:pt idx="2">
                  <c:v>2010/11</c:v>
                </c:pt>
                <c:pt idx="3">
                  <c:v>2011/12</c:v>
                </c:pt>
                <c:pt idx="4">
                  <c:v>2012/13</c:v>
                </c:pt>
                <c:pt idx="5">
                  <c:v>2013/14</c:v>
                </c:pt>
                <c:pt idx="6">
                  <c:v>2014/15</c:v>
                </c:pt>
                <c:pt idx="7">
                  <c:v>2015/16</c:v>
                </c:pt>
                <c:pt idx="8">
                  <c:v>2016/17</c:v>
                </c:pt>
                <c:pt idx="9">
                  <c:v>2017/18</c:v>
                </c:pt>
                <c:pt idx="10">
                  <c:v>2018/19</c:v>
                </c:pt>
              </c:strCache>
            </c:strRef>
          </c:cat>
          <c:val>
            <c:numRef>
              <c:f>'HAL - CAA - fp'!$C$68:$M$68</c:f>
              <c:numCache>
                <c:formatCode>_-* #,##0.00_-;\-* #,##0.00_-;_-* "-"??_-;_-@_-</c:formatCode>
                <c:ptCount val="11"/>
                <c:pt idx="0">
                  <c:v>15.691200827499282</c:v>
                </c:pt>
                <c:pt idx="1">
                  <c:v>15.805150461254375</c:v>
                </c:pt>
                <c:pt idx="2">
                  <c:v>14.968666175004143</c:v>
                </c:pt>
                <c:pt idx="3">
                  <c:v>14.176432776133156</c:v>
                </c:pt>
                <c:pt idx="4">
                  <c:v>14.829167787279008</c:v>
                </c:pt>
                <c:pt idx="5">
                  <c:v>14.606821024250651</c:v>
                </c:pt>
                <c:pt idx="6">
                  <c:v>15.870725607792124</c:v>
                </c:pt>
                <c:pt idx="7">
                  <c:v>15.643355559351445</c:v>
                </c:pt>
                <c:pt idx="8">
                  <c:v>14.640763139998421</c:v>
                </c:pt>
                <c:pt idx="9">
                  <c:v>14.426265150799782</c:v>
                </c:pt>
                <c:pt idx="10">
                  <c:v>14.135729882813154</c:v>
                </c:pt>
              </c:numCache>
            </c:numRef>
          </c:val>
        </c:ser>
        <c:ser>
          <c:idx val="3"/>
          <c:order val="1"/>
          <c:tx>
            <c:v>HAL - ABP</c:v>
          </c:tx>
          <c:spPr>
            <a:ln w="15875">
              <a:solidFill>
                <a:schemeClr val="tx2">
                  <a:lumMod val="40000"/>
                  <a:lumOff val="60000"/>
                </a:schemeClr>
              </a:solidFill>
            </a:ln>
          </c:spPr>
          <c:marker>
            <c:symbol val="circle"/>
            <c:size val="7"/>
            <c:spPr>
              <a:solidFill>
                <a:srgbClr val="1F497D">
                  <a:lumMod val="40000"/>
                  <a:lumOff val="60000"/>
                </a:srgbClr>
              </a:solidFill>
              <a:ln>
                <a:solidFill>
                  <a:srgbClr val="1F497D">
                    <a:lumMod val="40000"/>
                    <a:lumOff val="60000"/>
                  </a:srgbClr>
                </a:solidFill>
              </a:ln>
            </c:spPr>
          </c:marker>
          <c:dLbls>
            <c:dLbl>
              <c:idx val="0"/>
              <c:delete val="1"/>
            </c:dLbl>
            <c:dLbl>
              <c:idx val="1"/>
              <c:delete val="1"/>
            </c:dLbl>
            <c:dLbl>
              <c:idx val="2"/>
              <c:delete val="1"/>
            </c:dLbl>
            <c:dLbl>
              <c:idx val="3"/>
              <c:delete val="1"/>
            </c:dLbl>
            <c:dLbl>
              <c:idx val="4"/>
              <c:delete val="1"/>
            </c:dLbl>
            <c:dLbl>
              <c:idx val="5"/>
              <c:delete val="1"/>
            </c:dLbl>
            <c:dLblPos val="ctr"/>
            <c:showVal val="1"/>
          </c:dLbls>
          <c:val>
            <c:numRef>
              <c:f>'HAL - CAA - fp'!$C$70:$M$70</c:f>
              <c:numCache>
                <c:formatCode>_-* #,##0.00_-;\-* #,##0.00_-;_-* "-"??_-;_-@_-</c:formatCode>
                <c:ptCount val="11"/>
                <c:pt idx="0">
                  <c:v>15.98937784522003</c:v>
                </c:pt>
                <c:pt idx="1">
                  <c:v>16.384266263237521</c:v>
                </c:pt>
                <c:pt idx="2">
                  <c:v>15.527987897125566</c:v>
                </c:pt>
                <c:pt idx="3">
                  <c:v>14.692948838866702</c:v>
                </c:pt>
                <c:pt idx="4">
                  <c:v>14.975574712643683</c:v>
                </c:pt>
                <c:pt idx="5">
                  <c:v>15.263081395348836</c:v>
                </c:pt>
                <c:pt idx="6">
                  <c:v>15.286733238231099</c:v>
                </c:pt>
                <c:pt idx="7">
                  <c:v>14.535310734463279</c:v>
                </c:pt>
                <c:pt idx="8">
                  <c:v>14.127272727272725</c:v>
                </c:pt>
                <c:pt idx="9">
                  <c:v>13.824343015214385</c:v>
                </c:pt>
                <c:pt idx="10">
                  <c:v>13.828767123287669</c:v>
                </c:pt>
              </c:numCache>
            </c:numRef>
          </c:val>
        </c:ser>
        <c:ser>
          <c:idx val="2"/>
          <c:order val="2"/>
          <c:tx>
            <c:v>CAA - ip</c:v>
          </c:tx>
          <c:spPr>
            <a:ln w="15875">
              <a:solidFill>
                <a:schemeClr val="accent2">
                  <a:lumMod val="60000"/>
                  <a:lumOff val="40000"/>
                </a:schemeClr>
              </a:solidFill>
            </a:ln>
          </c:spPr>
          <c:marker>
            <c:spPr>
              <a:solidFill>
                <a:srgbClr val="C0504D">
                  <a:lumMod val="40000"/>
                  <a:lumOff val="60000"/>
                </a:srgbClr>
              </a:solidFill>
              <a:ln>
                <a:solidFill>
                  <a:srgbClr val="C0504D">
                    <a:lumMod val="40000"/>
                    <a:lumOff val="60000"/>
                  </a:srgbClr>
                </a:solidFill>
              </a:ln>
            </c:spPr>
          </c:marker>
          <c:dLbls>
            <c:dLblPos val="ctr"/>
            <c:showVal val="1"/>
          </c:dLbls>
          <c:val>
            <c:numRef>
              <c:f>'HAL - CAA - fp'!$C$72:$M$72</c:f>
              <c:numCache>
                <c:formatCode>#,##0.00_ ;\-#,##0.00\ </c:formatCode>
                <c:ptCount val="11"/>
                <c:pt idx="6" formatCode="_-* #,##0.00_-;\-* #,##0.00_-;_-* &quot;-&quot;??_-;_-@_-">
                  <c:v>15.333047341839928</c:v>
                </c:pt>
                <c:pt idx="7" formatCode="_-* #,##0.00_-;\-* #,##0.00_-;_-* &quot;-&quot;??_-;_-@_-">
                  <c:v>14.656841057634724</c:v>
                </c:pt>
                <c:pt idx="8" formatCode="_-* #,##0.00_-;\-* #,##0.00_-;_-* &quot;-&quot;??_-;_-@_-">
                  <c:v>13.989873550815204</c:v>
                </c:pt>
                <c:pt idx="9" formatCode="_-* #,##0.00_-;\-* #,##0.00_-;_-* &quot;-&quot;??_-;_-@_-">
                  <c:v>13.514833392295218</c:v>
                </c:pt>
                <c:pt idx="10" formatCode="_-* #,##0.00_-;\-* #,##0.00_-;_-* &quot;-&quot;??_-;_-@_-">
                  <c:v>13.185812135064618</c:v>
                </c:pt>
              </c:numCache>
            </c:numRef>
          </c:val>
        </c:ser>
        <c:ser>
          <c:idx val="1"/>
          <c:order val="3"/>
          <c:tx>
            <c:v>LACC</c:v>
          </c:tx>
          <c:spPr>
            <a:ln w="15875"/>
          </c:spPr>
          <c:dLbls>
            <c:dLblPos val="b"/>
            <c:showVal val="1"/>
          </c:dLbls>
          <c:val>
            <c:numRef>
              <c:f>'HAL - CAA - fp'!$C$73:$M$73</c:f>
              <c:numCache>
                <c:formatCode>_-* #,##0.00_-;\-* #,##0.00_-;_-* "-"??_-;_-@_-</c:formatCode>
                <c:ptCount val="11"/>
                <c:pt idx="6">
                  <c:v>14.429997403233614</c:v>
                </c:pt>
                <c:pt idx="7">
                  <c:v>12.694972950128381</c:v>
                </c:pt>
                <c:pt idx="8">
                  <c:v>11.221291901564069</c:v>
                </c:pt>
                <c:pt idx="9">
                  <c:v>9.9411276090568759</c:v>
                </c:pt>
                <c:pt idx="10">
                  <c:v>8.8619487849605676</c:v>
                </c:pt>
              </c:numCache>
            </c:numRef>
          </c:val>
        </c:ser>
        <c:marker val="1"/>
        <c:axId val="43918848"/>
        <c:axId val="43920384"/>
      </c:lineChart>
      <c:catAx>
        <c:axId val="43918848"/>
        <c:scaling>
          <c:orientation val="minMax"/>
        </c:scaling>
        <c:axPos val="b"/>
        <c:tickLblPos val="nextTo"/>
        <c:crossAx val="43920384"/>
        <c:crosses val="autoZero"/>
        <c:auto val="1"/>
        <c:lblAlgn val="ctr"/>
        <c:lblOffset val="100"/>
      </c:catAx>
      <c:valAx>
        <c:axId val="43920384"/>
        <c:scaling>
          <c:orientation val="minMax"/>
          <c:min val="8"/>
        </c:scaling>
        <c:axPos val="l"/>
        <c:majorGridlines/>
        <c:title>
          <c:tx>
            <c:rich>
              <a:bodyPr rot="-5400000" vert="horz"/>
              <a:lstStyle/>
              <a:p>
                <a:pPr>
                  <a:defRPr/>
                </a:pPr>
                <a:r>
                  <a:rPr lang="en-US"/>
                  <a:t>£ 2011/12</a:t>
                </a:r>
              </a:p>
            </c:rich>
          </c:tx>
        </c:title>
        <c:numFmt formatCode="_-* #,##0.00_-;\-* #,##0.00_-;_-* &quot;-&quot;??_-;_-@_-" sourceLinked="1"/>
        <c:tickLblPos val="nextTo"/>
        <c:crossAx val="43918848"/>
        <c:crosses val="autoZero"/>
        <c:crossBetween val="between"/>
      </c:valAx>
    </c:plotArea>
    <c:legend>
      <c:legendPos val="r"/>
      <c:layout>
        <c:manualLayout>
          <c:xMode val="edge"/>
          <c:yMode val="edge"/>
          <c:x val="0.11854181588731916"/>
          <c:y val="0.74167512370543864"/>
          <c:w val="0.83563796813824887"/>
          <c:h val="0.14158067264370633"/>
        </c:manualLayout>
      </c:layout>
    </c:legend>
    <c:plotVisOnly val="1"/>
  </c:chart>
  <c:spPr>
    <a:ln>
      <a:noFill/>
    </a:ln>
  </c:spPr>
  <c:txPr>
    <a:bodyPr/>
    <a:lstStyle/>
    <a:p>
      <a:pPr>
        <a:defRPr>
          <a:latin typeface="Arial" pitchFamily="34" charset="0"/>
          <a:cs typeface="Arial" pitchFamily="34" charset="0"/>
        </a:defRPr>
      </a:pPr>
      <a:endParaRPr lang="en-US"/>
    </a:p>
  </c:txPr>
  <c:printSettings>
    <c:headerFooter/>
    <c:pageMargins b="0.75000000000001277" l="0.70000000000000062" r="0.70000000000000062" t="0.75000000000001277"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a:pPr>
            <a:r>
              <a:rPr lang="en-US"/>
              <a:t>Total Opex - FP Positions</a:t>
            </a:r>
          </a:p>
        </c:rich>
      </c:tx>
      <c:overlay val="1"/>
    </c:title>
    <c:plotArea>
      <c:layout>
        <c:manualLayout>
          <c:layoutTarget val="inner"/>
          <c:xMode val="edge"/>
          <c:yMode val="edge"/>
          <c:x val="0.11964129483814523"/>
          <c:y val="0.10054621674307376"/>
          <c:w val="0.84195581802275365"/>
          <c:h val="0.74521769517793657"/>
        </c:manualLayout>
      </c:layout>
      <c:lineChart>
        <c:grouping val="standard"/>
        <c:ser>
          <c:idx val="3"/>
          <c:order val="0"/>
          <c:tx>
            <c:v>HAL - ABP</c:v>
          </c:tx>
          <c:spPr>
            <a:ln w="15875">
              <a:solidFill>
                <a:schemeClr val="accent1"/>
              </a:solidFill>
            </a:ln>
          </c:spPr>
          <c:marker>
            <c:symbol val="diamond"/>
            <c:size val="7"/>
            <c:spPr>
              <a:solidFill>
                <a:schemeClr val="accent1"/>
              </a:solidFill>
              <a:ln>
                <a:solidFill>
                  <a:srgbClr val="4F81BD">
                    <a:lumMod val="40000"/>
                    <a:lumOff val="60000"/>
                  </a:srgbClr>
                </a:solidFill>
              </a:ln>
            </c:spPr>
          </c:marker>
          <c:dLbls>
            <c:dLblPos val="t"/>
            <c:showVal val="1"/>
          </c:dLbls>
          <c:val>
            <c:numRef>
              <c:f>'HAL - CAA - fp'!$C$51:$M$51</c:f>
              <c:numCache>
                <c:formatCode>_-* #,##0_-;\-* #,##0_-;_-* "-"??_-;_-@_-</c:formatCode>
                <c:ptCount val="11"/>
                <c:pt idx="0">
                  <c:v>1053.7</c:v>
                </c:pt>
                <c:pt idx="1">
                  <c:v>1083</c:v>
                </c:pt>
                <c:pt idx="2">
                  <c:v>1026.3999999999999</c:v>
                </c:pt>
                <c:pt idx="3">
                  <c:v>1029.5</c:v>
                </c:pt>
                <c:pt idx="4">
                  <c:v>1042.3000000000002</c:v>
                </c:pt>
                <c:pt idx="5" formatCode="_-* #,##0.0_-;\-* #,##0.0_-;_-* &quot;-&quot;??_-;_-@_-">
                  <c:v>1050.0999999999999</c:v>
                </c:pt>
                <c:pt idx="6" formatCode="_-* #,##0.0_-;\-* #,##0.0_-;_-* &quot;-&quot;??_-;_-@_-">
                  <c:v>1071.5999999999999</c:v>
                </c:pt>
                <c:pt idx="7" formatCode="_-* #,##0.0_-;\-* #,##0.0_-;_-* &quot;-&quot;??_-;_-@_-">
                  <c:v>1029.1000000000001</c:v>
                </c:pt>
                <c:pt idx="8" formatCode="_-* #,##0.0_-;\-* #,##0.0_-;_-* &quot;-&quot;??_-;_-@_-">
                  <c:v>1010.0999999999999</c:v>
                </c:pt>
                <c:pt idx="9" formatCode="_-* #,##0.0_-;\-* #,##0.0_-;_-* &quot;-&quot;??_-;_-@_-">
                  <c:v>999.5</c:v>
                </c:pt>
                <c:pt idx="10" formatCode="_-* #,##0.0_-;\-* #,##0.0_-;_-* &quot;-&quot;??_-;_-@_-">
                  <c:v>1009.4999999999999</c:v>
                </c:pt>
              </c:numCache>
            </c:numRef>
          </c:val>
        </c:ser>
        <c:ser>
          <c:idx val="2"/>
          <c:order val="1"/>
          <c:tx>
            <c:v>CAA - Low Stretch</c:v>
          </c:tx>
          <c:spPr>
            <a:ln w="15875">
              <a:solidFill>
                <a:schemeClr val="accent2"/>
              </a:solidFill>
              <a:prstDash val="sysDash"/>
            </a:ln>
          </c:spPr>
          <c:marker>
            <c:spPr>
              <a:solidFill>
                <a:schemeClr val="accent2"/>
              </a:solidFill>
              <a:ln>
                <a:solidFill>
                  <a:schemeClr val="accent2"/>
                </a:solidFill>
              </a:ln>
            </c:spPr>
          </c:marker>
          <c:dLbls>
            <c:dLblPos val="t"/>
            <c:showVal val="1"/>
          </c:dLbls>
          <c:cat>
            <c:strRef>
              <c:f>'HAL - CAA - fp'!$C$45:$M$45</c:f>
              <c:strCache>
                <c:ptCount val="11"/>
                <c:pt idx="0">
                  <c:v>2008/09</c:v>
                </c:pt>
                <c:pt idx="1">
                  <c:v>2009/10</c:v>
                </c:pt>
                <c:pt idx="2">
                  <c:v>2010/11</c:v>
                </c:pt>
                <c:pt idx="3">
                  <c:v>2011/12</c:v>
                </c:pt>
                <c:pt idx="4">
                  <c:v>2012/13</c:v>
                </c:pt>
                <c:pt idx="5">
                  <c:v>2013/14</c:v>
                </c:pt>
                <c:pt idx="6">
                  <c:v>2014/15</c:v>
                </c:pt>
                <c:pt idx="7">
                  <c:v>2015/16</c:v>
                </c:pt>
                <c:pt idx="8">
                  <c:v>2016/17</c:v>
                </c:pt>
                <c:pt idx="9">
                  <c:v>2017/18</c:v>
                </c:pt>
                <c:pt idx="10">
                  <c:v>2018/19</c:v>
                </c:pt>
              </c:strCache>
            </c:strRef>
          </c:cat>
          <c:val>
            <c:numRef>
              <c:f>'HAL - CAA - fp'!$C$64:$M$64</c:f>
              <c:numCache>
                <c:formatCode>_-* #,##0_-;\-* #,##0_-;_-* "-"??_-;_-@_-</c:formatCode>
                <c:ptCount val="11"/>
                <c:pt idx="6" formatCode="_-* #,##0.0_-;\-* #,##0.0_-;_-* &quot;-&quot;??_-;_-@_-">
                  <c:v>1059.3750647284678</c:v>
                </c:pt>
                <c:pt idx="7" formatCode="_-* #,##0.0_-;\-* #,##0.0_-;_-* &quot;-&quot;??_-;_-@_-">
                  <c:v>1010.0740079879073</c:v>
                </c:pt>
                <c:pt idx="8" formatCode="_-* #,##0.0_-;\-* #,##0.0_-;_-* &quot;-&quot;??_-;_-@_-">
                  <c:v>986.16734846614418</c:v>
                </c:pt>
                <c:pt idx="9" formatCode="_-* #,##0.0_-;\-* #,##0.0_-;_-* &quot;-&quot;??_-;_-@_-">
                  <c:v>960.96964705724565</c:v>
                </c:pt>
                <c:pt idx="10" formatCode="_-* #,##0.0_-;\-* #,##0.0_-;_-* &quot;-&quot;??_-;_-@_-">
                  <c:v>956.93272305976757</c:v>
                </c:pt>
              </c:numCache>
            </c:numRef>
          </c:val>
        </c:ser>
        <c:ser>
          <c:idx val="0"/>
          <c:order val="2"/>
          <c:tx>
            <c:v>CAA - Mid Stretch</c:v>
          </c:tx>
          <c:spPr>
            <a:ln w="15875">
              <a:solidFill>
                <a:schemeClr val="accent2"/>
              </a:solidFill>
              <a:prstDash val="dash"/>
            </a:ln>
          </c:spPr>
          <c:marker>
            <c:spPr>
              <a:solidFill>
                <a:srgbClr val="C0504D"/>
              </a:solidFill>
              <a:ln>
                <a:solidFill>
                  <a:srgbClr val="C0504D"/>
                </a:solidFill>
              </a:ln>
            </c:spPr>
          </c:marker>
          <c:dLbls>
            <c:dLblPos val="ctr"/>
            <c:showVal val="1"/>
          </c:dLbls>
          <c:cat>
            <c:strRef>
              <c:f>'HAL - CAA - fp'!$C$45:$M$45</c:f>
              <c:strCache>
                <c:ptCount val="11"/>
                <c:pt idx="0">
                  <c:v>2008/09</c:v>
                </c:pt>
                <c:pt idx="1">
                  <c:v>2009/10</c:v>
                </c:pt>
                <c:pt idx="2">
                  <c:v>2010/11</c:v>
                </c:pt>
                <c:pt idx="3">
                  <c:v>2011/12</c:v>
                </c:pt>
                <c:pt idx="4">
                  <c:v>2012/13</c:v>
                </c:pt>
                <c:pt idx="5">
                  <c:v>2013/14</c:v>
                </c:pt>
                <c:pt idx="6">
                  <c:v>2014/15</c:v>
                </c:pt>
                <c:pt idx="7">
                  <c:v>2015/16</c:v>
                </c:pt>
                <c:pt idx="8">
                  <c:v>2016/17</c:v>
                </c:pt>
                <c:pt idx="9">
                  <c:v>2017/18</c:v>
                </c:pt>
                <c:pt idx="10">
                  <c:v>2018/19</c:v>
                </c:pt>
              </c:strCache>
            </c:strRef>
          </c:cat>
          <c:val>
            <c:numRef>
              <c:f>'HAL - CAA - fp'!$C$65:$M$65</c:f>
              <c:numCache>
                <c:formatCode>_-* #,##0_-;\-* #,##0_-;_-* "-"??_-;_-@_-</c:formatCode>
                <c:ptCount val="11"/>
                <c:pt idx="6" formatCode="_-* #,##0.0_-;\-* #,##0.0_-;_-* &quot;-&quot;??_-;_-@_-">
                  <c:v>1057.2296885226801</c:v>
                </c:pt>
                <c:pt idx="7" formatCode="_-* #,##0.0_-;\-* #,##0.0_-;_-* &quot;-&quot;??_-;_-@_-">
                  <c:v>1005.9417134541452</c:v>
                </c:pt>
                <c:pt idx="8" formatCode="_-* #,##0.0_-;\-* #,##0.0_-;_-* &quot;-&quot;??_-;_-@_-">
                  <c:v>980.26528158511519</c:v>
                </c:pt>
                <c:pt idx="9" formatCode="_-* #,##0.0_-;\-* #,##0.0_-;_-* &quot;-&quot;??_-;_-@_-">
                  <c:v>953.32715188039674</c:v>
                </c:pt>
                <c:pt idx="10" formatCode="_-* #,##0.0_-;\-* #,##0.0_-;_-* &quot;-&quot;??_-;_-@_-">
                  <c:v>947.45785489256502</c:v>
                </c:pt>
              </c:numCache>
            </c:numRef>
          </c:val>
        </c:ser>
        <c:ser>
          <c:idx val="1"/>
          <c:order val="3"/>
          <c:tx>
            <c:v>CAA - High Stretch</c:v>
          </c:tx>
          <c:spPr>
            <a:ln w="15875"/>
          </c:spPr>
          <c:dLbls>
            <c:dLblPos val="b"/>
            <c:showVal val="1"/>
          </c:dLbls>
          <c:cat>
            <c:strRef>
              <c:f>'HAL - CAA - fp'!$C$45:$M$45</c:f>
              <c:strCache>
                <c:ptCount val="11"/>
                <c:pt idx="0">
                  <c:v>2008/09</c:v>
                </c:pt>
                <c:pt idx="1">
                  <c:v>2009/10</c:v>
                </c:pt>
                <c:pt idx="2">
                  <c:v>2010/11</c:v>
                </c:pt>
                <c:pt idx="3">
                  <c:v>2011/12</c:v>
                </c:pt>
                <c:pt idx="4">
                  <c:v>2012/13</c:v>
                </c:pt>
                <c:pt idx="5">
                  <c:v>2013/14</c:v>
                </c:pt>
                <c:pt idx="6">
                  <c:v>2014/15</c:v>
                </c:pt>
                <c:pt idx="7">
                  <c:v>2015/16</c:v>
                </c:pt>
                <c:pt idx="8">
                  <c:v>2016/17</c:v>
                </c:pt>
                <c:pt idx="9">
                  <c:v>2017/18</c:v>
                </c:pt>
                <c:pt idx="10">
                  <c:v>2018/19</c:v>
                </c:pt>
              </c:strCache>
            </c:strRef>
          </c:cat>
          <c:val>
            <c:numRef>
              <c:f>'HAL - CAA - fp'!$C$66:$M$66</c:f>
              <c:numCache>
                <c:formatCode>_-* #,##0_-;\-* #,##0_-;_-* "-"??_-;_-@_-</c:formatCode>
                <c:ptCount val="11"/>
                <c:pt idx="6" formatCode="_-* #,##0.0_-;\-* #,##0.0_-;_-* &quot;-&quot;??_-;_-@_-">
                  <c:v>1052.500407048376</c:v>
                </c:pt>
                <c:pt idx="7" formatCode="_-* #,##0.0_-;\-* #,##0.0_-;_-* &quot;-&quot;??_-;_-@_-">
                  <c:v>997.55516733270133</c:v>
                </c:pt>
                <c:pt idx="8" formatCode="_-* #,##0.0_-;\-* #,##0.0_-;_-* &quot;-&quot;??_-;_-@_-">
                  <c:v>968.87017632285244</c:v>
                </c:pt>
                <c:pt idx="9" formatCode="_-* #,##0.0_-;\-* #,##0.0_-;_-* &quot;-&quot;??_-;_-@_-">
                  <c:v>940.8153370369248</c:v>
                </c:pt>
                <c:pt idx="10" formatCode="_-* #,##0.0_-;\-* #,##0.0_-;_-* &quot;-&quot;??_-;_-@_-">
                  <c:v>930.74614284758422</c:v>
                </c:pt>
              </c:numCache>
            </c:numRef>
          </c:val>
        </c:ser>
        <c:marker val="1"/>
        <c:axId val="43985920"/>
        <c:axId val="44008192"/>
      </c:lineChart>
      <c:catAx>
        <c:axId val="43985920"/>
        <c:scaling>
          <c:orientation val="minMax"/>
        </c:scaling>
        <c:axPos val="b"/>
        <c:tickLblPos val="nextTo"/>
        <c:crossAx val="44008192"/>
        <c:crosses val="autoZero"/>
        <c:auto val="1"/>
        <c:lblAlgn val="ctr"/>
        <c:lblOffset val="100"/>
      </c:catAx>
      <c:valAx>
        <c:axId val="44008192"/>
        <c:scaling>
          <c:orientation val="minMax"/>
          <c:min val="900"/>
        </c:scaling>
        <c:axPos val="l"/>
        <c:majorGridlines/>
        <c:title>
          <c:tx>
            <c:rich>
              <a:bodyPr rot="-5400000" vert="horz"/>
              <a:lstStyle/>
              <a:p>
                <a:pPr>
                  <a:defRPr/>
                </a:pPr>
                <a:r>
                  <a:rPr lang="en-US"/>
                  <a:t>£m 2011/12</a:t>
                </a:r>
              </a:p>
            </c:rich>
          </c:tx>
        </c:title>
        <c:numFmt formatCode="_-* #,##0_-;\-* #,##0_-;_-* &quot;-&quot;??_-;_-@_-" sourceLinked="1"/>
        <c:tickLblPos val="nextTo"/>
        <c:crossAx val="43985920"/>
        <c:crosses val="autoZero"/>
        <c:crossBetween val="between"/>
      </c:valAx>
    </c:plotArea>
    <c:legend>
      <c:legendPos val="r"/>
      <c:layout>
        <c:manualLayout>
          <c:xMode val="edge"/>
          <c:yMode val="edge"/>
          <c:x val="0.14215266841644789"/>
          <c:y val="0.72861688409740999"/>
          <c:w val="0.78867359298089479"/>
          <c:h val="0.12755574819966475"/>
        </c:manualLayout>
      </c:layout>
    </c:legend>
    <c:plotVisOnly val="1"/>
  </c:chart>
  <c:spPr>
    <a:ln>
      <a:noFill/>
    </a:ln>
  </c:spPr>
  <c:txPr>
    <a:bodyPr/>
    <a:lstStyle/>
    <a:p>
      <a:pPr>
        <a:defRPr>
          <a:latin typeface="Arial" pitchFamily="34" charset="0"/>
          <a:cs typeface="Arial" pitchFamily="34" charset="0"/>
        </a:defRPr>
      </a:pPr>
      <a:endParaRPr lang="en-US"/>
    </a:p>
  </c:txPr>
  <c:printSettings>
    <c:headerFooter/>
    <c:pageMargins b="0.75000000000001277" l="0.70000000000000062" r="0.70000000000000062" t="0.75000000000001277"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a:pPr>
            <a:r>
              <a:rPr lang="en-US"/>
              <a:t>Opex per pax - FP Positions</a:t>
            </a:r>
          </a:p>
        </c:rich>
      </c:tx>
      <c:overlay val="1"/>
    </c:title>
    <c:plotArea>
      <c:layout>
        <c:manualLayout>
          <c:layoutTarget val="inner"/>
          <c:xMode val="edge"/>
          <c:yMode val="edge"/>
          <c:x val="0.11964129483814523"/>
          <c:y val="0.10054621674307376"/>
          <c:w val="0.84195581802275365"/>
          <c:h val="0.74521769517793657"/>
        </c:manualLayout>
      </c:layout>
      <c:lineChart>
        <c:grouping val="standard"/>
        <c:ser>
          <c:idx val="0"/>
          <c:order val="0"/>
          <c:tx>
            <c:v>ABP</c:v>
          </c:tx>
          <c:spPr>
            <a:ln w="15875"/>
          </c:spPr>
          <c:dLbls>
            <c:dLblPos val="t"/>
            <c:showVal val="1"/>
          </c:dLbls>
          <c:cat>
            <c:strRef>
              <c:f>'HAL - CAA - fp'!$C$45:$M$45</c:f>
              <c:strCache>
                <c:ptCount val="11"/>
                <c:pt idx="0">
                  <c:v>2008/09</c:v>
                </c:pt>
                <c:pt idx="1">
                  <c:v>2009/10</c:v>
                </c:pt>
                <c:pt idx="2">
                  <c:v>2010/11</c:v>
                </c:pt>
                <c:pt idx="3">
                  <c:v>2011/12</c:v>
                </c:pt>
                <c:pt idx="4">
                  <c:v>2012/13</c:v>
                </c:pt>
                <c:pt idx="5">
                  <c:v>2013/14</c:v>
                </c:pt>
                <c:pt idx="6">
                  <c:v>2014/15</c:v>
                </c:pt>
                <c:pt idx="7">
                  <c:v>2015/16</c:v>
                </c:pt>
                <c:pt idx="8">
                  <c:v>2016/17</c:v>
                </c:pt>
                <c:pt idx="9">
                  <c:v>2017/18</c:v>
                </c:pt>
                <c:pt idx="10">
                  <c:v>2018/19</c:v>
                </c:pt>
              </c:strCache>
            </c:strRef>
          </c:cat>
          <c:val>
            <c:numRef>
              <c:f>'HAL - CAA - fp'!$C$70:$M$70</c:f>
              <c:numCache>
                <c:formatCode>_-* #,##0.00_-;\-* #,##0.00_-;_-* "-"??_-;_-@_-</c:formatCode>
                <c:ptCount val="11"/>
                <c:pt idx="0">
                  <c:v>15.98937784522003</c:v>
                </c:pt>
                <c:pt idx="1">
                  <c:v>16.384266263237521</c:v>
                </c:pt>
                <c:pt idx="2">
                  <c:v>15.527987897125566</c:v>
                </c:pt>
                <c:pt idx="3">
                  <c:v>14.692948838866702</c:v>
                </c:pt>
                <c:pt idx="4">
                  <c:v>14.975574712643683</c:v>
                </c:pt>
                <c:pt idx="5">
                  <c:v>15.263081395348836</c:v>
                </c:pt>
                <c:pt idx="6">
                  <c:v>15.286733238231099</c:v>
                </c:pt>
                <c:pt idx="7">
                  <c:v>14.535310734463279</c:v>
                </c:pt>
                <c:pt idx="8">
                  <c:v>14.127272727272725</c:v>
                </c:pt>
                <c:pt idx="9">
                  <c:v>13.824343015214385</c:v>
                </c:pt>
                <c:pt idx="10">
                  <c:v>13.828767123287669</c:v>
                </c:pt>
              </c:numCache>
            </c:numRef>
          </c:val>
        </c:ser>
        <c:ser>
          <c:idx val="3"/>
          <c:order val="1"/>
          <c:tx>
            <c:v>CAA - Low Stretch</c:v>
          </c:tx>
          <c:spPr>
            <a:ln w="15875">
              <a:solidFill>
                <a:schemeClr val="accent2"/>
              </a:solidFill>
              <a:prstDash val="sysDash"/>
            </a:ln>
          </c:spPr>
          <c:marker>
            <c:symbol val="circle"/>
            <c:size val="7"/>
            <c:spPr>
              <a:solidFill>
                <a:schemeClr val="accent2"/>
              </a:solidFill>
              <a:ln>
                <a:solidFill>
                  <a:schemeClr val="accent2"/>
                </a:solidFill>
              </a:ln>
            </c:spPr>
          </c:marker>
          <c:dLbls>
            <c:dLbl>
              <c:idx val="0"/>
              <c:delete val="1"/>
            </c:dLbl>
            <c:dLbl>
              <c:idx val="1"/>
              <c:delete val="1"/>
            </c:dLbl>
            <c:dLbl>
              <c:idx val="2"/>
              <c:delete val="1"/>
            </c:dLbl>
            <c:dLbl>
              <c:idx val="3"/>
              <c:delete val="1"/>
            </c:dLbl>
            <c:dLbl>
              <c:idx val="4"/>
              <c:delete val="1"/>
            </c:dLbl>
            <c:dLbl>
              <c:idx val="5"/>
              <c:delete val="1"/>
            </c:dLbl>
            <c:dLblPos val="t"/>
            <c:showVal val="1"/>
          </c:dLbls>
          <c:val>
            <c:numRef>
              <c:f>'HAL - CAA - fp'!$C$75:$M$75</c:f>
              <c:numCache>
                <c:formatCode>_-* #,##0.00_-;\-* #,##0.00_-;_-* "-"??_-;_-@_-</c:formatCode>
                <c:ptCount val="11"/>
                <c:pt idx="6">
                  <c:v>15.112340438351895</c:v>
                </c:pt>
                <c:pt idx="7">
                  <c:v>14.266582033727504</c:v>
                </c:pt>
                <c:pt idx="8">
                  <c:v>13.792550328197821</c:v>
                </c:pt>
                <c:pt idx="9">
                  <c:v>13.291419737997865</c:v>
                </c:pt>
                <c:pt idx="10">
                  <c:v>13.108667439174898</c:v>
                </c:pt>
              </c:numCache>
            </c:numRef>
          </c:val>
        </c:ser>
        <c:ser>
          <c:idx val="2"/>
          <c:order val="2"/>
          <c:tx>
            <c:v>CAA - Mid Stretch</c:v>
          </c:tx>
          <c:spPr>
            <a:ln w="15875">
              <a:solidFill>
                <a:schemeClr val="accent2">
                  <a:lumMod val="60000"/>
                  <a:lumOff val="40000"/>
                </a:schemeClr>
              </a:solidFill>
              <a:prstDash val="dash"/>
            </a:ln>
          </c:spPr>
          <c:marker>
            <c:spPr>
              <a:solidFill>
                <a:srgbClr val="C0504D">
                  <a:lumMod val="40000"/>
                  <a:lumOff val="60000"/>
                </a:srgbClr>
              </a:solidFill>
              <a:ln>
                <a:solidFill>
                  <a:srgbClr val="C0504D">
                    <a:lumMod val="40000"/>
                    <a:lumOff val="60000"/>
                  </a:srgbClr>
                </a:solidFill>
              </a:ln>
            </c:spPr>
          </c:marker>
          <c:dLbls>
            <c:dLblPos val="ctr"/>
            <c:showVal val="1"/>
          </c:dLbls>
          <c:val>
            <c:numRef>
              <c:f>'HAL - CAA - fp'!$C$76:$M$76</c:f>
              <c:numCache>
                <c:formatCode>_-* #,##0.00_-;\-* #,##0.00_-;_-* "-"??_-;_-@_-</c:formatCode>
                <c:ptCount val="11"/>
                <c:pt idx="6">
                  <c:v>15.081735927570332</c:v>
                </c:pt>
                <c:pt idx="7">
                  <c:v>14.208216291725215</c:v>
                </c:pt>
                <c:pt idx="8">
                  <c:v>13.71000393825336</c:v>
                </c:pt>
                <c:pt idx="9">
                  <c:v>13.185714410517244</c:v>
                </c:pt>
                <c:pt idx="10">
                  <c:v>12.978874724555686</c:v>
                </c:pt>
              </c:numCache>
            </c:numRef>
          </c:val>
        </c:ser>
        <c:ser>
          <c:idx val="1"/>
          <c:order val="3"/>
          <c:tx>
            <c:v>CAA - High Stretch</c:v>
          </c:tx>
          <c:spPr>
            <a:ln w="15875"/>
          </c:spPr>
          <c:dLbls>
            <c:dLblPos val="b"/>
            <c:showVal val="1"/>
          </c:dLbls>
          <c:val>
            <c:numRef>
              <c:f>'HAL - CAA - fp'!$C$77:$M$77</c:f>
              <c:numCache>
                <c:formatCode>_-* #,##0.00_-;\-* #,##0.00_-;_-* "-"??_-;_-@_-</c:formatCode>
                <c:ptCount val="11"/>
                <c:pt idx="6">
                  <c:v>15.01427114191692</c:v>
                </c:pt>
                <c:pt idx="7">
                  <c:v>14.089762250461884</c:v>
                </c:pt>
                <c:pt idx="8">
                  <c:v>13.550631836683252</c:v>
                </c:pt>
                <c:pt idx="9">
                  <c:v>13.012660263304632</c:v>
                </c:pt>
                <c:pt idx="10">
                  <c:v>12.749947162295674</c:v>
                </c:pt>
              </c:numCache>
            </c:numRef>
          </c:val>
        </c:ser>
        <c:marker val="1"/>
        <c:axId val="44147456"/>
        <c:axId val="44148992"/>
      </c:lineChart>
      <c:catAx>
        <c:axId val="44147456"/>
        <c:scaling>
          <c:orientation val="minMax"/>
        </c:scaling>
        <c:axPos val="b"/>
        <c:tickLblPos val="nextTo"/>
        <c:crossAx val="44148992"/>
        <c:crosses val="autoZero"/>
        <c:auto val="1"/>
        <c:lblAlgn val="ctr"/>
        <c:lblOffset val="100"/>
      </c:catAx>
      <c:valAx>
        <c:axId val="44148992"/>
        <c:scaling>
          <c:orientation val="minMax"/>
          <c:min val="12"/>
        </c:scaling>
        <c:axPos val="l"/>
        <c:majorGridlines/>
        <c:title>
          <c:tx>
            <c:rich>
              <a:bodyPr rot="-5400000" vert="horz"/>
              <a:lstStyle/>
              <a:p>
                <a:pPr>
                  <a:defRPr/>
                </a:pPr>
                <a:r>
                  <a:rPr lang="en-US"/>
                  <a:t>£ 2011/12</a:t>
                </a:r>
              </a:p>
            </c:rich>
          </c:tx>
        </c:title>
        <c:numFmt formatCode="_-* #,##0.00_-;\-* #,##0.00_-;_-* &quot;-&quot;??_-;_-@_-" sourceLinked="1"/>
        <c:tickLblPos val="nextTo"/>
        <c:crossAx val="44147456"/>
        <c:crosses val="autoZero"/>
        <c:crossBetween val="between"/>
      </c:valAx>
    </c:plotArea>
    <c:legend>
      <c:legendPos val="r"/>
      <c:layout>
        <c:manualLayout>
          <c:xMode val="edge"/>
          <c:yMode val="edge"/>
          <c:x val="0.11854181588731916"/>
          <c:y val="0.74167512370543864"/>
          <c:w val="0.83563796813824887"/>
          <c:h val="0.14158067264370627"/>
        </c:manualLayout>
      </c:layout>
    </c:legend>
    <c:plotVisOnly val="1"/>
  </c:chart>
  <c:spPr>
    <a:ln>
      <a:noFill/>
    </a:ln>
  </c:spPr>
  <c:txPr>
    <a:bodyPr/>
    <a:lstStyle/>
    <a:p>
      <a:pPr>
        <a:defRPr>
          <a:latin typeface="Arial" pitchFamily="34" charset="0"/>
          <a:cs typeface="Arial" pitchFamily="34" charset="0"/>
        </a:defRPr>
      </a:pPr>
      <a:endParaRPr lang="en-US"/>
    </a:p>
  </c:txPr>
  <c:printSettings>
    <c:headerFooter/>
    <c:pageMargins b="0.75000000000001299" l="0.70000000000000062" r="0.70000000000000062" t="0.75000000000001299"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a:pPr>
            <a:r>
              <a:rPr lang="en-US"/>
              <a:t>Total Opex</a:t>
            </a:r>
          </a:p>
        </c:rich>
      </c:tx>
      <c:overlay val="1"/>
    </c:title>
    <c:plotArea>
      <c:layout>
        <c:manualLayout>
          <c:layoutTarget val="inner"/>
          <c:xMode val="edge"/>
          <c:yMode val="edge"/>
          <c:x val="0.11964129483814523"/>
          <c:y val="0.10054621674307376"/>
          <c:w val="0.84195581802275365"/>
          <c:h val="0.74521769517793657"/>
        </c:manualLayout>
      </c:layout>
      <c:lineChart>
        <c:grouping val="standard"/>
        <c:ser>
          <c:idx val="3"/>
          <c:order val="0"/>
          <c:tx>
            <c:v>HAL - ABP</c:v>
          </c:tx>
          <c:spPr>
            <a:ln w="15875">
              <a:solidFill>
                <a:schemeClr val="accent1"/>
              </a:solidFill>
            </a:ln>
          </c:spPr>
          <c:marker>
            <c:symbol val="diamond"/>
            <c:size val="7"/>
            <c:spPr>
              <a:solidFill>
                <a:schemeClr val="accent1"/>
              </a:solidFill>
              <a:ln>
                <a:solidFill>
                  <a:srgbClr val="4F81BD">
                    <a:lumMod val="40000"/>
                    <a:lumOff val="60000"/>
                  </a:srgbClr>
                </a:solidFill>
              </a:ln>
            </c:spPr>
          </c:marker>
          <c:dLbls>
            <c:dLblPos val="t"/>
            <c:showVal val="1"/>
          </c:dLbls>
          <c:val>
            <c:numRef>
              <c:f>'HAL - CAA - fp'!$C$51:$M$51</c:f>
              <c:numCache>
                <c:formatCode>_-* #,##0_-;\-* #,##0_-;_-* "-"??_-;_-@_-</c:formatCode>
                <c:ptCount val="11"/>
                <c:pt idx="0">
                  <c:v>1053.7</c:v>
                </c:pt>
                <c:pt idx="1">
                  <c:v>1083</c:v>
                </c:pt>
                <c:pt idx="2">
                  <c:v>1026.3999999999999</c:v>
                </c:pt>
                <c:pt idx="3">
                  <c:v>1029.5</c:v>
                </c:pt>
                <c:pt idx="4">
                  <c:v>1042.3000000000002</c:v>
                </c:pt>
                <c:pt idx="5" formatCode="_-* #,##0.0_-;\-* #,##0.0_-;_-* &quot;-&quot;??_-;_-@_-">
                  <c:v>1050.0999999999999</c:v>
                </c:pt>
                <c:pt idx="6" formatCode="_-* #,##0.0_-;\-* #,##0.0_-;_-* &quot;-&quot;??_-;_-@_-">
                  <c:v>1071.5999999999999</c:v>
                </c:pt>
                <c:pt idx="7" formatCode="_-* #,##0.0_-;\-* #,##0.0_-;_-* &quot;-&quot;??_-;_-@_-">
                  <c:v>1029.1000000000001</c:v>
                </c:pt>
                <c:pt idx="8" formatCode="_-* #,##0.0_-;\-* #,##0.0_-;_-* &quot;-&quot;??_-;_-@_-">
                  <c:v>1010.0999999999999</c:v>
                </c:pt>
                <c:pt idx="9" formatCode="_-* #,##0.0_-;\-* #,##0.0_-;_-* &quot;-&quot;??_-;_-@_-">
                  <c:v>999.5</c:v>
                </c:pt>
                <c:pt idx="10" formatCode="_-* #,##0.0_-;\-* #,##0.0_-;_-* &quot;-&quot;??_-;_-@_-">
                  <c:v>1009.4999999999999</c:v>
                </c:pt>
              </c:numCache>
            </c:numRef>
          </c:val>
        </c:ser>
        <c:ser>
          <c:idx val="0"/>
          <c:order val="1"/>
          <c:tx>
            <c:v>CAA - Mid Stretch</c:v>
          </c:tx>
          <c:spPr>
            <a:ln w="15875">
              <a:solidFill>
                <a:schemeClr val="accent2"/>
              </a:solidFill>
              <a:prstDash val="solid"/>
            </a:ln>
          </c:spPr>
          <c:marker>
            <c:spPr>
              <a:solidFill>
                <a:srgbClr val="C0504D"/>
              </a:solidFill>
              <a:ln>
                <a:solidFill>
                  <a:srgbClr val="C0504D"/>
                </a:solidFill>
              </a:ln>
            </c:spPr>
          </c:marker>
          <c:dLbls>
            <c:dLblPos val="ctr"/>
            <c:showVal val="1"/>
          </c:dLbls>
          <c:cat>
            <c:strRef>
              <c:f>'HAL - CAA - fp'!$C$45:$M$45</c:f>
              <c:strCache>
                <c:ptCount val="11"/>
                <c:pt idx="0">
                  <c:v>2008/09</c:v>
                </c:pt>
                <c:pt idx="1">
                  <c:v>2009/10</c:v>
                </c:pt>
                <c:pt idx="2">
                  <c:v>2010/11</c:v>
                </c:pt>
                <c:pt idx="3">
                  <c:v>2011/12</c:v>
                </c:pt>
                <c:pt idx="4">
                  <c:v>2012/13</c:v>
                </c:pt>
                <c:pt idx="5">
                  <c:v>2013/14</c:v>
                </c:pt>
                <c:pt idx="6">
                  <c:v>2014/15</c:v>
                </c:pt>
                <c:pt idx="7">
                  <c:v>2015/16</c:v>
                </c:pt>
                <c:pt idx="8">
                  <c:v>2016/17</c:v>
                </c:pt>
                <c:pt idx="9">
                  <c:v>2017/18</c:v>
                </c:pt>
                <c:pt idx="10">
                  <c:v>2018/19</c:v>
                </c:pt>
              </c:strCache>
            </c:strRef>
          </c:cat>
          <c:val>
            <c:numRef>
              <c:f>'HAL - CAA - fp'!$C$65:$M$65</c:f>
              <c:numCache>
                <c:formatCode>_-* #,##0_-;\-* #,##0_-;_-* "-"??_-;_-@_-</c:formatCode>
                <c:ptCount val="11"/>
                <c:pt idx="6" formatCode="_-* #,##0.0_-;\-* #,##0.0_-;_-* &quot;-&quot;??_-;_-@_-">
                  <c:v>1057.2296885226801</c:v>
                </c:pt>
                <c:pt idx="7" formatCode="_-* #,##0.0_-;\-* #,##0.0_-;_-* &quot;-&quot;??_-;_-@_-">
                  <c:v>1005.9417134541452</c:v>
                </c:pt>
                <c:pt idx="8" formatCode="_-* #,##0.0_-;\-* #,##0.0_-;_-* &quot;-&quot;??_-;_-@_-">
                  <c:v>980.26528158511519</c:v>
                </c:pt>
                <c:pt idx="9" formatCode="_-* #,##0.0_-;\-* #,##0.0_-;_-* &quot;-&quot;??_-;_-@_-">
                  <c:v>953.32715188039674</c:v>
                </c:pt>
                <c:pt idx="10" formatCode="_-* #,##0.0_-;\-* #,##0.0_-;_-* &quot;-&quot;??_-;_-@_-">
                  <c:v>947.45785489256502</c:v>
                </c:pt>
              </c:numCache>
            </c:numRef>
          </c:val>
        </c:ser>
        <c:ser>
          <c:idx val="4"/>
          <c:order val="2"/>
          <c:tx>
            <c:strRef>
              <c:f>'HAL - CAA - fp'!$B$62</c:f>
              <c:strCache>
                <c:ptCount val="1"/>
                <c:pt idx="0">
                  <c:v>LACC - opex</c:v>
                </c:pt>
              </c:strCache>
            </c:strRef>
          </c:tx>
          <c:spPr>
            <a:ln w="15875">
              <a:solidFill>
                <a:schemeClr val="accent3"/>
              </a:solidFill>
            </a:ln>
          </c:spPr>
          <c:marker>
            <c:symbol val="diamond"/>
            <c:size val="7"/>
            <c:spPr>
              <a:solidFill>
                <a:schemeClr val="accent3"/>
              </a:solidFill>
              <a:ln>
                <a:solidFill>
                  <a:srgbClr val="9BBB59"/>
                </a:solidFill>
              </a:ln>
            </c:spPr>
          </c:marker>
          <c:dLbls>
            <c:dLblPos val="ctr"/>
            <c:showVal val="1"/>
          </c:dLbls>
          <c:val>
            <c:numRef>
              <c:f>'HAL - CAA - fp'!$C$62:$M$62</c:f>
              <c:numCache>
                <c:formatCode>_-* #,##0_-;\-* #,##0_-;_-* "-"??_-;_-@_-</c:formatCode>
                <c:ptCount val="11"/>
                <c:pt idx="6">
                  <c:v>1002.8</c:v>
                </c:pt>
                <c:pt idx="7">
                  <c:v>891.89999999999986</c:v>
                </c:pt>
                <c:pt idx="8">
                  <c:v>797</c:v>
                </c:pt>
                <c:pt idx="9">
                  <c:v>713.89999999999986</c:v>
                </c:pt>
                <c:pt idx="10">
                  <c:v>643.39999999999986</c:v>
                </c:pt>
              </c:numCache>
            </c:numRef>
          </c:val>
        </c:ser>
        <c:marker val="1"/>
        <c:axId val="44069632"/>
        <c:axId val="44071168"/>
      </c:lineChart>
      <c:catAx>
        <c:axId val="44069632"/>
        <c:scaling>
          <c:orientation val="minMax"/>
        </c:scaling>
        <c:axPos val="b"/>
        <c:tickLblPos val="nextTo"/>
        <c:crossAx val="44071168"/>
        <c:crosses val="autoZero"/>
        <c:auto val="1"/>
        <c:lblAlgn val="ctr"/>
        <c:lblOffset val="100"/>
      </c:catAx>
      <c:valAx>
        <c:axId val="44071168"/>
        <c:scaling>
          <c:orientation val="minMax"/>
          <c:min val="500"/>
        </c:scaling>
        <c:axPos val="l"/>
        <c:majorGridlines/>
        <c:title>
          <c:tx>
            <c:rich>
              <a:bodyPr rot="-5400000" vert="horz"/>
              <a:lstStyle/>
              <a:p>
                <a:pPr>
                  <a:defRPr/>
                </a:pPr>
                <a:r>
                  <a:rPr lang="en-US"/>
                  <a:t>£m 2011/12</a:t>
                </a:r>
              </a:p>
            </c:rich>
          </c:tx>
        </c:title>
        <c:numFmt formatCode="_-* #,##0_-;\-* #,##0_-;_-* &quot;-&quot;??_-;_-@_-" sourceLinked="1"/>
        <c:tickLblPos val="nextTo"/>
        <c:crossAx val="44069632"/>
        <c:crosses val="autoZero"/>
        <c:crossBetween val="between"/>
      </c:valAx>
    </c:plotArea>
    <c:legend>
      <c:legendPos val="r"/>
      <c:layout>
        <c:manualLayout>
          <c:xMode val="edge"/>
          <c:yMode val="edge"/>
          <c:x val="0.14215266841644789"/>
          <c:y val="0.72861688409740999"/>
          <c:w val="0.81301968988543949"/>
          <c:h val="0.11400366965301249"/>
        </c:manualLayout>
      </c:layout>
    </c:legend>
    <c:plotVisOnly val="1"/>
  </c:chart>
  <c:spPr>
    <a:ln>
      <a:noFill/>
    </a:ln>
  </c:spPr>
  <c:txPr>
    <a:bodyPr/>
    <a:lstStyle/>
    <a:p>
      <a:pPr>
        <a:defRPr>
          <a:latin typeface="Arial" pitchFamily="34" charset="0"/>
          <a:cs typeface="Arial" pitchFamily="34" charset="0"/>
        </a:defRPr>
      </a:pPr>
      <a:endParaRPr lang="en-US"/>
    </a:p>
  </c:txPr>
  <c:printSettings>
    <c:headerFooter/>
    <c:pageMargins b="0.75000000000001299" l="0.70000000000000062" r="0.70000000000000062" t="0.75000000000001299"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sz="1400"/>
            </a:pPr>
            <a:r>
              <a:rPr lang="en-US" sz="1400"/>
              <a:t>Breakdown of CAA Efficiency Final Proposals</a:t>
            </a:r>
          </a:p>
        </c:rich>
      </c:tx>
      <c:overlay val="1"/>
    </c:title>
    <c:plotArea>
      <c:layout>
        <c:manualLayout>
          <c:layoutTarget val="inner"/>
          <c:xMode val="edge"/>
          <c:yMode val="edge"/>
          <c:x val="7.2636836759665091E-2"/>
          <c:y val="0.11965815186974947"/>
          <c:w val="0.91418387568412962"/>
          <c:h val="0.75884884819945486"/>
        </c:manualLayout>
      </c:layout>
      <c:barChart>
        <c:barDir val="col"/>
        <c:grouping val="stacked"/>
        <c:ser>
          <c:idx val="0"/>
          <c:order val="0"/>
          <c:tx>
            <c:strRef>
              <c:f>'HAL - CAA - fp'!$B$170</c:f>
              <c:strCache>
                <c:ptCount val="1"/>
                <c:pt idx="0">
                  <c:v>IBP</c:v>
                </c:pt>
              </c:strCache>
            </c:strRef>
          </c:tx>
          <c:spPr>
            <a:solidFill>
              <a:schemeClr val="tx2"/>
            </a:solidFill>
          </c:spPr>
          <c:dLbls>
            <c:txPr>
              <a:bodyPr/>
              <a:lstStyle/>
              <a:p>
                <a:pPr>
                  <a:defRPr>
                    <a:solidFill>
                      <a:schemeClr val="bg1"/>
                    </a:solidFill>
                  </a:defRPr>
                </a:pPr>
                <a:endParaRPr lang="en-US"/>
              </a:p>
            </c:txPr>
            <c:showVal val="1"/>
          </c:dLbls>
          <c:cat>
            <c:strRef>
              <c:f>'HAL - CAA - fp'!$C$169:$N$169</c:f>
              <c:strCache>
                <c:ptCount val="12"/>
                <c:pt idx="0">
                  <c:v>IBP</c:v>
                </c:pt>
                <c:pt idx="1">
                  <c:v>FBP</c:v>
                </c:pt>
                <c:pt idx="2">
                  <c:v>ABP</c:v>
                </c:pt>
                <c:pt idx="3">
                  <c:v>Wage efficiency</c:v>
                </c:pt>
                <c:pt idx="4">
                  <c:v>Other opex</c:v>
                </c:pt>
                <c:pt idx="5">
                  <c:v>Maintenance</c:v>
                </c:pt>
                <c:pt idx="6">
                  <c:v>Frontier shift</c:v>
                </c:pt>
                <c:pt idx="7">
                  <c:v>Pension efficiency</c:v>
                </c:pt>
                <c:pt idx="8">
                  <c:v>Central support</c:v>
                </c:pt>
                <c:pt idx="9">
                  <c:v>PRT</c:v>
                </c:pt>
                <c:pt idx="10">
                  <c:v>CAA</c:v>
                </c:pt>
                <c:pt idx="11">
                  <c:v>BA</c:v>
                </c:pt>
              </c:strCache>
            </c:strRef>
          </c:cat>
          <c:val>
            <c:numRef>
              <c:f>'HAL - CAA - fp'!$C$170:$N$170</c:f>
              <c:numCache>
                <c:formatCode>General</c:formatCode>
                <c:ptCount val="12"/>
                <c:pt idx="0" formatCode="#,##0">
                  <c:v>5304.1145737543011</c:v>
                </c:pt>
              </c:numCache>
            </c:numRef>
          </c:val>
        </c:ser>
        <c:ser>
          <c:idx val="1"/>
          <c:order val="1"/>
          <c:tx>
            <c:strRef>
              <c:f>'HAL - CAA - fp'!$B$171</c:f>
              <c:strCache>
                <c:ptCount val="1"/>
                <c:pt idx="0">
                  <c:v>FBP</c:v>
                </c:pt>
              </c:strCache>
            </c:strRef>
          </c:tx>
          <c:dPt>
            <c:idx val="1"/>
            <c:spPr>
              <a:solidFill>
                <a:schemeClr val="tx2"/>
              </a:solidFill>
            </c:spPr>
          </c:dPt>
          <c:dPt>
            <c:idx val="2"/>
            <c:spPr>
              <a:noFill/>
            </c:spPr>
          </c:dPt>
          <c:dPt>
            <c:idx val="3"/>
            <c:spPr>
              <a:noFill/>
            </c:spPr>
          </c:dPt>
          <c:dPt>
            <c:idx val="4"/>
            <c:spPr>
              <a:noFill/>
            </c:spPr>
          </c:dPt>
          <c:dPt>
            <c:idx val="5"/>
            <c:spPr>
              <a:noFill/>
            </c:spPr>
          </c:dPt>
          <c:dPt>
            <c:idx val="6"/>
            <c:spPr>
              <a:noFill/>
            </c:spPr>
          </c:dPt>
          <c:dPt>
            <c:idx val="7"/>
            <c:spPr>
              <a:noFill/>
            </c:spPr>
          </c:dPt>
          <c:dLbls>
            <c:dLbl>
              <c:idx val="2"/>
              <c:delete val="1"/>
            </c:dLbl>
            <c:dLbl>
              <c:idx val="3"/>
              <c:delete val="1"/>
            </c:dLbl>
            <c:dLbl>
              <c:idx val="4"/>
              <c:delete val="1"/>
            </c:dLbl>
            <c:dLbl>
              <c:idx val="5"/>
              <c:delete val="1"/>
            </c:dLbl>
            <c:dLbl>
              <c:idx val="6"/>
              <c:delete val="1"/>
            </c:dLbl>
            <c:dLbl>
              <c:idx val="7"/>
              <c:delete val="1"/>
            </c:dLbl>
            <c:txPr>
              <a:bodyPr/>
              <a:lstStyle/>
              <a:p>
                <a:pPr>
                  <a:defRPr>
                    <a:solidFill>
                      <a:schemeClr val="bg1"/>
                    </a:solidFill>
                  </a:defRPr>
                </a:pPr>
                <a:endParaRPr lang="en-US"/>
              </a:p>
            </c:txPr>
            <c:showVal val="1"/>
          </c:dLbls>
          <c:cat>
            <c:strRef>
              <c:f>'HAL - CAA - fp'!$C$169:$N$169</c:f>
              <c:strCache>
                <c:ptCount val="12"/>
                <c:pt idx="0">
                  <c:v>IBP</c:v>
                </c:pt>
                <c:pt idx="1">
                  <c:v>FBP</c:v>
                </c:pt>
                <c:pt idx="2">
                  <c:v>ABP</c:v>
                </c:pt>
                <c:pt idx="3">
                  <c:v>Wage efficiency</c:v>
                </c:pt>
                <c:pt idx="4">
                  <c:v>Other opex</c:v>
                </c:pt>
                <c:pt idx="5">
                  <c:v>Maintenance</c:v>
                </c:pt>
                <c:pt idx="6">
                  <c:v>Frontier shift</c:v>
                </c:pt>
                <c:pt idx="7">
                  <c:v>Pension efficiency</c:v>
                </c:pt>
                <c:pt idx="8">
                  <c:v>Central support</c:v>
                </c:pt>
                <c:pt idx="9">
                  <c:v>PRT</c:v>
                </c:pt>
                <c:pt idx="10">
                  <c:v>CAA</c:v>
                </c:pt>
                <c:pt idx="11">
                  <c:v>BA</c:v>
                </c:pt>
              </c:strCache>
            </c:strRef>
          </c:cat>
          <c:val>
            <c:numRef>
              <c:f>'HAL - CAA - fp'!$C$171:$N$171</c:f>
              <c:numCache>
                <c:formatCode>_-* #,##0_-;\-* #,##0_-;_-* "-"??_-;_-@_-</c:formatCode>
                <c:ptCount val="12"/>
                <c:pt idx="1">
                  <c:v>5233.9999999999991</c:v>
                </c:pt>
              </c:numCache>
            </c:numRef>
          </c:val>
        </c:ser>
        <c:ser>
          <c:idx val="12"/>
          <c:order val="2"/>
          <c:tx>
            <c:strRef>
              <c:f>'HAL - CAA - fp'!$B$172</c:f>
              <c:strCache>
                <c:ptCount val="1"/>
                <c:pt idx="0">
                  <c:v>ABP</c:v>
                </c:pt>
              </c:strCache>
            </c:strRef>
          </c:tx>
          <c:dPt>
            <c:idx val="2"/>
            <c:spPr>
              <a:solidFill>
                <a:srgbClr val="1F497D"/>
              </a:solidFill>
            </c:spPr>
          </c:dPt>
          <c:dPt>
            <c:idx val="3"/>
            <c:spPr>
              <a:noFill/>
            </c:spPr>
          </c:dPt>
          <c:dPt>
            <c:idx val="4"/>
            <c:spPr>
              <a:noFill/>
            </c:spPr>
          </c:dPt>
          <c:dPt>
            <c:idx val="5"/>
            <c:spPr>
              <a:noFill/>
            </c:spPr>
          </c:dPt>
          <c:dPt>
            <c:idx val="6"/>
            <c:spPr>
              <a:noFill/>
            </c:spPr>
          </c:dPt>
          <c:dPt>
            <c:idx val="7"/>
            <c:spPr>
              <a:noFill/>
            </c:spPr>
          </c:dPt>
          <c:dPt>
            <c:idx val="8"/>
            <c:spPr>
              <a:noFill/>
            </c:spPr>
          </c:dPt>
          <c:dPt>
            <c:idx val="9"/>
            <c:spPr>
              <a:noFill/>
            </c:spPr>
          </c:dPt>
          <c:dLbls>
            <c:dLbl>
              <c:idx val="2"/>
              <c:showVal val="1"/>
            </c:dLbl>
            <c:delete val="1"/>
            <c:txPr>
              <a:bodyPr/>
              <a:lstStyle/>
              <a:p>
                <a:pPr>
                  <a:defRPr>
                    <a:solidFill>
                      <a:schemeClr val="bg1"/>
                    </a:solidFill>
                  </a:defRPr>
                </a:pPr>
                <a:endParaRPr lang="en-US"/>
              </a:p>
            </c:txPr>
          </c:dLbls>
          <c:cat>
            <c:strRef>
              <c:f>'HAL - CAA - fp'!$C$169:$N$169</c:f>
              <c:strCache>
                <c:ptCount val="12"/>
                <c:pt idx="0">
                  <c:v>IBP</c:v>
                </c:pt>
                <c:pt idx="1">
                  <c:v>FBP</c:v>
                </c:pt>
                <c:pt idx="2">
                  <c:v>ABP</c:v>
                </c:pt>
                <c:pt idx="3">
                  <c:v>Wage efficiency</c:v>
                </c:pt>
                <c:pt idx="4">
                  <c:v>Other opex</c:v>
                </c:pt>
                <c:pt idx="5">
                  <c:v>Maintenance</c:v>
                </c:pt>
                <c:pt idx="6">
                  <c:v>Frontier shift</c:v>
                </c:pt>
                <c:pt idx="7">
                  <c:v>Pension efficiency</c:v>
                </c:pt>
                <c:pt idx="8">
                  <c:v>Central support</c:v>
                </c:pt>
                <c:pt idx="9">
                  <c:v>PRT</c:v>
                </c:pt>
                <c:pt idx="10">
                  <c:v>CAA</c:v>
                </c:pt>
                <c:pt idx="11">
                  <c:v>BA</c:v>
                </c:pt>
              </c:strCache>
            </c:strRef>
          </c:cat>
          <c:val>
            <c:numRef>
              <c:f>'HAL - CAA - fp'!$C$172:$N$172</c:f>
              <c:numCache>
                <c:formatCode>_-* #,##0_-;\-* #,##0_-;_-* "-"??_-;_-@_-</c:formatCode>
                <c:ptCount val="12"/>
                <c:pt idx="2" formatCode="#,##0">
                  <c:v>5119.7999999999993</c:v>
                </c:pt>
                <c:pt idx="3">
                  <c:v>5042.1982302250799</c:v>
                </c:pt>
                <c:pt idx="4">
                  <c:v>5003.4982302250801</c:v>
                </c:pt>
                <c:pt idx="5">
                  <c:v>4983.6631815429555</c:v>
                </c:pt>
                <c:pt idx="6">
                  <c:v>4963.2216903349017</c:v>
                </c:pt>
                <c:pt idx="7">
                  <c:v>4953.8216903349021</c:v>
                </c:pt>
                <c:pt idx="8">
                  <c:v>4953.8216903349021</c:v>
                </c:pt>
                <c:pt idx="9">
                  <c:v>4944.2216903349017</c:v>
                </c:pt>
              </c:numCache>
            </c:numRef>
          </c:val>
        </c:ser>
        <c:ser>
          <c:idx val="3"/>
          <c:order val="3"/>
          <c:tx>
            <c:strRef>
              <c:f>'HAL - CAA - fp'!$B$174</c:f>
              <c:strCache>
                <c:ptCount val="1"/>
                <c:pt idx="0">
                  <c:v>Other opex</c:v>
                </c:pt>
              </c:strCache>
            </c:strRef>
          </c:tx>
          <c:spPr>
            <a:solidFill>
              <a:schemeClr val="accent2"/>
            </a:solidFill>
          </c:spPr>
          <c:dLbls>
            <c:txPr>
              <a:bodyPr/>
              <a:lstStyle/>
              <a:p>
                <a:pPr>
                  <a:defRPr>
                    <a:solidFill>
                      <a:schemeClr val="bg1"/>
                    </a:solidFill>
                  </a:defRPr>
                </a:pPr>
                <a:endParaRPr lang="en-US"/>
              </a:p>
            </c:txPr>
            <c:showVal val="1"/>
          </c:dLbls>
          <c:cat>
            <c:strRef>
              <c:f>'HAL - CAA - fp'!$C$169:$N$169</c:f>
              <c:strCache>
                <c:ptCount val="12"/>
                <c:pt idx="0">
                  <c:v>IBP</c:v>
                </c:pt>
                <c:pt idx="1">
                  <c:v>FBP</c:v>
                </c:pt>
                <c:pt idx="2">
                  <c:v>ABP</c:v>
                </c:pt>
                <c:pt idx="3">
                  <c:v>Wage efficiency</c:v>
                </c:pt>
                <c:pt idx="4">
                  <c:v>Other opex</c:v>
                </c:pt>
                <c:pt idx="5">
                  <c:v>Maintenance</c:v>
                </c:pt>
                <c:pt idx="6">
                  <c:v>Frontier shift</c:v>
                </c:pt>
                <c:pt idx="7">
                  <c:v>Pension efficiency</c:v>
                </c:pt>
                <c:pt idx="8">
                  <c:v>Central support</c:v>
                </c:pt>
                <c:pt idx="9">
                  <c:v>PRT</c:v>
                </c:pt>
                <c:pt idx="10">
                  <c:v>CAA</c:v>
                </c:pt>
                <c:pt idx="11">
                  <c:v>BA</c:v>
                </c:pt>
              </c:strCache>
            </c:strRef>
          </c:cat>
          <c:val>
            <c:numRef>
              <c:f>'HAL - CAA - fp'!$C$174:$N$174</c:f>
              <c:numCache>
                <c:formatCode>_-* #,##0_-;\-* #,##0_-;_-* "-"??_-;_-@_-</c:formatCode>
                <c:ptCount val="12"/>
                <c:pt idx="4">
                  <c:v>38.700000000000003</c:v>
                </c:pt>
              </c:numCache>
            </c:numRef>
          </c:val>
        </c:ser>
        <c:ser>
          <c:idx val="4"/>
          <c:order val="4"/>
          <c:tx>
            <c:strRef>
              <c:f>'HAL - CAA - fp'!$B$175</c:f>
              <c:strCache>
                <c:ptCount val="1"/>
                <c:pt idx="0">
                  <c:v>Maintenance</c:v>
                </c:pt>
              </c:strCache>
            </c:strRef>
          </c:tx>
          <c:spPr>
            <a:solidFill>
              <a:schemeClr val="accent2"/>
            </a:solidFill>
          </c:spPr>
          <c:dLbls>
            <c:showVal val="1"/>
          </c:dLbls>
          <c:cat>
            <c:strRef>
              <c:f>'HAL - CAA - fp'!$C$169:$N$169</c:f>
              <c:strCache>
                <c:ptCount val="12"/>
                <c:pt idx="0">
                  <c:v>IBP</c:v>
                </c:pt>
                <c:pt idx="1">
                  <c:v>FBP</c:v>
                </c:pt>
                <c:pt idx="2">
                  <c:v>ABP</c:v>
                </c:pt>
                <c:pt idx="3">
                  <c:v>Wage efficiency</c:v>
                </c:pt>
                <c:pt idx="4">
                  <c:v>Other opex</c:v>
                </c:pt>
                <c:pt idx="5">
                  <c:v>Maintenance</c:v>
                </c:pt>
                <c:pt idx="6">
                  <c:v>Frontier shift</c:v>
                </c:pt>
                <c:pt idx="7">
                  <c:v>Pension efficiency</c:v>
                </c:pt>
                <c:pt idx="8">
                  <c:v>Central support</c:v>
                </c:pt>
                <c:pt idx="9">
                  <c:v>PRT</c:v>
                </c:pt>
                <c:pt idx="10">
                  <c:v>CAA</c:v>
                </c:pt>
                <c:pt idx="11">
                  <c:v>BA</c:v>
                </c:pt>
              </c:strCache>
            </c:strRef>
          </c:cat>
          <c:val>
            <c:numRef>
              <c:f>'HAL - CAA - fp'!$C$175:$N$175</c:f>
              <c:numCache>
                <c:formatCode>_-* #,##0_-;\-* #,##0_-;_-* "-"??_-;_-@_-</c:formatCode>
                <c:ptCount val="12"/>
                <c:pt idx="5">
                  <c:v>19.835048682124537</c:v>
                </c:pt>
              </c:numCache>
            </c:numRef>
          </c:val>
        </c:ser>
        <c:ser>
          <c:idx val="5"/>
          <c:order val="5"/>
          <c:tx>
            <c:strRef>
              <c:f>'HAL - CAA - fp'!$B$176</c:f>
              <c:strCache>
                <c:ptCount val="1"/>
                <c:pt idx="0">
                  <c:v>Frontier shift</c:v>
                </c:pt>
              </c:strCache>
            </c:strRef>
          </c:tx>
          <c:spPr>
            <a:solidFill>
              <a:schemeClr val="accent2"/>
            </a:solidFill>
          </c:spPr>
          <c:dLbls>
            <c:showVal val="1"/>
          </c:dLbls>
          <c:cat>
            <c:strRef>
              <c:f>'HAL - CAA - fp'!$C$169:$N$169</c:f>
              <c:strCache>
                <c:ptCount val="12"/>
                <c:pt idx="0">
                  <c:v>IBP</c:v>
                </c:pt>
                <c:pt idx="1">
                  <c:v>FBP</c:v>
                </c:pt>
                <c:pt idx="2">
                  <c:v>ABP</c:v>
                </c:pt>
                <c:pt idx="3">
                  <c:v>Wage efficiency</c:v>
                </c:pt>
                <c:pt idx="4">
                  <c:v>Other opex</c:v>
                </c:pt>
                <c:pt idx="5">
                  <c:v>Maintenance</c:v>
                </c:pt>
                <c:pt idx="6">
                  <c:v>Frontier shift</c:v>
                </c:pt>
                <c:pt idx="7">
                  <c:v>Pension efficiency</c:v>
                </c:pt>
                <c:pt idx="8">
                  <c:v>Central support</c:v>
                </c:pt>
                <c:pt idx="9">
                  <c:v>PRT</c:v>
                </c:pt>
                <c:pt idx="10">
                  <c:v>CAA</c:v>
                </c:pt>
                <c:pt idx="11">
                  <c:v>BA</c:v>
                </c:pt>
              </c:strCache>
            </c:strRef>
          </c:cat>
          <c:val>
            <c:numRef>
              <c:f>'HAL - CAA - fp'!$C$176:$N$176</c:f>
              <c:numCache>
                <c:formatCode>_-* #,##0_-;\-* #,##0_-;_-* "-"??_-;_-@_-</c:formatCode>
                <c:ptCount val="12"/>
                <c:pt idx="6">
                  <c:v>20.441491208053321</c:v>
                </c:pt>
              </c:numCache>
            </c:numRef>
          </c:val>
        </c:ser>
        <c:ser>
          <c:idx val="6"/>
          <c:order val="6"/>
          <c:tx>
            <c:strRef>
              <c:f>'HAL - CAA - fp'!$B$177</c:f>
              <c:strCache>
                <c:ptCount val="1"/>
                <c:pt idx="0">
                  <c:v>Pension efficiency</c:v>
                </c:pt>
              </c:strCache>
            </c:strRef>
          </c:tx>
          <c:spPr>
            <a:solidFill>
              <a:schemeClr val="accent2"/>
            </a:solidFill>
          </c:spPr>
          <c:dLbls>
            <c:showVal val="1"/>
          </c:dLbls>
          <c:cat>
            <c:strRef>
              <c:f>'HAL - CAA - fp'!$C$169:$N$169</c:f>
              <c:strCache>
                <c:ptCount val="12"/>
                <c:pt idx="0">
                  <c:v>IBP</c:v>
                </c:pt>
                <c:pt idx="1">
                  <c:v>FBP</c:v>
                </c:pt>
                <c:pt idx="2">
                  <c:v>ABP</c:v>
                </c:pt>
                <c:pt idx="3">
                  <c:v>Wage efficiency</c:v>
                </c:pt>
                <c:pt idx="4">
                  <c:v>Other opex</c:v>
                </c:pt>
                <c:pt idx="5">
                  <c:v>Maintenance</c:v>
                </c:pt>
                <c:pt idx="6">
                  <c:v>Frontier shift</c:v>
                </c:pt>
                <c:pt idx="7">
                  <c:v>Pension efficiency</c:v>
                </c:pt>
                <c:pt idx="8">
                  <c:v>Central support</c:v>
                </c:pt>
                <c:pt idx="9">
                  <c:v>PRT</c:v>
                </c:pt>
                <c:pt idx="10">
                  <c:v>CAA</c:v>
                </c:pt>
                <c:pt idx="11">
                  <c:v>BA</c:v>
                </c:pt>
              </c:strCache>
            </c:strRef>
          </c:cat>
          <c:val>
            <c:numRef>
              <c:f>'HAL - CAA - fp'!$C$177:$N$177</c:f>
              <c:numCache>
                <c:formatCode>_-* #,##0_-;\-* #,##0_-;_-* "-"??_-;_-@_-</c:formatCode>
                <c:ptCount val="12"/>
                <c:pt idx="7">
                  <c:v>9.3999999999999986</c:v>
                </c:pt>
              </c:numCache>
            </c:numRef>
          </c:val>
        </c:ser>
        <c:ser>
          <c:idx val="7"/>
          <c:order val="7"/>
          <c:tx>
            <c:strRef>
              <c:f>'HAL - CAA - fp'!$B$178</c:f>
              <c:strCache>
                <c:ptCount val="1"/>
                <c:pt idx="0">
                  <c:v>Central support</c:v>
                </c:pt>
              </c:strCache>
            </c:strRef>
          </c:tx>
          <c:cat>
            <c:strRef>
              <c:f>'HAL - CAA - fp'!$C$169:$N$169</c:f>
              <c:strCache>
                <c:ptCount val="12"/>
                <c:pt idx="0">
                  <c:v>IBP</c:v>
                </c:pt>
                <c:pt idx="1">
                  <c:v>FBP</c:v>
                </c:pt>
                <c:pt idx="2">
                  <c:v>ABP</c:v>
                </c:pt>
                <c:pt idx="3">
                  <c:v>Wage efficiency</c:v>
                </c:pt>
                <c:pt idx="4">
                  <c:v>Other opex</c:v>
                </c:pt>
                <c:pt idx="5">
                  <c:v>Maintenance</c:v>
                </c:pt>
                <c:pt idx="6">
                  <c:v>Frontier shift</c:v>
                </c:pt>
                <c:pt idx="7">
                  <c:v>Pension efficiency</c:v>
                </c:pt>
                <c:pt idx="8">
                  <c:v>Central support</c:v>
                </c:pt>
                <c:pt idx="9">
                  <c:v>PRT</c:v>
                </c:pt>
                <c:pt idx="10">
                  <c:v>CAA</c:v>
                </c:pt>
                <c:pt idx="11">
                  <c:v>BA</c:v>
                </c:pt>
              </c:strCache>
            </c:strRef>
          </c:cat>
          <c:val>
            <c:numRef>
              <c:f>'HAL - CAA - fp'!$C$178:$N$178</c:f>
              <c:numCache>
                <c:formatCode>_-* #,##0_-;\-* #,##0_-;_-* "-"??_-;_-@_-</c:formatCode>
                <c:ptCount val="12"/>
                <c:pt idx="8">
                  <c:v>0</c:v>
                </c:pt>
              </c:numCache>
            </c:numRef>
          </c:val>
        </c:ser>
        <c:ser>
          <c:idx val="8"/>
          <c:order val="8"/>
          <c:tx>
            <c:strRef>
              <c:f>'HAL - CAA - fp'!$B$180</c:f>
              <c:strCache>
                <c:ptCount val="1"/>
                <c:pt idx="0">
                  <c:v>CAA</c:v>
                </c:pt>
              </c:strCache>
            </c:strRef>
          </c:tx>
          <c:spPr>
            <a:solidFill>
              <a:schemeClr val="tx2"/>
            </a:solidFill>
          </c:spPr>
          <c:dLbls>
            <c:txPr>
              <a:bodyPr/>
              <a:lstStyle/>
              <a:p>
                <a:pPr>
                  <a:defRPr>
                    <a:solidFill>
                      <a:schemeClr val="bg1"/>
                    </a:solidFill>
                  </a:defRPr>
                </a:pPr>
                <a:endParaRPr lang="en-US"/>
              </a:p>
            </c:txPr>
            <c:showVal val="1"/>
          </c:dLbls>
          <c:cat>
            <c:strRef>
              <c:f>'HAL - CAA - fp'!$C$169:$N$169</c:f>
              <c:strCache>
                <c:ptCount val="12"/>
                <c:pt idx="0">
                  <c:v>IBP</c:v>
                </c:pt>
                <c:pt idx="1">
                  <c:v>FBP</c:v>
                </c:pt>
                <c:pt idx="2">
                  <c:v>ABP</c:v>
                </c:pt>
                <c:pt idx="3">
                  <c:v>Wage efficiency</c:v>
                </c:pt>
                <c:pt idx="4">
                  <c:v>Other opex</c:v>
                </c:pt>
                <c:pt idx="5">
                  <c:v>Maintenance</c:v>
                </c:pt>
                <c:pt idx="6">
                  <c:v>Frontier shift</c:v>
                </c:pt>
                <c:pt idx="7">
                  <c:v>Pension efficiency</c:v>
                </c:pt>
                <c:pt idx="8">
                  <c:v>Central support</c:v>
                </c:pt>
                <c:pt idx="9">
                  <c:v>PRT</c:v>
                </c:pt>
                <c:pt idx="10">
                  <c:v>CAA</c:v>
                </c:pt>
                <c:pt idx="11">
                  <c:v>BA</c:v>
                </c:pt>
              </c:strCache>
            </c:strRef>
          </c:cat>
          <c:val>
            <c:numRef>
              <c:f>'HAL - CAA - fp'!$C$180:$N$180</c:f>
              <c:numCache>
                <c:formatCode>General</c:formatCode>
                <c:ptCount val="12"/>
                <c:pt idx="10" formatCode="_-* #,##0.0_-;\-* #,##0.0_-;_-* &quot;-&quot;??_-;_-@_-">
                  <c:v>4944.2216903349017</c:v>
                </c:pt>
              </c:numCache>
            </c:numRef>
          </c:val>
        </c:ser>
        <c:ser>
          <c:idx val="9"/>
          <c:order val="9"/>
          <c:tx>
            <c:strRef>
              <c:f>'HAL - CAA - fp'!$B$181</c:f>
              <c:strCache>
                <c:ptCount val="1"/>
                <c:pt idx="0">
                  <c:v>BA</c:v>
                </c:pt>
              </c:strCache>
            </c:strRef>
          </c:tx>
          <c:spPr>
            <a:solidFill>
              <a:schemeClr val="accent3"/>
            </a:solidFill>
          </c:spPr>
          <c:dLbls>
            <c:txPr>
              <a:bodyPr/>
              <a:lstStyle/>
              <a:p>
                <a:pPr>
                  <a:defRPr>
                    <a:solidFill>
                      <a:schemeClr val="bg1"/>
                    </a:solidFill>
                  </a:defRPr>
                </a:pPr>
                <a:endParaRPr lang="en-US"/>
              </a:p>
            </c:txPr>
            <c:showVal val="1"/>
          </c:dLbls>
          <c:cat>
            <c:strRef>
              <c:f>'HAL - CAA - fp'!$C$169:$N$169</c:f>
              <c:strCache>
                <c:ptCount val="12"/>
                <c:pt idx="0">
                  <c:v>IBP</c:v>
                </c:pt>
                <c:pt idx="1">
                  <c:v>FBP</c:v>
                </c:pt>
                <c:pt idx="2">
                  <c:v>ABP</c:v>
                </c:pt>
                <c:pt idx="3">
                  <c:v>Wage efficiency</c:v>
                </c:pt>
                <c:pt idx="4">
                  <c:v>Other opex</c:v>
                </c:pt>
                <c:pt idx="5">
                  <c:v>Maintenance</c:v>
                </c:pt>
                <c:pt idx="6">
                  <c:v>Frontier shift</c:v>
                </c:pt>
                <c:pt idx="7">
                  <c:v>Pension efficiency</c:v>
                </c:pt>
                <c:pt idx="8">
                  <c:v>Central support</c:v>
                </c:pt>
                <c:pt idx="9">
                  <c:v>PRT</c:v>
                </c:pt>
                <c:pt idx="10">
                  <c:v>CAA</c:v>
                </c:pt>
                <c:pt idx="11">
                  <c:v>BA</c:v>
                </c:pt>
              </c:strCache>
            </c:strRef>
          </c:cat>
          <c:val>
            <c:numRef>
              <c:f>'HAL - CAA - fp'!$C$181:$N$181</c:f>
              <c:numCache>
                <c:formatCode>General</c:formatCode>
                <c:ptCount val="12"/>
                <c:pt idx="11" formatCode="_-* #,##0_-;\-* #,##0_-;_-* &quot;-&quot;??_-;_-@_-">
                  <c:v>4048.1219713225028</c:v>
                </c:pt>
              </c:numCache>
            </c:numRef>
          </c:val>
        </c:ser>
        <c:ser>
          <c:idx val="10"/>
          <c:order val="10"/>
          <c:tx>
            <c:strRef>
              <c:f>'HAL - CAA - fp'!$B$173</c:f>
              <c:strCache>
                <c:ptCount val="1"/>
                <c:pt idx="0">
                  <c:v>Wage efficiency</c:v>
                </c:pt>
              </c:strCache>
            </c:strRef>
          </c:tx>
          <c:spPr>
            <a:solidFill>
              <a:schemeClr val="accent2"/>
            </a:solidFill>
          </c:spPr>
          <c:dLbls>
            <c:txPr>
              <a:bodyPr/>
              <a:lstStyle/>
              <a:p>
                <a:pPr>
                  <a:defRPr>
                    <a:solidFill>
                      <a:schemeClr val="bg1"/>
                    </a:solidFill>
                  </a:defRPr>
                </a:pPr>
                <a:endParaRPr lang="en-US"/>
              </a:p>
            </c:txPr>
            <c:showVal val="1"/>
          </c:dLbls>
          <c:cat>
            <c:strRef>
              <c:f>'HAL - CAA - fp'!$C$169:$N$169</c:f>
              <c:strCache>
                <c:ptCount val="12"/>
                <c:pt idx="0">
                  <c:v>IBP</c:v>
                </c:pt>
                <c:pt idx="1">
                  <c:v>FBP</c:v>
                </c:pt>
                <c:pt idx="2">
                  <c:v>ABP</c:v>
                </c:pt>
                <c:pt idx="3">
                  <c:v>Wage efficiency</c:v>
                </c:pt>
                <c:pt idx="4">
                  <c:v>Other opex</c:v>
                </c:pt>
                <c:pt idx="5">
                  <c:v>Maintenance</c:v>
                </c:pt>
                <c:pt idx="6">
                  <c:v>Frontier shift</c:v>
                </c:pt>
                <c:pt idx="7">
                  <c:v>Pension efficiency</c:v>
                </c:pt>
                <c:pt idx="8">
                  <c:v>Central support</c:v>
                </c:pt>
                <c:pt idx="9">
                  <c:v>PRT</c:v>
                </c:pt>
                <c:pt idx="10">
                  <c:v>CAA</c:v>
                </c:pt>
                <c:pt idx="11">
                  <c:v>BA</c:v>
                </c:pt>
              </c:strCache>
            </c:strRef>
          </c:cat>
          <c:val>
            <c:numRef>
              <c:f>'HAL - CAA - fp'!$C$173:$N$173</c:f>
              <c:numCache>
                <c:formatCode>_-* #,##0_-;\-* #,##0_-;_-* "-"??_-;_-@_-</c:formatCode>
                <c:ptCount val="12"/>
                <c:pt idx="3">
                  <c:v>77.601769774919603</c:v>
                </c:pt>
              </c:numCache>
            </c:numRef>
          </c:val>
        </c:ser>
        <c:ser>
          <c:idx val="11"/>
          <c:order val="11"/>
          <c:tx>
            <c:strRef>
              <c:f>'HAL - CAA - fp'!$B$179</c:f>
              <c:strCache>
                <c:ptCount val="1"/>
                <c:pt idx="0">
                  <c:v>PRT</c:v>
                </c:pt>
              </c:strCache>
            </c:strRef>
          </c:tx>
          <c:spPr>
            <a:solidFill>
              <a:schemeClr val="accent2"/>
            </a:solidFill>
          </c:spPr>
          <c:dLbls>
            <c:showVal val="1"/>
          </c:dLbls>
          <c:cat>
            <c:strRef>
              <c:f>'HAL - CAA - fp'!$C$169:$N$169</c:f>
              <c:strCache>
                <c:ptCount val="12"/>
                <c:pt idx="0">
                  <c:v>IBP</c:v>
                </c:pt>
                <c:pt idx="1">
                  <c:v>FBP</c:v>
                </c:pt>
                <c:pt idx="2">
                  <c:v>ABP</c:v>
                </c:pt>
                <c:pt idx="3">
                  <c:v>Wage efficiency</c:v>
                </c:pt>
                <c:pt idx="4">
                  <c:v>Other opex</c:v>
                </c:pt>
                <c:pt idx="5">
                  <c:v>Maintenance</c:v>
                </c:pt>
                <c:pt idx="6">
                  <c:v>Frontier shift</c:v>
                </c:pt>
                <c:pt idx="7">
                  <c:v>Pension efficiency</c:v>
                </c:pt>
                <c:pt idx="8">
                  <c:v>Central support</c:v>
                </c:pt>
                <c:pt idx="9">
                  <c:v>PRT</c:v>
                </c:pt>
                <c:pt idx="10">
                  <c:v>CAA</c:v>
                </c:pt>
                <c:pt idx="11">
                  <c:v>BA</c:v>
                </c:pt>
              </c:strCache>
            </c:strRef>
          </c:cat>
          <c:val>
            <c:numRef>
              <c:f>'HAL - CAA - fp'!$C$179:$N$179</c:f>
              <c:numCache>
                <c:formatCode>_-* #,##0_-;\-* #,##0_-;_-* "-"??_-;_-@_-</c:formatCode>
                <c:ptCount val="12"/>
                <c:pt idx="9">
                  <c:v>9.6</c:v>
                </c:pt>
              </c:numCache>
            </c:numRef>
          </c:val>
        </c:ser>
        <c:gapWidth val="5"/>
        <c:overlap val="100"/>
        <c:axId val="44234240"/>
        <c:axId val="44235776"/>
      </c:barChart>
      <c:catAx>
        <c:axId val="44234240"/>
        <c:scaling>
          <c:orientation val="minMax"/>
        </c:scaling>
        <c:axPos val="b"/>
        <c:tickLblPos val="nextTo"/>
        <c:crossAx val="44235776"/>
        <c:crosses val="autoZero"/>
        <c:auto val="1"/>
        <c:lblAlgn val="ctr"/>
        <c:lblOffset val="100"/>
      </c:catAx>
      <c:valAx>
        <c:axId val="44235776"/>
        <c:scaling>
          <c:orientation val="minMax"/>
          <c:min val="4000"/>
        </c:scaling>
        <c:axPos val="l"/>
        <c:majorGridlines/>
        <c:title>
          <c:tx>
            <c:rich>
              <a:bodyPr rot="-5400000" vert="horz"/>
              <a:lstStyle/>
              <a:p>
                <a:pPr>
                  <a:defRPr/>
                </a:pPr>
                <a:r>
                  <a:rPr lang="en-US"/>
                  <a:t>£m 2011/12</a:t>
                </a:r>
              </a:p>
            </c:rich>
          </c:tx>
        </c:title>
        <c:numFmt formatCode="#,##0" sourceLinked="1"/>
        <c:tickLblPos val="nextTo"/>
        <c:crossAx val="44234240"/>
        <c:crosses val="autoZero"/>
        <c:crossBetween val="between"/>
      </c:valAx>
    </c:plotArea>
    <c:plotVisOnly val="1"/>
  </c:chart>
  <c:spPr>
    <a:ln>
      <a:noFill/>
    </a:ln>
  </c:spPr>
  <c:txPr>
    <a:bodyPr/>
    <a:lstStyle/>
    <a:p>
      <a:pPr>
        <a:defRPr>
          <a:latin typeface="Arial" pitchFamily="34" charset="0"/>
          <a:cs typeface="Arial" pitchFamily="34" charset="0"/>
        </a:defRPr>
      </a:pPr>
      <a:endParaRPr lang="en-US"/>
    </a:p>
  </c:txPr>
  <c:printSettings>
    <c:headerFooter/>
    <c:pageMargins b="0.75000000000001155" l="0.70000000000000062" r="0.70000000000000062" t="0.75000000000001155"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sz="1400"/>
            </a:pPr>
            <a:r>
              <a:rPr lang="en-US" sz="1400"/>
              <a:t>Breakdown of CAA Efficiency Initial Proposals</a:t>
            </a:r>
          </a:p>
        </c:rich>
      </c:tx>
      <c:overlay val="1"/>
    </c:title>
    <c:plotArea>
      <c:layout>
        <c:manualLayout>
          <c:layoutTarget val="inner"/>
          <c:xMode val="edge"/>
          <c:yMode val="edge"/>
          <c:x val="7.2636836759665091E-2"/>
          <c:y val="0.11965815186974947"/>
          <c:w val="0.91418387568412962"/>
          <c:h val="0.75884884819945486"/>
        </c:manualLayout>
      </c:layout>
      <c:barChart>
        <c:barDir val="col"/>
        <c:grouping val="stacked"/>
        <c:ser>
          <c:idx val="0"/>
          <c:order val="0"/>
          <c:tx>
            <c:strRef>
              <c:f>'HAL - CAA - ip'!$B$116</c:f>
              <c:strCache>
                <c:ptCount val="1"/>
                <c:pt idx="0">
                  <c:v>IBP</c:v>
                </c:pt>
              </c:strCache>
            </c:strRef>
          </c:tx>
          <c:spPr>
            <a:solidFill>
              <a:schemeClr val="tx2"/>
            </a:solidFill>
          </c:spPr>
          <c:dLbls>
            <c:txPr>
              <a:bodyPr/>
              <a:lstStyle/>
              <a:p>
                <a:pPr>
                  <a:defRPr>
                    <a:solidFill>
                      <a:schemeClr val="bg1"/>
                    </a:solidFill>
                  </a:defRPr>
                </a:pPr>
                <a:endParaRPr lang="en-US"/>
              </a:p>
            </c:txPr>
            <c:showVal val="1"/>
          </c:dLbls>
          <c:cat>
            <c:strRef>
              <c:f>'HAL - CAA - ip'!$C$115:$L$115</c:f>
              <c:strCache>
                <c:ptCount val="10"/>
                <c:pt idx="0">
                  <c:v>IBP</c:v>
                </c:pt>
                <c:pt idx="1">
                  <c:v>FBP</c:v>
                </c:pt>
                <c:pt idx="2">
                  <c:v>Wage efficiency</c:v>
                </c:pt>
                <c:pt idx="3">
                  <c:v>Other opex</c:v>
                </c:pt>
                <c:pt idx="4">
                  <c:v>M and A</c:v>
                </c:pt>
                <c:pt idx="5">
                  <c:v>Frontier shift</c:v>
                </c:pt>
                <c:pt idx="6">
                  <c:v>Pension efficiency</c:v>
                </c:pt>
                <c:pt idx="7">
                  <c:v>Central support</c:v>
                </c:pt>
                <c:pt idx="8">
                  <c:v>CAA</c:v>
                </c:pt>
                <c:pt idx="9">
                  <c:v>BA</c:v>
                </c:pt>
              </c:strCache>
            </c:strRef>
          </c:cat>
          <c:val>
            <c:numRef>
              <c:f>'HAL - CAA - ip'!$C$116:$L$116</c:f>
              <c:numCache>
                <c:formatCode>General</c:formatCode>
                <c:ptCount val="10"/>
                <c:pt idx="0" formatCode="#,##0">
                  <c:v>5304.1145737543011</c:v>
                </c:pt>
              </c:numCache>
            </c:numRef>
          </c:val>
        </c:ser>
        <c:ser>
          <c:idx val="1"/>
          <c:order val="1"/>
          <c:tx>
            <c:strRef>
              <c:f>'HAL - CAA - ip'!$B$117</c:f>
              <c:strCache>
                <c:ptCount val="1"/>
                <c:pt idx="0">
                  <c:v>FBP</c:v>
                </c:pt>
              </c:strCache>
            </c:strRef>
          </c:tx>
          <c:dPt>
            <c:idx val="1"/>
            <c:spPr>
              <a:solidFill>
                <a:schemeClr val="tx2"/>
              </a:solidFill>
            </c:spPr>
          </c:dPt>
          <c:dPt>
            <c:idx val="2"/>
            <c:spPr>
              <a:noFill/>
            </c:spPr>
          </c:dPt>
          <c:dPt>
            <c:idx val="3"/>
            <c:spPr>
              <a:noFill/>
            </c:spPr>
          </c:dPt>
          <c:dPt>
            <c:idx val="4"/>
            <c:spPr>
              <a:noFill/>
            </c:spPr>
          </c:dPt>
          <c:dPt>
            <c:idx val="5"/>
            <c:spPr>
              <a:noFill/>
            </c:spPr>
          </c:dPt>
          <c:dPt>
            <c:idx val="6"/>
            <c:spPr>
              <a:noFill/>
            </c:spPr>
          </c:dPt>
          <c:dPt>
            <c:idx val="7"/>
            <c:spPr>
              <a:noFill/>
            </c:spPr>
          </c:dPt>
          <c:dLbls>
            <c:dLbl>
              <c:idx val="2"/>
              <c:delete val="1"/>
            </c:dLbl>
            <c:dLbl>
              <c:idx val="3"/>
              <c:delete val="1"/>
            </c:dLbl>
            <c:dLbl>
              <c:idx val="4"/>
              <c:delete val="1"/>
            </c:dLbl>
            <c:dLbl>
              <c:idx val="5"/>
              <c:delete val="1"/>
            </c:dLbl>
            <c:dLbl>
              <c:idx val="6"/>
              <c:delete val="1"/>
            </c:dLbl>
            <c:dLbl>
              <c:idx val="7"/>
              <c:delete val="1"/>
            </c:dLbl>
            <c:txPr>
              <a:bodyPr/>
              <a:lstStyle/>
              <a:p>
                <a:pPr>
                  <a:defRPr>
                    <a:solidFill>
                      <a:schemeClr val="bg1"/>
                    </a:solidFill>
                  </a:defRPr>
                </a:pPr>
                <a:endParaRPr lang="en-US"/>
              </a:p>
            </c:txPr>
            <c:showVal val="1"/>
          </c:dLbls>
          <c:cat>
            <c:strRef>
              <c:f>'HAL - CAA - ip'!$C$115:$L$115</c:f>
              <c:strCache>
                <c:ptCount val="10"/>
                <c:pt idx="0">
                  <c:v>IBP</c:v>
                </c:pt>
                <c:pt idx="1">
                  <c:v>FBP</c:v>
                </c:pt>
                <c:pt idx="2">
                  <c:v>Wage efficiency</c:v>
                </c:pt>
                <c:pt idx="3">
                  <c:v>Other opex</c:v>
                </c:pt>
                <c:pt idx="4">
                  <c:v>M and A</c:v>
                </c:pt>
                <c:pt idx="5">
                  <c:v>Frontier shift</c:v>
                </c:pt>
                <c:pt idx="6">
                  <c:v>Pension efficiency</c:v>
                </c:pt>
                <c:pt idx="7">
                  <c:v>Central support</c:v>
                </c:pt>
                <c:pt idx="8">
                  <c:v>CAA</c:v>
                </c:pt>
                <c:pt idx="9">
                  <c:v>BA</c:v>
                </c:pt>
              </c:strCache>
            </c:strRef>
          </c:cat>
          <c:val>
            <c:numRef>
              <c:f>'HAL - CAA - ip'!$C$117:$L$117</c:f>
              <c:numCache>
                <c:formatCode>_-* #,##0_-;\-* #,##0_-;_-* "-"??_-;_-@_-</c:formatCode>
                <c:ptCount val="10"/>
                <c:pt idx="1">
                  <c:v>5233.9999999999991</c:v>
                </c:pt>
                <c:pt idx="2">
                  <c:v>5153.8861710803476</c:v>
                </c:pt>
                <c:pt idx="3">
                  <c:v>5076.3061710803477</c:v>
                </c:pt>
                <c:pt idx="4">
                  <c:v>5048.0861710803474</c:v>
                </c:pt>
                <c:pt idx="5">
                  <c:v>5026.8598834916738</c:v>
                </c:pt>
                <c:pt idx="6">
                  <c:v>5016.791606154432</c:v>
                </c:pt>
                <c:pt idx="7">
                  <c:v>5016.791606154432</c:v>
                </c:pt>
              </c:numCache>
            </c:numRef>
          </c:val>
        </c:ser>
        <c:ser>
          <c:idx val="2"/>
          <c:order val="2"/>
          <c:tx>
            <c:strRef>
              <c:f>'HAL - CAA - ip'!$B$118</c:f>
              <c:strCache>
                <c:ptCount val="1"/>
                <c:pt idx="0">
                  <c:v>Wage efficiency</c:v>
                </c:pt>
              </c:strCache>
            </c:strRef>
          </c:tx>
          <c:dPt>
            <c:idx val="2"/>
            <c:spPr>
              <a:solidFill>
                <a:schemeClr val="accent2"/>
              </a:solidFill>
            </c:spPr>
          </c:dPt>
          <c:dLbls>
            <c:txPr>
              <a:bodyPr/>
              <a:lstStyle/>
              <a:p>
                <a:pPr>
                  <a:defRPr>
                    <a:solidFill>
                      <a:schemeClr val="bg1"/>
                    </a:solidFill>
                  </a:defRPr>
                </a:pPr>
                <a:endParaRPr lang="en-US"/>
              </a:p>
            </c:txPr>
            <c:showVal val="1"/>
          </c:dLbls>
          <c:cat>
            <c:strRef>
              <c:f>'HAL - CAA - ip'!$C$115:$L$115</c:f>
              <c:strCache>
                <c:ptCount val="10"/>
                <c:pt idx="0">
                  <c:v>IBP</c:v>
                </c:pt>
                <c:pt idx="1">
                  <c:v>FBP</c:v>
                </c:pt>
                <c:pt idx="2">
                  <c:v>Wage efficiency</c:v>
                </c:pt>
                <c:pt idx="3">
                  <c:v>Other opex</c:v>
                </c:pt>
                <c:pt idx="4">
                  <c:v>M and A</c:v>
                </c:pt>
                <c:pt idx="5">
                  <c:v>Frontier shift</c:v>
                </c:pt>
                <c:pt idx="6">
                  <c:v>Pension efficiency</c:v>
                </c:pt>
                <c:pt idx="7">
                  <c:v>Central support</c:v>
                </c:pt>
                <c:pt idx="8">
                  <c:v>CAA</c:v>
                </c:pt>
                <c:pt idx="9">
                  <c:v>BA</c:v>
                </c:pt>
              </c:strCache>
            </c:strRef>
          </c:cat>
          <c:val>
            <c:numRef>
              <c:f>'HAL - CAA - ip'!$C$118:$L$118</c:f>
              <c:numCache>
                <c:formatCode>_-* #,##0_-;\-* #,##0_-;_-* "-"??_-;_-@_-</c:formatCode>
                <c:ptCount val="10"/>
                <c:pt idx="2">
                  <c:v>80.113828919651084</c:v>
                </c:pt>
              </c:numCache>
            </c:numRef>
          </c:val>
        </c:ser>
        <c:ser>
          <c:idx val="3"/>
          <c:order val="3"/>
          <c:tx>
            <c:strRef>
              <c:f>'HAL - CAA - ip'!$B$119</c:f>
              <c:strCache>
                <c:ptCount val="1"/>
                <c:pt idx="0">
                  <c:v>Other opex</c:v>
                </c:pt>
              </c:strCache>
            </c:strRef>
          </c:tx>
          <c:spPr>
            <a:solidFill>
              <a:schemeClr val="accent2"/>
            </a:solidFill>
          </c:spPr>
          <c:dLbls>
            <c:txPr>
              <a:bodyPr/>
              <a:lstStyle/>
              <a:p>
                <a:pPr>
                  <a:defRPr>
                    <a:solidFill>
                      <a:schemeClr val="bg1"/>
                    </a:solidFill>
                  </a:defRPr>
                </a:pPr>
                <a:endParaRPr lang="en-US"/>
              </a:p>
            </c:txPr>
            <c:showVal val="1"/>
          </c:dLbls>
          <c:cat>
            <c:strRef>
              <c:f>'HAL - CAA - ip'!$C$115:$L$115</c:f>
              <c:strCache>
                <c:ptCount val="10"/>
                <c:pt idx="0">
                  <c:v>IBP</c:v>
                </c:pt>
                <c:pt idx="1">
                  <c:v>FBP</c:v>
                </c:pt>
                <c:pt idx="2">
                  <c:v>Wage efficiency</c:v>
                </c:pt>
                <c:pt idx="3">
                  <c:v>Other opex</c:v>
                </c:pt>
                <c:pt idx="4">
                  <c:v>M and A</c:v>
                </c:pt>
                <c:pt idx="5">
                  <c:v>Frontier shift</c:v>
                </c:pt>
                <c:pt idx="6">
                  <c:v>Pension efficiency</c:v>
                </c:pt>
                <c:pt idx="7">
                  <c:v>Central support</c:v>
                </c:pt>
                <c:pt idx="8">
                  <c:v>CAA</c:v>
                </c:pt>
                <c:pt idx="9">
                  <c:v>BA</c:v>
                </c:pt>
              </c:strCache>
            </c:strRef>
          </c:cat>
          <c:val>
            <c:numRef>
              <c:f>'HAL - CAA - ip'!$C$119:$L$119</c:f>
              <c:numCache>
                <c:formatCode>_-* #,##0_-;\-* #,##0_-;_-* "-"??_-;_-@_-</c:formatCode>
                <c:ptCount val="10"/>
                <c:pt idx="3">
                  <c:v>77.579999999999984</c:v>
                </c:pt>
              </c:numCache>
            </c:numRef>
          </c:val>
        </c:ser>
        <c:ser>
          <c:idx val="4"/>
          <c:order val="4"/>
          <c:tx>
            <c:strRef>
              <c:f>'HAL - CAA - ip'!$B$120</c:f>
              <c:strCache>
                <c:ptCount val="1"/>
                <c:pt idx="0">
                  <c:v>M and A</c:v>
                </c:pt>
              </c:strCache>
            </c:strRef>
          </c:tx>
          <c:spPr>
            <a:solidFill>
              <a:schemeClr val="accent2"/>
            </a:solidFill>
          </c:spPr>
          <c:dLbls>
            <c:showVal val="1"/>
          </c:dLbls>
          <c:cat>
            <c:strRef>
              <c:f>'HAL - CAA - ip'!$C$115:$L$115</c:f>
              <c:strCache>
                <c:ptCount val="10"/>
                <c:pt idx="0">
                  <c:v>IBP</c:v>
                </c:pt>
                <c:pt idx="1">
                  <c:v>FBP</c:v>
                </c:pt>
                <c:pt idx="2">
                  <c:v>Wage efficiency</c:v>
                </c:pt>
                <c:pt idx="3">
                  <c:v>Other opex</c:v>
                </c:pt>
                <c:pt idx="4">
                  <c:v>M and A</c:v>
                </c:pt>
                <c:pt idx="5">
                  <c:v>Frontier shift</c:v>
                </c:pt>
                <c:pt idx="6">
                  <c:v>Pension efficiency</c:v>
                </c:pt>
                <c:pt idx="7">
                  <c:v>Central support</c:v>
                </c:pt>
                <c:pt idx="8">
                  <c:v>CAA</c:v>
                </c:pt>
                <c:pt idx="9">
                  <c:v>BA</c:v>
                </c:pt>
              </c:strCache>
            </c:strRef>
          </c:cat>
          <c:val>
            <c:numRef>
              <c:f>'HAL - CAA - ip'!$C$120:$L$120</c:f>
              <c:numCache>
                <c:formatCode>_-* #,##0_-;\-* #,##0_-;_-* "-"??_-;_-@_-</c:formatCode>
                <c:ptCount val="10"/>
                <c:pt idx="4">
                  <c:v>28.22</c:v>
                </c:pt>
              </c:numCache>
            </c:numRef>
          </c:val>
        </c:ser>
        <c:ser>
          <c:idx val="5"/>
          <c:order val="5"/>
          <c:tx>
            <c:strRef>
              <c:f>'HAL - CAA - ip'!$B$121</c:f>
              <c:strCache>
                <c:ptCount val="1"/>
                <c:pt idx="0">
                  <c:v>Frontier shift</c:v>
                </c:pt>
              </c:strCache>
            </c:strRef>
          </c:tx>
          <c:spPr>
            <a:solidFill>
              <a:schemeClr val="accent2"/>
            </a:solidFill>
          </c:spPr>
          <c:dLbls>
            <c:showVal val="1"/>
          </c:dLbls>
          <c:cat>
            <c:strRef>
              <c:f>'HAL - CAA - ip'!$C$115:$L$115</c:f>
              <c:strCache>
                <c:ptCount val="10"/>
                <c:pt idx="0">
                  <c:v>IBP</c:v>
                </c:pt>
                <c:pt idx="1">
                  <c:v>FBP</c:v>
                </c:pt>
                <c:pt idx="2">
                  <c:v>Wage efficiency</c:v>
                </c:pt>
                <c:pt idx="3">
                  <c:v>Other opex</c:v>
                </c:pt>
                <c:pt idx="4">
                  <c:v>M and A</c:v>
                </c:pt>
                <c:pt idx="5">
                  <c:v>Frontier shift</c:v>
                </c:pt>
                <c:pt idx="6">
                  <c:v>Pension efficiency</c:v>
                </c:pt>
                <c:pt idx="7">
                  <c:v>Central support</c:v>
                </c:pt>
                <c:pt idx="8">
                  <c:v>CAA</c:v>
                </c:pt>
                <c:pt idx="9">
                  <c:v>BA</c:v>
                </c:pt>
              </c:strCache>
            </c:strRef>
          </c:cat>
          <c:val>
            <c:numRef>
              <c:f>'HAL - CAA - ip'!$C$121:$L$121</c:f>
              <c:numCache>
                <c:formatCode>_-* #,##0_-;\-* #,##0_-;_-* "-"??_-;_-@_-</c:formatCode>
                <c:ptCount val="10"/>
                <c:pt idx="5">
                  <c:v>21.226287588673586</c:v>
                </c:pt>
              </c:numCache>
            </c:numRef>
          </c:val>
        </c:ser>
        <c:ser>
          <c:idx val="6"/>
          <c:order val="6"/>
          <c:tx>
            <c:strRef>
              <c:f>'HAL - CAA - ip'!$B$122</c:f>
              <c:strCache>
                <c:ptCount val="1"/>
                <c:pt idx="0">
                  <c:v>Pension efficiency</c:v>
                </c:pt>
              </c:strCache>
            </c:strRef>
          </c:tx>
          <c:spPr>
            <a:solidFill>
              <a:schemeClr val="accent2"/>
            </a:solidFill>
          </c:spPr>
          <c:dLbls>
            <c:showVal val="1"/>
          </c:dLbls>
          <c:cat>
            <c:strRef>
              <c:f>'HAL - CAA - ip'!$C$115:$L$115</c:f>
              <c:strCache>
                <c:ptCount val="10"/>
                <c:pt idx="0">
                  <c:v>IBP</c:v>
                </c:pt>
                <c:pt idx="1">
                  <c:v>FBP</c:v>
                </c:pt>
                <c:pt idx="2">
                  <c:v>Wage efficiency</c:v>
                </c:pt>
                <c:pt idx="3">
                  <c:v>Other opex</c:v>
                </c:pt>
                <c:pt idx="4">
                  <c:v>M and A</c:v>
                </c:pt>
                <c:pt idx="5">
                  <c:v>Frontier shift</c:v>
                </c:pt>
                <c:pt idx="6">
                  <c:v>Pension efficiency</c:v>
                </c:pt>
                <c:pt idx="7">
                  <c:v>Central support</c:v>
                </c:pt>
                <c:pt idx="8">
                  <c:v>CAA</c:v>
                </c:pt>
                <c:pt idx="9">
                  <c:v>BA</c:v>
                </c:pt>
              </c:strCache>
            </c:strRef>
          </c:cat>
          <c:val>
            <c:numRef>
              <c:f>'HAL - CAA - ip'!$C$122:$L$122</c:f>
              <c:numCache>
                <c:formatCode>_-* #,##0_-;\-* #,##0_-;_-* "-"??_-;_-@_-</c:formatCode>
                <c:ptCount val="10"/>
                <c:pt idx="6">
                  <c:v>10.068277337241591</c:v>
                </c:pt>
              </c:numCache>
            </c:numRef>
          </c:val>
        </c:ser>
        <c:ser>
          <c:idx val="7"/>
          <c:order val="7"/>
          <c:tx>
            <c:strRef>
              <c:f>'HAL - CAA - ip'!$B$123</c:f>
              <c:strCache>
                <c:ptCount val="1"/>
                <c:pt idx="0">
                  <c:v>Central support</c:v>
                </c:pt>
              </c:strCache>
            </c:strRef>
          </c:tx>
          <c:cat>
            <c:strRef>
              <c:f>'HAL - CAA - ip'!$C$115:$L$115</c:f>
              <c:strCache>
                <c:ptCount val="10"/>
                <c:pt idx="0">
                  <c:v>IBP</c:v>
                </c:pt>
                <c:pt idx="1">
                  <c:v>FBP</c:v>
                </c:pt>
                <c:pt idx="2">
                  <c:v>Wage efficiency</c:v>
                </c:pt>
                <c:pt idx="3">
                  <c:v>Other opex</c:v>
                </c:pt>
                <c:pt idx="4">
                  <c:v>M and A</c:v>
                </c:pt>
                <c:pt idx="5">
                  <c:v>Frontier shift</c:v>
                </c:pt>
                <c:pt idx="6">
                  <c:v>Pension efficiency</c:v>
                </c:pt>
                <c:pt idx="7">
                  <c:v>Central support</c:v>
                </c:pt>
                <c:pt idx="8">
                  <c:v>CAA</c:v>
                </c:pt>
                <c:pt idx="9">
                  <c:v>BA</c:v>
                </c:pt>
              </c:strCache>
            </c:strRef>
          </c:cat>
          <c:val>
            <c:numRef>
              <c:f>'HAL - CAA - ip'!$C$123:$L$123</c:f>
              <c:numCache>
                <c:formatCode>_-* #,##0_-;\-* #,##0_-;_-* "-"??_-;_-@_-</c:formatCode>
                <c:ptCount val="10"/>
                <c:pt idx="7">
                  <c:v>0</c:v>
                </c:pt>
              </c:numCache>
            </c:numRef>
          </c:val>
        </c:ser>
        <c:ser>
          <c:idx val="8"/>
          <c:order val="8"/>
          <c:tx>
            <c:strRef>
              <c:f>'HAL - CAA - ip'!$B$124</c:f>
              <c:strCache>
                <c:ptCount val="1"/>
                <c:pt idx="0">
                  <c:v>CAA</c:v>
                </c:pt>
              </c:strCache>
            </c:strRef>
          </c:tx>
          <c:spPr>
            <a:solidFill>
              <a:schemeClr val="tx2"/>
            </a:solidFill>
          </c:spPr>
          <c:dLbls>
            <c:txPr>
              <a:bodyPr/>
              <a:lstStyle/>
              <a:p>
                <a:pPr>
                  <a:defRPr>
                    <a:solidFill>
                      <a:schemeClr val="bg1"/>
                    </a:solidFill>
                  </a:defRPr>
                </a:pPr>
                <a:endParaRPr lang="en-US"/>
              </a:p>
            </c:txPr>
            <c:showVal val="1"/>
          </c:dLbls>
          <c:cat>
            <c:strRef>
              <c:f>'HAL - CAA - ip'!$C$115:$L$115</c:f>
              <c:strCache>
                <c:ptCount val="10"/>
                <c:pt idx="0">
                  <c:v>IBP</c:v>
                </c:pt>
                <c:pt idx="1">
                  <c:v>FBP</c:v>
                </c:pt>
                <c:pt idx="2">
                  <c:v>Wage efficiency</c:v>
                </c:pt>
                <c:pt idx="3">
                  <c:v>Other opex</c:v>
                </c:pt>
                <c:pt idx="4">
                  <c:v>M and A</c:v>
                </c:pt>
                <c:pt idx="5">
                  <c:v>Frontier shift</c:v>
                </c:pt>
                <c:pt idx="6">
                  <c:v>Pension efficiency</c:v>
                </c:pt>
                <c:pt idx="7">
                  <c:v>Central support</c:v>
                </c:pt>
                <c:pt idx="8">
                  <c:v>CAA</c:v>
                </c:pt>
                <c:pt idx="9">
                  <c:v>BA</c:v>
                </c:pt>
              </c:strCache>
            </c:strRef>
          </c:cat>
          <c:val>
            <c:numRef>
              <c:f>'HAL - CAA - ip'!$C$124:$L$124</c:f>
              <c:numCache>
                <c:formatCode>_-* #,##0_-;\-* #,##0_-;_-* "-"??_-;_-@_-</c:formatCode>
                <c:ptCount val="10"/>
                <c:pt idx="8">
                  <c:v>5016.7916061544329</c:v>
                </c:pt>
              </c:numCache>
            </c:numRef>
          </c:val>
        </c:ser>
        <c:ser>
          <c:idx val="9"/>
          <c:order val="9"/>
          <c:tx>
            <c:strRef>
              <c:f>'HAL - CAA - ip'!$B$125</c:f>
              <c:strCache>
                <c:ptCount val="1"/>
                <c:pt idx="0">
                  <c:v>BA</c:v>
                </c:pt>
              </c:strCache>
            </c:strRef>
          </c:tx>
          <c:dPt>
            <c:idx val="9"/>
            <c:spPr>
              <a:solidFill>
                <a:schemeClr val="accent3"/>
              </a:solidFill>
            </c:spPr>
          </c:dPt>
          <c:dLbls>
            <c:txPr>
              <a:bodyPr/>
              <a:lstStyle/>
              <a:p>
                <a:pPr>
                  <a:defRPr>
                    <a:solidFill>
                      <a:schemeClr val="bg1"/>
                    </a:solidFill>
                  </a:defRPr>
                </a:pPr>
                <a:endParaRPr lang="en-US"/>
              </a:p>
            </c:txPr>
            <c:showVal val="1"/>
          </c:dLbls>
          <c:cat>
            <c:strRef>
              <c:f>'HAL - CAA - ip'!$C$115:$L$115</c:f>
              <c:strCache>
                <c:ptCount val="10"/>
                <c:pt idx="0">
                  <c:v>IBP</c:v>
                </c:pt>
                <c:pt idx="1">
                  <c:v>FBP</c:v>
                </c:pt>
                <c:pt idx="2">
                  <c:v>Wage efficiency</c:v>
                </c:pt>
                <c:pt idx="3">
                  <c:v>Other opex</c:v>
                </c:pt>
                <c:pt idx="4">
                  <c:v>M and A</c:v>
                </c:pt>
                <c:pt idx="5">
                  <c:v>Frontier shift</c:v>
                </c:pt>
                <c:pt idx="6">
                  <c:v>Pension efficiency</c:v>
                </c:pt>
                <c:pt idx="7">
                  <c:v>Central support</c:v>
                </c:pt>
                <c:pt idx="8">
                  <c:v>CAA</c:v>
                </c:pt>
                <c:pt idx="9">
                  <c:v>BA</c:v>
                </c:pt>
              </c:strCache>
            </c:strRef>
          </c:cat>
          <c:val>
            <c:numRef>
              <c:f>'HAL - CAA - ip'!$C$125:$L$125</c:f>
              <c:numCache>
                <c:formatCode>General</c:formatCode>
                <c:ptCount val="10"/>
                <c:pt idx="9" formatCode="_-* #,##0_-;\-* #,##0_-;_-* &quot;-&quot;??_-;_-@_-">
                  <c:v>4048.1219713225028</c:v>
                </c:pt>
              </c:numCache>
            </c:numRef>
          </c:val>
        </c:ser>
        <c:gapWidth val="5"/>
        <c:overlap val="100"/>
        <c:axId val="61973632"/>
        <c:axId val="61975168"/>
      </c:barChart>
      <c:catAx>
        <c:axId val="61973632"/>
        <c:scaling>
          <c:orientation val="minMax"/>
        </c:scaling>
        <c:axPos val="b"/>
        <c:tickLblPos val="nextTo"/>
        <c:crossAx val="61975168"/>
        <c:crosses val="autoZero"/>
        <c:auto val="1"/>
        <c:lblAlgn val="ctr"/>
        <c:lblOffset val="100"/>
      </c:catAx>
      <c:valAx>
        <c:axId val="61975168"/>
        <c:scaling>
          <c:orientation val="minMax"/>
          <c:min val="4000"/>
        </c:scaling>
        <c:axPos val="l"/>
        <c:majorGridlines/>
        <c:title>
          <c:tx>
            <c:rich>
              <a:bodyPr rot="-5400000" vert="horz"/>
              <a:lstStyle/>
              <a:p>
                <a:pPr>
                  <a:defRPr/>
                </a:pPr>
                <a:r>
                  <a:rPr lang="en-US"/>
                  <a:t>£m 2011/12</a:t>
                </a:r>
              </a:p>
            </c:rich>
          </c:tx>
        </c:title>
        <c:numFmt formatCode="#,##0" sourceLinked="1"/>
        <c:tickLblPos val="nextTo"/>
        <c:crossAx val="61973632"/>
        <c:crosses val="autoZero"/>
        <c:crossBetween val="between"/>
      </c:valAx>
    </c:plotArea>
    <c:plotVisOnly val="1"/>
  </c:chart>
  <c:spPr>
    <a:ln>
      <a:noFill/>
    </a:ln>
  </c:spPr>
  <c:txPr>
    <a:bodyPr/>
    <a:lstStyle/>
    <a:p>
      <a:pPr>
        <a:defRPr>
          <a:latin typeface="Arial" pitchFamily="34" charset="0"/>
          <a:cs typeface="Arial" pitchFamily="34" charset="0"/>
        </a:defRPr>
      </a:pPr>
      <a:endParaRPr lang="en-US"/>
    </a:p>
  </c:txPr>
  <c:printSettings>
    <c:headerFooter/>
    <c:pageMargins b="0.75000000000001155" l="0.70000000000000062" r="0.70000000000000062" t="0.75000000000001155"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lang val="en-GB"/>
  <c:chart>
    <c:title>
      <c:tx>
        <c:rich>
          <a:bodyPr/>
          <a:lstStyle/>
          <a:p>
            <a:pPr>
              <a:defRPr/>
            </a:pPr>
            <a:r>
              <a:rPr lang="en-US"/>
              <a:t>OBR Forecasts</a:t>
            </a:r>
          </a:p>
        </c:rich>
      </c:tx>
      <c:overlay val="1"/>
    </c:title>
    <c:plotArea>
      <c:layout>
        <c:manualLayout>
          <c:layoutTarget val="inner"/>
          <c:xMode val="edge"/>
          <c:yMode val="edge"/>
          <c:x val="0.12144663167104112"/>
          <c:y val="5.1358579055758614E-2"/>
          <c:w val="0.83799781277341456"/>
          <c:h val="0.89728284188848251"/>
        </c:manualLayout>
      </c:layout>
      <c:lineChart>
        <c:grouping val="standard"/>
        <c:ser>
          <c:idx val="0"/>
          <c:order val="0"/>
          <c:tx>
            <c:strRef>
              <c:f>OBR!$B$123</c:f>
              <c:strCache>
                <c:ptCount val="1"/>
                <c:pt idx="0">
                  <c:v>Gross Wage Growth</c:v>
                </c:pt>
              </c:strCache>
            </c:strRef>
          </c:tx>
          <c:marker>
            <c:symbol val="none"/>
          </c:marker>
          <c:cat>
            <c:strRef>
              <c:f>OBR!$C$122:$L$122</c:f>
              <c:strCache>
                <c:ptCount val="10"/>
                <c:pt idx="0">
                  <c:v>2009/10</c:v>
                </c:pt>
                <c:pt idx="1">
                  <c:v>2010/11</c:v>
                </c:pt>
                <c:pt idx="2">
                  <c:v>2011/12</c:v>
                </c:pt>
                <c:pt idx="3">
                  <c:v>2012/13</c:v>
                </c:pt>
                <c:pt idx="4">
                  <c:v>2013/14</c:v>
                </c:pt>
                <c:pt idx="5">
                  <c:v>2014/15</c:v>
                </c:pt>
                <c:pt idx="6">
                  <c:v>2015/16</c:v>
                </c:pt>
                <c:pt idx="7">
                  <c:v>2016/17</c:v>
                </c:pt>
                <c:pt idx="8">
                  <c:v>2017/18</c:v>
                </c:pt>
                <c:pt idx="9">
                  <c:v>2018/19</c:v>
                </c:pt>
              </c:strCache>
            </c:strRef>
          </c:cat>
          <c:val>
            <c:numRef>
              <c:f>OBR!$C$123:$L$123</c:f>
              <c:numCache>
                <c:formatCode>0.00%</c:formatCode>
                <c:ptCount val="10"/>
                <c:pt idx="0">
                  <c:v>2.9500000000000002E-2</c:v>
                </c:pt>
                <c:pt idx="1">
                  <c:v>6.9999999999999993E-3</c:v>
                </c:pt>
                <c:pt idx="2">
                  <c:v>2.6499999999999999E-2</c:v>
                </c:pt>
                <c:pt idx="3">
                  <c:v>1.6750000000000001E-2</c:v>
                </c:pt>
                <c:pt idx="4">
                  <c:v>1.7500000000000002E-2</c:v>
                </c:pt>
                <c:pt idx="5">
                  <c:v>2.9249999999999998E-2</c:v>
                </c:pt>
                <c:pt idx="6">
                  <c:v>3.8000000000000006E-2</c:v>
                </c:pt>
                <c:pt idx="7">
                  <c:v>0.04</c:v>
                </c:pt>
                <c:pt idx="8">
                  <c:v>0.04</c:v>
                </c:pt>
                <c:pt idx="9">
                  <c:v>0.04</c:v>
                </c:pt>
              </c:numCache>
            </c:numRef>
          </c:val>
        </c:ser>
        <c:ser>
          <c:idx val="1"/>
          <c:order val="1"/>
          <c:tx>
            <c:strRef>
              <c:f>OBR!$B$124</c:f>
              <c:strCache>
                <c:ptCount val="1"/>
                <c:pt idx="0">
                  <c:v>RPI Growth</c:v>
                </c:pt>
              </c:strCache>
            </c:strRef>
          </c:tx>
          <c:marker>
            <c:symbol val="none"/>
          </c:marker>
          <c:cat>
            <c:strRef>
              <c:f>OBR!$C$122:$L$122</c:f>
              <c:strCache>
                <c:ptCount val="10"/>
                <c:pt idx="0">
                  <c:v>2009/10</c:v>
                </c:pt>
                <c:pt idx="1">
                  <c:v>2010/11</c:v>
                </c:pt>
                <c:pt idx="2">
                  <c:v>2011/12</c:v>
                </c:pt>
                <c:pt idx="3">
                  <c:v>2012/13</c:v>
                </c:pt>
                <c:pt idx="4">
                  <c:v>2013/14</c:v>
                </c:pt>
                <c:pt idx="5">
                  <c:v>2014/15</c:v>
                </c:pt>
                <c:pt idx="6">
                  <c:v>2015/16</c:v>
                </c:pt>
                <c:pt idx="7">
                  <c:v>2016/17</c:v>
                </c:pt>
                <c:pt idx="8">
                  <c:v>2017/18</c:v>
                </c:pt>
                <c:pt idx="9">
                  <c:v>2018/19</c:v>
                </c:pt>
              </c:strCache>
            </c:strRef>
          </c:cat>
          <c:val>
            <c:numRef>
              <c:f>OBR!$C$124:$L$124</c:f>
              <c:numCache>
                <c:formatCode>0.00%</c:formatCode>
                <c:ptCount val="10"/>
                <c:pt idx="0">
                  <c:v>4.7499999999999999E-3</c:v>
                </c:pt>
                <c:pt idx="1">
                  <c:v>4.9500000000000002E-2</c:v>
                </c:pt>
                <c:pt idx="2">
                  <c:v>4.9000000000000002E-2</c:v>
                </c:pt>
                <c:pt idx="3">
                  <c:v>3.0750000000000003E-2</c:v>
                </c:pt>
                <c:pt idx="4">
                  <c:v>3.0999999999999996E-2</c:v>
                </c:pt>
                <c:pt idx="5">
                  <c:v>2.8500000000000001E-2</c:v>
                </c:pt>
                <c:pt idx="6">
                  <c:v>3.2500000000000008E-2</c:v>
                </c:pt>
                <c:pt idx="7">
                  <c:v>3.6500000000000005E-2</c:v>
                </c:pt>
                <c:pt idx="8">
                  <c:v>3.95E-2</c:v>
                </c:pt>
                <c:pt idx="9">
                  <c:v>3.95E-2</c:v>
                </c:pt>
              </c:numCache>
            </c:numRef>
          </c:val>
        </c:ser>
        <c:ser>
          <c:idx val="2"/>
          <c:order val="2"/>
          <c:tx>
            <c:strRef>
              <c:f>OBR!$B$125</c:f>
              <c:strCache>
                <c:ptCount val="1"/>
                <c:pt idx="0">
                  <c:v>Net Wage Growth</c:v>
                </c:pt>
              </c:strCache>
            </c:strRef>
          </c:tx>
          <c:marker>
            <c:symbol val="none"/>
          </c:marker>
          <c:cat>
            <c:strRef>
              <c:f>OBR!$C$122:$L$122</c:f>
              <c:strCache>
                <c:ptCount val="10"/>
                <c:pt idx="0">
                  <c:v>2009/10</c:v>
                </c:pt>
                <c:pt idx="1">
                  <c:v>2010/11</c:v>
                </c:pt>
                <c:pt idx="2">
                  <c:v>2011/12</c:v>
                </c:pt>
                <c:pt idx="3">
                  <c:v>2012/13</c:v>
                </c:pt>
                <c:pt idx="4">
                  <c:v>2013/14</c:v>
                </c:pt>
                <c:pt idx="5">
                  <c:v>2014/15</c:v>
                </c:pt>
                <c:pt idx="6">
                  <c:v>2015/16</c:v>
                </c:pt>
                <c:pt idx="7">
                  <c:v>2016/17</c:v>
                </c:pt>
                <c:pt idx="8">
                  <c:v>2017/18</c:v>
                </c:pt>
                <c:pt idx="9">
                  <c:v>2018/19</c:v>
                </c:pt>
              </c:strCache>
            </c:strRef>
          </c:cat>
          <c:val>
            <c:numRef>
              <c:f>OBR!$C$125:$L$125</c:f>
              <c:numCache>
                <c:formatCode>0.00%</c:formatCode>
                <c:ptCount val="10"/>
                <c:pt idx="0">
                  <c:v>2.4750000000000001E-2</c:v>
                </c:pt>
                <c:pt idx="1">
                  <c:v>-4.2500000000000003E-2</c:v>
                </c:pt>
                <c:pt idx="2">
                  <c:v>-2.2500000000000003E-2</c:v>
                </c:pt>
                <c:pt idx="3">
                  <c:v>-1.4000000000000002E-2</c:v>
                </c:pt>
                <c:pt idx="4">
                  <c:v>-1.3499999999999995E-2</c:v>
                </c:pt>
                <c:pt idx="5">
                  <c:v>7.499999999999972E-4</c:v>
                </c:pt>
                <c:pt idx="6">
                  <c:v>5.4999999999999979E-3</c:v>
                </c:pt>
                <c:pt idx="7">
                  <c:v>3.4999999999999962E-3</c:v>
                </c:pt>
                <c:pt idx="8">
                  <c:v>5.0000000000000044E-4</c:v>
                </c:pt>
                <c:pt idx="9">
                  <c:v>5.0000000000000044E-4</c:v>
                </c:pt>
              </c:numCache>
            </c:numRef>
          </c:val>
        </c:ser>
        <c:marker val="1"/>
        <c:axId val="65816064"/>
        <c:axId val="65817600"/>
      </c:lineChart>
      <c:catAx>
        <c:axId val="65816064"/>
        <c:scaling>
          <c:orientation val="minMax"/>
        </c:scaling>
        <c:axPos val="b"/>
        <c:tickLblPos val="nextTo"/>
        <c:crossAx val="65817600"/>
        <c:crosses val="autoZero"/>
        <c:auto val="1"/>
        <c:lblAlgn val="ctr"/>
        <c:lblOffset val="100"/>
      </c:catAx>
      <c:valAx>
        <c:axId val="65817600"/>
        <c:scaling>
          <c:orientation val="minMax"/>
        </c:scaling>
        <c:axPos val="l"/>
        <c:majorGridlines/>
        <c:numFmt formatCode="0.00%" sourceLinked="1"/>
        <c:tickLblPos val="nextTo"/>
        <c:crossAx val="65816064"/>
        <c:crosses val="autoZero"/>
        <c:crossBetween val="between"/>
      </c:valAx>
    </c:plotArea>
    <c:legend>
      <c:legendPos val="r"/>
      <c:layout>
        <c:manualLayout>
          <c:xMode val="edge"/>
          <c:yMode val="edge"/>
          <c:x val="0.13166666666666668"/>
          <c:y val="0.76309789097712077"/>
          <c:w val="0.81277777777777793"/>
          <c:h val="0.17230704564146787"/>
        </c:manualLayout>
      </c:layout>
    </c:legend>
    <c:plotVisOnly val="1"/>
  </c:chart>
  <c:spPr>
    <a:ln>
      <a:noFill/>
    </a:ln>
  </c:spPr>
  <c:txPr>
    <a:bodyPr/>
    <a:lstStyle/>
    <a:p>
      <a:pPr>
        <a:defRPr sz="1000">
          <a:latin typeface="Arial" pitchFamily="34" charset="0"/>
          <a:cs typeface="Arial" pitchFamily="34" charset="0"/>
        </a:defRPr>
      </a:pPr>
      <a:endParaRPr lang="en-US"/>
    </a:p>
  </c:txPr>
  <c:printSettings>
    <c:headerFooter/>
    <c:pageMargins b="0.75000000000000511" l="0.70000000000000062" r="0.70000000000000062" t="0.75000000000000511" header="0.30000000000000032" footer="0.30000000000000032"/>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598713</xdr:colOff>
      <xdr:row>57</xdr:row>
      <xdr:rowOff>149679</xdr:rowOff>
    </xdr:from>
    <xdr:to>
      <xdr:col>11</xdr:col>
      <xdr:colOff>258536</xdr:colOff>
      <xdr:row>86</xdr:row>
      <xdr:rowOff>13607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623453</xdr:colOff>
      <xdr:row>58</xdr:row>
      <xdr:rowOff>0</xdr:rowOff>
    </xdr:from>
    <xdr:to>
      <xdr:col>21</xdr:col>
      <xdr:colOff>1420090</xdr:colOff>
      <xdr:row>86</xdr:row>
      <xdr:rowOff>19792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588818</xdr:colOff>
      <xdr:row>112</xdr:row>
      <xdr:rowOff>49479</xdr:rowOff>
    </xdr:from>
    <xdr:to>
      <xdr:col>14</xdr:col>
      <xdr:colOff>567790</xdr:colOff>
      <xdr:row>135</xdr:row>
      <xdr:rowOff>8655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598713</xdr:colOff>
      <xdr:row>115</xdr:row>
      <xdr:rowOff>149679</xdr:rowOff>
    </xdr:from>
    <xdr:to>
      <xdr:col>11</xdr:col>
      <xdr:colOff>258536</xdr:colOff>
      <xdr:row>144</xdr:row>
      <xdr:rowOff>13607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1472044</xdr:colOff>
      <xdr:row>116</xdr:row>
      <xdr:rowOff>51955</xdr:rowOff>
    </xdr:from>
    <xdr:to>
      <xdr:col>26</xdr:col>
      <xdr:colOff>225136</xdr:colOff>
      <xdr:row>144</xdr:row>
      <xdr:rowOff>71747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242455</xdr:colOff>
      <xdr:row>81</xdr:row>
      <xdr:rowOff>34635</xdr:rowOff>
    </xdr:from>
    <xdr:to>
      <xdr:col>11</xdr:col>
      <xdr:colOff>521403</xdr:colOff>
      <xdr:row>109</xdr:row>
      <xdr:rowOff>65250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813955</xdr:colOff>
      <xdr:row>80</xdr:row>
      <xdr:rowOff>121228</xdr:rowOff>
    </xdr:from>
    <xdr:to>
      <xdr:col>25</xdr:col>
      <xdr:colOff>181842</xdr:colOff>
      <xdr:row>108</xdr:row>
      <xdr:rowOff>141020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502228</xdr:colOff>
      <xdr:row>81</xdr:row>
      <xdr:rowOff>0</xdr:rowOff>
    </xdr:from>
    <xdr:to>
      <xdr:col>43</xdr:col>
      <xdr:colOff>363065</xdr:colOff>
      <xdr:row>109</xdr:row>
      <xdr:rowOff>30615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164</xdr:row>
      <xdr:rowOff>110091</xdr:rowOff>
    </xdr:from>
    <xdr:to>
      <xdr:col>14</xdr:col>
      <xdr:colOff>170707</xdr:colOff>
      <xdr:row>189</xdr:row>
      <xdr:rowOff>110093</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214312</xdr:colOff>
      <xdr:row>165</xdr:row>
      <xdr:rowOff>23811</xdr:rowOff>
    </xdr:from>
    <xdr:to>
      <xdr:col>27</xdr:col>
      <xdr:colOff>381000</xdr:colOff>
      <xdr:row>189</xdr:row>
      <xdr:rowOff>95250</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11205</xdr:colOff>
      <xdr:row>132</xdr:row>
      <xdr:rowOff>100853</xdr:rowOff>
    </xdr:from>
    <xdr:to>
      <xdr:col>12</xdr:col>
      <xdr:colOff>11205</xdr:colOff>
      <xdr:row>154</xdr:row>
      <xdr:rowOff>22411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uncan.kernohan\AppData\Local\Microsoft\Windows\Temporary%20Internet%20Files\Content.Outlook\S37UA2JT\CAA-IR-004%20-%20Q5%20CAA%20forecast%20-%20Opex.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ERCP\airports%20reg\Q6\GeneralModelling\heathrow\Q6%20FBP%20-%20GSM%20-%2031-01-13_LL_020413.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ERCP\airports%20reg\Q6\Opex%20review\Airport%20Business%20Plan%20Analysis\Initial%20Proposals\Airport%20Business%20Plan%20Analysis%20v1.22%20-%20Initial%20Proposals%20Analys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rod.gander\AppData\Local\Microsoft\Windows\Temporary%20Internet%20Files\Content.Outlook\H6R01EM8\December-2012-EFO-economy-supplementary-tables2343%2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ERCP\airports%20reg\Q6\GeneralModelling\heathrow\GSM%202012-11-27.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ERCP\airports%20reg\Q6\Opex%20review\Airport%20Benchmark%20Model\Model\Airport%20Benchmark%20Model%20v2.8%202013%20-%20Update%20for%20Final%20Proposals.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Sheet2"/>
      <sheetName val="Sheet3"/>
    </sheetNames>
    <sheetDataSet>
      <sheetData sheetId="0">
        <row r="11">
          <cell r="H11">
            <v>267787.25205719721</v>
          </cell>
        </row>
        <row r="12">
          <cell r="H12">
            <v>117973.43472697923</v>
          </cell>
        </row>
        <row r="13">
          <cell r="H13">
            <v>119166.30901964137</v>
          </cell>
        </row>
        <row r="14">
          <cell r="H14">
            <v>122320.66512773526</v>
          </cell>
        </row>
        <row r="15">
          <cell r="H15">
            <v>39795.749768403686</v>
          </cell>
        </row>
        <row r="16">
          <cell r="H16">
            <v>67531.568163071075</v>
          </cell>
        </row>
        <row r="17">
          <cell r="H17">
            <v>149828.51382479098</v>
          </cell>
        </row>
        <row r="18">
          <cell r="H18">
            <v>114236.80455797957</v>
          </cell>
        </row>
      </sheetData>
      <sheetData sheetId="1" refreshError="1"/>
      <sheetData sheetId="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Cover"/>
      <sheetName val="Contents&gt;&gt;"/>
      <sheetName val="Key"/>
      <sheetName val="Checks"/>
      <sheetName val="Historical"/>
      <sheetName val="Inputs&gt;&gt;"/>
      <sheetName val="Selector"/>
      <sheetName val="IA"/>
      <sheetName val="INA"/>
      <sheetName val="Free"/>
      <sheetName val="Calc&gt;&gt;"/>
      <sheetName val="SS"/>
      <sheetName val="CA"/>
      <sheetName val="CNA"/>
      <sheetName val="CM"/>
      <sheetName val="Sum&gt;&gt;"/>
      <sheetName val="Q6"/>
      <sheetName val="Q678"/>
      <sheetName val="Sheet2"/>
    </sheetNames>
    <sheetDataSet>
      <sheetData sheetId="0"/>
      <sheetData sheetId="1"/>
      <sheetData sheetId="2"/>
      <sheetData sheetId="3"/>
      <sheetData sheetId="4"/>
      <sheetData sheetId="5"/>
      <sheetData sheetId="6"/>
      <sheetData sheetId="7"/>
      <sheetData sheetId="8">
        <row r="11">
          <cell r="Q11">
            <v>237.3416666666667</v>
          </cell>
        </row>
      </sheetData>
      <sheetData sheetId="9"/>
      <sheetData sheetId="10"/>
      <sheetData sheetId="11"/>
      <sheetData sheetId="12">
        <row r="18">
          <cell r="J18">
            <v>70.067623000000012</v>
          </cell>
          <cell r="K18">
            <v>69.599999999999994</v>
          </cell>
          <cell r="L18">
            <v>68.8</v>
          </cell>
          <cell r="M18">
            <v>69.494122000000004</v>
          </cell>
          <cell r="N18">
            <v>70.256156000000004</v>
          </cell>
          <cell r="O18">
            <v>71.025689999999997</v>
          </cell>
          <cell r="P18">
            <v>71.812779000000006</v>
          </cell>
          <cell r="Q18">
            <v>72.602541000000002</v>
          </cell>
        </row>
      </sheetData>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Intro"/>
      <sheetName val="HAL - iBP "/>
      <sheetName val="HAL - fBP"/>
      <sheetName val="HAL - Reg"/>
      <sheetName val="HAL - CAA"/>
      <sheetName val="GAL - iBP"/>
      <sheetName val="GAL - rBP"/>
      <sheetName val="GAL - Reg"/>
      <sheetName val="GAL - CAA"/>
      <sheetName val="STAL - BBP"/>
      <sheetName val="STAL - BP"/>
      <sheetName val="STAL - Reg"/>
      <sheetName val="STAL - CAA"/>
      <sheetName val="Q Summary"/>
      <sheetName val="BP Summary "/>
      <sheetName val="BA"/>
      <sheetName val="ACC"/>
      <sheetName val="RPI"/>
      <sheetName val="CPI"/>
      <sheetName val="Inflation"/>
      <sheetName val="Other Opex"/>
      <sheetName val="MandA"/>
      <sheetName val="Central Services"/>
      <sheetName val="IDS Benchmark"/>
      <sheetName val="Frontier Shift"/>
      <sheetName val="Pensions"/>
      <sheetName val="Security"/>
      <sheetName val="Rates"/>
      <sheetName val="Traffic"/>
      <sheetName val="Overlays"/>
      <sheetName val="OBR"/>
      <sheetName val="Airport Analysis"/>
      <sheetName val="Paste"/>
      <sheetName val="Explain"/>
      <sheetName val="Elasticity"/>
      <sheetName val="Staff Costs"/>
    </sheetNames>
    <sheetDataSet>
      <sheetData sheetId="0"/>
      <sheetData sheetId="1"/>
      <sheetData sheetId="2"/>
      <sheetData sheetId="3"/>
      <sheetData sheetId="4">
        <row r="10">
          <cell r="C10">
            <v>65.900000000000006</v>
          </cell>
          <cell r="D10">
            <v>66.099999999999994</v>
          </cell>
          <cell r="E10">
            <v>66.099999999999994</v>
          </cell>
          <cell r="F10">
            <v>70.067623000000012</v>
          </cell>
          <cell r="G10">
            <v>69.599999999999994</v>
          </cell>
          <cell r="H10">
            <v>68.8</v>
          </cell>
          <cell r="I10">
            <v>69.494122000000004</v>
          </cell>
          <cell r="J10">
            <v>70.256156000000004</v>
          </cell>
          <cell r="K10">
            <v>71.025689999999997</v>
          </cell>
          <cell r="L10">
            <v>71.812779000000006</v>
          </cell>
          <cell r="M10">
            <v>72.602541000000002</v>
          </cell>
          <cell r="Q10">
            <v>406.56762299999997</v>
          </cell>
          <cell r="R10">
            <v>0</v>
          </cell>
          <cell r="S10">
            <v>8.6502598161137811E-3</v>
          </cell>
          <cell r="T10">
            <v>0</v>
          </cell>
          <cell r="W10">
            <v>355.19128799999999</v>
          </cell>
          <cell r="X10">
            <v>0</v>
          </cell>
          <cell r="Y10">
            <v>1.081732397056423E-2</v>
          </cell>
          <cell r="Z10">
            <v>0</v>
          </cell>
          <cell r="AA10">
            <v>0</v>
          </cell>
        </row>
        <row r="12">
          <cell r="I12">
            <v>1194.9590104258416</v>
          </cell>
          <cell r="J12">
            <v>1230.9415625807203</v>
          </cell>
          <cell r="K12">
            <v>1199.6085046241203</v>
          </cell>
          <cell r="L12">
            <v>1230.9863240920868</v>
          </cell>
          <cell r="M12">
            <v>1256.0440419626507</v>
          </cell>
          <cell r="Q12">
            <v>5946.0317310778746</v>
          </cell>
          <cell r="R12">
            <v>0.97029602490274891</v>
          </cell>
          <cell r="S12">
            <v>2.3299639864992505E-2</v>
          </cell>
          <cell r="T12">
            <v>14.624951409566313</v>
          </cell>
          <cell r="W12">
            <v>6112.5394436854203</v>
          </cell>
          <cell r="X12">
            <v>1.0127765374228912</v>
          </cell>
          <cell r="Y12">
            <v>3.5542101019368166E-2</v>
          </cell>
          <cell r="Z12">
            <v>17.209148000514642</v>
          </cell>
          <cell r="AA12">
            <v>2.8820923608235738E-2</v>
          </cell>
        </row>
        <row r="13">
          <cell r="I13">
            <v>1172.0742640854951</v>
          </cell>
          <cell r="J13">
            <v>1175.9018426882458</v>
          </cell>
          <cell r="K13">
            <v>1192.836442041943</v>
          </cell>
          <cell r="L13">
            <v>1223.7498251535462</v>
          </cell>
          <cell r="M13">
            <v>1270.8652034106472</v>
          </cell>
          <cell r="Q13">
            <v>6128.0594565703132</v>
          </cell>
          <cell r="R13">
            <v>1</v>
          </cell>
          <cell r="S13">
            <v>2.845441487393563E-2</v>
          </cell>
          <cell r="T13">
            <v>15.072669612381588</v>
          </cell>
          <cell r="W13">
            <v>6035.4275773798772</v>
          </cell>
          <cell r="X13">
            <v>1</v>
          </cell>
          <cell r="Y13">
            <v>2.8891032380443438E-2</v>
          </cell>
          <cell r="Z13">
            <v>16.992048457505742</v>
          </cell>
          <cell r="AA13">
            <v>3.054649634334683E-2</v>
          </cell>
        </row>
        <row r="15">
          <cell r="I15">
            <v>-10.114093584320692</v>
          </cell>
          <cell r="J15">
            <v>-13.950524007066839</v>
          </cell>
          <cell r="K15">
            <v>-17.523661361455563</v>
          </cell>
          <cell r="L15">
            <v>-21.575887294593141</v>
          </cell>
          <cell r="M15">
            <v>-26.778830552485108</v>
          </cell>
          <cell r="Q15">
            <v>0</v>
          </cell>
          <cell r="R15">
            <v>0</v>
          </cell>
          <cell r="S15">
            <v>0</v>
          </cell>
          <cell r="T15">
            <v>0</v>
          </cell>
          <cell r="W15">
            <v>-89.942996799921346</v>
          </cell>
          <cell r="X15">
            <v>-1.4902506184817439E-2</v>
          </cell>
          <cell r="Y15" t="str">
            <v>na</v>
          </cell>
          <cell r="Z15">
            <v>-0.25322410723069694</v>
          </cell>
          <cell r="AA15" t="str">
            <v>na</v>
          </cell>
        </row>
        <row r="16">
          <cell r="I16">
            <v>-17.598814681857956</v>
          </cell>
          <cell r="J16">
            <v>-22.586956663234051</v>
          </cell>
          <cell r="K16">
            <v>-46.55935732327233</v>
          </cell>
          <cell r="L16">
            <v>-70.535538268200767</v>
          </cell>
          <cell r="M16">
            <v>-99.227027809718805</v>
          </cell>
          <cell r="Q16">
            <v>0</v>
          </cell>
          <cell r="R16">
            <v>0</v>
          </cell>
          <cell r="S16">
            <v>0</v>
          </cell>
          <cell r="T16">
            <v>0</v>
          </cell>
          <cell r="W16">
            <v>-256.50769474628396</v>
          </cell>
          <cell r="X16">
            <v>-4.2500335139078922E-2</v>
          </cell>
          <cell r="Y16" t="str">
            <v>na</v>
          </cell>
          <cell r="Z16">
            <v>-0.72216775414346301</v>
          </cell>
          <cell r="AA16" t="str">
            <v>na</v>
          </cell>
        </row>
        <row r="17">
          <cell r="I17">
            <v>-23.371687621459298</v>
          </cell>
          <cell r="J17">
            <v>-38.346673174527702</v>
          </cell>
          <cell r="K17">
            <v>-57.760187333475542</v>
          </cell>
          <cell r="L17">
            <v>-90.977861536511639</v>
          </cell>
          <cell r="M17">
            <v>-132.14426775747265</v>
          </cell>
          <cell r="Q17">
            <v>0</v>
          </cell>
          <cell r="R17">
            <v>0</v>
          </cell>
          <cell r="S17">
            <v>0</v>
          </cell>
          <cell r="T17">
            <v>0</v>
          </cell>
          <cell r="W17">
            <v>-342.60067742344683</v>
          </cell>
          <cell r="X17">
            <v>-5.6764938859920497E-2</v>
          </cell>
          <cell r="Y17" t="str">
            <v>na</v>
          </cell>
          <cell r="Z17">
            <v>-0.96455259179511976</v>
          </cell>
          <cell r="AA17" t="str">
            <v>na</v>
          </cell>
        </row>
        <row r="19">
          <cell r="I19">
            <v>1161.9601705011744</v>
          </cell>
          <cell r="J19">
            <v>1161.9513186811791</v>
          </cell>
          <cell r="K19">
            <v>1175.3127806804873</v>
          </cell>
          <cell r="L19">
            <v>1202.173937858953</v>
          </cell>
          <cell r="M19">
            <v>1244.0863728581621</v>
          </cell>
          <cell r="Q19">
            <v>0</v>
          </cell>
          <cell r="R19">
            <v>0</v>
          </cell>
          <cell r="W19">
            <v>5945.4845805799559</v>
          </cell>
          <cell r="X19">
            <v>0.98509749381518252</v>
          </cell>
          <cell r="Y19">
            <v>2.4517994900214557E-2</v>
          </cell>
          <cell r="Z19">
            <v>16.738824350275046</v>
          </cell>
          <cell r="AA19">
            <v>2.7415969240342841E-2</v>
          </cell>
        </row>
        <row r="20">
          <cell r="I20">
            <v>1154.475449403637</v>
          </cell>
          <cell r="J20">
            <v>1153.3148860250117</v>
          </cell>
          <cell r="K20">
            <v>1146.2770847186705</v>
          </cell>
          <cell r="L20">
            <v>1153.2142868853452</v>
          </cell>
          <cell r="M20">
            <v>1171.6381756009284</v>
          </cell>
          <cell r="Q20">
            <v>0</v>
          </cell>
          <cell r="R20">
            <v>0</v>
          </cell>
          <cell r="W20">
            <v>5778.9198826335933</v>
          </cell>
          <cell r="X20">
            <v>0.95749966486092108</v>
          </cell>
          <cell r="Y20">
            <v>1.2297552985652382E-2</v>
          </cell>
          <cell r="Z20">
            <v>16.269880703362279</v>
          </cell>
          <cell r="AA20">
            <v>1.8647398574031859E-2</v>
          </cell>
        </row>
        <row r="21">
          <cell r="I21">
            <v>1148.7025764640359</v>
          </cell>
          <cell r="J21">
            <v>1137.5551695137181</v>
          </cell>
          <cell r="K21">
            <v>1135.0762547084673</v>
          </cell>
          <cell r="L21">
            <v>1132.7719636170345</v>
          </cell>
          <cell r="M21">
            <v>1138.7209356531746</v>
          </cell>
          <cell r="Q21">
            <v>0</v>
          </cell>
          <cell r="R21">
            <v>0</v>
          </cell>
          <cell r="W21">
            <v>5692.8268999564307</v>
          </cell>
          <cell r="X21">
            <v>0.9432350611400796</v>
          </cell>
          <cell r="Y21">
            <v>6.5444194034240954E-3</v>
          </cell>
          <cell r="Z21">
            <v>16.027495865710623</v>
          </cell>
          <cell r="AA21">
            <v>1.4508874996071119E-2</v>
          </cell>
        </row>
        <row r="23">
          <cell r="C23">
            <v>14.264828195133996</v>
          </cell>
          <cell r="D23">
            <v>14.368419498711358</v>
          </cell>
          <cell r="E23">
            <v>14.283327152771585</v>
          </cell>
          <cell r="F23">
            <v>14.176432776133156</v>
          </cell>
          <cell r="G23">
            <v>15.287356321839082</v>
          </cell>
          <cell r="H23">
            <v>15.331252210938667</v>
          </cell>
          <cell r="I23">
            <v>17.195109111902177</v>
          </cell>
          <cell r="J23">
            <v>17.520764480492218</v>
          </cell>
          <cell r="K23">
            <v>16.889783184424122</v>
          </cell>
          <cell r="L23">
            <v>17.141605452869143</v>
          </cell>
          <cell r="M23">
            <v>17.30027661101628</v>
          </cell>
        </row>
        <row r="24">
          <cell r="C24">
            <v>14.535900114758505</v>
          </cell>
          <cell r="D24">
            <v>14.894892106588456</v>
          </cell>
          <cell r="E24">
            <v>14.817040380610985</v>
          </cell>
          <cell r="F24">
            <v>14.692948838866702</v>
          </cell>
          <cell r="G24">
            <v>15.438286897859314</v>
          </cell>
          <cell r="H24">
            <v>16.020060080128442</v>
          </cell>
          <cell r="I24">
            <v>16.865804335012609</v>
          </cell>
          <cell r="J24">
            <v>16.737349573868599</v>
          </cell>
          <cell r="K24">
            <v>16.79443652067221</v>
          </cell>
          <cell r="L24">
            <v>17.040836494484445</v>
          </cell>
          <cell r="M24">
            <v>17.504417695389577</v>
          </cell>
        </row>
        <row r="26">
          <cell r="I26">
            <v>16.720265499593971</v>
          </cell>
          <cell r="J26">
            <v>16.538783002605197</v>
          </cell>
          <cell r="K26">
            <v>16.547713660796358</v>
          </cell>
          <cell r="L26">
            <v>16.740390145031888</v>
          </cell>
          <cell r="M26">
            <v>17.135576189518794</v>
          </cell>
        </row>
        <row r="27">
          <cell r="I27">
            <v>16.624879057866291</v>
          </cell>
          <cell r="J27">
            <v>16.365160144791417</v>
          </cell>
          <cell r="K27">
            <v>16.264460333922518</v>
          </cell>
          <cell r="L27">
            <v>16.257175491537428</v>
          </cell>
          <cell r="M27">
            <v>16.409944305608647</v>
          </cell>
        </row>
        <row r="28">
          <cell r="I28">
            <v>16.529492616138612</v>
          </cell>
          <cell r="J28">
            <v>16.191537286977642</v>
          </cell>
          <cell r="K28">
            <v>15.981207007048679</v>
          </cell>
          <cell r="L28">
            <v>15.773960838042967</v>
          </cell>
          <cell r="M28">
            <v>15.6843124216985</v>
          </cell>
        </row>
        <row r="35">
          <cell r="C35">
            <v>65.900000000000006</v>
          </cell>
          <cell r="D35">
            <v>66.099999999999994</v>
          </cell>
          <cell r="E35">
            <v>66.099999999999994</v>
          </cell>
          <cell r="F35">
            <v>70.067623000000012</v>
          </cell>
          <cell r="G35">
            <v>69.599999999999994</v>
          </cell>
          <cell r="H35">
            <v>68.8</v>
          </cell>
          <cell r="I35">
            <v>69.494122000000004</v>
          </cell>
          <cell r="J35">
            <v>70.256156000000004</v>
          </cell>
          <cell r="K35">
            <v>71.025689999999997</v>
          </cell>
          <cell r="L35">
            <v>71.812779000000006</v>
          </cell>
          <cell r="M35">
            <v>72.602541000000002</v>
          </cell>
          <cell r="Q35">
            <v>406.56762299999997</v>
          </cell>
          <cell r="R35">
            <v>0</v>
          </cell>
          <cell r="S35">
            <v>8.6502598161137811E-3</v>
          </cell>
          <cell r="T35">
            <v>0</v>
          </cell>
          <cell r="W35">
            <v>355.19128799999999</v>
          </cell>
          <cell r="X35">
            <v>0</v>
          </cell>
          <cell r="Y35">
            <v>1.081732397056423E-2</v>
          </cell>
          <cell r="Z35">
            <v>0</v>
          </cell>
          <cell r="AA35">
            <v>0</v>
          </cell>
        </row>
        <row r="37">
          <cell r="C37">
            <v>1034.0501345322027</v>
          </cell>
          <cell r="D37">
            <v>1044.720445488914</v>
          </cell>
          <cell r="E37">
            <v>989.42883416777374</v>
          </cell>
          <cell r="F37">
            <v>993.30894724294149</v>
          </cell>
          <cell r="G37">
            <v>1032.1100779946189</v>
          </cell>
          <cell r="H37">
            <v>1004.9492864684447</v>
          </cell>
          <cell r="I37">
            <v>1102.9221416164301</v>
          </cell>
          <cell r="J37">
            <v>1099.0420285412624</v>
          </cell>
          <cell r="K37">
            <v>1039.8703041449544</v>
          </cell>
          <cell r="L37">
            <v>1035.9901910697865</v>
          </cell>
          <cell r="M37">
            <v>1026.2899083818672</v>
          </cell>
          <cell r="Q37">
            <v>6098.5677258948954</v>
          </cell>
          <cell r="R37">
            <v>0.97033694922750924</v>
          </cell>
          <cell r="S37">
            <v>-5.6929696628132964E-3</v>
          </cell>
          <cell r="T37">
            <v>15.000131296472901</v>
          </cell>
          <cell r="W37">
            <v>5304.1145737543011</v>
          </cell>
          <cell r="X37">
            <v>1.0133959827577956</v>
          </cell>
          <cell r="Y37">
            <v>4.2114813867955014E-3</v>
          </cell>
          <cell r="Z37">
            <v>14.933121258746361</v>
          </cell>
          <cell r="AA37">
            <v>-4.4604033363315754E-4</v>
          </cell>
        </row>
        <row r="38">
          <cell r="C38">
            <v>1053.7</v>
          </cell>
          <cell r="D38">
            <v>1083</v>
          </cell>
          <cell r="E38">
            <v>1026.3999999999999</v>
          </cell>
          <cell r="F38">
            <v>1029.5</v>
          </cell>
          <cell r="G38">
            <v>1042.3000000000002</v>
          </cell>
          <cell r="H38">
            <v>1050.0999999999999</v>
          </cell>
          <cell r="I38">
            <v>1081.8</v>
          </cell>
          <cell r="J38">
            <v>1049.8999999999999</v>
          </cell>
          <cell r="K38">
            <v>1034</v>
          </cell>
          <cell r="L38">
            <v>1029.8999999999999</v>
          </cell>
          <cell r="M38">
            <v>1038.3999999999999</v>
          </cell>
          <cell r="Q38">
            <v>6285</v>
          </cell>
          <cell r="R38">
            <v>1</v>
          </cell>
          <cell r="S38">
            <v>-6.8424217818829902E-4</v>
          </cell>
          <cell r="T38">
            <v>15.458682995030326</v>
          </cell>
          <cell r="W38">
            <v>5233.9999999999991</v>
          </cell>
          <cell r="X38">
            <v>1</v>
          </cell>
          <cell r="Y38">
            <v>-2.2383572862288981E-3</v>
          </cell>
          <cell r="Z38">
            <v>14.735721783806813</v>
          </cell>
          <cell r="AA38">
            <v>1.2304448743305496E-3</v>
          </cell>
        </row>
        <row r="39">
          <cell r="Y39">
            <v>0</v>
          </cell>
          <cell r="Z39">
            <v>0</v>
          </cell>
          <cell r="AA39">
            <v>0</v>
          </cell>
        </row>
        <row r="40">
          <cell r="I40">
            <v>-9.3350965674987467</v>
          </cell>
          <cell r="J40">
            <v>-12.455678376636902</v>
          </cell>
          <cell r="K40">
            <v>-15.190234980352765</v>
          </cell>
          <cell r="L40">
            <v>-18.158128293839276</v>
          </cell>
          <cell r="M40">
            <v>-21.880477623491416</v>
          </cell>
          <cell r="Q40">
            <v>0</v>
          </cell>
          <cell r="W40">
            <v>-77.019615841819103</v>
          </cell>
          <cell r="X40">
            <v>-1.4715249492132043E-2</v>
          </cell>
          <cell r="Y40" t="str">
            <v>na</v>
          </cell>
          <cell r="Z40">
            <v>-0.21683982249536229</v>
          </cell>
          <cell r="AA40" t="str">
            <v>na</v>
          </cell>
        </row>
        <row r="41">
          <cell r="I41">
            <v>-16.243337394400129</v>
          </cell>
          <cell r="J41">
            <v>-20.166688187609616</v>
          </cell>
          <cell r="K41">
            <v>-40.359578040600134</v>
          </cell>
          <cell r="L41">
            <v>-59.362256377282925</v>
          </cell>
          <cell r="M41">
            <v>-81.076533845673438</v>
          </cell>
          <cell r="Q41">
            <v>0</v>
          </cell>
          <cell r="W41">
            <v>-217.20839384556626</v>
          </cell>
          <cell r="X41">
            <v>-4.1499502072137234E-2</v>
          </cell>
          <cell r="Y41" t="str">
            <v>na</v>
          </cell>
          <cell r="Z41">
            <v>-0.61152511670152865</v>
          </cell>
          <cell r="AA41" t="str">
            <v>na</v>
          </cell>
        </row>
        <row r="42">
          <cell r="I42">
            <v>-21.571578221301515</v>
          </cell>
          <cell r="J42">
            <v>-34.237697998582327</v>
          </cell>
          <cell r="K42">
            <v>-50.068921100847518</v>
          </cell>
          <cell r="L42">
            <v>-76.566384460726567</v>
          </cell>
          <cell r="M42">
            <v>-107.97259006785548</v>
          </cell>
          <cell r="Q42">
            <v>0</v>
          </cell>
          <cell r="W42">
            <v>-290.41717184931343</v>
          </cell>
          <cell r="X42">
            <v>-5.548665874079356E-2</v>
          </cell>
          <cell r="Y42" t="str">
            <v>na</v>
          </cell>
          <cell r="Z42">
            <v>-0.81763596591736631</v>
          </cell>
          <cell r="AA42" t="str">
            <v>na</v>
          </cell>
        </row>
        <row r="43">
          <cell r="M43">
            <v>0</v>
          </cell>
        </row>
        <row r="44">
          <cell r="I44">
            <v>1072.4649034325012</v>
          </cell>
          <cell r="J44">
            <v>1037.4443216233631</v>
          </cell>
          <cell r="K44">
            <v>1018.8097650196472</v>
          </cell>
          <cell r="L44">
            <v>1011.7418717061606</v>
          </cell>
          <cell r="M44">
            <v>1016.5195223765085</v>
          </cell>
          <cell r="Q44">
            <v>0</v>
          </cell>
          <cell r="W44">
            <v>5156.9803841581806</v>
          </cell>
          <cell r="X44">
            <v>0.98528475050786812</v>
          </cell>
          <cell r="Y44">
            <v>-6.4790872786240072E-3</v>
          </cell>
          <cell r="Z44">
            <v>14.518881961311452</v>
          </cell>
          <cell r="AA44">
            <v>-1.8110278347162057E-3</v>
          </cell>
        </row>
        <row r="45">
          <cell r="I45">
            <v>1065.5566626055997</v>
          </cell>
          <cell r="J45">
            <v>1029.7333118123902</v>
          </cell>
          <cell r="K45">
            <v>993.64042195939987</v>
          </cell>
          <cell r="L45">
            <v>970.5377436227169</v>
          </cell>
          <cell r="M45">
            <v>957.32346615432641</v>
          </cell>
          <cell r="Q45">
            <v>0</v>
          </cell>
          <cell r="W45">
            <v>5016.7916061544329</v>
          </cell>
          <cell r="X45">
            <v>0.95850049792786274</v>
          </cell>
          <cell r="Y45">
            <v>-1.8329796261043474E-2</v>
          </cell>
          <cell r="Z45">
            <v>14.124196667105284</v>
          </cell>
          <cell r="AA45">
            <v>-1.0330158160513192E-2</v>
          </cell>
        </row>
        <row r="46">
          <cell r="I46">
            <v>1060.2284217786985</v>
          </cell>
          <cell r="J46">
            <v>1015.6623020014175</v>
          </cell>
          <cell r="K46">
            <v>983.93107889915245</v>
          </cell>
          <cell r="L46">
            <v>953.3336155392733</v>
          </cell>
          <cell r="M46">
            <v>930.42740993214443</v>
          </cell>
          <cell r="Q46">
            <v>0</v>
          </cell>
          <cell r="W46">
            <v>4943.5828281506865</v>
          </cell>
          <cell r="X46">
            <v>0.94451334125920661</v>
          </cell>
          <cell r="Y46">
            <v>-2.3908867156894553E-2</v>
          </cell>
          <cell r="Z46">
            <v>13.918085817889448</v>
          </cell>
          <cell r="AA46">
            <v>-1.4350952775591064E-2</v>
          </cell>
        </row>
        <row r="47">
          <cell r="M47">
            <v>0</v>
          </cell>
        </row>
        <row r="48">
          <cell r="C48">
            <v>15.691200827499282</v>
          </cell>
          <cell r="D48">
            <v>15.805150461254375</v>
          </cell>
          <cell r="E48">
            <v>14.968666175004143</v>
          </cell>
          <cell r="F48">
            <v>14.176432776133156</v>
          </cell>
          <cell r="G48">
            <v>14.829167787279008</v>
          </cell>
          <cell r="H48">
            <v>14.606821024250651</v>
          </cell>
          <cell r="I48">
            <v>15.870725607792124</v>
          </cell>
          <cell r="J48">
            <v>15.643355559351445</v>
          </cell>
          <cell r="K48">
            <v>14.640763139998421</v>
          </cell>
          <cell r="L48">
            <v>14.426265150799782</v>
          </cell>
          <cell r="M48">
            <v>14.135729882813154</v>
          </cell>
        </row>
        <row r="49">
          <cell r="C49">
            <v>15.98937784522003</v>
          </cell>
          <cell r="D49">
            <v>16.384266263237521</v>
          </cell>
          <cell r="E49">
            <v>15.527987897125566</v>
          </cell>
          <cell r="F49">
            <v>14.692948838866702</v>
          </cell>
          <cell r="G49">
            <v>14.975574712643683</v>
          </cell>
          <cell r="H49">
            <v>15.263081395348836</v>
          </cell>
          <cell r="I49">
            <v>15.566784195071921</v>
          </cell>
          <cell r="J49">
            <v>14.943886198385233</v>
          </cell>
          <cell r="K49">
            <v>14.558112705416871</v>
          </cell>
          <cell r="L49">
            <v>14.341458642061461</v>
          </cell>
          <cell r="M49">
            <v>14.302529714490294</v>
          </cell>
        </row>
        <row r="51">
          <cell r="I51">
            <v>15.432454897876127</v>
          </cell>
          <cell r="J51">
            <v>14.76659670397229</v>
          </cell>
          <cell r="K51">
            <v>14.344243118506096</v>
          </cell>
          <cell r="L51">
            <v>14.088604922337854</v>
          </cell>
          <cell r="M51">
            <v>14.001156273256447</v>
          </cell>
        </row>
        <row r="52">
          <cell r="I52">
            <v>15.344415209758314</v>
          </cell>
          <cell r="J52">
            <v>14.611578120106518</v>
          </cell>
          <cell r="K52">
            <v>14.098707410788968</v>
          </cell>
          <cell r="L52">
            <v>13.681934570763747</v>
          </cell>
          <cell r="M52">
            <v>13.408256140158048</v>
          </cell>
        </row>
        <row r="53">
          <cell r="I53">
            <v>15.256375521640498</v>
          </cell>
          <cell r="J53">
            <v>14.456559536240745</v>
          </cell>
          <cell r="K53">
            <v>13.853171703071839</v>
          </cell>
          <cell r="L53">
            <v>13.275264219189641</v>
          </cell>
          <cell r="M53">
            <v>12.815356007059648</v>
          </cell>
        </row>
        <row r="93">
          <cell r="C93">
            <v>1053.7</v>
          </cell>
          <cell r="D93">
            <v>1083</v>
          </cell>
          <cell r="E93">
            <v>1026.3999999999999</v>
          </cell>
          <cell r="F93">
            <v>1029.5</v>
          </cell>
          <cell r="G93">
            <v>1042.3000000000002</v>
          </cell>
          <cell r="H93">
            <v>1050.0999999999999</v>
          </cell>
          <cell r="I93">
            <v>1081.8</v>
          </cell>
          <cell r="J93">
            <v>1049.8999999999999</v>
          </cell>
          <cell r="K93">
            <v>1034</v>
          </cell>
          <cell r="L93">
            <v>1029.8999999999999</v>
          </cell>
          <cell r="M93">
            <v>1038.3999999999999</v>
          </cell>
          <cell r="O93">
            <v>5233.9999999999991</v>
          </cell>
        </row>
        <row r="94">
          <cell r="C94">
            <v>0</v>
          </cell>
          <cell r="D94">
            <v>0</v>
          </cell>
          <cell r="E94">
            <v>0</v>
          </cell>
          <cell r="F94">
            <v>0</v>
          </cell>
          <cell r="G94">
            <v>0</v>
          </cell>
          <cell r="H94">
            <v>0</v>
          </cell>
          <cell r="I94">
            <v>-4.5599999999999996</v>
          </cell>
          <cell r="J94">
            <v>-5.24</v>
          </cell>
          <cell r="K94">
            <v>-9.4599999999999991</v>
          </cell>
          <cell r="L94">
            <v>-22.72</v>
          </cell>
          <cell r="M94">
            <v>-35.599999999999994</v>
          </cell>
          <cell r="O94">
            <v>-77.579999999999984</v>
          </cell>
        </row>
        <row r="95">
          <cell r="C95">
            <v>0</v>
          </cell>
          <cell r="D95">
            <v>0</v>
          </cell>
          <cell r="E95">
            <v>0</v>
          </cell>
          <cell r="F95">
            <v>0</v>
          </cell>
          <cell r="G95">
            <v>0</v>
          </cell>
          <cell r="H95">
            <v>0</v>
          </cell>
          <cell r="I95">
            <v>0.16000000000000003</v>
          </cell>
          <cell r="J95">
            <v>2.4000000000000004</v>
          </cell>
          <cell r="K95">
            <v>-8.76</v>
          </cell>
          <cell r="L95">
            <v>-9.5200000000000014</v>
          </cell>
          <cell r="M95">
            <v>-12.5</v>
          </cell>
          <cell r="O95">
            <v>-28.22</v>
          </cell>
        </row>
        <row r="96">
          <cell r="C96">
            <v>0</v>
          </cell>
          <cell r="D96">
            <v>0</v>
          </cell>
          <cell r="E96">
            <v>0</v>
          </cell>
          <cell r="F96">
            <v>0</v>
          </cell>
          <cell r="G96">
            <v>0</v>
          </cell>
          <cell r="H96">
            <v>0</v>
          </cell>
          <cell r="I96">
            <v>0</v>
          </cell>
          <cell r="J96">
            <v>0</v>
          </cell>
          <cell r="K96">
            <v>0</v>
          </cell>
          <cell r="L96">
            <v>0</v>
          </cell>
          <cell r="M96">
            <v>0</v>
          </cell>
          <cell r="O96">
            <v>0</v>
          </cell>
        </row>
        <row r="97">
          <cell r="C97">
            <v>0</v>
          </cell>
          <cell r="D97">
            <v>0</v>
          </cell>
          <cell r="E97">
            <v>0</v>
          </cell>
          <cell r="F97">
            <v>0</v>
          </cell>
          <cell r="G97">
            <v>0</v>
          </cell>
          <cell r="H97">
            <v>0</v>
          </cell>
          <cell r="I97">
            <v>-5.9486786939948111</v>
          </cell>
          <cell r="J97">
            <v>-11.487391285468556</v>
          </cell>
          <cell r="K97">
            <v>-16.224512260697161</v>
          </cell>
          <cell r="L97">
            <v>-20.782542780613937</v>
          </cell>
          <cell r="M97">
            <v>-25.670703898876617</v>
          </cell>
          <cell r="O97">
            <v>-80.113828919651084</v>
          </cell>
        </row>
        <row r="98">
          <cell r="C98">
            <v>0</v>
          </cell>
          <cell r="D98">
            <v>0</v>
          </cell>
          <cell r="E98">
            <v>0</v>
          </cell>
          <cell r="F98">
            <v>0</v>
          </cell>
          <cell r="G98">
            <v>0</v>
          </cell>
          <cell r="H98">
            <v>0</v>
          </cell>
          <cell r="I98">
            <v>-4.4770237004052991</v>
          </cell>
          <cell r="J98">
            <v>-3.0059407093910675</v>
          </cell>
          <cell r="K98">
            <v>-1.6678996180132746</v>
          </cell>
          <cell r="L98">
            <v>-0.68064610909792655</v>
          </cell>
          <cell r="M98">
            <v>-0.23676720033402354</v>
          </cell>
          <cell r="O98">
            <v>-10.068277337241591</v>
          </cell>
        </row>
        <row r="99">
          <cell r="C99">
            <v>0</v>
          </cell>
          <cell r="D99">
            <v>0</v>
          </cell>
          <cell r="E99">
            <v>0</v>
          </cell>
          <cell r="F99">
            <v>0</v>
          </cell>
          <cell r="G99">
            <v>0</v>
          </cell>
          <cell r="H99">
            <v>0</v>
          </cell>
          <cell r="I99">
            <v>-1.4176350000000184</v>
          </cell>
          <cell r="J99">
            <v>-2.8333561927499886</v>
          </cell>
          <cell r="K99">
            <v>-4.2471661618897087</v>
          </cell>
          <cell r="L99">
            <v>-5.6590674875710647</v>
          </cell>
          <cell r="M99">
            <v>-7.0690627464628051</v>
          </cell>
          <cell r="O99">
            <v>-21.226287588673586</v>
          </cell>
        </row>
        <row r="100">
          <cell r="C100">
            <v>0</v>
          </cell>
          <cell r="D100">
            <v>0</v>
          </cell>
          <cell r="E100">
            <v>0</v>
          </cell>
          <cell r="F100">
            <v>0</v>
          </cell>
          <cell r="G100">
            <v>0</v>
          </cell>
          <cell r="H100">
            <v>0</v>
          </cell>
          <cell r="I100">
            <v>-16.243337394400129</v>
          </cell>
          <cell r="J100">
            <v>-20.166688187609612</v>
          </cell>
          <cell r="K100">
            <v>-40.359578040600141</v>
          </cell>
          <cell r="L100">
            <v>-59.362256377282932</v>
          </cell>
          <cell r="M100">
            <v>-81.076533845673438</v>
          </cell>
          <cell r="O100">
            <v>-217.20839384556626</v>
          </cell>
        </row>
        <row r="101">
          <cell r="C101">
            <v>0</v>
          </cell>
          <cell r="D101">
            <v>0</v>
          </cell>
          <cell r="E101">
            <v>0</v>
          </cell>
          <cell r="F101">
            <v>0</v>
          </cell>
          <cell r="G101">
            <v>0</v>
          </cell>
          <cell r="H101">
            <v>0</v>
          </cell>
          <cell r="I101">
            <v>1065.5566626055997</v>
          </cell>
          <cell r="J101">
            <v>1029.7333118123902</v>
          </cell>
          <cell r="K101">
            <v>993.64042195939987</v>
          </cell>
          <cell r="L101">
            <v>970.5377436227169</v>
          </cell>
          <cell r="M101">
            <v>957.32346615432641</v>
          </cell>
          <cell r="O101">
            <v>5016.7916061544329</v>
          </cell>
        </row>
        <row r="105">
          <cell r="M105">
            <v>0</v>
          </cell>
        </row>
        <row r="106">
          <cell r="I106">
            <v>-1.4176350000000184</v>
          </cell>
          <cell r="J106">
            <v>-2.8333561927499886</v>
          </cell>
          <cell r="K106">
            <v>-4.2471661618897087</v>
          </cell>
          <cell r="L106">
            <v>-5.6590674875710647</v>
          </cell>
          <cell r="M106">
            <v>-7.0690627464628051</v>
          </cell>
        </row>
        <row r="107">
          <cell r="I107">
            <v>-25.643337394400127</v>
          </cell>
          <cell r="J107">
            <v>-29.966688187609613</v>
          </cell>
          <cell r="K107">
            <v>-49.459578040600135</v>
          </cell>
          <cell r="L107">
            <v>-54.362256377282925</v>
          </cell>
          <cell r="M107">
            <v>-64.076533845673438</v>
          </cell>
        </row>
        <row r="108">
          <cell r="I108">
            <v>-4</v>
          </cell>
          <cell r="J108">
            <v>-3.6</v>
          </cell>
          <cell r="K108">
            <v>-4.3</v>
          </cell>
          <cell r="L108">
            <v>-18.399999999999999</v>
          </cell>
          <cell r="M108">
            <v>-30.4</v>
          </cell>
        </row>
        <row r="109">
          <cell r="I109">
            <v>-31.060972394400146</v>
          </cell>
          <cell r="J109">
            <v>-36.400044380359603</v>
          </cell>
          <cell r="K109">
            <v>-58.006744202489841</v>
          </cell>
          <cell r="L109">
            <v>-78.421323864853989</v>
          </cell>
          <cell r="M109">
            <v>-101.54559659213623</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Contents"/>
      <sheetName val="1.1"/>
      <sheetName val="1.2"/>
      <sheetName val="1.3"/>
      <sheetName val="1.4"/>
      <sheetName val="1.5"/>
      <sheetName val="1.6"/>
      <sheetName val="1.7"/>
      <sheetName val="1.8"/>
      <sheetName val="1.9 "/>
      <sheetName val="1.10"/>
      <sheetName val="1.11"/>
    </sheetNames>
    <sheetDataSet>
      <sheetData sheetId="0"/>
      <sheetData sheetId="1"/>
      <sheetData sheetId="2"/>
      <sheetData sheetId="3"/>
      <sheetData sheetId="4"/>
      <sheetData sheetId="5">
        <row r="19">
          <cell r="D19">
            <v>3.1</v>
          </cell>
        </row>
        <row r="20">
          <cell r="D20">
            <v>2.9</v>
          </cell>
        </row>
        <row r="21">
          <cell r="D21">
            <v>3.2</v>
          </cell>
        </row>
        <row r="22">
          <cell r="D22">
            <v>3.2</v>
          </cell>
        </row>
        <row r="23">
          <cell r="D23">
            <v>3.2</v>
          </cell>
        </row>
        <row r="24">
          <cell r="D24">
            <v>3.1</v>
          </cell>
        </row>
        <row r="25">
          <cell r="D25">
            <v>2.5</v>
          </cell>
        </row>
        <row r="26">
          <cell r="D26">
            <v>2.5</v>
          </cell>
        </row>
        <row r="27">
          <cell r="D27">
            <v>2.5</v>
          </cell>
        </row>
        <row r="28">
          <cell r="D28">
            <v>2.7</v>
          </cell>
        </row>
        <row r="29">
          <cell r="D29">
            <v>2.9</v>
          </cell>
        </row>
        <row r="30">
          <cell r="D30">
            <v>3.1</v>
          </cell>
        </row>
        <row r="31">
          <cell r="D31">
            <v>3.1</v>
          </cell>
        </row>
        <row r="32">
          <cell r="D32">
            <v>3.1</v>
          </cell>
        </row>
        <row r="33">
          <cell r="D33">
            <v>3.2</v>
          </cell>
        </row>
        <row r="34">
          <cell r="D34">
            <v>3.3</v>
          </cell>
        </row>
        <row r="35">
          <cell r="D35">
            <v>3.3</v>
          </cell>
        </row>
        <row r="36">
          <cell r="D36">
            <v>3.4</v>
          </cell>
        </row>
        <row r="37">
          <cell r="D37">
            <v>3.5</v>
          </cell>
        </row>
        <row r="38">
          <cell r="D38">
            <v>3.6</v>
          </cell>
        </row>
        <row r="39">
          <cell r="D39">
            <v>3.6</v>
          </cell>
        </row>
        <row r="40">
          <cell r="D40">
            <v>3.7</v>
          </cell>
        </row>
        <row r="41">
          <cell r="D41">
            <v>3.7</v>
          </cell>
        </row>
        <row r="42">
          <cell r="D42">
            <v>3.8</v>
          </cell>
        </row>
      </sheetData>
      <sheetData sheetId="6"/>
      <sheetData sheetId="7"/>
      <sheetData sheetId="8"/>
      <sheetData sheetId="9"/>
      <sheetData sheetId="10"/>
      <sheetData sheetId="1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Cover"/>
      <sheetName val="Contents&gt;&gt;"/>
      <sheetName val="Key"/>
      <sheetName val="Checks"/>
      <sheetName val="Inputs&gt;&gt;"/>
      <sheetName val="Selector"/>
      <sheetName val="ITS"/>
      <sheetName val="INT"/>
      <sheetName val="Base"/>
      <sheetName val="Calculation&gt;&gt;"/>
      <sheetName val="TC"/>
      <sheetName val="NTC"/>
      <sheetName val="Output&gt;&gt;"/>
      <sheetName val="Q6 summary"/>
      <sheetName val="Q678"/>
    </sheetNames>
    <sheetDataSet>
      <sheetData sheetId="0"/>
      <sheetData sheetId="1"/>
      <sheetData sheetId="2"/>
      <sheetData sheetId="3"/>
      <sheetData sheetId="4"/>
      <sheetData sheetId="5"/>
      <sheetData sheetId="6">
        <row r="13">
          <cell r="S13">
            <v>270.31675717833605</v>
          </cell>
          <cell r="T13">
            <v>278.42625989368611</v>
          </cell>
          <cell r="U13">
            <v>286.77904769049672</v>
          </cell>
        </row>
        <row r="14">
          <cell r="S14">
            <v>270.990548213544</v>
          </cell>
          <cell r="T14">
            <v>279.12026465995035</v>
          </cell>
          <cell r="U14">
            <v>287.4938725997489</v>
          </cell>
        </row>
        <row r="15">
          <cell r="S15">
            <v>271.66433924875201</v>
          </cell>
          <cell r="T15">
            <v>279.81426942621459</v>
          </cell>
          <cell r="U15">
            <v>288.20869750900101</v>
          </cell>
        </row>
        <row r="16">
          <cell r="S16">
            <v>272.00189541838807</v>
          </cell>
          <cell r="T16">
            <v>280.16195228093972</v>
          </cell>
          <cell r="U16">
            <v>288.56681084936793</v>
          </cell>
        </row>
        <row r="17">
          <cell r="S17">
            <v>273.01192131916793</v>
          </cell>
          <cell r="T17">
            <v>281.20227895874297</v>
          </cell>
          <cell r="U17">
            <v>289.63834732750524</v>
          </cell>
        </row>
        <row r="18">
          <cell r="S18">
            <v>274.02194721994778</v>
          </cell>
          <cell r="T18">
            <v>282.24260563654622</v>
          </cell>
          <cell r="U18">
            <v>290.70988380564262</v>
          </cell>
        </row>
        <row r="19">
          <cell r="S19">
            <v>276.33672842621905</v>
          </cell>
          <cell r="T19">
            <v>284.62683027900562</v>
          </cell>
          <cell r="U19">
            <v>293.16563518737581</v>
          </cell>
        </row>
        <row r="20">
          <cell r="S20">
            <v>276.04199902150742</v>
          </cell>
          <cell r="T20">
            <v>284.32325899215266</v>
          </cell>
          <cell r="U20">
            <v>292.85295676191726</v>
          </cell>
        </row>
        <row r="21">
          <cell r="S21">
            <v>275.74726961679579</v>
          </cell>
          <cell r="T21">
            <v>284.01968770529965</v>
          </cell>
          <cell r="U21">
            <v>292.54027833645864</v>
          </cell>
        </row>
        <row r="22">
          <cell r="R22">
            <v>265.86115811311959</v>
          </cell>
          <cell r="S22">
            <v>273.83699285651318</v>
          </cell>
          <cell r="T22">
            <v>282.05210264220858</v>
          </cell>
          <cell r="U22">
            <v>290.51366572147487</v>
          </cell>
        </row>
        <row r="23">
          <cell r="R23">
            <v>267.14350563822569</v>
          </cell>
          <cell r="S23">
            <v>275.15781080737247</v>
          </cell>
          <cell r="T23">
            <v>283.41254513159367</v>
          </cell>
          <cell r="U23">
            <v>291.91492148554147</v>
          </cell>
        </row>
        <row r="24">
          <cell r="R24">
            <v>268.42585316333179</v>
          </cell>
          <cell r="S24">
            <v>276.47862875823176</v>
          </cell>
          <cell r="T24">
            <v>284.77298762097871</v>
          </cell>
          <cell r="U24">
            <v>293.31617724960807</v>
          </cell>
        </row>
        <row r="29">
          <cell r="Q29">
            <v>254.55382781333336</v>
          </cell>
          <cell r="R29">
            <v>262.44345357120005</v>
          </cell>
        </row>
        <row r="30">
          <cell r="Q30">
            <v>254.93955389999999</v>
          </cell>
          <cell r="R30">
            <v>263.09761962480002</v>
          </cell>
        </row>
        <row r="31">
          <cell r="Q31">
            <v>255.32527998666663</v>
          </cell>
          <cell r="R31">
            <v>263.75178567839998</v>
          </cell>
        </row>
        <row r="32">
          <cell r="Q32">
            <v>255.39874474333322</v>
          </cell>
          <cell r="R32">
            <v>264.07951011493986</v>
          </cell>
        </row>
        <row r="33">
          <cell r="Q33">
            <v>256.09673215999993</v>
          </cell>
          <cell r="R33">
            <v>265.06011778559991</v>
          </cell>
        </row>
        <row r="34">
          <cell r="P34">
            <v>248.51063499999995</v>
          </cell>
          <cell r="Q34">
            <v>256.79471957666664</v>
          </cell>
          <cell r="R34">
            <v>266.04072545625996</v>
          </cell>
        </row>
        <row r="35">
          <cell r="P35">
            <v>249.16102838719993</v>
          </cell>
          <cell r="Q35">
            <v>257.80005026892371</v>
          </cell>
          <cell r="R35">
            <v>268.28808585069811</v>
          </cell>
        </row>
        <row r="36">
          <cell r="P36">
            <v>249.70086499999996</v>
          </cell>
          <cell r="Q36">
            <v>258.19069440999999</v>
          </cell>
          <cell r="R36">
            <v>268.00194079758</v>
          </cell>
        </row>
        <row r="37">
          <cell r="P37">
            <v>250.2407016128</v>
          </cell>
          <cell r="Q37">
            <v>258.58133855107627</v>
          </cell>
          <cell r="R37">
            <v>267.7157957444619</v>
          </cell>
        </row>
        <row r="38">
          <cell r="P38">
            <v>250.11398181786672</v>
          </cell>
          <cell r="Q38">
            <v>258.11762923603845</v>
          </cell>
        </row>
        <row r="39">
          <cell r="P39">
            <v>251.32037483840003</v>
          </cell>
          <cell r="Q39">
            <v>259.36262683322883</v>
          </cell>
        </row>
        <row r="40">
          <cell r="P40">
            <v>252.52676785893334</v>
          </cell>
          <cell r="Q40">
            <v>260.60762443041921</v>
          </cell>
        </row>
      </sheetData>
      <sheetData sheetId="7"/>
      <sheetData sheetId="8"/>
      <sheetData sheetId="9"/>
      <sheetData sheetId="10"/>
      <sheetData sheetId="11"/>
      <sheetData sheetId="12"/>
      <sheetData sheetId="13">
        <row r="22">
          <cell r="E22">
            <v>1035.4454587323899</v>
          </cell>
        </row>
      </sheetData>
      <sheetData sheetId="14"/>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Cover"/>
      <sheetName val="Info"/>
      <sheetName val="Parameters"/>
      <sheetName val="Analysis&gt;&gt;"/>
      <sheetName val="Comparators"/>
      <sheetName val="Int Analysis"/>
      <sheetName val="UK Analysis"/>
      <sheetName val="Data Conversion"/>
      <sheetName val="Traffic Data&gt;&gt;"/>
      <sheetName val="Monthly Data"/>
      <sheetName val="Passengers"/>
      <sheetName val="Freight"/>
      <sheetName val="ATMs"/>
      <sheetName val="Aircraft Movements"/>
      <sheetName val="UK&gt;&gt;"/>
      <sheetName val="ABD"/>
      <sheetName val="BIR"/>
      <sheetName val="EDIN"/>
      <sheetName val="GAT"/>
      <sheetName val="GLAS"/>
      <sheetName val="HTROW"/>
      <sheetName val="LTN"/>
      <sheetName val="MAN"/>
      <sheetName val="STHAM"/>
      <sheetName val="STAN"/>
      <sheetName val="Non-UK&gt;&gt;"/>
      <sheetName val="Amsterdam"/>
      <sheetName val="Dublin"/>
      <sheetName val="Hong Kong"/>
      <sheetName val="Copenhagen"/>
      <sheetName val="Zurich"/>
      <sheetName val="Munich"/>
      <sheetName val="Economic Data&gt;&gt;"/>
      <sheetName val="RPI"/>
      <sheetName val="FX"/>
      <sheetName val="PPP"/>
      <sheetName val="GDP per cap"/>
      <sheetName val="GDP per emp"/>
      <sheetName val="Appendix&gt;&gt;"/>
      <sheetName val="Other Data"/>
      <sheetName val="Airport Activity"/>
      <sheetName val="Pivot"/>
      <sheetName val="Leigh Fisher"/>
      <sheetName val="Sheet1"/>
      <sheetName val="ATRS"/>
      <sheetName val="ARTS Data"/>
      <sheetName val="Booz"/>
      <sheetName val="Service Quality"/>
      <sheetName val="SDG"/>
      <sheetName val="Benchmarking"/>
      <sheetName val="Regression Data (ADJ)"/>
      <sheetName val="Regression Data (RA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22">
          <cell r="L22">
            <v>205100</v>
          </cell>
          <cell r="M22">
            <v>186700</v>
          </cell>
          <cell r="N22">
            <v>196400</v>
          </cell>
          <cell r="O22">
            <v>208300</v>
          </cell>
          <cell r="P22">
            <v>230800</v>
          </cell>
        </row>
        <row r="23">
          <cell r="L23">
            <v>16000</v>
          </cell>
          <cell r="M23">
            <v>15000</v>
          </cell>
          <cell r="N23">
            <v>15500</v>
          </cell>
          <cell r="O23">
            <v>18300</v>
          </cell>
          <cell r="P23">
            <v>20600</v>
          </cell>
        </row>
        <row r="24">
          <cell r="L24">
            <v>31100</v>
          </cell>
          <cell r="M24">
            <v>14600</v>
          </cell>
          <cell r="N24">
            <v>24200</v>
          </cell>
          <cell r="O24">
            <v>24200</v>
          </cell>
          <cell r="P24">
            <v>31700</v>
          </cell>
        </row>
        <row r="25">
          <cell r="L25">
            <v>17100</v>
          </cell>
          <cell r="M25">
            <v>10000</v>
          </cell>
          <cell r="N25">
            <v>9700</v>
          </cell>
          <cell r="O25">
            <v>11300</v>
          </cell>
          <cell r="P25">
            <v>8200</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duncan.kernohan@caa.co.uk"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2.xml"/><Relationship Id="rId1" Type="http://schemas.openxmlformats.org/officeDocument/2006/relationships/printerSettings" Target="../printerSettings/printerSettings10.bin"/><Relationship Id="rId4" Type="http://schemas.openxmlformats.org/officeDocument/2006/relationships/comments" Target="../comments6.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www.ons.gov.uk/ons/rel/cpi/consumer-price-indices/july-2012/cpi-time-series-data.html"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0.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33.xml.rels><?xml version="1.0" encoding="UTF-8" standalone="yes"?>
<Relationships xmlns="http://schemas.openxmlformats.org/package/2006/relationships"><Relationship Id="rId1" Type="http://schemas.openxmlformats.org/officeDocument/2006/relationships/hyperlink" Target="http://www.ons.gov.uk/ons/rel/pensions/occupational-pension-scheme-survey-annual-report/2010-annual-report/index.html" TargetMode="External"/></Relationships>
</file>

<file path=xl/worksheets/sheet1.xml><?xml version="1.0" encoding="utf-8"?>
<worksheet xmlns="http://schemas.openxmlformats.org/spreadsheetml/2006/main" xmlns:r="http://schemas.openxmlformats.org/officeDocument/2006/relationships">
  <dimension ref="B2:B10"/>
  <sheetViews>
    <sheetView showGridLines="0" zoomScaleNormal="100" workbookViewId="0">
      <selection activeCell="B31" sqref="B31"/>
    </sheetView>
  </sheetViews>
  <sheetFormatPr defaultRowHeight="15"/>
  <cols>
    <col min="2" max="2" width="126.140625" customWidth="1"/>
  </cols>
  <sheetData>
    <row r="2" spans="2:2">
      <c r="B2" s="1"/>
    </row>
    <row r="3" spans="2:2">
      <c r="B3" s="548" t="s">
        <v>743</v>
      </c>
    </row>
    <row r="4" spans="2:2">
      <c r="B4" t="s">
        <v>778</v>
      </c>
    </row>
    <row r="5" spans="2:2">
      <c r="B5" s="232" t="s">
        <v>188</v>
      </c>
    </row>
    <row r="6" spans="2:2">
      <c r="B6" s="2" t="s">
        <v>189</v>
      </c>
    </row>
    <row r="7" spans="2:2">
      <c r="B7" t="s">
        <v>744</v>
      </c>
    </row>
    <row r="9" spans="2:2">
      <c r="B9" s="74" t="s">
        <v>802</v>
      </c>
    </row>
    <row r="10" spans="2:2">
      <c r="B10" s="232" t="s">
        <v>779</v>
      </c>
    </row>
  </sheetData>
  <hyperlinks>
    <hyperlink ref="B6" r:id="rId1"/>
  </hyperlinks>
  <pageMargins left="0.7" right="0.7" top="0.75" bottom="0.75" header="0.3" footer="0.3"/>
  <pageSetup paperSize="9" orientation="portrait" r:id="rId2"/>
  <headerFooter>
    <oddHeader>&amp;C&amp;A&amp;D</oddHeader>
  </headerFooter>
</worksheet>
</file>

<file path=xl/worksheets/sheet2.xml><?xml version="1.0" encoding="utf-8"?>
<worksheet xmlns="http://schemas.openxmlformats.org/spreadsheetml/2006/main" xmlns:r="http://schemas.openxmlformats.org/officeDocument/2006/relationships">
  <sheetPr>
    <tabColor rgb="FFFF0000"/>
  </sheetPr>
  <dimension ref="A1"/>
  <sheetViews>
    <sheetView showGridLines="0" workbookViewId="0">
      <selection activeCell="H36" sqref="H36"/>
    </sheetView>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B2:Z111"/>
  <sheetViews>
    <sheetView showGridLines="0" topLeftCell="A34" zoomScale="55" zoomScaleNormal="55" zoomScaleSheetLayoutView="40" workbookViewId="0">
      <selection activeCell="Y107" sqref="Y107"/>
    </sheetView>
  </sheetViews>
  <sheetFormatPr defaultRowHeight="12.75"/>
  <cols>
    <col min="1" max="1" width="8.7109375" style="19" customWidth="1"/>
    <col min="2" max="2" width="56.140625" style="19" customWidth="1"/>
    <col min="3" max="6" width="11" style="19" bestFit="1" customWidth="1"/>
    <col min="7" max="7" width="10.85546875" style="19" bestFit="1" customWidth="1"/>
    <col min="8" max="8" width="10.28515625" style="19" bestFit="1" customWidth="1"/>
    <col min="9" max="9" width="10.28515625" style="19" customWidth="1"/>
    <col min="10" max="10" width="10.5703125" style="19" bestFit="1" customWidth="1"/>
    <col min="11" max="11" width="10.5703125" style="19" customWidth="1"/>
    <col min="12" max="12" width="10.5703125" style="140" customWidth="1"/>
    <col min="13" max="13" width="13.85546875" style="19" bestFit="1" customWidth="1"/>
    <col min="14" max="14" width="9.140625" style="19"/>
    <col min="15" max="15" width="53.85546875" style="19" bestFit="1" customWidth="1"/>
    <col min="16" max="19" width="11" style="19" bestFit="1" customWidth="1"/>
    <col min="20" max="20" width="10.85546875" style="19" bestFit="1" customWidth="1"/>
    <col min="21" max="22" width="10.28515625" style="19" bestFit="1" customWidth="1"/>
    <col min="23" max="23" width="10.5703125" style="19" bestFit="1" customWidth="1"/>
    <col min="24" max="24" width="10.5703125" style="19" customWidth="1"/>
    <col min="25" max="25" width="10.5703125" style="140" customWidth="1"/>
    <col min="26" max="26" width="13.85546875" style="19" bestFit="1" customWidth="1"/>
    <col min="27" max="16384" width="9.140625" style="19"/>
  </cols>
  <sheetData>
    <row r="2" spans="2:26">
      <c r="B2" s="261" t="s">
        <v>738</v>
      </c>
      <c r="C2" s="261"/>
      <c r="D2" s="261"/>
      <c r="E2" s="261"/>
      <c r="F2" s="61"/>
      <c r="G2" s="61"/>
      <c r="H2" s="61"/>
      <c r="I2" s="61"/>
      <c r="J2" s="61"/>
      <c r="K2" s="61"/>
      <c r="M2" s="61"/>
      <c r="N2" s="61"/>
      <c r="O2" s="261" t="s">
        <v>208</v>
      </c>
      <c r="P2" s="18"/>
      <c r="Q2" s="82"/>
      <c r="R2" s="82"/>
      <c r="S2" s="82"/>
      <c r="T2" s="82"/>
      <c r="U2" s="82"/>
      <c r="V2" s="82"/>
      <c r="W2" s="82"/>
      <c r="X2" s="82"/>
      <c r="Y2" s="577"/>
    </row>
    <row r="3" spans="2:26">
      <c r="C3" s="18"/>
      <c r="D3" s="18"/>
      <c r="E3" s="18"/>
      <c r="P3" s="18"/>
      <c r="Q3" s="18"/>
      <c r="R3" s="18"/>
    </row>
    <row r="4" spans="2:26">
      <c r="B4" s="84" t="s">
        <v>75</v>
      </c>
      <c r="C4" s="626" t="s">
        <v>77</v>
      </c>
      <c r="D4" s="627"/>
      <c r="E4" s="628"/>
      <c r="F4" s="626" t="s">
        <v>30</v>
      </c>
      <c r="G4" s="627"/>
      <c r="H4" s="627"/>
      <c r="I4" s="627"/>
      <c r="J4" s="628"/>
      <c r="K4" s="554" t="s">
        <v>187</v>
      </c>
      <c r="L4" s="555"/>
      <c r="M4" s="86"/>
      <c r="O4" s="84" t="s">
        <v>75</v>
      </c>
      <c r="P4" s="626" t="s">
        <v>77</v>
      </c>
      <c r="Q4" s="627"/>
      <c r="R4" s="627"/>
      <c r="S4" s="626" t="s">
        <v>30</v>
      </c>
      <c r="T4" s="627"/>
      <c r="U4" s="627"/>
      <c r="V4" s="627"/>
      <c r="W4" s="628"/>
      <c r="X4" s="554" t="s">
        <v>187</v>
      </c>
      <c r="Y4" s="555"/>
      <c r="Z4" s="86"/>
    </row>
    <row r="5" spans="2:26">
      <c r="B5" s="29" t="s">
        <v>46</v>
      </c>
      <c r="C5" s="18" t="s">
        <v>80</v>
      </c>
      <c r="D5" s="18" t="s">
        <v>44</v>
      </c>
      <c r="E5" s="18" t="s">
        <v>45</v>
      </c>
      <c r="F5" s="18" t="s">
        <v>12</v>
      </c>
      <c r="G5" s="18" t="s">
        <v>13</v>
      </c>
      <c r="H5" s="18" t="s">
        <v>14</v>
      </c>
      <c r="I5" s="18" t="s">
        <v>15</v>
      </c>
      <c r="J5" s="18" t="s">
        <v>16</v>
      </c>
      <c r="K5" s="18" t="s">
        <v>17</v>
      </c>
      <c r="L5" s="154"/>
      <c r="M5" s="18" t="s">
        <v>205</v>
      </c>
      <c r="O5" s="29" t="s">
        <v>46</v>
      </c>
      <c r="P5" s="18" t="s">
        <v>80</v>
      </c>
      <c r="Q5" s="18" t="s">
        <v>44</v>
      </c>
      <c r="R5" s="18" t="s">
        <v>45</v>
      </c>
      <c r="S5" s="18" t="s">
        <v>12</v>
      </c>
      <c r="T5" s="18" t="s">
        <v>13</v>
      </c>
      <c r="U5" s="18" t="s">
        <v>14</v>
      </c>
      <c r="V5" s="18" t="s">
        <v>15</v>
      </c>
      <c r="W5" s="18" t="s">
        <v>16</v>
      </c>
      <c r="X5" s="18" t="s">
        <v>17</v>
      </c>
      <c r="Y5" s="154"/>
      <c r="Z5" s="18" t="s">
        <v>205</v>
      </c>
    </row>
    <row r="6" spans="2:26">
      <c r="B6" s="92" t="s">
        <v>53</v>
      </c>
      <c r="C6" s="109">
        <f>69900</f>
        <v>69900</v>
      </c>
      <c r="D6" s="109">
        <v>70300</v>
      </c>
      <c r="E6" s="109">
        <v>70700</v>
      </c>
      <c r="F6" s="109">
        <v>70400</v>
      </c>
      <c r="G6" s="109">
        <v>72500</v>
      </c>
      <c r="H6" s="109">
        <v>74500</v>
      </c>
      <c r="I6" s="109">
        <v>76200</v>
      </c>
      <c r="J6" s="109">
        <v>78200</v>
      </c>
      <c r="K6" s="124"/>
      <c r="L6" s="207"/>
      <c r="M6" s="110">
        <f>((J6/F6)^(1/4))-1</f>
        <v>2.6617169980077682E-2</v>
      </c>
      <c r="O6" s="92" t="s">
        <v>53</v>
      </c>
      <c r="P6" s="109">
        <v>67421</v>
      </c>
      <c r="Q6" s="109">
        <v>67305</v>
      </c>
      <c r="R6" s="109">
        <v>67951</v>
      </c>
      <c r="S6" s="109">
        <v>65929</v>
      </c>
      <c r="T6" s="109">
        <v>66133</v>
      </c>
      <c r="U6" s="109">
        <v>66111</v>
      </c>
      <c r="V6" s="109">
        <v>70099</v>
      </c>
      <c r="W6" s="109">
        <v>70332</v>
      </c>
      <c r="X6" s="124"/>
      <c r="Y6" s="207"/>
      <c r="Z6" s="110">
        <f>((W6/S6)^(1/4))-1</f>
        <v>1.6293434018858743E-2</v>
      </c>
    </row>
    <row r="7" spans="2:26">
      <c r="B7" s="94" t="s">
        <v>57</v>
      </c>
      <c r="C7" s="112">
        <v>543.6</v>
      </c>
      <c r="D7" s="112">
        <v>603.1</v>
      </c>
      <c r="E7" s="112">
        <v>671.7</v>
      </c>
      <c r="F7" s="112">
        <v>927.7</v>
      </c>
      <c r="G7" s="112">
        <v>1029.2</v>
      </c>
      <c r="H7" s="112">
        <v>1193.5</v>
      </c>
      <c r="I7" s="112">
        <v>1372.9</v>
      </c>
      <c r="J7" s="114">
        <v>1558.8</v>
      </c>
      <c r="K7" s="114"/>
      <c r="L7" s="207"/>
      <c r="M7" s="110">
        <f t="shared" ref="M7:M28" si="0">((J7/F7)^(1/4))-1</f>
        <v>0.13853322838120374</v>
      </c>
      <c r="O7" s="94" t="s">
        <v>57</v>
      </c>
      <c r="P7" s="112">
        <v>532.20000000000005</v>
      </c>
      <c r="Q7" s="112">
        <v>579.6</v>
      </c>
      <c r="R7" s="112">
        <v>639.70000000000005</v>
      </c>
      <c r="S7" s="112">
        <v>886.8</v>
      </c>
      <c r="T7" s="112">
        <v>955.4</v>
      </c>
      <c r="U7" s="112">
        <v>997.5</v>
      </c>
      <c r="V7" s="112">
        <v>1178.5999999999999</v>
      </c>
      <c r="W7" s="112">
        <v>1295.9000000000001</v>
      </c>
      <c r="X7" s="114"/>
      <c r="Y7" s="207"/>
      <c r="Z7" s="110">
        <f t="shared" ref="Z7:Z28" si="1">((W7/S7)^(1/4))-1</f>
        <v>9.9477766039189897E-2</v>
      </c>
    </row>
    <row r="8" spans="2:26">
      <c r="B8" s="94" t="s">
        <v>54</v>
      </c>
      <c r="C8" s="112">
        <v>569.6</v>
      </c>
      <c r="D8" s="112">
        <v>595.70000000000005</v>
      </c>
      <c r="E8" s="112">
        <v>624.70000000000005</v>
      </c>
      <c r="F8" s="112">
        <v>720.8</v>
      </c>
      <c r="G8" s="112">
        <v>745.8</v>
      </c>
      <c r="H8" s="112">
        <v>805.1</v>
      </c>
      <c r="I8" s="112">
        <v>856.3</v>
      </c>
      <c r="J8" s="114">
        <v>908.6</v>
      </c>
      <c r="K8" s="114"/>
      <c r="L8" s="207"/>
      <c r="M8" s="110">
        <f t="shared" si="0"/>
        <v>5.9593995626212592E-2</v>
      </c>
      <c r="O8" s="94" t="s">
        <v>54</v>
      </c>
      <c r="P8" s="112">
        <v>608.9</v>
      </c>
      <c r="Q8" s="112">
        <v>616.29999999999995</v>
      </c>
      <c r="R8" s="112">
        <v>638.5</v>
      </c>
      <c r="S8" s="112">
        <v>742.9</v>
      </c>
      <c r="T8" s="112">
        <v>787.5</v>
      </c>
      <c r="U8" s="112">
        <v>856.1</v>
      </c>
      <c r="V8" s="112">
        <v>895.5</v>
      </c>
      <c r="W8" s="112">
        <v>929.5</v>
      </c>
      <c r="X8" s="114"/>
      <c r="Y8" s="207"/>
      <c r="Z8" s="110">
        <f t="shared" si="1"/>
        <v>5.7620253377389963E-2</v>
      </c>
    </row>
    <row r="9" spans="2:26">
      <c r="B9" s="94" t="s">
        <v>58</v>
      </c>
      <c r="C9" s="112">
        <v>1113.2</v>
      </c>
      <c r="D9" s="112">
        <v>198.8</v>
      </c>
      <c r="E9" s="112">
        <v>1296.4000000000001</v>
      </c>
      <c r="F9" s="112">
        <v>1648.5</v>
      </c>
      <c r="G9" s="112">
        <v>1775</v>
      </c>
      <c r="H9" s="112">
        <v>1998.6</v>
      </c>
      <c r="I9" s="112">
        <v>2229.1999999999998</v>
      </c>
      <c r="J9" s="114">
        <v>2467.5</v>
      </c>
      <c r="K9" s="114"/>
      <c r="L9" s="207"/>
      <c r="M9" s="110">
        <f t="shared" si="0"/>
        <v>0.10609404065109862</v>
      </c>
      <c r="O9" s="94" t="s">
        <v>58</v>
      </c>
      <c r="P9" s="112">
        <v>1141.0999999999999</v>
      </c>
      <c r="Q9" s="112">
        <v>1195.9000000000001</v>
      </c>
      <c r="R9" s="112">
        <v>1278.2</v>
      </c>
      <c r="S9" s="112">
        <v>1629.7</v>
      </c>
      <c r="T9" s="112">
        <v>1742.9</v>
      </c>
      <c r="U9" s="112">
        <v>1853.6</v>
      </c>
      <c r="V9" s="112">
        <v>2074.1</v>
      </c>
      <c r="W9" s="112">
        <v>2225.4</v>
      </c>
      <c r="X9" s="114"/>
      <c r="Y9" s="207"/>
      <c r="Z9" s="110">
        <f t="shared" si="1"/>
        <v>8.0998532898434394E-2</v>
      </c>
    </row>
    <row r="10" spans="2:26">
      <c r="B10" s="94" t="s">
        <v>55</v>
      </c>
      <c r="C10" s="112">
        <v>490.7</v>
      </c>
      <c r="D10" s="112">
        <v>511.9</v>
      </c>
      <c r="E10" s="112">
        <v>541.5</v>
      </c>
      <c r="F10" s="112">
        <v>876</v>
      </c>
      <c r="G10" s="112">
        <v>865.4</v>
      </c>
      <c r="H10" s="112">
        <v>912.6</v>
      </c>
      <c r="I10" s="112">
        <v>962.4</v>
      </c>
      <c r="J10" s="112">
        <v>1000.2</v>
      </c>
      <c r="K10" s="112"/>
      <c r="L10" s="155"/>
      <c r="M10" s="110">
        <f t="shared" si="0"/>
        <v>3.3702784191797841E-2</v>
      </c>
      <c r="O10" s="94" t="s">
        <v>55</v>
      </c>
      <c r="P10" s="112">
        <v>554.1</v>
      </c>
      <c r="Q10" s="112">
        <v>599.79999999999995</v>
      </c>
      <c r="R10" s="112">
        <v>772.7</v>
      </c>
      <c r="S10" s="112">
        <v>969</v>
      </c>
      <c r="T10" s="112">
        <v>956.5</v>
      </c>
      <c r="U10" s="112">
        <v>950.5</v>
      </c>
      <c r="V10" s="112">
        <v>1001</v>
      </c>
      <c r="W10" s="112">
        <v>1027.7</v>
      </c>
      <c r="X10" s="112"/>
      <c r="Y10" s="155"/>
      <c r="Z10" s="110">
        <f t="shared" si="1"/>
        <v>1.4812118755178849E-2</v>
      </c>
    </row>
    <row r="11" spans="2:26">
      <c r="B11" s="94" t="s">
        <v>76</v>
      </c>
      <c r="C11" s="112">
        <v>184.7</v>
      </c>
      <c r="D11" s="112">
        <v>196.9</v>
      </c>
      <c r="E11" s="112">
        <v>218.5</v>
      </c>
      <c r="F11" s="112">
        <v>421.1</v>
      </c>
      <c r="G11" s="112">
        <v>434</v>
      </c>
      <c r="H11" s="112">
        <v>480.1</v>
      </c>
      <c r="I11" s="112">
        <v>517.4</v>
      </c>
      <c r="J11" s="114">
        <v>572.6</v>
      </c>
      <c r="K11" s="114"/>
      <c r="L11" s="207"/>
      <c r="M11" s="110">
        <f t="shared" si="0"/>
        <v>7.9857690473687404E-2</v>
      </c>
      <c r="O11" s="94" t="s">
        <v>76</v>
      </c>
      <c r="P11" s="112">
        <v>184.7</v>
      </c>
      <c r="Q11" s="112">
        <v>196.9</v>
      </c>
      <c r="R11" s="112">
        <v>218.5</v>
      </c>
      <c r="S11" s="112">
        <v>421.1</v>
      </c>
      <c r="T11" s="112">
        <v>434</v>
      </c>
      <c r="U11" s="112">
        <v>480.1</v>
      </c>
      <c r="V11" s="112">
        <v>517.4</v>
      </c>
      <c r="W11" s="112">
        <v>572.6</v>
      </c>
      <c r="X11" s="114"/>
      <c r="Y11" s="207"/>
      <c r="Z11" s="110">
        <f t="shared" si="1"/>
        <v>7.9857690473687404E-2</v>
      </c>
    </row>
    <row r="12" spans="2:26">
      <c r="B12" s="94" t="s">
        <v>59</v>
      </c>
      <c r="C12" s="112">
        <v>675.4</v>
      </c>
      <c r="D12" s="112">
        <v>708.8</v>
      </c>
      <c r="E12" s="112">
        <v>760</v>
      </c>
      <c r="F12" s="112">
        <v>1297.0999999999999</v>
      </c>
      <c r="G12" s="112">
        <v>1229.4000000000001</v>
      </c>
      <c r="H12" s="112">
        <v>1392.7</v>
      </c>
      <c r="I12" s="112">
        <v>1479.8</v>
      </c>
      <c r="J12" s="114">
        <v>1572.8</v>
      </c>
      <c r="K12" s="114"/>
      <c r="L12" s="207"/>
      <c r="M12" s="110">
        <f t="shared" si="0"/>
        <v>4.9361219605533524E-2</v>
      </c>
      <c r="O12" s="94" t="s">
        <v>59</v>
      </c>
      <c r="P12" s="112">
        <v>738.8</v>
      </c>
      <c r="Q12" s="112">
        <v>796.7</v>
      </c>
      <c r="R12" s="112">
        <v>991.2</v>
      </c>
      <c r="S12" s="112">
        <v>1390.1</v>
      </c>
      <c r="T12" s="112">
        <v>1390.5</v>
      </c>
      <c r="U12" s="112">
        <v>1430.6</v>
      </c>
      <c r="V12" s="112">
        <v>1518.4</v>
      </c>
      <c r="W12" s="112">
        <v>1600.3</v>
      </c>
      <c r="X12" s="114"/>
      <c r="Y12" s="207"/>
      <c r="Z12" s="110">
        <f t="shared" si="1"/>
        <v>3.5830847784422026E-2</v>
      </c>
    </row>
    <row r="13" spans="2:26">
      <c r="B13" s="94"/>
      <c r="C13" s="112"/>
      <c r="D13" s="112"/>
      <c r="E13" s="112"/>
      <c r="F13" s="112"/>
      <c r="G13" s="112"/>
      <c r="H13" s="112"/>
      <c r="I13" s="112"/>
      <c r="J13" s="114"/>
      <c r="K13" s="114"/>
      <c r="L13" s="207"/>
      <c r="M13" s="110"/>
      <c r="O13" s="94"/>
      <c r="P13" s="112"/>
      <c r="Q13" s="112"/>
      <c r="R13" s="112"/>
      <c r="S13" s="112"/>
      <c r="T13" s="112"/>
      <c r="U13" s="112"/>
      <c r="V13" s="112"/>
      <c r="W13" s="112"/>
      <c r="X13" s="114"/>
      <c r="Y13" s="207"/>
      <c r="Z13" s="110"/>
    </row>
    <row r="14" spans="2:26">
      <c r="B14" s="94" t="s">
        <v>201</v>
      </c>
      <c r="C14" s="112">
        <v>437.8</v>
      </c>
      <c r="D14" s="112">
        <v>490</v>
      </c>
      <c r="E14" s="112">
        <v>536.4</v>
      </c>
      <c r="F14" s="112">
        <v>351.4</v>
      </c>
      <c r="G14" s="112">
        <v>475.6</v>
      </c>
      <c r="H14" s="112">
        <v>605.9</v>
      </c>
      <c r="I14" s="112">
        <v>749.4</v>
      </c>
      <c r="J14" s="114">
        <v>894.7</v>
      </c>
      <c r="K14" s="114"/>
      <c r="L14" s="207"/>
      <c r="M14" s="110">
        <f t="shared" si="0"/>
        <v>0.26319070129165811</v>
      </c>
      <c r="O14" s="94" t="s">
        <v>201</v>
      </c>
      <c r="P14" s="112">
        <v>402.3</v>
      </c>
      <c r="Q14" s="112">
        <v>399.2</v>
      </c>
      <c r="R14" s="112">
        <v>287</v>
      </c>
      <c r="S14" s="112">
        <v>239.6</v>
      </c>
      <c r="T14" s="112">
        <v>352.4</v>
      </c>
      <c r="U14" s="112">
        <v>423</v>
      </c>
      <c r="V14" s="112">
        <v>555.70000000000005</v>
      </c>
      <c r="W14" s="112">
        <v>625.1</v>
      </c>
      <c r="X14" s="114"/>
      <c r="Y14" s="207"/>
      <c r="Z14" s="110">
        <f t="shared" si="1"/>
        <v>0.2709125588012955</v>
      </c>
    </row>
    <row r="15" spans="2:26">
      <c r="B15" s="94" t="s">
        <v>202</v>
      </c>
      <c r="C15" s="112">
        <v>0</v>
      </c>
      <c r="D15" s="112">
        <v>0</v>
      </c>
      <c r="E15" s="112">
        <v>0</v>
      </c>
      <c r="F15" s="112">
        <v>0</v>
      </c>
      <c r="G15" s="112">
        <v>0</v>
      </c>
      <c r="H15" s="112">
        <v>0</v>
      </c>
      <c r="I15" s="112">
        <v>0</v>
      </c>
      <c r="J15" s="114">
        <v>0</v>
      </c>
      <c r="K15" s="114"/>
      <c r="L15" s="207"/>
      <c r="M15" s="110"/>
      <c r="O15" s="94" t="s">
        <v>202</v>
      </c>
      <c r="P15" s="112">
        <v>0</v>
      </c>
      <c r="Q15" s="112">
        <v>0</v>
      </c>
      <c r="R15" s="112">
        <v>0</v>
      </c>
      <c r="S15" s="112">
        <v>0</v>
      </c>
      <c r="T15" s="112">
        <v>197.4</v>
      </c>
      <c r="U15" s="112">
        <v>-115.3</v>
      </c>
      <c r="V15" s="112">
        <v>158.9</v>
      </c>
      <c r="W15" s="112">
        <v>62</v>
      </c>
      <c r="X15" s="114"/>
      <c r="Y15" s="207"/>
      <c r="Z15" s="110"/>
    </row>
    <row r="16" spans="2:26">
      <c r="B16" s="94" t="s">
        <v>56</v>
      </c>
      <c r="C16" s="112">
        <v>437.8</v>
      </c>
      <c r="D16" s="112">
        <v>490</v>
      </c>
      <c r="E16" s="112">
        <v>536.4</v>
      </c>
      <c r="F16" s="112">
        <f>F14-F15</f>
        <v>351.4</v>
      </c>
      <c r="G16" s="112">
        <f>G14-G15</f>
        <v>475.6</v>
      </c>
      <c r="H16" s="112">
        <f>H14-H15</f>
        <v>605.9</v>
      </c>
      <c r="I16" s="112">
        <f>I14-I15</f>
        <v>749.4</v>
      </c>
      <c r="J16" s="114">
        <v>894.7</v>
      </c>
      <c r="K16" s="114"/>
      <c r="L16" s="207"/>
      <c r="M16" s="110">
        <f t="shared" si="0"/>
        <v>0.26319070129165811</v>
      </c>
      <c r="O16" s="94" t="s">
        <v>56</v>
      </c>
      <c r="P16" s="112">
        <v>402.3</v>
      </c>
      <c r="Q16" s="112">
        <v>399.2</v>
      </c>
      <c r="R16" s="112">
        <v>287</v>
      </c>
      <c r="S16" s="112">
        <v>239.6</v>
      </c>
      <c r="T16" s="112">
        <v>155</v>
      </c>
      <c r="U16" s="112">
        <f>U14-U15</f>
        <v>538.29999999999995</v>
      </c>
      <c r="V16" s="112">
        <v>396.8</v>
      </c>
      <c r="W16" s="112">
        <v>563.1</v>
      </c>
      <c r="X16" s="114"/>
      <c r="Y16" s="207"/>
      <c r="Z16" s="110">
        <f t="shared" si="1"/>
        <v>0.23815403812841107</v>
      </c>
    </row>
    <row r="17" spans="2:26">
      <c r="B17" s="94"/>
      <c r="C17" s="112"/>
      <c r="D17" s="112"/>
      <c r="E17" s="112"/>
      <c r="F17" s="112"/>
      <c r="G17" s="112"/>
      <c r="H17" s="112"/>
      <c r="I17" s="112"/>
      <c r="J17" s="114"/>
      <c r="K17" s="114"/>
      <c r="L17" s="207"/>
      <c r="M17" s="110"/>
      <c r="O17" s="94"/>
      <c r="P17" s="112"/>
      <c r="Q17" s="112"/>
      <c r="R17" s="112"/>
      <c r="S17" s="112"/>
      <c r="T17" s="112"/>
      <c r="U17" s="112"/>
      <c r="V17" s="112"/>
      <c r="W17" s="112"/>
      <c r="X17" s="114"/>
      <c r="Y17" s="207"/>
      <c r="Z17" s="110"/>
    </row>
    <row r="18" spans="2:26">
      <c r="B18" s="94" t="s">
        <v>60</v>
      </c>
      <c r="C18" s="112">
        <v>1069</v>
      </c>
      <c r="D18" s="112">
        <v>931.3</v>
      </c>
      <c r="E18" s="112">
        <v>975.8</v>
      </c>
      <c r="F18" s="112">
        <v>1099.5999999999999</v>
      </c>
      <c r="G18" s="112">
        <v>1234.5</v>
      </c>
      <c r="H18" s="112">
        <v>1150</v>
      </c>
      <c r="I18" s="112">
        <v>1008.5</v>
      </c>
      <c r="J18" s="114">
        <v>680.4</v>
      </c>
      <c r="K18" s="114"/>
      <c r="L18" s="207"/>
      <c r="M18" s="110">
        <f t="shared" si="0"/>
        <v>-0.11308419649196755</v>
      </c>
      <c r="O18" s="94" t="s">
        <v>60</v>
      </c>
      <c r="P18" s="112">
        <v>1304.5</v>
      </c>
      <c r="Q18" s="112">
        <v>1051.2</v>
      </c>
      <c r="R18" s="112">
        <v>894</v>
      </c>
      <c r="S18" s="112">
        <v>739.9</v>
      </c>
      <c r="T18" s="112">
        <v>804.3</v>
      </c>
      <c r="U18" s="112">
        <v>812</v>
      </c>
      <c r="V18" s="112">
        <v>963.5</v>
      </c>
      <c r="W18" s="112">
        <v>1209.5999999999999</v>
      </c>
      <c r="X18" s="114"/>
      <c r="Y18" s="207"/>
      <c r="Z18" s="110">
        <f t="shared" si="1"/>
        <v>0.13075153951448781</v>
      </c>
    </row>
    <row r="19" spans="2:26">
      <c r="B19" s="94"/>
      <c r="C19" s="112"/>
      <c r="D19" s="112"/>
      <c r="E19" s="112"/>
      <c r="F19" s="112"/>
      <c r="G19" s="112"/>
      <c r="H19" s="112"/>
      <c r="I19" s="112"/>
      <c r="J19" s="114"/>
      <c r="K19" s="114"/>
      <c r="L19" s="207"/>
      <c r="M19" s="110"/>
      <c r="O19" s="94"/>
      <c r="P19" s="112"/>
      <c r="Q19" s="112"/>
      <c r="R19" s="112"/>
      <c r="S19" s="112"/>
      <c r="T19" s="112"/>
      <c r="U19" s="112"/>
      <c r="V19" s="112"/>
      <c r="W19" s="112"/>
      <c r="X19" s="114"/>
      <c r="Y19" s="207"/>
      <c r="Z19" s="110"/>
    </row>
    <row r="20" spans="2:26">
      <c r="B20" s="94" t="s">
        <v>61</v>
      </c>
      <c r="C20" s="112">
        <v>6006.3</v>
      </c>
      <c r="D20" s="112">
        <v>7041.2</v>
      </c>
      <c r="E20" s="112">
        <v>8130</v>
      </c>
      <c r="F20" s="112">
        <v>9232.6</v>
      </c>
      <c r="G20" s="112">
        <v>10096.700000000001</v>
      </c>
      <c r="H20" s="112">
        <v>11539.1</v>
      </c>
      <c r="I20" s="112">
        <v>12973.9</v>
      </c>
      <c r="J20" s="114">
        <v>13996.3</v>
      </c>
      <c r="K20" s="114"/>
      <c r="L20" s="207"/>
      <c r="M20" s="110">
        <f t="shared" si="0"/>
        <v>0.10961496580568819</v>
      </c>
      <c r="O20" s="94" t="s">
        <v>61</v>
      </c>
      <c r="P20" s="112">
        <v>6327.5</v>
      </c>
      <c r="Q20" s="112">
        <v>7596.6</v>
      </c>
      <c r="R20" s="112">
        <v>8834.2000000000007</v>
      </c>
      <c r="S20" s="112">
        <v>9232.6</v>
      </c>
      <c r="T20" s="112">
        <v>9742.9</v>
      </c>
      <c r="U20" s="112">
        <v>10728.5</v>
      </c>
      <c r="V20" s="112">
        <v>11773</v>
      </c>
      <c r="W20" s="112">
        <v>12705.3</v>
      </c>
      <c r="X20" s="114"/>
      <c r="Y20" s="207"/>
      <c r="Z20" s="110">
        <f t="shared" si="1"/>
        <v>8.3091695583980441E-2</v>
      </c>
    </row>
    <row r="21" spans="2:26">
      <c r="B21" s="94"/>
      <c r="C21" s="112"/>
      <c r="D21" s="112"/>
      <c r="E21" s="112"/>
      <c r="F21" s="112"/>
      <c r="G21" s="112"/>
      <c r="H21" s="112"/>
      <c r="I21" s="112"/>
      <c r="J21" s="114"/>
      <c r="K21" s="114"/>
      <c r="L21" s="207"/>
      <c r="M21" s="110"/>
      <c r="O21" s="94"/>
      <c r="P21" s="112"/>
      <c r="Q21" s="112"/>
      <c r="R21" s="112"/>
      <c r="S21" s="112"/>
      <c r="T21" s="112"/>
      <c r="U21" s="112"/>
      <c r="V21" s="112"/>
      <c r="W21" s="112"/>
      <c r="X21" s="114"/>
      <c r="Y21" s="207"/>
      <c r="Z21" s="110"/>
    </row>
    <row r="22" spans="2:26">
      <c r="B22" s="94" t="s">
        <v>63</v>
      </c>
      <c r="C22" s="112">
        <v>7041.2</v>
      </c>
      <c r="D22" s="112">
        <v>8130</v>
      </c>
      <c r="E22" s="112">
        <v>9776.2999999999993</v>
      </c>
      <c r="F22" s="112">
        <v>10096.700000000001</v>
      </c>
      <c r="G22" s="112">
        <v>11539.1</v>
      </c>
      <c r="H22" s="112">
        <v>12973.9</v>
      </c>
      <c r="I22" s="112">
        <v>13996.3</v>
      </c>
      <c r="J22" s="114">
        <v>14523.4</v>
      </c>
      <c r="K22" s="114"/>
      <c r="L22" s="207"/>
      <c r="M22" s="110">
        <f t="shared" si="0"/>
        <v>9.5146479982104237E-2</v>
      </c>
      <c r="O22" s="94" t="s">
        <v>63</v>
      </c>
      <c r="P22" s="112">
        <v>7596.6</v>
      </c>
      <c r="Q22" s="112">
        <v>8834.2000000000007</v>
      </c>
      <c r="R22" s="112">
        <v>9776.2999999999993</v>
      </c>
      <c r="S22" s="112">
        <v>9742.9</v>
      </c>
      <c r="T22" s="112">
        <v>10728.5</v>
      </c>
      <c r="U22" s="112">
        <v>11773</v>
      </c>
      <c r="V22" s="112">
        <v>12705.3</v>
      </c>
      <c r="W22" s="112">
        <v>13727.9</v>
      </c>
      <c r="X22" s="114"/>
      <c r="Y22" s="207"/>
      <c r="Z22" s="110">
        <f t="shared" si="1"/>
        <v>8.9504342242289647E-2</v>
      </c>
    </row>
    <row r="23" spans="2:26">
      <c r="B23" s="94"/>
      <c r="C23" s="112"/>
      <c r="D23" s="112"/>
      <c r="E23" s="112"/>
      <c r="F23" s="112"/>
      <c r="G23" s="112"/>
      <c r="H23" s="112"/>
      <c r="I23" s="112"/>
      <c r="J23" s="114"/>
      <c r="K23" s="114"/>
      <c r="L23" s="207"/>
      <c r="M23" s="110"/>
      <c r="O23" s="94"/>
      <c r="P23" s="112"/>
      <c r="Q23" s="112"/>
      <c r="R23" s="112"/>
      <c r="S23" s="112"/>
      <c r="T23" s="112"/>
      <c r="U23" s="112"/>
      <c r="V23" s="112"/>
      <c r="W23" s="112"/>
      <c r="X23" s="114"/>
      <c r="Y23" s="207"/>
      <c r="Z23" s="110"/>
    </row>
    <row r="24" spans="2:26">
      <c r="B24" s="94" t="s">
        <v>62</v>
      </c>
      <c r="C24" s="112">
        <v>6514.1</v>
      </c>
      <c r="D24" s="112">
        <v>7575.4</v>
      </c>
      <c r="E24" s="112">
        <v>8937.7999999999993</v>
      </c>
      <c r="F24" s="112">
        <v>9664.7000000000007</v>
      </c>
      <c r="G24" s="112">
        <v>10817.9</v>
      </c>
      <c r="H24" s="112">
        <v>12256.5</v>
      </c>
      <c r="I24" s="112">
        <v>13485.1</v>
      </c>
      <c r="J24" s="114">
        <v>14259.9</v>
      </c>
      <c r="K24" s="114"/>
      <c r="L24" s="207"/>
      <c r="M24" s="110">
        <f t="shared" si="0"/>
        <v>0.10212797361841375</v>
      </c>
      <c r="O24" s="94" t="s">
        <v>62</v>
      </c>
      <c r="P24" s="112">
        <v>6950.2</v>
      </c>
      <c r="Q24" s="112">
        <v>8203.7999999999993</v>
      </c>
      <c r="R24" s="112">
        <v>9296.5</v>
      </c>
      <c r="S24" s="112">
        <v>9487.7999999999993</v>
      </c>
      <c r="T24" s="112">
        <v>10235.700000000001</v>
      </c>
      <c r="U24" s="112">
        <v>11250.7</v>
      </c>
      <c r="V24" s="112">
        <v>12239.1</v>
      </c>
      <c r="W24" s="112">
        <v>13216.6</v>
      </c>
      <c r="X24" s="114"/>
      <c r="Y24" s="207"/>
      <c r="Z24" s="110">
        <f t="shared" si="1"/>
        <v>8.6396996433927065E-2</v>
      </c>
    </row>
    <row r="25" spans="2:26">
      <c r="B25" s="94"/>
      <c r="C25" s="114"/>
      <c r="D25" s="114"/>
      <c r="E25" s="112"/>
      <c r="F25" s="114"/>
      <c r="G25" s="114"/>
      <c r="H25" s="114"/>
      <c r="I25" s="114"/>
      <c r="J25" s="114"/>
      <c r="K25" s="114"/>
      <c r="L25" s="207"/>
      <c r="M25" s="110"/>
      <c r="O25" s="94"/>
      <c r="P25" s="114"/>
      <c r="Q25" s="114"/>
      <c r="R25" s="114"/>
      <c r="S25" s="114"/>
      <c r="T25" s="114"/>
      <c r="U25" s="114"/>
      <c r="V25" s="114"/>
      <c r="W25" s="114"/>
      <c r="X25" s="114"/>
      <c r="Y25" s="207"/>
      <c r="Z25" s="110"/>
    </row>
    <row r="26" spans="2:26">
      <c r="B26" s="94" t="s">
        <v>203</v>
      </c>
      <c r="C26" s="114">
        <v>6.7</v>
      </c>
      <c r="D26" s="114">
        <v>6.5</v>
      </c>
      <c r="E26" s="112">
        <v>6</v>
      </c>
      <c r="F26" s="114">
        <v>3.6</v>
      </c>
      <c r="G26" s="114">
        <v>4.4000000000000004</v>
      </c>
      <c r="H26" s="114">
        <v>4.9000000000000004</v>
      </c>
      <c r="I26" s="114">
        <v>5.6</v>
      </c>
      <c r="J26" s="114">
        <v>6.3</v>
      </c>
      <c r="K26" s="114"/>
      <c r="L26" s="207"/>
      <c r="M26" s="110">
        <f t="shared" si="0"/>
        <v>0.15016331689560292</v>
      </c>
      <c r="O26" s="94" t="s">
        <v>203</v>
      </c>
      <c r="P26" s="114">
        <v>5.8</v>
      </c>
      <c r="Q26" s="114">
        <v>4.9000000000000004</v>
      </c>
      <c r="R26" s="114">
        <v>3.1</v>
      </c>
      <c r="S26" s="114">
        <v>2.5</v>
      </c>
      <c r="T26" s="114">
        <v>3.4</v>
      </c>
      <c r="U26" s="114">
        <v>3.8</v>
      </c>
      <c r="V26" s="114">
        <v>4.5</v>
      </c>
      <c r="W26" s="114">
        <v>4.7</v>
      </c>
      <c r="X26" s="114"/>
      <c r="Y26" s="207"/>
      <c r="Z26" s="110">
        <f t="shared" si="1"/>
        <v>0.17095299652898488</v>
      </c>
    </row>
    <row r="27" spans="2:26">
      <c r="B27" s="94"/>
      <c r="C27" s="114"/>
      <c r="D27" s="114"/>
      <c r="E27" s="112"/>
      <c r="F27" s="114"/>
      <c r="G27" s="114"/>
      <c r="H27" s="114"/>
      <c r="I27" s="114"/>
      <c r="J27" s="114"/>
      <c r="K27" s="114"/>
      <c r="L27" s="207"/>
      <c r="M27" s="110"/>
      <c r="O27" s="94"/>
      <c r="P27" s="114"/>
      <c r="Q27" s="114"/>
      <c r="R27" s="114"/>
      <c r="S27" s="114"/>
      <c r="T27" s="114"/>
      <c r="U27" s="114"/>
      <c r="V27" s="114"/>
      <c r="W27" s="114"/>
      <c r="X27" s="114"/>
      <c r="Y27" s="207"/>
      <c r="Z27" s="110"/>
    </row>
    <row r="28" spans="2:26">
      <c r="B28" s="94" t="s">
        <v>64</v>
      </c>
      <c r="C28" s="114">
        <v>6.7</v>
      </c>
      <c r="D28" s="114">
        <v>6.5</v>
      </c>
      <c r="E28" s="112">
        <v>6</v>
      </c>
      <c r="F28" s="114">
        <v>3.6</v>
      </c>
      <c r="G28" s="114">
        <v>4.4000000000000004</v>
      </c>
      <c r="H28" s="114">
        <v>4.9000000000000004</v>
      </c>
      <c r="I28" s="114">
        <v>5.6</v>
      </c>
      <c r="J28" s="114">
        <v>6.3</v>
      </c>
      <c r="K28" s="114"/>
      <c r="L28" s="207"/>
      <c r="M28" s="113">
        <f t="shared" si="0"/>
        <v>0.15016331689560292</v>
      </c>
      <c r="O28" s="94" t="s">
        <v>64</v>
      </c>
      <c r="P28" s="114">
        <v>5.8</v>
      </c>
      <c r="Q28" s="114">
        <v>4.9000000000000004</v>
      </c>
      <c r="R28" s="114">
        <v>3.1</v>
      </c>
      <c r="S28" s="114">
        <v>2.5</v>
      </c>
      <c r="T28" s="114">
        <v>1.5</v>
      </c>
      <c r="U28" s="114">
        <v>4.8</v>
      </c>
      <c r="V28" s="114">
        <v>3.2</v>
      </c>
      <c r="W28" s="114">
        <v>4.3</v>
      </c>
      <c r="X28" s="114"/>
      <c r="Y28" s="207"/>
      <c r="Z28" s="113">
        <f t="shared" si="1"/>
        <v>0.14520203669937648</v>
      </c>
    </row>
    <row r="29" spans="2:26">
      <c r="C29" s="21"/>
      <c r="D29" s="21"/>
      <c r="E29" s="30"/>
      <c r="F29" s="21"/>
      <c r="G29" s="21"/>
      <c r="H29" s="21"/>
      <c r="I29" s="21"/>
      <c r="J29" s="21"/>
      <c r="K29" s="21"/>
      <c r="L29" s="207"/>
      <c r="M29" s="31"/>
      <c r="P29" s="21"/>
      <c r="Q29" s="21"/>
      <c r="R29" s="21"/>
      <c r="S29" s="21"/>
      <c r="T29" s="21"/>
      <c r="U29" s="21"/>
      <c r="V29" s="21"/>
      <c r="W29" s="21"/>
      <c r="X29" s="21"/>
      <c r="Y29" s="207"/>
      <c r="Z29" s="31"/>
    </row>
    <row r="30" spans="2:26">
      <c r="B30" s="84" t="s">
        <v>214</v>
      </c>
      <c r="C30" s="626" t="s">
        <v>77</v>
      </c>
      <c r="D30" s="627"/>
      <c r="E30" s="628"/>
      <c r="F30" s="626" t="s">
        <v>30</v>
      </c>
      <c r="G30" s="627"/>
      <c r="H30" s="627"/>
      <c r="I30" s="627"/>
      <c r="J30" s="628"/>
      <c r="K30" s="554" t="s">
        <v>187</v>
      </c>
      <c r="L30" s="555"/>
      <c r="M30" s="89"/>
      <c r="O30" s="84" t="s">
        <v>211</v>
      </c>
      <c r="P30" s="626" t="s">
        <v>77</v>
      </c>
      <c r="Q30" s="627"/>
      <c r="R30" s="628"/>
      <c r="S30" s="626" t="s">
        <v>30</v>
      </c>
      <c r="T30" s="627"/>
      <c r="U30" s="627"/>
      <c r="V30" s="627"/>
      <c r="W30" s="628"/>
      <c r="X30" s="554" t="s">
        <v>187</v>
      </c>
      <c r="Y30" s="555"/>
      <c r="Z30" s="89"/>
    </row>
    <row r="31" spans="2:26">
      <c r="B31" s="29" t="s">
        <v>46</v>
      </c>
      <c r="C31" s="18" t="s">
        <v>80</v>
      </c>
      <c r="D31" s="18" t="s">
        <v>44</v>
      </c>
      <c r="E31" s="18" t="s">
        <v>45</v>
      </c>
      <c r="F31" s="18" t="s">
        <v>12</v>
      </c>
      <c r="G31" s="18" t="s">
        <v>13</v>
      </c>
      <c r="H31" s="18" t="s">
        <v>14</v>
      </c>
      <c r="I31" s="18" t="s">
        <v>15</v>
      </c>
      <c r="J31" s="18" t="s">
        <v>16</v>
      </c>
      <c r="K31" s="18" t="s">
        <v>17</v>
      </c>
      <c r="L31" s="154"/>
      <c r="M31" s="18" t="s">
        <v>205</v>
      </c>
      <c r="O31" s="29" t="s">
        <v>46</v>
      </c>
      <c r="P31" s="18" t="s">
        <v>80</v>
      </c>
      <c r="Q31" s="18" t="s">
        <v>44</v>
      </c>
      <c r="R31" s="18" t="s">
        <v>45</v>
      </c>
      <c r="S31" s="18" t="s">
        <v>12</v>
      </c>
      <c r="T31" s="18" t="s">
        <v>13</v>
      </c>
      <c r="U31" s="18" t="s">
        <v>14</v>
      </c>
      <c r="V31" s="18" t="s">
        <v>15</v>
      </c>
      <c r="W31" s="18" t="s">
        <v>16</v>
      </c>
      <c r="X31" s="18" t="s">
        <v>17</v>
      </c>
      <c r="Y31" s="154"/>
      <c r="Z31" s="18" t="s">
        <v>205</v>
      </c>
    </row>
    <row r="32" spans="2:26">
      <c r="B32" s="92" t="s">
        <v>41</v>
      </c>
      <c r="C32" s="108"/>
      <c r="D32" s="108"/>
      <c r="E32" s="109"/>
      <c r="F32" s="109">
        <f>249.7</f>
        <v>249.7</v>
      </c>
      <c r="G32" s="109">
        <f>244.6</f>
        <v>244.6</v>
      </c>
      <c r="H32" s="109">
        <v>253.2</v>
      </c>
      <c r="I32" s="109">
        <v>261.5</v>
      </c>
      <c r="J32" s="109">
        <f>[1]Sheet1!H11/1000</f>
        <v>267.78725205719724</v>
      </c>
      <c r="K32" s="109">
        <v>267.39999999999998</v>
      </c>
      <c r="L32" s="155"/>
      <c r="M32" s="110">
        <f>((J32/F32)^(1/4))-1</f>
        <v>1.76368830584821E-2</v>
      </c>
      <c r="O32" s="92" t="s">
        <v>41</v>
      </c>
      <c r="P32" s="108"/>
      <c r="Q32" s="108"/>
      <c r="R32" s="124"/>
      <c r="S32" s="109">
        <v>262</v>
      </c>
      <c r="T32" s="109">
        <v>231.5</v>
      </c>
      <c r="U32" s="109">
        <v>247</v>
      </c>
      <c r="V32" s="109">
        <v>270.39999999999998</v>
      </c>
      <c r="W32" s="109">
        <v>328.4</v>
      </c>
      <c r="X32" s="124"/>
      <c r="Y32" s="207"/>
      <c r="Z32" s="110">
        <f>((W32/S32)^(1/4))-1</f>
        <v>5.8096954291377623E-2</v>
      </c>
    </row>
    <row r="33" spans="2:26">
      <c r="B33" s="94" t="s">
        <v>65</v>
      </c>
      <c r="C33" s="111"/>
      <c r="D33" s="111"/>
      <c r="E33" s="112"/>
      <c r="F33" s="112">
        <v>72.099999999999994</v>
      </c>
      <c r="G33" s="112">
        <v>106.4</v>
      </c>
      <c r="H33" s="112">
        <v>111.4</v>
      </c>
      <c r="I33" s="112">
        <v>115.3</v>
      </c>
      <c r="J33" s="112">
        <f>[1]Sheet1!H12/1000</f>
        <v>117.97343472697924</v>
      </c>
      <c r="K33" s="112">
        <v>124.1</v>
      </c>
      <c r="L33" s="155"/>
      <c r="M33" s="110">
        <f t="shared" ref="M33:M46" si="2">((J33/F33)^(1/4))-1</f>
        <v>0.13099904907285143</v>
      </c>
      <c r="O33" s="94" t="s">
        <v>65</v>
      </c>
      <c r="P33" s="111"/>
      <c r="Q33" s="111"/>
      <c r="R33" s="114"/>
      <c r="S33" s="112">
        <v>116.6</v>
      </c>
      <c r="T33" s="112">
        <v>121.3</v>
      </c>
      <c r="U33" s="112">
        <v>105.1</v>
      </c>
      <c r="V33" s="112">
        <v>118</v>
      </c>
      <c r="W33" s="112">
        <v>126.9</v>
      </c>
      <c r="X33" s="114"/>
      <c r="Y33" s="207"/>
      <c r="Z33" s="110">
        <f t="shared" ref="Z33:Z46" si="3">((W33/S33)^(1/4))-1</f>
        <v>2.1388039444959484E-2</v>
      </c>
    </row>
    <row r="34" spans="2:26">
      <c r="B34" s="94" t="s">
        <v>66</v>
      </c>
      <c r="C34" s="111"/>
      <c r="D34" s="111"/>
      <c r="E34" s="112"/>
      <c r="F34" s="112">
        <v>98</v>
      </c>
      <c r="G34" s="112">
        <v>97.7</v>
      </c>
      <c r="H34" s="112">
        <v>103.1</v>
      </c>
      <c r="I34" s="112">
        <v>109.3</v>
      </c>
      <c r="J34" s="112">
        <f>[1]Sheet1!H13/1000</f>
        <v>119.16630901964137</v>
      </c>
      <c r="K34" s="112">
        <v>119.4</v>
      </c>
      <c r="L34" s="155"/>
      <c r="M34" s="110">
        <f t="shared" si="2"/>
        <v>5.0102888471475593E-2</v>
      </c>
      <c r="O34" s="94" t="s">
        <v>66</v>
      </c>
      <c r="P34" s="111"/>
      <c r="Q34" s="111"/>
      <c r="R34" s="114"/>
      <c r="S34" s="112">
        <v>104.1</v>
      </c>
      <c r="T34" s="112">
        <v>110.6</v>
      </c>
      <c r="U34" s="112">
        <v>104.2</v>
      </c>
      <c r="V34" s="112">
        <v>116.9</v>
      </c>
      <c r="W34" s="112">
        <v>128.6</v>
      </c>
      <c r="X34" s="114"/>
      <c r="Y34" s="207"/>
      <c r="Z34" s="110">
        <f t="shared" si="3"/>
        <v>5.4259588870234632E-2</v>
      </c>
    </row>
    <row r="35" spans="2:26">
      <c r="B35" s="94" t="s">
        <v>204</v>
      </c>
      <c r="C35" s="111"/>
      <c r="D35" s="111"/>
      <c r="E35" s="112"/>
      <c r="F35" s="112">
        <v>91.3</v>
      </c>
      <c r="G35" s="112">
        <v>92.9</v>
      </c>
      <c r="H35" s="112">
        <v>102.4</v>
      </c>
      <c r="I35" s="112">
        <v>110.6</v>
      </c>
      <c r="J35" s="112">
        <f>[1]Sheet1!H14/1000</f>
        <v>122.32066512773527</v>
      </c>
      <c r="K35" s="112">
        <v>122.5</v>
      </c>
      <c r="L35" s="155"/>
      <c r="M35" s="110">
        <f t="shared" si="2"/>
        <v>7.5863723721556697E-2</v>
      </c>
      <c r="O35" s="94" t="s">
        <v>204</v>
      </c>
      <c r="P35" s="111"/>
      <c r="Q35" s="111"/>
      <c r="R35" s="114"/>
      <c r="S35" s="112">
        <v>83.7</v>
      </c>
      <c r="T35" s="112">
        <v>107.9</v>
      </c>
      <c r="U35" s="112">
        <v>92.7</v>
      </c>
      <c r="V35" s="112">
        <v>89.4</v>
      </c>
      <c r="W35" s="112">
        <v>86.8</v>
      </c>
      <c r="X35" s="114"/>
      <c r="Y35" s="207"/>
      <c r="Z35" s="110">
        <f t="shared" si="3"/>
        <v>9.1333680116969518E-3</v>
      </c>
    </row>
    <row r="36" spans="2:26">
      <c r="B36" s="94" t="s">
        <v>67</v>
      </c>
      <c r="C36" s="111"/>
      <c r="D36" s="111"/>
      <c r="E36" s="112"/>
      <c r="F36" s="112">
        <v>33.1</v>
      </c>
      <c r="G36" s="112">
        <v>35.1</v>
      </c>
      <c r="H36" s="112">
        <v>36.4</v>
      </c>
      <c r="I36" s="112">
        <v>38.9</v>
      </c>
      <c r="J36" s="112">
        <f>[1]Sheet1!H15/1000</f>
        <v>39.795749768403688</v>
      </c>
      <c r="K36" s="112">
        <v>39.799999999999997</v>
      </c>
      <c r="L36" s="155"/>
      <c r="M36" s="110">
        <f t="shared" si="2"/>
        <v>4.713379078190294E-2</v>
      </c>
      <c r="O36" s="94" t="s">
        <v>67</v>
      </c>
      <c r="P36" s="111"/>
      <c r="Q36" s="111"/>
      <c r="R36" s="114"/>
      <c r="S36" s="112">
        <v>33.6</v>
      </c>
      <c r="T36" s="112">
        <v>31.4</v>
      </c>
      <c r="U36" s="112">
        <v>28.1</v>
      </c>
      <c r="V36" s="112">
        <v>28.8</v>
      </c>
      <c r="W36" s="112">
        <v>28.3</v>
      </c>
      <c r="X36" s="114"/>
      <c r="Y36" s="207"/>
      <c r="Z36" s="110">
        <f t="shared" si="3"/>
        <v>-4.2008204821693651E-2</v>
      </c>
    </row>
    <row r="37" spans="2:26">
      <c r="B37" s="94" t="s">
        <v>70</v>
      </c>
      <c r="C37" s="111"/>
      <c r="D37" s="111"/>
      <c r="E37" s="112"/>
      <c r="F37" s="112">
        <v>54.2</v>
      </c>
      <c r="G37" s="112">
        <v>55.3</v>
      </c>
      <c r="H37" s="112">
        <v>59.1</v>
      </c>
      <c r="I37" s="112">
        <v>63.3</v>
      </c>
      <c r="J37" s="112">
        <f>[1]Sheet1!H16/1000</f>
        <v>67.531568163071071</v>
      </c>
      <c r="K37" s="112">
        <v>67.599999999999994</v>
      </c>
      <c r="L37" s="155"/>
      <c r="M37" s="110">
        <f t="shared" si="2"/>
        <v>5.6517967071107789E-2</v>
      </c>
      <c r="O37" s="94" t="s">
        <v>70</v>
      </c>
      <c r="P37" s="111"/>
      <c r="Q37" s="111"/>
      <c r="R37" s="111"/>
      <c r="S37" s="112">
        <v>52.2</v>
      </c>
      <c r="T37" s="112">
        <v>54.3</v>
      </c>
      <c r="U37" s="112">
        <v>57.2</v>
      </c>
      <c r="V37" s="112">
        <v>58.9</v>
      </c>
      <c r="W37" s="112">
        <v>59.1</v>
      </c>
      <c r="X37" s="114"/>
      <c r="Y37" s="207"/>
      <c r="Z37" s="110">
        <f t="shared" si="3"/>
        <v>3.1523780322136874E-2</v>
      </c>
    </row>
    <row r="38" spans="2:26">
      <c r="B38" s="94" t="s">
        <v>68</v>
      </c>
      <c r="C38" s="111"/>
      <c r="D38" s="111"/>
      <c r="E38" s="112"/>
      <c r="F38" s="112">
        <v>176</v>
      </c>
      <c r="G38" s="112">
        <v>129.9</v>
      </c>
      <c r="H38" s="112">
        <v>139.19999999999999</v>
      </c>
      <c r="I38" s="112">
        <v>152</v>
      </c>
      <c r="J38" s="112">
        <f>[1]Sheet1!H17/1000</f>
        <v>149.82851382479097</v>
      </c>
      <c r="K38" s="112">
        <v>145</v>
      </c>
      <c r="L38" s="155"/>
      <c r="M38" s="110">
        <f t="shared" si="2"/>
        <v>-3.9448950233037738E-2</v>
      </c>
      <c r="O38" s="94" t="s">
        <v>68</v>
      </c>
      <c r="P38" s="111"/>
      <c r="Q38" s="111"/>
      <c r="R38" s="111"/>
      <c r="S38" s="112">
        <v>149.30000000000001</v>
      </c>
      <c r="T38" s="112">
        <v>165.2</v>
      </c>
      <c r="U38" s="112">
        <v>148.6</v>
      </c>
      <c r="V38" s="112">
        <v>149.4</v>
      </c>
      <c r="W38" s="112">
        <v>154.19999999999999</v>
      </c>
      <c r="X38" s="114"/>
      <c r="Y38" s="207"/>
      <c r="Z38" s="110">
        <f t="shared" si="3"/>
        <v>8.1058652116772212E-3</v>
      </c>
    </row>
    <row r="39" spans="2:26">
      <c r="B39" s="94" t="s">
        <v>69</v>
      </c>
      <c r="C39" s="111"/>
      <c r="D39" s="111"/>
      <c r="E39" s="112"/>
      <c r="F39" s="112">
        <v>101.6</v>
      </c>
      <c r="G39" s="112">
        <v>103.5</v>
      </c>
      <c r="H39" s="112">
        <v>107.8</v>
      </c>
      <c r="I39" s="112">
        <v>111.5</v>
      </c>
      <c r="J39" s="112">
        <f>[1]Sheet1!H18/1000</f>
        <v>114.23680455797957</v>
      </c>
      <c r="K39" s="112">
        <v>114.4</v>
      </c>
      <c r="L39" s="155"/>
      <c r="M39" s="110">
        <f t="shared" si="2"/>
        <v>2.9741189088212439E-2</v>
      </c>
      <c r="O39" s="94" t="s">
        <v>69</v>
      </c>
      <c r="P39" s="111"/>
      <c r="Q39" s="111"/>
      <c r="R39" s="111"/>
      <c r="S39" s="112">
        <v>151.4</v>
      </c>
      <c r="T39" s="112">
        <v>137.6</v>
      </c>
      <c r="U39" s="112">
        <v>168.3</v>
      </c>
      <c r="V39" s="112">
        <v>172.6</v>
      </c>
      <c r="W39" s="112">
        <v>127.1</v>
      </c>
      <c r="X39" s="114"/>
      <c r="Y39" s="207"/>
      <c r="Z39" s="110">
        <f t="shared" si="3"/>
        <v>-4.2795087401585885E-2</v>
      </c>
    </row>
    <row r="40" spans="2:26">
      <c r="B40" s="94"/>
      <c r="C40" s="111"/>
      <c r="D40" s="111"/>
      <c r="E40" s="112"/>
      <c r="F40" s="112"/>
      <c r="G40" s="112"/>
      <c r="H40" s="112"/>
      <c r="I40" s="112"/>
      <c r="J40" s="112"/>
      <c r="K40" s="112"/>
      <c r="L40" s="155"/>
      <c r="M40" s="110"/>
      <c r="O40" s="94"/>
      <c r="P40" s="111"/>
      <c r="Q40" s="111"/>
      <c r="R40" s="111"/>
      <c r="S40" s="112"/>
      <c r="T40" s="112"/>
      <c r="U40" s="112"/>
      <c r="V40" s="112"/>
      <c r="W40" s="112"/>
      <c r="X40" s="114"/>
      <c r="Y40" s="207"/>
      <c r="Z40" s="110"/>
    </row>
    <row r="41" spans="2:26">
      <c r="B41" s="94" t="s">
        <v>71</v>
      </c>
      <c r="C41" s="111"/>
      <c r="D41" s="111"/>
      <c r="E41" s="112"/>
      <c r="F41" s="112">
        <v>876</v>
      </c>
      <c r="G41" s="112">
        <v>865.4</v>
      </c>
      <c r="H41" s="112">
        <v>912.6</v>
      </c>
      <c r="I41" s="112">
        <v>962.4</v>
      </c>
      <c r="J41" s="112">
        <f>SUM(J32:J39)</f>
        <v>998.64029724579837</v>
      </c>
      <c r="K41" s="112">
        <v>1000.2</v>
      </c>
      <c r="L41" s="155"/>
      <c r="M41" s="110">
        <f t="shared" si="2"/>
        <v>3.329956164950465E-2</v>
      </c>
      <c r="O41" s="94" t="s">
        <v>71</v>
      </c>
      <c r="P41" s="111"/>
      <c r="Q41" s="111"/>
      <c r="R41" s="111"/>
      <c r="S41" s="112">
        <v>952.9</v>
      </c>
      <c r="T41" s="112">
        <v>959.8</v>
      </c>
      <c r="U41" s="112">
        <v>951.2</v>
      </c>
      <c r="V41" s="112">
        <v>1004.4</v>
      </c>
      <c r="W41" s="112">
        <v>1039.5</v>
      </c>
      <c r="X41" s="114"/>
      <c r="Y41" s="207"/>
      <c r="Z41" s="110">
        <f t="shared" si="3"/>
        <v>2.1984459028629555E-2</v>
      </c>
    </row>
    <row r="42" spans="2:26">
      <c r="B42" s="94"/>
      <c r="C42" s="111"/>
      <c r="D42" s="111"/>
      <c r="E42" s="112"/>
      <c r="F42" s="114"/>
      <c r="G42" s="114"/>
      <c r="H42" s="114"/>
      <c r="I42" s="114"/>
      <c r="J42" s="114"/>
      <c r="K42" s="114"/>
      <c r="L42" s="207"/>
      <c r="M42" s="110"/>
      <c r="O42" s="94"/>
      <c r="P42" s="111"/>
      <c r="Q42" s="111"/>
      <c r="R42" s="111"/>
      <c r="S42" s="112"/>
      <c r="T42" s="112"/>
      <c r="U42" s="112"/>
      <c r="V42" s="112"/>
      <c r="W42" s="112"/>
      <c r="X42" s="114"/>
      <c r="Y42" s="207"/>
      <c r="Z42" s="110"/>
    </row>
    <row r="43" spans="2:26">
      <c r="B43" s="94" t="s">
        <v>72</v>
      </c>
      <c r="C43" s="111"/>
      <c r="D43" s="111"/>
      <c r="E43" s="112"/>
      <c r="F43" s="114">
        <v>0</v>
      </c>
      <c r="G43" s="114">
        <v>0</v>
      </c>
      <c r="H43" s="114">
        <v>0</v>
      </c>
      <c r="I43" s="114">
        <v>0</v>
      </c>
      <c r="J43" s="114">
        <v>0</v>
      </c>
      <c r="K43" s="114">
        <v>0</v>
      </c>
      <c r="L43" s="207"/>
      <c r="M43" s="110"/>
      <c r="O43" s="94" t="s">
        <v>72</v>
      </c>
      <c r="P43" s="111"/>
      <c r="Q43" s="111"/>
      <c r="R43" s="111"/>
      <c r="S43" s="112">
        <v>25.5</v>
      </c>
      <c r="T43" s="112">
        <v>0</v>
      </c>
      <c r="U43" s="112">
        <v>0</v>
      </c>
      <c r="V43" s="112">
        <v>0</v>
      </c>
      <c r="W43" s="112">
        <v>0</v>
      </c>
      <c r="X43" s="114"/>
      <c r="Y43" s="207"/>
      <c r="Z43" s="110">
        <f t="shared" si="3"/>
        <v>-1</v>
      </c>
    </row>
    <row r="44" spans="2:26">
      <c r="B44" s="94" t="s">
        <v>73</v>
      </c>
      <c r="C44" s="111"/>
      <c r="D44" s="111"/>
      <c r="E44" s="112"/>
      <c r="F44" s="114">
        <v>0</v>
      </c>
      <c r="G44" s="114">
        <v>0</v>
      </c>
      <c r="H44" s="114">
        <v>0</v>
      </c>
      <c r="I44" s="114">
        <v>0</v>
      </c>
      <c r="J44" s="114">
        <v>0</v>
      </c>
      <c r="K44" s="114">
        <v>0</v>
      </c>
      <c r="L44" s="207"/>
      <c r="M44" s="110"/>
      <c r="O44" s="94" t="s">
        <v>73</v>
      </c>
      <c r="P44" s="111"/>
      <c r="Q44" s="111"/>
      <c r="R44" s="111"/>
      <c r="S44" s="112">
        <v>-9.4</v>
      </c>
      <c r="T44" s="112">
        <v>-3.3</v>
      </c>
      <c r="U44" s="112">
        <v>-0.7</v>
      </c>
      <c r="V44" s="112">
        <v>-3.4</v>
      </c>
      <c r="W44" s="112">
        <v>-11.8</v>
      </c>
      <c r="X44" s="114"/>
      <c r="Y44" s="207"/>
      <c r="Z44" s="110">
        <f t="shared" si="3"/>
        <v>5.8494335935220576E-2</v>
      </c>
    </row>
    <row r="45" spans="2:26">
      <c r="B45" s="94"/>
      <c r="C45" s="111"/>
      <c r="D45" s="111"/>
      <c r="E45" s="112"/>
      <c r="F45" s="114"/>
      <c r="G45" s="114"/>
      <c r="H45" s="114"/>
      <c r="I45" s="114"/>
      <c r="J45" s="114"/>
      <c r="K45" s="114"/>
      <c r="L45" s="207"/>
      <c r="M45" s="110"/>
      <c r="O45" s="94"/>
      <c r="P45" s="111"/>
      <c r="Q45" s="111"/>
      <c r="R45" s="111"/>
      <c r="S45" s="112"/>
      <c r="T45" s="112"/>
      <c r="U45" s="112"/>
      <c r="V45" s="112"/>
      <c r="W45" s="112"/>
      <c r="X45" s="114"/>
      <c r="Y45" s="207"/>
      <c r="Z45" s="113"/>
    </row>
    <row r="46" spans="2:26">
      <c r="B46" s="94" t="s">
        <v>74</v>
      </c>
      <c r="C46" s="111"/>
      <c r="D46" s="111"/>
      <c r="E46" s="112"/>
      <c r="F46" s="112">
        <f>F41-F43-F44</f>
        <v>876</v>
      </c>
      <c r="G46" s="112">
        <f>G41-G43-G44</f>
        <v>865.4</v>
      </c>
      <c r="H46" s="112">
        <f>H41-H43-H44</f>
        <v>912.6</v>
      </c>
      <c r="I46" s="112">
        <f>I41-I43-I44</f>
        <v>962.4</v>
      </c>
      <c r="J46" s="112">
        <f>J41-J43-J44</f>
        <v>998.64029724579837</v>
      </c>
      <c r="K46" s="112">
        <v>1000</v>
      </c>
      <c r="L46" s="155"/>
      <c r="M46" s="113">
        <f t="shared" si="2"/>
        <v>3.329956164950465E-2</v>
      </c>
      <c r="O46" s="94" t="s">
        <v>74</v>
      </c>
      <c r="P46" s="111"/>
      <c r="Q46" s="111"/>
      <c r="R46" s="111"/>
      <c r="S46" s="112">
        <f>S41+S43+S44</f>
        <v>969</v>
      </c>
      <c r="T46" s="112">
        <f t="shared" ref="T46:V46" si="4">T41+T43+T44</f>
        <v>956.5</v>
      </c>
      <c r="U46" s="112">
        <f t="shared" si="4"/>
        <v>950.5</v>
      </c>
      <c r="V46" s="112">
        <f t="shared" si="4"/>
        <v>1001</v>
      </c>
      <c r="W46" s="112">
        <f>W10</f>
        <v>1027.7</v>
      </c>
      <c r="X46" s="114"/>
      <c r="Y46" s="207"/>
      <c r="Z46" s="110">
        <f t="shared" si="3"/>
        <v>1.4812118755178849E-2</v>
      </c>
    </row>
    <row r="47" spans="2:26">
      <c r="E47" s="30"/>
    </row>
    <row r="48" spans="2:26">
      <c r="E48" s="30"/>
    </row>
    <row r="49" spans="2:26">
      <c r="B49" s="389" t="s">
        <v>230</v>
      </c>
      <c r="C49" s="391">
        <f>RPI!$T$103/RPI!$T97</f>
        <v>1.229059681525914</v>
      </c>
      <c r="D49" s="391">
        <f>RPI!$T$103/RPI!$T98</f>
        <v>1.1848323487810966</v>
      </c>
      <c r="E49" s="391">
        <f>RPI!$T$103/RPI!$T99</f>
        <v>1.1378290919260117</v>
      </c>
      <c r="F49" s="391">
        <f>RPI!$T$103/RPI!$T100</f>
        <v>1.1050283231163187</v>
      </c>
      <c r="G49" s="391">
        <f>RPI!$T$103/RPI!$T101</f>
        <v>1.0999922756063651</v>
      </c>
      <c r="H49" s="391">
        <f>RPI!$T$103/RPI!$T102</f>
        <v>1.0479817492732828</v>
      </c>
      <c r="I49" s="391">
        <f>RPI!$T$103/RPI!$T103</f>
        <v>1</v>
      </c>
      <c r="J49" s="391">
        <f>RPI!$T$103/RPI!$V104</f>
        <v>0.97002826879193504</v>
      </c>
      <c r="K49" s="574"/>
      <c r="L49" s="575"/>
      <c r="M49" s="391"/>
      <c r="N49" s="391"/>
      <c r="O49" s="389" t="s">
        <v>230</v>
      </c>
      <c r="P49" s="391">
        <f>RPI!$T$103/RPI!$T97</f>
        <v>1.229059681525914</v>
      </c>
      <c r="Q49" s="391">
        <f>RPI!$T$103/RPI!$T98</f>
        <v>1.1848323487810966</v>
      </c>
      <c r="R49" s="391">
        <f>RPI!$T$103/RPI!$T99</f>
        <v>1.1378290919260117</v>
      </c>
      <c r="S49" s="391">
        <f>RPI!$T$103/RPI!$T100</f>
        <v>1.1050283231163187</v>
      </c>
      <c r="T49" s="391">
        <f>RPI!$T$103/RPI!$T101</f>
        <v>1.0999922756063651</v>
      </c>
      <c r="U49" s="391">
        <f>RPI!$T$103/RPI!$T102</f>
        <v>1.0479817492732828</v>
      </c>
      <c r="V49" s="391">
        <f>RPI!$T$103/RPI!$T103</f>
        <v>1</v>
      </c>
      <c r="W49" s="391">
        <f>RPI!$T$103/RPI!$V104</f>
        <v>0.97002826879193504</v>
      </c>
      <c r="X49" s="576"/>
      <c r="Y49" s="146"/>
      <c r="Z49" s="32"/>
    </row>
    <row r="50" spans="2:26">
      <c r="B50" s="41"/>
      <c r="C50" s="42"/>
      <c r="D50" s="42"/>
      <c r="E50" s="42"/>
      <c r="F50" s="42"/>
      <c r="G50" s="42"/>
      <c r="H50" s="42"/>
      <c r="I50" s="42"/>
      <c r="J50" s="42"/>
      <c r="K50" s="42"/>
      <c r="L50" s="146"/>
      <c r="M50" s="42"/>
      <c r="N50" s="42"/>
      <c r="O50" s="41"/>
      <c r="P50" s="42"/>
      <c r="Q50" s="42"/>
      <c r="R50" s="42"/>
      <c r="S50" s="42"/>
      <c r="T50" s="42"/>
      <c r="U50" s="42"/>
      <c r="V50" s="42"/>
      <c r="W50" s="42"/>
      <c r="X50" s="42"/>
      <c r="Y50" s="146"/>
      <c r="Z50" s="43"/>
    </row>
    <row r="51" spans="2:26">
      <c r="B51" s="261" t="s">
        <v>738</v>
      </c>
      <c r="C51" s="61"/>
      <c r="D51" s="62"/>
      <c r="E51" s="62"/>
      <c r="F51" s="62"/>
      <c r="G51" s="62"/>
      <c r="H51" s="62"/>
      <c r="I51" s="62"/>
      <c r="J51" s="62"/>
      <c r="K51" s="62"/>
      <c r="L51" s="250"/>
      <c r="M51" s="61"/>
      <c r="N51" s="430"/>
      <c r="O51" s="261" t="s">
        <v>208</v>
      </c>
      <c r="P51" s="18"/>
      <c r="Q51" s="18"/>
      <c r="R51" s="18"/>
    </row>
    <row r="52" spans="2:26">
      <c r="E52" s="30"/>
      <c r="N52" s="30"/>
      <c r="P52" s="18"/>
      <c r="Q52" s="18"/>
      <c r="R52" s="18"/>
    </row>
    <row r="53" spans="2:26">
      <c r="B53" s="84" t="s">
        <v>75</v>
      </c>
      <c r="C53" s="626" t="s">
        <v>77</v>
      </c>
      <c r="D53" s="627"/>
      <c r="E53" s="628"/>
      <c r="F53" s="626" t="s">
        <v>30</v>
      </c>
      <c r="G53" s="627"/>
      <c r="H53" s="627"/>
      <c r="I53" s="627"/>
      <c r="J53" s="628"/>
      <c r="K53" s="554" t="s">
        <v>187</v>
      </c>
      <c r="L53" s="555"/>
      <c r="M53" s="86"/>
      <c r="N53" s="30"/>
      <c r="O53" s="84" t="s">
        <v>75</v>
      </c>
      <c r="P53" s="626" t="s">
        <v>77</v>
      </c>
      <c r="Q53" s="627"/>
      <c r="R53" s="628"/>
      <c r="S53" s="626" t="s">
        <v>30</v>
      </c>
      <c r="T53" s="627"/>
      <c r="U53" s="627"/>
      <c r="V53" s="627"/>
      <c r="W53" s="628"/>
      <c r="X53" s="554" t="s">
        <v>187</v>
      </c>
      <c r="Y53" s="555"/>
      <c r="Z53" s="86"/>
    </row>
    <row r="54" spans="2:26">
      <c r="B54" s="29" t="s">
        <v>231</v>
      </c>
      <c r="C54" s="18" t="s">
        <v>80</v>
      </c>
      <c r="D54" s="18" t="s">
        <v>44</v>
      </c>
      <c r="E54" s="18" t="s">
        <v>45</v>
      </c>
      <c r="F54" s="18" t="s">
        <v>12</v>
      </c>
      <c r="G54" s="18" t="s">
        <v>13</v>
      </c>
      <c r="H54" s="18" t="s">
        <v>14</v>
      </c>
      <c r="I54" s="18" t="s">
        <v>15</v>
      </c>
      <c r="J54" s="18" t="s">
        <v>16</v>
      </c>
      <c r="K54" s="18" t="s">
        <v>17</v>
      </c>
      <c r="L54" s="154"/>
      <c r="M54" s="18" t="s">
        <v>205</v>
      </c>
      <c r="O54" s="29" t="s">
        <v>231</v>
      </c>
      <c r="P54" s="18" t="s">
        <v>80</v>
      </c>
      <c r="Q54" s="18" t="s">
        <v>44</v>
      </c>
      <c r="R54" s="18" t="s">
        <v>45</v>
      </c>
      <c r="S54" s="18" t="s">
        <v>12</v>
      </c>
      <c r="T54" s="18" t="s">
        <v>13</v>
      </c>
      <c r="U54" s="18" t="s">
        <v>14</v>
      </c>
      <c r="V54" s="18" t="s">
        <v>15</v>
      </c>
      <c r="W54" s="18" t="s">
        <v>16</v>
      </c>
      <c r="X54" s="18" t="s">
        <v>17</v>
      </c>
      <c r="Y54" s="154"/>
      <c r="Z54" s="18" t="s">
        <v>205</v>
      </c>
    </row>
    <row r="55" spans="2:26">
      <c r="B55" s="92" t="s">
        <v>53</v>
      </c>
      <c r="C55" s="118">
        <f>69900</f>
        <v>69900</v>
      </c>
      <c r="D55" s="118">
        <v>70300</v>
      </c>
      <c r="E55" s="118">
        <v>70700</v>
      </c>
      <c r="F55" s="118">
        <v>70400</v>
      </c>
      <c r="G55" s="118">
        <v>72500</v>
      </c>
      <c r="H55" s="118">
        <v>74500</v>
      </c>
      <c r="I55" s="118">
        <v>76200</v>
      </c>
      <c r="J55" s="118">
        <v>76201</v>
      </c>
      <c r="K55" s="119"/>
      <c r="L55" s="207"/>
      <c r="M55" s="110">
        <f>((J55/F55)^(1/4))-1</f>
        <v>1.9992557499577845E-2</v>
      </c>
      <c r="O55" s="92" t="s">
        <v>53</v>
      </c>
      <c r="P55" s="118">
        <v>67421</v>
      </c>
      <c r="Q55" s="118">
        <v>67305</v>
      </c>
      <c r="R55" s="118">
        <v>67951</v>
      </c>
      <c r="S55" s="118">
        <v>65929</v>
      </c>
      <c r="T55" s="118">
        <v>66133</v>
      </c>
      <c r="U55" s="118">
        <v>66111</v>
      </c>
      <c r="V55" s="118">
        <v>70099</v>
      </c>
      <c r="W55" s="118">
        <v>70100</v>
      </c>
      <c r="X55" s="119"/>
      <c r="Y55" s="207"/>
      <c r="Z55" s="110">
        <f>((W55/S55)^(1/4))-1</f>
        <v>1.5454298572547653E-2</v>
      </c>
    </row>
    <row r="56" spans="2:26">
      <c r="B56" s="94" t="s">
        <v>57</v>
      </c>
      <c r="C56" s="120">
        <f>C7*C$49</f>
        <v>668.11684287748687</v>
      </c>
      <c r="D56" s="120">
        <f t="shared" ref="C56:I61" si="5">D7*D$49</f>
        <v>714.5723895498794</v>
      </c>
      <c r="E56" s="120">
        <f t="shared" si="5"/>
        <v>764.27980104670212</v>
      </c>
      <c r="F56" s="120">
        <f>F7*F$49</f>
        <v>1025.134775355009</v>
      </c>
      <c r="G56" s="120">
        <f t="shared" si="5"/>
        <v>1132.112050054071</v>
      </c>
      <c r="H56" s="120">
        <f t="shared" si="5"/>
        <v>1250.7662177576631</v>
      </c>
      <c r="I56" s="120">
        <f t="shared" si="5"/>
        <v>1372.9</v>
      </c>
      <c r="J56" s="120">
        <f t="shared" ref="J56" si="6">J7*J$49</f>
        <v>1512.0800653928684</v>
      </c>
      <c r="K56" s="121"/>
      <c r="L56" s="207"/>
      <c r="M56" s="110">
        <f t="shared" ref="M56:M77" si="7">((J56/F56)^(1/4))-1</f>
        <v>0.10204278450297077</v>
      </c>
      <c r="O56" s="94" t="s">
        <v>57</v>
      </c>
      <c r="P56" s="120">
        <f t="shared" ref="P56:V61" si="8">P7*P$49</f>
        <v>654.10556250809157</v>
      </c>
      <c r="Q56" s="120">
        <f t="shared" si="8"/>
        <v>686.72882935352357</v>
      </c>
      <c r="R56" s="120">
        <f t="shared" si="8"/>
        <v>727.86927010506975</v>
      </c>
      <c r="S56" s="120">
        <f t="shared" si="8"/>
        <v>979.93911693955135</v>
      </c>
      <c r="T56" s="120">
        <f t="shared" si="8"/>
        <v>1050.9326201143213</v>
      </c>
      <c r="U56" s="120">
        <f t="shared" si="8"/>
        <v>1045.3617949000995</v>
      </c>
      <c r="V56" s="120">
        <f t="shared" si="8"/>
        <v>1178.5999999999999</v>
      </c>
      <c r="W56" s="120">
        <f t="shared" ref="W56" si="9">W7*W$49</f>
        <v>1257.0596335274688</v>
      </c>
      <c r="X56" s="121"/>
      <c r="Y56" s="207"/>
      <c r="Z56" s="110">
        <f t="shared" ref="Z56:Z77" si="10">((W56/S56)^(1/4))-1</f>
        <v>6.4239065299588116E-2</v>
      </c>
    </row>
    <row r="57" spans="2:26">
      <c r="B57" s="94" t="s">
        <v>54</v>
      </c>
      <c r="C57" s="120">
        <f t="shared" si="5"/>
        <v>700.07239459716072</v>
      </c>
      <c r="D57" s="120">
        <f t="shared" si="5"/>
        <v>705.80463016889928</v>
      </c>
      <c r="E57" s="120">
        <f t="shared" si="5"/>
        <v>710.80183372617955</v>
      </c>
      <c r="F57" s="120">
        <f t="shared" si="5"/>
        <v>796.50441530224248</v>
      </c>
      <c r="G57" s="120">
        <f t="shared" si="5"/>
        <v>820.37423914722706</v>
      </c>
      <c r="H57" s="120">
        <f t="shared" si="5"/>
        <v>843.73010633991998</v>
      </c>
      <c r="I57" s="120">
        <f t="shared" si="5"/>
        <v>856.3</v>
      </c>
      <c r="J57" s="120">
        <f t="shared" ref="J57" si="11">J8*J$49</f>
        <v>881.36768502435223</v>
      </c>
      <c r="K57" s="121"/>
      <c r="L57" s="207"/>
      <c r="M57" s="110">
        <f t="shared" si="7"/>
        <v>2.5633585629144751E-2</v>
      </c>
      <c r="O57" s="94" t="s">
        <v>54</v>
      </c>
      <c r="P57" s="120">
        <f t="shared" si="8"/>
        <v>748.37444008112902</v>
      </c>
      <c r="Q57" s="120">
        <f t="shared" si="8"/>
        <v>730.21217655378973</v>
      </c>
      <c r="R57" s="120">
        <f t="shared" si="8"/>
        <v>726.50387519475851</v>
      </c>
      <c r="S57" s="120">
        <f t="shared" si="8"/>
        <v>820.92554124311312</v>
      </c>
      <c r="T57" s="120">
        <f t="shared" si="8"/>
        <v>866.24391704001255</v>
      </c>
      <c r="U57" s="120">
        <f t="shared" si="8"/>
        <v>897.17717555285742</v>
      </c>
      <c r="V57" s="120">
        <f t="shared" si="8"/>
        <v>895.5</v>
      </c>
      <c r="W57" s="120">
        <f t="shared" ref="W57" si="12">W8*W$49</f>
        <v>901.6412758421036</v>
      </c>
      <c r="X57" s="121"/>
      <c r="Y57" s="207"/>
      <c r="Z57" s="110">
        <f t="shared" si="10"/>
        <v>2.3723102606285407E-2</v>
      </c>
    </row>
    <row r="58" spans="2:26">
      <c r="B58" s="94" t="s">
        <v>58</v>
      </c>
      <c r="C58" s="120">
        <f t="shared" si="5"/>
        <v>1368.1892374746476</v>
      </c>
      <c r="D58" s="120">
        <f t="shared" si="5"/>
        <v>235.54467093768201</v>
      </c>
      <c r="E58" s="120">
        <f t="shared" si="5"/>
        <v>1475.0816347728817</v>
      </c>
      <c r="F58" s="120">
        <f t="shared" si="5"/>
        <v>1821.6391906572514</v>
      </c>
      <c r="G58" s="120">
        <f t="shared" si="5"/>
        <v>1952.4862892012982</v>
      </c>
      <c r="H58" s="120">
        <f t="shared" si="5"/>
        <v>2094.4963240975831</v>
      </c>
      <c r="I58" s="120">
        <f t="shared" si="5"/>
        <v>2229.1999999999998</v>
      </c>
      <c r="J58" s="120">
        <f t="shared" ref="J58" si="13">J9*J$49</f>
        <v>2393.5447532440999</v>
      </c>
      <c r="K58" s="121"/>
      <c r="L58" s="207"/>
      <c r="M58" s="110">
        <f t="shared" si="7"/>
        <v>7.0643285672419287E-2</v>
      </c>
      <c r="O58" s="94" t="s">
        <v>58</v>
      </c>
      <c r="P58" s="120">
        <f t="shared" si="8"/>
        <v>1402.4800025892205</v>
      </c>
      <c r="Q58" s="120">
        <f t="shared" si="8"/>
        <v>1416.9410059073134</v>
      </c>
      <c r="R58" s="120">
        <f t="shared" si="8"/>
        <v>1454.3731452998281</v>
      </c>
      <c r="S58" s="120">
        <f t="shared" si="8"/>
        <v>1800.8646581826647</v>
      </c>
      <c r="T58" s="120">
        <f t="shared" si="8"/>
        <v>1917.1765371543338</v>
      </c>
      <c r="U58" s="120">
        <f t="shared" si="8"/>
        <v>1942.5389704529568</v>
      </c>
      <c r="V58" s="120">
        <f t="shared" si="8"/>
        <v>2074.1</v>
      </c>
      <c r="W58" s="120">
        <f t="shared" ref="W58" si="14">W9*W$49</f>
        <v>2158.7009093695724</v>
      </c>
      <c r="X58" s="121"/>
      <c r="Y58" s="207"/>
      <c r="Z58" s="110">
        <f t="shared" si="10"/>
        <v>4.6352098948264864E-2</v>
      </c>
    </row>
    <row r="59" spans="2:26">
      <c r="B59" s="94" t="s">
        <v>55</v>
      </c>
      <c r="C59" s="120">
        <f>C10*C$49</f>
        <v>603.09958572476603</v>
      </c>
      <c r="D59" s="120">
        <f t="shared" si="5"/>
        <v>606.51567934104332</v>
      </c>
      <c r="E59" s="120">
        <f t="shared" si="5"/>
        <v>616.13445327793534</v>
      </c>
      <c r="F59" s="120">
        <f t="shared" si="5"/>
        <v>968.00481104989524</v>
      </c>
      <c r="G59" s="120">
        <f t="shared" si="5"/>
        <v>951.93331530974842</v>
      </c>
      <c r="H59" s="120">
        <f t="shared" si="5"/>
        <v>956.38814438679788</v>
      </c>
      <c r="I59" s="120">
        <f t="shared" si="5"/>
        <v>962.4</v>
      </c>
      <c r="J59" s="120">
        <f t="shared" ref="J59" si="15">J10*J$49</f>
        <v>970.22227444569353</v>
      </c>
      <c r="K59" s="120"/>
      <c r="L59" s="155"/>
      <c r="M59" s="110">
        <f t="shared" si="7"/>
        <v>5.7219784346984603E-4</v>
      </c>
      <c r="O59" s="94" t="s">
        <v>55</v>
      </c>
      <c r="P59" s="120">
        <f t="shared" si="8"/>
        <v>681.02196953350904</v>
      </c>
      <c r="Q59" s="120">
        <f t="shared" si="8"/>
        <v>710.66244279890168</v>
      </c>
      <c r="R59" s="120">
        <f t="shared" si="8"/>
        <v>879.20053933122927</v>
      </c>
      <c r="S59" s="120">
        <f t="shared" si="8"/>
        <v>1070.7724450997127</v>
      </c>
      <c r="T59" s="120">
        <f t="shared" si="8"/>
        <v>1052.1426116174882</v>
      </c>
      <c r="U59" s="120">
        <f t="shared" si="8"/>
        <v>996.10665268425532</v>
      </c>
      <c r="V59" s="120">
        <f t="shared" si="8"/>
        <v>1001</v>
      </c>
      <c r="W59" s="120">
        <f t="shared" ref="W59" si="16">W10*W$49</f>
        <v>996.89805183747171</v>
      </c>
      <c r="X59" s="120"/>
      <c r="Y59" s="155"/>
      <c r="Z59" s="110">
        <f t="shared" si="10"/>
        <v>-1.7713014234604918E-2</v>
      </c>
    </row>
    <row r="60" spans="2:26">
      <c r="B60" s="94" t="s">
        <v>76</v>
      </c>
      <c r="C60" s="120">
        <f t="shared" si="5"/>
        <v>227.0073231778363</v>
      </c>
      <c r="D60" s="120">
        <f t="shared" si="5"/>
        <v>233.29348947499793</v>
      </c>
      <c r="E60" s="120">
        <f t="shared" si="5"/>
        <v>248.61565658583356</v>
      </c>
      <c r="F60" s="120">
        <f t="shared" si="5"/>
        <v>465.32742686428185</v>
      </c>
      <c r="G60" s="120">
        <f t="shared" si="5"/>
        <v>477.39664761316249</v>
      </c>
      <c r="H60" s="120">
        <f t="shared" si="5"/>
        <v>503.13603782610312</v>
      </c>
      <c r="I60" s="120">
        <f t="shared" si="5"/>
        <v>517.4</v>
      </c>
      <c r="J60" s="120">
        <f t="shared" ref="J60" si="17">J11*J$49</f>
        <v>555.43818671026202</v>
      </c>
      <c r="K60" s="121"/>
      <c r="L60" s="207"/>
      <c r="M60" s="110">
        <f t="shared" si="7"/>
        <v>4.524782097806046E-2</v>
      </c>
      <c r="O60" s="94" t="s">
        <v>76</v>
      </c>
      <c r="P60" s="120">
        <f t="shared" si="8"/>
        <v>227.0073231778363</v>
      </c>
      <c r="Q60" s="120">
        <f t="shared" si="8"/>
        <v>233.29348947499793</v>
      </c>
      <c r="R60" s="120">
        <f t="shared" si="8"/>
        <v>248.61565658583356</v>
      </c>
      <c r="S60" s="120">
        <f t="shared" si="8"/>
        <v>465.32742686428185</v>
      </c>
      <c r="T60" s="120">
        <f t="shared" si="8"/>
        <v>477.39664761316249</v>
      </c>
      <c r="U60" s="120">
        <f t="shared" si="8"/>
        <v>503.13603782610312</v>
      </c>
      <c r="V60" s="120">
        <f t="shared" si="8"/>
        <v>517.4</v>
      </c>
      <c r="W60" s="120">
        <f t="shared" ref="W60" si="18">W11*W$49</f>
        <v>555.43818671026202</v>
      </c>
      <c r="X60" s="121"/>
      <c r="Y60" s="207"/>
      <c r="Z60" s="110">
        <f t="shared" si="10"/>
        <v>4.524782097806046E-2</v>
      </c>
    </row>
    <row r="61" spans="2:26">
      <c r="B61" s="94" t="s">
        <v>59</v>
      </c>
      <c r="C61" s="120">
        <f t="shared" si="5"/>
        <v>830.1069089026023</v>
      </c>
      <c r="D61" s="120">
        <f t="shared" si="5"/>
        <v>839.80916881604116</v>
      </c>
      <c r="E61" s="120">
        <f t="shared" si="5"/>
        <v>864.7501098637689</v>
      </c>
      <c r="F61" s="120">
        <f t="shared" si="5"/>
        <v>1433.3322379141769</v>
      </c>
      <c r="G61" s="120">
        <f t="shared" si="5"/>
        <v>1352.3305036304655</v>
      </c>
      <c r="H61" s="120">
        <f t="shared" si="5"/>
        <v>1459.524182212901</v>
      </c>
      <c r="I61" s="120">
        <f t="shared" si="5"/>
        <v>1479.8</v>
      </c>
      <c r="J61" s="120">
        <f t="shared" ref="J61" si="19">J12*J$49</f>
        <v>1525.6604611559553</v>
      </c>
      <c r="K61" s="121"/>
      <c r="L61" s="207"/>
      <c r="M61" s="110">
        <f t="shared" si="7"/>
        <v>1.5728774159515124E-2</v>
      </c>
      <c r="O61" s="94" t="s">
        <v>59</v>
      </c>
      <c r="P61" s="120">
        <f t="shared" si="8"/>
        <v>908.02929271134519</v>
      </c>
      <c r="Q61" s="120">
        <f t="shared" si="8"/>
        <v>943.95593227389963</v>
      </c>
      <c r="R61" s="120">
        <f t="shared" si="8"/>
        <v>1127.8161959170627</v>
      </c>
      <c r="S61" s="120">
        <f t="shared" si="8"/>
        <v>1536.0998719639945</v>
      </c>
      <c r="T61" s="120">
        <f t="shared" si="8"/>
        <v>1529.5392592306507</v>
      </c>
      <c r="U61" s="120">
        <f t="shared" si="8"/>
        <v>1499.2426905103582</v>
      </c>
      <c r="V61" s="120">
        <f t="shared" si="8"/>
        <v>1518.4</v>
      </c>
      <c r="W61" s="120">
        <f t="shared" ref="W61" si="20">W12*W$49</f>
        <v>1552.3362385477335</v>
      </c>
      <c r="X61" s="121"/>
      <c r="Y61" s="207"/>
      <c r="Z61" s="110">
        <f t="shared" si="10"/>
        <v>2.6320561495376538E-3</v>
      </c>
    </row>
    <row r="62" spans="2:26">
      <c r="B62" s="94"/>
      <c r="C62" s="120"/>
      <c r="D62" s="120"/>
      <c r="E62" s="120"/>
      <c r="F62" s="120"/>
      <c r="G62" s="120"/>
      <c r="H62" s="120"/>
      <c r="I62" s="120"/>
      <c r="J62" s="120"/>
      <c r="K62" s="121"/>
      <c r="L62" s="207"/>
      <c r="M62" s="110"/>
      <c r="O62" s="94"/>
      <c r="P62" s="120"/>
      <c r="Q62" s="120"/>
      <c r="R62" s="120"/>
      <c r="S62" s="120"/>
      <c r="T62" s="120"/>
      <c r="U62" s="120"/>
      <c r="V62" s="120"/>
      <c r="W62" s="120"/>
      <c r="X62" s="121"/>
      <c r="Y62" s="207"/>
      <c r="Z62" s="110"/>
    </row>
    <row r="63" spans="2:26">
      <c r="B63" s="94" t="s">
        <v>201</v>
      </c>
      <c r="C63" s="120">
        <f t="shared" ref="C63:I63" si="21">C14*C$49</f>
        <v>538.08232857204518</v>
      </c>
      <c r="D63" s="120">
        <f t="shared" si="21"/>
        <v>580.56785090273729</v>
      </c>
      <c r="E63" s="120">
        <f t="shared" si="21"/>
        <v>610.33152490911266</v>
      </c>
      <c r="F63" s="120">
        <f t="shared" si="21"/>
        <v>388.30695274307436</v>
      </c>
      <c r="G63" s="120">
        <f t="shared" si="21"/>
        <v>523.15632627838727</v>
      </c>
      <c r="H63" s="120">
        <f t="shared" si="21"/>
        <v>634.97214188468206</v>
      </c>
      <c r="I63" s="120">
        <f t="shared" si="21"/>
        <v>749.4</v>
      </c>
      <c r="J63" s="120">
        <f t="shared" ref="J63" si="22">J14*J$49</f>
        <v>867.88429208814432</v>
      </c>
      <c r="K63" s="121"/>
      <c r="L63" s="207"/>
      <c r="M63" s="110">
        <f t="shared" si="7"/>
        <v>0.22270493570840211</v>
      </c>
      <c r="O63" s="94" t="s">
        <v>201</v>
      </c>
      <c r="P63" s="120">
        <f t="shared" ref="P63:V69" si="23">P14*P$49</f>
        <v>494.45070987787523</v>
      </c>
      <c r="Q63" s="120">
        <f t="shared" si="23"/>
        <v>472.98507363341372</v>
      </c>
      <c r="R63" s="120">
        <f t="shared" si="23"/>
        <v>326.55694938276537</v>
      </c>
      <c r="S63" s="120">
        <f t="shared" si="23"/>
        <v>264.76478621866994</v>
      </c>
      <c r="T63" s="120">
        <f t="shared" si="23"/>
        <v>387.63727792368303</v>
      </c>
      <c r="U63" s="120">
        <f t="shared" si="23"/>
        <v>443.29627994259863</v>
      </c>
      <c r="V63" s="120">
        <f t="shared" si="23"/>
        <v>555.70000000000005</v>
      </c>
      <c r="W63" s="120">
        <f t="shared" ref="W63" si="24">W14*W$49</f>
        <v>606.36467082183867</v>
      </c>
      <c r="X63" s="121"/>
      <c r="Y63" s="207"/>
      <c r="Z63" s="110">
        <f t="shared" si="10"/>
        <v>0.23017930460631786</v>
      </c>
    </row>
    <row r="64" spans="2:26">
      <c r="B64" s="94" t="s">
        <v>202</v>
      </c>
      <c r="C64" s="120"/>
      <c r="D64" s="120"/>
      <c r="E64" s="120"/>
      <c r="F64" s="120"/>
      <c r="G64" s="120"/>
      <c r="H64" s="120"/>
      <c r="I64" s="120"/>
      <c r="J64" s="120"/>
      <c r="K64" s="121"/>
      <c r="L64" s="207"/>
      <c r="M64" s="110"/>
      <c r="O64" s="94" t="s">
        <v>202</v>
      </c>
      <c r="P64" s="120">
        <f t="shared" si="23"/>
        <v>0</v>
      </c>
      <c r="Q64" s="120">
        <f t="shared" si="23"/>
        <v>0</v>
      </c>
      <c r="R64" s="120">
        <f t="shared" si="23"/>
        <v>0</v>
      </c>
      <c r="S64" s="120">
        <f t="shared" si="23"/>
        <v>0</v>
      </c>
      <c r="T64" s="120">
        <f t="shared" si="23"/>
        <v>217.13847520469648</v>
      </c>
      <c r="U64" s="120">
        <f t="shared" si="23"/>
        <v>-120.83229569120951</v>
      </c>
      <c r="V64" s="120">
        <f t="shared" si="23"/>
        <v>158.9</v>
      </c>
      <c r="W64" s="120">
        <f t="shared" ref="W64" si="25">W15*W$49</f>
        <v>60.141752665099972</v>
      </c>
      <c r="X64" s="121"/>
      <c r="Y64" s="207"/>
      <c r="Z64" s="110"/>
    </row>
    <row r="65" spans="2:26">
      <c r="B65" s="94" t="s">
        <v>56</v>
      </c>
      <c r="C65" s="120">
        <f t="shared" ref="C65:I65" si="26">C16*C$49</f>
        <v>538.08232857204518</v>
      </c>
      <c r="D65" s="120">
        <f t="shared" si="26"/>
        <v>580.56785090273729</v>
      </c>
      <c r="E65" s="120">
        <f t="shared" si="26"/>
        <v>610.33152490911266</v>
      </c>
      <c r="F65" s="120">
        <f t="shared" si="26"/>
        <v>388.30695274307436</v>
      </c>
      <c r="G65" s="120">
        <f t="shared" si="26"/>
        <v>523.15632627838727</v>
      </c>
      <c r="H65" s="120">
        <f t="shared" si="26"/>
        <v>634.97214188468206</v>
      </c>
      <c r="I65" s="120">
        <f t="shared" si="26"/>
        <v>749.4</v>
      </c>
      <c r="J65" s="120">
        <f t="shared" ref="J65" si="27">J16*J$49</f>
        <v>867.88429208814432</v>
      </c>
      <c r="K65" s="121"/>
      <c r="L65" s="207"/>
      <c r="M65" s="110">
        <f t="shared" si="7"/>
        <v>0.22270493570840211</v>
      </c>
      <c r="O65" s="94" t="s">
        <v>56</v>
      </c>
      <c r="P65" s="120">
        <f t="shared" si="23"/>
        <v>494.45070987787523</v>
      </c>
      <c r="Q65" s="120">
        <f t="shared" si="23"/>
        <v>472.98507363341372</v>
      </c>
      <c r="R65" s="120">
        <f t="shared" si="23"/>
        <v>326.55694938276537</v>
      </c>
      <c r="S65" s="120">
        <f t="shared" si="23"/>
        <v>264.76478621866994</v>
      </c>
      <c r="T65" s="120">
        <f t="shared" si="23"/>
        <v>170.49880271898661</v>
      </c>
      <c r="U65" s="120">
        <f t="shared" si="23"/>
        <v>564.12857563380805</v>
      </c>
      <c r="V65" s="120">
        <f t="shared" si="23"/>
        <v>396.8</v>
      </c>
      <c r="W65" s="120">
        <f t="shared" ref="W65" si="28">W16*W$49</f>
        <v>546.22291815673861</v>
      </c>
      <c r="X65" s="121"/>
      <c r="Y65" s="207"/>
      <c r="Z65" s="110">
        <f t="shared" si="10"/>
        <v>0.19847070758111407</v>
      </c>
    </row>
    <row r="66" spans="2:26">
      <c r="B66" s="94"/>
      <c r="C66" s="120"/>
      <c r="D66" s="120"/>
      <c r="E66" s="120"/>
      <c r="F66" s="120"/>
      <c r="G66" s="120"/>
      <c r="H66" s="120"/>
      <c r="I66" s="120"/>
      <c r="J66" s="120"/>
      <c r="K66" s="121"/>
      <c r="L66" s="207"/>
      <c r="M66" s="110"/>
      <c r="O66" s="94"/>
      <c r="P66" s="120"/>
      <c r="Q66" s="120"/>
      <c r="R66" s="120"/>
      <c r="S66" s="120"/>
      <c r="T66" s="120"/>
      <c r="U66" s="120"/>
      <c r="V66" s="120"/>
      <c r="W66" s="120"/>
      <c r="X66" s="121"/>
      <c r="Y66" s="207"/>
      <c r="Z66" s="110"/>
    </row>
    <row r="67" spans="2:26">
      <c r="B67" s="94" t="s">
        <v>60</v>
      </c>
      <c r="C67" s="120">
        <f t="shared" ref="C67:I67" si="29">C18*C$49</f>
        <v>1313.8647995512022</v>
      </c>
      <c r="D67" s="120">
        <f t="shared" si="29"/>
        <v>1103.4343664198352</v>
      </c>
      <c r="E67" s="120">
        <f t="shared" si="29"/>
        <v>1110.293627901402</v>
      </c>
      <c r="F67" s="120">
        <f t="shared" si="29"/>
        <v>1215.0891440987039</v>
      </c>
      <c r="G67" s="120">
        <f t="shared" si="29"/>
        <v>1357.9404642360578</v>
      </c>
      <c r="H67" s="120">
        <f t="shared" si="29"/>
        <v>1205.1790116642753</v>
      </c>
      <c r="I67" s="120">
        <f t="shared" si="29"/>
        <v>1008.5</v>
      </c>
      <c r="J67" s="120">
        <f t="shared" ref="J67" si="30">J18*J$49</f>
        <v>660.00723408603255</v>
      </c>
      <c r="K67" s="121"/>
      <c r="L67" s="207"/>
      <c r="M67" s="110">
        <f t="shared" si="7"/>
        <v>-0.14151020158858096</v>
      </c>
      <c r="O67" s="94" t="s">
        <v>60</v>
      </c>
      <c r="P67" s="120">
        <f t="shared" si="23"/>
        <v>1603.3083545505549</v>
      </c>
      <c r="Q67" s="120">
        <f t="shared" si="23"/>
        <v>1245.4957650386887</v>
      </c>
      <c r="R67" s="120">
        <f t="shared" si="23"/>
        <v>1017.2192081818545</v>
      </c>
      <c r="S67" s="120">
        <f t="shared" si="23"/>
        <v>817.61045627376416</v>
      </c>
      <c r="T67" s="120">
        <f t="shared" si="23"/>
        <v>884.72378727019941</v>
      </c>
      <c r="U67" s="120">
        <f t="shared" si="23"/>
        <v>850.96118040990564</v>
      </c>
      <c r="V67" s="120">
        <f t="shared" si="23"/>
        <v>963.5</v>
      </c>
      <c r="W67" s="120">
        <f t="shared" ref="W67" si="31">W18*W$49</f>
        <v>1173.3461939307244</v>
      </c>
      <c r="X67" s="121"/>
      <c r="Y67" s="207"/>
      <c r="Z67" s="110">
        <f t="shared" si="10"/>
        <v>9.4510501866824415E-2</v>
      </c>
    </row>
    <row r="68" spans="2:26">
      <c r="B68" s="94"/>
      <c r="C68" s="120"/>
      <c r="D68" s="120"/>
      <c r="E68" s="120"/>
      <c r="F68" s="120"/>
      <c r="G68" s="120"/>
      <c r="H68" s="120"/>
      <c r="I68" s="120"/>
      <c r="J68" s="120"/>
      <c r="K68" s="121"/>
      <c r="L68" s="207"/>
      <c r="M68" s="110"/>
      <c r="O68" s="94"/>
      <c r="P68" s="120">
        <f t="shared" si="23"/>
        <v>0</v>
      </c>
      <c r="Q68" s="120">
        <f t="shared" si="23"/>
        <v>0</v>
      </c>
      <c r="R68" s="120">
        <f t="shared" si="23"/>
        <v>0</v>
      </c>
      <c r="S68" s="120">
        <f t="shared" si="23"/>
        <v>0</v>
      </c>
      <c r="T68" s="120">
        <f t="shared" si="23"/>
        <v>0</v>
      </c>
      <c r="U68" s="120">
        <f t="shared" si="23"/>
        <v>0</v>
      </c>
      <c r="V68" s="120">
        <f t="shared" si="23"/>
        <v>0</v>
      </c>
      <c r="W68" s="120">
        <f t="shared" ref="W68" si="32">W19*W$49</f>
        <v>0</v>
      </c>
      <c r="X68" s="121"/>
      <c r="Y68" s="207"/>
      <c r="Z68" s="110"/>
    </row>
    <row r="69" spans="2:26">
      <c r="B69" s="94" t="s">
        <v>61</v>
      </c>
      <c r="C69" s="120">
        <f t="shared" ref="C69:I69" si="33">C20*C$49</f>
        <v>7382.1011651490981</v>
      </c>
      <c r="D69" s="120">
        <f t="shared" si="33"/>
        <v>8342.6415342374567</v>
      </c>
      <c r="E69" s="120">
        <f t="shared" si="33"/>
        <v>9250.5505173584752</v>
      </c>
      <c r="F69" s="120">
        <f t="shared" si="33"/>
        <v>10202.284496003724</v>
      </c>
      <c r="G69" s="120">
        <f t="shared" si="33"/>
        <v>11106.292009114788</v>
      </c>
      <c r="H69" s="120">
        <f t="shared" si="33"/>
        <v>12092.766203039339</v>
      </c>
      <c r="I69" s="120">
        <f t="shared" si="33"/>
        <v>12973.9</v>
      </c>
      <c r="J69" s="120">
        <f t="shared" ref="J69" si="34">J20*J$49</f>
        <v>13576.80665849256</v>
      </c>
      <c r="K69" s="121"/>
      <c r="L69" s="207"/>
      <c r="M69" s="110">
        <f t="shared" si="7"/>
        <v>7.4051363772087431E-2</v>
      </c>
      <c r="O69" s="94" t="s">
        <v>61</v>
      </c>
      <c r="P69" s="120">
        <f t="shared" si="23"/>
        <v>7776.8751348552214</v>
      </c>
      <c r="Q69" s="120">
        <f t="shared" si="23"/>
        <v>9000.6974207504791</v>
      </c>
      <c r="R69" s="120">
        <f t="shared" si="23"/>
        <v>10051.809763892774</v>
      </c>
      <c r="S69" s="120">
        <f t="shared" si="23"/>
        <v>10202.284496003724</v>
      </c>
      <c r="T69" s="120">
        <f t="shared" si="23"/>
        <v>10717.114742005255</v>
      </c>
      <c r="U69" s="120">
        <f t="shared" si="23"/>
        <v>11243.272197078415</v>
      </c>
      <c r="V69" s="120">
        <f t="shared" si="23"/>
        <v>11773</v>
      </c>
      <c r="W69" s="120">
        <f t="shared" ref="W69" si="35">W20*W$49</f>
        <v>12324.500163482171</v>
      </c>
      <c r="X69" s="121"/>
      <c r="Y69" s="207"/>
      <c r="Z69" s="110">
        <f t="shared" si="10"/>
        <v>4.8378174935240548E-2</v>
      </c>
    </row>
    <row r="70" spans="2:26">
      <c r="B70" s="94"/>
      <c r="C70" s="120"/>
      <c r="D70" s="120"/>
      <c r="E70" s="120"/>
      <c r="F70" s="120"/>
      <c r="G70" s="120"/>
      <c r="H70" s="120"/>
      <c r="I70" s="120"/>
      <c r="J70" s="120"/>
      <c r="K70" s="121"/>
      <c r="L70" s="207"/>
      <c r="M70" s="110"/>
      <c r="O70" s="94"/>
      <c r="P70" s="120"/>
      <c r="Q70" s="120"/>
      <c r="R70" s="120"/>
      <c r="S70" s="120"/>
      <c r="T70" s="120"/>
      <c r="U70" s="120"/>
      <c r="V70" s="120"/>
      <c r="W70" s="120"/>
      <c r="X70" s="121"/>
      <c r="Y70" s="207"/>
      <c r="Z70" s="110"/>
    </row>
    <row r="71" spans="2:26">
      <c r="B71" s="94" t="s">
        <v>63</v>
      </c>
      <c r="C71" s="120">
        <f t="shared" ref="C71:I71" si="36">C22*C$49</f>
        <v>8654.0550295602661</v>
      </c>
      <c r="D71" s="120">
        <f t="shared" si="36"/>
        <v>9632.6869955903148</v>
      </c>
      <c r="E71" s="120">
        <f t="shared" si="36"/>
        <v>11123.758551396268</v>
      </c>
      <c r="F71" s="120">
        <f t="shared" si="36"/>
        <v>11157.139470008537</v>
      </c>
      <c r="G71" s="120">
        <f t="shared" si="36"/>
        <v>12692.920867449409</v>
      </c>
      <c r="H71" s="120">
        <f t="shared" si="36"/>
        <v>13596.410416896644</v>
      </c>
      <c r="I71" s="120">
        <f t="shared" si="36"/>
        <v>13996.3</v>
      </c>
      <c r="J71" s="120">
        <f t="shared" ref="J71" si="37">J22*J$49</f>
        <v>14088.10855897279</v>
      </c>
      <c r="K71" s="121"/>
      <c r="L71" s="207"/>
      <c r="M71" s="110">
        <f t="shared" si="7"/>
        <v>6.0046598687422126E-2</v>
      </c>
      <c r="O71" s="94" t="s">
        <v>63</v>
      </c>
      <c r="P71" s="120">
        <f t="shared" ref="P71:V71" si="38">P22*P$49</f>
        <v>9336.6747766797598</v>
      </c>
      <c r="Q71" s="120">
        <f t="shared" si="38"/>
        <v>10467.045935601964</v>
      </c>
      <c r="R71" s="120">
        <f t="shared" si="38"/>
        <v>11123.758551396268</v>
      </c>
      <c r="S71" s="120">
        <f t="shared" si="38"/>
        <v>10766.180449289981</v>
      </c>
      <c r="T71" s="120">
        <f t="shared" si="38"/>
        <v>11801.267128842888</v>
      </c>
      <c r="U71" s="120">
        <f t="shared" si="38"/>
        <v>12337.889134194358</v>
      </c>
      <c r="V71" s="120">
        <f t="shared" si="38"/>
        <v>12705.3</v>
      </c>
      <c r="W71" s="120">
        <f t="shared" ref="W71" si="39">W22*W$49</f>
        <v>13316.451071148806</v>
      </c>
      <c r="X71" s="121"/>
      <c r="Y71" s="207"/>
      <c r="Z71" s="110">
        <f t="shared" si="10"/>
        <v>5.4585293711567173E-2</v>
      </c>
    </row>
    <row r="72" spans="2:26">
      <c r="B72" s="94"/>
      <c r="C72" s="120"/>
      <c r="D72" s="120"/>
      <c r="E72" s="120"/>
      <c r="F72" s="120"/>
      <c r="G72" s="120"/>
      <c r="H72" s="120"/>
      <c r="I72" s="120"/>
      <c r="J72" s="120"/>
      <c r="K72" s="121"/>
      <c r="L72" s="207"/>
      <c r="M72" s="110"/>
      <c r="O72" s="94"/>
      <c r="P72" s="120"/>
      <c r="Q72" s="120"/>
      <c r="R72" s="120"/>
      <c r="S72" s="120"/>
      <c r="T72" s="120"/>
      <c r="U72" s="120"/>
      <c r="V72" s="120"/>
      <c r="W72" s="120"/>
      <c r="X72" s="121"/>
      <c r="Y72" s="207"/>
      <c r="Z72" s="110"/>
    </row>
    <row r="73" spans="2:26">
      <c r="B73" s="94" t="s">
        <v>62</v>
      </c>
      <c r="C73" s="120">
        <f t="shared" ref="C73:I73" si="40">C24*C$49</f>
        <v>8006.2176714279576</v>
      </c>
      <c r="D73" s="120">
        <f t="shared" si="40"/>
        <v>8975.5789749563191</v>
      </c>
      <c r="E73" s="120">
        <f t="shared" si="40"/>
        <v>10169.688857816307</v>
      </c>
      <c r="F73" s="120">
        <f t="shared" si="40"/>
        <v>10679.767234422286</v>
      </c>
      <c r="G73" s="120">
        <f t="shared" si="40"/>
        <v>11899.606438282097</v>
      </c>
      <c r="H73" s="120">
        <f t="shared" si="40"/>
        <v>12844.58830996799</v>
      </c>
      <c r="I73" s="120">
        <f t="shared" si="40"/>
        <v>13485.1</v>
      </c>
      <c r="J73" s="120">
        <f t="shared" ref="J73" si="41">J24*J$49</f>
        <v>13832.506110146114</v>
      </c>
      <c r="K73" s="121"/>
      <c r="L73" s="207"/>
      <c r="M73" s="110">
        <f t="shared" si="7"/>
        <v>6.6804332669317068E-2</v>
      </c>
      <c r="O73" s="94" t="s">
        <v>62</v>
      </c>
      <c r="P73" s="120">
        <v>6950.2</v>
      </c>
      <c r="Q73" s="120">
        <v>8203.7999999999993</v>
      </c>
      <c r="R73" s="120">
        <v>9296.5</v>
      </c>
      <c r="S73" s="120">
        <v>9487.7999999999993</v>
      </c>
      <c r="T73" s="120">
        <v>10235.700000000001</v>
      </c>
      <c r="U73" s="120">
        <v>11250.7</v>
      </c>
      <c r="V73" s="120">
        <v>12239.1</v>
      </c>
      <c r="W73" s="120">
        <v>12239.1</v>
      </c>
      <c r="X73" s="121"/>
      <c r="Y73" s="207"/>
      <c r="Z73" s="110">
        <f t="shared" si="10"/>
        <v>6.5727053461508644E-2</v>
      </c>
    </row>
    <row r="74" spans="2:26">
      <c r="B74" s="94"/>
      <c r="C74" s="121"/>
      <c r="D74" s="121"/>
      <c r="E74" s="120"/>
      <c r="F74" s="121"/>
      <c r="G74" s="121"/>
      <c r="H74" s="121"/>
      <c r="I74" s="121"/>
      <c r="J74" s="121"/>
      <c r="K74" s="121"/>
      <c r="L74" s="207"/>
      <c r="M74" s="110"/>
      <c r="O74" s="94"/>
      <c r="P74" s="121"/>
      <c r="Q74" s="121"/>
      <c r="R74" s="121"/>
      <c r="S74" s="121"/>
      <c r="T74" s="121"/>
      <c r="U74" s="121"/>
      <c r="V74" s="121"/>
      <c r="W74" s="121"/>
      <c r="X74" s="121"/>
      <c r="Y74" s="207"/>
      <c r="Z74" s="110"/>
    </row>
    <row r="75" spans="2:26">
      <c r="B75" s="94" t="s">
        <v>203</v>
      </c>
      <c r="C75" s="121">
        <v>6.7</v>
      </c>
      <c r="D75" s="121">
        <v>6.5</v>
      </c>
      <c r="E75" s="120">
        <v>6</v>
      </c>
      <c r="F75" s="121">
        <v>3.6</v>
      </c>
      <c r="G75" s="121">
        <v>4.4000000000000004</v>
      </c>
      <c r="H75" s="121">
        <v>4.9000000000000004</v>
      </c>
      <c r="I75" s="121">
        <v>5.6</v>
      </c>
      <c r="J75" s="121">
        <v>5.6</v>
      </c>
      <c r="K75" s="121"/>
      <c r="L75" s="207"/>
      <c r="M75" s="110">
        <f t="shared" si="7"/>
        <v>0.11678965294483601</v>
      </c>
      <c r="O75" s="94" t="s">
        <v>203</v>
      </c>
      <c r="P75" s="121">
        <v>5.8</v>
      </c>
      <c r="Q75" s="121">
        <v>4.9000000000000004</v>
      </c>
      <c r="R75" s="121">
        <v>3.1</v>
      </c>
      <c r="S75" s="121">
        <v>2.5</v>
      </c>
      <c r="T75" s="121">
        <v>3.4</v>
      </c>
      <c r="U75" s="121">
        <v>3.8</v>
      </c>
      <c r="V75" s="121">
        <v>4.5</v>
      </c>
      <c r="W75" s="121">
        <v>4.5</v>
      </c>
      <c r="X75" s="121"/>
      <c r="Y75" s="207"/>
      <c r="Z75" s="110">
        <f t="shared" si="10"/>
        <v>0.15829218528826905</v>
      </c>
    </row>
    <row r="76" spans="2:26">
      <c r="B76" s="94"/>
      <c r="C76" s="121"/>
      <c r="D76" s="121"/>
      <c r="E76" s="120"/>
      <c r="F76" s="121"/>
      <c r="G76" s="121"/>
      <c r="H76" s="121"/>
      <c r="I76" s="121"/>
      <c r="J76" s="121"/>
      <c r="K76" s="121"/>
      <c r="L76" s="207"/>
      <c r="M76" s="110"/>
      <c r="O76" s="94"/>
      <c r="P76" s="121"/>
      <c r="Q76" s="121"/>
      <c r="R76" s="121"/>
      <c r="S76" s="121"/>
      <c r="T76" s="121"/>
      <c r="U76" s="121"/>
      <c r="V76" s="121"/>
      <c r="W76" s="121"/>
      <c r="X76" s="121"/>
      <c r="Y76" s="207"/>
      <c r="Z76" s="110"/>
    </row>
    <row r="77" spans="2:26">
      <c r="B77" s="94" t="s">
        <v>64</v>
      </c>
      <c r="C77" s="121">
        <v>6.7</v>
      </c>
      <c r="D77" s="121">
        <v>6.5</v>
      </c>
      <c r="E77" s="120">
        <v>6</v>
      </c>
      <c r="F77" s="121">
        <v>3.6</v>
      </c>
      <c r="G77" s="121">
        <v>4.4000000000000004</v>
      </c>
      <c r="H77" s="121">
        <v>4.9000000000000004</v>
      </c>
      <c r="I77" s="121">
        <v>5.6</v>
      </c>
      <c r="J77" s="121">
        <v>5.6</v>
      </c>
      <c r="K77" s="121"/>
      <c r="L77" s="207"/>
      <c r="M77" s="113">
        <f t="shared" si="7"/>
        <v>0.11678965294483601</v>
      </c>
      <c r="O77" s="94" t="s">
        <v>64</v>
      </c>
      <c r="P77" s="121">
        <v>5.8</v>
      </c>
      <c r="Q77" s="121">
        <v>4.9000000000000004</v>
      </c>
      <c r="R77" s="121">
        <v>3.1</v>
      </c>
      <c r="S77" s="121">
        <v>2.5</v>
      </c>
      <c r="T77" s="121">
        <v>1.5</v>
      </c>
      <c r="U77" s="121">
        <v>4.8</v>
      </c>
      <c r="V77" s="121">
        <v>3.2</v>
      </c>
      <c r="W77" s="121">
        <v>3.2</v>
      </c>
      <c r="X77" s="121"/>
      <c r="Y77" s="207"/>
      <c r="Z77" s="113">
        <f t="shared" si="10"/>
        <v>6.3659179388997789E-2</v>
      </c>
    </row>
    <row r="78" spans="2:26">
      <c r="C78" s="21"/>
      <c r="D78" s="21"/>
      <c r="E78" s="30"/>
      <c r="F78" s="21"/>
      <c r="G78" s="21"/>
      <c r="H78" s="21"/>
      <c r="I78" s="21"/>
      <c r="J78" s="21"/>
      <c r="K78" s="21"/>
      <c r="L78" s="207"/>
      <c r="M78" s="31"/>
      <c r="P78" s="21"/>
      <c r="Q78" s="21"/>
      <c r="R78" s="21"/>
      <c r="S78" s="21"/>
      <c r="T78" s="21"/>
      <c r="U78" s="21"/>
      <c r="V78" s="21"/>
      <c r="W78" s="21"/>
      <c r="X78" s="21"/>
      <c r="Y78" s="207"/>
      <c r="Z78" s="31"/>
    </row>
    <row r="79" spans="2:26">
      <c r="C79" s="21"/>
      <c r="D79" s="21"/>
      <c r="E79" s="30"/>
      <c r="F79" s="21"/>
      <c r="G79" s="21"/>
      <c r="H79" s="21"/>
      <c r="I79" s="21"/>
      <c r="J79" s="21"/>
      <c r="K79" s="21"/>
      <c r="L79" s="207"/>
      <c r="M79" s="31"/>
      <c r="P79" s="21"/>
      <c r="Q79" s="21"/>
      <c r="R79" s="21"/>
      <c r="S79" s="21"/>
      <c r="T79" s="21"/>
      <c r="U79" s="21"/>
      <c r="V79" s="21"/>
      <c r="W79" s="21"/>
      <c r="X79" s="21"/>
      <c r="Y79" s="207"/>
      <c r="Z79" s="31"/>
    </row>
    <row r="80" spans="2:26" ht="15">
      <c r="B80" s="84" t="s">
        <v>213</v>
      </c>
      <c r="C80" s="629" t="s">
        <v>77</v>
      </c>
      <c r="D80" s="630"/>
      <c r="E80" s="631"/>
      <c r="F80" s="626" t="s">
        <v>30</v>
      </c>
      <c r="G80" s="627"/>
      <c r="H80" s="627"/>
      <c r="I80" s="627"/>
      <c r="J80" s="628"/>
      <c r="K80" s="554" t="s">
        <v>187</v>
      </c>
      <c r="L80" s="555"/>
      <c r="M80" s="89"/>
      <c r="O80" s="84" t="s">
        <v>211</v>
      </c>
      <c r="P80" s="626" t="s">
        <v>77</v>
      </c>
      <c r="Q80" s="627"/>
      <c r="R80" s="628"/>
      <c r="S80" s="626" t="s">
        <v>30</v>
      </c>
      <c r="T80" s="627"/>
      <c r="U80" s="627"/>
      <c r="V80" s="627"/>
      <c r="W80" s="628"/>
      <c r="X80" s="554" t="s">
        <v>187</v>
      </c>
      <c r="Y80" s="555"/>
      <c r="Z80" s="89"/>
    </row>
    <row r="81" spans="2:26">
      <c r="B81" s="29" t="s">
        <v>231</v>
      </c>
      <c r="C81" s="18" t="s">
        <v>80</v>
      </c>
      <c r="D81" s="18" t="s">
        <v>44</v>
      </c>
      <c r="E81" s="18" t="s">
        <v>45</v>
      </c>
      <c r="F81" s="18" t="s">
        <v>12</v>
      </c>
      <c r="G81" s="18" t="s">
        <v>13</v>
      </c>
      <c r="H81" s="18" t="s">
        <v>14</v>
      </c>
      <c r="I81" s="18" t="s">
        <v>15</v>
      </c>
      <c r="J81" s="18" t="s">
        <v>16</v>
      </c>
      <c r="K81" s="18" t="s">
        <v>17</v>
      </c>
      <c r="L81" s="154"/>
      <c r="M81" s="18" t="s">
        <v>205</v>
      </c>
      <c r="O81" s="29" t="s">
        <v>231</v>
      </c>
      <c r="P81" s="18" t="s">
        <v>80</v>
      </c>
      <c r="Q81" s="18" t="s">
        <v>44</v>
      </c>
      <c r="R81" s="18" t="s">
        <v>45</v>
      </c>
      <c r="S81" s="18" t="s">
        <v>12</v>
      </c>
      <c r="T81" s="18" t="s">
        <v>13</v>
      </c>
      <c r="U81" s="18" t="s">
        <v>14</v>
      </c>
      <c r="V81" s="18" t="s">
        <v>15</v>
      </c>
      <c r="W81" s="18" t="s">
        <v>16</v>
      </c>
      <c r="X81" s="18" t="s">
        <v>17</v>
      </c>
      <c r="Y81" s="154"/>
      <c r="Z81" s="18" t="s">
        <v>205</v>
      </c>
    </row>
    <row r="82" spans="2:26">
      <c r="B82" s="92" t="s">
        <v>41</v>
      </c>
      <c r="C82" s="92"/>
      <c r="D82" s="92"/>
      <c r="E82" s="118"/>
      <c r="F82" s="118">
        <f>F32*F$49</f>
        <v>275.92557228214474</v>
      </c>
      <c r="G82" s="118">
        <f t="shared" ref="G82:I82" si="42">G32*G$49</f>
        <v>269.0581106133169</v>
      </c>
      <c r="H82" s="118">
        <f t="shared" si="42"/>
        <v>265.34897891599519</v>
      </c>
      <c r="I82" s="118">
        <f t="shared" si="42"/>
        <v>261.5</v>
      </c>
      <c r="J82" s="118">
        <f>J32*J$49</f>
        <v>259.7612045175926</v>
      </c>
      <c r="K82" s="118"/>
      <c r="L82" s="155"/>
      <c r="M82" s="110">
        <f>((J82/F82)^(1/4))-1</f>
        <v>-1.4978784753395202E-2</v>
      </c>
      <c r="O82" s="92" t="s">
        <v>41</v>
      </c>
      <c r="P82" s="92"/>
      <c r="Q82" s="92"/>
      <c r="R82" s="119"/>
      <c r="S82" s="118">
        <f>S32*S$49</f>
        <v>289.51742065647551</v>
      </c>
      <c r="T82" s="118">
        <f>T32*T$49</f>
        <v>254.64821180287353</v>
      </c>
      <c r="U82" s="118">
        <f>U32*U$49</f>
        <v>258.85149207050085</v>
      </c>
      <c r="V82" s="118">
        <f>V32*V$49</f>
        <v>270.39999999999998</v>
      </c>
      <c r="W82" s="118">
        <f>W32*W$49</f>
        <v>318.55728347127143</v>
      </c>
      <c r="X82" s="119"/>
      <c r="Y82" s="207"/>
      <c r="Z82" s="110">
        <f>((W82/S82)^(1/4))-1</f>
        <v>2.4184525065929163E-2</v>
      </c>
    </row>
    <row r="83" spans="2:26">
      <c r="B83" s="94" t="s">
        <v>65</v>
      </c>
      <c r="C83" s="94"/>
      <c r="D83" s="94"/>
      <c r="E83" s="120"/>
      <c r="F83" s="120">
        <f t="shared" ref="F83:J83" si="43">F33*F$49</f>
        <v>79.67254209668657</v>
      </c>
      <c r="G83" s="120">
        <f t="shared" si="43"/>
        <v>117.03917812451726</v>
      </c>
      <c r="H83" s="120">
        <f t="shared" si="43"/>
        <v>116.74516686904371</v>
      </c>
      <c r="I83" s="120">
        <f t="shared" si="43"/>
        <v>115.3</v>
      </c>
      <c r="J83" s="120">
        <f t="shared" si="43"/>
        <v>114.43756665165002</v>
      </c>
      <c r="K83" s="120"/>
      <c r="L83" s="155"/>
      <c r="M83" s="113">
        <f t="shared" ref="M83:M89" si="44">((J83/F83)^(1/4))-1</f>
        <v>9.4750078645165825E-2</v>
      </c>
      <c r="O83" s="94" t="s">
        <v>65</v>
      </c>
      <c r="P83" s="94"/>
      <c r="Q83" s="94"/>
      <c r="R83" s="121"/>
      <c r="S83" s="120">
        <f t="shared" ref="S83:V96" si="45">S33*S$49</f>
        <v>128.84630247536276</v>
      </c>
      <c r="T83" s="120">
        <f t="shared" si="45"/>
        <v>133.4290630310521</v>
      </c>
      <c r="U83" s="120">
        <f t="shared" si="45"/>
        <v>110.14288184862201</v>
      </c>
      <c r="V83" s="120">
        <f t="shared" si="45"/>
        <v>118</v>
      </c>
      <c r="W83" s="120">
        <f t="shared" ref="W83" si="46">W33*W$49</f>
        <v>123.09658730969656</v>
      </c>
      <c r="X83" s="121"/>
      <c r="Y83" s="207"/>
      <c r="Z83" s="110">
        <f t="shared" ref="Z83:Z96" si="47">((W83/S83)^(1/4))-1</f>
        <v>-1.1347854424609505E-2</v>
      </c>
    </row>
    <row r="84" spans="2:26">
      <c r="B84" s="94" t="s">
        <v>66</v>
      </c>
      <c r="C84" s="94"/>
      <c r="D84" s="94"/>
      <c r="E84" s="120"/>
      <c r="F84" s="120">
        <f t="shared" ref="F84:J84" si="48">F34*F$49</f>
        <v>108.29277566539923</v>
      </c>
      <c r="G84" s="120">
        <f t="shared" si="48"/>
        <v>107.46924532674188</v>
      </c>
      <c r="H84" s="120">
        <f t="shared" si="48"/>
        <v>108.04691835007544</v>
      </c>
      <c r="I84" s="120">
        <f t="shared" si="48"/>
        <v>109.3</v>
      </c>
      <c r="J84" s="120">
        <f t="shared" si="48"/>
        <v>115.59468843664747</v>
      </c>
      <c r="K84" s="120"/>
      <c r="L84" s="155"/>
      <c r="M84" s="113">
        <f t="shared" si="44"/>
        <v>1.6446672242616645E-2</v>
      </c>
      <c r="O84" s="94" t="s">
        <v>66</v>
      </c>
      <c r="P84" s="94"/>
      <c r="Q84" s="94"/>
      <c r="R84" s="121"/>
      <c r="S84" s="120">
        <f t="shared" si="45"/>
        <v>115.03344843640878</v>
      </c>
      <c r="T84" s="120">
        <f t="shared" si="45"/>
        <v>121.65914568206398</v>
      </c>
      <c r="U84" s="120">
        <f t="shared" si="45"/>
        <v>109.19969827427607</v>
      </c>
      <c r="V84" s="120">
        <f t="shared" si="45"/>
        <v>116.9</v>
      </c>
      <c r="W84" s="120">
        <f t="shared" ref="W84" si="49">W34*W$49</f>
        <v>124.74563536664284</v>
      </c>
      <c r="X84" s="121"/>
      <c r="Y84" s="207"/>
      <c r="Z84" s="110">
        <f t="shared" si="47"/>
        <v>2.0470148736408511E-2</v>
      </c>
    </row>
    <row r="85" spans="2:26">
      <c r="B85" s="94" t="s">
        <v>204</v>
      </c>
      <c r="C85" s="94"/>
      <c r="D85" s="94"/>
      <c r="E85" s="120"/>
      <c r="F85" s="120">
        <f t="shared" ref="F85:J85" si="50">F35*F$49</f>
        <v>100.8890859005199</v>
      </c>
      <c r="G85" s="120">
        <f t="shared" si="50"/>
        <v>102.18928240383133</v>
      </c>
      <c r="H85" s="120">
        <f t="shared" si="50"/>
        <v>107.31333112558417</v>
      </c>
      <c r="I85" s="120">
        <f t="shared" si="50"/>
        <v>110.6</v>
      </c>
      <c r="J85" s="120">
        <f t="shared" si="50"/>
        <v>118.65450303133507</v>
      </c>
      <c r="K85" s="120"/>
      <c r="L85" s="155"/>
      <c r="M85" s="113">
        <f t="shared" si="44"/>
        <v>4.1381862452643858E-2</v>
      </c>
      <c r="O85" s="94" t="s">
        <v>204</v>
      </c>
      <c r="P85" s="94"/>
      <c r="Q85" s="94"/>
      <c r="R85" s="121"/>
      <c r="S85" s="120">
        <f t="shared" si="45"/>
        <v>92.49087064483588</v>
      </c>
      <c r="T85" s="120">
        <f t="shared" si="45"/>
        <v>118.68916653792681</v>
      </c>
      <c r="U85" s="120">
        <f t="shared" si="45"/>
        <v>97.147908157633324</v>
      </c>
      <c r="V85" s="120">
        <f t="shared" si="45"/>
        <v>89.4</v>
      </c>
      <c r="W85" s="120">
        <f t="shared" ref="W85" si="51">W35*W$49</f>
        <v>84.198453731139963</v>
      </c>
      <c r="X85" s="121"/>
      <c r="Y85" s="207"/>
      <c r="Z85" s="110">
        <f t="shared" si="47"/>
        <v>-2.3209758752762877E-2</v>
      </c>
    </row>
    <row r="86" spans="2:26">
      <c r="B86" s="94" t="s">
        <v>67</v>
      </c>
      <c r="C86" s="94"/>
      <c r="D86" s="94"/>
      <c r="E86" s="120"/>
      <c r="F86" s="120">
        <f t="shared" ref="F86:J86" si="52">F36*F$49</f>
        <v>36.576437495150152</v>
      </c>
      <c r="G86" s="120">
        <f t="shared" si="52"/>
        <v>38.609728873783418</v>
      </c>
      <c r="H86" s="120">
        <f t="shared" si="52"/>
        <v>38.14653567354749</v>
      </c>
      <c r="I86" s="120">
        <f t="shared" si="52"/>
        <v>38.9</v>
      </c>
      <c r="J86" s="120">
        <f t="shared" si="52"/>
        <v>38.60300225312168</v>
      </c>
      <c r="K86" s="120"/>
      <c r="L86" s="155"/>
      <c r="M86" s="113">
        <f t="shared" si="44"/>
        <v>1.3572735317709972E-2</v>
      </c>
      <c r="O86" s="94" t="s">
        <v>67</v>
      </c>
      <c r="P86" s="94"/>
      <c r="Q86" s="94"/>
      <c r="R86" s="121"/>
      <c r="S86" s="120">
        <f t="shared" si="45"/>
        <v>37.12895165670831</v>
      </c>
      <c r="T86" s="120">
        <f t="shared" si="45"/>
        <v>34.539757454039865</v>
      </c>
      <c r="U86" s="120">
        <f t="shared" si="45"/>
        <v>29.448287154579248</v>
      </c>
      <c r="V86" s="120">
        <f t="shared" si="45"/>
        <v>28.8</v>
      </c>
      <c r="W86" s="120">
        <f t="shared" ref="W86" si="53">W36*W$49</f>
        <v>27.451800006811762</v>
      </c>
      <c r="X86" s="121"/>
      <c r="Y86" s="207"/>
      <c r="Z86" s="110">
        <f t="shared" si="47"/>
        <v>-7.2712223787802621E-2</v>
      </c>
    </row>
    <row r="87" spans="2:26">
      <c r="B87" s="94" t="s">
        <v>70</v>
      </c>
      <c r="C87" s="94"/>
      <c r="D87" s="94"/>
      <c r="E87" s="120"/>
      <c r="F87" s="120">
        <f t="shared" ref="F87:J87" si="54">F37*F$49</f>
        <v>59.892535112904476</v>
      </c>
      <c r="G87" s="120">
        <f t="shared" si="54"/>
        <v>60.82957284103199</v>
      </c>
      <c r="H87" s="120">
        <f t="shared" si="54"/>
        <v>61.935721382051014</v>
      </c>
      <c r="I87" s="120">
        <f t="shared" si="54"/>
        <v>63.3</v>
      </c>
      <c r="J87" s="120">
        <f t="shared" si="54"/>
        <v>65.507530154028387</v>
      </c>
      <c r="K87" s="120"/>
      <c r="L87" s="155"/>
      <c r="M87" s="113">
        <f t="shared" si="44"/>
        <v>2.2656145015577112E-2</v>
      </c>
      <c r="O87" s="94" t="s">
        <v>70</v>
      </c>
      <c r="P87" s="94"/>
      <c r="Q87" s="94"/>
      <c r="R87" s="94"/>
      <c r="S87" s="120">
        <f t="shared" si="45"/>
        <v>57.682478466671839</v>
      </c>
      <c r="T87" s="120">
        <f t="shared" si="45"/>
        <v>59.729580565425621</v>
      </c>
      <c r="U87" s="120">
        <f t="shared" si="45"/>
        <v>59.944556058431779</v>
      </c>
      <c r="V87" s="120">
        <f t="shared" si="45"/>
        <v>58.9</v>
      </c>
      <c r="W87" s="120">
        <f t="shared" ref="W87" si="55">W37*W$49</f>
        <v>57.328670685603363</v>
      </c>
      <c r="X87" s="121"/>
      <c r="Y87" s="207"/>
      <c r="Z87" s="110">
        <f t="shared" si="47"/>
        <v>-1.5369680834467214E-3</v>
      </c>
    </row>
    <row r="88" spans="2:26">
      <c r="B88" s="94" t="s">
        <v>68</v>
      </c>
      <c r="C88" s="94"/>
      <c r="D88" s="94"/>
      <c r="E88" s="120"/>
      <c r="F88" s="120">
        <f t="shared" ref="F88:J88" si="56">F38*F$49</f>
        <v>194.48498486847208</v>
      </c>
      <c r="G88" s="120">
        <f t="shared" si="56"/>
        <v>142.88899660126683</v>
      </c>
      <c r="H88" s="120">
        <f t="shared" si="56"/>
        <v>145.87905949884095</v>
      </c>
      <c r="I88" s="120">
        <f t="shared" si="56"/>
        <v>152</v>
      </c>
      <c r="J88" s="120">
        <f t="shared" si="56"/>
        <v>145.3378938811305</v>
      </c>
      <c r="K88" s="120"/>
      <c r="L88" s="155"/>
      <c r="M88" s="113">
        <f t="shared" si="44"/>
        <v>-7.0234994329032574E-2</v>
      </c>
      <c r="O88" s="94" t="s">
        <v>68</v>
      </c>
      <c r="P88" s="94"/>
      <c r="Q88" s="94"/>
      <c r="R88" s="94"/>
      <c r="S88" s="120">
        <f t="shared" si="45"/>
        <v>164.98072864126641</v>
      </c>
      <c r="T88" s="120">
        <f t="shared" si="45"/>
        <v>181.71872393017151</v>
      </c>
      <c r="U88" s="120">
        <f t="shared" si="45"/>
        <v>155.73008794200982</v>
      </c>
      <c r="V88" s="120">
        <f t="shared" si="45"/>
        <v>149.4</v>
      </c>
      <c r="W88" s="120">
        <f t="shared" ref="W88" si="57">W38*W$49</f>
        <v>149.57835904771636</v>
      </c>
      <c r="X88" s="121"/>
      <c r="Y88" s="207"/>
      <c r="Z88" s="110">
        <f t="shared" si="47"/>
        <v>-2.4204329678398917E-2</v>
      </c>
    </row>
    <row r="89" spans="2:26">
      <c r="B89" s="94" t="s">
        <v>69</v>
      </c>
      <c r="C89" s="94"/>
      <c r="D89" s="94"/>
      <c r="E89" s="120"/>
      <c r="F89" s="120">
        <f>F39*F$49</f>
        <v>112.27087762861798</v>
      </c>
      <c r="G89" s="120">
        <f t="shared" ref="G89:J89" si="58">G39*G$49</f>
        <v>113.84920052525879</v>
      </c>
      <c r="H89" s="120">
        <f t="shared" si="58"/>
        <v>112.97243257165988</v>
      </c>
      <c r="I89" s="120">
        <f t="shared" si="58"/>
        <v>111.5</v>
      </c>
      <c r="J89" s="120">
        <f t="shared" si="58"/>
        <v>110.81292975769955</v>
      </c>
      <c r="K89" s="120"/>
      <c r="L89" s="155"/>
      <c r="M89" s="113">
        <f t="shared" si="44"/>
        <v>-3.2624265576431943E-3</v>
      </c>
      <c r="O89" s="94" t="s">
        <v>69</v>
      </c>
      <c r="P89" s="94"/>
      <c r="Q89" s="94"/>
      <c r="R89" s="94"/>
      <c r="S89" s="120">
        <f t="shared" si="45"/>
        <v>167.30128811981066</v>
      </c>
      <c r="T89" s="120">
        <f t="shared" si="45"/>
        <v>151.35893712343585</v>
      </c>
      <c r="U89" s="120">
        <f t="shared" si="45"/>
        <v>176.3753284026935</v>
      </c>
      <c r="V89" s="120">
        <f t="shared" si="45"/>
        <v>172.6</v>
      </c>
      <c r="W89" s="120">
        <f t="shared" ref="W89" si="59">W39*W$49</f>
        <v>123.29059296345494</v>
      </c>
      <c r="X89" s="121"/>
      <c r="Y89" s="207"/>
      <c r="Z89" s="110">
        <f t="shared" si="47"/>
        <v>-7.3473886467296134E-2</v>
      </c>
    </row>
    <row r="90" spans="2:26">
      <c r="B90" s="94"/>
      <c r="C90" s="94"/>
      <c r="D90" s="94"/>
      <c r="E90" s="120"/>
      <c r="F90" s="120"/>
      <c r="G90" s="120"/>
      <c r="H90" s="120"/>
      <c r="I90" s="120"/>
      <c r="J90" s="120"/>
      <c r="K90" s="120"/>
      <c r="L90" s="155"/>
      <c r="M90" s="113"/>
      <c r="O90" s="94"/>
      <c r="P90" s="94"/>
      <c r="Q90" s="94"/>
      <c r="R90" s="94"/>
      <c r="S90" s="120"/>
      <c r="T90" s="120"/>
      <c r="U90" s="120"/>
      <c r="V90" s="120"/>
      <c r="W90" s="120"/>
      <c r="X90" s="121"/>
      <c r="Y90" s="207"/>
      <c r="Z90" s="110"/>
    </row>
    <row r="91" spans="2:26">
      <c r="B91" s="94" t="s">
        <v>71</v>
      </c>
      <c r="C91" s="94"/>
      <c r="D91" s="94"/>
      <c r="E91" s="120"/>
      <c r="F91" s="120">
        <f t="shared" ref="F91:I91" si="60">F41*F$49</f>
        <v>968.00481104989524</v>
      </c>
      <c r="G91" s="120">
        <f t="shared" si="60"/>
        <v>951.93331530974842</v>
      </c>
      <c r="H91" s="120">
        <f t="shared" si="60"/>
        <v>956.38814438679788</v>
      </c>
      <c r="I91" s="120">
        <f t="shared" si="60"/>
        <v>962.4</v>
      </c>
      <c r="J91" s="120">
        <f>J41*J$49</f>
        <v>968.7093186832052</v>
      </c>
      <c r="K91" s="120"/>
      <c r="L91" s="155"/>
      <c r="M91" s="113">
        <f>((J91/F91)^(1/4))-1</f>
        <v>1.8189874441332243E-4</v>
      </c>
      <c r="O91" s="94" t="s">
        <v>71</v>
      </c>
      <c r="P91" s="94"/>
      <c r="Q91" s="94"/>
      <c r="R91" s="94"/>
      <c r="S91" s="120">
        <f t="shared" si="45"/>
        <v>1052.9814890975401</v>
      </c>
      <c r="T91" s="120">
        <f t="shared" si="45"/>
        <v>1055.7725861269892</v>
      </c>
      <c r="U91" s="120">
        <f t="shared" si="45"/>
        <v>996.84023990874664</v>
      </c>
      <c r="V91" s="120">
        <f t="shared" si="45"/>
        <v>1004.4</v>
      </c>
      <c r="W91" s="120">
        <f t="shared" ref="W91" si="61">W41*W$49</f>
        <v>1008.3443854092164</v>
      </c>
      <c r="X91" s="121"/>
      <c r="Y91" s="207"/>
      <c r="Z91" s="110">
        <f t="shared" si="47"/>
        <v>-1.077055032637575E-2</v>
      </c>
    </row>
    <row r="92" spans="2:26">
      <c r="B92" s="94"/>
      <c r="C92" s="94"/>
      <c r="D92" s="94"/>
      <c r="E92" s="120"/>
      <c r="F92" s="121"/>
      <c r="G92" s="121"/>
      <c r="H92" s="121"/>
      <c r="I92" s="121"/>
      <c r="J92" s="121"/>
      <c r="K92" s="121"/>
      <c r="L92" s="207"/>
      <c r="M92" s="113"/>
      <c r="O92" s="94"/>
      <c r="P92" s="94"/>
      <c r="Q92" s="94"/>
      <c r="R92" s="94"/>
      <c r="S92" s="120"/>
      <c r="T92" s="120"/>
      <c r="U92" s="120"/>
      <c r="V92" s="120"/>
      <c r="W92" s="120"/>
      <c r="X92" s="121"/>
      <c r="Y92" s="207"/>
      <c r="Z92" s="110"/>
    </row>
    <row r="93" spans="2:26">
      <c r="B93" s="94" t="s">
        <v>72</v>
      </c>
      <c r="C93" s="94"/>
      <c r="D93" s="94"/>
      <c r="E93" s="120"/>
      <c r="F93" s="121">
        <f t="shared" ref="F93:J93" si="62">F43*F$49</f>
        <v>0</v>
      </c>
      <c r="G93" s="121">
        <f t="shared" si="62"/>
        <v>0</v>
      </c>
      <c r="H93" s="121">
        <f t="shared" si="62"/>
        <v>0</v>
      </c>
      <c r="I93" s="121">
        <f t="shared" si="62"/>
        <v>0</v>
      </c>
      <c r="J93" s="121">
        <f t="shared" si="62"/>
        <v>0</v>
      </c>
      <c r="K93" s="121"/>
      <c r="L93" s="207"/>
      <c r="M93" s="113"/>
      <c r="O93" s="94" t="s">
        <v>72</v>
      </c>
      <c r="P93" s="94"/>
      <c r="Q93" s="94"/>
      <c r="R93" s="94"/>
      <c r="S93" s="120">
        <f t="shared" si="45"/>
        <v>28.178222239466127</v>
      </c>
      <c r="T93" s="120">
        <f t="shared" si="45"/>
        <v>0</v>
      </c>
      <c r="U93" s="120">
        <f t="shared" si="45"/>
        <v>0</v>
      </c>
      <c r="V93" s="120">
        <f t="shared" si="45"/>
        <v>0</v>
      </c>
      <c r="W93" s="120">
        <f t="shared" ref="W93" si="63">W43*W$49</f>
        <v>0</v>
      </c>
      <c r="X93" s="121"/>
      <c r="Y93" s="207"/>
      <c r="Z93" s="110">
        <f t="shared" si="47"/>
        <v>-1</v>
      </c>
    </row>
    <row r="94" spans="2:26">
      <c r="B94" s="94" t="s">
        <v>73</v>
      </c>
      <c r="C94" s="94"/>
      <c r="D94" s="94"/>
      <c r="E94" s="120"/>
      <c r="F94" s="121">
        <f t="shared" ref="F94:J94" si="64">F44*F$49</f>
        <v>0</v>
      </c>
      <c r="G94" s="121">
        <f t="shared" si="64"/>
        <v>0</v>
      </c>
      <c r="H94" s="121">
        <f t="shared" si="64"/>
        <v>0</v>
      </c>
      <c r="I94" s="121">
        <f t="shared" si="64"/>
        <v>0</v>
      </c>
      <c r="J94" s="121">
        <f t="shared" si="64"/>
        <v>0</v>
      </c>
      <c r="K94" s="121"/>
      <c r="L94" s="207"/>
      <c r="M94" s="113"/>
      <c r="O94" s="94" t="s">
        <v>73</v>
      </c>
      <c r="P94" s="94"/>
      <c r="Q94" s="94"/>
      <c r="R94" s="94"/>
      <c r="S94" s="120">
        <f t="shared" si="45"/>
        <v>-10.387266237293396</v>
      </c>
      <c r="T94" s="120">
        <f t="shared" si="45"/>
        <v>-3.6299745095010048</v>
      </c>
      <c r="U94" s="120">
        <f t="shared" si="45"/>
        <v>-0.73358722449129787</v>
      </c>
      <c r="V94" s="120">
        <f t="shared" si="45"/>
        <v>-3.4</v>
      </c>
      <c r="W94" s="120">
        <f t="shared" ref="W94" si="65">W44*W$49</f>
        <v>-11.446333571744834</v>
      </c>
      <c r="X94" s="121"/>
      <c r="Y94" s="207"/>
      <c r="Z94" s="110">
        <f t="shared" si="47"/>
        <v>2.4569170469659563E-2</v>
      </c>
    </row>
    <row r="95" spans="2:26">
      <c r="B95" s="94"/>
      <c r="C95" s="94"/>
      <c r="D95" s="94"/>
      <c r="E95" s="120"/>
      <c r="F95" s="121"/>
      <c r="G95" s="121"/>
      <c r="H95" s="121"/>
      <c r="I95" s="121"/>
      <c r="J95" s="121"/>
      <c r="K95" s="121"/>
      <c r="L95" s="207"/>
      <c r="M95" s="113"/>
      <c r="O95" s="94"/>
      <c r="P95" s="94"/>
      <c r="Q95" s="94"/>
      <c r="R95" s="94"/>
      <c r="S95" s="120"/>
      <c r="T95" s="120"/>
      <c r="U95" s="120"/>
      <c r="V95" s="120"/>
      <c r="W95" s="120"/>
      <c r="X95" s="121"/>
      <c r="Y95" s="207"/>
      <c r="Z95" s="110"/>
    </row>
    <row r="96" spans="2:26">
      <c r="B96" s="94" t="s">
        <v>74</v>
      </c>
      <c r="C96" s="94"/>
      <c r="D96" s="94"/>
      <c r="E96" s="120"/>
      <c r="F96" s="120">
        <f t="shared" ref="F96:J96" si="66">F46*F$49</f>
        <v>968.00481104989524</v>
      </c>
      <c r="G96" s="120">
        <f t="shared" si="66"/>
        <v>951.93331530974842</v>
      </c>
      <c r="H96" s="120">
        <f t="shared" si="66"/>
        <v>956.38814438679788</v>
      </c>
      <c r="I96" s="120">
        <f t="shared" si="66"/>
        <v>962.4</v>
      </c>
      <c r="J96" s="120">
        <f t="shared" si="66"/>
        <v>968.7093186832052</v>
      </c>
      <c r="K96" s="120"/>
      <c r="L96" s="155"/>
      <c r="M96" s="113">
        <f>((J96/F96)^(1/4))-1</f>
        <v>1.8189874441332243E-4</v>
      </c>
      <c r="O96" s="94" t="s">
        <v>74</v>
      </c>
      <c r="P96" s="94"/>
      <c r="Q96" s="94"/>
      <c r="R96" s="94"/>
      <c r="S96" s="120">
        <f>S46*S$49</f>
        <v>1070.7724450997127</v>
      </c>
      <c r="T96" s="120">
        <f t="shared" si="45"/>
        <v>1052.1426116174882</v>
      </c>
      <c r="U96" s="120">
        <f t="shared" si="45"/>
        <v>996.10665268425532</v>
      </c>
      <c r="V96" s="120">
        <f>V46*V$49</f>
        <v>1001</v>
      </c>
      <c r="W96" s="120">
        <f>W46*W$49</f>
        <v>996.89805183747171</v>
      </c>
      <c r="X96" s="120"/>
      <c r="Y96" s="155"/>
      <c r="Z96" s="113">
        <f t="shared" si="47"/>
        <v>-1.7713014234604918E-2</v>
      </c>
    </row>
    <row r="98" spans="2:26">
      <c r="F98" s="38"/>
      <c r="G98" s="38"/>
      <c r="H98" s="38"/>
      <c r="I98" s="38"/>
    </row>
    <row r="99" spans="2:26">
      <c r="J99" s="77"/>
      <c r="K99" s="77"/>
      <c r="L99" s="208"/>
    </row>
    <row r="100" spans="2:26">
      <c r="B100" s="329" t="s">
        <v>445</v>
      </c>
      <c r="C100" s="329"/>
      <c r="D100" s="329"/>
      <c r="E100" s="329"/>
      <c r="F100" s="329"/>
      <c r="G100" s="329"/>
      <c r="H100" s="329"/>
      <c r="I100" s="329"/>
      <c r="J100" s="329"/>
      <c r="K100" s="329"/>
      <c r="L100" s="329"/>
      <c r="M100" s="329"/>
      <c r="N100" s="329"/>
      <c r="O100" s="329"/>
      <c r="P100" s="329"/>
      <c r="Q100" s="329"/>
      <c r="R100" s="329"/>
      <c r="S100" s="329"/>
      <c r="T100" s="329"/>
      <c r="U100" s="329"/>
      <c r="V100" s="329"/>
      <c r="W100" s="329"/>
      <c r="X100" s="329"/>
      <c r="Y100" s="329"/>
      <c r="Z100" s="329"/>
    </row>
    <row r="101" spans="2:26">
      <c r="F101" s="30"/>
      <c r="G101" s="30"/>
      <c r="H101" s="30"/>
      <c r="I101" s="30"/>
      <c r="J101" s="30"/>
      <c r="K101" s="30"/>
      <c r="L101" s="155"/>
      <c r="M101" s="30"/>
    </row>
    <row r="102" spans="2:26">
      <c r="F102" s="30"/>
      <c r="G102" s="30"/>
      <c r="H102" s="30"/>
      <c r="I102" s="30"/>
      <c r="J102" s="30"/>
      <c r="K102" s="30"/>
      <c r="L102" s="155"/>
      <c r="M102" s="30"/>
      <c r="S102" s="30"/>
    </row>
    <row r="103" spans="2:26">
      <c r="F103" s="30"/>
      <c r="G103" s="30"/>
      <c r="H103" s="30"/>
      <c r="I103" s="30"/>
      <c r="J103" s="30"/>
      <c r="K103" s="30"/>
      <c r="L103" s="155"/>
      <c r="M103" s="30"/>
    </row>
    <row r="104" spans="2:26">
      <c r="F104" s="30"/>
      <c r="G104" s="30"/>
      <c r="H104" s="30"/>
      <c r="I104" s="30"/>
      <c r="J104" s="30"/>
      <c r="K104" s="30"/>
      <c r="L104" s="155"/>
      <c r="M104" s="30"/>
    </row>
    <row r="105" spans="2:26">
      <c r="F105" s="30"/>
      <c r="G105" s="30"/>
      <c r="H105" s="30"/>
      <c r="I105" s="30"/>
      <c r="J105" s="30"/>
      <c r="K105" s="30"/>
      <c r="L105" s="155"/>
      <c r="M105" s="30"/>
    </row>
    <row r="106" spans="2:26">
      <c r="F106" s="30"/>
      <c r="G106" s="30"/>
      <c r="H106" s="30"/>
      <c r="I106" s="30"/>
      <c r="J106" s="30"/>
      <c r="K106" s="30"/>
      <c r="L106" s="155"/>
      <c r="M106" s="30"/>
    </row>
    <row r="107" spans="2:26">
      <c r="F107" s="30"/>
      <c r="G107" s="30"/>
      <c r="H107" s="30"/>
      <c r="I107" s="30"/>
      <c r="J107" s="30"/>
      <c r="K107" s="30"/>
      <c r="L107" s="155"/>
      <c r="M107" s="30"/>
    </row>
    <row r="108" spans="2:26">
      <c r="F108" s="30"/>
      <c r="G108" s="30"/>
      <c r="H108" s="30"/>
      <c r="I108" s="30"/>
      <c r="J108" s="30"/>
      <c r="K108" s="30"/>
      <c r="L108" s="155"/>
      <c r="M108" s="30"/>
    </row>
    <row r="109" spans="2:26">
      <c r="F109" s="30"/>
      <c r="G109" s="30"/>
      <c r="H109" s="30"/>
      <c r="I109" s="30"/>
      <c r="J109" s="30"/>
      <c r="K109" s="30"/>
      <c r="L109" s="155"/>
      <c r="M109" s="30"/>
    </row>
    <row r="110" spans="2:26">
      <c r="F110" s="30"/>
      <c r="G110" s="30"/>
      <c r="H110" s="30"/>
      <c r="I110" s="30"/>
      <c r="J110" s="30"/>
      <c r="K110" s="30"/>
      <c r="L110" s="155"/>
    </row>
    <row r="111" spans="2:26">
      <c r="F111" s="30"/>
      <c r="G111" s="30"/>
      <c r="H111" s="30"/>
      <c r="I111" s="30"/>
      <c r="J111" s="30"/>
      <c r="K111" s="30"/>
      <c r="L111" s="155"/>
    </row>
  </sheetData>
  <mergeCells count="16">
    <mergeCell ref="C80:E80"/>
    <mergeCell ref="C53:E53"/>
    <mergeCell ref="C30:E30"/>
    <mergeCell ref="C4:E4"/>
    <mergeCell ref="P4:R4"/>
    <mergeCell ref="P30:R30"/>
    <mergeCell ref="P53:R53"/>
    <mergeCell ref="F80:J80"/>
    <mergeCell ref="S53:W53"/>
    <mergeCell ref="S80:W80"/>
    <mergeCell ref="F4:J4"/>
    <mergeCell ref="F30:J30"/>
    <mergeCell ref="S4:W4"/>
    <mergeCell ref="S30:W30"/>
    <mergeCell ref="F53:J53"/>
    <mergeCell ref="P80:R80"/>
  </mergeCells>
  <pageMargins left="0.7" right="0.7" top="0.75" bottom="0.75" header="0.3" footer="0.3"/>
  <pageSetup paperSize="9" fitToHeight="2" orientation="portrait" r:id="rId1"/>
  <headerFooter>
    <oddHeader>&amp;C&amp;A&amp;D</oddHeader>
  </headerFooter>
  <colBreaks count="1" manualBreakCount="1">
    <brk id="14" max="95" man="1"/>
  </colBreaks>
  <legacyDrawing r:id="rId2"/>
</worksheet>
</file>

<file path=xl/worksheets/sheet4.xml><?xml version="1.0" encoding="utf-8"?>
<worksheet xmlns="http://schemas.openxmlformats.org/spreadsheetml/2006/main" xmlns:r="http://schemas.openxmlformats.org/officeDocument/2006/relationships">
  <dimension ref="B2:AC96"/>
  <sheetViews>
    <sheetView showGridLines="0" zoomScale="55" zoomScaleNormal="55" zoomScaleSheetLayoutView="70" workbookViewId="0">
      <selection activeCell="P3" sqref="P3"/>
    </sheetView>
  </sheetViews>
  <sheetFormatPr defaultRowHeight="12.75"/>
  <cols>
    <col min="1" max="1" width="9.140625" style="19"/>
    <col min="2" max="2" width="55.140625" style="19" customWidth="1"/>
    <col min="3" max="4" width="8.140625" style="19" bestFit="1" customWidth="1"/>
    <col min="5" max="6" width="8" style="19" bestFit="1" customWidth="1"/>
    <col min="7" max="8" width="8.140625" style="19" bestFit="1" customWidth="1"/>
    <col min="9" max="9" width="8" style="19" bestFit="1" customWidth="1"/>
    <col min="10" max="10" width="8.42578125" style="19" bestFit="1" customWidth="1"/>
    <col min="11" max="11" width="8.7109375" style="19" customWidth="1"/>
    <col min="12" max="12" width="8.7109375" style="140" customWidth="1"/>
    <col min="13" max="13" width="10.85546875" style="19" bestFit="1" customWidth="1"/>
    <col min="14" max="14" width="10.5703125" style="19" customWidth="1"/>
    <col min="15" max="15" width="4.140625" style="19" bestFit="1" customWidth="1"/>
    <col min="16" max="16" width="54.140625" style="19" bestFit="1" customWidth="1"/>
    <col min="17" max="17" width="8" style="19" bestFit="1" customWidth="1"/>
    <col min="18" max="18" width="8.42578125" style="19" bestFit="1" customWidth="1"/>
    <col min="19" max="22" width="8" style="19" bestFit="1" customWidth="1"/>
    <col min="23" max="23" width="7.7109375" style="19" customWidth="1"/>
    <col min="24" max="24" width="8.42578125" style="19" bestFit="1" customWidth="1"/>
    <col min="25" max="25" width="7.7109375" style="19" bestFit="1" customWidth="1"/>
    <col min="26" max="26" width="7.7109375" style="140" customWidth="1"/>
    <col min="27" max="27" width="10.85546875" style="19" bestFit="1" customWidth="1"/>
    <col min="28" max="28" width="9.140625" style="19"/>
    <col min="29" max="29" width="11.5703125" style="19" bestFit="1" customWidth="1"/>
    <col min="30" max="16384" width="9.140625" style="19"/>
  </cols>
  <sheetData>
    <row r="2" spans="2:27">
      <c r="B2" s="261" t="s">
        <v>739</v>
      </c>
      <c r="C2" s="18"/>
      <c r="D2" s="18"/>
      <c r="E2" s="18"/>
      <c r="P2" s="261" t="s">
        <v>803</v>
      </c>
      <c r="Q2" s="18"/>
      <c r="R2" s="18"/>
      <c r="S2" s="18"/>
    </row>
    <row r="3" spans="2:27">
      <c r="C3" s="18"/>
      <c r="D3" s="18"/>
      <c r="E3" s="18"/>
      <c r="Q3" s="18"/>
      <c r="R3" s="18"/>
      <c r="S3" s="18"/>
    </row>
    <row r="4" spans="2:27">
      <c r="B4" s="84" t="s">
        <v>75</v>
      </c>
      <c r="C4" s="626" t="s">
        <v>77</v>
      </c>
      <c r="D4" s="627"/>
      <c r="E4" s="628"/>
      <c r="F4" s="626" t="s">
        <v>30</v>
      </c>
      <c r="G4" s="627"/>
      <c r="H4" s="627"/>
      <c r="I4" s="627"/>
      <c r="J4" s="628"/>
      <c r="K4" s="554" t="s">
        <v>187</v>
      </c>
      <c r="L4" s="555"/>
      <c r="M4" s="86"/>
      <c r="N4" s="199"/>
      <c r="P4" s="84" t="s">
        <v>75</v>
      </c>
      <c r="Q4" s="626" t="s">
        <v>77</v>
      </c>
      <c r="R4" s="627"/>
      <c r="S4" s="628"/>
      <c r="T4" s="626" t="s">
        <v>30</v>
      </c>
      <c r="U4" s="627"/>
      <c r="V4" s="627"/>
      <c r="W4" s="627"/>
      <c r="X4" s="628"/>
      <c r="Y4" s="554" t="s">
        <v>187</v>
      </c>
      <c r="Z4" s="555"/>
      <c r="AA4" s="86"/>
    </row>
    <row r="5" spans="2:27">
      <c r="B5" s="29" t="s">
        <v>46</v>
      </c>
      <c r="C5" s="18" t="s">
        <v>80</v>
      </c>
      <c r="D5" s="18" t="s">
        <v>44</v>
      </c>
      <c r="E5" s="18" t="s">
        <v>45</v>
      </c>
      <c r="F5" s="18" t="s">
        <v>12</v>
      </c>
      <c r="G5" s="18" t="s">
        <v>13</v>
      </c>
      <c r="H5" s="18" t="s">
        <v>14</v>
      </c>
      <c r="I5" s="18" t="s">
        <v>15</v>
      </c>
      <c r="J5" s="18" t="s">
        <v>16</v>
      </c>
      <c r="K5" s="18" t="s">
        <v>17</v>
      </c>
      <c r="L5" s="154"/>
      <c r="M5" s="18" t="s">
        <v>99</v>
      </c>
      <c r="N5" s="261"/>
      <c r="P5" s="29" t="s">
        <v>46</v>
      </c>
      <c r="Q5" s="18" t="s">
        <v>80</v>
      </c>
      <c r="R5" s="18" t="s">
        <v>44</v>
      </c>
      <c r="S5" s="18" t="s">
        <v>45</v>
      </c>
      <c r="T5" s="18" t="s">
        <v>12</v>
      </c>
      <c r="U5" s="18" t="s">
        <v>13</v>
      </c>
      <c r="V5" s="18" t="s">
        <v>14</v>
      </c>
      <c r="W5" s="18" t="s">
        <v>15</v>
      </c>
      <c r="X5" s="18" t="s">
        <v>16</v>
      </c>
      <c r="Y5" s="18" t="s">
        <v>17</v>
      </c>
      <c r="Z5" s="154"/>
      <c r="AA5" s="18" t="s">
        <v>99</v>
      </c>
    </row>
    <row r="6" spans="2:27">
      <c r="B6" s="92" t="s">
        <v>53</v>
      </c>
      <c r="C6" s="109">
        <v>36000</v>
      </c>
      <c r="D6" s="109">
        <v>38600</v>
      </c>
      <c r="E6" s="109">
        <v>39700</v>
      </c>
      <c r="F6" s="109">
        <v>35900</v>
      </c>
      <c r="G6" s="109">
        <v>36400</v>
      </c>
      <c r="H6" s="109">
        <v>36800</v>
      </c>
      <c r="I6" s="109">
        <v>37200</v>
      </c>
      <c r="J6" s="109">
        <v>37700</v>
      </c>
      <c r="K6" s="124"/>
      <c r="L6" s="207"/>
      <c r="M6" s="110">
        <f>((I6/F6)^(1/4))-1</f>
        <v>8.9325254566203771E-3</v>
      </c>
      <c r="N6" s="156"/>
      <c r="P6" s="92" t="s">
        <v>53</v>
      </c>
      <c r="Q6" s="109">
        <v>32845</v>
      </c>
      <c r="R6" s="109">
        <v>34383</v>
      </c>
      <c r="S6" s="109">
        <v>35562</v>
      </c>
      <c r="T6" s="109">
        <v>33105</v>
      </c>
      <c r="U6" s="109">
        <v>32397</v>
      </c>
      <c r="V6" s="109">
        <v>31647</v>
      </c>
      <c r="W6" s="109">
        <v>33819</v>
      </c>
      <c r="X6" s="109">
        <v>34241</v>
      </c>
      <c r="Y6" s="124"/>
      <c r="Z6" s="207"/>
      <c r="AA6" s="110">
        <f>((W6/T6)^(1/3))-1</f>
        <v>7.1381716052836275E-3</v>
      </c>
    </row>
    <row r="7" spans="2:27">
      <c r="B7" s="94" t="s">
        <v>57</v>
      </c>
      <c r="C7" s="112">
        <v>165.2</v>
      </c>
      <c r="D7" s="112">
        <v>183.7</v>
      </c>
      <c r="E7" s="112">
        <v>196.7</v>
      </c>
      <c r="F7" s="112">
        <v>250.9</v>
      </c>
      <c r="G7" s="112">
        <v>270.7</v>
      </c>
      <c r="H7" s="112">
        <v>275.89999999999998</v>
      </c>
      <c r="I7" s="112">
        <v>297.7</v>
      </c>
      <c r="J7" s="114">
        <v>323.5</v>
      </c>
      <c r="K7" s="114"/>
      <c r="L7" s="207"/>
      <c r="M7" s="110">
        <f t="shared" ref="M7:M24" si="0">((I7/F7)^(1/4))-1</f>
        <v>4.3685244084247898E-2</v>
      </c>
      <c r="N7" s="156"/>
      <c r="P7" s="94" t="s">
        <v>57</v>
      </c>
      <c r="Q7" s="112">
        <v>153.4</v>
      </c>
      <c r="R7" s="112">
        <v>163.80000000000001</v>
      </c>
      <c r="S7" s="112">
        <v>178.3</v>
      </c>
      <c r="T7" s="112">
        <v>234.5</v>
      </c>
      <c r="U7" s="112">
        <v>241.6</v>
      </c>
      <c r="V7" s="112">
        <v>241.9</v>
      </c>
      <c r="W7" s="112">
        <v>271.3</v>
      </c>
      <c r="X7" s="114">
        <v>282.5</v>
      </c>
      <c r="Y7" s="114"/>
      <c r="Z7" s="207"/>
      <c r="AA7" s="113">
        <f t="shared" ref="AA7:AA45" si="1">((W7/T7)^(1/3))-1</f>
        <v>4.9789719803478016E-2</v>
      </c>
    </row>
    <row r="8" spans="2:27">
      <c r="B8" s="94" t="s">
        <v>54</v>
      </c>
      <c r="C8" s="112">
        <v>203.7</v>
      </c>
      <c r="D8" s="112">
        <v>223.2</v>
      </c>
      <c r="E8" s="112">
        <v>236.7</v>
      </c>
      <c r="F8" s="112">
        <v>222.1</v>
      </c>
      <c r="G8" s="112">
        <v>224.9</v>
      </c>
      <c r="H8" s="112">
        <v>237.8</v>
      </c>
      <c r="I8" s="112">
        <v>252.2</v>
      </c>
      <c r="J8" s="112">
        <v>261.7</v>
      </c>
      <c r="K8" s="114"/>
      <c r="L8" s="207"/>
      <c r="M8" s="110">
        <f t="shared" si="0"/>
        <v>3.2283845321190219E-2</v>
      </c>
      <c r="N8" s="156"/>
      <c r="P8" s="94" t="s">
        <v>54</v>
      </c>
      <c r="Q8" s="112">
        <v>201.7</v>
      </c>
      <c r="R8" s="112">
        <v>213</v>
      </c>
      <c r="S8" s="112">
        <v>225.2</v>
      </c>
      <c r="T8" s="112">
        <v>220.3</v>
      </c>
      <c r="U8" s="112">
        <v>219.6</v>
      </c>
      <c r="V8" s="112">
        <v>217.1</v>
      </c>
      <c r="W8" s="112">
        <v>231.4</v>
      </c>
      <c r="X8" s="114">
        <v>239.2</v>
      </c>
      <c r="Y8" s="114"/>
      <c r="Z8" s="207"/>
      <c r="AA8" s="113">
        <f t="shared" si="1"/>
        <v>1.652083802055504E-2</v>
      </c>
    </row>
    <row r="9" spans="2:27">
      <c r="B9" s="94" t="s">
        <v>58</v>
      </c>
      <c r="C9" s="112">
        <v>368.9</v>
      </c>
      <c r="D9" s="112">
        <v>406.9</v>
      </c>
      <c r="E9" s="112">
        <v>433.4</v>
      </c>
      <c r="F9" s="112">
        <v>473</v>
      </c>
      <c r="G9" s="112">
        <v>495.6</v>
      </c>
      <c r="H9" s="112">
        <v>513.70000000000005</v>
      </c>
      <c r="I9" s="112">
        <v>549.9</v>
      </c>
      <c r="J9" s="112">
        <v>585.20000000000005</v>
      </c>
      <c r="K9" s="114"/>
      <c r="L9" s="207"/>
      <c r="M9" s="110">
        <f t="shared" si="0"/>
        <v>3.837839816911548E-2</v>
      </c>
      <c r="N9" s="156"/>
      <c r="P9" s="94" t="s">
        <v>58</v>
      </c>
      <c r="Q9" s="112">
        <v>355.1</v>
      </c>
      <c r="R9" s="112">
        <v>376.8</v>
      </c>
      <c r="S9" s="112">
        <v>403.5</v>
      </c>
      <c r="T9" s="112">
        <v>454.8</v>
      </c>
      <c r="U9" s="112">
        <v>461.2</v>
      </c>
      <c r="V9" s="112">
        <v>459</v>
      </c>
      <c r="W9" s="112">
        <v>502.7</v>
      </c>
      <c r="X9" s="114">
        <v>521.70000000000005</v>
      </c>
      <c r="Y9" s="114"/>
      <c r="Z9" s="207"/>
      <c r="AA9" s="113">
        <f t="shared" si="1"/>
        <v>3.3941918598853871E-2</v>
      </c>
    </row>
    <row r="10" spans="2:27">
      <c r="B10" s="94" t="s">
        <v>55</v>
      </c>
      <c r="C10" s="112">
        <v>195.8</v>
      </c>
      <c r="D10" s="112">
        <v>211.9</v>
      </c>
      <c r="E10" s="112">
        <v>227.7</v>
      </c>
      <c r="F10" s="112">
        <v>284.89999999999998</v>
      </c>
      <c r="G10" s="112">
        <v>284.89999999999998</v>
      </c>
      <c r="H10" s="112">
        <v>299.2</v>
      </c>
      <c r="I10" s="112">
        <v>314.8</v>
      </c>
      <c r="J10" s="112">
        <v>322.39999999999998</v>
      </c>
      <c r="K10" s="114"/>
      <c r="L10" s="207"/>
      <c r="M10" s="110">
        <f t="shared" si="0"/>
        <v>2.5263670231063351E-2</v>
      </c>
      <c r="N10" s="156"/>
      <c r="P10" s="94" t="s">
        <v>55</v>
      </c>
      <c r="Q10" s="112">
        <v>223.4</v>
      </c>
      <c r="R10" s="112">
        <v>225.4</v>
      </c>
      <c r="S10" s="112">
        <v>272.3</v>
      </c>
      <c r="T10" s="112">
        <v>282.10000000000002</v>
      </c>
      <c r="U10" s="112">
        <v>289.60000000000002</v>
      </c>
      <c r="V10" s="112">
        <v>268</v>
      </c>
      <c r="W10" s="112">
        <v>280.89999999999998</v>
      </c>
      <c r="X10" s="114">
        <v>294.2</v>
      </c>
      <c r="Y10" s="114"/>
      <c r="Z10" s="207"/>
      <c r="AA10" s="113">
        <f t="shared" si="1"/>
        <v>-1.4199522117586127E-3</v>
      </c>
    </row>
    <row r="11" spans="2:27">
      <c r="B11" s="94" t="s">
        <v>76</v>
      </c>
      <c r="C11" s="112">
        <v>63.8</v>
      </c>
      <c r="D11" s="112">
        <v>70.400000000000006</v>
      </c>
      <c r="E11" s="112">
        <v>79.8</v>
      </c>
      <c r="F11" s="112">
        <v>76.5</v>
      </c>
      <c r="G11" s="112">
        <v>81.3</v>
      </c>
      <c r="H11" s="112">
        <v>89.8</v>
      </c>
      <c r="I11" s="112">
        <v>98.1</v>
      </c>
      <c r="J11" s="112">
        <v>114.5</v>
      </c>
      <c r="K11" s="114"/>
      <c r="L11" s="207"/>
      <c r="M11" s="110">
        <f t="shared" si="0"/>
        <v>6.4147656752826077E-2</v>
      </c>
      <c r="N11" s="156"/>
      <c r="P11" s="94" t="s">
        <v>76</v>
      </c>
      <c r="Q11" s="112">
        <v>63.8</v>
      </c>
      <c r="R11" s="112">
        <v>70.400000000000006</v>
      </c>
      <c r="S11" s="112">
        <v>79.8</v>
      </c>
      <c r="T11" s="112">
        <v>76.5</v>
      </c>
      <c r="U11" s="112">
        <v>81.3</v>
      </c>
      <c r="V11" s="112">
        <v>89.8</v>
      </c>
      <c r="W11" s="112">
        <v>98.1</v>
      </c>
      <c r="X11" s="114">
        <v>114.5</v>
      </c>
      <c r="Y11" s="114"/>
      <c r="Z11" s="207"/>
      <c r="AA11" s="113">
        <f t="shared" si="1"/>
        <v>8.6431937830855787E-2</v>
      </c>
    </row>
    <row r="12" spans="2:27">
      <c r="B12" s="94" t="s">
        <v>59</v>
      </c>
      <c r="C12" s="112">
        <v>259.60000000000002</v>
      </c>
      <c r="D12" s="112">
        <v>282.3</v>
      </c>
      <c r="E12" s="112">
        <v>307.5</v>
      </c>
      <c r="F12" s="112">
        <v>361.4</v>
      </c>
      <c r="G12" s="112">
        <v>366.2</v>
      </c>
      <c r="H12" s="112">
        <v>389</v>
      </c>
      <c r="I12" s="112">
        <v>412.9</v>
      </c>
      <c r="J12" s="112">
        <v>436.9</v>
      </c>
      <c r="K12" s="114"/>
      <c r="L12" s="207"/>
      <c r="M12" s="110">
        <f t="shared" si="0"/>
        <v>3.3865834380562676E-2</v>
      </c>
      <c r="N12" s="156"/>
      <c r="P12" s="94" t="s">
        <v>59</v>
      </c>
      <c r="Q12" s="112">
        <v>287.2</v>
      </c>
      <c r="R12" s="112">
        <v>295.8</v>
      </c>
      <c r="S12" s="112">
        <v>352.1</v>
      </c>
      <c r="T12" s="112">
        <v>358.6</v>
      </c>
      <c r="U12" s="112">
        <v>370.9</v>
      </c>
      <c r="V12" s="112">
        <v>357.8</v>
      </c>
      <c r="W12" s="112">
        <v>379</v>
      </c>
      <c r="X12" s="114">
        <v>408.7</v>
      </c>
      <c r="Y12" s="114"/>
      <c r="Z12" s="207"/>
      <c r="AA12" s="113">
        <f t="shared" si="1"/>
        <v>1.8614001604201347E-2</v>
      </c>
    </row>
    <row r="13" spans="2:27">
      <c r="B13" s="94"/>
      <c r="C13" s="112"/>
      <c r="D13" s="112"/>
      <c r="E13" s="112"/>
      <c r="F13" s="112"/>
      <c r="G13" s="112"/>
      <c r="H13" s="112"/>
      <c r="I13" s="112"/>
      <c r="J13" s="114"/>
      <c r="K13" s="114"/>
      <c r="L13" s="207"/>
      <c r="M13" s="110"/>
      <c r="N13" s="156"/>
      <c r="P13" s="94"/>
      <c r="Q13" s="112"/>
      <c r="R13" s="112"/>
      <c r="S13" s="112"/>
      <c r="T13" s="112"/>
      <c r="U13" s="112"/>
      <c r="V13" s="112"/>
      <c r="W13" s="112"/>
      <c r="X13" s="114"/>
      <c r="Y13" s="114"/>
      <c r="Z13" s="207"/>
      <c r="AA13" s="113"/>
    </row>
    <row r="14" spans="2:27">
      <c r="B14" s="94" t="s">
        <v>201</v>
      </c>
      <c r="C14" s="112">
        <v>109.3</v>
      </c>
      <c r="D14" s="112">
        <v>124.6</v>
      </c>
      <c r="E14" s="112">
        <v>125.9</v>
      </c>
      <c r="F14" s="112">
        <v>111.6</v>
      </c>
      <c r="G14" s="112">
        <v>129.4</v>
      </c>
      <c r="H14" s="112">
        <v>124.7</v>
      </c>
      <c r="I14" s="112">
        <v>137</v>
      </c>
      <c r="J14" s="112">
        <v>148.30000000000001</v>
      </c>
      <c r="K14" s="114"/>
      <c r="L14" s="207"/>
      <c r="M14" s="110">
        <f t="shared" si="0"/>
        <v>5.2601763140883051E-2</v>
      </c>
      <c r="N14" s="156"/>
      <c r="P14" s="94" t="s">
        <v>201</v>
      </c>
      <c r="Q14" s="112">
        <v>67.900000000000006</v>
      </c>
      <c r="R14" s="112">
        <v>81</v>
      </c>
      <c r="S14" s="112">
        <v>51.4</v>
      </c>
      <c r="T14" s="112">
        <v>96.2</v>
      </c>
      <c r="U14" s="112">
        <v>90.3</v>
      </c>
      <c r="V14" s="112">
        <v>101.2</v>
      </c>
      <c r="W14" s="112">
        <v>123.7</v>
      </c>
      <c r="X14" s="114">
        <v>113</v>
      </c>
      <c r="Y14" s="114"/>
      <c r="Z14" s="207"/>
      <c r="AA14" s="113">
        <f t="shared" si="1"/>
        <v>8.742223557744766E-2</v>
      </c>
    </row>
    <row r="15" spans="2:27">
      <c r="B15" s="94" t="s">
        <v>202</v>
      </c>
      <c r="C15" s="112">
        <v>0</v>
      </c>
      <c r="D15" s="112">
        <v>0</v>
      </c>
      <c r="E15" s="112">
        <v>0</v>
      </c>
      <c r="F15" s="112">
        <v>0</v>
      </c>
      <c r="G15" s="112">
        <v>0</v>
      </c>
      <c r="H15" s="112">
        <v>0</v>
      </c>
      <c r="I15" s="112">
        <v>0</v>
      </c>
      <c r="J15" s="112">
        <v>0</v>
      </c>
      <c r="K15" s="114"/>
      <c r="L15" s="207"/>
      <c r="M15" s="110"/>
      <c r="N15" s="156"/>
      <c r="P15" s="94" t="s">
        <v>202</v>
      </c>
      <c r="Q15" s="112">
        <v>0</v>
      </c>
      <c r="R15" s="112">
        <v>0</v>
      </c>
      <c r="S15" s="112">
        <v>0</v>
      </c>
      <c r="T15" s="112">
        <v>0</v>
      </c>
      <c r="U15" s="112">
        <v>120</v>
      </c>
      <c r="V15" s="112">
        <v>17</v>
      </c>
      <c r="W15" s="112">
        <v>0</v>
      </c>
      <c r="X15" s="114">
        <v>0</v>
      </c>
      <c r="Y15" s="114"/>
      <c r="Z15" s="207"/>
      <c r="AA15" s="113"/>
    </row>
    <row r="16" spans="2:27">
      <c r="B16" s="94" t="s">
        <v>56</v>
      </c>
      <c r="C16" s="112">
        <v>109.3</v>
      </c>
      <c r="D16" s="112">
        <v>124.6</v>
      </c>
      <c r="E16" s="112">
        <v>125.9</v>
      </c>
      <c r="F16" s="112">
        <v>111.6</v>
      </c>
      <c r="G16" s="112">
        <v>129.4</v>
      </c>
      <c r="H16" s="112">
        <v>124.7</v>
      </c>
      <c r="I16" s="112">
        <v>137</v>
      </c>
      <c r="J16" s="114">
        <v>148</v>
      </c>
      <c r="K16" s="114"/>
      <c r="L16" s="207"/>
      <c r="M16" s="110">
        <f t="shared" si="0"/>
        <v>5.2601763140883051E-2</v>
      </c>
      <c r="N16" s="156"/>
      <c r="P16" s="94" t="s">
        <v>56</v>
      </c>
      <c r="Q16" s="112">
        <v>67.900000000000006</v>
      </c>
      <c r="R16" s="112">
        <v>81</v>
      </c>
      <c r="S16" s="112">
        <v>51.4</v>
      </c>
      <c r="T16" s="112">
        <v>96.2</v>
      </c>
      <c r="U16" s="112">
        <v>-29.7</v>
      </c>
      <c r="V16" s="112">
        <v>84.2</v>
      </c>
      <c r="W16" s="112">
        <v>123.7</v>
      </c>
      <c r="X16" s="114">
        <v>113</v>
      </c>
      <c r="Y16" s="114"/>
      <c r="Z16" s="207"/>
      <c r="AA16" s="113">
        <f t="shared" si="1"/>
        <v>8.742223557744766E-2</v>
      </c>
    </row>
    <row r="17" spans="2:29">
      <c r="B17" s="94"/>
      <c r="C17" s="112"/>
      <c r="D17" s="112"/>
      <c r="E17" s="112"/>
      <c r="F17" s="112"/>
      <c r="G17" s="112"/>
      <c r="H17" s="112"/>
      <c r="I17" s="112"/>
      <c r="J17" s="114"/>
      <c r="K17" s="114"/>
      <c r="L17" s="207"/>
      <c r="M17" s="110"/>
      <c r="N17" s="156"/>
      <c r="P17" s="94"/>
      <c r="Q17" s="112"/>
      <c r="R17" s="112"/>
      <c r="S17" s="112"/>
      <c r="T17" s="112"/>
      <c r="U17" s="112"/>
      <c r="V17" s="112"/>
      <c r="W17" s="112"/>
      <c r="X17" s="114"/>
      <c r="Y17" s="114"/>
      <c r="Z17" s="207"/>
      <c r="AA17" s="113"/>
    </row>
    <row r="18" spans="2:29">
      <c r="B18" s="94" t="s">
        <v>60</v>
      </c>
      <c r="C18" s="112">
        <v>110.2</v>
      </c>
      <c r="D18" s="112">
        <v>148.4</v>
      </c>
      <c r="E18" s="112">
        <v>177.1</v>
      </c>
      <c r="F18" s="112">
        <v>200.6</v>
      </c>
      <c r="G18" s="112">
        <v>257.7</v>
      </c>
      <c r="H18" s="112">
        <v>259.7</v>
      </c>
      <c r="I18" s="112">
        <v>167.4</v>
      </c>
      <c r="J18" s="112">
        <v>105</v>
      </c>
      <c r="K18" s="114"/>
      <c r="L18" s="207"/>
      <c r="M18" s="110">
        <f t="shared" si="0"/>
        <v>-4.4223977404652004E-2</v>
      </c>
      <c r="N18" s="156"/>
      <c r="P18" s="94" t="s">
        <v>60</v>
      </c>
      <c r="Q18" s="112">
        <v>84.1</v>
      </c>
      <c r="R18" s="112">
        <v>101</v>
      </c>
      <c r="S18" s="112">
        <v>103.7</v>
      </c>
      <c r="T18" s="112">
        <v>104</v>
      </c>
      <c r="U18" s="112">
        <v>181.4</v>
      </c>
      <c r="V18" s="112">
        <v>232.2</v>
      </c>
      <c r="W18" s="112">
        <v>239.2</v>
      </c>
      <c r="X18" s="114">
        <v>226.7</v>
      </c>
      <c r="Y18" s="114"/>
      <c r="Z18" s="207"/>
      <c r="AA18" s="113">
        <f t="shared" si="1"/>
        <v>0.32000612179591226</v>
      </c>
    </row>
    <row r="19" spans="2:29">
      <c r="B19" s="94"/>
      <c r="C19" s="112"/>
      <c r="D19" s="112"/>
      <c r="E19" s="112"/>
      <c r="F19" s="112"/>
      <c r="G19" s="112"/>
      <c r="H19" s="112"/>
      <c r="I19" s="112"/>
      <c r="J19" s="114"/>
      <c r="K19" s="114"/>
      <c r="L19" s="207"/>
      <c r="M19" s="110"/>
      <c r="N19" s="156"/>
      <c r="P19" s="94"/>
      <c r="Q19" s="112"/>
      <c r="R19" s="112"/>
      <c r="S19" s="112"/>
      <c r="T19" s="112"/>
      <c r="U19" s="112"/>
      <c r="V19" s="112"/>
      <c r="W19" s="112"/>
      <c r="X19" s="114"/>
      <c r="Y19" s="114"/>
      <c r="Z19" s="207"/>
      <c r="AA19" s="113"/>
    </row>
    <row r="20" spans="2:29">
      <c r="B20" s="94" t="s">
        <v>61</v>
      </c>
      <c r="C20" s="112">
        <v>1329.7</v>
      </c>
      <c r="D20" s="112">
        <v>1408</v>
      </c>
      <c r="E20" s="112">
        <v>1555.5</v>
      </c>
      <c r="F20" s="112">
        <v>1559.7</v>
      </c>
      <c r="G20" s="112">
        <v>1670.6</v>
      </c>
      <c r="H20" s="112">
        <v>1922</v>
      </c>
      <c r="I20" s="112">
        <v>2201.1</v>
      </c>
      <c r="J20" s="112">
        <v>2353.1</v>
      </c>
      <c r="K20" s="114"/>
      <c r="L20" s="207"/>
      <c r="M20" s="110">
        <f t="shared" si="0"/>
        <v>8.99326824160811E-2</v>
      </c>
      <c r="N20" s="156"/>
      <c r="P20" s="94" t="s">
        <v>61</v>
      </c>
      <c r="Q20" s="112">
        <v>1364.1</v>
      </c>
      <c r="R20" s="112">
        <v>1416.8</v>
      </c>
      <c r="S20" s="112">
        <v>1515.7</v>
      </c>
      <c r="T20" s="112">
        <v>1559.7</v>
      </c>
      <c r="U20" s="112">
        <v>1575.5</v>
      </c>
      <c r="V20" s="112">
        <v>1744.6</v>
      </c>
      <c r="W20" s="112">
        <v>1985.5</v>
      </c>
      <c r="X20" s="114">
        <v>2200.9</v>
      </c>
      <c r="Y20" s="114"/>
      <c r="Z20" s="207"/>
      <c r="AA20" s="113">
        <f t="shared" si="1"/>
        <v>8.3784510464171902E-2</v>
      </c>
    </row>
    <row r="21" spans="2:29">
      <c r="B21" s="94"/>
      <c r="C21" s="112"/>
      <c r="D21" s="112"/>
      <c r="E21" s="112"/>
      <c r="F21" s="112"/>
      <c r="G21" s="112"/>
      <c r="H21" s="112"/>
      <c r="I21" s="112"/>
      <c r="J21" s="114"/>
      <c r="K21" s="114"/>
      <c r="L21" s="207"/>
      <c r="M21" s="110"/>
      <c r="N21" s="156"/>
      <c r="P21" s="94"/>
      <c r="Q21" s="112"/>
      <c r="R21" s="112"/>
      <c r="S21" s="112"/>
      <c r="T21" s="112"/>
      <c r="U21" s="112"/>
      <c r="V21" s="112"/>
      <c r="W21" s="112"/>
      <c r="X21" s="114"/>
      <c r="Y21" s="114"/>
      <c r="Z21" s="207"/>
      <c r="AA21" s="113"/>
    </row>
    <row r="22" spans="2:29">
      <c r="B22" s="94" t="s">
        <v>63</v>
      </c>
      <c r="C22" s="112">
        <v>1408</v>
      </c>
      <c r="D22" s="112">
        <v>1555.5</v>
      </c>
      <c r="E22" s="112">
        <v>1559.7</v>
      </c>
      <c r="F22" s="112">
        <v>1670.6</v>
      </c>
      <c r="G22" s="112">
        <v>1922</v>
      </c>
      <c r="H22" s="112">
        <v>2201.1</v>
      </c>
      <c r="I22" s="112">
        <v>2353.1</v>
      </c>
      <c r="J22" s="112">
        <v>2425.5</v>
      </c>
      <c r="K22" s="114"/>
      <c r="L22" s="207"/>
      <c r="M22" s="110">
        <f t="shared" si="0"/>
        <v>8.9411553303577973E-2</v>
      </c>
      <c r="N22" s="156"/>
      <c r="P22" s="94" t="s">
        <v>63</v>
      </c>
      <c r="Q22" s="112">
        <v>1416.8</v>
      </c>
      <c r="R22" s="112">
        <v>1515.7</v>
      </c>
      <c r="S22" s="112">
        <v>1559.7</v>
      </c>
      <c r="T22" s="112">
        <v>1575.5</v>
      </c>
      <c r="U22" s="112">
        <v>1744.6</v>
      </c>
      <c r="V22" s="112">
        <v>1985.5</v>
      </c>
      <c r="W22" s="112">
        <v>2200.9</v>
      </c>
      <c r="X22" s="114">
        <v>2391.6</v>
      </c>
      <c r="Y22" s="114"/>
      <c r="Z22" s="207"/>
      <c r="AA22" s="113">
        <f t="shared" si="1"/>
        <v>0.11787686325722224</v>
      </c>
    </row>
    <row r="23" spans="2:29">
      <c r="B23" s="94"/>
      <c r="C23" s="112"/>
      <c r="D23" s="112"/>
      <c r="E23" s="112"/>
      <c r="F23" s="112"/>
      <c r="G23" s="112"/>
      <c r="H23" s="112"/>
      <c r="I23" s="112"/>
      <c r="J23" s="114"/>
      <c r="K23" s="114"/>
      <c r="L23" s="207"/>
      <c r="M23" s="110"/>
      <c r="N23" s="156"/>
      <c r="P23" s="94"/>
      <c r="Q23" s="112"/>
      <c r="R23" s="112"/>
      <c r="S23" s="112"/>
      <c r="T23" s="112"/>
      <c r="U23" s="112"/>
      <c r="V23" s="112"/>
      <c r="W23" s="112"/>
      <c r="X23" s="114"/>
      <c r="Y23" s="114"/>
      <c r="Z23" s="207"/>
      <c r="AA23" s="113"/>
    </row>
    <row r="24" spans="2:29">
      <c r="B24" s="94" t="s">
        <v>62</v>
      </c>
      <c r="C24" s="112">
        <v>1368.1</v>
      </c>
      <c r="D24" s="112">
        <v>1480.3</v>
      </c>
      <c r="E24" s="112">
        <v>1557.6</v>
      </c>
      <c r="F24" s="112">
        <v>1615.1</v>
      </c>
      <c r="G24" s="112">
        <v>1796.3</v>
      </c>
      <c r="H24" s="112">
        <v>2061.6</v>
      </c>
      <c r="I24" s="112">
        <v>2277.1</v>
      </c>
      <c r="J24" s="114">
        <v>2389.3000000000002</v>
      </c>
      <c r="K24" s="114"/>
      <c r="L24" s="207"/>
      <c r="M24" s="110">
        <f t="shared" si="0"/>
        <v>8.9671699029816532E-2</v>
      </c>
      <c r="N24" s="61"/>
      <c r="P24" s="94" t="s">
        <v>62</v>
      </c>
      <c r="Q24" s="112">
        <v>1390</v>
      </c>
      <c r="R24" s="112">
        <v>1465.3</v>
      </c>
      <c r="S24" s="112">
        <v>1559.7</v>
      </c>
      <c r="T24" s="112">
        <v>1567.6</v>
      </c>
      <c r="U24" s="112">
        <v>1660.1</v>
      </c>
      <c r="V24" s="112">
        <v>1865.2</v>
      </c>
      <c r="W24" s="112">
        <v>2093.1999999999998</v>
      </c>
      <c r="X24" s="114">
        <v>2296.3000000000002</v>
      </c>
      <c r="Y24" s="114"/>
      <c r="Z24" s="207"/>
      <c r="AA24" s="113">
        <f t="shared" si="1"/>
        <v>0.1011804448120901</v>
      </c>
    </row>
    <row r="25" spans="2:29">
      <c r="B25" s="94"/>
      <c r="C25" s="114"/>
      <c r="D25" s="114"/>
      <c r="E25" s="114"/>
      <c r="F25" s="114"/>
      <c r="G25" s="114"/>
      <c r="H25" s="114"/>
      <c r="I25" s="114"/>
      <c r="J25" s="114"/>
      <c r="K25" s="114"/>
      <c r="L25" s="207"/>
      <c r="M25" s="110"/>
      <c r="N25" s="156"/>
      <c r="P25" s="94"/>
      <c r="Q25" s="114"/>
      <c r="R25" s="114"/>
      <c r="S25" s="114"/>
      <c r="T25" s="114"/>
      <c r="U25" s="114"/>
      <c r="V25" s="114"/>
      <c r="W25" s="114"/>
      <c r="X25" s="114"/>
      <c r="Y25" s="114"/>
      <c r="Z25" s="207"/>
      <c r="AA25" s="113"/>
    </row>
    <row r="26" spans="2:29">
      <c r="B26" s="94" t="s">
        <v>203</v>
      </c>
      <c r="C26" s="114">
        <v>8</v>
      </c>
      <c r="D26" s="114">
        <v>8.4</v>
      </c>
      <c r="E26" s="114">
        <v>8.1</v>
      </c>
      <c r="F26" s="114">
        <v>6.9</v>
      </c>
      <c r="G26" s="114">
        <v>7.2</v>
      </c>
      <c r="H26" s="114">
        <v>6</v>
      </c>
      <c r="I26" s="114">
        <v>6</v>
      </c>
      <c r="J26" s="114">
        <v>6.2</v>
      </c>
      <c r="K26" s="114"/>
      <c r="L26" s="207"/>
      <c r="M26" s="110"/>
      <c r="N26" s="156"/>
      <c r="P26" s="94" t="s">
        <v>203</v>
      </c>
      <c r="Q26" s="114">
        <v>4.9000000000000004</v>
      </c>
      <c r="R26" s="114">
        <v>5.5</v>
      </c>
      <c r="S26" s="114">
        <v>3.3</v>
      </c>
      <c r="T26" s="114">
        <v>6.1</v>
      </c>
      <c r="U26" s="114">
        <v>5.4</v>
      </c>
      <c r="V26" s="114">
        <v>5.4</v>
      </c>
      <c r="W26" s="114">
        <v>5.9</v>
      </c>
      <c r="X26" s="114">
        <v>4.9000000000000004</v>
      </c>
      <c r="Y26" s="114"/>
      <c r="Z26" s="207"/>
      <c r="AA26" s="113"/>
    </row>
    <row r="27" spans="2:29">
      <c r="B27" s="94"/>
      <c r="C27" s="114"/>
      <c r="D27" s="114"/>
      <c r="E27" s="114"/>
      <c r="F27" s="114"/>
      <c r="G27" s="114"/>
      <c r="H27" s="114"/>
      <c r="I27" s="114"/>
      <c r="J27" s="114"/>
      <c r="K27" s="114"/>
      <c r="L27" s="207"/>
      <c r="M27" s="110"/>
      <c r="N27" s="156"/>
      <c r="P27" s="94"/>
      <c r="Q27" s="114"/>
      <c r="R27" s="114"/>
      <c r="S27" s="114"/>
      <c r="T27" s="114"/>
      <c r="U27" s="114"/>
      <c r="V27" s="114"/>
      <c r="W27" s="114"/>
      <c r="X27" s="114"/>
      <c r="Y27" s="114"/>
      <c r="Z27" s="207"/>
      <c r="AA27" s="113"/>
    </row>
    <row r="28" spans="2:29">
      <c r="B28" s="98" t="s">
        <v>64</v>
      </c>
      <c r="C28" s="125">
        <v>8</v>
      </c>
      <c r="D28" s="125">
        <v>8.4</v>
      </c>
      <c r="E28" s="125">
        <v>8.1</v>
      </c>
      <c r="F28" s="125">
        <v>6.9</v>
      </c>
      <c r="G28" s="125">
        <v>7.2</v>
      </c>
      <c r="H28" s="125">
        <v>6</v>
      </c>
      <c r="I28" s="125">
        <v>6</v>
      </c>
      <c r="J28" s="125">
        <v>6.2</v>
      </c>
      <c r="K28" s="125"/>
      <c r="L28" s="207"/>
      <c r="M28" s="117"/>
      <c r="N28" s="156"/>
      <c r="P28" s="98" t="s">
        <v>64</v>
      </c>
      <c r="Q28" s="125">
        <v>4.9000000000000004</v>
      </c>
      <c r="R28" s="125">
        <v>5.5</v>
      </c>
      <c r="S28" s="125">
        <v>3.3</v>
      </c>
      <c r="T28" s="125">
        <v>6.1</v>
      </c>
      <c r="U28" s="125">
        <v>-1.8</v>
      </c>
      <c r="V28" s="125">
        <v>4.5</v>
      </c>
      <c r="W28" s="125">
        <v>5.9</v>
      </c>
      <c r="X28" s="125">
        <v>4.9000000000000004</v>
      </c>
      <c r="Y28" s="125"/>
      <c r="Z28" s="207"/>
      <c r="AA28" s="117"/>
    </row>
    <row r="29" spans="2:29">
      <c r="C29" s="21"/>
      <c r="D29" s="21"/>
      <c r="E29" s="21"/>
      <c r="F29" s="21"/>
      <c r="G29" s="21"/>
      <c r="H29" s="21"/>
      <c r="I29" s="21"/>
      <c r="J29" s="21"/>
      <c r="K29" s="21"/>
      <c r="L29" s="207"/>
      <c r="M29" s="171"/>
      <c r="N29" s="269"/>
      <c r="Q29" s="21"/>
      <c r="R29" s="21"/>
      <c r="S29" s="21"/>
      <c r="T29" s="21"/>
      <c r="U29" s="21"/>
      <c r="V29" s="21"/>
      <c r="W29" s="30"/>
      <c r="X29" s="30"/>
      <c r="Y29" s="30"/>
      <c r="Z29" s="155"/>
      <c r="AA29" s="31"/>
      <c r="AC29" s="39"/>
    </row>
    <row r="30" spans="2:29">
      <c r="B30" s="84" t="s">
        <v>214</v>
      </c>
      <c r="C30" s="626" t="s">
        <v>77</v>
      </c>
      <c r="D30" s="627"/>
      <c r="E30" s="628"/>
      <c r="F30" s="626" t="s">
        <v>30</v>
      </c>
      <c r="G30" s="627"/>
      <c r="H30" s="627"/>
      <c r="I30" s="627"/>
      <c r="J30" s="628"/>
      <c r="K30" s="554" t="s">
        <v>187</v>
      </c>
      <c r="L30" s="555"/>
      <c r="M30" s="88"/>
      <c r="N30" s="63"/>
      <c r="P30" s="84" t="s">
        <v>211</v>
      </c>
      <c r="Q30" s="626" t="s">
        <v>77</v>
      </c>
      <c r="R30" s="627"/>
      <c r="S30" s="628"/>
      <c r="T30" s="626" t="s">
        <v>30</v>
      </c>
      <c r="U30" s="627"/>
      <c r="V30" s="627"/>
      <c r="W30" s="627"/>
      <c r="X30" s="628"/>
      <c r="Y30" s="554" t="s">
        <v>187</v>
      </c>
      <c r="Z30" s="555"/>
      <c r="AA30" s="89"/>
    </row>
    <row r="31" spans="2:29">
      <c r="B31" s="29" t="s">
        <v>46</v>
      </c>
      <c r="C31" s="18" t="s">
        <v>80</v>
      </c>
      <c r="D31" s="18" t="s">
        <v>44</v>
      </c>
      <c r="E31" s="18" t="s">
        <v>45</v>
      </c>
      <c r="F31" s="18" t="s">
        <v>12</v>
      </c>
      <c r="G31" s="18" t="s">
        <v>13</v>
      </c>
      <c r="H31" s="18" t="s">
        <v>14</v>
      </c>
      <c r="I31" s="18" t="s">
        <v>15</v>
      </c>
      <c r="J31" s="18" t="s">
        <v>16</v>
      </c>
      <c r="K31" s="18" t="s">
        <v>17</v>
      </c>
      <c r="L31" s="154"/>
      <c r="M31" s="18" t="s">
        <v>205</v>
      </c>
      <c r="N31" s="261"/>
      <c r="P31" s="29" t="s">
        <v>46</v>
      </c>
      <c r="Q31" s="18" t="s">
        <v>80</v>
      </c>
      <c r="R31" s="18" t="s">
        <v>44</v>
      </c>
      <c r="S31" s="18" t="s">
        <v>45</v>
      </c>
      <c r="T31" s="18" t="s">
        <v>12</v>
      </c>
      <c r="U31" s="18" t="s">
        <v>13</v>
      </c>
      <c r="V31" s="18" t="s">
        <v>14</v>
      </c>
      <c r="W31" s="18" t="s">
        <v>15</v>
      </c>
      <c r="X31" s="18" t="s">
        <v>16</v>
      </c>
      <c r="Y31" s="18" t="s">
        <v>17</v>
      </c>
      <c r="Z31" s="154"/>
      <c r="AA31" s="18" t="s">
        <v>205</v>
      </c>
    </row>
    <row r="32" spans="2:29">
      <c r="B32" s="92" t="s">
        <v>41</v>
      </c>
      <c r="C32" s="108"/>
      <c r="D32" s="108"/>
      <c r="E32" s="124"/>
      <c r="F32" s="109">
        <v>121.3</v>
      </c>
      <c r="G32" s="109">
        <v>119.7</v>
      </c>
      <c r="H32" s="109">
        <v>123.1</v>
      </c>
      <c r="I32" s="109">
        <v>127.6</v>
      </c>
      <c r="J32" s="109">
        <v>128.19999999999999</v>
      </c>
      <c r="K32" s="109"/>
      <c r="L32" s="155"/>
      <c r="M32" s="110">
        <f>((J32/F32)^(1/4))-1</f>
        <v>1.3927275450705823E-2</v>
      </c>
      <c r="N32" s="156"/>
      <c r="O32" s="30"/>
      <c r="P32" s="92" t="s">
        <v>41</v>
      </c>
      <c r="Q32" s="108"/>
      <c r="R32" s="108"/>
      <c r="S32" s="124"/>
      <c r="T32" s="109">
        <v>101.3</v>
      </c>
      <c r="U32" s="109">
        <v>113.7</v>
      </c>
      <c r="V32" s="109">
        <v>128.5</v>
      </c>
      <c r="W32" s="109">
        <v>140.5</v>
      </c>
      <c r="X32" s="109">
        <v>149.1</v>
      </c>
      <c r="Y32" s="124"/>
      <c r="Z32" s="207"/>
      <c r="AA32" s="110">
        <f>((W32/T32)^(1/3))-1</f>
        <v>0.1152073582799642</v>
      </c>
    </row>
    <row r="33" spans="2:27">
      <c r="B33" s="94" t="s">
        <v>65</v>
      </c>
      <c r="C33" s="111"/>
      <c r="D33" s="111"/>
      <c r="E33" s="114"/>
      <c r="F33" s="112">
        <v>25.7</v>
      </c>
      <c r="G33" s="112">
        <v>25.7</v>
      </c>
      <c r="H33" s="112">
        <v>29.1</v>
      </c>
      <c r="I33" s="112">
        <v>31.5</v>
      </c>
      <c r="J33" s="112">
        <v>32.299999999999997</v>
      </c>
      <c r="K33" s="112"/>
      <c r="L33" s="155"/>
      <c r="M33" s="113">
        <f t="shared" ref="M33:M40" si="2">((J33/F33)^(1/4))-1</f>
        <v>5.8808330894634331E-2</v>
      </c>
      <c r="N33" s="156"/>
      <c r="P33" s="94" t="s">
        <v>65</v>
      </c>
      <c r="Q33" s="111"/>
      <c r="R33" s="111"/>
      <c r="S33" s="114"/>
      <c r="T33" s="112">
        <v>30.2</v>
      </c>
      <c r="U33" s="112">
        <v>26.5</v>
      </c>
      <c r="V33" s="112">
        <v>25.6</v>
      </c>
      <c r="W33" s="112">
        <v>35.200000000000003</v>
      </c>
      <c r="X33" s="114">
        <v>37.1</v>
      </c>
      <c r="Y33" s="114"/>
      <c r="Z33" s="207"/>
      <c r="AA33" s="113">
        <f t="shared" si="1"/>
        <v>5.2394509177390081E-2</v>
      </c>
    </row>
    <row r="34" spans="2:27">
      <c r="B34" s="94" t="s">
        <v>66</v>
      </c>
      <c r="C34" s="111"/>
      <c r="D34" s="111"/>
      <c r="E34" s="114"/>
      <c r="F34" s="112">
        <v>25.9</v>
      </c>
      <c r="G34" s="112">
        <v>26.9</v>
      </c>
      <c r="H34" s="112">
        <v>28.5</v>
      </c>
      <c r="I34" s="112">
        <v>31.7</v>
      </c>
      <c r="J34" s="112">
        <v>33.9</v>
      </c>
      <c r="K34" s="112"/>
      <c r="L34" s="155"/>
      <c r="M34" s="113">
        <f t="shared" si="2"/>
        <v>6.9608839868339212E-2</v>
      </c>
      <c r="N34" s="156"/>
      <c r="P34" s="94" t="s">
        <v>66</v>
      </c>
      <c r="Q34" s="111"/>
      <c r="R34" s="111"/>
      <c r="S34" s="114"/>
      <c r="T34" s="112">
        <v>24.8</v>
      </c>
      <c r="U34" s="112">
        <v>25</v>
      </c>
      <c r="V34" s="112">
        <v>22.5</v>
      </c>
      <c r="W34" s="112">
        <v>26.8</v>
      </c>
      <c r="X34" s="114">
        <v>28.2</v>
      </c>
      <c r="Y34" s="114"/>
      <c r="Z34" s="207"/>
      <c r="AA34" s="113">
        <f t="shared" si="1"/>
        <v>2.6189825540382738E-2</v>
      </c>
    </row>
    <row r="35" spans="2:27">
      <c r="B35" s="94" t="s">
        <v>204</v>
      </c>
      <c r="C35" s="111"/>
      <c r="D35" s="111"/>
      <c r="E35" s="114"/>
      <c r="F35" s="112">
        <v>26.6</v>
      </c>
      <c r="G35" s="112">
        <v>27</v>
      </c>
      <c r="H35" s="112">
        <v>28.8</v>
      </c>
      <c r="I35" s="112">
        <v>30.8</v>
      </c>
      <c r="J35" s="112">
        <v>32.1</v>
      </c>
      <c r="K35" s="112"/>
      <c r="L35" s="155"/>
      <c r="M35" s="113">
        <f t="shared" si="2"/>
        <v>4.8107548855376825E-2</v>
      </c>
      <c r="N35" s="156"/>
      <c r="P35" s="94" t="s">
        <v>204</v>
      </c>
      <c r="Q35" s="111"/>
      <c r="R35" s="111"/>
      <c r="S35" s="114"/>
      <c r="T35" s="112">
        <v>26.2</v>
      </c>
      <c r="U35" s="112">
        <v>31.7</v>
      </c>
      <c r="V35" s="112">
        <v>28.2</v>
      </c>
      <c r="W35" s="112">
        <v>30.2</v>
      </c>
      <c r="X35" s="114">
        <v>27.6</v>
      </c>
      <c r="Y35" s="114"/>
      <c r="Z35" s="207"/>
      <c r="AA35" s="113">
        <f t="shared" si="1"/>
        <v>4.8500279437261096E-2</v>
      </c>
    </row>
    <row r="36" spans="2:27">
      <c r="B36" s="94" t="s">
        <v>67</v>
      </c>
      <c r="C36" s="111"/>
      <c r="D36" s="111"/>
      <c r="E36" s="114"/>
      <c r="F36" s="112">
        <v>13.4</v>
      </c>
      <c r="G36" s="112">
        <v>13.3</v>
      </c>
      <c r="H36" s="112">
        <v>13.8</v>
      </c>
      <c r="I36" s="112">
        <v>14.3</v>
      </c>
      <c r="J36" s="112">
        <v>14.5</v>
      </c>
      <c r="K36" s="112"/>
      <c r="L36" s="155"/>
      <c r="M36" s="113">
        <f t="shared" si="2"/>
        <v>1.9919278681913122E-2</v>
      </c>
      <c r="N36" s="156"/>
      <c r="P36" s="94" t="s">
        <v>67</v>
      </c>
      <c r="Q36" s="111"/>
      <c r="R36" s="111"/>
      <c r="S36" s="114"/>
      <c r="T36" s="112">
        <v>13.8</v>
      </c>
      <c r="U36" s="112">
        <v>13.2</v>
      </c>
      <c r="V36" s="112">
        <v>13.3</v>
      </c>
      <c r="W36" s="112">
        <v>12.7</v>
      </c>
      <c r="X36" s="114">
        <v>12.2</v>
      </c>
      <c r="Y36" s="114"/>
      <c r="Z36" s="207"/>
      <c r="AA36" s="113">
        <f t="shared" si="1"/>
        <v>-2.7309043272547129E-2</v>
      </c>
    </row>
    <row r="37" spans="2:27">
      <c r="B37" s="94" t="s">
        <v>68</v>
      </c>
      <c r="C37" s="111"/>
      <c r="D37" s="111"/>
      <c r="E37" s="114"/>
      <c r="F37" s="112">
        <v>36.700000000000003</v>
      </c>
      <c r="G37" s="112">
        <v>37.700000000000003</v>
      </c>
      <c r="H37" s="112">
        <v>39.9</v>
      </c>
      <c r="I37" s="112">
        <v>41.7</v>
      </c>
      <c r="J37" s="112">
        <v>43.7</v>
      </c>
      <c r="K37" s="112"/>
      <c r="L37" s="155"/>
      <c r="M37" s="113">
        <f t="shared" si="2"/>
        <v>4.4609192249051022E-2</v>
      </c>
      <c r="N37" s="156"/>
      <c r="P37" s="94" t="s">
        <v>68</v>
      </c>
      <c r="Q37" s="111"/>
      <c r="R37" s="111"/>
      <c r="S37" s="114"/>
      <c r="T37" s="112">
        <v>52.2</v>
      </c>
      <c r="U37" s="112">
        <v>59.1</v>
      </c>
      <c r="V37" s="112">
        <v>51.5</v>
      </c>
      <c r="W37" s="112">
        <v>35.5</v>
      </c>
      <c r="X37" s="114">
        <v>40</v>
      </c>
      <c r="Y37" s="114"/>
      <c r="Z37" s="207"/>
      <c r="AA37" s="113">
        <f t="shared" si="1"/>
        <v>-0.12060103525865984</v>
      </c>
    </row>
    <row r="38" spans="2:27">
      <c r="B38" s="94" t="s">
        <v>468</v>
      </c>
      <c r="C38" s="111"/>
      <c r="D38" s="111"/>
      <c r="E38" s="114"/>
      <c r="F38" s="112">
        <v>35.299999999999997</v>
      </c>
      <c r="G38" s="112">
        <v>34.6</v>
      </c>
      <c r="H38" s="112">
        <v>36</v>
      </c>
      <c r="I38" s="112">
        <v>37.200000000000003</v>
      </c>
      <c r="J38" s="112">
        <v>37.700000000000003</v>
      </c>
      <c r="K38" s="112"/>
      <c r="L38" s="155"/>
      <c r="M38" s="113">
        <f t="shared" si="2"/>
        <v>1.6580234029699881E-2</v>
      </c>
      <c r="N38" s="156"/>
      <c r="P38" s="94" t="s">
        <v>468</v>
      </c>
      <c r="Q38" s="111"/>
      <c r="R38" s="111"/>
      <c r="S38" s="114"/>
      <c r="T38" s="112">
        <v>41.3</v>
      </c>
      <c r="U38" s="112">
        <v>23.1</v>
      </c>
      <c r="V38" s="112">
        <v>0</v>
      </c>
      <c r="W38" s="112">
        <v>0</v>
      </c>
      <c r="X38" s="114">
        <v>0</v>
      </c>
      <c r="Y38" s="114"/>
      <c r="Z38" s="207"/>
      <c r="AA38" s="113">
        <f t="shared" si="1"/>
        <v>-1</v>
      </c>
    </row>
    <row r="39" spans="2:27">
      <c r="B39" s="94"/>
      <c r="C39" s="111"/>
      <c r="D39" s="111"/>
      <c r="E39" s="114"/>
      <c r="F39" s="114"/>
      <c r="G39" s="114"/>
      <c r="H39" s="114"/>
      <c r="I39" s="114"/>
      <c r="J39" s="114"/>
      <c r="K39" s="114"/>
      <c r="L39" s="207"/>
      <c r="M39" s="113"/>
      <c r="N39" s="156"/>
      <c r="P39" s="94"/>
      <c r="Q39" s="111"/>
      <c r="R39" s="111"/>
      <c r="S39" s="114"/>
      <c r="T39" s="112"/>
      <c r="U39" s="112"/>
      <c r="V39" s="112"/>
      <c r="W39" s="112"/>
      <c r="X39" s="114"/>
      <c r="Y39" s="114"/>
      <c r="Z39" s="207"/>
      <c r="AA39" s="113"/>
    </row>
    <row r="40" spans="2:27">
      <c r="B40" s="94" t="s">
        <v>71</v>
      </c>
      <c r="C40" s="111"/>
      <c r="D40" s="111"/>
      <c r="E40" s="114"/>
      <c r="F40" s="112">
        <v>284.89999999999998</v>
      </c>
      <c r="G40" s="112">
        <v>284.89999999999998</v>
      </c>
      <c r="H40" s="112">
        <v>299.2</v>
      </c>
      <c r="I40" s="112">
        <v>314.8</v>
      </c>
      <c r="J40" s="112">
        <v>322.39999999999998</v>
      </c>
      <c r="K40" s="112"/>
      <c r="L40" s="155"/>
      <c r="M40" s="113">
        <f t="shared" si="2"/>
        <v>3.1396482568358364E-2</v>
      </c>
      <c r="N40" s="156"/>
      <c r="P40" s="94" t="s">
        <v>71</v>
      </c>
      <c r="Q40" s="111"/>
      <c r="R40" s="111"/>
      <c r="S40" s="114"/>
      <c r="T40" s="112">
        <v>289.89999999999998</v>
      </c>
      <c r="U40" s="112">
        <v>292.3</v>
      </c>
      <c r="V40" s="112">
        <v>269.60000000000002</v>
      </c>
      <c r="W40" s="112">
        <f>SUM(W32:W38)</f>
        <v>280.89999999999998</v>
      </c>
      <c r="X40" s="114">
        <v>294.2</v>
      </c>
      <c r="Y40" s="114"/>
      <c r="Z40" s="207"/>
      <c r="AA40" s="113">
        <f t="shared" si="1"/>
        <v>-1.0457371421411676E-2</v>
      </c>
    </row>
    <row r="41" spans="2:27">
      <c r="B41" s="94"/>
      <c r="C41" s="111"/>
      <c r="D41" s="111"/>
      <c r="E41" s="114"/>
      <c r="F41" s="114"/>
      <c r="G41" s="114"/>
      <c r="H41" s="114"/>
      <c r="I41" s="114"/>
      <c r="J41" s="114"/>
      <c r="K41" s="114"/>
      <c r="L41" s="207"/>
      <c r="M41" s="113"/>
      <c r="N41" s="156"/>
      <c r="P41" s="94"/>
      <c r="Q41" s="111"/>
      <c r="R41" s="111"/>
      <c r="S41" s="114"/>
      <c r="T41" s="114"/>
      <c r="U41" s="114"/>
      <c r="V41" s="114"/>
      <c r="W41" s="114"/>
      <c r="X41" s="114"/>
      <c r="Y41" s="114"/>
      <c r="Z41" s="207"/>
      <c r="AA41" s="113"/>
    </row>
    <row r="42" spans="2:27">
      <c r="B42" s="94" t="s">
        <v>72</v>
      </c>
      <c r="C42" s="111"/>
      <c r="D42" s="111"/>
      <c r="E42" s="114"/>
      <c r="F42" s="114">
        <v>0</v>
      </c>
      <c r="G42" s="114">
        <v>0</v>
      </c>
      <c r="H42" s="114">
        <v>0</v>
      </c>
      <c r="I42" s="114">
        <v>0</v>
      </c>
      <c r="J42" s="114">
        <v>0</v>
      </c>
      <c r="K42" s="114"/>
      <c r="L42" s="207"/>
      <c r="M42" s="113"/>
      <c r="N42" s="156"/>
      <c r="P42" s="94" t="s">
        <v>72</v>
      </c>
      <c r="Q42" s="111"/>
      <c r="R42" s="111"/>
      <c r="S42" s="114"/>
      <c r="T42" s="114">
        <v>-2.1</v>
      </c>
      <c r="U42" s="114">
        <v>0</v>
      </c>
      <c r="V42" s="114">
        <v>0</v>
      </c>
      <c r="W42" s="114">
        <v>0</v>
      </c>
      <c r="X42" s="114">
        <v>0</v>
      </c>
      <c r="Y42" s="114"/>
      <c r="Z42" s="207"/>
      <c r="AA42" s="113"/>
    </row>
    <row r="43" spans="2:27">
      <c r="B43" s="94" t="s">
        <v>73</v>
      </c>
      <c r="C43" s="111"/>
      <c r="D43" s="111"/>
      <c r="E43" s="114"/>
      <c r="F43" s="114">
        <v>0</v>
      </c>
      <c r="G43" s="114">
        <v>0</v>
      </c>
      <c r="H43" s="114">
        <v>0</v>
      </c>
      <c r="I43" s="114">
        <v>0</v>
      </c>
      <c r="J43" s="114">
        <v>0</v>
      </c>
      <c r="K43" s="114"/>
      <c r="L43" s="207"/>
      <c r="M43" s="113"/>
      <c r="N43" s="156"/>
      <c r="P43" s="94" t="s">
        <v>73</v>
      </c>
      <c r="Q43" s="111"/>
      <c r="R43" s="111"/>
      <c r="S43" s="114"/>
      <c r="T43" s="114">
        <v>-5.6</v>
      </c>
      <c r="U43" s="114">
        <v>-2.7</v>
      </c>
      <c r="V43" s="114">
        <v>-1.6</v>
      </c>
      <c r="W43" s="114">
        <v>0</v>
      </c>
      <c r="X43" s="114">
        <v>0</v>
      </c>
      <c r="Y43" s="114"/>
      <c r="Z43" s="207"/>
      <c r="AA43" s="113"/>
    </row>
    <row r="44" spans="2:27">
      <c r="B44" s="94"/>
      <c r="C44" s="111"/>
      <c r="D44" s="111"/>
      <c r="E44" s="114"/>
      <c r="F44" s="114"/>
      <c r="G44" s="114"/>
      <c r="H44" s="114"/>
      <c r="I44" s="114"/>
      <c r="J44" s="114"/>
      <c r="K44" s="114"/>
      <c r="L44" s="207"/>
      <c r="M44" s="113"/>
      <c r="N44" s="156"/>
      <c r="P44" s="94"/>
      <c r="Q44" s="111"/>
      <c r="R44" s="111"/>
      <c r="S44" s="114"/>
      <c r="T44" s="114"/>
      <c r="U44" s="114"/>
      <c r="V44" s="114"/>
      <c r="W44" s="114"/>
      <c r="X44" s="114"/>
      <c r="Y44" s="114"/>
      <c r="Z44" s="207"/>
      <c r="AA44" s="113"/>
    </row>
    <row r="45" spans="2:27">
      <c r="B45" s="98" t="s">
        <v>74</v>
      </c>
      <c r="C45" s="115"/>
      <c r="D45" s="115"/>
      <c r="E45" s="125"/>
      <c r="F45" s="116">
        <f>F40-F42-F43</f>
        <v>284.89999999999998</v>
      </c>
      <c r="G45" s="116">
        <f t="shared" ref="G45:I45" si="3">G40-G42-G43</f>
        <v>284.89999999999998</v>
      </c>
      <c r="H45" s="116">
        <f t="shared" si="3"/>
        <v>299.2</v>
      </c>
      <c r="I45" s="116">
        <f t="shared" si="3"/>
        <v>314.8</v>
      </c>
      <c r="J45" s="116">
        <v>322</v>
      </c>
      <c r="K45" s="116"/>
      <c r="L45" s="155"/>
      <c r="M45" s="117">
        <f>((I45/F45)^(1/3))-1</f>
        <v>3.3825939642440517E-2</v>
      </c>
      <c r="N45" s="156"/>
      <c r="O45" s="30"/>
      <c r="P45" s="98" t="s">
        <v>74</v>
      </c>
      <c r="Q45" s="115"/>
      <c r="R45" s="115"/>
      <c r="S45" s="125"/>
      <c r="T45" s="116">
        <f>T40+T42+T43</f>
        <v>282.19999999999993</v>
      </c>
      <c r="U45" s="116">
        <f>U40+U43</f>
        <v>289.60000000000002</v>
      </c>
      <c r="V45" s="116">
        <f>V40+V43</f>
        <v>268</v>
      </c>
      <c r="W45" s="116">
        <v>280.89999999999998</v>
      </c>
      <c r="X45" s="116">
        <v>294.2</v>
      </c>
      <c r="Y45" s="116"/>
      <c r="Z45" s="155"/>
      <c r="AA45" s="117">
        <f t="shared" si="1"/>
        <v>-1.5379179597891923E-3</v>
      </c>
    </row>
    <row r="46" spans="2:27">
      <c r="E46" s="21"/>
      <c r="N46" s="61"/>
      <c r="S46" s="21"/>
      <c r="T46" s="21"/>
      <c r="U46" s="21"/>
      <c r="V46" s="21"/>
      <c r="W46" s="21"/>
      <c r="X46" s="21"/>
      <c r="Y46" s="21"/>
      <c r="Z46" s="207"/>
    </row>
    <row r="47" spans="2:27">
      <c r="E47" s="21"/>
      <c r="J47" s="30"/>
      <c r="K47" s="30"/>
      <c r="L47" s="155"/>
      <c r="N47" s="61"/>
      <c r="S47" s="21"/>
      <c r="T47" s="21"/>
      <c r="U47" s="21"/>
      <c r="V47" s="21"/>
      <c r="W47" s="21"/>
      <c r="X47" s="21"/>
      <c r="Y47" s="21"/>
      <c r="Z47" s="207"/>
    </row>
    <row r="48" spans="2:27">
      <c r="B48" s="389" t="s">
        <v>230</v>
      </c>
      <c r="C48" s="391">
        <f>RPI!$X$103/RPI!$X97</f>
        <v>1.229059681525914</v>
      </c>
      <c r="D48" s="391">
        <f>RPI!$X$103/RPI!$X98</f>
        <v>1.1848323487810966</v>
      </c>
      <c r="E48" s="391">
        <f>RPI!$X$103/RPI!$X99</f>
        <v>1.1378290919260117</v>
      </c>
      <c r="F48" s="391">
        <f>RPI!$X$103/RPI!$X100</f>
        <v>1.1050283231163187</v>
      </c>
      <c r="G48" s="391">
        <f>RPI!$X$103/RPI!$X101</f>
        <v>1.0999922756063651</v>
      </c>
      <c r="H48" s="391">
        <f>RPI!$X$103/RPI!$X102</f>
        <v>1.0479817492732828</v>
      </c>
      <c r="I48" s="391">
        <f>RPI!$X$103/RPI!$X103</f>
        <v>1</v>
      </c>
      <c r="J48" s="391">
        <f>RPI!$X$103/RPI!$X104</f>
        <v>0.96899224806201556</v>
      </c>
      <c r="K48" s="576"/>
      <c r="L48" s="146"/>
      <c r="M48" s="36"/>
      <c r="N48" s="549"/>
      <c r="O48" s="36"/>
      <c r="P48" s="389" t="s">
        <v>230</v>
      </c>
      <c r="Q48" s="391">
        <f>RPI!$X$103/RPI!$X97</f>
        <v>1.229059681525914</v>
      </c>
      <c r="R48" s="391">
        <f>RPI!$X$103/RPI!$X98</f>
        <v>1.1848323487810966</v>
      </c>
      <c r="S48" s="391">
        <f>RPI!$X$103/RPI!$X99</f>
        <v>1.1378290919260117</v>
      </c>
      <c r="T48" s="391">
        <f>RPI!$X$103/RPI!$X100</f>
        <v>1.1050283231163187</v>
      </c>
      <c r="U48" s="391">
        <f>RPI!$X$103/RPI!$X101</f>
        <v>1.0999922756063651</v>
      </c>
      <c r="V48" s="391">
        <f>RPI!$X$103/RPI!$X102</f>
        <v>1.0479817492732828</v>
      </c>
      <c r="W48" s="391">
        <f>RPI!$X$103/RPI!$X103</f>
        <v>1</v>
      </c>
      <c r="X48" s="391">
        <f>RPI!$X$103/RPI!$X104</f>
        <v>0.96899224806201556</v>
      </c>
      <c r="Y48" s="576"/>
      <c r="Z48" s="146"/>
      <c r="AA48" s="36"/>
    </row>
    <row r="49" spans="2:27">
      <c r="B49" s="41"/>
      <c r="C49" s="42"/>
      <c r="D49" s="42"/>
      <c r="E49" s="42"/>
      <c r="F49" s="42"/>
      <c r="G49" s="42"/>
      <c r="H49" s="42"/>
      <c r="I49" s="42"/>
      <c r="J49" s="42"/>
      <c r="K49" s="42"/>
      <c r="L49" s="146"/>
      <c r="M49" s="42"/>
      <c r="N49" s="146"/>
      <c r="O49" s="42"/>
      <c r="P49" s="41"/>
      <c r="Q49" s="42"/>
      <c r="R49" s="42"/>
      <c r="S49" s="42"/>
      <c r="T49" s="42"/>
      <c r="U49" s="42"/>
      <c r="V49" s="42"/>
      <c r="W49" s="42"/>
      <c r="X49" s="42"/>
      <c r="Y49" s="42"/>
      <c r="Z49" s="146"/>
      <c r="AA49" s="42"/>
    </row>
    <row r="50" spans="2:27">
      <c r="B50" s="261" t="s">
        <v>739</v>
      </c>
      <c r="N50" s="61"/>
      <c r="P50" s="261" t="s">
        <v>803</v>
      </c>
      <c r="S50" s="21"/>
      <c r="T50" s="21"/>
      <c r="U50" s="21"/>
      <c r="V50" s="21"/>
      <c r="W50" s="30"/>
      <c r="X50" s="30"/>
      <c r="Y50" s="30"/>
      <c r="Z50" s="155"/>
    </row>
    <row r="51" spans="2:27">
      <c r="B51" s="18"/>
      <c r="N51" s="61"/>
      <c r="P51" s="18"/>
      <c r="S51" s="21"/>
      <c r="T51" s="21"/>
      <c r="U51" s="21"/>
      <c r="V51" s="21"/>
      <c r="W51" s="21"/>
      <c r="X51" s="21"/>
      <c r="Y51" s="21"/>
      <c r="Z51" s="207"/>
    </row>
    <row r="52" spans="2:27">
      <c r="B52" s="84" t="s">
        <v>75</v>
      </c>
      <c r="C52" s="626" t="s">
        <v>77</v>
      </c>
      <c r="D52" s="627"/>
      <c r="E52" s="628"/>
      <c r="F52" s="626" t="s">
        <v>30</v>
      </c>
      <c r="G52" s="627"/>
      <c r="H52" s="627"/>
      <c r="I52" s="627"/>
      <c r="J52" s="628"/>
      <c r="K52" s="554" t="s">
        <v>187</v>
      </c>
      <c r="L52" s="555"/>
      <c r="M52" s="86"/>
      <c r="N52" s="199"/>
      <c r="P52" s="84" t="s">
        <v>75</v>
      </c>
      <c r="Q52" s="626" t="s">
        <v>77</v>
      </c>
      <c r="R52" s="627"/>
      <c r="S52" s="628"/>
      <c r="T52" s="626" t="s">
        <v>30</v>
      </c>
      <c r="U52" s="627"/>
      <c r="V52" s="627"/>
      <c r="W52" s="627"/>
      <c r="X52" s="628"/>
      <c r="Y52" s="554" t="s">
        <v>187</v>
      </c>
      <c r="Z52" s="555"/>
      <c r="AA52" s="86"/>
    </row>
    <row r="53" spans="2:27">
      <c r="B53" s="29" t="s">
        <v>231</v>
      </c>
      <c r="C53" s="18" t="s">
        <v>80</v>
      </c>
      <c r="D53" s="18" t="s">
        <v>44</v>
      </c>
      <c r="E53" s="18" t="s">
        <v>45</v>
      </c>
      <c r="F53" s="18" t="s">
        <v>12</v>
      </c>
      <c r="G53" s="18" t="s">
        <v>13</v>
      </c>
      <c r="H53" s="18" t="s">
        <v>14</v>
      </c>
      <c r="I53" s="18" t="s">
        <v>15</v>
      </c>
      <c r="J53" s="18" t="s">
        <v>16</v>
      </c>
      <c r="K53" s="18" t="s">
        <v>17</v>
      </c>
      <c r="L53" s="154"/>
      <c r="M53" s="18" t="s">
        <v>99</v>
      </c>
      <c r="N53" s="18"/>
      <c r="P53" s="29" t="s">
        <v>231</v>
      </c>
      <c r="Q53" s="18" t="s">
        <v>80</v>
      </c>
      <c r="R53" s="18" t="s">
        <v>44</v>
      </c>
      <c r="S53" s="18" t="s">
        <v>45</v>
      </c>
      <c r="T53" s="18" t="s">
        <v>12</v>
      </c>
      <c r="U53" s="18" t="s">
        <v>13</v>
      </c>
      <c r="V53" s="18" t="s">
        <v>14</v>
      </c>
      <c r="W53" s="18" t="s">
        <v>15</v>
      </c>
      <c r="X53" s="18" t="s">
        <v>16</v>
      </c>
      <c r="Y53" s="18" t="s">
        <v>17</v>
      </c>
      <c r="Z53" s="154"/>
      <c r="AA53" s="18" t="s">
        <v>99</v>
      </c>
    </row>
    <row r="54" spans="2:27">
      <c r="B54" s="92" t="s">
        <v>53</v>
      </c>
      <c r="C54" s="118">
        <f t="shared" ref="C54:J54" si="4">C6</f>
        <v>36000</v>
      </c>
      <c r="D54" s="118">
        <f t="shared" si="4"/>
        <v>38600</v>
      </c>
      <c r="E54" s="118">
        <f t="shared" si="4"/>
        <v>39700</v>
      </c>
      <c r="F54" s="118">
        <f t="shared" si="4"/>
        <v>35900</v>
      </c>
      <c r="G54" s="118">
        <f t="shared" si="4"/>
        <v>36400</v>
      </c>
      <c r="H54" s="118">
        <f t="shared" si="4"/>
        <v>36800</v>
      </c>
      <c r="I54" s="118">
        <f t="shared" si="4"/>
        <v>37200</v>
      </c>
      <c r="J54" s="118">
        <f t="shared" si="4"/>
        <v>37700</v>
      </c>
      <c r="K54" s="118"/>
      <c r="L54" s="155"/>
      <c r="M54" s="110">
        <f>((I54/F54)^(1/3))-1</f>
        <v>1.19277299897389E-2</v>
      </c>
      <c r="N54" s="135"/>
      <c r="P54" s="92" t="s">
        <v>53</v>
      </c>
      <c r="Q54" s="118">
        <v>32845</v>
      </c>
      <c r="R54" s="118">
        <v>34383</v>
      </c>
      <c r="S54" s="118">
        <v>35562</v>
      </c>
      <c r="T54" s="118">
        <v>33105</v>
      </c>
      <c r="U54" s="118">
        <v>32397</v>
      </c>
      <c r="V54" s="118">
        <v>31647</v>
      </c>
      <c r="W54" s="118">
        <v>33819</v>
      </c>
      <c r="X54" s="118">
        <v>33820</v>
      </c>
      <c r="Y54" s="119"/>
      <c r="Z54" s="207"/>
      <c r="AA54" s="110">
        <f>((W54/T54)^(1/3))-1</f>
        <v>7.1381716052836275E-3</v>
      </c>
    </row>
    <row r="55" spans="2:27">
      <c r="B55" s="94" t="s">
        <v>57</v>
      </c>
      <c r="C55" s="120">
        <f t="shared" ref="C55:I60" si="5">C7*C$48</f>
        <v>203.040659388081</v>
      </c>
      <c r="D55" s="120">
        <f t="shared" si="5"/>
        <v>217.65370247108743</v>
      </c>
      <c r="E55" s="120">
        <f t="shared" si="5"/>
        <v>223.81098238184649</v>
      </c>
      <c r="F55" s="120">
        <f t="shared" si="5"/>
        <v>277.25160626988435</v>
      </c>
      <c r="G55" s="120">
        <f t="shared" si="5"/>
        <v>297.76790900664304</v>
      </c>
      <c r="H55" s="120">
        <f t="shared" si="5"/>
        <v>289.1381646244987</v>
      </c>
      <c r="I55" s="120">
        <f>I7*I$48</f>
        <v>297.7</v>
      </c>
      <c r="J55" s="120">
        <f>J7*J$48</f>
        <v>313.46899224806202</v>
      </c>
      <c r="K55" s="120"/>
      <c r="L55" s="155"/>
      <c r="M55" s="113">
        <f t="shared" ref="M55:M76" si="6">((I55/F55)^(1/3))-1</f>
        <v>2.4003846279805341E-2</v>
      </c>
      <c r="N55" s="135"/>
      <c r="P55" s="94" t="s">
        <v>57</v>
      </c>
      <c r="Q55" s="120">
        <f>Q7*Q$48</f>
        <v>188.53775514607523</v>
      </c>
      <c r="R55" s="120">
        <f t="shared" ref="R55:W55" si="7">R7*R$48</f>
        <v>194.07553873034362</v>
      </c>
      <c r="S55" s="120">
        <f t="shared" si="7"/>
        <v>202.87492709040788</v>
      </c>
      <c r="T55" s="120">
        <f t="shared" si="7"/>
        <v>259.12914177077676</v>
      </c>
      <c r="U55" s="120">
        <f t="shared" si="7"/>
        <v>265.75813378649781</v>
      </c>
      <c r="V55" s="120">
        <f t="shared" si="7"/>
        <v>253.5067851492071</v>
      </c>
      <c r="W55" s="120">
        <f t="shared" si="7"/>
        <v>271.3</v>
      </c>
      <c r="X55" s="120">
        <f t="shared" ref="X55" si="8">X7*X$48</f>
        <v>273.74031007751938</v>
      </c>
      <c r="Y55" s="121"/>
      <c r="Z55" s="207"/>
      <c r="AA55" s="113">
        <f t="shared" ref="AA55:AA60" si="9">((W55/T55)^(1/3))-1</f>
        <v>1.5417192480131181E-2</v>
      </c>
    </row>
    <row r="56" spans="2:27">
      <c r="B56" s="94" t="s">
        <v>54</v>
      </c>
      <c r="C56" s="120">
        <f t="shared" si="5"/>
        <v>250.35945712682869</v>
      </c>
      <c r="D56" s="120">
        <f t="shared" si="5"/>
        <v>264.45458024794073</v>
      </c>
      <c r="E56" s="120">
        <f t="shared" si="5"/>
        <v>269.32414605888692</v>
      </c>
      <c r="F56" s="120">
        <f t="shared" si="5"/>
        <v>245.42679056413439</v>
      </c>
      <c r="G56" s="120">
        <f t="shared" si="5"/>
        <v>247.38826278387154</v>
      </c>
      <c r="H56" s="120">
        <f t="shared" si="5"/>
        <v>249.21005997718666</v>
      </c>
      <c r="I56" s="120">
        <f t="shared" si="5"/>
        <v>252.2</v>
      </c>
      <c r="J56" s="120">
        <f t="shared" ref="J56" si="10">J8*J$48</f>
        <v>253.58527131782947</v>
      </c>
      <c r="K56" s="120"/>
      <c r="L56" s="155"/>
      <c r="M56" s="113">
        <f t="shared" si="6"/>
        <v>9.1158741910821739E-3</v>
      </c>
      <c r="N56" s="135"/>
      <c r="P56" s="94" t="s">
        <v>54</v>
      </c>
      <c r="Q56" s="120">
        <f t="shared" ref="Q56:W72" si="11">Q8*Q$48</f>
        <v>247.90133776377684</v>
      </c>
      <c r="R56" s="120">
        <f t="shared" si="11"/>
        <v>252.36929029037356</v>
      </c>
      <c r="S56" s="120">
        <f t="shared" si="11"/>
        <v>256.2391115017378</v>
      </c>
      <c r="T56" s="120">
        <f t="shared" si="11"/>
        <v>243.43773958252501</v>
      </c>
      <c r="U56" s="120">
        <f t="shared" si="11"/>
        <v>241.55830372315779</v>
      </c>
      <c r="V56" s="120">
        <f t="shared" si="11"/>
        <v>227.5168377672297</v>
      </c>
      <c r="W56" s="120">
        <f t="shared" si="11"/>
        <v>231.4</v>
      </c>
      <c r="X56" s="120">
        <f t="shared" ref="X56" si="12">X8*X$48</f>
        <v>231.7829457364341</v>
      </c>
      <c r="Y56" s="121"/>
      <c r="Z56" s="207"/>
      <c r="AA56" s="113">
        <f t="shared" si="9"/>
        <v>-1.6762389677801082E-2</v>
      </c>
    </row>
    <row r="57" spans="2:27">
      <c r="B57" s="94" t="s">
        <v>58</v>
      </c>
      <c r="C57" s="120">
        <f t="shared" si="5"/>
        <v>453.40011651490966</v>
      </c>
      <c r="D57" s="120">
        <f t="shared" si="5"/>
        <v>482.10828271902818</v>
      </c>
      <c r="E57" s="120">
        <f t="shared" si="5"/>
        <v>493.13512844073341</v>
      </c>
      <c r="F57" s="120">
        <f t="shared" si="5"/>
        <v>522.67839683401871</v>
      </c>
      <c r="G57" s="120">
        <f t="shared" si="5"/>
        <v>545.15617179051458</v>
      </c>
      <c r="H57" s="120">
        <f t="shared" si="5"/>
        <v>538.34822460168539</v>
      </c>
      <c r="I57" s="120">
        <f t="shared" si="5"/>
        <v>549.9</v>
      </c>
      <c r="J57" s="120">
        <f t="shared" ref="J57" si="13">J9*J$48</f>
        <v>567.05426356589157</v>
      </c>
      <c r="K57" s="120"/>
      <c r="L57" s="155"/>
      <c r="M57" s="113">
        <f t="shared" si="6"/>
        <v>1.706737421083715E-2</v>
      </c>
      <c r="N57" s="135"/>
      <c r="P57" s="94" t="s">
        <v>58</v>
      </c>
      <c r="Q57" s="120">
        <f t="shared" si="11"/>
        <v>436.43909290985209</v>
      </c>
      <c r="R57" s="120">
        <f t="shared" si="11"/>
        <v>446.44482902071718</v>
      </c>
      <c r="S57" s="120">
        <f t="shared" si="11"/>
        <v>459.11403859214573</v>
      </c>
      <c r="T57" s="120">
        <f t="shared" si="11"/>
        <v>502.56688135330177</v>
      </c>
      <c r="U57" s="120">
        <f t="shared" si="11"/>
        <v>507.3164375096556</v>
      </c>
      <c r="V57" s="120">
        <f t="shared" si="11"/>
        <v>481.02362291643681</v>
      </c>
      <c r="W57" s="120">
        <f t="shared" si="11"/>
        <v>502.7</v>
      </c>
      <c r="X57" s="120">
        <f t="shared" ref="X57" si="14">X9*X$48</f>
        <v>505.52325581395354</v>
      </c>
      <c r="Y57" s="121"/>
      <c r="Z57" s="207"/>
      <c r="AA57" s="113">
        <f t="shared" si="9"/>
        <v>8.8284697346896479E-5</v>
      </c>
    </row>
    <row r="58" spans="2:27">
      <c r="B58" s="94" t="s">
        <v>55</v>
      </c>
      <c r="C58" s="120">
        <f t="shared" si="5"/>
        <v>240.649885642774</v>
      </c>
      <c r="D58" s="120">
        <f t="shared" si="5"/>
        <v>251.06597470671437</v>
      </c>
      <c r="E58" s="120">
        <f t="shared" si="5"/>
        <v>259.08368423155287</v>
      </c>
      <c r="F58" s="120">
        <f t="shared" si="5"/>
        <v>314.8225692558392</v>
      </c>
      <c r="G58" s="120">
        <f t="shared" si="5"/>
        <v>313.38779932025341</v>
      </c>
      <c r="H58" s="120">
        <f t="shared" si="5"/>
        <v>313.55613938256619</v>
      </c>
      <c r="I58" s="120">
        <f t="shared" si="5"/>
        <v>314.8</v>
      </c>
      <c r="J58" s="120">
        <f>J10*J$48</f>
        <v>312.40310077519382</v>
      </c>
      <c r="K58" s="120"/>
      <c r="L58" s="155"/>
      <c r="M58" s="113">
        <f t="shared" si="6"/>
        <v>-2.389684157133587E-5</v>
      </c>
      <c r="N58" s="135"/>
      <c r="P58" s="94" t="s">
        <v>55</v>
      </c>
      <c r="Q58" s="120">
        <f t="shared" si="11"/>
        <v>274.57193285288923</v>
      </c>
      <c r="R58" s="120">
        <f t="shared" si="11"/>
        <v>267.06121141525915</v>
      </c>
      <c r="S58" s="120">
        <f t="shared" si="11"/>
        <v>309.83086173145301</v>
      </c>
      <c r="T58" s="120">
        <f t="shared" si="11"/>
        <v>311.72848995111354</v>
      </c>
      <c r="U58" s="120">
        <f t="shared" si="11"/>
        <v>318.55776301560337</v>
      </c>
      <c r="V58" s="120">
        <f t="shared" si="11"/>
        <v>280.85910880523977</v>
      </c>
      <c r="W58" s="120">
        <f>W10*W$48</f>
        <v>280.89999999999998</v>
      </c>
      <c r="X58" s="120">
        <f>X10*X$48</f>
        <v>285.07751937984494</v>
      </c>
      <c r="Y58" s="121"/>
      <c r="Z58" s="207"/>
      <c r="AA58" s="113">
        <f t="shared" si="9"/>
        <v>-3.4115757218856291E-2</v>
      </c>
    </row>
    <row r="59" spans="2:27">
      <c r="B59" s="94" t="s">
        <v>76</v>
      </c>
      <c r="C59" s="120">
        <f t="shared" si="5"/>
        <v>78.414007681353311</v>
      </c>
      <c r="D59" s="120">
        <f t="shared" si="5"/>
        <v>83.412197354189203</v>
      </c>
      <c r="E59" s="120">
        <f t="shared" si="5"/>
        <v>90.798761535695732</v>
      </c>
      <c r="F59" s="120">
        <f t="shared" si="5"/>
        <v>84.534666718398384</v>
      </c>
      <c r="G59" s="120">
        <f t="shared" si="5"/>
        <v>89.429372006797479</v>
      </c>
      <c r="H59" s="120">
        <f t="shared" si="5"/>
        <v>94.108761084740792</v>
      </c>
      <c r="I59" s="120">
        <f t="shared" si="5"/>
        <v>98.1</v>
      </c>
      <c r="J59" s="120">
        <f t="shared" ref="J59" si="15">J11*J$48</f>
        <v>110.94961240310079</v>
      </c>
      <c r="K59" s="120"/>
      <c r="L59" s="155"/>
      <c r="M59" s="113">
        <f>((I59/F59)^(1/3))-1</f>
        <v>5.0859660103618864E-2</v>
      </c>
      <c r="N59" s="135"/>
      <c r="P59" s="94" t="s">
        <v>76</v>
      </c>
      <c r="Q59" s="120">
        <f t="shared" si="11"/>
        <v>78.414007681353311</v>
      </c>
      <c r="R59" s="120">
        <f t="shared" si="11"/>
        <v>83.412197354189203</v>
      </c>
      <c r="S59" s="120">
        <f t="shared" si="11"/>
        <v>90.798761535695732</v>
      </c>
      <c r="T59" s="120">
        <f t="shared" si="11"/>
        <v>84.534666718398384</v>
      </c>
      <c r="U59" s="120">
        <f t="shared" si="11"/>
        <v>89.429372006797479</v>
      </c>
      <c r="V59" s="120">
        <f t="shared" si="11"/>
        <v>94.108761084740792</v>
      </c>
      <c r="W59" s="120">
        <f>W11*W$48</f>
        <v>98.1</v>
      </c>
      <c r="X59" s="120">
        <f>X11*X$48</f>
        <v>110.94961240310079</v>
      </c>
      <c r="Y59" s="121"/>
      <c r="Z59" s="207"/>
      <c r="AA59" s="113">
        <f t="shared" si="9"/>
        <v>5.0859660103618864E-2</v>
      </c>
    </row>
    <row r="60" spans="2:27">
      <c r="B60" s="94" t="s">
        <v>59</v>
      </c>
      <c r="C60" s="120">
        <f t="shared" si="5"/>
        <v>319.06389332412732</v>
      </c>
      <c r="D60" s="120">
        <f t="shared" si="5"/>
        <v>334.47817206090355</v>
      </c>
      <c r="E60" s="120">
        <f t="shared" si="5"/>
        <v>349.88244576724861</v>
      </c>
      <c r="F60" s="120">
        <f t="shared" si="5"/>
        <v>399.35723597423754</v>
      </c>
      <c r="G60" s="120">
        <f t="shared" si="5"/>
        <v>402.81717132705091</v>
      </c>
      <c r="H60" s="120">
        <f t="shared" si="5"/>
        <v>407.66490046730701</v>
      </c>
      <c r="I60" s="120">
        <f t="shared" si="5"/>
        <v>412.9</v>
      </c>
      <c r="J60" s="120">
        <f t="shared" ref="J60" si="16">J12*J$48</f>
        <v>423.35271317829455</v>
      </c>
      <c r="K60" s="120"/>
      <c r="L60" s="155"/>
      <c r="M60" s="113">
        <f t="shared" si="6"/>
        <v>1.1178379117400494E-2</v>
      </c>
      <c r="N60" s="135"/>
      <c r="P60" s="94" t="s">
        <v>59</v>
      </c>
      <c r="Q60" s="120">
        <f t="shared" si="11"/>
        <v>352.9859405342425</v>
      </c>
      <c r="R60" s="120">
        <f t="shared" si="11"/>
        <v>350.47340876944838</v>
      </c>
      <c r="S60" s="120">
        <f t="shared" si="11"/>
        <v>400.62962326714876</v>
      </c>
      <c r="T60" s="120">
        <f t="shared" si="11"/>
        <v>396.26315666951194</v>
      </c>
      <c r="U60" s="120">
        <f t="shared" si="11"/>
        <v>407.98713502240082</v>
      </c>
      <c r="V60" s="120">
        <f t="shared" si="11"/>
        <v>374.96786988998059</v>
      </c>
      <c r="W60" s="120">
        <f t="shared" si="11"/>
        <v>379</v>
      </c>
      <c r="X60" s="120">
        <f t="shared" ref="X60" si="17">X12*X$48</f>
        <v>396.02713178294573</v>
      </c>
      <c r="Y60" s="121"/>
      <c r="Z60" s="207"/>
      <c r="AA60" s="113">
        <f t="shared" si="9"/>
        <v>-1.4737761078936984E-2</v>
      </c>
    </row>
    <row r="61" spans="2:27">
      <c r="B61" s="94"/>
      <c r="C61" s="120"/>
      <c r="D61" s="120"/>
      <c r="E61" s="120"/>
      <c r="F61" s="120"/>
      <c r="G61" s="120"/>
      <c r="H61" s="120"/>
      <c r="I61" s="120"/>
      <c r="J61" s="120"/>
      <c r="K61" s="120"/>
      <c r="L61" s="155"/>
      <c r="M61" s="113"/>
      <c r="N61" s="135"/>
      <c r="P61" s="94"/>
      <c r="Q61" s="120"/>
      <c r="R61" s="120"/>
      <c r="S61" s="120"/>
      <c r="T61" s="120"/>
      <c r="U61" s="120"/>
      <c r="V61" s="120"/>
      <c r="W61" s="120"/>
      <c r="X61" s="120"/>
      <c r="Y61" s="121"/>
      <c r="Z61" s="207"/>
      <c r="AA61" s="113"/>
    </row>
    <row r="62" spans="2:27">
      <c r="B62" s="94" t="s">
        <v>201</v>
      </c>
      <c r="C62" s="120">
        <f t="shared" ref="C62:J62" si="18">C14*C$48</f>
        <v>134.33622319078239</v>
      </c>
      <c r="D62" s="120">
        <f t="shared" si="18"/>
        <v>147.63011065812464</v>
      </c>
      <c r="E62" s="120">
        <f t="shared" si="18"/>
        <v>143.25268267348488</v>
      </c>
      <c r="F62" s="120">
        <f t="shared" si="18"/>
        <v>123.32116085978116</v>
      </c>
      <c r="G62" s="120">
        <f t="shared" si="18"/>
        <v>142.33900046346366</v>
      </c>
      <c r="H62" s="120">
        <f t="shared" si="18"/>
        <v>130.68332413437838</v>
      </c>
      <c r="I62" s="120">
        <f t="shared" si="18"/>
        <v>137</v>
      </c>
      <c r="J62" s="120">
        <f t="shared" si="18"/>
        <v>143.70155038759691</v>
      </c>
      <c r="K62" s="120"/>
      <c r="L62" s="155"/>
      <c r="M62" s="113">
        <f t="shared" si="6"/>
        <v>3.5684923639610178E-2</v>
      </c>
      <c r="N62" s="135"/>
      <c r="P62" s="94" t="s">
        <v>201</v>
      </c>
      <c r="Q62" s="120">
        <f t="shared" si="11"/>
        <v>83.453152375609577</v>
      </c>
      <c r="R62" s="120">
        <f t="shared" si="11"/>
        <v>95.971420251268825</v>
      </c>
      <c r="S62" s="120">
        <f t="shared" si="11"/>
        <v>58.484415324996995</v>
      </c>
      <c r="T62" s="120">
        <f t="shared" si="11"/>
        <v>106.30372468378987</v>
      </c>
      <c r="U62" s="120">
        <f t="shared" si="11"/>
        <v>99.329302487254765</v>
      </c>
      <c r="V62" s="120">
        <f t="shared" si="11"/>
        <v>106.05575302645622</v>
      </c>
      <c r="W62" s="120">
        <f t="shared" si="11"/>
        <v>123.7</v>
      </c>
      <c r="X62" s="120">
        <f t="shared" ref="X62" si="19">X14*X$48</f>
        <v>109.49612403100775</v>
      </c>
      <c r="Y62" s="121"/>
      <c r="Z62" s="207"/>
      <c r="AA62" s="113">
        <f t="shared" ref="AA62" si="20">((W62/T62)^(1/3))-1</f>
        <v>5.1817533226773405E-2</v>
      </c>
    </row>
    <row r="63" spans="2:27">
      <c r="B63" s="94" t="s">
        <v>202</v>
      </c>
      <c r="C63" s="120"/>
      <c r="D63" s="120"/>
      <c r="E63" s="120"/>
      <c r="F63" s="120"/>
      <c r="G63" s="120"/>
      <c r="H63" s="120"/>
      <c r="I63" s="120"/>
      <c r="J63" s="120"/>
      <c r="K63" s="120"/>
      <c r="L63" s="155"/>
      <c r="M63" s="113"/>
      <c r="N63" s="135"/>
      <c r="P63" s="94" t="s">
        <v>202</v>
      </c>
      <c r="Q63" s="120"/>
      <c r="R63" s="120"/>
      <c r="S63" s="120"/>
      <c r="T63" s="120"/>
      <c r="U63" s="120"/>
      <c r="V63" s="120"/>
      <c r="W63" s="120"/>
      <c r="X63" s="120"/>
      <c r="Y63" s="121"/>
      <c r="Z63" s="207"/>
      <c r="AA63" s="113"/>
    </row>
    <row r="64" spans="2:27">
      <c r="B64" s="94" t="s">
        <v>56</v>
      </c>
      <c r="C64" s="120">
        <f t="shared" ref="C64:J64" si="21">C16*C$48</f>
        <v>134.33622319078239</v>
      </c>
      <c r="D64" s="120">
        <f t="shared" si="21"/>
        <v>147.63011065812464</v>
      </c>
      <c r="E64" s="120">
        <f t="shared" si="21"/>
        <v>143.25268267348488</v>
      </c>
      <c r="F64" s="120">
        <f t="shared" si="21"/>
        <v>123.32116085978116</v>
      </c>
      <c r="G64" s="120">
        <f t="shared" si="21"/>
        <v>142.33900046346366</v>
      </c>
      <c r="H64" s="120">
        <f t="shared" si="21"/>
        <v>130.68332413437838</v>
      </c>
      <c r="I64" s="120">
        <f t="shared" si="21"/>
        <v>137</v>
      </c>
      <c r="J64" s="120">
        <f t="shared" si="21"/>
        <v>143.41085271317831</v>
      </c>
      <c r="K64" s="120"/>
      <c r="L64" s="155"/>
      <c r="M64" s="113">
        <f t="shared" si="6"/>
        <v>3.5684923639610178E-2</v>
      </c>
      <c r="N64" s="135"/>
      <c r="P64" s="94" t="s">
        <v>56</v>
      </c>
      <c r="Q64" s="120">
        <f t="shared" si="11"/>
        <v>83.453152375609577</v>
      </c>
      <c r="R64" s="120">
        <f t="shared" si="11"/>
        <v>95.971420251268825</v>
      </c>
      <c r="S64" s="120">
        <f t="shared" si="11"/>
        <v>58.484415324996995</v>
      </c>
      <c r="T64" s="120">
        <f t="shared" si="11"/>
        <v>106.30372468378987</v>
      </c>
      <c r="U64" s="120">
        <f t="shared" si="11"/>
        <v>-32.669770585509042</v>
      </c>
      <c r="V64" s="120">
        <f t="shared" si="11"/>
        <v>88.240063288810418</v>
      </c>
      <c r="W64" s="120">
        <f t="shared" si="11"/>
        <v>123.7</v>
      </c>
      <c r="X64" s="120">
        <f t="shared" ref="X64" si="22">X16*X$48</f>
        <v>109.49612403100775</v>
      </c>
      <c r="Y64" s="121"/>
      <c r="Z64" s="207"/>
      <c r="AA64" s="113">
        <f t="shared" ref="AA64" si="23">((W64/T64)^(1/3))-1</f>
        <v>5.1817533226773405E-2</v>
      </c>
    </row>
    <row r="65" spans="2:27">
      <c r="B65" s="94"/>
      <c r="C65" s="120"/>
      <c r="D65" s="120"/>
      <c r="E65" s="120"/>
      <c r="F65" s="120"/>
      <c r="G65" s="120"/>
      <c r="H65" s="120"/>
      <c r="I65" s="120"/>
      <c r="J65" s="120"/>
      <c r="K65" s="120"/>
      <c r="L65" s="155"/>
      <c r="M65" s="113"/>
      <c r="N65" s="135"/>
      <c r="P65" s="94"/>
      <c r="Q65" s="120"/>
      <c r="R65" s="120"/>
      <c r="S65" s="120"/>
      <c r="T65" s="120"/>
      <c r="U65" s="120"/>
      <c r="V65" s="120"/>
      <c r="W65" s="120"/>
      <c r="X65" s="120"/>
      <c r="Y65" s="121"/>
      <c r="Z65" s="207"/>
      <c r="AA65" s="113"/>
    </row>
    <row r="66" spans="2:27">
      <c r="B66" s="94" t="s">
        <v>60</v>
      </c>
      <c r="C66" s="120">
        <f t="shared" ref="C66:J66" si="24">C18*C$48</f>
        <v>135.44237690415574</v>
      </c>
      <c r="D66" s="120">
        <f t="shared" si="24"/>
        <v>175.82912055911473</v>
      </c>
      <c r="E66" s="120">
        <f t="shared" si="24"/>
        <v>201.50953218009667</v>
      </c>
      <c r="F66" s="120">
        <f t="shared" si="24"/>
        <v>221.66868161713353</v>
      </c>
      <c r="G66" s="120">
        <f t="shared" si="24"/>
        <v>283.46800942376029</v>
      </c>
      <c r="H66" s="120">
        <f t="shared" si="24"/>
        <v>272.16086028627154</v>
      </c>
      <c r="I66" s="120">
        <f t="shared" si="24"/>
        <v>167.4</v>
      </c>
      <c r="J66" s="120">
        <f t="shared" si="24"/>
        <v>101.74418604651163</v>
      </c>
      <c r="K66" s="120"/>
      <c r="L66" s="155"/>
      <c r="M66" s="113">
        <f t="shared" si="6"/>
        <v>-8.9352348769859091E-2</v>
      </c>
      <c r="N66" s="135"/>
      <c r="P66" s="94" t="s">
        <v>60</v>
      </c>
      <c r="Q66" s="120">
        <f t="shared" si="11"/>
        <v>103.36391921632936</v>
      </c>
      <c r="R66" s="120">
        <f t="shared" si="11"/>
        <v>119.66806722689076</v>
      </c>
      <c r="S66" s="120">
        <f t="shared" si="11"/>
        <v>117.99287683272742</v>
      </c>
      <c r="T66" s="120">
        <f t="shared" si="11"/>
        <v>114.92294560409715</v>
      </c>
      <c r="U66" s="120">
        <f t="shared" si="11"/>
        <v>199.53859879499464</v>
      </c>
      <c r="V66" s="120">
        <f t="shared" si="11"/>
        <v>243.34136218125624</v>
      </c>
      <c r="W66" s="120">
        <f t="shared" si="11"/>
        <v>239.2</v>
      </c>
      <c r="X66" s="120">
        <f t="shared" ref="X66" si="25">X18*X$48</f>
        <v>219.6705426356589</v>
      </c>
      <c r="Y66" s="121"/>
      <c r="Z66" s="207"/>
      <c r="AA66" s="113">
        <f t="shared" ref="AA66" si="26">((W66/T66)^(1/3))-1</f>
        <v>0.27678608864783727</v>
      </c>
    </row>
    <row r="67" spans="2:27">
      <c r="B67" s="94"/>
      <c r="C67" s="120"/>
      <c r="D67" s="120"/>
      <c r="E67" s="120"/>
      <c r="F67" s="120"/>
      <c r="G67" s="120"/>
      <c r="H67" s="120"/>
      <c r="I67" s="120"/>
      <c r="J67" s="120"/>
      <c r="K67" s="120"/>
      <c r="L67" s="155"/>
      <c r="M67" s="113"/>
      <c r="N67" s="135"/>
      <c r="P67" s="94"/>
      <c r="Q67" s="120"/>
      <c r="R67" s="120"/>
      <c r="S67" s="120"/>
      <c r="T67" s="120"/>
      <c r="U67" s="120"/>
      <c r="V67" s="120"/>
      <c r="W67" s="120"/>
      <c r="X67" s="120"/>
      <c r="Y67" s="121"/>
      <c r="Z67" s="207"/>
      <c r="AA67" s="113"/>
    </row>
    <row r="68" spans="2:27">
      <c r="B68" s="94" t="s">
        <v>61</v>
      </c>
      <c r="C68" s="120">
        <f t="shared" ref="C68:J68" si="27">C20*C$48</f>
        <v>1634.280658525008</v>
      </c>
      <c r="D68" s="120">
        <f t="shared" si="27"/>
        <v>1668.243947083784</v>
      </c>
      <c r="E68" s="120">
        <f t="shared" si="27"/>
        <v>1769.8931524909112</v>
      </c>
      <c r="F68" s="120">
        <f t="shared" si="27"/>
        <v>1723.5126755645224</v>
      </c>
      <c r="G68" s="120">
        <f t="shared" si="27"/>
        <v>1837.6470956279936</v>
      </c>
      <c r="H68" s="120">
        <f t="shared" si="27"/>
        <v>2014.2209221032494</v>
      </c>
      <c r="I68" s="120">
        <f t="shared" si="27"/>
        <v>2201.1</v>
      </c>
      <c r="J68" s="120">
        <f t="shared" si="27"/>
        <v>2280.1356589147285</v>
      </c>
      <c r="K68" s="120"/>
      <c r="L68" s="155"/>
      <c r="M68" s="113">
        <f t="shared" si="6"/>
        <v>8.4946768649689863E-2</v>
      </c>
      <c r="N68" s="135"/>
      <c r="P68" s="94" t="s">
        <v>61</v>
      </c>
      <c r="Q68" s="120">
        <f t="shared" si="11"/>
        <v>1676.5603115694992</v>
      </c>
      <c r="R68" s="120">
        <f t="shared" si="11"/>
        <v>1678.6704717530577</v>
      </c>
      <c r="S68" s="120">
        <f t="shared" si="11"/>
        <v>1724.6075546322559</v>
      </c>
      <c r="T68" s="120">
        <f t="shared" si="11"/>
        <v>1723.5126755645224</v>
      </c>
      <c r="U68" s="120">
        <f t="shared" si="11"/>
        <v>1733.0378302178283</v>
      </c>
      <c r="V68" s="120">
        <f t="shared" si="11"/>
        <v>1828.308959782169</v>
      </c>
      <c r="W68" s="120">
        <f t="shared" si="11"/>
        <v>1985.5</v>
      </c>
      <c r="X68" s="120">
        <f t="shared" ref="X68" si="28">X20*X$48</f>
        <v>2132.6550387596903</v>
      </c>
      <c r="Y68" s="121"/>
      <c r="Z68" s="207"/>
      <c r="AA68" s="113">
        <f t="shared" ref="AA68" si="29">((W68/T68)^(1/3))-1</f>
        <v>4.8298915591397318E-2</v>
      </c>
    </row>
    <row r="69" spans="2:27">
      <c r="B69" s="94"/>
      <c r="C69" s="120"/>
      <c r="D69" s="120"/>
      <c r="E69" s="120"/>
      <c r="F69" s="120"/>
      <c r="G69" s="120"/>
      <c r="H69" s="120"/>
      <c r="I69" s="120"/>
      <c r="J69" s="120"/>
      <c r="K69" s="120"/>
      <c r="L69" s="155"/>
      <c r="M69" s="113"/>
      <c r="N69" s="135"/>
      <c r="P69" s="94"/>
      <c r="Q69" s="120"/>
      <c r="R69" s="120"/>
      <c r="S69" s="120"/>
      <c r="T69" s="120"/>
      <c r="U69" s="120"/>
      <c r="V69" s="120"/>
      <c r="W69" s="120"/>
      <c r="X69" s="120"/>
      <c r="Y69" s="121"/>
      <c r="Z69" s="207"/>
      <c r="AA69" s="113"/>
    </row>
    <row r="70" spans="2:27">
      <c r="B70" s="94" t="s">
        <v>63</v>
      </c>
      <c r="C70" s="120">
        <f t="shared" ref="C70:J70" si="30">C22*C$48</f>
        <v>1730.5160315884871</v>
      </c>
      <c r="D70" s="120">
        <f t="shared" si="30"/>
        <v>1843.0067185289956</v>
      </c>
      <c r="E70" s="120">
        <f t="shared" si="30"/>
        <v>1774.6720346770005</v>
      </c>
      <c r="F70" s="120">
        <f t="shared" si="30"/>
        <v>1846.060316598122</v>
      </c>
      <c r="G70" s="120">
        <f t="shared" si="30"/>
        <v>2114.1851537154339</v>
      </c>
      <c r="H70" s="120">
        <f t="shared" si="30"/>
        <v>2306.7126283254229</v>
      </c>
      <c r="I70" s="120">
        <f t="shared" si="30"/>
        <v>2353.1</v>
      </c>
      <c r="J70" s="120">
        <f t="shared" si="30"/>
        <v>2350.2906976744189</v>
      </c>
      <c r="K70" s="120"/>
      <c r="L70" s="155"/>
      <c r="M70" s="113">
        <f t="shared" si="6"/>
        <v>8.425516350690776E-2</v>
      </c>
      <c r="N70" s="135"/>
      <c r="P70" s="94" t="s">
        <v>63</v>
      </c>
      <c r="Q70" s="120">
        <f t="shared" si="11"/>
        <v>1741.3317567859149</v>
      </c>
      <c r="R70" s="120">
        <f t="shared" si="11"/>
        <v>1795.8503910475081</v>
      </c>
      <c r="S70" s="120">
        <f t="shared" si="11"/>
        <v>1774.6720346770005</v>
      </c>
      <c r="T70" s="120">
        <f t="shared" si="11"/>
        <v>1740.9721230697601</v>
      </c>
      <c r="U70" s="120">
        <f t="shared" si="11"/>
        <v>1919.0465240228646</v>
      </c>
      <c r="V70" s="120">
        <f t="shared" si="11"/>
        <v>2080.767763182103</v>
      </c>
      <c r="W70" s="120">
        <f t="shared" si="11"/>
        <v>2200.9</v>
      </c>
      <c r="X70" s="120">
        <f t="shared" ref="X70" si="31">X22*X$48</f>
        <v>2317.4418604651164</v>
      </c>
      <c r="Y70" s="121"/>
      <c r="Z70" s="207"/>
      <c r="AA70" s="113">
        <f t="shared" ref="AA70" si="32">((W70/T70)^(1/3))-1</f>
        <v>8.1275006426657193E-2</v>
      </c>
    </row>
    <row r="71" spans="2:27">
      <c r="B71" s="94"/>
      <c r="C71" s="120"/>
      <c r="D71" s="120"/>
      <c r="E71" s="120"/>
      <c r="F71" s="120"/>
      <c r="G71" s="120"/>
      <c r="H71" s="120"/>
      <c r="I71" s="120"/>
      <c r="J71" s="120"/>
      <c r="K71" s="120"/>
      <c r="L71" s="155"/>
      <c r="M71" s="113"/>
      <c r="N71" s="135"/>
      <c r="P71" s="94"/>
      <c r="Q71" s="120"/>
      <c r="R71" s="120"/>
      <c r="S71" s="120"/>
      <c r="T71" s="120"/>
      <c r="U71" s="120"/>
      <c r="V71" s="120"/>
      <c r="W71" s="120"/>
      <c r="X71" s="120"/>
      <c r="Y71" s="121"/>
      <c r="Z71" s="207"/>
      <c r="AA71" s="113"/>
    </row>
    <row r="72" spans="2:27">
      <c r="B72" s="94" t="s">
        <v>62</v>
      </c>
      <c r="C72" s="120">
        <f t="shared" ref="C72:J72" si="33">C24*C$48</f>
        <v>1681.4765502956029</v>
      </c>
      <c r="D72" s="120">
        <f t="shared" si="33"/>
        <v>1753.9073259006573</v>
      </c>
      <c r="E72" s="120">
        <f t="shared" si="33"/>
        <v>1772.2825935839558</v>
      </c>
      <c r="F72" s="120">
        <f t="shared" si="33"/>
        <v>1784.7312446651663</v>
      </c>
      <c r="G72" s="120">
        <f t="shared" si="33"/>
        <v>1975.9161246717138</v>
      </c>
      <c r="H72" s="120">
        <f t="shared" si="33"/>
        <v>2160.5191743017999</v>
      </c>
      <c r="I72" s="120">
        <f t="shared" si="33"/>
        <v>2277.1</v>
      </c>
      <c r="J72" s="120">
        <f t="shared" si="33"/>
        <v>2315.2131782945739</v>
      </c>
      <c r="K72" s="120"/>
      <c r="L72" s="155"/>
      <c r="M72" s="113">
        <f t="shared" si="6"/>
        <v>8.4600396455710936E-2</v>
      </c>
      <c r="N72" s="135"/>
      <c r="P72" s="94" t="s">
        <v>62</v>
      </c>
      <c r="Q72" s="120">
        <f t="shared" si="11"/>
        <v>1708.3929573210205</v>
      </c>
      <c r="R72" s="120">
        <f t="shared" si="11"/>
        <v>1736.1348406689408</v>
      </c>
      <c r="S72" s="120">
        <f t="shared" si="11"/>
        <v>1774.6720346770005</v>
      </c>
      <c r="T72" s="120">
        <f t="shared" si="11"/>
        <v>1732.242399317141</v>
      </c>
      <c r="U72" s="120">
        <f t="shared" si="11"/>
        <v>1826.0971767341266</v>
      </c>
      <c r="V72" s="120">
        <f t="shared" si="11"/>
        <v>1954.695558744527</v>
      </c>
      <c r="W72" s="120">
        <f t="shared" si="11"/>
        <v>2093.1999999999998</v>
      </c>
      <c r="X72" s="120">
        <f t="shared" ref="X72" si="34">X24*X$48</f>
        <v>2225.0968992248063</v>
      </c>
      <c r="Y72" s="121"/>
      <c r="Z72" s="207"/>
      <c r="AA72" s="113">
        <f t="shared" ref="AA72" si="35">((W72/T72)^(1/3))-1</f>
        <v>6.5125267081520999E-2</v>
      </c>
    </row>
    <row r="73" spans="2:27">
      <c r="B73" s="94"/>
      <c r="C73" s="120"/>
      <c r="D73" s="120"/>
      <c r="E73" s="120"/>
      <c r="F73" s="120"/>
      <c r="G73" s="120"/>
      <c r="H73" s="120"/>
      <c r="I73" s="120"/>
      <c r="J73" s="120"/>
      <c r="K73" s="120"/>
      <c r="L73" s="155"/>
      <c r="M73" s="113"/>
      <c r="N73" s="135"/>
      <c r="P73" s="94"/>
      <c r="Q73" s="121"/>
      <c r="R73" s="121"/>
      <c r="S73" s="121"/>
      <c r="T73" s="121"/>
      <c r="U73" s="121"/>
      <c r="V73" s="121"/>
      <c r="W73" s="121"/>
      <c r="X73" s="121"/>
      <c r="Y73" s="121"/>
      <c r="Z73" s="207"/>
      <c r="AA73" s="113"/>
    </row>
    <row r="74" spans="2:27">
      <c r="B74" s="94" t="s">
        <v>203</v>
      </c>
      <c r="C74" s="121">
        <f t="shared" ref="C74:J74" si="36">C26</f>
        <v>8</v>
      </c>
      <c r="D74" s="121">
        <f t="shared" si="36"/>
        <v>8.4</v>
      </c>
      <c r="E74" s="121">
        <f t="shared" si="36"/>
        <v>8.1</v>
      </c>
      <c r="F74" s="121">
        <f t="shared" si="36"/>
        <v>6.9</v>
      </c>
      <c r="G74" s="121">
        <f t="shared" si="36"/>
        <v>7.2</v>
      </c>
      <c r="H74" s="121">
        <f t="shared" si="36"/>
        <v>6</v>
      </c>
      <c r="I74" s="121">
        <f t="shared" si="36"/>
        <v>6</v>
      </c>
      <c r="J74" s="121">
        <f t="shared" si="36"/>
        <v>6.2</v>
      </c>
      <c r="K74" s="121"/>
      <c r="L74" s="207"/>
      <c r="M74" s="113">
        <f t="shared" si="6"/>
        <v>-4.5518782760864407E-2</v>
      </c>
      <c r="N74" s="135"/>
      <c r="P74" s="94" t="s">
        <v>203</v>
      </c>
      <c r="Q74" s="121">
        <v>4.9000000000000004</v>
      </c>
      <c r="R74" s="121">
        <v>1465.3</v>
      </c>
      <c r="S74" s="121">
        <v>3.3</v>
      </c>
      <c r="T74" s="121">
        <v>6.1</v>
      </c>
      <c r="U74" s="121">
        <v>5.4</v>
      </c>
      <c r="V74" s="121">
        <v>5.4</v>
      </c>
      <c r="W74" s="121">
        <v>5.9</v>
      </c>
      <c r="X74" s="121">
        <v>6.9</v>
      </c>
      <c r="Y74" s="121"/>
      <c r="Z74" s="207"/>
      <c r="AA74" s="113"/>
    </row>
    <row r="75" spans="2:27">
      <c r="B75" s="94"/>
      <c r="C75" s="121"/>
      <c r="D75" s="121"/>
      <c r="E75" s="121"/>
      <c r="F75" s="121"/>
      <c r="G75" s="121"/>
      <c r="H75" s="121"/>
      <c r="I75" s="121"/>
      <c r="J75" s="121"/>
      <c r="K75" s="121"/>
      <c r="L75" s="207"/>
      <c r="M75" s="113"/>
      <c r="N75" s="135"/>
      <c r="P75" s="94"/>
      <c r="Q75" s="121"/>
      <c r="R75" s="121"/>
      <c r="S75" s="121"/>
      <c r="T75" s="121"/>
      <c r="U75" s="121"/>
      <c r="V75" s="121"/>
      <c r="W75" s="121"/>
      <c r="X75" s="121"/>
      <c r="Y75" s="121"/>
      <c r="Z75" s="207"/>
      <c r="AA75" s="113"/>
    </row>
    <row r="76" spans="2:27">
      <c r="B76" s="98" t="s">
        <v>64</v>
      </c>
      <c r="C76" s="122">
        <f t="shared" ref="C76:J76" si="37">C28</f>
        <v>8</v>
      </c>
      <c r="D76" s="122">
        <f t="shared" si="37"/>
        <v>8.4</v>
      </c>
      <c r="E76" s="122">
        <f t="shared" si="37"/>
        <v>8.1</v>
      </c>
      <c r="F76" s="122">
        <f t="shared" si="37"/>
        <v>6.9</v>
      </c>
      <c r="G76" s="122">
        <f t="shared" si="37"/>
        <v>7.2</v>
      </c>
      <c r="H76" s="122">
        <f t="shared" si="37"/>
        <v>6</v>
      </c>
      <c r="I76" s="122">
        <f t="shared" si="37"/>
        <v>6</v>
      </c>
      <c r="J76" s="122">
        <f t="shared" si="37"/>
        <v>6.2</v>
      </c>
      <c r="K76" s="122"/>
      <c r="L76" s="207"/>
      <c r="M76" s="117">
        <f t="shared" si="6"/>
        <v>-4.5518782760864407E-2</v>
      </c>
      <c r="N76" s="135"/>
      <c r="P76" s="98" t="s">
        <v>64</v>
      </c>
      <c r="Q76" s="122">
        <v>4.9000000000000004</v>
      </c>
      <c r="R76" s="122">
        <v>5.5</v>
      </c>
      <c r="S76" s="122">
        <v>3.3</v>
      </c>
      <c r="T76" s="122">
        <v>6.1</v>
      </c>
      <c r="U76" s="122">
        <v>-1.8</v>
      </c>
      <c r="V76" s="122">
        <v>4.5</v>
      </c>
      <c r="W76" s="122">
        <v>5.9</v>
      </c>
      <c r="X76" s="122"/>
      <c r="Y76" s="122"/>
      <c r="Z76" s="207"/>
      <c r="AA76" s="117"/>
    </row>
    <row r="77" spans="2:27">
      <c r="C77" s="21"/>
      <c r="D77" s="21"/>
      <c r="E77" s="21"/>
      <c r="F77" s="21"/>
      <c r="G77" s="21"/>
      <c r="H77" s="21"/>
      <c r="I77" s="21"/>
      <c r="J77" s="21"/>
      <c r="K77" s="21"/>
      <c r="L77" s="207"/>
      <c r="M77" s="31"/>
      <c r="N77" s="31"/>
      <c r="Q77" s="21"/>
      <c r="R77" s="21"/>
      <c r="S77" s="21"/>
      <c r="T77" s="21"/>
      <c r="U77" s="21"/>
      <c r="V77" s="21"/>
      <c r="W77" s="21"/>
      <c r="X77" s="21"/>
      <c r="Y77" s="21"/>
      <c r="Z77" s="207"/>
      <c r="AA77" s="31"/>
    </row>
    <row r="78" spans="2:27">
      <c r="B78" s="84" t="s">
        <v>214</v>
      </c>
      <c r="C78" s="626" t="s">
        <v>77</v>
      </c>
      <c r="D78" s="627"/>
      <c r="E78" s="628"/>
      <c r="F78" s="626" t="s">
        <v>30</v>
      </c>
      <c r="G78" s="627"/>
      <c r="H78" s="627"/>
      <c r="I78" s="627"/>
      <c r="J78" s="628"/>
      <c r="K78" s="554" t="s">
        <v>187</v>
      </c>
      <c r="L78" s="555"/>
      <c r="M78" s="89"/>
      <c r="N78" s="550"/>
      <c r="P78" s="84" t="s">
        <v>211</v>
      </c>
      <c r="Q78" s="626" t="s">
        <v>77</v>
      </c>
      <c r="R78" s="627"/>
      <c r="S78" s="628"/>
      <c r="T78" s="626" t="s">
        <v>30</v>
      </c>
      <c r="U78" s="627"/>
      <c r="V78" s="627"/>
      <c r="W78" s="627"/>
      <c r="X78" s="628"/>
      <c r="Y78" s="554" t="s">
        <v>187</v>
      </c>
      <c r="Z78" s="555"/>
      <c r="AA78" s="89"/>
    </row>
    <row r="79" spans="2:27">
      <c r="B79" s="29" t="s">
        <v>231</v>
      </c>
      <c r="C79" s="18" t="s">
        <v>80</v>
      </c>
      <c r="D79" s="18" t="s">
        <v>44</v>
      </c>
      <c r="E79" s="18" t="s">
        <v>45</v>
      </c>
      <c r="F79" s="18" t="s">
        <v>12</v>
      </c>
      <c r="G79" s="18" t="s">
        <v>13</v>
      </c>
      <c r="H79" s="18" t="s">
        <v>14</v>
      </c>
      <c r="I79" s="18" t="s">
        <v>15</v>
      </c>
      <c r="J79" s="18" t="s">
        <v>16</v>
      </c>
      <c r="K79" s="18" t="s">
        <v>17</v>
      </c>
      <c r="L79" s="154"/>
      <c r="M79" s="18" t="s">
        <v>205</v>
      </c>
      <c r="N79" s="18"/>
      <c r="P79" s="29" t="s">
        <v>231</v>
      </c>
      <c r="Q79" s="18" t="s">
        <v>80</v>
      </c>
      <c r="R79" s="18" t="s">
        <v>44</v>
      </c>
      <c r="S79" s="18" t="s">
        <v>45</v>
      </c>
      <c r="T79" s="18" t="s">
        <v>12</v>
      </c>
      <c r="U79" s="18" t="s">
        <v>13</v>
      </c>
      <c r="V79" s="18" t="s">
        <v>14</v>
      </c>
      <c r="W79" s="18" t="s">
        <v>15</v>
      </c>
      <c r="X79" s="18" t="s">
        <v>16</v>
      </c>
      <c r="Y79" s="18" t="s">
        <v>17</v>
      </c>
      <c r="Z79" s="154"/>
      <c r="AA79" s="18" t="s">
        <v>205</v>
      </c>
    </row>
    <row r="80" spans="2:27">
      <c r="B80" s="92" t="s">
        <v>41</v>
      </c>
      <c r="C80" s="92"/>
      <c r="D80" s="92"/>
      <c r="E80" s="119"/>
      <c r="F80" s="118">
        <f t="shared" ref="F80:J86" si="38">F32*F$48</f>
        <v>134.03993559400945</v>
      </c>
      <c r="G80" s="118">
        <f t="shared" si="38"/>
        <v>131.6690753900819</v>
      </c>
      <c r="H80" s="118">
        <f t="shared" si="38"/>
        <v>129.0065533355411</v>
      </c>
      <c r="I80" s="118">
        <f t="shared" si="38"/>
        <v>127.6</v>
      </c>
      <c r="J80" s="118">
        <f t="shared" si="38"/>
        <v>124.22480620155038</v>
      </c>
      <c r="K80" s="118"/>
      <c r="L80" s="155"/>
      <c r="M80" s="110">
        <f>((J80/F80)^(1/4))-1</f>
        <v>-1.8831652646324026E-2</v>
      </c>
      <c r="N80" s="168"/>
      <c r="P80" s="92" t="s">
        <v>41</v>
      </c>
      <c r="Q80" s="92"/>
      <c r="R80" s="92"/>
      <c r="S80" s="119"/>
      <c r="T80" s="118">
        <f>T32*T$48</f>
        <v>111.93936913168308</v>
      </c>
      <c r="U80" s="118">
        <f t="shared" ref="U80:W80" si="39">U32*U$48</f>
        <v>125.06912173644372</v>
      </c>
      <c r="V80" s="118">
        <f t="shared" si="39"/>
        <v>134.66565478161684</v>
      </c>
      <c r="W80" s="118">
        <f t="shared" si="39"/>
        <v>140.5</v>
      </c>
      <c r="X80" s="118">
        <f t="shared" ref="X80" si="40">X32*X$48</f>
        <v>144.47674418604652</v>
      </c>
      <c r="Y80" s="119"/>
      <c r="Z80" s="207"/>
      <c r="AA80" s="110">
        <f>((W80/T80)^(1/3))-1</f>
        <v>7.8692907175555327E-2</v>
      </c>
    </row>
    <row r="81" spans="2:27">
      <c r="B81" s="94" t="s">
        <v>65</v>
      </c>
      <c r="C81" s="94"/>
      <c r="D81" s="94"/>
      <c r="E81" s="121"/>
      <c r="F81" s="120">
        <f t="shared" si="38"/>
        <v>28.39922790408939</v>
      </c>
      <c r="G81" s="120">
        <f t="shared" si="38"/>
        <v>28.269801483083583</v>
      </c>
      <c r="H81" s="120">
        <f t="shared" si="38"/>
        <v>30.496268903852531</v>
      </c>
      <c r="I81" s="120">
        <f t="shared" si="38"/>
        <v>31.5</v>
      </c>
      <c r="J81" s="120">
        <f t="shared" si="38"/>
        <v>31.2984496124031</v>
      </c>
      <c r="K81" s="120"/>
      <c r="L81" s="155"/>
      <c r="M81" s="113">
        <f t="shared" ref="M81:M93" si="41">((J81/F81)^(1/4))-1</f>
        <v>2.4599342912833277E-2</v>
      </c>
      <c r="N81" s="168"/>
      <c r="P81" s="94" t="s">
        <v>65</v>
      </c>
      <c r="Q81" s="94"/>
      <c r="R81" s="94"/>
      <c r="S81" s="121"/>
      <c r="T81" s="120">
        <f t="shared" ref="T81:W93" si="42">T33*T$48</f>
        <v>33.371855358112825</v>
      </c>
      <c r="U81" s="120">
        <f t="shared" si="42"/>
        <v>29.149795303568677</v>
      </c>
      <c r="V81" s="120">
        <f t="shared" si="42"/>
        <v>26.828332781396043</v>
      </c>
      <c r="W81" s="120">
        <f t="shared" si="42"/>
        <v>35.200000000000003</v>
      </c>
      <c r="X81" s="120">
        <f t="shared" ref="X81" si="43">X33*X$48</f>
        <v>35.94961240310078</v>
      </c>
      <c r="Y81" s="121"/>
      <c r="Z81" s="207"/>
      <c r="AA81" s="113">
        <f t="shared" ref="AA81:AA85" si="44">((W81/T81)^(1/3))-1</f>
        <v>1.7936695065425168E-2</v>
      </c>
    </row>
    <row r="82" spans="2:27">
      <c r="B82" s="94" t="s">
        <v>66</v>
      </c>
      <c r="C82" s="94"/>
      <c r="D82" s="94"/>
      <c r="E82" s="121"/>
      <c r="F82" s="120">
        <f t="shared" si="38"/>
        <v>28.620233568712653</v>
      </c>
      <c r="G82" s="120">
        <f t="shared" si="38"/>
        <v>29.589792213811222</v>
      </c>
      <c r="H82" s="120">
        <f t="shared" si="38"/>
        <v>29.867479854288561</v>
      </c>
      <c r="I82" s="120">
        <f t="shared" si="38"/>
        <v>31.7</v>
      </c>
      <c r="J82" s="120">
        <f t="shared" si="38"/>
        <v>32.848837209302324</v>
      </c>
      <c r="K82" s="120"/>
      <c r="L82" s="155"/>
      <c r="M82" s="113">
        <f t="shared" si="41"/>
        <v>3.5050898756025184E-2</v>
      </c>
      <c r="N82" s="168"/>
      <c r="P82" s="94" t="s">
        <v>66</v>
      </c>
      <c r="Q82" s="94"/>
      <c r="R82" s="94"/>
      <c r="S82" s="121"/>
      <c r="T82" s="120">
        <f t="shared" si="42"/>
        <v>27.404702413284706</v>
      </c>
      <c r="U82" s="120">
        <f t="shared" si="42"/>
        <v>27.499806890159128</v>
      </c>
      <c r="V82" s="120">
        <f t="shared" si="42"/>
        <v>23.579589358648864</v>
      </c>
      <c r="W82" s="120">
        <f t="shared" si="42"/>
        <v>26.8</v>
      </c>
      <c r="X82" s="120">
        <f t="shared" ref="X82" si="45">X34*X$48</f>
        <v>27.325581395348838</v>
      </c>
      <c r="Y82" s="121"/>
      <c r="Z82" s="207"/>
      <c r="AA82" s="113">
        <f t="shared" si="44"/>
        <v>-7.4099870239184851E-3</v>
      </c>
    </row>
    <row r="83" spans="2:27">
      <c r="B83" s="94" t="s">
        <v>204</v>
      </c>
      <c r="C83" s="94"/>
      <c r="D83" s="94"/>
      <c r="E83" s="121"/>
      <c r="F83" s="120">
        <f t="shared" si="38"/>
        <v>29.39375339489408</v>
      </c>
      <c r="G83" s="120">
        <f t="shared" si="38"/>
        <v>29.699791441371858</v>
      </c>
      <c r="H83" s="120">
        <f t="shared" si="38"/>
        <v>30.181874379070546</v>
      </c>
      <c r="I83" s="120">
        <f t="shared" si="38"/>
        <v>30.8</v>
      </c>
      <c r="J83" s="120">
        <f t="shared" si="38"/>
        <v>31.104651162790702</v>
      </c>
      <c r="K83" s="120"/>
      <c r="L83" s="155"/>
      <c r="M83" s="113">
        <f t="shared" si="41"/>
        <v>1.4244291931308828E-2</v>
      </c>
      <c r="N83" s="168"/>
      <c r="P83" s="94" t="s">
        <v>204</v>
      </c>
      <c r="Q83" s="94"/>
      <c r="R83" s="94"/>
      <c r="S83" s="121"/>
      <c r="T83" s="120">
        <f t="shared" si="42"/>
        <v>28.951742065647551</v>
      </c>
      <c r="U83" s="120">
        <f t="shared" si="42"/>
        <v>34.869755136721771</v>
      </c>
      <c r="V83" s="120">
        <f t="shared" si="42"/>
        <v>29.553085329506576</v>
      </c>
      <c r="W83" s="120">
        <f t="shared" si="42"/>
        <v>30.2</v>
      </c>
      <c r="X83" s="120">
        <f t="shared" ref="X83" si="46">X35*X$48</f>
        <v>26.744186046511629</v>
      </c>
      <c r="Y83" s="121"/>
      <c r="Z83" s="207"/>
      <c r="AA83" s="113">
        <f t="shared" si="44"/>
        <v>1.4169971353999999E-2</v>
      </c>
    </row>
    <row r="84" spans="2:27">
      <c r="B84" s="94" t="s">
        <v>67</v>
      </c>
      <c r="C84" s="94"/>
      <c r="D84" s="94"/>
      <c r="E84" s="121"/>
      <c r="F84" s="120">
        <f t="shared" si="38"/>
        <v>14.807379529758672</v>
      </c>
      <c r="G84" s="120">
        <f t="shared" si="38"/>
        <v>14.629897265564658</v>
      </c>
      <c r="H84" s="120">
        <f t="shared" si="38"/>
        <v>14.462148139971303</v>
      </c>
      <c r="I84" s="120">
        <f t="shared" si="38"/>
        <v>14.3</v>
      </c>
      <c r="J84" s="120">
        <f t="shared" si="38"/>
        <v>14.050387596899226</v>
      </c>
      <c r="K84" s="120"/>
      <c r="L84" s="155"/>
      <c r="M84" s="113">
        <f t="shared" si="41"/>
        <v>-1.3033244762397422E-2</v>
      </c>
      <c r="N84" s="168"/>
      <c r="P84" s="94" t="s">
        <v>67</v>
      </c>
      <c r="Q84" s="94"/>
      <c r="R84" s="94"/>
      <c r="S84" s="121"/>
      <c r="T84" s="120">
        <f t="shared" si="42"/>
        <v>15.249390859005199</v>
      </c>
      <c r="U84" s="120">
        <f t="shared" si="42"/>
        <v>14.519898038004019</v>
      </c>
      <c r="V84" s="120">
        <f t="shared" si="42"/>
        <v>13.938157265334661</v>
      </c>
      <c r="W84" s="120">
        <f t="shared" si="42"/>
        <v>12.7</v>
      </c>
      <c r="X84" s="120">
        <f t="shared" ref="X84" si="47">X36*X$48</f>
        <v>11.821705426356589</v>
      </c>
      <c r="Y84" s="121"/>
      <c r="Z84" s="207"/>
      <c r="AA84" s="113">
        <f t="shared" si="44"/>
        <v>-5.9157179958002071E-2</v>
      </c>
    </row>
    <row r="85" spans="2:27">
      <c r="B85" s="94" t="s">
        <v>68</v>
      </c>
      <c r="C85" s="94"/>
      <c r="D85" s="94"/>
      <c r="E85" s="121"/>
      <c r="F85" s="120">
        <f t="shared" si="38"/>
        <v>40.5545394583689</v>
      </c>
      <c r="G85" s="120">
        <f t="shared" si="38"/>
        <v>41.469708790359967</v>
      </c>
      <c r="H85" s="120">
        <f t="shared" si="38"/>
        <v>41.814471796003986</v>
      </c>
      <c r="I85" s="120">
        <f t="shared" si="38"/>
        <v>41.7</v>
      </c>
      <c r="J85" s="120">
        <f t="shared" si="38"/>
        <v>42.344961240310084</v>
      </c>
      <c r="K85" s="120"/>
      <c r="L85" s="155"/>
      <c r="M85" s="113">
        <f t="shared" si="41"/>
        <v>1.085896356211502E-2</v>
      </c>
      <c r="N85" s="168"/>
      <c r="P85" s="94" t="s">
        <v>68</v>
      </c>
      <c r="Q85" s="94"/>
      <c r="R85" s="94"/>
      <c r="S85" s="121"/>
      <c r="T85" s="120">
        <f t="shared" si="42"/>
        <v>57.682478466671839</v>
      </c>
      <c r="U85" s="120">
        <f t="shared" si="42"/>
        <v>65.009543488336178</v>
      </c>
      <c r="V85" s="120">
        <f t="shared" si="42"/>
        <v>53.971060087574067</v>
      </c>
      <c r="W85" s="120">
        <f t="shared" si="42"/>
        <v>35.5</v>
      </c>
      <c r="X85" s="120">
        <f t="shared" ref="X85" si="48">X37*X$48</f>
        <v>38.759689922480625</v>
      </c>
      <c r="Y85" s="121"/>
      <c r="Z85" s="207"/>
      <c r="AA85" s="113">
        <f t="shared" si="44"/>
        <v>-0.14939457778768461</v>
      </c>
    </row>
    <row r="86" spans="2:27">
      <c r="B86" s="94" t="s">
        <v>468</v>
      </c>
      <c r="C86" s="94"/>
      <c r="D86" s="94"/>
      <c r="E86" s="121"/>
      <c r="F86" s="120">
        <f t="shared" si="38"/>
        <v>39.007499806006045</v>
      </c>
      <c r="G86" s="120">
        <f t="shared" si="38"/>
        <v>38.059732735980234</v>
      </c>
      <c r="H86" s="120">
        <f t="shared" si="38"/>
        <v>37.727342973838184</v>
      </c>
      <c r="I86" s="120">
        <f t="shared" si="38"/>
        <v>37.200000000000003</v>
      </c>
      <c r="J86" s="120">
        <f t="shared" si="38"/>
        <v>36.531007751937992</v>
      </c>
      <c r="K86" s="120"/>
      <c r="L86" s="155"/>
      <c r="M86" s="113">
        <f t="shared" si="41"/>
        <v>-1.6264408379823347E-2</v>
      </c>
      <c r="N86" s="168"/>
      <c r="P86" s="94" t="s">
        <v>468</v>
      </c>
      <c r="Q86" s="94"/>
      <c r="R86" s="94"/>
      <c r="S86" s="121"/>
      <c r="T86" s="120">
        <f t="shared" si="42"/>
        <v>45.637669744703956</v>
      </c>
      <c r="U86" s="120">
        <f t="shared" si="42"/>
        <v>25.409821566507038</v>
      </c>
      <c r="V86" s="120">
        <f t="shared" si="42"/>
        <v>0</v>
      </c>
      <c r="W86" s="120">
        <f t="shared" si="42"/>
        <v>0</v>
      </c>
      <c r="X86" s="120">
        <f t="shared" ref="X86" si="49">X38*X$48</f>
        <v>0</v>
      </c>
      <c r="Y86" s="121"/>
      <c r="Z86" s="207"/>
      <c r="AA86" s="113">
        <f>((W86/T86)^(1/3))-1</f>
        <v>-1</v>
      </c>
    </row>
    <row r="87" spans="2:27">
      <c r="B87" s="94"/>
      <c r="C87" s="94"/>
      <c r="D87" s="94"/>
      <c r="E87" s="121"/>
      <c r="F87" s="120"/>
      <c r="G87" s="120"/>
      <c r="H87" s="120"/>
      <c r="I87" s="120"/>
      <c r="J87" s="120"/>
      <c r="K87" s="120"/>
      <c r="L87" s="155"/>
      <c r="M87" s="113"/>
      <c r="N87" s="168"/>
      <c r="P87" s="94"/>
      <c r="Q87" s="94"/>
      <c r="R87" s="94"/>
      <c r="S87" s="121"/>
      <c r="T87" s="121"/>
      <c r="U87" s="121"/>
      <c r="V87" s="121"/>
      <c r="W87" s="121"/>
      <c r="X87" s="121"/>
      <c r="Y87" s="121"/>
      <c r="Z87" s="207"/>
      <c r="AA87" s="113"/>
    </row>
    <row r="88" spans="2:27">
      <c r="B88" s="94" t="s">
        <v>71</v>
      </c>
      <c r="C88" s="94"/>
      <c r="D88" s="94"/>
      <c r="E88" s="121"/>
      <c r="F88" s="120">
        <f>F40*F$48</f>
        <v>314.8225692558392</v>
      </c>
      <c r="G88" s="120">
        <f>G40*G$48</f>
        <v>313.38779932025341</v>
      </c>
      <c r="H88" s="120">
        <f>H40*H$48</f>
        <v>313.55613938256619</v>
      </c>
      <c r="I88" s="120">
        <f>I40*I$48</f>
        <v>314.8</v>
      </c>
      <c r="J88" s="120">
        <f>J40*J$48</f>
        <v>312.40310077519382</v>
      </c>
      <c r="K88" s="120"/>
      <c r="L88" s="155"/>
      <c r="M88" s="113">
        <f t="shared" si="41"/>
        <v>-1.9268573102019237E-3</v>
      </c>
      <c r="N88" s="168"/>
      <c r="P88" s="94" t="s">
        <v>71</v>
      </c>
      <c r="Q88" s="94"/>
      <c r="R88" s="94"/>
      <c r="S88" s="121"/>
      <c r="T88" s="120">
        <f t="shared" si="42"/>
        <v>320.34771087142076</v>
      </c>
      <c r="U88" s="120">
        <f t="shared" si="42"/>
        <v>321.52774215974057</v>
      </c>
      <c r="V88" s="120">
        <f t="shared" si="42"/>
        <v>282.53587960407708</v>
      </c>
      <c r="W88" s="120">
        <f t="shared" si="42"/>
        <v>280.89999999999998</v>
      </c>
      <c r="X88" s="120">
        <f t="shared" ref="X88" si="50">X40*X$48</f>
        <v>285.07751937984494</v>
      </c>
      <c r="Y88" s="121"/>
      <c r="Z88" s="207"/>
      <c r="AA88" s="113">
        <f>((W88/T88)^(1/3))-1</f>
        <v>-4.2857270560070604E-2</v>
      </c>
    </row>
    <row r="89" spans="2:27">
      <c r="B89" s="94"/>
      <c r="C89" s="94"/>
      <c r="D89" s="94"/>
      <c r="E89" s="121"/>
      <c r="F89" s="120"/>
      <c r="G89" s="120"/>
      <c r="H89" s="120"/>
      <c r="I89" s="120"/>
      <c r="J89" s="120"/>
      <c r="K89" s="120"/>
      <c r="L89" s="155"/>
      <c r="M89" s="113"/>
      <c r="N89" s="168"/>
      <c r="P89" s="94"/>
      <c r="Q89" s="94"/>
      <c r="R89" s="94"/>
      <c r="S89" s="121"/>
      <c r="T89" s="121"/>
      <c r="U89" s="121"/>
      <c r="V89" s="121"/>
      <c r="W89" s="121"/>
      <c r="X89" s="121"/>
      <c r="Y89" s="121"/>
      <c r="Z89" s="207"/>
      <c r="AA89" s="113"/>
    </row>
    <row r="90" spans="2:27">
      <c r="B90" s="94" t="s">
        <v>72</v>
      </c>
      <c r="C90" s="94"/>
      <c r="D90" s="94"/>
      <c r="E90" s="121"/>
      <c r="F90" s="120">
        <f t="shared" ref="F90:J91" si="51">F42*F$48</f>
        <v>0</v>
      </c>
      <c r="G90" s="120">
        <f t="shared" si="51"/>
        <v>0</v>
      </c>
      <c r="H90" s="120">
        <f t="shared" si="51"/>
        <v>0</v>
      </c>
      <c r="I90" s="120">
        <f t="shared" si="51"/>
        <v>0</v>
      </c>
      <c r="J90" s="120">
        <f t="shared" si="51"/>
        <v>0</v>
      </c>
      <c r="K90" s="120"/>
      <c r="L90" s="155"/>
      <c r="M90" s="113"/>
      <c r="N90" s="168"/>
      <c r="P90" s="94" t="s">
        <v>72</v>
      </c>
      <c r="Q90" s="94"/>
      <c r="R90" s="94"/>
      <c r="S90" s="121"/>
      <c r="T90" s="121">
        <f t="shared" si="42"/>
        <v>-2.3205594785442694</v>
      </c>
      <c r="U90" s="121">
        <f t="shared" si="42"/>
        <v>0</v>
      </c>
      <c r="V90" s="121">
        <f t="shared" si="42"/>
        <v>0</v>
      </c>
      <c r="W90" s="121">
        <f t="shared" si="42"/>
        <v>0</v>
      </c>
      <c r="X90" s="121">
        <f t="shared" ref="X90" si="52">X42*X$48</f>
        <v>0</v>
      </c>
      <c r="Y90" s="121"/>
      <c r="Z90" s="207"/>
      <c r="AA90" s="113"/>
    </row>
    <row r="91" spans="2:27">
      <c r="B91" s="94" t="s">
        <v>73</v>
      </c>
      <c r="C91" s="94"/>
      <c r="D91" s="94"/>
      <c r="E91" s="121"/>
      <c r="F91" s="120">
        <f t="shared" si="51"/>
        <v>0</v>
      </c>
      <c r="G91" s="120">
        <f t="shared" si="51"/>
        <v>0</v>
      </c>
      <c r="H91" s="120">
        <f t="shared" si="51"/>
        <v>0</v>
      </c>
      <c r="I91" s="120">
        <f t="shared" si="51"/>
        <v>0</v>
      </c>
      <c r="J91" s="120">
        <f t="shared" si="51"/>
        <v>0</v>
      </c>
      <c r="K91" s="120"/>
      <c r="L91" s="155"/>
      <c r="M91" s="113"/>
      <c r="N91" s="168"/>
      <c r="P91" s="94" t="s">
        <v>73</v>
      </c>
      <c r="Q91" s="94"/>
      <c r="R91" s="94"/>
      <c r="S91" s="121"/>
      <c r="T91" s="121">
        <f t="shared" si="42"/>
        <v>-6.1881586094513841</v>
      </c>
      <c r="U91" s="121">
        <f t="shared" si="42"/>
        <v>-2.9699791441371861</v>
      </c>
      <c r="V91" s="121">
        <f t="shared" si="42"/>
        <v>-1.6767707988372527</v>
      </c>
      <c r="W91" s="121">
        <f t="shared" si="42"/>
        <v>0</v>
      </c>
      <c r="X91" s="121">
        <f t="shared" ref="X91" si="53">X43*X$48</f>
        <v>0</v>
      </c>
      <c r="Y91" s="121"/>
      <c r="Z91" s="207"/>
      <c r="AA91" s="113"/>
    </row>
    <row r="92" spans="2:27">
      <c r="B92" s="94"/>
      <c r="C92" s="94"/>
      <c r="D92" s="94"/>
      <c r="E92" s="121"/>
      <c r="F92" s="120"/>
      <c r="G92" s="120"/>
      <c r="H92" s="120"/>
      <c r="I92" s="120"/>
      <c r="J92" s="120"/>
      <c r="K92" s="120"/>
      <c r="L92" s="155"/>
      <c r="M92" s="113"/>
      <c r="N92" s="135"/>
      <c r="P92" s="94"/>
      <c r="Q92" s="94"/>
      <c r="R92" s="94"/>
      <c r="S92" s="121"/>
      <c r="T92" s="121"/>
      <c r="U92" s="121"/>
      <c r="V92" s="121"/>
      <c r="W92" s="121"/>
      <c r="X92" s="121"/>
      <c r="Y92" s="121"/>
      <c r="Z92" s="207"/>
      <c r="AA92" s="113"/>
    </row>
    <row r="93" spans="2:27">
      <c r="B93" s="98" t="s">
        <v>74</v>
      </c>
      <c r="C93" s="98"/>
      <c r="D93" s="98"/>
      <c r="E93" s="122"/>
      <c r="F93" s="123">
        <f>F45*F$48</f>
        <v>314.8225692558392</v>
      </c>
      <c r="G93" s="123">
        <f>G45*G$48</f>
        <v>313.38779932025341</v>
      </c>
      <c r="H93" s="123">
        <f>H45*H$48</f>
        <v>313.55613938256619</v>
      </c>
      <c r="I93" s="123">
        <f>I45*I$48</f>
        <v>314.8</v>
      </c>
      <c r="J93" s="123">
        <f>J45*J$48</f>
        <v>312.01550387596899</v>
      </c>
      <c r="K93" s="123"/>
      <c r="L93" s="155"/>
      <c r="M93" s="117">
        <f t="shared" si="41"/>
        <v>-2.2365774848638331E-3</v>
      </c>
      <c r="N93" s="135"/>
      <c r="P93" s="98" t="s">
        <v>74</v>
      </c>
      <c r="Q93" s="98"/>
      <c r="R93" s="98"/>
      <c r="S93" s="122"/>
      <c r="T93" s="123">
        <f t="shared" si="42"/>
        <v>311.83899278342506</v>
      </c>
      <c r="U93" s="123">
        <f t="shared" si="42"/>
        <v>318.55776301560337</v>
      </c>
      <c r="V93" s="123">
        <f t="shared" si="42"/>
        <v>280.85910880523977</v>
      </c>
      <c r="W93" s="123">
        <f t="shared" si="42"/>
        <v>280.89999999999998</v>
      </c>
      <c r="X93" s="123">
        <f t="shared" ref="X93" si="54">X45*X$48</f>
        <v>285.07751937984494</v>
      </c>
      <c r="Y93" s="122"/>
      <c r="Z93" s="207"/>
      <c r="AA93" s="117">
        <f t="shared" ref="AA93" si="55">((W93/T93)^(1/3))-1</f>
        <v>-3.4229860497269282E-2</v>
      </c>
    </row>
    <row r="96" spans="2:27">
      <c r="B96" s="329" t="s">
        <v>445</v>
      </c>
      <c r="C96" s="329"/>
      <c r="D96" s="329"/>
      <c r="E96" s="329"/>
      <c r="F96" s="329"/>
      <c r="G96" s="329"/>
      <c r="H96" s="329"/>
      <c r="I96" s="329"/>
      <c r="J96" s="329"/>
      <c r="K96" s="329"/>
      <c r="L96" s="329"/>
      <c r="M96" s="329"/>
      <c r="N96" s="329"/>
      <c r="O96" s="329"/>
      <c r="P96" s="329"/>
      <c r="Q96" s="329"/>
      <c r="R96" s="329"/>
      <c r="S96" s="329"/>
      <c r="T96" s="329"/>
      <c r="U96" s="329"/>
      <c r="V96" s="329"/>
      <c r="W96" s="329"/>
      <c r="X96" s="329"/>
      <c r="Y96" s="329"/>
      <c r="Z96" s="329"/>
      <c r="AA96" s="329"/>
    </row>
  </sheetData>
  <mergeCells count="16">
    <mergeCell ref="Q78:S78"/>
    <mergeCell ref="T78:X78"/>
    <mergeCell ref="C78:E78"/>
    <mergeCell ref="F78:J78"/>
    <mergeCell ref="F52:J52"/>
    <mergeCell ref="C52:E52"/>
    <mergeCell ref="Q52:S52"/>
    <mergeCell ref="T52:X52"/>
    <mergeCell ref="C4:E4"/>
    <mergeCell ref="F4:J4"/>
    <mergeCell ref="Q4:S4"/>
    <mergeCell ref="T4:X4"/>
    <mergeCell ref="F30:J30"/>
    <mergeCell ref="C30:E30"/>
    <mergeCell ref="Q30:S30"/>
    <mergeCell ref="T30:X30"/>
  </mergeCells>
  <pageMargins left="0.70866141732283472" right="0.70866141732283472" top="0.74803149606299213" bottom="0.74803149606299213" header="0.31496062992125984" footer="0.31496062992125984"/>
  <pageSetup paperSize="9" scale="42" fitToWidth="2" orientation="landscape" r:id="rId1"/>
  <headerFooter>
    <oddHeader>&amp;C&amp;A&amp;D</oddHeader>
  </headerFooter>
  <colBreaks count="1" manualBreakCount="1">
    <brk id="14" max="92" man="1"/>
  </colBreaks>
  <legacyDrawing r:id="rId2"/>
</worksheet>
</file>

<file path=xl/worksheets/sheet5.xml><?xml version="1.0" encoding="utf-8"?>
<worksheet xmlns="http://schemas.openxmlformats.org/spreadsheetml/2006/main" xmlns:r="http://schemas.openxmlformats.org/officeDocument/2006/relationships">
  <dimension ref="B2:X100"/>
  <sheetViews>
    <sheetView showGridLines="0" topLeftCell="A58" zoomScale="55" zoomScaleNormal="55" zoomScaleSheetLayoutView="40" workbookViewId="0">
      <selection activeCell="M53" sqref="M53"/>
    </sheetView>
  </sheetViews>
  <sheetFormatPr defaultRowHeight="12.75"/>
  <cols>
    <col min="1" max="1" width="9.140625" style="19"/>
    <col min="2" max="2" width="55.7109375" style="19" customWidth="1"/>
    <col min="3" max="6" width="10" style="19" bestFit="1" customWidth="1"/>
    <col min="7" max="7" width="9.5703125" style="19" bestFit="1" customWidth="1"/>
    <col min="8" max="9" width="8.7109375" style="19" bestFit="1" customWidth="1"/>
    <col min="10" max="11" width="8.7109375" style="19" customWidth="1"/>
    <col min="12" max="12" width="10.7109375" style="19" customWidth="1"/>
    <col min="13" max="13" width="54.42578125" style="19" bestFit="1" customWidth="1"/>
    <col min="14" max="17" width="10" style="19" bestFit="1" customWidth="1"/>
    <col min="18" max="18" width="9.5703125" style="19" bestFit="1" customWidth="1"/>
    <col min="19" max="20" width="8.7109375" style="19" bestFit="1" customWidth="1"/>
    <col min="21" max="21" width="9.140625" style="19" bestFit="1" customWidth="1"/>
    <col min="22" max="23" width="9.140625" style="19" customWidth="1"/>
    <col min="24" max="24" width="11.140625" style="19" customWidth="1"/>
    <col min="25" max="16384" width="9.140625" style="19"/>
  </cols>
  <sheetData>
    <row r="2" spans="2:24">
      <c r="B2" s="261" t="s">
        <v>741</v>
      </c>
      <c r="C2" s="18"/>
      <c r="D2" s="18"/>
      <c r="M2" s="261" t="s">
        <v>804</v>
      </c>
      <c r="N2" s="18"/>
      <c r="O2" s="18"/>
    </row>
    <row r="3" spans="2:24">
      <c r="C3" s="18"/>
      <c r="D3" s="18"/>
      <c r="N3" s="18"/>
      <c r="O3" s="18"/>
    </row>
    <row r="4" spans="2:24" ht="15">
      <c r="B4" s="84" t="s">
        <v>75</v>
      </c>
      <c r="C4" s="632" t="s">
        <v>77</v>
      </c>
      <c r="D4" s="633"/>
      <c r="E4" s="633"/>
      <c r="F4" s="136" t="s">
        <v>242</v>
      </c>
      <c r="G4" s="626" t="s">
        <v>30</v>
      </c>
      <c r="H4" s="627"/>
      <c r="I4" s="627"/>
      <c r="J4" s="635"/>
      <c r="K4" s="635"/>
      <c r="M4" s="84" t="s">
        <v>75</v>
      </c>
      <c r="N4" s="632" t="s">
        <v>77</v>
      </c>
      <c r="O4" s="633"/>
      <c r="P4" s="633"/>
      <c r="Q4" s="136" t="s">
        <v>242</v>
      </c>
      <c r="R4" s="626" t="s">
        <v>30</v>
      </c>
      <c r="S4" s="627"/>
      <c r="T4" s="627"/>
      <c r="U4" s="634"/>
      <c r="V4" s="634"/>
      <c r="X4" s="152"/>
    </row>
    <row r="5" spans="2:24">
      <c r="B5" s="29" t="s">
        <v>46</v>
      </c>
      <c r="C5" s="18" t="s">
        <v>80</v>
      </c>
      <c r="D5" s="18" t="s">
        <v>44</v>
      </c>
      <c r="E5" s="18" t="s">
        <v>45</v>
      </c>
      <c r="F5" s="18" t="s">
        <v>12</v>
      </c>
      <c r="G5" s="18" t="s">
        <v>13</v>
      </c>
      <c r="H5" s="18" t="s">
        <v>14</v>
      </c>
      <c r="I5" s="18" t="s">
        <v>15</v>
      </c>
      <c r="J5" s="18" t="s">
        <v>16</v>
      </c>
      <c r="K5" s="18" t="s">
        <v>17</v>
      </c>
      <c r="L5" s="18"/>
      <c r="M5" s="29" t="s">
        <v>46</v>
      </c>
      <c r="N5" s="18" t="s">
        <v>80</v>
      </c>
      <c r="O5" s="18" t="s">
        <v>44</v>
      </c>
      <c r="P5" s="18" t="s">
        <v>45</v>
      </c>
      <c r="Q5" s="18" t="s">
        <v>12</v>
      </c>
      <c r="R5" s="18" t="s">
        <v>13</v>
      </c>
      <c r="S5" s="18" t="s">
        <v>14</v>
      </c>
      <c r="T5" s="18" t="s">
        <v>15</v>
      </c>
      <c r="U5" s="18" t="s">
        <v>16</v>
      </c>
      <c r="V5" s="18" t="s">
        <v>17</v>
      </c>
      <c r="W5" s="18"/>
      <c r="X5" s="18" t="s">
        <v>218</v>
      </c>
    </row>
    <row r="6" spans="2:24">
      <c r="B6" s="92" t="s">
        <v>53</v>
      </c>
      <c r="C6" s="109">
        <v>22237</v>
      </c>
      <c r="D6" s="109">
        <v>21100</v>
      </c>
      <c r="E6" s="109">
        <v>22300</v>
      </c>
      <c r="F6" s="118"/>
      <c r="G6" s="118"/>
      <c r="H6" s="118"/>
      <c r="I6" s="118"/>
      <c r="J6" s="118"/>
      <c r="K6" s="118"/>
      <c r="M6" s="92" t="s">
        <v>53</v>
      </c>
      <c r="N6" s="109">
        <v>22237</v>
      </c>
      <c r="O6" s="109">
        <v>23845</v>
      </c>
      <c r="P6" s="109">
        <v>23541</v>
      </c>
      <c r="Q6" s="109">
        <v>21635</v>
      </c>
      <c r="R6" s="109">
        <v>19758</v>
      </c>
      <c r="S6" s="109">
        <v>18308</v>
      </c>
      <c r="T6" s="109">
        <v>17847</v>
      </c>
      <c r="U6" s="124"/>
      <c r="V6" s="124"/>
      <c r="W6" s="21"/>
      <c r="X6" s="113">
        <f>((T6/Q6)^(1/3))-1</f>
        <v>-6.2144114777589632E-2</v>
      </c>
    </row>
    <row r="7" spans="2:24">
      <c r="B7" s="94" t="s">
        <v>57</v>
      </c>
      <c r="C7" s="112">
        <v>72.5</v>
      </c>
      <c r="D7" s="112">
        <v>100.7</v>
      </c>
      <c r="E7" s="112">
        <v>113.5</v>
      </c>
      <c r="F7" s="121"/>
      <c r="G7" s="121"/>
      <c r="H7" s="121"/>
      <c r="I7" s="94"/>
      <c r="J7" s="94"/>
      <c r="K7" s="94"/>
      <c r="M7" s="94" t="s">
        <v>57</v>
      </c>
      <c r="N7" s="112">
        <v>72.5</v>
      </c>
      <c r="O7" s="112">
        <v>80.7</v>
      </c>
      <c r="P7" s="112">
        <v>138.30000000000001</v>
      </c>
      <c r="Q7" s="112">
        <v>141.1</v>
      </c>
      <c r="R7" s="112">
        <v>132.9</v>
      </c>
      <c r="S7" s="112">
        <v>121.6</v>
      </c>
      <c r="T7" s="112">
        <v>127.6</v>
      </c>
      <c r="U7" s="114"/>
      <c r="V7" s="114"/>
      <c r="W7" s="21"/>
      <c r="X7" s="113">
        <f t="shared" ref="X7:X47" si="0">((T7/Q7)^(1/3))-1</f>
        <v>-3.2967165718778557E-2</v>
      </c>
    </row>
    <row r="8" spans="2:24">
      <c r="B8" s="94" t="s">
        <v>54</v>
      </c>
      <c r="C8" s="112">
        <v>103.1</v>
      </c>
      <c r="D8" s="112">
        <v>121.8</v>
      </c>
      <c r="E8" s="112">
        <v>132.9</v>
      </c>
      <c r="F8" s="121"/>
      <c r="G8" s="121"/>
      <c r="H8" s="121"/>
      <c r="I8" s="94"/>
      <c r="J8" s="94"/>
      <c r="K8" s="94"/>
      <c r="M8" s="94" t="s">
        <v>54</v>
      </c>
      <c r="N8" s="112">
        <v>103.1</v>
      </c>
      <c r="O8" s="112">
        <v>108.2</v>
      </c>
      <c r="P8" s="112">
        <v>112.1</v>
      </c>
      <c r="Q8" s="112">
        <v>107.7</v>
      </c>
      <c r="R8" s="112">
        <v>103.2</v>
      </c>
      <c r="S8" s="112">
        <v>97.5</v>
      </c>
      <c r="T8" s="112">
        <v>100.4</v>
      </c>
      <c r="U8" s="114"/>
      <c r="V8" s="114"/>
      <c r="W8" s="21"/>
      <c r="X8" s="113">
        <f t="shared" si="0"/>
        <v>-2.3124232659673005E-2</v>
      </c>
    </row>
    <row r="9" spans="2:24">
      <c r="B9" s="94" t="s">
        <v>58</v>
      </c>
      <c r="C9" s="112">
        <v>175.6</v>
      </c>
      <c r="D9" s="112">
        <v>222.5</v>
      </c>
      <c r="E9" s="112">
        <v>246.4</v>
      </c>
      <c r="F9" s="121"/>
      <c r="G9" s="121"/>
      <c r="H9" s="121"/>
      <c r="I9" s="94"/>
      <c r="J9" s="94"/>
      <c r="K9" s="94"/>
      <c r="M9" s="94" t="s">
        <v>58</v>
      </c>
      <c r="N9" s="112">
        <v>175.6</v>
      </c>
      <c r="O9" s="112">
        <v>118.9</v>
      </c>
      <c r="P9" s="112">
        <v>250.4</v>
      </c>
      <c r="Q9" s="112">
        <v>248.8</v>
      </c>
      <c r="R9" s="112">
        <v>236.1</v>
      </c>
      <c r="S9" s="112">
        <v>219.1</v>
      </c>
      <c r="T9" s="112">
        <v>228</v>
      </c>
      <c r="U9" s="114"/>
      <c r="V9" s="114"/>
      <c r="W9" s="21"/>
      <c r="X9" s="113">
        <f t="shared" si="0"/>
        <v>-2.8681880614462862E-2</v>
      </c>
    </row>
    <row r="10" spans="2:24">
      <c r="B10" s="94" t="s">
        <v>55</v>
      </c>
      <c r="C10" s="112">
        <v>100.5</v>
      </c>
      <c r="D10" s="112">
        <v>108.1</v>
      </c>
      <c r="E10" s="112">
        <v>116.7</v>
      </c>
      <c r="F10" s="121"/>
      <c r="G10" s="121"/>
      <c r="H10" s="121"/>
      <c r="I10" s="94"/>
      <c r="J10" s="94"/>
      <c r="K10" s="94"/>
      <c r="M10" s="94" t="s">
        <v>55</v>
      </c>
      <c r="N10" s="112">
        <v>100.5</v>
      </c>
      <c r="O10" s="112">
        <v>114.7</v>
      </c>
      <c r="P10" s="112">
        <v>141.30000000000001</v>
      </c>
      <c r="Q10" s="112">
        <v>145.19999999999999</v>
      </c>
      <c r="R10" s="112">
        <v>132.6</v>
      </c>
      <c r="S10" s="112">
        <v>133.4</v>
      </c>
      <c r="T10" s="112">
        <v>141.5</v>
      </c>
      <c r="U10" s="114"/>
      <c r="V10" s="114"/>
      <c r="W10" s="21"/>
      <c r="X10" s="113">
        <f t="shared" si="0"/>
        <v>-8.5672188568417518E-3</v>
      </c>
    </row>
    <row r="11" spans="2:24">
      <c r="B11" s="94" t="s">
        <v>76</v>
      </c>
      <c r="C11" s="112">
        <v>36.4</v>
      </c>
      <c r="D11" s="112">
        <v>40.5</v>
      </c>
      <c r="E11" s="112">
        <v>45.9</v>
      </c>
      <c r="F11" s="121"/>
      <c r="G11" s="121"/>
      <c r="H11" s="121"/>
      <c r="I11" s="94"/>
      <c r="J11" s="94"/>
      <c r="K11" s="94"/>
      <c r="M11" s="94" t="s">
        <v>76</v>
      </c>
      <c r="N11" s="112">
        <v>36.4</v>
      </c>
      <c r="O11" s="112">
        <v>40.5</v>
      </c>
      <c r="P11" s="112">
        <v>45.9</v>
      </c>
      <c r="Q11" s="112">
        <v>41.7</v>
      </c>
      <c r="R11" s="112">
        <v>45.5</v>
      </c>
      <c r="S11" s="112">
        <v>46.8</v>
      </c>
      <c r="T11" s="112">
        <v>45</v>
      </c>
      <c r="U11" s="114"/>
      <c r="V11" s="114"/>
      <c r="W11" s="21"/>
      <c r="X11" s="113">
        <f t="shared" si="0"/>
        <v>2.5712117681764513E-2</v>
      </c>
    </row>
    <row r="12" spans="2:24">
      <c r="B12" s="94" t="s">
        <v>59</v>
      </c>
      <c r="C12" s="112">
        <v>136.9</v>
      </c>
      <c r="D12" s="112">
        <v>148.6</v>
      </c>
      <c r="E12" s="112">
        <v>162.6</v>
      </c>
      <c r="F12" s="121"/>
      <c r="G12" s="121"/>
      <c r="H12" s="121"/>
      <c r="I12" s="94"/>
      <c r="J12" s="94"/>
      <c r="K12" s="94"/>
      <c r="M12" s="94" t="s">
        <v>59</v>
      </c>
      <c r="N12" s="112">
        <v>136.9</v>
      </c>
      <c r="O12" s="112">
        <v>155.19999999999999</v>
      </c>
      <c r="P12" s="112">
        <v>187.2</v>
      </c>
      <c r="Q12" s="112">
        <v>186.9</v>
      </c>
      <c r="R12" s="112">
        <v>178.1</v>
      </c>
      <c r="S12" s="112">
        <v>180.2</v>
      </c>
      <c r="T12" s="112">
        <v>186.5</v>
      </c>
      <c r="U12" s="114"/>
      <c r="V12" s="114"/>
      <c r="W12" s="21"/>
      <c r="X12" s="113">
        <f t="shared" si="0"/>
        <v>-7.1390350875855102E-4</v>
      </c>
    </row>
    <row r="13" spans="2:24">
      <c r="B13" s="94"/>
      <c r="C13" s="112"/>
      <c r="D13" s="112"/>
      <c r="E13" s="112"/>
      <c r="F13" s="121"/>
      <c r="G13" s="121"/>
      <c r="H13" s="121"/>
      <c r="I13" s="94"/>
      <c r="J13" s="94"/>
      <c r="K13" s="94"/>
      <c r="M13" s="94"/>
      <c r="N13" s="112"/>
      <c r="O13" s="112"/>
      <c r="P13" s="112"/>
      <c r="Q13" s="112"/>
      <c r="R13" s="112"/>
      <c r="S13" s="112"/>
      <c r="T13" s="112"/>
      <c r="U13" s="114"/>
      <c r="V13" s="114"/>
      <c r="W13" s="21"/>
      <c r="X13" s="113"/>
    </row>
    <row r="14" spans="2:24">
      <c r="B14" s="94" t="s">
        <v>201</v>
      </c>
      <c r="C14" s="112">
        <v>38.700000000000003</v>
      </c>
      <c r="D14" s="112">
        <v>73.900000000000006</v>
      </c>
      <c r="E14" s="112">
        <v>83.8</v>
      </c>
      <c r="F14" s="121"/>
      <c r="G14" s="121"/>
      <c r="H14" s="121"/>
      <c r="I14" s="94"/>
      <c r="J14" s="94"/>
      <c r="K14" s="94"/>
      <c r="M14" s="94" t="s">
        <v>201</v>
      </c>
      <c r="N14" s="112">
        <v>38.700000000000003</v>
      </c>
      <c r="O14" s="112">
        <v>33.700000000000003</v>
      </c>
      <c r="P14" s="112">
        <v>63.2</v>
      </c>
      <c r="Q14" s="112">
        <v>61.9</v>
      </c>
      <c r="R14" s="112">
        <v>58</v>
      </c>
      <c r="S14" s="112">
        <v>38.9</v>
      </c>
      <c r="T14" s="112">
        <v>41.5</v>
      </c>
      <c r="U14" s="114"/>
      <c r="V14" s="114"/>
      <c r="W14" s="21"/>
      <c r="X14" s="113">
        <f t="shared" si="0"/>
        <v>-0.12477613895437423</v>
      </c>
    </row>
    <row r="15" spans="2:24">
      <c r="B15" s="94" t="s">
        <v>202</v>
      </c>
      <c r="C15" s="112">
        <v>0</v>
      </c>
      <c r="D15" s="112">
        <v>0</v>
      </c>
      <c r="E15" s="112">
        <v>0</v>
      </c>
      <c r="F15" s="121"/>
      <c r="G15" s="121"/>
      <c r="H15" s="121"/>
      <c r="I15" s="94"/>
      <c r="J15" s="94"/>
      <c r="K15" s="94"/>
      <c r="M15" s="94" t="s">
        <v>202</v>
      </c>
      <c r="N15" s="112">
        <v>0</v>
      </c>
      <c r="O15" s="112">
        <v>0</v>
      </c>
      <c r="P15" s="112">
        <v>0</v>
      </c>
      <c r="Q15" s="112">
        <v>0</v>
      </c>
      <c r="R15" s="112">
        <v>39</v>
      </c>
      <c r="S15" s="112">
        <v>-25.1</v>
      </c>
      <c r="T15" s="112">
        <v>32.700000000000003</v>
      </c>
      <c r="U15" s="114"/>
      <c r="V15" s="114"/>
      <c r="W15" s="21"/>
      <c r="X15" s="113"/>
    </row>
    <row r="16" spans="2:24">
      <c r="B16" s="94" t="s">
        <v>56</v>
      </c>
      <c r="C16" s="112">
        <v>38.700000000000003</v>
      </c>
      <c r="D16" s="112">
        <v>73.900000000000006</v>
      </c>
      <c r="E16" s="112">
        <v>83.8</v>
      </c>
      <c r="F16" s="121"/>
      <c r="G16" s="121"/>
      <c r="H16" s="121"/>
      <c r="I16" s="94"/>
      <c r="J16" s="94"/>
      <c r="K16" s="94"/>
      <c r="M16" s="94" t="s">
        <v>56</v>
      </c>
      <c r="N16" s="112">
        <v>38.700000000000003</v>
      </c>
      <c r="O16" s="112">
        <v>33.700000000000003</v>
      </c>
      <c r="P16" s="112">
        <v>63.2</v>
      </c>
      <c r="Q16" s="112">
        <v>63.2</v>
      </c>
      <c r="R16" s="112">
        <v>19</v>
      </c>
      <c r="S16" s="112">
        <v>64</v>
      </c>
      <c r="T16" s="112">
        <v>8.8000000000000007</v>
      </c>
      <c r="U16" s="114"/>
      <c r="V16" s="114"/>
      <c r="W16" s="21"/>
      <c r="X16" s="113">
        <f t="shared" si="0"/>
        <v>-0.48169126109621874</v>
      </c>
    </row>
    <row r="17" spans="2:24">
      <c r="B17" s="94"/>
      <c r="C17" s="112"/>
      <c r="D17" s="112"/>
      <c r="E17" s="112"/>
      <c r="F17" s="121"/>
      <c r="G17" s="121"/>
      <c r="H17" s="121"/>
      <c r="I17" s="94"/>
      <c r="J17" s="94"/>
      <c r="K17" s="94"/>
      <c r="M17" s="94"/>
      <c r="N17" s="112"/>
      <c r="O17" s="112"/>
      <c r="P17" s="112"/>
      <c r="Q17" s="112"/>
      <c r="R17" s="112"/>
      <c r="S17" s="112"/>
      <c r="T17" s="112"/>
      <c r="U17" s="114"/>
      <c r="V17" s="114"/>
      <c r="W17" s="21"/>
      <c r="X17" s="113"/>
    </row>
    <row r="18" spans="2:24">
      <c r="B18" s="94" t="s">
        <v>60</v>
      </c>
      <c r="C18" s="112">
        <v>65.900000000000006</v>
      </c>
      <c r="D18" s="112">
        <v>91.7</v>
      </c>
      <c r="E18" s="112">
        <v>99.1</v>
      </c>
      <c r="F18" s="121"/>
      <c r="G18" s="121"/>
      <c r="H18" s="121"/>
      <c r="I18" s="94"/>
      <c r="J18" s="94"/>
      <c r="K18" s="94"/>
      <c r="M18" s="94" t="s">
        <v>60</v>
      </c>
      <c r="N18" s="112">
        <v>65.900000000000006</v>
      </c>
      <c r="O18" s="112">
        <v>111.4</v>
      </c>
      <c r="P18" s="112">
        <v>110.7</v>
      </c>
      <c r="Q18" s="112">
        <v>100.4</v>
      </c>
      <c r="R18" s="112">
        <v>27.9</v>
      </c>
      <c r="S18" s="112">
        <v>20.8</v>
      </c>
      <c r="T18" s="112">
        <v>19.2</v>
      </c>
      <c r="U18" s="114"/>
      <c r="V18" s="114"/>
      <c r="W18" s="21"/>
      <c r="X18" s="113">
        <f t="shared" si="0"/>
        <v>-0.42386732680878947</v>
      </c>
    </row>
    <row r="19" spans="2:24">
      <c r="B19" s="94"/>
      <c r="C19" s="112"/>
      <c r="D19" s="112"/>
      <c r="E19" s="112"/>
      <c r="F19" s="121"/>
      <c r="G19" s="121"/>
      <c r="H19" s="121"/>
      <c r="I19" s="94"/>
      <c r="J19" s="94"/>
      <c r="K19" s="94"/>
      <c r="M19" s="94"/>
      <c r="N19" s="112"/>
      <c r="O19" s="112"/>
      <c r="P19" s="112"/>
      <c r="Q19" s="112"/>
      <c r="R19" s="112"/>
      <c r="S19" s="112"/>
      <c r="T19" s="112"/>
      <c r="U19" s="114"/>
      <c r="V19" s="114"/>
      <c r="W19" s="21"/>
      <c r="X19" s="113"/>
    </row>
    <row r="20" spans="2:24">
      <c r="B20" s="94" t="s">
        <v>61</v>
      </c>
      <c r="C20" s="112">
        <v>862</v>
      </c>
      <c r="D20" s="112">
        <v>1024.0999999999999</v>
      </c>
      <c r="E20" s="112">
        <v>1125.7</v>
      </c>
      <c r="F20" s="121"/>
      <c r="G20" s="121"/>
      <c r="H20" s="121"/>
      <c r="I20" s="94"/>
      <c r="J20" s="94"/>
      <c r="K20" s="94"/>
      <c r="M20" s="94" t="s">
        <v>61</v>
      </c>
      <c r="N20" s="112">
        <v>862</v>
      </c>
      <c r="O20" s="112">
        <v>912.1</v>
      </c>
      <c r="P20" s="112">
        <v>1028.3</v>
      </c>
      <c r="Q20" s="112">
        <v>1132.9000000000001</v>
      </c>
      <c r="R20" s="112">
        <v>1229.8</v>
      </c>
      <c r="S20" s="112">
        <v>1293</v>
      </c>
      <c r="T20" s="112">
        <v>1348.9</v>
      </c>
      <c r="U20" s="114"/>
      <c r="V20" s="114"/>
      <c r="W20" s="21"/>
      <c r="X20" s="113">
        <f t="shared" si="0"/>
        <v>5.9894713388487286E-2</v>
      </c>
    </row>
    <row r="21" spans="2:24">
      <c r="B21" s="94"/>
      <c r="C21" s="112"/>
      <c r="D21" s="112"/>
      <c r="E21" s="112"/>
      <c r="F21" s="121"/>
      <c r="G21" s="121"/>
      <c r="H21" s="121"/>
      <c r="I21" s="94"/>
      <c r="J21" s="94"/>
      <c r="K21" s="94"/>
      <c r="M21" s="94"/>
      <c r="N21" s="112"/>
      <c r="O21" s="112"/>
      <c r="P21" s="112"/>
      <c r="Q21" s="112"/>
      <c r="R21" s="112"/>
      <c r="S21" s="112"/>
      <c r="T21" s="112"/>
      <c r="U21" s="114"/>
      <c r="V21" s="114"/>
      <c r="W21" s="21"/>
      <c r="X21" s="113"/>
    </row>
    <row r="22" spans="2:24">
      <c r="B22" s="94" t="s">
        <v>63</v>
      </c>
      <c r="C22" s="112">
        <v>912.1</v>
      </c>
      <c r="D22" s="112">
        <v>1125.7</v>
      </c>
      <c r="E22" s="112">
        <v>1222.2</v>
      </c>
      <c r="F22" s="121"/>
      <c r="G22" s="121"/>
      <c r="H22" s="121"/>
      <c r="I22" s="94"/>
      <c r="J22" s="94"/>
      <c r="K22" s="94"/>
      <c r="M22" s="94" t="s">
        <v>63</v>
      </c>
      <c r="N22" s="112">
        <v>912.1</v>
      </c>
      <c r="O22" s="112">
        <v>1028.3</v>
      </c>
      <c r="P22" s="112">
        <v>1132.9000000000001</v>
      </c>
      <c r="Q22" s="112">
        <v>1186.0999999999999</v>
      </c>
      <c r="R22" s="112">
        <v>1266.5</v>
      </c>
      <c r="S22" s="112">
        <v>1348.9</v>
      </c>
      <c r="T22" s="112">
        <v>1359.6</v>
      </c>
      <c r="U22" s="114"/>
      <c r="V22" s="114"/>
      <c r="W22" s="21"/>
      <c r="X22" s="113">
        <f t="shared" si="0"/>
        <v>4.6557955405554186E-2</v>
      </c>
    </row>
    <row r="23" spans="2:24">
      <c r="B23" s="94"/>
      <c r="C23" s="112"/>
      <c r="D23" s="112"/>
      <c r="E23" s="112"/>
      <c r="F23" s="121"/>
      <c r="G23" s="121"/>
      <c r="H23" s="121"/>
      <c r="I23" s="94"/>
      <c r="J23" s="94"/>
      <c r="K23" s="94"/>
      <c r="M23" s="94"/>
      <c r="N23" s="112"/>
      <c r="O23" s="112"/>
      <c r="P23" s="112"/>
      <c r="Q23" s="112"/>
      <c r="R23" s="112"/>
      <c r="S23" s="112"/>
      <c r="T23" s="112"/>
      <c r="U23" s="114"/>
      <c r="V23" s="114"/>
      <c r="W23" s="21"/>
      <c r="X23" s="113"/>
    </row>
    <row r="24" spans="2:24">
      <c r="B24" s="94" t="s">
        <v>62</v>
      </c>
      <c r="C24" s="112">
        <v>886.6</v>
      </c>
      <c r="D24" s="112">
        <v>1074</v>
      </c>
      <c r="E24" s="112">
        <v>1173.0999999999999</v>
      </c>
      <c r="F24" s="121"/>
      <c r="G24" s="121"/>
      <c r="H24" s="121"/>
      <c r="I24" s="94"/>
      <c r="J24" s="94"/>
      <c r="K24" s="94"/>
      <c r="M24" s="94" t="s">
        <v>62</v>
      </c>
      <c r="N24" s="112">
        <v>886.6</v>
      </c>
      <c r="O24" s="112">
        <v>969.1</v>
      </c>
      <c r="P24" s="112">
        <v>1079.7</v>
      </c>
      <c r="Q24" s="112">
        <v>1159</v>
      </c>
      <c r="R24" s="112">
        <v>1248.2</v>
      </c>
      <c r="S24" s="112">
        <v>1321</v>
      </c>
      <c r="T24" s="112">
        <v>1354.2</v>
      </c>
      <c r="U24" s="114"/>
      <c r="V24" s="114"/>
      <c r="W24" s="21"/>
      <c r="X24" s="113">
        <f t="shared" si="0"/>
        <v>5.325401783370709E-2</v>
      </c>
    </row>
    <row r="25" spans="2:24">
      <c r="B25" s="94"/>
      <c r="C25" s="114"/>
      <c r="D25" s="114"/>
      <c r="E25" s="114"/>
      <c r="F25" s="121"/>
      <c r="G25" s="121"/>
      <c r="H25" s="121"/>
      <c r="I25" s="94"/>
      <c r="J25" s="94"/>
      <c r="K25" s="94"/>
      <c r="M25" s="94"/>
      <c r="N25" s="114"/>
      <c r="O25" s="114"/>
      <c r="P25" s="114"/>
      <c r="Q25" s="114"/>
      <c r="R25" s="114"/>
      <c r="S25" s="114"/>
      <c r="T25" s="114"/>
      <c r="U25" s="114"/>
      <c r="V25" s="114"/>
      <c r="W25" s="21"/>
      <c r="X25" s="113"/>
    </row>
    <row r="26" spans="2:24">
      <c r="B26" s="94" t="s">
        <v>203</v>
      </c>
      <c r="C26" s="114">
        <v>4.4000000000000004</v>
      </c>
      <c r="D26" s="114">
        <v>6.9</v>
      </c>
      <c r="E26" s="114">
        <v>7.1</v>
      </c>
      <c r="F26" s="121"/>
      <c r="G26" s="121"/>
      <c r="H26" s="121"/>
      <c r="I26" s="94"/>
      <c r="J26" s="94"/>
      <c r="K26" s="94"/>
      <c r="M26" s="94" t="s">
        <v>203</v>
      </c>
      <c r="N26" s="114">
        <v>4.4000000000000004</v>
      </c>
      <c r="O26" s="114">
        <v>3.5</v>
      </c>
      <c r="P26" s="114">
        <v>5.9</v>
      </c>
      <c r="Q26" s="114">
        <v>5.3</v>
      </c>
      <c r="R26" s="114">
        <v>4.5999999999999996</v>
      </c>
      <c r="S26" s="114">
        <v>2.9</v>
      </c>
      <c r="T26" s="114">
        <v>3.1</v>
      </c>
      <c r="U26" s="114"/>
      <c r="V26" s="114"/>
      <c r="W26" s="21"/>
      <c r="X26" s="113">
        <f t="shared" si="0"/>
        <v>-0.16370029919547213</v>
      </c>
    </row>
    <row r="27" spans="2:24">
      <c r="B27" s="94"/>
      <c r="C27" s="114"/>
      <c r="D27" s="114"/>
      <c r="E27" s="114"/>
      <c r="F27" s="121"/>
      <c r="G27" s="121"/>
      <c r="H27" s="121"/>
      <c r="I27" s="94"/>
      <c r="J27" s="94"/>
      <c r="K27" s="94"/>
      <c r="M27" s="94"/>
      <c r="N27" s="114"/>
      <c r="O27" s="114"/>
      <c r="P27" s="114"/>
      <c r="Q27" s="114"/>
      <c r="R27" s="114"/>
      <c r="S27" s="114"/>
      <c r="T27" s="114"/>
      <c r="U27" s="114"/>
      <c r="V27" s="114"/>
      <c r="W27" s="21"/>
      <c r="X27" s="113"/>
    </row>
    <row r="28" spans="2:24">
      <c r="B28" s="94" t="s">
        <v>64</v>
      </c>
      <c r="C28" s="114">
        <v>4.4000000000000004</v>
      </c>
      <c r="D28" s="114">
        <v>6.9</v>
      </c>
      <c r="E28" s="114">
        <v>7.1</v>
      </c>
      <c r="F28" s="121"/>
      <c r="G28" s="121"/>
      <c r="H28" s="121"/>
      <c r="I28" s="94"/>
      <c r="J28" s="94"/>
      <c r="K28" s="94"/>
      <c r="M28" s="98" t="s">
        <v>64</v>
      </c>
      <c r="N28" s="125">
        <v>4.4000000000000004</v>
      </c>
      <c r="O28" s="125">
        <v>3.5</v>
      </c>
      <c r="P28" s="125">
        <v>5.9</v>
      </c>
      <c r="Q28" s="125">
        <v>5.3</v>
      </c>
      <c r="R28" s="125">
        <v>1.5</v>
      </c>
      <c r="S28" s="125">
        <v>4.8</v>
      </c>
      <c r="T28" s="125">
        <v>0.6</v>
      </c>
      <c r="U28" s="125"/>
      <c r="V28" s="125"/>
      <c r="W28" s="21"/>
      <c r="X28" s="113">
        <f t="shared" si="0"/>
        <v>-0.51624537861897846</v>
      </c>
    </row>
    <row r="29" spans="2:24">
      <c r="B29" s="94"/>
      <c r="C29" s="114"/>
      <c r="D29" s="114"/>
      <c r="E29" s="114"/>
      <c r="F29" s="121"/>
      <c r="G29" s="121"/>
      <c r="H29" s="121"/>
      <c r="I29" s="94"/>
      <c r="J29" s="94"/>
      <c r="K29" s="94"/>
      <c r="M29" s="94"/>
      <c r="N29" s="182"/>
      <c r="O29" s="182"/>
      <c r="P29" s="182"/>
      <c r="Q29" s="182"/>
      <c r="R29" s="182"/>
      <c r="S29" s="182"/>
      <c r="T29" s="182"/>
      <c r="U29" s="182"/>
      <c r="V29" s="182"/>
      <c r="W29" s="21"/>
      <c r="X29" s="113"/>
    </row>
    <row r="30" spans="2:24" s="61" customFormat="1">
      <c r="B30" s="212" t="s">
        <v>327</v>
      </c>
      <c r="C30" s="182">
        <f>(C10/C6)*1000</f>
        <v>4.5194945361334717</v>
      </c>
      <c r="D30" s="182">
        <f t="shared" ref="D30:E30" si="1">(D10/D6)*1000</f>
        <v>5.1232227488151656</v>
      </c>
      <c r="E30" s="182">
        <f t="shared" si="1"/>
        <v>5.2331838565022419</v>
      </c>
      <c r="F30" s="182"/>
      <c r="G30" s="182"/>
      <c r="H30" s="182"/>
      <c r="I30" s="212"/>
      <c r="J30" s="212"/>
      <c r="K30" s="212"/>
      <c r="M30" s="212" t="s">
        <v>327</v>
      </c>
      <c r="N30" s="182">
        <f>(N10/N6)*1000</f>
        <v>4.5194945361334717</v>
      </c>
      <c r="O30" s="182">
        <f t="shared" ref="O30:T30" si="2">(O10/O6)*1000</f>
        <v>4.8102327531977354</v>
      </c>
      <c r="P30" s="182">
        <f t="shared" si="2"/>
        <v>6.0022938702688933</v>
      </c>
      <c r="Q30" s="182">
        <f t="shared" si="2"/>
        <v>6.7113473538248201</v>
      </c>
      <c r="R30" s="182">
        <f t="shared" si="2"/>
        <v>6.711205587610082</v>
      </c>
      <c r="S30" s="182">
        <f t="shared" si="2"/>
        <v>7.2864321608040203</v>
      </c>
      <c r="T30" s="182">
        <f t="shared" si="2"/>
        <v>7.9285033899254769</v>
      </c>
      <c r="U30" s="182"/>
      <c r="V30" s="182"/>
      <c r="W30" s="90"/>
      <c r="X30" s="263"/>
    </row>
    <row r="31" spans="2:24" s="61" customFormat="1">
      <c r="C31" s="90"/>
      <c r="D31" s="90"/>
      <c r="E31" s="90"/>
      <c r="F31" s="90"/>
      <c r="G31" s="90"/>
      <c r="H31" s="90"/>
      <c r="N31" s="90"/>
      <c r="O31" s="90"/>
      <c r="P31" s="90"/>
      <c r="Q31" s="90"/>
      <c r="R31" s="90"/>
      <c r="S31" s="91"/>
      <c r="T31" s="90"/>
      <c r="U31" s="90"/>
      <c r="V31" s="90"/>
      <c r="W31" s="90"/>
      <c r="X31" s="63"/>
    </row>
    <row r="32" spans="2:24" ht="15">
      <c r="B32" s="84" t="s">
        <v>213</v>
      </c>
      <c r="C32" s="632" t="s">
        <v>77</v>
      </c>
      <c r="D32" s="633"/>
      <c r="E32" s="633"/>
      <c r="F32" s="136" t="s">
        <v>242</v>
      </c>
      <c r="G32" s="626" t="s">
        <v>30</v>
      </c>
      <c r="H32" s="627"/>
      <c r="I32" s="627"/>
      <c r="J32" s="635"/>
      <c r="K32" s="635"/>
      <c r="M32" s="84" t="s">
        <v>211</v>
      </c>
      <c r="N32" s="632" t="s">
        <v>77</v>
      </c>
      <c r="O32" s="633"/>
      <c r="P32" s="633"/>
      <c r="Q32" s="136" t="s">
        <v>242</v>
      </c>
      <c r="R32" s="626" t="s">
        <v>30</v>
      </c>
      <c r="S32" s="627"/>
      <c r="T32" s="627"/>
      <c r="U32" s="635"/>
      <c r="V32" s="635"/>
      <c r="W32" s="21"/>
      <c r="X32" s="88"/>
    </row>
    <row r="33" spans="2:24">
      <c r="B33" s="29" t="s">
        <v>46</v>
      </c>
      <c r="C33" s="18" t="s">
        <v>80</v>
      </c>
      <c r="D33" s="18" t="s">
        <v>44</v>
      </c>
      <c r="E33" s="18" t="s">
        <v>45</v>
      </c>
      <c r="F33" s="18" t="s">
        <v>12</v>
      </c>
      <c r="G33" s="18" t="s">
        <v>13</v>
      </c>
      <c r="H33" s="18" t="s">
        <v>14</v>
      </c>
      <c r="I33" s="18" t="s">
        <v>15</v>
      </c>
      <c r="J33" s="18" t="s">
        <v>16</v>
      </c>
      <c r="K33" s="18" t="s">
        <v>17</v>
      </c>
      <c r="M33" s="29" t="s">
        <v>46</v>
      </c>
      <c r="N33" s="18" t="s">
        <v>80</v>
      </c>
      <c r="O33" s="18" t="s">
        <v>44</v>
      </c>
      <c r="P33" s="18" t="s">
        <v>45</v>
      </c>
      <c r="Q33" s="18" t="s">
        <v>12</v>
      </c>
      <c r="R33" s="18" t="s">
        <v>13</v>
      </c>
      <c r="S33" s="18" t="s">
        <v>14</v>
      </c>
      <c r="T33" s="18" t="s">
        <v>15</v>
      </c>
      <c r="U33" s="18" t="s">
        <v>16</v>
      </c>
      <c r="V33" s="18" t="s">
        <v>17</v>
      </c>
      <c r="W33" s="18"/>
      <c r="X33" s="18" t="s">
        <v>218</v>
      </c>
    </row>
    <row r="34" spans="2:24">
      <c r="B34" s="92" t="s">
        <v>41</v>
      </c>
      <c r="C34" s="119"/>
      <c r="D34" s="119"/>
      <c r="E34" s="119"/>
      <c r="F34" s="119"/>
      <c r="G34" s="119"/>
      <c r="H34" s="119"/>
      <c r="I34" s="92"/>
      <c r="J34" s="92"/>
      <c r="K34" s="92"/>
      <c r="M34" s="92" t="s">
        <v>41</v>
      </c>
      <c r="N34" s="108"/>
      <c r="O34" s="108"/>
      <c r="P34" s="109">
        <v>54.5</v>
      </c>
      <c r="Q34" s="109">
        <v>51.2</v>
      </c>
      <c r="R34" s="109">
        <v>47.3</v>
      </c>
      <c r="S34" s="109">
        <v>50.4</v>
      </c>
      <c r="T34" s="109">
        <v>57</v>
      </c>
      <c r="U34" s="124"/>
      <c r="V34" s="124"/>
      <c r="W34" s="21"/>
      <c r="X34" s="113">
        <f>((T34/Q34)^(1/3))-1</f>
        <v>3.6418042731212186E-2</v>
      </c>
    </row>
    <row r="35" spans="2:24">
      <c r="B35" s="94" t="s">
        <v>65</v>
      </c>
      <c r="C35" s="121"/>
      <c r="D35" s="121"/>
      <c r="E35" s="121"/>
      <c r="F35" s="121"/>
      <c r="G35" s="121"/>
      <c r="H35" s="121"/>
      <c r="I35" s="94"/>
      <c r="J35" s="94"/>
      <c r="K35" s="94"/>
      <c r="M35" s="94" t="s">
        <v>65</v>
      </c>
      <c r="N35" s="111"/>
      <c r="O35" s="111"/>
      <c r="P35" s="112">
        <v>11.8</v>
      </c>
      <c r="Q35" s="112">
        <v>9.6</v>
      </c>
      <c r="R35" s="112">
        <v>9.6999999999999993</v>
      </c>
      <c r="S35" s="112">
        <v>9.1999999999999993</v>
      </c>
      <c r="T35" s="112">
        <v>10.4</v>
      </c>
      <c r="U35" s="114"/>
      <c r="V35" s="114"/>
      <c r="W35" s="21"/>
      <c r="X35" s="113">
        <f t="shared" si="0"/>
        <v>2.7040024624839898E-2</v>
      </c>
    </row>
    <row r="36" spans="2:24">
      <c r="B36" s="94" t="s">
        <v>66</v>
      </c>
      <c r="C36" s="121"/>
      <c r="D36" s="121"/>
      <c r="E36" s="121"/>
      <c r="F36" s="121"/>
      <c r="G36" s="121"/>
      <c r="H36" s="121"/>
      <c r="I36" s="94"/>
      <c r="J36" s="94"/>
      <c r="K36" s="94"/>
      <c r="M36" s="94" t="s">
        <v>66</v>
      </c>
      <c r="N36" s="111"/>
      <c r="O36" s="111"/>
      <c r="P36" s="112">
        <v>10.8</v>
      </c>
      <c r="Q36" s="112">
        <v>11.3</v>
      </c>
      <c r="R36" s="112">
        <v>12.3</v>
      </c>
      <c r="S36" s="112">
        <v>13.5</v>
      </c>
      <c r="T36" s="112">
        <v>15</v>
      </c>
      <c r="U36" s="114"/>
      <c r="V36" s="114"/>
      <c r="W36" s="21"/>
      <c r="X36" s="113">
        <f t="shared" si="0"/>
        <v>9.9016649653548061E-2</v>
      </c>
    </row>
    <row r="37" spans="2:24">
      <c r="B37" s="94" t="s">
        <v>204</v>
      </c>
      <c r="C37" s="94"/>
      <c r="D37" s="94"/>
      <c r="E37" s="121"/>
      <c r="F37" s="121"/>
      <c r="G37" s="121"/>
      <c r="H37" s="121"/>
      <c r="I37" s="94"/>
      <c r="J37" s="94"/>
      <c r="K37" s="94"/>
      <c r="M37" s="94" t="s">
        <v>204</v>
      </c>
      <c r="N37" s="111"/>
      <c r="O37" s="111"/>
      <c r="P37" s="112">
        <v>11.8</v>
      </c>
      <c r="Q37" s="112">
        <v>13</v>
      </c>
      <c r="R37" s="112">
        <v>23.4</v>
      </c>
      <c r="S37" s="112">
        <v>19.2</v>
      </c>
      <c r="T37" s="112">
        <v>20.5</v>
      </c>
      <c r="U37" s="114"/>
      <c r="V37" s="114"/>
      <c r="W37" s="21"/>
      <c r="X37" s="113">
        <f t="shared" si="0"/>
        <v>0.16395673133719368</v>
      </c>
    </row>
    <row r="38" spans="2:24">
      <c r="B38" s="94" t="s">
        <v>67</v>
      </c>
      <c r="C38" s="94"/>
      <c r="D38" s="94"/>
      <c r="E38" s="121"/>
      <c r="F38" s="121"/>
      <c r="G38" s="121"/>
      <c r="H38" s="121"/>
      <c r="I38" s="94"/>
      <c r="J38" s="94"/>
      <c r="K38" s="94"/>
      <c r="M38" s="94" t="s">
        <v>67</v>
      </c>
      <c r="N38" s="111"/>
      <c r="O38" s="111"/>
      <c r="P38" s="112">
        <v>7.2</v>
      </c>
      <c r="Q38" s="112">
        <v>7</v>
      </c>
      <c r="R38" s="112">
        <v>6.3</v>
      </c>
      <c r="S38" s="112">
        <v>6.7</v>
      </c>
      <c r="T38" s="112">
        <v>6.9</v>
      </c>
      <c r="U38" s="114"/>
      <c r="V38" s="114"/>
      <c r="W38" s="21"/>
      <c r="X38" s="113">
        <f t="shared" si="0"/>
        <v>-4.7847621971537357E-3</v>
      </c>
    </row>
    <row r="39" spans="2:24">
      <c r="B39" s="94" t="s">
        <v>68</v>
      </c>
      <c r="C39" s="94"/>
      <c r="D39" s="94"/>
      <c r="E39" s="121"/>
      <c r="F39" s="121"/>
      <c r="G39" s="121"/>
      <c r="H39" s="121"/>
      <c r="I39" s="94"/>
      <c r="J39" s="94"/>
      <c r="K39" s="94"/>
      <c r="M39" s="94" t="s">
        <v>68</v>
      </c>
      <c r="N39" s="111"/>
      <c r="O39" s="111"/>
      <c r="P39" s="112">
        <v>7.7</v>
      </c>
      <c r="Q39" s="112">
        <v>25.3</v>
      </c>
      <c r="R39" s="112">
        <v>22.2</v>
      </c>
      <c r="S39" s="112">
        <v>24.3</v>
      </c>
      <c r="T39" s="112">
        <v>22.7</v>
      </c>
      <c r="U39" s="114"/>
      <c r="V39" s="114"/>
      <c r="W39" s="21"/>
      <c r="X39" s="113">
        <f t="shared" si="0"/>
        <v>-3.5501006724338646E-2</v>
      </c>
    </row>
    <row r="40" spans="2:24">
      <c r="B40" s="94" t="s">
        <v>69</v>
      </c>
      <c r="C40" s="94"/>
      <c r="D40" s="94"/>
      <c r="E40" s="121"/>
      <c r="F40" s="121"/>
      <c r="G40" s="121"/>
      <c r="H40" s="121"/>
      <c r="I40" s="94"/>
      <c r="J40" s="94"/>
      <c r="K40" s="94"/>
      <c r="M40" s="94" t="s">
        <v>69</v>
      </c>
      <c r="N40" s="111"/>
      <c r="O40" s="111"/>
      <c r="P40" s="112">
        <v>28.4</v>
      </c>
      <c r="Q40" s="112">
        <v>25.9</v>
      </c>
      <c r="R40" s="112">
        <v>12</v>
      </c>
      <c r="S40" s="112">
        <v>10.4</v>
      </c>
      <c r="T40" s="112">
        <v>9.1999999999999993</v>
      </c>
      <c r="U40" s="114"/>
      <c r="V40" s="114"/>
      <c r="W40" s="21"/>
      <c r="X40" s="113">
        <f t="shared" si="0"/>
        <v>-0.29178896774856966</v>
      </c>
    </row>
    <row r="41" spans="2:24">
      <c r="B41" s="94"/>
      <c r="C41" s="94"/>
      <c r="D41" s="94"/>
      <c r="E41" s="121"/>
      <c r="F41" s="121"/>
      <c r="G41" s="121"/>
      <c r="H41" s="121"/>
      <c r="I41" s="94"/>
      <c r="J41" s="94"/>
      <c r="K41" s="94"/>
      <c r="M41" s="94"/>
      <c r="N41" s="111"/>
      <c r="O41" s="111"/>
      <c r="P41" s="112"/>
      <c r="Q41" s="112"/>
      <c r="R41" s="112"/>
      <c r="S41" s="112"/>
      <c r="T41" s="112"/>
      <c r="U41" s="114"/>
      <c r="V41" s="114"/>
      <c r="W41" s="21"/>
      <c r="X41" s="113"/>
    </row>
    <row r="42" spans="2:24">
      <c r="B42" s="94" t="s">
        <v>71</v>
      </c>
      <c r="C42" s="94"/>
      <c r="D42" s="94"/>
      <c r="E42" s="121"/>
      <c r="F42" s="121"/>
      <c r="G42" s="121"/>
      <c r="H42" s="121"/>
      <c r="I42" s="94"/>
      <c r="J42" s="94"/>
      <c r="K42" s="94"/>
      <c r="M42" s="94" t="s">
        <v>71</v>
      </c>
      <c r="N42" s="111"/>
      <c r="O42" s="111"/>
      <c r="P42" s="112">
        <v>132.19999999999999</v>
      </c>
      <c r="Q42" s="112">
        <v>138.30000000000001</v>
      </c>
      <c r="R42" s="112">
        <v>133.19999999999999</v>
      </c>
      <c r="S42" s="112">
        <v>133.69999999999999</v>
      </c>
      <c r="T42" s="112">
        <v>141.69999999999999</v>
      </c>
      <c r="U42" s="114"/>
      <c r="V42" s="114"/>
      <c r="W42" s="21"/>
      <c r="X42" s="113">
        <f t="shared" si="0"/>
        <v>8.1284942795145643E-3</v>
      </c>
    </row>
    <row r="43" spans="2:24">
      <c r="B43" s="94"/>
      <c r="C43" s="94"/>
      <c r="D43" s="94"/>
      <c r="E43" s="121"/>
      <c r="F43" s="121"/>
      <c r="G43" s="121"/>
      <c r="H43" s="121"/>
      <c r="I43" s="94"/>
      <c r="J43" s="94"/>
      <c r="K43" s="94"/>
      <c r="M43" s="94"/>
      <c r="N43" s="111"/>
      <c r="O43" s="111"/>
      <c r="P43" s="112"/>
      <c r="Q43" s="112"/>
      <c r="R43" s="112"/>
      <c r="S43" s="112"/>
      <c r="T43" s="112"/>
      <c r="U43" s="114"/>
      <c r="V43" s="114"/>
      <c r="W43" s="21"/>
      <c r="X43" s="113"/>
    </row>
    <row r="44" spans="2:24">
      <c r="B44" s="94" t="s">
        <v>72</v>
      </c>
      <c r="C44" s="94"/>
      <c r="D44" s="94"/>
      <c r="E44" s="121"/>
      <c r="F44" s="121"/>
      <c r="G44" s="121"/>
      <c r="H44" s="121"/>
      <c r="I44" s="94"/>
      <c r="J44" s="94"/>
      <c r="K44" s="94"/>
      <c r="M44" s="94" t="s">
        <v>72</v>
      </c>
      <c r="N44" s="111"/>
      <c r="O44" s="111"/>
      <c r="P44" s="112">
        <v>9.1</v>
      </c>
      <c r="Q44" s="112">
        <v>6.9</v>
      </c>
      <c r="R44" s="112">
        <v>0</v>
      </c>
      <c r="S44" s="112">
        <v>0</v>
      </c>
      <c r="T44" s="112">
        <v>0</v>
      </c>
      <c r="U44" s="114"/>
      <c r="V44" s="114"/>
      <c r="W44" s="21"/>
      <c r="X44" s="113">
        <f t="shared" si="0"/>
        <v>-1</v>
      </c>
    </row>
    <row r="45" spans="2:24">
      <c r="B45" s="94" t="s">
        <v>73</v>
      </c>
      <c r="C45" s="94"/>
      <c r="D45" s="94"/>
      <c r="E45" s="121"/>
      <c r="F45" s="121"/>
      <c r="G45" s="121"/>
      <c r="H45" s="121"/>
      <c r="I45" s="94"/>
      <c r="J45" s="94"/>
      <c r="K45" s="94"/>
      <c r="M45" s="94" t="s">
        <v>73</v>
      </c>
      <c r="N45" s="111"/>
      <c r="O45" s="111"/>
      <c r="P45" s="112">
        <v>0</v>
      </c>
      <c r="Q45" s="112">
        <v>0</v>
      </c>
      <c r="R45" s="112">
        <v>-0.6</v>
      </c>
      <c r="S45" s="112">
        <v>-0.3</v>
      </c>
      <c r="T45" s="112">
        <v>-0.2</v>
      </c>
      <c r="U45" s="114"/>
      <c r="V45" s="114"/>
      <c r="W45" s="21"/>
      <c r="X45" s="113"/>
    </row>
    <row r="46" spans="2:24">
      <c r="B46" s="94"/>
      <c r="C46" s="94"/>
      <c r="D46" s="94"/>
      <c r="E46" s="121"/>
      <c r="F46" s="121"/>
      <c r="G46" s="121"/>
      <c r="H46" s="121"/>
      <c r="I46" s="94"/>
      <c r="J46" s="94"/>
      <c r="K46" s="94"/>
      <c r="M46" s="94"/>
      <c r="N46" s="111"/>
      <c r="O46" s="111"/>
      <c r="P46" s="112"/>
      <c r="Q46" s="112"/>
      <c r="R46" s="112"/>
      <c r="S46" s="112"/>
      <c r="T46" s="112"/>
      <c r="U46" s="114"/>
      <c r="V46" s="114"/>
      <c r="W46" s="21"/>
      <c r="X46" s="113"/>
    </row>
    <row r="47" spans="2:24">
      <c r="B47" s="98" t="s">
        <v>74</v>
      </c>
      <c r="C47" s="98"/>
      <c r="D47" s="98"/>
      <c r="E47" s="122"/>
      <c r="F47" s="122"/>
      <c r="G47" s="122"/>
      <c r="H47" s="122"/>
      <c r="I47" s="98"/>
      <c r="J47" s="98"/>
      <c r="K47" s="98"/>
      <c r="M47" s="98" t="s">
        <v>74</v>
      </c>
      <c r="N47" s="115"/>
      <c r="O47" s="115"/>
      <c r="P47" s="116">
        <v>141.30000000000001</v>
      </c>
      <c r="Q47" s="116">
        <v>145.19999999999999</v>
      </c>
      <c r="R47" s="116">
        <v>132.6</v>
      </c>
      <c r="S47" s="116">
        <v>133.4</v>
      </c>
      <c r="T47" s="116">
        <v>141.5</v>
      </c>
      <c r="U47" s="125"/>
      <c r="V47" s="125"/>
      <c r="W47" s="21"/>
      <c r="X47" s="113">
        <f t="shared" si="0"/>
        <v>-8.5672188568417518E-3</v>
      </c>
    </row>
    <row r="49" spans="2:24">
      <c r="R49" s="77"/>
    </row>
    <row r="50" spans="2:24">
      <c r="B50" s="389" t="s">
        <v>233</v>
      </c>
      <c r="C50" s="391">
        <f>RPI!$T$103/RPI!$T97</f>
        <v>1.229059681525914</v>
      </c>
      <c r="D50" s="391">
        <f>RPI!$T$103/RPI!$T98</f>
        <v>1.1848323487810966</v>
      </c>
      <c r="E50" s="391">
        <f>RPI!$T$103/RPI!$T99</f>
        <v>1.1378290919260117</v>
      </c>
      <c r="F50" s="391">
        <f>RPI!$T$103/RPI!$T100</f>
        <v>1.1050283231163187</v>
      </c>
      <c r="G50" s="391">
        <f>RPI!$T$103/RPI!$T101</f>
        <v>1.0999922756063651</v>
      </c>
      <c r="H50" s="391">
        <f>RPI!$T$103/RPI!$T102</f>
        <v>1.0479817492732828</v>
      </c>
      <c r="I50" s="391">
        <f>RPI!$T$103/RPI!$Z103</f>
        <v>1</v>
      </c>
      <c r="J50" s="391">
        <f>RPI!$T$103/RPI!$Z104</f>
        <v>0.96993210475266733</v>
      </c>
      <c r="K50" s="391">
        <f>RPI!$T$103/RPI!$Z105</f>
        <v>0.94328432263813977</v>
      </c>
      <c r="L50" s="391"/>
      <c r="M50" s="389" t="s">
        <v>233</v>
      </c>
      <c r="N50" s="391">
        <f>RPI!$T$103/RPI!$T97</f>
        <v>1.229059681525914</v>
      </c>
      <c r="O50" s="391">
        <f>RPI!$T$103/RPI!$T98</f>
        <v>1.1848323487810966</v>
      </c>
      <c r="P50" s="391">
        <f>RPI!$T$103/RPI!$T99</f>
        <v>1.1378290919260117</v>
      </c>
      <c r="Q50" s="391">
        <f>RPI!$T$103/RPI!$T100</f>
        <v>1.1050283231163187</v>
      </c>
      <c r="R50" s="391">
        <f>RPI!$T$103/RPI!$T101</f>
        <v>1.0999922756063651</v>
      </c>
      <c r="S50" s="391">
        <f>RPI!$T$103/RPI!$T102</f>
        <v>1.0479817492732828</v>
      </c>
      <c r="T50" s="391">
        <f>RPI!$T$103/RPI!$T103</f>
        <v>1</v>
      </c>
      <c r="U50" s="32"/>
      <c r="V50" s="32"/>
      <c r="W50" s="32"/>
      <c r="X50" s="32"/>
    </row>
    <row r="51" spans="2:24">
      <c r="B51" s="41"/>
      <c r="C51" s="42"/>
      <c r="D51" s="42"/>
      <c r="E51" s="42"/>
      <c r="F51" s="42"/>
      <c r="G51" s="42"/>
      <c r="H51" s="42"/>
      <c r="I51" s="42"/>
      <c r="J51" s="42"/>
      <c r="K51" s="42"/>
      <c r="L51" s="42"/>
      <c r="M51" s="42"/>
      <c r="N51" s="42"/>
      <c r="O51" s="42"/>
      <c r="P51" s="42"/>
    </row>
    <row r="52" spans="2:24">
      <c r="B52" s="18" t="s">
        <v>741</v>
      </c>
      <c r="M52" s="18" t="s">
        <v>804</v>
      </c>
      <c r="N52" s="18"/>
      <c r="O52" s="18"/>
    </row>
    <row r="53" spans="2:24">
      <c r="B53" s="18"/>
      <c r="N53" s="18"/>
      <c r="O53" s="18"/>
    </row>
    <row r="54" spans="2:24" ht="15">
      <c r="B54" s="84" t="s">
        <v>75</v>
      </c>
      <c r="C54" s="632" t="s">
        <v>77</v>
      </c>
      <c r="D54" s="633"/>
      <c r="E54" s="633"/>
      <c r="F54" s="136" t="s">
        <v>242</v>
      </c>
      <c r="G54" s="626" t="s">
        <v>30</v>
      </c>
      <c r="H54" s="627"/>
      <c r="I54" s="627"/>
      <c r="J54" s="635"/>
      <c r="K54" s="635"/>
      <c r="M54" s="84" t="s">
        <v>75</v>
      </c>
      <c r="N54" s="632" t="s">
        <v>77</v>
      </c>
      <c r="O54" s="633"/>
      <c r="P54" s="633"/>
      <c r="Q54" s="136" t="s">
        <v>242</v>
      </c>
      <c r="R54" s="626" t="s">
        <v>30</v>
      </c>
      <c r="S54" s="627"/>
      <c r="T54" s="627"/>
      <c r="U54" s="634"/>
      <c r="V54" s="634"/>
      <c r="X54" s="152"/>
    </row>
    <row r="55" spans="2:24">
      <c r="B55" s="29" t="s">
        <v>231</v>
      </c>
      <c r="C55" s="18" t="s">
        <v>80</v>
      </c>
      <c r="D55" s="18" t="s">
        <v>44</v>
      </c>
      <c r="E55" s="18" t="s">
        <v>45</v>
      </c>
      <c r="F55" s="18" t="s">
        <v>12</v>
      </c>
      <c r="G55" s="18" t="s">
        <v>13</v>
      </c>
      <c r="H55" s="18" t="s">
        <v>14</v>
      </c>
      <c r="I55" s="18" t="s">
        <v>15</v>
      </c>
      <c r="J55" s="18" t="s">
        <v>16</v>
      </c>
      <c r="K55" s="18" t="s">
        <v>17</v>
      </c>
      <c r="L55" s="18"/>
      <c r="M55" s="29" t="s">
        <v>231</v>
      </c>
      <c r="N55" s="18" t="s">
        <v>80</v>
      </c>
      <c r="O55" s="18" t="s">
        <v>44</v>
      </c>
      <c r="P55" s="18" t="s">
        <v>45</v>
      </c>
      <c r="Q55" s="18" t="s">
        <v>12</v>
      </c>
      <c r="R55" s="18" t="s">
        <v>13</v>
      </c>
      <c r="S55" s="18" t="s">
        <v>14</v>
      </c>
      <c r="T55" s="18" t="s">
        <v>15</v>
      </c>
      <c r="U55" s="18" t="s">
        <v>16</v>
      </c>
      <c r="V55" s="18" t="s">
        <v>17</v>
      </c>
      <c r="W55" s="18"/>
      <c r="X55" s="18" t="s">
        <v>217</v>
      </c>
    </row>
    <row r="56" spans="2:24">
      <c r="B56" s="92" t="str">
        <f>B6</f>
        <v>Terminal Pax</v>
      </c>
      <c r="C56" s="118">
        <f>C6</f>
        <v>22237</v>
      </c>
      <c r="D56" s="118">
        <f t="shared" ref="D56:E56" si="3">D6</f>
        <v>21100</v>
      </c>
      <c r="E56" s="118">
        <f t="shared" si="3"/>
        <v>22300</v>
      </c>
      <c r="F56" s="118"/>
      <c r="G56" s="118"/>
      <c r="H56" s="118"/>
      <c r="I56" s="118"/>
      <c r="J56" s="118"/>
      <c r="K56" s="118"/>
      <c r="M56" s="92" t="str">
        <f t="shared" ref="M56:M62" si="4">M6</f>
        <v>Terminal Pax</v>
      </c>
      <c r="N56" s="118">
        <v>22237</v>
      </c>
      <c r="O56" s="118">
        <v>23845</v>
      </c>
      <c r="P56" s="118">
        <v>23541</v>
      </c>
      <c r="Q56" s="118">
        <v>21635</v>
      </c>
      <c r="R56" s="118">
        <v>19758</v>
      </c>
      <c r="S56" s="118">
        <v>18308</v>
      </c>
      <c r="T56" s="118">
        <v>17847</v>
      </c>
      <c r="U56" s="119"/>
      <c r="V56" s="119"/>
      <c r="W56" s="21"/>
      <c r="X56" s="113">
        <f>((T56/N56)^(1/6))-1</f>
        <v>-3.5990076387337311E-2</v>
      </c>
    </row>
    <row r="57" spans="2:24">
      <c r="B57" s="92" t="str">
        <f t="shared" ref="B57:B62" si="5">B7</f>
        <v>Net Revenue from Airport Charges</v>
      </c>
      <c r="C57" s="120">
        <f t="shared" ref="C57:C62" si="6">C7*C$50</f>
        <v>89.106826910628769</v>
      </c>
      <c r="D57" s="120">
        <f t="shared" ref="D57:E57" si="7">D7*D$50</f>
        <v>119.31261752225643</v>
      </c>
      <c r="E57" s="120">
        <f t="shared" si="7"/>
        <v>129.14360193360233</v>
      </c>
      <c r="F57" s="121"/>
      <c r="G57" s="121"/>
      <c r="H57" s="121"/>
      <c r="I57" s="94"/>
      <c r="J57" s="94"/>
      <c r="K57" s="94"/>
      <c r="M57" s="92" t="str">
        <f t="shared" si="4"/>
        <v>Net Revenue from Airport Charges</v>
      </c>
      <c r="N57" s="120">
        <f t="shared" ref="N57:N62" si="8">N7*N$50</f>
        <v>89.106826910628769</v>
      </c>
      <c r="O57" s="120">
        <f t="shared" ref="O57:T57" si="9">O7*O$50</f>
        <v>95.6159705466345</v>
      </c>
      <c r="P57" s="120">
        <f t="shared" si="9"/>
        <v>157.36176341336741</v>
      </c>
      <c r="Q57" s="120">
        <f t="shared" si="9"/>
        <v>155.91949639171256</v>
      </c>
      <c r="R57" s="120">
        <f t="shared" si="9"/>
        <v>146.18897342808594</v>
      </c>
      <c r="S57" s="120">
        <f t="shared" si="9"/>
        <v>127.43458071163118</v>
      </c>
      <c r="T57" s="120">
        <f t="shared" si="9"/>
        <v>127.6</v>
      </c>
      <c r="U57" s="120"/>
      <c r="V57" s="121"/>
      <c r="W57" s="21"/>
      <c r="X57" s="113">
        <f t="shared" ref="X57:X74" si="10">((T57/N57)^(1/6))-1</f>
        <v>6.1670987032902858E-2</v>
      </c>
    </row>
    <row r="58" spans="2:24">
      <c r="B58" s="92" t="str">
        <f t="shared" si="5"/>
        <v>Other Revenue</v>
      </c>
      <c r="C58" s="120">
        <f t="shared" si="6"/>
        <v>126.71605316532172</v>
      </c>
      <c r="D58" s="120">
        <f t="shared" ref="D58:E62" si="11">D8*D$50</f>
        <v>144.31258008153756</v>
      </c>
      <c r="E58" s="120">
        <f t="shared" si="11"/>
        <v>151.21748631696695</v>
      </c>
      <c r="F58" s="121"/>
      <c r="G58" s="121"/>
      <c r="H58" s="121"/>
      <c r="I58" s="94"/>
      <c r="J58" s="94"/>
      <c r="K58" s="94"/>
      <c r="M58" s="92" t="str">
        <f t="shared" si="4"/>
        <v>Other Revenue</v>
      </c>
      <c r="N58" s="120">
        <f t="shared" si="8"/>
        <v>126.71605316532172</v>
      </c>
      <c r="O58" s="120">
        <f t="shared" ref="O58:T62" si="12">O8*O$50</f>
        <v>128.19886013811464</v>
      </c>
      <c r="P58" s="120">
        <f t="shared" si="12"/>
        <v>127.5506412049059</v>
      </c>
      <c r="Q58" s="120">
        <f t="shared" si="12"/>
        <v>119.01155039962752</v>
      </c>
      <c r="R58" s="120">
        <f t="shared" si="12"/>
        <v>113.51920284257689</v>
      </c>
      <c r="S58" s="120">
        <f t="shared" si="12"/>
        <v>102.17822055414507</v>
      </c>
      <c r="T58" s="120">
        <f t="shared" si="12"/>
        <v>100.4</v>
      </c>
      <c r="U58" s="120"/>
      <c r="V58" s="121"/>
      <c r="W58" s="21"/>
      <c r="X58" s="113">
        <f t="shared" si="10"/>
        <v>-3.8054768999838062E-2</v>
      </c>
    </row>
    <row r="59" spans="2:24">
      <c r="B59" s="92" t="str">
        <f t="shared" si="5"/>
        <v>Total Revenue</v>
      </c>
      <c r="C59" s="120">
        <f t="shared" si="6"/>
        <v>215.82288007595051</v>
      </c>
      <c r="D59" s="120">
        <f t="shared" si="11"/>
        <v>263.62519760379399</v>
      </c>
      <c r="E59" s="120">
        <f t="shared" si="11"/>
        <v>280.36108825056931</v>
      </c>
      <c r="F59" s="121"/>
      <c r="G59" s="121"/>
      <c r="H59" s="121"/>
      <c r="I59" s="94"/>
      <c r="J59" s="94"/>
      <c r="K59" s="94"/>
      <c r="M59" s="92" t="str">
        <f t="shared" si="4"/>
        <v>Total Revenue</v>
      </c>
      <c r="N59" s="120">
        <f t="shared" si="8"/>
        <v>215.82288007595051</v>
      </c>
      <c r="O59" s="120">
        <f t="shared" si="12"/>
        <v>140.87656627007237</v>
      </c>
      <c r="P59" s="120">
        <f t="shared" si="12"/>
        <v>284.91240461827334</v>
      </c>
      <c r="Q59" s="120">
        <f t="shared" si="12"/>
        <v>274.93104679134012</v>
      </c>
      <c r="R59" s="120">
        <f t="shared" si="12"/>
        <v>259.70817627066282</v>
      </c>
      <c r="S59" s="120">
        <f t="shared" si="12"/>
        <v>229.61280126577626</v>
      </c>
      <c r="T59" s="120">
        <f t="shared" si="12"/>
        <v>228</v>
      </c>
      <c r="U59" s="120"/>
      <c r="V59" s="121"/>
      <c r="W59" s="21"/>
      <c r="X59" s="113"/>
    </row>
    <row r="60" spans="2:24">
      <c r="B60" s="92" t="str">
        <f t="shared" si="5"/>
        <v>Operating Costs</v>
      </c>
      <c r="C60" s="120">
        <f t="shared" si="6"/>
        <v>123.52049799335437</v>
      </c>
      <c r="D60" s="120">
        <f t="shared" si="11"/>
        <v>128.08037690323653</v>
      </c>
      <c r="E60" s="120">
        <f t="shared" si="11"/>
        <v>132.78465502776555</v>
      </c>
      <c r="F60" s="121"/>
      <c r="G60" s="121"/>
      <c r="H60" s="121"/>
      <c r="I60" s="94"/>
      <c r="J60" s="94"/>
      <c r="K60" s="94"/>
      <c r="M60" s="92" t="str">
        <f t="shared" si="4"/>
        <v>Operating Costs</v>
      </c>
      <c r="N60" s="120">
        <f t="shared" si="8"/>
        <v>123.52049799335437</v>
      </c>
      <c r="O60" s="120">
        <f t="shared" si="12"/>
        <v>135.90027040519178</v>
      </c>
      <c r="P60" s="120">
        <f t="shared" si="12"/>
        <v>160.77525068914545</v>
      </c>
      <c r="Q60" s="120">
        <f t="shared" si="12"/>
        <v>160.45011251648947</v>
      </c>
      <c r="R60" s="120">
        <f t="shared" si="12"/>
        <v>145.85897574540402</v>
      </c>
      <c r="S60" s="120">
        <f t="shared" si="12"/>
        <v>139.80076535305594</v>
      </c>
      <c r="T60" s="120">
        <f t="shared" si="12"/>
        <v>141.5</v>
      </c>
      <c r="U60" s="120"/>
      <c r="V60" s="121"/>
      <c r="W60" s="21"/>
      <c r="X60" s="113">
        <f t="shared" si="10"/>
        <v>2.2907197192009399E-2</v>
      </c>
    </row>
    <row r="61" spans="2:24">
      <c r="B61" s="92" t="str">
        <f t="shared" si="5"/>
        <v>Assumed Ordinary Depreciation</v>
      </c>
      <c r="C61" s="120">
        <f t="shared" si="6"/>
        <v>44.737772407543268</v>
      </c>
      <c r="D61" s="120">
        <f t="shared" si="11"/>
        <v>47.985710125634412</v>
      </c>
      <c r="E61" s="120">
        <f t="shared" si="11"/>
        <v>52.226355319403936</v>
      </c>
      <c r="F61" s="121"/>
      <c r="G61" s="121"/>
      <c r="H61" s="121"/>
      <c r="I61" s="94"/>
      <c r="J61" s="94"/>
      <c r="K61" s="94"/>
      <c r="M61" s="92" t="str">
        <f t="shared" si="4"/>
        <v>Assumed Ordinary Depreciation</v>
      </c>
      <c r="N61" s="120">
        <f t="shared" si="8"/>
        <v>44.737772407543268</v>
      </c>
      <c r="O61" s="120">
        <f t="shared" si="12"/>
        <v>47.985710125634412</v>
      </c>
      <c r="P61" s="120">
        <f t="shared" si="12"/>
        <v>52.226355319403936</v>
      </c>
      <c r="Q61" s="120">
        <f t="shared" si="12"/>
        <v>46.079681073950496</v>
      </c>
      <c r="R61" s="120">
        <f t="shared" si="12"/>
        <v>50.049648540089613</v>
      </c>
      <c r="S61" s="120">
        <f t="shared" si="12"/>
        <v>49.045545865989631</v>
      </c>
      <c r="T61" s="120">
        <f t="shared" si="12"/>
        <v>45</v>
      </c>
      <c r="U61" s="120"/>
      <c r="V61" s="121"/>
      <c r="W61" s="21"/>
      <c r="X61" s="113"/>
    </row>
    <row r="62" spans="2:24">
      <c r="B62" s="92" t="str">
        <f t="shared" si="5"/>
        <v>Total Expenditure</v>
      </c>
      <c r="C62" s="120">
        <f t="shared" si="6"/>
        <v>168.25827040089763</v>
      </c>
      <c r="D62" s="120">
        <f t="shared" si="11"/>
        <v>176.06608702887095</v>
      </c>
      <c r="E62" s="120">
        <f t="shared" si="11"/>
        <v>185.0110103471695</v>
      </c>
      <c r="F62" s="121"/>
      <c r="G62" s="121"/>
      <c r="H62" s="121"/>
      <c r="I62" s="94"/>
      <c r="J62" s="94"/>
      <c r="K62" s="94"/>
      <c r="M62" s="92" t="str">
        <f t="shared" si="4"/>
        <v>Total Expenditure</v>
      </c>
      <c r="N62" s="120">
        <f t="shared" si="8"/>
        <v>168.25827040089763</v>
      </c>
      <c r="O62" s="120">
        <f t="shared" si="12"/>
        <v>183.88598053082617</v>
      </c>
      <c r="P62" s="120">
        <f t="shared" si="12"/>
        <v>213.00160600854937</v>
      </c>
      <c r="Q62" s="120">
        <f t="shared" si="12"/>
        <v>206.52979359043997</v>
      </c>
      <c r="R62" s="120">
        <f t="shared" si="12"/>
        <v>195.90862428549363</v>
      </c>
      <c r="S62" s="120">
        <f t="shared" si="12"/>
        <v>188.84631121904556</v>
      </c>
      <c r="T62" s="120">
        <f t="shared" si="12"/>
        <v>186.5</v>
      </c>
      <c r="U62" s="120"/>
      <c r="V62" s="121"/>
      <c r="W62" s="21"/>
      <c r="X62" s="113">
        <f t="shared" si="10"/>
        <v>1.7303181345025287E-2</v>
      </c>
    </row>
    <row r="63" spans="2:24">
      <c r="B63" s="92"/>
      <c r="C63" s="120"/>
      <c r="D63" s="120"/>
      <c r="E63" s="120"/>
      <c r="F63" s="121"/>
      <c r="G63" s="121"/>
      <c r="H63" s="121"/>
      <c r="I63" s="94"/>
      <c r="J63" s="94"/>
      <c r="K63" s="94"/>
      <c r="M63" s="92"/>
      <c r="N63" s="120"/>
      <c r="O63" s="120"/>
      <c r="P63" s="120"/>
      <c r="Q63" s="120"/>
      <c r="R63" s="120"/>
      <c r="S63" s="120"/>
      <c r="T63" s="120"/>
      <c r="U63" s="120"/>
      <c r="V63" s="121"/>
      <c r="W63" s="21"/>
      <c r="X63" s="113"/>
    </row>
    <row r="64" spans="2:24">
      <c r="B64" s="92" t="str">
        <f>B14</f>
        <v>Regulatory Operating Profit (Before Exceptional)</v>
      </c>
      <c r="C64" s="120">
        <f t="shared" ref="C64:E66" si="13">C14*C$50</f>
        <v>47.564609675052878</v>
      </c>
      <c r="D64" s="120">
        <f t="shared" si="13"/>
        <v>87.559110574923039</v>
      </c>
      <c r="E64" s="120">
        <f t="shared" si="13"/>
        <v>95.350077903399779</v>
      </c>
      <c r="F64" s="121"/>
      <c r="G64" s="121"/>
      <c r="H64" s="121"/>
      <c r="I64" s="94"/>
      <c r="J64" s="94"/>
      <c r="K64" s="94"/>
      <c r="M64" s="92" t="str">
        <f>M14</f>
        <v>Regulatory Operating Profit (Before Exceptional)</v>
      </c>
      <c r="N64" s="120">
        <f t="shared" ref="N64:T66" si="14">N14*N$50</f>
        <v>47.564609675052878</v>
      </c>
      <c r="O64" s="120">
        <f t="shared" si="14"/>
        <v>39.928850153922959</v>
      </c>
      <c r="P64" s="120">
        <f t="shared" si="14"/>
        <v>71.91079860972394</v>
      </c>
      <c r="Q64" s="120">
        <f t="shared" si="14"/>
        <v>68.401253200900129</v>
      </c>
      <c r="R64" s="120">
        <f t="shared" si="14"/>
        <v>63.799551985169181</v>
      </c>
      <c r="S64" s="120">
        <f t="shared" si="14"/>
        <v>40.766490046730702</v>
      </c>
      <c r="T64" s="120">
        <f t="shared" si="14"/>
        <v>41.5</v>
      </c>
      <c r="U64" s="120"/>
      <c r="V64" s="121"/>
      <c r="W64" s="21"/>
      <c r="X64" s="113">
        <f t="shared" si="10"/>
        <v>-2.2476155309670953E-2</v>
      </c>
    </row>
    <row r="65" spans="2:24">
      <c r="B65" s="92" t="str">
        <f>B15</f>
        <v>Exceptional</v>
      </c>
      <c r="C65" s="120">
        <f t="shared" si="13"/>
        <v>0</v>
      </c>
      <c r="D65" s="120">
        <f t="shared" si="13"/>
        <v>0</v>
      </c>
      <c r="E65" s="120">
        <f t="shared" si="13"/>
        <v>0</v>
      </c>
      <c r="F65" s="121"/>
      <c r="G65" s="121"/>
      <c r="H65" s="121"/>
      <c r="I65" s="94"/>
      <c r="J65" s="94"/>
      <c r="K65" s="94"/>
      <c r="M65" s="92" t="str">
        <f>M15</f>
        <v>Exceptional</v>
      </c>
      <c r="N65" s="120">
        <f t="shared" si="14"/>
        <v>0</v>
      </c>
      <c r="O65" s="120">
        <f t="shared" si="14"/>
        <v>0</v>
      </c>
      <c r="P65" s="120">
        <f t="shared" si="14"/>
        <v>0</v>
      </c>
      <c r="Q65" s="120">
        <f t="shared" si="14"/>
        <v>0</v>
      </c>
      <c r="R65" s="120">
        <f t="shared" si="14"/>
        <v>42.899698748648241</v>
      </c>
      <c r="S65" s="120">
        <f t="shared" si="14"/>
        <v>-26.304341906759401</v>
      </c>
      <c r="T65" s="120">
        <f t="shared" si="14"/>
        <v>32.700000000000003</v>
      </c>
      <c r="U65" s="120"/>
      <c r="V65" s="121"/>
      <c r="W65" s="21"/>
      <c r="X65" s="113"/>
    </row>
    <row r="66" spans="2:24">
      <c r="B66" s="92" t="str">
        <f>B16</f>
        <v>Regulatory Operating Profit</v>
      </c>
      <c r="C66" s="120">
        <f t="shared" si="13"/>
        <v>47.564609675052878</v>
      </c>
      <c r="D66" s="120">
        <f t="shared" si="13"/>
        <v>87.559110574923039</v>
      </c>
      <c r="E66" s="120">
        <f t="shared" si="13"/>
        <v>95.350077903399779</v>
      </c>
      <c r="F66" s="121"/>
      <c r="G66" s="121"/>
      <c r="H66" s="121"/>
      <c r="I66" s="94"/>
      <c r="J66" s="94"/>
      <c r="K66" s="94"/>
      <c r="M66" s="92" t="str">
        <f>M16</f>
        <v>Regulatory Operating Profit</v>
      </c>
      <c r="N66" s="120">
        <f t="shared" si="14"/>
        <v>47.564609675052878</v>
      </c>
      <c r="O66" s="120">
        <f t="shared" si="14"/>
        <v>39.928850153922959</v>
      </c>
      <c r="P66" s="120">
        <f t="shared" si="14"/>
        <v>71.91079860972394</v>
      </c>
      <c r="Q66" s="120">
        <f t="shared" si="14"/>
        <v>69.837790020951346</v>
      </c>
      <c r="R66" s="120">
        <f t="shared" si="14"/>
        <v>20.899853236520936</v>
      </c>
      <c r="S66" s="120">
        <f t="shared" si="14"/>
        <v>67.070831953490099</v>
      </c>
      <c r="T66" s="120">
        <f t="shared" si="14"/>
        <v>8.8000000000000007</v>
      </c>
      <c r="U66" s="120"/>
      <c r="V66" s="121"/>
      <c r="W66" s="21"/>
      <c r="X66" s="113">
        <f t="shared" si="10"/>
        <v>-0.24513992509982774</v>
      </c>
    </row>
    <row r="67" spans="2:24">
      <c r="B67" s="92"/>
      <c r="C67" s="120"/>
      <c r="D67" s="120"/>
      <c r="E67" s="120"/>
      <c r="F67" s="121"/>
      <c r="G67" s="121"/>
      <c r="H67" s="121"/>
      <c r="I67" s="94"/>
      <c r="J67" s="94"/>
      <c r="K67" s="94"/>
      <c r="M67" s="92"/>
      <c r="N67" s="120"/>
      <c r="O67" s="120"/>
      <c r="P67" s="120"/>
      <c r="Q67" s="120"/>
      <c r="R67" s="120"/>
      <c r="S67" s="120"/>
      <c r="T67" s="120"/>
      <c r="U67" s="120"/>
      <c r="V67" s="121"/>
      <c r="W67" s="21"/>
      <c r="X67" s="113"/>
    </row>
    <row r="68" spans="2:24">
      <c r="B68" s="92" t="str">
        <f>B18</f>
        <v>Capital Expenditure</v>
      </c>
      <c r="C68" s="120">
        <f>C18*C$50</f>
        <v>80.995033012557741</v>
      </c>
      <c r="D68" s="120">
        <f>D18*D$50</f>
        <v>108.64912638322656</v>
      </c>
      <c r="E68" s="120">
        <f>E18*E$50</f>
        <v>112.75886300986775</v>
      </c>
      <c r="F68" s="121"/>
      <c r="G68" s="121"/>
      <c r="H68" s="121"/>
      <c r="I68" s="94"/>
      <c r="J68" s="94"/>
      <c r="K68" s="94"/>
      <c r="M68" s="92" t="str">
        <f>M18</f>
        <v>Capital Expenditure</v>
      </c>
      <c r="N68" s="120">
        <f t="shared" ref="N68:T68" si="15">N18*N$50</f>
        <v>80.995033012557741</v>
      </c>
      <c r="O68" s="120">
        <f t="shared" si="15"/>
        <v>131.99032365421417</v>
      </c>
      <c r="P68" s="120">
        <f t="shared" si="15"/>
        <v>125.95768047620949</v>
      </c>
      <c r="Q68" s="120">
        <f t="shared" si="15"/>
        <v>110.9448436408784</v>
      </c>
      <c r="R68" s="120">
        <f t="shared" si="15"/>
        <v>30.689784489417587</v>
      </c>
      <c r="S68" s="120">
        <f t="shared" si="15"/>
        <v>21.798020384884282</v>
      </c>
      <c r="T68" s="120">
        <f t="shared" si="15"/>
        <v>19.2</v>
      </c>
      <c r="U68" s="120"/>
      <c r="V68" s="121"/>
      <c r="W68" s="21"/>
      <c r="X68" s="113">
        <f t="shared" si="10"/>
        <v>-0.21330364071385988</v>
      </c>
    </row>
    <row r="69" spans="2:24">
      <c r="B69" s="92"/>
      <c r="C69" s="120"/>
      <c r="D69" s="120"/>
      <c r="E69" s="120"/>
      <c r="F69" s="121"/>
      <c r="G69" s="121"/>
      <c r="H69" s="121"/>
      <c r="I69" s="94"/>
      <c r="J69" s="94"/>
      <c r="K69" s="94"/>
      <c r="M69" s="92"/>
      <c r="N69" s="120"/>
      <c r="O69" s="120"/>
      <c r="P69" s="120"/>
      <c r="Q69" s="120"/>
      <c r="R69" s="120"/>
      <c r="S69" s="120"/>
      <c r="T69" s="120"/>
      <c r="U69" s="120"/>
      <c r="V69" s="121"/>
      <c r="W69" s="21"/>
      <c r="X69" s="113"/>
    </row>
    <row r="70" spans="2:24">
      <c r="B70" s="92" t="str">
        <f>B20</f>
        <v>Opening Basic RAB</v>
      </c>
      <c r="C70" s="120">
        <f>C20*C$50</f>
        <v>1059.4494454753378</v>
      </c>
      <c r="D70" s="120">
        <f>D20*D$50</f>
        <v>1213.386808386721</v>
      </c>
      <c r="E70" s="120">
        <f>E20*E$50</f>
        <v>1280.8542087811113</v>
      </c>
      <c r="F70" s="121"/>
      <c r="G70" s="121"/>
      <c r="H70" s="121"/>
      <c r="I70" s="94"/>
      <c r="J70" s="94"/>
      <c r="K70" s="94"/>
      <c r="M70" s="92" t="str">
        <f>M20</f>
        <v>Opening Basic RAB</v>
      </c>
      <c r="N70" s="120">
        <f t="shared" ref="N70:T70" si="16">N20*N$50</f>
        <v>1059.4494454753378</v>
      </c>
      <c r="O70" s="120">
        <f t="shared" si="16"/>
        <v>1080.6855853232382</v>
      </c>
      <c r="P70" s="120">
        <f t="shared" si="16"/>
        <v>1170.0296552275177</v>
      </c>
      <c r="Q70" s="120">
        <f t="shared" si="16"/>
        <v>1251.8865872584777</v>
      </c>
      <c r="R70" s="120">
        <f t="shared" si="16"/>
        <v>1352.7705005407079</v>
      </c>
      <c r="S70" s="120">
        <f t="shared" si="16"/>
        <v>1355.0404018103548</v>
      </c>
      <c r="T70" s="120">
        <f t="shared" si="16"/>
        <v>1348.9</v>
      </c>
      <c r="U70" s="120"/>
      <c r="V70" s="121"/>
      <c r="W70" s="21"/>
      <c r="X70" s="113">
        <f t="shared" si="10"/>
        <v>4.107796090443383E-2</v>
      </c>
    </row>
    <row r="71" spans="2:24">
      <c r="B71" s="92"/>
      <c r="C71" s="120"/>
      <c r="D71" s="120"/>
      <c r="E71" s="120"/>
      <c r="F71" s="121"/>
      <c r="G71" s="121"/>
      <c r="H71" s="121"/>
      <c r="I71" s="94"/>
      <c r="J71" s="94"/>
      <c r="K71" s="94"/>
      <c r="M71" s="92"/>
      <c r="N71" s="120"/>
      <c r="O71" s="120"/>
      <c r="P71" s="120"/>
      <c r="Q71" s="120"/>
      <c r="R71" s="120"/>
      <c r="S71" s="120"/>
      <c r="T71" s="120"/>
      <c r="U71" s="120"/>
      <c r="V71" s="121"/>
      <c r="W71" s="21"/>
      <c r="X71" s="113"/>
    </row>
    <row r="72" spans="2:24">
      <c r="B72" s="92" t="str">
        <f>B22</f>
        <v>Closing Basic RAB</v>
      </c>
      <c r="C72" s="120">
        <f>C22*C$50</f>
        <v>1121.0253355197863</v>
      </c>
      <c r="D72" s="120">
        <f>D22*D$50</f>
        <v>1333.7657750228805</v>
      </c>
      <c r="E72" s="120">
        <f>E22*E$50</f>
        <v>1390.6547161519716</v>
      </c>
      <c r="F72" s="121"/>
      <c r="G72" s="121"/>
      <c r="H72" s="121"/>
      <c r="I72" s="94"/>
      <c r="J72" s="94"/>
      <c r="K72" s="94"/>
      <c r="M72" s="92" t="str">
        <f>M22</f>
        <v>Closing Basic RAB</v>
      </c>
      <c r="N72" s="120">
        <f t="shared" ref="N72:T72" si="17">N22*N$50</f>
        <v>1121.0253355197863</v>
      </c>
      <c r="O72" s="120">
        <f t="shared" si="17"/>
        <v>1218.3631042516015</v>
      </c>
      <c r="P72" s="120">
        <f t="shared" si="17"/>
        <v>1289.0465782429787</v>
      </c>
      <c r="Q72" s="120">
        <f t="shared" si="17"/>
        <v>1310.6740940482655</v>
      </c>
      <c r="R72" s="120">
        <f t="shared" si="17"/>
        <v>1393.1402170554616</v>
      </c>
      <c r="S72" s="120">
        <f t="shared" si="17"/>
        <v>1413.6225815947312</v>
      </c>
      <c r="T72" s="120">
        <f t="shared" si="17"/>
        <v>1359.6</v>
      </c>
      <c r="U72" s="120"/>
      <c r="V72" s="121"/>
      <c r="W72" s="21"/>
      <c r="X72" s="113">
        <f t="shared" si="10"/>
        <v>3.2680448422515607E-2</v>
      </c>
    </row>
    <row r="73" spans="2:24">
      <c r="B73" s="92"/>
      <c r="C73" s="120"/>
      <c r="D73" s="120"/>
      <c r="E73" s="120"/>
      <c r="F73" s="121"/>
      <c r="G73" s="121"/>
      <c r="H73" s="121"/>
      <c r="I73" s="94"/>
      <c r="J73" s="94"/>
      <c r="K73" s="94"/>
      <c r="M73" s="92"/>
      <c r="N73" s="120"/>
      <c r="O73" s="120"/>
      <c r="P73" s="120"/>
      <c r="Q73" s="120"/>
      <c r="R73" s="120"/>
      <c r="S73" s="120"/>
      <c r="T73" s="120"/>
      <c r="U73" s="120"/>
      <c r="V73" s="121"/>
      <c r="W73" s="21"/>
      <c r="X73" s="113"/>
    </row>
    <row r="74" spans="2:24">
      <c r="B74" s="92" t="str">
        <f>B24</f>
        <v>Weighted average basic RAB</v>
      </c>
      <c r="C74" s="120">
        <f>C24*C$50</f>
        <v>1089.6843136408754</v>
      </c>
      <c r="D74" s="120">
        <f>D24*D$50</f>
        <v>1272.5099425908977</v>
      </c>
      <c r="E74" s="120">
        <f>E24*E$50</f>
        <v>1334.7873077384043</v>
      </c>
      <c r="F74" s="120"/>
      <c r="G74" s="120"/>
      <c r="H74" s="120"/>
      <c r="I74" s="120"/>
      <c r="J74" s="120"/>
      <c r="K74" s="120"/>
      <c r="M74" s="92" t="str">
        <f>M24</f>
        <v>Weighted average basic RAB</v>
      </c>
      <c r="N74" s="120">
        <f t="shared" ref="N74:T74" si="18">N24*N$50</f>
        <v>1089.6843136408754</v>
      </c>
      <c r="O74" s="120">
        <f t="shared" si="18"/>
        <v>1148.2210292037607</v>
      </c>
      <c r="P74" s="120">
        <f t="shared" si="18"/>
        <v>1228.5140705525148</v>
      </c>
      <c r="Q74" s="120">
        <f t="shared" si="18"/>
        <v>1280.7278264918134</v>
      </c>
      <c r="R74" s="120">
        <f t="shared" si="18"/>
        <v>1373.0103584118651</v>
      </c>
      <c r="S74" s="120">
        <f t="shared" si="18"/>
        <v>1384.3838907900065</v>
      </c>
      <c r="T74" s="120">
        <f t="shared" si="18"/>
        <v>1354.2</v>
      </c>
      <c r="U74" s="120"/>
      <c r="V74" s="120"/>
      <c r="W74" s="21"/>
      <c r="X74" s="113">
        <f t="shared" si="10"/>
        <v>3.6884426707927132E-2</v>
      </c>
    </row>
    <row r="75" spans="2:24">
      <c r="B75" s="92"/>
      <c r="C75" s="239"/>
      <c r="D75" s="239"/>
      <c r="E75" s="239"/>
      <c r="F75" s="120"/>
      <c r="G75" s="120"/>
      <c r="H75" s="120"/>
      <c r="I75" s="120"/>
      <c r="J75" s="120"/>
      <c r="K75" s="120"/>
      <c r="M75" s="92"/>
      <c r="N75" s="120"/>
      <c r="O75" s="21"/>
      <c r="P75" s="21"/>
      <c r="Q75" s="21"/>
      <c r="R75" s="21"/>
      <c r="S75" s="21"/>
      <c r="T75" s="21"/>
      <c r="U75" s="21"/>
      <c r="V75" s="21"/>
      <c r="W75" s="21"/>
      <c r="X75" s="113"/>
    </row>
    <row r="76" spans="2:24">
      <c r="B76" s="92" t="str">
        <f>B26</f>
        <v>Return on weighted average basic RAB (pre-exceptional) (%)</v>
      </c>
      <c r="C76" s="121">
        <f>C26</f>
        <v>4.4000000000000004</v>
      </c>
      <c r="D76" s="121">
        <f t="shared" ref="D76:E76" si="19">D26</f>
        <v>6.9</v>
      </c>
      <c r="E76" s="121">
        <f t="shared" si="19"/>
        <v>7.1</v>
      </c>
      <c r="F76" s="120"/>
      <c r="G76" s="120"/>
      <c r="H76" s="120"/>
      <c r="I76" s="120"/>
      <c r="J76" s="120"/>
      <c r="K76" s="120"/>
      <c r="M76" s="92" t="str">
        <f>M26</f>
        <v>Return on weighted average basic RAB (pre-exceptional) (%)</v>
      </c>
      <c r="N76" s="121">
        <f>N26</f>
        <v>4.4000000000000004</v>
      </c>
      <c r="O76" s="121">
        <f t="shared" ref="O76:T76" si="20">O26</f>
        <v>3.5</v>
      </c>
      <c r="P76" s="121">
        <f t="shared" si="20"/>
        <v>5.9</v>
      </c>
      <c r="Q76" s="121">
        <f t="shared" si="20"/>
        <v>5.3</v>
      </c>
      <c r="R76" s="121">
        <f t="shared" si="20"/>
        <v>4.5999999999999996</v>
      </c>
      <c r="S76" s="121">
        <f t="shared" si="20"/>
        <v>2.9</v>
      </c>
      <c r="T76" s="121">
        <f t="shared" si="20"/>
        <v>3.1</v>
      </c>
      <c r="U76" s="121"/>
      <c r="V76" s="121"/>
      <c r="W76" s="21"/>
      <c r="X76" s="113"/>
    </row>
    <row r="77" spans="2:24">
      <c r="B77" s="92"/>
      <c r="C77" s="121"/>
      <c r="D77" s="121"/>
      <c r="E77" s="121"/>
      <c r="F77" s="120"/>
      <c r="G77" s="120"/>
      <c r="H77" s="120"/>
      <c r="I77" s="120"/>
      <c r="J77" s="120"/>
      <c r="K77" s="120"/>
      <c r="M77" s="92"/>
      <c r="N77" s="121"/>
      <c r="O77" s="121"/>
      <c r="P77" s="121"/>
      <c r="Q77" s="121"/>
      <c r="R77" s="121"/>
      <c r="S77" s="121"/>
      <c r="T77" s="121"/>
      <c r="U77" s="121"/>
      <c r="V77" s="121"/>
      <c r="W77" s="21"/>
      <c r="X77" s="113"/>
    </row>
    <row r="78" spans="2:24">
      <c r="B78" s="92" t="str">
        <f>B28</f>
        <v>Return on weighted average basic RAB (%)</v>
      </c>
      <c r="C78" s="121">
        <f>C28</f>
        <v>4.4000000000000004</v>
      </c>
      <c r="D78" s="121">
        <f>D28</f>
        <v>6.9</v>
      </c>
      <c r="E78" s="121">
        <f>E28</f>
        <v>7.1</v>
      </c>
      <c r="F78" s="120"/>
      <c r="G78" s="120"/>
      <c r="H78" s="120"/>
      <c r="I78" s="120"/>
      <c r="J78" s="120"/>
      <c r="K78" s="120"/>
      <c r="M78" s="92" t="str">
        <f>M28</f>
        <v>Return on weighted average basic RAB (%)</v>
      </c>
      <c r="N78" s="121">
        <f>N28</f>
        <v>4.4000000000000004</v>
      </c>
      <c r="O78" s="121">
        <f t="shared" ref="O78:T78" si="21">O28</f>
        <v>3.5</v>
      </c>
      <c r="P78" s="121">
        <f t="shared" si="21"/>
        <v>5.9</v>
      </c>
      <c r="Q78" s="121">
        <f t="shared" si="21"/>
        <v>5.3</v>
      </c>
      <c r="R78" s="121">
        <f t="shared" si="21"/>
        <v>1.5</v>
      </c>
      <c r="S78" s="121">
        <f t="shared" si="21"/>
        <v>4.8</v>
      </c>
      <c r="T78" s="121">
        <f t="shared" si="21"/>
        <v>0.6</v>
      </c>
      <c r="U78" s="121"/>
      <c r="V78" s="121"/>
      <c r="W78" s="21"/>
      <c r="X78" s="113"/>
    </row>
    <row r="79" spans="2:24">
      <c r="B79" s="92"/>
      <c r="C79" s="240"/>
      <c r="D79" s="240"/>
      <c r="E79" s="240"/>
      <c r="F79" s="137"/>
      <c r="G79" s="137"/>
      <c r="H79" s="137"/>
      <c r="I79" s="137"/>
      <c r="J79" s="137"/>
      <c r="K79" s="137"/>
      <c r="M79" s="92"/>
      <c r="N79" s="92"/>
      <c r="O79" s="92"/>
      <c r="P79" s="92"/>
      <c r="Q79" s="92"/>
      <c r="R79" s="92"/>
      <c r="S79" s="92"/>
      <c r="T79" s="92"/>
      <c r="U79" s="92"/>
      <c r="V79" s="92"/>
      <c r="W79" s="21"/>
      <c r="X79" s="113"/>
    </row>
    <row r="80" spans="2:24">
      <c r="B80" s="92" t="str">
        <f t="shared" ref="B80" si="22">B30</f>
        <v>Opex per pax</v>
      </c>
      <c r="C80" s="182">
        <f>(C60/C56)*1000</f>
        <v>5.5547285152383132</v>
      </c>
      <c r="D80" s="182">
        <f t="shared" ref="D80:E80" si="23">(D60/D56)*1000</f>
        <v>6.0701600428074176</v>
      </c>
      <c r="E80" s="182">
        <f t="shared" si="23"/>
        <v>5.9544688353258097</v>
      </c>
      <c r="F80" s="182"/>
      <c r="G80" s="182"/>
      <c r="H80" s="182"/>
      <c r="I80" s="182"/>
      <c r="J80" s="182"/>
      <c r="K80" s="182"/>
      <c r="M80" s="92" t="str">
        <f t="shared" ref="M80" si="24">M30</f>
        <v>Opex per pax</v>
      </c>
      <c r="N80" s="182">
        <f>(N60/N56)*1000</f>
        <v>5.5547285152383132</v>
      </c>
      <c r="O80" s="182">
        <f t="shared" ref="O80:T80" si="25">(O60/O56)*1000</f>
        <v>5.699319371155033</v>
      </c>
      <c r="P80" s="182">
        <f t="shared" si="25"/>
        <v>6.82958458388112</v>
      </c>
      <c r="Q80" s="182">
        <f t="shared" si="25"/>
        <v>7.4162289122481848</v>
      </c>
      <c r="R80" s="182">
        <f t="shared" si="25"/>
        <v>7.3822743063773677</v>
      </c>
      <c r="S80" s="182">
        <f t="shared" si="25"/>
        <v>7.6360479218405031</v>
      </c>
      <c r="T80" s="182">
        <f t="shared" si="25"/>
        <v>7.9285033899254769</v>
      </c>
      <c r="U80" s="182"/>
      <c r="V80" s="182"/>
      <c r="W80" s="21"/>
      <c r="X80" s="113"/>
    </row>
    <row r="81" spans="2:24">
      <c r="B81" s="43"/>
      <c r="C81" s="21"/>
      <c r="D81" s="21"/>
      <c r="E81" s="21"/>
      <c r="F81" s="21"/>
      <c r="G81" s="21"/>
      <c r="H81" s="21"/>
      <c r="N81" s="21"/>
      <c r="O81" s="21"/>
      <c r="P81" s="21"/>
      <c r="Q81" s="21"/>
      <c r="R81" s="21"/>
      <c r="S81" s="21"/>
      <c r="T81" s="21"/>
      <c r="U81" s="21"/>
      <c r="V81" s="21"/>
      <c r="W81" s="21"/>
      <c r="X81" s="31"/>
    </row>
    <row r="82" spans="2:24" ht="15">
      <c r="B82" s="84" t="s">
        <v>213</v>
      </c>
      <c r="C82" s="632" t="s">
        <v>77</v>
      </c>
      <c r="D82" s="633"/>
      <c r="E82" s="633"/>
      <c r="F82" s="136" t="s">
        <v>242</v>
      </c>
      <c r="G82" s="626" t="s">
        <v>30</v>
      </c>
      <c r="H82" s="627"/>
      <c r="I82" s="627"/>
      <c r="J82" s="635"/>
      <c r="K82" s="635"/>
      <c r="M82" s="84" t="s">
        <v>211</v>
      </c>
      <c r="N82" s="632" t="s">
        <v>77</v>
      </c>
      <c r="O82" s="633"/>
      <c r="P82" s="633"/>
      <c r="Q82" s="136" t="s">
        <v>242</v>
      </c>
      <c r="R82" s="626" t="s">
        <v>30</v>
      </c>
      <c r="S82" s="627"/>
      <c r="T82" s="627"/>
      <c r="U82" s="635"/>
      <c r="V82" s="635"/>
      <c r="W82" s="21"/>
      <c r="X82" s="88"/>
    </row>
    <row r="83" spans="2:24">
      <c r="B83" s="29" t="s">
        <v>231</v>
      </c>
      <c r="C83" s="18" t="s">
        <v>80</v>
      </c>
      <c r="D83" s="18" t="s">
        <v>44</v>
      </c>
      <c r="E83" s="18" t="s">
        <v>45</v>
      </c>
      <c r="F83" s="18" t="s">
        <v>12</v>
      </c>
      <c r="G83" s="18" t="s">
        <v>13</v>
      </c>
      <c r="H83" s="18" t="s">
        <v>14</v>
      </c>
      <c r="I83" s="18" t="s">
        <v>15</v>
      </c>
      <c r="J83" s="18" t="s">
        <v>16</v>
      </c>
      <c r="K83" s="18" t="s">
        <v>17</v>
      </c>
      <c r="M83" s="29" t="s">
        <v>231</v>
      </c>
      <c r="N83" s="18" t="s">
        <v>80</v>
      </c>
      <c r="O83" s="18" t="s">
        <v>44</v>
      </c>
      <c r="P83" s="18" t="s">
        <v>45</v>
      </c>
      <c r="Q83" s="18" t="s">
        <v>12</v>
      </c>
      <c r="R83" s="18" t="s">
        <v>13</v>
      </c>
      <c r="S83" s="18" t="s">
        <v>14</v>
      </c>
      <c r="T83" s="18" t="s">
        <v>15</v>
      </c>
      <c r="U83" s="18" t="s">
        <v>16</v>
      </c>
      <c r="V83" s="18" t="s">
        <v>17</v>
      </c>
      <c r="W83" s="18"/>
      <c r="X83" s="18" t="s">
        <v>218</v>
      </c>
    </row>
    <row r="84" spans="2:24">
      <c r="B84" s="92" t="s">
        <v>41</v>
      </c>
      <c r="C84" s="119"/>
      <c r="D84" s="119"/>
      <c r="E84" s="119"/>
      <c r="F84" s="119"/>
      <c r="G84" s="119"/>
      <c r="H84" s="119"/>
      <c r="I84" s="92"/>
      <c r="J84" s="92"/>
      <c r="K84" s="92"/>
      <c r="M84" s="92" t="s">
        <v>41</v>
      </c>
      <c r="N84" s="92"/>
      <c r="O84" s="92"/>
      <c r="P84" s="118">
        <f>P34*P$50</f>
        <v>62.011685509967634</v>
      </c>
      <c r="Q84" s="118">
        <f t="shared" ref="Q84:T84" si="26">Q34*Q$50</f>
        <v>56.577450143555524</v>
      </c>
      <c r="R84" s="118">
        <f t="shared" si="26"/>
        <v>52.029634636181065</v>
      </c>
      <c r="S84" s="118">
        <f t="shared" si="26"/>
        <v>52.818280163373451</v>
      </c>
      <c r="T84" s="118">
        <f t="shared" si="26"/>
        <v>57</v>
      </c>
      <c r="U84" s="119"/>
      <c r="V84" s="119"/>
      <c r="W84" s="21"/>
      <c r="X84" s="113">
        <f>((T84/P84)^(1/4))-1</f>
        <v>-2.084751612370106E-2</v>
      </c>
    </row>
    <row r="85" spans="2:24">
      <c r="B85" s="94" t="s">
        <v>65</v>
      </c>
      <c r="C85" s="121"/>
      <c r="D85" s="121"/>
      <c r="E85" s="121"/>
      <c r="F85" s="121"/>
      <c r="G85" s="121"/>
      <c r="H85" s="121"/>
      <c r="I85" s="94"/>
      <c r="J85" s="94"/>
      <c r="K85" s="94"/>
      <c r="M85" s="94" t="s">
        <v>65</v>
      </c>
      <c r="N85" s="94"/>
      <c r="O85" s="94"/>
      <c r="P85" s="120">
        <f t="shared" ref="P85:T97" si="27">P35*P$50</f>
        <v>13.426383284726938</v>
      </c>
      <c r="Q85" s="120">
        <f t="shared" si="27"/>
        <v>10.608271901916659</v>
      </c>
      <c r="R85" s="120">
        <f t="shared" si="27"/>
        <v>10.669925073381741</v>
      </c>
      <c r="S85" s="120">
        <f t="shared" si="27"/>
        <v>9.6414320933142008</v>
      </c>
      <c r="T85" s="120">
        <f t="shared" si="27"/>
        <v>10.4</v>
      </c>
      <c r="U85" s="121"/>
      <c r="V85" s="121"/>
      <c r="W85" s="21"/>
      <c r="X85" s="113">
        <f t="shared" ref="X85:X97" si="28">((T85/P85)^(1/4))-1</f>
        <v>-6.1858010526807061E-2</v>
      </c>
    </row>
    <row r="86" spans="2:24">
      <c r="B86" s="94" t="s">
        <v>66</v>
      </c>
      <c r="C86" s="121"/>
      <c r="D86" s="121"/>
      <c r="E86" s="121"/>
      <c r="F86" s="121"/>
      <c r="G86" s="121"/>
      <c r="H86" s="121"/>
      <c r="I86" s="94"/>
      <c r="J86" s="94"/>
      <c r="K86" s="94"/>
      <c r="M86" s="94" t="s">
        <v>66</v>
      </c>
      <c r="N86" s="94"/>
      <c r="O86" s="94"/>
      <c r="P86" s="120">
        <f t="shared" si="27"/>
        <v>12.288554192800927</v>
      </c>
      <c r="Q86" s="120">
        <f t="shared" si="27"/>
        <v>12.486820051214401</v>
      </c>
      <c r="R86" s="120">
        <f t="shared" si="27"/>
        <v>13.529904989958291</v>
      </c>
      <c r="S86" s="120">
        <f t="shared" si="27"/>
        <v>14.147753615189318</v>
      </c>
      <c r="T86" s="120">
        <f t="shared" si="27"/>
        <v>15</v>
      </c>
      <c r="U86" s="121"/>
      <c r="V86" s="121"/>
      <c r="W86" s="21"/>
      <c r="X86" s="113">
        <f t="shared" si="28"/>
        <v>5.1108667931784924E-2</v>
      </c>
    </row>
    <row r="87" spans="2:24">
      <c r="B87" s="94" t="s">
        <v>204</v>
      </c>
      <c r="C87" s="94"/>
      <c r="D87" s="94"/>
      <c r="E87" s="121"/>
      <c r="F87" s="121"/>
      <c r="G87" s="121"/>
      <c r="H87" s="121"/>
      <c r="I87" s="94"/>
      <c r="J87" s="94"/>
      <c r="K87" s="94"/>
      <c r="M87" s="94" t="s">
        <v>204</v>
      </c>
      <c r="N87" s="94"/>
      <c r="O87" s="94"/>
      <c r="P87" s="120">
        <f t="shared" si="27"/>
        <v>13.426383284726938</v>
      </c>
      <c r="Q87" s="120">
        <f t="shared" si="27"/>
        <v>14.365368200512144</v>
      </c>
      <c r="R87" s="120">
        <f t="shared" si="27"/>
        <v>25.739819249188944</v>
      </c>
      <c r="S87" s="120">
        <f t="shared" si="27"/>
        <v>20.121249586047028</v>
      </c>
      <c r="T87" s="120">
        <f t="shared" si="27"/>
        <v>20.5</v>
      </c>
      <c r="U87" s="121"/>
      <c r="V87" s="121"/>
      <c r="W87" s="21"/>
      <c r="X87" s="113">
        <f t="shared" si="28"/>
        <v>0.11160042728360065</v>
      </c>
    </row>
    <row r="88" spans="2:24">
      <c r="B88" s="94" t="s">
        <v>67</v>
      </c>
      <c r="C88" s="94"/>
      <c r="D88" s="94"/>
      <c r="E88" s="121"/>
      <c r="F88" s="121"/>
      <c r="G88" s="121"/>
      <c r="H88" s="121"/>
      <c r="I88" s="94"/>
      <c r="J88" s="94"/>
      <c r="K88" s="94"/>
      <c r="M88" s="94" t="s">
        <v>67</v>
      </c>
      <c r="N88" s="94"/>
      <c r="O88" s="94"/>
      <c r="P88" s="120">
        <f t="shared" si="27"/>
        <v>8.1923694618672851</v>
      </c>
      <c r="Q88" s="120">
        <f t="shared" si="27"/>
        <v>7.7351982618142312</v>
      </c>
      <c r="R88" s="120">
        <f t="shared" si="27"/>
        <v>6.9299513363201006</v>
      </c>
      <c r="S88" s="120">
        <f t="shared" si="27"/>
        <v>7.0214777201309948</v>
      </c>
      <c r="T88" s="120">
        <f t="shared" si="27"/>
        <v>6.9</v>
      </c>
      <c r="U88" s="121"/>
      <c r="V88" s="121"/>
      <c r="W88" s="21"/>
      <c r="X88" s="113">
        <f t="shared" si="28"/>
        <v>-4.2012394513626594E-2</v>
      </c>
    </row>
    <row r="89" spans="2:24">
      <c r="B89" s="94" t="s">
        <v>68</v>
      </c>
      <c r="C89" s="94"/>
      <c r="D89" s="94"/>
      <c r="E89" s="121"/>
      <c r="F89" s="121"/>
      <c r="G89" s="121"/>
      <c r="H89" s="121"/>
      <c r="I89" s="94"/>
      <c r="J89" s="94"/>
      <c r="K89" s="94"/>
      <c r="M89" s="94" t="s">
        <v>68</v>
      </c>
      <c r="N89" s="94"/>
      <c r="O89" s="94"/>
      <c r="P89" s="120">
        <f t="shared" si="27"/>
        <v>8.7612840078302909</v>
      </c>
      <c r="Q89" s="120">
        <f t="shared" si="27"/>
        <v>27.957216574842864</v>
      </c>
      <c r="R89" s="120">
        <f t="shared" si="27"/>
        <v>24.419828518461305</v>
      </c>
      <c r="S89" s="120">
        <f t="shared" si="27"/>
        <v>25.465956507340774</v>
      </c>
      <c r="T89" s="120">
        <f t="shared" si="27"/>
        <v>22.7</v>
      </c>
      <c r="U89" s="121"/>
      <c r="V89" s="121"/>
      <c r="W89" s="21"/>
      <c r="X89" s="113">
        <f t="shared" si="28"/>
        <v>0.26871631475790037</v>
      </c>
    </row>
    <row r="90" spans="2:24">
      <c r="B90" s="94" t="s">
        <v>69</v>
      </c>
      <c r="C90" s="94"/>
      <c r="D90" s="94"/>
      <c r="E90" s="121"/>
      <c r="F90" s="121"/>
      <c r="G90" s="121"/>
      <c r="H90" s="121"/>
      <c r="I90" s="94"/>
      <c r="J90" s="94"/>
      <c r="K90" s="94"/>
      <c r="M90" s="94" t="s">
        <v>69</v>
      </c>
      <c r="N90" s="94"/>
      <c r="O90" s="94"/>
      <c r="P90" s="120">
        <f t="shared" si="27"/>
        <v>32.31434621069873</v>
      </c>
      <c r="Q90" s="120">
        <f t="shared" si="27"/>
        <v>28.620233568712653</v>
      </c>
      <c r="R90" s="120">
        <f t="shared" si="27"/>
        <v>13.199907307276382</v>
      </c>
      <c r="S90" s="120">
        <f t="shared" si="27"/>
        <v>10.899010192442141</v>
      </c>
      <c r="T90" s="120">
        <f t="shared" si="27"/>
        <v>9.1999999999999993</v>
      </c>
      <c r="U90" s="121"/>
      <c r="V90" s="121"/>
      <c r="W90" s="21"/>
      <c r="X90" s="113">
        <f t="shared" si="28"/>
        <v>-0.26953718360935186</v>
      </c>
    </row>
    <row r="91" spans="2:24">
      <c r="B91" s="94"/>
      <c r="C91" s="94"/>
      <c r="D91" s="94"/>
      <c r="E91" s="121"/>
      <c r="F91" s="121"/>
      <c r="G91" s="121"/>
      <c r="H91" s="121"/>
      <c r="I91" s="94"/>
      <c r="J91" s="94"/>
      <c r="K91" s="94"/>
      <c r="M91" s="94"/>
      <c r="N91" s="94"/>
      <c r="O91" s="94"/>
      <c r="P91" s="120"/>
      <c r="Q91" s="120"/>
      <c r="R91" s="120"/>
      <c r="S91" s="120"/>
      <c r="T91" s="120"/>
      <c r="U91" s="121"/>
      <c r="V91" s="121"/>
      <c r="W91" s="21"/>
      <c r="X91" s="113"/>
    </row>
    <row r="92" spans="2:24">
      <c r="B92" s="94" t="s">
        <v>71</v>
      </c>
      <c r="C92" s="94"/>
      <c r="D92" s="94"/>
      <c r="E92" s="121"/>
      <c r="F92" s="121"/>
      <c r="G92" s="121"/>
      <c r="H92" s="121"/>
      <c r="I92" s="94"/>
      <c r="J92" s="94"/>
      <c r="K92" s="94"/>
      <c r="M92" s="94" t="s">
        <v>71</v>
      </c>
      <c r="N92" s="94"/>
      <c r="O92" s="94"/>
      <c r="P92" s="120">
        <f t="shared" si="27"/>
        <v>150.42100595261874</v>
      </c>
      <c r="Q92" s="120">
        <f t="shared" si="27"/>
        <v>152.8254170869869</v>
      </c>
      <c r="R92" s="120">
        <f t="shared" si="27"/>
        <v>146.51897111076784</v>
      </c>
      <c r="S92" s="120">
        <f t="shared" si="27"/>
        <v>140.1151598778379</v>
      </c>
      <c r="T92" s="120">
        <f t="shared" si="27"/>
        <v>141.69999999999999</v>
      </c>
      <c r="U92" s="121"/>
      <c r="V92" s="121"/>
      <c r="W92" s="21"/>
      <c r="X92" s="113">
        <f t="shared" si="28"/>
        <v>-1.4820558781873272E-2</v>
      </c>
    </row>
    <row r="93" spans="2:24">
      <c r="B93" s="94"/>
      <c r="C93" s="94"/>
      <c r="D93" s="94"/>
      <c r="E93" s="121"/>
      <c r="F93" s="121"/>
      <c r="G93" s="121"/>
      <c r="H93" s="121"/>
      <c r="I93" s="94"/>
      <c r="J93" s="94"/>
      <c r="K93" s="94"/>
      <c r="M93" s="94"/>
      <c r="N93" s="94"/>
      <c r="O93" s="94"/>
      <c r="P93" s="120"/>
      <c r="Q93" s="120"/>
      <c r="R93" s="120"/>
      <c r="S93" s="120"/>
      <c r="T93" s="120"/>
      <c r="U93" s="121"/>
      <c r="V93" s="121"/>
      <c r="W93" s="21"/>
      <c r="X93" s="113"/>
    </row>
    <row r="94" spans="2:24">
      <c r="B94" s="94" t="s">
        <v>72</v>
      </c>
      <c r="C94" s="94"/>
      <c r="D94" s="94"/>
      <c r="E94" s="121"/>
      <c r="F94" s="121"/>
      <c r="G94" s="121"/>
      <c r="H94" s="121"/>
      <c r="I94" s="94"/>
      <c r="J94" s="94"/>
      <c r="K94" s="94"/>
      <c r="M94" s="94" t="s">
        <v>72</v>
      </c>
      <c r="N94" s="94"/>
      <c r="O94" s="94"/>
      <c r="P94" s="120">
        <f t="shared" si="27"/>
        <v>10.354244736526706</v>
      </c>
      <c r="Q94" s="120">
        <f t="shared" si="27"/>
        <v>7.6246954295025997</v>
      </c>
      <c r="R94" s="120">
        <f t="shared" si="27"/>
        <v>0</v>
      </c>
      <c r="S94" s="120">
        <f t="shared" si="27"/>
        <v>0</v>
      </c>
      <c r="T94" s="120">
        <f t="shared" si="27"/>
        <v>0</v>
      </c>
      <c r="U94" s="121"/>
      <c r="V94" s="121"/>
      <c r="W94" s="21"/>
      <c r="X94" s="113">
        <f t="shared" si="28"/>
        <v>-1</v>
      </c>
    </row>
    <row r="95" spans="2:24">
      <c r="B95" s="94" t="s">
        <v>73</v>
      </c>
      <c r="C95" s="94"/>
      <c r="D95" s="94"/>
      <c r="E95" s="121"/>
      <c r="F95" s="121"/>
      <c r="G95" s="121"/>
      <c r="H95" s="121"/>
      <c r="I95" s="94"/>
      <c r="J95" s="94"/>
      <c r="K95" s="94"/>
      <c r="M95" s="94" t="s">
        <v>73</v>
      </c>
      <c r="N95" s="94"/>
      <c r="O95" s="94"/>
      <c r="P95" s="120">
        <f t="shared" si="27"/>
        <v>0</v>
      </c>
      <c r="Q95" s="120">
        <f t="shared" si="27"/>
        <v>0</v>
      </c>
      <c r="R95" s="120">
        <f t="shared" si="27"/>
        <v>-0.65999536536381909</v>
      </c>
      <c r="S95" s="120">
        <f t="shared" si="27"/>
        <v>-0.31439452478198482</v>
      </c>
      <c r="T95" s="120">
        <f t="shared" si="27"/>
        <v>-0.2</v>
      </c>
      <c r="U95" s="121"/>
      <c r="V95" s="121"/>
      <c r="W95" s="21"/>
      <c r="X95" s="113"/>
    </row>
    <row r="96" spans="2:24">
      <c r="B96" s="94"/>
      <c r="C96" s="94"/>
      <c r="D96" s="94"/>
      <c r="E96" s="121"/>
      <c r="F96" s="121"/>
      <c r="G96" s="121"/>
      <c r="H96" s="121"/>
      <c r="I96" s="94"/>
      <c r="J96" s="94"/>
      <c r="K96" s="94"/>
      <c r="M96" s="94"/>
      <c r="N96" s="94"/>
      <c r="O96" s="94"/>
      <c r="P96" s="120"/>
      <c r="Q96" s="120"/>
      <c r="R96" s="120"/>
      <c r="S96" s="120"/>
      <c r="T96" s="120"/>
      <c r="U96" s="121"/>
      <c r="V96" s="121"/>
      <c r="W96" s="21"/>
      <c r="X96" s="113"/>
    </row>
    <row r="97" spans="2:24">
      <c r="B97" s="98" t="s">
        <v>74</v>
      </c>
      <c r="C97" s="98"/>
      <c r="D97" s="98"/>
      <c r="E97" s="122"/>
      <c r="F97" s="122"/>
      <c r="G97" s="122"/>
      <c r="H97" s="122"/>
      <c r="I97" s="98"/>
      <c r="J97" s="98"/>
      <c r="K97" s="98"/>
      <c r="M97" s="98" t="s">
        <v>74</v>
      </c>
      <c r="N97" s="98"/>
      <c r="O97" s="98"/>
      <c r="P97" s="123">
        <f t="shared" si="27"/>
        <v>160.77525068914545</v>
      </c>
      <c r="Q97" s="123">
        <f t="shared" si="27"/>
        <v>160.45011251648947</v>
      </c>
      <c r="R97" s="123">
        <f t="shared" si="27"/>
        <v>145.85897574540402</v>
      </c>
      <c r="S97" s="123">
        <f t="shared" si="27"/>
        <v>139.80076535305594</v>
      </c>
      <c r="T97" s="123">
        <f t="shared" si="27"/>
        <v>141.5</v>
      </c>
      <c r="U97" s="122"/>
      <c r="V97" s="122"/>
      <c r="W97" s="21"/>
      <c r="X97" s="113">
        <f t="shared" si="28"/>
        <v>-3.1422645152618389E-2</v>
      </c>
    </row>
    <row r="99" spans="2:24">
      <c r="B99" s="332"/>
    </row>
    <row r="100" spans="2:24">
      <c r="B100" s="329" t="s">
        <v>445</v>
      </c>
      <c r="C100" s="329"/>
      <c r="D100" s="329"/>
      <c r="E100" s="329"/>
      <c r="F100" s="329"/>
      <c r="G100" s="329"/>
      <c r="H100" s="329"/>
      <c r="I100" s="329"/>
      <c r="J100" s="329"/>
      <c r="K100" s="329"/>
      <c r="L100" s="329"/>
      <c r="M100" s="329"/>
      <c r="N100" s="329"/>
      <c r="O100" s="329"/>
      <c r="P100" s="329"/>
      <c r="Q100" s="329"/>
      <c r="R100" s="329"/>
      <c r="S100" s="329"/>
      <c r="T100" s="329"/>
      <c r="U100" s="329"/>
      <c r="V100" s="329"/>
      <c r="W100" s="329"/>
      <c r="X100" s="329"/>
    </row>
  </sheetData>
  <mergeCells count="16">
    <mergeCell ref="R4:V4"/>
    <mergeCell ref="R54:V54"/>
    <mergeCell ref="G54:K54"/>
    <mergeCell ref="G82:K82"/>
    <mergeCell ref="R82:V82"/>
    <mergeCell ref="G32:K32"/>
    <mergeCell ref="R32:V32"/>
    <mergeCell ref="G4:K4"/>
    <mergeCell ref="C4:E4"/>
    <mergeCell ref="C32:E32"/>
    <mergeCell ref="C54:E54"/>
    <mergeCell ref="C82:E82"/>
    <mergeCell ref="N4:P4"/>
    <mergeCell ref="N32:P32"/>
    <mergeCell ref="N54:P54"/>
    <mergeCell ref="N82:P82"/>
  </mergeCells>
  <pageMargins left="0.7" right="0.7" top="0.75" bottom="0.75" header="0.3" footer="0.3"/>
  <pageSetup paperSize="9" fitToWidth="2" orientation="portrait" r:id="rId1"/>
  <headerFooter>
    <oddHeader>&amp;C&amp;A&amp;D</oddHeader>
  </headerFooter>
  <rowBreaks count="1" manualBreakCount="1">
    <brk id="49" min="1" max="23" man="1"/>
  </rowBreaks>
</worksheet>
</file>

<file path=xl/worksheets/sheet6.xml><?xml version="1.0" encoding="utf-8"?>
<worksheet xmlns="http://schemas.openxmlformats.org/spreadsheetml/2006/main" xmlns:r="http://schemas.openxmlformats.org/officeDocument/2006/relationships">
  <sheetPr>
    <tabColor rgb="FFFF0000"/>
  </sheetPr>
  <dimension ref="A1"/>
  <sheetViews>
    <sheetView showGridLines="0" workbookViewId="0">
      <selection activeCell="H40" sqref="H40"/>
    </sheetView>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B2:AA146"/>
  <sheetViews>
    <sheetView showGridLines="0" topLeftCell="A37" zoomScale="55" zoomScaleNormal="55" workbookViewId="0">
      <selection activeCell="AB60" sqref="AB60"/>
    </sheetView>
  </sheetViews>
  <sheetFormatPr defaultRowHeight="12.75"/>
  <cols>
    <col min="1" max="1" width="9.140625" style="19"/>
    <col min="2" max="2" width="33.85546875" style="19" customWidth="1"/>
    <col min="3" max="3" width="11.7109375" style="19" customWidth="1"/>
    <col min="4" max="13" width="10.7109375" style="19" customWidth="1"/>
    <col min="14" max="15" width="9.28515625" style="140" customWidth="1"/>
    <col min="16" max="16" width="30" style="140" customWidth="1"/>
    <col min="17" max="19" width="9.28515625" style="19" customWidth="1"/>
    <col min="20" max="20" width="9.28515625" style="61" customWidth="1"/>
    <col min="21" max="21" width="25.7109375" style="140" customWidth="1"/>
    <col min="22" max="24" width="9.28515625" style="19" customWidth="1"/>
    <col min="25" max="16384" width="9.140625" style="19"/>
  </cols>
  <sheetData>
    <row r="2" spans="2:27">
      <c r="B2" s="261" t="s">
        <v>751</v>
      </c>
      <c r="C2" s="38"/>
      <c r="E2" s="162"/>
      <c r="F2" s="162"/>
      <c r="G2" s="162"/>
      <c r="H2" s="162"/>
      <c r="I2" s="162"/>
      <c r="J2" s="162"/>
      <c r="K2" s="162"/>
      <c r="L2" s="162"/>
      <c r="M2" s="162"/>
    </row>
    <row r="3" spans="2:27">
      <c r="B3" s="18"/>
      <c r="E3" s="162"/>
      <c r="F3" s="162"/>
      <c r="G3" s="162"/>
      <c r="H3" s="162"/>
      <c r="I3" s="162"/>
      <c r="J3" s="162"/>
      <c r="K3" s="162"/>
      <c r="L3" s="162"/>
      <c r="M3" s="162"/>
    </row>
    <row r="4" spans="2:27">
      <c r="B4" s="84" t="s">
        <v>184</v>
      </c>
      <c r="C4" s="626" t="s">
        <v>30</v>
      </c>
      <c r="D4" s="627"/>
      <c r="E4" s="627"/>
      <c r="F4" s="627"/>
      <c r="G4" s="628"/>
      <c r="H4" s="87" t="s">
        <v>187</v>
      </c>
      <c r="I4" s="626" t="s">
        <v>31</v>
      </c>
      <c r="J4" s="627"/>
      <c r="K4" s="627"/>
      <c r="L4" s="627"/>
      <c r="M4" s="628"/>
      <c r="N4" s="139"/>
      <c r="O4" s="139"/>
      <c r="P4" s="84" t="s">
        <v>247</v>
      </c>
      <c r="Q4" s="84"/>
      <c r="R4" s="84"/>
      <c r="S4" s="84"/>
      <c r="T4" s="138"/>
      <c r="U4" s="84" t="s">
        <v>247</v>
      </c>
      <c r="V4" s="85"/>
      <c r="W4" s="85"/>
      <c r="X4" s="84"/>
    </row>
    <row r="5" spans="2:27" ht="27.75" customHeight="1">
      <c r="B5" s="29" t="s">
        <v>46</v>
      </c>
      <c r="C5" s="75" t="s">
        <v>12</v>
      </c>
      <c r="D5" s="75" t="s">
        <v>13</v>
      </c>
      <c r="E5" s="75" t="s">
        <v>14</v>
      </c>
      <c r="F5" s="75" t="s">
        <v>15</v>
      </c>
      <c r="G5" s="75" t="s">
        <v>16</v>
      </c>
      <c r="H5" s="75" t="s">
        <v>17</v>
      </c>
      <c r="I5" s="75" t="s">
        <v>32</v>
      </c>
      <c r="J5" s="75" t="s">
        <v>33</v>
      </c>
      <c r="K5" s="75" t="s">
        <v>34</v>
      </c>
      <c r="L5" s="75" t="s">
        <v>35</v>
      </c>
      <c r="M5" s="75" t="s">
        <v>36</v>
      </c>
      <c r="N5" s="141"/>
      <c r="O5" s="141"/>
      <c r="P5" s="29" t="s">
        <v>46</v>
      </c>
      <c r="Q5" s="73" t="s">
        <v>226</v>
      </c>
      <c r="R5" s="73" t="s">
        <v>246</v>
      </c>
      <c r="S5" s="73" t="s">
        <v>225</v>
      </c>
      <c r="T5" s="150"/>
      <c r="U5" s="29" t="s">
        <v>46</v>
      </c>
      <c r="V5" s="50" t="s">
        <v>37</v>
      </c>
      <c r="W5" s="73" t="s">
        <v>246</v>
      </c>
      <c r="X5" s="50" t="s">
        <v>206</v>
      </c>
    </row>
    <row r="6" spans="2:27">
      <c r="B6" s="92" t="s">
        <v>18</v>
      </c>
      <c r="C6" s="102">
        <f>C31*C$27</f>
        <v>158.88743571404248</v>
      </c>
      <c r="D6" s="102">
        <f t="shared" ref="D6:M6" si="0">D31*D$27</f>
        <v>152.56006266816524</v>
      </c>
      <c r="E6" s="102">
        <f t="shared" si="0"/>
        <v>154.57780729539186</v>
      </c>
      <c r="F6" s="102">
        <f t="shared" si="0"/>
        <v>162.96474915704508</v>
      </c>
      <c r="G6" s="102">
        <f t="shared" si="0"/>
        <v>161</v>
      </c>
      <c r="H6" s="102">
        <f t="shared" si="0"/>
        <v>182.98556229631853</v>
      </c>
      <c r="I6" s="102">
        <f t="shared" si="0"/>
        <v>189.17556893285095</v>
      </c>
      <c r="J6" s="102">
        <f t="shared" si="0"/>
        <v>193.38711221479988</v>
      </c>
      <c r="K6" s="102">
        <f t="shared" si="0"/>
        <v>189.11738552376522</v>
      </c>
      <c r="L6" s="102">
        <f t="shared" si="0"/>
        <v>194.7909070894782</v>
      </c>
      <c r="M6" s="102">
        <f t="shared" si="0"/>
        <v>200.63463430216254</v>
      </c>
      <c r="N6" s="142"/>
      <c r="O6" s="142"/>
      <c r="P6" s="92" t="s">
        <v>18</v>
      </c>
      <c r="Q6" s="128">
        <f>SUM(C6:H6)</f>
        <v>972.9756171309632</v>
      </c>
      <c r="R6" s="153">
        <f>Q6/$Q$17</f>
        <v>0.16363464184208679</v>
      </c>
      <c r="S6" s="129">
        <f>((H6/C6)^(1/5))-1</f>
        <v>2.8644844514310375E-2</v>
      </c>
      <c r="T6" s="151"/>
      <c r="U6" s="92" t="s">
        <v>18</v>
      </c>
      <c r="V6" s="128">
        <f>SUM(I6:M6)</f>
        <v>967.10560806305682</v>
      </c>
      <c r="W6" s="153">
        <f>V6/$V$17</f>
        <v>0.15496106791196756</v>
      </c>
      <c r="X6" s="129">
        <f>((M6/H6)^(1/5))-1</f>
        <v>1.8586265628330878E-2</v>
      </c>
      <c r="Z6" s="76"/>
      <c r="AA6" s="76"/>
    </row>
    <row r="7" spans="2:27">
      <c r="B7" s="94" t="s">
        <v>19</v>
      </c>
      <c r="C7" s="103">
        <f t="shared" ref="C7:M7" si="1">C32*C$27</f>
        <v>56.181192738666958</v>
      </c>
      <c r="D7" s="103">
        <f t="shared" si="1"/>
        <v>47.619903954224995</v>
      </c>
      <c r="E7" s="103">
        <f t="shared" si="1"/>
        <v>51.83447430264637</v>
      </c>
      <c r="F7" s="103">
        <f t="shared" si="1"/>
        <v>53.351554783556431</v>
      </c>
      <c r="G7" s="103">
        <f t="shared" si="1"/>
        <v>57</v>
      </c>
      <c r="H7" s="103">
        <f t="shared" si="1"/>
        <v>57.246879824546575</v>
      </c>
      <c r="I7" s="103">
        <f t="shared" si="1"/>
        <v>63.058522977616981</v>
      </c>
      <c r="J7" s="103">
        <f t="shared" si="1"/>
        <v>66.273111489341531</v>
      </c>
      <c r="K7" s="103">
        <f t="shared" si="1"/>
        <v>64.904191481528898</v>
      </c>
      <c r="L7" s="103">
        <f t="shared" si="1"/>
        <v>66.851317225974768</v>
      </c>
      <c r="M7" s="103">
        <f t="shared" si="1"/>
        <v>68.856856742754005</v>
      </c>
      <c r="N7" s="142"/>
      <c r="O7" s="142"/>
      <c r="P7" s="94" t="s">
        <v>19</v>
      </c>
      <c r="Q7" s="106">
        <f t="shared" ref="Q7:Q14" si="2">SUM(C7:H7)</f>
        <v>323.23400560364132</v>
      </c>
      <c r="R7" s="153">
        <f t="shared" ref="R7:R17" si="3">Q7/$Q$17</f>
        <v>5.4361363025827579E-2</v>
      </c>
      <c r="S7" s="130">
        <f t="shared" ref="S7:S24" si="4">((H7/C7)^(1/5))-1</f>
        <v>3.7652885457692964E-3</v>
      </c>
      <c r="T7" s="151"/>
      <c r="U7" s="94" t="s">
        <v>19</v>
      </c>
      <c r="V7" s="106">
        <f t="shared" ref="V7:V14" si="5">SUM(I7:M7)</f>
        <v>329.94399991721622</v>
      </c>
      <c r="W7" s="153">
        <f t="shared" ref="W7:W17" si="6">V7/$V$17</f>
        <v>5.286751948499125E-2</v>
      </c>
      <c r="X7" s="130">
        <f t="shared" ref="X7:X24" si="7">((M7/H7)^(1/5))-1</f>
        <v>3.7621768999595462E-2</v>
      </c>
      <c r="Z7" s="76"/>
      <c r="AA7" s="76"/>
    </row>
    <row r="8" spans="2:27">
      <c r="B8" s="94" t="s">
        <v>20</v>
      </c>
      <c r="C8" s="103">
        <f t="shared" ref="C8:M8" si="8">C33*C$27</f>
        <v>156.25394230441748</v>
      </c>
      <c r="D8" s="103">
        <f t="shared" si="8"/>
        <v>161.37856340042913</v>
      </c>
      <c r="E8" s="103">
        <f t="shared" si="8"/>
        <v>153.6521916828446</v>
      </c>
      <c r="F8" s="103">
        <f t="shared" si="8"/>
        <v>163.93477742583701</v>
      </c>
      <c r="G8" s="103">
        <f t="shared" si="8"/>
        <v>175</v>
      </c>
      <c r="H8" s="103">
        <f t="shared" si="8"/>
        <v>196.27501654130253</v>
      </c>
      <c r="I8" s="103">
        <f t="shared" si="8"/>
        <v>232.26555963422254</v>
      </c>
      <c r="J8" s="103">
        <f t="shared" si="8"/>
        <v>233.58555688866278</v>
      </c>
      <c r="K8" s="103">
        <f t="shared" si="8"/>
        <v>234.99793467450118</v>
      </c>
      <c r="L8" s="103">
        <f t="shared" si="8"/>
        <v>239.74265487935776</v>
      </c>
      <c r="M8" s="103">
        <f t="shared" si="8"/>
        <v>244.56056015529873</v>
      </c>
      <c r="N8" s="142"/>
      <c r="O8" s="142"/>
      <c r="P8" s="94" t="s">
        <v>20</v>
      </c>
      <c r="Q8" s="106">
        <f>SUM(C8:H8)</f>
        <v>1006.4944913548308</v>
      </c>
      <c r="R8" s="153">
        <f t="shared" si="3"/>
        <v>0.16927183241706317</v>
      </c>
      <c r="S8" s="130">
        <f t="shared" si="4"/>
        <v>4.6662845514219953E-2</v>
      </c>
      <c r="T8" s="151"/>
      <c r="U8" s="94" t="s">
        <v>20</v>
      </c>
      <c r="V8" s="106">
        <f t="shared" si="5"/>
        <v>1185.1522662320431</v>
      </c>
      <c r="W8" s="153">
        <f t="shared" si="6"/>
        <v>0.1898990754292384</v>
      </c>
      <c r="X8" s="130">
        <f t="shared" si="7"/>
        <v>4.4971099795460878E-2</v>
      </c>
      <c r="Z8" s="76"/>
      <c r="AA8" s="76"/>
    </row>
    <row r="9" spans="2:27">
      <c r="B9" s="94" t="s">
        <v>21</v>
      </c>
      <c r="C9" s="103">
        <f t="shared" ref="C9:M9" si="9">C34*C$27</f>
        <v>81.63829569837543</v>
      </c>
      <c r="D9" s="103">
        <f t="shared" si="9"/>
        <v>105.82200878716665</v>
      </c>
      <c r="E9" s="103">
        <f t="shared" si="9"/>
        <v>87.933483191989382</v>
      </c>
      <c r="F9" s="103">
        <f t="shared" si="9"/>
        <v>84.392459384898345</v>
      </c>
      <c r="G9" s="103">
        <f t="shared" si="9"/>
        <v>92</v>
      </c>
      <c r="H9" s="103">
        <f t="shared" si="9"/>
        <v>95.070711137193427</v>
      </c>
      <c r="I9" s="103">
        <f t="shared" si="9"/>
        <v>107.19948906194887</v>
      </c>
      <c r="J9" s="103">
        <f t="shared" si="9"/>
        <v>109.73088951513925</v>
      </c>
      <c r="K9" s="103">
        <f t="shared" si="9"/>
        <v>108.54666506393626</v>
      </c>
      <c r="L9" s="103">
        <f t="shared" si="9"/>
        <v>114.10828285123279</v>
      </c>
      <c r="M9" s="103">
        <f t="shared" si="9"/>
        <v>116.34434415154988</v>
      </c>
      <c r="N9" s="142"/>
      <c r="O9" s="142"/>
      <c r="P9" s="94" t="s">
        <v>21</v>
      </c>
      <c r="Q9" s="106">
        <f t="shared" si="2"/>
        <v>546.85695819962325</v>
      </c>
      <c r="R9" s="153">
        <f t="shared" si="3"/>
        <v>9.1970179846555866E-2</v>
      </c>
      <c r="S9" s="130">
        <f t="shared" si="4"/>
        <v>3.093328726281741E-2</v>
      </c>
      <c r="T9" s="151"/>
      <c r="U9" s="94" t="s">
        <v>21</v>
      </c>
      <c r="V9" s="106">
        <f t="shared" si="5"/>
        <v>555.92967064380696</v>
      </c>
      <c r="W9" s="153">
        <f t="shared" si="6"/>
        <v>8.9077609237993155E-2</v>
      </c>
      <c r="X9" s="130">
        <f t="shared" si="7"/>
        <v>4.1213299279491356E-2</v>
      </c>
      <c r="Z9" s="76"/>
      <c r="AA9" s="76"/>
    </row>
    <row r="10" spans="2:27">
      <c r="B10" s="94" t="s">
        <v>22</v>
      </c>
      <c r="C10" s="103">
        <f t="shared" ref="C10:M10" si="10">C35*C$27</f>
        <v>103.5840741119172</v>
      </c>
      <c r="D10" s="103">
        <f t="shared" si="10"/>
        <v>110.23125915329859</v>
      </c>
      <c r="E10" s="103">
        <f t="shared" si="10"/>
        <v>103.66894860529274</v>
      </c>
      <c r="F10" s="103">
        <f t="shared" si="10"/>
        <v>116.4033922550322</v>
      </c>
      <c r="G10" s="103">
        <f t="shared" si="10"/>
        <v>126</v>
      </c>
      <c r="H10" s="103">
        <f t="shared" si="10"/>
        <v>132.89454244984026</v>
      </c>
      <c r="I10" s="103">
        <f t="shared" si="10"/>
        <v>161.85020897588359</v>
      </c>
      <c r="J10" s="103">
        <f t="shared" si="10"/>
        <v>181.43622325770551</v>
      </c>
      <c r="K10" s="103">
        <f t="shared" si="10"/>
        <v>186.87930995543667</v>
      </c>
      <c r="L10" s="103">
        <f t="shared" si="10"/>
        <v>192.48568925409975</v>
      </c>
      <c r="M10" s="103">
        <f t="shared" si="10"/>
        <v>198.26025993172274</v>
      </c>
      <c r="N10" s="142"/>
      <c r="O10" s="142"/>
      <c r="P10" s="94" t="s">
        <v>22</v>
      </c>
      <c r="Q10" s="106">
        <f t="shared" si="2"/>
        <v>692.78221657538109</v>
      </c>
      <c r="R10" s="153">
        <f t="shared" si="3"/>
        <v>0.11651183019175362</v>
      </c>
      <c r="S10" s="130">
        <f t="shared" si="4"/>
        <v>5.1097084742947718E-2</v>
      </c>
      <c r="T10" s="151"/>
      <c r="U10" s="94" t="s">
        <v>22</v>
      </c>
      <c r="V10" s="106">
        <f t="shared" si="5"/>
        <v>920.91169137484826</v>
      </c>
      <c r="W10" s="153">
        <f t="shared" si="6"/>
        <v>0.14755933370490615</v>
      </c>
      <c r="X10" s="130">
        <f t="shared" si="7"/>
        <v>8.3292421700301489E-2</v>
      </c>
      <c r="Z10" s="76"/>
      <c r="AA10" s="76"/>
    </row>
    <row r="11" spans="2:27">
      <c r="B11" s="94" t="s">
        <v>23</v>
      </c>
      <c r="C11" s="103">
        <f t="shared" ref="C11:M11" si="11">C36*C$27</f>
        <v>107.97322979462557</v>
      </c>
      <c r="D11" s="103">
        <f t="shared" si="11"/>
        <v>97.003508054902767</v>
      </c>
      <c r="E11" s="103">
        <f t="shared" si="11"/>
        <v>115.70195156840708</v>
      </c>
      <c r="F11" s="103">
        <f t="shared" si="11"/>
        <v>119.31347706140801</v>
      </c>
      <c r="G11" s="103">
        <f t="shared" si="11"/>
        <v>143</v>
      </c>
      <c r="H11" s="103">
        <f t="shared" si="11"/>
        <v>113.47149393794054</v>
      </c>
      <c r="I11" s="103">
        <f t="shared" si="11"/>
        <v>117.7092428915517</v>
      </c>
      <c r="J11" s="103">
        <f t="shared" si="11"/>
        <v>120.59533402158868</v>
      </c>
      <c r="K11" s="103">
        <f t="shared" si="11"/>
        <v>120.85608068974346</v>
      </c>
      <c r="L11" s="103">
        <f t="shared" si="11"/>
        <v>123.32915419274654</v>
      </c>
      <c r="M11" s="103">
        <f t="shared" si="11"/>
        <v>125.84184163330906</v>
      </c>
      <c r="N11" s="142"/>
      <c r="O11" s="142"/>
      <c r="P11" s="94" t="s">
        <v>23</v>
      </c>
      <c r="Q11" s="106">
        <f t="shared" si="2"/>
        <v>696.4636604172839</v>
      </c>
      <c r="R11" s="153">
        <f t="shared" si="3"/>
        <v>0.11713097391326627</v>
      </c>
      <c r="S11" s="130">
        <f t="shared" si="4"/>
        <v>9.9831679352346825E-3</v>
      </c>
      <c r="T11" s="151"/>
      <c r="U11" s="94" t="s">
        <v>23</v>
      </c>
      <c r="V11" s="106">
        <f t="shared" si="5"/>
        <v>608.33165342893949</v>
      </c>
      <c r="W11" s="153">
        <f t="shared" si="6"/>
        <v>9.747407302166633E-2</v>
      </c>
      <c r="X11" s="130">
        <f t="shared" si="7"/>
        <v>2.0910471783320617E-2</v>
      </c>
      <c r="Z11" s="76"/>
      <c r="AA11" s="76"/>
    </row>
    <row r="12" spans="2:27">
      <c r="B12" s="94" t="s">
        <v>24</v>
      </c>
      <c r="C12" s="103">
        <f t="shared" ref="C12:M12" si="12">C37*C$27</f>
        <v>64.081672967542005</v>
      </c>
      <c r="D12" s="103">
        <f t="shared" si="12"/>
        <v>67.902455638431931</v>
      </c>
      <c r="E12" s="103">
        <f t="shared" si="12"/>
        <v>69.421170941044252</v>
      </c>
      <c r="F12" s="103">
        <f t="shared" si="12"/>
        <v>64.021865740267714</v>
      </c>
      <c r="G12" s="103">
        <f t="shared" si="12"/>
        <v>66</v>
      </c>
      <c r="H12" s="103">
        <f t="shared" si="12"/>
        <v>68.49180264722537</v>
      </c>
      <c r="I12" s="103">
        <f t="shared" si="12"/>
        <v>63.058522977616981</v>
      </c>
      <c r="J12" s="103">
        <f t="shared" si="12"/>
        <v>64.100222588051636</v>
      </c>
      <c r="K12" s="103">
        <f t="shared" si="12"/>
        <v>66.023229265693189</v>
      </c>
      <c r="L12" s="103">
        <f t="shared" si="12"/>
        <v>69.156535061353196</v>
      </c>
      <c r="M12" s="103">
        <f t="shared" si="12"/>
        <v>71.2312311131938</v>
      </c>
      <c r="N12" s="142"/>
      <c r="O12" s="142"/>
      <c r="P12" s="94" t="s">
        <v>24</v>
      </c>
      <c r="Q12" s="106">
        <f t="shared" si="2"/>
        <v>399.91896793451127</v>
      </c>
      <c r="R12" s="153">
        <f t="shared" si="3"/>
        <v>6.725820866589341E-2</v>
      </c>
      <c r="S12" s="130">
        <f t="shared" si="4"/>
        <v>1.3400119281746559E-2</v>
      </c>
      <c r="T12" s="151"/>
      <c r="U12" s="94" t="s">
        <v>24</v>
      </c>
      <c r="V12" s="106">
        <f t="shared" si="5"/>
        <v>333.56974100590884</v>
      </c>
      <c r="W12" s="153">
        <f t="shared" si="6"/>
        <v>5.3448478489252833E-2</v>
      </c>
      <c r="X12" s="130">
        <f t="shared" si="7"/>
        <v>7.8742990504370169E-3</v>
      </c>
      <c r="Z12" s="76"/>
      <c r="AA12" s="76"/>
    </row>
    <row r="13" spans="2:27">
      <c r="B13" s="94" t="s">
        <v>25</v>
      </c>
      <c r="C13" s="103">
        <f t="shared" ref="C13:M13" si="13">C38*C$27</f>
        <v>36.868907734750188</v>
      </c>
      <c r="D13" s="103">
        <f t="shared" si="13"/>
        <v>49.383604100677772</v>
      </c>
      <c r="E13" s="103">
        <f t="shared" si="13"/>
        <v>41.652702564626551</v>
      </c>
      <c r="F13" s="103">
        <f t="shared" si="13"/>
        <v>42.68124382684514</v>
      </c>
      <c r="G13" s="103">
        <f t="shared" si="13"/>
        <v>46</v>
      </c>
      <c r="H13" s="103">
        <f t="shared" si="13"/>
        <v>49.068754135325634</v>
      </c>
      <c r="I13" s="103">
        <f t="shared" si="13"/>
        <v>53.599744530974434</v>
      </c>
      <c r="J13" s="103">
        <f t="shared" si="13"/>
        <v>56.495111433537041</v>
      </c>
      <c r="K13" s="103">
        <f t="shared" si="13"/>
        <v>55.951889208214567</v>
      </c>
      <c r="L13" s="103">
        <f t="shared" si="13"/>
        <v>58.783054802150218</v>
      </c>
      <c r="M13" s="103">
        <f t="shared" si="13"/>
        <v>60.546546446214734</v>
      </c>
      <c r="N13" s="142"/>
      <c r="O13" s="142"/>
      <c r="P13" s="94" t="s">
        <v>25</v>
      </c>
      <c r="Q13" s="106">
        <f t="shared" si="2"/>
        <v>265.65521236222526</v>
      </c>
      <c r="R13" s="153">
        <f t="shared" si="3"/>
        <v>4.4677785098621942E-2</v>
      </c>
      <c r="S13" s="130">
        <f t="shared" si="4"/>
        <v>5.8836617399184332E-2</v>
      </c>
      <c r="T13" s="151"/>
      <c r="U13" s="94" t="s">
        <v>25</v>
      </c>
      <c r="V13" s="106">
        <f t="shared" si="5"/>
        <v>285.376346421091</v>
      </c>
      <c r="W13" s="153">
        <f t="shared" si="6"/>
        <v>4.5726364348974501E-2</v>
      </c>
      <c r="X13" s="130">
        <f t="shared" si="7"/>
        <v>4.2934103598387008E-2</v>
      </c>
      <c r="Z13" s="76"/>
      <c r="AA13" s="76"/>
    </row>
    <row r="14" spans="2:27">
      <c r="B14" s="94" t="s">
        <v>26</v>
      </c>
      <c r="C14" s="103">
        <f t="shared" ref="C14:M14" si="14">C39*C$27</f>
        <v>139.57515071012571</v>
      </c>
      <c r="D14" s="103">
        <f t="shared" si="14"/>
        <v>134.92306120363747</v>
      </c>
      <c r="E14" s="103">
        <f t="shared" si="14"/>
        <v>135.13987943189946</v>
      </c>
      <c r="F14" s="103">
        <f t="shared" si="14"/>
        <v>151.32440993154188</v>
      </c>
      <c r="G14" s="103">
        <f t="shared" si="14"/>
        <v>166</v>
      </c>
      <c r="H14" s="103">
        <f t="shared" si="14"/>
        <v>128.80547960522981</v>
      </c>
      <c r="I14" s="103">
        <f t="shared" si="14"/>
        <v>122.96411980635311</v>
      </c>
      <c r="J14" s="103">
        <f t="shared" si="14"/>
        <v>122.76822292287856</v>
      </c>
      <c r="K14" s="103">
        <f t="shared" si="14"/>
        <v>127.57030739472921</v>
      </c>
      <c r="L14" s="103">
        <f t="shared" si="14"/>
        <v>131.39741661657109</v>
      </c>
      <c r="M14" s="103">
        <f t="shared" si="14"/>
        <v>132.96496474462845</v>
      </c>
      <c r="N14" s="142"/>
      <c r="O14" s="142"/>
      <c r="P14" s="94" t="s">
        <v>26</v>
      </c>
      <c r="Q14" s="106">
        <f t="shared" si="2"/>
        <v>855.76798088243424</v>
      </c>
      <c r="R14" s="153">
        <f t="shared" si="3"/>
        <v>0.1439227094554974</v>
      </c>
      <c r="S14" s="130">
        <f t="shared" si="4"/>
        <v>-1.5931689341078026E-2</v>
      </c>
      <c r="T14" s="151"/>
      <c r="U14" s="94" t="s">
        <v>26</v>
      </c>
      <c r="V14" s="106">
        <f t="shared" si="5"/>
        <v>637.6650314851604</v>
      </c>
      <c r="W14" s="153">
        <f t="shared" si="6"/>
        <v>0.10217421285247692</v>
      </c>
      <c r="X14" s="130">
        <f t="shared" si="7"/>
        <v>6.3767080357728378E-3</v>
      </c>
      <c r="Z14" s="76"/>
      <c r="AA14" s="76"/>
    </row>
    <row r="15" spans="2:27">
      <c r="B15" s="94" t="s">
        <v>27</v>
      </c>
      <c r="C15" s="103">
        <f t="shared" ref="C15:M15" si="15">C40*C$27</f>
        <v>30.724089778958493</v>
      </c>
      <c r="D15" s="103">
        <f t="shared" si="15"/>
        <v>22.928101903886109</v>
      </c>
      <c r="E15" s="103">
        <f t="shared" si="15"/>
        <v>30.545315214059471</v>
      </c>
      <c r="F15" s="103">
        <f t="shared" si="15"/>
        <v>34.921017676509663</v>
      </c>
      <c r="G15" s="103">
        <f t="shared" si="15"/>
        <v>32</v>
      </c>
      <c r="H15" s="103">
        <f t="shared" si="15"/>
        <v>34.757034179188992</v>
      </c>
      <c r="I15" s="103">
        <f t="shared" si="15"/>
        <v>81.976079870902083</v>
      </c>
      <c r="J15" s="103">
        <f t="shared" si="15"/>
        <v>82.56977824901567</v>
      </c>
      <c r="K15" s="103">
        <f t="shared" si="15"/>
        <v>82.808796028157559</v>
      </c>
      <c r="L15" s="103">
        <f t="shared" si="15"/>
        <v>84.14045099131306</v>
      </c>
      <c r="M15" s="103">
        <f t="shared" si="15"/>
        <v>85.47747733583256</v>
      </c>
      <c r="N15" s="142"/>
      <c r="O15" s="142"/>
      <c r="P15" s="94" t="s">
        <v>27</v>
      </c>
      <c r="Q15" s="106">
        <f>SUM(C15:H15)</f>
        <v>185.87555875260273</v>
      </c>
      <c r="R15" s="153">
        <f t="shared" si="3"/>
        <v>3.1260475543433822E-2</v>
      </c>
      <c r="S15" s="130">
        <f t="shared" si="4"/>
        <v>2.4973735890895687E-2</v>
      </c>
      <c r="T15" s="151"/>
      <c r="U15" s="94" t="s">
        <v>27</v>
      </c>
      <c r="V15" s="106">
        <f>SUM(I15:M15)</f>
        <v>416.97258247522086</v>
      </c>
      <c r="W15" s="153">
        <f t="shared" si="6"/>
        <v>6.6812265518532934E-2</v>
      </c>
      <c r="X15" s="130">
        <f t="shared" si="7"/>
        <v>0.19718646198024059</v>
      </c>
      <c r="Z15" s="76"/>
      <c r="AA15" s="76"/>
    </row>
    <row r="16" spans="2:27">
      <c r="B16" s="94"/>
      <c r="C16" s="103"/>
      <c r="D16" s="104"/>
      <c r="E16" s="104"/>
      <c r="F16" s="104"/>
      <c r="G16" s="104"/>
      <c r="H16" s="104"/>
      <c r="I16" s="103"/>
      <c r="J16" s="103"/>
      <c r="K16" s="103"/>
      <c r="L16" s="103"/>
      <c r="M16" s="103"/>
      <c r="N16" s="142"/>
      <c r="O16" s="142"/>
      <c r="P16" s="94"/>
      <c r="Q16" s="106"/>
      <c r="R16" s="153"/>
      <c r="S16" s="130"/>
      <c r="T16" s="151"/>
      <c r="U16" s="94"/>
      <c r="V16" s="103"/>
      <c r="W16" s="153"/>
      <c r="X16" s="130"/>
      <c r="Z16" s="76"/>
      <c r="AA16" s="76"/>
    </row>
    <row r="17" spans="2:27">
      <c r="B17" s="94" t="s">
        <v>28</v>
      </c>
      <c r="C17" s="105">
        <f t="shared" ref="C17:M17" si="16">C42*C$27</f>
        <v>935.76799155342155</v>
      </c>
      <c r="D17" s="105">
        <f t="shared" si="16"/>
        <v>949.75252886482065</v>
      </c>
      <c r="E17" s="105">
        <f t="shared" si="16"/>
        <v>944.12792479820178</v>
      </c>
      <c r="F17" s="105">
        <f t="shared" si="16"/>
        <v>993.30894724294149</v>
      </c>
      <c r="G17" s="105">
        <f t="shared" si="16"/>
        <v>1064</v>
      </c>
      <c r="H17" s="105">
        <f t="shared" si="16"/>
        <v>1059.0672767541116</v>
      </c>
      <c r="I17" s="105">
        <f t="shared" si="16"/>
        <v>1192.8570596599213</v>
      </c>
      <c r="J17" s="105">
        <f t="shared" si="16"/>
        <v>1230.9415625807205</v>
      </c>
      <c r="K17" s="105">
        <f t="shared" si="16"/>
        <v>1237.6557892857063</v>
      </c>
      <c r="L17" s="105">
        <f t="shared" si="16"/>
        <v>1274.7854629642773</v>
      </c>
      <c r="M17" s="105">
        <f t="shared" si="16"/>
        <v>1304.7187165566665</v>
      </c>
      <c r="N17" s="143"/>
      <c r="O17" s="143"/>
      <c r="P17" s="94" t="s">
        <v>28</v>
      </c>
      <c r="Q17" s="106">
        <f>SUM(C17:H17)</f>
        <v>5946.0246692134979</v>
      </c>
      <c r="R17" s="153">
        <f t="shared" si="3"/>
        <v>1</v>
      </c>
      <c r="S17" s="130">
        <f t="shared" si="4"/>
        <v>2.5064215334045681E-2</v>
      </c>
      <c r="T17" s="151"/>
      <c r="U17" s="94" t="s">
        <v>28</v>
      </c>
      <c r="V17" s="105">
        <f>SUM(I17:M17)</f>
        <v>6240.9585910472915</v>
      </c>
      <c r="W17" s="153">
        <f t="shared" si="6"/>
        <v>1</v>
      </c>
      <c r="X17" s="130">
        <f>((M17/H17)^(1/5))-1</f>
        <v>4.2602275944939594E-2</v>
      </c>
      <c r="Z17" s="76"/>
      <c r="AA17" s="76"/>
    </row>
    <row r="18" spans="2:27">
      <c r="B18" s="94" t="s">
        <v>38</v>
      </c>
      <c r="C18" s="104"/>
      <c r="D18" s="104"/>
      <c r="E18" s="104"/>
      <c r="F18" s="104"/>
      <c r="G18" s="104"/>
      <c r="H18" s="104"/>
      <c r="I18" s="103">
        <f t="shared" ref="I18:M21" si="17">I43*I$27</f>
        <v>0</v>
      </c>
      <c r="J18" s="103">
        <f t="shared" si="17"/>
        <v>0</v>
      </c>
      <c r="K18" s="103">
        <f t="shared" si="17"/>
        <v>-34.690171309093031</v>
      </c>
      <c r="L18" s="103">
        <f t="shared" si="17"/>
        <v>-36.883485366055041</v>
      </c>
      <c r="M18" s="103">
        <f t="shared" si="17"/>
        <v>-37.989989927036696</v>
      </c>
      <c r="N18" s="142"/>
      <c r="O18" s="142"/>
      <c r="P18" s="94"/>
      <c r="Q18" s="106"/>
      <c r="R18" s="106"/>
      <c r="S18" s="130"/>
      <c r="T18" s="151"/>
      <c r="U18" s="94" t="s">
        <v>38</v>
      </c>
      <c r="V18" s="106">
        <f>SUM(I18:M18)</f>
        <v>-109.56364660218478</v>
      </c>
      <c r="W18" s="106"/>
      <c r="X18" s="130"/>
      <c r="Z18" s="76"/>
      <c r="AA18" s="76"/>
    </row>
    <row r="19" spans="2:27">
      <c r="B19" s="94" t="s">
        <v>222</v>
      </c>
      <c r="C19" s="104"/>
      <c r="D19" s="104"/>
      <c r="E19" s="104"/>
      <c r="F19" s="104"/>
      <c r="G19" s="104"/>
      <c r="H19" s="104"/>
      <c r="I19" s="103">
        <f t="shared" si="17"/>
        <v>5.2548769148014154</v>
      </c>
      <c r="J19" s="103">
        <f t="shared" si="17"/>
        <v>5.4322222532247153</v>
      </c>
      <c r="K19" s="103">
        <f t="shared" si="17"/>
        <v>5.5951889208214567</v>
      </c>
      <c r="L19" s="103">
        <f t="shared" si="17"/>
        <v>5.7630445884460997</v>
      </c>
      <c r="M19" s="103">
        <f t="shared" si="17"/>
        <v>5.935935926099484</v>
      </c>
      <c r="N19" s="142"/>
      <c r="O19" s="142"/>
      <c r="P19" s="94"/>
      <c r="Q19" s="106"/>
      <c r="R19" s="106"/>
      <c r="S19" s="130"/>
      <c r="T19" s="151"/>
      <c r="U19" s="94" t="s">
        <v>222</v>
      </c>
      <c r="V19" s="106">
        <f>SUM(I19:M19)</f>
        <v>27.981268603393168</v>
      </c>
      <c r="W19" s="106"/>
      <c r="X19" s="130"/>
      <c r="Z19" s="76"/>
      <c r="AA19" s="76"/>
    </row>
    <row r="20" spans="2:27">
      <c r="B20" s="94" t="s">
        <v>39</v>
      </c>
      <c r="C20" s="104"/>
      <c r="D20" s="104"/>
      <c r="E20" s="104"/>
      <c r="F20" s="104"/>
      <c r="G20" s="104"/>
      <c r="H20" s="104"/>
      <c r="I20" s="103">
        <f t="shared" si="17"/>
        <v>-3.1529261488808489</v>
      </c>
      <c r="J20" s="103">
        <f t="shared" si="17"/>
        <v>-5.4322222532247153</v>
      </c>
      <c r="K20" s="103">
        <f t="shared" si="17"/>
        <v>-8.9523022733143307</v>
      </c>
      <c r="L20" s="103">
        <f t="shared" si="17"/>
        <v>-12.678698094581421</v>
      </c>
      <c r="M20" s="103">
        <f t="shared" si="17"/>
        <v>-16.620620593078556</v>
      </c>
      <c r="N20" s="142"/>
      <c r="O20" s="142"/>
      <c r="P20" s="94"/>
      <c r="Q20" s="106"/>
      <c r="R20" s="106"/>
      <c r="S20" s="130"/>
      <c r="T20" s="151"/>
      <c r="U20" s="94" t="s">
        <v>39</v>
      </c>
      <c r="V20" s="106">
        <f>SUM(I20:M20)</f>
        <v>-46.836769363079867</v>
      </c>
      <c r="W20" s="106"/>
      <c r="X20" s="130"/>
      <c r="Z20" s="76"/>
      <c r="AA20" s="76"/>
    </row>
    <row r="21" spans="2:27">
      <c r="B21" s="94" t="s">
        <v>223</v>
      </c>
      <c r="C21" s="105">
        <f t="shared" ref="C21:H21" si="18">C46*C$27</f>
        <v>935.76799155342155</v>
      </c>
      <c r="D21" s="105">
        <f t="shared" si="18"/>
        <v>949.75252886482065</v>
      </c>
      <c r="E21" s="105">
        <f t="shared" si="18"/>
        <v>944.12792479820178</v>
      </c>
      <c r="F21" s="105">
        <f t="shared" si="18"/>
        <v>993.30894724294149</v>
      </c>
      <c r="G21" s="105">
        <f t="shared" si="18"/>
        <v>1064</v>
      </c>
      <c r="H21" s="105">
        <f t="shared" si="18"/>
        <v>1059.0672767541116</v>
      </c>
      <c r="I21" s="105">
        <f t="shared" si="17"/>
        <v>1194.9590104258418</v>
      </c>
      <c r="J21" s="105">
        <f t="shared" si="17"/>
        <v>1230.9415625807205</v>
      </c>
      <c r="K21" s="105">
        <f t="shared" si="17"/>
        <v>1199.6085046241203</v>
      </c>
      <c r="L21" s="105">
        <f t="shared" si="17"/>
        <v>1230.986324092087</v>
      </c>
      <c r="M21" s="105">
        <f t="shared" si="17"/>
        <v>1256.0440419626507</v>
      </c>
      <c r="N21" s="143"/>
      <c r="O21" s="143"/>
      <c r="P21" s="94"/>
      <c r="Q21" s="106"/>
      <c r="R21" s="106"/>
      <c r="S21" s="130"/>
      <c r="T21" s="151"/>
      <c r="U21" s="94" t="s">
        <v>223</v>
      </c>
      <c r="V21" s="105">
        <f>SUM(I21:M21)</f>
        <v>6112.5394436854203</v>
      </c>
      <c r="W21" s="105"/>
      <c r="X21" s="130">
        <f>((M21/H21)^(1/5))-1</f>
        <v>3.4704323270029924E-2</v>
      </c>
      <c r="Z21" s="76"/>
      <c r="AA21" s="76"/>
    </row>
    <row r="22" spans="2:27">
      <c r="B22" s="94"/>
      <c r="C22" s="106"/>
      <c r="D22" s="106"/>
      <c r="E22" s="106"/>
      <c r="F22" s="106"/>
      <c r="G22" s="106"/>
      <c r="H22" s="106"/>
      <c r="I22" s="104"/>
      <c r="J22" s="104"/>
      <c r="K22" s="104"/>
      <c r="L22" s="104"/>
      <c r="M22" s="104"/>
      <c r="N22" s="144"/>
      <c r="O22" s="144"/>
      <c r="P22" s="94"/>
      <c r="Q22" s="106"/>
      <c r="R22" s="106"/>
      <c r="S22" s="130"/>
      <c r="T22" s="151"/>
      <c r="U22" s="94"/>
      <c r="V22" s="104"/>
      <c r="W22" s="104"/>
      <c r="X22" s="130"/>
    </row>
    <row r="23" spans="2:27">
      <c r="B23" s="94" t="s">
        <v>207</v>
      </c>
      <c r="C23" s="104">
        <v>65.900000000000006</v>
      </c>
      <c r="D23" s="104">
        <v>66.099999999999994</v>
      </c>
      <c r="E23" s="104">
        <v>66.099999999999994</v>
      </c>
      <c r="F23" s="104">
        <v>70.099999999999994</v>
      </c>
      <c r="G23" s="104">
        <v>69.2</v>
      </c>
      <c r="H23" s="104">
        <v>69.099999999999994</v>
      </c>
      <c r="I23" s="104">
        <f>I48</f>
        <v>69.2</v>
      </c>
      <c r="J23" s="104">
        <f>J48</f>
        <v>70.099999999999994</v>
      </c>
      <c r="K23" s="104">
        <f>K48</f>
        <v>71.099999999999994</v>
      </c>
      <c r="L23" s="104">
        <f>L48</f>
        <v>71.8</v>
      </c>
      <c r="M23" s="104">
        <f>M48</f>
        <v>72.599999999999994</v>
      </c>
      <c r="N23" s="144"/>
      <c r="O23" s="144"/>
      <c r="P23" s="94" t="s">
        <v>207</v>
      </c>
      <c r="Q23" s="106">
        <f>SUM(C23:H23)</f>
        <v>406.5</v>
      </c>
      <c r="R23" s="106"/>
      <c r="S23" s="130">
        <f>((H23/C23)^(1/5))-1</f>
        <v>9.5283664220924269E-3</v>
      </c>
      <c r="T23" s="151"/>
      <c r="U23" s="94" t="s">
        <v>207</v>
      </c>
      <c r="V23" s="106">
        <f>V48</f>
        <v>354.79999999999995</v>
      </c>
      <c r="W23" s="106"/>
      <c r="X23" s="130">
        <f t="shared" si="7"/>
        <v>9.9310267870480473E-3</v>
      </c>
    </row>
    <row r="24" spans="2:27">
      <c r="B24" s="98" t="s">
        <v>224</v>
      </c>
      <c r="C24" s="107">
        <f>C21/C23</f>
        <v>14.199817777745395</v>
      </c>
      <c r="D24" s="107">
        <f>D17/D23</f>
        <v>14.368419498711358</v>
      </c>
      <c r="E24" s="107">
        <f>E17/E23</f>
        <v>14.283327152771585</v>
      </c>
      <c r="F24" s="107">
        <f>F17/F23</f>
        <v>14.169885124720992</v>
      </c>
      <c r="G24" s="107">
        <f>G17/G23</f>
        <v>15.3757225433526</v>
      </c>
      <c r="H24" s="107">
        <f>H17/H23</f>
        <v>15.326588665037796</v>
      </c>
      <c r="I24" s="107">
        <f>I21/I23</f>
        <v>17.26819379228095</v>
      </c>
      <c r="J24" s="107">
        <f>J21/J23</f>
        <v>17.559794045374048</v>
      </c>
      <c r="K24" s="107">
        <f>K21/K23</f>
        <v>16.872130866724618</v>
      </c>
      <c r="L24" s="107">
        <f>L21/L23</f>
        <v>17.144656324402327</v>
      </c>
      <c r="M24" s="107">
        <f>M21/M23</f>
        <v>17.300882120697668</v>
      </c>
      <c r="N24" s="145"/>
      <c r="O24" s="145"/>
      <c r="P24" s="98" t="s">
        <v>224</v>
      </c>
      <c r="Q24" s="107">
        <f>Q17/Q23</f>
        <v>14.627366959934804</v>
      </c>
      <c r="R24" s="107"/>
      <c r="S24" s="131">
        <f t="shared" si="4"/>
        <v>1.5389214834065967E-2</v>
      </c>
      <c r="T24" s="151"/>
      <c r="U24" s="98" t="s">
        <v>224</v>
      </c>
      <c r="V24" s="157">
        <f>V21/V23</f>
        <v>17.22812695514493</v>
      </c>
      <c r="W24" s="107"/>
      <c r="X24" s="131">
        <f t="shared" si="7"/>
        <v>2.452969146001438E-2</v>
      </c>
    </row>
    <row r="25" spans="2:27">
      <c r="B25" s="18"/>
      <c r="P25" s="18"/>
      <c r="U25" s="18"/>
    </row>
    <row r="26" spans="2:27">
      <c r="B26" s="18"/>
      <c r="P26" s="18"/>
      <c r="U26" s="18"/>
    </row>
    <row r="27" spans="2:27">
      <c r="B27" s="389" t="s">
        <v>282</v>
      </c>
      <c r="C27" s="391">
        <f>RPI!$T100/RPI!$V$104</f>
        <v>0.87783113654167122</v>
      </c>
      <c r="D27" s="391">
        <f>RPI!$T101/RPI!$V$104</f>
        <v>0.88185007322638875</v>
      </c>
      <c r="E27" s="391">
        <f>RPI!$T102/RPI!$V$104</f>
        <v>0.92561561254725666</v>
      </c>
      <c r="F27" s="391">
        <f>RPI!$T103/RPI!$V$104</f>
        <v>0.97002826879193504</v>
      </c>
      <c r="G27" s="391">
        <f>RPI!$V104/RPI!$V$104</f>
        <v>1</v>
      </c>
      <c r="H27" s="391">
        <f>RPI!$V105/RPI!$V$104</f>
        <v>1.0222657111526174</v>
      </c>
      <c r="I27" s="391">
        <f>RPI!$V106/RPI!$V$104</f>
        <v>1.050975382960283</v>
      </c>
      <c r="J27" s="391">
        <f>RPI!$V107/RPI!$V$104</f>
        <v>1.0864444506449431</v>
      </c>
      <c r="K27" s="391">
        <f>RPI!$V108/RPI!$V$104</f>
        <v>1.1190377841642913</v>
      </c>
      <c r="L27" s="391">
        <f>RPI!$V109/RPI!$V$104</f>
        <v>1.15260891768922</v>
      </c>
      <c r="M27" s="391">
        <f>RPI!$V110/RPI!$V$104</f>
        <v>1.1871871852198967</v>
      </c>
      <c r="N27" s="146"/>
      <c r="O27" s="146"/>
      <c r="P27" s="35"/>
      <c r="Q27" s="37"/>
      <c r="R27" s="37"/>
      <c r="S27" s="32"/>
      <c r="T27" s="140"/>
      <c r="U27" s="35"/>
      <c r="V27" s="36"/>
      <c r="W27" s="36"/>
      <c r="X27" s="32"/>
    </row>
    <row r="28" spans="2:27">
      <c r="B28" s="18"/>
      <c r="P28" s="18"/>
      <c r="U28" s="18"/>
    </row>
    <row r="29" spans="2:27">
      <c r="B29" s="84" t="s">
        <v>184</v>
      </c>
      <c r="C29" s="626" t="s">
        <v>30</v>
      </c>
      <c r="D29" s="627"/>
      <c r="E29" s="627"/>
      <c r="F29" s="627"/>
      <c r="G29" s="628"/>
      <c r="H29" s="87" t="s">
        <v>187</v>
      </c>
      <c r="I29" s="626" t="s">
        <v>31</v>
      </c>
      <c r="J29" s="627"/>
      <c r="K29" s="627"/>
      <c r="L29" s="627"/>
      <c r="M29" s="628"/>
      <c r="N29" s="139"/>
      <c r="O29" s="139"/>
      <c r="P29" s="84" t="s">
        <v>247</v>
      </c>
      <c r="Q29" s="84"/>
      <c r="R29" s="84"/>
      <c r="S29" s="84"/>
      <c r="T29" s="138"/>
      <c r="U29" s="84" t="s">
        <v>247</v>
      </c>
      <c r="V29" s="86"/>
      <c r="W29" s="86"/>
      <c r="X29" s="86"/>
    </row>
    <row r="30" spans="2:27" ht="26.25" customHeight="1">
      <c r="B30" s="29" t="s">
        <v>29</v>
      </c>
      <c r="C30" s="75" t="s">
        <v>12</v>
      </c>
      <c r="D30" s="75" t="s">
        <v>13</v>
      </c>
      <c r="E30" s="75" t="s">
        <v>14</v>
      </c>
      <c r="F30" s="75" t="s">
        <v>15</v>
      </c>
      <c r="G30" s="75" t="s">
        <v>16</v>
      </c>
      <c r="H30" s="75" t="s">
        <v>17</v>
      </c>
      <c r="I30" s="75" t="s">
        <v>32</v>
      </c>
      <c r="J30" s="75" t="s">
        <v>33</v>
      </c>
      <c r="K30" s="75" t="s">
        <v>34</v>
      </c>
      <c r="L30" s="75" t="s">
        <v>35</v>
      </c>
      <c r="M30" s="75" t="s">
        <v>36</v>
      </c>
      <c r="N30" s="141"/>
      <c r="O30" s="141"/>
      <c r="P30" s="29" t="s">
        <v>29</v>
      </c>
      <c r="Q30" s="50" t="s">
        <v>226</v>
      </c>
      <c r="R30" s="73" t="s">
        <v>246</v>
      </c>
      <c r="S30" s="50" t="s">
        <v>225</v>
      </c>
      <c r="T30" s="150"/>
      <c r="U30" s="29" t="s">
        <v>29</v>
      </c>
      <c r="V30" s="50" t="s">
        <v>37</v>
      </c>
      <c r="W30" s="73" t="s">
        <v>246</v>
      </c>
      <c r="X30" s="50" t="s">
        <v>206</v>
      </c>
    </row>
    <row r="31" spans="2:27">
      <c r="B31" s="92" t="s">
        <v>18</v>
      </c>
      <c r="C31" s="99">
        <v>181</v>
      </c>
      <c r="D31" s="99">
        <v>173</v>
      </c>
      <c r="E31" s="99">
        <v>167</v>
      </c>
      <c r="F31" s="99">
        <v>168</v>
      </c>
      <c r="G31" s="99">
        <v>161</v>
      </c>
      <c r="H31" s="99">
        <v>179</v>
      </c>
      <c r="I31" s="99">
        <v>180</v>
      </c>
      <c r="J31" s="99">
        <v>178</v>
      </c>
      <c r="K31" s="99">
        <v>169</v>
      </c>
      <c r="L31" s="99">
        <v>169</v>
      </c>
      <c r="M31" s="99">
        <v>169</v>
      </c>
      <c r="N31" s="144"/>
      <c r="O31" s="144"/>
      <c r="P31" s="92" t="s">
        <v>18</v>
      </c>
      <c r="Q31" s="128">
        <f t="shared" ref="Q31:Q40" si="19">SUM(C31:G31)</f>
        <v>850</v>
      </c>
      <c r="R31" s="153">
        <f t="shared" ref="R31:R40" si="20">Q31/$Q$42</f>
        <v>0.16187392877547133</v>
      </c>
      <c r="S31" s="129">
        <f>((H31/C31)^(1/5))-1</f>
        <v>-2.2197777264354457E-3</v>
      </c>
      <c r="T31" s="151"/>
      <c r="U31" s="92" t="s">
        <v>18</v>
      </c>
      <c r="V31" s="128">
        <f t="shared" ref="V31:V40" si="21">SUM(I31:M31)</f>
        <v>865</v>
      </c>
      <c r="W31" s="153">
        <f>V31/$V$42</f>
        <v>0.1550457071159706</v>
      </c>
      <c r="X31" s="129">
        <f>((M31/H31)^(1/5))-1</f>
        <v>-1.1431575453147769E-2</v>
      </c>
      <c r="AA31" s="76"/>
    </row>
    <row r="32" spans="2:27">
      <c r="B32" s="94" t="s">
        <v>19</v>
      </c>
      <c r="C32" s="100">
        <v>64</v>
      </c>
      <c r="D32" s="100">
        <v>54</v>
      </c>
      <c r="E32" s="100">
        <v>56</v>
      </c>
      <c r="F32" s="100">
        <v>55</v>
      </c>
      <c r="G32" s="100">
        <v>57</v>
      </c>
      <c r="H32" s="100">
        <v>56</v>
      </c>
      <c r="I32" s="100">
        <v>60</v>
      </c>
      <c r="J32" s="100">
        <v>61</v>
      </c>
      <c r="K32" s="100">
        <v>58</v>
      </c>
      <c r="L32" s="100">
        <v>58</v>
      </c>
      <c r="M32" s="100">
        <v>58</v>
      </c>
      <c r="N32" s="144"/>
      <c r="O32" s="144"/>
      <c r="P32" s="94" t="s">
        <v>19</v>
      </c>
      <c r="Q32" s="106">
        <f t="shared" si="19"/>
        <v>286</v>
      </c>
      <c r="R32" s="153">
        <f t="shared" si="20"/>
        <v>5.4465816035040943E-2</v>
      </c>
      <c r="S32" s="130">
        <f t="shared" ref="S32:S49" si="22">((H32/C32)^(1/5))-1</f>
        <v>-2.6352819384831916E-2</v>
      </c>
      <c r="T32" s="151"/>
      <c r="U32" s="94" t="s">
        <v>19</v>
      </c>
      <c r="V32" s="106">
        <f t="shared" si="21"/>
        <v>295</v>
      </c>
      <c r="W32" s="153">
        <f t="shared" ref="W32:W42" si="23">V32/$V$42</f>
        <v>5.2876859652267433E-2</v>
      </c>
      <c r="X32" s="130">
        <f t="shared" ref="X32:X40" si="24">((M32/H32)^(1/5))-1</f>
        <v>7.0429496933102076E-3</v>
      </c>
      <c r="AA32" s="76"/>
    </row>
    <row r="33" spans="2:27">
      <c r="B33" s="94" t="s">
        <v>20</v>
      </c>
      <c r="C33" s="100">
        <v>178</v>
      </c>
      <c r="D33" s="100">
        <v>183</v>
      </c>
      <c r="E33" s="100">
        <v>166</v>
      </c>
      <c r="F33" s="100">
        <v>169</v>
      </c>
      <c r="G33" s="100">
        <v>175</v>
      </c>
      <c r="H33" s="100">
        <v>192</v>
      </c>
      <c r="I33" s="100">
        <v>221</v>
      </c>
      <c r="J33" s="100">
        <v>215</v>
      </c>
      <c r="K33" s="100">
        <v>210</v>
      </c>
      <c r="L33" s="100">
        <v>208</v>
      </c>
      <c r="M33" s="100">
        <v>206</v>
      </c>
      <c r="N33" s="144"/>
      <c r="O33" s="144"/>
      <c r="P33" s="94" t="s">
        <v>20</v>
      </c>
      <c r="Q33" s="106">
        <f t="shared" si="19"/>
        <v>871</v>
      </c>
      <c r="R33" s="153">
        <f t="shared" si="20"/>
        <v>0.16587316701580651</v>
      </c>
      <c r="S33" s="130">
        <f t="shared" si="22"/>
        <v>1.5257590811880162E-2</v>
      </c>
      <c r="T33" s="151"/>
      <c r="U33" s="94" t="s">
        <v>20</v>
      </c>
      <c r="V33" s="106">
        <f t="shared" si="21"/>
        <v>1060</v>
      </c>
      <c r="W33" s="153">
        <f t="shared" si="23"/>
        <v>0.18999820756407959</v>
      </c>
      <c r="X33" s="130">
        <f t="shared" si="24"/>
        <v>1.4175694961439778E-2</v>
      </c>
      <c r="AA33" s="76"/>
    </row>
    <row r="34" spans="2:27">
      <c r="B34" s="94" t="s">
        <v>21</v>
      </c>
      <c r="C34" s="100">
        <v>93</v>
      </c>
      <c r="D34" s="100">
        <v>120</v>
      </c>
      <c r="E34" s="100">
        <v>95</v>
      </c>
      <c r="F34" s="100">
        <v>87</v>
      </c>
      <c r="G34" s="100">
        <v>92</v>
      </c>
      <c r="H34" s="100">
        <v>93</v>
      </c>
      <c r="I34" s="100">
        <v>102</v>
      </c>
      <c r="J34" s="100">
        <v>101</v>
      </c>
      <c r="K34" s="100">
        <v>97</v>
      </c>
      <c r="L34" s="100">
        <v>99</v>
      </c>
      <c r="M34" s="100">
        <v>98</v>
      </c>
      <c r="N34" s="144"/>
      <c r="O34" s="144"/>
      <c r="P34" s="94" t="s">
        <v>21</v>
      </c>
      <c r="Q34" s="106">
        <f t="shared" si="19"/>
        <v>487</v>
      </c>
      <c r="R34" s="153">
        <f t="shared" si="20"/>
        <v>9.2744239192534758E-2</v>
      </c>
      <c r="S34" s="130">
        <f t="shared" si="22"/>
        <v>0</v>
      </c>
      <c r="T34" s="151"/>
      <c r="U34" s="94" t="s">
        <v>21</v>
      </c>
      <c r="V34" s="106">
        <f t="shared" si="21"/>
        <v>497</v>
      </c>
      <c r="W34" s="153">
        <f t="shared" si="23"/>
        <v>8.9084065244667499E-2</v>
      </c>
      <c r="X34" s="130">
        <f t="shared" si="24"/>
        <v>1.0528637209741287E-2</v>
      </c>
      <c r="AA34" s="76"/>
    </row>
    <row r="35" spans="2:27">
      <c r="B35" s="94" t="s">
        <v>22</v>
      </c>
      <c r="C35" s="100">
        <v>118</v>
      </c>
      <c r="D35" s="100">
        <v>125</v>
      </c>
      <c r="E35" s="100">
        <v>112</v>
      </c>
      <c r="F35" s="100">
        <v>120</v>
      </c>
      <c r="G35" s="100">
        <v>126</v>
      </c>
      <c r="H35" s="100">
        <v>130</v>
      </c>
      <c r="I35" s="100">
        <v>154</v>
      </c>
      <c r="J35" s="100">
        <v>167</v>
      </c>
      <c r="K35" s="100">
        <v>167</v>
      </c>
      <c r="L35" s="100">
        <v>167</v>
      </c>
      <c r="M35" s="100">
        <v>167</v>
      </c>
      <c r="N35" s="144"/>
      <c r="O35" s="144"/>
      <c r="P35" s="94" t="s">
        <v>22</v>
      </c>
      <c r="Q35" s="106">
        <f t="shared" si="19"/>
        <v>601</v>
      </c>
      <c r="R35" s="153">
        <f t="shared" si="20"/>
        <v>0.11445438964006856</v>
      </c>
      <c r="S35" s="130">
        <f t="shared" si="22"/>
        <v>1.9558780116283092E-2</v>
      </c>
      <c r="T35" s="151"/>
      <c r="U35" s="94" t="s">
        <v>22</v>
      </c>
      <c r="V35" s="106">
        <f t="shared" si="21"/>
        <v>822</v>
      </c>
      <c r="W35" s="153">
        <f t="shared" si="23"/>
        <v>0.14733823265818247</v>
      </c>
      <c r="X35" s="130">
        <f t="shared" si="24"/>
        <v>5.1367683603317005E-2</v>
      </c>
      <c r="AA35" s="76"/>
    </row>
    <row r="36" spans="2:27">
      <c r="B36" s="94" t="s">
        <v>23</v>
      </c>
      <c r="C36" s="100">
        <v>123</v>
      </c>
      <c r="D36" s="100">
        <v>110</v>
      </c>
      <c r="E36" s="100">
        <v>125</v>
      </c>
      <c r="F36" s="100">
        <v>123</v>
      </c>
      <c r="G36" s="100">
        <v>143</v>
      </c>
      <c r="H36" s="100">
        <v>111</v>
      </c>
      <c r="I36" s="100">
        <v>112</v>
      </c>
      <c r="J36" s="100">
        <v>111</v>
      </c>
      <c r="K36" s="100">
        <v>108</v>
      </c>
      <c r="L36" s="100">
        <v>107</v>
      </c>
      <c r="M36" s="100">
        <v>106</v>
      </c>
      <c r="N36" s="144"/>
      <c r="O36" s="144"/>
      <c r="P36" s="94" t="s">
        <v>23</v>
      </c>
      <c r="Q36" s="106">
        <f t="shared" si="19"/>
        <v>624</v>
      </c>
      <c r="R36" s="153">
        <f t="shared" si="20"/>
        <v>0.1188345077128166</v>
      </c>
      <c r="S36" s="130">
        <f t="shared" si="22"/>
        <v>-2.03215082745134E-2</v>
      </c>
      <c r="T36" s="151"/>
      <c r="U36" s="94" t="s">
        <v>23</v>
      </c>
      <c r="V36" s="106">
        <f t="shared" si="21"/>
        <v>544</v>
      </c>
      <c r="W36" s="153">
        <f t="shared" si="23"/>
        <v>9.7508514070621971E-2</v>
      </c>
      <c r="X36" s="130">
        <f t="shared" si="24"/>
        <v>-9.1758638904724243E-3</v>
      </c>
      <c r="AA36" s="76"/>
    </row>
    <row r="37" spans="2:27">
      <c r="B37" s="94" t="s">
        <v>24</v>
      </c>
      <c r="C37" s="100">
        <v>73</v>
      </c>
      <c r="D37" s="100">
        <v>77</v>
      </c>
      <c r="E37" s="100">
        <v>75</v>
      </c>
      <c r="F37" s="100">
        <v>66</v>
      </c>
      <c r="G37" s="100">
        <v>66</v>
      </c>
      <c r="H37" s="100">
        <v>67</v>
      </c>
      <c r="I37" s="100">
        <v>60</v>
      </c>
      <c r="J37" s="100">
        <v>59</v>
      </c>
      <c r="K37" s="100">
        <v>59</v>
      </c>
      <c r="L37" s="100">
        <v>60</v>
      </c>
      <c r="M37" s="100">
        <v>60</v>
      </c>
      <c r="N37" s="144"/>
      <c r="O37" s="144"/>
      <c r="P37" s="94" t="s">
        <v>24</v>
      </c>
      <c r="Q37" s="106">
        <f t="shared" si="19"/>
        <v>357</v>
      </c>
      <c r="R37" s="153">
        <f t="shared" si="20"/>
        <v>6.7987050085697956E-2</v>
      </c>
      <c r="S37" s="130">
        <f t="shared" si="22"/>
        <v>-1.7007082997215428E-2</v>
      </c>
      <c r="T37" s="151"/>
      <c r="U37" s="94" t="s">
        <v>24</v>
      </c>
      <c r="V37" s="106">
        <f t="shared" si="21"/>
        <v>298</v>
      </c>
      <c r="W37" s="153">
        <f t="shared" si="23"/>
        <v>5.3414590428392188E-2</v>
      </c>
      <c r="X37" s="130">
        <f t="shared" si="24"/>
        <v>-2.1827859284026752E-2</v>
      </c>
      <c r="AA37" s="76"/>
    </row>
    <row r="38" spans="2:27">
      <c r="B38" s="94" t="s">
        <v>25</v>
      </c>
      <c r="C38" s="100">
        <v>42</v>
      </c>
      <c r="D38" s="100">
        <v>56</v>
      </c>
      <c r="E38" s="100">
        <v>45</v>
      </c>
      <c r="F38" s="100">
        <v>44</v>
      </c>
      <c r="G38" s="100">
        <v>46</v>
      </c>
      <c r="H38" s="100">
        <v>48</v>
      </c>
      <c r="I38" s="100">
        <v>51</v>
      </c>
      <c r="J38" s="100">
        <v>52</v>
      </c>
      <c r="K38" s="100">
        <v>50</v>
      </c>
      <c r="L38" s="100">
        <v>51</v>
      </c>
      <c r="M38" s="100">
        <v>51</v>
      </c>
      <c r="N38" s="144"/>
      <c r="O38" s="144"/>
      <c r="P38" s="94" t="s">
        <v>25</v>
      </c>
      <c r="Q38" s="106">
        <f t="shared" si="19"/>
        <v>233</v>
      </c>
      <c r="R38" s="153">
        <f t="shared" si="20"/>
        <v>4.4372500476099794E-2</v>
      </c>
      <c r="S38" s="130">
        <f t="shared" si="22"/>
        <v>2.7066087089351765E-2</v>
      </c>
      <c r="T38" s="151"/>
      <c r="U38" s="94" t="s">
        <v>25</v>
      </c>
      <c r="V38" s="106">
        <f t="shared" si="21"/>
        <v>255</v>
      </c>
      <c r="W38" s="153">
        <f t="shared" si="23"/>
        <v>4.5707115970604048E-2</v>
      </c>
      <c r="X38" s="130">
        <f t="shared" si="24"/>
        <v>1.2198729249942586E-2</v>
      </c>
      <c r="AA38" s="76"/>
    </row>
    <row r="39" spans="2:27">
      <c r="B39" s="94" t="s">
        <v>26</v>
      </c>
      <c r="C39" s="100">
        <v>159</v>
      </c>
      <c r="D39" s="100">
        <v>153</v>
      </c>
      <c r="E39" s="100">
        <v>146</v>
      </c>
      <c r="F39" s="100">
        <v>156</v>
      </c>
      <c r="G39" s="100">
        <v>166</v>
      </c>
      <c r="H39" s="100">
        <v>126</v>
      </c>
      <c r="I39" s="100">
        <v>117</v>
      </c>
      <c r="J39" s="100">
        <v>113</v>
      </c>
      <c r="K39" s="100">
        <v>114</v>
      </c>
      <c r="L39" s="100">
        <v>114</v>
      </c>
      <c r="M39" s="100">
        <v>112</v>
      </c>
      <c r="N39" s="144"/>
      <c r="O39" s="144"/>
      <c r="P39" s="94" t="s">
        <v>26</v>
      </c>
      <c r="Q39" s="106">
        <f t="shared" si="19"/>
        <v>780</v>
      </c>
      <c r="R39" s="153">
        <f t="shared" si="20"/>
        <v>0.14854313464102076</v>
      </c>
      <c r="S39" s="130">
        <f t="shared" si="22"/>
        <v>-4.5458786890395619E-2</v>
      </c>
      <c r="T39" s="151"/>
      <c r="U39" s="94" t="s">
        <v>26</v>
      </c>
      <c r="V39" s="106">
        <f t="shared" si="21"/>
        <v>570</v>
      </c>
      <c r="W39" s="153">
        <f t="shared" si="23"/>
        <v>0.10216884746370317</v>
      </c>
      <c r="X39" s="130">
        <f t="shared" si="24"/>
        <v>-2.3281316138826114E-2</v>
      </c>
      <c r="AA39" s="76"/>
    </row>
    <row r="40" spans="2:27">
      <c r="B40" s="94" t="s">
        <v>27</v>
      </c>
      <c r="C40" s="100">
        <v>35</v>
      </c>
      <c r="D40" s="100">
        <v>26</v>
      </c>
      <c r="E40" s="100">
        <v>33</v>
      </c>
      <c r="F40" s="100">
        <v>36</v>
      </c>
      <c r="G40" s="100">
        <v>32</v>
      </c>
      <c r="H40" s="100">
        <v>34</v>
      </c>
      <c r="I40" s="100">
        <v>78</v>
      </c>
      <c r="J40" s="100">
        <v>76</v>
      </c>
      <c r="K40" s="100">
        <v>74</v>
      </c>
      <c r="L40" s="100">
        <v>73</v>
      </c>
      <c r="M40" s="100">
        <v>72</v>
      </c>
      <c r="N40" s="144"/>
      <c r="O40" s="144"/>
      <c r="P40" s="94" t="s">
        <v>27</v>
      </c>
      <c r="Q40" s="106">
        <f t="shared" si="19"/>
        <v>162</v>
      </c>
      <c r="R40" s="153">
        <f t="shared" si="20"/>
        <v>3.0851266425442773E-2</v>
      </c>
      <c r="S40" s="130">
        <f t="shared" si="22"/>
        <v>-5.7807342585131094E-3</v>
      </c>
      <c r="T40" s="151"/>
      <c r="U40" s="94" t="s">
        <v>27</v>
      </c>
      <c r="V40" s="106">
        <f t="shared" si="21"/>
        <v>373</v>
      </c>
      <c r="W40" s="153">
        <f t="shared" si="23"/>
        <v>6.6857859831511018E-2</v>
      </c>
      <c r="X40" s="130">
        <f t="shared" si="24"/>
        <v>0.16190525490599006</v>
      </c>
      <c r="AA40" s="76"/>
    </row>
    <row r="41" spans="2:27">
      <c r="B41" s="94"/>
      <c r="C41" s="100"/>
      <c r="D41" s="100"/>
      <c r="E41" s="100"/>
      <c r="F41" s="100"/>
      <c r="G41" s="100"/>
      <c r="H41" s="100"/>
      <c r="I41" s="100"/>
      <c r="J41" s="100"/>
      <c r="K41" s="100"/>
      <c r="L41" s="100"/>
      <c r="M41" s="100"/>
      <c r="N41" s="144"/>
      <c r="O41" s="144"/>
      <c r="P41" s="94"/>
      <c r="Q41" s="106"/>
      <c r="R41" s="153"/>
      <c r="S41" s="130"/>
      <c r="T41" s="151"/>
      <c r="U41" s="94"/>
      <c r="V41" s="106"/>
      <c r="W41" s="153"/>
      <c r="X41" s="130"/>
      <c r="AA41" s="76"/>
    </row>
    <row r="42" spans="2:27">
      <c r="B42" s="94" t="s">
        <v>28</v>
      </c>
      <c r="C42" s="133">
        <f t="shared" ref="C42:M42" si="25">SUM(C31:C41)</f>
        <v>1066</v>
      </c>
      <c r="D42" s="133">
        <f t="shared" si="25"/>
        <v>1077</v>
      </c>
      <c r="E42" s="133">
        <f t="shared" si="25"/>
        <v>1020</v>
      </c>
      <c r="F42" s="133">
        <f t="shared" si="25"/>
        <v>1024</v>
      </c>
      <c r="G42" s="133">
        <f t="shared" si="25"/>
        <v>1064</v>
      </c>
      <c r="H42" s="133">
        <f t="shared" si="25"/>
        <v>1036</v>
      </c>
      <c r="I42" s="133">
        <f t="shared" si="25"/>
        <v>1135</v>
      </c>
      <c r="J42" s="133">
        <f t="shared" si="25"/>
        <v>1133</v>
      </c>
      <c r="K42" s="133">
        <f t="shared" si="25"/>
        <v>1106</v>
      </c>
      <c r="L42" s="133">
        <f t="shared" si="25"/>
        <v>1106</v>
      </c>
      <c r="M42" s="133">
        <f t="shared" si="25"/>
        <v>1099</v>
      </c>
      <c r="N42" s="143"/>
      <c r="O42" s="143"/>
      <c r="P42" s="94" t="s">
        <v>28</v>
      </c>
      <c r="Q42" s="106">
        <f>SUM(C42:G42)</f>
        <v>5251</v>
      </c>
      <c r="R42" s="153">
        <f>Q42/$Q$42</f>
        <v>1</v>
      </c>
      <c r="S42" s="130">
        <f t="shared" si="22"/>
        <v>-5.6929696628132964E-3</v>
      </c>
      <c r="T42" s="151"/>
      <c r="U42" s="94" t="s">
        <v>28</v>
      </c>
      <c r="V42" s="106">
        <f>SUM(I42:M42)</f>
        <v>5579</v>
      </c>
      <c r="W42" s="153">
        <f t="shared" si="23"/>
        <v>1</v>
      </c>
      <c r="X42" s="130">
        <f>((M42/H42)^(1/5))-1</f>
        <v>1.1876680591268229E-2</v>
      </c>
      <c r="AA42" s="76"/>
    </row>
    <row r="43" spans="2:27">
      <c r="B43" s="94" t="s">
        <v>38</v>
      </c>
      <c r="C43" s="100"/>
      <c r="D43" s="100"/>
      <c r="E43" s="100"/>
      <c r="F43" s="100"/>
      <c r="G43" s="100"/>
      <c r="H43" s="100"/>
      <c r="I43" s="100"/>
      <c r="J43" s="100"/>
      <c r="K43" s="100">
        <v>-31</v>
      </c>
      <c r="L43" s="100">
        <v>-32</v>
      </c>
      <c r="M43" s="100">
        <v>-32</v>
      </c>
      <c r="N43" s="144"/>
      <c r="O43" s="144"/>
      <c r="P43" s="94"/>
      <c r="Q43" s="104"/>
      <c r="R43" s="104"/>
      <c r="S43" s="130"/>
      <c r="T43" s="151"/>
      <c r="U43" s="94" t="s">
        <v>38</v>
      </c>
      <c r="V43" s="106">
        <f>SUM(I43:M43)</f>
        <v>-95</v>
      </c>
      <c r="W43" s="106"/>
      <c r="X43" s="130"/>
    </row>
    <row r="44" spans="2:27">
      <c r="B44" s="94" t="s">
        <v>222</v>
      </c>
      <c r="C44" s="100"/>
      <c r="D44" s="100"/>
      <c r="E44" s="100"/>
      <c r="F44" s="100"/>
      <c r="G44" s="100"/>
      <c r="H44" s="100"/>
      <c r="I44" s="100">
        <v>5</v>
      </c>
      <c r="J44" s="100">
        <v>5</v>
      </c>
      <c r="K44" s="100">
        <v>5</v>
      </c>
      <c r="L44" s="100">
        <v>5</v>
      </c>
      <c r="M44" s="100">
        <v>5</v>
      </c>
      <c r="N44" s="144"/>
      <c r="O44" s="144"/>
      <c r="P44" s="94"/>
      <c r="Q44" s="104"/>
      <c r="R44" s="104"/>
      <c r="S44" s="130"/>
      <c r="T44" s="151"/>
      <c r="U44" s="94" t="s">
        <v>222</v>
      </c>
      <c r="V44" s="106">
        <f>SUM(I44:M44)</f>
        <v>25</v>
      </c>
      <c r="W44" s="106"/>
      <c r="X44" s="130"/>
    </row>
    <row r="45" spans="2:27">
      <c r="B45" s="94" t="s">
        <v>39</v>
      </c>
      <c r="C45" s="100"/>
      <c r="D45" s="100"/>
      <c r="E45" s="100"/>
      <c r="F45" s="100"/>
      <c r="G45" s="100"/>
      <c r="H45" s="100"/>
      <c r="I45" s="100">
        <v>-3</v>
      </c>
      <c r="J45" s="100">
        <v>-5</v>
      </c>
      <c r="K45" s="100">
        <v>-8</v>
      </c>
      <c r="L45" s="100">
        <v>-11</v>
      </c>
      <c r="M45" s="100">
        <v>-14</v>
      </c>
      <c r="N45" s="237"/>
      <c r="O45" s="144"/>
      <c r="P45" s="94"/>
      <c r="Q45" s="104"/>
      <c r="R45" s="104"/>
      <c r="S45" s="130"/>
      <c r="T45" s="151"/>
      <c r="U45" s="94" t="s">
        <v>39</v>
      </c>
      <c r="V45" s="106">
        <f>SUM(I45:M45)</f>
        <v>-41</v>
      </c>
      <c r="W45" s="106"/>
      <c r="X45" s="130"/>
    </row>
    <row r="46" spans="2:27">
      <c r="B46" s="94" t="s">
        <v>223</v>
      </c>
      <c r="C46" s="133">
        <f>SUM(C42:C45)</f>
        <v>1066</v>
      </c>
      <c r="D46" s="133">
        <f t="shared" ref="D46:G46" si="26">SUM(D42:D45)</f>
        <v>1077</v>
      </c>
      <c r="E46" s="133">
        <f t="shared" si="26"/>
        <v>1020</v>
      </c>
      <c r="F46" s="133">
        <f t="shared" si="26"/>
        <v>1024</v>
      </c>
      <c r="G46" s="133">
        <f t="shared" si="26"/>
        <v>1064</v>
      </c>
      <c r="H46" s="133">
        <f t="shared" ref="H46:M46" si="27">SUM(H42:H45)</f>
        <v>1036</v>
      </c>
      <c r="I46" s="133">
        <f t="shared" si="27"/>
        <v>1137</v>
      </c>
      <c r="J46" s="133">
        <f t="shared" si="27"/>
        <v>1133</v>
      </c>
      <c r="K46" s="133">
        <f t="shared" si="27"/>
        <v>1072</v>
      </c>
      <c r="L46" s="133">
        <f t="shared" si="27"/>
        <v>1068</v>
      </c>
      <c r="M46" s="133">
        <f t="shared" si="27"/>
        <v>1058</v>
      </c>
      <c r="N46" s="143"/>
      <c r="O46" s="143"/>
      <c r="P46" s="94"/>
      <c r="Q46" s="104"/>
      <c r="R46" s="104"/>
      <c r="S46" s="130"/>
      <c r="T46" s="151"/>
      <c r="U46" s="94" t="s">
        <v>223</v>
      </c>
      <c r="V46" s="106">
        <f>SUM(I46:M46)</f>
        <v>5468</v>
      </c>
      <c r="W46" s="106"/>
      <c r="X46" s="130">
        <f>((M46/H46)^(1/5))-1</f>
        <v>4.2114813867955014E-3</v>
      </c>
      <c r="Z46" s="76"/>
    </row>
    <row r="47" spans="2:27">
      <c r="B47" s="94"/>
      <c r="C47" s="100"/>
      <c r="D47" s="101"/>
      <c r="E47" s="101"/>
      <c r="F47" s="101"/>
      <c r="G47" s="101"/>
      <c r="H47" s="101"/>
      <c r="I47" s="101"/>
      <c r="J47" s="101"/>
      <c r="K47" s="101"/>
      <c r="L47" s="101"/>
      <c r="M47" s="101"/>
      <c r="N47" s="147"/>
      <c r="O47" s="147"/>
      <c r="P47" s="94"/>
      <c r="Q47" s="104"/>
      <c r="R47" s="104"/>
      <c r="S47" s="130"/>
      <c r="T47" s="151"/>
      <c r="U47" s="94"/>
      <c r="V47" s="104"/>
      <c r="W47" s="104"/>
      <c r="X47" s="130"/>
      <c r="Z47" s="76"/>
    </row>
    <row r="48" spans="2:27">
      <c r="B48" s="94" t="s">
        <v>207</v>
      </c>
      <c r="C48" s="100">
        <v>65.900000000000006</v>
      </c>
      <c r="D48" s="100">
        <v>66.099999999999994</v>
      </c>
      <c r="E48" s="100">
        <v>66.099999999999994</v>
      </c>
      <c r="F48" s="100">
        <v>70.099999999999994</v>
      </c>
      <c r="G48" s="100">
        <v>69.2</v>
      </c>
      <c r="H48" s="100">
        <v>69.099999999999994</v>
      </c>
      <c r="I48" s="100">
        <v>69.2</v>
      </c>
      <c r="J48" s="100">
        <v>70.099999999999994</v>
      </c>
      <c r="K48" s="100">
        <v>71.099999999999994</v>
      </c>
      <c r="L48" s="100">
        <v>71.8</v>
      </c>
      <c r="M48" s="100">
        <v>72.599999999999994</v>
      </c>
      <c r="N48" s="144"/>
      <c r="O48" s="144"/>
      <c r="P48" s="94" t="s">
        <v>207</v>
      </c>
      <c r="Q48" s="106">
        <f>SUM(C48:H48)</f>
        <v>406.5</v>
      </c>
      <c r="R48" s="106"/>
      <c r="S48" s="130">
        <f t="shared" si="22"/>
        <v>9.5283664220924269E-3</v>
      </c>
      <c r="T48" s="151"/>
      <c r="U48" s="94" t="s">
        <v>207</v>
      </c>
      <c r="V48" s="106">
        <f>SUM(I48:M48)</f>
        <v>354.79999999999995</v>
      </c>
      <c r="W48" s="106"/>
      <c r="X48" s="130">
        <f>((M48/H48)^(1/5))-1</f>
        <v>9.9310267870480473E-3</v>
      </c>
    </row>
    <row r="49" spans="2:24">
      <c r="B49" s="98" t="s">
        <v>224</v>
      </c>
      <c r="C49" s="161">
        <f t="shared" ref="C49:M49" si="28">C46/C48</f>
        <v>16.176024279210925</v>
      </c>
      <c r="D49" s="161">
        <f t="shared" si="28"/>
        <v>16.293494704992437</v>
      </c>
      <c r="E49" s="161">
        <f t="shared" si="28"/>
        <v>15.431164901664147</v>
      </c>
      <c r="F49" s="161">
        <f t="shared" si="28"/>
        <v>14.607703281027105</v>
      </c>
      <c r="G49" s="161">
        <f t="shared" si="28"/>
        <v>15.3757225433526</v>
      </c>
      <c r="H49" s="161">
        <f t="shared" si="28"/>
        <v>14.992764109985529</v>
      </c>
      <c r="I49" s="161">
        <f t="shared" si="28"/>
        <v>16.430635838150287</v>
      </c>
      <c r="J49" s="161">
        <f t="shared" si="28"/>
        <v>16.162624821683313</v>
      </c>
      <c r="K49" s="161">
        <f t="shared" si="28"/>
        <v>15.07735583684951</v>
      </c>
      <c r="L49" s="161">
        <f t="shared" si="28"/>
        <v>14.874651810584959</v>
      </c>
      <c r="M49" s="161">
        <f t="shared" si="28"/>
        <v>14.573002754820937</v>
      </c>
      <c r="N49" s="145"/>
      <c r="O49" s="145"/>
      <c r="P49" s="98" t="s">
        <v>224</v>
      </c>
      <c r="Q49" s="107">
        <f>Q42/Q48</f>
        <v>12.917589175891759</v>
      </c>
      <c r="R49" s="107"/>
      <c r="S49" s="131">
        <f t="shared" si="22"/>
        <v>-1.5077670515442954E-2</v>
      </c>
      <c r="T49" s="151"/>
      <c r="U49" s="98" t="s">
        <v>224</v>
      </c>
      <c r="V49" s="107">
        <f>V46/V48</f>
        <v>15.411499436302144</v>
      </c>
      <c r="W49" s="132"/>
      <c r="X49" s="131">
        <f>((M49/H49)^(1/5))-1</f>
        <v>-5.663302986589458E-3</v>
      </c>
    </row>
    <row r="50" spans="2:24">
      <c r="P50" s="19"/>
      <c r="U50" s="19"/>
    </row>
    <row r="51" spans="2:24">
      <c r="G51" s="38"/>
      <c r="H51" s="38"/>
      <c r="P51" s="19"/>
      <c r="U51" s="19"/>
    </row>
    <row r="52" spans="2:24">
      <c r="B52" s="392" t="s">
        <v>283</v>
      </c>
      <c r="C52" s="391">
        <f>RPI!$T$103/RPI!$V$104</f>
        <v>0.97002826879193504</v>
      </c>
      <c r="D52" s="391">
        <f>RPI!$T$103/RPI!$V$104</f>
        <v>0.97002826879193504</v>
      </c>
      <c r="E52" s="391">
        <f>RPI!$T$103/RPI!$V$104</f>
        <v>0.97002826879193504</v>
      </c>
      <c r="F52" s="391">
        <f>RPI!$T$103/RPI!$V$104</f>
        <v>0.97002826879193504</v>
      </c>
      <c r="G52" s="391">
        <f>RPI!$T$103/RPI!$V$104</f>
        <v>0.97002826879193504</v>
      </c>
      <c r="H52" s="391">
        <f>RPI!$T$103/RPI!$V$104</f>
        <v>0.97002826879193504</v>
      </c>
      <c r="I52" s="391">
        <f>RPI!$T$103/RPI!$V$104</f>
        <v>0.97002826879193504</v>
      </c>
      <c r="J52" s="391">
        <f>RPI!$T$103/RPI!$V$104</f>
        <v>0.97002826879193504</v>
      </c>
      <c r="K52" s="391">
        <f>RPI!$T$103/RPI!$V$104</f>
        <v>0.97002826879193504</v>
      </c>
      <c r="L52" s="391">
        <f>RPI!$T$103/RPI!$V$104</f>
        <v>0.97002826879193504</v>
      </c>
      <c r="M52" s="391">
        <f>RPI!$T$103/RPI!$V$104</f>
        <v>0.97002826879193504</v>
      </c>
      <c r="N52" s="146"/>
      <c r="O52" s="146"/>
      <c r="P52" s="393"/>
      <c r="Q52" s="394"/>
      <c r="R52" s="394"/>
      <c r="S52" s="395"/>
      <c r="T52" s="140"/>
      <c r="U52" s="393"/>
      <c r="V52" s="36"/>
      <c r="W52" s="36"/>
      <c r="X52" s="32"/>
    </row>
    <row r="53" spans="2:24">
      <c r="B53" s="18"/>
      <c r="P53" s="18"/>
      <c r="U53" s="18"/>
    </row>
    <row r="54" spans="2:24">
      <c r="B54" s="84" t="s">
        <v>184</v>
      </c>
      <c r="C54" s="626" t="s">
        <v>30</v>
      </c>
      <c r="D54" s="627"/>
      <c r="E54" s="627"/>
      <c r="F54" s="627"/>
      <c r="G54" s="628"/>
      <c r="H54" s="87" t="s">
        <v>187</v>
      </c>
      <c r="I54" s="626" t="s">
        <v>31</v>
      </c>
      <c r="J54" s="627"/>
      <c r="K54" s="627"/>
      <c r="L54" s="627"/>
      <c r="M54" s="628"/>
      <c r="N54" s="139"/>
      <c r="O54" s="139"/>
      <c r="P54" s="84" t="s">
        <v>247</v>
      </c>
      <c r="Q54" s="84"/>
      <c r="R54" s="84"/>
      <c r="S54" s="84"/>
      <c r="T54" s="138"/>
      <c r="U54" s="84" t="s">
        <v>247</v>
      </c>
      <c r="V54" s="86"/>
      <c r="W54" s="86"/>
      <c r="X54" s="86"/>
    </row>
    <row r="55" spans="2:24" ht="25.5">
      <c r="B55" s="29" t="s">
        <v>232</v>
      </c>
      <c r="C55" s="75" t="s">
        <v>12</v>
      </c>
      <c r="D55" s="75" t="s">
        <v>13</v>
      </c>
      <c r="E55" s="75" t="s">
        <v>14</v>
      </c>
      <c r="F55" s="75" t="s">
        <v>15</v>
      </c>
      <c r="G55" s="75" t="s">
        <v>16</v>
      </c>
      <c r="H55" s="75" t="s">
        <v>17</v>
      </c>
      <c r="I55" s="75" t="s">
        <v>32</v>
      </c>
      <c r="J55" s="75" t="s">
        <v>33</v>
      </c>
      <c r="K55" s="75" t="s">
        <v>34</v>
      </c>
      <c r="L55" s="75" t="s">
        <v>35</v>
      </c>
      <c r="M55" s="75" t="s">
        <v>36</v>
      </c>
      <c r="N55" s="141"/>
      <c r="O55" s="141"/>
      <c r="P55" s="29" t="s">
        <v>232</v>
      </c>
      <c r="Q55" s="73" t="s">
        <v>226</v>
      </c>
      <c r="R55" s="73" t="s">
        <v>246</v>
      </c>
      <c r="S55" s="73" t="s">
        <v>225</v>
      </c>
      <c r="T55" s="150"/>
      <c r="U55" s="29" t="s">
        <v>232</v>
      </c>
      <c r="V55" s="73" t="s">
        <v>37</v>
      </c>
      <c r="W55" s="73" t="s">
        <v>246</v>
      </c>
      <c r="X55" s="73" t="s">
        <v>206</v>
      </c>
    </row>
    <row r="56" spans="2:24">
      <c r="B56" s="92" t="s">
        <v>18</v>
      </c>
      <c r="C56" s="93">
        <f>C31*C$52</f>
        <v>175.57511665134024</v>
      </c>
      <c r="D56" s="93">
        <f t="shared" ref="D56:L56" si="29">D31*D$52</f>
        <v>167.81489050100475</v>
      </c>
      <c r="E56" s="93">
        <f t="shared" si="29"/>
        <v>161.99472088825314</v>
      </c>
      <c r="F56" s="93">
        <f t="shared" si="29"/>
        <v>162.96474915704508</v>
      </c>
      <c r="G56" s="93">
        <f t="shared" si="29"/>
        <v>156.17455127550153</v>
      </c>
      <c r="H56" s="93">
        <f t="shared" si="29"/>
        <v>173.63506011375637</v>
      </c>
      <c r="I56" s="93">
        <f t="shared" si="29"/>
        <v>174.6050883825483</v>
      </c>
      <c r="J56" s="93">
        <f t="shared" si="29"/>
        <v>172.66503184496443</v>
      </c>
      <c r="K56" s="93">
        <f t="shared" si="29"/>
        <v>163.93477742583701</v>
      </c>
      <c r="L56" s="93">
        <f t="shared" si="29"/>
        <v>163.93477742583701</v>
      </c>
      <c r="M56" s="93">
        <f>M31*M$52</f>
        <v>163.93477742583701</v>
      </c>
      <c r="N56" s="142"/>
      <c r="O56" s="142"/>
      <c r="P56" s="92" t="s">
        <v>18</v>
      </c>
      <c r="Q56" s="128">
        <f>SUM(C56:G56)</f>
        <v>824.52402847314465</v>
      </c>
      <c r="R56" s="153">
        <f>Q56/$Q$67</f>
        <v>0.1618739287754713</v>
      </c>
      <c r="S56" s="129">
        <f>((H56/C56)^(1/5))-1</f>
        <v>-2.2197777264354457E-3</v>
      </c>
      <c r="T56" s="151"/>
      <c r="U56" s="92" t="s">
        <v>18</v>
      </c>
      <c r="V56" s="128">
        <f>SUM(I56:M56)</f>
        <v>839.07445250502383</v>
      </c>
      <c r="W56" s="153">
        <f>V56/$V$67</f>
        <v>0.15504570711597063</v>
      </c>
      <c r="X56" s="129">
        <f>((M56/H56)^(1/5))-1</f>
        <v>-1.1431575453147769E-2</v>
      </c>
    </row>
    <row r="57" spans="2:24">
      <c r="B57" s="94" t="s">
        <v>19</v>
      </c>
      <c r="C57" s="95">
        <f t="shared" ref="C57:M74" si="30">C32*C$52</f>
        <v>62.081809202683843</v>
      </c>
      <c r="D57" s="95">
        <f t="shared" si="30"/>
        <v>52.381526514764495</v>
      </c>
      <c r="E57" s="95">
        <f t="shared" si="30"/>
        <v>54.321583052348359</v>
      </c>
      <c r="F57" s="95">
        <f t="shared" si="30"/>
        <v>53.351554783556431</v>
      </c>
      <c r="G57" s="95">
        <f t="shared" si="30"/>
        <v>55.291611321140294</v>
      </c>
      <c r="H57" s="95">
        <f t="shared" si="30"/>
        <v>54.321583052348359</v>
      </c>
      <c r="I57" s="95">
        <f t="shared" si="30"/>
        <v>58.201696127516101</v>
      </c>
      <c r="J57" s="95">
        <f t="shared" si="30"/>
        <v>59.171724396308036</v>
      </c>
      <c r="K57" s="95">
        <f t="shared" si="30"/>
        <v>56.26163958993223</v>
      </c>
      <c r="L57" s="95">
        <f t="shared" si="30"/>
        <v>56.26163958993223</v>
      </c>
      <c r="M57" s="95">
        <f t="shared" si="30"/>
        <v>56.26163958993223</v>
      </c>
      <c r="N57" s="142"/>
      <c r="O57" s="142"/>
      <c r="P57" s="94" t="s">
        <v>19</v>
      </c>
      <c r="Q57" s="106">
        <f t="shared" ref="Q57:Q65" si="31">SUM(C57:G57)</f>
        <v>277.42808487449338</v>
      </c>
      <c r="R57" s="153">
        <f t="shared" ref="R57:R67" si="32">Q57/$Q$67</f>
        <v>5.4465816035040936E-2</v>
      </c>
      <c r="S57" s="130">
        <f t="shared" ref="S57:S65" si="33">((H57/C57)^(1/5))-1</f>
        <v>-2.6352819384831916E-2</v>
      </c>
      <c r="T57" s="151"/>
      <c r="U57" s="94" t="s">
        <v>19</v>
      </c>
      <c r="V57" s="106">
        <f t="shared" ref="V57:V65" si="34">SUM(I57:M57)</f>
        <v>286.15833929362083</v>
      </c>
      <c r="W57" s="153">
        <f t="shared" ref="W57:W67" si="35">V57/$V$67</f>
        <v>5.287685965226744E-2</v>
      </c>
      <c r="X57" s="130">
        <f t="shared" ref="X57:X74" si="36">((M57/H57)^(1/5))-1</f>
        <v>7.0429496933102076E-3</v>
      </c>
    </row>
    <row r="58" spans="2:24">
      <c r="B58" s="94" t="s">
        <v>20</v>
      </c>
      <c r="C58" s="95">
        <f t="shared" si="30"/>
        <v>172.66503184496443</v>
      </c>
      <c r="D58" s="95">
        <f t="shared" si="30"/>
        <v>177.51517318892411</v>
      </c>
      <c r="E58" s="95">
        <f t="shared" si="30"/>
        <v>161.02469261946121</v>
      </c>
      <c r="F58" s="95">
        <f t="shared" si="30"/>
        <v>163.93477742583701</v>
      </c>
      <c r="G58" s="95">
        <f t="shared" si="30"/>
        <v>169.75494703858863</v>
      </c>
      <c r="H58" s="95">
        <f t="shared" si="30"/>
        <v>186.24542760805153</v>
      </c>
      <c r="I58" s="95">
        <f t="shared" si="30"/>
        <v>214.37624740301766</v>
      </c>
      <c r="J58" s="95">
        <f t="shared" si="30"/>
        <v>208.55607779026604</v>
      </c>
      <c r="K58" s="95">
        <f t="shared" si="30"/>
        <v>203.70593644630637</v>
      </c>
      <c r="L58" s="95">
        <f t="shared" si="30"/>
        <v>201.7658799087225</v>
      </c>
      <c r="M58" s="95">
        <f t="shared" si="30"/>
        <v>199.82582337113863</v>
      </c>
      <c r="N58" s="142"/>
      <c r="O58" s="142"/>
      <c r="P58" s="94" t="s">
        <v>20</v>
      </c>
      <c r="Q58" s="106">
        <f t="shared" si="31"/>
        <v>844.8946221177755</v>
      </c>
      <c r="R58" s="153">
        <f t="shared" si="32"/>
        <v>0.16587316701580654</v>
      </c>
      <c r="S58" s="130">
        <f t="shared" si="33"/>
        <v>1.5257590811880162E-2</v>
      </c>
      <c r="T58" s="151"/>
      <c r="U58" s="94" t="s">
        <v>20</v>
      </c>
      <c r="V58" s="106">
        <f t="shared" si="34"/>
        <v>1028.229964919451</v>
      </c>
      <c r="W58" s="153">
        <f t="shared" si="35"/>
        <v>0.18999820756407959</v>
      </c>
      <c r="X58" s="130">
        <f t="shared" si="36"/>
        <v>1.4175694961439778E-2</v>
      </c>
    </row>
    <row r="59" spans="2:24">
      <c r="B59" s="94" t="s">
        <v>21</v>
      </c>
      <c r="C59" s="95">
        <f t="shared" si="30"/>
        <v>90.212628997649958</v>
      </c>
      <c r="D59" s="95">
        <f t="shared" si="30"/>
        <v>116.4033922550322</v>
      </c>
      <c r="E59" s="95">
        <f t="shared" si="30"/>
        <v>92.152685535233829</v>
      </c>
      <c r="F59" s="95">
        <f t="shared" si="30"/>
        <v>84.392459384898345</v>
      </c>
      <c r="G59" s="95">
        <f t="shared" si="30"/>
        <v>89.242600728858022</v>
      </c>
      <c r="H59" s="95">
        <f t="shared" si="30"/>
        <v>90.212628997649958</v>
      </c>
      <c r="I59" s="95">
        <f t="shared" si="30"/>
        <v>98.942883416777377</v>
      </c>
      <c r="J59" s="95">
        <f t="shared" si="30"/>
        <v>97.972855147985442</v>
      </c>
      <c r="K59" s="95">
        <f t="shared" si="30"/>
        <v>94.0927420728177</v>
      </c>
      <c r="L59" s="95">
        <f t="shared" si="30"/>
        <v>96.032798610401571</v>
      </c>
      <c r="M59" s="95">
        <f t="shared" si="30"/>
        <v>95.062770341609635</v>
      </c>
      <c r="N59" s="142"/>
      <c r="O59" s="142"/>
      <c r="P59" s="94" t="s">
        <v>21</v>
      </c>
      <c r="Q59" s="106">
        <f t="shared" si="31"/>
        <v>472.40376690167238</v>
      </c>
      <c r="R59" s="153">
        <f t="shared" si="32"/>
        <v>9.2744239192534758E-2</v>
      </c>
      <c r="S59" s="130">
        <f t="shared" si="33"/>
        <v>0</v>
      </c>
      <c r="T59" s="151"/>
      <c r="U59" s="94" t="s">
        <v>21</v>
      </c>
      <c r="V59" s="106">
        <f t="shared" si="34"/>
        <v>482.10404958959174</v>
      </c>
      <c r="W59" s="153">
        <f t="shared" si="35"/>
        <v>8.9084065244667526E-2</v>
      </c>
      <c r="X59" s="130">
        <f t="shared" si="36"/>
        <v>1.0528637209741287E-2</v>
      </c>
    </row>
    <row r="60" spans="2:24">
      <c r="B60" s="94" t="s">
        <v>22</v>
      </c>
      <c r="C60" s="95">
        <f t="shared" si="30"/>
        <v>114.46333571744833</v>
      </c>
      <c r="D60" s="95">
        <f t="shared" si="30"/>
        <v>121.25353359899188</v>
      </c>
      <c r="E60" s="95">
        <f t="shared" si="30"/>
        <v>108.64316610469672</v>
      </c>
      <c r="F60" s="95">
        <f t="shared" si="30"/>
        <v>116.4033922550322</v>
      </c>
      <c r="G60" s="95">
        <f t="shared" si="30"/>
        <v>122.22356186778381</v>
      </c>
      <c r="H60" s="95">
        <f t="shared" si="30"/>
        <v>126.10367494295156</v>
      </c>
      <c r="I60" s="95">
        <f t="shared" si="30"/>
        <v>149.38435339395801</v>
      </c>
      <c r="J60" s="95">
        <f t="shared" si="30"/>
        <v>161.99472088825314</v>
      </c>
      <c r="K60" s="95">
        <f t="shared" si="30"/>
        <v>161.99472088825314</v>
      </c>
      <c r="L60" s="95">
        <f t="shared" si="30"/>
        <v>161.99472088825314</v>
      </c>
      <c r="M60" s="95">
        <f t="shared" si="30"/>
        <v>161.99472088825314</v>
      </c>
      <c r="N60" s="142"/>
      <c r="O60" s="142"/>
      <c r="P60" s="94" t="s">
        <v>22</v>
      </c>
      <c r="Q60" s="106">
        <f t="shared" si="31"/>
        <v>582.98698954395286</v>
      </c>
      <c r="R60" s="153">
        <f t="shared" si="32"/>
        <v>0.11445438964006853</v>
      </c>
      <c r="S60" s="130">
        <f t="shared" si="33"/>
        <v>1.9558780116283092E-2</v>
      </c>
      <c r="T60" s="151"/>
      <c r="U60" s="94" t="s">
        <v>22</v>
      </c>
      <c r="V60" s="106">
        <f t="shared" si="34"/>
        <v>797.36323694697057</v>
      </c>
      <c r="W60" s="153">
        <f t="shared" si="35"/>
        <v>0.14733823265818249</v>
      </c>
      <c r="X60" s="130">
        <f t="shared" si="36"/>
        <v>5.1367683603317005E-2</v>
      </c>
    </row>
    <row r="61" spans="2:24">
      <c r="B61" s="94" t="s">
        <v>23</v>
      </c>
      <c r="C61" s="95">
        <f t="shared" si="30"/>
        <v>119.31347706140801</v>
      </c>
      <c r="D61" s="95">
        <f t="shared" si="30"/>
        <v>106.70310956711286</v>
      </c>
      <c r="E61" s="95">
        <f t="shared" si="30"/>
        <v>121.25353359899188</v>
      </c>
      <c r="F61" s="95">
        <f t="shared" si="30"/>
        <v>119.31347706140801</v>
      </c>
      <c r="G61" s="95">
        <f t="shared" si="30"/>
        <v>138.71404243724672</v>
      </c>
      <c r="H61" s="95">
        <f t="shared" si="30"/>
        <v>107.6731378359048</v>
      </c>
      <c r="I61" s="95">
        <f t="shared" si="30"/>
        <v>108.64316610469672</v>
      </c>
      <c r="J61" s="95">
        <f t="shared" si="30"/>
        <v>107.6731378359048</v>
      </c>
      <c r="K61" s="95">
        <f t="shared" si="30"/>
        <v>104.76305302952899</v>
      </c>
      <c r="L61" s="95">
        <f t="shared" si="30"/>
        <v>103.79302476073705</v>
      </c>
      <c r="M61" s="95">
        <f t="shared" si="30"/>
        <v>102.82299649194512</v>
      </c>
      <c r="N61" s="142"/>
      <c r="O61" s="142"/>
      <c r="P61" s="94" t="s">
        <v>23</v>
      </c>
      <c r="Q61" s="106">
        <f t="shared" si="31"/>
        <v>605.2976397261674</v>
      </c>
      <c r="R61" s="153">
        <f t="shared" si="32"/>
        <v>0.11883450771281659</v>
      </c>
      <c r="S61" s="130">
        <f t="shared" si="33"/>
        <v>-2.03215082745134E-2</v>
      </c>
      <c r="T61" s="151"/>
      <c r="U61" s="94" t="s">
        <v>23</v>
      </c>
      <c r="V61" s="106">
        <f t="shared" si="34"/>
        <v>527.69537822281268</v>
      </c>
      <c r="W61" s="153">
        <f t="shared" si="35"/>
        <v>9.7508514070621999E-2</v>
      </c>
      <c r="X61" s="130">
        <f t="shared" si="36"/>
        <v>-9.1758638904724243E-3</v>
      </c>
    </row>
    <row r="62" spans="2:24">
      <c r="B62" s="94" t="s">
        <v>24</v>
      </c>
      <c r="C62" s="95">
        <f t="shared" si="30"/>
        <v>70.812063621811262</v>
      </c>
      <c r="D62" s="95">
        <f t="shared" si="30"/>
        <v>74.692176696979004</v>
      </c>
      <c r="E62" s="95">
        <f t="shared" si="30"/>
        <v>72.752120159395133</v>
      </c>
      <c r="F62" s="95">
        <f t="shared" si="30"/>
        <v>64.021865740267714</v>
      </c>
      <c r="G62" s="95">
        <f t="shared" si="30"/>
        <v>64.021865740267714</v>
      </c>
      <c r="H62" s="95">
        <f t="shared" si="30"/>
        <v>64.991894009059649</v>
      </c>
      <c r="I62" s="95">
        <f t="shared" si="30"/>
        <v>58.201696127516101</v>
      </c>
      <c r="J62" s="95">
        <f t="shared" si="30"/>
        <v>57.231667858724165</v>
      </c>
      <c r="K62" s="95">
        <f t="shared" si="30"/>
        <v>57.231667858724165</v>
      </c>
      <c r="L62" s="95">
        <f t="shared" si="30"/>
        <v>58.201696127516101</v>
      </c>
      <c r="M62" s="95">
        <f t="shared" si="30"/>
        <v>58.201696127516101</v>
      </c>
      <c r="N62" s="142"/>
      <c r="O62" s="142"/>
      <c r="P62" s="94" t="s">
        <v>24</v>
      </c>
      <c r="Q62" s="106">
        <f t="shared" si="31"/>
        <v>346.30009195872083</v>
      </c>
      <c r="R62" s="153">
        <f t="shared" si="32"/>
        <v>6.798705008569797E-2</v>
      </c>
      <c r="S62" s="130">
        <f t="shared" si="33"/>
        <v>-1.7007082997215428E-2</v>
      </c>
      <c r="T62" s="151"/>
      <c r="U62" s="94" t="s">
        <v>24</v>
      </c>
      <c r="V62" s="106">
        <f t="shared" si="34"/>
        <v>289.06842409999661</v>
      </c>
      <c r="W62" s="153">
        <f t="shared" si="35"/>
        <v>5.3414590428392188E-2</v>
      </c>
      <c r="X62" s="130">
        <f t="shared" si="36"/>
        <v>-2.1827859284026752E-2</v>
      </c>
    </row>
    <row r="63" spans="2:24">
      <c r="B63" s="94" t="s">
        <v>25</v>
      </c>
      <c r="C63" s="95">
        <f t="shared" si="30"/>
        <v>40.741187289261269</v>
      </c>
      <c r="D63" s="95">
        <f t="shared" si="30"/>
        <v>54.321583052348359</v>
      </c>
      <c r="E63" s="95">
        <f t="shared" si="30"/>
        <v>43.651272095637076</v>
      </c>
      <c r="F63" s="95">
        <f t="shared" si="30"/>
        <v>42.68124382684514</v>
      </c>
      <c r="G63" s="95">
        <f t="shared" si="30"/>
        <v>44.621300364429011</v>
      </c>
      <c r="H63" s="95">
        <f t="shared" si="30"/>
        <v>46.561356902012882</v>
      </c>
      <c r="I63" s="95">
        <f t="shared" si="30"/>
        <v>49.471441708388689</v>
      </c>
      <c r="J63" s="95">
        <f t="shared" si="30"/>
        <v>50.441469977180624</v>
      </c>
      <c r="K63" s="95">
        <f t="shared" si="30"/>
        <v>48.501413439596753</v>
      </c>
      <c r="L63" s="95">
        <f t="shared" si="30"/>
        <v>49.471441708388689</v>
      </c>
      <c r="M63" s="95">
        <f t="shared" si="30"/>
        <v>49.471441708388689</v>
      </c>
      <c r="N63" s="142"/>
      <c r="O63" s="142"/>
      <c r="P63" s="94" t="s">
        <v>25</v>
      </c>
      <c r="Q63" s="106">
        <f t="shared" si="31"/>
        <v>226.01658662852083</v>
      </c>
      <c r="R63" s="153">
        <f t="shared" si="32"/>
        <v>4.437250047609978E-2</v>
      </c>
      <c r="S63" s="130">
        <f t="shared" si="33"/>
        <v>2.7066087089351765E-2</v>
      </c>
      <c r="T63" s="151"/>
      <c r="U63" s="94" t="s">
        <v>25</v>
      </c>
      <c r="V63" s="106">
        <f t="shared" si="34"/>
        <v>247.35720854194344</v>
      </c>
      <c r="W63" s="153">
        <f t="shared" si="35"/>
        <v>4.5707115970604055E-2</v>
      </c>
      <c r="X63" s="130">
        <f t="shared" si="36"/>
        <v>1.2198729249942586E-2</v>
      </c>
    </row>
    <row r="64" spans="2:24">
      <c r="B64" s="94" t="s">
        <v>26</v>
      </c>
      <c r="C64" s="95">
        <f t="shared" si="30"/>
        <v>154.23449473791769</v>
      </c>
      <c r="D64" s="95">
        <f t="shared" si="30"/>
        <v>148.41432512516607</v>
      </c>
      <c r="E64" s="95">
        <f t="shared" si="30"/>
        <v>141.62412724362252</v>
      </c>
      <c r="F64" s="95">
        <f t="shared" si="30"/>
        <v>151.32440993154188</v>
      </c>
      <c r="G64" s="95">
        <f t="shared" si="30"/>
        <v>161.02469261946121</v>
      </c>
      <c r="H64" s="95">
        <f t="shared" si="30"/>
        <v>122.22356186778381</v>
      </c>
      <c r="I64" s="95">
        <f t="shared" si="30"/>
        <v>113.4933074486564</v>
      </c>
      <c r="J64" s="95">
        <f t="shared" si="30"/>
        <v>109.61319437348865</v>
      </c>
      <c r="K64" s="95">
        <f t="shared" si="30"/>
        <v>110.58322264228059</v>
      </c>
      <c r="L64" s="95">
        <f t="shared" si="30"/>
        <v>110.58322264228059</v>
      </c>
      <c r="M64" s="95">
        <f t="shared" si="30"/>
        <v>108.64316610469672</v>
      </c>
      <c r="N64" s="142"/>
      <c r="O64" s="142"/>
      <c r="P64" s="94" t="s">
        <v>26</v>
      </c>
      <c r="Q64" s="106">
        <f t="shared" si="31"/>
        <v>756.62204965770945</v>
      </c>
      <c r="R64" s="153">
        <f t="shared" si="32"/>
        <v>0.14854313464102079</v>
      </c>
      <c r="S64" s="130">
        <f t="shared" si="33"/>
        <v>-4.5458786890395619E-2</v>
      </c>
      <c r="T64" s="151"/>
      <c r="U64" s="94" t="s">
        <v>26</v>
      </c>
      <c r="V64" s="106">
        <f t="shared" si="34"/>
        <v>552.91611321140294</v>
      </c>
      <c r="W64" s="153">
        <f t="shared" si="35"/>
        <v>0.10216884746370318</v>
      </c>
      <c r="X64" s="130">
        <f t="shared" si="36"/>
        <v>-2.3281316138826114E-2</v>
      </c>
    </row>
    <row r="65" spans="2:24">
      <c r="B65" s="94" t="s">
        <v>27</v>
      </c>
      <c r="C65" s="95">
        <f t="shared" si="30"/>
        <v>33.950989407717728</v>
      </c>
      <c r="D65" s="95">
        <f t="shared" si="30"/>
        <v>25.220734988590312</v>
      </c>
      <c r="E65" s="95">
        <f t="shared" si="30"/>
        <v>32.010932870133857</v>
      </c>
      <c r="F65" s="95">
        <f t="shared" si="30"/>
        <v>34.921017676509663</v>
      </c>
      <c r="G65" s="95">
        <f t="shared" si="30"/>
        <v>31.040904601341921</v>
      </c>
      <c r="H65" s="95">
        <f t="shared" si="30"/>
        <v>32.980961138925792</v>
      </c>
      <c r="I65" s="95">
        <f t="shared" si="30"/>
        <v>75.66220496577094</v>
      </c>
      <c r="J65" s="95">
        <f t="shared" si="30"/>
        <v>73.722148428187069</v>
      </c>
      <c r="K65" s="95">
        <f t="shared" si="30"/>
        <v>71.782091890603198</v>
      </c>
      <c r="L65" s="95">
        <f t="shared" si="30"/>
        <v>70.812063621811262</v>
      </c>
      <c r="M65" s="95">
        <f t="shared" si="30"/>
        <v>69.842035353019327</v>
      </c>
      <c r="N65" s="142"/>
      <c r="O65" s="142"/>
      <c r="P65" s="94" t="s">
        <v>27</v>
      </c>
      <c r="Q65" s="106">
        <f t="shared" si="31"/>
        <v>157.14457954429349</v>
      </c>
      <c r="R65" s="153">
        <f t="shared" si="32"/>
        <v>3.0851266425442777E-2</v>
      </c>
      <c r="S65" s="130">
        <f t="shared" si="33"/>
        <v>-5.7807342585131094E-3</v>
      </c>
      <c r="T65" s="151"/>
      <c r="U65" s="94" t="s">
        <v>27</v>
      </c>
      <c r="V65" s="106">
        <f t="shared" si="34"/>
        <v>361.8205442593918</v>
      </c>
      <c r="W65" s="153">
        <f t="shared" si="35"/>
        <v>6.6857859831511032E-2</v>
      </c>
      <c r="X65" s="130">
        <f t="shared" si="36"/>
        <v>0.16190525490599006</v>
      </c>
    </row>
    <row r="66" spans="2:24">
      <c r="B66" s="94"/>
      <c r="C66" s="95"/>
      <c r="D66" s="95"/>
      <c r="E66" s="95"/>
      <c r="F66" s="95"/>
      <c r="G66" s="95"/>
      <c r="H66" s="95"/>
      <c r="I66" s="95"/>
      <c r="J66" s="95"/>
      <c r="K66" s="95"/>
      <c r="L66" s="95"/>
      <c r="M66" s="95"/>
      <c r="N66" s="142"/>
      <c r="O66" s="142"/>
      <c r="P66" s="94"/>
      <c r="Q66" s="106"/>
      <c r="R66" s="153"/>
      <c r="S66" s="130"/>
      <c r="T66" s="151"/>
      <c r="U66" s="94"/>
      <c r="V66" s="106"/>
      <c r="W66" s="153"/>
      <c r="X66" s="130"/>
    </row>
    <row r="67" spans="2:24">
      <c r="B67" s="94" t="s">
        <v>28</v>
      </c>
      <c r="C67" s="96">
        <f t="shared" si="30"/>
        <v>1034.0501345322027</v>
      </c>
      <c r="D67" s="96">
        <f t="shared" si="30"/>
        <v>1044.720445488914</v>
      </c>
      <c r="E67" s="96">
        <f t="shared" si="30"/>
        <v>989.42883416777374</v>
      </c>
      <c r="F67" s="96">
        <f t="shared" si="30"/>
        <v>993.30894724294149</v>
      </c>
      <c r="G67" s="96">
        <f t="shared" si="30"/>
        <v>1032.1100779946189</v>
      </c>
      <c r="H67" s="96">
        <f t="shared" si="30"/>
        <v>1004.9492864684447</v>
      </c>
      <c r="I67" s="96">
        <f t="shared" si="30"/>
        <v>1100.9820850788462</v>
      </c>
      <c r="J67" s="96">
        <f t="shared" si="30"/>
        <v>1099.0420285412624</v>
      </c>
      <c r="K67" s="96">
        <f t="shared" si="30"/>
        <v>1072.8512652838801</v>
      </c>
      <c r="L67" s="96">
        <f t="shared" si="30"/>
        <v>1072.8512652838801</v>
      </c>
      <c r="M67" s="96">
        <f t="shared" si="30"/>
        <v>1066.0610674023367</v>
      </c>
      <c r="N67" s="143"/>
      <c r="O67" s="143"/>
      <c r="P67" s="94" t="s">
        <v>28</v>
      </c>
      <c r="Q67" s="106">
        <f>SUM(C67:G67)</f>
        <v>5093.618439426451</v>
      </c>
      <c r="R67" s="153">
        <f t="shared" si="32"/>
        <v>1</v>
      </c>
      <c r="S67" s="130">
        <f t="shared" ref="S67" si="37">((H67/C67)^(1/5))-1</f>
        <v>-5.6929696628132964E-3</v>
      </c>
      <c r="T67" s="151"/>
      <c r="U67" s="94" t="s">
        <v>28</v>
      </c>
      <c r="V67" s="106">
        <f>SUM(I67:M67)</f>
        <v>5411.7877115902047</v>
      </c>
      <c r="W67" s="153">
        <f t="shared" si="35"/>
        <v>1</v>
      </c>
      <c r="X67" s="130">
        <f>((M67/H67)^(1/5))-1</f>
        <v>1.1876680591268229E-2</v>
      </c>
    </row>
    <row r="68" spans="2:24">
      <c r="B68" s="94" t="s">
        <v>38</v>
      </c>
      <c r="C68" s="95">
        <f t="shared" si="30"/>
        <v>0</v>
      </c>
      <c r="D68" s="95">
        <f t="shared" si="30"/>
        <v>0</v>
      </c>
      <c r="E68" s="95">
        <f t="shared" si="30"/>
        <v>0</v>
      </c>
      <c r="F68" s="95">
        <f t="shared" si="30"/>
        <v>0</v>
      </c>
      <c r="G68" s="95">
        <f t="shared" si="30"/>
        <v>0</v>
      </c>
      <c r="H68" s="95">
        <f t="shared" si="30"/>
        <v>0</v>
      </c>
      <c r="I68" s="95">
        <f t="shared" si="30"/>
        <v>0</v>
      </c>
      <c r="J68" s="95">
        <f t="shared" si="30"/>
        <v>0</v>
      </c>
      <c r="K68" s="95">
        <f t="shared" si="30"/>
        <v>-30.070876332549986</v>
      </c>
      <c r="L68" s="95">
        <f t="shared" si="30"/>
        <v>-31.040904601341921</v>
      </c>
      <c r="M68" s="95">
        <f t="shared" si="30"/>
        <v>-31.040904601341921</v>
      </c>
      <c r="N68" s="142"/>
      <c r="O68" s="142"/>
      <c r="P68" s="94"/>
      <c r="Q68" s="104"/>
      <c r="R68" s="104"/>
      <c r="S68" s="130"/>
      <c r="T68" s="151"/>
      <c r="U68" s="94" t="s">
        <v>38</v>
      </c>
      <c r="V68" s="106">
        <f>SUM(I68:M68)</f>
        <v>-92.152685535233829</v>
      </c>
      <c r="W68" s="106"/>
      <c r="X68" s="130"/>
    </row>
    <row r="69" spans="2:24">
      <c r="B69" s="94" t="s">
        <v>222</v>
      </c>
      <c r="C69" s="95">
        <f t="shared" si="30"/>
        <v>0</v>
      </c>
      <c r="D69" s="95">
        <f t="shared" si="30"/>
        <v>0</v>
      </c>
      <c r="E69" s="95">
        <f t="shared" si="30"/>
        <v>0</v>
      </c>
      <c r="F69" s="95">
        <f t="shared" si="30"/>
        <v>0</v>
      </c>
      <c r="G69" s="95">
        <f t="shared" si="30"/>
        <v>0</v>
      </c>
      <c r="H69" s="95">
        <f t="shared" si="30"/>
        <v>0</v>
      </c>
      <c r="I69" s="95">
        <f t="shared" si="30"/>
        <v>4.8501413439596757</v>
      </c>
      <c r="J69" s="95">
        <f t="shared" si="30"/>
        <v>4.8501413439596757</v>
      </c>
      <c r="K69" s="95">
        <f t="shared" si="30"/>
        <v>4.8501413439596757</v>
      </c>
      <c r="L69" s="95">
        <f t="shared" si="30"/>
        <v>4.8501413439596757</v>
      </c>
      <c r="M69" s="95">
        <f t="shared" si="30"/>
        <v>4.8501413439596757</v>
      </c>
      <c r="N69" s="142"/>
      <c r="O69" s="142"/>
      <c r="P69" s="94"/>
      <c r="Q69" s="104"/>
      <c r="R69" s="104"/>
      <c r="S69" s="130"/>
      <c r="T69" s="151"/>
      <c r="U69" s="94" t="s">
        <v>222</v>
      </c>
      <c r="V69" s="106">
        <f>SUM(I69:M69)</f>
        <v>24.25070671979838</v>
      </c>
      <c r="W69" s="106"/>
      <c r="X69" s="130"/>
    </row>
    <row r="70" spans="2:24">
      <c r="B70" s="94" t="s">
        <v>39</v>
      </c>
      <c r="C70" s="95">
        <f t="shared" si="30"/>
        <v>0</v>
      </c>
      <c r="D70" s="95">
        <f t="shared" si="30"/>
        <v>0</v>
      </c>
      <c r="E70" s="95">
        <f t="shared" si="30"/>
        <v>0</v>
      </c>
      <c r="F70" s="95">
        <f t="shared" si="30"/>
        <v>0</v>
      </c>
      <c r="G70" s="95">
        <f t="shared" si="30"/>
        <v>0</v>
      </c>
      <c r="H70" s="95">
        <f t="shared" si="30"/>
        <v>0</v>
      </c>
      <c r="I70" s="95">
        <f t="shared" si="30"/>
        <v>-2.9100848063758051</v>
      </c>
      <c r="J70" s="95">
        <f t="shared" si="30"/>
        <v>-4.8501413439596757</v>
      </c>
      <c r="K70" s="95">
        <f t="shared" si="30"/>
        <v>-7.7602261503354804</v>
      </c>
      <c r="L70" s="95">
        <f t="shared" si="30"/>
        <v>-10.670310956711285</v>
      </c>
      <c r="M70" s="95">
        <f t="shared" si="30"/>
        <v>-13.58039576308709</v>
      </c>
      <c r="N70" s="142"/>
      <c r="O70" s="142"/>
      <c r="P70" s="94"/>
      <c r="Q70" s="104"/>
      <c r="R70" s="104"/>
      <c r="S70" s="130"/>
      <c r="T70" s="151"/>
      <c r="U70" s="94" t="s">
        <v>39</v>
      </c>
      <c r="V70" s="106">
        <f>SUM(I70:M70)</f>
        <v>-39.771159020469334</v>
      </c>
      <c r="W70" s="106"/>
      <c r="X70" s="130"/>
    </row>
    <row r="71" spans="2:24">
      <c r="B71" s="94" t="s">
        <v>223</v>
      </c>
      <c r="C71" s="97">
        <f t="shared" si="30"/>
        <v>1034.0501345322027</v>
      </c>
      <c r="D71" s="97">
        <f t="shared" si="30"/>
        <v>1044.720445488914</v>
      </c>
      <c r="E71" s="97">
        <f t="shared" si="30"/>
        <v>989.42883416777374</v>
      </c>
      <c r="F71" s="97">
        <f t="shared" si="30"/>
        <v>993.30894724294149</v>
      </c>
      <c r="G71" s="97">
        <f t="shared" si="30"/>
        <v>1032.1100779946189</v>
      </c>
      <c r="H71" s="97">
        <f t="shared" si="30"/>
        <v>1004.9492864684447</v>
      </c>
      <c r="I71" s="97">
        <f t="shared" si="30"/>
        <v>1102.9221416164301</v>
      </c>
      <c r="J71" s="97">
        <f t="shared" si="30"/>
        <v>1099.0420285412624</v>
      </c>
      <c r="K71" s="97">
        <f t="shared" si="30"/>
        <v>1039.8703041449544</v>
      </c>
      <c r="L71" s="97">
        <f t="shared" si="30"/>
        <v>1035.9901910697865</v>
      </c>
      <c r="M71" s="97">
        <f t="shared" si="30"/>
        <v>1026.2899083818672</v>
      </c>
      <c r="N71" s="148"/>
      <c r="O71" s="148"/>
      <c r="P71" s="94"/>
      <c r="Q71" s="104"/>
      <c r="R71" s="104"/>
      <c r="S71" s="130"/>
      <c r="T71" s="151"/>
      <c r="U71" s="94" t="s">
        <v>223</v>
      </c>
      <c r="V71" s="106">
        <f>SUM(I71:M71)</f>
        <v>5304.1145737543011</v>
      </c>
      <c r="W71" s="106"/>
      <c r="X71" s="130">
        <f>((M71/H71)^(1/5))-1</f>
        <v>4.2114813867955014E-3</v>
      </c>
    </row>
    <row r="72" spans="2:24">
      <c r="B72" s="94"/>
      <c r="C72" s="95"/>
      <c r="D72" s="95"/>
      <c r="E72" s="95"/>
      <c r="F72" s="95"/>
      <c r="G72" s="95"/>
      <c r="H72" s="95"/>
      <c r="I72" s="95"/>
      <c r="J72" s="95"/>
      <c r="K72" s="95"/>
      <c r="L72" s="95"/>
      <c r="M72" s="95"/>
      <c r="N72" s="142"/>
      <c r="O72" s="142"/>
      <c r="P72" s="94"/>
      <c r="Q72" s="104"/>
      <c r="R72" s="104"/>
      <c r="S72" s="130"/>
      <c r="T72" s="151"/>
      <c r="U72" s="94"/>
      <c r="V72" s="104"/>
      <c r="W72" s="104"/>
      <c r="X72" s="130"/>
    </row>
    <row r="73" spans="2:24">
      <c r="B73" s="94" t="s">
        <v>207</v>
      </c>
      <c r="C73" s="134">
        <f>C48</f>
        <v>65.900000000000006</v>
      </c>
      <c r="D73" s="134">
        <f t="shared" ref="D73:M73" si="38">D48</f>
        <v>66.099999999999994</v>
      </c>
      <c r="E73" s="134">
        <f t="shared" si="38"/>
        <v>66.099999999999994</v>
      </c>
      <c r="F73" s="134">
        <f t="shared" si="38"/>
        <v>70.099999999999994</v>
      </c>
      <c r="G73" s="134">
        <f t="shared" si="38"/>
        <v>69.2</v>
      </c>
      <c r="H73" s="134">
        <f t="shared" si="38"/>
        <v>69.099999999999994</v>
      </c>
      <c r="I73" s="134">
        <f t="shared" si="38"/>
        <v>69.2</v>
      </c>
      <c r="J73" s="134">
        <f t="shared" si="38"/>
        <v>70.099999999999994</v>
      </c>
      <c r="K73" s="134">
        <f t="shared" si="38"/>
        <v>71.099999999999994</v>
      </c>
      <c r="L73" s="134">
        <f t="shared" si="38"/>
        <v>71.8</v>
      </c>
      <c r="M73" s="134">
        <f t="shared" si="38"/>
        <v>72.599999999999994</v>
      </c>
      <c r="N73" s="149"/>
      <c r="O73" s="149"/>
      <c r="P73" s="94" t="s">
        <v>207</v>
      </c>
      <c r="Q73" s="106">
        <f>SUM(C73:H73)</f>
        <v>406.5</v>
      </c>
      <c r="R73" s="106"/>
      <c r="S73" s="130">
        <f t="shared" ref="S73:S74" si="39">((H73/C73)^(1/5))-1</f>
        <v>9.5283664220924269E-3</v>
      </c>
      <c r="T73" s="151"/>
      <c r="U73" s="94" t="s">
        <v>207</v>
      </c>
      <c r="V73" s="106">
        <f>SUM(I73:M73)</f>
        <v>354.79999999999995</v>
      </c>
      <c r="W73" s="106"/>
      <c r="X73" s="130">
        <f t="shared" si="36"/>
        <v>9.9310267870480473E-3</v>
      </c>
    </row>
    <row r="74" spans="2:24">
      <c r="B74" s="98" t="s">
        <v>224</v>
      </c>
      <c r="C74" s="167">
        <f t="shared" si="30"/>
        <v>15.691200827499282</v>
      </c>
      <c r="D74" s="167">
        <f t="shared" si="30"/>
        <v>15.805150461254375</v>
      </c>
      <c r="E74" s="167">
        <f t="shared" si="30"/>
        <v>14.968666175004143</v>
      </c>
      <c r="F74" s="167">
        <f t="shared" si="30"/>
        <v>14.169885124720992</v>
      </c>
      <c r="G74" s="167">
        <f t="shared" si="30"/>
        <v>14.914885520153451</v>
      </c>
      <c r="H74" s="167">
        <f t="shared" si="30"/>
        <v>14.54340501401512</v>
      </c>
      <c r="I74" s="167">
        <f t="shared" si="30"/>
        <v>15.938181237231648</v>
      </c>
      <c r="J74" s="167">
        <f t="shared" si="30"/>
        <v>15.678202974911022</v>
      </c>
      <c r="K74" s="167">
        <f t="shared" si="30"/>
        <v>14.625461380379107</v>
      </c>
      <c r="L74" s="167">
        <f t="shared" si="30"/>
        <v>14.42883274470455</v>
      </c>
      <c r="M74" s="167">
        <f t="shared" si="30"/>
        <v>14.136224633359054</v>
      </c>
      <c r="N74" s="145"/>
      <c r="O74" s="145"/>
      <c r="P74" s="98" t="s">
        <v>224</v>
      </c>
      <c r="Q74" s="107">
        <f>Q67/Q73</f>
        <v>12.530426665255723</v>
      </c>
      <c r="R74" s="107"/>
      <c r="S74" s="131">
        <f t="shared" si="39"/>
        <v>-1.5077670515442954E-2</v>
      </c>
      <c r="T74" s="151"/>
      <c r="U74" s="98" t="s">
        <v>224</v>
      </c>
      <c r="V74" s="107">
        <f>V71/V73</f>
        <v>14.949590117684052</v>
      </c>
      <c r="W74" s="132"/>
      <c r="X74" s="131">
        <f t="shared" si="36"/>
        <v>-5.663302986589458E-3</v>
      </c>
    </row>
    <row r="78" spans="2:24">
      <c r="B78" s="329" t="s">
        <v>445</v>
      </c>
      <c r="C78" s="329"/>
      <c r="D78" s="329"/>
      <c r="E78" s="329"/>
      <c r="F78" s="329"/>
      <c r="G78" s="329"/>
      <c r="H78" s="329"/>
      <c r="I78" s="329"/>
      <c r="J78" s="329"/>
      <c r="K78" s="329"/>
      <c r="L78" s="329"/>
      <c r="M78" s="329"/>
      <c r="N78" s="329"/>
      <c r="O78" s="329"/>
      <c r="P78" s="329"/>
      <c r="Q78" s="329"/>
      <c r="R78" s="329"/>
      <c r="S78" s="329"/>
      <c r="T78" s="329"/>
      <c r="U78" s="329"/>
      <c r="V78" s="329"/>
      <c r="W78" s="329"/>
      <c r="X78" s="329"/>
    </row>
    <row r="80" spans="2:24" ht="15">
      <c r="E80" s="2"/>
    </row>
    <row r="141" spans="3:3">
      <c r="C141" s="31"/>
    </row>
    <row r="142" spans="3:3">
      <c r="C142" s="31"/>
    </row>
    <row r="143" spans="3:3">
      <c r="C143" s="31"/>
    </row>
    <row r="144" spans="3:3">
      <c r="C144" s="31"/>
    </row>
    <row r="145" spans="3:3">
      <c r="C145" s="31"/>
    </row>
    <row r="146" spans="3:3">
      <c r="C146" s="31"/>
    </row>
  </sheetData>
  <mergeCells count="6">
    <mergeCell ref="C54:G54"/>
    <mergeCell ref="I54:M54"/>
    <mergeCell ref="I29:M29"/>
    <mergeCell ref="I4:M4"/>
    <mergeCell ref="C29:G29"/>
    <mergeCell ref="C4:G4"/>
  </mergeCells>
  <pageMargins left="0.7" right="0.7" top="0.75" bottom="0.75" header="0.3" footer="0.3"/>
  <pageSetup paperSize="9" fitToWidth="2" orientation="landscape" r:id="rId1"/>
  <headerFooter>
    <oddHeader>&amp;C&amp;A&amp;D</oddHeader>
  </headerFooter>
  <colBreaks count="1" manualBreakCount="1">
    <brk id="14" min="3" max="73" man="1"/>
  </colBreaks>
</worksheet>
</file>

<file path=xl/worksheets/sheet8.xml><?xml version="1.0" encoding="utf-8"?>
<worksheet xmlns="http://schemas.openxmlformats.org/spreadsheetml/2006/main" xmlns:r="http://schemas.openxmlformats.org/officeDocument/2006/relationships">
  <sheetPr>
    <pageSetUpPr fitToPage="1"/>
  </sheetPr>
  <dimension ref="B1:AA121"/>
  <sheetViews>
    <sheetView showGridLines="0" topLeftCell="A46" zoomScale="70" zoomScaleNormal="70" zoomScaleSheetLayoutView="55" workbookViewId="0">
      <selection activeCell="H58" sqref="H58"/>
    </sheetView>
  </sheetViews>
  <sheetFormatPr defaultRowHeight="12.75"/>
  <cols>
    <col min="1" max="1" width="9.140625" style="19"/>
    <col min="2" max="2" width="33.85546875" style="19" customWidth="1"/>
    <col min="3" max="13" width="10.7109375" style="19" customWidth="1"/>
    <col min="14" max="15" width="9.28515625" style="140" customWidth="1"/>
    <col min="16" max="16" width="30" style="140" customWidth="1"/>
    <col min="17" max="19" width="9.28515625" style="19" customWidth="1"/>
    <col min="20" max="20" width="9.28515625" style="61" customWidth="1"/>
    <col min="21" max="21" width="25.7109375" style="140" customWidth="1"/>
    <col min="22" max="24" width="9.28515625" style="19" customWidth="1"/>
    <col min="25" max="16384" width="9.140625" style="19"/>
  </cols>
  <sheetData>
    <row r="1" spans="2:27">
      <c r="W1" s="43"/>
      <c r="X1" s="43"/>
      <c r="Y1" s="43"/>
    </row>
    <row r="2" spans="2:27">
      <c r="B2" s="261" t="s">
        <v>752</v>
      </c>
      <c r="C2" s="38"/>
      <c r="W2" s="246"/>
      <c r="X2" s="197"/>
      <c r="Y2" s="43"/>
    </row>
    <row r="3" spans="2:27">
      <c r="B3" s="18"/>
    </row>
    <row r="4" spans="2:27">
      <c r="B4" s="84" t="s">
        <v>258</v>
      </c>
      <c r="C4" s="626" t="s">
        <v>30</v>
      </c>
      <c r="D4" s="627"/>
      <c r="E4" s="627"/>
      <c r="F4" s="627"/>
      <c r="G4" s="628"/>
      <c r="H4" s="87" t="s">
        <v>187</v>
      </c>
      <c r="I4" s="626" t="s">
        <v>31</v>
      </c>
      <c r="J4" s="627"/>
      <c r="K4" s="627"/>
      <c r="L4" s="627"/>
      <c r="M4" s="628"/>
      <c r="N4" s="139"/>
      <c r="O4" s="139"/>
      <c r="P4" s="84" t="s">
        <v>263</v>
      </c>
      <c r="Q4" s="84"/>
      <c r="R4" s="84"/>
      <c r="S4" s="84"/>
      <c r="T4" s="138"/>
      <c r="U4" s="84" t="s">
        <v>259</v>
      </c>
      <c r="V4" s="85"/>
      <c r="W4" s="85"/>
      <c r="X4" s="84"/>
    </row>
    <row r="5" spans="2:27" ht="27.75" customHeight="1">
      <c r="B5" s="29" t="s">
        <v>46</v>
      </c>
      <c r="C5" s="75" t="s">
        <v>12</v>
      </c>
      <c r="D5" s="75" t="s">
        <v>13</v>
      </c>
      <c r="E5" s="75" t="s">
        <v>14</v>
      </c>
      <c r="F5" s="75" t="s">
        <v>15</v>
      </c>
      <c r="G5" s="75" t="s">
        <v>16</v>
      </c>
      <c r="H5" s="75" t="s">
        <v>17</v>
      </c>
      <c r="I5" s="75" t="s">
        <v>32</v>
      </c>
      <c r="J5" s="75" t="s">
        <v>33</v>
      </c>
      <c r="K5" s="75" t="s">
        <v>34</v>
      </c>
      <c r="L5" s="75" t="s">
        <v>35</v>
      </c>
      <c r="M5" s="75" t="s">
        <v>36</v>
      </c>
      <c r="N5" s="141"/>
      <c r="O5" s="141"/>
      <c r="P5" s="29" t="s">
        <v>46</v>
      </c>
      <c r="Q5" s="73" t="s">
        <v>226</v>
      </c>
      <c r="R5" s="73" t="s">
        <v>246</v>
      </c>
      <c r="S5" s="73" t="s">
        <v>225</v>
      </c>
      <c r="T5" s="150"/>
      <c r="U5" s="29" t="s">
        <v>46</v>
      </c>
      <c r="V5" s="73" t="s">
        <v>37</v>
      </c>
      <c r="W5" s="73" t="s">
        <v>246</v>
      </c>
      <c r="X5" s="73" t="s">
        <v>206</v>
      </c>
    </row>
    <row r="6" spans="2:27">
      <c r="B6" s="92" t="str">
        <f>B28</f>
        <v>Security Costs (includes police)</v>
      </c>
      <c r="C6" s="102">
        <f>C28*C$24</f>
        <v>160.72840139040059</v>
      </c>
      <c r="D6" s="102">
        <f t="shared" ref="D6:M6" si="0">D28*D$24</f>
        <v>153.91017169340964</v>
      </c>
      <c r="E6" s="102">
        <f t="shared" si="0"/>
        <v>155.53705979424876</v>
      </c>
      <c r="F6" s="102">
        <f t="shared" si="0"/>
        <v>164.2</v>
      </c>
      <c r="G6" s="102">
        <f t="shared" si="0"/>
        <v>167.41780134124502</v>
      </c>
      <c r="H6" s="102">
        <f t="shared" si="0"/>
        <v>163.87390264636551</v>
      </c>
      <c r="I6" s="102">
        <f t="shared" si="0"/>
        <v>173.35171219604291</v>
      </c>
      <c r="J6" s="102">
        <f t="shared" si="0"/>
        <v>171.47401858802786</v>
      </c>
      <c r="K6" s="102">
        <f t="shared" si="0"/>
        <v>164.04385112027492</v>
      </c>
      <c r="L6" s="102">
        <f t="shared" si="0"/>
        <v>159.93467954720586</v>
      </c>
      <c r="M6" s="102">
        <f t="shared" si="0"/>
        <v>162.89691696259356</v>
      </c>
      <c r="N6" s="142"/>
      <c r="O6" s="142"/>
      <c r="P6" s="92" t="str">
        <f>B6</f>
        <v>Security Costs (includes police)</v>
      </c>
      <c r="Q6" s="128">
        <f>SUM(C6:H6)</f>
        <v>965.66733686566943</v>
      </c>
      <c r="R6" s="153">
        <f>Q6/$Q$17</f>
        <v>0.15746641833442626</v>
      </c>
      <c r="S6" s="129">
        <f>((H6/C6)^(1/5))-1</f>
        <v>3.8837730112848412E-3</v>
      </c>
      <c r="T6" s="151"/>
      <c r="U6" s="92" t="str">
        <f>P6</f>
        <v>Security Costs (includes police)</v>
      </c>
      <c r="V6" s="128">
        <f>SUM(I6:M6)</f>
        <v>831.70117841414503</v>
      </c>
      <c r="W6" s="153">
        <f>V6/$V$17</f>
        <v>0.13780319086774731</v>
      </c>
      <c r="X6" s="129">
        <f>((M6/H6)^(1/5))-1</f>
        <v>-1.1952164189857895E-3</v>
      </c>
      <c r="Z6" s="76"/>
      <c r="AA6" s="76"/>
    </row>
    <row r="7" spans="2:27">
      <c r="B7" s="92" t="str">
        <f t="shared" ref="B7:B15" si="1">B29</f>
        <v>Total Operational Staff</v>
      </c>
      <c r="C7" s="103">
        <f>C29*C$24</f>
        <v>56.72767107896491</v>
      </c>
      <c r="D7" s="103">
        <f t="shared" ref="C7:M15" si="2">D29*D$24</f>
        <v>48.818524630455386</v>
      </c>
      <c r="E7" s="103">
        <f t="shared" si="2"/>
        <v>52.57725150100066</v>
      </c>
      <c r="F7" s="103">
        <f t="shared" si="2"/>
        <v>55.5</v>
      </c>
      <c r="G7" s="103">
        <f t="shared" si="2"/>
        <v>66.183638214950307</v>
      </c>
      <c r="H7" s="103">
        <f t="shared" si="2"/>
        <v>76.404231137372989</v>
      </c>
      <c r="I7" s="103">
        <f t="shared" si="2"/>
        <v>74.324546604053396</v>
      </c>
      <c r="J7" s="103">
        <f t="shared" si="2"/>
        <v>71.456841188218007</v>
      </c>
      <c r="K7" s="103">
        <f t="shared" si="2"/>
        <v>79.599337041483622</v>
      </c>
      <c r="L7" s="103">
        <f t="shared" si="2"/>
        <v>70.105097275521146</v>
      </c>
      <c r="M7" s="103">
        <f t="shared" si="2"/>
        <v>71.963476464316315</v>
      </c>
      <c r="N7" s="142"/>
      <c r="O7" s="142"/>
      <c r="P7" s="92" t="str">
        <f t="shared" ref="P7:P21" si="3">B7</f>
        <v>Total Operational Staff</v>
      </c>
      <c r="Q7" s="106">
        <f t="shared" ref="Q7:Q13" si="4">SUM(C7:H7)</f>
        <v>356.21131656274429</v>
      </c>
      <c r="R7" s="153">
        <f t="shared" ref="R7:R17" si="5">Q7/$Q$17</f>
        <v>5.8085551874815559E-2</v>
      </c>
      <c r="S7" s="130">
        <f t="shared" ref="S7:S21" si="6">((H7/C7)^(1/5))-1</f>
        <v>6.1364337811350422E-2</v>
      </c>
      <c r="T7" s="151"/>
      <c r="U7" s="92" t="str">
        <f t="shared" ref="U7:U21" si="7">P7</f>
        <v>Total Operational Staff</v>
      </c>
      <c r="V7" s="106">
        <f t="shared" ref="V7:V14" si="8">SUM(I7:M7)</f>
        <v>367.4492985735925</v>
      </c>
      <c r="W7" s="153">
        <f t="shared" ref="W7:W17" si="9">V7/$V$17</f>
        <v>6.0882065746385938E-2</v>
      </c>
      <c r="X7" s="130">
        <f t="shared" ref="X7:X21" si="10">((M7/H7)^(1/5))-1</f>
        <v>-1.1904446070571062E-2</v>
      </c>
      <c r="Z7" s="76"/>
      <c r="AA7" s="76"/>
    </row>
    <row r="8" spans="2:27">
      <c r="B8" s="92" t="str">
        <f t="shared" si="1"/>
        <v>Facilities Management</v>
      </c>
      <c r="C8" s="103">
        <f>C30*C$24</f>
        <v>155.9101857378603</v>
      </c>
      <c r="D8" s="103">
        <f t="shared" si="2"/>
        <v>161.18295003686666</v>
      </c>
      <c r="E8" s="103">
        <f t="shared" si="2"/>
        <v>150.86140584951369</v>
      </c>
      <c r="F8" s="103">
        <f t="shared" si="2"/>
        <v>161.1</v>
      </c>
      <c r="G8" s="103">
        <f t="shared" si="2"/>
        <v>169.78886626171831</v>
      </c>
      <c r="H8" s="103">
        <f t="shared" si="2"/>
        <v>182.21091811933502</v>
      </c>
      <c r="I8" s="103">
        <f t="shared" si="2"/>
        <v>221.13177787007723</v>
      </c>
      <c r="J8" s="103">
        <f t="shared" si="2"/>
        <v>222.88262376889318</v>
      </c>
      <c r="K8" s="103">
        <f t="shared" si="2"/>
        <v>221.4938074197805</v>
      </c>
      <c r="L8" s="103">
        <f t="shared" si="2"/>
        <v>221.72222290868214</v>
      </c>
      <c r="M8" s="103">
        <f t="shared" si="2"/>
        <v>229.23059764908925</v>
      </c>
      <c r="N8" s="142"/>
      <c r="O8" s="142"/>
      <c r="P8" s="92" t="str">
        <f t="shared" si="3"/>
        <v>Facilities Management</v>
      </c>
      <c r="Q8" s="106">
        <f>SUM(C8:H8)</f>
        <v>981.054326005294</v>
      </c>
      <c r="R8" s="153">
        <f t="shared" si="5"/>
        <v>0.15997549571156078</v>
      </c>
      <c r="S8" s="130">
        <f t="shared" si="6"/>
        <v>3.1668051267887298E-2</v>
      </c>
      <c r="T8" s="151"/>
      <c r="U8" s="92" t="str">
        <f t="shared" si="7"/>
        <v>Facilities Management</v>
      </c>
      <c r="V8" s="106">
        <f t="shared" si="8"/>
        <v>1116.4610296165224</v>
      </c>
      <c r="W8" s="153">
        <f t="shared" si="9"/>
        <v>0.18498457902152554</v>
      </c>
      <c r="X8" s="130">
        <f t="shared" si="10"/>
        <v>4.698301931336446E-2</v>
      </c>
      <c r="Z8" s="76"/>
      <c r="AA8" s="76"/>
    </row>
    <row r="9" spans="2:27">
      <c r="B9" s="92" t="str">
        <f t="shared" si="1"/>
        <v>Utilities</v>
      </c>
      <c r="C9" s="103">
        <f t="shared" si="2"/>
        <v>85.455145535620218</v>
      </c>
      <c r="D9" s="103">
        <f t="shared" si="2"/>
        <v>108.63712650538955</v>
      </c>
      <c r="E9" s="103">
        <f t="shared" si="2"/>
        <v>93.799343421930388</v>
      </c>
      <c r="F9" s="103">
        <f t="shared" si="2"/>
        <v>90.4</v>
      </c>
      <c r="G9" s="103">
        <f t="shared" si="2"/>
        <v>87.523222499209993</v>
      </c>
      <c r="H9" s="103">
        <f t="shared" si="2"/>
        <v>100.53742966214321</v>
      </c>
      <c r="I9" s="103">
        <f t="shared" si="2"/>
        <v>110.72840616522241</v>
      </c>
      <c r="J9" s="103">
        <f t="shared" si="2"/>
        <v>118.04938967457961</v>
      </c>
      <c r="K9" s="103">
        <f t="shared" si="2"/>
        <v>123.09056901922177</v>
      </c>
      <c r="L9" s="103">
        <f t="shared" si="2"/>
        <v>126.30799729471013</v>
      </c>
      <c r="M9" s="103">
        <f t="shared" si="2"/>
        <v>129.48530288987527</v>
      </c>
      <c r="N9" s="142"/>
      <c r="O9" s="142"/>
      <c r="P9" s="92" t="str">
        <f t="shared" si="3"/>
        <v>Utilities</v>
      </c>
      <c r="Q9" s="106">
        <f t="shared" si="4"/>
        <v>566.35226762429329</v>
      </c>
      <c r="R9" s="153">
        <f t="shared" si="5"/>
        <v>9.2352158651073463E-2</v>
      </c>
      <c r="S9" s="130">
        <f t="shared" si="6"/>
        <v>3.3041840912837017E-2</v>
      </c>
      <c r="T9" s="151"/>
      <c r="U9" s="92" t="str">
        <f t="shared" si="7"/>
        <v>Utilities</v>
      </c>
      <c r="V9" s="106">
        <f t="shared" si="8"/>
        <v>607.66166504360922</v>
      </c>
      <c r="W9" s="153">
        <f t="shared" si="9"/>
        <v>0.10068245493012934</v>
      </c>
      <c r="X9" s="130">
        <f t="shared" si="10"/>
        <v>5.1909893602318125E-2</v>
      </c>
      <c r="Z9" s="76"/>
      <c r="AA9" s="76"/>
    </row>
    <row r="10" spans="2:27">
      <c r="B10" s="92" t="str">
        <f t="shared" si="1"/>
        <v>Rent and Rates</v>
      </c>
      <c r="C10" s="103">
        <f>C32*C$24</f>
        <v>106.09165408517958</v>
      </c>
      <c r="D10" s="103">
        <f t="shared" si="2"/>
        <v>113.18261297005019</v>
      </c>
      <c r="E10" s="103">
        <f t="shared" si="2"/>
        <v>107.63546223798319</v>
      </c>
      <c r="F10" s="103">
        <f t="shared" si="2"/>
        <v>119.6</v>
      </c>
      <c r="G10" s="103">
        <f t="shared" si="2"/>
        <v>130.61475018433339</v>
      </c>
      <c r="H10" s="103">
        <f t="shared" si="2"/>
        <v>131.5206627026779</v>
      </c>
      <c r="I10" s="103">
        <f t="shared" si="2"/>
        <v>151.79109299166007</v>
      </c>
      <c r="J10" s="103">
        <f t="shared" si="2"/>
        <v>159.93788278491431</v>
      </c>
      <c r="K10" s="103">
        <f t="shared" si="2"/>
        <v>163.46704433011925</v>
      </c>
      <c r="L10" s="103">
        <f t="shared" si="2"/>
        <v>195.46251698005472</v>
      </c>
      <c r="M10" s="103">
        <f t="shared" si="2"/>
        <v>213.56507896297956</v>
      </c>
      <c r="N10" s="142"/>
      <c r="O10" s="142"/>
      <c r="P10" s="92" t="str">
        <f t="shared" si="3"/>
        <v>Rent and Rates</v>
      </c>
      <c r="Q10" s="106">
        <f t="shared" si="4"/>
        <v>708.64514218022418</v>
      </c>
      <c r="R10" s="153">
        <f t="shared" si="5"/>
        <v>0.11555512768133809</v>
      </c>
      <c r="S10" s="130">
        <f t="shared" si="6"/>
        <v>4.3908787846798081E-2</v>
      </c>
      <c r="T10" s="151"/>
      <c r="U10" s="92" t="str">
        <f t="shared" si="7"/>
        <v>Rent and Rates</v>
      </c>
      <c r="V10" s="106">
        <f t="shared" si="8"/>
        <v>884.22361604972787</v>
      </c>
      <c r="W10" s="153">
        <f t="shared" si="9"/>
        <v>0.14650554657696521</v>
      </c>
      <c r="X10" s="130">
        <f t="shared" si="10"/>
        <v>0.10181137181230682</v>
      </c>
      <c r="Z10" s="76"/>
      <c r="AA10" s="76"/>
    </row>
    <row r="11" spans="2:27">
      <c r="B11" s="92" t="str">
        <f t="shared" si="1"/>
        <v>Other</v>
      </c>
      <c r="C11" s="103">
        <f t="shared" si="2"/>
        <v>141.63735823882587</v>
      </c>
      <c r="D11" s="103">
        <f t="shared" si="2"/>
        <v>136.00095502264665</v>
      </c>
      <c r="E11" s="103">
        <f t="shared" si="2"/>
        <v>135.68938590639371</v>
      </c>
      <c r="F11" s="103">
        <f t="shared" si="2"/>
        <v>148.9</v>
      </c>
      <c r="G11" s="103">
        <f t="shared" si="2"/>
        <v>141.33608721603872</v>
      </c>
      <c r="H11" s="103">
        <f t="shared" si="2"/>
        <v>129.62373006754314</v>
      </c>
      <c r="I11" s="103">
        <f t="shared" si="2"/>
        <v>131.7473012689926</v>
      </c>
      <c r="J11" s="103">
        <f t="shared" si="2"/>
        <v>133.3935703059054</v>
      </c>
      <c r="K11" s="103">
        <f t="shared" si="2"/>
        <v>136.93393198295806</v>
      </c>
      <c r="L11" s="103">
        <f t="shared" si="2"/>
        <v>141.04194994244679</v>
      </c>
      <c r="M11" s="103">
        <f t="shared" si="2"/>
        <v>145.15082157598496</v>
      </c>
      <c r="N11" s="142"/>
      <c r="O11" s="142"/>
      <c r="P11" s="92" t="str">
        <f t="shared" si="3"/>
        <v>Other</v>
      </c>
      <c r="Q11" s="106">
        <f t="shared" si="4"/>
        <v>833.18751645144812</v>
      </c>
      <c r="R11" s="153">
        <f t="shared" si="5"/>
        <v>0.13586361369786706</v>
      </c>
      <c r="S11" s="130">
        <f t="shared" si="6"/>
        <v>-1.7570625477975943E-2</v>
      </c>
      <c r="T11" s="151"/>
      <c r="U11" s="92" t="str">
        <f t="shared" si="7"/>
        <v>Other</v>
      </c>
      <c r="V11" s="106">
        <f t="shared" si="8"/>
        <v>688.26757507628781</v>
      </c>
      <c r="W11" s="153">
        <f t="shared" si="9"/>
        <v>0.11403791467166957</v>
      </c>
      <c r="X11" s="130">
        <f t="shared" si="10"/>
        <v>2.2885439880383718E-2</v>
      </c>
      <c r="Z11" s="76"/>
      <c r="AA11" s="76"/>
    </row>
    <row r="12" spans="2:27">
      <c r="B12" s="92" t="str">
        <f t="shared" si="1"/>
        <v>Commercial</v>
      </c>
      <c r="C12" s="103">
        <f>C34*C$24</f>
        <v>35.818433341525925</v>
      </c>
      <c r="D12" s="103">
        <f t="shared" si="2"/>
        <v>47.636698149643614</v>
      </c>
      <c r="E12" s="103">
        <f t="shared" si="2"/>
        <v>40.363298339243698</v>
      </c>
      <c r="F12" s="103">
        <f t="shared" si="2"/>
        <v>42.6</v>
      </c>
      <c r="G12" s="103">
        <f t="shared" si="2"/>
        <v>49.07073487588216</v>
      </c>
      <c r="H12" s="103">
        <f t="shared" si="2"/>
        <v>51.322566295035372</v>
      </c>
      <c r="I12" s="103">
        <f t="shared" si="2"/>
        <v>51.572134378322765</v>
      </c>
      <c r="J12" s="103">
        <f t="shared" si="2"/>
        <v>52.976623639540939</v>
      </c>
      <c r="K12" s="103">
        <f t="shared" si="2"/>
        <v>54.681283706758308</v>
      </c>
      <c r="L12" s="103">
        <f t="shared" si="2"/>
        <v>55.608789025328633</v>
      </c>
      <c r="M12" s="103">
        <f t="shared" si="2"/>
        <v>59.847176855528367</v>
      </c>
      <c r="N12" s="142"/>
      <c r="O12" s="142"/>
      <c r="P12" s="92" t="str">
        <f t="shared" si="3"/>
        <v>Commercial</v>
      </c>
      <c r="Q12" s="106">
        <f t="shared" si="4"/>
        <v>266.81173100133077</v>
      </c>
      <c r="R12" s="153">
        <f t="shared" si="5"/>
        <v>4.3507620115593039E-2</v>
      </c>
      <c r="S12" s="130">
        <f t="shared" si="6"/>
        <v>7.4583964719857843E-2</v>
      </c>
      <c r="T12" s="151"/>
      <c r="U12" s="92" t="str">
        <f t="shared" si="7"/>
        <v>Commercial</v>
      </c>
      <c r="V12" s="106">
        <f t="shared" si="8"/>
        <v>274.68600760547901</v>
      </c>
      <c r="W12" s="153">
        <f t="shared" si="9"/>
        <v>4.5512269691541346E-2</v>
      </c>
      <c r="X12" s="130">
        <f t="shared" si="10"/>
        <v>3.1209869270035995E-2</v>
      </c>
      <c r="Z12" s="76"/>
      <c r="AA12" s="76"/>
    </row>
    <row r="13" spans="2:27">
      <c r="B13" s="92" t="str">
        <f t="shared" si="1"/>
        <v>Rail</v>
      </c>
      <c r="C13" s="103">
        <f>C35*C$24</f>
        <v>64.727727256767665</v>
      </c>
      <c r="D13" s="103">
        <f t="shared" si="2"/>
        <v>68.000477511323325</v>
      </c>
      <c r="E13" s="103">
        <f t="shared" si="2"/>
        <v>68.989751062111566</v>
      </c>
      <c r="F13" s="103">
        <f t="shared" si="2"/>
        <v>64.2</v>
      </c>
      <c r="G13" s="103">
        <f t="shared" si="2"/>
        <v>65.56509954004423</v>
      </c>
      <c r="H13" s="103">
        <f t="shared" si="2"/>
        <v>66.392642229717211</v>
      </c>
      <c r="I13" s="103">
        <f t="shared" si="2"/>
        <v>62.081581930207861</v>
      </c>
      <c r="J13" s="103">
        <f t="shared" si="2"/>
        <v>63.280744939409374</v>
      </c>
      <c r="K13" s="103">
        <f t="shared" si="2"/>
        <v>64.602360497435981</v>
      </c>
      <c r="L13" s="103">
        <f t="shared" si="2"/>
        <v>66.540431312359061</v>
      </c>
      <c r="M13" s="103">
        <f t="shared" si="2"/>
        <v>67.312775604377507</v>
      </c>
      <c r="N13" s="142"/>
      <c r="O13" s="142"/>
      <c r="P13" s="92" t="str">
        <f t="shared" si="3"/>
        <v>Rail</v>
      </c>
      <c r="Q13" s="106">
        <f t="shared" si="4"/>
        <v>397.87569759996404</v>
      </c>
      <c r="R13" s="153">
        <f t="shared" si="5"/>
        <v>6.487954873438255E-2</v>
      </c>
      <c r="S13" s="130">
        <f t="shared" si="6"/>
        <v>5.092237540564204E-3</v>
      </c>
      <c r="T13" s="151"/>
      <c r="U13" s="92" t="str">
        <f t="shared" si="7"/>
        <v>Rail</v>
      </c>
      <c r="V13" s="106">
        <f t="shared" si="8"/>
        <v>323.81789428378977</v>
      </c>
      <c r="W13" s="153">
        <f t="shared" si="9"/>
        <v>5.3652850627754003E-2</v>
      </c>
      <c r="X13" s="130">
        <f t="shared" si="10"/>
        <v>2.7565540796774535E-3</v>
      </c>
      <c r="Z13" s="76"/>
      <c r="AA13" s="76"/>
    </row>
    <row r="14" spans="2:27">
      <c r="B14" s="92" t="str">
        <f t="shared" si="1"/>
        <v>Central Support Services</v>
      </c>
      <c r="C14" s="103">
        <f t="shared" si="2"/>
        <v>108.72803623468275</v>
      </c>
      <c r="D14" s="103">
        <f t="shared" si="2"/>
        <v>96.273403321512575</v>
      </c>
      <c r="E14" s="103">
        <f t="shared" si="2"/>
        <v>113.93328183701414</v>
      </c>
      <c r="F14" s="103">
        <f t="shared" si="2"/>
        <v>118.9</v>
      </c>
      <c r="G14" s="103">
        <f t="shared" si="2"/>
        <v>119.99650293177906</v>
      </c>
      <c r="H14" s="103">
        <f t="shared" si="2"/>
        <v>127.83218257880472</v>
      </c>
      <c r="I14" s="103">
        <f t="shared" si="2"/>
        <v>116.90406091220645</v>
      </c>
      <c r="J14" s="103">
        <f t="shared" si="2"/>
        <v>114.80135143875151</v>
      </c>
      <c r="K14" s="103">
        <f t="shared" si="2"/>
        <v>119.05292148813201</v>
      </c>
      <c r="L14" s="103">
        <f t="shared" si="2"/>
        <v>122.14922033768769</v>
      </c>
      <c r="M14" s="103">
        <f t="shared" si="2"/>
        <v>126.42563127149448</v>
      </c>
      <c r="N14" s="142"/>
      <c r="O14" s="142"/>
      <c r="P14" s="92" t="str">
        <f t="shared" si="3"/>
        <v>Central Support Services</v>
      </c>
      <c r="Q14" s="106">
        <f>SUM(C14:H14)</f>
        <v>685.6634069037932</v>
      </c>
      <c r="R14" s="153">
        <f t="shared" si="5"/>
        <v>0.11180761401598469</v>
      </c>
      <c r="S14" s="130">
        <f t="shared" si="6"/>
        <v>3.2903459403240021E-2</v>
      </c>
      <c r="T14" s="151"/>
      <c r="U14" s="92" t="str">
        <f t="shared" si="7"/>
        <v>Central Support Services</v>
      </c>
      <c r="V14" s="106">
        <f t="shared" si="8"/>
        <v>599.33318544827216</v>
      </c>
      <c r="W14" s="153">
        <f t="shared" si="9"/>
        <v>9.9302522938806759E-2</v>
      </c>
      <c r="X14" s="130">
        <f t="shared" si="10"/>
        <v>-2.2103715041775773E-3</v>
      </c>
      <c r="Z14" s="76"/>
      <c r="AA14" s="76"/>
    </row>
    <row r="15" spans="2:27">
      <c r="B15" s="92" t="str">
        <f t="shared" si="1"/>
        <v>Pensions</v>
      </c>
      <c r="C15" s="103">
        <f>C37*C$24</f>
        <v>42.091204662757619</v>
      </c>
      <c r="D15" s="103">
        <f t="shared" si="2"/>
        <v>50.909448404199281</v>
      </c>
      <c r="E15" s="103">
        <f t="shared" si="2"/>
        <v>60.020129208946301</v>
      </c>
      <c r="F15" s="103">
        <f t="shared" si="2"/>
        <v>64.099999999999994</v>
      </c>
      <c r="G15" s="103">
        <f t="shared" si="2"/>
        <v>77.008065025806673</v>
      </c>
      <c r="H15" s="103">
        <f t="shared" si="2"/>
        <v>76.931156869354865</v>
      </c>
      <c r="I15" s="103">
        <f t="shared" si="2"/>
        <v>78.441649768709425</v>
      </c>
      <c r="J15" s="103">
        <f t="shared" si="2"/>
        <v>67.648796360005775</v>
      </c>
      <c r="K15" s="103">
        <f t="shared" si="2"/>
        <v>65.871335435778477</v>
      </c>
      <c r="L15" s="103">
        <f t="shared" si="2"/>
        <v>64.876920529550077</v>
      </c>
      <c r="M15" s="103">
        <f t="shared" si="2"/>
        <v>64.987425174408102</v>
      </c>
      <c r="N15" s="142"/>
      <c r="O15" s="142"/>
      <c r="P15" s="92" t="str">
        <f t="shared" si="3"/>
        <v>Pensions</v>
      </c>
      <c r="Q15" s="106">
        <f>SUM(C15:H15)</f>
        <v>371.06000417106475</v>
      </c>
      <c r="R15" s="153">
        <f t="shared" si="5"/>
        <v>6.0506851182958413E-2</v>
      </c>
      <c r="S15" s="130">
        <f t="shared" si="6"/>
        <v>0.1281898327522546</v>
      </c>
      <c r="T15" s="151"/>
      <c r="U15" s="92" t="str">
        <f t="shared" si="7"/>
        <v>Pensions</v>
      </c>
      <c r="V15" s="106">
        <f>SUM(I15:M15)</f>
        <v>341.82612726845184</v>
      </c>
      <c r="W15" s="153">
        <f t="shared" si="9"/>
        <v>5.6636604927475027E-2</v>
      </c>
      <c r="X15" s="130">
        <f t="shared" si="10"/>
        <v>-3.3180472805103722E-2</v>
      </c>
      <c r="Z15" s="76"/>
      <c r="AA15" s="76"/>
    </row>
    <row r="16" spans="2:27">
      <c r="B16" s="94"/>
      <c r="C16" s="103"/>
      <c r="D16" s="104"/>
      <c r="E16" s="104"/>
      <c r="F16" s="104"/>
      <c r="G16" s="104"/>
      <c r="H16" s="104"/>
      <c r="I16" s="103"/>
      <c r="J16" s="103"/>
      <c r="K16" s="103"/>
      <c r="L16" s="103"/>
      <c r="M16" s="103"/>
      <c r="N16" s="142"/>
      <c r="O16" s="142"/>
      <c r="P16" s="92"/>
      <c r="Q16" s="106"/>
      <c r="R16" s="153"/>
      <c r="S16" s="130"/>
      <c r="T16" s="151"/>
      <c r="U16" s="92"/>
      <c r="V16" s="103"/>
      <c r="W16" s="153"/>
      <c r="X16" s="130"/>
      <c r="Z16" s="76"/>
      <c r="AA16" s="76"/>
    </row>
    <row r="17" spans="2:27">
      <c r="B17" s="94" t="s">
        <v>28</v>
      </c>
      <c r="C17" s="105">
        <f t="shared" ref="C17:M17" si="11">C39*C$24</f>
        <v>957.91581756258552</v>
      </c>
      <c r="D17" s="105">
        <f t="shared" si="11"/>
        <v>984.55236824549684</v>
      </c>
      <c r="E17" s="105">
        <f t="shared" si="11"/>
        <v>979.40636915838604</v>
      </c>
      <c r="F17" s="105">
        <f t="shared" si="11"/>
        <v>1029.5</v>
      </c>
      <c r="G17" s="105">
        <f t="shared" si="11"/>
        <v>1074.5047680910081</v>
      </c>
      <c r="H17" s="105">
        <f t="shared" si="11"/>
        <v>1106.6494223083498</v>
      </c>
      <c r="I17" s="105">
        <f t="shared" si="11"/>
        <v>1172.0742640854951</v>
      </c>
      <c r="J17" s="105">
        <f t="shared" si="11"/>
        <v>1175.9018426882458</v>
      </c>
      <c r="K17" s="105">
        <f t="shared" si="11"/>
        <v>1192.836442041943</v>
      </c>
      <c r="L17" s="105">
        <f t="shared" si="11"/>
        <v>1223.7498251535462</v>
      </c>
      <c r="M17" s="105">
        <f t="shared" si="11"/>
        <v>1270.8652034106472</v>
      </c>
      <c r="N17" s="143"/>
      <c r="O17" s="143"/>
      <c r="P17" s="92" t="str">
        <f t="shared" si="3"/>
        <v>Total</v>
      </c>
      <c r="Q17" s="106">
        <f>SUM(C17:H17)</f>
        <v>6132.5287453658266</v>
      </c>
      <c r="R17" s="153">
        <f t="shared" si="5"/>
        <v>1</v>
      </c>
      <c r="S17" s="130">
        <f t="shared" si="6"/>
        <v>2.9287132207392874E-2</v>
      </c>
      <c r="T17" s="151"/>
      <c r="U17" s="92" t="str">
        <f t="shared" si="7"/>
        <v>Total</v>
      </c>
      <c r="V17" s="105">
        <f>SUM(I17:M17)</f>
        <v>6035.4275773798772</v>
      </c>
      <c r="W17" s="153">
        <f t="shared" si="9"/>
        <v>1</v>
      </c>
      <c r="X17" s="130">
        <f>((M17/H17)^(1/5))-1</f>
        <v>2.8058635500998852E-2</v>
      </c>
      <c r="Z17" s="76"/>
      <c r="AA17" s="76"/>
    </row>
    <row r="18" spans="2:27">
      <c r="B18" s="94"/>
      <c r="C18" s="106"/>
      <c r="D18" s="106"/>
      <c r="E18" s="106"/>
      <c r="F18" s="106"/>
      <c r="G18" s="106"/>
      <c r="H18" s="106"/>
      <c r="I18" s="104"/>
      <c r="J18" s="104"/>
      <c r="K18" s="104"/>
      <c r="L18" s="104"/>
      <c r="M18" s="104"/>
      <c r="N18" s="144"/>
      <c r="O18" s="144"/>
      <c r="P18" s="92"/>
      <c r="Q18" s="106"/>
      <c r="R18" s="106"/>
      <c r="S18" s="130"/>
      <c r="T18" s="151"/>
      <c r="U18" s="92"/>
      <c r="V18" s="104"/>
      <c r="W18" s="104"/>
      <c r="X18" s="130"/>
    </row>
    <row r="19" spans="2:27">
      <c r="B19" s="94" t="s">
        <v>252</v>
      </c>
      <c r="C19" s="106">
        <f>C55</f>
        <v>7907</v>
      </c>
      <c r="D19" s="106">
        <f t="shared" ref="D19:M19" si="12">D55</f>
        <v>7406</v>
      </c>
      <c r="E19" s="106">
        <f t="shared" si="12"/>
        <v>7457</v>
      </c>
      <c r="F19" s="106">
        <f t="shared" si="12"/>
        <v>7464</v>
      </c>
      <c r="G19" s="106">
        <f t="shared" si="12"/>
        <v>7152</v>
      </c>
      <c r="H19" s="106">
        <f t="shared" si="12"/>
        <v>6893</v>
      </c>
      <c r="I19" s="106">
        <f t="shared" si="12"/>
        <v>6552</v>
      </c>
      <c r="J19" s="106">
        <f t="shared" si="12"/>
        <v>6362</v>
      </c>
      <c r="K19" s="106">
        <f t="shared" si="12"/>
        <v>6051</v>
      </c>
      <c r="L19" s="106">
        <f t="shared" si="12"/>
        <v>5854</v>
      </c>
      <c r="M19" s="106">
        <f t="shared" si="12"/>
        <v>5797</v>
      </c>
      <c r="N19" s="144"/>
      <c r="O19" s="144"/>
      <c r="P19" s="94" t="s">
        <v>252</v>
      </c>
      <c r="Q19" s="106">
        <f>SUM(C19:H19)</f>
        <v>44279</v>
      </c>
      <c r="R19" s="106"/>
      <c r="S19" s="130">
        <f>((H19/C19)^(1/5))-1</f>
        <v>-2.7075123442601212E-2</v>
      </c>
      <c r="T19" s="151"/>
      <c r="U19" s="92" t="str">
        <f t="shared" ref="U19" si="13">P19</f>
        <v>Man Years</v>
      </c>
      <c r="V19" s="106">
        <f>V41</f>
        <v>30616</v>
      </c>
      <c r="W19" s="106"/>
      <c r="X19" s="130">
        <f t="shared" ref="X19" si="14">((M19/H19)^(1/5))-1</f>
        <v>-3.404030796223767E-2</v>
      </c>
    </row>
    <row r="20" spans="2:27">
      <c r="B20" s="94" t="s">
        <v>207</v>
      </c>
      <c r="C20" s="104">
        <f>C42</f>
        <v>65.900000000000006</v>
      </c>
      <c r="D20" s="104">
        <f t="shared" ref="D20:M20" si="15">D42</f>
        <v>66.099999999999994</v>
      </c>
      <c r="E20" s="104">
        <f t="shared" si="15"/>
        <v>66.099999999999994</v>
      </c>
      <c r="F20" s="181">
        <f t="shared" si="15"/>
        <v>70.067623000000012</v>
      </c>
      <c r="G20" s="181">
        <f t="shared" si="15"/>
        <v>69.599999999999994</v>
      </c>
      <c r="H20" s="181">
        <f t="shared" si="15"/>
        <v>68.8</v>
      </c>
      <c r="I20" s="181">
        <f t="shared" si="15"/>
        <v>69.494122000000004</v>
      </c>
      <c r="J20" s="181">
        <f t="shared" si="15"/>
        <v>70.256156000000004</v>
      </c>
      <c r="K20" s="181">
        <f t="shared" si="15"/>
        <v>71.025689999999997</v>
      </c>
      <c r="L20" s="181">
        <f t="shared" si="15"/>
        <v>71.812779000000006</v>
      </c>
      <c r="M20" s="181">
        <f t="shared" si="15"/>
        <v>72.602541000000002</v>
      </c>
      <c r="N20" s="144"/>
      <c r="O20" s="144"/>
      <c r="P20" s="92" t="str">
        <f t="shared" si="3"/>
        <v>Passengers (m)</v>
      </c>
      <c r="Q20" s="106">
        <f>SUM(C20:H20)</f>
        <v>406.56762299999997</v>
      </c>
      <c r="R20" s="106"/>
      <c r="S20" s="130">
        <f>((H20/C20)^(1/5))-1</f>
        <v>8.6502598161137811E-3</v>
      </c>
      <c r="T20" s="151"/>
      <c r="U20" s="92" t="str">
        <f t="shared" si="7"/>
        <v>Passengers (m)</v>
      </c>
      <c r="V20" s="106">
        <f>V42</f>
        <v>355.19128799999999</v>
      </c>
      <c r="W20" s="106"/>
      <c r="X20" s="130">
        <f t="shared" si="10"/>
        <v>1.081732397056423E-2</v>
      </c>
    </row>
    <row r="21" spans="2:27">
      <c r="B21" s="98" t="s">
        <v>224</v>
      </c>
      <c r="C21" s="157">
        <f>C17/C20</f>
        <v>14.535900114758505</v>
      </c>
      <c r="D21" s="157">
        <f t="shared" ref="D21:M21" si="16">D17/D20</f>
        <v>14.894892106588456</v>
      </c>
      <c r="E21" s="157">
        <f t="shared" si="16"/>
        <v>14.817040380610985</v>
      </c>
      <c r="F21" s="157">
        <f t="shared" si="16"/>
        <v>14.692948838866702</v>
      </c>
      <c r="G21" s="157">
        <f t="shared" si="16"/>
        <v>15.438286897859314</v>
      </c>
      <c r="H21" s="157">
        <f t="shared" si="16"/>
        <v>16.085020673086479</v>
      </c>
      <c r="I21" s="157">
        <f t="shared" si="16"/>
        <v>16.865804335012609</v>
      </c>
      <c r="J21" s="157">
        <f t="shared" si="16"/>
        <v>16.737349573868599</v>
      </c>
      <c r="K21" s="157">
        <f t="shared" si="16"/>
        <v>16.79443652067221</v>
      </c>
      <c r="L21" s="157">
        <f t="shared" si="16"/>
        <v>17.040836494484445</v>
      </c>
      <c r="M21" s="157">
        <f t="shared" si="16"/>
        <v>17.504417695389574</v>
      </c>
      <c r="N21" s="145"/>
      <c r="O21" s="145"/>
      <c r="P21" s="43" t="str">
        <f t="shared" si="3"/>
        <v>Total opex / passenger</v>
      </c>
      <c r="Q21" s="157">
        <f>Q17/Q20</f>
        <v>15.08366234407659</v>
      </c>
      <c r="R21" s="107"/>
      <c r="S21" s="131">
        <f t="shared" si="6"/>
        <v>2.0459889035314704E-2</v>
      </c>
      <c r="T21" s="151"/>
      <c r="U21" s="43" t="str">
        <f t="shared" si="7"/>
        <v>Total opex / passenger</v>
      </c>
      <c r="V21" s="157">
        <f>V17/V20</f>
        <v>16.992048457505742</v>
      </c>
      <c r="W21" s="107"/>
      <c r="X21" s="131">
        <f t="shared" si="10"/>
        <v>1.7056802571120855E-2</v>
      </c>
    </row>
    <row r="22" spans="2:27">
      <c r="B22" s="18"/>
      <c r="P22" s="159"/>
      <c r="U22" s="159"/>
    </row>
    <row r="23" spans="2:27">
      <c r="B23" s="18"/>
      <c r="P23" s="18"/>
      <c r="U23" s="18"/>
    </row>
    <row r="24" spans="2:27">
      <c r="B24" s="389" t="s">
        <v>257</v>
      </c>
      <c r="C24" s="391">
        <f>RPI!$T101/RPI!$T$103</f>
        <v>0.90909729293213004</v>
      </c>
      <c r="D24" s="391">
        <f>RPI!$T101/RPI!$T$103</f>
        <v>0.90909729293213004</v>
      </c>
      <c r="E24" s="391">
        <f>RPI!$T102/RPI!$T$103</f>
        <v>0.95421509076226241</v>
      </c>
      <c r="F24" s="391">
        <f>RPI!$T103/RPI!$T$103</f>
        <v>1</v>
      </c>
      <c r="G24" s="391">
        <f>RPI!$V104/RPI!$T$103</f>
        <v>1.0308977915101294</v>
      </c>
      <c r="H24" s="391">
        <f>RPI!$V105/RPI!$T$103</f>
        <v>1.0538514639637653</v>
      </c>
      <c r="I24" s="391">
        <f>RPI!$V106/RPI!$T$103</f>
        <v>1.0834482012252682</v>
      </c>
      <c r="J24" s="391">
        <f>RPI!$V107/RPI!$T$103</f>
        <v>1.1200131847683075</v>
      </c>
      <c r="K24" s="391">
        <f>RPI!$V108/RPI!$T$103</f>
        <v>1.1536135803113567</v>
      </c>
      <c r="L24" s="391">
        <f>RPI!$V109/RPI!$T$103</f>
        <v>1.1882219877206974</v>
      </c>
      <c r="M24" s="391">
        <f>RPI!$V110/RPI!$T$103</f>
        <v>1.2238686473523184</v>
      </c>
      <c r="N24" s="146"/>
      <c r="O24" s="146"/>
      <c r="P24" s="35"/>
      <c r="Q24" s="37"/>
      <c r="R24" s="37"/>
      <c r="S24" s="32"/>
      <c r="T24" s="140"/>
      <c r="U24" s="35"/>
      <c r="V24" s="36"/>
      <c r="W24" s="36"/>
      <c r="X24" s="32"/>
    </row>
    <row r="25" spans="2:27">
      <c r="B25" s="18"/>
      <c r="P25" s="18"/>
      <c r="U25" s="18"/>
    </row>
    <row r="26" spans="2:27">
      <c r="B26" s="84" t="s">
        <v>258</v>
      </c>
      <c r="C26" s="626" t="s">
        <v>30</v>
      </c>
      <c r="D26" s="627"/>
      <c r="E26" s="627"/>
      <c r="F26" s="627"/>
      <c r="G26" s="628"/>
      <c r="H26" s="87" t="s">
        <v>187</v>
      </c>
      <c r="I26" s="626" t="s">
        <v>31</v>
      </c>
      <c r="J26" s="627"/>
      <c r="K26" s="627"/>
      <c r="L26" s="627"/>
      <c r="M26" s="628"/>
      <c r="N26" s="139"/>
      <c r="O26" s="139"/>
      <c r="P26" s="84" t="s">
        <v>263</v>
      </c>
      <c r="Q26" s="84"/>
      <c r="R26" s="84"/>
      <c r="S26" s="84"/>
      <c r="T26" s="138"/>
      <c r="U26" s="84" t="s">
        <v>259</v>
      </c>
      <c r="V26" s="86"/>
      <c r="W26" s="86"/>
      <c r="X26" s="86"/>
    </row>
    <row r="27" spans="2:27" ht="26.25" customHeight="1">
      <c r="B27" s="29" t="s">
        <v>232</v>
      </c>
      <c r="C27" s="75" t="s">
        <v>12</v>
      </c>
      <c r="D27" s="75" t="s">
        <v>13</v>
      </c>
      <c r="E27" s="75" t="s">
        <v>14</v>
      </c>
      <c r="F27" s="75" t="s">
        <v>15</v>
      </c>
      <c r="G27" s="75" t="s">
        <v>16</v>
      </c>
      <c r="H27" s="75" t="s">
        <v>17</v>
      </c>
      <c r="I27" s="75" t="s">
        <v>32</v>
      </c>
      <c r="J27" s="75" t="s">
        <v>33</v>
      </c>
      <c r="K27" s="75" t="s">
        <v>34</v>
      </c>
      <c r="L27" s="75" t="s">
        <v>35</v>
      </c>
      <c r="M27" s="75" t="s">
        <v>36</v>
      </c>
      <c r="N27" s="141"/>
      <c r="O27" s="141"/>
      <c r="P27" s="29" t="s">
        <v>232</v>
      </c>
      <c r="Q27" s="73" t="s">
        <v>226</v>
      </c>
      <c r="R27" s="73" t="s">
        <v>246</v>
      </c>
      <c r="S27" s="73" t="s">
        <v>225</v>
      </c>
      <c r="T27" s="150"/>
      <c r="U27" s="29" t="s">
        <v>232</v>
      </c>
      <c r="V27" s="73" t="s">
        <v>37</v>
      </c>
      <c r="W27" s="73" t="s">
        <v>246</v>
      </c>
      <c r="X27" s="73" t="s">
        <v>206</v>
      </c>
    </row>
    <row r="28" spans="2:27">
      <c r="B28" s="92" t="s">
        <v>250</v>
      </c>
      <c r="C28" s="165">
        <v>176.8</v>
      </c>
      <c r="D28" s="165">
        <v>169.3</v>
      </c>
      <c r="E28" s="165">
        <v>163</v>
      </c>
      <c r="F28" s="165">
        <v>164.2</v>
      </c>
      <c r="G28" s="165">
        <v>162.4</v>
      </c>
      <c r="H28" s="165">
        <v>155.5</v>
      </c>
      <c r="I28" s="165">
        <v>160</v>
      </c>
      <c r="J28" s="165">
        <v>153.1</v>
      </c>
      <c r="K28" s="165">
        <v>142.19999999999999</v>
      </c>
      <c r="L28" s="165">
        <v>134.6</v>
      </c>
      <c r="M28" s="165">
        <v>133.1</v>
      </c>
      <c r="N28" s="142"/>
      <c r="O28" s="144"/>
      <c r="P28" s="92" t="str">
        <f>B28</f>
        <v>Security Costs (includes police)</v>
      </c>
      <c r="Q28" s="128">
        <f>SUM(C28:H28)</f>
        <v>991.19999999999993</v>
      </c>
      <c r="R28" s="153">
        <f t="shared" ref="R28:R37" si="17">Q28/$Q$39</f>
        <v>0.15770883054892601</v>
      </c>
      <c r="S28" s="129">
        <f>((H28/C28)^(1/5))-1</f>
        <v>-2.5347891758491614E-2</v>
      </c>
      <c r="T28" s="151"/>
      <c r="U28" s="92" t="str">
        <f>P28</f>
        <v>Security Costs (includes police)</v>
      </c>
      <c r="V28" s="128">
        <f>SUM(I28:M28)</f>
        <v>723</v>
      </c>
      <c r="W28" s="153">
        <f t="shared" ref="W28:W37" si="18">V28/$V$39</f>
        <v>0.13813526939243412</v>
      </c>
      <c r="X28" s="129">
        <f>((M28/H28)^(1/5))-1</f>
        <v>-3.0630095208030617E-2</v>
      </c>
      <c r="AA28" s="76"/>
    </row>
    <row r="29" spans="2:27">
      <c r="B29" s="94" t="s">
        <v>249</v>
      </c>
      <c r="C29" s="166">
        <v>62.4</v>
      </c>
      <c r="D29" s="166">
        <v>53.7</v>
      </c>
      <c r="E29" s="166">
        <v>55.1</v>
      </c>
      <c r="F29" s="166">
        <v>55.5</v>
      </c>
      <c r="G29" s="166">
        <v>64.2</v>
      </c>
      <c r="H29" s="166">
        <v>72.5</v>
      </c>
      <c r="I29" s="166">
        <v>68.599999999999994</v>
      </c>
      <c r="J29" s="166">
        <v>63.8</v>
      </c>
      <c r="K29" s="166">
        <v>69</v>
      </c>
      <c r="L29" s="166">
        <v>59</v>
      </c>
      <c r="M29" s="166">
        <v>58.8</v>
      </c>
      <c r="N29" s="142"/>
      <c r="O29" s="144"/>
      <c r="P29" s="92" t="str">
        <f t="shared" ref="P29:P42" si="19">B29</f>
        <v>Total Operational Staff</v>
      </c>
      <c r="Q29" s="128">
        <f t="shared" ref="Q29:Q37" si="20">SUM(C29:H29)</f>
        <v>363.4</v>
      </c>
      <c r="R29" s="153">
        <f t="shared" si="17"/>
        <v>5.7820206841686553E-2</v>
      </c>
      <c r="S29" s="130">
        <f t="shared" ref="S29:S43" si="21">((H29/C29)^(1/5))-1</f>
        <v>3.0458920913902121E-2</v>
      </c>
      <c r="T29" s="151"/>
      <c r="U29" s="92" t="str">
        <f t="shared" ref="U29:U43" si="22">P29</f>
        <v>Total Operational Staff</v>
      </c>
      <c r="V29" s="106">
        <f t="shared" ref="V29:V37" si="23">SUM(I29:M29)</f>
        <v>319.2</v>
      </c>
      <c r="W29" s="153">
        <f t="shared" si="18"/>
        <v>6.0985861673672155E-2</v>
      </c>
      <c r="X29" s="130">
        <f>((M29/H29)^(1/5))-1</f>
        <v>-4.1023722770098026E-2</v>
      </c>
      <c r="AA29" s="76"/>
    </row>
    <row r="30" spans="2:27">
      <c r="B30" s="94" t="s">
        <v>20</v>
      </c>
      <c r="C30" s="166">
        <v>171.5</v>
      </c>
      <c r="D30" s="166">
        <v>177.3</v>
      </c>
      <c r="E30" s="166">
        <v>158.1</v>
      </c>
      <c r="F30" s="166">
        <v>161.1</v>
      </c>
      <c r="G30" s="166">
        <v>164.7</v>
      </c>
      <c r="H30" s="166">
        <v>172.9</v>
      </c>
      <c r="I30" s="166">
        <v>204.1</v>
      </c>
      <c r="J30" s="166">
        <v>199</v>
      </c>
      <c r="K30" s="166">
        <v>192</v>
      </c>
      <c r="L30" s="166">
        <v>186.6</v>
      </c>
      <c r="M30" s="166">
        <v>187.3</v>
      </c>
      <c r="N30" s="142"/>
      <c r="O30" s="144"/>
      <c r="P30" s="92" t="str">
        <f t="shared" si="19"/>
        <v>Facilities Management</v>
      </c>
      <c r="Q30" s="128">
        <f t="shared" si="20"/>
        <v>1005.6</v>
      </c>
      <c r="R30" s="153">
        <f t="shared" si="17"/>
        <v>0.16</v>
      </c>
      <c r="S30" s="130">
        <f t="shared" si="21"/>
        <v>1.6273479124677692E-3</v>
      </c>
      <c r="T30" s="151"/>
      <c r="U30" s="92" t="str">
        <f t="shared" si="22"/>
        <v>Facilities Management</v>
      </c>
      <c r="V30" s="106">
        <f t="shared" si="23"/>
        <v>969</v>
      </c>
      <c r="W30" s="153">
        <f t="shared" si="18"/>
        <v>0.1851356515093619</v>
      </c>
      <c r="X30" s="130">
        <f t="shared" ref="X30:X37" si="24">((M30/H30)^(1/5))-1</f>
        <v>1.6128323006058265E-2</v>
      </c>
      <c r="Z30" s="30"/>
      <c r="AA30" s="76"/>
    </row>
    <row r="31" spans="2:27">
      <c r="B31" s="94" t="s">
        <v>21</v>
      </c>
      <c r="C31" s="166">
        <v>94</v>
      </c>
      <c r="D31" s="166">
        <v>119.5</v>
      </c>
      <c r="E31" s="166">
        <v>98.3</v>
      </c>
      <c r="F31" s="166">
        <v>90.4</v>
      </c>
      <c r="G31" s="166">
        <v>84.9</v>
      </c>
      <c r="H31" s="166">
        <v>95.4</v>
      </c>
      <c r="I31" s="166">
        <v>102.2</v>
      </c>
      <c r="J31" s="166">
        <v>105.4</v>
      </c>
      <c r="K31" s="166">
        <v>106.7</v>
      </c>
      <c r="L31" s="166">
        <v>106.3</v>
      </c>
      <c r="M31" s="166">
        <v>105.8</v>
      </c>
      <c r="N31" s="142"/>
      <c r="O31" s="144"/>
      <c r="P31" s="92" t="str">
        <f t="shared" si="19"/>
        <v>Utilities</v>
      </c>
      <c r="Q31" s="128">
        <f t="shared" si="20"/>
        <v>582.5</v>
      </c>
      <c r="R31" s="153">
        <f t="shared" si="17"/>
        <v>9.2680986475735874E-2</v>
      </c>
      <c r="S31" s="130">
        <f t="shared" si="21"/>
        <v>2.9611347608338168E-3</v>
      </c>
      <c r="T31" s="151"/>
      <c r="U31" s="92" t="str">
        <f t="shared" si="22"/>
        <v>Utilities</v>
      </c>
      <c r="V31" s="106">
        <f t="shared" si="23"/>
        <v>526.4</v>
      </c>
      <c r="W31" s="153">
        <f t="shared" si="18"/>
        <v>0.10057317539166986</v>
      </c>
      <c r="X31" s="130">
        <f t="shared" si="24"/>
        <v>2.0910001807477041E-2</v>
      </c>
      <c r="AA31" s="76"/>
    </row>
    <row r="32" spans="2:27">
      <c r="B32" s="94" t="s">
        <v>22</v>
      </c>
      <c r="C32" s="166">
        <v>116.7</v>
      </c>
      <c r="D32" s="166">
        <v>124.5</v>
      </c>
      <c r="E32" s="166">
        <v>112.8</v>
      </c>
      <c r="F32" s="166">
        <v>119.6</v>
      </c>
      <c r="G32" s="166">
        <v>126.7</v>
      </c>
      <c r="H32" s="166">
        <v>124.8</v>
      </c>
      <c r="I32" s="166">
        <v>140.1</v>
      </c>
      <c r="J32" s="166">
        <v>142.80000000000001</v>
      </c>
      <c r="K32" s="166">
        <v>141.69999999999999</v>
      </c>
      <c r="L32" s="166">
        <v>164.5</v>
      </c>
      <c r="M32" s="166">
        <v>174.5</v>
      </c>
      <c r="N32" s="147"/>
      <c r="O32" s="144"/>
      <c r="P32" s="92" t="str">
        <f t="shared" si="19"/>
        <v>Rent and Rates</v>
      </c>
      <c r="Q32" s="128">
        <f t="shared" si="20"/>
        <v>725.1</v>
      </c>
      <c r="R32" s="153">
        <f t="shared" si="17"/>
        <v>0.11536992840095465</v>
      </c>
      <c r="S32" s="130">
        <f t="shared" si="21"/>
        <v>1.3511651687273529E-2</v>
      </c>
      <c r="T32" s="151"/>
      <c r="U32" s="92" t="str">
        <f t="shared" si="22"/>
        <v>Rent and Rates</v>
      </c>
      <c r="V32" s="106">
        <f t="shared" si="23"/>
        <v>763.59999999999991</v>
      </c>
      <c r="W32" s="153">
        <f t="shared" si="18"/>
        <v>0.14589224302636608</v>
      </c>
      <c r="X32" s="130">
        <f t="shared" si="24"/>
        <v>6.9340878367722958E-2</v>
      </c>
      <c r="AA32" s="76"/>
    </row>
    <row r="33" spans="2:27">
      <c r="B33" s="94" t="s">
        <v>26</v>
      </c>
      <c r="C33" s="166">
        <v>155.80000000000001</v>
      </c>
      <c r="D33" s="166">
        <v>149.6</v>
      </c>
      <c r="E33" s="166">
        <v>142.19999999999999</v>
      </c>
      <c r="F33" s="166">
        <v>148.9</v>
      </c>
      <c r="G33" s="166">
        <v>137.1</v>
      </c>
      <c r="H33" s="166">
        <v>123</v>
      </c>
      <c r="I33" s="166">
        <v>121.6</v>
      </c>
      <c r="J33" s="166">
        <v>119.1</v>
      </c>
      <c r="K33" s="166">
        <v>118.7</v>
      </c>
      <c r="L33" s="166">
        <v>118.7</v>
      </c>
      <c r="M33" s="166">
        <v>118.6</v>
      </c>
      <c r="N33" s="145"/>
      <c r="O33" s="144"/>
      <c r="P33" s="92" t="str">
        <f t="shared" si="19"/>
        <v>Other</v>
      </c>
      <c r="Q33" s="128">
        <f t="shared" si="20"/>
        <v>856.6</v>
      </c>
      <c r="R33" s="153">
        <f t="shared" si="17"/>
        <v>0.13629276054097056</v>
      </c>
      <c r="S33" s="130">
        <f t="shared" si="21"/>
        <v>-4.6177568739809161E-2</v>
      </c>
      <c r="T33" s="151"/>
      <c r="U33" s="92" t="str">
        <f t="shared" si="22"/>
        <v>Other</v>
      </c>
      <c r="V33" s="106">
        <f t="shared" si="23"/>
        <v>596.69999999999993</v>
      </c>
      <c r="W33" s="153">
        <f t="shared" si="18"/>
        <v>0.11400458540313337</v>
      </c>
      <c r="X33" s="130">
        <f t="shared" si="24"/>
        <v>-7.2590983045555113E-3</v>
      </c>
      <c r="AA33" s="76"/>
    </row>
    <row r="34" spans="2:27">
      <c r="B34" s="94" t="s">
        <v>251</v>
      </c>
      <c r="C34" s="166">
        <v>39.4</v>
      </c>
      <c r="D34" s="166">
        <v>52.4</v>
      </c>
      <c r="E34" s="166">
        <v>42.3</v>
      </c>
      <c r="F34" s="166">
        <v>42.6</v>
      </c>
      <c r="G34" s="166">
        <v>47.6</v>
      </c>
      <c r="H34" s="166">
        <v>48.7</v>
      </c>
      <c r="I34" s="166">
        <v>47.6</v>
      </c>
      <c r="J34" s="166">
        <v>47.3</v>
      </c>
      <c r="K34" s="166">
        <v>47.4</v>
      </c>
      <c r="L34" s="166">
        <v>46.8</v>
      </c>
      <c r="M34" s="166">
        <v>48.9</v>
      </c>
      <c r="N34" s="142"/>
      <c r="O34" s="144"/>
      <c r="P34" s="92" t="str">
        <f t="shared" si="19"/>
        <v>Commercial</v>
      </c>
      <c r="Q34" s="128">
        <f t="shared" si="20"/>
        <v>273</v>
      </c>
      <c r="R34" s="153">
        <f t="shared" si="17"/>
        <v>4.3436754176610977E-2</v>
      </c>
      <c r="S34" s="130">
        <f t="shared" si="21"/>
        <v>4.3293611126987264E-2</v>
      </c>
      <c r="T34" s="151"/>
      <c r="U34" s="92" t="str">
        <f t="shared" si="22"/>
        <v>Commercial</v>
      </c>
      <c r="V34" s="106">
        <f t="shared" si="23"/>
        <v>238.00000000000003</v>
      </c>
      <c r="W34" s="153">
        <f t="shared" si="18"/>
        <v>4.5471914405808188E-2</v>
      </c>
      <c r="X34" s="130">
        <f t="shared" si="24"/>
        <v>8.2000930240178072E-4</v>
      </c>
      <c r="AA34" s="76"/>
    </row>
    <row r="35" spans="2:27">
      <c r="B35" s="94" t="s">
        <v>24</v>
      </c>
      <c r="C35" s="166">
        <v>71.2</v>
      </c>
      <c r="D35" s="166">
        <v>74.8</v>
      </c>
      <c r="E35" s="166">
        <v>72.3</v>
      </c>
      <c r="F35" s="166">
        <v>64.2</v>
      </c>
      <c r="G35" s="166">
        <v>63.6</v>
      </c>
      <c r="H35" s="166">
        <v>63</v>
      </c>
      <c r="I35" s="166">
        <v>57.3</v>
      </c>
      <c r="J35" s="166">
        <v>56.5</v>
      </c>
      <c r="K35" s="166">
        <v>56</v>
      </c>
      <c r="L35" s="166">
        <v>56</v>
      </c>
      <c r="M35" s="174">
        <v>55</v>
      </c>
      <c r="N35" s="142"/>
      <c r="O35" s="144"/>
      <c r="P35" s="92" t="str">
        <f t="shared" si="19"/>
        <v>Rail</v>
      </c>
      <c r="Q35" s="128">
        <f t="shared" si="20"/>
        <v>409.1</v>
      </c>
      <c r="R35" s="153">
        <f t="shared" si="17"/>
        <v>6.5091487669053302E-2</v>
      </c>
      <c r="S35" s="130">
        <f t="shared" si="21"/>
        <v>-2.4174615994043025E-2</v>
      </c>
      <c r="T35" s="151"/>
      <c r="U35" s="92" t="str">
        <f t="shared" si="22"/>
        <v>Rail</v>
      </c>
      <c r="V35" s="106">
        <f t="shared" si="23"/>
        <v>280.8</v>
      </c>
      <c r="W35" s="153">
        <f t="shared" si="18"/>
        <v>5.3649216660298066E-2</v>
      </c>
      <c r="X35" s="130">
        <f t="shared" si="24"/>
        <v>-2.6794783788801513E-2</v>
      </c>
      <c r="AA35" s="76"/>
    </row>
    <row r="36" spans="2:27">
      <c r="B36" s="94" t="s">
        <v>23</v>
      </c>
      <c r="C36" s="166">
        <v>119.6</v>
      </c>
      <c r="D36" s="166">
        <v>105.9</v>
      </c>
      <c r="E36" s="166">
        <v>119.4</v>
      </c>
      <c r="F36" s="166">
        <v>118.9</v>
      </c>
      <c r="G36" s="166">
        <v>116.4</v>
      </c>
      <c r="H36" s="166">
        <v>121.3</v>
      </c>
      <c r="I36" s="166">
        <v>107.9</v>
      </c>
      <c r="J36" s="166">
        <v>102.5</v>
      </c>
      <c r="K36" s="166">
        <v>103.2</v>
      </c>
      <c r="L36" s="166">
        <v>102.8</v>
      </c>
      <c r="M36" s="166">
        <v>103.3</v>
      </c>
      <c r="N36" s="142"/>
      <c r="O36" s="144"/>
      <c r="P36" s="92" t="str">
        <f t="shared" si="19"/>
        <v>Central Support Services</v>
      </c>
      <c r="Q36" s="128">
        <f t="shared" si="20"/>
        <v>701.49999999999989</v>
      </c>
      <c r="R36" s="153">
        <f t="shared" si="17"/>
        <v>0.11161495624502783</v>
      </c>
      <c r="S36" s="130">
        <f t="shared" si="21"/>
        <v>2.8267827235797238E-3</v>
      </c>
      <c r="T36" s="151"/>
      <c r="U36" s="92" t="str">
        <f t="shared" si="22"/>
        <v>Central Support Services</v>
      </c>
      <c r="V36" s="106">
        <f t="shared" si="23"/>
        <v>519.70000000000005</v>
      </c>
      <c r="W36" s="153">
        <f t="shared" si="18"/>
        <v>9.9293083683607203E-2</v>
      </c>
      <c r="X36" s="130">
        <f t="shared" si="24"/>
        <v>-3.1615333569378068E-2</v>
      </c>
      <c r="AA36" s="76"/>
    </row>
    <row r="37" spans="2:27">
      <c r="B37" s="94" t="s">
        <v>27</v>
      </c>
      <c r="C37" s="166">
        <v>46.3</v>
      </c>
      <c r="D37" s="166">
        <v>56</v>
      </c>
      <c r="E37" s="166">
        <v>62.9</v>
      </c>
      <c r="F37" s="166">
        <v>64.099999999999994</v>
      </c>
      <c r="G37" s="166">
        <v>74.7</v>
      </c>
      <c r="H37" s="166">
        <v>73</v>
      </c>
      <c r="I37" s="166">
        <v>72.400000000000006</v>
      </c>
      <c r="J37" s="166">
        <v>60.4</v>
      </c>
      <c r="K37" s="166">
        <v>57.1</v>
      </c>
      <c r="L37" s="166">
        <v>54.6</v>
      </c>
      <c r="M37" s="166">
        <v>53.1</v>
      </c>
      <c r="N37" s="142"/>
      <c r="O37" s="144"/>
      <c r="P37" s="92" t="str">
        <f t="shared" si="19"/>
        <v>Pensions</v>
      </c>
      <c r="Q37" s="128">
        <f t="shared" si="20"/>
        <v>377</v>
      </c>
      <c r="R37" s="153">
        <f t="shared" si="17"/>
        <v>5.9984089101034206E-2</v>
      </c>
      <c r="S37" s="130">
        <f t="shared" si="21"/>
        <v>9.5338552679503197E-2</v>
      </c>
      <c r="T37" s="151"/>
      <c r="U37" s="92" t="str">
        <f t="shared" si="22"/>
        <v>Pensions</v>
      </c>
      <c r="V37" s="106">
        <f t="shared" si="23"/>
        <v>297.60000000000002</v>
      </c>
      <c r="W37" s="153">
        <f t="shared" si="18"/>
        <v>5.6858998853649229E-2</v>
      </c>
      <c r="X37" s="130">
        <f t="shared" si="24"/>
        <v>-6.1672742827912463E-2</v>
      </c>
      <c r="AA37" s="76"/>
    </row>
    <row r="38" spans="2:27">
      <c r="B38" s="94"/>
      <c r="C38" s="100"/>
      <c r="D38" s="100"/>
      <c r="E38" s="100"/>
      <c r="F38" s="100"/>
      <c r="G38" s="100"/>
      <c r="H38" s="100"/>
      <c r="I38" s="100"/>
      <c r="J38" s="100"/>
      <c r="K38" s="100"/>
      <c r="L38" s="100"/>
      <c r="M38" s="100"/>
      <c r="N38" s="142"/>
      <c r="O38" s="144"/>
      <c r="P38" s="92"/>
      <c r="Q38" s="128"/>
      <c r="R38" s="153"/>
      <c r="S38" s="130"/>
      <c r="T38" s="151"/>
      <c r="U38" s="92"/>
      <c r="V38" s="106"/>
      <c r="W38" s="153"/>
      <c r="X38" s="130"/>
      <c r="AA38" s="76"/>
    </row>
    <row r="39" spans="2:27">
      <c r="B39" s="94" t="s">
        <v>28</v>
      </c>
      <c r="C39" s="133">
        <f>SUM(C28:C37)</f>
        <v>1053.7</v>
      </c>
      <c r="D39" s="133">
        <f t="shared" ref="D39:M39" si="25">SUM(D28:D37)</f>
        <v>1083</v>
      </c>
      <c r="E39" s="133">
        <f t="shared" si="25"/>
        <v>1026.3999999999999</v>
      </c>
      <c r="F39" s="133">
        <f t="shared" si="25"/>
        <v>1029.5</v>
      </c>
      <c r="G39" s="133">
        <f t="shared" si="25"/>
        <v>1042.3000000000002</v>
      </c>
      <c r="H39" s="133">
        <f t="shared" si="25"/>
        <v>1050.0999999999999</v>
      </c>
      <c r="I39" s="133">
        <f t="shared" si="25"/>
        <v>1081.8</v>
      </c>
      <c r="J39" s="133">
        <f t="shared" si="25"/>
        <v>1049.8999999999999</v>
      </c>
      <c r="K39" s="133">
        <f t="shared" si="25"/>
        <v>1034</v>
      </c>
      <c r="L39" s="133">
        <f t="shared" si="25"/>
        <v>1029.8999999999999</v>
      </c>
      <c r="M39" s="133">
        <f t="shared" si="25"/>
        <v>1038.3999999999999</v>
      </c>
      <c r="N39" s="142"/>
      <c r="O39" s="143"/>
      <c r="P39" s="92" t="str">
        <f t="shared" si="19"/>
        <v>Total</v>
      </c>
      <c r="Q39" s="128">
        <f>SUM(C39:H39)</f>
        <v>6285</v>
      </c>
      <c r="R39" s="153">
        <f>Q39/$Q$39</f>
        <v>1</v>
      </c>
      <c r="S39" s="130">
        <f>((H39/C39)^(1/5))-1</f>
        <v>-6.8424217818829902E-4</v>
      </c>
      <c r="T39" s="151"/>
      <c r="U39" s="92" t="str">
        <f t="shared" si="22"/>
        <v>Total</v>
      </c>
      <c r="V39" s="106">
        <f>SUM(I39:M39)</f>
        <v>5233.9999999999991</v>
      </c>
      <c r="W39" s="153">
        <f t="shared" ref="W39" si="26">V39/$V$39</f>
        <v>1</v>
      </c>
      <c r="X39" s="130">
        <f>((M39/H39)^(1/5))-1</f>
        <v>-2.2383572862288981E-3</v>
      </c>
      <c r="AA39" s="76"/>
    </row>
    <row r="40" spans="2:27">
      <c r="B40" s="94"/>
      <c r="C40" s="100"/>
      <c r="D40" s="101"/>
      <c r="E40" s="101"/>
      <c r="F40" s="101"/>
      <c r="G40" s="101"/>
      <c r="H40" s="101"/>
      <c r="I40" s="101"/>
      <c r="J40" s="101"/>
      <c r="K40" s="101"/>
      <c r="L40" s="101"/>
      <c r="M40" s="101"/>
      <c r="N40" s="142"/>
      <c r="O40" s="147"/>
      <c r="P40" s="92"/>
      <c r="Q40" s="104"/>
      <c r="R40" s="104"/>
      <c r="S40" s="130"/>
      <c r="T40" s="151"/>
      <c r="U40" s="92"/>
      <c r="V40" s="104"/>
      <c r="W40" s="104"/>
      <c r="X40" s="130"/>
      <c r="Z40" s="76"/>
    </row>
    <row r="41" spans="2:27">
      <c r="B41" s="94" t="s">
        <v>252</v>
      </c>
      <c r="C41" s="175">
        <f>C55</f>
        <v>7907</v>
      </c>
      <c r="D41" s="175">
        <f t="shared" ref="D41:M41" si="27">D55</f>
        <v>7406</v>
      </c>
      <c r="E41" s="175">
        <f t="shared" si="27"/>
        <v>7457</v>
      </c>
      <c r="F41" s="175">
        <f t="shared" si="27"/>
        <v>7464</v>
      </c>
      <c r="G41" s="175">
        <f t="shared" si="27"/>
        <v>7152</v>
      </c>
      <c r="H41" s="175">
        <f t="shared" si="27"/>
        <v>6893</v>
      </c>
      <c r="I41" s="175">
        <f t="shared" si="27"/>
        <v>6552</v>
      </c>
      <c r="J41" s="175">
        <f t="shared" si="27"/>
        <v>6362</v>
      </c>
      <c r="K41" s="175">
        <f t="shared" si="27"/>
        <v>6051</v>
      </c>
      <c r="L41" s="175">
        <f t="shared" si="27"/>
        <v>5854</v>
      </c>
      <c r="M41" s="175">
        <f t="shared" si="27"/>
        <v>5797</v>
      </c>
      <c r="N41" s="142"/>
      <c r="O41" s="147"/>
      <c r="P41" s="94" t="s">
        <v>252</v>
      </c>
      <c r="Q41" s="106">
        <f>SUM(C41:H41)</f>
        <v>44279</v>
      </c>
      <c r="R41" s="106"/>
      <c r="S41" s="130">
        <f>((H41/C41)^(1/5))-1</f>
        <v>-2.7075123442601212E-2</v>
      </c>
      <c r="T41" s="151"/>
      <c r="U41" s="94" t="s">
        <v>252</v>
      </c>
      <c r="V41" s="106">
        <f>SUM(I41:M41)</f>
        <v>30616</v>
      </c>
      <c r="W41" s="106"/>
      <c r="X41" s="130">
        <f>((M41/H41)^(1/5))-1</f>
        <v>-3.404030796223767E-2</v>
      </c>
      <c r="Z41" s="76"/>
    </row>
    <row r="42" spans="2:27">
      <c r="B42" s="94" t="s">
        <v>207</v>
      </c>
      <c r="C42" s="100">
        <v>65.900000000000006</v>
      </c>
      <c r="D42" s="100">
        <v>66.099999999999994</v>
      </c>
      <c r="E42" s="100">
        <v>66.099999999999994</v>
      </c>
      <c r="F42" s="174">
        <f>[2]CA!J18</f>
        <v>70.067623000000012</v>
      </c>
      <c r="G42" s="174">
        <f>[2]CA!K18</f>
        <v>69.599999999999994</v>
      </c>
      <c r="H42" s="174">
        <f>[2]CA!L18</f>
        <v>68.8</v>
      </c>
      <c r="I42" s="174">
        <f>[2]CA!M18</f>
        <v>69.494122000000004</v>
      </c>
      <c r="J42" s="174">
        <f>[2]CA!N18</f>
        <v>70.256156000000004</v>
      </c>
      <c r="K42" s="174">
        <f>[2]CA!O18</f>
        <v>71.025689999999997</v>
      </c>
      <c r="L42" s="174">
        <f>[2]CA!P18</f>
        <v>71.812779000000006</v>
      </c>
      <c r="M42" s="174">
        <f>[2]CA!Q18</f>
        <v>72.602541000000002</v>
      </c>
      <c r="N42" s="142"/>
      <c r="O42" s="144"/>
      <c r="P42" s="92" t="str">
        <f t="shared" si="19"/>
        <v>Passengers (m)</v>
      </c>
      <c r="Q42" s="106">
        <f>SUM(C42:H42)</f>
        <v>406.56762299999997</v>
      </c>
      <c r="R42" s="106"/>
      <c r="S42" s="130">
        <f>((H42/C42)^(1/5))-1</f>
        <v>8.6502598161137811E-3</v>
      </c>
      <c r="T42" s="151"/>
      <c r="U42" s="92" t="str">
        <f t="shared" si="22"/>
        <v>Passengers (m)</v>
      </c>
      <c r="V42" s="106">
        <f>SUM(I42:M42)</f>
        <v>355.19128799999999</v>
      </c>
      <c r="W42" s="106"/>
      <c r="X42" s="130">
        <f>((M42/H42)^(1/5))-1</f>
        <v>1.081732397056423E-2</v>
      </c>
    </row>
    <row r="43" spans="2:27">
      <c r="B43" s="98" t="s">
        <v>224</v>
      </c>
      <c r="C43" s="161">
        <f t="shared" ref="C43:M43" si="28">C39/C42</f>
        <v>15.98937784522003</v>
      </c>
      <c r="D43" s="161">
        <f t="shared" si="28"/>
        <v>16.384266263237521</v>
      </c>
      <c r="E43" s="161">
        <f t="shared" si="28"/>
        <v>15.527987897125566</v>
      </c>
      <c r="F43" s="161">
        <f t="shared" si="28"/>
        <v>14.692948838866702</v>
      </c>
      <c r="G43" s="161">
        <f t="shared" si="28"/>
        <v>14.975574712643683</v>
      </c>
      <c r="H43" s="161">
        <f t="shared" si="28"/>
        <v>15.263081395348836</v>
      </c>
      <c r="I43" s="161">
        <f t="shared" si="28"/>
        <v>15.566784195071921</v>
      </c>
      <c r="J43" s="161">
        <f t="shared" si="28"/>
        <v>14.943886198385233</v>
      </c>
      <c r="K43" s="161">
        <f t="shared" si="28"/>
        <v>14.558112705416871</v>
      </c>
      <c r="L43" s="161">
        <f t="shared" si="28"/>
        <v>14.341458642061461</v>
      </c>
      <c r="M43" s="161">
        <f t="shared" si="28"/>
        <v>14.302529714490294</v>
      </c>
      <c r="N43" s="142"/>
      <c r="O43" s="145"/>
      <c r="P43" s="43" t="str">
        <f>B43</f>
        <v>Total opex / passenger</v>
      </c>
      <c r="Q43" s="107">
        <f>Q39/Q42</f>
        <v>15.458682995030326</v>
      </c>
      <c r="R43" s="107"/>
      <c r="S43" s="131">
        <f t="shared" si="21"/>
        <v>-9.2544486093761869E-3</v>
      </c>
      <c r="T43" s="151"/>
      <c r="U43" s="43" t="str">
        <f t="shared" si="22"/>
        <v>Total opex / passenger</v>
      </c>
      <c r="V43" s="107">
        <f>V39/V42</f>
        <v>14.735721783806813</v>
      </c>
      <c r="W43" s="132"/>
      <c r="X43" s="131">
        <f>((M43/H43)^(1/5))-1</f>
        <v>-1.2915965078150293E-2</v>
      </c>
    </row>
    <row r="44" spans="2:27" s="61" customFormat="1">
      <c r="B44" s="140"/>
      <c r="C44" s="145"/>
      <c r="D44" s="145"/>
      <c r="E44" s="145"/>
      <c r="F44" s="145"/>
      <c r="G44" s="145"/>
      <c r="H44" s="145"/>
      <c r="I44" s="145"/>
      <c r="J44" s="145"/>
      <c r="K44" s="145"/>
      <c r="L44" s="145"/>
      <c r="M44" s="145"/>
      <c r="N44" s="142"/>
      <c r="O44" s="145"/>
      <c r="P44" s="140"/>
      <c r="Q44" s="149"/>
      <c r="R44" s="145"/>
      <c r="S44" s="151"/>
      <c r="T44" s="151"/>
      <c r="U44" s="43"/>
      <c r="V44" s="149"/>
      <c r="W44" s="163"/>
      <c r="X44" s="151"/>
    </row>
    <row r="45" spans="2:27">
      <c r="N45" s="142"/>
      <c r="P45" s="19"/>
      <c r="U45" s="43"/>
    </row>
    <row r="46" spans="2:27">
      <c r="N46" s="142"/>
      <c r="P46" s="19"/>
      <c r="U46" s="19"/>
      <c r="V46" s="30"/>
    </row>
    <row r="47" spans="2:27">
      <c r="B47" s="84" t="s">
        <v>258</v>
      </c>
      <c r="C47" s="626" t="s">
        <v>30</v>
      </c>
      <c r="D47" s="627"/>
      <c r="E47" s="627"/>
      <c r="F47" s="627"/>
      <c r="G47" s="628"/>
      <c r="H47" s="87" t="s">
        <v>187</v>
      </c>
      <c r="I47" s="626" t="s">
        <v>31</v>
      </c>
      <c r="J47" s="627"/>
      <c r="K47" s="627"/>
      <c r="L47" s="627"/>
      <c r="M47" s="628"/>
      <c r="N47" s="142"/>
      <c r="P47" s="84" t="s">
        <v>263</v>
      </c>
      <c r="Q47" s="84"/>
      <c r="R47" s="84"/>
      <c r="S47" s="84"/>
      <c r="T47" s="138"/>
      <c r="U47" s="84" t="s">
        <v>259</v>
      </c>
      <c r="V47" s="86"/>
      <c r="W47" s="86"/>
      <c r="X47" s="86"/>
    </row>
    <row r="48" spans="2:27" ht="25.5">
      <c r="B48" s="29" t="s">
        <v>252</v>
      </c>
      <c r="C48" s="75" t="s">
        <v>12</v>
      </c>
      <c r="D48" s="75" t="s">
        <v>13</v>
      </c>
      <c r="E48" s="75" t="s">
        <v>14</v>
      </c>
      <c r="F48" s="75" t="s">
        <v>15</v>
      </c>
      <c r="G48" s="75" t="s">
        <v>16</v>
      </c>
      <c r="H48" s="75" t="s">
        <v>17</v>
      </c>
      <c r="I48" s="75" t="s">
        <v>32</v>
      </c>
      <c r="J48" s="75" t="s">
        <v>33</v>
      </c>
      <c r="K48" s="75" t="s">
        <v>34</v>
      </c>
      <c r="L48" s="75" t="s">
        <v>35</v>
      </c>
      <c r="M48" s="75" t="s">
        <v>36</v>
      </c>
      <c r="N48" s="142"/>
      <c r="P48" s="29" t="s">
        <v>232</v>
      </c>
      <c r="Q48" s="73" t="s">
        <v>226</v>
      </c>
      <c r="R48" s="73" t="s">
        <v>246</v>
      </c>
      <c r="S48" s="73" t="s">
        <v>225</v>
      </c>
      <c r="T48" s="150"/>
      <c r="U48" s="29" t="s">
        <v>232</v>
      </c>
      <c r="V48" s="73" t="s">
        <v>37</v>
      </c>
      <c r="W48" s="73" t="s">
        <v>246</v>
      </c>
      <c r="X48" s="73" t="s">
        <v>206</v>
      </c>
    </row>
    <row r="49" spans="2:24">
      <c r="B49" s="92" t="s">
        <v>253</v>
      </c>
      <c r="C49" s="614" t="s">
        <v>808</v>
      </c>
      <c r="D49" s="614" t="s">
        <v>808</v>
      </c>
      <c r="E49" s="614" t="s">
        <v>808</v>
      </c>
      <c r="F49" s="614" t="s">
        <v>808</v>
      </c>
      <c r="G49" s="614" t="s">
        <v>808</v>
      </c>
      <c r="H49" s="614" t="s">
        <v>808</v>
      </c>
      <c r="I49" s="614" t="s">
        <v>808</v>
      </c>
      <c r="J49" s="614" t="s">
        <v>808</v>
      </c>
      <c r="K49" s="614" t="s">
        <v>808</v>
      </c>
      <c r="L49" s="614" t="s">
        <v>808</v>
      </c>
      <c r="M49" s="614" t="s">
        <v>808</v>
      </c>
      <c r="N49" s="142"/>
      <c r="P49" s="92" t="str">
        <f>B49</f>
        <v>Security</v>
      </c>
      <c r="Q49" s="614" t="s">
        <v>808</v>
      </c>
      <c r="R49" s="614" t="s">
        <v>808</v>
      </c>
      <c r="S49" s="614" t="s">
        <v>808</v>
      </c>
      <c r="T49" s="151"/>
      <c r="U49" s="92" t="str">
        <f>P49</f>
        <v>Security</v>
      </c>
      <c r="V49" s="614" t="s">
        <v>808</v>
      </c>
      <c r="W49" s="614" t="s">
        <v>808</v>
      </c>
      <c r="X49" s="614" t="s">
        <v>808</v>
      </c>
    </row>
    <row r="50" spans="2:24">
      <c r="B50" s="94" t="s">
        <v>254</v>
      </c>
      <c r="C50" s="614" t="s">
        <v>808</v>
      </c>
      <c r="D50" s="614" t="s">
        <v>808</v>
      </c>
      <c r="E50" s="614" t="s">
        <v>808</v>
      </c>
      <c r="F50" s="614" t="s">
        <v>808</v>
      </c>
      <c r="G50" s="614" t="s">
        <v>808</v>
      </c>
      <c r="H50" s="614" t="s">
        <v>808</v>
      </c>
      <c r="I50" s="614" t="s">
        <v>808</v>
      </c>
      <c r="J50" s="614" t="s">
        <v>808</v>
      </c>
      <c r="K50" s="614" t="s">
        <v>808</v>
      </c>
      <c r="L50" s="614" t="s">
        <v>808</v>
      </c>
      <c r="M50" s="614" t="s">
        <v>808</v>
      </c>
      <c r="N50" s="142"/>
      <c r="P50" s="92" t="str">
        <f t="shared" ref="P50:P55" si="29">B50</f>
        <v>Operations</v>
      </c>
      <c r="Q50" s="614" t="s">
        <v>808</v>
      </c>
      <c r="R50" s="614" t="s">
        <v>808</v>
      </c>
      <c r="S50" s="614" t="s">
        <v>808</v>
      </c>
      <c r="T50" s="151"/>
      <c r="U50" s="92" t="str">
        <f t="shared" ref="U50:U55" si="30">P50</f>
        <v>Operations</v>
      </c>
      <c r="V50" s="614" t="s">
        <v>808</v>
      </c>
      <c r="W50" s="614" t="s">
        <v>808</v>
      </c>
      <c r="X50" s="614" t="s">
        <v>808</v>
      </c>
    </row>
    <row r="51" spans="2:24">
      <c r="B51" s="94" t="s">
        <v>255</v>
      </c>
      <c r="C51" s="614" t="s">
        <v>808</v>
      </c>
      <c r="D51" s="614" t="s">
        <v>808</v>
      </c>
      <c r="E51" s="614" t="s">
        <v>808</v>
      </c>
      <c r="F51" s="614" t="s">
        <v>808</v>
      </c>
      <c r="G51" s="614" t="s">
        <v>808</v>
      </c>
      <c r="H51" s="614" t="s">
        <v>808</v>
      </c>
      <c r="I51" s="614" t="s">
        <v>808</v>
      </c>
      <c r="J51" s="614" t="s">
        <v>808</v>
      </c>
      <c r="K51" s="614" t="s">
        <v>808</v>
      </c>
      <c r="L51" s="614" t="s">
        <v>808</v>
      </c>
      <c r="M51" s="614" t="s">
        <v>808</v>
      </c>
      <c r="N51" s="142"/>
      <c r="P51" s="92" t="str">
        <f t="shared" si="29"/>
        <v>Facilities</v>
      </c>
      <c r="Q51" s="614" t="s">
        <v>808</v>
      </c>
      <c r="R51" s="614" t="s">
        <v>808</v>
      </c>
      <c r="S51" s="614" t="s">
        <v>808</v>
      </c>
      <c r="U51" s="92" t="str">
        <f t="shared" si="30"/>
        <v>Facilities</v>
      </c>
      <c r="V51" s="614" t="s">
        <v>808</v>
      </c>
      <c r="W51" s="614" t="s">
        <v>808</v>
      </c>
      <c r="X51" s="614" t="s">
        <v>808</v>
      </c>
    </row>
    <row r="52" spans="2:24">
      <c r="B52" s="94" t="s">
        <v>251</v>
      </c>
      <c r="C52" s="614" t="s">
        <v>808</v>
      </c>
      <c r="D52" s="614" t="s">
        <v>808</v>
      </c>
      <c r="E52" s="614" t="s">
        <v>808</v>
      </c>
      <c r="F52" s="614" t="s">
        <v>808</v>
      </c>
      <c r="G52" s="614" t="s">
        <v>808</v>
      </c>
      <c r="H52" s="614" t="s">
        <v>808</v>
      </c>
      <c r="I52" s="614" t="s">
        <v>808</v>
      </c>
      <c r="J52" s="614" t="s">
        <v>808</v>
      </c>
      <c r="K52" s="614" t="s">
        <v>808</v>
      </c>
      <c r="L52" s="614" t="s">
        <v>808</v>
      </c>
      <c r="M52" s="614" t="s">
        <v>808</v>
      </c>
      <c r="N52" s="142"/>
      <c r="P52" s="92" t="str">
        <f t="shared" si="29"/>
        <v>Commercial</v>
      </c>
      <c r="Q52" s="614" t="s">
        <v>808</v>
      </c>
      <c r="R52" s="614" t="s">
        <v>808</v>
      </c>
      <c r="S52" s="614" t="s">
        <v>808</v>
      </c>
      <c r="U52" s="92" t="str">
        <f t="shared" si="30"/>
        <v>Commercial</v>
      </c>
      <c r="V52" s="614" t="s">
        <v>808</v>
      </c>
      <c r="W52" s="614" t="s">
        <v>808</v>
      </c>
      <c r="X52" s="614" t="s">
        <v>808</v>
      </c>
    </row>
    <row r="53" spans="2:24">
      <c r="B53" s="94" t="s">
        <v>87</v>
      </c>
      <c r="C53" s="614" t="s">
        <v>808</v>
      </c>
      <c r="D53" s="614" t="s">
        <v>808</v>
      </c>
      <c r="E53" s="614" t="s">
        <v>808</v>
      </c>
      <c r="F53" s="614" t="s">
        <v>808</v>
      </c>
      <c r="G53" s="614" t="s">
        <v>808</v>
      </c>
      <c r="H53" s="614" t="s">
        <v>808</v>
      </c>
      <c r="I53" s="614" t="s">
        <v>808</v>
      </c>
      <c r="J53" s="614" t="s">
        <v>808</v>
      </c>
      <c r="K53" s="614" t="s">
        <v>808</v>
      </c>
      <c r="L53" s="614" t="s">
        <v>808</v>
      </c>
      <c r="M53" s="614" t="s">
        <v>808</v>
      </c>
      <c r="N53" s="142"/>
      <c r="P53" s="92" t="str">
        <f t="shared" si="29"/>
        <v xml:space="preserve">Rail </v>
      </c>
      <c r="Q53" s="614" t="s">
        <v>808</v>
      </c>
      <c r="R53" s="614" t="s">
        <v>808</v>
      </c>
      <c r="S53" s="614" t="s">
        <v>808</v>
      </c>
      <c r="U53" s="92" t="str">
        <f t="shared" si="30"/>
        <v xml:space="preserve">Rail </v>
      </c>
      <c r="V53" s="614" t="s">
        <v>808</v>
      </c>
      <c r="W53" s="614" t="s">
        <v>808</v>
      </c>
      <c r="X53" s="614" t="s">
        <v>808</v>
      </c>
    </row>
    <row r="54" spans="2:24">
      <c r="B54" s="94" t="s">
        <v>256</v>
      </c>
      <c r="C54" s="614" t="s">
        <v>808</v>
      </c>
      <c r="D54" s="614" t="s">
        <v>808</v>
      </c>
      <c r="E54" s="614" t="s">
        <v>808</v>
      </c>
      <c r="F54" s="614" t="s">
        <v>808</v>
      </c>
      <c r="G54" s="614" t="s">
        <v>808</v>
      </c>
      <c r="H54" s="614" t="s">
        <v>808</v>
      </c>
      <c r="I54" s="614" t="s">
        <v>808</v>
      </c>
      <c r="J54" s="614" t="s">
        <v>808</v>
      </c>
      <c r="K54" s="614" t="s">
        <v>808</v>
      </c>
      <c r="L54" s="614" t="s">
        <v>808</v>
      </c>
      <c r="M54" s="614" t="s">
        <v>808</v>
      </c>
      <c r="N54" s="142"/>
      <c r="P54" s="92" t="str">
        <f t="shared" si="29"/>
        <v>Central Support</v>
      </c>
      <c r="Q54" s="614" t="s">
        <v>808</v>
      </c>
      <c r="R54" s="614" t="s">
        <v>808</v>
      </c>
      <c r="S54" s="614" t="s">
        <v>808</v>
      </c>
      <c r="U54" s="92" t="str">
        <f t="shared" si="30"/>
        <v>Central Support</v>
      </c>
      <c r="V54" s="614" t="s">
        <v>808</v>
      </c>
      <c r="W54" s="614" t="s">
        <v>808</v>
      </c>
      <c r="X54" s="614" t="s">
        <v>808</v>
      </c>
    </row>
    <row r="55" spans="2:24">
      <c r="B55" s="98" t="s">
        <v>28</v>
      </c>
      <c r="C55" s="127">
        <v>7907</v>
      </c>
      <c r="D55" s="127">
        <v>7406</v>
      </c>
      <c r="E55" s="127">
        <v>7457</v>
      </c>
      <c r="F55" s="127">
        <v>7464</v>
      </c>
      <c r="G55" s="127">
        <v>7152</v>
      </c>
      <c r="H55" s="127">
        <v>6893</v>
      </c>
      <c r="I55" s="127">
        <v>6552</v>
      </c>
      <c r="J55" s="127">
        <v>6362</v>
      </c>
      <c r="K55" s="127">
        <v>6051</v>
      </c>
      <c r="L55" s="127">
        <v>5854</v>
      </c>
      <c r="M55" s="127">
        <v>5797</v>
      </c>
      <c r="N55" s="142"/>
      <c r="P55" s="92" t="str">
        <f t="shared" si="29"/>
        <v>Total</v>
      </c>
      <c r="Q55" s="128">
        <f t="shared" ref="Q55" si="31">SUM(C55:H55)</f>
        <v>44279</v>
      </c>
      <c r="R55" s="153">
        <f t="shared" ref="R55" si="32">Q55/$Q$55</f>
        <v>1</v>
      </c>
      <c r="S55" s="129">
        <f>((H55/C55)^(1/5))-1</f>
        <v>-2.7075123442601212E-2</v>
      </c>
      <c r="U55" s="92" t="str">
        <f t="shared" si="30"/>
        <v>Total</v>
      </c>
      <c r="V55" s="128">
        <f t="shared" ref="V55" si="33">SUM(I55:M55)</f>
        <v>30616</v>
      </c>
      <c r="W55" s="153">
        <f t="shared" ref="W55" si="34">V55/$V$55</f>
        <v>1</v>
      </c>
      <c r="X55" s="129">
        <f>((M55/H55)^(1/5))-1</f>
        <v>-3.404030796223767E-2</v>
      </c>
    </row>
    <row r="59" spans="2:24">
      <c r="B59" s="84" t="s">
        <v>577</v>
      </c>
      <c r="C59" s="84"/>
      <c r="D59" s="84"/>
      <c r="E59" s="84"/>
      <c r="F59" s="84"/>
      <c r="G59" s="84"/>
      <c r="H59" s="84"/>
      <c r="I59" s="84"/>
      <c r="J59" s="84"/>
      <c r="K59" s="84"/>
      <c r="L59" s="84"/>
      <c r="M59" s="84"/>
      <c r="N59" s="84"/>
      <c r="O59" s="84"/>
      <c r="P59" s="84"/>
      <c r="Q59" s="84"/>
      <c r="R59" s="84"/>
      <c r="S59" s="84"/>
      <c r="T59" s="84"/>
      <c r="U59" s="84"/>
      <c r="V59" s="84"/>
      <c r="W59" s="84"/>
      <c r="X59" s="84"/>
    </row>
    <row r="60" spans="2:24" ht="15">
      <c r="B60" s="241"/>
      <c r="D60" s="242"/>
      <c r="E60" s="242"/>
      <c r="F60" s="242"/>
      <c r="G60" s="242"/>
      <c r="H60" s="242"/>
      <c r="I60" s="242"/>
      <c r="J60" s="242"/>
      <c r="K60" s="242"/>
    </row>
    <row r="61" spans="2:24" ht="15">
      <c r="B61" s="53" t="s">
        <v>805</v>
      </c>
      <c r="C61" s="242"/>
      <c r="D61" s="242"/>
      <c r="E61" s="242"/>
      <c r="F61" s="242"/>
      <c r="G61" s="242"/>
      <c r="H61" s="242"/>
      <c r="I61" s="242"/>
      <c r="J61" s="242"/>
    </row>
    <row r="63" spans="2:24">
      <c r="B63" s="84" t="s">
        <v>258</v>
      </c>
      <c r="C63" s="626" t="s">
        <v>30</v>
      </c>
      <c r="D63" s="627"/>
      <c r="E63" s="627"/>
      <c r="F63" s="627"/>
      <c r="G63" s="628"/>
      <c r="H63" s="87" t="s">
        <v>187</v>
      </c>
      <c r="I63" s="626" t="s">
        <v>31</v>
      </c>
      <c r="J63" s="627"/>
      <c r="K63" s="627"/>
      <c r="L63" s="627"/>
      <c r="M63" s="628"/>
      <c r="N63" s="373"/>
      <c r="O63" s="373"/>
      <c r="P63" s="84" t="s">
        <v>263</v>
      </c>
      <c r="Q63" s="84"/>
      <c r="R63" s="84"/>
      <c r="S63" s="84"/>
      <c r="T63" s="138"/>
      <c r="U63" s="84" t="s">
        <v>259</v>
      </c>
      <c r="V63" s="86"/>
      <c r="W63" s="86"/>
      <c r="X63" s="86"/>
    </row>
    <row r="64" spans="2:24" ht="25.5">
      <c r="B64" s="29" t="s">
        <v>232</v>
      </c>
      <c r="C64" s="75" t="s">
        <v>12</v>
      </c>
      <c r="D64" s="75" t="s">
        <v>13</v>
      </c>
      <c r="E64" s="75" t="s">
        <v>14</v>
      </c>
      <c r="F64" s="75" t="s">
        <v>15</v>
      </c>
      <c r="G64" s="75" t="s">
        <v>16</v>
      </c>
      <c r="H64" s="75" t="s">
        <v>17</v>
      </c>
      <c r="I64" s="75" t="s">
        <v>32</v>
      </c>
      <c r="J64" s="75" t="s">
        <v>33</v>
      </c>
      <c r="K64" s="75" t="s">
        <v>34</v>
      </c>
      <c r="L64" s="75" t="s">
        <v>35</v>
      </c>
      <c r="M64" s="75" t="s">
        <v>36</v>
      </c>
      <c r="N64" s="141"/>
      <c r="O64" s="141"/>
      <c r="P64" s="29" t="s">
        <v>232</v>
      </c>
      <c r="Q64" s="73" t="s">
        <v>226</v>
      </c>
      <c r="R64" s="73" t="s">
        <v>246</v>
      </c>
      <c r="S64" s="73" t="s">
        <v>225</v>
      </c>
      <c r="T64" s="150"/>
      <c r="U64" s="29" t="s">
        <v>232</v>
      </c>
      <c r="V64" s="73" t="s">
        <v>37</v>
      </c>
      <c r="W64" s="73" t="s">
        <v>246</v>
      </c>
      <c r="X64" s="73" t="s">
        <v>206</v>
      </c>
    </row>
    <row r="65" spans="2:24">
      <c r="B65" s="92" t="s">
        <v>250</v>
      </c>
      <c r="C65" s="165">
        <v>177</v>
      </c>
      <c r="D65" s="165">
        <v>169</v>
      </c>
      <c r="E65" s="165">
        <v>163</v>
      </c>
      <c r="F65" s="165">
        <v>164</v>
      </c>
      <c r="G65" s="165">
        <v>162</v>
      </c>
      <c r="H65" s="165">
        <v>156</v>
      </c>
      <c r="I65" s="165">
        <v>146</v>
      </c>
      <c r="J65" s="165">
        <v>140</v>
      </c>
      <c r="K65" s="165">
        <v>137</v>
      </c>
      <c r="L65" s="165">
        <v>134</v>
      </c>
      <c r="M65" s="165">
        <v>132</v>
      </c>
      <c r="N65" s="142"/>
      <c r="O65" s="144"/>
      <c r="P65" s="92" t="str">
        <f>B65</f>
        <v>Security Costs (includes police)</v>
      </c>
      <c r="Q65" s="128">
        <f>SUM(C65:H65)</f>
        <v>991</v>
      </c>
      <c r="R65" s="153">
        <f t="shared" ref="R65:R74" si="35">Q65/$Q$39</f>
        <v>0.15767700875099444</v>
      </c>
      <c r="S65" s="129">
        <f>((H65/C65)^(1/5))-1</f>
        <v>-2.4942411952912025E-2</v>
      </c>
      <c r="T65" s="151"/>
      <c r="U65" s="92" t="str">
        <f>P65</f>
        <v>Security Costs (includes police)</v>
      </c>
      <c r="V65" s="128">
        <f>SUM(I65:M65)</f>
        <v>689</v>
      </c>
      <c r="W65" s="153">
        <f t="shared" ref="W65:W74" si="36">V65/$V$39</f>
        <v>0.1316392816201758</v>
      </c>
      <c r="X65" s="129">
        <f>((M65/H65)^(1/5))-1</f>
        <v>-3.2858839999393652E-2</v>
      </c>
    </row>
    <row r="66" spans="2:24">
      <c r="B66" s="94" t="s">
        <v>249</v>
      </c>
      <c r="C66" s="166">
        <v>62</v>
      </c>
      <c r="D66" s="166">
        <v>54</v>
      </c>
      <c r="E66" s="166">
        <v>55</v>
      </c>
      <c r="F66" s="166">
        <v>56</v>
      </c>
      <c r="G66" s="166">
        <v>64</v>
      </c>
      <c r="H66" s="166">
        <v>72</v>
      </c>
      <c r="I66" s="166">
        <v>67</v>
      </c>
      <c r="J66" s="166">
        <v>64</v>
      </c>
      <c r="K66" s="166">
        <v>66</v>
      </c>
      <c r="L66" s="166">
        <v>65</v>
      </c>
      <c r="M66" s="166">
        <v>64</v>
      </c>
      <c r="N66" s="142"/>
      <c r="O66" s="144"/>
      <c r="P66" s="92" t="str">
        <f t="shared" ref="P66:P74" si="37">B66</f>
        <v>Total Operational Staff</v>
      </c>
      <c r="Q66" s="128">
        <f t="shared" ref="Q66:Q74" si="38">SUM(C66:H66)</f>
        <v>363</v>
      </c>
      <c r="R66" s="153">
        <f t="shared" si="35"/>
        <v>5.7756563245823386E-2</v>
      </c>
      <c r="S66" s="130">
        <f t="shared" ref="S66:S74" si="39">((H66/C66)^(1/5))-1</f>
        <v>3.0358033101851145E-2</v>
      </c>
      <c r="T66" s="151"/>
      <c r="U66" s="92" t="str">
        <f t="shared" ref="U66:U74" si="40">P66</f>
        <v>Total Operational Staff</v>
      </c>
      <c r="V66" s="106">
        <f t="shared" ref="V66:V74" si="41">SUM(I66:M66)</f>
        <v>326</v>
      </c>
      <c r="W66" s="153">
        <f t="shared" si="36"/>
        <v>6.2285059228123815E-2</v>
      </c>
      <c r="X66" s="130">
        <f>((M66/H66)^(1/5))-1</f>
        <v>-2.3281316138826114E-2</v>
      </c>
    </row>
    <row r="67" spans="2:24">
      <c r="B67" s="94" t="s">
        <v>20</v>
      </c>
      <c r="C67" s="166">
        <v>172</v>
      </c>
      <c r="D67" s="166">
        <v>177</v>
      </c>
      <c r="E67" s="166">
        <v>158</v>
      </c>
      <c r="F67" s="166">
        <v>161</v>
      </c>
      <c r="G67" s="166">
        <v>165</v>
      </c>
      <c r="H67" s="166">
        <v>173</v>
      </c>
      <c r="I67" s="166">
        <v>172</v>
      </c>
      <c r="J67" s="166">
        <v>170</v>
      </c>
      <c r="K67" s="166">
        <v>167</v>
      </c>
      <c r="L67" s="166">
        <v>167</v>
      </c>
      <c r="M67" s="166">
        <v>167</v>
      </c>
      <c r="N67" s="142"/>
      <c r="O67" s="144"/>
      <c r="P67" s="92" t="str">
        <f t="shared" si="37"/>
        <v>Facilities Management</v>
      </c>
      <c r="Q67" s="128">
        <f t="shared" si="38"/>
        <v>1006</v>
      </c>
      <c r="R67" s="153">
        <f t="shared" si="35"/>
        <v>0.16006364359586317</v>
      </c>
      <c r="S67" s="130">
        <f t="shared" si="39"/>
        <v>1.1600959281710121E-3</v>
      </c>
      <c r="T67" s="151"/>
      <c r="U67" s="92" t="str">
        <f t="shared" si="40"/>
        <v>Facilities Management</v>
      </c>
      <c r="V67" s="106">
        <f t="shared" si="41"/>
        <v>843</v>
      </c>
      <c r="W67" s="153">
        <f t="shared" si="36"/>
        <v>0.16106228505922815</v>
      </c>
      <c r="X67" s="130">
        <f t="shared" ref="X67:X74" si="42">((M67/H67)^(1/5))-1</f>
        <v>-7.0346962827123605E-3</v>
      </c>
    </row>
    <row r="68" spans="2:24">
      <c r="B68" s="94" t="s">
        <v>21</v>
      </c>
      <c r="C68" s="166">
        <v>94</v>
      </c>
      <c r="D68" s="166">
        <v>120</v>
      </c>
      <c r="E68" s="166">
        <v>98</v>
      </c>
      <c r="F68" s="166">
        <v>90</v>
      </c>
      <c r="G68" s="166">
        <v>85</v>
      </c>
      <c r="H68" s="166">
        <v>95</v>
      </c>
      <c r="I68" s="166">
        <v>94</v>
      </c>
      <c r="J68" s="166">
        <v>94</v>
      </c>
      <c r="K68" s="166">
        <v>93</v>
      </c>
      <c r="L68" s="166">
        <v>92</v>
      </c>
      <c r="M68" s="166">
        <v>92</v>
      </c>
      <c r="N68" s="142"/>
      <c r="O68" s="144"/>
      <c r="P68" s="92" t="str">
        <f t="shared" si="37"/>
        <v>Utilities</v>
      </c>
      <c r="Q68" s="128">
        <f t="shared" si="38"/>
        <v>582</v>
      </c>
      <c r="R68" s="153">
        <f t="shared" si="35"/>
        <v>9.2601431980906923E-2</v>
      </c>
      <c r="S68" s="130">
        <f t="shared" si="39"/>
        <v>2.118663067695481E-3</v>
      </c>
      <c r="T68" s="151"/>
      <c r="U68" s="92" t="str">
        <f t="shared" si="40"/>
        <v>Utilities</v>
      </c>
      <c r="V68" s="106">
        <f t="shared" si="41"/>
        <v>465</v>
      </c>
      <c r="W68" s="153">
        <f t="shared" si="36"/>
        <v>8.8842185708826918E-2</v>
      </c>
      <c r="X68" s="130">
        <f t="shared" si="42"/>
        <v>-6.3971136944979134E-3</v>
      </c>
    </row>
    <row r="69" spans="2:24">
      <c r="B69" s="94" t="s">
        <v>22</v>
      </c>
      <c r="C69" s="166">
        <v>117</v>
      </c>
      <c r="D69" s="166">
        <v>125</v>
      </c>
      <c r="E69" s="166">
        <v>113</v>
      </c>
      <c r="F69" s="166">
        <v>120</v>
      </c>
      <c r="G69" s="166">
        <v>127</v>
      </c>
      <c r="H69" s="166">
        <v>125</v>
      </c>
      <c r="I69" s="166">
        <v>140</v>
      </c>
      <c r="J69" s="166">
        <v>143</v>
      </c>
      <c r="K69" s="166">
        <v>142</v>
      </c>
      <c r="L69" s="166">
        <v>165</v>
      </c>
      <c r="M69" s="166">
        <v>175</v>
      </c>
      <c r="N69" s="147"/>
      <c r="O69" s="144"/>
      <c r="P69" s="92" t="str">
        <f t="shared" si="37"/>
        <v>Rent and Rates</v>
      </c>
      <c r="Q69" s="128">
        <f t="shared" si="38"/>
        <v>727</v>
      </c>
      <c r="R69" s="153">
        <f t="shared" si="35"/>
        <v>0.11567223548130469</v>
      </c>
      <c r="S69" s="130">
        <f t="shared" si="39"/>
        <v>1.3315837018615273E-2</v>
      </c>
      <c r="T69" s="151"/>
      <c r="U69" s="92" t="str">
        <f t="shared" si="40"/>
        <v>Rent and Rates</v>
      </c>
      <c r="V69" s="106">
        <f t="shared" si="41"/>
        <v>765</v>
      </c>
      <c r="W69" s="153">
        <f t="shared" si="36"/>
        <v>0.14615972487581202</v>
      </c>
      <c r="X69" s="130">
        <f t="shared" si="42"/>
        <v>6.9610375725068785E-2</v>
      </c>
    </row>
    <row r="70" spans="2:24">
      <c r="B70" s="94" t="s">
        <v>26</v>
      </c>
      <c r="C70" s="166">
        <v>156</v>
      </c>
      <c r="D70" s="166">
        <v>150</v>
      </c>
      <c r="E70" s="166">
        <v>142</v>
      </c>
      <c r="F70" s="166">
        <v>149</v>
      </c>
      <c r="G70" s="166">
        <v>137</v>
      </c>
      <c r="H70" s="166">
        <v>123</v>
      </c>
      <c r="I70" s="166">
        <v>123</v>
      </c>
      <c r="J70" s="166">
        <v>121</v>
      </c>
      <c r="K70" s="166">
        <v>120</v>
      </c>
      <c r="L70" s="166">
        <v>120</v>
      </c>
      <c r="M70" s="166">
        <v>120</v>
      </c>
      <c r="N70" s="145"/>
      <c r="O70" s="144"/>
      <c r="P70" s="92" t="str">
        <f t="shared" si="37"/>
        <v>Other</v>
      </c>
      <c r="Q70" s="128">
        <f t="shared" si="38"/>
        <v>857</v>
      </c>
      <c r="R70" s="153">
        <f t="shared" si="35"/>
        <v>0.13635640413683373</v>
      </c>
      <c r="S70" s="130">
        <f t="shared" si="39"/>
        <v>-4.6422264110980382E-2</v>
      </c>
      <c r="T70" s="151"/>
      <c r="U70" s="92" t="str">
        <f t="shared" si="40"/>
        <v>Other</v>
      </c>
      <c r="V70" s="106">
        <f t="shared" si="41"/>
        <v>604</v>
      </c>
      <c r="W70" s="153">
        <f t="shared" si="36"/>
        <v>0.11539931218953002</v>
      </c>
      <c r="X70" s="130">
        <f t="shared" si="42"/>
        <v>-4.9263480652584901E-3</v>
      </c>
    </row>
    <row r="71" spans="2:24">
      <c r="B71" s="94" t="s">
        <v>251</v>
      </c>
      <c r="C71" s="166">
        <v>39</v>
      </c>
      <c r="D71" s="166">
        <v>52</v>
      </c>
      <c r="E71" s="166">
        <v>42</v>
      </c>
      <c r="F71" s="166">
        <v>43</v>
      </c>
      <c r="G71" s="166">
        <v>48</v>
      </c>
      <c r="H71" s="166">
        <v>49</v>
      </c>
      <c r="I71" s="166">
        <v>48</v>
      </c>
      <c r="J71" s="166">
        <v>46</v>
      </c>
      <c r="K71" s="166">
        <v>44</v>
      </c>
      <c r="L71" s="166">
        <v>43</v>
      </c>
      <c r="M71" s="166">
        <v>42</v>
      </c>
      <c r="N71" s="142"/>
      <c r="O71" s="144"/>
      <c r="P71" s="92" t="str">
        <f t="shared" si="37"/>
        <v>Commercial</v>
      </c>
      <c r="Q71" s="128">
        <f t="shared" si="38"/>
        <v>273</v>
      </c>
      <c r="R71" s="153">
        <f t="shared" si="35"/>
        <v>4.3436754176610977E-2</v>
      </c>
      <c r="S71" s="130">
        <f t="shared" si="39"/>
        <v>4.67098102600354E-2</v>
      </c>
      <c r="T71" s="151"/>
      <c r="U71" s="92" t="str">
        <f t="shared" si="40"/>
        <v>Commercial</v>
      </c>
      <c r="V71" s="106">
        <f t="shared" si="41"/>
        <v>223</v>
      </c>
      <c r="W71" s="153">
        <f t="shared" si="36"/>
        <v>4.260603744745893E-2</v>
      </c>
      <c r="X71" s="130">
        <f t="shared" si="42"/>
        <v>-3.0359733904420927E-2</v>
      </c>
    </row>
    <row r="72" spans="2:24">
      <c r="B72" s="94" t="s">
        <v>24</v>
      </c>
      <c r="C72" s="166">
        <v>71</v>
      </c>
      <c r="D72" s="166">
        <v>75</v>
      </c>
      <c r="E72" s="166">
        <v>72</v>
      </c>
      <c r="F72" s="166">
        <v>64</v>
      </c>
      <c r="G72" s="166">
        <v>64</v>
      </c>
      <c r="H72" s="166">
        <v>63</v>
      </c>
      <c r="I72" s="166">
        <v>62</v>
      </c>
      <c r="J72" s="166">
        <v>61</v>
      </c>
      <c r="K72" s="166">
        <v>61</v>
      </c>
      <c r="L72" s="166">
        <v>61</v>
      </c>
      <c r="M72" s="166">
        <v>61</v>
      </c>
      <c r="N72" s="142"/>
      <c r="O72" s="144"/>
      <c r="P72" s="92" t="str">
        <f t="shared" si="37"/>
        <v>Rail</v>
      </c>
      <c r="Q72" s="128">
        <f t="shared" si="38"/>
        <v>409</v>
      </c>
      <c r="R72" s="153">
        <f t="shared" si="35"/>
        <v>6.5075576770087504E-2</v>
      </c>
      <c r="S72" s="130">
        <f t="shared" si="39"/>
        <v>-2.3625473618191561E-2</v>
      </c>
      <c r="T72" s="151"/>
      <c r="U72" s="92" t="str">
        <f t="shared" si="40"/>
        <v>Rail</v>
      </c>
      <c r="V72" s="106">
        <f t="shared" si="41"/>
        <v>306</v>
      </c>
      <c r="W72" s="153">
        <f t="shared" si="36"/>
        <v>5.846388995032481E-2</v>
      </c>
      <c r="X72" s="130">
        <f t="shared" si="42"/>
        <v>-6.4314018747958501E-3</v>
      </c>
    </row>
    <row r="73" spans="2:24">
      <c r="B73" s="94" t="s">
        <v>23</v>
      </c>
      <c r="C73" s="166">
        <v>120</v>
      </c>
      <c r="D73" s="166">
        <v>106</v>
      </c>
      <c r="E73" s="166">
        <v>119</v>
      </c>
      <c r="F73" s="166">
        <v>119</v>
      </c>
      <c r="G73" s="166">
        <v>116</v>
      </c>
      <c r="H73" s="166">
        <v>121</v>
      </c>
      <c r="I73" s="166">
        <v>115</v>
      </c>
      <c r="J73" s="166">
        <v>112</v>
      </c>
      <c r="K73" s="166">
        <v>110</v>
      </c>
      <c r="L73" s="166">
        <v>109</v>
      </c>
      <c r="M73" s="166">
        <v>108</v>
      </c>
      <c r="N73" s="142"/>
      <c r="O73" s="144"/>
      <c r="P73" s="92" t="str">
        <f t="shared" si="37"/>
        <v>Central Support Services</v>
      </c>
      <c r="Q73" s="128">
        <f t="shared" si="38"/>
        <v>701</v>
      </c>
      <c r="R73" s="153">
        <f t="shared" si="35"/>
        <v>0.11153540175019888</v>
      </c>
      <c r="S73" s="130">
        <f t="shared" si="39"/>
        <v>1.6611387278713252E-3</v>
      </c>
      <c r="T73" s="151"/>
      <c r="U73" s="92" t="str">
        <f t="shared" si="40"/>
        <v>Central Support Services</v>
      </c>
      <c r="V73" s="106">
        <f t="shared" si="41"/>
        <v>554</v>
      </c>
      <c r="W73" s="153">
        <f t="shared" si="36"/>
        <v>0.1058463889950325</v>
      </c>
      <c r="X73" s="130">
        <f t="shared" si="42"/>
        <v>-2.2475441540525498E-2</v>
      </c>
    </row>
    <row r="74" spans="2:24">
      <c r="B74" s="94" t="s">
        <v>27</v>
      </c>
      <c r="C74" s="166">
        <v>46</v>
      </c>
      <c r="D74" s="166">
        <v>56</v>
      </c>
      <c r="E74" s="166">
        <v>63</v>
      </c>
      <c r="F74" s="166">
        <v>64</v>
      </c>
      <c r="G74" s="166">
        <v>75</v>
      </c>
      <c r="H74" s="166">
        <v>73</v>
      </c>
      <c r="I74" s="166">
        <v>72</v>
      </c>
      <c r="J74" s="166">
        <v>60</v>
      </c>
      <c r="K74" s="166">
        <v>57</v>
      </c>
      <c r="L74" s="166">
        <v>55</v>
      </c>
      <c r="M74" s="166">
        <v>53</v>
      </c>
      <c r="N74" s="142"/>
      <c r="O74" s="144"/>
      <c r="P74" s="92" t="str">
        <f t="shared" si="37"/>
        <v>Pensions</v>
      </c>
      <c r="Q74" s="128">
        <f t="shared" si="38"/>
        <v>377</v>
      </c>
      <c r="R74" s="153">
        <f t="shared" si="35"/>
        <v>5.9984089101034206E-2</v>
      </c>
      <c r="S74" s="130">
        <f t="shared" si="39"/>
        <v>9.6763542607481323E-2</v>
      </c>
      <c r="T74" s="151"/>
      <c r="U74" s="92" t="str">
        <f t="shared" si="40"/>
        <v>Pensions</v>
      </c>
      <c r="V74" s="106">
        <f t="shared" si="41"/>
        <v>297</v>
      </c>
      <c r="W74" s="153">
        <f t="shared" si="36"/>
        <v>5.6744363775315255E-2</v>
      </c>
      <c r="X74" s="130">
        <f t="shared" si="42"/>
        <v>-6.2026428287336843E-2</v>
      </c>
    </row>
    <row r="75" spans="2:24">
      <c r="B75" s="94"/>
      <c r="C75" s="100"/>
      <c r="D75" s="100"/>
      <c r="E75" s="100"/>
      <c r="F75" s="100"/>
      <c r="G75" s="100"/>
      <c r="H75" s="100"/>
      <c r="I75" s="100"/>
      <c r="J75" s="100"/>
      <c r="K75" s="100"/>
      <c r="L75" s="100"/>
      <c r="M75" s="100"/>
      <c r="N75" s="142"/>
      <c r="O75" s="144"/>
      <c r="P75" s="92"/>
      <c r="Q75" s="128"/>
      <c r="R75" s="153"/>
      <c r="S75" s="130"/>
      <c r="T75" s="151"/>
      <c r="U75" s="92"/>
      <c r="V75" s="106"/>
      <c r="W75" s="153"/>
      <c r="X75" s="130"/>
    </row>
    <row r="76" spans="2:24">
      <c r="B76" s="94" t="s">
        <v>28</v>
      </c>
      <c r="C76" s="133">
        <f>SUM(C65:C74)</f>
        <v>1054</v>
      </c>
      <c r="D76" s="133">
        <f t="shared" ref="D76:M76" si="43">SUM(D65:D74)</f>
        <v>1084</v>
      </c>
      <c r="E76" s="133">
        <f t="shared" si="43"/>
        <v>1025</v>
      </c>
      <c r="F76" s="133">
        <f t="shared" si="43"/>
        <v>1030</v>
      </c>
      <c r="G76" s="133">
        <f t="shared" si="43"/>
        <v>1043</v>
      </c>
      <c r="H76" s="133">
        <f t="shared" si="43"/>
        <v>1050</v>
      </c>
      <c r="I76" s="133">
        <f t="shared" si="43"/>
        <v>1039</v>
      </c>
      <c r="J76" s="133">
        <f t="shared" si="43"/>
        <v>1011</v>
      </c>
      <c r="K76" s="133">
        <f t="shared" si="43"/>
        <v>997</v>
      </c>
      <c r="L76" s="133">
        <f t="shared" si="43"/>
        <v>1011</v>
      </c>
      <c r="M76" s="133">
        <f t="shared" si="43"/>
        <v>1014</v>
      </c>
      <c r="N76" s="142"/>
      <c r="O76" s="143"/>
      <c r="P76" s="92" t="str">
        <f t="shared" ref="P76" si="44">B76</f>
        <v>Total</v>
      </c>
      <c r="Q76" s="128">
        <f>SUM(C76:H76)</f>
        <v>6286</v>
      </c>
      <c r="R76" s="153">
        <f>Q76/$Q$39</f>
        <v>1.000159108989658</v>
      </c>
      <c r="S76" s="130">
        <f>((H76/C76)^(1/5))-1</f>
        <v>-7.6016811565970954E-4</v>
      </c>
      <c r="T76" s="151"/>
      <c r="U76" s="92" t="str">
        <f t="shared" ref="U76" si="45">P76</f>
        <v>Total</v>
      </c>
      <c r="V76" s="106">
        <f>SUM(I76:M76)</f>
        <v>5072</v>
      </c>
      <c r="W76" s="153">
        <f t="shared" ref="W76" si="46">V76/$V$39</f>
        <v>0.96904852884982817</v>
      </c>
      <c r="X76" s="130">
        <f>((M76/H76)^(1/5))-1</f>
        <v>-6.9531659006689672E-3</v>
      </c>
    </row>
    <row r="77" spans="2:24">
      <c r="B77" s="94"/>
      <c r="C77" s="100"/>
      <c r="D77" s="101"/>
      <c r="E77" s="101"/>
      <c r="F77" s="101"/>
      <c r="G77" s="101"/>
      <c r="H77" s="101"/>
      <c r="I77" s="101"/>
      <c r="J77" s="101"/>
      <c r="K77" s="101"/>
      <c r="L77" s="101"/>
      <c r="M77" s="101"/>
      <c r="N77" s="142"/>
      <c r="O77" s="147"/>
      <c r="P77" s="92"/>
      <c r="Q77" s="104"/>
      <c r="R77" s="104"/>
      <c r="S77" s="130"/>
      <c r="T77" s="151"/>
      <c r="U77" s="92"/>
      <c r="V77" s="104"/>
      <c r="W77" s="104"/>
      <c r="X77" s="130"/>
    </row>
    <row r="78" spans="2:24">
      <c r="B78" s="94" t="s">
        <v>252</v>
      </c>
      <c r="C78" s="175">
        <f>C41</f>
        <v>7907</v>
      </c>
      <c r="D78" s="175">
        <f t="shared" ref="D78:M78" si="47">D41</f>
        <v>7406</v>
      </c>
      <c r="E78" s="175">
        <f t="shared" si="47"/>
        <v>7457</v>
      </c>
      <c r="F78" s="175">
        <f t="shared" si="47"/>
        <v>7464</v>
      </c>
      <c r="G78" s="175">
        <f t="shared" si="47"/>
        <v>7152</v>
      </c>
      <c r="H78" s="175">
        <f t="shared" si="47"/>
        <v>6893</v>
      </c>
      <c r="I78" s="175">
        <f t="shared" si="47"/>
        <v>6552</v>
      </c>
      <c r="J78" s="175">
        <f t="shared" si="47"/>
        <v>6362</v>
      </c>
      <c r="K78" s="175">
        <f t="shared" si="47"/>
        <v>6051</v>
      </c>
      <c r="L78" s="175">
        <f t="shared" si="47"/>
        <v>5854</v>
      </c>
      <c r="M78" s="175">
        <f t="shared" si="47"/>
        <v>5797</v>
      </c>
      <c r="N78" s="142"/>
      <c r="O78" s="147"/>
      <c r="P78" s="94" t="s">
        <v>252</v>
      </c>
      <c r="Q78" s="106">
        <f>SUM(C78:H78)</f>
        <v>44279</v>
      </c>
      <c r="R78" s="106"/>
      <c r="S78" s="130">
        <f>((H78/C78)^(1/5))-1</f>
        <v>-2.7075123442601212E-2</v>
      </c>
      <c r="T78" s="151"/>
      <c r="U78" s="94" t="s">
        <v>252</v>
      </c>
      <c r="V78" s="106">
        <f>SUM(I78:M78)</f>
        <v>30616</v>
      </c>
      <c r="W78" s="106"/>
      <c r="X78" s="130">
        <f>((M78/H78)^(1/5))-1</f>
        <v>-3.404030796223767E-2</v>
      </c>
    </row>
    <row r="79" spans="2:24">
      <c r="B79" s="94" t="s">
        <v>207</v>
      </c>
      <c r="C79" s="174">
        <f>C42</f>
        <v>65.900000000000006</v>
      </c>
      <c r="D79" s="174">
        <f t="shared" ref="D79:M79" si="48">D42</f>
        <v>66.099999999999994</v>
      </c>
      <c r="E79" s="174">
        <f t="shared" si="48"/>
        <v>66.099999999999994</v>
      </c>
      <c r="F79" s="174">
        <f t="shared" si="48"/>
        <v>70.067623000000012</v>
      </c>
      <c r="G79" s="174">
        <f t="shared" si="48"/>
        <v>69.599999999999994</v>
      </c>
      <c r="H79" s="174">
        <f t="shared" si="48"/>
        <v>68.8</v>
      </c>
      <c r="I79" s="174">
        <f t="shared" si="48"/>
        <v>69.494122000000004</v>
      </c>
      <c r="J79" s="174">
        <f t="shared" si="48"/>
        <v>70.256156000000004</v>
      </c>
      <c r="K79" s="174">
        <f t="shared" si="48"/>
        <v>71.025689999999997</v>
      </c>
      <c r="L79" s="174">
        <f t="shared" si="48"/>
        <v>71.812779000000006</v>
      </c>
      <c r="M79" s="174">
        <f t="shared" si="48"/>
        <v>72.602541000000002</v>
      </c>
      <c r="N79" s="142"/>
      <c r="O79" s="144"/>
      <c r="P79" s="92" t="str">
        <f t="shared" ref="P79" si="49">B79</f>
        <v>Passengers (m)</v>
      </c>
      <c r="Q79" s="106">
        <f>SUM(C79:H79)</f>
        <v>406.56762299999997</v>
      </c>
      <c r="R79" s="106"/>
      <c r="S79" s="130">
        <f>((H79/C79)^(1/5))-1</f>
        <v>8.6502598161137811E-3</v>
      </c>
      <c r="T79" s="151"/>
      <c r="U79" s="92" t="str">
        <f t="shared" ref="U79:U80" si="50">P79</f>
        <v>Passengers (m)</v>
      </c>
      <c r="V79" s="106">
        <f>SUM(I79:M79)</f>
        <v>355.19128799999999</v>
      </c>
      <c r="W79" s="106"/>
      <c r="X79" s="130">
        <f>((M79/H79)^(1/5))-1</f>
        <v>1.081732397056423E-2</v>
      </c>
    </row>
    <row r="80" spans="2:24">
      <c r="B80" s="98" t="s">
        <v>224</v>
      </c>
      <c r="C80" s="161">
        <f t="shared" ref="C80:M80" si="51">C76/C79</f>
        <v>15.993930197268588</v>
      </c>
      <c r="D80" s="161">
        <f t="shared" si="51"/>
        <v>16.399394856278366</v>
      </c>
      <c r="E80" s="161">
        <f t="shared" si="51"/>
        <v>15.506807866868382</v>
      </c>
      <c r="F80" s="161">
        <f t="shared" si="51"/>
        <v>14.700084802362994</v>
      </c>
      <c r="G80" s="161">
        <f t="shared" si="51"/>
        <v>14.985632183908047</v>
      </c>
      <c r="H80" s="161">
        <f t="shared" si="51"/>
        <v>15.261627906976745</v>
      </c>
      <c r="I80" s="161">
        <f t="shared" si="51"/>
        <v>14.950904768607623</v>
      </c>
      <c r="J80" s="161">
        <f t="shared" si="51"/>
        <v>14.390198063213136</v>
      </c>
      <c r="K80" s="161">
        <f t="shared" si="51"/>
        <v>14.037174436460949</v>
      </c>
      <c r="L80" s="161">
        <f t="shared" si="51"/>
        <v>14.07827428597353</v>
      </c>
      <c r="M80" s="161">
        <f t="shared" si="51"/>
        <v>13.966453322894029</v>
      </c>
      <c r="N80" s="142"/>
      <c r="O80" s="145"/>
      <c r="P80" s="43" t="str">
        <f>B80</f>
        <v>Total opex / passenger</v>
      </c>
      <c r="Q80" s="107">
        <f>Q76/Q79</f>
        <v>15.461142610463106</v>
      </c>
      <c r="R80" s="107"/>
      <c r="S80" s="131">
        <f t="shared" ref="S80" si="52">((H80/C80)^(1/5))-1</f>
        <v>-9.329723400347989E-3</v>
      </c>
      <c r="T80" s="151"/>
      <c r="U80" s="43" t="str">
        <f t="shared" si="50"/>
        <v>Total opex / passenger</v>
      </c>
      <c r="V80" s="107">
        <f>V76/V79</f>
        <v>14.279629516138359</v>
      </c>
      <c r="W80" s="132"/>
      <c r="X80" s="131">
        <f>((M80/H80)^(1/5))-1</f>
        <v>-1.7580317877249452E-2</v>
      </c>
    </row>
    <row r="83" spans="2:24">
      <c r="B83" s="84" t="s">
        <v>575</v>
      </c>
      <c r="C83" s="84"/>
      <c r="D83" s="84"/>
      <c r="E83" s="84"/>
      <c r="F83" s="84"/>
      <c r="G83" s="84"/>
      <c r="H83" s="84"/>
      <c r="I83" s="84"/>
      <c r="J83" s="84"/>
      <c r="K83" s="84"/>
      <c r="L83" s="84"/>
      <c r="M83" s="84"/>
      <c r="N83" s="84"/>
      <c r="O83" s="84"/>
      <c r="P83" s="84"/>
      <c r="Q83" s="84"/>
      <c r="R83" s="84"/>
      <c r="S83" s="84"/>
      <c r="T83" s="84"/>
      <c r="U83" s="84"/>
      <c r="V83" s="84"/>
      <c r="W83" s="84"/>
      <c r="X83" s="84"/>
    </row>
    <row r="85" spans="2:24">
      <c r="B85" s="53" t="s">
        <v>748</v>
      </c>
    </row>
    <row r="87" spans="2:24">
      <c r="B87" s="84" t="s">
        <v>258</v>
      </c>
      <c r="C87" s="626" t="s">
        <v>30</v>
      </c>
      <c r="D87" s="627"/>
      <c r="E87" s="627"/>
      <c r="F87" s="627"/>
      <c r="G87" s="628"/>
      <c r="H87" s="87" t="s">
        <v>187</v>
      </c>
      <c r="I87" s="626" t="s">
        <v>31</v>
      </c>
      <c r="J87" s="627"/>
      <c r="K87" s="627"/>
      <c r="L87" s="627"/>
      <c r="M87" s="628"/>
      <c r="N87" s="373"/>
      <c r="O87" s="373"/>
      <c r="P87" s="84" t="s">
        <v>263</v>
      </c>
      <c r="Q87" s="84"/>
      <c r="R87" s="84"/>
      <c r="S87" s="84"/>
      <c r="T87" s="138"/>
      <c r="U87" s="84" t="s">
        <v>259</v>
      </c>
      <c r="V87" s="86"/>
      <c r="W87" s="86"/>
      <c r="X87" s="86"/>
    </row>
    <row r="88" spans="2:24" ht="25.5">
      <c r="B88" s="29" t="s">
        <v>232</v>
      </c>
      <c r="C88" s="75" t="s">
        <v>12</v>
      </c>
      <c r="D88" s="75" t="s">
        <v>13</v>
      </c>
      <c r="E88" s="75" t="s">
        <v>14</v>
      </c>
      <c r="F88" s="75" t="s">
        <v>15</v>
      </c>
      <c r="G88" s="75" t="s">
        <v>16</v>
      </c>
      <c r="H88" s="75" t="s">
        <v>17</v>
      </c>
      <c r="I88" s="75" t="s">
        <v>32</v>
      </c>
      <c r="J88" s="75" t="s">
        <v>33</v>
      </c>
      <c r="K88" s="75" t="s">
        <v>34</v>
      </c>
      <c r="L88" s="75" t="s">
        <v>35</v>
      </c>
      <c r="M88" s="75" t="s">
        <v>36</v>
      </c>
      <c r="N88" s="141"/>
      <c r="O88" s="141"/>
      <c r="P88" s="29" t="s">
        <v>232</v>
      </c>
      <c r="Q88" s="73" t="s">
        <v>226</v>
      </c>
      <c r="R88" s="73" t="s">
        <v>246</v>
      </c>
      <c r="S88" s="73"/>
      <c r="T88" s="150"/>
      <c r="U88" s="29" t="s">
        <v>232</v>
      </c>
      <c r="V88" s="73" t="s">
        <v>37</v>
      </c>
      <c r="W88" s="73" t="s">
        <v>246</v>
      </c>
      <c r="X88" s="73"/>
    </row>
    <row r="89" spans="2:24">
      <c r="B89" s="92" t="s">
        <v>250</v>
      </c>
      <c r="C89" s="165">
        <f>C65-C28</f>
        <v>0.19999999999998863</v>
      </c>
      <c r="D89" s="165">
        <f t="shared" ref="D89:M89" si="53">D65-D28</f>
        <v>-0.30000000000001137</v>
      </c>
      <c r="E89" s="165">
        <f t="shared" si="53"/>
        <v>0</v>
      </c>
      <c r="F89" s="165">
        <f t="shared" si="53"/>
        <v>-0.19999999999998863</v>
      </c>
      <c r="G89" s="165">
        <f t="shared" si="53"/>
        <v>-0.40000000000000568</v>
      </c>
      <c r="H89" s="165">
        <f t="shared" si="53"/>
        <v>0.5</v>
      </c>
      <c r="I89" s="165">
        <f t="shared" si="53"/>
        <v>-14</v>
      </c>
      <c r="J89" s="165">
        <f t="shared" si="53"/>
        <v>-13.099999999999994</v>
      </c>
      <c r="K89" s="165">
        <f t="shared" si="53"/>
        <v>-5.1999999999999886</v>
      </c>
      <c r="L89" s="165">
        <f t="shared" si="53"/>
        <v>-0.59999999999999432</v>
      </c>
      <c r="M89" s="165">
        <f t="shared" si="53"/>
        <v>-1.0999999999999943</v>
      </c>
      <c r="N89" s="142"/>
      <c r="O89" s="144"/>
      <c r="P89" s="92" t="str">
        <f>B89</f>
        <v>Security Costs (includes police)</v>
      </c>
      <c r="Q89" s="128">
        <f>SUM(C89:H89)</f>
        <v>-0.20000000000001705</v>
      </c>
      <c r="R89" s="153">
        <f t="shared" ref="R89:R98" si="54">Q89/$Q$39</f>
        <v>-3.1821797931585849E-5</v>
      </c>
      <c r="S89" s="129"/>
      <c r="T89" s="151"/>
      <c r="U89" s="92" t="str">
        <f>P89</f>
        <v>Security Costs (includes police)</v>
      </c>
      <c r="V89" s="128">
        <f>SUM(I89:M89)</f>
        <v>-33.999999999999972</v>
      </c>
      <c r="W89" s="153">
        <f t="shared" ref="W89:W98" si="55">V89/$V$39</f>
        <v>-6.4959877722583067E-3</v>
      </c>
      <c r="X89" s="129"/>
    </row>
    <row r="90" spans="2:24">
      <c r="B90" s="94" t="s">
        <v>249</v>
      </c>
      <c r="C90" s="165">
        <f t="shared" ref="C90:M90" si="56">C66-C29</f>
        <v>-0.39999999999999858</v>
      </c>
      <c r="D90" s="165">
        <f t="shared" si="56"/>
        <v>0.29999999999999716</v>
      </c>
      <c r="E90" s="165">
        <f t="shared" si="56"/>
        <v>-0.10000000000000142</v>
      </c>
      <c r="F90" s="165">
        <f t="shared" si="56"/>
        <v>0.5</v>
      </c>
      <c r="G90" s="165">
        <f t="shared" si="56"/>
        <v>-0.20000000000000284</v>
      </c>
      <c r="H90" s="165">
        <f t="shared" si="56"/>
        <v>-0.5</v>
      </c>
      <c r="I90" s="165">
        <f t="shared" si="56"/>
        <v>-1.5999999999999943</v>
      </c>
      <c r="J90" s="165">
        <f t="shared" si="56"/>
        <v>0.20000000000000284</v>
      </c>
      <c r="K90" s="165">
        <f t="shared" si="56"/>
        <v>-3</v>
      </c>
      <c r="L90" s="165">
        <f t="shared" si="56"/>
        <v>6</v>
      </c>
      <c r="M90" s="165">
        <f t="shared" si="56"/>
        <v>5.2000000000000028</v>
      </c>
      <c r="N90" s="142"/>
      <c r="O90" s="144"/>
      <c r="P90" s="92" t="str">
        <f t="shared" ref="P90:P98" si="57">B90</f>
        <v>Total Operational Staff</v>
      </c>
      <c r="Q90" s="128">
        <f t="shared" ref="Q90:Q98" si="58">SUM(C90:H90)</f>
        <v>-0.40000000000000568</v>
      </c>
      <c r="R90" s="153">
        <f t="shared" si="54"/>
        <v>-6.3643595863167171E-5</v>
      </c>
      <c r="S90" s="130"/>
      <c r="T90" s="151"/>
      <c r="U90" s="92" t="str">
        <f t="shared" ref="U90:U98" si="59">P90</f>
        <v>Total Operational Staff</v>
      </c>
      <c r="V90" s="106">
        <f t="shared" ref="V90:V98" si="60">SUM(I90:M90)</f>
        <v>6.8000000000000114</v>
      </c>
      <c r="W90" s="153">
        <f t="shared" si="55"/>
        <v>1.2991975544516647E-3</v>
      </c>
      <c r="X90" s="130"/>
    </row>
    <row r="91" spans="2:24">
      <c r="B91" s="94" t="s">
        <v>20</v>
      </c>
      <c r="C91" s="165">
        <f t="shared" ref="C91:M91" si="61">C67-C30</f>
        <v>0.5</v>
      </c>
      <c r="D91" s="165">
        <f t="shared" si="61"/>
        <v>-0.30000000000001137</v>
      </c>
      <c r="E91" s="165">
        <f t="shared" si="61"/>
        <v>-9.9999999999994316E-2</v>
      </c>
      <c r="F91" s="165">
        <f t="shared" si="61"/>
        <v>-9.9999999999994316E-2</v>
      </c>
      <c r="G91" s="165">
        <f t="shared" si="61"/>
        <v>0.30000000000001137</v>
      </c>
      <c r="H91" s="165">
        <f t="shared" si="61"/>
        <v>9.9999999999994316E-2</v>
      </c>
      <c r="I91" s="165">
        <f t="shared" si="61"/>
        <v>-32.099999999999994</v>
      </c>
      <c r="J91" s="165">
        <f t="shared" si="61"/>
        <v>-29</v>
      </c>
      <c r="K91" s="165">
        <f t="shared" si="61"/>
        <v>-25</v>
      </c>
      <c r="L91" s="165">
        <f t="shared" si="61"/>
        <v>-19.599999999999994</v>
      </c>
      <c r="M91" s="165">
        <f t="shared" si="61"/>
        <v>-20.300000000000011</v>
      </c>
      <c r="N91" s="142"/>
      <c r="O91" s="144"/>
      <c r="P91" s="92" t="str">
        <f t="shared" si="57"/>
        <v>Facilities Management</v>
      </c>
      <c r="Q91" s="128">
        <f t="shared" si="58"/>
        <v>0.40000000000000568</v>
      </c>
      <c r="R91" s="153">
        <f t="shared" si="54"/>
        <v>6.3643595863167171E-5</v>
      </c>
      <c r="S91" s="130"/>
      <c r="T91" s="151"/>
      <c r="U91" s="92" t="str">
        <f t="shared" si="59"/>
        <v>Facilities Management</v>
      </c>
      <c r="V91" s="106">
        <f t="shared" si="60"/>
        <v>-126</v>
      </c>
      <c r="W91" s="153">
        <f t="shared" si="55"/>
        <v>-2.4073366450133745E-2</v>
      </c>
      <c r="X91" s="130"/>
    </row>
    <row r="92" spans="2:24">
      <c r="B92" s="94" t="s">
        <v>21</v>
      </c>
      <c r="C92" s="165">
        <f t="shared" ref="C92:M92" si="62">C68-C31</f>
        <v>0</v>
      </c>
      <c r="D92" s="165">
        <f t="shared" si="62"/>
        <v>0.5</v>
      </c>
      <c r="E92" s="165">
        <f t="shared" si="62"/>
        <v>-0.29999999999999716</v>
      </c>
      <c r="F92" s="165">
        <f t="shared" si="62"/>
        <v>-0.40000000000000568</v>
      </c>
      <c r="G92" s="165">
        <f t="shared" si="62"/>
        <v>9.9999999999994316E-2</v>
      </c>
      <c r="H92" s="165">
        <f t="shared" si="62"/>
        <v>-0.40000000000000568</v>
      </c>
      <c r="I92" s="165">
        <f t="shared" si="62"/>
        <v>-8.2000000000000028</v>
      </c>
      <c r="J92" s="165">
        <f t="shared" si="62"/>
        <v>-11.400000000000006</v>
      </c>
      <c r="K92" s="165">
        <f t="shared" si="62"/>
        <v>-13.700000000000003</v>
      </c>
      <c r="L92" s="165">
        <f t="shared" si="62"/>
        <v>-14.299999999999997</v>
      </c>
      <c r="M92" s="165">
        <f t="shared" si="62"/>
        <v>-13.799999999999997</v>
      </c>
      <c r="N92" s="142"/>
      <c r="O92" s="144"/>
      <c r="P92" s="92" t="str">
        <f t="shared" si="57"/>
        <v>Utilities</v>
      </c>
      <c r="Q92" s="128">
        <f t="shared" si="58"/>
        <v>-0.50000000000001421</v>
      </c>
      <c r="R92" s="153">
        <f t="shared" si="54"/>
        <v>-7.9554494828960092E-5</v>
      </c>
      <c r="S92" s="130"/>
      <c r="T92" s="151"/>
      <c r="U92" s="92" t="str">
        <f t="shared" si="59"/>
        <v>Utilities</v>
      </c>
      <c r="V92" s="106">
        <f t="shared" si="60"/>
        <v>-61.400000000000006</v>
      </c>
      <c r="W92" s="153">
        <f t="shared" si="55"/>
        <v>-1.1730989682842953E-2</v>
      </c>
      <c r="X92" s="130"/>
    </row>
    <row r="93" spans="2:24">
      <c r="B93" s="94" t="s">
        <v>22</v>
      </c>
      <c r="C93" s="165">
        <f t="shared" ref="C93:M93" si="63">C69-C32</f>
        <v>0.29999999999999716</v>
      </c>
      <c r="D93" s="165">
        <f t="shared" si="63"/>
        <v>0.5</v>
      </c>
      <c r="E93" s="165">
        <f t="shared" si="63"/>
        <v>0.20000000000000284</v>
      </c>
      <c r="F93" s="165">
        <f t="shared" si="63"/>
        <v>0.40000000000000568</v>
      </c>
      <c r="G93" s="165">
        <f t="shared" si="63"/>
        <v>0.29999999999999716</v>
      </c>
      <c r="H93" s="165">
        <f t="shared" si="63"/>
        <v>0.20000000000000284</v>
      </c>
      <c r="I93" s="165">
        <f t="shared" si="63"/>
        <v>-9.9999999999994316E-2</v>
      </c>
      <c r="J93" s="165">
        <f t="shared" si="63"/>
        <v>0.19999999999998863</v>
      </c>
      <c r="K93" s="165">
        <f t="shared" si="63"/>
        <v>0.30000000000001137</v>
      </c>
      <c r="L93" s="165">
        <f t="shared" si="63"/>
        <v>0.5</v>
      </c>
      <c r="M93" s="165">
        <f t="shared" si="63"/>
        <v>0.5</v>
      </c>
      <c r="N93" s="147"/>
      <c r="O93" s="144"/>
      <c r="P93" s="92" t="str">
        <f t="shared" si="57"/>
        <v>Rent and Rates</v>
      </c>
      <c r="Q93" s="128">
        <f t="shared" si="58"/>
        <v>1.9000000000000057</v>
      </c>
      <c r="R93" s="153">
        <f t="shared" si="54"/>
        <v>3.0230708035004067E-4</v>
      </c>
      <c r="S93" s="130"/>
      <c r="T93" s="151"/>
      <c r="U93" s="92" t="str">
        <f t="shared" si="59"/>
        <v>Rent and Rates</v>
      </c>
      <c r="V93" s="106">
        <f t="shared" si="60"/>
        <v>1.4000000000000057</v>
      </c>
      <c r="W93" s="153">
        <f t="shared" si="55"/>
        <v>2.6748184944593159E-4</v>
      </c>
      <c r="X93" s="130"/>
    </row>
    <row r="94" spans="2:24">
      <c r="B94" s="94" t="s">
        <v>26</v>
      </c>
      <c r="C94" s="165">
        <f t="shared" ref="C94:M94" si="64">C70-C33</f>
        <v>0.19999999999998863</v>
      </c>
      <c r="D94" s="165">
        <f t="shared" si="64"/>
        <v>0.40000000000000568</v>
      </c>
      <c r="E94" s="165">
        <f t="shared" si="64"/>
        <v>-0.19999999999998863</v>
      </c>
      <c r="F94" s="165">
        <f t="shared" si="64"/>
        <v>9.9999999999994316E-2</v>
      </c>
      <c r="G94" s="165">
        <f t="shared" si="64"/>
        <v>-9.9999999999994316E-2</v>
      </c>
      <c r="H94" s="165">
        <f t="shared" si="64"/>
        <v>0</v>
      </c>
      <c r="I94" s="165">
        <f t="shared" si="64"/>
        <v>1.4000000000000057</v>
      </c>
      <c r="J94" s="165">
        <f t="shared" si="64"/>
        <v>1.9000000000000057</v>
      </c>
      <c r="K94" s="165">
        <f t="shared" si="64"/>
        <v>1.2999999999999972</v>
      </c>
      <c r="L94" s="165">
        <f t="shared" si="64"/>
        <v>1.2999999999999972</v>
      </c>
      <c r="M94" s="165">
        <f t="shared" si="64"/>
        <v>1.4000000000000057</v>
      </c>
      <c r="N94" s="145"/>
      <c r="O94" s="144"/>
      <c r="P94" s="92" t="str">
        <f t="shared" si="57"/>
        <v>Other</v>
      </c>
      <c r="Q94" s="128">
        <f t="shared" si="58"/>
        <v>0.40000000000000568</v>
      </c>
      <c r="R94" s="153">
        <f t="shared" si="54"/>
        <v>6.3643595863167171E-5</v>
      </c>
      <c r="S94" s="130"/>
      <c r="T94" s="151"/>
      <c r="U94" s="92" t="str">
        <f t="shared" si="59"/>
        <v>Other</v>
      </c>
      <c r="V94" s="106">
        <f t="shared" si="60"/>
        <v>7.3000000000000114</v>
      </c>
      <c r="W94" s="153">
        <f t="shared" si="55"/>
        <v>1.3947267863966399E-3</v>
      </c>
      <c r="X94" s="130"/>
    </row>
    <row r="95" spans="2:24">
      <c r="B95" s="94" t="s">
        <v>251</v>
      </c>
      <c r="C95" s="165">
        <f t="shared" ref="C95:M95" si="65">C71-C34</f>
        <v>-0.39999999999999858</v>
      </c>
      <c r="D95" s="165">
        <f t="shared" si="65"/>
        <v>-0.39999999999999858</v>
      </c>
      <c r="E95" s="165">
        <f t="shared" si="65"/>
        <v>-0.29999999999999716</v>
      </c>
      <c r="F95" s="165">
        <f t="shared" si="65"/>
        <v>0.39999999999999858</v>
      </c>
      <c r="G95" s="165">
        <f t="shared" si="65"/>
        <v>0.39999999999999858</v>
      </c>
      <c r="H95" s="165">
        <f t="shared" si="65"/>
        <v>0.29999999999999716</v>
      </c>
      <c r="I95" s="165">
        <f t="shared" si="65"/>
        <v>0.39999999999999858</v>
      </c>
      <c r="J95" s="165">
        <f t="shared" si="65"/>
        <v>-1.2999999999999972</v>
      </c>
      <c r="K95" s="165">
        <f t="shared" si="65"/>
        <v>-3.3999999999999986</v>
      </c>
      <c r="L95" s="165">
        <f t="shared" si="65"/>
        <v>-3.7999999999999972</v>
      </c>
      <c r="M95" s="165">
        <f t="shared" si="65"/>
        <v>-6.8999999999999986</v>
      </c>
      <c r="N95" s="142"/>
      <c r="O95" s="144"/>
      <c r="P95" s="92" t="str">
        <f t="shared" si="57"/>
        <v>Commercial</v>
      </c>
      <c r="Q95" s="128">
        <f t="shared" si="58"/>
        <v>0</v>
      </c>
      <c r="R95" s="153">
        <f t="shared" si="54"/>
        <v>0</v>
      </c>
      <c r="S95" s="130"/>
      <c r="T95" s="151"/>
      <c r="U95" s="92" t="str">
        <f t="shared" si="59"/>
        <v>Commercial</v>
      </c>
      <c r="V95" s="106">
        <f t="shared" si="60"/>
        <v>-14.999999999999993</v>
      </c>
      <c r="W95" s="153">
        <f t="shared" si="55"/>
        <v>-2.865876958349254E-3</v>
      </c>
      <c r="X95" s="130"/>
    </row>
    <row r="96" spans="2:24">
      <c r="B96" s="94" t="s">
        <v>24</v>
      </c>
      <c r="C96" s="165">
        <f t="shared" ref="C96:M96" si="66">C72-C35</f>
        <v>-0.20000000000000284</v>
      </c>
      <c r="D96" s="165">
        <f t="shared" si="66"/>
        <v>0.20000000000000284</v>
      </c>
      <c r="E96" s="165">
        <f t="shared" si="66"/>
        <v>-0.29999999999999716</v>
      </c>
      <c r="F96" s="165">
        <f t="shared" si="66"/>
        <v>-0.20000000000000284</v>
      </c>
      <c r="G96" s="165">
        <f t="shared" si="66"/>
        <v>0.39999999999999858</v>
      </c>
      <c r="H96" s="165">
        <f t="shared" si="66"/>
        <v>0</v>
      </c>
      <c r="I96" s="165">
        <f t="shared" si="66"/>
        <v>4.7000000000000028</v>
      </c>
      <c r="J96" s="165">
        <f t="shared" si="66"/>
        <v>4.5</v>
      </c>
      <c r="K96" s="165">
        <f t="shared" si="66"/>
        <v>5</v>
      </c>
      <c r="L96" s="165">
        <f t="shared" si="66"/>
        <v>5</v>
      </c>
      <c r="M96" s="165">
        <f t="shared" si="66"/>
        <v>6</v>
      </c>
      <c r="N96" s="142"/>
      <c r="O96" s="144"/>
      <c r="P96" s="92" t="str">
        <f t="shared" si="57"/>
        <v>Rail</v>
      </c>
      <c r="Q96" s="128">
        <f t="shared" si="58"/>
        <v>-0.10000000000000142</v>
      </c>
      <c r="R96" s="153">
        <f t="shared" si="54"/>
        <v>-1.5910898965791793E-5</v>
      </c>
      <c r="S96" s="130"/>
      <c r="T96" s="151"/>
      <c r="U96" s="92" t="str">
        <f t="shared" si="59"/>
        <v>Rail</v>
      </c>
      <c r="V96" s="106">
        <f t="shared" si="60"/>
        <v>25.200000000000003</v>
      </c>
      <c r="W96" s="153">
        <f t="shared" si="55"/>
        <v>4.8146732900267494E-3</v>
      </c>
      <c r="X96" s="130"/>
    </row>
    <row r="97" spans="2:24">
      <c r="B97" s="94" t="s">
        <v>23</v>
      </c>
      <c r="C97" s="165">
        <f t="shared" ref="C97:M97" si="67">C73-C36</f>
        <v>0.40000000000000568</v>
      </c>
      <c r="D97" s="165">
        <f t="shared" si="67"/>
        <v>9.9999999999994316E-2</v>
      </c>
      <c r="E97" s="165">
        <f t="shared" si="67"/>
        <v>-0.40000000000000568</v>
      </c>
      <c r="F97" s="165">
        <f t="shared" si="67"/>
        <v>9.9999999999994316E-2</v>
      </c>
      <c r="G97" s="165">
        <f t="shared" si="67"/>
        <v>-0.40000000000000568</v>
      </c>
      <c r="H97" s="165">
        <f t="shared" si="67"/>
        <v>-0.29999999999999716</v>
      </c>
      <c r="I97" s="165">
        <f t="shared" si="67"/>
        <v>7.0999999999999943</v>
      </c>
      <c r="J97" s="165">
        <f t="shared" si="67"/>
        <v>9.5</v>
      </c>
      <c r="K97" s="165">
        <f t="shared" si="67"/>
        <v>6.7999999999999972</v>
      </c>
      <c r="L97" s="165">
        <f t="shared" si="67"/>
        <v>6.2000000000000028</v>
      </c>
      <c r="M97" s="165">
        <f t="shared" si="67"/>
        <v>4.7000000000000028</v>
      </c>
      <c r="N97" s="142"/>
      <c r="O97" s="144"/>
      <c r="P97" s="92" t="str">
        <f t="shared" si="57"/>
        <v>Central Support Services</v>
      </c>
      <c r="Q97" s="128">
        <f t="shared" si="58"/>
        <v>-0.50000000000001421</v>
      </c>
      <c r="R97" s="153">
        <f t="shared" si="54"/>
        <v>-7.9554494828960092E-5</v>
      </c>
      <c r="S97" s="130"/>
      <c r="T97" s="151"/>
      <c r="U97" s="92" t="str">
        <f t="shared" si="59"/>
        <v>Central Support Services</v>
      </c>
      <c r="V97" s="106">
        <f t="shared" si="60"/>
        <v>34.299999999999997</v>
      </c>
      <c r="W97" s="153">
        <f t="shared" si="55"/>
        <v>6.5533053114252967E-3</v>
      </c>
      <c r="X97" s="130"/>
    </row>
    <row r="98" spans="2:24">
      <c r="B98" s="94" t="s">
        <v>27</v>
      </c>
      <c r="C98" s="165">
        <f t="shared" ref="C98:M98" si="68">C74-C37</f>
        <v>-0.29999999999999716</v>
      </c>
      <c r="D98" s="165">
        <f t="shared" si="68"/>
        <v>0</v>
      </c>
      <c r="E98" s="165">
        <f t="shared" si="68"/>
        <v>0.10000000000000142</v>
      </c>
      <c r="F98" s="165">
        <f t="shared" si="68"/>
        <v>-9.9999999999994316E-2</v>
      </c>
      <c r="G98" s="165">
        <f t="shared" si="68"/>
        <v>0.29999999999999716</v>
      </c>
      <c r="H98" s="165">
        <f t="shared" si="68"/>
        <v>0</v>
      </c>
      <c r="I98" s="165">
        <f t="shared" si="68"/>
        <v>-0.40000000000000568</v>
      </c>
      <c r="J98" s="165">
        <f t="shared" si="68"/>
        <v>-0.39999999999999858</v>
      </c>
      <c r="K98" s="165">
        <f t="shared" si="68"/>
        <v>-0.10000000000000142</v>
      </c>
      <c r="L98" s="165">
        <f t="shared" si="68"/>
        <v>0.39999999999999858</v>
      </c>
      <c r="M98" s="165">
        <f t="shared" si="68"/>
        <v>-0.10000000000000142</v>
      </c>
      <c r="N98" s="142"/>
      <c r="O98" s="144"/>
      <c r="P98" s="92" t="str">
        <f t="shared" si="57"/>
        <v>Pensions</v>
      </c>
      <c r="Q98" s="128">
        <f t="shared" si="58"/>
        <v>7.1054273576010019E-15</v>
      </c>
      <c r="R98" s="153">
        <f t="shared" si="54"/>
        <v>1.130537367955609E-18</v>
      </c>
      <c r="S98" s="130"/>
      <c r="T98" s="151"/>
      <c r="U98" s="92" t="str">
        <f t="shared" si="59"/>
        <v>Pensions</v>
      </c>
      <c r="V98" s="106">
        <f t="shared" si="60"/>
        <v>-0.60000000000000853</v>
      </c>
      <c r="W98" s="153">
        <f t="shared" si="55"/>
        <v>-1.1463507833397184E-4</v>
      </c>
      <c r="X98" s="130"/>
    </row>
    <row r="99" spans="2:24">
      <c r="B99" s="94"/>
      <c r="C99" s="165">
        <f t="shared" ref="C99:M99" si="69">C75-C38</f>
        <v>0</v>
      </c>
      <c r="D99" s="165">
        <f t="shared" si="69"/>
        <v>0</v>
      </c>
      <c r="E99" s="165">
        <f t="shared" si="69"/>
        <v>0</v>
      </c>
      <c r="F99" s="165">
        <f t="shared" si="69"/>
        <v>0</v>
      </c>
      <c r="G99" s="165">
        <f t="shared" si="69"/>
        <v>0</v>
      </c>
      <c r="H99" s="165">
        <f t="shared" si="69"/>
        <v>0</v>
      </c>
      <c r="I99" s="165">
        <f t="shared" si="69"/>
        <v>0</v>
      </c>
      <c r="J99" s="165">
        <f t="shared" si="69"/>
        <v>0</v>
      </c>
      <c r="K99" s="165">
        <f t="shared" si="69"/>
        <v>0</v>
      </c>
      <c r="L99" s="165">
        <f t="shared" si="69"/>
        <v>0</v>
      </c>
      <c r="M99" s="165">
        <f t="shared" si="69"/>
        <v>0</v>
      </c>
      <c r="N99" s="142"/>
      <c r="O99" s="144"/>
      <c r="P99" s="92"/>
      <c r="Q99" s="128"/>
      <c r="R99" s="153"/>
      <c r="S99" s="130"/>
      <c r="T99" s="151"/>
      <c r="U99" s="92"/>
      <c r="V99" s="106"/>
      <c r="W99" s="153"/>
      <c r="X99" s="130"/>
    </row>
    <row r="100" spans="2:24">
      <c r="B100" s="94" t="s">
        <v>28</v>
      </c>
      <c r="C100" s="165">
        <f t="shared" ref="C100:M100" si="70">C76-C39</f>
        <v>0.29999999999995453</v>
      </c>
      <c r="D100" s="165">
        <f t="shared" si="70"/>
        <v>1</v>
      </c>
      <c r="E100" s="165">
        <f t="shared" si="70"/>
        <v>-1.3999999999998636</v>
      </c>
      <c r="F100" s="165">
        <f t="shared" si="70"/>
        <v>0.5</v>
      </c>
      <c r="G100" s="165">
        <f t="shared" si="70"/>
        <v>0.6999999999998181</v>
      </c>
      <c r="H100" s="165">
        <f t="shared" si="70"/>
        <v>-9.9999999999909051E-2</v>
      </c>
      <c r="I100" s="165">
        <f t="shared" si="70"/>
        <v>-42.799999999999955</v>
      </c>
      <c r="J100" s="165">
        <f t="shared" si="70"/>
        <v>-38.899999999999864</v>
      </c>
      <c r="K100" s="165">
        <f t="shared" si="70"/>
        <v>-37</v>
      </c>
      <c r="L100" s="165">
        <f t="shared" si="70"/>
        <v>-18.899999999999864</v>
      </c>
      <c r="M100" s="165">
        <f t="shared" si="70"/>
        <v>-24.399999999999864</v>
      </c>
      <c r="N100" s="142"/>
      <c r="O100" s="143"/>
      <c r="P100" s="92" t="str">
        <f t="shared" ref="P100" si="71">B100</f>
        <v>Total</v>
      </c>
      <c r="Q100" s="128">
        <f>SUM(C100:H100)</f>
        <v>1</v>
      </c>
      <c r="R100" s="153">
        <f>Q100/$Q$39</f>
        <v>1.5910898965791568E-4</v>
      </c>
      <c r="S100" s="130"/>
      <c r="T100" s="151"/>
      <c r="U100" s="92" t="str">
        <f t="shared" ref="U100" si="72">P100</f>
        <v>Total</v>
      </c>
      <c r="V100" s="106">
        <f>SUM(I100:M100)</f>
        <v>-161.99999999999955</v>
      </c>
      <c r="W100" s="153">
        <f t="shared" ref="W100" si="73">V100/$V$39</f>
        <v>-3.0951471150171873E-2</v>
      </c>
      <c r="X100" s="130"/>
    </row>
    <row r="101" spans="2:24">
      <c r="B101" s="94"/>
      <c r="C101" s="165">
        <f>C77-C40</f>
        <v>0</v>
      </c>
      <c r="D101" s="165">
        <f t="shared" ref="D101:M101" si="74">D77-D40</f>
        <v>0</v>
      </c>
      <c r="E101" s="165">
        <f t="shared" si="74"/>
        <v>0</v>
      </c>
      <c r="F101" s="165">
        <f t="shared" si="74"/>
        <v>0</v>
      </c>
      <c r="G101" s="165">
        <f t="shared" si="74"/>
        <v>0</v>
      </c>
      <c r="H101" s="165">
        <f t="shared" si="74"/>
        <v>0</v>
      </c>
      <c r="I101" s="165">
        <f t="shared" si="74"/>
        <v>0</v>
      </c>
      <c r="J101" s="165">
        <f t="shared" si="74"/>
        <v>0</v>
      </c>
      <c r="K101" s="165">
        <f t="shared" si="74"/>
        <v>0</v>
      </c>
      <c r="L101" s="165">
        <f t="shared" si="74"/>
        <v>0</v>
      </c>
      <c r="M101" s="165">
        <f t="shared" si="74"/>
        <v>0</v>
      </c>
      <c r="N101" s="142"/>
      <c r="O101" s="147"/>
      <c r="P101" s="92"/>
      <c r="Q101" s="104"/>
      <c r="R101" s="104"/>
      <c r="S101" s="130"/>
      <c r="T101" s="151"/>
      <c r="U101" s="92"/>
      <c r="V101" s="104"/>
      <c r="W101" s="104"/>
      <c r="X101" s="130"/>
    </row>
    <row r="102" spans="2:24">
      <c r="B102" s="94" t="s">
        <v>252</v>
      </c>
      <c r="C102" s="165">
        <f t="shared" ref="C102:M102" si="75">C78-C41</f>
        <v>0</v>
      </c>
      <c r="D102" s="165">
        <f t="shared" si="75"/>
        <v>0</v>
      </c>
      <c r="E102" s="165">
        <f t="shared" si="75"/>
        <v>0</v>
      </c>
      <c r="F102" s="165">
        <f t="shared" si="75"/>
        <v>0</v>
      </c>
      <c r="G102" s="165">
        <f t="shared" si="75"/>
        <v>0</v>
      </c>
      <c r="H102" s="165">
        <f t="shared" si="75"/>
        <v>0</v>
      </c>
      <c r="I102" s="165">
        <f t="shared" si="75"/>
        <v>0</v>
      </c>
      <c r="J102" s="165">
        <f t="shared" si="75"/>
        <v>0</v>
      </c>
      <c r="K102" s="165">
        <f t="shared" si="75"/>
        <v>0</v>
      </c>
      <c r="L102" s="165">
        <f t="shared" si="75"/>
        <v>0</v>
      </c>
      <c r="M102" s="165">
        <f t="shared" si="75"/>
        <v>0</v>
      </c>
      <c r="N102" s="142"/>
      <c r="O102" s="147"/>
      <c r="P102" s="94" t="s">
        <v>252</v>
      </c>
      <c r="Q102" s="106">
        <f>SUM(C102:H102)</f>
        <v>0</v>
      </c>
      <c r="R102" s="106"/>
      <c r="S102" s="130"/>
      <c r="T102" s="151"/>
      <c r="U102" s="94" t="s">
        <v>252</v>
      </c>
      <c r="V102" s="106">
        <f>SUM(I102:M102)</f>
        <v>0</v>
      </c>
      <c r="W102" s="106"/>
      <c r="X102" s="130"/>
    </row>
    <row r="103" spans="2:24">
      <c r="B103" s="94" t="s">
        <v>207</v>
      </c>
      <c r="C103" s="165">
        <f t="shared" ref="C103:M103" si="76">C79-C42</f>
        <v>0</v>
      </c>
      <c r="D103" s="165">
        <f t="shared" si="76"/>
        <v>0</v>
      </c>
      <c r="E103" s="165">
        <f t="shared" si="76"/>
        <v>0</v>
      </c>
      <c r="F103" s="165">
        <f t="shared" si="76"/>
        <v>0</v>
      </c>
      <c r="G103" s="165">
        <f t="shared" si="76"/>
        <v>0</v>
      </c>
      <c r="H103" s="165">
        <f t="shared" si="76"/>
        <v>0</v>
      </c>
      <c r="I103" s="165">
        <f t="shared" si="76"/>
        <v>0</v>
      </c>
      <c r="J103" s="165">
        <f t="shared" si="76"/>
        <v>0</v>
      </c>
      <c r="K103" s="165">
        <f t="shared" si="76"/>
        <v>0</v>
      </c>
      <c r="L103" s="165">
        <f t="shared" si="76"/>
        <v>0</v>
      </c>
      <c r="M103" s="165">
        <f t="shared" si="76"/>
        <v>0</v>
      </c>
      <c r="N103" s="142"/>
      <c r="O103" s="144"/>
      <c r="P103" s="92" t="str">
        <f t="shared" ref="P103" si="77">B103</f>
        <v>Passengers (m)</v>
      </c>
      <c r="Q103" s="106">
        <f>SUM(C103:H103)</f>
        <v>0</v>
      </c>
      <c r="R103" s="106"/>
      <c r="S103" s="130"/>
      <c r="T103" s="151"/>
      <c r="U103" s="92" t="str">
        <f t="shared" ref="U103:U104" si="78">P103</f>
        <v>Passengers (m)</v>
      </c>
      <c r="V103" s="106">
        <f>SUM(I103:M103)</f>
        <v>0</v>
      </c>
      <c r="W103" s="106"/>
      <c r="X103" s="130"/>
    </row>
    <row r="104" spans="2:24">
      <c r="B104" s="98" t="s">
        <v>224</v>
      </c>
      <c r="C104" s="165">
        <f t="shared" ref="C104:M104" si="79">C80-C43</f>
        <v>4.5523520485577507E-3</v>
      </c>
      <c r="D104" s="165">
        <f t="shared" si="79"/>
        <v>1.5128593040845573E-2</v>
      </c>
      <c r="E104" s="165">
        <f t="shared" si="79"/>
        <v>-2.1180030257184512E-2</v>
      </c>
      <c r="F104" s="165">
        <f t="shared" si="79"/>
        <v>7.135963496292419E-3</v>
      </c>
      <c r="G104" s="165">
        <f t="shared" si="79"/>
        <v>1.0057471264364182E-2</v>
      </c>
      <c r="H104" s="165">
        <f t="shared" si="79"/>
        <v>-1.4534883720909164E-3</v>
      </c>
      <c r="I104" s="165">
        <f t="shared" si="79"/>
        <v>-0.61587942646429816</v>
      </c>
      <c r="J104" s="165">
        <f t="shared" si="79"/>
        <v>-0.55368813517209681</v>
      </c>
      <c r="K104" s="165">
        <f t="shared" si="79"/>
        <v>-0.52093826895592166</v>
      </c>
      <c r="L104" s="165">
        <f t="shared" si="79"/>
        <v>-0.26318435608793145</v>
      </c>
      <c r="M104" s="165">
        <f t="shared" si="79"/>
        <v>-0.33607639159626501</v>
      </c>
      <c r="N104" s="142"/>
      <c r="O104" s="145"/>
      <c r="P104" s="43" t="str">
        <f>B104</f>
        <v>Total opex / passenger</v>
      </c>
      <c r="Q104" s="107"/>
      <c r="R104" s="107"/>
      <c r="S104" s="131"/>
      <c r="T104" s="151"/>
      <c r="U104" s="43" t="str">
        <f t="shared" si="78"/>
        <v>Total opex / passenger</v>
      </c>
      <c r="V104" s="107"/>
      <c r="W104" s="132"/>
      <c r="X104" s="131"/>
    </row>
    <row r="108" spans="2:24">
      <c r="B108" s="329" t="s">
        <v>445</v>
      </c>
      <c r="C108" s="329"/>
      <c r="D108" s="329"/>
      <c r="E108" s="329"/>
      <c r="F108" s="329"/>
      <c r="G108" s="329"/>
      <c r="H108" s="329"/>
      <c r="I108" s="329"/>
      <c r="J108" s="329"/>
      <c r="K108" s="329"/>
      <c r="L108" s="329"/>
      <c r="M108" s="329"/>
      <c r="N108" s="329"/>
      <c r="O108" s="329"/>
      <c r="P108" s="329"/>
      <c r="Q108" s="329"/>
      <c r="R108" s="329"/>
      <c r="S108" s="329"/>
      <c r="T108" s="329"/>
      <c r="U108" s="329"/>
      <c r="V108" s="329"/>
      <c r="W108" s="329"/>
      <c r="X108" s="329"/>
    </row>
    <row r="113" spans="3:13">
      <c r="I113" s="38"/>
    </row>
    <row r="114" spans="3:13">
      <c r="I114" s="38"/>
      <c r="J114" s="38"/>
      <c r="K114" s="38"/>
      <c r="L114" s="38"/>
      <c r="M114" s="38"/>
    </row>
    <row r="116" spans="3:13">
      <c r="C116" s="31"/>
      <c r="I116" s="38"/>
    </row>
    <row r="117" spans="3:13">
      <c r="C117" s="31"/>
    </row>
    <row r="118" spans="3:13">
      <c r="C118" s="31"/>
    </row>
    <row r="119" spans="3:13">
      <c r="C119" s="31"/>
    </row>
    <row r="120" spans="3:13">
      <c r="C120" s="31"/>
    </row>
    <row r="121" spans="3:13">
      <c r="C121" s="31"/>
    </row>
  </sheetData>
  <mergeCells count="10">
    <mergeCell ref="C87:G87"/>
    <mergeCell ref="I87:M87"/>
    <mergeCell ref="C47:G47"/>
    <mergeCell ref="I47:M47"/>
    <mergeCell ref="C4:G4"/>
    <mergeCell ref="I4:M4"/>
    <mergeCell ref="C26:G26"/>
    <mergeCell ref="I26:M26"/>
    <mergeCell ref="C63:G63"/>
    <mergeCell ref="I63:M63"/>
  </mergeCells>
  <pageMargins left="0.70866141732283472" right="0.70866141732283472" top="0.74803149606299213" bottom="0.74803149606299213" header="0.31496062992125984" footer="0.31496062992125984"/>
  <pageSetup paperSize="9" scale="71" fitToWidth="2" orientation="landscape" r:id="rId1"/>
  <headerFooter>
    <oddHeader>&amp;C&amp;A&amp;D</oddHeader>
  </headerFooter>
  <legacyDrawing r:id="rId2"/>
</worksheet>
</file>

<file path=xl/worksheets/sheet9.xml><?xml version="1.0" encoding="utf-8"?>
<worksheet xmlns="http://schemas.openxmlformats.org/spreadsheetml/2006/main" xmlns:r="http://schemas.openxmlformats.org/officeDocument/2006/relationships">
  <sheetPr>
    <pageSetUpPr fitToPage="1"/>
  </sheetPr>
  <dimension ref="B2:AA120"/>
  <sheetViews>
    <sheetView showGridLines="0" topLeftCell="A13" zoomScale="55" zoomScaleNormal="55" zoomScaleSheetLayoutView="55" workbookViewId="0">
      <selection activeCell="V67" sqref="V67"/>
    </sheetView>
  </sheetViews>
  <sheetFormatPr defaultRowHeight="12.75"/>
  <cols>
    <col min="1" max="1" width="9.140625" style="19"/>
    <col min="2" max="2" width="33.85546875" style="19" customWidth="1"/>
    <col min="3" max="13" width="10.7109375" style="19" customWidth="1"/>
    <col min="14" max="15" width="9.28515625" style="140" customWidth="1"/>
    <col min="16" max="16" width="30" style="140" customWidth="1"/>
    <col min="17" max="19" width="9.28515625" style="19" customWidth="1"/>
    <col min="20" max="20" width="9.28515625" style="61" customWidth="1"/>
    <col min="21" max="21" width="25.7109375" style="140" customWidth="1"/>
    <col min="22" max="24" width="9.28515625" style="19" customWidth="1"/>
    <col min="25" max="16384" width="9.140625" style="19"/>
  </cols>
  <sheetData>
    <row r="2" spans="2:27">
      <c r="B2" s="261" t="s">
        <v>753</v>
      </c>
      <c r="C2" s="38"/>
      <c r="M2" s="43"/>
      <c r="Q2" s="43"/>
      <c r="R2" s="43"/>
      <c r="S2" s="43"/>
      <c r="T2" s="140"/>
      <c r="V2" s="43"/>
      <c r="W2" s="246"/>
      <c r="X2" s="197"/>
    </row>
    <row r="3" spans="2:27">
      <c r="B3" s="18"/>
    </row>
    <row r="4" spans="2:27">
      <c r="B4" s="84" t="s">
        <v>567</v>
      </c>
      <c r="C4" s="626" t="s">
        <v>30</v>
      </c>
      <c r="D4" s="627"/>
      <c r="E4" s="627"/>
      <c r="F4" s="627"/>
      <c r="G4" s="628"/>
      <c r="H4" s="87" t="s">
        <v>187</v>
      </c>
      <c r="I4" s="626" t="s">
        <v>31</v>
      </c>
      <c r="J4" s="627"/>
      <c r="K4" s="627"/>
      <c r="L4" s="627"/>
      <c r="M4" s="628"/>
      <c r="N4" s="139"/>
      <c r="O4" s="139"/>
      <c r="P4" s="84" t="s">
        <v>568</v>
      </c>
      <c r="Q4" s="84"/>
      <c r="R4" s="84"/>
      <c r="S4" s="84"/>
      <c r="T4" s="138"/>
      <c r="U4" s="84" t="s">
        <v>569</v>
      </c>
      <c r="V4" s="359"/>
      <c r="W4" s="359"/>
      <c r="X4" s="84"/>
    </row>
    <row r="5" spans="2:27" ht="27.75" customHeight="1">
      <c r="B5" s="29" t="s">
        <v>46</v>
      </c>
      <c r="C5" s="75" t="s">
        <v>12</v>
      </c>
      <c r="D5" s="75" t="s">
        <v>13</v>
      </c>
      <c r="E5" s="75" t="s">
        <v>14</v>
      </c>
      <c r="F5" s="75" t="s">
        <v>15</v>
      </c>
      <c r="G5" s="75" t="s">
        <v>16</v>
      </c>
      <c r="H5" s="75" t="s">
        <v>17</v>
      </c>
      <c r="I5" s="75" t="s">
        <v>32</v>
      </c>
      <c r="J5" s="75" t="s">
        <v>33</v>
      </c>
      <c r="K5" s="75" t="s">
        <v>34</v>
      </c>
      <c r="L5" s="75" t="s">
        <v>35</v>
      </c>
      <c r="M5" s="75" t="s">
        <v>36</v>
      </c>
      <c r="N5" s="141"/>
      <c r="O5" s="141"/>
      <c r="P5" s="29" t="s">
        <v>46</v>
      </c>
      <c r="Q5" s="73" t="s">
        <v>226</v>
      </c>
      <c r="R5" s="73" t="s">
        <v>246</v>
      </c>
      <c r="S5" s="73" t="s">
        <v>225</v>
      </c>
      <c r="T5" s="150"/>
      <c r="U5" s="29" t="s">
        <v>46</v>
      </c>
      <c r="V5" s="73" t="s">
        <v>37</v>
      </c>
      <c r="W5" s="73" t="s">
        <v>246</v>
      </c>
      <c r="X5" s="73" t="s">
        <v>206</v>
      </c>
    </row>
    <row r="6" spans="2:27">
      <c r="B6" s="92" t="str">
        <f>B28</f>
        <v>Security Costs (includes police)</v>
      </c>
      <c r="C6" s="102">
        <f>C28*C$24</f>
        <v>160.72840139040059</v>
      </c>
      <c r="D6" s="102">
        <f t="shared" ref="C6:M15" si="0">D28*D$24</f>
        <v>153.91017169340964</v>
      </c>
      <c r="E6" s="102">
        <f t="shared" si="0"/>
        <v>155.53705979424876</v>
      </c>
      <c r="F6" s="102">
        <f t="shared" si="0"/>
        <v>164.2</v>
      </c>
      <c r="G6" s="102">
        <f t="shared" si="0"/>
        <v>167.41780134124502</v>
      </c>
      <c r="H6" s="102">
        <f t="shared" si="0"/>
        <v>163.87390264636551</v>
      </c>
      <c r="I6" s="102">
        <f t="shared" si="0"/>
        <v>174.65185003751321</v>
      </c>
      <c r="J6" s="102">
        <f t="shared" si="0"/>
        <v>170.9140119956437</v>
      </c>
      <c r="K6" s="102">
        <f t="shared" si="0"/>
        <v>163.5824056881504</v>
      </c>
      <c r="L6" s="102">
        <f t="shared" si="0"/>
        <v>160.2911461435221</v>
      </c>
      <c r="M6" s="102">
        <f t="shared" si="0"/>
        <v>163.7536250157402</v>
      </c>
      <c r="N6" s="142"/>
      <c r="O6" s="142"/>
      <c r="P6" s="92" t="str">
        <f>B6</f>
        <v>Security Costs (includes police)</v>
      </c>
      <c r="Q6" s="128">
        <f>SUM(C6:H6)</f>
        <v>965.66733686566943</v>
      </c>
      <c r="R6" s="153">
        <f>Q6/$Q$17</f>
        <v>0.15746641833442626</v>
      </c>
      <c r="S6" s="129">
        <f>((H6/C6)^(1/5))-1</f>
        <v>3.8837730112848412E-3</v>
      </c>
      <c r="T6" s="151"/>
      <c r="U6" s="92" t="str">
        <f>P6</f>
        <v>Security Costs (includes police)</v>
      </c>
      <c r="V6" s="128">
        <f>SUM(I6:M6)</f>
        <v>833.1930388805697</v>
      </c>
      <c r="W6" s="153">
        <f>V6/$V$17</f>
        <v>0.14110452338933049</v>
      </c>
      <c r="X6" s="129">
        <f>((M6/H6)^(1/5))-1</f>
        <v>-1.4683601970344462E-4</v>
      </c>
      <c r="Z6" s="76"/>
      <c r="AA6" s="76"/>
    </row>
    <row r="7" spans="2:27">
      <c r="B7" s="92" t="str">
        <f t="shared" ref="B7:B15" si="1">B29</f>
        <v>Total Operational Staff</v>
      </c>
      <c r="C7" s="103">
        <f>C29*C$24</f>
        <v>56.72767107896491</v>
      </c>
      <c r="D7" s="103">
        <f t="shared" si="0"/>
        <v>48.818524630455386</v>
      </c>
      <c r="E7" s="103">
        <f t="shared" si="0"/>
        <v>52.57725150100066</v>
      </c>
      <c r="F7" s="103">
        <f t="shared" si="0"/>
        <v>55.5</v>
      </c>
      <c r="G7" s="103">
        <f t="shared" si="0"/>
        <v>66.183638214950307</v>
      </c>
      <c r="H7" s="103">
        <f t="shared" si="0"/>
        <v>76.404231137372989</v>
      </c>
      <c r="I7" s="103">
        <f t="shared" si="0"/>
        <v>74.324546604053396</v>
      </c>
      <c r="J7" s="103">
        <f t="shared" si="0"/>
        <v>71.456841188218007</v>
      </c>
      <c r="K7" s="103">
        <f t="shared" si="0"/>
        <v>79.599337041483622</v>
      </c>
      <c r="L7" s="103">
        <f t="shared" si="0"/>
        <v>70.105097275521146</v>
      </c>
      <c r="M7" s="103">
        <f t="shared" si="0"/>
        <v>71.963476464316315</v>
      </c>
      <c r="N7" s="142"/>
      <c r="O7" s="142"/>
      <c r="P7" s="92" t="str">
        <f t="shared" ref="P7:P21" si="2">B7</f>
        <v>Total Operational Staff</v>
      </c>
      <c r="Q7" s="106">
        <f t="shared" ref="Q7:Q13" si="3">SUM(C7:H7)</f>
        <v>356.21131656274429</v>
      </c>
      <c r="R7" s="153">
        <f t="shared" ref="R7:R17" si="4">Q7/$Q$17</f>
        <v>5.8085551874815559E-2</v>
      </c>
      <c r="S7" s="130">
        <f t="shared" ref="S7:S21" si="5">((H7/C7)^(1/5))-1</f>
        <v>6.1364337811350422E-2</v>
      </c>
      <c r="T7" s="151"/>
      <c r="U7" s="92" t="str">
        <f t="shared" ref="U7:U21" si="6">P7</f>
        <v>Total Operational Staff</v>
      </c>
      <c r="V7" s="106">
        <f t="shared" ref="V7:V14" si="7">SUM(I7:M7)</f>
        <v>367.4492985735925</v>
      </c>
      <c r="W7" s="153">
        <f t="shared" ref="W7:W17" si="8">V7/$V$17</f>
        <v>6.2228986231847999E-2</v>
      </c>
      <c r="X7" s="130">
        <f t="shared" ref="X7:X21" si="9">((M7/H7)^(1/5))-1</f>
        <v>-1.1904446070571062E-2</v>
      </c>
      <c r="Z7" s="76"/>
      <c r="AA7" s="76"/>
    </row>
    <row r="8" spans="2:27">
      <c r="B8" s="92" t="str">
        <f t="shared" si="1"/>
        <v>Facilities Management</v>
      </c>
      <c r="C8" s="103">
        <f>C30*C$24</f>
        <v>155.9101857378603</v>
      </c>
      <c r="D8" s="103">
        <f t="shared" si="0"/>
        <v>161.18295003686666</v>
      </c>
      <c r="E8" s="103">
        <f t="shared" si="0"/>
        <v>150.86140584951369</v>
      </c>
      <c r="F8" s="103">
        <f t="shared" si="0"/>
        <v>161.1</v>
      </c>
      <c r="G8" s="103">
        <f t="shared" si="0"/>
        <v>169.78886626171831</v>
      </c>
      <c r="H8" s="103">
        <f t="shared" si="0"/>
        <v>182.21091811933502</v>
      </c>
      <c r="I8" s="103">
        <f t="shared" si="0"/>
        <v>207.6970201748839</v>
      </c>
      <c r="J8" s="103">
        <f t="shared" si="0"/>
        <v>201.3783706213417</v>
      </c>
      <c r="K8" s="103">
        <f t="shared" si="0"/>
        <v>200.15195618402041</v>
      </c>
      <c r="L8" s="103">
        <f t="shared" si="0"/>
        <v>197.83896095549613</v>
      </c>
      <c r="M8" s="103">
        <f t="shared" si="0"/>
        <v>204.99799843151334</v>
      </c>
      <c r="N8" s="142"/>
      <c r="O8" s="142"/>
      <c r="P8" s="92" t="str">
        <f t="shared" si="2"/>
        <v>Facilities Management</v>
      </c>
      <c r="Q8" s="106">
        <f>SUM(C8:H8)</f>
        <v>981.054326005294</v>
      </c>
      <c r="R8" s="153">
        <f t="shared" si="4"/>
        <v>0.15997549571156078</v>
      </c>
      <c r="S8" s="130">
        <f t="shared" si="5"/>
        <v>3.1668051267887298E-2</v>
      </c>
      <c r="T8" s="151"/>
      <c r="U8" s="92" t="str">
        <f t="shared" si="6"/>
        <v>Facilities Management</v>
      </c>
      <c r="V8" s="106">
        <f t="shared" si="7"/>
        <v>1012.0643063672554</v>
      </c>
      <c r="W8" s="153">
        <f t="shared" si="8"/>
        <v>0.17139707717814351</v>
      </c>
      <c r="X8" s="130">
        <f t="shared" si="9"/>
        <v>2.3846959361073727E-2</v>
      </c>
      <c r="Z8" s="76"/>
      <c r="AA8" s="76"/>
    </row>
    <row r="9" spans="2:27">
      <c r="B9" s="92" t="str">
        <f t="shared" si="1"/>
        <v>Utilities</v>
      </c>
      <c r="C9" s="103">
        <f t="shared" si="0"/>
        <v>85.455145535620218</v>
      </c>
      <c r="D9" s="103">
        <f t="shared" si="0"/>
        <v>108.63712650538955</v>
      </c>
      <c r="E9" s="103">
        <f t="shared" si="0"/>
        <v>93.799343421930388</v>
      </c>
      <c r="F9" s="103">
        <f t="shared" si="0"/>
        <v>90.4</v>
      </c>
      <c r="G9" s="103">
        <f t="shared" si="0"/>
        <v>87.523222499209993</v>
      </c>
      <c r="H9" s="103">
        <f t="shared" si="0"/>
        <v>100.53742966214321</v>
      </c>
      <c r="I9" s="103">
        <f t="shared" si="0"/>
        <v>114.3037852292658</v>
      </c>
      <c r="J9" s="103">
        <f t="shared" si="0"/>
        <v>119.72940945173208</v>
      </c>
      <c r="K9" s="103">
        <f t="shared" si="0"/>
        <v>121.12942593269246</v>
      </c>
      <c r="L9" s="103">
        <f t="shared" si="0"/>
        <v>121.91157594014355</v>
      </c>
      <c r="M9" s="103">
        <f t="shared" si="0"/>
        <v>126.0584706772888</v>
      </c>
      <c r="N9" s="142"/>
      <c r="O9" s="142"/>
      <c r="P9" s="92" t="str">
        <f t="shared" si="2"/>
        <v>Utilities</v>
      </c>
      <c r="Q9" s="106">
        <f t="shared" si="3"/>
        <v>566.35226762429329</v>
      </c>
      <c r="R9" s="153">
        <f t="shared" si="4"/>
        <v>9.2352158651073463E-2</v>
      </c>
      <c r="S9" s="130">
        <f t="shared" si="5"/>
        <v>3.3041840912837017E-2</v>
      </c>
      <c r="T9" s="151"/>
      <c r="U9" s="92" t="str">
        <f t="shared" si="6"/>
        <v>Utilities</v>
      </c>
      <c r="V9" s="106">
        <f t="shared" si="7"/>
        <v>603.1326672311227</v>
      </c>
      <c r="W9" s="153">
        <f t="shared" si="8"/>
        <v>0.102142893157779</v>
      </c>
      <c r="X9" s="130">
        <f t="shared" si="9"/>
        <v>4.6282234535631739E-2</v>
      </c>
      <c r="Z9" s="76"/>
      <c r="AA9" s="76"/>
    </row>
    <row r="10" spans="2:27">
      <c r="B10" s="92" t="str">
        <f t="shared" si="1"/>
        <v>Rent and Rates</v>
      </c>
      <c r="C10" s="103">
        <f>C32*C$24</f>
        <v>106.09165408517958</v>
      </c>
      <c r="D10" s="103">
        <f t="shared" si="0"/>
        <v>113.18261297005019</v>
      </c>
      <c r="E10" s="103">
        <f t="shared" si="0"/>
        <v>107.63546223798319</v>
      </c>
      <c r="F10" s="103">
        <f t="shared" si="0"/>
        <v>119.6</v>
      </c>
      <c r="G10" s="103">
        <f t="shared" si="0"/>
        <v>130.61475018433339</v>
      </c>
      <c r="H10" s="103">
        <f t="shared" si="0"/>
        <v>131.5206627026779</v>
      </c>
      <c r="I10" s="103">
        <f t="shared" si="0"/>
        <v>151.79109299166007</v>
      </c>
      <c r="J10" s="103">
        <f t="shared" si="0"/>
        <v>157.69785641537771</v>
      </c>
      <c r="K10" s="103">
        <f t="shared" si="0"/>
        <v>161.50590124358993</v>
      </c>
      <c r="L10" s="103">
        <f t="shared" si="0"/>
        <v>192.13549541443675</v>
      </c>
      <c r="M10" s="103">
        <f t="shared" si="0"/>
        <v>210.01585988565782</v>
      </c>
      <c r="N10" s="142"/>
      <c r="O10" s="142"/>
      <c r="P10" s="92" t="str">
        <f t="shared" si="2"/>
        <v>Rent and Rates</v>
      </c>
      <c r="Q10" s="106">
        <f t="shared" si="3"/>
        <v>708.64514218022418</v>
      </c>
      <c r="R10" s="153">
        <f t="shared" si="4"/>
        <v>0.11555512768133809</v>
      </c>
      <c r="S10" s="130">
        <f t="shared" si="5"/>
        <v>4.3908787846798081E-2</v>
      </c>
      <c r="T10" s="151"/>
      <c r="U10" s="92" t="str">
        <f t="shared" si="6"/>
        <v>Rent and Rates</v>
      </c>
      <c r="V10" s="106">
        <f t="shared" si="7"/>
        <v>873.14620595072233</v>
      </c>
      <c r="W10" s="153">
        <f t="shared" si="8"/>
        <v>0.14787074962293237</v>
      </c>
      <c r="X10" s="130">
        <f t="shared" si="9"/>
        <v>9.8124600555288932E-2</v>
      </c>
      <c r="Z10" s="76"/>
      <c r="AA10" s="76"/>
    </row>
    <row r="11" spans="2:27">
      <c r="B11" s="92" t="str">
        <f t="shared" si="1"/>
        <v>Other</v>
      </c>
      <c r="C11" s="103">
        <f t="shared" si="0"/>
        <v>141.63735823882587</v>
      </c>
      <c r="D11" s="103">
        <f t="shared" si="0"/>
        <v>136.00095502264665</v>
      </c>
      <c r="E11" s="103">
        <f t="shared" si="0"/>
        <v>135.68938590639371</v>
      </c>
      <c r="F11" s="103">
        <f t="shared" si="0"/>
        <v>148.9</v>
      </c>
      <c r="G11" s="103">
        <f t="shared" si="0"/>
        <v>141.33608721603872</v>
      </c>
      <c r="H11" s="103">
        <f t="shared" si="0"/>
        <v>129.62373006754314</v>
      </c>
      <c r="I11" s="103">
        <f t="shared" si="0"/>
        <v>130.12212896715471</v>
      </c>
      <c r="J11" s="103">
        <f t="shared" si="0"/>
        <v>131.4895478917993</v>
      </c>
      <c r="K11" s="103">
        <f t="shared" si="0"/>
        <v>133.58845260005512</v>
      </c>
      <c r="L11" s="103">
        <f t="shared" si="0"/>
        <v>135.1008400038433</v>
      </c>
      <c r="M11" s="103">
        <f t="shared" si="0"/>
        <v>138.90909147448812</v>
      </c>
      <c r="N11" s="142"/>
      <c r="O11" s="142"/>
      <c r="P11" s="92" t="str">
        <f t="shared" si="2"/>
        <v>Other</v>
      </c>
      <c r="Q11" s="106">
        <f t="shared" si="3"/>
        <v>833.18751645144812</v>
      </c>
      <c r="R11" s="153">
        <f t="shared" si="4"/>
        <v>0.13586361369786706</v>
      </c>
      <c r="S11" s="130">
        <f t="shared" si="5"/>
        <v>-1.7570625477975943E-2</v>
      </c>
      <c r="T11" s="151"/>
      <c r="U11" s="92" t="str">
        <f t="shared" si="6"/>
        <v>Other</v>
      </c>
      <c r="V11" s="106">
        <f t="shared" si="7"/>
        <v>669.21006093734059</v>
      </c>
      <c r="W11" s="153">
        <f t="shared" si="8"/>
        <v>0.11333336008516952</v>
      </c>
      <c r="X11" s="130">
        <f t="shared" si="9"/>
        <v>1.3932937398174028E-2</v>
      </c>
      <c r="Z11" s="76"/>
      <c r="AA11" s="76"/>
    </row>
    <row r="12" spans="2:27">
      <c r="B12" s="92" t="str">
        <f t="shared" si="1"/>
        <v>Commercial</v>
      </c>
      <c r="C12" s="103">
        <f>C34*C$24</f>
        <v>35.818433341525925</v>
      </c>
      <c r="D12" s="103">
        <f t="shared" si="0"/>
        <v>47.636698149643614</v>
      </c>
      <c r="E12" s="103">
        <f t="shared" si="0"/>
        <v>40.363298339243698</v>
      </c>
      <c r="F12" s="103">
        <f t="shared" si="0"/>
        <v>42.6</v>
      </c>
      <c r="G12" s="103">
        <f t="shared" si="0"/>
        <v>49.07073487588216</v>
      </c>
      <c r="H12" s="103">
        <f t="shared" si="0"/>
        <v>51.322566295035372</v>
      </c>
      <c r="I12" s="103">
        <f t="shared" si="0"/>
        <v>51.247099917955182</v>
      </c>
      <c r="J12" s="103">
        <f t="shared" si="0"/>
        <v>54.992647372123898</v>
      </c>
      <c r="K12" s="103">
        <f t="shared" si="0"/>
        <v>56.411704077225345</v>
      </c>
      <c r="L12" s="103">
        <f t="shared" si="0"/>
        <v>57.509944205681755</v>
      </c>
      <c r="M12" s="103">
        <f t="shared" si="0"/>
        <v>61.682979826556846</v>
      </c>
      <c r="N12" s="142"/>
      <c r="O12" s="142"/>
      <c r="P12" s="92" t="str">
        <f t="shared" si="2"/>
        <v>Commercial</v>
      </c>
      <c r="Q12" s="106">
        <f t="shared" si="3"/>
        <v>266.81173100133077</v>
      </c>
      <c r="R12" s="153">
        <f t="shared" si="4"/>
        <v>4.3507620115593039E-2</v>
      </c>
      <c r="S12" s="130">
        <f t="shared" si="5"/>
        <v>7.4583964719857843E-2</v>
      </c>
      <c r="T12" s="151"/>
      <c r="U12" s="92" t="str">
        <f t="shared" si="6"/>
        <v>Commercial</v>
      </c>
      <c r="V12" s="106">
        <f t="shared" si="7"/>
        <v>281.84437539954303</v>
      </c>
      <c r="W12" s="153">
        <f t="shared" si="8"/>
        <v>4.7731455262934146E-2</v>
      </c>
      <c r="X12" s="130">
        <f t="shared" si="9"/>
        <v>3.7460083846488024E-2</v>
      </c>
      <c r="Z12" s="76"/>
      <c r="AA12" s="76"/>
    </row>
    <row r="13" spans="2:27">
      <c r="B13" s="92" t="str">
        <f t="shared" si="1"/>
        <v>Rail</v>
      </c>
      <c r="C13" s="103">
        <f>C35*C$24</f>
        <v>64.727727256767665</v>
      </c>
      <c r="D13" s="103">
        <f t="shared" si="0"/>
        <v>68.000477511323325</v>
      </c>
      <c r="E13" s="103">
        <f t="shared" si="0"/>
        <v>68.989751062111566</v>
      </c>
      <c r="F13" s="103">
        <f t="shared" si="0"/>
        <v>64.2</v>
      </c>
      <c r="G13" s="103">
        <f t="shared" si="0"/>
        <v>65.56509954004423</v>
      </c>
      <c r="H13" s="103">
        <f t="shared" si="0"/>
        <v>66.392642229717211</v>
      </c>
      <c r="I13" s="103">
        <f t="shared" si="0"/>
        <v>62.081581930207861</v>
      </c>
      <c r="J13" s="103">
        <f t="shared" si="0"/>
        <v>63.168743620932538</v>
      </c>
      <c r="K13" s="103">
        <f t="shared" si="0"/>
        <v>64.602360497435981</v>
      </c>
      <c r="L13" s="103">
        <f t="shared" si="0"/>
        <v>66.659253511131126</v>
      </c>
      <c r="M13" s="103">
        <f t="shared" si="0"/>
        <v>67.679936198583206</v>
      </c>
      <c r="N13" s="142"/>
      <c r="O13" s="142"/>
      <c r="P13" s="92" t="str">
        <f t="shared" si="2"/>
        <v>Rail</v>
      </c>
      <c r="Q13" s="106">
        <f t="shared" si="3"/>
        <v>397.87569759996404</v>
      </c>
      <c r="R13" s="153">
        <f t="shared" si="4"/>
        <v>6.487954873438255E-2</v>
      </c>
      <c r="S13" s="130">
        <f t="shared" si="5"/>
        <v>5.092237540564204E-3</v>
      </c>
      <c r="T13" s="151"/>
      <c r="U13" s="92" t="str">
        <f t="shared" si="6"/>
        <v>Rail</v>
      </c>
      <c r="V13" s="106">
        <f t="shared" si="7"/>
        <v>324.19187575829073</v>
      </c>
      <c r="W13" s="153">
        <f t="shared" si="8"/>
        <v>5.4903171271122153E-2</v>
      </c>
      <c r="X13" s="130">
        <f t="shared" si="9"/>
        <v>3.8480913755511992E-3</v>
      </c>
      <c r="Z13" s="76"/>
      <c r="AA13" s="76"/>
    </row>
    <row r="14" spans="2:27">
      <c r="B14" s="92" t="str">
        <f t="shared" si="1"/>
        <v>Central Support Services</v>
      </c>
      <c r="C14" s="103">
        <f t="shared" si="0"/>
        <v>108.72803623468275</v>
      </c>
      <c r="D14" s="103">
        <f t="shared" si="0"/>
        <v>96.273403321512575</v>
      </c>
      <c r="E14" s="103">
        <f t="shared" si="0"/>
        <v>113.93328183701414</v>
      </c>
      <c r="F14" s="103">
        <f t="shared" si="0"/>
        <v>118.9</v>
      </c>
      <c r="G14" s="103">
        <f t="shared" si="0"/>
        <v>119.99650293177906</v>
      </c>
      <c r="H14" s="103">
        <f t="shared" si="0"/>
        <v>127.83218257880472</v>
      </c>
      <c r="I14" s="103">
        <f t="shared" si="0"/>
        <v>116.90406091220645</v>
      </c>
      <c r="J14" s="103">
        <f t="shared" si="0"/>
        <v>114.80135143875151</v>
      </c>
      <c r="K14" s="103">
        <f t="shared" si="0"/>
        <v>119.16828284616315</v>
      </c>
      <c r="L14" s="103">
        <f t="shared" si="0"/>
        <v>121.91157594014355</v>
      </c>
      <c r="M14" s="103">
        <f t="shared" si="0"/>
        <v>126.18085754202401</v>
      </c>
      <c r="N14" s="142"/>
      <c r="O14" s="142"/>
      <c r="P14" s="92" t="str">
        <f t="shared" si="2"/>
        <v>Central Support Services</v>
      </c>
      <c r="Q14" s="106">
        <f>SUM(C14:H14)</f>
        <v>685.6634069037932</v>
      </c>
      <c r="R14" s="153">
        <f t="shared" si="4"/>
        <v>0.11180761401598469</v>
      </c>
      <c r="S14" s="130">
        <f t="shared" si="5"/>
        <v>3.2903459403240021E-2</v>
      </c>
      <c r="T14" s="151"/>
      <c r="U14" s="92" t="str">
        <f t="shared" si="6"/>
        <v>Central Support Services</v>
      </c>
      <c r="V14" s="106">
        <f t="shared" si="7"/>
        <v>598.96612867928866</v>
      </c>
      <c r="W14" s="153">
        <f t="shared" si="8"/>
        <v>0.10143727344049271</v>
      </c>
      <c r="X14" s="130">
        <f t="shared" si="9"/>
        <v>-2.597036851294976E-3</v>
      </c>
      <c r="Z14" s="76"/>
      <c r="AA14" s="76"/>
    </row>
    <row r="15" spans="2:27">
      <c r="B15" s="92" t="str">
        <f t="shared" si="1"/>
        <v>Pensions</v>
      </c>
      <c r="C15" s="103">
        <f>C37*C$24</f>
        <v>42.091204662757619</v>
      </c>
      <c r="D15" s="103">
        <f t="shared" si="0"/>
        <v>50.909448404199281</v>
      </c>
      <c r="E15" s="103">
        <f t="shared" si="0"/>
        <v>60.020129208946301</v>
      </c>
      <c r="F15" s="103">
        <f t="shared" si="0"/>
        <v>64.099999999999994</v>
      </c>
      <c r="G15" s="103">
        <f t="shared" si="0"/>
        <v>77.008065025806673</v>
      </c>
      <c r="H15" s="103">
        <f t="shared" si="0"/>
        <v>76.931156869354865</v>
      </c>
      <c r="I15" s="103">
        <f t="shared" si="0"/>
        <v>78.441649768709425</v>
      </c>
      <c r="J15" s="103">
        <f t="shared" si="0"/>
        <v>67.536795041528933</v>
      </c>
      <c r="K15" s="103">
        <f t="shared" si="0"/>
        <v>65.871335435778477</v>
      </c>
      <c r="L15" s="103">
        <f t="shared" si="0"/>
        <v>64.758098330778012</v>
      </c>
      <c r="M15" s="103">
        <f t="shared" si="0"/>
        <v>64.987425174408102</v>
      </c>
      <c r="N15" s="142"/>
      <c r="O15" s="142"/>
      <c r="P15" s="92" t="str">
        <f t="shared" si="2"/>
        <v>Pensions</v>
      </c>
      <c r="Q15" s="106">
        <f>SUM(C15:H15)</f>
        <v>371.06000417106475</v>
      </c>
      <c r="R15" s="153">
        <f t="shared" si="4"/>
        <v>6.0506851182958413E-2</v>
      </c>
      <c r="S15" s="130">
        <f t="shared" si="5"/>
        <v>0.1281898327522546</v>
      </c>
      <c r="T15" s="151"/>
      <c r="U15" s="92" t="str">
        <f t="shared" si="6"/>
        <v>Pensions</v>
      </c>
      <c r="V15" s="106">
        <f>SUM(I15:M15)</f>
        <v>341.59530375120295</v>
      </c>
      <c r="W15" s="153">
        <f t="shared" si="8"/>
        <v>5.7850510360248186E-2</v>
      </c>
      <c r="X15" s="130">
        <f t="shared" si="9"/>
        <v>-3.3180472805103722E-2</v>
      </c>
      <c r="Z15" s="76"/>
      <c r="AA15" s="76"/>
    </row>
    <row r="16" spans="2:27">
      <c r="B16" s="94"/>
      <c r="C16" s="103"/>
      <c r="D16" s="104"/>
      <c r="E16" s="104"/>
      <c r="F16" s="104"/>
      <c r="G16" s="104"/>
      <c r="H16" s="104"/>
      <c r="I16" s="103"/>
      <c r="J16" s="103"/>
      <c r="K16" s="103"/>
      <c r="L16" s="103"/>
      <c r="M16" s="103"/>
      <c r="N16" s="142"/>
      <c r="O16" s="142"/>
      <c r="P16" s="92"/>
      <c r="Q16" s="106"/>
      <c r="R16" s="153"/>
      <c r="S16" s="130"/>
      <c r="T16" s="151"/>
      <c r="U16" s="92"/>
      <c r="V16" s="103"/>
      <c r="W16" s="153"/>
      <c r="X16" s="130"/>
      <c r="Z16" s="76"/>
      <c r="AA16" s="76"/>
    </row>
    <row r="17" spans="2:27">
      <c r="B17" s="94" t="s">
        <v>28</v>
      </c>
      <c r="C17" s="105">
        <f t="shared" ref="C17:M17" si="10">C39*C$24</f>
        <v>957.91581756258552</v>
      </c>
      <c r="D17" s="105">
        <f t="shared" si="10"/>
        <v>984.55236824549684</v>
      </c>
      <c r="E17" s="105">
        <f t="shared" si="10"/>
        <v>979.40636915838604</v>
      </c>
      <c r="F17" s="105">
        <f t="shared" si="10"/>
        <v>1029.5</v>
      </c>
      <c r="G17" s="105">
        <f t="shared" si="10"/>
        <v>1074.5047680910081</v>
      </c>
      <c r="H17" s="105">
        <f t="shared" si="10"/>
        <v>1106.6494223083498</v>
      </c>
      <c r="I17" s="105">
        <f t="shared" si="10"/>
        <v>1161.5648165336099</v>
      </c>
      <c r="J17" s="105">
        <f t="shared" si="10"/>
        <v>1153.1655750374496</v>
      </c>
      <c r="K17" s="105">
        <f t="shared" si="10"/>
        <v>1165.6111615465948</v>
      </c>
      <c r="L17" s="105">
        <f t="shared" si="10"/>
        <v>1188.2219877206976</v>
      </c>
      <c r="M17" s="105">
        <f t="shared" si="10"/>
        <v>1236.2297206905769</v>
      </c>
      <c r="N17" s="143"/>
      <c r="O17" s="143"/>
      <c r="P17" s="92" t="str">
        <f t="shared" si="2"/>
        <v>Total</v>
      </c>
      <c r="Q17" s="106">
        <f>SUM(C17:H17)</f>
        <v>6132.5287453658266</v>
      </c>
      <c r="R17" s="153">
        <f t="shared" si="4"/>
        <v>1</v>
      </c>
      <c r="S17" s="130">
        <f t="shared" si="5"/>
        <v>2.9287132207392874E-2</v>
      </c>
      <c r="T17" s="151"/>
      <c r="U17" s="92" t="str">
        <f t="shared" si="6"/>
        <v>Total</v>
      </c>
      <c r="V17" s="105">
        <f>SUM(I17:M17)</f>
        <v>5904.7932615289283</v>
      </c>
      <c r="W17" s="153">
        <f t="shared" si="8"/>
        <v>1</v>
      </c>
      <c r="X17" s="130">
        <f>((M17/H17)^(1/5))-1</f>
        <v>2.2392897378509913E-2</v>
      </c>
      <c r="Z17" s="76"/>
      <c r="AA17" s="76"/>
    </row>
    <row r="18" spans="2:27">
      <c r="B18" s="94"/>
      <c r="C18" s="106"/>
      <c r="D18" s="106"/>
      <c r="E18" s="106"/>
      <c r="F18" s="106"/>
      <c r="G18" s="106"/>
      <c r="H18" s="106"/>
      <c r="I18" s="104"/>
      <c r="J18" s="104"/>
      <c r="K18" s="104"/>
      <c r="L18" s="104"/>
      <c r="M18" s="104"/>
      <c r="N18" s="144"/>
      <c r="O18" s="144"/>
      <c r="P18" s="92"/>
      <c r="Q18" s="106"/>
      <c r="R18" s="106"/>
      <c r="S18" s="130"/>
      <c r="T18" s="151"/>
      <c r="U18" s="92"/>
      <c r="V18" s="104"/>
      <c r="W18" s="104"/>
      <c r="X18" s="130"/>
    </row>
    <row r="19" spans="2:27">
      <c r="B19" s="94" t="s">
        <v>252</v>
      </c>
      <c r="C19" s="106">
        <f>C55</f>
        <v>7907</v>
      </c>
      <c r="D19" s="106">
        <f t="shared" ref="D19:M19" si="11">D55</f>
        <v>7406</v>
      </c>
      <c r="E19" s="106">
        <f t="shared" si="11"/>
        <v>7457</v>
      </c>
      <c r="F19" s="106">
        <f t="shared" si="11"/>
        <v>7464</v>
      </c>
      <c r="G19" s="106">
        <f t="shared" si="11"/>
        <v>7152</v>
      </c>
      <c r="H19" s="106">
        <f t="shared" si="11"/>
        <v>6893</v>
      </c>
      <c r="I19" s="106">
        <f t="shared" si="11"/>
        <v>6580</v>
      </c>
      <c r="J19" s="106">
        <f t="shared" si="11"/>
        <v>6337</v>
      </c>
      <c r="K19" s="106">
        <f t="shared" si="11"/>
        <v>6034</v>
      </c>
      <c r="L19" s="106">
        <f t="shared" si="11"/>
        <v>5860</v>
      </c>
      <c r="M19" s="106">
        <f t="shared" si="11"/>
        <v>5812</v>
      </c>
      <c r="N19" s="144"/>
      <c r="O19" s="144"/>
      <c r="P19" s="94" t="s">
        <v>252</v>
      </c>
      <c r="Q19" s="106">
        <f>SUM(C19:H19)</f>
        <v>44279</v>
      </c>
      <c r="R19" s="106"/>
      <c r="S19" s="130">
        <f>((H19/C19)^(1/5))-1</f>
        <v>-2.7075123442601212E-2</v>
      </c>
      <c r="T19" s="151"/>
      <c r="U19" s="92" t="str">
        <f t="shared" ref="U19" si="12">P19</f>
        <v>Man Years</v>
      </c>
      <c r="V19" s="106">
        <f>V41</f>
        <v>30623</v>
      </c>
      <c r="W19" s="106"/>
      <c r="X19" s="130">
        <f t="shared" ref="X19" si="13">((M19/H19)^(1/5))-1</f>
        <v>-3.3540931669854279E-2</v>
      </c>
    </row>
    <row r="20" spans="2:27">
      <c r="B20" s="94" t="s">
        <v>207</v>
      </c>
      <c r="C20" s="104">
        <f>C42</f>
        <v>65.900000000000006</v>
      </c>
      <c r="D20" s="104">
        <f t="shared" ref="D20:M20" si="14">D42</f>
        <v>66.099999999999994</v>
      </c>
      <c r="E20" s="104">
        <f t="shared" si="14"/>
        <v>66.099999999999994</v>
      </c>
      <c r="F20" s="181">
        <f t="shared" si="14"/>
        <v>70.067623000000012</v>
      </c>
      <c r="G20" s="181">
        <f t="shared" si="14"/>
        <v>69.599999999999994</v>
      </c>
      <c r="H20" s="181">
        <f t="shared" si="14"/>
        <v>68.8</v>
      </c>
      <c r="I20" s="181">
        <f t="shared" si="14"/>
        <v>70.099999999999994</v>
      </c>
      <c r="J20" s="181">
        <f t="shared" si="14"/>
        <v>70.8</v>
      </c>
      <c r="K20" s="181">
        <f t="shared" si="14"/>
        <v>71.5</v>
      </c>
      <c r="L20" s="181">
        <f t="shared" si="14"/>
        <v>72.3</v>
      </c>
      <c r="M20" s="181">
        <f t="shared" si="14"/>
        <v>73</v>
      </c>
      <c r="N20" s="144"/>
      <c r="O20" s="144"/>
      <c r="P20" s="92" t="str">
        <f t="shared" si="2"/>
        <v>Passengers (m)</v>
      </c>
      <c r="Q20" s="106">
        <f>SUM(C20:H20)</f>
        <v>406.56762299999997</v>
      </c>
      <c r="R20" s="106"/>
      <c r="S20" s="130">
        <f>((H20/C20)^(1/5))-1</f>
        <v>8.6502598161137811E-3</v>
      </c>
      <c r="T20" s="151"/>
      <c r="U20" s="92" t="str">
        <f t="shared" si="6"/>
        <v>Passengers (m)</v>
      </c>
      <c r="V20" s="106">
        <f>V42</f>
        <v>357.7</v>
      </c>
      <c r="W20" s="106"/>
      <c r="X20" s="130">
        <f t="shared" si="9"/>
        <v>1.1921642230787288E-2</v>
      </c>
    </row>
    <row r="21" spans="2:27">
      <c r="B21" s="98" t="s">
        <v>224</v>
      </c>
      <c r="C21" s="157">
        <f>C17/C20</f>
        <v>14.535900114758505</v>
      </c>
      <c r="D21" s="157">
        <f t="shared" ref="D21:M21" si="15">D17/D20</f>
        <v>14.894892106588456</v>
      </c>
      <c r="E21" s="157">
        <f t="shared" si="15"/>
        <v>14.817040380610985</v>
      </c>
      <c r="F21" s="157">
        <f t="shared" si="15"/>
        <v>14.692948838866702</v>
      </c>
      <c r="G21" s="157">
        <f t="shared" si="15"/>
        <v>15.438286897859314</v>
      </c>
      <c r="H21" s="157">
        <f t="shared" si="15"/>
        <v>16.085020673086479</v>
      </c>
      <c r="I21" s="157">
        <f t="shared" si="15"/>
        <v>16.570111505472326</v>
      </c>
      <c r="J21" s="157">
        <f t="shared" si="15"/>
        <v>16.287649364935728</v>
      </c>
      <c r="K21" s="157">
        <f t="shared" si="15"/>
        <v>16.302254007644681</v>
      </c>
      <c r="L21" s="157">
        <f t="shared" si="15"/>
        <v>16.434605639290425</v>
      </c>
      <c r="M21" s="157">
        <f t="shared" si="15"/>
        <v>16.934653708090096</v>
      </c>
      <c r="N21" s="145"/>
      <c r="O21" s="145"/>
      <c r="P21" s="43" t="str">
        <f t="shared" si="2"/>
        <v>Total opex / passenger</v>
      </c>
      <c r="Q21" s="157">
        <f>Q17/Q20</f>
        <v>15.08366234407659</v>
      </c>
      <c r="R21" s="107"/>
      <c r="S21" s="131">
        <f t="shared" si="5"/>
        <v>2.0459889035314704E-2</v>
      </c>
      <c r="T21" s="151"/>
      <c r="U21" s="43" t="str">
        <f t="shared" si="6"/>
        <v>Total opex / passenger</v>
      </c>
      <c r="V21" s="157">
        <f>V17/V20</f>
        <v>16.507669168378328</v>
      </c>
      <c r="W21" s="107"/>
      <c r="X21" s="131">
        <f t="shared" si="9"/>
        <v>1.0347891289921307E-2</v>
      </c>
    </row>
    <row r="22" spans="2:27">
      <c r="B22" s="18"/>
      <c r="P22" s="159"/>
      <c r="U22" s="159"/>
    </row>
    <row r="23" spans="2:27">
      <c r="B23" s="18"/>
      <c r="P23" s="18"/>
      <c r="U23" s="18"/>
    </row>
    <row r="24" spans="2:27">
      <c r="B24" s="389" t="s">
        <v>257</v>
      </c>
      <c r="C24" s="391">
        <f>RPI!$T101/RPI!$T$103</f>
        <v>0.90909729293213004</v>
      </c>
      <c r="D24" s="391">
        <f>RPI!$T101/RPI!$T$103</f>
        <v>0.90909729293213004</v>
      </c>
      <c r="E24" s="391">
        <f>RPI!$T102/RPI!$T$103</f>
        <v>0.95421509076226241</v>
      </c>
      <c r="F24" s="391">
        <f>RPI!$T103/RPI!$T$103</f>
        <v>1</v>
      </c>
      <c r="G24" s="391">
        <f>RPI!$V104/RPI!$T$103</f>
        <v>1.0308977915101294</v>
      </c>
      <c r="H24" s="391">
        <f>RPI!$V105/RPI!$T$103</f>
        <v>1.0538514639637653</v>
      </c>
      <c r="I24" s="391">
        <f>RPI!$V106/RPI!$T$103</f>
        <v>1.0834482012252682</v>
      </c>
      <c r="J24" s="391">
        <f>RPI!$V107/RPI!$T$103</f>
        <v>1.1200131847683075</v>
      </c>
      <c r="K24" s="391">
        <f>RPI!$V108/RPI!$T$103</f>
        <v>1.1536135803113567</v>
      </c>
      <c r="L24" s="391">
        <f>RPI!$V109/RPI!$T$103</f>
        <v>1.1882219877206974</v>
      </c>
      <c r="M24" s="391">
        <f>RPI!$V110/RPI!$T$103</f>
        <v>1.2238686473523184</v>
      </c>
      <c r="N24" s="146"/>
      <c r="O24" s="146"/>
      <c r="P24" s="35"/>
      <c r="Q24" s="37"/>
      <c r="R24" s="37"/>
      <c r="S24" s="32"/>
      <c r="T24" s="140"/>
      <c r="U24" s="35"/>
      <c r="V24" s="36"/>
      <c r="W24" s="36"/>
      <c r="X24" s="32"/>
    </row>
    <row r="25" spans="2:27">
      <c r="B25" s="18"/>
      <c r="P25" s="18"/>
      <c r="U25" s="18"/>
    </row>
    <row r="26" spans="2:27">
      <c r="B26" s="84" t="s">
        <v>567</v>
      </c>
      <c r="C26" s="626" t="s">
        <v>30</v>
      </c>
      <c r="D26" s="627"/>
      <c r="E26" s="627"/>
      <c r="F26" s="627"/>
      <c r="G26" s="628"/>
      <c r="H26" s="87" t="s">
        <v>187</v>
      </c>
      <c r="I26" s="626" t="s">
        <v>31</v>
      </c>
      <c r="J26" s="627"/>
      <c r="K26" s="627"/>
      <c r="L26" s="627"/>
      <c r="M26" s="628"/>
      <c r="N26" s="139"/>
      <c r="O26" s="139"/>
      <c r="P26" s="84" t="s">
        <v>568</v>
      </c>
      <c r="Q26" s="84"/>
      <c r="R26" s="84"/>
      <c r="S26" s="84"/>
      <c r="T26" s="138"/>
      <c r="U26" s="84" t="s">
        <v>569</v>
      </c>
      <c r="V26" s="86"/>
      <c r="W26" s="86"/>
      <c r="X26" s="86"/>
    </row>
    <row r="27" spans="2:27" ht="26.25" customHeight="1">
      <c r="B27" s="29" t="s">
        <v>232</v>
      </c>
      <c r="C27" s="75" t="s">
        <v>12</v>
      </c>
      <c r="D27" s="75" t="s">
        <v>13</v>
      </c>
      <c r="E27" s="75" t="s">
        <v>14</v>
      </c>
      <c r="F27" s="75" t="s">
        <v>15</v>
      </c>
      <c r="G27" s="75" t="s">
        <v>16</v>
      </c>
      <c r="H27" s="75" t="s">
        <v>17</v>
      </c>
      <c r="I27" s="75" t="s">
        <v>32</v>
      </c>
      <c r="J27" s="75" t="s">
        <v>33</v>
      </c>
      <c r="K27" s="75" t="s">
        <v>34</v>
      </c>
      <c r="L27" s="75" t="s">
        <v>35</v>
      </c>
      <c r="M27" s="75" t="s">
        <v>36</v>
      </c>
      <c r="N27" s="141"/>
      <c r="O27" s="141"/>
      <c r="P27" s="29" t="s">
        <v>232</v>
      </c>
      <c r="Q27" s="73" t="s">
        <v>226</v>
      </c>
      <c r="R27" s="73" t="s">
        <v>246</v>
      </c>
      <c r="S27" s="73" t="s">
        <v>225</v>
      </c>
      <c r="T27" s="150"/>
      <c r="U27" s="29" t="s">
        <v>232</v>
      </c>
      <c r="V27" s="73" t="s">
        <v>37</v>
      </c>
      <c r="W27" s="73" t="s">
        <v>246</v>
      </c>
      <c r="X27" s="73" t="s">
        <v>206</v>
      </c>
    </row>
    <row r="28" spans="2:27">
      <c r="B28" s="92" t="s">
        <v>250</v>
      </c>
      <c r="C28" s="165">
        <v>176.8</v>
      </c>
      <c r="D28" s="165">
        <v>169.3</v>
      </c>
      <c r="E28" s="165">
        <v>163</v>
      </c>
      <c r="F28" s="165">
        <v>164.2</v>
      </c>
      <c r="G28" s="165">
        <v>162.4</v>
      </c>
      <c r="H28" s="165">
        <v>155.5</v>
      </c>
      <c r="I28" s="165">
        <v>161.19999999999999</v>
      </c>
      <c r="J28" s="165">
        <v>152.6</v>
      </c>
      <c r="K28" s="165">
        <v>141.80000000000001</v>
      </c>
      <c r="L28" s="165">
        <v>134.9</v>
      </c>
      <c r="M28" s="165">
        <v>133.80000000000001</v>
      </c>
      <c r="N28" s="142"/>
      <c r="O28" s="144"/>
      <c r="P28" s="92" t="str">
        <f>B28</f>
        <v>Security Costs (includes police)</v>
      </c>
      <c r="Q28" s="128">
        <f>SUM(C28:H28)</f>
        <v>991.19999999999993</v>
      </c>
      <c r="R28" s="153">
        <f t="shared" ref="R28:R37" si="16">Q28/$Q$39</f>
        <v>0.15770883054892601</v>
      </c>
      <c r="S28" s="129">
        <f>((H28/C28)^(1/5))-1</f>
        <v>-2.5347891758491614E-2</v>
      </c>
      <c r="T28" s="151"/>
      <c r="U28" s="92" t="str">
        <f>P28</f>
        <v>Security Costs (includes police)</v>
      </c>
      <c r="V28" s="128">
        <f>SUM(I28:M28)</f>
        <v>724.3</v>
      </c>
      <c r="W28" s="153">
        <f t="shared" ref="W28:W37" si="17">V28/$V$39</f>
        <v>0.1414040841825778</v>
      </c>
      <c r="X28" s="129">
        <f>((M28/H28)^(1/5))-1</f>
        <v>-2.9612610685985641E-2</v>
      </c>
      <c r="Z28" s="30"/>
      <c r="AA28" s="76"/>
    </row>
    <row r="29" spans="2:27">
      <c r="B29" s="94" t="s">
        <v>249</v>
      </c>
      <c r="C29" s="166">
        <v>62.4</v>
      </c>
      <c r="D29" s="166">
        <v>53.7</v>
      </c>
      <c r="E29" s="166">
        <v>55.1</v>
      </c>
      <c r="F29" s="166">
        <v>55.5</v>
      </c>
      <c r="G29" s="166">
        <v>64.2</v>
      </c>
      <c r="H29" s="166">
        <v>72.5</v>
      </c>
      <c r="I29" s="166">
        <v>68.599999999999994</v>
      </c>
      <c r="J29" s="166">
        <v>63.8</v>
      </c>
      <c r="K29" s="166">
        <v>69</v>
      </c>
      <c r="L29" s="166">
        <v>59</v>
      </c>
      <c r="M29" s="166">
        <v>58.8</v>
      </c>
      <c r="N29" s="142"/>
      <c r="O29" s="144"/>
      <c r="P29" s="92" t="str">
        <f t="shared" ref="P29:P42" si="18">B29</f>
        <v>Total Operational Staff</v>
      </c>
      <c r="Q29" s="128">
        <f t="shared" ref="Q29:Q37" si="19">SUM(C29:H29)</f>
        <v>363.4</v>
      </c>
      <c r="R29" s="153">
        <f t="shared" si="16"/>
        <v>5.7820206841686553E-2</v>
      </c>
      <c r="S29" s="130">
        <f t="shared" ref="S29:S43" si="20">((H29/C29)^(1/5))-1</f>
        <v>3.0458920913902121E-2</v>
      </c>
      <c r="T29" s="151"/>
      <c r="U29" s="92" t="str">
        <f t="shared" ref="U29:U43" si="21">P29</f>
        <v>Total Operational Staff</v>
      </c>
      <c r="V29" s="106">
        <f t="shared" ref="V29:V37" si="22">SUM(I29:M29)</f>
        <v>319.2</v>
      </c>
      <c r="W29" s="153">
        <f t="shared" si="17"/>
        <v>6.2316973175588611E-2</v>
      </c>
      <c r="X29" s="130">
        <f>((M29/H29)^(1/5))-1</f>
        <v>-4.1023722770098026E-2</v>
      </c>
      <c r="Z29" s="30"/>
      <c r="AA29" s="76"/>
    </row>
    <row r="30" spans="2:27">
      <c r="B30" s="94" t="s">
        <v>20</v>
      </c>
      <c r="C30" s="166">
        <v>171.5</v>
      </c>
      <c r="D30" s="166">
        <v>177.3</v>
      </c>
      <c r="E30" s="166">
        <v>158.1</v>
      </c>
      <c r="F30" s="166">
        <v>161.1</v>
      </c>
      <c r="G30" s="166">
        <v>164.7</v>
      </c>
      <c r="H30" s="166">
        <v>172.9</v>
      </c>
      <c r="I30" s="166">
        <v>191.7</v>
      </c>
      <c r="J30" s="166">
        <v>179.8</v>
      </c>
      <c r="K30" s="166">
        <v>173.5</v>
      </c>
      <c r="L30" s="166">
        <v>166.5</v>
      </c>
      <c r="M30" s="166">
        <v>167.5</v>
      </c>
      <c r="N30" s="142"/>
      <c r="O30" s="144"/>
      <c r="P30" s="92" t="str">
        <f t="shared" si="18"/>
        <v>Facilities Management</v>
      </c>
      <c r="Q30" s="128">
        <f t="shared" si="19"/>
        <v>1005.6</v>
      </c>
      <c r="R30" s="153">
        <f t="shared" si="16"/>
        <v>0.16</v>
      </c>
      <c r="S30" s="130">
        <f t="shared" si="20"/>
        <v>1.6273479124677692E-3</v>
      </c>
      <c r="T30" s="151"/>
      <c r="U30" s="92" t="str">
        <f t="shared" si="21"/>
        <v>Facilities Management</v>
      </c>
      <c r="V30" s="106">
        <f t="shared" si="22"/>
        <v>879</v>
      </c>
      <c r="W30" s="153">
        <f t="shared" si="17"/>
        <v>0.17160595056811526</v>
      </c>
      <c r="X30" s="130">
        <f t="shared" ref="X30:X37" si="23">((M30/H30)^(1/5))-1</f>
        <v>-6.3259149009775584E-3</v>
      </c>
      <c r="Z30" s="30"/>
      <c r="AA30" s="76"/>
    </row>
    <row r="31" spans="2:27">
      <c r="B31" s="94" t="s">
        <v>21</v>
      </c>
      <c r="C31" s="166">
        <v>94</v>
      </c>
      <c r="D31" s="166">
        <v>119.5</v>
      </c>
      <c r="E31" s="166">
        <v>98.3</v>
      </c>
      <c r="F31" s="166">
        <v>90.4</v>
      </c>
      <c r="G31" s="166">
        <v>84.9</v>
      </c>
      <c r="H31" s="166">
        <v>95.4</v>
      </c>
      <c r="I31" s="166">
        <v>105.5</v>
      </c>
      <c r="J31" s="166">
        <v>106.9</v>
      </c>
      <c r="K31" s="166">
        <v>105</v>
      </c>
      <c r="L31" s="166">
        <v>102.6</v>
      </c>
      <c r="M31" s="166">
        <v>103</v>
      </c>
      <c r="N31" s="142"/>
      <c r="O31" s="144"/>
      <c r="P31" s="92" t="str">
        <f t="shared" si="18"/>
        <v>Utilities</v>
      </c>
      <c r="Q31" s="128">
        <f t="shared" si="19"/>
        <v>582.5</v>
      </c>
      <c r="R31" s="153">
        <f t="shared" si="16"/>
        <v>9.2680986475735874E-2</v>
      </c>
      <c r="S31" s="130">
        <f t="shared" si="20"/>
        <v>2.9611347608338168E-3</v>
      </c>
      <c r="T31" s="151"/>
      <c r="U31" s="92" t="str">
        <f t="shared" si="21"/>
        <v>Utilities</v>
      </c>
      <c r="V31" s="106">
        <f t="shared" si="22"/>
        <v>523</v>
      </c>
      <c r="W31" s="153">
        <f t="shared" si="17"/>
        <v>0.10210456444496506</v>
      </c>
      <c r="X31" s="130">
        <f t="shared" si="23"/>
        <v>1.5448190427162167E-2</v>
      </c>
      <c r="Z31" s="30"/>
      <c r="AA31" s="76"/>
    </row>
    <row r="32" spans="2:27">
      <c r="B32" s="94" t="s">
        <v>22</v>
      </c>
      <c r="C32" s="166">
        <v>116.7</v>
      </c>
      <c r="D32" s="166">
        <v>124.5</v>
      </c>
      <c r="E32" s="166">
        <v>112.8</v>
      </c>
      <c r="F32" s="166">
        <v>119.6</v>
      </c>
      <c r="G32" s="166">
        <v>126.7</v>
      </c>
      <c r="H32" s="166">
        <v>124.8</v>
      </c>
      <c r="I32" s="166">
        <v>140.1</v>
      </c>
      <c r="J32" s="166">
        <v>140.80000000000001</v>
      </c>
      <c r="K32" s="166">
        <v>140</v>
      </c>
      <c r="L32" s="166">
        <v>161.69999999999999</v>
      </c>
      <c r="M32" s="166">
        <v>171.6</v>
      </c>
      <c r="N32" s="142"/>
      <c r="O32" s="144"/>
      <c r="P32" s="92" t="str">
        <f t="shared" si="18"/>
        <v>Rent and Rates</v>
      </c>
      <c r="Q32" s="128">
        <f t="shared" si="19"/>
        <v>725.1</v>
      </c>
      <c r="R32" s="153">
        <f t="shared" si="16"/>
        <v>0.11536992840095465</v>
      </c>
      <c r="S32" s="130">
        <f t="shared" si="20"/>
        <v>1.3511651687273529E-2</v>
      </c>
      <c r="T32" s="151"/>
      <c r="U32" s="92" t="str">
        <f t="shared" si="21"/>
        <v>Rent and Rates</v>
      </c>
      <c r="V32" s="106">
        <f t="shared" si="22"/>
        <v>754.19999999999993</v>
      </c>
      <c r="W32" s="153">
        <f t="shared" si="17"/>
        <v>0.14724141970247159</v>
      </c>
      <c r="X32" s="130">
        <f t="shared" si="23"/>
        <v>6.5762756635474151E-2</v>
      </c>
      <c r="Z32" s="30"/>
      <c r="AA32" s="76"/>
    </row>
    <row r="33" spans="2:27">
      <c r="B33" s="94" t="s">
        <v>26</v>
      </c>
      <c r="C33" s="166">
        <v>155.80000000000001</v>
      </c>
      <c r="D33" s="166">
        <v>149.6</v>
      </c>
      <c r="E33" s="166">
        <v>142.19999999999999</v>
      </c>
      <c r="F33" s="166">
        <v>148.9</v>
      </c>
      <c r="G33" s="166">
        <v>137.1</v>
      </c>
      <c r="H33" s="166">
        <v>123</v>
      </c>
      <c r="I33" s="166">
        <v>120.1</v>
      </c>
      <c r="J33" s="166">
        <v>117.4</v>
      </c>
      <c r="K33" s="166">
        <v>115.8</v>
      </c>
      <c r="L33" s="166">
        <v>113.7</v>
      </c>
      <c r="M33" s="166">
        <v>113.5</v>
      </c>
      <c r="N33" s="142"/>
      <c r="O33" s="144"/>
      <c r="P33" s="92" t="str">
        <f t="shared" si="18"/>
        <v>Other</v>
      </c>
      <c r="Q33" s="128">
        <f t="shared" si="19"/>
        <v>856.6</v>
      </c>
      <c r="R33" s="153">
        <f t="shared" si="16"/>
        <v>0.13629276054097056</v>
      </c>
      <c r="S33" s="130">
        <f t="shared" si="20"/>
        <v>-4.6177568739809161E-2</v>
      </c>
      <c r="T33" s="151"/>
      <c r="U33" s="92" t="str">
        <f t="shared" si="21"/>
        <v>Other</v>
      </c>
      <c r="V33" s="106">
        <f t="shared" si="22"/>
        <v>580.5</v>
      </c>
      <c r="W33" s="153">
        <f t="shared" si="17"/>
        <v>0.11333020967553005</v>
      </c>
      <c r="X33" s="130">
        <f t="shared" si="23"/>
        <v>-1.5947769626007524E-2</v>
      </c>
      <c r="Z33" s="30"/>
      <c r="AA33" s="76"/>
    </row>
    <row r="34" spans="2:27">
      <c r="B34" s="94" t="s">
        <v>251</v>
      </c>
      <c r="C34" s="166">
        <v>39.4</v>
      </c>
      <c r="D34" s="166">
        <v>52.4</v>
      </c>
      <c r="E34" s="166">
        <v>42.3</v>
      </c>
      <c r="F34" s="166">
        <v>42.6</v>
      </c>
      <c r="G34" s="166">
        <v>47.6</v>
      </c>
      <c r="H34" s="166">
        <v>48.7</v>
      </c>
      <c r="I34" s="166">
        <v>47.3</v>
      </c>
      <c r="J34" s="166">
        <v>49.1</v>
      </c>
      <c r="K34" s="166">
        <v>48.9</v>
      </c>
      <c r="L34" s="166">
        <v>48.4</v>
      </c>
      <c r="M34" s="166">
        <v>50.4</v>
      </c>
      <c r="N34" s="142"/>
      <c r="O34" s="144"/>
      <c r="P34" s="92" t="str">
        <f t="shared" si="18"/>
        <v>Commercial</v>
      </c>
      <c r="Q34" s="128">
        <f t="shared" si="19"/>
        <v>273</v>
      </c>
      <c r="R34" s="153">
        <f t="shared" si="16"/>
        <v>4.3436754176610977E-2</v>
      </c>
      <c r="S34" s="130">
        <f t="shared" si="20"/>
        <v>4.3293611126987264E-2</v>
      </c>
      <c r="T34" s="151"/>
      <c r="U34" s="92" t="str">
        <f t="shared" si="21"/>
        <v>Commercial</v>
      </c>
      <c r="V34" s="106">
        <f t="shared" si="22"/>
        <v>244.10000000000002</v>
      </c>
      <c r="W34" s="153">
        <f t="shared" si="17"/>
        <v>4.7655304361407212E-2</v>
      </c>
      <c r="X34" s="130">
        <f t="shared" si="23"/>
        <v>6.8860294181467552E-3</v>
      </c>
      <c r="Z34" s="30"/>
      <c r="AA34" s="76"/>
    </row>
    <row r="35" spans="2:27">
      <c r="B35" s="94" t="s">
        <v>24</v>
      </c>
      <c r="C35" s="166">
        <v>71.2</v>
      </c>
      <c r="D35" s="166">
        <v>74.8</v>
      </c>
      <c r="E35" s="166">
        <v>72.3</v>
      </c>
      <c r="F35" s="166">
        <v>64.2</v>
      </c>
      <c r="G35" s="166">
        <v>63.6</v>
      </c>
      <c r="H35" s="166">
        <v>63</v>
      </c>
      <c r="I35" s="166">
        <v>57.3</v>
      </c>
      <c r="J35" s="166">
        <v>56.4</v>
      </c>
      <c r="K35" s="166">
        <v>56</v>
      </c>
      <c r="L35" s="166">
        <v>56.1</v>
      </c>
      <c r="M35" s="166">
        <v>55.3</v>
      </c>
      <c r="N35" s="142"/>
      <c r="O35" s="144"/>
      <c r="P35" s="92" t="str">
        <f t="shared" si="18"/>
        <v>Rail</v>
      </c>
      <c r="Q35" s="128">
        <f t="shared" si="19"/>
        <v>409.1</v>
      </c>
      <c r="R35" s="153">
        <f t="shared" si="16"/>
        <v>6.5091487669053302E-2</v>
      </c>
      <c r="S35" s="130">
        <f t="shared" si="20"/>
        <v>-2.4174615994043025E-2</v>
      </c>
      <c r="T35" s="151"/>
      <c r="U35" s="92" t="str">
        <f t="shared" si="21"/>
        <v>Rail</v>
      </c>
      <c r="V35" s="106">
        <f t="shared" si="22"/>
        <v>281.09999999999997</v>
      </c>
      <c r="W35" s="153">
        <f t="shared" si="17"/>
        <v>5.4878763031509896E-2</v>
      </c>
      <c r="X35" s="130">
        <f t="shared" si="23"/>
        <v>-2.5735414208306939E-2</v>
      </c>
      <c r="Z35" s="30"/>
      <c r="AA35" s="76"/>
    </row>
    <row r="36" spans="2:27">
      <c r="B36" s="94" t="s">
        <v>23</v>
      </c>
      <c r="C36" s="166">
        <v>119.6</v>
      </c>
      <c r="D36" s="166">
        <v>105.9</v>
      </c>
      <c r="E36" s="166">
        <v>119.4</v>
      </c>
      <c r="F36" s="166">
        <v>118.9</v>
      </c>
      <c r="G36" s="166">
        <v>116.4</v>
      </c>
      <c r="H36" s="166">
        <v>121.3</v>
      </c>
      <c r="I36" s="166">
        <v>107.9</v>
      </c>
      <c r="J36" s="166">
        <v>102.5</v>
      </c>
      <c r="K36" s="166">
        <v>103.3</v>
      </c>
      <c r="L36" s="166">
        <v>102.6</v>
      </c>
      <c r="M36" s="166">
        <v>103.1</v>
      </c>
      <c r="N36" s="142"/>
      <c r="O36" s="144"/>
      <c r="P36" s="92" t="str">
        <f t="shared" si="18"/>
        <v>Central Support Services</v>
      </c>
      <c r="Q36" s="128">
        <f t="shared" si="19"/>
        <v>701.49999999999989</v>
      </c>
      <c r="R36" s="153">
        <f t="shared" si="16"/>
        <v>0.11161495624502783</v>
      </c>
      <c r="S36" s="130">
        <f t="shared" si="20"/>
        <v>2.8267827235797238E-3</v>
      </c>
      <c r="T36" s="151"/>
      <c r="U36" s="92" t="str">
        <f t="shared" si="21"/>
        <v>Central Support Services</v>
      </c>
      <c r="V36" s="106">
        <f t="shared" si="22"/>
        <v>519.4</v>
      </c>
      <c r="W36" s="153">
        <f t="shared" si="17"/>
        <v>0.10140174143922533</v>
      </c>
      <c r="X36" s="130">
        <f t="shared" si="23"/>
        <v>-3.1990603849299748E-2</v>
      </c>
      <c r="Z36" s="30"/>
      <c r="AA36" s="76"/>
    </row>
    <row r="37" spans="2:27">
      <c r="B37" s="94" t="s">
        <v>27</v>
      </c>
      <c r="C37" s="166">
        <v>46.3</v>
      </c>
      <c r="D37" s="166">
        <v>56</v>
      </c>
      <c r="E37" s="166">
        <v>62.9</v>
      </c>
      <c r="F37" s="166">
        <v>64.099999999999994</v>
      </c>
      <c r="G37" s="166">
        <v>74.7</v>
      </c>
      <c r="H37" s="166">
        <v>73</v>
      </c>
      <c r="I37" s="166">
        <v>72.400000000000006</v>
      </c>
      <c r="J37" s="166">
        <v>60.3</v>
      </c>
      <c r="K37" s="166">
        <v>57.1</v>
      </c>
      <c r="L37" s="166">
        <v>54.5</v>
      </c>
      <c r="M37" s="166">
        <v>53.1</v>
      </c>
      <c r="N37" s="142"/>
      <c r="O37" s="144"/>
      <c r="P37" s="92" t="str">
        <f t="shared" si="18"/>
        <v>Pensions</v>
      </c>
      <c r="Q37" s="128">
        <f t="shared" si="19"/>
        <v>377</v>
      </c>
      <c r="R37" s="153">
        <f t="shared" si="16"/>
        <v>5.9984089101034206E-2</v>
      </c>
      <c r="S37" s="130">
        <f t="shared" si="20"/>
        <v>9.5338552679503197E-2</v>
      </c>
      <c r="T37" s="151"/>
      <c r="U37" s="92" t="str">
        <f t="shared" si="21"/>
        <v>Pensions</v>
      </c>
      <c r="V37" s="106">
        <f t="shared" si="22"/>
        <v>297.39999999999998</v>
      </c>
      <c r="W37" s="153">
        <f t="shared" si="17"/>
        <v>5.8060989418609189E-2</v>
      </c>
      <c r="X37" s="130">
        <f t="shared" si="23"/>
        <v>-6.1672742827912463E-2</v>
      </c>
      <c r="Z37" s="30"/>
      <c r="AA37" s="76"/>
    </row>
    <row r="38" spans="2:27">
      <c r="B38" s="94"/>
      <c r="C38" s="100"/>
      <c r="D38" s="100"/>
      <c r="E38" s="100"/>
      <c r="F38" s="100"/>
      <c r="G38" s="100"/>
      <c r="H38" s="100"/>
      <c r="I38" s="100"/>
      <c r="J38" s="100"/>
      <c r="K38" s="100"/>
      <c r="L38" s="100"/>
      <c r="M38" s="100"/>
      <c r="N38" s="142"/>
      <c r="O38" s="144"/>
      <c r="P38" s="92"/>
      <c r="Q38" s="128"/>
      <c r="R38" s="153"/>
      <c r="S38" s="130"/>
      <c r="T38" s="151"/>
      <c r="U38" s="92"/>
      <c r="V38" s="106"/>
      <c r="W38" s="153"/>
      <c r="X38" s="130"/>
      <c r="Z38" s="30"/>
      <c r="AA38" s="76"/>
    </row>
    <row r="39" spans="2:27">
      <c r="B39" s="94" t="s">
        <v>28</v>
      </c>
      <c r="C39" s="133">
        <f>SUM(C28:C37)</f>
        <v>1053.7</v>
      </c>
      <c r="D39" s="133">
        <f t="shared" ref="D39:M39" si="24">SUM(D28:D37)</f>
        <v>1083</v>
      </c>
      <c r="E39" s="133">
        <f t="shared" si="24"/>
        <v>1026.3999999999999</v>
      </c>
      <c r="F39" s="133">
        <f t="shared" si="24"/>
        <v>1029.5</v>
      </c>
      <c r="G39" s="133">
        <f t="shared" si="24"/>
        <v>1042.3000000000002</v>
      </c>
      <c r="H39" s="133">
        <f t="shared" si="24"/>
        <v>1050.0999999999999</v>
      </c>
      <c r="I39" s="133">
        <f t="shared" si="24"/>
        <v>1072.0999999999999</v>
      </c>
      <c r="J39" s="133">
        <f t="shared" si="24"/>
        <v>1029.6000000000001</v>
      </c>
      <c r="K39" s="133">
        <f t="shared" si="24"/>
        <v>1010.3999999999999</v>
      </c>
      <c r="L39" s="133">
        <f t="shared" si="24"/>
        <v>1000.0000000000001</v>
      </c>
      <c r="M39" s="133">
        <f t="shared" si="24"/>
        <v>1010.1</v>
      </c>
      <c r="N39" s="142"/>
      <c r="O39" s="143"/>
      <c r="P39" s="92" t="str">
        <f t="shared" si="18"/>
        <v>Total</v>
      </c>
      <c r="Q39" s="128">
        <f>SUM(C39:H39)</f>
        <v>6285</v>
      </c>
      <c r="R39" s="153">
        <f>Q39/$Q$39</f>
        <v>1</v>
      </c>
      <c r="S39" s="130">
        <f>((H39/C39)^(1/5))-1</f>
        <v>-6.8424217818829902E-4</v>
      </c>
      <c r="T39" s="151"/>
      <c r="U39" s="92" t="str">
        <f t="shared" si="21"/>
        <v>Total</v>
      </c>
      <c r="V39" s="106">
        <f>SUM(I39:M39)</f>
        <v>5122.2</v>
      </c>
      <c r="W39" s="153">
        <f t="shared" ref="W39" si="25">V39/$V$39</f>
        <v>1</v>
      </c>
      <c r="X39" s="130">
        <f>((M39/H39)^(1/5))-1</f>
        <v>-7.737125528689881E-3</v>
      </c>
      <c r="Z39" s="30"/>
      <c r="AA39" s="76"/>
    </row>
    <row r="40" spans="2:27">
      <c r="B40" s="94"/>
      <c r="C40" s="100"/>
      <c r="D40" s="101"/>
      <c r="E40" s="101"/>
      <c r="F40" s="101"/>
      <c r="G40" s="101"/>
      <c r="H40" s="101"/>
      <c r="I40" s="101"/>
      <c r="J40" s="101"/>
      <c r="K40" s="101"/>
      <c r="L40" s="101"/>
      <c r="M40" s="101"/>
      <c r="N40" s="142"/>
      <c r="O40" s="147"/>
      <c r="P40" s="92"/>
      <c r="Q40" s="104"/>
      <c r="R40" s="104"/>
      <c r="S40" s="130"/>
      <c r="T40" s="151"/>
      <c r="U40" s="92"/>
      <c r="V40" s="104"/>
      <c r="W40" s="104"/>
      <c r="X40" s="130"/>
      <c r="Z40" s="76"/>
    </row>
    <row r="41" spans="2:27">
      <c r="B41" s="94" t="s">
        <v>252</v>
      </c>
      <c r="C41" s="175">
        <f>C55</f>
        <v>7907</v>
      </c>
      <c r="D41" s="175">
        <f t="shared" ref="D41:M41" si="26">D55</f>
        <v>7406</v>
      </c>
      <c r="E41" s="175">
        <f t="shared" si="26"/>
        <v>7457</v>
      </c>
      <c r="F41" s="175">
        <f t="shared" si="26"/>
        <v>7464</v>
      </c>
      <c r="G41" s="175">
        <f t="shared" si="26"/>
        <v>7152</v>
      </c>
      <c r="H41" s="175">
        <f t="shared" si="26"/>
        <v>6893</v>
      </c>
      <c r="I41" s="175">
        <f t="shared" si="26"/>
        <v>6580</v>
      </c>
      <c r="J41" s="175">
        <f t="shared" si="26"/>
        <v>6337</v>
      </c>
      <c r="K41" s="175">
        <f t="shared" si="26"/>
        <v>6034</v>
      </c>
      <c r="L41" s="175">
        <f t="shared" si="26"/>
        <v>5860</v>
      </c>
      <c r="M41" s="175">
        <f t="shared" si="26"/>
        <v>5812</v>
      </c>
      <c r="N41" s="142"/>
      <c r="O41" s="147"/>
      <c r="P41" s="94" t="s">
        <v>252</v>
      </c>
      <c r="Q41" s="106">
        <f>SUM(C41:H41)</f>
        <v>44279</v>
      </c>
      <c r="R41" s="106"/>
      <c r="S41" s="130">
        <f>((H41/C41)^(1/5))-1</f>
        <v>-2.7075123442601212E-2</v>
      </c>
      <c r="T41" s="151"/>
      <c r="U41" s="94" t="s">
        <v>252</v>
      </c>
      <c r="V41" s="106">
        <f>SUM(I41:M41)</f>
        <v>30623</v>
      </c>
      <c r="W41" s="106"/>
      <c r="X41" s="130">
        <f>((M41/H41)^(1/5))-1</f>
        <v>-3.3540931669854279E-2</v>
      </c>
      <c r="Z41" s="76"/>
    </row>
    <row r="42" spans="2:27">
      <c r="B42" s="94" t="s">
        <v>207</v>
      </c>
      <c r="C42" s="100">
        <v>65.900000000000006</v>
      </c>
      <c r="D42" s="100">
        <v>66.099999999999994</v>
      </c>
      <c r="E42" s="100">
        <v>66.099999999999994</v>
      </c>
      <c r="F42" s="174">
        <f>[2]CA!J18</f>
        <v>70.067623000000012</v>
      </c>
      <c r="G42" s="174">
        <f>[2]CA!K18</f>
        <v>69.599999999999994</v>
      </c>
      <c r="H42" s="174">
        <f>[2]CA!L18</f>
        <v>68.8</v>
      </c>
      <c r="I42" s="174">
        <v>70.099999999999994</v>
      </c>
      <c r="J42" s="174">
        <v>70.8</v>
      </c>
      <c r="K42" s="174">
        <v>71.5</v>
      </c>
      <c r="L42" s="174">
        <v>72.3</v>
      </c>
      <c r="M42" s="174">
        <v>73</v>
      </c>
      <c r="N42" s="142"/>
      <c r="O42" s="144"/>
      <c r="P42" s="92" t="str">
        <f t="shared" si="18"/>
        <v>Passengers (m)</v>
      </c>
      <c r="Q42" s="106">
        <f>SUM(C42:H42)</f>
        <v>406.56762299999997</v>
      </c>
      <c r="R42" s="106"/>
      <c r="S42" s="130">
        <f>((H42/C42)^(1/5))-1</f>
        <v>8.6502598161137811E-3</v>
      </c>
      <c r="T42" s="151"/>
      <c r="U42" s="92" t="str">
        <f t="shared" si="21"/>
        <v>Passengers (m)</v>
      </c>
      <c r="V42" s="106">
        <f>SUM(I42:M42)</f>
        <v>357.7</v>
      </c>
      <c r="W42" s="106"/>
      <c r="X42" s="130">
        <f>((M42/H42)^(1/5))-1</f>
        <v>1.1921642230787288E-2</v>
      </c>
    </row>
    <row r="43" spans="2:27">
      <c r="B43" s="98" t="s">
        <v>224</v>
      </c>
      <c r="C43" s="161">
        <f>C39/C42</f>
        <v>15.98937784522003</v>
      </c>
      <c r="D43" s="161">
        <f t="shared" ref="D43:M43" si="27">D39/D42</f>
        <v>16.384266263237521</v>
      </c>
      <c r="E43" s="161">
        <f t="shared" si="27"/>
        <v>15.527987897125566</v>
      </c>
      <c r="F43" s="161">
        <f t="shared" si="27"/>
        <v>14.692948838866702</v>
      </c>
      <c r="G43" s="161">
        <f t="shared" si="27"/>
        <v>14.975574712643683</v>
      </c>
      <c r="H43" s="161">
        <f t="shared" si="27"/>
        <v>15.263081395348836</v>
      </c>
      <c r="I43" s="161">
        <f t="shared" si="27"/>
        <v>15.293865905848788</v>
      </c>
      <c r="J43" s="161">
        <f t="shared" si="27"/>
        <v>14.542372881355934</v>
      </c>
      <c r="K43" s="161">
        <f t="shared" si="27"/>
        <v>14.13146853146853</v>
      </c>
      <c r="L43" s="161">
        <f t="shared" si="27"/>
        <v>13.831258644536655</v>
      </c>
      <c r="M43" s="161">
        <f t="shared" si="27"/>
        <v>13.836986301369864</v>
      </c>
      <c r="N43" s="142"/>
      <c r="O43" s="145"/>
      <c r="P43" s="43" t="str">
        <f>B43</f>
        <v>Total opex / passenger</v>
      </c>
      <c r="Q43" s="107">
        <f>Q39/Q42</f>
        <v>15.458682995030326</v>
      </c>
      <c r="R43" s="107"/>
      <c r="S43" s="131">
        <f t="shared" si="20"/>
        <v>-9.2544486093761869E-3</v>
      </c>
      <c r="T43" s="151"/>
      <c r="U43" s="43" t="str">
        <f t="shared" si="21"/>
        <v>Total opex / passenger</v>
      </c>
      <c r="V43" s="107">
        <f>V39/V42</f>
        <v>14.319821079116577</v>
      </c>
      <c r="W43" s="132"/>
      <c r="X43" s="131">
        <f>((M43/H43)^(1/5))-1</f>
        <v>-1.9427164059994895E-2</v>
      </c>
    </row>
    <row r="44" spans="2:27" s="61" customFormat="1">
      <c r="B44" s="140"/>
      <c r="C44" s="145"/>
      <c r="D44" s="145"/>
      <c r="E44" s="145"/>
      <c r="F44" s="145"/>
      <c r="G44" s="145"/>
      <c r="H44" s="145"/>
      <c r="I44" s="145"/>
      <c r="J44" s="145"/>
      <c r="K44" s="145"/>
      <c r="L44" s="145"/>
      <c r="M44" s="145"/>
      <c r="N44" s="142"/>
      <c r="O44" s="145"/>
      <c r="P44" s="140"/>
      <c r="Q44" s="149"/>
      <c r="R44" s="145"/>
      <c r="S44" s="151"/>
      <c r="T44" s="151"/>
      <c r="U44" s="43"/>
      <c r="V44" s="149"/>
      <c r="W44" s="163"/>
      <c r="X44" s="151"/>
    </row>
    <row r="45" spans="2:27">
      <c r="N45" s="142"/>
      <c r="P45" s="19"/>
      <c r="U45" s="43"/>
    </row>
    <row r="46" spans="2:27">
      <c r="N46" s="142"/>
      <c r="P46" s="19"/>
      <c r="U46" s="19"/>
      <c r="V46" s="30"/>
    </row>
    <row r="47" spans="2:27">
      <c r="B47" s="84" t="s">
        <v>567</v>
      </c>
      <c r="C47" s="626" t="s">
        <v>30</v>
      </c>
      <c r="D47" s="627"/>
      <c r="E47" s="627"/>
      <c r="F47" s="627"/>
      <c r="G47" s="628"/>
      <c r="H47" s="87" t="s">
        <v>187</v>
      </c>
      <c r="I47" s="626" t="s">
        <v>31</v>
      </c>
      <c r="J47" s="627"/>
      <c r="K47" s="627"/>
      <c r="L47" s="627"/>
      <c r="M47" s="628"/>
      <c r="N47" s="142"/>
      <c r="P47" s="84" t="s">
        <v>568</v>
      </c>
      <c r="Q47" s="84"/>
      <c r="R47" s="84"/>
      <c r="S47" s="84"/>
      <c r="T47" s="138"/>
      <c r="U47" s="84" t="s">
        <v>569</v>
      </c>
      <c r="V47" s="86"/>
      <c r="W47" s="86"/>
      <c r="X47" s="86"/>
    </row>
    <row r="48" spans="2:27" ht="25.5">
      <c r="B48" s="29" t="s">
        <v>252</v>
      </c>
      <c r="C48" s="75" t="s">
        <v>12</v>
      </c>
      <c r="D48" s="75" t="s">
        <v>13</v>
      </c>
      <c r="E48" s="75" t="s">
        <v>14</v>
      </c>
      <c r="F48" s="75" t="s">
        <v>15</v>
      </c>
      <c r="G48" s="75" t="s">
        <v>16</v>
      </c>
      <c r="H48" s="75" t="s">
        <v>17</v>
      </c>
      <c r="I48" s="75" t="s">
        <v>32</v>
      </c>
      <c r="J48" s="75" t="s">
        <v>33</v>
      </c>
      <c r="K48" s="75" t="s">
        <v>34</v>
      </c>
      <c r="L48" s="75" t="s">
        <v>35</v>
      </c>
      <c r="M48" s="75" t="s">
        <v>36</v>
      </c>
      <c r="N48" s="142"/>
      <c r="P48" s="29" t="s">
        <v>232</v>
      </c>
      <c r="Q48" s="73" t="s">
        <v>226</v>
      </c>
      <c r="R48" s="73" t="s">
        <v>246</v>
      </c>
      <c r="S48" s="73" t="s">
        <v>225</v>
      </c>
      <c r="T48" s="150"/>
      <c r="U48" s="29" t="s">
        <v>232</v>
      </c>
      <c r="V48" s="73" t="s">
        <v>37</v>
      </c>
      <c r="W48" s="73" t="s">
        <v>246</v>
      </c>
      <c r="X48" s="73" t="s">
        <v>206</v>
      </c>
    </row>
    <row r="49" spans="2:24">
      <c r="B49" s="92" t="s">
        <v>253</v>
      </c>
      <c r="C49" s="598" t="s">
        <v>808</v>
      </c>
      <c r="D49" s="598" t="s">
        <v>808</v>
      </c>
      <c r="E49" s="598" t="s">
        <v>808</v>
      </c>
      <c r="F49" s="598" t="s">
        <v>808</v>
      </c>
      <c r="G49" s="598" t="s">
        <v>808</v>
      </c>
      <c r="H49" s="598" t="s">
        <v>808</v>
      </c>
      <c r="I49" s="598" t="s">
        <v>808</v>
      </c>
      <c r="J49" s="598" t="s">
        <v>808</v>
      </c>
      <c r="K49" s="598" t="s">
        <v>808</v>
      </c>
      <c r="L49" s="598" t="s">
        <v>808</v>
      </c>
      <c r="M49" s="598" t="s">
        <v>808</v>
      </c>
      <c r="N49" s="142"/>
      <c r="P49" s="92" t="str">
        <f>B49</f>
        <v>Security</v>
      </c>
      <c r="Q49" s="615" t="s">
        <v>808</v>
      </c>
      <c r="R49" s="615" t="s">
        <v>808</v>
      </c>
      <c r="S49" s="615" t="s">
        <v>808</v>
      </c>
      <c r="T49" s="151"/>
      <c r="U49" s="92" t="str">
        <f>P49</f>
        <v>Security</v>
      </c>
      <c r="V49" s="615" t="s">
        <v>808</v>
      </c>
      <c r="W49" s="615" t="s">
        <v>808</v>
      </c>
      <c r="X49" s="615" t="s">
        <v>808</v>
      </c>
    </row>
    <row r="50" spans="2:24">
      <c r="B50" s="94" t="s">
        <v>254</v>
      </c>
      <c r="C50" s="598" t="s">
        <v>808</v>
      </c>
      <c r="D50" s="598" t="s">
        <v>808</v>
      </c>
      <c r="E50" s="598" t="s">
        <v>808</v>
      </c>
      <c r="F50" s="598" t="s">
        <v>808</v>
      </c>
      <c r="G50" s="598" t="s">
        <v>808</v>
      </c>
      <c r="H50" s="598" t="s">
        <v>808</v>
      </c>
      <c r="I50" s="598" t="s">
        <v>808</v>
      </c>
      <c r="J50" s="598" t="s">
        <v>808</v>
      </c>
      <c r="K50" s="598" t="s">
        <v>808</v>
      </c>
      <c r="L50" s="598" t="s">
        <v>808</v>
      </c>
      <c r="M50" s="598" t="s">
        <v>808</v>
      </c>
      <c r="N50" s="142"/>
      <c r="P50" s="92" t="str">
        <f t="shared" ref="P50:P55" si="28">B50</f>
        <v>Operations</v>
      </c>
      <c r="Q50" s="615" t="s">
        <v>808</v>
      </c>
      <c r="R50" s="615" t="s">
        <v>808</v>
      </c>
      <c r="S50" s="615" t="s">
        <v>808</v>
      </c>
      <c r="T50" s="151"/>
      <c r="U50" s="92" t="str">
        <f t="shared" ref="U50:U55" si="29">P50</f>
        <v>Operations</v>
      </c>
      <c r="V50" s="615" t="s">
        <v>808</v>
      </c>
      <c r="W50" s="615" t="s">
        <v>808</v>
      </c>
      <c r="X50" s="615" t="s">
        <v>808</v>
      </c>
    </row>
    <row r="51" spans="2:24">
      <c r="B51" s="94" t="s">
        <v>255</v>
      </c>
      <c r="C51" s="598" t="s">
        <v>808</v>
      </c>
      <c r="D51" s="598" t="s">
        <v>808</v>
      </c>
      <c r="E51" s="598" t="s">
        <v>808</v>
      </c>
      <c r="F51" s="598" t="s">
        <v>808</v>
      </c>
      <c r="G51" s="598" t="s">
        <v>808</v>
      </c>
      <c r="H51" s="598" t="s">
        <v>808</v>
      </c>
      <c r="I51" s="598" t="s">
        <v>808</v>
      </c>
      <c r="J51" s="598" t="s">
        <v>808</v>
      </c>
      <c r="K51" s="598" t="s">
        <v>808</v>
      </c>
      <c r="L51" s="598" t="s">
        <v>808</v>
      </c>
      <c r="M51" s="598" t="s">
        <v>808</v>
      </c>
      <c r="N51" s="142"/>
      <c r="P51" s="92" t="str">
        <f t="shared" si="28"/>
        <v>Facilities</v>
      </c>
      <c r="Q51" s="615" t="s">
        <v>808</v>
      </c>
      <c r="R51" s="615" t="s">
        <v>808</v>
      </c>
      <c r="S51" s="615" t="s">
        <v>808</v>
      </c>
      <c r="U51" s="92" t="str">
        <f t="shared" si="29"/>
        <v>Facilities</v>
      </c>
      <c r="V51" s="615" t="s">
        <v>808</v>
      </c>
      <c r="W51" s="615" t="s">
        <v>808</v>
      </c>
      <c r="X51" s="615" t="s">
        <v>808</v>
      </c>
    </row>
    <row r="52" spans="2:24">
      <c r="B52" s="94" t="s">
        <v>251</v>
      </c>
      <c r="C52" s="598" t="s">
        <v>808</v>
      </c>
      <c r="D52" s="598" t="s">
        <v>808</v>
      </c>
      <c r="E52" s="598" t="s">
        <v>808</v>
      </c>
      <c r="F52" s="598" t="s">
        <v>808</v>
      </c>
      <c r="G52" s="598" t="s">
        <v>808</v>
      </c>
      <c r="H52" s="598" t="s">
        <v>808</v>
      </c>
      <c r="I52" s="598" t="s">
        <v>808</v>
      </c>
      <c r="J52" s="598" t="s">
        <v>808</v>
      </c>
      <c r="K52" s="598" t="s">
        <v>808</v>
      </c>
      <c r="L52" s="598" t="s">
        <v>808</v>
      </c>
      <c r="M52" s="598" t="s">
        <v>808</v>
      </c>
      <c r="N52" s="142"/>
      <c r="P52" s="92" t="str">
        <f t="shared" si="28"/>
        <v>Commercial</v>
      </c>
      <c r="Q52" s="615" t="s">
        <v>808</v>
      </c>
      <c r="R52" s="615" t="s">
        <v>808</v>
      </c>
      <c r="S52" s="615" t="s">
        <v>808</v>
      </c>
      <c r="U52" s="92" t="str">
        <f t="shared" si="29"/>
        <v>Commercial</v>
      </c>
      <c r="V52" s="615" t="s">
        <v>808</v>
      </c>
      <c r="W52" s="615" t="s">
        <v>808</v>
      </c>
      <c r="X52" s="615" t="s">
        <v>808</v>
      </c>
    </row>
    <row r="53" spans="2:24">
      <c r="B53" s="94" t="s">
        <v>87</v>
      </c>
      <c r="C53" s="598" t="s">
        <v>808</v>
      </c>
      <c r="D53" s="598" t="s">
        <v>808</v>
      </c>
      <c r="E53" s="598" t="s">
        <v>808</v>
      </c>
      <c r="F53" s="598" t="s">
        <v>808</v>
      </c>
      <c r="G53" s="598" t="s">
        <v>808</v>
      </c>
      <c r="H53" s="598" t="s">
        <v>808</v>
      </c>
      <c r="I53" s="598" t="s">
        <v>808</v>
      </c>
      <c r="J53" s="598" t="s">
        <v>808</v>
      </c>
      <c r="K53" s="598" t="s">
        <v>808</v>
      </c>
      <c r="L53" s="598" t="s">
        <v>808</v>
      </c>
      <c r="M53" s="598" t="s">
        <v>808</v>
      </c>
      <c r="N53" s="142"/>
      <c r="P53" s="92" t="str">
        <f t="shared" si="28"/>
        <v xml:space="preserve">Rail </v>
      </c>
      <c r="Q53" s="615" t="s">
        <v>808</v>
      </c>
      <c r="R53" s="615" t="s">
        <v>808</v>
      </c>
      <c r="S53" s="615" t="s">
        <v>808</v>
      </c>
      <c r="U53" s="92" t="str">
        <f t="shared" si="29"/>
        <v xml:space="preserve">Rail </v>
      </c>
      <c r="V53" s="615" t="s">
        <v>808</v>
      </c>
      <c r="W53" s="615" t="s">
        <v>808</v>
      </c>
      <c r="X53" s="615" t="s">
        <v>808</v>
      </c>
    </row>
    <row r="54" spans="2:24">
      <c r="B54" s="94" t="s">
        <v>256</v>
      </c>
      <c r="C54" s="598" t="s">
        <v>808</v>
      </c>
      <c r="D54" s="598" t="s">
        <v>808</v>
      </c>
      <c r="E54" s="598" t="s">
        <v>808</v>
      </c>
      <c r="F54" s="598" t="s">
        <v>808</v>
      </c>
      <c r="G54" s="598" t="s">
        <v>808</v>
      </c>
      <c r="H54" s="598" t="s">
        <v>808</v>
      </c>
      <c r="I54" s="598" t="s">
        <v>808</v>
      </c>
      <c r="J54" s="598" t="s">
        <v>808</v>
      </c>
      <c r="K54" s="598" t="s">
        <v>808</v>
      </c>
      <c r="L54" s="598" t="s">
        <v>808</v>
      </c>
      <c r="M54" s="598" t="s">
        <v>808</v>
      </c>
      <c r="N54" s="142"/>
      <c r="P54" s="92" t="str">
        <f t="shared" si="28"/>
        <v>Central Support</v>
      </c>
      <c r="Q54" s="615" t="s">
        <v>808</v>
      </c>
      <c r="R54" s="615" t="s">
        <v>808</v>
      </c>
      <c r="S54" s="615" t="s">
        <v>808</v>
      </c>
      <c r="U54" s="92" t="str">
        <f t="shared" si="29"/>
        <v>Central Support</v>
      </c>
      <c r="V54" s="615" t="s">
        <v>808</v>
      </c>
      <c r="W54" s="615" t="s">
        <v>808</v>
      </c>
      <c r="X54" s="615" t="s">
        <v>808</v>
      </c>
    </row>
    <row r="55" spans="2:24">
      <c r="B55" s="98" t="s">
        <v>28</v>
      </c>
      <c r="C55" s="127">
        <v>7907</v>
      </c>
      <c r="D55" s="127">
        <v>7406</v>
      </c>
      <c r="E55" s="127">
        <v>7457</v>
      </c>
      <c r="F55" s="127">
        <v>7464</v>
      </c>
      <c r="G55" s="127">
        <v>7152</v>
      </c>
      <c r="H55" s="127">
        <v>6893</v>
      </c>
      <c r="I55" s="127">
        <v>6580</v>
      </c>
      <c r="J55" s="127">
        <v>6337</v>
      </c>
      <c r="K55" s="127">
        <v>6034</v>
      </c>
      <c r="L55" s="127">
        <v>5860</v>
      </c>
      <c r="M55" s="127">
        <v>5812</v>
      </c>
      <c r="N55" s="142"/>
      <c r="P55" s="92" t="str">
        <f t="shared" si="28"/>
        <v>Total</v>
      </c>
      <c r="Q55" s="128">
        <f t="shared" ref="Q55" si="30">SUM(C55:H55)</f>
        <v>44279</v>
      </c>
      <c r="R55" s="153">
        <f t="shared" ref="R55" si="31">Q55/$Q$55</f>
        <v>1</v>
      </c>
      <c r="S55" s="129">
        <f>((H55/C55)^(1/5))-1</f>
        <v>-2.7075123442601212E-2</v>
      </c>
      <c r="U55" s="92" t="str">
        <f t="shared" si="29"/>
        <v>Total</v>
      </c>
      <c r="V55" s="128">
        <f t="shared" ref="V55" si="32">SUM(I55:M55)</f>
        <v>30623</v>
      </c>
      <c r="W55" s="153">
        <f t="shared" ref="W55" si="33">V55/$V$55</f>
        <v>1</v>
      </c>
      <c r="X55" s="129">
        <f>((M55/H55)^(1/5))-1</f>
        <v>-3.3540931669854279E-2</v>
      </c>
    </row>
    <row r="56" spans="2:24">
      <c r="B56" s="43"/>
      <c r="C56" s="171"/>
      <c r="D56" s="171"/>
      <c r="E56" s="171"/>
      <c r="F56" s="171"/>
      <c r="G56" s="171"/>
      <c r="H56" s="171"/>
      <c r="I56" s="171"/>
      <c r="J56" s="171"/>
      <c r="K56" s="171"/>
      <c r="L56" s="171"/>
      <c r="M56" s="171"/>
      <c r="N56" s="142"/>
      <c r="P56" s="43"/>
      <c r="Q56" s="245"/>
      <c r="R56" s="246"/>
      <c r="S56" s="197"/>
      <c r="U56" s="43"/>
      <c r="V56" s="245"/>
      <c r="W56" s="246"/>
      <c r="X56" s="197"/>
    </row>
    <row r="58" spans="2:24">
      <c r="B58" s="329" t="s">
        <v>445</v>
      </c>
      <c r="C58" s="329"/>
      <c r="D58" s="329"/>
      <c r="E58" s="329"/>
      <c r="F58" s="329"/>
      <c r="G58" s="329"/>
      <c r="H58" s="329"/>
      <c r="I58" s="329"/>
      <c r="J58" s="329"/>
      <c r="K58" s="329"/>
      <c r="L58" s="329"/>
      <c r="M58" s="329"/>
      <c r="N58" s="329"/>
      <c r="O58" s="329"/>
      <c r="P58" s="329"/>
      <c r="Q58" s="329"/>
      <c r="R58" s="329"/>
      <c r="S58" s="329"/>
      <c r="T58" s="329"/>
      <c r="U58" s="329"/>
      <c r="V58" s="329"/>
      <c r="W58" s="329"/>
      <c r="X58" s="329"/>
    </row>
    <row r="59" spans="2:24" ht="15">
      <c r="B59" s="241"/>
      <c r="D59" s="242"/>
      <c r="E59" s="242"/>
      <c r="F59" s="242"/>
      <c r="G59" s="242"/>
      <c r="H59" s="242"/>
      <c r="I59" s="242"/>
      <c r="J59" s="242"/>
      <c r="K59" s="242"/>
    </row>
    <row r="60" spans="2:24" ht="15">
      <c r="B60" s="241"/>
      <c r="C60" s="242"/>
      <c r="D60" s="242"/>
      <c r="E60" s="242"/>
      <c r="F60" s="242"/>
      <c r="G60" s="242"/>
      <c r="H60" s="242"/>
      <c r="I60" s="242"/>
      <c r="J60" s="242"/>
    </row>
    <row r="61" spans="2:24" ht="15">
      <c r="B61" s="241"/>
      <c r="C61" s="242"/>
      <c r="D61" s="242"/>
      <c r="E61" s="242"/>
      <c r="F61" s="242"/>
      <c r="G61" s="242"/>
      <c r="H61" s="242"/>
      <c r="I61" s="242"/>
      <c r="J61" s="242"/>
      <c r="K61" s="242"/>
      <c r="L61" s="242"/>
      <c r="M61" s="242"/>
    </row>
    <row r="87" spans="6:6">
      <c r="F87" s="34"/>
    </row>
    <row r="88" spans="6:6">
      <c r="F88" s="34"/>
    </row>
    <row r="89" spans="6:6">
      <c r="F89" s="34"/>
    </row>
    <row r="90" spans="6:6">
      <c r="F90" s="34"/>
    </row>
    <row r="115" spans="3:3">
      <c r="C115" s="31"/>
    </row>
    <row r="116" spans="3:3">
      <c r="C116" s="31"/>
    </row>
    <row r="117" spans="3:3">
      <c r="C117" s="31"/>
    </row>
    <row r="118" spans="3:3">
      <c r="C118" s="31"/>
    </row>
    <row r="119" spans="3:3">
      <c r="C119" s="31"/>
    </row>
    <row r="120" spans="3:3">
      <c r="C120" s="31"/>
    </row>
  </sheetData>
  <mergeCells count="6">
    <mergeCell ref="C4:G4"/>
    <mergeCell ref="I4:M4"/>
    <mergeCell ref="C26:G26"/>
    <mergeCell ref="I26:M26"/>
    <mergeCell ref="C47:G47"/>
    <mergeCell ref="I47:M47"/>
  </mergeCells>
  <pageMargins left="0.70866141732283472" right="0.70866141732283472" top="0.74803149606299213" bottom="0.74803149606299213" header="0.31496062992125984" footer="0.31496062992125984"/>
  <pageSetup paperSize="9" scale="71" fitToWidth="2" orientation="landscape" r:id="rId1"/>
  <headerFooter>
    <oddHeader>&amp;C&amp;A&amp;D</oddHeader>
  </headerFooter>
  <legacyDrawing r:id="rId2"/>
</worksheet>
</file>

<file path=xl/worksheets/sheet10.xml><?xml version="1.0" encoding="utf-8"?>
<worksheet xmlns="http://schemas.openxmlformats.org/spreadsheetml/2006/main" xmlns:r="http://schemas.openxmlformats.org/officeDocument/2006/relationships">
  <sheetPr>
    <pageSetUpPr fitToPage="1"/>
  </sheetPr>
  <dimension ref="B2:AA122"/>
  <sheetViews>
    <sheetView showGridLines="0" zoomScale="55" zoomScaleNormal="55" zoomScaleSheetLayoutView="55" workbookViewId="0">
      <selection activeCell="P68" sqref="P68"/>
    </sheetView>
  </sheetViews>
  <sheetFormatPr defaultRowHeight="12.75"/>
  <cols>
    <col min="1" max="1" width="9.140625" style="19"/>
    <col min="2" max="2" width="33.85546875" style="19" customWidth="1"/>
    <col min="3" max="13" width="10.7109375" style="19" customWidth="1"/>
    <col min="14" max="15" width="9.28515625" style="140" customWidth="1"/>
    <col min="16" max="16" width="30" style="140" customWidth="1"/>
    <col min="17" max="19" width="9.28515625" style="19" customWidth="1"/>
    <col min="20" max="20" width="9.28515625" style="61" customWidth="1"/>
    <col min="21" max="21" width="25.7109375" style="140" customWidth="1"/>
    <col min="22" max="24" width="9.28515625" style="19" customWidth="1"/>
    <col min="25" max="16384" width="9.140625" style="19"/>
  </cols>
  <sheetData>
    <row r="2" spans="2:27">
      <c r="B2" s="261" t="s">
        <v>754</v>
      </c>
      <c r="C2" s="38"/>
      <c r="M2" s="43"/>
      <c r="Q2" s="43"/>
      <c r="R2" s="43"/>
      <c r="S2" s="43"/>
      <c r="T2" s="140"/>
      <c r="V2" s="43"/>
      <c r="W2" s="246"/>
      <c r="X2" s="197"/>
    </row>
    <row r="3" spans="2:27">
      <c r="B3" s="18"/>
    </row>
    <row r="4" spans="2:27">
      <c r="B4" s="84" t="s">
        <v>564</v>
      </c>
      <c r="C4" s="626" t="s">
        <v>30</v>
      </c>
      <c r="D4" s="627"/>
      <c r="E4" s="627"/>
      <c r="F4" s="627"/>
      <c r="G4" s="628"/>
      <c r="H4" s="87" t="s">
        <v>187</v>
      </c>
      <c r="I4" s="626" t="s">
        <v>31</v>
      </c>
      <c r="J4" s="627"/>
      <c r="K4" s="627"/>
      <c r="L4" s="627"/>
      <c r="M4" s="628"/>
      <c r="N4" s="373"/>
      <c r="O4" s="373"/>
      <c r="P4" s="84" t="s">
        <v>565</v>
      </c>
      <c r="Q4" s="84"/>
      <c r="R4" s="84"/>
      <c r="S4" s="84"/>
      <c r="T4" s="138"/>
      <c r="U4" s="84" t="s">
        <v>566</v>
      </c>
      <c r="V4" s="374"/>
      <c r="W4" s="374"/>
      <c r="X4" s="84"/>
    </row>
    <row r="5" spans="2:27" ht="27.75" customHeight="1">
      <c r="B5" s="29" t="s">
        <v>46</v>
      </c>
      <c r="C5" s="75" t="s">
        <v>12</v>
      </c>
      <c r="D5" s="75" t="s">
        <v>13</v>
      </c>
      <c r="E5" s="75" t="s">
        <v>14</v>
      </c>
      <c r="F5" s="75" t="s">
        <v>15</v>
      </c>
      <c r="G5" s="75" t="s">
        <v>16</v>
      </c>
      <c r="H5" s="75" t="s">
        <v>17</v>
      </c>
      <c r="I5" s="75" t="s">
        <v>32</v>
      </c>
      <c r="J5" s="75" t="s">
        <v>33</v>
      </c>
      <c r="K5" s="75" t="s">
        <v>34</v>
      </c>
      <c r="L5" s="75" t="s">
        <v>35</v>
      </c>
      <c r="M5" s="75" t="s">
        <v>36</v>
      </c>
      <c r="N5" s="141"/>
      <c r="O5" s="141"/>
      <c r="P5" s="29" t="s">
        <v>46</v>
      </c>
      <c r="Q5" s="73" t="s">
        <v>226</v>
      </c>
      <c r="R5" s="73" t="s">
        <v>246</v>
      </c>
      <c r="S5" s="73" t="s">
        <v>225</v>
      </c>
      <c r="T5" s="150"/>
      <c r="U5" s="29" t="s">
        <v>46</v>
      </c>
      <c r="V5" s="73" t="s">
        <v>37</v>
      </c>
      <c r="W5" s="73" t="s">
        <v>246</v>
      </c>
      <c r="X5" s="73" t="s">
        <v>206</v>
      </c>
    </row>
    <row r="6" spans="2:27">
      <c r="B6" s="92" t="str">
        <f>B28</f>
        <v>Security Costs</v>
      </c>
      <c r="C6" s="102">
        <f t="shared" ref="C6:C7" si="0">C28*C$24</f>
        <v>160.72840139040059</v>
      </c>
      <c r="D6" s="102">
        <f t="shared" ref="D6:M7" si="1">D28*D$24</f>
        <v>153.91017169340964</v>
      </c>
      <c r="E6" s="102">
        <f t="shared" si="1"/>
        <v>155.53705979424876</v>
      </c>
      <c r="F6" s="102">
        <f t="shared" si="1"/>
        <v>164.2</v>
      </c>
      <c r="G6" s="102">
        <f t="shared" si="1"/>
        <v>167.41780134124502</v>
      </c>
      <c r="H6" s="102">
        <f t="shared" si="1"/>
        <v>163.87390264636551</v>
      </c>
      <c r="I6" s="102">
        <f t="shared" si="1"/>
        <v>174.65185003751321</v>
      </c>
      <c r="J6" s="102">
        <f t="shared" si="1"/>
        <v>170.9140119956437</v>
      </c>
      <c r="K6" s="102">
        <f t="shared" si="1"/>
        <v>163.5824056881504</v>
      </c>
      <c r="L6" s="102">
        <f t="shared" si="1"/>
        <v>160.2911461435221</v>
      </c>
      <c r="M6" s="102">
        <f>M28*M$24</f>
        <v>163.7536250157402</v>
      </c>
      <c r="N6" s="142"/>
      <c r="O6" s="142"/>
      <c r="P6" s="92" t="str">
        <f>B6</f>
        <v>Security Costs</v>
      </c>
      <c r="Q6" s="128">
        <f>SUM(C6:H6)</f>
        <v>965.66733686566943</v>
      </c>
      <c r="R6" s="153">
        <f t="shared" ref="R6:R15" si="2">Q6/$Q$17</f>
        <v>0.15746641833442626</v>
      </c>
      <c r="S6" s="129">
        <f>((H6/C6)^(1/5))-1</f>
        <v>3.8837730112848412E-3</v>
      </c>
      <c r="T6" s="151"/>
      <c r="U6" s="92" t="str">
        <f>P6</f>
        <v>Security Costs</v>
      </c>
      <c r="V6" s="128">
        <f>SUM(I6:M6)</f>
        <v>833.1930388805697</v>
      </c>
      <c r="W6" s="153">
        <f t="shared" ref="W6:W15" si="3">V6/$V$17</f>
        <v>0.14117089747832973</v>
      </c>
      <c r="X6" s="129">
        <f>((M6/H6)^(1/5))-1</f>
        <v>-1.4683601970344462E-4</v>
      </c>
      <c r="Z6" s="76"/>
      <c r="AA6" s="76"/>
    </row>
    <row r="7" spans="2:27">
      <c r="B7" s="92" t="str">
        <f t="shared" ref="B7" si="4">B29</f>
        <v>Total Operational Staff</v>
      </c>
      <c r="C7" s="103">
        <f t="shared" si="0"/>
        <v>56.72767107896491</v>
      </c>
      <c r="D7" s="103">
        <f t="shared" si="1"/>
        <v>48.818524630455386</v>
      </c>
      <c r="E7" s="103">
        <f t="shared" si="1"/>
        <v>52.57725150100066</v>
      </c>
      <c r="F7" s="103">
        <f t="shared" si="1"/>
        <v>55.5</v>
      </c>
      <c r="G7" s="103">
        <f t="shared" si="1"/>
        <v>66.183638214950307</v>
      </c>
      <c r="H7" s="103">
        <f t="shared" si="1"/>
        <v>76.404231137372989</v>
      </c>
      <c r="I7" s="103">
        <f t="shared" si="1"/>
        <v>74.324546604053396</v>
      </c>
      <c r="J7" s="103">
        <f t="shared" si="1"/>
        <v>71.456841188218007</v>
      </c>
      <c r="K7" s="103">
        <f t="shared" si="1"/>
        <v>79.599337041483622</v>
      </c>
      <c r="L7" s="103">
        <f t="shared" si="1"/>
        <v>70.105097275521146</v>
      </c>
      <c r="M7" s="103">
        <f t="shared" si="1"/>
        <v>71.963476464316315</v>
      </c>
      <c r="N7" s="142"/>
      <c r="O7" s="142"/>
      <c r="P7" s="92" t="str">
        <f t="shared" ref="P7:P21" si="5">B7</f>
        <v>Total Operational Staff</v>
      </c>
      <c r="Q7" s="106">
        <f t="shared" ref="Q7:Q13" si="6">SUM(C7:H7)</f>
        <v>356.21131656274429</v>
      </c>
      <c r="R7" s="153">
        <f t="shared" si="2"/>
        <v>5.8085551874815559E-2</v>
      </c>
      <c r="S7" s="130">
        <f t="shared" ref="S7:S21" si="7">((H7/C7)^(1/5))-1</f>
        <v>6.1364337811350422E-2</v>
      </c>
      <c r="T7" s="151"/>
      <c r="U7" s="92" t="str">
        <f t="shared" ref="U7:U21" si="8">P7</f>
        <v>Total Operational Staff</v>
      </c>
      <c r="V7" s="106">
        <f t="shared" ref="V7:V14" si="9">SUM(I7:M7)</f>
        <v>367.4492985735925</v>
      </c>
      <c r="W7" s="153">
        <f t="shared" si="3"/>
        <v>6.2258258094799471E-2</v>
      </c>
      <c r="X7" s="130">
        <f t="shared" ref="X7:X21" si="10">((M7/H7)^(1/5))-1</f>
        <v>-1.1904446070571062E-2</v>
      </c>
      <c r="Z7" s="76"/>
      <c r="AA7" s="76"/>
    </row>
    <row r="8" spans="2:27">
      <c r="B8" s="92" t="str">
        <f t="shared" ref="B8:B15" si="11">B30</f>
        <v>Facilities Management</v>
      </c>
      <c r="C8" s="103">
        <f t="shared" ref="C8:M8" si="12">C30*C$24</f>
        <v>155.9101857378603</v>
      </c>
      <c r="D8" s="103">
        <f t="shared" si="12"/>
        <v>161.18295003686666</v>
      </c>
      <c r="E8" s="103">
        <f t="shared" si="12"/>
        <v>150.86140584951369</v>
      </c>
      <c r="F8" s="103">
        <f t="shared" si="12"/>
        <v>161.1</v>
      </c>
      <c r="G8" s="103">
        <f t="shared" si="12"/>
        <v>169.78886626171831</v>
      </c>
      <c r="H8" s="103">
        <f t="shared" si="12"/>
        <v>182.21091811933502</v>
      </c>
      <c r="I8" s="103">
        <f t="shared" si="12"/>
        <v>207.15529607427126</v>
      </c>
      <c r="J8" s="103">
        <f t="shared" si="12"/>
        <v>200.81836402895755</v>
      </c>
      <c r="K8" s="103">
        <f t="shared" si="12"/>
        <v>199.80587210992698</v>
      </c>
      <c r="L8" s="103">
        <f t="shared" si="12"/>
        <v>197.00720556409163</v>
      </c>
      <c r="M8" s="103">
        <f t="shared" si="12"/>
        <v>204.01890351363147</v>
      </c>
      <c r="N8" s="142"/>
      <c r="O8" s="142"/>
      <c r="P8" s="92" t="str">
        <f t="shared" si="5"/>
        <v>Facilities Management</v>
      </c>
      <c r="Q8" s="106">
        <f>SUM(C8:H8)</f>
        <v>981.054326005294</v>
      </c>
      <c r="R8" s="153">
        <f t="shared" si="2"/>
        <v>0.15997549571156078</v>
      </c>
      <c r="S8" s="130">
        <f t="shared" si="7"/>
        <v>3.1668051267887298E-2</v>
      </c>
      <c r="T8" s="151"/>
      <c r="U8" s="92" t="str">
        <f t="shared" si="8"/>
        <v>Facilities Management</v>
      </c>
      <c r="V8" s="106">
        <f t="shared" si="9"/>
        <v>1008.805641290879</v>
      </c>
      <c r="W8" s="153">
        <f t="shared" si="3"/>
        <v>0.17092557320638999</v>
      </c>
      <c r="X8" s="130">
        <f t="shared" si="10"/>
        <v>2.2867082499393065E-2</v>
      </c>
      <c r="Z8" s="76"/>
      <c r="AA8" s="76"/>
    </row>
    <row r="9" spans="2:27">
      <c r="B9" s="92" t="str">
        <f t="shared" si="11"/>
        <v>Utilities</v>
      </c>
      <c r="C9" s="103">
        <f t="shared" ref="C9:M9" si="13">C31*C$24</f>
        <v>85.455145535620218</v>
      </c>
      <c r="D9" s="103">
        <f t="shared" si="13"/>
        <v>108.63712650538955</v>
      </c>
      <c r="E9" s="103">
        <f t="shared" si="13"/>
        <v>93.799343421930388</v>
      </c>
      <c r="F9" s="103">
        <f t="shared" si="13"/>
        <v>90.4</v>
      </c>
      <c r="G9" s="103">
        <f t="shared" si="13"/>
        <v>87.523222499209993</v>
      </c>
      <c r="H9" s="103">
        <f t="shared" si="13"/>
        <v>100.53742966214321</v>
      </c>
      <c r="I9" s="103">
        <f t="shared" si="13"/>
        <v>114.3037852292658</v>
      </c>
      <c r="J9" s="103">
        <f t="shared" si="13"/>
        <v>119.72940945173208</v>
      </c>
      <c r="K9" s="103">
        <f t="shared" si="13"/>
        <v>121.12942593269246</v>
      </c>
      <c r="L9" s="103">
        <f t="shared" si="13"/>
        <v>121.91157594014355</v>
      </c>
      <c r="M9" s="103">
        <f t="shared" si="13"/>
        <v>126.0584706772888</v>
      </c>
      <c r="N9" s="142"/>
      <c r="O9" s="142"/>
      <c r="P9" s="92" t="str">
        <f t="shared" si="5"/>
        <v>Utilities</v>
      </c>
      <c r="Q9" s="106">
        <f t="shared" si="6"/>
        <v>566.35226762429329</v>
      </c>
      <c r="R9" s="153">
        <f t="shared" si="2"/>
        <v>9.2352158651073463E-2</v>
      </c>
      <c r="S9" s="130">
        <f t="shared" si="7"/>
        <v>3.3041840912837017E-2</v>
      </c>
      <c r="T9" s="151"/>
      <c r="U9" s="92" t="str">
        <f t="shared" si="8"/>
        <v>Utilities</v>
      </c>
      <c r="V9" s="106">
        <f t="shared" si="9"/>
        <v>603.1326672311227</v>
      </c>
      <c r="W9" s="153">
        <f t="shared" si="3"/>
        <v>0.10219094010424286</v>
      </c>
      <c r="X9" s="130">
        <f t="shared" si="10"/>
        <v>4.6282234535631739E-2</v>
      </c>
      <c r="Z9" s="76"/>
      <c r="AA9" s="76"/>
    </row>
    <row r="10" spans="2:27">
      <c r="B10" s="92" t="str">
        <f t="shared" si="11"/>
        <v>Rent and Rates</v>
      </c>
      <c r="C10" s="103">
        <f t="shared" ref="C10:M10" si="14">C32*C$24</f>
        <v>106.09165408517958</v>
      </c>
      <c r="D10" s="103">
        <f t="shared" si="14"/>
        <v>113.18261297005019</v>
      </c>
      <c r="E10" s="103">
        <f t="shared" si="14"/>
        <v>107.63546223798319</v>
      </c>
      <c r="F10" s="103">
        <f t="shared" si="14"/>
        <v>119.6</v>
      </c>
      <c r="G10" s="103">
        <f t="shared" si="14"/>
        <v>130.61475018433339</v>
      </c>
      <c r="H10" s="103">
        <f t="shared" si="14"/>
        <v>131.5206627026779</v>
      </c>
      <c r="I10" s="103">
        <f t="shared" si="14"/>
        <v>151.79109299166007</v>
      </c>
      <c r="J10" s="103">
        <f t="shared" si="14"/>
        <v>157.69785641537771</v>
      </c>
      <c r="K10" s="103">
        <f t="shared" si="14"/>
        <v>161.50590124358993</v>
      </c>
      <c r="L10" s="103">
        <f t="shared" si="14"/>
        <v>192.13549541443675</v>
      </c>
      <c r="M10" s="103">
        <f t="shared" si="14"/>
        <v>210.01585988565782</v>
      </c>
      <c r="N10" s="142"/>
      <c r="O10" s="142"/>
      <c r="P10" s="92" t="str">
        <f t="shared" si="5"/>
        <v>Rent and Rates</v>
      </c>
      <c r="Q10" s="106">
        <f t="shared" si="6"/>
        <v>708.64514218022418</v>
      </c>
      <c r="R10" s="153">
        <f t="shared" si="2"/>
        <v>0.11555512768133809</v>
      </c>
      <c r="S10" s="130">
        <f t="shared" si="7"/>
        <v>4.3908787846798081E-2</v>
      </c>
      <c r="T10" s="151"/>
      <c r="U10" s="92" t="str">
        <f t="shared" si="8"/>
        <v>Rent and Rates</v>
      </c>
      <c r="V10" s="106">
        <f t="shared" si="9"/>
        <v>873.14620595072233</v>
      </c>
      <c r="W10" s="153">
        <f t="shared" si="3"/>
        <v>0.14794030647384052</v>
      </c>
      <c r="X10" s="130">
        <f t="shared" si="10"/>
        <v>9.8124600555288932E-2</v>
      </c>
      <c r="Z10" s="76"/>
      <c r="AA10" s="76"/>
    </row>
    <row r="11" spans="2:27">
      <c r="B11" s="92" t="str">
        <f t="shared" si="11"/>
        <v>Other</v>
      </c>
      <c r="C11" s="103">
        <f t="shared" ref="C11:M11" si="15">C33*C$24</f>
        <v>141.63735823882587</v>
      </c>
      <c r="D11" s="103">
        <f t="shared" si="15"/>
        <v>136.00095502264665</v>
      </c>
      <c r="E11" s="103">
        <f t="shared" si="15"/>
        <v>135.68938590639371</v>
      </c>
      <c r="F11" s="103">
        <f t="shared" si="15"/>
        <v>148.9</v>
      </c>
      <c r="G11" s="103">
        <f t="shared" si="15"/>
        <v>141.33608721603872</v>
      </c>
      <c r="H11" s="103">
        <f t="shared" si="15"/>
        <v>129.62373006754314</v>
      </c>
      <c r="I11" s="103">
        <f t="shared" si="15"/>
        <v>130.12212896715471</v>
      </c>
      <c r="J11" s="103">
        <f t="shared" si="15"/>
        <v>131.4895478917993</v>
      </c>
      <c r="K11" s="103">
        <f t="shared" si="15"/>
        <v>133.58845260005512</v>
      </c>
      <c r="L11" s="103">
        <f t="shared" si="15"/>
        <v>135.1008400038433</v>
      </c>
      <c r="M11" s="103">
        <f t="shared" si="15"/>
        <v>138.90909147448812</v>
      </c>
      <c r="N11" s="142"/>
      <c r="O11" s="142"/>
      <c r="P11" s="92" t="str">
        <f t="shared" si="5"/>
        <v>Other</v>
      </c>
      <c r="Q11" s="106">
        <f t="shared" si="6"/>
        <v>833.18751645144812</v>
      </c>
      <c r="R11" s="153">
        <f t="shared" si="2"/>
        <v>0.13586361369786706</v>
      </c>
      <c r="S11" s="130">
        <f t="shared" si="7"/>
        <v>-1.7570625477975943E-2</v>
      </c>
      <c r="T11" s="151"/>
      <c r="U11" s="92" t="str">
        <f t="shared" si="8"/>
        <v>Other</v>
      </c>
      <c r="V11" s="106">
        <f t="shared" si="9"/>
        <v>669.21006093734059</v>
      </c>
      <c r="W11" s="153">
        <f t="shared" si="3"/>
        <v>0.11338667090999774</v>
      </c>
      <c r="X11" s="130">
        <f t="shared" si="10"/>
        <v>1.3932937398174028E-2</v>
      </c>
      <c r="Z11" s="76"/>
      <c r="AA11" s="76"/>
    </row>
    <row r="12" spans="2:27">
      <c r="B12" s="92" t="str">
        <f t="shared" si="11"/>
        <v>Commercial</v>
      </c>
      <c r="C12" s="103">
        <f t="shared" ref="C12:M12" si="16">C34*C$24</f>
        <v>35.818433341525925</v>
      </c>
      <c r="D12" s="103">
        <f t="shared" si="16"/>
        <v>47.636698149643614</v>
      </c>
      <c r="E12" s="103">
        <f t="shared" si="16"/>
        <v>40.363298339243698</v>
      </c>
      <c r="F12" s="103">
        <f t="shared" si="16"/>
        <v>42.6</v>
      </c>
      <c r="G12" s="103">
        <f t="shared" si="16"/>
        <v>49.07073487588216</v>
      </c>
      <c r="H12" s="103">
        <f t="shared" si="16"/>
        <v>51.322566295035372</v>
      </c>
      <c r="I12" s="103">
        <f t="shared" si="16"/>
        <v>51.247099917955182</v>
      </c>
      <c r="J12" s="103">
        <f t="shared" si="16"/>
        <v>54.992647372123898</v>
      </c>
      <c r="K12" s="103">
        <f t="shared" si="16"/>
        <v>56.411704077225345</v>
      </c>
      <c r="L12" s="103">
        <f t="shared" si="16"/>
        <v>57.509944205681755</v>
      </c>
      <c r="M12" s="103">
        <f t="shared" si="16"/>
        <v>61.682979826556846</v>
      </c>
      <c r="N12" s="142"/>
      <c r="O12" s="142"/>
      <c r="P12" s="92" t="str">
        <f t="shared" si="5"/>
        <v>Commercial</v>
      </c>
      <c r="Q12" s="106">
        <f t="shared" si="6"/>
        <v>266.81173100133077</v>
      </c>
      <c r="R12" s="153">
        <f t="shared" si="2"/>
        <v>4.3507620115593039E-2</v>
      </c>
      <c r="S12" s="130">
        <f t="shared" si="7"/>
        <v>7.4583964719857843E-2</v>
      </c>
      <c r="T12" s="151"/>
      <c r="U12" s="92" t="str">
        <f t="shared" si="8"/>
        <v>Commercial</v>
      </c>
      <c r="V12" s="106">
        <f t="shared" si="9"/>
        <v>281.84437539954303</v>
      </c>
      <c r="W12" s="153">
        <f t="shared" si="3"/>
        <v>4.7753907639254807E-2</v>
      </c>
      <c r="X12" s="130">
        <f t="shared" si="10"/>
        <v>3.7460083846488024E-2</v>
      </c>
      <c r="Z12" s="76"/>
      <c r="AA12" s="76"/>
    </row>
    <row r="13" spans="2:27">
      <c r="B13" s="92" t="str">
        <f t="shared" si="11"/>
        <v>Rail</v>
      </c>
      <c r="C13" s="103">
        <f t="shared" ref="C13:M13" si="17">C35*C$24</f>
        <v>64.727727256767665</v>
      </c>
      <c r="D13" s="103">
        <f t="shared" si="17"/>
        <v>68.000477511323325</v>
      </c>
      <c r="E13" s="103">
        <f t="shared" si="17"/>
        <v>68.989751062111566</v>
      </c>
      <c r="F13" s="103">
        <f t="shared" si="17"/>
        <v>64.2</v>
      </c>
      <c r="G13" s="103">
        <f t="shared" si="17"/>
        <v>65.56509954004423</v>
      </c>
      <c r="H13" s="103">
        <f t="shared" si="17"/>
        <v>66.392642229717211</v>
      </c>
      <c r="I13" s="103">
        <f t="shared" si="17"/>
        <v>62.081581930207861</v>
      </c>
      <c r="J13" s="103">
        <f t="shared" si="17"/>
        <v>63.168743620932538</v>
      </c>
      <c r="K13" s="103">
        <f t="shared" si="17"/>
        <v>64.602360497435981</v>
      </c>
      <c r="L13" s="103">
        <f t="shared" si="17"/>
        <v>66.659253511131126</v>
      </c>
      <c r="M13" s="103">
        <f t="shared" si="17"/>
        <v>67.679936198583206</v>
      </c>
      <c r="N13" s="142"/>
      <c r="O13" s="142"/>
      <c r="P13" s="92" t="str">
        <f t="shared" si="5"/>
        <v>Rail</v>
      </c>
      <c r="Q13" s="106">
        <f t="shared" si="6"/>
        <v>397.87569759996404</v>
      </c>
      <c r="R13" s="153">
        <f t="shared" si="2"/>
        <v>6.487954873438255E-2</v>
      </c>
      <c r="S13" s="130">
        <f t="shared" si="7"/>
        <v>5.092237540564204E-3</v>
      </c>
      <c r="T13" s="151"/>
      <c r="U13" s="92" t="str">
        <f t="shared" si="8"/>
        <v>Rail</v>
      </c>
      <c r="V13" s="106">
        <f t="shared" si="9"/>
        <v>324.19187575829073</v>
      </c>
      <c r="W13" s="153">
        <f t="shared" si="3"/>
        <v>5.4928997147492081E-2</v>
      </c>
      <c r="X13" s="130">
        <f t="shared" si="10"/>
        <v>3.8480913755511992E-3</v>
      </c>
      <c r="Z13" s="76"/>
      <c r="AA13" s="76"/>
    </row>
    <row r="14" spans="2:27">
      <c r="B14" s="92" t="str">
        <f t="shared" si="11"/>
        <v>Central Support Services</v>
      </c>
      <c r="C14" s="103">
        <f t="shared" ref="C14:M14" si="18">C36*C$24</f>
        <v>108.72803623468275</v>
      </c>
      <c r="D14" s="103">
        <f t="shared" si="18"/>
        <v>96.273403321512575</v>
      </c>
      <c r="E14" s="103">
        <f t="shared" si="18"/>
        <v>113.93328183701414</v>
      </c>
      <c r="F14" s="103">
        <f t="shared" si="18"/>
        <v>118.9</v>
      </c>
      <c r="G14" s="103">
        <f t="shared" si="18"/>
        <v>119.99650293177906</v>
      </c>
      <c r="H14" s="103">
        <f t="shared" si="18"/>
        <v>127.83218257880472</v>
      </c>
      <c r="I14" s="103">
        <f t="shared" si="18"/>
        <v>116.90406091220645</v>
      </c>
      <c r="J14" s="103">
        <f t="shared" si="18"/>
        <v>114.80135143875151</v>
      </c>
      <c r="K14" s="103">
        <f t="shared" si="18"/>
        <v>119.16828284616315</v>
      </c>
      <c r="L14" s="103">
        <f t="shared" si="18"/>
        <v>122.14922033768769</v>
      </c>
      <c r="M14" s="103">
        <f t="shared" si="18"/>
        <v>126.42563127149448</v>
      </c>
      <c r="N14" s="142"/>
      <c r="O14" s="142"/>
      <c r="P14" s="92" t="str">
        <f t="shared" si="5"/>
        <v>Central Support Services</v>
      </c>
      <c r="Q14" s="106">
        <f>SUM(C14:H14)</f>
        <v>685.6634069037932</v>
      </c>
      <c r="R14" s="153">
        <f t="shared" si="2"/>
        <v>0.11180761401598469</v>
      </c>
      <c r="S14" s="130">
        <f t="shared" si="7"/>
        <v>3.2903459403240021E-2</v>
      </c>
      <c r="T14" s="151"/>
      <c r="U14" s="92" t="str">
        <f t="shared" si="8"/>
        <v>Central Support Services</v>
      </c>
      <c r="V14" s="106">
        <f t="shared" si="9"/>
        <v>599.44854680630328</v>
      </c>
      <c r="W14" s="153">
        <f t="shared" si="3"/>
        <v>0.10156672631161592</v>
      </c>
      <c r="X14" s="130">
        <f t="shared" si="10"/>
        <v>-2.2103715041775773E-3</v>
      </c>
      <c r="Z14" s="76"/>
      <c r="AA14" s="76"/>
    </row>
    <row r="15" spans="2:27">
      <c r="B15" s="92" t="str">
        <f t="shared" si="11"/>
        <v>Pensions</v>
      </c>
      <c r="C15" s="103">
        <f t="shared" ref="C15:M15" si="19">C37*C$24</f>
        <v>42.091204662757619</v>
      </c>
      <c r="D15" s="103">
        <f t="shared" si="19"/>
        <v>50.909448404199281</v>
      </c>
      <c r="E15" s="103">
        <f t="shared" si="19"/>
        <v>60.020129208946301</v>
      </c>
      <c r="F15" s="103">
        <f t="shared" si="19"/>
        <v>64.099999999999994</v>
      </c>
      <c r="G15" s="103">
        <f t="shared" si="19"/>
        <v>77.008065025806673</v>
      </c>
      <c r="H15" s="103">
        <f t="shared" si="19"/>
        <v>76.931156869354865</v>
      </c>
      <c r="I15" s="103">
        <f t="shared" si="19"/>
        <v>78.441649768709425</v>
      </c>
      <c r="J15" s="103">
        <f t="shared" si="19"/>
        <v>67.536795041528933</v>
      </c>
      <c r="K15" s="103">
        <f t="shared" si="19"/>
        <v>65.871335435778477</v>
      </c>
      <c r="L15" s="103">
        <f t="shared" si="19"/>
        <v>64.758098330778012</v>
      </c>
      <c r="M15" s="103">
        <f t="shared" si="19"/>
        <v>64.987425174408102</v>
      </c>
      <c r="N15" s="142"/>
      <c r="O15" s="142"/>
      <c r="P15" s="92" t="str">
        <f t="shared" si="5"/>
        <v>Pensions</v>
      </c>
      <c r="Q15" s="106">
        <f>SUM(C15:H15)</f>
        <v>371.06000417106475</v>
      </c>
      <c r="R15" s="153">
        <f t="shared" si="2"/>
        <v>6.0506851182958413E-2</v>
      </c>
      <c r="S15" s="130">
        <f t="shared" si="7"/>
        <v>0.1281898327522546</v>
      </c>
      <c r="T15" s="151"/>
      <c r="U15" s="92" t="str">
        <f t="shared" si="8"/>
        <v>Pensions</v>
      </c>
      <c r="V15" s="106">
        <f>SUM(I15:M15)</f>
        <v>341.59530375120295</v>
      </c>
      <c r="W15" s="153">
        <f t="shared" si="3"/>
        <v>5.7877722634036947E-2</v>
      </c>
      <c r="X15" s="130">
        <f t="shared" si="10"/>
        <v>-3.3180472805103722E-2</v>
      </c>
      <c r="Z15" s="76"/>
      <c r="AA15" s="76"/>
    </row>
    <row r="16" spans="2:27">
      <c r="B16" s="94"/>
      <c r="C16" s="103"/>
      <c r="D16" s="104"/>
      <c r="E16" s="104"/>
      <c r="F16" s="104"/>
      <c r="G16" s="104"/>
      <c r="H16" s="104"/>
      <c r="I16" s="103"/>
      <c r="J16" s="103"/>
      <c r="K16" s="103"/>
      <c r="L16" s="103"/>
      <c r="M16" s="103"/>
      <c r="N16" s="142"/>
      <c r="O16" s="142"/>
      <c r="P16" s="92"/>
      <c r="Q16" s="106"/>
      <c r="R16" s="153"/>
      <c r="S16" s="130"/>
      <c r="T16" s="151"/>
      <c r="U16" s="92"/>
      <c r="V16" s="103"/>
      <c r="W16" s="153"/>
      <c r="X16" s="130"/>
      <c r="Z16" s="76"/>
      <c r="AA16" s="76"/>
    </row>
    <row r="17" spans="2:27">
      <c r="B17" s="94" t="s">
        <v>28</v>
      </c>
      <c r="C17" s="105">
        <f t="shared" ref="C17:M17" si="20">C39*C$24</f>
        <v>957.91581756258552</v>
      </c>
      <c r="D17" s="105">
        <f t="shared" si="20"/>
        <v>984.55236824549684</v>
      </c>
      <c r="E17" s="105">
        <f t="shared" si="20"/>
        <v>979.40636915838604</v>
      </c>
      <c r="F17" s="105">
        <f t="shared" si="20"/>
        <v>1029.5</v>
      </c>
      <c r="G17" s="105">
        <f t="shared" si="20"/>
        <v>1074.5047680910081</v>
      </c>
      <c r="H17" s="105">
        <f t="shared" si="20"/>
        <v>1106.6494223083498</v>
      </c>
      <c r="I17" s="105">
        <f t="shared" si="20"/>
        <v>1161.0230924329974</v>
      </c>
      <c r="J17" s="105">
        <f t="shared" si="20"/>
        <v>1152.6055684450653</v>
      </c>
      <c r="K17" s="105">
        <f t="shared" si="20"/>
        <v>1165.2650774725014</v>
      </c>
      <c r="L17" s="105">
        <f t="shared" si="20"/>
        <v>1187.627876726837</v>
      </c>
      <c r="M17" s="105">
        <f t="shared" si="20"/>
        <v>1235.4953995021654</v>
      </c>
      <c r="N17" s="143"/>
      <c r="O17" s="143"/>
      <c r="P17" s="92" t="str">
        <f t="shared" si="5"/>
        <v>Total</v>
      </c>
      <c r="Q17" s="106">
        <f>SUM(C17:H17)</f>
        <v>6132.5287453658266</v>
      </c>
      <c r="R17" s="153">
        <f>Q17/$Q$17</f>
        <v>1</v>
      </c>
      <c r="S17" s="130">
        <f t="shared" si="7"/>
        <v>2.9287132207392874E-2</v>
      </c>
      <c r="T17" s="151"/>
      <c r="U17" s="92" t="str">
        <f t="shared" si="8"/>
        <v>Total</v>
      </c>
      <c r="V17" s="105">
        <f>SUM(I17:M17)</f>
        <v>5902.0170145795664</v>
      </c>
      <c r="W17" s="153">
        <f>V17/$V$17</f>
        <v>1</v>
      </c>
      <c r="X17" s="130">
        <f>((M17/H17)^(1/5))-1</f>
        <v>2.2271408111532054E-2</v>
      </c>
      <c r="Z17" s="76"/>
      <c r="AA17" s="76"/>
    </row>
    <row r="18" spans="2:27">
      <c r="B18" s="94"/>
      <c r="C18" s="106"/>
      <c r="D18" s="106"/>
      <c r="E18" s="106"/>
      <c r="F18" s="106"/>
      <c r="G18" s="106"/>
      <c r="H18" s="106"/>
      <c r="I18" s="104"/>
      <c r="J18" s="104"/>
      <c r="K18" s="104"/>
      <c r="L18" s="104"/>
      <c r="M18" s="104"/>
      <c r="N18" s="144"/>
      <c r="O18" s="144"/>
      <c r="P18" s="92"/>
      <c r="Q18" s="106"/>
      <c r="R18" s="106"/>
      <c r="S18" s="130"/>
      <c r="T18" s="151"/>
      <c r="U18" s="92"/>
      <c r="V18" s="104"/>
      <c r="W18" s="104"/>
      <c r="X18" s="130"/>
    </row>
    <row r="19" spans="2:27">
      <c r="B19" s="94" t="s">
        <v>252</v>
      </c>
      <c r="C19" s="106">
        <f>C55</f>
        <v>7907</v>
      </c>
      <c r="D19" s="106">
        <f t="shared" ref="D19:M19" si="21">D55</f>
        <v>7406</v>
      </c>
      <c r="E19" s="106">
        <f t="shared" si="21"/>
        <v>7457</v>
      </c>
      <c r="F19" s="106">
        <f t="shared" si="21"/>
        <v>7464</v>
      </c>
      <c r="G19" s="106">
        <f t="shared" si="21"/>
        <v>7152</v>
      </c>
      <c r="H19" s="106">
        <f t="shared" si="21"/>
        <v>6893</v>
      </c>
      <c r="I19" s="106">
        <f t="shared" si="21"/>
        <v>6580</v>
      </c>
      <c r="J19" s="106">
        <f t="shared" si="21"/>
        <v>6337</v>
      </c>
      <c r="K19" s="106">
        <f t="shared" si="21"/>
        <v>6034</v>
      </c>
      <c r="L19" s="106">
        <f t="shared" si="21"/>
        <v>5860</v>
      </c>
      <c r="M19" s="106">
        <f t="shared" si="21"/>
        <v>5812</v>
      </c>
      <c r="N19" s="144"/>
      <c r="O19" s="144"/>
      <c r="P19" s="94" t="s">
        <v>252</v>
      </c>
      <c r="Q19" s="106">
        <f>SUM(C19:H19)</f>
        <v>44279</v>
      </c>
      <c r="R19" s="106"/>
      <c r="S19" s="130">
        <f>((H19/C19)^(1/5))-1</f>
        <v>-2.7075123442601212E-2</v>
      </c>
      <c r="T19" s="151"/>
      <c r="U19" s="92" t="str">
        <f t="shared" ref="U19" si="22">P19</f>
        <v>Man Years</v>
      </c>
      <c r="V19" s="106">
        <f>V41</f>
        <v>30623</v>
      </c>
      <c r="W19" s="106"/>
      <c r="X19" s="130">
        <f t="shared" ref="X19" si="23">((M19/H19)^(1/5))-1</f>
        <v>-3.3540931669854279E-2</v>
      </c>
    </row>
    <row r="20" spans="2:27">
      <c r="B20" s="94" t="s">
        <v>207</v>
      </c>
      <c r="C20" s="104">
        <f>C42</f>
        <v>65.900000000000006</v>
      </c>
      <c r="D20" s="104">
        <f t="shared" ref="D20:M20" si="24">D42</f>
        <v>66.099999999999994</v>
      </c>
      <c r="E20" s="104">
        <f t="shared" si="24"/>
        <v>66.099999999999994</v>
      </c>
      <c r="F20" s="181">
        <f t="shared" si="24"/>
        <v>70.067623000000012</v>
      </c>
      <c r="G20" s="181">
        <f t="shared" si="24"/>
        <v>69.599999999999994</v>
      </c>
      <c r="H20" s="181">
        <f t="shared" si="24"/>
        <v>68.8</v>
      </c>
      <c r="I20" s="181">
        <f t="shared" si="24"/>
        <v>70.099999999999994</v>
      </c>
      <c r="J20" s="181">
        <f t="shared" si="24"/>
        <v>70.8</v>
      </c>
      <c r="K20" s="181">
        <f t="shared" si="24"/>
        <v>71.5</v>
      </c>
      <c r="L20" s="181">
        <f t="shared" si="24"/>
        <v>72.3</v>
      </c>
      <c r="M20" s="181">
        <f t="shared" si="24"/>
        <v>73</v>
      </c>
      <c r="N20" s="144"/>
      <c r="O20" s="144"/>
      <c r="P20" s="92" t="str">
        <f t="shared" si="5"/>
        <v>Passengers (m)</v>
      </c>
      <c r="Q20" s="106">
        <f>SUM(C20:H20)</f>
        <v>406.56762299999997</v>
      </c>
      <c r="R20" s="106"/>
      <c r="S20" s="130">
        <f>((H20/C20)^(1/5))-1</f>
        <v>8.6502598161137811E-3</v>
      </c>
      <c r="T20" s="151"/>
      <c r="U20" s="92" t="str">
        <f t="shared" si="8"/>
        <v>Passengers (m)</v>
      </c>
      <c r="V20" s="106">
        <f>V42</f>
        <v>357.7</v>
      </c>
      <c r="W20" s="106"/>
      <c r="X20" s="130">
        <f t="shared" si="10"/>
        <v>1.1921642230787288E-2</v>
      </c>
    </row>
    <row r="21" spans="2:27">
      <c r="B21" s="98" t="s">
        <v>224</v>
      </c>
      <c r="C21" s="157">
        <f>C17/C20</f>
        <v>14.535900114758505</v>
      </c>
      <c r="D21" s="157">
        <f t="shared" ref="D21:M21" si="25">D17/D20</f>
        <v>14.894892106588456</v>
      </c>
      <c r="E21" s="157">
        <f t="shared" si="25"/>
        <v>14.817040380610985</v>
      </c>
      <c r="F21" s="157">
        <f t="shared" si="25"/>
        <v>14.692948838866702</v>
      </c>
      <c r="G21" s="157">
        <f t="shared" si="25"/>
        <v>15.438286897859314</v>
      </c>
      <c r="H21" s="157">
        <f t="shared" si="25"/>
        <v>16.085020673086479</v>
      </c>
      <c r="I21" s="157">
        <f t="shared" si="25"/>
        <v>16.562383629572004</v>
      </c>
      <c r="J21" s="157">
        <f t="shared" si="25"/>
        <v>16.279739667303183</v>
      </c>
      <c r="K21" s="157">
        <f t="shared" si="25"/>
        <v>16.297413670944074</v>
      </c>
      <c r="L21" s="157">
        <f t="shared" si="25"/>
        <v>16.426388336470776</v>
      </c>
      <c r="M21" s="157">
        <f t="shared" si="25"/>
        <v>16.924594513728291</v>
      </c>
      <c r="N21" s="145"/>
      <c r="O21" s="145"/>
      <c r="P21" s="43" t="str">
        <f t="shared" si="5"/>
        <v>Total opex / passenger</v>
      </c>
      <c r="Q21" s="157">
        <f>Q17/Q20</f>
        <v>15.08366234407659</v>
      </c>
      <c r="R21" s="107"/>
      <c r="S21" s="131">
        <f t="shared" si="7"/>
        <v>2.0459889035314704E-2</v>
      </c>
      <c r="T21" s="151"/>
      <c r="U21" s="43" t="str">
        <f t="shared" si="8"/>
        <v>Total opex / passenger</v>
      </c>
      <c r="V21" s="157">
        <f>V17/V20</f>
        <v>16.499907784678687</v>
      </c>
      <c r="W21" s="107"/>
      <c r="X21" s="131">
        <f t="shared" si="10"/>
        <v>1.0227833311212464E-2</v>
      </c>
    </row>
    <row r="22" spans="2:27">
      <c r="B22" s="18"/>
      <c r="P22" s="159"/>
      <c r="U22" s="159"/>
    </row>
    <row r="23" spans="2:27">
      <c r="B23" s="18"/>
      <c r="P23" s="18"/>
      <c r="U23" s="18"/>
    </row>
    <row r="24" spans="2:27">
      <c r="B24" s="389" t="s">
        <v>257</v>
      </c>
      <c r="C24" s="391">
        <f>RPI!$T101/RPI!$T$103</f>
        <v>0.90909729293213004</v>
      </c>
      <c r="D24" s="391">
        <f>RPI!$T101/RPI!$T$103</f>
        <v>0.90909729293213004</v>
      </c>
      <c r="E24" s="391">
        <f>RPI!$T102/RPI!$T$103</f>
        <v>0.95421509076226241</v>
      </c>
      <c r="F24" s="391">
        <f>RPI!$T103/RPI!$T$103</f>
        <v>1</v>
      </c>
      <c r="G24" s="391">
        <f>RPI!$V104/RPI!$T$103</f>
        <v>1.0308977915101294</v>
      </c>
      <c r="H24" s="391">
        <f>RPI!$V105/RPI!$T$103</f>
        <v>1.0538514639637653</v>
      </c>
      <c r="I24" s="391">
        <f>RPI!$V106/RPI!$T$103</f>
        <v>1.0834482012252682</v>
      </c>
      <c r="J24" s="391">
        <f>RPI!$V107/RPI!$T$103</f>
        <v>1.1200131847683075</v>
      </c>
      <c r="K24" s="391">
        <f>RPI!$V108/RPI!$T$103</f>
        <v>1.1536135803113567</v>
      </c>
      <c r="L24" s="391">
        <f>RPI!$V109/RPI!$T$103</f>
        <v>1.1882219877206974</v>
      </c>
      <c r="M24" s="391">
        <f>RPI!$V110/RPI!$T$103</f>
        <v>1.2238686473523184</v>
      </c>
      <c r="N24" s="146"/>
      <c r="O24" s="146"/>
      <c r="P24" s="35"/>
      <c r="Q24" s="37"/>
      <c r="R24" s="37"/>
      <c r="S24" s="32"/>
      <c r="T24" s="140"/>
      <c r="U24" s="35"/>
      <c r="V24" s="36"/>
      <c r="W24" s="36"/>
      <c r="X24" s="32"/>
    </row>
    <row r="25" spans="2:27">
      <c r="B25" s="18"/>
      <c r="P25" s="18"/>
      <c r="U25" s="18"/>
    </row>
    <row r="26" spans="2:27">
      <c r="B26" s="84" t="s">
        <v>564</v>
      </c>
      <c r="C26" s="626" t="s">
        <v>30</v>
      </c>
      <c r="D26" s="627"/>
      <c r="E26" s="627"/>
      <c r="F26" s="627"/>
      <c r="G26" s="628"/>
      <c r="H26" s="87" t="s">
        <v>187</v>
      </c>
      <c r="I26" s="626" t="s">
        <v>31</v>
      </c>
      <c r="J26" s="627"/>
      <c r="K26" s="627"/>
      <c r="L26" s="627"/>
      <c r="M26" s="628"/>
      <c r="N26" s="373"/>
      <c r="O26" s="373"/>
      <c r="P26" s="84" t="s">
        <v>565</v>
      </c>
      <c r="Q26" s="84"/>
      <c r="R26" s="84"/>
      <c r="S26" s="84"/>
      <c r="T26" s="138"/>
      <c r="U26" s="84" t="s">
        <v>566</v>
      </c>
      <c r="V26" s="86"/>
      <c r="W26" s="86"/>
      <c r="X26" s="86"/>
    </row>
    <row r="27" spans="2:27" ht="26.25" customHeight="1">
      <c r="B27" s="29" t="s">
        <v>232</v>
      </c>
      <c r="C27" s="75" t="s">
        <v>12</v>
      </c>
      <c r="D27" s="75" t="s">
        <v>13</v>
      </c>
      <c r="E27" s="75" t="s">
        <v>14</v>
      </c>
      <c r="F27" s="75" t="s">
        <v>15</v>
      </c>
      <c r="G27" s="75" t="s">
        <v>16</v>
      </c>
      <c r="H27" s="75" t="s">
        <v>17</v>
      </c>
      <c r="I27" s="75" t="s">
        <v>32</v>
      </c>
      <c r="J27" s="75" t="s">
        <v>33</v>
      </c>
      <c r="K27" s="75" t="s">
        <v>34</v>
      </c>
      <c r="L27" s="75" t="s">
        <v>35</v>
      </c>
      <c r="M27" s="75" t="s">
        <v>36</v>
      </c>
      <c r="N27" s="141"/>
      <c r="O27" s="141"/>
      <c r="P27" s="29" t="s">
        <v>232</v>
      </c>
      <c r="Q27" s="73" t="s">
        <v>226</v>
      </c>
      <c r="R27" s="73" t="s">
        <v>246</v>
      </c>
      <c r="S27" s="73" t="s">
        <v>225</v>
      </c>
      <c r="T27" s="150"/>
      <c r="U27" s="29" t="s">
        <v>232</v>
      </c>
      <c r="V27" s="73" t="s">
        <v>37</v>
      </c>
      <c r="W27" s="73" t="s">
        <v>246</v>
      </c>
      <c r="X27" s="73" t="s">
        <v>206</v>
      </c>
    </row>
    <row r="28" spans="2:27">
      <c r="B28" s="92" t="s">
        <v>18</v>
      </c>
      <c r="C28" s="165">
        <v>176.8</v>
      </c>
      <c r="D28" s="165">
        <v>169.3</v>
      </c>
      <c r="E28" s="165">
        <v>163</v>
      </c>
      <c r="F28" s="165">
        <v>164.2</v>
      </c>
      <c r="G28" s="165">
        <v>162.4</v>
      </c>
      <c r="H28" s="165">
        <v>155.5</v>
      </c>
      <c r="I28" s="165">
        <v>161.19999999999999</v>
      </c>
      <c r="J28" s="165">
        <v>152.6</v>
      </c>
      <c r="K28" s="165">
        <v>141.80000000000001</v>
      </c>
      <c r="L28" s="165">
        <v>134.9</v>
      </c>
      <c r="M28" s="165">
        <v>133.80000000000001</v>
      </c>
      <c r="N28" s="145"/>
      <c r="O28" s="144"/>
      <c r="P28" s="92" t="str">
        <f>B28</f>
        <v>Security Costs</v>
      </c>
      <c r="Q28" s="128">
        <f>SUM(C28:H28)</f>
        <v>991.19999999999993</v>
      </c>
      <c r="R28" s="153">
        <f t="shared" ref="R28:R37" si="26">Q28/$Q$39</f>
        <v>0.15770883054892601</v>
      </c>
      <c r="S28" s="129">
        <f>((H28/C28)^(1/5))-1</f>
        <v>-2.5347891758491614E-2</v>
      </c>
      <c r="T28" s="151"/>
      <c r="U28" s="92" t="str">
        <f>P28</f>
        <v>Security Costs</v>
      </c>
      <c r="V28" s="128">
        <f>SUM(I28:M28)</f>
        <v>724.3</v>
      </c>
      <c r="W28" s="153">
        <f t="shared" ref="W28:W37" si="27">V28/$V$39</f>
        <v>0.14147036993632564</v>
      </c>
      <c r="X28" s="129">
        <f>((M28/H28)^(1/5))-1</f>
        <v>-2.9612610685985641E-2</v>
      </c>
      <c r="Z28" s="30"/>
      <c r="AA28" s="76"/>
    </row>
    <row r="29" spans="2:27">
      <c r="B29" s="94" t="s">
        <v>249</v>
      </c>
      <c r="C29" s="166">
        <v>62.4</v>
      </c>
      <c r="D29" s="166">
        <v>53.7</v>
      </c>
      <c r="E29" s="166">
        <v>55.1</v>
      </c>
      <c r="F29" s="166">
        <v>55.5</v>
      </c>
      <c r="G29" s="166">
        <v>64.2</v>
      </c>
      <c r="H29" s="166">
        <v>72.5</v>
      </c>
      <c r="I29" s="166">
        <v>68.599999999999994</v>
      </c>
      <c r="J29" s="166">
        <v>63.8</v>
      </c>
      <c r="K29" s="166">
        <v>69</v>
      </c>
      <c r="L29" s="166">
        <v>59</v>
      </c>
      <c r="M29" s="166">
        <v>58.8</v>
      </c>
      <c r="N29" s="145"/>
      <c r="O29" s="144"/>
      <c r="P29" s="92" t="str">
        <f t="shared" ref="P29:P42" si="28">B29</f>
        <v>Total Operational Staff</v>
      </c>
      <c r="Q29" s="128">
        <f t="shared" ref="Q29:Q37" si="29">SUM(C29:H29)</f>
        <v>363.4</v>
      </c>
      <c r="R29" s="153">
        <f t="shared" si="26"/>
        <v>5.7820206841686553E-2</v>
      </c>
      <c r="S29" s="130">
        <f t="shared" ref="S29:S43" si="30">((H29/C29)^(1/5))-1</f>
        <v>3.0458920913902121E-2</v>
      </c>
      <c r="T29" s="151"/>
      <c r="U29" s="92" t="str">
        <f t="shared" ref="U29:U43" si="31">P29</f>
        <v>Total Operational Staff</v>
      </c>
      <c r="V29" s="106">
        <f t="shared" ref="V29:V37" si="32">SUM(I29:M29)</f>
        <v>319.2</v>
      </c>
      <c r="W29" s="153">
        <f t="shared" si="27"/>
        <v>6.2346185397867113E-2</v>
      </c>
      <c r="X29" s="130">
        <f>((M29/H29)^(1/5))-1</f>
        <v>-4.1023722770098026E-2</v>
      </c>
      <c r="Z29" s="30"/>
      <c r="AA29" s="76"/>
    </row>
    <row r="30" spans="2:27">
      <c r="B30" s="94" t="s">
        <v>20</v>
      </c>
      <c r="C30" s="166">
        <v>171.5</v>
      </c>
      <c r="D30" s="166">
        <v>177.3</v>
      </c>
      <c r="E30" s="166">
        <v>158.1</v>
      </c>
      <c r="F30" s="166">
        <v>161.1</v>
      </c>
      <c r="G30" s="166">
        <v>164.7</v>
      </c>
      <c r="H30" s="166">
        <v>172.9</v>
      </c>
      <c r="I30" s="166">
        <v>191.2</v>
      </c>
      <c r="J30" s="166">
        <v>179.3</v>
      </c>
      <c r="K30" s="166">
        <v>173.2</v>
      </c>
      <c r="L30" s="166">
        <v>165.8</v>
      </c>
      <c r="M30" s="166">
        <v>166.7</v>
      </c>
      <c r="N30" s="145"/>
      <c r="O30" s="144"/>
      <c r="P30" s="92" t="str">
        <f t="shared" si="28"/>
        <v>Facilities Management</v>
      </c>
      <c r="Q30" s="128">
        <f t="shared" si="29"/>
        <v>1005.6</v>
      </c>
      <c r="R30" s="153">
        <f t="shared" si="26"/>
        <v>0.16</v>
      </c>
      <c r="S30" s="130">
        <f t="shared" si="30"/>
        <v>1.6273479124677692E-3</v>
      </c>
      <c r="T30" s="151"/>
      <c r="U30" s="92" t="str">
        <f t="shared" si="31"/>
        <v>Facilities Management</v>
      </c>
      <c r="V30" s="106">
        <f t="shared" si="32"/>
        <v>876.2</v>
      </c>
      <c r="W30" s="153">
        <f t="shared" si="27"/>
        <v>0.17113949763662648</v>
      </c>
      <c r="X30" s="130">
        <f t="shared" ref="X30:X37" si="33">((M30/H30)^(1/5))-1</f>
        <v>-7.2769146916570326E-3</v>
      </c>
      <c r="Y30" s="30"/>
      <c r="Z30" s="76"/>
      <c r="AA30" s="162"/>
    </row>
    <row r="31" spans="2:27">
      <c r="B31" s="94" t="s">
        <v>21</v>
      </c>
      <c r="C31" s="166">
        <v>94</v>
      </c>
      <c r="D31" s="166">
        <v>119.5</v>
      </c>
      <c r="E31" s="166">
        <v>98.3</v>
      </c>
      <c r="F31" s="166">
        <v>90.4</v>
      </c>
      <c r="G31" s="166">
        <v>84.9</v>
      </c>
      <c r="H31" s="166">
        <v>95.4</v>
      </c>
      <c r="I31" s="166">
        <v>105.5</v>
      </c>
      <c r="J31" s="166">
        <v>106.9</v>
      </c>
      <c r="K31" s="166">
        <v>105</v>
      </c>
      <c r="L31" s="166">
        <v>102.6</v>
      </c>
      <c r="M31" s="166">
        <v>103</v>
      </c>
      <c r="N31" s="145"/>
      <c r="O31" s="144"/>
      <c r="P31" s="92" t="str">
        <f t="shared" si="28"/>
        <v>Utilities</v>
      </c>
      <c r="Q31" s="128">
        <f t="shared" si="29"/>
        <v>582.5</v>
      </c>
      <c r="R31" s="153">
        <f t="shared" si="26"/>
        <v>9.2680986475735874E-2</v>
      </c>
      <c r="S31" s="130">
        <f t="shared" si="30"/>
        <v>2.9611347608338168E-3</v>
      </c>
      <c r="T31" s="151"/>
      <c r="U31" s="92" t="str">
        <f t="shared" si="31"/>
        <v>Utilities</v>
      </c>
      <c r="V31" s="106">
        <f t="shared" si="32"/>
        <v>523</v>
      </c>
      <c r="W31" s="153">
        <f t="shared" si="27"/>
        <v>0.10215242782921209</v>
      </c>
      <c r="X31" s="130">
        <f t="shared" si="33"/>
        <v>1.5448190427162167E-2</v>
      </c>
      <c r="Z31" s="30"/>
      <c r="AA31" s="76"/>
    </row>
    <row r="32" spans="2:27">
      <c r="B32" s="94" t="s">
        <v>22</v>
      </c>
      <c r="C32" s="166">
        <v>116.7</v>
      </c>
      <c r="D32" s="166">
        <v>124.5</v>
      </c>
      <c r="E32" s="166">
        <v>112.8</v>
      </c>
      <c r="F32" s="166">
        <v>119.6</v>
      </c>
      <c r="G32" s="166">
        <v>126.7</v>
      </c>
      <c r="H32" s="166">
        <v>124.8</v>
      </c>
      <c r="I32" s="166">
        <v>140.1</v>
      </c>
      <c r="J32" s="166">
        <v>140.80000000000001</v>
      </c>
      <c r="K32" s="166">
        <v>140</v>
      </c>
      <c r="L32" s="166">
        <v>161.69999999999999</v>
      </c>
      <c r="M32" s="166">
        <v>171.6</v>
      </c>
      <c r="N32" s="145"/>
      <c r="O32" s="144"/>
      <c r="P32" s="92" t="str">
        <f t="shared" si="28"/>
        <v>Rent and Rates</v>
      </c>
      <c r="Q32" s="128">
        <f t="shared" si="29"/>
        <v>725.1</v>
      </c>
      <c r="R32" s="153">
        <f t="shared" si="26"/>
        <v>0.11536992840095465</v>
      </c>
      <c r="S32" s="130">
        <f t="shared" si="30"/>
        <v>1.3511651687273529E-2</v>
      </c>
      <c r="T32" s="151"/>
      <c r="U32" s="92" t="str">
        <f t="shared" si="31"/>
        <v>Rent and Rates</v>
      </c>
      <c r="V32" s="106">
        <f t="shared" si="32"/>
        <v>754.19999999999993</v>
      </c>
      <c r="W32" s="153">
        <f t="shared" si="27"/>
        <v>0.14731044181413339</v>
      </c>
      <c r="X32" s="130">
        <f t="shared" si="33"/>
        <v>6.5762756635474151E-2</v>
      </c>
      <c r="Z32" s="30"/>
      <c r="AA32" s="76"/>
    </row>
    <row r="33" spans="2:27">
      <c r="B33" s="94" t="s">
        <v>26</v>
      </c>
      <c r="C33" s="166">
        <v>155.80000000000001</v>
      </c>
      <c r="D33" s="166">
        <v>149.6</v>
      </c>
      <c r="E33" s="166">
        <v>142.19999999999999</v>
      </c>
      <c r="F33" s="166">
        <v>148.9</v>
      </c>
      <c r="G33" s="166">
        <v>137.1</v>
      </c>
      <c r="H33" s="166">
        <v>123</v>
      </c>
      <c r="I33" s="166">
        <v>120.1</v>
      </c>
      <c r="J33" s="166">
        <v>117.4</v>
      </c>
      <c r="K33" s="166">
        <v>115.8</v>
      </c>
      <c r="L33" s="166">
        <v>113.7</v>
      </c>
      <c r="M33" s="166">
        <v>113.5</v>
      </c>
      <c r="N33" s="145"/>
      <c r="O33" s="144"/>
      <c r="P33" s="92" t="str">
        <f t="shared" si="28"/>
        <v>Other</v>
      </c>
      <c r="Q33" s="128">
        <f t="shared" si="29"/>
        <v>856.6</v>
      </c>
      <c r="R33" s="153">
        <f t="shared" si="26"/>
        <v>0.13629276054097056</v>
      </c>
      <c r="S33" s="130">
        <f t="shared" si="30"/>
        <v>-4.6177568739809161E-2</v>
      </c>
      <c r="T33" s="151"/>
      <c r="U33" s="92" t="str">
        <f t="shared" si="31"/>
        <v>Other</v>
      </c>
      <c r="V33" s="106">
        <f t="shared" si="32"/>
        <v>580.5</v>
      </c>
      <c r="W33" s="153">
        <f t="shared" si="27"/>
        <v>0.11338333528653464</v>
      </c>
      <c r="X33" s="130">
        <f t="shared" si="33"/>
        <v>-1.5947769626007524E-2</v>
      </c>
      <c r="Z33" s="30"/>
      <c r="AA33" s="76"/>
    </row>
    <row r="34" spans="2:27">
      <c r="B34" s="94" t="s">
        <v>251</v>
      </c>
      <c r="C34" s="166">
        <v>39.4</v>
      </c>
      <c r="D34" s="166">
        <v>52.4</v>
      </c>
      <c r="E34" s="166">
        <v>42.3</v>
      </c>
      <c r="F34" s="166">
        <v>42.6</v>
      </c>
      <c r="G34" s="166">
        <v>47.6</v>
      </c>
      <c r="H34" s="166">
        <v>48.7</v>
      </c>
      <c r="I34" s="166">
        <v>47.3</v>
      </c>
      <c r="J34" s="166">
        <v>49.1</v>
      </c>
      <c r="K34" s="166">
        <v>48.9</v>
      </c>
      <c r="L34" s="166">
        <v>48.4</v>
      </c>
      <c r="M34" s="166">
        <v>50.4</v>
      </c>
      <c r="N34" s="145"/>
      <c r="O34" s="144"/>
      <c r="P34" s="92" t="str">
        <f t="shared" si="28"/>
        <v>Commercial</v>
      </c>
      <c r="Q34" s="128">
        <f t="shared" si="29"/>
        <v>273</v>
      </c>
      <c r="R34" s="153">
        <f t="shared" si="26"/>
        <v>4.3436754176610977E-2</v>
      </c>
      <c r="S34" s="130">
        <f t="shared" si="30"/>
        <v>4.3293611126987264E-2</v>
      </c>
      <c r="T34" s="151"/>
      <c r="U34" s="92" t="str">
        <f t="shared" si="31"/>
        <v>Commercial</v>
      </c>
      <c r="V34" s="106">
        <f t="shared" si="32"/>
        <v>244.10000000000002</v>
      </c>
      <c r="W34" s="153">
        <f t="shared" si="27"/>
        <v>4.7677643657955397E-2</v>
      </c>
      <c r="X34" s="130">
        <f t="shared" si="33"/>
        <v>6.8860294181467552E-3</v>
      </c>
      <c r="Y34" s="30"/>
      <c r="Z34" s="30"/>
      <c r="AA34" s="76"/>
    </row>
    <row r="35" spans="2:27">
      <c r="B35" s="94" t="s">
        <v>24</v>
      </c>
      <c r="C35" s="166">
        <v>71.2</v>
      </c>
      <c r="D35" s="166">
        <v>74.8</v>
      </c>
      <c r="E35" s="166">
        <v>72.3</v>
      </c>
      <c r="F35" s="166">
        <v>64.2</v>
      </c>
      <c r="G35" s="166">
        <v>63.6</v>
      </c>
      <c r="H35" s="174">
        <v>63</v>
      </c>
      <c r="I35" s="174">
        <v>57.3</v>
      </c>
      <c r="J35" s="174">
        <v>56.4</v>
      </c>
      <c r="K35" s="174">
        <v>56</v>
      </c>
      <c r="L35" s="174">
        <v>56.1</v>
      </c>
      <c r="M35" s="174">
        <v>55.3</v>
      </c>
      <c r="N35" s="145"/>
      <c r="O35" s="144"/>
      <c r="P35" s="92" t="str">
        <f t="shared" si="28"/>
        <v>Rail</v>
      </c>
      <c r="Q35" s="128">
        <f t="shared" si="29"/>
        <v>409.1</v>
      </c>
      <c r="R35" s="153">
        <f t="shared" si="26"/>
        <v>6.5091487669053302E-2</v>
      </c>
      <c r="S35" s="130">
        <f t="shared" si="30"/>
        <v>-2.4174615994043025E-2</v>
      </c>
      <c r="T35" s="151"/>
      <c r="U35" s="92" t="str">
        <f t="shared" si="31"/>
        <v>Rail</v>
      </c>
      <c r="V35" s="106">
        <f t="shared" si="32"/>
        <v>281.09999999999997</v>
      </c>
      <c r="W35" s="153">
        <f t="shared" si="27"/>
        <v>5.4904488456580337E-2</v>
      </c>
      <c r="X35" s="130">
        <f t="shared" si="33"/>
        <v>-2.5735414208306939E-2</v>
      </c>
      <c r="Z35" s="30"/>
      <c r="AA35" s="76"/>
    </row>
    <row r="36" spans="2:27">
      <c r="B36" s="94" t="s">
        <v>23</v>
      </c>
      <c r="C36" s="166">
        <v>119.6</v>
      </c>
      <c r="D36" s="166">
        <v>105.9</v>
      </c>
      <c r="E36" s="166">
        <v>119.4</v>
      </c>
      <c r="F36" s="166">
        <v>118.9</v>
      </c>
      <c r="G36" s="166">
        <v>116.4</v>
      </c>
      <c r="H36" s="166">
        <v>121.3</v>
      </c>
      <c r="I36" s="166">
        <v>107.9</v>
      </c>
      <c r="J36" s="166">
        <v>102.5</v>
      </c>
      <c r="K36" s="166">
        <v>103.3</v>
      </c>
      <c r="L36" s="166">
        <v>102.8</v>
      </c>
      <c r="M36" s="166">
        <v>103.3</v>
      </c>
      <c r="N36" s="145"/>
      <c r="O36" s="144"/>
      <c r="P36" s="92" t="str">
        <f t="shared" si="28"/>
        <v>Central Support Services</v>
      </c>
      <c r="Q36" s="128">
        <f t="shared" si="29"/>
        <v>701.49999999999989</v>
      </c>
      <c r="R36" s="153">
        <f t="shared" si="26"/>
        <v>0.11161495624502783</v>
      </c>
      <c r="S36" s="130">
        <f t="shared" si="30"/>
        <v>2.8267827235797238E-3</v>
      </c>
      <c r="T36" s="151"/>
      <c r="U36" s="92" t="str">
        <f t="shared" si="31"/>
        <v>Central Support Services</v>
      </c>
      <c r="V36" s="106">
        <f t="shared" si="32"/>
        <v>519.79999999999995</v>
      </c>
      <c r="W36" s="153">
        <f t="shared" si="27"/>
        <v>0.10152740341419587</v>
      </c>
      <c r="X36" s="130">
        <f t="shared" si="33"/>
        <v>-3.1615333569378068E-2</v>
      </c>
      <c r="Z36" s="30"/>
      <c r="AA36" s="76"/>
    </row>
    <row r="37" spans="2:27">
      <c r="B37" s="94" t="s">
        <v>27</v>
      </c>
      <c r="C37" s="166">
        <v>46.3</v>
      </c>
      <c r="D37" s="166">
        <v>56</v>
      </c>
      <c r="E37" s="166">
        <v>62.9</v>
      </c>
      <c r="F37" s="166">
        <v>64.099999999999994</v>
      </c>
      <c r="G37" s="166">
        <v>74.7</v>
      </c>
      <c r="H37" s="166">
        <v>73</v>
      </c>
      <c r="I37" s="166">
        <v>72.400000000000006</v>
      </c>
      <c r="J37" s="166">
        <v>60.3</v>
      </c>
      <c r="K37" s="166">
        <v>57.1</v>
      </c>
      <c r="L37" s="166">
        <v>54.5</v>
      </c>
      <c r="M37" s="166">
        <v>53.1</v>
      </c>
      <c r="N37" s="145"/>
      <c r="O37" s="144"/>
      <c r="P37" s="92" t="str">
        <f t="shared" si="28"/>
        <v>Pensions</v>
      </c>
      <c r="Q37" s="128">
        <f t="shared" si="29"/>
        <v>377</v>
      </c>
      <c r="R37" s="153">
        <f t="shared" si="26"/>
        <v>5.9984089101034206E-2</v>
      </c>
      <c r="S37" s="130">
        <f t="shared" si="30"/>
        <v>9.5338552679503197E-2</v>
      </c>
      <c r="T37" s="151"/>
      <c r="U37" s="92" t="str">
        <f t="shared" si="31"/>
        <v>Pensions</v>
      </c>
      <c r="V37" s="106">
        <f t="shared" si="32"/>
        <v>297.39999999999998</v>
      </c>
      <c r="W37" s="153">
        <f t="shared" si="27"/>
        <v>5.8088206570569165E-2</v>
      </c>
      <c r="X37" s="130">
        <f t="shared" si="33"/>
        <v>-6.1672742827912463E-2</v>
      </c>
      <c r="Z37" s="30"/>
      <c r="AA37" s="76"/>
    </row>
    <row r="38" spans="2:27">
      <c r="B38" s="94"/>
      <c r="C38" s="100"/>
      <c r="D38" s="100"/>
      <c r="E38" s="100"/>
      <c r="F38" s="100"/>
      <c r="G38" s="100"/>
      <c r="H38" s="100"/>
      <c r="I38" s="100"/>
      <c r="J38" s="100"/>
      <c r="K38" s="100"/>
      <c r="L38" s="100"/>
      <c r="M38" s="100"/>
      <c r="N38" s="145"/>
      <c r="O38" s="144"/>
      <c r="P38" s="92"/>
      <c r="Q38" s="128"/>
      <c r="R38" s="153"/>
      <c r="S38" s="130"/>
      <c r="T38" s="151"/>
      <c r="U38" s="92"/>
      <c r="V38" s="106"/>
      <c r="W38" s="153"/>
      <c r="X38" s="130"/>
      <c r="Z38" s="30"/>
      <c r="AA38" s="76"/>
    </row>
    <row r="39" spans="2:27">
      <c r="B39" s="94" t="s">
        <v>28</v>
      </c>
      <c r="C39" s="133">
        <f>SUM(C28:C37)</f>
        <v>1053.7</v>
      </c>
      <c r="D39" s="133">
        <f t="shared" ref="D39:L39" si="34">SUM(D28:D37)</f>
        <v>1083</v>
      </c>
      <c r="E39" s="133">
        <f t="shared" si="34"/>
        <v>1026.3999999999999</v>
      </c>
      <c r="F39" s="133">
        <f t="shared" si="34"/>
        <v>1029.5</v>
      </c>
      <c r="G39" s="133">
        <f t="shared" si="34"/>
        <v>1042.3000000000002</v>
      </c>
      <c r="H39" s="133">
        <f t="shared" si="34"/>
        <v>1050.0999999999999</v>
      </c>
      <c r="I39" s="133">
        <f t="shared" si="34"/>
        <v>1071.5999999999999</v>
      </c>
      <c r="J39" s="133">
        <f t="shared" si="34"/>
        <v>1029.1000000000001</v>
      </c>
      <c r="K39" s="133">
        <f t="shared" si="34"/>
        <v>1010.0999999999999</v>
      </c>
      <c r="L39" s="133">
        <f t="shared" si="34"/>
        <v>999.5</v>
      </c>
      <c r="M39" s="133">
        <f>SUM(M28:M37)</f>
        <v>1009.4999999999999</v>
      </c>
      <c r="N39" s="145"/>
      <c r="O39" s="143"/>
      <c r="P39" s="92" t="str">
        <f t="shared" si="28"/>
        <v>Total</v>
      </c>
      <c r="Q39" s="128">
        <f>SUM(C39:H39)</f>
        <v>6285</v>
      </c>
      <c r="R39" s="153">
        <f>Q39/$Q$39</f>
        <v>1</v>
      </c>
      <c r="S39" s="130">
        <f>((H39/C39)^(1/5))-1</f>
        <v>-6.8424217818829902E-4</v>
      </c>
      <c r="T39" s="151"/>
      <c r="U39" s="92" t="str">
        <f t="shared" si="31"/>
        <v>Total</v>
      </c>
      <c r="V39" s="106">
        <f>SUM(I39:M39)</f>
        <v>5119.7999999999993</v>
      </c>
      <c r="W39" s="153">
        <f t="shared" ref="W39" si="35">V39/$V$39</f>
        <v>1</v>
      </c>
      <c r="X39" s="130">
        <f>((M39/H39)^(1/5))-1</f>
        <v>-7.8550344945854667E-3</v>
      </c>
      <c r="Y39" s="30"/>
      <c r="Z39" s="30"/>
      <c r="AA39" s="76"/>
    </row>
    <row r="40" spans="2:27">
      <c r="B40" s="94"/>
      <c r="C40" s="100"/>
      <c r="D40" s="101"/>
      <c r="E40" s="101"/>
      <c r="F40" s="101"/>
      <c r="G40" s="101"/>
      <c r="H40" s="101"/>
      <c r="I40" s="101"/>
      <c r="J40" s="101"/>
      <c r="K40" s="101"/>
      <c r="L40" s="101"/>
      <c r="M40" s="101"/>
      <c r="N40" s="142"/>
      <c r="O40" s="147"/>
      <c r="P40" s="92"/>
      <c r="Q40" s="104"/>
      <c r="R40" s="104"/>
      <c r="S40" s="130"/>
      <c r="T40" s="151"/>
      <c r="U40" s="92"/>
      <c r="V40" s="104"/>
      <c r="W40" s="104"/>
      <c r="X40" s="130"/>
      <c r="Z40" s="76"/>
    </row>
    <row r="41" spans="2:27">
      <c r="B41" s="94" t="s">
        <v>252</v>
      </c>
      <c r="C41" s="175">
        <f>C55</f>
        <v>7907</v>
      </c>
      <c r="D41" s="175">
        <f t="shared" ref="D41:M41" si="36">D55</f>
        <v>7406</v>
      </c>
      <c r="E41" s="175">
        <f t="shared" si="36"/>
        <v>7457</v>
      </c>
      <c r="F41" s="175">
        <f t="shared" si="36"/>
        <v>7464</v>
      </c>
      <c r="G41" s="175">
        <f t="shared" si="36"/>
        <v>7152</v>
      </c>
      <c r="H41" s="175">
        <f t="shared" si="36"/>
        <v>6893</v>
      </c>
      <c r="I41" s="175">
        <f t="shared" si="36"/>
        <v>6580</v>
      </c>
      <c r="J41" s="175">
        <f t="shared" si="36"/>
        <v>6337</v>
      </c>
      <c r="K41" s="175">
        <f t="shared" si="36"/>
        <v>6034</v>
      </c>
      <c r="L41" s="175">
        <f t="shared" si="36"/>
        <v>5860</v>
      </c>
      <c r="M41" s="175">
        <f t="shared" si="36"/>
        <v>5812</v>
      </c>
      <c r="N41" s="142"/>
      <c r="O41" s="147"/>
      <c r="P41" s="94" t="s">
        <v>252</v>
      </c>
      <c r="Q41" s="106">
        <f>SUM(C41:H41)</f>
        <v>44279</v>
      </c>
      <c r="R41" s="106"/>
      <c r="S41" s="130">
        <f>((H41/C41)^(1/5))-1</f>
        <v>-2.7075123442601212E-2</v>
      </c>
      <c r="T41" s="151"/>
      <c r="U41" s="94" t="s">
        <v>252</v>
      </c>
      <c r="V41" s="106">
        <f>SUM(I41:M41)</f>
        <v>30623</v>
      </c>
      <c r="W41" s="106"/>
      <c r="X41" s="130">
        <f>((M41/H41)^(1/5))-1</f>
        <v>-3.3540931669854279E-2</v>
      </c>
      <c r="Z41" s="76"/>
    </row>
    <row r="42" spans="2:27">
      <c r="B42" s="94" t="s">
        <v>207</v>
      </c>
      <c r="C42" s="100">
        <v>65.900000000000006</v>
      </c>
      <c r="D42" s="100">
        <v>66.099999999999994</v>
      </c>
      <c r="E42" s="100">
        <v>66.099999999999994</v>
      </c>
      <c r="F42" s="174">
        <f>[2]CA!J18</f>
        <v>70.067623000000012</v>
      </c>
      <c r="G42" s="174">
        <f>[2]CA!K18</f>
        <v>69.599999999999994</v>
      </c>
      <c r="H42" s="174">
        <f>[2]CA!L18</f>
        <v>68.8</v>
      </c>
      <c r="I42" s="174">
        <v>70.099999999999994</v>
      </c>
      <c r="J42" s="174">
        <v>70.8</v>
      </c>
      <c r="K42" s="174">
        <v>71.5</v>
      </c>
      <c r="L42" s="174">
        <v>72.3</v>
      </c>
      <c r="M42" s="174">
        <v>73</v>
      </c>
      <c r="N42" s="142"/>
      <c r="O42" s="144"/>
      <c r="P42" s="92" t="str">
        <f t="shared" si="28"/>
        <v>Passengers (m)</v>
      </c>
      <c r="Q42" s="106">
        <f>SUM(C42:H42)</f>
        <v>406.56762299999997</v>
      </c>
      <c r="R42" s="106"/>
      <c r="S42" s="130">
        <f>((H42/C42)^(1/5))-1</f>
        <v>8.6502598161137811E-3</v>
      </c>
      <c r="T42" s="151"/>
      <c r="U42" s="92" t="str">
        <f t="shared" si="31"/>
        <v>Passengers (m)</v>
      </c>
      <c r="V42" s="106">
        <f>SUM(I42:M42)</f>
        <v>357.7</v>
      </c>
      <c r="W42" s="106"/>
      <c r="X42" s="130">
        <f>((M42/H42)^(1/5))-1</f>
        <v>1.1921642230787288E-2</v>
      </c>
    </row>
    <row r="43" spans="2:27">
      <c r="B43" s="98" t="s">
        <v>224</v>
      </c>
      <c r="C43" s="161">
        <f>C39/C42</f>
        <v>15.98937784522003</v>
      </c>
      <c r="D43" s="161">
        <f t="shared" ref="D43:M43" si="37">D39/D42</f>
        <v>16.384266263237521</v>
      </c>
      <c r="E43" s="161">
        <f t="shared" si="37"/>
        <v>15.527987897125566</v>
      </c>
      <c r="F43" s="161">
        <f t="shared" si="37"/>
        <v>14.692948838866702</v>
      </c>
      <c r="G43" s="161">
        <f t="shared" si="37"/>
        <v>14.975574712643683</v>
      </c>
      <c r="H43" s="161">
        <f t="shared" si="37"/>
        <v>15.263081395348836</v>
      </c>
      <c r="I43" s="161">
        <f t="shared" si="37"/>
        <v>15.286733238231099</v>
      </c>
      <c r="J43" s="161">
        <f t="shared" si="37"/>
        <v>14.535310734463279</v>
      </c>
      <c r="K43" s="161">
        <f t="shared" si="37"/>
        <v>14.127272727272725</v>
      </c>
      <c r="L43" s="161">
        <f t="shared" si="37"/>
        <v>13.824343015214385</v>
      </c>
      <c r="M43" s="161">
        <f t="shared" si="37"/>
        <v>13.828767123287669</v>
      </c>
      <c r="N43" s="142"/>
      <c r="O43" s="145"/>
      <c r="P43" s="43" t="str">
        <f>B43</f>
        <v>Total opex / passenger</v>
      </c>
      <c r="Q43" s="107">
        <f>Q39/Q42</f>
        <v>15.458682995030326</v>
      </c>
      <c r="R43" s="107"/>
      <c r="S43" s="131">
        <f t="shared" si="30"/>
        <v>-9.2544486093761869E-3</v>
      </c>
      <c r="T43" s="151"/>
      <c r="U43" s="43" t="str">
        <f t="shared" si="31"/>
        <v>Total opex / passenger</v>
      </c>
      <c r="V43" s="107">
        <f>V39/V42</f>
        <v>14.313111545988257</v>
      </c>
      <c r="W43" s="132"/>
      <c r="X43" s="131">
        <f>((M43/H43)^(1/5))-1</f>
        <v>-1.9543683917832677E-2</v>
      </c>
    </row>
    <row r="44" spans="2:27" s="61" customFormat="1">
      <c r="B44" s="140"/>
      <c r="C44" s="145"/>
      <c r="D44" s="145"/>
      <c r="E44" s="145"/>
      <c r="F44" s="145"/>
      <c r="G44" s="145"/>
      <c r="H44" s="145"/>
      <c r="I44" s="145"/>
      <c r="J44" s="145"/>
      <c r="K44" s="145"/>
      <c r="L44" s="145"/>
      <c r="M44" s="145"/>
      <c r="N44" s="142"/>
      <c r="O44" s="145"/>
      <c r="P44" s="140"/>
      <c r="Q44" s="149"/>
      <c r="R44" s="145"/>
      <c r="S44" s="151"/>
      <c r="T44" s="151"/>
      <c r="U44" s="43"/>
      <c r="V44" s="149"/>
      <c r="W44" s="163"/>
      <c r="X44" s="151"/>
    </row>
    <row r="45" spans="2:27">
      <c r="N45" s="142"/>
      <c r="P45" s="19"/>
      <c r="U45" s="43"/>
    </row>
    <row r="46" spans="2:27">
      <c r="N46" s="142"/>
      <c r="P46" s="19"/>
      <c r="U46" s="19"/>
      <c r="V46" s="30"/>
    </row>
    <row r="47" spans="2:27">
      <c r="B47" s="84" t="s">
        <v>564</v>
      </c>
      <c r="C47" s="626" t="s">
        <v>30</v>
      </c>
      <c r="D47" s="627"/>
      <c r="E47" s="627"/>
      <c r="F47" s="627"/>
      <c r="G47" s="628"/>
      <c r="H47" s="87" t="s">
        <v>187</v>
      </c>
      <c r="I47" s="626" t="s">
        <v>31</v>
      </c>
      <c r="J47" s="627"/>
      <c r="K47" s="627"/>
      <c r="L47" s="627"/>
      <c r="M47" s="628"/>
      <c r="N47" s="142"/>
      <c r="P47" s="84" t="s">
        <v>565</v>
      </c>
      <c r="Q47" s="84"/>
      <c r="R47" s="84"/>
      <c r="S47" s="84"/>
      <c r="T47" s="138"/>
      <c r="U47" s="84" t="s">
        <v>566</v>
      </c>
      <c r="V47" s="86"/>
      <c r="W47" s="86"/>
      <c r="X47" s="86"/>
    </row>
    <row r="48" spans="2:27" ht="25.5">
      <c r="B48" s="29" t="s">
        <v>252</v>
      </c>
      <c r="C48" s="75" t="s">
        <v>12</v>
      </c>
      <c r="D48" s="75" t="s">
        <v>13</v>
      </c>
      <c r="E48" s="75" t="s">
        <v>14</v>
      </c>
      <c r="F48" s="75" t="s">
        <v>15</v>
      </c>
      <c r="G48" s="75" t="s">
        <v>16</v>
      </c>
      <c r="H48" s="75" t="s">
        <v>17</v>
      </c>
      <c r="I48" s="75" t="s">
        <v>32</v>
      </c>
      <c r="J48" s="75" t="s">
        <v>33</v>
      </c>
      <c r="K48" s="75" t="s">
        <v>34</v>
      </c>
      <c r="L48" s="75" t="s">
        <v>35</v>
      </c>
      <c r="M48" s="75" t="s">
        <v>36</v>
      </c>
      <c r="N48" s="142"/>
      <c r="P48" s="29" t="s">
        <v>232</v>
      </c>
      <c r="Q48" s="73" t="s">
        <v>226</v>
      </c>
      <c r="R48" s="73" t="s">
        <v>246</v>
      </c>
      <c r="S48" s="73" t="s">
        <v>225</v>
      </c>
      <c r="T48" s="150"/>
      <c r="U48" s="29" t="s">
        <v>232</v>
      </c>
      <c r="V48" s="73" t="s">
        <v>37</v>
      </c>
      <c r="W48" s="73" t="s">
        <v>246</v>
      </c>
      <c r="X48" s="73" t="s">
        <v>206</v>
      </c>
    </row>
    <row r="49" spans="2:24">
      <c r="B49" s="92" t="s">
        <v>253</v>
      </c>
      <c r="C49" s="598" t="s">
        <v>808</v>
      </c>
      <c r="D49" s="598" t="s">
        <v>808</v>
      </c>
      <c r="E49" s="598" t="s">
        <v>808</v>
      </c>
      <c r="F49" s="598" t="s">
        <v>808</v>
      </c>
      <c r="G49" s="598" t="s">
        <v>808</v>
      </c>
      <c r="H49" s="598" t="s">
        <v>808</v>
      </c>
      <c r="I49" s="598" t="s">
        <v>808</v>
      </c>
      <c r="J49" s="598" t="s">
        <v>808</v>
      </c>
      <c r="K49" s="598" t="s">
        <v>808</v>
      </c>
      <c r="L49" s="598" t="s">
        <v>808</v>
      </c>
      <c r="M49" s="598" t="s">
        <v>808</v>
      </c>
      <c r="N49" s="147"/>
      <c r="P49" s="92" t="str">
        <f>B49</f>
        <v>Security</v>
      </c>
      <c r="Q49" s="615" t="s">
        <v>808</v>
      </c>
      <c r="R49" s="615" t="s">
        <v>808</v>
      </c>
      <c r="S49" s="615" t="s">
        <v>808</v>
      </c>
      <c r="T49" s="151"/>
      <c r="U49" s="92" t="str">
        <f>P49</f>
        <v>Security</v>
      </c>
      <c r="V49" s="615" t="s">
        <v>808</v>
      </c>
      <c r="W49" s="615" t="s">
        <v>808</v>
      </c>
      <c r="X49" s="615" t="s">
        <v>808</v>
      </c>
    </row>
    <row r="50" spans="2:24">
      <c r="B50" s="94" t="s">
        <v>254</v>
      </c>
      <c r="C50" s="598" t="s">
        <v>808</v>
      </c>
      <c r="D50" s="598" t="s">
        <v>808</v>
      </c>
      <c r="E50" s="598" t="s">
        <v>808</v>
      </c>
      <c r="F50" s="598" t="s">
        <v>808</v>
      </c>
      <c r="G50" s="598" t="s">
        <v>808</v>
      </c>
      <c r="H50" s="598" t="s">
        <v>808</v>
      </c>
      <c r="I50" s="598" t="s">
        <v>808</v>
      </c>
      <c r="J50" s="598" t="s">
        <v>808</v>
      </c>
      <c r="K50" s="598" t="s">
        <v>808</v>
      </c>
      <c r="L50" s="598" t="s">
        <v>808</v>
      </c>
      <c r="M50" s="598" t="s">
        <v>808</v>
      </c>
      <c r="N50" s="147"/>
      <c r="P50" s="92" t="str">
        <f t="shared" ref="P50:P55" si="38">B50</f>
        <v>Operations</v>
      </c>
      <c r="Q50" s="615" t="s">
        <v>808</v>
      </c>
      <c r="R50" s="615" t="s">
        <v>808</v>
      </c>
      <c r="S50" s="615" t="s">
        <v>808</v>
      </c>
      <c r="T50" s="151"/>
      <c r="U50" s="92" t="str">
        <f t="shared" ref="U50:U55" si="39">P50</f>
        <v>Operations</v>
      </c>
      <c r="V50" s="615" t="s">
        <v>808</v>
      </c>
      <c r="W50" s="615" t="s">
        <v>808</v>
      </c>
      <c r="X50" s="615" t="s">
        <v>808</v>
      </c>
    </row>
    <row r="51" spans="2:24">
      <c r="B51" s="94" t="s">
        <v>255</v>
      </c>
      <c r="C51" s="598" t="s">
        <v>808</v>
      </c>
      <c r="D51" s="598" t="s">
        <v>808</v>
      </c>
      <c r="E51" s="598" t="s">
        <v>808</v>
      </c>
      <c r="F51" s="598" t="s">
        <v>808</v>
      </c>
      <c r="G51" s="598" t="s">
        <v>808</v>
      </c>
      <c r="H51" s="598" t="s">
        <v>808</v>
      </c>
      <c r="I51" s="598" t="s">
        <v>808</v>
      </c>
      <c r="J51" s="598" t="s">
        <v>808</v>
      </c>
      <c r="K51" s="598" t="s">
        <v>808</v>
      </c>
      <c r="L51" s="598" t="s">
        <v>808</v>
      </c>
      <c r="M51" s="598" t="s">
        <v>808</v>
      </c>
      <c r="N51" s="142"/>
      <c r="P51" s="92" t="str">
        <f t="shared" si="38"/>
        <v>Facilities</v>
      </c>
      <c r="Q51" s="615" t="s">
        <v>808</v>
      </c>
      <c r="R51" s="615" t="s">
        <v>808</v>
      </c>
      <c r="S51" s="615" t="s">
        <v>808</v>
      </c>
      <c r="U51" s="92" t="str">
        <f t="shared" si="39"/>
        <v>Facilities</v>
      </c>
      <c r="V51" s="615" t="s">
        <v>808</v>
      </c>
      <c r="W51" s="615" t="s">
        <v>808</v>
      </c>
      <c r="X51" s="615" t="s">
        <v>808</v>
      </c>
    </row>
    <row r="52" spans="2:24">
      <c r="B52" s="94" t="s">
        <v>251</v>
      </c>
      <c r="C52" s="598" t="s">
        <v>808</v>
      </c>
      <c r="D52" s="598" t="s">
        <v>808</v>
      </c>
      <c r="E52" s="598" t="s">
        <v>808</v>
      </c>
      <c r="F52" s="598" t="s">
        <v>808</v>
      </c>
      <c r="G52" s="598" t="s">
        <v>808</v>
      </c>
      <c r="H52" s="598" t="s">
        <v>808</v>
      </c>
      <c r="I52" s="598" t="s">
        <v>808</v>
      </c>
      <c r="J52" s="598" t="s">
        <v>808</v>
      </c>
      <c r="K52" s="598" t="s">
        <v>808</v>
      </c>
      <c r="L52" s="598" t="s">
        <v>808</v>
      </c>
      <c r="M52" s="598" t="s">
        <v>808</v>
      </c>
      <c r="N52" s="142"/>
      <c r="P52" s="92" t="str">
        <f t="shared" si="38"/>
        <v>Commercial</v>
      </c>
      <c r="Q52" s="615" t="s">
        <v>808</v>
      </c>
      <c r="R52" s="615" t="s">
        <v>808</v>
      </c>
      <c r="S52" s="615" t="s">
        <v>808</v>
      </c>
      <c r="U52" s="92" t="str">
        <f t="shared" si="39"/>
        <v>Commercial</v>
      </c>
      <c r="V52" s="615" t="s">
        <v>808</v>
      </c>
      <c r="W52" s="615" t="s">
        <v>808</v>
      </c>
      <c r="X52" s="615" t="s">
        <v>808</v>
      </c>
    </row>
    <row r="53" spans="2:24">
      <c r="B53" s="94" t="s">
        <v>87</v>
      </c>
      <c r="C53" s="598" t="s">
        <v>808</v>
      </c>
      <c r="D53" s="598" t="s">
        <v>808</v>
      </c>
      <c r="E53" s="598" t="s">
        <v>808</v>
      </c>
      <c r="F53" s="598" t="s">
        <v>808</v>
      </c>
      <c r="G53" s="598" t="s">
        <v>808</v>
      </c>
      <c r="H53" s="598" t="s">
        <v>808</v>
      </c>
      <c r="I53" s="598" t="s">
        <v>808</v>
      </c>
      <c r="J53" s="598" t="s">
        <v>808</v>
      </c>
      <c r="K53" s="598" t="s">
        <v>808</v>
      </c>
      <c r="L53" s="598" t="s">
        <v>808</v>
      </c>
      <c r="M53" s="598" t="s">
        <v>808</v>
      </c>
      <c r="N53" s="142"/>
      <c r="P53" s="92" t="str">
        <f t="shared" si="38"/>
        <v xml:space="preserve">Rail </v>
      </c>
      <c r="Q53" s="615" t="s">
        <v>808</v>
      </c>
      <c r="R53" s="615" t="s">
        <v>808</v>
      </c>
      <c r="S53" s="615" t="s">
        <v>808</v>
      </c>
      <c r="U53" s="92" t="str">
        <f t="shared" si="39"/>
        <v xml:space="preserve">Rail </v>
      </c>
      <c r="V53" s="615" t="s">
        <v>808</v>
      </c>
      <c r="W53" s="615" t="s">
        <v>808</v>
      </c>
      <c r="X53" s="615" t="s">
        <v>808</v>
      </c>
    </row>
    <row r="54" spans="2:24">
      <c r="B54" s="94" t="s">
        <v>256</v>
      </c>
      <c r="C54" s="598" t="s">
        <v>808</v>
      </c>
      <c r="D54" s="598" t="s">
        <v>808</v>
      </c>
      <c r="E54" s="598" t="s">
        <v>808</v>
      </c>
      <c r="F54" s="598" t="s">
        <v>808</v>
      </c>
      <c r="G54" s="598" t="s">
        <v>808</v>
      </c>
      <c r="H54" s="598" t="s">
        <v>808</v>
      </c>
      <c r="I54" s="598" t="s">
        <v>808</v>
      </c>
      <c r="J54" s="598" t="s">
        <v>808</v>
      </c>
      <c r="K54" s="598" t="s">
        <v>808</v>
      </c>
      <c r="L54" s="598" t="s">
        <v>808</v>
      </c>
      <c r="M54" s="598" t="s">
        <v>808</v>
      </c>
      <c r="N54" s="142"/>
      <c r="P54" s="92" t="str">
        <f t="shared" si="38"/>
        <v>Central Support</v>
      </c>
      <c r="Q54" s="615" t="s">
        <v>808</v>
      </c>
      <c r="R54" s="615" t="s">
        <v>808</v>
      </c>
      <c r="S54" s="615" t="s">
        <v>808</v>
      </c>
      <c r="U54" s="92" t="str">
        <f t="shared" si="39"/>
        <v>Central Support</v>
      </c>
      <c r="V54" s="615" t="s">
        <v>808</v>
      </c>
      <c r="W54" s="615" t="s">
        <v>808</v>
      </c>
      <c r="X54" s="615" t="s">
        <v>808</v>
      </c>
    </row>
    <row r="55" spans="2:24">
      <c r="B55" s="98" t="s">
        <v>28</v>
      </c>
      <c r="C55" s="127">
        <v>7907</v>
      </c>
      <c r="D55" s="127">
        <v>7406</v>
      </c>
      <c r="E55" s="127">
        <v>7457</v>
      </c>
      <c r="F55" s="127">
        <v>7464</v>
      </c>
      <c r="G55" s="127">
        <v>7152</v>
      </c>
      <c r="H55" s="127">
        <v>6893</v>
      </c>
      <c r="I55" s="127">
        <v>6580</v>
      </c>
      <c r="J55" s="127">
        <v>6337</v>
      </c>
      <c r="K55" s="127">
        <v>6034</v>
      </c>
      <c r="L55" s="127">
        <v>5860</v>
      </c>
      <c r="M55" s="127">
        <v>5812</v>
      </c>
      <c r="N55" s="142"/>
      <c r="P55" s="92" t="str">
        <f t="shared" si="38"/>
        <v>Total</v>
      </c>
      <c r="Q55" s="128">
        <f t="shared" ref="Q55" si="40">SUM(C55:H55)</f>
        <v>44279</v>
      </c>
      <c r="R55" s="153">
        <f t="shared" ref="R55" si="41">Q55/$Q$55</f>
        <v>1</v>
      </c>
      <c r="S55" s="129">
        <f>((H55/C55)^(1/5))-1</f>
        <v>-2.7075123442601212E-2</v>
      </c>
      <c r="U55" s="92" t="str">
        <f t="shared" si="39"/>
        <v>Total</v>
      </c>
      <c r="V55" s="128">
        <f t="shared" ref="V55" si="42">SUM(I55:M55)</f>
        <v>30623</v>
      </c>
      <c r="W55" s="153">
        <f t="shared" ref="W55" si="43">V55/$V$55</f>
        <v>1</v>
      </c>
      <c r="X55" s="129">
        <f>((M55/H55)^(1/5))-1</f>
        <v>-3.3540931669854279E-2</v>
      </c>
    </row>
    <row r="59" spans="2:24">
      <c r="B59" s="84" t="s">
        <v>564</v>
      </c>
      <c r="C59" s="626" t="s">
        <v>30</v>
      </c>
      <c r="D59" s="627"/>
      <c r="E59" s="627"/>
      <c r="F59" s="627"/>
      <c r="G59" s="628"/>
      <c r="H59" s="87" t="s">
        <v>187</v>
      </c>
      <c r="I59" s="626" t="s">
        <v>31</v>
      </c>
      <c r="J59" s="627"/>
      <c r="K59" s="627"/>
      <c r="L59" s="627"/>
      <c r="M59" s="628"/>
      <c r="N59" s="19"/>
      <c r="O59" s="19"/>
      <c r="P59" s="19"/>
      <c r="T59" s="19"/>
      <c r="U59" s="19"/>
    </row>
    <row r="60" spans="2:24">
      <c r="B60" s="18"/>
      <c r="D60" s="379"/>
      <c r="E60" s="379"/>
      <c r="F60" s="379"/>
      <c r="G60" s="379"/>
      <c r="H60" s="379"/>
      <c r="I60" s="379"/>
      <c r="J60" s="379"/>
      <c r="K60" s="379"/>
    </row>
    <row r="61" spans="2:24">
      <c r="B61" s="29" t="s">
        <v>579</v>
      </c>
      <c r="C61" s="75" t="s">
        <v>12</v>
      </c>
      <c r="D61" s="75" t="s">
        <v>13</v>
      </c>
      <c r="E61" s="75" t="s">
        <v>14</v>
      </c>
      <c r="F61" s="75" t="s">
        <v>15</v>
      </c>
      <c r="G61" s="75" t="s">
        <v>16</v>
      </c>
      <c r="H61" s="75" t="s">
        <v>17</v>
      </c>
      <c r="I61" s="75" t="s">
        <v>32</v>
      </c>
      <c r="J61" s="75" t="s">
        <v>33</v>
      </c>
      <c r="K61" s="75" t="s">
        <v>34</v>
      </c>
      <c r="L61" s="75" t="s">
        <v>35</v>
      </c>
      <c r="M61" s="75" t="s">
        <v>36</v>
      </c>
    </row>
    <row r="62" spans="2:24">
      <c r="B62" s="94" t="s">
        <v>559</v>
      </c>
      <c r="C62" s="380"/>
      <c r="D62" s="380"/>
      <c r="E62" s="380"/>
      <c r="F62" s="611" t="s">
        <v>808</v>
      </c>
      <c r="G62" s="611" t="s">
        <v>808</v>
      </c>
      <c r="H62" s="611" t="s">
        <v>808</v>
      </c>
      <c r="I62" s="611" t="s">
        <v>808</v>
      </c>
      <c r="J62" s="611" t="s">
        <v>808</v>
      </c>
      <c r="K62" s="611" t="s">
        <v>808</v>
      </c>
      <c r="L62" s="611" t="s">
        <v>808</v>
      </c>
      <c r="M62" s="611" t="s">
        <v>808</v>
      </c>
    </row>
    <row r="63" spans="2:24">
      <c r="B63" s="94" t="s">
        <v>560</v>
      </c>
      <c r="C63" s="94"/>
      <c r="D63" s="94"/>
      <c r="E63" s="94"/>
      <c r="F63" s="611" t="s">
        <v>808</v>
      </c>
      <c r="G63" s="611" t="s">
        <v>808</v>
      </c>
      <c r="H63" s="611" t="s">
        <v>808</v>
      </c>
      <c r="I63" s="611" t="s">
        <v>808</v>
      </c>
      <c r="J63" s="611" t="s">
        <v>808</v>
      </c>
      <c r="K63" s="611" t="s">
        <v>808</v>
      </c>
      <c r="L63" s="611" t="s">
        <v>808</v>
      </c>
      <c r="M63" s="611" t="s">
        <v>808</v>
      </c>
    </row>
    <row r="64" spans="2:24">
      <c r="B64" s="94" t="s">
        <v>561</v>
      </c>
      <c r="C64" s="94"/>
      <c r="D64" s="94"/>
      <c r="E64" s="94"/>
      <c r="F64" s="611" t="s">
        <v>808</v>
      </c>
      <c r="G64" s="611" t="s">
        <v>808</v>
      </c>
      <c r="H64" s="611" t="s">
        <v>808</v>
      </c>
      <c r="I64" s="611" t="s">
        <v>808</v>
      </c>
      <c r="J64" s="611" t="s">
        <v>808</v>
      </c>
      <c r="K64" s="611" t="s">
        <v>808</v>
      </c>
      <c r="L64" s="611" t="s">
        <v>808</v>
      </c>
      <c r="M64" s="611" t="s">
        <v>808</v>
      </c>
    </row>
    <row r="65" spans="2:24">
      <c r="B65" s="94" t="s">
        <v>562</v>
      </c>
      <c r="C65" s="94"/>
      <c r="D65" s="94"/>
      <c r="E65" s="94"/>
      <c r="F65" s="611" t="s">
        <v>808</v>
      </c>
      <c r="G65" s="611" t="s">
        <v>808</v>
      </c>
      <c r="H65" s="611" t="s">
        <v>808</v>
      </c>
      <c r="I65" s="611" t="s">
        <v>808</v>
      </c>
      <c r="J65" s="611" t="s">
        <v>808</v>
      </c>
      <c r="K65" s="611" t="s">
        <v>808</v>
      </c>
      <c r="L65" s="611" t="s">
        <v>808</v>
      </c>
      <c r="M65" s="611" t="s">
        <v>808</v>
      </c>
    </row>
    <row r="66" spans="2:24">
      <c r="B66" s="94" t="s">
        <v>563</v>
      </c>
      <c r="C66" s="94"/>
      <c r="D66" s="94"/>
      <c r="E66" s="94"/>
      <c r="F66" s="611" t="s">
        <v>808</v>
      </c>
      <c r="G66" s="611" t="s">
        <v>808</v>
      </c>
      <c r="H66" s="611" t="s">
        <v>808</v>
      </c>
      <c r="I66" s="611" t="s">
        <v>808</v>
      </c>
      <c r="J66" s="611" t="s">
        <v>808</v>
      </c>
      <c r="K66" s="611" t="s">
        <v>808</v>
      </c>
      <c r="L66" s="611" t="s">
        <v>808</v>
      </c>
      <c r="M66" s="611" t="s">
        <v>808</v>
      </c>
    </row>
    <row r="67" spans="2:24">
      <c r="B67" s="94"/>
      <c r="C67" s="94"/>
      <c r="D67" s="94"/>
      <c r="E67" s="94"/>
      <c r="F67" s="611"/>
      <c r="G67" s="611"/>
      <c r="H67" s="611"/>
      <c r="I67" s="611"/>
      <c r="J67" s="611"/>
      <c r="K67" s="611"/>
      <c r="L67" s="611"/>
      <c r="M67" s="611"/>
    </row>
    <row r="68" spans="2:24">
      <c r="B68" s="94" t="s">
        <v>28</v>
      </c>
      <c r="C68" s="94"/>
      <c r="D68" s="94"/>
      <c r="E68" s="94"/>
      <c r="F68" s="611" t="s">
        <v>808</v>
      </c>
      <c r="G68" s="611" t="s">
        <v>808</v>
      </c>
      <c r="H68" s="611" t="s">
        <v>808</v>
      </c>
      <c r="I68" s="611" t="s">
        <v>808</v>
      </c>
      <c r="J68" s="611" t="s">
        <v>808</v>
      </c>
      <c r="K68" s="611" t="s">
        <v>808</v>
      </c>
      <c r="L68" s="611" t="s">
        <v>808</v>
      </c>
      <c r="M68" s="611" t="s">
        <v>808</v>
      </c>
    </row>
    <row r="69" spans="2:24">
      <c r="B69" s="94" t="s">
        <v>730</v>
      </c>
      <c r="C69" s="94"/>
      <c r="D69" s="94"/>
      <c r="E69" s="94"/>
      <c r="F69" s="380"/>
      <c r="G69" s="611" t="s">
        <v>808</v>
      </c>
      <c r="H69" s="611" t="s">
        <v>808</v>
      </c>
      <c r="I69" s="611" t="s">
        <v>808</v>
      </c>
      <c r="J69" s="611" t="s">
        <v>808</v>
      </c>
      <c r="K69" s="611" t="s">
        <v>808</v>
      </c>
      <c r="L69" s="611" t="s">
        <v>808</v>
      </c>
      <c r="M69" s="611" t="s">
        <v>808</v>
      </c>
    </row>
    <row r="70" spans="2:24">
      <c r="B70" s="94" t="s">
        <v>311</v>
      </c>
      <c r="C70" s="94"/>
      <c r="D70" s="94"/>
      <c r="E70" s="94"/>
      <c r="F70" s="380"/>
      <c r="G70" s="611" t="s">
        <v>808</v>
      </c>
      <c r="H70" s="611" t="s">
        <v>808</v>
      </c>
      <c r="I70" s="611" t="s">
        <v>808</v>
      </c>
      <c r="J70" s="611" t="s">
        <v>808</v>
      </c>
      <c r="K70" s="611" t="s">
        <v>808</v>
      </c>
      <c r="L70" s="611" t="s">
        <v>808</v>
      </c>
      <c r="M70" s="611" t="s">
        <v>808</v>
      </c>
    </row>
    <row r="72" spans="2:24">
      <c r="B72" s="84" t="s">
        <v>735</v>
      </c>
      <c r="C72" s="84"/>
      <c r="D72" s="84"/>
      <c r="E72" s="84"/>
      <c r="F72" s="84"/>
      <c r="G72" s="84"/>
      <c r="H72" s="84"/>
      <c r="I72" s="84"/>
      <c r="J72" s="84"/>
      <c r="K72" s="84"/>
      <c r="L72" s="84"/>
      <c r="M72" s="84"/>
      <c r="N72" s="84"/>
      <c r="O72" s="84"/>
      <c r="P72" s="84"/>
      <c r="Q72" s="84"/>
      <c r="R72" s="84"/>
      <c r="S72" s="84"/>
      <c r="T72" s="84"/>
      <c r="U72" s="84"/>
      <c r="V72" s="84"/>
      <c r="W72" s="84"/>
      <c r="X72" s="84"/>
    </row>
    <row r="75" spans="2:24">
      <c r="B75" s="84" t="s">
        <v>737</v>
      </c>
      <c r="C75" s="626" t="s">
        <v>30</v>
      </c>
      <c r="D75" s="627"/>
      <c r="E75" s="627"/>
      <c r="F75" s="627"/>
      <c r="G75" s="628"/>
      <c r="H75" s="87" t="s">
        <v>187</v>
      </c>
      <c r="I75" s="626" t="s">
        <v>31</v>
      </c>
      <c r="J75" s="627"/>
      <c r="K75" s="627"/>
      <c r="L75" s="627"/>
      <c r="M75" s="628"/>
      <c r="U75" s="84" t="s">
        <v>566</v>
      </c>
      <c r="V75" s="86"/>
      <c r="W75" s="86"/>
      <c r="X75" s="86"/>
    </row>
    <row r="76" spans="2:24" ht="25.5">
      <c r="C76" s="75" t="s">
        <v>12</v>
      </c>
      <c r="D76" s="75" t="s">
        <v>13</v>
      </c>
      <c r="E76" s="75" t="s">
        <v>14</v>
      </c>
      <c r="F76" s="75" t="s">
        <v>15</v>
      </c>
      <c r="G76" s="75" t="s">
        <v>16</v>
      </c>
      <c r="H76" s="75" t="s">
        <v>17</v>
      </c>
      <c r="I76" s="75" t="s">
        <v>32</v>
      </c>
      <c r="J76" s="75" t="s">
        <v>33</v>
      </c>
      <c r="K76" s="75" t="s">
        <v>34</v>
      </c>
      <c r="L76" s="75" t="s">
        <v>35</v>
      </c>
      <c r="M76" s="75" t="s">
        <v>36</v>
      </c>
      <c r="U76" s="29" t="s">
        <v>232</v>
      </c>
      <c r="V76" s="73" t="s">
        <v>37</v>
      </c>
      <c r="W76" s="73" t="s">
        <v>246</v>
      </c>
      <c r="X76" s="73" t="s">
        <v>206</v>
      </c>
    </row>
    <row r="77" spans="2:24">
      <c r="B77" s="94" t="s">
        <v>736</v>
      </c>
      <c r="C77" s="94"/>
      <c r="D77" s="94"/>
      <c r="E77" s="94">
        <v>98.5</v>
      </c>
      <c r="F77" s="94"/>
      <c r="G77" s="94"/>
      <c r="H77" s="189">
        <v>108.8</v>
      </c>
      <c r="I77" s="189">
        <v>123.9</v>
      </c>
      <c r="J77" s="189">
        <v>126.3</v>
      </c>
      <c r="K77" s="189">
        <v>125.5</v>
      </c>
      <c r="L77" s="189">
        <v>147.6</v>
      </c>
      <c r="M77" s="189">
        <v>157.30000000000001</v>
      </c>
      <c r="U77" s="92" t="str">
        <f>B77</f>
        <v>ABP Rates cost forecast</v>
      </c>
      <c r="V77" s="128">
        <f>SUM(I77:M77)</f>
        <v>680.59999999999991</v>
      </c>
      <c r="W77" s="153">
        <f>V77/$V$55</f>
        <v>2.2225124906116316E-2</v>
      </c>
      <c r="X77" s="129">
        <f>((M77/H77)^(1/5))-1</f>
        <v>7.6514702190517481E-2</v>
      </c>
    </row>
    <row r="78" spans="2:24">
      <c r="B78" s="94" t="s">
        <v>266</v>
      </c>
      <c r="C78" s="94"/>
      <c r="D78" s="94"/>
      <c r="E78" s="94"/>
      <c r="F78" s="94"/>
      <c r="G78" s="94"/>
      <c r="H78" s="189">
        <f>H77+'Other Opex'!E32</f>
        <v>108.8</v>
      </c>
      <c r="I78" s="189">
        <f>I77+'Other Opex'!F32</f>
        <v>123.9</v>
      </c>
      <c r="J78" s="189">
        <f>J77+'Other Opex'!G32</f>
        <v>126.3</v>
      </c>
      <c r="K78" s="189">
        <f>K77+'Other Opex'!H32</f>
        <v>125.5</v>
      </c>
      <c r="L78" s="189">
        <f>L77+'Other Opex'!I32</f>
        <v>136.9</v>
      </c>
      <c r="M78" s="189">
        <f>M77+'Other Opex'!J32</f>
        <v>136.80000000000001</v>
      </c>
      <c r="U78" s="92" t="str">
        <f>B78</f>
        <v>CAA Forecast</v>
      </c>
      <c r="V78" s="128">
        <f>SUM(I78:M78)</f>
        <v>649.40000000000009</v>
      </c>
      <c r="W78" s="153">
        <f>V78/$V$55</f>
        <v>2.1206282859288772E-2</v>
      </c>
      <c r="X78" s="129">
        <f>((M78/H78)^(1/5))-1</f>
        <v>4.6866832440858541E-2</v>
      </c>
    </row>
    <row r="81" spans="2:24">
      <c r="B81" s="329" t="s">
        <v>445</v>
      </c>
      <c r="C81" s="329"/>
      <c r="D81" s="329"/>
      <c r="E81" s="329"/>
      <c r="F81" s="329"/>
      <c r="G81" s="329"/>
      <c r="H81" s="329"/>
      <c r="I81" s="329"/>
      <c r="J81" s="329"/>
      <c r="K81" s="329"/>
      <c r="L81" s="329"/>
      <c r="M81" s="329"/>
      <c r="N81" s="329"/>
      <c r="O81" s="329"/>
      <c r="P81" s="329"/>
      <c r="Q81" s="329"/>
      <c r="R81" s="329"/>
      <c r="S81" s="329"/>
      <c r="T81" s="329"/>
      <c r="U81" s="329"/>
      <c r="V81" s="329"/>
      <c r="W81" s="329"/>
      <c r="X81" s="329"/>
    </row>
    <row r="82" spans="2:24">
      <c r="E82" s="31"/>
      <c r="V82" s="30"/>
    </row>
    <row r="89" spans="2:24">
      <c r="F89" s="34"/>
    </row>
    <row r="90" spans="2:24">
      <c r="F90" s="34"/>
    </row>
    <row r="91" spans="2:24">
      <c r="F91" s="34"/>
    </row>
    <row r="92" spans="2:24">
      <c r="F92" s="34"/>
    </row>
    <row r="117" spans="3:3">
      <c r="C117" s="31"/>
    </row>
    <row r="118" spans="3:3">
      <c r="C118" s="31"/>
    </row>
    <row r="119" spans="3:3">
      <c r="C119" s="31"/>
    </row>
    <row r="120" spans="3:3">
      <c r="C120" s="31"/>
    </row>
    <row r="121" spans="3:3">
      <c r="C121" s="31"/>
    </row>
    <row r="122" spans="3:3">
      <c r="C122" s="31"/>
    </row>
  </sheetData>
  <mergeCells count="10">
    <mergeCell ref="C75:G75"/>
    <mergeCell ref="I75:M75"/>
    <mergeCell ref="C59:G59"/>
    <mergeCell ref="I59:M59"/>
    <mergeCell ref="C4:G4"/>
    <mergeCell ref="I4:M4"/>
    <mergeCell ref="C26:G26"/>
    <mergeCell ref="I26:M26"/>
    <mergeCell ref="C47:G47"/>
    <mergeCell ref="I47:M47"/>
  </mergeCells>
  <pageMargins left="0.70866141732283472" right="0.70866141732283472" top="0.74803149606299213" bottom="0.74803149606299213" header="0.31496062992125984" footer="0.31496062992125984"/>
  <pageSetup paperSize="9" scale="71" fitToWidth="2" orientation="landscape" r:id="rId1"/>
  <headerFooter>
    <oddHeader>&amp;C&amp;A&amp;D</oddHeader>
  </headerFooter>
  <legacyDrawing r:id="rId2"/>
</worksheet>
</file>

<file path=xl/worksheets/sheet11.xml><?xml version="1.0" encoding="utf-8"?>
<worksheet xmlns="http://schemas.openxmlformats.org/spreadsheetml/2006/main" xmlns:r="http://schemas.openxmlformats.org/officeDocument/2006/relationships">
  <sheetPr>
    <tabColor rgb="FFFF0000"/>
  </sheetPr>
  <dimension ref="A1"/>
  <sheetViews>
    <sheetView showGridLines="0" workbookViewId="0">
      <selection activeCell="E33" sqref="E33"/>
    </sheetView>
  </sheetViews>
  <sheetFormatPr defaultRowHeight="15"/>
  <sheetData/>
  <pageMargins left="0.7" right="0.7" top="0.75" bottom="0.75" header="0.3" footer="0.3"/>
</worksheet>
</file>

<file path=xl/worksheets/sheet12.xml><?xml version="1.0" encoding="utf-8"?>
<worksheet xmlns="http://schemas.openxmlformats.org/spreadsheetml/2006/main" xmlns:r="http://schemas.openxmlformats.org/officeDocument/2006/relationships">
  <sheetPr>
    <tabColor theme="5"/>
  </sheetPr>
  <dimension ref="B2:AN138"/>
  <sheetViews>
    <sheetView showGridLines="0" topLeftCell="A97" zoomScale="55" zoomScaleNormal="55" zoomScaleSheetLayoutView="85" workbookViewId="0">
      <selection activeCell="Q52" sqref="Q52"/>
    </sheetView>
  </sheetViews>
  <sheetFormatPr defaultRowHeight="12.75"/>
  <cols>
    <col min="1" max="1" width="9.140625" style="19"/>
    <col min="2" max="2" width="33.85546875" style="19" customWidth="1"/>
    <col min="3" max="13" width="10.7109375" style="19" customWidth="1"/>
    <col min="14" max="15" width="9.28515625" style="140" customWidth="1"/>
    <col min="16" max="16" width="30" style="140" customWidth="1"/>
    <col min="17" max="20" width="9.28515625" style="19" customWidth="1"/>
    <col min="21" max="21" width="9.28515625" style="61" customWidth="1"/>
    <col min="22" max="22" width="33.42578125" style="140" customWidth="1"/>
    <col min="23" max="25" width="9.28515625" style="19" customWidth="1"/>
    <col min="26" max="26" width="9.140625" style="19"/>
    <col min="27" max="27" width="9.28515625" style="19" bestFit="1" customWidth="1"/>
    <col min="28" max="40" width="9.140625" style="61"/>
    <col min="41" max="16384" width="9.140625" style="19"/>
  </cols>
  <sheetData>
    <row r="2" spans="2:40">
      <c r="B2" s="261" t="s">
        <v>755</v>
      </c>
      <c r="C2" s="38"/>
    </row>
    <row r="3" spans="2:40">
      <c r="B3" s="18"/>
    </row>
    <row r="4" spans="2:40">
      <c r="B4" s="53" t="s">
        <v>806</v>
      </c>
    </row>
    <row r="5" spans="2:40">
      <c r="B5" s="18"/>
    </row>
    <row r="6" spans="2:40">
      <c r="B6" s="84" t="s">
        <v>462</v>
      </c>
      <c r="C6" s="84"/>
      <c r="D6" s="84"/>
      <c r="E6" s="84"/>
      <c r="F6" s="84"/>
      <c r="G6" s="84"/>
      <c r="H6" s="84"/>
      <c r="I6" s="84"/>
      <c r="J6" s="84"/>
      <c r="K6" s="84"/>
      <c r="L6" s="84"/>
      <c r="M6" s="84"/>
      <c r="N6" s="84"/>
      <c r="O6" s="84"/>
      <c r="P6" s="84"/>
      <c r="Q6" s="84"/>
      <c r="R6" s="84"/>
      <c r="S6" s="84"/>
      <c r="T6" s="84"/>
      <c r="U6" s="84"/>
      <c r="V6" s="84"/>
      <c r="W6" s="84"/>
      <c r="X6" s="84"/>
      <c r="Y6" s="84"/>
      <c r="Z6" s="84"/>
      <c r="AA6" s="84"/>
      <c r="AB6" s="138"/>
      <c r="AC6" s="138"/>
      <c r="AD6" s="138"/>
      <c r="AE6" s="138"/>
      <c r="AF6" s="138"/>
      <c r="AG6" s="138"/>
      <c r="AH6" s="138"/>
      <c r="AI6" s="138"/>
      <c r="AJ6" s="138"/>
      <c r="AK6" s="138"/>
      <c r="AL6" s="138"/>
      <c r="AM6" s="138"/>
      <c r="AN6" s="138"/>
    </row>
    <row r="7" spans="2:40">
      <c r="B7" s="18"/>
    </row>
    <row r="8" spans="2:40">
      <c r="B8" s="84" t="s">
        <v>274</v>
      </c>
      <c r="C8" s="626" t="s">
        <v>30</v>
      </c>
      <c r="D8" s="627"/>
      <c r="E8" s="627"/>
      <c r="F8" s="627"/>
      <c r="G8" s="628"/>
      <c r="H8" s="87" t="s">
        <v>187</v>
      </c>
      <c r="I8" s="626" t="s">
        <v>31</v>
      </c>
      <c r="J8" s="627"/>
      <c r="K8" s="627"/>
      <c r="L8" s="627"/>
      <c r="M8" s="628"/>
      <c r="N8" s="371"/>
      <c r="O8" s="371"/>
      <c r="P8" s="84" t="s">
        <v>275</v>
      </c>
      <c r="Q8" s="84"/>
      <c r="R8" s="84"/>
      <c r="S8" s="84"/>
      <c r="T8" s="84"/>
      <c r="U8" s="138"/>
      <c r="V8" s="84" t="s">
        <v>276</v>
      </c>
      <c r="W8" s="372"/>
      <c r="X8" s="372"/>
      <c r="Y8" s="84"/>
      <c r="Z8" s="84"/>
      <c r="AA8" s="84"/>
    </row>
    <row r="9" spans="2:40" ht="27.75" customHeight="1">
      <c r="B9" s="29" t="s">
        <v>46</v>
      </c>
      <c r="C9" s="75" t="s">
        <v>12</v>
      </c>
      <c r="D9" s="75" t="s">
        <v>13</v>
      </c>
      <c r="E9" s="75" t="s">
        <v>14</v>
      </c>
      <c r="F9" s="75" t="s">
        <v>15</v>
      </c>
      <c r="G9" s="75" t="s">
        <v>16</v>
      </c>
      <c r="H9" s="75" t="s">
        <v>17</v>
      </c>
      <c r="I9" s="75" t="s">
        <v>32</v>
      </c>
      <c r="J9" s="75" t="s">
        <v>33</v>
      </c>
      <c r="K9" s="75" t="s">
        <v>34</v>
      </c>
      <c r="L9" s="75" t="s">
        <v>35</v>
      </c>
      <c r="M9" s="75" t="s">
        <v>36</v>
      </c>
      <c r="N9" s="141"/>
      <c r="O9" s="141"/>
      <c r="P9" s="29" t="s">
        <v>46</v>
      </c>
      <c r="Q9" s="176" t="s">
        <v>226</v>
      </c>
      <c r="R9" s="176" t="s">
        <v>246</v>
      </c>
      <c r="S9" s="176" t="s">
        <v>225</v>
      </c>
      <c r="T9" s="176" t="s">
        <v>299</v>
      </c>
      <c r="U9" s="150"/>
      <c r="V9" s="29" t="s">
        <v>46</v>
      </c>
      <c r="W9" s="176" t="s">
        <v>37</v>
      </c>
      <c r="X9" s="176" t="s">
        <v>246</v>
      </c>
      <c r="Y9" s="176" t="s">
        <v>206</v>
      </c>
      <c r="Z9" s="176" t="s">
        <v>299</v>
      </c>
      <c r="AA9" s="260" t="s">
        <v>431</v>
      </c>
    </row>
    <row r="10" spans="2:40">
      <c r="B10" s="94" t="s">
        <v>207</v>
      </c>
      <c r="C10" s="103">
        <f>'[3]HAL - CAA'!C10</f>
        <v>65.900000000000006</v>
      </c>
      <c r="D10" s="103">
        <f>'[3]HAL - CAA'!D10</f>
        <v>66.099999999999994</v>
      </c>
      <c r="E10" s="103">
        <f>'[3]HAL - CAA'!E10</f>
        <v>66.099999999999994</v>
      </c>
      <c r="F10" s="103">
        <f>'[3]HAL - CAA'!F10</f>
        <v>70.067623000000012</v>
      </c>
      <c r="G10" s="103">
        <f>'[3]HAL - CAA'!G10</f>
        <v>69.599999999999994</v>
      </c>
      <c r="H10" s="103">
        <f>'[3]HAL - CAA'!H10</f>
        <v>68.8</v>
      </c>
      <c r="I10" s="103">
        <f>'[3]HAL - CAA'!I10</f>
        <v>69.494122000000004</v>
      </c>
      <c r="J10" s="103">
        <f>'[3]HAL - CAA'!J10</f>
        <v>70.256156000000004</v>
      </c>
      <c r="K10" s="103">
        <f>'[3]HAL - CAA'!K10</f>
        <v>71.025689999999997</v>
      </c>
      <c r="L10" s="103">
        <f>'[3]HAL - CAA'!L10</f>
        <v>71.812779000000006</v>
      </c>
      <c r="M10" s="103">
        <f>'[3]HAL - CAA'!M10</f>
        <v>72.602541000000002</v>
      </c>
      <c r="N10" s="147"/>
      <c r="O10" s="142"/>
      <c r="P10" s="92" t="s">
        <v>207</v>
      </c>
      <c r="Q10" s="128">
        <f>'[3]HAL - CAA'!Q10</f>
        <v>406.56762299999997</v>
      </c>
      <c r="R10" s="153">
        <f>'[3]HAL - CAA'!R10</f>
        <v>0</v>
      </c>
      <c r="S10" s="153">
        <f>'[3]HAL - CAA'!S10</f>
        <v>8.6502598161137811E-3</v>
      </c>
      <c r="T10" s="410">
        <f>'[3]HAL - CAA'!T10</f>
        <v>0</v>
      </c>
      <c r="U10" s="151"/>
      <c r="V10" s="92" t="s">
        <v>207</v>
      </c>
      <c r="W10" s="128">
        <f>'[3]HAL - CAA'!W10</f>
        <v>355.19128799999999</v>
      </c>
      <c r="X10" s="153">
        <f>'[3]HAL - CAA'!X10</f>
        <v>0</v>
      </c>
      <c r="Y10" s="153">
        <f>'[3]HAL - CAA'!Y10</f>
        <v>1.081732397056423E-2</v>
      </c>
      <c r="Z10" s="410">
        <f>'[3]HAL - CAA'!Z10</f>
        <v>0</v>
      </c>
      <c r="AA10" s="410">
        <f>'[3]HAL - CAA'!AA10</f>
        <v>0</v>
      </c>
      <c r="AB10" s="205"/>
    </row>
    <row r="11" spans="2:40">
      <c r="B11" s="94"/>
      <c r="I11" s="103"/>
      <c r="J11" s="103"/>
      <c r="K11" s="103"/>
      <c r="L11" s="103"/>
      <c r="M11" s="103"/>
      <c r="N11" s="143"/>
      <c r="O11" s="143"/>
      <c r="P11" s="92"/>
      <c r="Q11" s="128"/>
      <c r="R11" s="153"/>
      <c r="S11" s="153"/>
      <c r="T11" s="410"/>
      <c r="U11" s="151"/>
      <c r="V11" s="92"/>
      <c r="W11" s="128"/>
      <c r="X11" s="153"/>
      <c r="Y11" s="153"/>
      <c r="Z11" s="410"/>
      <c r="AA11" s="410"/>
      <c r="AB11" s="205"/>
    </row>
    <row r="12" spans="2:40">
      <c r="B12" s="94" t="s">
        <v>270</v>
      </c>
      <c r="C12" s="105">
        <v>940.05217805933034</v>
      </c>
      <c r="D12" s="105">
        <v>949.75252886482065</v>
      </c>
      <c r="E12" s="105">
        <v>944.12792479820166</v>
      </c>
      <c r="F12" s="105">
        <v>993.30894724294149</v>
      </c>
      <c r="G12" s="105">
        <v>1064</v>
      </c>
      <c r="H12" s="105">
        <v>1056.415211200032</v>
      </c>
      <c r="I12" s="105">
        <f>'[3]HAL - CAA'!I12</f>
        <v>1194.9590104258416</v>
      </c>
      <c r="J12" s="105">
        <f>'[3]HAL - CAA'!J12</f>
        <v>1230.9415625807203</v>
      </c>
      <c r="K12" s="105">
        <f>'[3]HAL - CAA'!K12</f>
        <v>1199.6085046241203</v>
      </c>
      <c r="L12" s="105">
        <f>'[3]HAL - CAA'!L12</f>
        <v>1230.9863240920868</v>
      </c>
      <c r="M12" s="105">
        <f>'[3]HAL - CAA'!M12</f>
        <v>1256.0440419626507</v>
      </c>
      <c r="N12" s="144"/>
      <c r="O12" s="144"/>
      <c r="P12" s="92" t="s">
        <v>270</v>
      </c>
      <c r="Q12" s="128">
        <f>'[3]HAL - CAA'!Q12</f>
        <v>5946.0317310778746</v>
      </c>
      <c r="R12" s="153">
        <f>'[3]HAL - CAA'!R12</f>
        <v>0.97029602490274891</v>
      </c>
      <c r="S12" s="153">
        <f>'[3]HAL - CAA'!S12</f>
        <v>2.3299639864992505E-2</v>
      </c>
      <c r="T12" s="410">
        <f>'[3]HAL - CAA'!T12</f>
        <v>14.624951409566313</v>
      </c>
      <c r="U12" s="151"/>
      <c r="V12" s="92" t="s">
        <v>270</v>
      </c>
      <c r="W12" s="128">
        <f>'[3]HAL - CAA'!W12</f>
        <v>6112.5394436854203</v>
      </c>
      <c r="X12" s="153">
        <f>'[3]HAL - CAA'!X12</f>
        <v>1.0127765374228912</v>
      </c>
      <c r="Y12" s="153">
        <f>'[3]HAL - CAA'!Y12</f>
        <v>3.5542101019368166E-2</v>
      </c>
      <c r="Z12" s="410">
        <f>'[3]HAL - CAA'!Z12</f>
        <v>17.209148000514642</v>
      </c>
      <c r="AA12" s="410">
        <f>'[3]HAL - CAA'!AA12</f>
        <v>2.8820923608235738E-2</v>
      </c>
    </row>
    <row r="13" spans="2:40">
      <c r="B13" s="94" t="s">
        <v>267</v>
      </c>
      <c r="C13" s="105">
        <v>957.91581756258552</v>
      </c>
      <c r="D13" s="105">
        <v>984.55236824549684</v>
      </c>
      <c r="E13" s="105">
        <v>979.40636915838604</v>
      </c>
      <c r="F13" s="105">
        <v>1029.5</v>
      </c>
      <c r="G13" s="105">
        <v>1074.5047680910081</v>
      </c>
      <c r="H13" s="105">
        <v>1103.8782038241554</v>
      </c>
      <c r="I13" s="105">
        <f>'[3]HAL - CAA'!I13</f>
        <v>1172.0742640854951</v>
      </c>
      <c r="J13" s="105">
        <f>'[3]HAL - CAA'!J13</f>
        <v>1175.9018426882458</v>
      </c>
      <c r="K13" s="105">
        <f>'[3]HAL - CAA'!K13</f>
        <v>1192.836442041943</v>
      </c>
      <c r="L13" s="105">
        <f>'[3]HAL - CAA'!L13</f>
        <v>1223.7498251535462</v>
      </c>
      <c r="M13" s="105">
        <f>'[3]HAL - CAA'!M13</f>
        <v>1270.8652034106472</v>
      </c>
      <c r="N13" s="144"/>
      <c r="O13" s="144"/>
      <c r="P13" s="92" t="s">
        <v>267</v>
      </c>
      <c r="Q13" s="128">
        <f>'[3]HAL - CAA'!Q13</f>
        <v>6128.0594565703132</v>
      </c>
      <c r="R13" s="153">
        <f>'[3]HAL - CAA'!R13</f>
        <v>1</v>
      </c>
      <c r="S13" s="153">
        <f>'[3]HAL - CAA'!S13</f>
        <v>2.845441487393563E-2</v>
      </c>
      <c r="T13" s="410">
        <f>'[3]HAL - CAA'!T13</f>
        <v>15.072669612381588</v>
      </c>
      <c r="U13" s="151"/>
      <c r="V13" s="92" t="s">
        <v>267</v>
      </c>
      <c r="W13" s="128">
        <f>'[3]HAL - CAA'!W13</f>
        <v>6035.4275773798772</v>
      </c>
      <c r="X13" s="153">
        <f>'[3]HAL - CAA'!X13</f>
        <v>1</v>
      </c>
      <c r="Y13" s="153">
        <f>'[3]HAL - CAA'!Y13</f>
        <v>2.8891032380443438E-2</v>
      </c>
      <c r="Z13" s="410">
        <f>'[3]HAL - CAA'!Z13</f>
        <v>16.992048457505742</v>
      </c>
      <c r="AA13" s="410">
        <f>'[3]HAL - CAA'!AA13</f>
        <v>3.054649634334683E-2</v>
      </c>
    </row>
    <row r="14" spans="2:40">
      <c r="B14" s="94"/>
      <c r="C14" s="105"/>
      <c r="D14" s="105"/>
      <c r="E14" s="105"/>
      <c r="F14" s="105"/>
      <c r="G14" s="105"/>
      <c r="H14" s="105"/>
      <c r="I14" s="103"/>
      <c r="J14" s="103"/>
      <c r="K14" s="103"/>
      <c r="L14" s="103"/>
      <c r="M14" s="103"/>
      <c r="N14" s="144"/>
      <c r="O14" s="144"/>
      <c r="P14" s="92"/>
      <c r="Q14" s="128"/>
      <c r="R14" s="153"/>
      <c r="S14" s="153"/>
      <c r="T14" s="410"/>
      <c r="U14" s="151"/>
      <c r="V14" s="92"/>
      <c r="W14" s="128"/>
      <c r="X14" s="153"/>
      <c r="Y14" s="153"/>
      <c r="Z14" s="410"/>
      <c r="AA14" s="410"/>
    </row>
    <row r="15" spans="2:40">
      <c r="B15" s="94" t="s">
        <v>451</v>
      </c>
      <c r="C15" s="105"/>
      <c r="D15" s="105"/>
      <c r="E15" s="105"/>
      <c r="F15" s="105"/>
      <c r="G15" s="105"/>
      <c r="H15" s="105"/>
      <c r="I15" s="103">
        <f>'[3]HAL - CAA'!I15</f>
        <v>-10.114093584320692</v>
      </c>
      <c r="J15" s="103">
        <f>'[3]HAL - CAA'!J15</f>
        <v>-13.950524007066839</v>
      </c>
      <c r="K15" s="103">
        <f>'[3]HAL - CAA'!K15</f>
        <v>-17.523661361455563</v>
      </c>
      <c r="L15" s="103">
        <f>'[3]HAL - CAA'!L15</f>
        <v>-21.575887294593141</v>
      </c>
      <c r="M15" s="103">
        <f>'[3]HAL - CAA'!M15</f>
        <v>-26.778830552485108</v>
      </c>
      <c r="N15" s="144"/>
      <c r="O15" s="144"/>
      <c r="P15" s="92" t="s">
        <v>451</v>
      </c>
      <c r="Q15" s="128">
        <f>'[3]HAL - CAA'!Q15</f>
        <v>0</v>
      </c>
      <c r="R15" s="153">
        <f>'[3]HAL - CAA'!R15</f>
        <v>0</v>
      </c>
      <c r="S15" s="153">
        <f>'[3]HAL - CAA'!S15</f>
        <v>0</v>
      </c>
      <c r="T15" s="410">
        <f>'[3]HAL - CAA'!T15</f>
        <v>0</v>
      </c>
      <c r="U15" s="151"/>
      <c r="V15" s="92" t="s">
        <v>451</v>
      </c>
      <c r="W15" s="128">
        <f>'[3]HAL - CAA'!W15</f>
        <v>-89.942996799921346</v>
      </c>
      <c r="X15" s="153">
        <f>'[3]HAL - CAA'!X15</f>
        <v>-1.4902506184817439E-2</v>
      </c>
      <c r="Y15" s="153" t="str">
        <f>'[3]HAL - CAA'!Y15</f>
        <v>na</v>
      </c>
      <c r="Z15" s="410">
        <f>'[3]HAL - CAA'!Z15</f>
        <v>-0.25322410723069694</v>
      </c>
      <c r="AA15" s="410" t="str">
        <f>'[3]HAL - CAA'!AA15</f>
        <v>na</v>
      </c>
    </row>
    <row r="16" spans="2:40">
      <c r="B16" s="94" t="s">
        <v>452</v>
      </c>
      <c r="C16" s="97"/>
      <c r="D16" s="97"/>
      <c r="E16" s="97"/>
      <c r="F16" s="97"/>
      <c r="G16" s="97"/>
      <c r="H16" s="97"/>
      <c r="I16" s="103">
        <f>'[3]HAL - CAA'!I16</f>
        <v>-17.598814681857956</v>
      </c>
      <c r="J16" s="103">
        <f>'[3]HAL - CAA'!J16</f>
        <v>-22.586956663234051</v>
      </c>
      <c r="K16" s="103">
        <f>'[3]HAL - CAA'!K16</f>
        <v>-46.55935732327233</v>
      </c>
      <c r="L16" s="103">
        <f>'[3]HAL - CAA'!L16</f>
        <v>-70.535538268200767</v>
      </c>
      <c r="M16" s="103">
        <f>'[3]HAL - CAA'!M16</f>
        <v>-99.227027809718805</v>
      </c>
      <c r="N16" s="144"/>
      <c r="O16" s="144"/>
      <c r="P16" s="92" t="s">
        <v>452</v>
      </c>
      <c r="Q16" s="128">
        <f>'[3]HAL - CAA'!Q16</f>
        <v>0</v>
      </c>
      <c r="R16" s="153">
        <f>'[3]HAL - CAA'!R16</f>
        <v>0</v>
      </c>
      <c r="S16" s="153">
        <f>'[3]HAL - CAA'!S16</f>
        <v>0</v>
      </c>
      <c r="T16" s="410">
        <f>'[3]HAL - CAA'!T16</f>
        <v>0</v>
      </c>
      <c r="U16" s="151"/>
      <c r="V16" s="92" t="s">
        <v>452</v>
      </c>
      <c r="W16" s="128">
        <f>'[3]HAL - CAA'!W16</f>
        <v>-256.50769474628396</v>
      </c>
      <c r="X16" s="153">
        <f>'[3]HAL - CAA'!X16</f>
        <v>-4.2500335139078922E-2</v>
      </c>
      <c r="Y16" s="153" t="str">
        <f>'[3]HAL - CAA'!Y16</f>
        <v>na</v>
      </c>
      <c r="Z16" s="410">
        <f>'[3]HAL - CAA'!Z16</f>
        <v>-0.72216775414346301</v>
      </c>
      <c r="AA16" s="410" t="str">
        <f>'[3]HAL - CAA'!AA16</f>
        <v>na</v>
      </c>
    </row>
    <row r="17" spans="2:27">
      <c r="B17" s="94" t="s">
        <v>453</v>
      </c>
      <c r="C17" s="105"/>
      <c r="D17" s="105"/>
      <c r="E17" s="105"/>
      <c r="F17" s="105"/>
      <c r="G17" s="105"/>
      <c r="H17" s="105"/>
      <c r="I17" s="103">
        <f>'[3]HAL - CAA'!I17</f>
        <v>-23.371687621459298</v>
      </c>
      <c r="J17" s="103">
        <f>'[3]HAL - CAA'!J17</f>
        <v>-38.346673174527702</v>
      </c>
      <c r="K17" s="103">
        <f>'[3]HAL - CAA'!K17</f>
        <v>-57.760187333475542</v>
      </c>
      <c r="L17" s="103">
        <f>'[3]HAL - CAA'!L17</f>
        <v>-90.977861536511639</v>
      </c>
      <c r="M17" s="103">
        <f>'[3]HAL - CAA'!M17</f>
        <v>-132.14426775747265</v>
      </c>
      <c r="N17" s="144"/>
      <c r="O17" s="144"/>
      <c r="P17" s="92" t="s">
        <v>453</v>
      </c>
      <c r="Q17" s="128">
        <f>'[3]HAL - CAA'!Q17</f>
        <v>0</v>
      </c>
      <c r="R17" s="153">
        <f>'[3]HAL - CAA'!R17</f>
        <v>0</v>
      </c>
      <c r="S17" s="153">
        <f>'[3]HAL - CAA'!S17</f>
        <v>0</v>
      </c>
      <c r="T17" s="410">
        <f>'[3]HAL - CAA'!T17</f>
        <v>0</v>
      </c>
      <c r="U17" s="151"/>
      <c r="V17" s="92" t="s">
        <v>453</v>
      </c>
      <c r="W17" s="128">
        <f>'[3]HAL - CAA'!W17</f>
        <v>-342.60067742344683</v>
      </c>
      <c r="X17" s="153">
        <f>'[3]HAL - CAA'!X17</f>
        <v>-5.6764938859920497E-2</v>
      </c>
      <c r="Y17" s="153" t="str">
        <f>'[3]HAL - CAA'!Y17</f>
        <v>na</v>
      </c>
      <c r="Z17" s="410">
        <f>'[3]HAL - CAA'!Z17</f>
        <v>-0.96455259179511976</v>
      </c>
      <c r="AA17" s="410" t="str">
        <f>'[3]HAL - CAA'!AA17</f>
        <v>na</v>
      </c>
    </row>
    <row r="18" spans="2:27">
      <c r="B18" s="94"/>
      <c r="C18" s="105"/>
      <c r="D18" s="105"/>
      <c r="E18" s="105"/>
      <c r="F18" s="105"/>
      <c r="G18" s="105"/>
      <c r="H18" s="105"/>
      <c r="I18" s="103"/>
      <c r="J18" s="103"/>
      <c r="K18" s="103"/>
      <c r="L18" s="103"/>
      <c r="M18" s="103"/>
      <c r="N18" s="144"/>
      <c r="O18" s="144"/>
      <c r="P18" s="92"/>
      <c r="Q18" s="128"/>
      <c r="R18" s="153"/>
      <c r="S18" s="153"/>
      <c r="T18" s="410"/>
      <c r="U18" s="151"/>
      <c r="V18" s="92"/>
      <c r="W18" s="128"/>
      <c r="X18" s="153"/>
      <c r="Y18" s="153"/>
      <c r="Z18" s="410"/>
      <c r="AA18" s="410"/>
    </row>
    <row r="19" spans="2:27">
      <c r="B19" s="94" t="s">
        <v>454</v>
      </c>
      <c r="C19" s="105"/>
      <c r="D19" s="105"/>
      <c r="E19" s="105"/>
      <c r="F19" s="105"/>
      <c r="G19" s="105"/>
      <c r="H19" s="105"/>
      <c r="I19" s="105">
        <f>'[3]HAL - CAA'!I19</f>
        <v>1161.9601705011744</v>
      </c>
      <c r="J19" s="105">
        <f>'[3]HAL - CAA'!J19</f>
        <v>1161.9513186811791</v>
      </c>
      <c r="K19" s="105">
        <f>'[3]HAL - CAA'!K19</f>
        <v>1175.3127806804873</v>
      </c>
      <c r="L19" s="105">
        <f>'[3]HAL - CAA'!L19</f>
        <v>1202.173937858953</v>
      </c>
      <c r="M19" s="105">
        <f>'[3]HAL - CAA'!M19</f>
        <v>1244.0863728581621</v>
      </c>
      <c r="N19" s="144"/>
      <c r="O19" s="144"/>
      <c r="P19" s="92" t="s">
        <v>454</v>
      </c>
      <c r="Q19" s="128">
        <f>'[3]HAL - CAA'!Q19</f>
        <v>0</v>
      </c>
      <c r="R19" s="153">
        <f>'[3]HAL - CAA'!R19</f>
        <v>0</v>
      </c>
      <c r="S19" s="153"/>
      <c r="T19" s="410"/>
      <c r="U19" s="151"/>
      <c r="V19" s="92" t="s">
        <v>454</v>
      </c>
      <c r="W19" s="128">
        <f>'[3]HAL - CAA'!W19</f>
        <v>5945.4845805799559</v>
      </c>
      <c r="X19" s="153">
        <f>'[3]HAL - CAA'!X19</f>
        <v>0.98509749381518252</v>
      </c>
      <c r="Y19" s="153">
        <f>'[3]HAL - CAA'!Y19</f>
        <v>2.4517994900214557E-2</v>
      </c>
      <c r="Z19" s="410">
        <f>'[3]HAL - CAA'!Z19</f>
        <v>16.738824350275046</v>
      </c>
      <c r="AA19" s="410">
        <f>'[3]HAL - CAA'!AA19</f>
        <v>2.7415969240342841E-2</v>
      </c>
    </row>
    <row r="20" spans="2:27">
      <c r="B20" s="94" t="s">
        <v>455</v>
      </c>
      <c r="C20" s="97"/>
      <c r="D20" s="97"/>
      <c r="E20" s="97"/>
      <c r="F20" s="97"/>
      <c r="G20" s="97"/>
      <c r="H20" s="105"/>
      <c r="I20" s="105">
        <f>'[3]HAL - CAA'!I20</f>
        <v>1154.475449403637</v>
      </c>
      <c r="J20" s="105">
        <f>'[3]HAL - CAA'!J20</f>
        <v>1153.3148860250117</v>
      </c>
      <c r="K20" s="105">
        <f>'[3]HAL - CAA'!K20</f>
        <v>1146.2770847186705</v>
      </c>
      <c r="L20" s="105">
        <f>'[3]HAL - CAA'!L20</f>
        <v>1153.2142868853452</v>
      </c>
      <c r="M20" s="105">
        <f>'[3]HAL - CAA'!M20</f>
        <v>1171.6381756009284</v>
      </c>
      <c r="N20" s="144"/>
      <c r="O20" s="144"/>
      <c r="P20" s="92" t="s">
        <v>455</v>
      </c>
      <c r="Q20" s="128">
        <f>'[3]HAL - CAA'!Q20</f>
        <v>0</v>
      </c>
      <c r="R20" s="153">
        <f>'[3]HAL - CAA'!R20</f>
        <v>0</v>
      </c>
      <c r="S20" s="153"/>
      <c r="T20" s="410"/>
      <c r="U20" s="151"/>
      <c r="V20" s="92" t="s">
        <v>455</v>
      </c>
      <c r="W20" s="128">
        <f>'[3]HAL - CAA'!W20</f>
        <v>5778.9198826335933</v>
      </c>
      <c r="X20" s="153">
        <f>'[3]HAL - CAA'!X20</f>
        <v>0.95749966486092108</v>
      </c>
      <c r="Y20" s="153">
        <f>'[3]HAL - CAA'!Y20</f>
        <v>1.2297552985652382E-2</v>
      </c>
      <c r="Z20" s="410">
        <f>'[3]HAL - CAA'!Z20</f>
        <v>16.269880703362279</v>
      </c>
      <c r="AA20" s="410">
        <f>'[3]HAL - CAA'!AA20</f>
        <v>1.8647398574031859E-2</v>
      </c>
    </row>
    <row r="21" spans="2:27">
      <c r="B21" s="94" t="s">
        <v>456</v>
      </c>
      <c r="C21" s="105"/>
      <c r="D21" s="105"/>
      <c r="E21" s="105"/>
      <c r="F21" s="105"/>
      <c r="G21" s="105"/>
      <c r="H21" s="105"/>
      <c r="I21" s="105">
        <f>'[3]HAL - CAA'!I21</f>
        <v>1148.7025764640359</v>
      </c>
      <c r="J21" s="105">
        <f>'[3]HAL - CAA'!J21</f>
        <v>1137.5551695137181</v>
      </c>
      <c r="K21" s="105">
        <f>'[3]HAL - CAA'!K21</f>
        <v>1135.0762547084673</v>
      </c>
      <c r="L21" s="105">
        <f>'[3]HAL - CAA'!L21</f>
        <v>1132.7719636170345</v>
      </c>
      <c r="M21" s="105">
        <f>'[3]HAL - CAA'!M21</f>
        <v>1138.7209356531746</v>
      </c>
      <c r="N21" s="144"/>
      <c r="O21" s="144"/>
      <c r="P21" s="92" t="s">
        <v>456</v>
      </c>
      <c r="Q21" s="128">
        <f>'[3]HAL - CAA'!Q21</f>
        <v>0</v>
      </c>
      <c r="R21" s="153">
        <f>'[3]HAL - CAA'!R21</f>
        <v>0</v>
      </c>
      <c r="S21" s="153"/>
      <c r="T21" s="410"/>
      <c r="V21" s="92" t="s">
        <v>456</v>
      </c>
      <c r="W21" s="128">
        <f>'[3]HAL - CAA'!W21</f>
        <v>5692.8268999564307</v>
      </c>
      <c r="X21" s="153">
        <f>'[3]HAL - CAA'!X21</f>
        <v>0.9432350611400796</v>
      </c>
      <c r="Y21" s="153">
        <f>'[3]HAL - CAA'!Y21</f>
        <v>6.5444194034240954E-3</v>
      </c>
      <c r="Z21" s="410">
        <f>'[3]HAL - CAA'!Z21</f>
        <v>16.027495865710623</v>
      </c>
      <c r="AA21" s="410">
        <f>'[3]HAL - CAA'!AA21</f>
        <v>1.4508874996071119E-2</v>
      </c>
    </row>
    <row r="22" spans="2:27">
      <c r="B22" s="94"/>
      <c r="C22" s="105"/>
      <c r="D22" s="105"/>
      <c r="E22" s="105"/>
      <c r="F22" s="105"/>
      <c r="G22" s="105"/>
      <c r="H22" s="105"/>
      <c r="I22" s="103"/>
      <c r="J22" s="103"/>
      <c r="K22" s="103"/>
      <c r="L22" s="103"/>
      <c r="M22" s="103"/>
      <c r="N22" s="144"/>
      <c r="O22" s="144"/>
      <c r="P22" s="43"/>
      <c r="Q22" s="245"/>
      <c r="R22" s="246"/>
      <c r="S22" s="131"/>
      <c r="T22" s="131"/>
      <c r="V22" s="43"/>
      <c r="W22" s="268"/>
      <c r="X22" s="246"/>
      <c r="Y22" s="131"/>
      <c r="Z22" s="131"/>
      <c r="AA22" s="98"/>
    </row>
    <row r="23" spans="2:27">
      <c r="B23" s="94" t="s">
        <v>271</v>
      </c>
      <c r="C23" s="409">
        <f>'[3]HAL - CAA'!C23</f>
        <v>14.264828195133996</v>
      </c>
      <c r="D23" s="409">
        <f>'[3]HAL - CAA'!D23</f>
        <v>14.368419498711358</v>
      </c>
      <c r="E23" s="409">
        <f>'[3]HAL - CAA'!E23</f>
        <v>14.283327152771585</v>
      </c>
      <c r="F23" s="409">
        <f>'[3]HAL - CAA'!F23</f>
        <v>14.176432776133156</v>
      </c>
      <c r="G23" s="409">
        <f>'[3]HAL - CAA'!G23</f>
        <v>15.287356321839082</v>
      </c>
      <c r="H23" s="409">
        <f>'[3]HAL - CAA'!H23</f>
        <v>15.331252210938667</v>
      </c>
      <c r="I23" s="409">
        <f>'[3]HAL - CAA'!I23</f>
        <v>17.195109111902177</v>
      </c>
      <c r="J23" s="409">
        <f>'[3]HAL - CAA'!J23</f>
        <v>17.520764480492218</v>
      </c>
      <c r="K23" s="409">
        <f>'[3]HAL - CAA'!K23</f>
        <v>16.889783184424122</v>
      </c>
      <c r="L23" s="409">
        <f>'[3]HAL - CAA'!L23</f>
        <v>17.141605452869143</v>
      </c>
      <c r="M23" s="409">
        <f>'[3]HAL - CAA'!M23</f>
        <v>17.30027661101628</v>
      </c>
      <c r="N23" s="144"/>
      <c r="O23" s="144"/>
      <c r="P23" s="43"/>
      <c r="Q23" s="267"/>
      <c r="R23" s="246"/>
      <c r="S23" s="197"/>
      <c r="T23" s="197"/>
      <c r="U23" s="140"/>
      <c r="V23" s="43"/>
      <c r="W23" s="267"/>
      <c r="X23" s="246"/>
      <c r="Y23" s="197"/>
      <c r="Z23" s="197"/>
      <c r="AA23" s="43"/>
    </row>
    <row r="24" spans="2:27">
      <c r="B24" s="94" t="s">
        <v>272</v>
      </c>
      <c r="C24" s="409">
        <f>'[3]HAL - CAA'!C24</f>
        <v>14.535900114758505</v>
      </c>
      <c r="D24" s="409">
        <f>'[3]HAL - CAA'!D24</f>
        <v>14.894892106588456</v>
      </c>
      <c r="E24" s="409">
        <f>'[3]HAL - CAA'!E24</f>
        <v>14.817040380610985</v>
      </c>
      <c r="F24" s="409">
        <f>'[3]HAL - CAA'!F24</f>
        <v>14.692948838866702</v>
      </c>
      <c r="G24" s="409">
        <f>'[3]HAL - CAA'!G24</f>
        <v>15.438286897859314</v>
      </c>
      <c r="H24" s="409">
        <f>'[3]HAL - CAA'!H24</f>
        <v>16.020060080128442</v>
      </c>
      <c r="I24" s="409">
        <f>'[3]HAL - CAA'!I24</f>
        <v>16.865804335012609</v>
      </c>
      <c r="J24" s="409">
        <f>'[3]HAL - CAA'!J24</f>
        <v>16.737349573868599</v>
      </c>
      <c r="K24" s="409">
        <f>'[3]HAL - CAA'!K24</f>
        <v>16.79443652067221</v>
      </c>
      <c r="L24" s="409">
        <f>'[3]HAL - CAA'!L24</f>
        <v>17.040836494484445</v>
      </c>
      <c r="M24" s="409">
        <f>'[3]HAL - CAA'!M24</f>
        <v>17.504417695389577</v>
      </c>
      <c r="N24" s="144"/>
      <c r="O24" s="144"/>
      <c r="P24" s="43"/>
      <c r="Q24" s="267"/>
      <c r="R24" s="246"/>
      <c r="S24" s="197"/>
      <c r="T24" s="197"/>
      <c r="U24" s="140"/>
      <c r="V24" s="43"/>
      <c r="W24" s="267"/>
      <c r="X24" s="246"/>
      <c r="Y24" s="197"/>
      <c r="Z24" s="197"/>
      <c r="AA24" s="43"/>
    </row>
    <row r="25" spans="2:27">
      <c r="B25" s="94"/>
      <c r="C25" s="180"/>
      <c r="D25" s="180"/>
      <c r="E25" s="180"/>
      <c r="F25" s="180"/>
      <c r="G25" s="180"/>
      <c r="H25" s="180"/>
      <c r="I25" s="103"/>
      <c r="J25" s="103"/>
      <c r="K25" s="103"/>
      <c r="L25" s="103"/>
      <c r="M25" s="103"/>
      <c r="N25" s="144"/>
      <c r="O25" s="144"/>
      <c r="P25" s="43"/>
      <c r="Q25" s="267"/>
      <c r="R25" s="246"/>
      <c r="S25" s="197"/>
      <c r="T25" s="197"/>
      <c r="U25" s="140"/>
      <c r="V25" s="43"/>
      <c r="W25" s="267"/>
      <c r="X25" s="246"/>
      <c r="Y25" s="197"/>
      <c r="Z25" s="197"/>
      <c r="AA25" s="43"/>
    </row>
    <row r="26" spans="2:27">
      <c r="B26" s="94" t="s">
        <v>457</v>
      </c>
      <c r="C26" s="180"/>
      <c r="D26" s="180"/>
      <c r="E26" s="180"/>
      <c r="F26" s="180"/>
      <c r="G26" s="180"/>
      <c r="H26" s="180"/>
      <c r="I26" s="409">
        <f>'[3]HAL - CAA'!I26</f>
        <v>16.720265499593971</v>
      </c>
      <c r="J26" s="409">
        <f>'[3]HAL - CAA'!J26</f>
        <v>16.538783002605197</v>
      </c>
      <c r="K26" s="409">
        <f>'[3]HAL - CAA'!K26</f>
        <v>16.547713660796358</v>
      </c>
      <c r="L26" s="409">
        <f>'[3]HAL - CAA'!L26</f>
        <v>16.740390145031888</v>
      </c>
      <c r="M26" s="409">
        <f>'[3]HAL - CAA'!M26</f>
        <v>17.135576189518794</v>
      </c>
      <c r="P26" s="43"/>
      <c r="Q26" s="267"/>
      <c r="R26" s="246"/>
      <c r="S26" s="197"/>
      <c r="T26" s="197"/>
      <c r="U26" s="140"/>
      <c r="V26" s="43"/>
      <c r="W26" s="267"/>
      <c r="X26" s="246"/>
      <c r="Y26" s="197"/>
      <c r="Z26" s="197"/>
      <c r="AA26" s="43"/>
    </row>
    <row r="27" spans="2:27">
      <c r="B27" s="94" t="s">
        <v>458</v>
      </c>
      <c r="C27" s="180"/>
      <c r="D27" s="180"/>
      <c r="E27" s="180"/>
      <c r="F27" s="180"/>
      <c r="G27" s="180"/>
      <c r="H27" s="180"/>
      <c r="I27" s="409">
        <f>'[3]HAL - CAA'!I27</f>
        <v>16.624879057866291</v>
      </c>
      <c r="J27" s="409">
        <f>'[3]HAL - CAA'!J27</f>
        <v>16.365160144791417</v>
      </c>
      <c r="K27" s="409">
        <f>'[3]HAL - CAA'!K27</f>
        <v>16.264460333922518</v>
      </c>
      <c r="L27" s="409">
        <f>'[3]HAL - CAA'!L27</f>
        <v>16.257175491537428</v>
      </c>
      <c r="M27" s="409">
        <f>'[3]HAL - CAA'!M27</f>
        <v>16.409944305608647</v>
      </c>
      <c r="P27" s="43"/>
      <c r="Q27" s="267"/>
      <c r="R27" s="246"/>
      <c r="S27" s="197"/>
      <c r="T27" s="197"/>
      <c r="U27" s="140"/>
      <c r="V27" s="43"/>
      <c r="W27" s="267"/>
      <c r="X27" s="246"/>
      <c r="Y27" s="197"/>
      <c r="Z27" s="197"/>
      <c r="AA27" s="43"/>
    </row>
    <row r="28" spans="2:27">
      <c r="B28" s="94" t="s">
        <v>459</v>
      </c>
      <c r="C28" s="180"/>
      <c r="D28" s="180"/>
      <c r="E28" s="180"/>
      <c r="F28" s="180"/>
      <c r="G28" s="180"/>
      <c r="H28" s="180"/>
      <c r="I28" s="409">
        <f>'[3]HAL - CAA'!I28</f>
        <v>16.529492616138612</v>
      </c>
      <c r="J28" s="409">
        <f>'[3]HAL - CAA'!J28</f>
        <v>16.191537286977642</v>
      </c>
      <c r="K28" s="409">
        <f>'[3]HAL - CAA'!K28</f>
        <v>15.981207007048679</v>
      </c>
      <c r="L28" s="409">
        <f>'[3]HAL - CAA'!L28</f>
        <v>15.773960838042967</v>
      </c>
      <c r="M28" s="409">
        <f>'[3]HAL - CAA'!M28</f>
        <v>15.6843124216985</v>
      </c>
      <c r="P28" s="43"/>
      <c r="Q28" s="267"/>
      <c r="R28" s="246"/>
      <c r="S28" s="197"/>
      <c r="T28" s="197"/>
      <c r="U28" s="140"/>
      <c r="V28" s="43"/>
      <c r="W28" s="267"/>
      <c r="X28" s="246"/>
      <c r="Y28" s="197"/>
      <c r="Z28" s="197"/>
      <c r="AA28" s="43"/>
    </row>
    <row r="29" spans="2:27">
      <c r="B29" s="43"/>
      <c r="P29" s="159"/>
      <c r="V29" s="159"/>
      <c r="AA29" s="43"/>
    </row>
    <row r="30" spans="2:27">
      <c r="B30" s="18"/>
      <c r="P30" s="18"/>
      <c r="V30" s="18"/>
      <c r="AA30" s="92"/>
    </row>
    <row r="31" spans="2:27">
      <c r="B31" s="389" t="s">
        <v>257</v>
      </c>
      <c r="C31" s="391">
        <v>0.90909729293213004</v>
      </c>
      <c r="D31" s="391">
        <v>0.90909729293213004</v>
      </c>
      <c r="E31" s="391">
        <v>0.95421509076226241</v>
      </c>
      <c r="F31" s="391">
        <v>1</v>
      </c>
      <c r="G31" s="391">
        <v>1.0308977915101294</v>
      </c>
      <c r="H31" s="391">
        <v>1.0512124595982817</v>
      </c>
      <c r="I31" s="391">
        <v>1.0834482012252682</v>
      </c>
      <c r="J31" s="391">
        <v>1.1200131847683075</v>
      </c>
      <c r="K31" s="391">
        <v>1.1536135803113567</v>
      </c>
      <c r="L31" s="391">
        <v>1.1882219877206974</v>
      </c>
      <c r="M31" s="391">
        <v>1.2238686473523184</v>
      </c>
      <c r="N31" s="146"/>
      <c r="O31" s="146"/>
      <c r="P31" s="35"/>
      <c r="Q31" s="37"/>
      <c r="R31" s="37"/>
      <c r="S31" s="32"/>
      <c r="T31" s="32"/>
      <c r="U31" s="140"/>
      <c r="V31" s="35"/>
      <c r="W31" s="36"/>
      <c r="X31" s="36"/>
      <c r="Y31" s="32"/>
      <c r="Z31" s="32"/>
    </row>
    <row r="32" spans="2:27">
      <c r="B32" s="18"/>
      <c r="P32" s="18"/>
      <c r="V32" s="18"/>
    </row>
    <row r="33" spans="2:28">
      <c r="B33" s="84" t="s">
        <v>274</v>
      </c>
      <c r="C33" s="626" t="s">
        <v>30</v>
      </c>
      <c r="D33" s="627"/>
      <c r="E33" s="627"/>
      <c r="F33" s="627"/>
      <c r="G33" s="628"/>
      <c r="H33" s="87" t="s">
        <v>187</v>
      </c>
      <c r="I33" s="626" t="s">
        <v>31</v>
      </c>
      <c r="J33" s="627"/>
      <c r="K33" s="627"/>
      <c r="L33" s="627"/>
      <c r="M33" s="628"/>
      <c r="N33" s="371"/>
      <c r="O33" s="371"/>
      <c r="P33" s="84" t="s">
        <v>275</v>
      </c>
      <c r="Q33" s="84"/>
      <c r="R33" s="84"/>
      <c r="S33" s="84"/>
      <c r="T33" s="84"/>
      <c r="U33" s="138"/>
      <c r="V33" s="84" t="s">
        <v>276</v>
      </c>
      <c r="W33" s="86"/>
      <c r="X33" s="86"/>
      <c r="Y33" s="86"/>
      <c r="Z33" s="84"/>
      <c r="AA33" s="84"/>
    </row>
    <row r="34" spans="2:28" ht="26.25" customHeight="1">
      <c r="B34" s="29" t="s">
        <v>232</v>
      </c>
      <c r="C34" s="75" t="s">
        <v>12</v>
      </c>
      <c r="D34" s="75" t="s">
        <v>13</v>
      </c>
      <c r="E34" s="75" t="s">
        <v>14</v>
      </c>
      <c r="F34" s="75" t="s">
        <v>15</v>
      </c>
      <c r="G34" s="75" t="s">
        <v>16</v>
      </c>
      <c r="H34" s="75" t="s">
        <v>17</v>
      </c>
      <c r="I34" s="75" t="s">
        <v>32</v>
      </c>
      <c r="J34" s="75" t="s">
        <v>33</v>
      </c>
      <c r="K34" s="75" t="s">
        <v>34</v>
      </c>
      <c r="L34" s="75" t="s">
        <v>35</v>
      </c>
      <c r="M34" s="75" t="s">
        <v>36</v>
      </c>
      <c r="N34" s="141"/>
      <c r="O34" s="141"/>
      <c r="P34" s="29" t="s">
        <v>232</v>
      </c>
      <c r="Q34" s="176" t="s">
        <v>226</v>
      </c>
      <c r="R34" s="176" t="s">
        <v>277</v>
      </c>
      <c r="S34" s="176" t="s">
        <v>225</v>
      </c>
      <c r="T34" s="176" t="s">
        <v>299</v>
      </c>
      <c r="U34" s="150"/>
      <c r="V34" s="29" t="s">
        <v>232</v>
      </c>
      <c r="W34" s="176" t="s">
        <v>37</v>
      </c>
      <c r="X34" s="176" t="s">
        <v>277</v>
      </c>
      <c r="Y34" s="176" t="s">
        <v>206</v>
      </c>
      <c r="Z34" s="176" t="s">
        <v>299</v>
      </c>
      <c r="AA34" s="260" t="s">
        <v>431</v>
      </c>
    </row>
    <row r="35" spans="2:28">
      <c r="B35" s="212" t="s">
        <v>207</v>
      </c>
      <c r="C35" s="134">
        <f>'[3]HAL - CAA'!C35</f>
        <v>65.900000000000006</v>
      </c>
      <c r="D35" s="134">
        <f>'[3]HAL - CAA'!D35</f>
        <v>66.099999999999994</v>
      </c>
      <c r="E35" s="134">
        <f>'[3]HAL - CAA'!E35</f>
        <v>66.099999999999994</v>
      </c>
      <c r="F35" s="134">
        <f>'[3]HAL - CAA'!F35</f>
        <v>70.067623000000012</v>
      </c>
      <c r="G35" s="134">
        <f>'[3]HAL - CAA'!G35</f>
        <v>69.599999999999994</v>
      </c>
      <c r="H35" s="134">
        <f>'[3]HAL - CAA'!H35</f>
        <v>68.8</v>
      </c>
      <c r="I35" s="134">
        <f>'[3]HAL - CAA'!I35</f>
        <v>69.494122000000004</v>
      </c>
      <c r="J35" s="134">
        <f>'[3]HAL - CAA'!J35</f>
        <v>70.256156000000004</v>
      </c>
      <c r="K35" s="134">
        <f>'[3]HAL - CAA'!K35</f>
        <v>71.025689999999997</v>
      </c>
      <c r="L35" s="134">
        <f>'[3]HAL - CAA'!L35</f>
        <v>71.812779000000006</v>
      </c>
      <c r="M35" s="134">
        <f>'[3]HAL - CAA'!M35</f>
        <v>72.602541000000002</v>
      </c>
      <c r="N35" s="142"/>
      <c r="O35" s="144"/>
      <c r="P35" s="92" t="s">
        <v>207</v>
      </c>
      <c r="Q35" s="128">
        <f>'[3]HAL - CAA'!Q35</f>
        <v>406.56762299999997</v>
      </c>
      <c r="R35" s="153">
        <f>'[3]HAL - CAA'!R35</f>
        <v>0</v>
      </c>
      <c r="S35" s="153">
        <f>'[3]HAL - CAA'!S35</f>
        <v>8.6502598161137811E-3</v>
      </c>
      <c r="T35" s="410">
        <f>'[3]HAL - CAA'!T35</f>
        <v>0</v>
      </c>
      <c r="U35" s="151"/>
      <c r="V35" s="92" t="s">
        <v>207</v>
      </c>
      <c r="W35" s="128">
        <f>'[3]HAL - CAA'!W35</f>
        <v>355.19128799999999</v>
      </c>
      <c r="X35" s="153">
        <f>'[3]HAL - CAA'!X35</f>
        <v>0</v>
      </c>
      <c r="Y35" s="153">
        <f>'[3]HAL - CAA'!Y35</f>
        <v>1.081732397056423E-2</v>
      </c>
      <c r="Z35" s="410">
        <f>'[3]HAL - CAA'!Z35</f>
        <v>0</v>
      </c>
      <c r="AA35" s="410">
        <f>'[3]HAL - CAA'!AA35</f>
        <v>0</v>
      </c>
      <c r="AB35" s="205"/>
    </row>
    <row r="36" spans="2:28">
      <c r="B36" s="212"/>
      <c r="C36" s="134"/>
      <c r="D36" s="134"/>
      <c r="E36" s="134"/>
      <c r="F36" s="134"/>
      <c r="G36" s="134"/>
      <c r="H36" s="134"/>
      <c r="I36" s="134"/>
      <c r="J36" s="134"/>
      <c r="K36" s="134"/>
      <c r="L36" s="134"/>
      <c r="M36" s="134"/>
      <c r="N36" s="142"/>
      <c r="O36" s="144"/>
      <c r="P36" s="92"/>
      <c r="Q36" s="128"/>
      <c r="R36" s="153"/>
      <c r="S36" s="153"/>
      <c r="T36" s="410"/>
      <c r="U36" s="151"/>
      <c r="V36" s="92"/>
      <c r="W36" s="128"/>
      <c r="X36" s="153"/>
      <c r="Y36" s="153"/>
      <c r="Z36" s="410"/>
      <c r="AA36" s="410"/>
      <c r="AB36" s="205"/>
    </row>
    <row r="37" spans="2:28">
      <c r="B37" s="212" t="s">
        <v>270</v>
      </c>
      <c r="C37" s="96">
        <f>'[3]HAL - CAA'!C37</f>
        <v>1034.0501345322027</v>
      </c>
      <c r="D37" s="96">
        <f>'[3]HAL - CAA'!D37</f>
        <v>1044.720445488914</v>
      </c>
      <c r="E37" s="96">
        <f>'[3]HAL - CAA'!E37</f>
        <v>989.42883416777374</v>
      </c>
      <c r="F37" s="96">
        <f>'[3]HAL - CAA'!F37</f>
        <v>993.30894724294149</v>
      </c>
      <c r="G37" s="96">
        <f>'[3]HAL - CAA'!G37</f>
        <v>1032.1100779946189</v>
      </c>
      <c r="H37" s="96">
        <f>'[3]HAL - CAA'!H37</f>
        <v>1004.9492864684447</v>
      </c>
      <c r="I37" s="96">
        <f>'[3]HAL - CAA'!I37</f>
        <v>1102.9221416164301</v>
      </c>
      <c r="J37" s="96">
        <f>'[3]HAL - CAA'!J37</f>
        <v>1099.0420285412624</v>
      </c>
      <c r="K37" s="96">
        <f>'[3]HAL - CAA'!K37</f>
        <v>1039.8703041449544</v>
      </c>
      <c r="L37" s="96">
        <f>'[3]HAL - CAA'!L37</f>
        <v>1035.9901910697865</v>
      </c>
      <c r="M37" s="96">
        <f>'[3]HAL - CAA'!M37</f>
        <v>1026.2899083818672</v>
      </c>
      <c r="N37" s="142"/>
      <c r="O37" s="143"/>
      <c r="P37" s="92" t="s">
        <v>270</v>
      </c>
      <c r="Q37" s="128">
        <f>'[3]HAL - CAA'!Q37</f>
        <v>6098.5677258948954</v>
      </c>
      <c r="R37" s="153">
        <f>'[3]HAL - CAA'!R37</f>
        <v>0.97033694922750924</v>
      </c>
      <c r="S37" s="153">
        <f>'[3]HAL - CAA'!S37</f>
        <v>-5.6929696628132964E-3</v>
      </c>
      <c r="T37" s="410">
        <f>'[3]HAL - CAA'!T37</f>
        <v>15.000131296472901</v>
      </c>
      <c r="U37" s="151"/>
      <c r="V37" s="92" t="s">
        <v>270</v>
      </c>
      <c r="W37" s="128">
        <f>'[3]HAL - CAA'!W37</f>
        <v>5304.1145737543011</v>
      </c>
      <c r="X37" s="153">
        <f>'[3]HAL - CAA'!X37</f>
        <v>1.0133959827577956</v>
      </c>
      <c r="Y37" s="153">
        <f>'[3]HAL - CAA'!Y37</f>
        <v>4.2114813867955014E-3</v>
      </c>
      <c r="Z37" s="410">
        <f>'[3]HAL - CAA'!Z37</f>
        <v>14.933121258746361</v>
      </c>
      <c r="AA37" s="410">
        <f>'[3]HAL - CAA'!AA37</f>
        <v>-4.4604033363315754E-4</v>
      </c>
      <c r="AB37" s="205"/>
    </row>
    <row r="38" spans="2:28">
      <c r="B38" s="212" t="s">
        <v>267</v>
      </c>
      <c r="C38" s="96">
        <f>'[3]HAL - CAA'!C38</f>
        <v>1053.7</v>
      </c>
      <c r="D38" s="96">
        <f>'[3]HAL - CAA'!D38</f>
        <v>1083</v>
      </c>
      <c r="E38" s="96">
        <f>'[3]HAL - CAA'!E38</f>
        <v>1026.3999999999999</v>
      </c>
      <c r="F38" s="96">
        <f>'[3]HAL - CAA'!F38</f>
        <v>1029.5</v>
      </c>
      <c r="G38" s="96">
        <f>'[3]HAL - CAA'!G38</f>
        <v>1042.3000000000002</v>
      </c>
      <c r="H38" s="96">
        <f>'[3]HAL - CAA'!H38</f>
        <v>1050.0999999999999</v>
      </c>
      <c r="I38" s="96">
        <f>'[3]HAL - CAA'!I38</f>
        <v>1081.8</v>
      </c>
      <c r="J38" s="96">
        <f>'[3]HAL - CAA'!J38</f>
        <v>1049.8999999999999</v>
      </c>
      <c r="K38" s="96">
        <f>'[3]HAL - CAA'!K38</f>
        <v>1034</v>
      </c>
      <c r="L38" s="96">
        <f>'[3]HAL - CAA'!L38</f>
        <v>1029.8999999999999</v>
      </c>
      <c r="M38" s="96">
        <f>'[3]HAL - CAA'!M38</f>
        <v>1038.3999999999999</v>
      </c>
      <c r="N38" s="145"/>
      <c r="O38" s="143"/>
      <c r="P38" s="92" t="s">
        <v>267</v>
      </c>
      <c r="Q38" s="128">
        <f>'[3]HAL - CAA'!Q38</f>
        <v>6285</v>
      </c>
      <c r="R38" s="153">
        <f>'[3]HAL - CAA'!R38</f>
        <v>1</v>
      </c>
      <c r="S38" s="153">
        <f>'[3]HAL - CAA'!S38</f>
        <v>-6.8424217818829902E-4</v>
      </c>
      <c r="T38" s="410">
        <f>'[3]HAL - CAA'!T38</f>
        <v>15.458682995030326</v>
      </c>
      <c r="U38" s="151"/>
      <c r="V38" s="92" t="s">
        <v>267</v>
      </c>
      <c r="W38" s="128">
        <f>'[3]HAL - CAA'!W38</f>
        <v>5233.9999999999991</v>
      </c>
      <c r="X38" s="153">
        <f>'[3]HAL - CAA'!X38</f>
        <v>1</v>
      </c>
      <c r="Y38" s="153">
        <f>'[3]HAL - CAA'!Y38</f>
        <v>-2.2383572862288981E-3</v>
      </c>
      <c r="Z38" s="410">
        <f>'[3]HAL - CAA'!Z38</f>
        <v>14.735721783806813</v>
      </c>
      <c r="AA38" s="410">
        <f>'[3]HAL - CAA'!AA38</f>
        <v>1.2304448743305496E-3</v>
      </c>
      <c r="AB38" s="287"/>
    </row>
    <row r="39" spans="2:28">
      <c r="B39" s="382" t="s">
        <v>324</v>
      </c>
      <c r="C39" s="589"/>
      <c r="D39" s="589"/>
      <c r="E39" s="589"/>
      <c r="F39" s="589"/>
      <c r="G39" s="589"/>
      <c r="H39" s="590"/>
      <c r="I39" s="590">
        <v>0.2</v>
      </c>
      <c r="J39" s="590">
        <v>0.4</v>
      </c>
      <c r="K39" s="590">
        <v>0.6</v>
      </c>
      <c r="L39" s="590">
        <v>0.8</v>
      </c>
      <c r="M39" s="590">
        <v>1</v>
      </c>
      <c r="N39" s="142"/>
      <c r="O39" s="143"/>
      <c r="P39" s="92"/>
      <c r="Q39" s="128"/>
      <c r="R39" s="153"/>
      <c r="S39" s="153"/>
      <c r="T39" s="410"/>
      <c r="U39" s="151"/>
      <c r="V39" s="92"/>
      <c r="W39" s="128"/>
      <c r="X39" s="153"/>
      <c r="Y39" s="153">
        <f>'[3]HAL - CAA'!Y39</f>
        <v>0</v>
      </c>
      <c r="Z39" s="410">
        <f>'[3]HAL - CAA'!Z39</f>
        <v>0</v>
      </c>
      <c r="AA39" s="410">
        <f>'[3]HAL - CAA'!AA39</f>
        <v>0</v>
      </c>
      <c r="AB39" s="205"/>
    </row>
    <row r="40" spans="2:28">
      <c r="B40" s="212" t="s">
        <v>451</v>
      </c>
      <c r="C40" s="578"/>
      <c r="D40" s="578"/>
      <c r="E40" s="578"/>
      <c r="F40" s="578"/>
      <c r="G40" s="578"/>
      <c r="H40" s="96"/>
      <c r="I40" s="96">
        <f>'[3]HAL - CAA'!I40</f>
        <v>-9.3350965674987467</v>
      </c>
      <c r="J40" s="96">
        <f>'[3]HAL - CAA'!J40</f>
        <v>-12.455678376636902</v>
      </c>
      <c r="K40" s="96">
        <f>'[3]HAL - CAA'!K40</f>
        <v>-15.190234980352765</v>
      </c>
      <c r="L40" s="96">
        <f>'[3]HAL - CAA'!L40</f>
        <v>-18.158128293839276</v>
      </c>
      <c r="M40" s="96">
        <f>'[3]HAL - CAA'!M40</f>
        <v>-21.880477623491416</v>
      </c>
      <c r="N40" s="142"/>
      <c r="O40" s="147"/>
      <c r="P40" s="92" t="s">
        <v>451</v>
      </c>
      <c r="Q40" s="128">
        <f>'[3]HAL - CAA'!Q40</f>
        <v>0</v>
      </c>
      <c r="R40" s="153"/>
      <c r="S40" s="153"/>
      <c r="T40" s="410"/>
      <c r="U40" s="151"/>
      <c r="V40" s="92" t="s">
        <v>451</v>
      </c>
      <c r="W40" s="128">
        <f>'[3]HAL - CAA'!W40</f>
        <v>-77.019615841819103</v>
      </c>
      <c r="X40" s="153">
        <f>'[3]HAL - CAA'!X40</f>
        <v>-1.4715249492132043E-2</v>
      </c>
      <c r="Y40" s="153" t="str">
        <f>'[3]HAL - CAA'!Y40</f>
        <v>na</v>
      </c>
      <c r="Z40" s="410">
        <f>'[3]HAL - CAA'!Z40</f>
        <v>-0.21683982249536229</v>
      </c>
      <c r="AA40" s="410" t="str">
        <f>'[3]HAL - CAA'!AA40</f>
        <v>na</v>
      </c>
    </row>
    <row r="41" spans="2:28">
      <c r="B41" s="212" t="s">
        <v>452</v>
      </c>
      <c r="C41" s="578"/>
      <c r="D41" s="578"/>
      <c r="E41" s="578"/>
      <c r="F41" s="578"/>
      <c r="G41" s="578"/>
      <c r="H41" s="96"/>
      <c r="I41" s="96">
        <f>'[3]HAL - CAA'!I41</f>
        <v>-16.243337394400129</v>
      </c>
      <c r="J41" s="96">
        <f>'[3]HAL - CAA'!J41</f>
        <v>-20.166688187609616</v>
      </c>
      <c r="K41" s="96">
        <f>'[3]HAL - CAA'!K41</f>
        <v>-40.359578040600134</v>
      </c>
      <c r="L41" s="96">
        <f>'[3]HAL - CAA'!L41</f>
        <v>-59.362256377282925</v>
      </c>
      <c r="M41" s="96">
        <f>'[3]HAL - CAA'!M41</f>
        <v>-81.076533845673438</v>
      </c>
      <c r="N41" s="142"/>
      <c r="O41" s="147"/>
      <c r="P41" s="92" t="s">
        <v>452</v>
      </c>
      <c r="Q41" s="128">
        <f>'[3]HAL - CAA'!Q41</f>
        <v>0</v>
      </c>
      <c r="R41" s="153"/>
      <c r="S41" s="153"/>
      <c r="T41" s="410"/>
      <c r="U41" s="151"/>
      <c r="V41" s="92" t="s">
        <v>452</v>
      </c>
      <c r="W41" s="128">
        <f>'[3]HAL - CAA'!W41</f>
        <v>-217.20839384556626</v>
      </c>
      <c r="X41" s="153">
        <f>'[3]HAL - CAA'!X41</f>
        <v>-4.1499502072137234E-2</v>
      </c>
      <c r="Y41" s="153" t="str">
        <f>'[3]HAL - CAA'!Y41</f>
        <v>na</v>
      </c>
      <c r="Z41" s="410">
        <f>'[3]HAL - CAA'!Z41</f>
        <v>-0.61152511670152865</v>
      </c>
      <c r="AA41" s="410" t="str">
        <f>'[3]HAL - CAA'!AA41</f>
        <v>na</v>
      </c>
    </row>
    <row r="42" spans="2:28">
      <c r="B42" s="212" t="s">
        <v>453</v>
      </c>
      <c r="C42" s="578"/>
      <c r="D42" s="578"/>
      <c r="E42" s="578"/>
      <c r="F42" s="578"/>
      <c r="G42" s="578"/>
      <c r="H42" s="96"/>
      <c r="I42" s="96">
        <f>'[3]HAL - CAA'!I42</f>
        <v>-21.571578221301515</v>
      </c>
      <c r="J42" s="96">
        <f>'[3]HAL - CAA'!J42</f>
        <v>-34.237697998582327</v>
      </c>
      <c r="K42" s="96">
        <f>'[3]HAL - CAA'!K42</f>
        <v>-50.068921100847518</v>
      </c>
      <c r="L42" s="96">
        <f>'[3]HAL - CAA'!L42</f>
        <v>-76.566384460726567</v>
      </c>
      <c r="M42" s="96">
        <f>'[3]HAL - CAA'!M42</f>
        <v>-107.97259006785548</v>
      </c>
      <c r="N42" s="142"/>
      <c r="O42" s="147"/>
      <c r="P42" s="92" t="s">
        <v>453</v>
      </c>
      <c r="Q42" s="128">
        <f>'[3]HAL - CAA'!Q42</f>
        <v>0</v>
      </c>
      <c r="R42" s="153"/>
      <c r="S42" s="153"/>
      <c r="T42" s="410"/>
      <c r="U42" s="151"/>
      <c r="V42" s="92" t="s">
        <v>453</v>
      </c>
      <c r="W42" s="128">
        <f>'[3]HAL - CAA'!W42</f>
        <v>-290.41717184931343</v>
      </c>
      <c r="X42" s="153">
        <f>'[3]HAL - CAA'!X42</f>
        <v>-5.548665874079356E-2</v>
      </c>
      <c r="Y42" s="153" t="str">
        <f>'[3]HAL - CAA'!Y42</f>
        <v>na</v>
      </c>
      <c r="Z42" s="410">
        <f>'[3]HAL - CAA'!Z42</f>
        <v>-0.81763596591736631</v>
      </c>
      <c r="AA42" s="410" t="str">
        <f>'[3]HAL - CAA'!AA42</f>
        <v>na</v>
      </c>
    </row>
    <row r="43" spans="2:28">
      <c r="B43" s="382"/>
      <c r="C43" s="578"/>
      <c r="D43" s="578"/>
      <c r="E43" s="578"/>
      <c r="F43" s="578"/>
      <c r="G43" s="578"/>
      <c r="H43" s="578"/>
      <c r="I43" s="594"/>
      <c r="J43" s="594"/>
      <c r="K43" s="594"/>
      <c r="L43" s="594"/>
      <c r="M43" s="96">
        <f>'[3]HAL - CAA'!M43</f>
        <v>0</v>
      </c>
      <c r="N43" s="142"/>
      <c r="O43" s="144"/>
      <c r="P43" s="92"/>
      <c r="Q43" s="128"/>
      <c r="R43" s="153"/>
      <c r="S43" s="153"/>
      <c r="T43" s="410"/>
      <c r="U43" s="151"/>
      <c r="V43" s="92"/>
      <c r="W43" s="128"/>
      <c r="X43" s="153"/>
      <c r="Y43" s="153"/>
      <c r="Z43" s="410"/>
      <c r="AA43" s="410"/>
    </row>
    <row r="44" spans="2:28" s="61" customFormat="1">
      <c r="B44" s="212" t="s">
        <v>454</v>
      </c>
      <c r="C44" s="96"/>
      <c r="D44" s="96"/>
      <c r="E44" s="96"/>
      <c r="F44" s="96"/>
      <c r="G44" s="96"/>
      <c r="H44" s="96"/>
      <c r="I44" s="96">
        <f>'[3]HAL - CAA'!I44</f>
        <v>1072.4649034325012</v>
      </c>
      <c r="J44" s="96">
        <f>'[3]HAL - CAA'!J44</f>
        <v>1037.4443216233631</v>
      </c>
      <c r="K44" s="96">
        <f>'[3]HAL - CAA'!K44</f>
        <v>1018.8097650196472</v>
      </c>
      <c r="L44" s="96">
        <f>'[3]HAL - CAA'!L44</f>
        <v>1011.7418717061606</v>
      </c>
      <c r="M44" s="96">
        <f>'[3]HAL - CAA'!M44</f>
        <v>1016.5195223765085</v>
      </c>
      <c r="N44" s="142"/>
      <c r="O44" s="145"/>
      <c r="P44" s="92" t="s">
        <v>454</v>
      </c>
      <c r="Q44" s="128">
        <f>'[3]HAL - CAA'!Q44</f>
        <v>0</v>
      </c>
      <c r="R44" s="153"/>
      <c r="S44" s="153"/>
      <c r="T44" s="410"/>
      <c r="U44" s="151"/>
      <c r="V44" s="92" t="s">
        <v>454</v>
      </c>
      <c r="W44" s="128">
        <f>'[3]HAL - CAA'!W44</f>
        <v>5156.9803841581806</v>
      </c>
      <c r="X44" s="153">
        <f>'[3]HAL - CAA'!X44</f>
        <v>0.98528475050786812</v>
      </c>
      <c r="Y44" s="153">
        <f>'[3]HAL - CAA'!Y44</f>
        <v>-6.4790872786240072E-3</v>
      </c>
      <c r="Z44" s="410">
        <f>'[3]HAL - CAA'!Z44</f>
        <v>14.518881961311452</v>
      </c>
      <c r="AA44" s="410">
        <f>'[3]HAL - CAA'!AA44</f>
        <v>-1.8110278347162057E-3</v>
      </c>
    </row>
    <row r="45" spans="2:28" s="61" customFormat="1">
      <c r="B45" s="212" t="s">
        <v>455</v>
      </c>
      <c r="C45" s="96"/>
      <c r="D45" s="96"/>
      <c r="E45" s="96"/>
      <c r="F45" s="96"/>
      <c r="G45" s="96"/>
      <c r="H45" s="96"/>
      <c r="I45" s="96">
        <f>'[3]HAL - CAA'!I45</f>
        <v>1065.5566626055997</v>
      </c>
      <c r="J45" s="96">
        <f>'[3]HAL - CAA'!J45</f>
        <v>1029.7333118123902</v>
      </c>
      <c r="K45" s="96">
        <f>'[3]HAL - CAA'!K45</f>
        <v>993.64042195939987</v>
      </c>
      <c r="L45" s="96">
        <f>'[3]HAL - CAA'!L45</f>
        <v>970.5377436227169</v>
      </c>
      <c r="M45" s="96">
        <f>'[3]HAL - CAA'!M45</f>
        <v>957.32346615432641</v>
      </c>
      <c r="N45" s="335"/>
      <c r="O45" s="145"/>
      <c r="P45" s="92" t="s">
        <v>455</v>
      </c>
      <c r="Q45" s="128">
        <f>'[3]HAL - CAA'!Q45</f>
        <v>0</v>
      </c>
      <c r="R45" s="153"/>
      <c r="S45" s="153"/>
      <c r="T45" s="410"/>
      <c r="U45" s="151"/>
      <c r="V45" s="92" t="s">
        <v>455</v>
      </c>
      <c r="W45" s="128">
        <f>'[3]HAL - CAA'!W45</f>
        <v>5016.7916061544329</v>
      </c>
      <c r="X45" s="153">
        <f>'[3]HAL - CAA'!X45</f>
        <v>0.95850049792786274</v>
      </c>
      <c r="Y45" s="153">
        <f>'[3]HAL - CAA'!Y45</f>
        <v>-1.8329796261043474E-2</v>
      </c>
      <c r="Z45" s="410">
        <f>'[3]HAL - CAA'!Z45</f>
        <v>14.124196667105284</v>
      </c>
      <c r="AA45" s="410">
        <f>'[3]HAL - CAA'!AA45</f>
        <v>-1.0330158160513192E-2</v>
      </c>
    </row>
    <row r="46" spans="2:28">
      <c r="B46" s="212" t="s">
        <v>456</v>
      </c>
      <c r="C46" s="96"/>
      <c r="D46" s="96"/>
      <c r="E46" s="96"/>
      <c r="F46" s="96"/>
      <c r="G46" s="96"/>
      <c r="H46" s="96"/>
      <c r="I46" s="96">
        <f>'[3]HAL - CAA'!I46</f>
        <v>1060.2284217786985</v>
      </c>
      <c r="J46" s="96">
        <f>'[3]HAL - CAA'!J46</f>
        <v>1015.6623020014175</v>
      </c>
      <c r="K46" s="96">
        <f>'[3]HAL - CAA'!K46</f>
        <v>983.93107889915245</v>
      </c>
      <c r="L46" s="96">
        <f>'[3]HAL - CAA'!L46</f>
        <v>953.3336155392733</v>
      </c>
      <c r="M46" s="96">
        <f>'[3]HAL - CAA'!M46</f>
        <v>930.42740993214443</v>
      </c>
      <c r="N46" s="142"/>
      <c r="P46" s="92" t="s">
        <v>456</v>
      </c>
      <c r="Q46" s="128">
        <f>'[3]HAL - CAA'!Q46</f>
        <v>0</v>
      </c>
      <c r="R46" s="153"/>
      <c r="S46" s="153"/>
      <c r="T46" s="410"/>
      <c r="V46" s="92" t="s">
        <v>456</v>
      </c>
      <c r="W46" s="128">
        <f>'[3]HAL - CAA'!W46</f>
        <v>4943.5828281506865</v>
      </c>
      <c r="X46" s="153">
        <f>'[3]HAL - CAA'!X46</f>
        <v>0.94451334125920661</v>
      </c>
      <c r="Y46" s="153">
        <f>'[3]HAL - CAA'!Y46</f>
        <v>-2.3908867156894553E-2</v>
      </c>
      <c r="Z46" s="410">
        <f>'[3]HAL - CAA'!Z46</f>
        <v>13.918085817889448</v>
      </c>
      <c r="AA46" s="410">
        <f>'[3]HAL - CAA'!AA46</f>
        <v>-1.4350952775591064E-2</v>
      </c>
    </row>
    <row r="47" spans="2:28">
      <c r="B47" s="212"/>
      <c r="C47" s="588"/>
      <c r="D47" s="591"/>
      <c r="E47" s="591"/>
      <c r="F47" s="591"/>
      <c r="G47" s="591"/>
      <c r="H47" s="591"/>
      <c r="I47" s="591"/>
      <c r="J47" s="591"/>
      <c r="K47" s="591"/>
      <c r="L47" s="591"/>
      <c r="M47" s="96">
        <f>'[3]HAL - CAA'!M47</f>
        <v>0</v>
      </c>
      <c r="N47" s="142"/>
      <c r="P47" s="43"/>
      <c r="Q47" s="245"/>
      <c r="R47" s="246"/>
      <c r="S47" s="131"/>
      <c r="T47" s="131"/>
      <c r="V47" s="43"/>
      <c r="W47" s="268"/>
      <c r="X47" s="246"/>
      <c r="Y47" s="131"/>
      <c r="Z47" s="131"/>
      <c r="AA47" s="131"/>
    </row>
    <row r="48" spans="2:28">
      <c r="B48" s="212" t="s">
        <v>271</v>
      </c>
      <c r="C48" s="578">
        <f>'[3]HAL - CAA'!C48</f>
        <v>15.691200827499282</v>
      </c>
      <c r="D48" s="578">
        <f>'[3]HAL - CAA'!D48</f>
        <v>15.805150461254375</v>
      </c>
      <c r="E48" s="578">
        <f>'[3]HAL - CAA'!E48</f>
        <v>14.968666175004143</v>
      </c>
      <c r="F48" s="578">
        <f>'[3]HAL - CAA'!F48</f>
        <v>14.176432776133156</v>
      </c>
      <c r="G48" s="578">
        <f>'[3]HAL - CAA'!G48</f>
        <v>14.829167787279008</v>
      </c>
      <c r="H48" s="578">
        <f>'[3]HAL - CAA'!H48</f>
        <v>14.606821024250651</v>
      </c>
      <c r="I48" s="578">
        <f>'[3]HAL - CAA'!I48</f>
        <v>15.870725607792124</v>
      </c>
      <c r="J48" s="578">
        <f>'[3]HAL - CAA'!J48</f>
        <v>15.643355559351445</v>
      </c>
      <c r="K48" s="578">
        <f>'[3]HAL - CAA'!K48</f>
        <v>14.640763139998421</v>
      </c>
      <c r="L48" s="578">
        <f>'[3]HAL - CAA'!L48</f>
        <v>14.426265150799782</v>
      </c>
      <c r="M48" s="578">
        <f>'[3]HAL - CAA'!M48</f>
        <v>14.135729882813154</v>
      </c>
      <c r="P48" s="43"/>
      <c r="Q48" s="267"/>
      <c r="R48" s="246"/>
      <c r="S48" s="197"/>
      <c r="T48" s="197"/>
      <c r="U48" s="140"/>
      <c r="V48" s="43"/>
      <c r="W48" s="267"/>
      <c r="X48" s="246"/>
      <c r="Y48" s="197"/>
      <c r="Z48" s="274"/>
      <c r="AA48" s="197"/>
    </row>
    <row r="49" spans="2:27">
      <c r="B49" s="212" t="s">
        <v>272</v>
      </c>
      <c r="C49" s="578">
        <f>'[3]HAL - CAA'!C49</f>
        <v>15.98937784522003</v>
      </c>
      <c r="D49" s="578">
        <f>'[3]HAL - CAA'!D49</f>
        <v>16.384266263237521</v>
      </c>
      <c r="E49" s="578">
        <f>'[3]HAL - CAA'!E49</f>
        <v>15.527987897125566</v>
      </c>
      <c r="F49" s="578">
        <f>'[3]HAL - CAA'!F49</f>
        <v>14.692948838866702</v>
      </c>
      <c r="G49" s="578">
        <f>'[3]HAL - CAA'!G49</f>
        <v>14.975574712643683</v>
      </c>
      <c r="H49" s="578">
        <f>'[3]HAL - CAA'!H49</f>
        <v>15.263081395348836</v>
      </c>
      <c r="I49" s="578">
        <f>'[3]HAL - CAA'!I49</f>
        <v>15.566784195071921</v>
      </c>
      <c r="J49" s="578">
        <f>'[3]HAL - CAA'!J49</f>
        <v>14.943886198385233</v>
      </c>
      <c r="K49" s="578">
        <f>'[3]HAL - CAA'!K49</f>
        <v>14.558112705416871</v>
      </c>
      <c r="L49" s="578">
        <f>'[3]HAL - CAA'!L49</f>
        <v>14.341458642061461</v>
      </c>
      <c r="M49" s="578">
        <f>'[3]HAL - CAA'!M49</f>
        <v>14.302529714490294</v>
      </c>
      <c r="P49" s="43"/>
      <c r="Q49" s="267"/>
      <c r="R49" s="246"/>
      <c r="S49" s="197"/>
      <c r="T49" s="197"/>
      <c r="U49" s="140"/>
      <c r="V49" s="43"/>
      <c r="W49" s="267"/>
      <c r="X49" s="246"/>
      <c r="Y49" s="197"/>
      <c r="Z49" s="197"/>
      <c r="AA49" s="197"/>
    </row>
    <row r="50" spans="2:27">
      <c r="B50" s="212"/>
      <c r="C50" s="587"/>
      <c r="D50" s="587"/>
      <c r="E50" s="587"/>
      <c r="F50" s="587"/>
      <c r="G50" s="587"/>
      <c r="H50" s="587"/>
      <c r="I50" s="587"/>
      <c r="J50" s="587"/>
      <c r="K50" s="587"/>
      <c r="L50" s="587"/>
      <c r="M50" s="96"/>
      <c r="P50" s="43"/>
      <c r="Q50" s="267"/>
      <c r="R50" s="246"/>
      <c r="S50" s="197"/>
      <c r="T50" s="197"/>
      <c r="U50" s="140"/>
      <c r="V50" s="43"/>
      <c r="W50" s="197"/>
      <c r="X50" s="246"/>
      <c r="Y50" s="197"/>
      <c r="Z50" s="274"/>
      <c r="AA50" s="197"/>
    </row>
    <row r="51" spans="2:27">
      <c r="B51" s="212" t="s">
        <v>457</v>
      </c>
      <c r="C51" s="587"/>
      <c r="D51" s="587"/>
      <c r="E51" s="587"/>
      <c r="F51" s="587"/>
      <c r="G51" s="587"/>
      <c r="H51" s="587"/>
      <c r="I51" s="578">
        <f>'[3]HAL - CAA'!I51</f>
        <v>15.432454897876127</v>
      </c>
      <c r="J51" s="578">
        <f>'[3]HAL - CAA'!J51</f>
        <v>14.76659670397229</v>
      </c>
      <c r="K51" s="578">
        <f>'[3]HAL - CAA'!K51</f>
        <v>14.344243118506096</v>
      </c>
      <c r="L51" s="578">
        <f>'[3]HAL - CAA'!L51</f>
        <v>14.088604922337854</v>
      </c>
      <c r="M51" s="578">
        <f>'[3]HAL - CAA'!M51</f>
        <v>14.001156273256447</v>
      </c>
      <c r="P51" s="43"/>
      <c r="Q51" s="267"/>
      <c r="R51" s="246"/>
      <c r="S51" s="197"/>
      <c r="T51" s="197"/>
      <c r="U51" s="140"/>
      <c r="V51" s="43"/>
      <c r="W51" s="267"/>
      <c r="X51" s="246"/>
      <c r="Y51" s="197"/>
      <c r="Z51" s="197"/>
      <c r="AA51" s="197"/>
    </row>
    <row r="52" spans="2:27">
      <c r="B52" s="212" t="s">
        <v>458</v>
      </c>
      <c r="C52" s="579"/>
      <c r="D52" s="579"/>
      <c r="E52" s="579"/>
      <c r="F52" s="579"/>
      <c r="G52" s="579"/>
      <c r="H52" s="579"/>
      <c r="I52" s="578">
        <f>'[3]HAL - CAA'!I52</f>
        <v>15.344415209758314</v>
      </c>
      <c r="J52" s="578">
        <f>'[3]HAL - CAA'!J52</f>
        <v>14.611578120106518</v>
      </c>
      <c r="K52" s="578">
        <f>'[3]HAL - CAA'!K52</f>
        <v>14.098707410788968</v>
      </c>
      <c r="L52" s="578">
        <f>'[3]HAL - CAA'!L52</f>
        <v>13.681934570763747</v>
      </c>
      <c r="M52" s="578">
        <f>'[3]HAL - CAA'!M52</f>
        <v>13.408256140158048</v>
      </c>
      <c r="O52" s="262"/>
      <c r="P52" s="339"/>
      <c r="Q52" s="267"/>
      <c r="R52" s="246"/>
      <c r="S52" s="197"/>
      <c r="T52" s="197"/>
      <c r="U52" s="140"/>
      <c r="V52" s="43"/>
      <c r="W52" s="267"/>
      <c r="X52" s="197"/>
      <c r="Y52" s="197"/>
      <c r="Z52" s="197"/>
      <c r="AA52" s="197"/>
    </row>
    <row r="53" spans="2:27">
      <c r="B53" s="212" t="s">
        <v>459</v>
      </c>
      <c r="C53" s="587"/>
      <c r="D53" s="587"/>
      <c r="E53" s="587"/>
      <c r="F53" s="587"/>
      <c r="G53" s="587"/>
      <c r="H53" s="587"/>
      <c r="I53" s="578">
        <f>'[3]HAL - CAA'!I53</f>
        <v>15.256375521640498</v>
      </c>
      <c r="J53" s="578">
        <f>'[3]HAL - CAA'!J53</f>
        <v>14.456559536240745</v>
      </c>
      <c r="K53" s="578">
        <f>'[3]HAL - CAA'!K53</f>
        <v>13.853171703071839</v>
      </c>
      <c r="L53" s="578">
        <f>'[3]HAL - CAA'!L53</f>
        <v>13.275264219189641</v>
      </c>
      <c r="M53" s="578">
        <f>'[3]HAL - CAA'!M53</f>
        <v>12.815356007059648</v>
      </c>
      <c r="P53" s="43"/>
      <c r="Q53" s="267"/>
      <c r="R53" s="246"/>
      <c r="S53" s="197"/>
      <c r="T53" s="197"/>
      <c r="U53" s="140"/>
      <c r="V53" s="43"/>
      <c r="W53" s="267"/>
      <c r="X53" s="246"/>
      <c r="Y53" s="197"/>
      <c r="Z53" s="197"/>
      <c r="AA53" s="197"/>
    </row>
    <row r="54" spans="2:27">
      <c r="W54" s="30"/>
      <c r="Y54" s="197"/>
      <c r="AA54" s="197"/>
    </row>
    <row r="55" spans="2:27">
      <c r="M55" s="196"/>
      <c r="V55" s="43"/>
      <c r="W55" s="245"/>
      <c r="X55" s="246"/>
      <c r="Y55" s="197"/>
      <c r="Z55" s="274"/>
      <c r="AA55" s="43"/>
    </row>
    <row r="57" spans="2:27">
      <c r="B57" s="84" t="s">
        <v>485</v>
      </c>
      <c r="C57" s="84"/>
      <c r="D57" s="84"/>
      <c r="E57" s="84"/>
      <c r="F57" s="84"/>
      <c r="G57" s="84"/>
      <c r="H57" s="84"/>
      <c r="I57" s="84"/>
      <c r="J57" s="84"/>
      <c r="K57" s="84"/>
      <c r="L57" s="84"/>
      <c r="M57" s="84"/>
      <c r="N57" s="84"/>
      <c r="O57" s="84"/>
      <c r="P57" s="84"/>
      <c r="Q57" s="84"/>
      <c r="R57" s="84"/>
      <c r="S57" s="84"/>
      <c r="T57" s="84"/>
      <c r="U57" s="84"/>
      <c r="V57" s="84"/>
      <c r="W57" s="84"/>
      <c r="X57" s="84"/>
      <c r="Y57" s="84"/>
      <c r="Z57" s="84"/>
      <c r="AA57" s="84"/>
    </row>
    <row r="70" spans="3:3">
      <c r="C70" s="31"/>
    </row>
    <row r="71" spans="3:3">
      <c r="C71" s="31"/>
    </row>
    <row r="72" spans="3:3">
      <c r="C72" s="31"/>
    </row>
    <row r="73" spans="3:3">
      <c r="C73" s="31"/>
    </row>
    <row r="74" spans="3:3">
      <c r="C74" s="31"/>
    </row>
    <row r="75" spans="3:3">
      <c r="C75" s="31"/>
    </row>
    <row r="89" spans="2:27">
      <c r="B89" s="84" t="s">
        <v>747</v>
      </c>
      <c r="C89" s="84"/>
      <c r="D89" s="84"/>
      <c r="E89" s="84"/>
      <c r="F89" s="84"/>
      <c r="G89" s="84"/>
      <c r="H89" s="84"/>
      <c r="I89" s="84"/>
      <c r="J89" s="84"/>
      <c r="K89" s="84"/>
      <c r="L89" s="84"/>
      <c r="M89" s="84"/>
      <c r="N89" s="84"/>
      <c r="O89" s="84"/>
      <c r="P89" s="84"/>
      <c r="Q89" s="84"/>
      <c r="R89" s="84"/>
      <c r="S89" s="84"/>
      <c r="T89" s="84"/>
      <c r="U89" s="84"/>
      <c r="V89" s="84"/>
      <c r="W89" s="84"/>
      <c r="X89" s="84"/>
      <c r="Y89" s="84"/>
      <c r="Z89" s="84"/>
      <c r="AA89" s="84"/>
    </row>
    <row r="91" spans="2:27">
      <c r="C91" s="626" t="s">
        <v>30</v>
      </c>
      <c r="D91" s="627"/>
      <c r="E91" s="627"/>
      <c r="F91" s="627"/>
      <c r="G91" s="628"/>
      <c r="H91" s="87" t="s">
        <v>187</v>
      </c>
      <c r="I91" s="626" t="s">
        <v>31</v>
      </c>
      <c r="J91" s="627"/>
      <c r="K91" s="627"/>
      <c r="L91" s="627"/>
      <c r="M91" s="628"/>
      <c r="O91" s="200" t="s">
        <v>269</v>
      </c>
      <c r="P91" s="337" t="s">
        <v>446</v>
      </c>
    </row>
    <row r="92" spans="2:27">
      <c r="B92" s="29" t="s">
        <v>474</v>
      </c>
      <c r="C92" s="75" t="s">
        <v>12</v>
      </c>
      <c r="D92" s="75" t="s">
        <v>13</v>
      </c>
      <c r="E92" s="75" t="s">
        <v>14</v>
      </c>
      <c r="F92" s="75" t="s">
        <v>15</v>
      </c>
      <c r="G92" s="75" t="s">
        <v>16</v>
      </c>
      <c r="H92" s="75" t="s">
        <v>17</v>
      </c>
      <c r="I92" s="75" t="s">
        <v>32</v>
      </c>
      <c r="J92" s="75" t="s">
        <v>33</v>
      </c>
      <c r="K92" s="75" t="s">
        <v>34</v>
      </c>
      <c r="L92" s="75" t="s">
        <v>35</v>
      </c>
      <c r="M92" s="75" t="s">
        <v>36</v>
      </c>
    </row>
    <row r="93" spans="2:27">
      <c r="B93" s="94" t="s">
        <v>261</v>
      </c>
      <c r="C93" s="188">
        <f>'[3]HAL - CAA'!C93</f>
        <v>1053.7</v>
      </c>
      <c r="D93" s="188">
        <f>'[3]HAL - CAA'!D93</f>
        <v>1083</v>
      </c>
      <c r="E93" s="188">
        <f>'[3]HAL - CAA'!E93</f>
        <v>1026.3999999999999</v>
      </c>
      <c r="F93" s="188">
        <f>'[3]HAL - CAA'!F93</f>
        <v>1029.5</v>
      </c>
      <c r="G93" s="188">
        <f>'[3]HAL - CAA'!G93</f>
        <v>1042.3000000000002</v>
      </c>
      <c r="H93" s="188">
        <f>'[3]HAL - CAA'!H93</f>
        <v>1050.0999999999999</v>
      </c>
      <c r="I93" s="188">
        <f>'[3]HAL - CAA'!I93</f>
        <v>1081.8</v>
      </c>
      <c r="J93" s="188">
        <f>'[3]HAL - CAA'!J93</f>
        <v>1049.8999999999999</v>
      </c>
      <c r="K93" s="188">
        <f>'[3]HAL - CAA'!K93</f>
        <v>1034</v>
      </c>
      <c r="L93" s="188">
        <f>'[3]HAL - CAA'!L93</f>
        <v>1029.8999999999999</v>
      </c>
      <c r="M93" s="188">
        <f>'[3]HAL - CAA'!M93</f>
        <v>1038.3999999999999</v>
      </c>
      <c r="N93" s="233"/>
      <c r="O93" s="188">
        <f>'[3]HAL - CAA'!O93</f>
        <v>5233.9999999999991</v>
      </c>
      <c r="P93" s="552" t="s">
        <v>334</v>
      </c>
      <c r="Q93" s="185"/>
    </row>
    <row r="94" spans="2:27">
      <c r="B94" s="94" t="s">
        <v>475</v>
      </c>
      <c r="C94" s="188">
        <f>'[3]HAL - CAA'!C94</f>
        <v>0</v>
      </c>
      <c r="D94" s="188">
        <f>'[3]HAL - CAA'!D94</f>
        <v>0</v>
      </c>
      <c r="E94" s="188">
        <f>'[3]HAL - CAA'!E94</f>
        <v>0</v>
      </c>
      <c r="F94" s="188">
        <f>'[3]HAL - CAA'!F94</f>
        <v>0</v>
      </c>
      <c r="G94" s="188">
        <f>'[3]HAL - CAA'!G94</f>
        <v>0</v>
      </c>
      <c r="H94" s="188">
        <f>'[3]HAL - CAA'!H94</f>
        <v>0</v>
      </c>
      <c r="I94" s="188">
        <f>'[3]HAL - CAA'!I94</f>
        <v>-4.5599999999999996</v>
      </c>
      <c r="J94" s="188">
        <f>'[3]HAL - CAA'!J94</f>
        <v>-5.24</v>
      </c>
      <c r="K94" s="188">
        <f>'[3]HAL - CAA'!K94</f>
        <v>-9.4599999999999991</v>
      </c>
      <c r="L94" s="188">
        <f>'[3]HAL - CAA'!L94</f>
        <v>-22.72</v>
      </c>
      <c r="M94" s="188">
        <f>'[3]HAL - CAA'!M94</f>
        <v>-35.599999999999994</v>
      </c>
      <c r="N94" s="233"/>
      <c r="O94" s="188">
        <f>'[3]HAL - CAA'!O94</f>
        <v>-77.579999999999984</v>
      </c>
      <c r="P94" s="552">
        <f>O94/$O$100</f>
        <v>0.3571685174153944</v>
      </c>
      <c r="Q94" s="185"/>
      <c r="R94" s="185"/>
    </row>
    <row r="95" spans="2:27">
      <c r="B95" s="94" t="s">
        <v>476</v>
      </c>
      <c r="C95" s="188">
        <f>'[3]HAL - CAA'!C95</f>
        <v>0</v>
      </c>
      <c r="D95" s="188">
        <f>'[3]HAL - CAA'!D95</f>
        <v>0</v>
      </c>
      <c r="E95" s="188">
        <f>'[3]HAL - CAA'!E95</f>
        <v>0</v>
      </c>
      <c r="F95" s="188">
        <f>'[3]HAL - CAA'!F95</f>
        <v>0</v>
      </c>
      <c r="G95" s="188">
        <f>'[3]HAL - CAA'!G95</f>
        <v>0</v>
      </c>
      <c r="H95" s="188">
        <f>'[3]HAL - CAA'!H95</f>
        <v>0</v>
      </c>
      <c r="I95" s="188">
        <f>'[3]HAL - CAA'!I95</f>
        <v>0.16000000000000003</v>
      </c>
      <c r="J95" s="188">
        <f>'[3]HAL - CAA'!J95</f>
        <v>2.4000000000000004</v>
      </c>
      <c r="K95" s="188">
        <f>'[3]HAL - CAA'!K95</f>
        <v>-8.76</v>
      </c>
      <c r="L95" s="188">
        <f>'[3]HAL - CAA'!L95</f>
        <v>-9.5200000000000014</v>
      </c>
      <c r="M95" s="188">
        <f>'[3]HAL - CAA'!M95</f>
        <v>-12.5</v>
      </c>
      <c r="N95" s="233"/>
      <c r="O95" s="188">
        <f>'[3]HAL - CAA'!O95</f>
        <v>-28.22</v>
      </c>
      <c r="P95" s="552">
        <f t="shared" ref="P95:P100" si="0">O95/$O$100</f>
        <v>0.12992131427510226</v>
      </c>
      <c r="Q95" s="185"/>
      <c r="R95" s="185"/>
    </row>
    <row r="96" spans="2:27">
      <c r="B96" s="94" t="s">
        <v>477</v>
      </c>
      <c r="C96" s="188">
        <f>'[3]HAL - CAA'!C96</f>
        <v>0</v>
      </c>
      <c r="D96" s="188">
        <f>'[3]HAL - CAA'!D96</f>
        <v>0</v>
      </c>
      <c r="E96" s="188">
        <f>'[3]HAL - CAA'!E96</f>
        <v>0</v>
      </c>
      <c r="F96" s="188">
        <f>'[3]HAL - CAA'!F96</f>
        <v>0</v>
      </c>
      <c r="G96" s="188">
        <f>'[3]HAL - CAA'!G96</f>
        <v>0</v>
      </c>
      <c r="H96" s="188">
        <f>'[3]HAL - CAA'!H96</f>
        <v>0</v>
      </c>
      <c r="I96" s="188">
        <f>'[3]HAL - CAA'!I96</f>
        <v>0</v>
      </c>
      <c r="J96" s="188">
        <f>'[3]HAL - CAA'!J96</f>
        <v>0</v>
      </c>
      <c r="K96" s="188">
        <f>'[3]HAL - CAA'!K96</f>
        <v>0</v>
      </c>
      <c r="L96" s="188">
        <f>'[3]HAL - CAA'!L96</f>
        <v>0</v>
      </c>
      <c r="M96" s="188">
        <f>'[3]HAL - CAA'!M96</f>
        <v>0</v>
      </c>
      <c r="N96" s="233"/>
      <c r="O96" s="188">
        <f>'[3]HAL - CAA'!O96</f>
        <v>0</v>
      </c>
      <c r="P96" s="552">
        <f t="shared" si="0"/>
        <v>0</v>
      </c>
      <c r="Q96" s="185"/>
      <c r="R96" s="185"/>
    </row>
    <row r="97" spans="2:27">
      <c r="B97" s="94" t="s">
        <v>478</v>
      </c>
      <c r="C97" s="188">
        <f>'[3]HAL - CAA'!C97</f>
        <v>0</v>
      </c>
      <c r="D97" s="188">
        <f>'[3]HAL - CAA'!D97</f>
        <v>0</v>
      </c>
      <c r="E97" s="188">
        <f>'[3]HAL - CAA'!E97</f>
        <v>0</v>
      </c>
      <c r="F97" s="188">
        <f>'[3]HAL - CAA'!F97</f>
        <v>0</v>
      </c>
      <c r="G97" s="188">
        <f>'[3]HAL - CAA'!G97</f>
        <v>0</v>
      </c>
      <c r="H97" s="188">
        <f>'[3]HAL - CAA'!H97</f>
        <v>0</v>
      </c>
      <c r="I97" s="188">
        <f>'[3]HAL - CAA'!I97</f>
        <v>-5.9486786939948111</v>
      </c>
      <c r="J97" s="188">
        <f>'[3]HAL - CAA'!J97</f>
        <v>-11.487391285468556</v>
      </c>
      <c r="K97" s="188">
        <f>'[3]HAL - CAA'!K97</f>
        <v>-16.224512260697161</v>
      </c>
      <c r="L97" s="188">
        <f>'[3]HAL - CAA'!L97</f>
        <v>-20.782542780613937</v>
      </c>
      <c r="M97" s="188">
        <f>'[3]HAL - CAA'!M97</f>
        <v>-25.670703898876617</v>
      </c>
      <c r="N97" s="233"/>
      <c r="O97" s="188">
        <f>'[3]HAL - CAA'!O97</f>
        <v>-80.113828919651084</v>
      </c>
      <c r="P97" s="552">
        <f t="shared" si="0"/>
        <v>0.36883394560070037</v>
      </c>
      <c r="Q97" s="185"/>
      <c r="R97" s="185"/>
    </row>
    <row r="98" spans="2:27">
      <c r="B98" s="94" t="s">
        <v>479</v>
      </c>
      <c r="C98" s="188">
        <f>'[3]HAL - CAA'!C98</f>
        <v>0</v>
      </c>
      <c r="D98" s="188">
        <f>'[3]HAL - CAA'!D98</f>
        <v>0</v>
      </c>
      <c r="E98" s="188">
        <f>'[3]HAL - CAA'!E98</f>
        <v>0</v>
      </c>
      <c r="F98" s="188">
        <f>'[3]HAL - CAA'!F98</f>
        <v>0</v>
      </c>
      <c r="G98" s="188">
        <f>'[3]HAL - CAA'!G98</f>
        <v>0</v>
      </c>
      <c r="H98" s="188">
        <f>'[3]HAL - CAA'!H98</f>
        <v>0</v>
      </c>
      <c r="I98" s="188">
        <f>'[3]HAL - CAA'!I98</f>
        <v>-4.4770237004052991</v>
      </c>
      <c r="J98" s="188">
        <f>'[3]HAL - CAA'!J98</f>
        <v>-3.0059407093910675</v>
      </c>
      <c r="K98" s="188">
        <f>'[3]HAL - CAA'!K98</f>
        <v>-1.6678996180132746</v>
      </c>
      <c r="L98" s="188">
        <f>'[3]HAL - CAA'!L98</f>
        <v>-0.68064610909792655</v>
      </c>
      <c r="M98" s="188">
        <f>'[3]HAL - CAA'!M98</f>
        <v>-0.23676720033402354</v>
      </c>
      <c r="N98" s="233"/>
      <c r="O98" s="188">
        <f>'[3]HAL - CAA'!O98</f>
        <v>-10.068277337241591</v>
      </c>
      <c r="P98" s="552">
        <f t="shared" si="0"/>
        <v>4.6353076688187611E-2</v>
      </c>
      <c r="Q98" s="185"/>
      <c r="R98" s="185"/>
    </row>
    <row r="99" spans="2:27">
      <c r="B99" s="94" t="s">
        <v>428</v>
      </c>
      <c r="C99" s="188">
        <f>'[3]HAL - CAA'!C99</f>
        <v>0</v>
      </c>
      <c r="D99" s="188">
        <f>'[3]HAL - CAA'!D99</f>
        <v>0</v>
      </c>
      <c r="E99" s="188">
        <f>'[3]HAL - CAA'!E99</f>
        <v>0</v>
      </c>
      <c r="F99" s="188">
        <f>'[3]HAL - CAA'!F99</f>
        <v>0</v>
      </c>
      <c r="G99" s="188">
        <f>'[3]HAL - CAA'!G99</f>
        <v>0</v>
      </c>
      <c r="H99" s="188">
        <f>'[3]HAL - CAA'!H99</f>
        <v>0</v>
      </c>
      <c r="I99" s="188">
        <f>'[3]HAL - CAA'!I99</f>
        <v>-1.4176350000000184</v>
      </c>
      <c r="J99" s="188">
        <f>'[3]HAL - CAA'!J99</f>
        <v>-2.8333561927499886</v>
      </c>
      <c r="K99" s="188">
        <f>'[3]HAL - CAA'!K99</f>
        <v>-4.2471661618897087</v>
      </c>
      <c r="L99" s="188">
        <f>'[3]HAL - CAA'!L99</f>
        <v>-5.6590674875710647</v>
      </c>
      <c r="M99" s="188">
        <f>'[3]HAL - CAA'!M99</f>
        <v>-7.0690627464628051</v>
      </c>
      <c r="N99" s="233"/>
      <c r="O99" s="188">
        <f>'[3]HAL - CAA'!O99</f>
        <v>-21.226287588673586</v>
      </c>
      <c r="P99" s="552">
        <f t="shared" si="0"/>
        <v>9.7723146020615284E-2</v>
      </c>
      <c r="Q99" s="185"/>
      <c r="R99" s="185"/>
    </row>
    <row r="100" spans="2:27">
      <c r="B100" s="94" t="s">
        <v>28</v>
      </c>
      <c r="C100" s="188">
        <f>'[3]HAL - CAA'!C100</f>
        <v>0</v>
      </c>
      <c r="D100" s="188">
        <f>'[3]HAL - CAA'!D100</f>
        <v>0</v>
      </c>
      <c r="E100" s="188">
        <f>'[3]HAL - CAA'!E100</f>
        <v>0</v>
      </c>
      <c r="F100" s="188">
        <f>'[3]HAL - CAA'!F100</f>
        <v>0</v>
      </c>
      <c r="G100" s="188">
        <f>'[3]HAL - CAA'!G100</f>
        <v>0</v>
      </c>
      <c r="H100" s="188">
        <f>'[3]HAL - CAA'!H100</f>
        <v>0</v>
      </c>
      <c r="I100" s="188">
        <f>'[3]HAL - CAA'!I100</f>
        <v>-16.243337394400129</v>
      </c>
      <c r="J100" s="188">
        <f>'[3]HAL - CAA'!J100</f>
        <v>-20.166688187609612</v>
      </c>
      <c r="K100" s="188">
        <f>'[3]HAL - CAA'!K100</f>
        <v>-40.359578040600141</v>
      </c>
      <c r="L100" s="188">
        <f>'[3]HAL - CAA'!L100</f>
        <v>-59.362256377282932</v>
      </c>
      <c r="M100" s="188">
        <f>'[3]HAL - CAA'!M100</f>
        <v>-81.076533845673438</v>
      </c>
      <c r="N100" s="233"/>
      <c r="O100" s="188">
        <f>'[3]HAL - CAA'!O100</f>
        <v>-217.20839384556626</v>
      </c>
      <c r="P100" s="552">
        <f t="shared" si="0"/>
        <v>1</v>
      </c>
      <c r="Q100" s="185"/>
    </row>
    <row r="101" spans="2:27">
      <c r="B101" s="94" t="s">
        <v>82</v>
      </c>
      <c r="C101" s="188">
        <f>'[3]HAL - CAA'!C101</f>
        <v>0</v>
      </c>
      <c r="D101" s="188">
        <f>'[3]HAL - CAA'!D101</f>
        <v>0</v>
      </c>
      <c r="E101" s="188">
        <f>'[3]HAL - CAA'!E101</f>
        <v>0</v>
      </c>
      <c r="F101" s="188">
        <f>'[3]HAL - CAA'!F101</f>
        <v>0</v>
      </c>
      <c r="G101" s="188">
        <f>'[3]HAL - CAA'!G101</f>
        <v>0</v>
      </c>
      <c r="H101" s="188">
        <f>'[3]HAL - CAA'!H101</f>
        <v>0</v>
      </c>
      <c r="I101" s="188">
        <f>'[3]HAL - CAA'!I101</f>
        <v>1065.5566626055997</v>
      </c>
      <c r="J101" s="188">
        <f>'[3]HAL - CAA'!J101</f>
        <v>1029.7333118123902</v>
      </c>
      <c r="K101" s="188">
        <f>'[3]HAL - CAA'!K101</f>
        <v>993.64042195939987</v>
      </c>
      <c r="L101" s="188">
        <f>'[3]HAL - CAA'!L101</f>
        <v>970.5377436227169</v>
      </c>
      <c r="M101" s="188">
        <f>'[3]HAL - CAA'!M101</f>
        <v>957.32346615432641</v>
      </c>
      <c r="N101" s="233"/>
      <c r="O101" s="188">
        <f>'[3]HAL - CAA'!O101</f>
        <v>5016.7916061544329</v>
      </c>
      <c r="P101" s="552" t="s">
        <v>334</v>
      </c>
      <c r="Q101" s="185"/>
    </row>
    <row r="103" spans="2:27">
      <c r="B103" s="338"/>
      <c r="C103" s="626" t="s">
        <v>30</v>
      </c>
      <c r="D103" s="627"/>
      <c r="E103" s="627"/>
      <c r="F103" s="627"/>
      <c r="G103" s="628"/>
      <c r="H103" s="87" t="s">
        <v>187</v>
      </c>
      <c r="I103" s="626" t="s">
        <v>31</v>
      </c>
      <c r="J103" s="627"/>
      <c r="K103" s="627"/>
      <c r="L103" s="627"/>
      <c r="M103" s="628"/>
      <c r="O103" s="200" t="s">
        <v>28</v>
      </c>
      <c r="P103" s="337" t="s">
        <v>446</v>
      </c>
    </row>
    <row r="104" spans="2:27">
      <c r="B104" s="204"/>
      <c r="C104" s="75" t="s">
        <v>12</v>
      </c>
      <c r="D104" s="75" t="s">
        <v>13</v>
      </c>
      <c r="E104" s="75" t="s">
        <v>14</v>
      </c>
      <c r="F104" s="75" t="s">
        <v>15</v>
      </c>
      <c r="G104" s="75" t="s">
        <v>16</v>
      </c>
      <c r="H104" s="75" t="s">
        <v>17</v>
      </c>
      <c r="I104" s="75" t="s">
        <v>32</v>
      </c>
      <c r="J104" s="75" t="s">
        <v>33</v>
      </c>
      <c r="K104" s="75" t="s">
        <v>34</v>
      </c>
      <c r="L104" s="75" t="s">
        <v>35</v>
      </c>
      <c r="M104" s="75" t="s">
        <v>36</v>
      </c>
      <c r="N104" s="19"/>
      <c r="P104" s="336"/>
    </row>
    <row r="105" spans="2:27">
      <c r="B105" s="29" t="s">
        <v>474</v>
      </c>
      <c r="C105" s="94"/>
      <c r="D105" s="94"/>
      <c r="E105" s="94"/>
      <c r="F105" s="94"/>
      <c r="G105" s="94"/>
      <c r="H105" s="94"/>
      <c r="I105" s="170">
        <f>'[3]HAL - CAA'!I105</f>
        <v>0</v>
      </c>
      <c r="J105" s="170">
        <f>'[3]HAL - CAA'!J105</f>
        <v>0</v>
      </c>
      <c r="K105" s="170">
        <f>'[3]HAL - CAA'!K105</f>
        <v>0</v>
      </c>
      <c r="L105" s="170">
        <f>'[3]HAL - CAA'!L105</f>
        <v>0</v>
      </c>
      <c r="M105" s="170">
        <f>'[3]HAL - CAA'!M105</f>
        <v>0</v>
      </c>
      <c r="N105" s="19"/>
    </row>
    <row r="106" spans="2:27">
      <c r="B106" s="94" t="s">
        <v>428</v>
      </c>
      <c r="C106" s="94"/>
      <c r="D106" s="94"/>
      <c r="E106" s="94"/>
      <c r="F106" s="94"/>
      <c r="G106" s="94"/>
      <c r="H106" s="170"/>
      <c r="I106" s="170">
        <f>'[3]HAL - CAA'!I106</f>
        <v>-1.4176350000000184</v>
      </c>
      <c r="J106" s="170">
        <f>'[3]HAL - CAA'!J106</f>
        <v>-2.8333561927499886</v>
      </c>
      <c r="K106" s="170">
        <f>'[3]HAL - CAA'!K106</f>
        <v>-4.2471661618897087</v>
      </c>
      <c r="L106" s="170">
        <f>'[3]HAL - CAA'!L106</f>
        <v>-5.6590674875710647</v>
      </c>
      <c r="M106" s="170">
        <f>'[3]HAL - CAA'!M106</f>
        <v>-7.0690627464628051</v>
      </c>
      <c r="N106" s="19"/>
      <c r="O106" s="219">
        <v>-21.226287588673586</v>
      </c>
      <c r="P106" s="553">
        <v>6.9495341815803593E-2</v>
      </c>
    </row>
    <row r="107" spans="2:27">
      <c r="B107" s="94" t="s">
        <v>429</v>
      </c>
      <c r="C107" s="94"/>
      <c r="D107" s="94"/>
      <c r="E107" s="94"/>
      <c r="F107" s="94"/>
      <c r="G107" s="94"/>
      <c r="H107" s="170"/>
      <c r="I107" s="170">
        <f>'[3]HAL - CAA'!I107</f>
        <v>-25.643337394400127</v>
      </c>
      <c r="J107" s="170">
        <f>'[3]HAL - CAA'!J107</f>
        <v>-29.966688187609613</v>
      </c>
      <c r="K107" s="170">
        <f>'[3]HAL - CAA'!K107</f>
        <v>-49.459578040600135</v>
      </c>
      <c r="L107" s="170">
        <f>'[3]HAL - CAA'!L107</f>
        <v>-54.362256377282925</v>
      </c>
      <c r="M107" s="170">
        <f>'[3]HAL - CAA'!M107</f>
        <v>-64.076533845673438</v>
      </c>
      <c r="N107" s="19"/>
      <c r="O107" s="219">
        <v>-223.50839384556622</v>
      </c>
      <c r="P107" s="553">
        <v>0.7317714962689581</v>
      </c>
    </row>
    <row r="108" spans="2:27">
      <c r="B108" s="94" t="s">
        <v>430</v>
      </c>
      <c r="C108" s="94"/>
      <c r="D108" s="94"/>
      <c r="E108" s="94"/>
      <c r="F108" s="94"/>
      <c r="G108" s="94"/>
      <c r="H108" s="170"/>
      <c r="I108" s="170">
        <f>'[3]HAL - CAA'!I108</f>
        <v>-4</v>
      </c>
      <c r="J108" s="170">
        <f>'[3]HAL - CAA'!J108</f>
        <v>-3.6</v>
      </c>
      <c r="K108" s="170">
        <f>'[3]HAL - CAA'!K108</f>
        <v>-4.3</v>
      </c>
      <c r="L108" s="170">
        <f>'[3]HAL - CAA'!L108</f>
        <v>-18.399999999999999</v>
      </c>
      <c r="M108" s="170">
        <f>'[3]HAL - CAA'!M108</f>
        <v>-30.4</v>
      </c>
      <c r="N108" s="19"/>
      <c r="O108" s="219">
        <v>-60.699999999999996</v>
      </c>
      <c r="P108" s="553">
        <v>0.19873316191523827</v>
      </c>
    </row>
    <row r="109" spans="2:27">
      <c r="B109" s="94" t="s">
        <v>28</v>
      </c>
      <c r="C109" s="94"/>
      <c r="D109" s="94"/>
      <c r="E109" s="94"/>
      <c r="F109" s="94"/>
      <c r="G109" s="94"/>
      <c r="H109" s="94"/>
      <c r="I109" s="170">
        <f>'[3]HAL - CAA'!I109</f>
        <v>-31.060972394400146</v>
      </c>
      <c r="J109" s="170">
        <f>'[3]HAL - CAA'!J109</f>
        <v>-36.400044380359603</v>
      </c>
      <c r="K109" s="170">
        <f>'[3]HAL - CAA'!K109</f>
        <v>-58.006744202489841</v>
      </c>
      <c r="L109" s="170">
        <f>'[3]HAL - CAA'!L109</f>
        <v>-78.421323864853989</v>
      </c>
      <c r="M109" s="170">
        <f>'[3]HAL - CAA'!M109</f>
        <v>-101.54559659213623</v>
      </c>
      <c r="N109" s="19"/>
      <c r="O109" s="219">
        <v>-305.43468143423979</v>
      </c>
      <c r="P109" s="553">
        <v>1</v>
      </c>
    </row>
    <row r="112" spans="2:27">
      <c r="B112" s="84" t="s">
        <v>480</v>
      </c>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c r="AA112" s="84"/>
    </row>
    <row r="115" spans="2:12">
      <c r="B115" s="29" t="s">
        <v>487</v>
      </c>
      <c r="C115" s="18" t="s">
        <v>260</v>
      </c>
      <c r="D115" s="18" t="s">
        <v>261</v>
      </c>
      <c r="E115" s="18" t="s">
        <v>478</v>
      </c>
      <c r="F115" s="18" t="s">
        <v>481</v>
      </c>
      <c r="G115" s="18" t="s">
        <v>482</v>
      </c>
      <c r="H115" s="18" t="s">
        <v>428</v>
      </c>
      <c r="I115" s="18" t="s">
        <v>484</v>
      </c>
      <c r="J115" s="18" t="s">
        <v>636</v>
      </c>
      <c r="K115" s="18" t="s">
        <v>82</v>
      </c>
      <c r="L115" s="18" t="s">
        <v>288</v>
      </c>
    </row>
    <row r="116" spans="2:12">
      <c r="B116" s="18" t="s">
        <v>260</v>
      </c>
      <c r="C116" s="30">
        <v>5304.1145737543011</v>
      </c>
    </row>
    <row r="117" spans="2:12">
      <c r="B117" s="18" t="s">
        <v>261</v>
      </c>
      <c r="D117" s="185">
        <v>5233.9999999999991</v>
      </c>
      <c r="E117" s="185">
        <v>5153.8861710803476</v>
      </c>
      <c r="F117" s="185">
        <v>5076.3061710803477</v>
      </c>
      <c r="G117" s="185">
        <v>5048.0861710803474</v>
      </c>
      <c r="H117" s="185">
        <v>5026.8598834916738</v>
      </c>
      <c r="I117" s="185">
        <v>5016.791606154432</v>
      </c>
      <c r="J117" s="185">
        <v>5016.791606154432</v>
      </c>
    </row>
    <row r="118" spans="2:12">
      <c r="B118" s="18" t="s">
        <v>478</v>
      </c>
      <c r="D118" s="185"/>
      <c r="E118" s="185">
        <v>80.113828919651084</v>
      </c>
      <c r="F118" s="185"/>
      <c r="G118" s="185"/>
      <c r="H118" s="185"/>
    </row>
    <row r="119" spans="2:12">
      <c r="B119" s="18" t="s">
        <v>481</v>
      </c>
      <c r="D119" s="185"/>
      <c r="E119" s="185"/>
      <c r="F119" s="185">
        <v>77.579999999999984</v>
      </c>
    </row>
    <row r="120" spans="2:12">
      <c r="B120" s="18" t="s">
        <v>482</v>
      </c>
      <c r="D120" s="185"/>
      <c r="E120" s="185"/>
      <c r="F120" s="185"/>
      <c r="G120" s="185">
        <v>28.22</v>
      </c>
    </row>
    <row r="121" spans="2:12">
      <c r="B121" s="18" t="s">
        <v>428</v>
      </c>
      <c r="D121" s="185"/>
      <c r="E121" s="185"/>
      <c r="F121" s="185"/>
      <c r="G121" s="185"/>
      <c r="H121" s="185">
        <v>21.226287588673586</v>
      </c>
      <c r="J121" s="185"/>
    </row>
    <row r="122" spans="2:12">
      <c r="B122" s="18" t="s">
        <v>484</v>
      </c>
      <c r="D122" s="185"/>
      <c r="E122" s="185"/>
      <c r="F122" s="185"/>
      <c r="G122" s="185"/>
      <c r="I122" s="185">
        <v>10.068277337241591</v>
      </c>
    </row>
    <row r="123" spans="2:12">
      <c r="B123" s="18" t="s">
        <v>636</v>
      </c>
      <c r="D123" s="185"/>
      <c r="E123" s="185"/>
      <c r="F123" s="185"/>
      <c r="G123" s="185"/>
      <c r="J123" s="185">
        <v>0</v>
      </c>
    </row>
    <row r="124" spans="2:12">
      <c r="B124" s="18" t="s">
        <v>82</v>
      </c>
      <c r="D124" s="185"/>
      <c r="K124" s="185">
        <v>5016.7916061544329</v>
      </c>
    </row>
    <row r="125" spans="2:12">
      <c r="B125" s="18" t="s">
        <v>288</v>
      </c>
      <c r="L125" s="39">
        <v>4048.1219713225028</v>
      </c>
    </row>
    <row r="129" spans="2:27">
      <c r="D129" s="185"/>
    </row>
    <row r="138" spans="2:27">
      <c r="B138" s="329" t="s">
        <v>445</v>
      </c>
      <c r="C138" s="329"/>
      <c r="D138" s="329"/>
      <c r="E138" s="329"/>
      <c r="F138" s="329"/>
      <c r="G138" s="329"/>
      <c r="H138" s="329"/>
      <c r="I138" s="329"/>
      <c r="J138" s="329"/>
      <c r="K138" s="329"/>
      <c r="L138" s="329"/>
      <c r="M138" s="329"/>
      <c r="N138" s="329"/>
      <c r="O138" s="329"/>
      <c r="P138" s="329"/>
      <c r="Q138" s="329"/>
      <c r="R138" s="329"/>
      <c r="S138" s="329"/>
      <c r="T138" s="329"/>
      <c r="U138" s="329"/>
      <c r="V138" s="329"/>
      <c r="W138" s="329"/>
      <c r="X138" s="329"/>
      <c r="Y138" s="329"/>
      <c r="Z138" s="329"/>
      <c r="AA138" s="329"/>
    </row>
  </sheetData>
  <mergeCells count="8">
    <mergeCell ref="C103:G103"/>
    <mergeCell ref="I103:M103"/>
    <mergeCell ref="C8:G8"/>
    <mergeCell ref="I8:M8"/>
    <mergeCell ref="C33:G33"/>
    <mergeCell ref="I33:M33"/>
    <mergeCell ref="C91:G91"/>
    <mergeCell ref="I91:M91"/>
  </mergeCells>
  <pageMargins left="0.70866141732283472" right="0.70866141732283472" top="0.74803149606299213" bottom="0.74803149606299213" header="0.31496062992125984" footer="0.31496062992125984"/>
  <pageSetup paperSize="9" scale="56" fitToWidth="2" orientation="landscape" r:id="rId1"/>
  <headerFooter>
    <oddHeader>&amp;C&amp;A&amp;D</oddHeader>
  </headerFooter>
  <colBreaks count="1" manualBreakCount="1">
    <brk id="15" min="1" max="64" man="1"/>
  </colBreaks>
  <drawing r:id="rId2"/>
</worksheet>
</file>

<file path=xl/worksheets/sheet13.xml><?xml version="1.0" encoding="utf-8"?>
<worksheet xmlns="http://schemas.openxmlformats.org/spreadsheetml/2006/main" xmlns:r="http://schemas.openxmlformats.org/officeDocument/2006/relationships">
  <sheetPr>
    <tabColor theme="5"/>
  </sheetPr>
  <dimension ref="A2:AN195"/>
  <sheetViews>
    <sheetView showGridLines="0" topLeftCell="A43" zoomScale="55" zoomScaleNormal="55" zoomScaleSheetLayoutView="55" workbookViewId="0">
      <selection activeCell="P125" sqref="P125"/>
    </sheetView>
  </sheetViews>
  <sheetFormatPr defaultRowHeight="12.75"/>
  <cols>
    <col min="1" max="1" width="9.140625" style="19"/>
    <col min="2" max="2" width="33.85546875" style="19" customWidth="1"/>
    <col min="3" max="13" width="10.7109375" style="19" customWidth="1"/>
    <col min="14" max="15" width="9.28515625" style="140" customWidth="1"/>
    <col min="16" max="16" width="30" style="140" customWidth="1"/>
    <col min="17" max="20" width="9.28515625" style="19" customWidth="1"/>
    <col min="21" max="21" width="9.28515625" style="61" customWidth="1"/>
    <col min="22" max="22" width="33.42578125" style="140" customWidth="1"/>
    <col min="23" max="25" width="9.28515625" style="19" customWidth="1"/>
    <col min="26" max="26" width="9.140625" style="19"/>
    <col min="27" max="27" width="9.28515625" style="19" bestFit="1" customWidth="1"/>
    <col min="28" max="40" width="9.140625" style="61"/>
    <col min="41" max="16384" width="9.140625" style="19"/>
  </cols>
  <sheetData>
    <row r="2" spans="2:40">
      <c r="B2" s="261" t="s">
        <v>756</v>
      </c>
      <c r="C2" s="38"/>
    </row>
    <row r="3" spans="2:40">
      <c r="B3" s="18"/>
    </row>
    <row r="4" spans="2:40">
      <c r="B4" s="53" t="s">
        <v>745</v>
      </c>
    </row>
    <row r="5" spans="2:40">
      <c r="B5" s="18"/>
    </row>
    <row r="6" spans="2:40">
      <c r="B6" s="84" t="s">
        <v>462</v>
      </c>
      <c r="C6" s="84"/>
      <c r="D6" s="84"/>
      <c r="E6" s="84"/>
      <c r="F6" s="84"/>
      <c r="G6" s="84"/>
      <c r="H6" s="84"/>
      <c r="I6" s="84"/>
      <c r="J6" s="84"/>
      <c r="K6" s="84"/>
      <c r="L6" s="84"/>
      <c r="M6" s="84"/>
      <c r="N6" s="84"/>
      <c r="O6" s="84"/>
      <c r="P6" s="84"/>
      <c r="Q6" s="84"/>
      <c r="R6" s="84"/>
      <c r="S6" s="84"/>
      <c r="T6" s="84"/>
      <c r="U6" s="84"/>
      <c r="V6" s="84"/>
      <c r="W6" s="84"/>
      <c r="X6" s="84"/>
      <c r="Y6" s="84"/>
      <c r="Z6" s="84"/>
      <c r="AA6" s="84"/>
      <c r="AB6" s="84"/>
      <c r="AC6" s="138"/>
      <c r="AD6" s="138"/>
      <c r="AE6" s="138"/>
      <c r="AF6" s="138"/>
      <c r="AG6" s="138"/>
      <c r="AH6" s="138"/>
      <c r="AI6" s="138"/>
      <c r="AJ6" s="138"/>
      <c r="AK6" s="138"/>
      <c r="AL6" s="138"/>
      <c r="AM6" s="138"/>
      <c r="AN6" s="138"/>
    </row>
    <row r="7" spans="2:40">
      <c r="B7" s="18"/>
      <c r="AB7" s="19"/>
    </row>
    <row r="8" spans="2:40">
      <c r="B8" s="84" t="s">
        <v>274</v>
      </c>
      <c r="C8" s="626" t="s">
        <v>30</v>
      </c>
      <c r="D8" s="627"/>
      <c r="E8" s="627"/>
      <c r="F8" s="627"/>
      <c r="G8" s="628"/>
      <c r="H8" s="87" t="s">
        <v>187</v>
      </c>
      <c r="I8" s="626" t="s">
        <v>31</v>
      </c>
      <c r="J8" s="627"/>
      <c r="K8" s="627"/>
      <c r="L8" s="627"/>
      <c r="M8" s="628"/>
      <c r="N8" s="139"/>
      <c r="O8" s="139"/>
      <c r="P8" s="84" t="s">
        <v>275</v>
      </c>
      <c r="Q8" s="84"/>
      <c r="R8" s="84"/>
      <c r="S8" s="84"/>
      <c r="T8" s="84"/>
      <c r="U8" s="138"/>
      <c r="V8" s="84" t="s">
        <v>276</v>
      </c>
      <c r="W8" s="85"/>
      <c r="X8" s="85"/>
      <c r="Y8" s="84"/>
      <c r="Z8" s="84"/>
      <c r="AA8" s="84"/>
      <c r="AB8" s="84"/>
    </row>
    <row r="9" spans="2:40" ht="27.75" customHeight="1">
      <c r="B9" s="29" t="s">
        <v>46</v>
      </c>
      <c r="C9" s="75" t="s">
        <v>12</v>
      </c>
      <c r="D9" s="75" t="s">
        <v>13</v>
      </c>
      <c r="E9" s="75" t="s">
        <v>14</v>
      </c>
      <c r="F9" s="75" t="s">
        <v>15</v>
      </c>
      <c r="G9" s="75" t="s">
        <v>16</v>
      </c>
      <c r="H9" s="75" t="s">
        <v>17</v>
      </c>
      <c r="I9" s="75" t="s">
        <v>32</v>
      </c>
      <c r="J9" s="75" t="s">
        <v>33</v>
      </c>
      <c r="K9" s="75" t="s">
        <v>34</v>
      </c>
      <c r="L9" s="75" t="s">
        <v>35</v>
      </c>
      <c r="M9" s="75" t="s">
        <v>36</v>
      </c>
      <c r="N9" s="141"/>
      <c r="O9" s="141"/>
      <c r="P9" s="29" t="s">
        <v>46</v>
      </c>
      <c r="Q9" s="176" t="s">
        <v>226</v>
      </c>
      <c r="R9" s="176" t="s">
        <v>614</v>
      </c>
      <c r="S9" s="176" t="s">
        <v>225</v>
      </c>
      <c r="T9" s="176" t="s">
        <v>299</v>
      </c>
      <c r="U9" s="150"/>
      <c r="V9" s="29" t="s">
        <v>46</v>
      </c>
      <c r="W9" s="176" t="s">
        <v>37</v>
      </c>
      <c r="X9" s="176" t="s">
        <v>614</v>
      </c>
      <c r="Y9" s="176" t="s">
        <v>206</v>
      </c>
      <c r="Z9" s="176" t="s">
        <v>299</v>
      </c>
      <c r="AA9" s="260" t="s">
        <v>628</v>
      </c>
    </row>
    <row r="10" spans="2:40">
      <c r="B10" s="94" t="str">
        <f>B46</f>
        <v>Passengers (fbp) (m)</v>
      </c>
      <c r="C10" s="104">
        <f t="shared" ref="C10:M11" si="0">C46</f>
        <v>65.900000000000006</v>
      </c>
      <c r="D10" s="104">
        <f t="shared" si="0"/>
        <v>66.099999999999994</v>
      </c>
      <c r="E10" s="104">
        <f t="shared" si="0"/>
        <v>66.099999999999994</v>
      </c>
      <c r="F10" s="181">
        <f t="shared" si="0"/>
        <v>70.067623000000012</v>
      </c>
      <c r="G10" s="104">
        <f t="shared" si="0"/>
        <v>69.599999999999994</v>
      </c>
      <c r="H10" s="181">
        <f t="shared" si="0"/>
        <v>68.8</v>
      </c>
      <c r="I10" s="181">
        <f t="shared" si="0"/>
        <v>69.494122000000004</v>
      </c>
      <c r="J10" s="181">
        <f t="shared" si="0"/>
        <v>70.256156000000004</v>
      </c>
      <c r="K10" s="181">
        <f t="shared" si="0"/>
        <v>71.025689999999997</v>
      </c>
      <c r="L10" s="181">
        <f t="shared" si="0"/>
        <v>71.812779000000006</v>
      </c>
      <c r="M10" s="181">
        <f t="shared" si="0"/>
        <v>72.602541000000002</v>
      </c>
      <c r="N10" s="147"/>
      <c r="O10" s="142"/>
      <c r="P10" s="92" t="str">
        <f t="shared" ref="P10:P11" si="1">B10</f>
        <v>Passengers (fbp) (m)</v>
      </c>
      <c r="Q10" s="128">
        <f>SUM(C10:H10)</f>
        <v>406.56762299999997</v>
      </c>
      <c r="R10" s="129">
        <f>Q10/$Q$11</f>
        <v>1</v>
      </c>
      <c r="S10" s="129">
        <f t="shared" ref="S10" si="2">((H10/C10)^(1/5))-1</f>
        <v>8.6502598161137811E-3</v>
      </c>
      <c r="T10" s="273"/>
      <c r="U10" s="151"/>
      <c r="V10" s="92" t="str">
        <f t="shared" ref="V10:V11" si="3">P10</f>
        <v>Passengers (fbp) (m)</v>
      </c>
      <c r="W10" s="128">
        <f>SUM(I10:M10)</f>
        <v>355.19128799999999</v>
      </c>
      <c r="X10" s="129">
        <f>W10/$W$11</f>
        <v>0.99298654738607772</v>
      </c>
      <c r="Y10" s="129">
        <f t="shared" ref="Y10" si="4">((M10/H10)^(1/5))-1</f>
        <v>1.081732397056423E-2</v>
      </c>
      <c r="Z10" s="273"/>
      <c r="AA10" s="129">
        <f>((M10/$G$47)^(1/6)-1)</f>
        <v>7.0640592307025241E-3</v>
      </c>
      <c r="AB10" s="205"/>
    </row>
    <row r="11" spans="2:40">
      <c r="B11" s="94" t="str">
        <f>B47</f>
        <v>Passengers (r/abp) (m)</v>
      </c>
      <c r="C11" s="104">
        <f t="shared" si="0"/>
        <v>65.900000000000006</v>
      </c>
      <c r="D11" s="104">
        <f t="shared" si="0"/>
        <v>66.099999999999994</v>
      </c>
      <c r="E11" s="104">
        <f t="shared" si="0"/>
        <v>66.099999999999994</v>
      </c>
      <c r="F11" s="181">
        <f t="shared" si="0"/>
        <v>70.067623000000012</v>
      </c>
      <c r="G11" s="104">
        <f t="shared" si="0"/>
        <v>69.599999999999994</v>
      </c>
      <c r="H11" s="181">
        <f t="shared" si="0"/>
        <v>68.8</v>
      </c>
      <c r="I11" s="181">
        <f t="shared" si="0"/>
        <v>70.099999999999994</v>
      </c>
      <c r="J11" s="181">
        <f t="shared" si="0"/>
        <v>70.8</v>
      </c>
      <c r="K11" s="181">
        <f t="shared" si="0"/>
        <v>71.5</v>
      </c>
      <c r="L11" s="181">
        <f t="shared" si="0"/>
        <v>72.3</v>
      </c>
      <c r="M11" s="181">
        <f t="shared" si="0"/>
        <v>73</v>
      </c>
      <c r="N11" s="147"/>
      <c r="O11" s="142"/>
      <c r="P11" s="92" t="str">
        <f t="shared" si="1"/>
        <v>Passengers (r/abp) (m)</v>
      </c>
      <c r="Q11" s="128">
        <f>SUM(C11:H11)</f>
        <v>406.56762299999997</v>
      </c>
      <c r="R11" s="129">
        <f>Q11/$Q$11</f>
        <v>1</v>
      </c>
      <c r="S11" s="129">
        <f t="shared" ref="S11" si="5">((H11/C11)^(1/5))-1</f>
        <v>8.6502598161137811E-3</v>
      </c>
      <c r="T11" s="273"/>
      <c r="U11" s="151"/>
      <c r="V11" s="92" t="str">
        <f t="shared" si="3"/>
        <v>Passengers (r/abp) (m)</v>
      </c>
      <c r="W11" s="128">
        <f>SUM(I11:M11)</f>
        <v>357.7</v>
      </c>
      <c r="X11" s="129">
        <f>W11/$W$11</f>
        <v>1</v>
      </c>
      <c r="Y11" s="129">
        <f t="shared" ref="Y11" si="6">((M11/H11)^(1/5))-1</f>
        <v>1.1921642230787288E-2</v>
      </c>
      <c r="Z11" s="273"/>
      <c r="AA11" s="130">
        <f>((M11/$G$47)^(1/6)-1)</f>
        <v>7.980823975779705E-3</v>
      </c>
      <c r="AB11" s="205"/>
    </row>
    <row r="12" spans="2:40">
      <c r="B12" s="94"/>
      <c r="N12" s="143"/>
      <c r="O12" s="143"/>
      <c r="P12" s="92"/>
      <c r="Q12" s="128"/>
      <c r="R12" s="129"/>
      <c r="S12" s="130"/>
      <c r="T12" s="198"/>
      <c r="U12" s="151"/>
      <c r="V12" s="92"/>
      <c r="W12" s="106"/>
      <c r="X12" s="129"/>
      <c r="Y12" s="130"/>
      <c r="Z12" s="198"/>
      <c r="AA12" s="130"/>
      <c r="AB12" s="205"/>
    </row>
    <row r="13" spans="2:40">
      <c r="B13" s="94" t="str">
        <f>B49</f>
        <v>Total IBP</v>
      </c>
      <c r="C13" s="105">
        <f t="shared" ref="C13:L13" si="7">C49*C$40</f>
        <v>940.05217805933034</v>
      </c>
      <c r="D13" s="105">
        <f t="shared" si="7"/>
        <v>949.75252886482065</v>
      </c>
      <c r="E13" s="105">
        <f t="shared" si="7"/>
        <v>944.12792479820166</v>
      </c>
      <c r="F13" s="105">
        <f t="shared" si="7"/>
        <v>993.30894724294149</v>
      </c>
      <c r="G13" s="105">
        <f t="shared" si="7"/>
        <v>1064</v>
      </c>
      <c r="H13" s="105">
        <f t="shared" si="7"/>
        <v>1059.0672767541118</v>
      </c>
      <c r="I13" s="105">
        <f t="shared" si="7"/>
        <v>1194.9590104258416</v>
      </c>
      <c r="J13" s="105">
        <f t="shared" si="7"/>
        <v>1230.9415625807203</v>
      </c>
      <c r="K13" s="105">
        <f t="shared" si="7"/>
        <v>1199.6085046241203</v>
      </c>
      <c r="L13" s="105">
        <f t="shared" si="7"/>
        <v>1230.9863240920868</v>
      </c>
      <c r="M13" s="105">
        <f>M49*M$40</f>
        <v>1256.0440419626507</v>
      </c>
      <c r="N13" s="144"/>
      <c r="O13" s="144"/>
      <c r="P13" s="92" t="str">
        <f>B13</f>
        <v>Total IBP</v>
      </c>
      <c r="Q13" s="128">
        <f>SUM(C13:H13)</f>
        <v>5950.308855719406</v>
      </c>
      <c r="R13" s="129">
        <f>Q13/$Q$15</f>
        <v>0.97028633746166804</v>
      </c>
      <c r="S13" s="130">
        <f>((H13/C13)^(1/5))-1</f>
        <v>2.4128183488426158E-2</v>
      </c>
      <c r="T13" s="198">
        <f>Q13/$Q$10</f>
        <v>14.635471491342551</v>
      </c>
      <c r="U13" s="151"/>
      <c r="V13" s="92" t="str">
        <f t="shared" ref="V13:V24" si="8">P13</f>
        <v>Total IBP</v>
      </c>
      <c r="W13" s="106">
        <f>SUM(I13:M13)</f>
        <v>6112.5394436854203</v>
      </c>
      <c r="X13" s="129">
        <f t="shared" ref="X13:X14" si="9">W13/$W$15</f>
        <v>1.0356695733993662</v>
      </c>
      <c r="Y13" s="130">
        <f>((M13/H13)^(1/5))-1</f>
        <v>3.4704323270029924E-2</v>
      </c>
      <c r="Z13" s="198">
        <f>W13/$W$10</f>
        <v>17.209148000514642</v>
      </c>
      <c r="AA13" s="130">
        <f>((M13/$G$51)^(1/6)-1)</f>
        <v>3.1577881490848947E-2</v>
      </c>
    </row>
    <row r="14" spans="2:40">
      <c r="B14" s="94" t="str">
        <f>B50</f>
        <v>Total FBP</v>
      </c>
      <c r="C14" s="105">
        <f t="shared" ref="C14:L14" si="10">C50*C$40</f>
        <v>957.91581756258552</v>
      </c>
      <c r="D14" s="105">
        <f t="shared" si="10"/>
        <v>984.55236824549684</v>
      </c>
      <c r="E14" s="105">
        <f t="shared" si="10"/>
        <v>979.40636915838604</v>
      </c>
      <c r="F14" s="105">
        <f t="shared" si="10"/>
        <v>1029.5</v>
      </c>
      <c r="G14" s="105">
        <f t="shared" si="10"/>
        <v>1074.5047680910081</v>
      </c>
      <c r="H14" s="105">
        <f t="shared" si="10"/>
        <v>1106.6494223083498</v>
      </c>
      <c r="I14" s="105">
        <f t="shared" si="10"/>
        <v>1172.0742640854951</v>
      </c>
      <c r="J14" s="105">
        <f t="shared" si="10"/>
        <v>1175.9018426882458</v>
      </c>
      <c r="K14" s="105">
        <f t="shared" si="10"/>
        <v>1192.836442041943</v>
      </c>
      <c r="L14" s="105">
        <f t="shared" si="10"/>
        <v>1223.7498251535462</v>
      </c>
      <c r="M14" s="105">
        <f>M50*M$40</f>
        <v>1270.8652034106472</v>
      </c>
      <c r="N14" s="144"/>
      <c r="O14" s="144"/>
      <c r="P14" s="92" t="str">
        <f t="shared" ref="P14:P15" si="11">B14</f>
        <v>Total FBP</v>
      </c>
      <c r="Q14" s="128">
        <f>SUM(C14:H14)</f>
        <v>6132.5287453658266</v>
      </c>
      <c r="R14" s="129">
        <f t="shared" ref="R14:R29" si="12">Q14/$Q$15</f>
        <v>1</v>
      </c>
      <c r="S14" s="130">
        <f>((H14/C14)^(1/5))-1</f>
        <v>2.9287132207392874E-2</v>
      </c>
      <c r="T14" s="198">
        <f>Q14/$Q$10</f>
        <v>15.08366234407659</v>
      </c>
      <c r="U14" s="151"/>
      <c r="V14" s="92" t="str">
        <f t="shared" si="8"/>
        <v>Total FBP</v>
      </c>
      <c r="W14" s="106">
        <f>SUM(I14:M14)</f>
        <v>6035.4275773798772</v>
      </c>
      <c r="X14" s="129">
        <f t="shared" si="9"/>
        <v>1.0226042321583877</v>
      </c>
      <c r="Y14" s="130">
        <f t="shared" ref="Y14" si="13">((M14/H14)^(1/5))-1</f>
        <v>2.8058635500998852E-2</v>
      </c>
      <c r="Z14" s="198">
        <f>W14/$W$10</f>
        <v>16.992048457505742</v>
      </c>
      <c r="AA14" s="130">
        <f>((M14/$G$51)^(1/6)-1)</f>
        <v>3.359672642244993E-2</v>
      </c>
    </row>
    <row r="15" spans="2:40">
      <c r="B15" s="94" t="str">
        <f>B51</f>
        <v>Total ABP</v>
      </c>
      <c r="C15" s="105">
        <f t="shared" ref="C15:L15" si="14">C51*C$40</f>
        <v>957.91581756258552</v>
      </c>
      <c r="D15" s="105">
        <f t="shared" si="14"/>
        <v>984.55236824549684</v>
      </c>
      <c r="E15" s="105">
        <f t="shared" si="14"/>
        <v>979.40636915838604</v>
      </c>
      <c r="F15" s="105">
        <f t="shared" si="14"/>
        <v>1029.5</v>
      </c>
      <c r="G15" s="105">
        <f t="shared" si="14"/>
        <v>1074.5047680910081</v>
      </c>
      <c r="H15" s="105">
        <f t="shared" si="14"/>
        <v>1106.6494223083498</v>
      </c>
      <c r="I15" s="105">
        <f t="shared" si="14"/>
        <v>1161.0230924329974</v>
      </c>
      <c r="J15" s="105">
        <f t="shared" si="14"/>
        <v>1152.6055684450653</v>
      </c>
      <c r="K15" s="105">
        <f t="shared" si="14"/>
        <v>1165.2650774725014</v>
      </c>
      <c r="L15" s="105">
        <f t="shared" si="14"/>
        <v>1187.627876726837</v>
      </c>
      <c r="M15" s="105">
        <f>M51*M$40</f>
        <v>1235.4953995021654</v>
      </c>
      <c r="N15" s="144"/>
      <c r="O15" s="144"/>
      <c r="P15" s="92" t="str">
        <f t="shared" si="11"/>
        <v>Total ABP</v>
      </c>
      <c r="Q15" s="128">
        <f>SUM(C15:H15)</f>
        <v>6132.5287453658266</v>
      </c>
      <c r="R15" s="129">
        <f t="shared" si="12"/>
        <v>1</v>
      </c>
      <c r="S15" s="130">
        <f>((H15/C15)^(1/5))-1</f>
        <v>2.9287132207392874E-2</v>
      </c>
      <c r="T15" s="198">
        <f>Q15/$Q$10</f>
        <v>15.08366234407659</v>
      </c>
      <c r="U15" s="151"/>
      <c r="V15" s="92" t="str">
        <f t="shared" ref="V15" si="15">P15</f>
        <v>Total ABP</v>
      </c>
      <c r="W15" s="106">
        <f>SUM(I15:M15)</f>
        <v>5902.0170145795664</v>
      </c>
      <c r="X15" s="129">
        <f>W15/$W$15</f>
        <v>1</v>
      </c>
      <c r="Y15" s="130">
        <f t="shared" ref="Y15" si="16">((M15/H15)^(1/5))-1</f>
        <v>2.2271408111532054E-2</v>
      </c>
      <c r="Z15" s="198">
        <f>W15/$W$11</f>
        <v>16.499907784678687</v>
      </c>
      <c r="AA15" s="130">
        <f>((M15/$G$51)^(1/6)-1)</f>
        <v>2.8745777852292376E-2</v>
      </c>
    </row>
    <row r="16" spans="2:40">
      <c r="B16" s="94"/>
      <c r="C16" s="105"/>
      <c r="D16" s="105"/>
      <c r="E16" s="105"/>
      <c r="F16" s="105"/>
      <c r="G16" s="105"/>
      <c r="H16" s="105"/>
      <c r="I16" s="105"/>
      <c r="J16" s="105"/>
      <c r="K16" s="105"/>
      <c r="L16" s="105"/>
      <c r="M16" s="105"/>
      <c r="N16" s="144"/>
      <c r="O16" s="144"/>
      <c r="P16" s="92"/>
      <c r="Q16" s="128"/>
      <c r="R16" s="129"/>
      <c r="S16" s="130"/>
      <c r="T16" s="198"/>
      <c r="U16" s="151"/>
      <c r="V16" s="92"/>
      <c r="W16" s="106"/>
      <c r="X16" s="129"/>
      <c r="Y16" s="130"/>
      <c r="Z16" s="198"/>
      <c r="AA16" s="130"/>
    </row>
    <row r="17" spans="2:27">
      <c r="B17" s="94" t="str">
        <f>B54</f>
        <v>CAA - ip - Efficiency relative to FBP</v>
      </c>
      <c r="C17" s="97"/>
      <c r="D17" s="97"/>
      <c r="E17" s="97"/>
      <c r="F17" s="97"/>
      <c r="G17" s="97"/>
      <c r="H17" s="97"/>
      <c r="I17" s="105">
        <f t="shared" ref="I17:L17" si="17">I54*I$40</f>
        <v>-17.598814681857956</v>
      </c>
      <c r="J17" s="105">
        <f t="shared" si="17"/>
        <v>-22.586956663234051</v>
      </c>
      <c r="K17" s="105">
        <f t="shared" si="17"/>
        <v>-46.55935732327233</v>
      </c>
      <c r="L17" s="105">
        <f t="shared" si="17"/>
        <v>-70.535538268200767</v>
      </c>
      <c r="M17" s="105">
        <f>M54*M$40</f>
        <v>-99.227027809718805</v>
      </c>
      <c r="N17" s="144"/>
      <c r="O17" s="144"/>
      <c r="P17" s="248" t="str">
        <f t="shared" ref="P17" si="18">B17</f>
        <v>CAA - ip - Efficiency relative to FBP</v>
      </c>
      <c r="Q17" s="580">
        <f t="shared" ref="Q17" si="19">SUM(C17:H17)</f>
        <v>0</v>
      </c>
      <c r="R17" s="581">
        <f t="shared" si="12"/>
        <v>0</v>
      </c>
      <c r="S17" s="582"/>
      <c r="T17" s="583">
        <f t="shared" ref="T17:T24" si="20">Q17/$Q$10</f>
        <v>0</v>
      </c>
      <c r="U17" s="151"/>
      <c r="V17" s="248" t="str">
        <f t="shared" si="8"/>
        <v>CAA - ip - Efficiency relative to FBP</v>
      </c>
      <c r="W17" s="367">
        <f>SUM(I17:M17)</f>
        <v>-256.50769474628396</v>
      </c>
      <c r="X17" s="581">
        <f>W17/$W$15</f>
        <v>-4.3461022581371946E-2</v>
      </c>
      <c r="Y17" s="582" t="s">
        <v>334</v>
      </c>
      <c r="Z17" s="583">
        <f t="shared" ref="Z17:Z24" si="21">W17/$W$10</f>
        <v>-0.72216775414346301</v>
      </c>
      <c r="AA17" s="582"/>
    </row>
    <row r="18" spans="2:27">
      <c r="B18" s="212" t="str">
        <f>B55</f>
        <v>LACC - Efficiency relative to FBP</v>
      </c>
      <c r="C18" s="96"/>
      <c r="D18" s="96"/>
      <c r="E18" s="96"/>
      <c r="F18" s="96"/>
      <c r="G18" s="96"/>
      <c r="H18" s="96"/>
      <c r="I18" s="96">
        <f>I55*I$40</f>
        <v>-85.592407896796189</v>
      </c>
      <c r="J18" s="96">
        <f t="shared" ref="J18:L18" si="22">J55*J$40</f>
        <v>-176.96208319339257</v>
      </c>
      <c r="K18" s="96">
        <f t="shared" si="22"/>
        <v>-273.40641853379157</v>
      </c>
      <c r="L18" s="96">
        <f t="shared" si="22"/>
        <v>-375.47814811974041</v>
      </c>
      <c r="M18" s="96">
        <f>M55*M$40</f>
        <v>-483.42811570416575</v>
      </c>
      <c r="N18" s="144"/>
      <c r="O18" s="144"/>
      <c r="P18" s="248" t="str">
        <f t="shared" ref="P18" si="23">B18</f>
        <v>LACC - Efficiency relative to FBP</v>
      </c>
      <c r="Q18" s="580">
        <f t="shared" ref="Q18" si="24">SUM(C18:H18)</f>
        <v>0</v>
      </c>
      <c r="R18" s="581">
        <f t="shared" si="12"/>
        <v>0</v>
      </c>
      <c r="S18" s="582"/>
      <c r="T18" s="583">
        <f t="shared" ref="T18" si="25">Q18/$Q$10</f>
        <v>0</v>
      </c>
      <c r="U18" s="151"/>
      <c r="V18" s="248" t="str">
        <f t="shared" ref="V18" si="26">P18</f>
        <v>LACC - Efficiency relative to FBP</v>
      </c>
      <c r="W18" s="367">
        <f>SUM(I18:M18)</f>
        <v>-1394.8671734478864</v>
      </c>
      <c r="X18" s="581">
        <f>W18/$W$15</f>
        <v>-0.23633736907267297</v>
      </c>
      <c r="Y18" s="582" t="s">
        <v>334</v>
      </c>
      <c r="Z18" s="583">
        <f t="shared" ref="Z18" si="27">W18/$W$10</f>
        <v>-3.9270872360131945</v>
      </c>
      <c r="AA18" s="582"/>
    </row>
    <row r="19" spans="2:27">
      <c r="B19" s="212"/>
      <c r="C19" s="96"/>
      <c r="D19" s="96"/>
      <c r="E19" s="96"/>
      <c r="F19" s="96"/>
      <c r="G19" s="96"/>
      <c r="H19" s="96"/>
      <c r="I19" s="96"/>
      <c r="J19" s="96"/>
      <c r="K19" s="96"/>
      <c r="L19" s="96"/>
      <c r="M19" s="96"/>
      <c r="N19" s="144"/>
      <c r="O19" s="144"/>
      <c r="P19" s="248"/>
      <c r="Q19" s="580"/>
      <c r="R19" s="581">
        <f t="shared" si="12"/>
        <v>0</v>
      </c>
      <c r="S19" s="582"/>
      <c r="T19" s="583"/>
      <c r="U19" s="151"/>
      <c r="V19" s="248"/>
      <c r="W19" s="367"/>
      <c r="X19" s="581"/>
      <c r="Y19" s="582"/>
      <c r="Z19" s="583"/>
      <c r="AA19" s="582"/>
    </row>
    <row r="20" spans="2:27">
      <c r="B20" s="212" t="str">
        <f t="shared" ref="B20:B22" si="28">B57</f>
        <v>CAA - fp - Efficiency - low stretch</v>
      </c>
      <c r="C20" s="96"/>
      <c r="D20" s="96"/>
      <c r="E20" s="96"/>
      <c r="F20" s="96"/>
      <c r="G20" s="96"/>
      <c r="H20" s="96"/>
      <c r="I20" s="96">
        <f t="shared" ref="I20:M22" si="29">I57*I$40</f>
        <v>-13.245084130036687</v>
      </c>
      <c r="J20" s="96">
        <f t="shared" si="29"/>
        <v>-21.309361906840525</v>
      </c>
      <c r="K20" s="96">
        <f t="shared" si="29"/>
        <v>-27.609031822315391</v>
      </c>
      <c r="L20" s="96">
        <f t="shared" si="29"/>
        <v>-45.782612561219615</v>
      </c>
      <c r="M20" s="96">
        <f t="shared" si="29"/>
        <v>-64.335442123836785</v>
      </c>
      <c r="N20" s="144"/>
      <c r="O20" s="144"/>
      <c r="P20" s="248" t="str">
        <f t="shared" ref="P20" si="30">B20</f>
        <v>CAA - fp - Efficiency - low stretch</v>
      </c>
      <c r="Q20" s="580">
        <f t="shared" ref="Q20" si="31">SUM(C20:H20)</f>
        <v>0</v>
      </c>
      <c r="R20" s="581">
        <f t="shared" si="12"/>
        <v>0</v>
      </c>
      <c r="S20" s="582"/>
      <c r="T20" s="583">
        <f t="shared" ref="T20" si="32">Q20/$Q$10</f>
        <v>0</v>
      </c>
      <c r="U20" s="151"/>
      <c r="V20" s="248" t="str">
        <f t="shared" ref="V20" si="33">P20</f>
        <v>CAA - fp - Efficiency - low stretch</v>
      </c>
      <c r="W20" s="367">
        <f t="shared" ref="W20" si="34">SUM(I20:M20)</f>
        <v>-172.28153254424899</v>
      </c>
      <c r="X20" s="581">
        <f t="shared" ref="X20:X25" si="35">W20/$W$15</f>
        <v>-2.9190280563181598E-2</v>
      </c>
      <c r="Y20" s="582" t="s">
        <v>334</v>
      </c>
      <c r="Z20" s="583">
        <f t="shared" ref="Z20" si="36">W20/$W$10</f>
        <v>-0.48503873367594813</v>
      </c>
      <c r="AA20" s="582"/>
    </row>
    <row r="21" spans="2:27">
      <c r="B21" s="212" t="str">
        <f t="shared" si="28"/>
        <v>CAA - fp - Efficiency - mid stretch</v>
      </c>
      <c r="C21" s="96"/>
      <c r="D21" s="96"/>
      <c r="E21" s="96"/>
      <c r="F21" s="96"/>
      <c r="G21" s="96"/>
      <c r="H21" s="96"/>
      <c r="I21" s="96">
        <f t="shared" si="29"/>
        <v>-15.56948812114895</v>
      </c>
      <c r="J21" s="96">
        <f t="shared" si="29"/>
        <v>-25.937586268000036</v>
      </c>
      <c r="K21" s="96">
        <f t="shared" si="29"/>
        <v>-34.417736328176268</v>
      </c>
      <c r="L21" s="96">
        <f t="shared" si="29"/>
        <v>-54.863593371400825</v>
      </c>
      <c r="M21" s="96">
        <f t="shared" si="29"/>
        <v>-75.931436211472516</v>
      </c>
      <c r="N21" s="144"/>
      <c r="O21" s="144"/>
      <c r="P21" s="248" t="str">
        <f t="shared" ref="P21:P22" si="37">B21</f>
        <v>CAA - fp - Efficiency - mid stretch</v>
      </c>
      <c r="Q21" s="580">
        <f t="shared" ref="Q21:Q22" si="38">SUM(C21:H21)</f>
        <v>0</v>
      </c>
      <c r="R21" s="581">
        <f t="shared" si="12"/>
        <v>0</v>
      </c>
      <c r="S21" s="582"/>
      <c r="T21" s="583">
        <f t="shared" ref="T21:T22" si="39">Q21/$Q$10</f>
        <v>0</v>
      </c>
      <c r="U21" s="151"/>
      <c r="V21" s="248" t="str">
        <f t="shared" ref="V21:V22" si="40">P21</f>
        <v>CAA - fp - Efficiency - mid stretch</v>
      </c>
      <c r="W21" s="367">
        <f t="shared" ref="W21:W22" si="41">SUM(I21:M21)</f>
        <v>-206.71984030019857</v>
      </c>
      <c r="X21" s="581">
        <f t="shared" si="35"/>
        <v>-3.5025287082288151E-2</v>
      </c>
      <c r="Y21" s="582" t="s">
        <v>334</v>
      </c>
      <c r="Z21" s="583">
        <f t="shared" ref="Z21:Z22" si="42">W21/$W$10</f>
        <v>-0.58199580700357323</v>
      </c>
      <c r="AA21" s="582"/>
    </row>
    <row r="22" spans="2:27">
      <c r="B22" s="212" t="str">
        <f t="shared" si="28"/>
        <v>CAA - fp - Efficiency - high stretch</v>
      </c>
      <c r="C22" s="96"/>
      <c r="D22" s="96"/>
      <c r="E22" s="96"/>
      <c r="F22" s="96"/>
      <c r="G22" s="96"/>
      <c r="H22" s="96"/>
      <c r="I22" s="96">
        <f t="shared" si="29"/>
        <v>-20.693419627571771</v>
      </c>
      <c r="J22" s="96">
        <f t="shared" si="29"/>
        <v>-35.330628498684732</v>
      </c>
      <c r="K22" s="96">
        <f t="shared" si="29"/>
        <v>-47.563284507800077</v>
      </c>
      <c r="L22" s="96">
        <f t="shared" si="29"/>
        <v>-69.730406874704386</v>
      </c>
      <c r="M22" s="96">
        <f t="shared" si="29"/>
        <v>-96.384376626904725</v>
      </c>
      <c r="N22" s="144"/>
      <c r="O22" s="144"/>
      <c r="P22" s="248" t="str">
        <f t="shared" si="37"/>
        <v>CAA - fp - Efficiency - high stretch</v>
      </c>
      <c r="Q22" s="580">
        <f t="shared" si="38"/>
        <v>0</v>
      </c>
      <c r="R22" s="581">
        <f t="shared" si="12"/>
        <v>0</v>
      </c>
      <c r="S22" s="582"/>
      <c r="T22" s="583">
        <f t="shared" si="39"/>
        <v>0</v>
      </c>
      <c r="U22" s="151"/>
      <c r="V22" s="248" t="str">
        <f t="shared" si="40"/>
        <v>CAA - fp - Efficiency - high stretch</v>
      </c>
      <c r="W22" s="367">
        <f t="shared" si="41"/>
        <v>-269.70211613566568</v>
      </c>
      <c r="X22" s="581">
        <f t="shared" si="35"/>
        <v>-4.5696600919554964E-2</v>
      </c>
      <c r="Y22" s="582" t="s">
        <v>334</v>
      </c>
      <c r="Z22" s="583">
        <f t="shared" si="42"/>
        <v>-0.75931512187220562</v>
      </c>
      <c r="AA22" s="582"/>
    </row>
    <row r="23" spans="2:27">
      <c r="B23" s="212"/>
      <c r="C23" s="96"/>
      <c r="D23" s="96"/>
      <c r="E23" s="96"/>
      <c r="F23" s="96"/>
      <c r="G23" s="96"/>
      <c r="H23" s="96"/>
      <c r="I23" s="96"/>
      <c r="J23" s="96"/>
      <c r="K23" s="96"/>
      <c r="L23" s="96"/>
      <c r="M23" s="96"/>
      <c r="N23" s="144"/>
      <c r="O23" s="144"/>
      <c r="P23" s="248"/>
      <c r="Q23" s="580"/>
      <c r="R23" s="581"/>
      <c r="S23" s="582"/>
      <c r="T23" s="583"/>
      <c r="U23" s="151"/>
      <c r="V23" s="248"/>
      <c r="W23" s="367"/>
      <c r="X23" s="581"/>
      <c r="Y23" s="582"/>
      <c r="Z23" s="583"/>
      <c r="AA23" s="582"/>
    </row>
    <row r="24" spans="2:27">
      <c r="B24" s="212" t="str">
        <f>B61</f>
        <v>CAA - ip - opex</v>
      </c>
      <c r="C24" s="97"/>
      <c r="D24" s="97"/>
      <c r="E24" s="97"/>
      <c r="F24" s="97"/>
      <c r="G24" s="97"/>
      <c r="H24" s="96"/>
      <c r="I24" s="96">
        <f t="shared" ref="I24:M25" si="43">I61*I$40</f>
        <v>1154.475449403637</v>
      </c>
      <c r="J24" s="96">
        <f t="shared" si="43"/>
        <v>1153.3148860250117</v>
      </c>
      <c r="K24" s="96">
        <f t="shared" si="43"/>
        <v>1146.2770847186705</v>
      </c>
      <c r="L24" s="96">
        <f t="shared" si="43"/>
        <v>1153.2142868853452</v>
      </c>
      <c r="M24" s="96">
        <f t="shared" si="43"/>
        <v>1171.6381756009284</v>
      </c>
      <c r="N24" s="144"/>
      <c r="O24" s="144"/>
      <c r="P24" s="248" t="str">
        <f t="shared" ref="P24" si="44">B24</f>
        <v>CAA - ip - opex</v>
      </c>
      <c r="Q24" s="580">
        <f t="shared" ref="Q24" si="45">SUM(C24:H24)</f>
        <v>0</v>
      </c>
      <c r="R24" s="581">
        <f t="shared" si="12"/>
        <v>0</v>
      </c>
      <c r="S24" s="582"/>
      <c r="T24" s="583">
        <f t="shared" si="20"/>
        <v>0</v>
      </c>
      <c r="U24" s="151"/>
      <c r="V24" s="248" t="str">
        <f t="shared" si="8"/>
        <v>CAA - ip - opex</v>
      </c>
      <c r="W24" s="367">
        <f t="shared" ref="W24" si="46">SUM(I24:M24)</f>
        <v>5778.9198826335933</v>
      </c>
      <c r="X24" s="581">
        <f t="shared" si="35"/>
        <v>0.97914320957701573</v>
      </c>
      <c r="Y24" s="582">
        <f>((M24/H14)^(1/5))-1</f>
        <v>1.1478580618651479E-2</v>
      </c>
      <c r="Z24" s="583">
        <f t="shared" si="21"/>
        <v>16.269880703362279</v>
      </c>
      <c r="AA24" s="582">
        <f t="shared" ref="AA24:AA28" si="47">((M24/$G$51)^(1/6)-1)</f>
        <v>1.9686796926329908E-2</v>
      </c>
    </row>
    <row r="25" spans="2:27">
      <c r="B25" s="212" t="str">
        <f>B62</f>
        <v>LACC - opex</v>
      </c>
      <c r="C25" s="97"/>
      <c r="D25" s="97"/>
      <c r="E25" s="97"/>
      <c r="F25" s="97"/>
      <c r="G25" s="97"/>
      <c r="H25" s="96"/>
      <c r="I25" s="96">
        <f t="shared" si="43"/>
        <v>1086.4818561886989</v>
      </c>
      <c r="J25" s="96">
        <f t="shared" si="43"/>
        <v>998.93975949485332</v>
      </c>
      <c r="K25" s="96">
        <f t="shared" si="43"/>
        <v>919.43002350815129</v>
      </c>
      <c r="L25" s="96">
        <f t="shared" si="43"/>
        <v>848.27167703380576</v>
      </c>
      <c r="M25" s="96">
        <f t="shared" si="43"/>
        <v>787.43708770648152</v>
      </c>
      <c r="N25" s="144"/>
      <c r="O25" s="144"/>
      <c r="P25" s="248" t="str">
        <f t="shared" ref="P25" si="48">B25</f>
        <v>LACC - opex</v>
      </c>
      <c r="Q25" s="580">
        <f t="shared" ref="Q25" si="49">SUM(C25:H25)</f>
        <v>0</v>
      </c>
      <c r="R25" s="581">
        <f t="shared" si="12"/>
        <v>0</v>
      </c>
      <c r="S25" s="582"/>
      <c r="T25" s="583">
        <f t="shared" ref="T25" si="50">Q25/$Q$10</f>
        <v>0</v>
      </c>
      <c r="U25" s="151"/>
      <c r="V25" s="248" t="str">
        <f t="shared" ref="V25" si="51">P25</f>
        <v>LACC - opex</v>
      </c>
      <c r="W25" s="367">
        <f t="shared" ref="W25" si="52">SUM(I25:M25)</f>
        <v>4640.5604039319905</v>
      </c>
      <c r="X25" s="581">
        <f t="shared" si="35"/>
        <v>0.7862668630857147</v>
      </c>
      <c r="Y25" s="582">
        <f>((M25/H15)^(1/5))-1</f>
        <v>-6.579720812362988E-2</v>
      </c>
      <c r="Z25" s="583">
        <f t="shared" ref="Z25" si="53">W25/$W$10</f>
        <v>13.064961221492545</v>
      </c>
      <c r="AA25" s="582">
        <f t="shared" si="47"/>
        <v>-4.5658401237458346E-2</v>
      </c>
    </row>
    <row r="26" spans="2:27">
      <c r="B26" s="212"/>
      <c r="C26" s="97"/>
      <c r="D26" s="97"/>
      <c r="E26" s="97"/>
      <c r="F26" s="97"/>
      <c r="G26" s="97"/>
      <c r="H26" s="96"/>
      <c r="I26" s="96"/>
      <c r="J26" s="96"/>
      <c r="K26" s="96"/>
      <c r="L26" s="96"/>
      <c r="M26" s="96"/>
      <c r="N26" s="144"/>
      <c r="O26" s="144"/>
      <c r="P26" s="248"/>
      <c r="Q26" s="580"/>
      <c r="R26" s="581"/>
      <c r="S26" s="582"/>
      <c r="T26" s="583"/>
      <c r="U26" s="151"/>
      <c r="V26" s="248"/>
      <c r="W26" s="367"/>
      <c r="X26" s="581"/>
      <c r="Y26" s="582"/>
      <c r="Z26" s="583"/>
      <c r="AA26" s="582"/>
    </row>
    <row r="27" spans="2:27">
      <c r="B27" s="212" t="str">
        <f>B64</f>
        <v>CAA - fp - opex - low stretch</v>
      </c>
      <c r="C27" s="97"/>
      <c r="D27" s="97"/>
      <c r="E27" s="97"/>
      <c r="F27" s="97"/>
      <c r="G27" s="97"/>
      <c r="H27" s="96"/>
      <c r="I27" s="96">
        <f>I64*I$40</f>
        <v>1147.7780083029604</v>
      </c>
      <c r="J27" s="96">
        <f t="shared" ref="J27:M27" si="54">J64*J$40</f>
        <v>1131.2962065382249</v>
      </c>
      <c r="K27" s="96">
        <f t="shared" si="54"/>
        <v>1137.6560456501859</v>
      </c>
      <c r="L27" s="96">
        <f t="shared" si="54"/>
        <v>1141.8452641656174</v>
      </c>
      <c r="M27" s="96">
        <f t="shared" si="54"/>
        <v>1171.1599573783285</v>
      </c>
      <c r="N27" s="144"/>
      <c r="O27" s="144"/>
      <c r="P27" s="248" t="str">
        <f t="shared" ref="P27" si="55">B27</f>
        <v>CAA - fp - opex - low stretch</v>
      </c>
      <c r="Q27" s="580">
        <f t="shared" ref="Q27" si="56">SUM(C27:H27)</f>
        <v>0</v>
      </c>
      <c r="R27" s="581">
        <f t="shared" si="12"/>
        <v>0</v>
      </c>
      <c r="S27" s="582"/>
      <c r="T27" s="583">
        <f t="shared" ref="T27" si="57">Q27/$Q$10</f>
        <v>0</v>
      </c>
      <c r="U27" s="151"/>
      <c r="V27" s="248" t="str">
        <f t="shared" ref="V27" si="58">P27</f>
        <v>CAA - fp - opex - low stretch</v>
      </c>
      <c r="W27" s="367">
        <f t="shared" ref="W27" si="59">SUM(I27:M27)</f>
        <v>5729.7354820353175</v>
      </c>
      <c r="X27" s="581">
        <f>W27/$W$15</f>
        <v>0.97080971943681837</v>
      </c>
      <c r="Y27" s="582">
        <f>((M27/H15)^(1/5))-1</f>
        <v>1.1395997703404381E-2</v>
      </c>
      <c r="Z27" s="583">
        <f>W27/$W$11</f>
        <v>16.018270847177295</v>
      </c>
      <c r="AA27" s="582">
        <f t="shared" si="47"/>
        <v>1.9617418886678228E-2</v>
      </c>
    </row>
    <row r="28" spans="2:27">
      <c r="B28" s="212" t="str">
        <f t="shared" ref="B28:B29" si="60">B65</f>
        <v>CAA - fp - opex - mid stretch</v>
      </c>
      <c r="C28" s="97"/>
      <c r="D28" s="97"/>
      <c r="E28" s="97"/>
      <c r="F28" s="97"/>
      <c r="G28" s="97"/>
      <c r="H28" s="96"/>
      <c r="I28" s="96">
        <f t="shared" ref="I28:L28" si="61">I65*I$40</f>
        <v>1145.4536043118483</v>
      </c>
      <c r="J28" s="96">
        <f t="shared" si="61"/>
        <v>1126.6679821770654</v>
      </c>
      <c r="K28" s="96">
        <f t="shared" si="61"/>
        <v>1130.8473411443251</v>
      </c>
      <c r="L28" s="96">
        <f t="shared" si="61"/>
        <v>1132.7642833554362</v>
      </c>
      <c r="M28" s="96">
        <f>M65*M$40</f>
        <v>1159.5639632906928</v>
      </c>
      <c r="N28" s="144"/>
      <c r="O28" s="144"/>
      <c r="P28" s="248" t="str">
        <f t="shared" ref="P28:P29" si="62">B28</f>
        <v>CAA - fp - opex - mid stretch</v>
      </c>
      <c r="Q28" s="580">
        <f t="shared" ref="Q28:Q29" si="63">SUM(C28:H28)</f>
        <v>0</v>
      </c>
      <c r="R28" s="581">
        <f t="shared" si="12"/>
        <v>0</v>
      </c>
      <c r="S28" s="582"/>
      <c r="T28" s="583">
        <f t="shared" ref="T28:T29" si="64">Q28/$Q$10</f>
        <v>0</v>
      </c>
      <c r="U28" s="151"/>
      <c r="V28" s="248" t="str">
        <f t="shared" ref="V28:V29" si="65">P28</f>
        <v>CAA - fp - opex - mid stretch</v>
      </c>
      <c r="W28" s="367">
        <f t="shared" ref="W28:W29" si="66">SUM(I28:M28)</f>
        <v>5695.297174279367</v>
      </c>
      <c r="X28" s="581">
        <f>W28/$W$15</f>
        <v>0.96497471291771175</v>
      </c>
      <c r="Y28" s="582">
        <f>((M28/H15)^(1/5))-1</f>
        <v>9.3851930645725279E-3</v>
      </c>
      <c r="Z28" s="583">
        <f t="shared" ref="Z28:Z29" si="67">W28/$W$11</f>
        <v>15.921993777689034</v>
      </c>
      <c r="AA28" s="582">
        <f t="shared" si="47"/>
        <v>1.7927847091142146E-2</v>
      </c>
    </row>
    <row r="29" spans="2:27">
      <c r="B29" s="212" t="str">
        <f t="shared" si="60"/>
        <v>CAA - fp - opex - high stretch</v>
      </c>
      <c r="C29" s="97"/>
      <c r="D29" s="97"/>
      <c r="E29" s="97"/>
      <c r="F29" s="97"/>
      <c r="G29" s="97"/>
      <c r="H29" s="96"/>
      <c r="I29" s="96">
        <f t="shared" ref="I29:M29" si="68">I66*I$40</f>
        <v>1140.3296728054256</v>
      </c>
      <c r="J29" s="96">
        <f t="shared" si="68"/>
        <v>1117.2749399463808</v>
      </c>
      <c r="K29" s="96">
        <f t="shared" si="68"/>
        <v>1117.7017929647013</v>
      </c>
      <c r="L29" s="96">
        <f t="shared" si="68"/>
        <v>1117.8974698521326</v>
      </c>
      <c r="M29" s="96">
        <f t="shared" si="68"/>
        <v>1139.1110228752607</v>
      </c>
      <c r="N29" s="144"/>
      <c r="O29" s="144"/>
      <c r="P29" s="248" t="str">
        <f t="shared" si="62"/>
        <v>CAA - fp - opex - high stretch</v>
      </c>
      <c r="Q29" s="580">
        <f t="shared" si="63"/>
        <v>0</v>
      </c>
      <c r="R29" s="581">
        <f t="shared" si="12"/>
        <v>0</v>
      </c>
      <c r="S29" s="582"/>
      <c r="T29" s="583">
        <f t="shared" si="64"/>
        <v>0</v>
      </c>
      <c r="U29" s="151"/>
      <c r="V29" s="248" t="str">
        <f t="shared" si="65"/>
        <v>CAA - fp - opex - high stretch</v>
      </c>
      <c r="W29" s="367">
        <f t="shared" si="66"/>
        <v>5632.3148984439013</v>
      </c>
      <c r="X29" s="581">
        <f>W29/$W$15</f>
        <v>0.95430339908044515</v>
      </c>
      <c r="Y29" s="582">
        <f>((M29/H15)^(1/5))-1</f>
        <v>5.7989978292862787E-3</v>
      </c>
      <c r="Z29" s="583">
        <f t="shared" si="67"/>
        <v>15.74591808343277</v>
      </c>
      <c r="AA29" s="582">
        <f t="shared" ref="AA29" si="69">((M29/$G$51)^(1/6)-1)</f>
        <v>1.491316521703312E-2</v>
      </c>
    </row>
    <row r="30" spans="2:27" ht="15" customHeight="1">
      <c r="B30" s="212"/>
      <c r="C30" s="96"/>
      <c r="D30" s="96"/>
      <c r="E30" s="96"/>
      <c r="F30" s="96"/>
      <c r="G30" s="96"/>
      <c r="H30" s="96"/>
      <c r="I30" s="96"/>
      <c r="J30" s="96"/>
      <c r="K30" s="96"/>
      <c r="L30" s="96"/>
      <c r="M30" s="96"/>
      <c r="N30" s="144"/>
      <c r="O30" s="144"/>
      <c r="Q30" s="272"/>
      <c r="R30" s="147"/>
      <c r="S30" s="584"/>
      <c r="T30" s="584"/>
      <c r="W30" s="585"/>
      <c r="X30" s="147"/>
      <c r="Y30" s="584"/>
      <c r="Z30" s="584"/>
      <c r="AA30" s="584"/>
    </row>
    <row r="31" spans="2:27">
      <c r="B31" s="212" t="str">
        <f>B68</f>
        <v>Opex per pax IBP</v>
      </c>
      <c r="C31" s="579">
        <f t="shared" ref="C31:M31" si="70">C68*C$40</f>
        <v>14.264828195133996</v>
      </c>
      <c r="D31" s="579">
        <f t="shared" si="70"/>
        <v>14.368419498711358</v>
      </c>
      <c r="E31" s="579">
        <f t="shared" si="70"/>
        <v>14.283327152771585</v>
      </c>
      <c r="F31" s="579">
        <f t="shared" si="70"/>
        <v>14.176432776133156</v>
      </c>
      <c r="G31" s="579">
        <f t="shared" si="70"/>
        <v>15.287356321839082</v>
      </c>
      <c r="H31" s="579">
        <f t="shared" si="70"/>
        <v>15.393419720263255</v>
      </c>
      <c r="I31" s="579">
        <f t="shared" si="70"/>
        <v>17.195109111902177</v>
      </c>
      <c r="J31" s="579">
        <f t="shared" si="70"/>
        <v>17.520764480492218</v>
      </c>
      <c r="K31" s="579">
        <f t="shared" si="70"/>
        <v>16.889783184424122</v>
      </c>
      <c r="L31" s="579">
        <f t="shared" si="70"/>
        <v>17.141605452869143</v>
      </c>
      <c r="M31" s="579">
        <f t="shared" si="70"/>
        <v>17.30027661101628</v>
      </c>
      <c r="N31" s="144"/>
      <c r="O31" s="144"/>
      <c r="Q31" s="163"/>
      <c r="R31" s="147"/>
      <c r="S31" s="151"/>
      <c r="T31" s="151"/>
      <c r="U31" s="140"/>
      <c r="W31" s="163"/>
      <c r="X31" s="147"/>
      <c r="Y31" s="151"/>
      <c r="Z31" s="151"/>
      <c r="AA31" s="140"/>
    </row>
    <row r="32" spans="2:27">
      <c r="B32" s="212" t="str">
        <f>B69</f>
        <v>Opex per pax FBP</v>
      </c>
      <c r="C32" s="579">
        <f t="shared" ref="C32:M32" si="71">C69*C$40</f>
        <v>14.535900114758505</v>
      </c>
      <c r="D32" s="579">
        <f t="shared" si="71"/>
        <v>14.894892106588456</v>
      </c>
      <c r="E32" s="579">
        <f t="shared" si="71"/>
        <v>14.817040380610985</v>
      </c>
      <c r="F32" s="579">
        <f t="shared" si="71"/>
        <v>14.692948838866702</v>
      </c>
      <c r="G32" s="579">
        <f t="shared" si="71"/>
        <v>15.438286897859314</v>
      </c>
      <c r="H32" s="579">
        <f t="shared" si="71"/>
        <v>16.085020673086479</v>
      </c>
      <c r="I32" s="579">
        <f t="shared" si="71"/>
        <v>16.720032297938591</v>
      </c>
      <c r="J32" s="579">
        <f t="shared" si="71"/>
        <v>16.608783088817031</v>
      </c>
      <c r="K32" s="579">
        <f t="shared" si="71"/>
        <v>16.683027161425773</v>
      </c>
      <c r="L32" s="579">
        <f t="shared" si="71"/>
        <v>16.926000347905202</v>
      </c>
      <c r="M32" s="579">
        <f t="shared" si="71"/>
        <v>17.409112375488316</v>
      </c>
      <c r="N32" s="144"/>
      <c r="O32" s="144"/>
      <c r="Q32" s="163"/>
      <c r="R32" s="147"/>
      <c r="S32" s="151"/>
      <c r="T32" s="151"/>
      <c r="U32" s="140"/>
      <c r="W32" s="163"/>
      <c r="X32" s="147"/>
      <c r="Y32" s="151"/>
      <c r="Z32" s="151"/>
      <c r="AA32" s="140"/>
    </row>
    <row r="33" spans="2:28">
      <c r="B33" s="212" t="str">
        <f>B72</f>
        <v>CAA - ip - opex per pax</v>
      </c>
      <c r="C33" s="579"/>
      <c r="D33" s="579"/>
      <c r="E33" s="579"/>
      <c r="F33" s="579"/>
      <c r="G33" s="579"/>
      <c r="H33" s="579"/>
      <c r="I33" s="579">
        <f t="shared" ref="I33:M34" si="72">I72*I$40</f>
        <v>16.612562561818351</v>
      </c>
      <c r="J33" s="579">
        <f t="shared" si="72"/>
        <v>16.415855231604354</v>
      </c>
      <c r="K33" s="579">
        <f t="shared" si="72"/>
        <v>16.138908115059081</v>
      </c>
      <c r="L33" s="579">
        <f t="shared" si="72"/>
        <v>16.058622197107081</v>
      </c>
      <c r="M33" s="579">
        <f t="shared" si="72"/>
        <v>16.137702061983319</v>
      </c>
      <c r="P33" s="43"/>
      <c r="Q33" s="267"/>
      <c r="R33" s="246"/>
      <c r="S33" s="197"/>
      <c r="T33" s="197"/>
      <c r="U33" s="140"/>
      <c r="V33" s="43"/>
      <c r="W33" s="267"/>
      <c r="X33" s="246"/>
      <c r="Y33" s="197"/>
      <c r="Z33" s="197"/>
      <c r="AA33" s="43"/>
    </row>
    <row r="34" spans="2:28">
      <c r="B34" s="212" t="str">
        <f>B73</f>
        <v>LACC - opex per passenger</v>
      </c>
      <c r="C34" s="579"/>
      <c r="D34" s="579"/>
      <c r="E34" s="579"/>
      <c r="F34" s="579"/>
      <c r="G34" s="579"/>
      <c r="H34" s="579"/>
      <c r="I34" s="579">
        <f t="shared" si="72"/>
        <v>15.63415473021875</v>
      </c>
      <c r="J34" s="579">
        <f t="shared" si="72"/>
        <v>14.218537084420804</v>
      </c>
      <c r="K34" s="579">
        <f t="shared" si="72"/>
        <v>12.945034726282158</v>
      </c>
      <c r="L34" s="579">
        <f t="shared" si="72"/>
        <v>11.812266407818665</v>
      </c>
      <c r="M34" s="579">
        <f t="shared" si="72"/>
        <v>10.845861272355211</v>
      </c>
      <c r="P34" s="43"/>
      <c r="Q34" s="267"/>
      <c r="R34" s="246"/>
      <c r="S34" s="197"/>
      <c r="T34" s="197"/>
      <c r="U34" s="140"/>
      <c r="V34" s="43"/>
      <c r="W34" s="267"/>
      <c r="X34" s="246"/>
      <c r="Y34" s="197"/>
      <c r="Z34" s="197"/>
      <c r="AA34" s="43"/>
    </row>
    <row r="35" spans="2:28">
      <c r="B35" s="212"/>
      <c r="C35" s="579"/>
      <c r="D35" s="579"/>
      <c r="E35" s="579"/>
      <c r="F35" s="579"/>
      <c r="G35" s="579"/>
      <c r="H35" s="579"/>
      <c r="I35" s="579"/>
      <c r="J35" s="579"/>
      <c r="K35" s="579"/>
      <c r="L35" s="579"/>
      <c r="M35" s="579"/>
      <c r="P35" s="159"/>
      <c r="V35" s="159"/>
      <c r="AA35" s="43"/>
    </row>
    <row r="36" spans="2:28">
      <c r="B36" s="212" t="str">
        <f>B75</f>
        <v>CAA - fp - opex per passenger - low stretch</v>
      </c>
      <c r="C36" s="579"/>
      <c r="D36" s="579"/>
      <c r="E36" s="579"/>
      <c r="F36" s="579"/>
      <c r="G36" s="579"/>
      <c r="H36" s="579"/>
      <c r="I36" s="579">
        <f>I75*I$40</f>
        <v>16.373438064236243</v>
      </c>
      <c r="J36" s="579">
        <f>J75*J$40</f>
        <v>15.978759979353459</v>
      </c>
      <c r="K36" s="579">
        <f>K75*K$40</f>
        <v>15.911273365736868</v>
      </c>
      <c r="L36" s="579">
        <f>L75*L$40</f>
        <v>15.793157180713935</v>
      </c>
      <c r="M36" s="579">
        <f>M75*M$40</f>
        <v>16.043287087374363</v>
      </c>
      <c r="P36" s="159"/>
      <c r="V36" s="159"/>
      <c r="W36" s="30"/>
      <c r="AA36" s="43"/>
    </row>
    <row r="37" spans="2:28">
      <c r="B37" s="212" t="str">
        <f t="shared" ref="B37:B38" si="73">B76</f>
        <v>CAA - fp - opex per passenger - mid stretch</v>
      </c>
      <c r="C37" s="579"/>
      <c r="D37" s="579"/>
      <c r="E37" s="579"/>
      <c r="F37" s="579"/>
      <c r="G37" s="579"/>
      <c r="H37" s="579"/>
      <c r="I37" s="579">
        <f t="shared" ref="I37:M37" si="74">I76*I$40</f>
        <v>16.340279662080576</v>
      </c>
      <c r="J37" s="579">
        <f t="shared" si="74"/>
        <v>15.91338957877211</v>
      </c>
      <c r="K37" s="579">
        <f t="shared" si="74"/>
        <v>15.81604672929126</v>
      </c>
      <c r="L37" s="579">
        <f t="shared" si="74"/>
        <v>15.667555786382245</v>
      </c>
      <c r="M37" s="579">
        <f t="shared" si="74"/>
        <v>15.884437853297161</v>
      </c>
      <c r="P37" s="159"/>
      <c r="V37" s="159"/>
      <c r="AA37" s="43"/>
    </row>
    <row r="38" spans="2:28">
      <c r="B38" s="212" t="str">
        <f t="shared" si="73"/>
        <v>CAA - fp - opex per passenger - high stretch</v>
      </c>
      <c r="C38" s="579"/>
      <c r="D38" s="579"/>
      <c r="E38" s="579"/>
      <c r="F38" s="579"/>
      <c r="G38" s="579"/>
      <c r="H38" s="579"/>
      <c r="I38" s="579">
        <f t="shared" ref="I38:M38" si="75">I77*I$40</f>
        <v>16.267185061418342</v>
      </c>
      <c r="J38" s="579">
        <f t="shared" si="75"/>
        <v>15.780719490768091</v>
      </c>
      <c r="K38" s="579">
        <f t="shared" si="75"/>
        <v>15.632192908597222</v>
      </c>
      <c r="L38" s="579">
        <f t="shared" si="75"/>
        <v>15.461929043597964</v>
      </c>
      <c r="M38" s="579">
        <f t="shared" si="75"/>
        <v>15.604260587332337</v>
      </c>
      <c r="P38" s="159"/>
      <c r="V38" s="159"/>
      <c r="AA38" s="43"/>
    </row>
    <row r="39" spans="2:28">
      <c r="B39" s="18"/>
      <c r="P39" s="18"/>
      <c r="V39" s="18"/>
      <c r="AA39" s="92"/>
    </row>
    <row r="40" spans="2:28">
      <c r="B40" s="389" t="s">
        <v>257</v>
      </c>
      <c r="C40" s="391">
        <f>RPI!$T101/RPI!$T$103</f>
        <v>0.90909729293213004</v>
      </c>
      <c r="D40" s="391">
        <f>RPI!$T101/RPI!$T$103</f>
        <v>0.90909729293213004</v>
      </c>
      <c r="E40" s="391">
        <f>RPI!$T102/RPI!$T$103</f>
        <v>0.95421509076226241</v>
      </c>
      <c r="F40" s="391">
        <f>RPI!$T103/RPI!$T$103</f>
        <v>1</v>
      </c>
      <c r="G40" s="391">
        <f>RPI!$V104/RPI!$T$103</f>
        <v>1.0308977915101294</v>
      </c>
      <c r="H40" s="391">
        <f>RPI!$V105/RPI!$T$103</f>
        <v>1.0538514639637653</v>
      </c>
      <c r="I40" s="391">
        <f>RPI!$V106/RPI!$T$103</f>
        <v>1.0834482012252682</v>
      </c>
      <c r="J40" s="391">
        <f>RPI!$V107/RPI!$T$103</f>
        <v>1.1200131847683075</v>
      </c>
      <c r="K40" s="391">
        <f>RPI!$V108/RPI!$T$103</f>
        <v>1.1536135803113567</v>
      </c>
      <c r="L40" s="391">
        <f>RPI!$V109/RPI!$T$103</f>
        <v>1.1882219877206974</v>
      </c>
      <c r="M40" s="391">
        <f>RPI!$V110/RPI!$T$103</f>
        <v>1.2238686473523184</v>
      </c>
      <c r="N40" s="146"/>
      <c r="O40" s="146"/>
      <c r="P40" s="35"/>
      <c r="Q40" s="37"/>
      <c r="R40" s="37"/>
      <c r="S40" s="32"/>
      <c r="T40" s="32"/>
      <c r="U40" s="140"/>
      <c r="V40" s="35"/>
      <c r="W40" s="36"/>
      <c r="X40" s="36"/>
      <c r="Y40" s="32"/>
      <c r="Z40" s="32"/>
    </row>
    <row r="41" spans="2:28">
      <c r="B41" s="18"/>
      <c r="P41" s="18"/>
      <c r="V41" s="18"/>
    </row>
    <row r="42" spans="2:28">
      <c r="B42" s="84" t="s">
        <v>274</v>
      </c>
      <c r="C42" s="626" t="s">
        <v>30</v>
      </c>
      <c r="D42" s="627"/>
      <c r="E42" s="627"/>
      <c r="F42" s="627"/>
      <c r="G42" s="628"/>
      <c r="H42" s="87" t="s">
        <v>187</v>
      </c>
      <c r="I42" s="626" t="s">
        <v>31</v>
      </c>
      <c r="J42" s="627"/>
      <c r="K42" s="627"/>
      <c r="L42" s="627"/>
      <c r="M42" s="628"/>
      <c r="N42" s="139"/>
      <c r="O42" s="139"/>
      <c r="P42" s="84" t="s">
        <v>275</v>
      </c>
      <c r="Q42" s="84"/>
      <c r="R42" s="84"/>
      <c r="S42" s="84"/>
      <c r="T42" s="84"/>
      <c r="U42" s="138"/>
      <c r="V42" s="84" t="s">
        <v>276</v>
      </c>
      <c r="W42" s="86"/>
      <c r="X42" s="86"/>
      <c r="Y42" s="86"/>
      <c r="Z42" s="84"/>
      <c r="AA42" s="84"/>
      <c r="AB42" s="84"/>
    </row>
    <row r="43" spans="2:28" s="61" customFormat="1">
      <c r="B43" s="138"/>
      <c r="C43" s="540"/>
      <c r="D43" s="540"/>
      <c r="E43" s="540"/>
      <c r="F43" s="540"/>
      <c r="G43" s="540"/>
      <c r="H43" s="540"/>
      <c r="I43" s="540"/>
      <c r="J43" s="540"/>
      <c r="K43" s="540"/>
      <c r="L43" s="540"/>
      <c r="M43" s="540"/>
      <c r="N43" s="540"/>
      <c r="O43" s="540"/>
      <c r="P43" s="138"/>
      <c r="Q43" s="138"/>
      <c r="R43" s="138"/>
      <c r="S43" s="138"/>
      <c r="T43" s="138"/>
      <c r="U43" s="138"/>
      <c r="V43" s="138"/>
      <c r="W43" s="199"/>
      <c r="X43" s="199"/>
      <c r="Y43" s="199"/>
      <c r="Z43" s="138"/>
      <c r="AA43" s="138"/>
    </row>
    <row r="44" spans="2:28" s="61" customFormat="1">
      <c r="B44" s="53" t="s">
        <v>731</v>
      </c>
      <c r="C44" s="204">
        <v>1</v>
      </c>
      <c r="D44" s="540"/>
      <c r="E44" s="551" t="s">
        <v>746</v>
      </c>
      <c r="F44" s="540"/>
      <c r="G44" s="540"/>
      <c r="H44" s="540"/>
      <c r="I44" s="540"/>
      <c r="J44" s="540"/>
      <c r="K44" s="540"/>
      <c r="L44" s="540"/>
      <c r="M44" s="540"/>
      <c r="N44" s="540"/>
      <c r="O44" s="540"/>
      <c r="P44" s="138"/>
      <c r="Q44" s="138"/>
      <c r="R44" s="138"/>
      <c r="S44" s="138"/>
      <c r="T44" s="138"/>
      <c r="U44" s="138"/>
      <c r="V44" s="138"/>
      <c r="W44" s="199"/>
      <c r="X44" s="199"/>
      <c r="Y44" s="199"/>
      <c r="Z44" s="138"/>
      <c r="AA44" s="138"/>
    </row>
    <row r="45" spans="2:28" ht="26.25" customHeight="1">
      <c r="B45" s="29" t="s">
        <v>232</v>
      </c>
      <c r="C45" s="75" t="s">
        <v>12</v>
      </c>
      <c r="D45" s="75" t="s">
        <v>13</v>
      </c>
      <c r="E45" s="75" t="s">
        <v>14</v>
      </c>
      <c r="F45" s="75" t="s">
        <v>15</v>
      </c>
      <c r="G45" s="75" t="s">
        <v>16</v>
      </c>
      <c r="H45" s="75" t="s">
        <v>17</v>
      </c>
      <c r="I45" s="75" t="s">
        <v>32</v>
      </c>
      <c r="J45" s="75" t="s">
        <v>33</v>
      </c>
      <c r="K45" s="75" t="s">
        <v>34</v>
      </c>
      <c r="L45" s="75" t="s">
        <v>35</v>
      </c>
      <c r="M45" s="75" t="s">
        <v>36</v>
      </c>
      <c r="N45" s="141"/>
      <c r="O45" s="141"/>
      <c r="P45" s="29" t="s">
        <v>232</v>
      </c>
      <c r="Q45" s="176" t="s">
        <v>226</v>
      </c>
      <c r="R45" s="176" t="s">
        <v>614</v>
      </c>
      <c r="S45" s="176" t="s">
        <v>225</v>
      </c>
      <c r="T45" s="176" t="s">
        <v>299</v>
      </c>
      <c r="U45" s="150"/>
      <c r="V45" s="29" t="s">
        <v>232</v>
      </c>
      <c r="W45" s="176" t="s">
        <v>37</v>
      </c>
      <c r="X45" s="176" t="s">
        <v>614</v>
      </c>
      <c r="Y45" s="176" t="s">
        <v>206</v>
      </c>
      <c r="Z45" s="176" t="s">
        <v>299</v>
      </c>
      <c r="AA45" s="260" t="s">
        <v>628</v>
      </c>
    </row>
    <row r="46" spans="2:28">
      <c r="B46" s="212" t="s">
        <v>503</v>
      </c>
      <c r="C46" s="134">
        <f>'HAL - fBP'!C20</f>
        <v>65.900000000000006</v>
      </c>
      <c r="D46" s="134">
        <f>'HAL - fBP'!D20</f>
        <v>66.099999999999994</v>
      </c>
      <c r="E46" s="134">
        <f>'HAL - fBP'!E20</f>
        <v>66.099999999999994</v>
      </c>
      <c r="F46" s="134">
        <f>'HAL - fBP'!F20</f>
        <v>70.067623000000012</v>
      </c>
      <c r="G46" s="134">
        <f>'HAL - fBP'!G20</f>
        <v>69.599999999999994</v>
      </c>
      <c r="H46" s="134">
        <f>'HAL - fBP'!H20</f>
        <v>68.8</v>
      </c>
      <c r="I46" s="134">
        <f>'HAL - fBP'!I20</f>
        <v>69.494122000000004</v>
      </c>
      <c r="J46" s="134">
        <f>'HAL - fBP'!J20</f>
        <v>70.256156000000004</v>
      </c>
      <c r="K46" s="134">
        <f>'HAL - fBP'!K20</f>
        <v>71.025689999999997</v>
      </c>
      <c r="L46" s="134">
        <f>'HAL - fBP'!L20</f>
        <v>71.812779000000006</v>
      </c>
      <c r="M46" s="134">
        <f>'HAL - fBP'!M20</f>
        <v>72.602541000000002</v>
      </c>
      <c r="N46" s="142"/>
      <c r="O46" s="144"/>
      <c r="P46" s="92" t="str">
        <f t="shared" ref="P46" si="76">B46</f>
        <v>Passengers (fbp) (m)</v>
      </c>
      <c r="Q46" s="128">
        <f>SUM(C46:H46)</f>
        <v>406.56762299999997</v>
      </c>
      <c r="R46" s="129">
        <f>Q46/$Q$47</f>
        <v>1</v>
      </c>
      <c r="S46" s="129">
        <f>((H46/C46)^(1/5))-1</f>
        <v>8.6502598161137811E-3</v>
      </c>
      <c r="T46" s="273">
        <f t="shared" ref="T46" si="77">Q46/$Q$46</f>
        <v>1</v>
      </c>
      <c r="U46" s="151"/>
      <c r="V46" s="92" t="str">
        <f t="shared" ref="V46" si="78">P46</f>
        <v>Passengers (fbp) (m)</v>
      </c>
      <c r="W46" s="128">
        <f>SUM(I46:M46)</f>
        <v>355.19128799999999</v>
      </c>
      <c r="X46" s="153">
        <f>W46/$W$47</f>
        <v>0.99298654738607772</v>
      </c>
      <c r="Y46" s="129">
        <f t="shared" ref="Y46" si="79">((M46/H46)^(1/5))-1</f>
        <v>1.081732397056423E-2</v>
      </c>
      <c r="Z46" s="273"/>
      <c r="AA46" s="129">
        <f>((M46/$G$47)^(1/6)-1)</f>
        <v>7.0640592307025241E-3</v>
      </c>
      <c r="AB46" s="205"/>
    </row>
    <row r="47" spans="2:28">
      <c r="B47" s="212" t="s">
        <v>615</v>
      </c>
      <c r="C47" s="134">
        <f>'HAL - rBP'!C42</f>
        <v>65.900000000000006</v>
      </c>
      <c r="D47" s="134">
        <f>'HAL - rBP'!D42</f>
        <v>66.099999999999994</v>
      </c>
      <c r="E47" s="134">
        <f>'HAL - rBP'!E42</f>
        <v>66.099999999999994</v>
      </c>
      <c r="F47" s="134">
        <f>'HAL - rBP'!F42</f>
        <v>70.067623000000012</v>
      </c>
      <c r="G47" s="134">
        <f>'HAL - rBP'!G42</f>
        <v>69.599999999999994</v>
      </c>
      <c r="H47" s="134">
        <f>'HAL - rBP'!H42</f>
        <v>68.8</v>
      </c>
      <c r="I47" s="134">
        <f>'HAL - rBP'!I42</f>
        <v>70.099999999999994</v>
      </c>
      <c r="J47" s="134">
        <f>'HAL - rBP'!J42</f>
        <v>70.8</v>
      </c>
      <c r="K47" s="134">
        <f>'HAL - rBP'!K42</f>
        <v>71.5</v>
      </c>
      <c r="L47" s="134">
        <f>'HAL - rBP'!L42</f>
        <v>72.3</v>
      </c>
      <c r="M47" s="134">
        <f>'HAL - rBP'!M42</f>
        <v>73</v>
      </c>
      <c r="N47" s="142"/>
      <c r="O47" s="144"/>
      <c r="P47" s="248" t="str">
        <f t="shared" ref="P47" si="80">B47</f>
        <v>Passengers (r/abp) (m)</v>
      </c>
      <c r="Q47" s="580">
        <f>SUM(C47:H47)</f>
        <v>406.56762299999997</v>
      </c>
      <c r="R47" s="581">
        <f>Q47/$Q$47</f>
        <v>1</v>
      </c>
      <c r="S47" s="581">
        <f t="shared" ref="S47" si="81">((H47/C47)^(1/5))-1</f>
        <v>8.6502598161137811E-3</v>
      </c>
      <c r="T47" s="592">
        <f t="shared" ref="T47" si="82">Q47/$Q$46</f>
        <v>1</v>
      </c>
      <c r="U47" s="151"/>
      <c r="V47" s="248" t="str">
        <f t="shared" ref="V47" si="83">P47</f>
        <v>Passengers (r/abp) (m)</v>
      </c>
      <c r="W47" s="580">
        <f>SUM(I47:M47)</f>
        <v>357.7</v>
      </c>
      <c r="X47" s="593">
        <f>W47/$W$47</f>
        <v>1</v>
      </c>
      <c r="Y47" s="581">
        <f t="shared" ref="Y47" si="84">((M47/H47)^(1/5))-1</f>
        <v>1.1921642230787288E-2</v>
      </c>
      <c r="Z47" s="592"/>
      <c r="AA47" s="582">
        <f>((M47/$G$47)^(1/6)-1)</f>
        <v>7.980823975779705E-3</v>
      </c>
      <c r="AB47" s="205"/>
    </row>
    <row r="48" spans="2:28">
      <c r="B48" s="212"/>
      <c r="C48" s="588"/>
      <c r="D48" s="588"/>
      <c r="E48" s="588"/>
      <c r="F48" s="588"/>
      <c r="G48" s="588"/>
      <c r="H48" s="588"/>
      <c r="I48" s="588"/>
      <c r="J48" s="588"/>
      <c r="K48" s="588"/>
      <c r="L48" s="588"/>
      <c r="M48" s="588"/>
      <c r="N48" s="142"/>
      <c r="O48" s="144"/>
      <c r="P48" s="248"/>
      <c r="Q48" s="580"/>
      <c r="R48" s="581"/>
      <c r="S48" s="582"/>
      <c r="T48" s="583"/>
      <c r="U48" s="151"/>
      <c r="V48" s="248"/>
      <c r="W48" s="367"/>
      <c r="X48" s="593"/>
      <c r="Y48" s="582"/>
      <c r="Z48" s="583"/>
      <c r="AA48" s="582"/>
      <c r="AB48" s="205"/>
    </row>
    <row r="49" spans="2:30">
      <c r="B49" s="212" t="s">
        <v>270</v>
      </c>
      <c r="C49" s="96">
        <f>'HAL - iBP '!C71</f>
        <v>1034.0501345322027</v>
      </c>
      <c r="D49" s="96">
        <f>'HAL - iBP '!D71</f>
        <v>1044.720445488914</v>
      </c>
      <c r="E49" s="96">
        <f>'HAL - iBP '!E71</f>
        <v>989.42883416777374</v>
      </c>
      <c r="F49" s="96">
        <f>'HAL - iBP '!F71</f>
        <v>993.30894724294149</v>
      </c>
      <c r="G49" s="96">
        <f>'HAL - iBP '!G71</f>
        <v>1032.1100779946189</v>
      </c>
      <c r="H49" s="96">
        <f>'HAL - iBP '!H71</f>
        <v>1004.9492864684447</v>
      </c>
      <c r="I49" s="96">
        <f>'HAL - iBP '!I71</f>
        <v>1102.9221416164301</v>
      </c>
      <c r="J49" s="96">
        <f>'HAL - iBP '!J71</f>
        <v>1099.0420285412624</v>
      </c>
      <c r="K49" s="96">
        <f>'HAL - iBP '!K71</f>
        <v>1039.8703041449544</v>
      </c>
      <c r="L49" s="96">
        <f>'HAL - iBP '!L71</f>
        <v>1035.9901910697865</v>
      </c>
      <c r="M49" s="96">
        <f>'HAL - iBP '!M71</f>
        <v>1026.2899083818672</v>
      </c>
      <c r="N49" s="142"/>
      <c r="O49" s="143"/>
      <c r="P49" s="248" t="str">
        <f>B49</f>
        <v>Total IBP</v>
      </c>
      <c r="Q49" s="580">
        <f>SUM(C49:H49)</f>
        <v>6098.5677258948954</v>
      </c>
      <c r="R49" s="581">
        <f>Q49/$Q$51</f>
        <v>0.97033694922750924</v>
      </c>
      <c r="S49" s="582">
        <f>((H49/C49)^(1/5))-1</f>
        <v>-5.6929696628132964E-3</v>
      </c>
      <c r="T49" s="583">
        <f>Q49/$Q$46</f>
        <v>15.000131296472901</v>
      </c>
      <c r="U49" s="151"/>
      <c r="V49" s="248" t="str">
        <f t="shared" ref="V49" si="85">P49</f>
        <v>Total IBP</v>
      </c>
      <c r="W49" s="367">
        <f>SUM(I49:M49)</f>
        <v>5304.1145737543011</v>
      </c>
      <c r="X49" s="593">
        <f>W49/$W$51</f>
        <v>1.0360003464499203</v>
      </c>
      <c r="Y49" s="582">
        <f>((M49/H49)^(1/5))-1</f>
        <v>4.2114813867955014E-3</v>
      </c>
      <c r="Z49" s="583">
        <f>W49/$W$46</f>
        <v>14.933121258746361</v>
      </c>
      <c r="AA49" s="582">
        <f>((M49/$G$51)^(1/6)-1)</f>
        <v>-2.5765983827747974E-3</v>
      </c>
      <c r="AB49" s="205"/>
      <c r="AD49" s="205"/>
    </row>
    <row r="50" spans="2:30">
      <c r="B50" s="212" t="s">
        <v>267</v>
      </c>
      <c r="C50" s="96">
        <f>'HAL - fBP'!C39</f>
        <v>1053.7</v>
      </c>
      <c r="D50" s="96">
        <f>'HAL - fBP'!D39</f>
        <v>1083</v>
      </c>
      <c r="E50" s="96">
        <f>'HAL - fBP'!E39</f>
        <v>1026.3999999999999</v>
      </c>
      <c r="F50" s="96">
        <f>'HAL - fBP'!F39</f>
        <v>1029.5</v>
      </c>
      <c r="G50" s="96">
        <f>'HAL - fBP'!G39</f>
        <v>1042.3000000000002</v>
      </c>
      <c r="H50" s="96">
        <f>'HAL - fBP'!H39</f>
        <v>1050.0999999999999</v>
      </c>
      <c r="I50" s="96">
        <f>'HAL - fBP'!I39</f>
        <v>1081.8</v>
      </c>
      <c r="J50" s="96">
        <f>'HAL - fBP'!J39</f>
        <v>1049.8999999999999</v>
      </c>
      <c r="K50" s="96">
        <f>'HAL - fBP'!K39</f>
        <v>1034</v>
      </c>
      <c r="L50" s="96">
        <f>'HAL - fBP'!L39</f>
        <v>1029.8999999999999</v>
      </c>
      <c r="M50" s="96">
        <f>'HAL - fBP'!M39</f>
        <v>1038.3999999999999</v>
      </c>
      <c r="N50" s="145"/>
      <c r="O50" s="143"/>
      <c r="P50" s="248" t="str">
        <f t="shared" ref="P50" si="86">B50</f>
        <v>Total FBP</v>
      </c>
      <c r="Q50" s="580">
        <f>SUM(C50:H50)</f>
        <v>6285</v>
      </c>
      <c r="R50" s="581">
        <f t="shared" ref="R50:R66" si="87">Q50/$Q$51</f>
        <v>1</v>
      </c>
      <c r="S50" s="582">
        <f>((H50/C50)^(1/5))-1</f>
        <v>-6.8424217818829902E-4</v>
      </c>
      <c r="T50" s="583">
        <f>Q50/$Q$46</f>
        <v>15.458682995030326</v>
      </c>
      <c r="U50" s="151"/>
      <c r="V50" s="248" t="str">
        <f t="shared" ref="V50:V61" si="88">P50</f>
        <v>Total FBP</v>
      </c>
      <c r="W50" s="367">
        <f>SUM(I50:M50)</f>
        <v>5233.9999999999991</v>
      </c>
      <c r="X50" s="593">
        <f t="shared" ref="X50:X51" si="89">W50/$W$51</f>
        <v>1.0223055588108909</v>
      </c>
      <c r="Y50" s="582">
        <f>((M50/H50)^(1/5))-1</f>
        <v>-2.2383572862288981E-3</v>
      </c>
      <c r="Z50" s="583">
        <f>W50/$W$47</f>
        <v>14.63237349734414</v>
      </c>
      <c r="AA50" s="582">
        <f>((M50/$G$51)^(1/6)-1)</f>
        <v>-6.2459532498826409E-4</v>
      </c>
      <c r="AB50" s="287"/>
    </row>
    <row r="51" spans="2:30">
      <c r="B51" s="212" t="s">
        <v>610</v>
      </c>
      <c r="C51" s="96">
        <f>'HAL - aBP'!C39</f>
        <v>1053.7</v>
      </c>
      <c r="D51" s="96">
        <f>'HAL - aBP'!D39</f>
        <v>1083</v>
      </c>
      <c r="E51" s="96">
        <f>'HAL - aBP'!E39</f>
        <v>1026.3999999999999</v>
      </c>
      <c r="F51" s="96">
        <f>'HAL - aBP'!F39</f>
        <v>1029.5</v>
      </c>
      <c r="G51" s="96">
        <f>'HAL - aBP'!G39</f>
        <v>1042.3000000000002</v>
      </c>
      <c r="H51" s="586">
        <f>'HAL - aBP'!H39</f>
        <v>1050.0999999999999</v>
      </c>
      <c r="I51" s="586">
        <f>'HAL - aBP'!I39</f>
        <v>1071.5999999999999</v>
      </c>
      <c r="J51" s="586">
        <f>'HAL - aBP'!J39</f>
        <v>1029.1000000000001</v>
      </c>
      <c r="K51" s="586">
        <f>'HAL - aBP'!K39</f>
        <v>1010.0999999999999</v>
      </c>
      <c r="L51" s="586">
        <f>'HAL - aBP'!L39</f>
        <v>999.5</v>
      </c>
      <c r="M51" s="586">
        <f>'HAL - aBP'!M39</f>
        <v>1009.4999999999999</v>
      </c>
      <c r="N51" s="145"/>
      <c r="O51" s="143"/>
      <c r="P51" s="248" t="str">
        <f t="shared" ref="P51" si="90">B51</f>
        <v>Total ABP</v>
      </c>
      <c r="Q51" s="580">
        <f>SUM(C51:H51)</f>
        <v>6285</v>
      </c>
      <c r="R51" s="581">
        <f t="shared" si="87"/>
        <v>1</v>
      </c>
      <c r="S51" s="582">
        <f>((H51/C51)^(1/5))-1</f>
        <v>-6.8424217818829902E-4</v>
      </c>
      <c r="T51" s="583">
        <f>Q51/$Q$46</f>
        <v>15.458682995030326</v>
      </c>
      <c r="U51" s="151"/>
      <c r="V51" s="248" t="str">
        <f t="shared" ref="V51" si="91">P51</f>
        <v>Total ABP</v>
      </c>
      <c r="W51" s="538">
        <f>SUM(I51:M51)</f>
        <v>5119.7999999999993</v>
      </c>
      <c r="X51" s="593">
        <f t="shared" si="89"/>
        <v>1</v>
      </c>
      <c r="Y51" s="582">
        <f>((M51/H51)^(1/5))-1</f>
        <v>-7.8550344945854667E-3</v>
      </c>
      <c r="Z51" s="583">
        <f>W51/$W$47</f>
        <v>14.313111545988257</v>
      </c>
      <c r="AA51" s="582">
        <f>((M51/$G$51)^(1/6)-1)</f>
        <v>-5.3149339903774129E-3</v>
      </c>
      <c r="AB51" s="287"/>
    </row>
    <row r="52" spans="2:30">
      <c r="B52" s="382" t="s">
        <v>324</v>
      </c>
      <c r="C52" s="589"/>
      <c r="D52" s="589"/>
      <c r="E52" s="589"/>
      <c r="F52" s="589"/>
      <c r="G52" s="589"/>
      <c r="H52" s="590"/>
      <c r="I52" s="590">
        <v>0.2</v>
      </c>
      <c r="J52" s="590">
        <v>0.4</v>
      </c>
      <c r="K52" s="590">
        <v>0.6</v>
      </c>
      <c r="L52" s="590">
        <v>0.8</v>
      </c>
      <c r="M52" s="590">
        <v>1</v>
      </c>
      <c r="N52" s="147"/>
      <c r="O52" s="143"/>
      <c r="P52" s="248"/>
      <c r="Q52" s="580"/>
      <c r="R52" s="581"/>
      <c r="S52" s="582"/>
      <c r="T52" s="583"/>
      <c r="U52" s="151"/>
      <c r="V52" s="248"/>
      <c r="W52" s="367"/>
      <c r="X52" s="581"/>
      <c r="Y52" s="582"/>
      <c r="Z52" s="583"/>
      <c r="AA52" s="582"/>
      <c r="AB52" s="205"/>
    </row>
    <row r="53" spans="2:30">
      <c r="B53" s="212"/>
      <c r="C53" s="578"/>
      <c r="D53" s="578"/>
      <c r="E53" s="578"/>
      <c r="F53" s="578"/>
      <c r="G53" s="578"/>
      <c r="H53" s="96"/>
      <c r="I53" s="96"/>
      <c r="J53" s="96"/>
      <c r="K53" s="96"/>
      <c r="L53" s="96"/>
      <c r="M53" s="96"/>
      <c r="N53" s="142"/>
      <c r="O53" s="147"/>
      <c r="P53" s="248"/>
      <c r="Q53" s="580"/>
      <c r="R53" s="581"/>
      <c r="S53" s="582"/>
      <c r="T53" s="583"/>
      <c r="U53" s="151"/>
      <c r="V53" s="248"/>
      <c r="W53" s="367"/>
      <c r="X53" s="581"/>
      <c r="Y53" s="582"/>
      <c r="Z53" s="583"/>
      <c r="AA53" s="582"/>
    </row>
    <row r="54" spans="2:30">
      <c r="B54" s="212" t="s">
        <v>749</v>
      </c>
      <c r="C54" s="578"/>
      <c r="D54" s="578"/>
      <c r="E54" s="578"/>
      <c r="F54" s="578"/>
      <c r="G54" s="578"/>
      <c r="H54" s="96"/>
      <c r="I54" s="96">
        <f>'HAL - CAA - ip'!I41</f>
        <v>-16.243337394400129</v>
      </c>
      <c r="J54" s="96">
        <f>'HAL - CAA - ip'!J41</f>
        <v>-20.166688187609616</v>
      </c>
      <c r="K54" s="96">
        <f>'HAL - CAA - ip'!K41</f>
        <v>-40.359578040600134</v>
      </c>
      <c r="L54" s="96">
        <f>'HAL - CAA - ip'!L41</f>
        <v>-59.362256377282925</v>
      </c>
      <c r="M54" s="96">
        <f>'HAL - CAA - ip'!M41</f>
        <v>-81.076533845673438</v>
      </c>
      <c r="N54" s="142"/>
      <c r="O54" s="147"/>
      <c r="P54" s="248" t="str">
        <f t="shared" ref="P54:P55" si="92">B54</f>
        <v>CAA - ip - Efficiency relative to FBP</v>
      </c>
      <c r="Q54" s="580">
        <f t="shared" ref="Q54" si="93">SUM(C54:H54)</f>
        <v>0</v>
      </c>
      <c r="R54" s="581">
        <f>Q54/$Q$51</f>
        <v>0</v>
      </c>
      <c r="S54" s="582"/>
      <c r="T54" s="583">
        <f>Q54/$Q$46</f>
        <v>0</v>
      </c>
      <c r="U54" s="151"/>
      <c r="V54" s="248" t="str">
        <f t="shared" si="88"/>
        <v>CAA - ip - Efficiency relative to FBP</v>
      </c>
      <c r="W54" s="367">
        <f>SUM(I54:M54)</f>
        <v>-217.20839384556626</v>
      </c>
      <c r="X54" s="581">
        <f>W54/$W$51</f>
        <v>-4.2425171656229992E-2</v>
      </c>
      <c r="Y54" s="582" t="s">
        <v>334</v>
      </c>
      <c r="Z54" s="583">
        <f>W54/$W$47</f>
        <v>-0.6072362142733192</v>
      </c>
      <c r="AA54" s="582"/>
    </row>
    <row r="55" spans="2:30">
      <c r="B55" s="212" t="s">
        <v>750</v>
      </c>
      <c r="C55" s="578"/>
      <c r="D55" s="578"/>
      <c r="E55" s="578"/>
      <c r="F55" s="578"/>
      <c r="G55" s="578"/>
      <c r="H55" s="96"/>
      <c r="I55" s="96">
        <v>-79</v>
      </c>
      <c r="J55" s="96">
        <v>-158</v>
      </c>
      <c r="K55" s="96">
        <v>-237</v>
      </c>
      <c r="L55" s="96">
        <v>-316</v>
      </c>
      <c r="M55" s="96">
        <v>-395</v>
      </c>
      <c r="N55" s="142"/>
      <c r="O55" s="147"/>
      <c r="P55" s="248" t="str">
        <f t="shared" si="92"/>
        <v>LACC - Efficiency relative to FBP</v>
      </c>
      <c r="Q55" s="580">
        <f t="shared" ref="Q55" si="94">SUM(C55:H55)</f>
        <v>0</v>
      </c>
      <c r="R55" s="581">
        <f t="shared" si="87"/>
        <v>0</v>
      </c>
      <c r="S55" s="582"/>
      <c r="T55" s="583">
        <f>Q55/$Q$46</f>
        <v>0</v>
      </c>
      <c r="U55" s="151"/>
      <c r="V55" s="248" t="str">
        <f t="shared" si="88"/>
        <v>LACC - Efficiency relative to FBP</v>
      </c>
      <c r="W55" s="367">
        <f>SUM(I55:M55)</f>
        <v>-1185</v>
      </c>
      <c r="X55" s="581">
        <f>W55/$W$51</f>
        <v>-0.23145435368569087</v>
      </c>
      <c r="Y55" s="582" t="s">
        <v>334</v>
      </c>
      <c r="Z55" s="583">
        <f>W55/$W$47</f>
        <v>-3.312831982107912</v>
      </c>
      <c r="AA55" s="582"/>
    </row>
    <row r="56" spans="2:30">
      <c r="B56" s="212"/>
      <c r="C56" s="578"/>
      <c r="D56" s="578"/>
      <c r="E56" s="578"/>
      <c r="F56" s="578"/>
      <c r="G56" s="578"/>
      <c r="H56" s="96"/>
      <c r="I56" s="96"/>
      <c r="J56" s="96"/>
      <c r="K56" s="96"/>
      <c r="L56" s="96"/>
      <c r="M56" s="96"/>
      <c r="N56" s="142"/>
      <c r="O56" s="147"/>
      <c r="P56" s="248"/>
      <c r="Q56" s="580"/>
      <c r="R56" s="581"/>
      <c r="S56" s="582"/>
      <c r="T56" s="583"/>
      <c r="U56" s="151"/>
      <c r="V56" s="248"/>
      <c r="W56" s="367"/>
      <c r="X56" s="581"/>
      <c r="Y56" s="582"/>
      <c r="Z56" s="583"/>
      <c r="AA56" s="582"/>
    </row>
    <row r="57" spans="2:30">
      <c r="B57" s="212" t="s">
        <v>591</v>
      </c>
      <c r="C57" s="578"/>
      <c r="D57" s="578"/>
      <c r="E57" s="578"/>
      <c r="F57" s="578"/>
      <c r="G57" s="578"/>
      <c r="H57" s="96"/>
      <c r="I57" s="96">
        <f>((Wages!L31)*I52)+'Other Opex'!F46+MandA!F34+'Frontier Shift'!N15+(Pensions!L25+Pensions!L27)+Overlays!L10</f>
        <v>-12.224935271532006</v>
      </c>
      <c r="J57" s="96">
        <f>((Wages!M31)*J52)+'Other Opex'!G46+MandA!G34+'Frontier Shift'!O15+(Pensions!M25+Pensions!M27)+Overlays!M10</f>
        <v>-19.025992012092882</v>
      </c>
      <c r="K57" s="96">
        <f>((Wages!N31)*K52)+'Other Opex'!H46+MandA!H34+'Frontier Shift'!P15+(Pensions!N25+Pensions!N27)+Overlays!N10</f>
        <v>-23.932651533855729</v>
      </c>
      <c r="L57" s="96">
        <f>((Wages!O31)*L52)+'Other Opex'!I46+MandA!I34+'Frontier Shift'!Q15+(Pensions!O25+Pensions!O27)+Overlays!O10</f>
        <v>-38.530352942754362</v>
      </c>
      <c r="M57" s="96">
        <f>((Wages!P31)*M52)+'Other Opex'!J46+MandA!J34+'Frontier Shift'!R15+(Pensions!P25+Pensions!P27)+Overlays!P10</f>
        <v>-52.567276940232269</v>
      </c>
      <c r="N57" s="142"/>
      <c r="O57" s="147"/>
      <c r="P57" s="248" t="str">
        <f t="shared" ref="P57" si="95">B57</f>
        <v>CAA - fp - Efficiency - low stretch</v>
      </c>
      <c r="Q57" s="580">
        <f t="shared" ref="Q57" si="96">SUM(C57:H57)</f>
        <v>0</v>
      </c>
      <c r="R57" s="581">
        <f t="shared" si="87"/>
        <v>0</v>
      </c>
      <c r="S57" s="582"/>
      <c r="T57" s="583">
        <f>Q57/$Q$46</f>
        <v>0</v>
      </c>
      <c r="U57" s="151"/>
      <c r="V57" s="248" t="str">
        <f t="shared" ref="V57" si="97">P57</f>
        <v>CAA - fp - Efficiency - low stretch</v>
      </c>
      <c r="W57" s="367">
        <f>SUM(I57:M57)</f>
        <v>-146.28120870046726</v>
      </c>
      <c r="X57" s="581">
        <f t="shared" ref="X57:X62" si="98">W57/$W$51</f>
        <v>-2.85716646549606E-2</v>
      </c>
      <c r="Y57" s="582" t="s">
        <v>334</v>
      </c>
      <c r="Z57" s="583">
        <f t="shared" ref="Z57:Z66" si="99">W57/$W$47</f>
        <v>-0.40894942326102113</v>
      </c>
      <c r="AA57" s="582"/>
    </row>
    <row r="58" spans="2:30">
      <c r="B58" s="212" t="s">
        <v>592</v>
      </c>
      <c r="C58" s="578"/>
      <c r="D58" s="578"/>
      <c r="E58" s="578"/>
      <c r="F58" s="578"/>
      <c r="G58" s="578"/>
      <c r="H58" s="96"/>
      <c r="I58" s="96">
        <f>((Wages!L32)*'HAL - CAA - fp'!I52)+'Other Opex'!F46+MandA!F34+'Frontier Shift'!N15+(Pensions!L25+Pensions!L27)+Overlays!L10</f>
        <v>-14.370311477319788</v>
      </c>
      <c r="J58" s="96">
        <f>((Wages!M32)*'HAL - CAA - fp'!J52)+'Other Opex'!G46+MandA!G34+'Frontier Shift'!O15+(Pensions!M25+Pensions!M27)+Overlays!M10</f>
        <v>-23.158286545854939</v>
      </c>
      <c r="K58" s="96">
        <f>((Wages!N32)*'HAL - CAA - fp'!K52)+'Other Opex'!H46+MandA!H34+'Frontier Shift'!P15+(Pensions!N25+Pensions!N27)+Overlays!N10</f>
        <v>-29.834718414884666</v>
      </c>
      <c r="L58" s="96">
        <f>((Wages!O32)*'HAL - CAA - fp'!L52)+'Other Opex'!I46+MandA!I34+'Frontier Shift'!Q15+(Pensions!O25+Pensions!O27)+Overlays!O10</f>
        <v>-46.172848119603238</v>
      </c>
      <c r="M58" s="96">
        <f>((Wages!P32)*'HAL - CAA - fp'!M52)+'Other Opex'!J46+MandA!J34+'Frontier Shift'!R15+(Pensions!P25+Pensions!P27)+Overlays!P10</f>
        <v>-62.042145107434827</v>
      </c>
      <c r="N58" s="142"/>
      <c r="O58" s="147"/>
      <c r="P58" s="248" t="str">
        <f t="shared" ref="P58:P59" si="100">B58</f>
        <v>CAA - fp - Efficiency - mid stretch</v>
      </c>
      <c r="Q58" s="580">
        <f t="shared" ref="Q58:Q59" si="101">SUM(C58:H58)</f>
        <v>0</v>
      </c>
      <c r="R58" s="581">
        <f t="shared" si="87"/>
        <v>0</v>
      </c>
      <c r="S58" s="582"/>
      <c r="T58" s="583">
        <f t="shared" ref="T58:T59" si="102">Q58/$Q$46</f>
        <v>0</v>
      </c>
      <c r="U58" s="151"/>
      <c r="V58" s="248" t="str">
        <f t="shared" ref="V58:V59" si="103">P58</f>
        <v>CAA - fp - Efficiency - mid stretch</v>
      </c>
      <c r="W58" s="367">
        <f t="shared" ref="W58:W59" si="104">SUM(I58:M58)</f>
        <v>-175.57830966509746</v>
      </c>
      <c r="X58" s="581">
        <f>W58/$W$51</f>
        <v>-3.4293978214988377E-2</v>
      </c>
      <c r="Y58" s="582" t="s">
        <v>334</v>
      </c>
      <c r="Z58" s="583">
        <f t="shared" si="99"/>
        <v>-0.49085353554681987</v>
      </c>
      <c r="AA58" s="582"/>
    </row>
    <row r="59" spans="2:30">
      <c r="B59" s="212" t="s">
        <v>593</v>
      </c>
      <c r="C59" s="578"/>
      <c r="D59" s="578"/>
      <c r="E59" s="578"/>
      <c r="F59" s="578"/>
      <c r="G59" s="578"/>
      <c r="H59" s="96"/>
      <c r="I59" s="96">
        <f>((Wages!L33)*'HAL - CAA - fp'!I52)+'Other Opex'!F47+MandA!F34+'Frontier Shift'!N15+(Pensions!L25+Pensions!L26+Pensions!L27)+Overlays!L10</f>
        <v>-19.099592951623944</v>
      </c>
      <c r="J59" s="96">
        <f>((Wages!M33)*'HAL - CAA - fp'!J52)+'Other Opex'!G47+MandA!G34+'Frontier Shift'!O15+(Pensions!M25+Pensions!M26+Pensions!M27)+Overlays!M10</f>
        <v>-31.544832667298856</v>
      </c>
      <c r="K59" s="96">
        <f>((Wages!N33)*'HAL - CAA - fp'!K52)+'Other Opex'!H47+MandA!H34+'Frontier Shift'!P15+(Pensions!N25+Pensions!N26+Pensions!N27)+Overlays!N10</f>
        <v>-41.2298236771475</v>
      </c>
      <c r="L59" s="96">
        <f>((Wages!O33)*'HAL - CAA - fp'!L52)+'Other Opex'!I47+MandA!I34+'Frontier Shift'!Q15+(Pensions!O25+Pensions!O26+Pensions!O27)+Overlays!O10</f>
        <v>-58.684662963075176</v>
      </c>
      <c r="M59" s="96">
        <f>((Wages!P33)*'HAL - CAA - fp'!M52)+'Other Opex'!J47+MandA!J34+'Frontier Shift'!R15+(Pensions!P25+Pensions!P26+Pensions!P27)+Overlays!P10</f>
        <v>-78.753857152415719</v>
      </c>
      <c r="N59" s="142"/>
      <c r="O59" s="147"/>
      <c r="P59" s="248" t="str">
        <f t="shared" si="100"/>
        <v>CAA - fp - Efficiency - high stretch</v>
      </c>
      <c r="Q59" s="580">
        <f t="shared" si="101"/>
        <v>0</v>
      </c>
      <c r="R59" s="581">
        <f t="shared" si="87"/>
        <v>0</v>
      </c>
      <c r="S59" s="582"/>
      <c r="T59" s="583">
        <f t="shared" si="102"/>
        <v>0</v>
      </c>
      <c r="U59" s="151"/>
      <c r="V59" s="248" t="str">
        <f t="shared" si="103"/>
        <v>CAA - fp - Efficiency - high stretch</v>
      </c>
      <c r="W59" s="367">
        <f t="shared" si="104"/>
        <v>-229.31276941156119</v>
      </c>
      <c r="X59" s="581">
        <f t="shared" si="98"/>
        <v>-4.4789399861627645E-2</v>
      </c>
      <c r="Y59" s="582" t="s">
        <v>334</v>
      </c>
      <c r="Z59" s="583">
        <f t="shared" si="99"/>
        <v>-0.64107567629734752</v>
      </c>
      <c r="AA59" s="582"/>
    </row>
    <row r="60" spans="2:30" s="61" customFormat="1">
      <c r="B60" s="212"/>
      <c r="C60" s="96"/>
      <c r="D60" s="96"/>
      <c r="E60" s="96"/>
      <c r="F60" s="96"/>
      <c r="G60" s="96"/>
      <c r="H60" s="96"/>
      <c r="I60" s="96"/>
      <c r="J60" s="96"/>
      <c r="K60" s="96"/>
      <c r="L60" s="96"/>
      <c r="M60" s="96"/>
      <c r="N60" s="142"/>
      <c r="O60" s="145"/>
      <c r="P60" s="248"/>
      <c r="Q60" s="580"/>
      <c r="R60" s="581">
        <f t="shared" si="87"/>
        <v>0</v>
      </c>
      <c r="S60" s="582"/>
      <c r="T60" s="583"/>
      <c r="U60" s="151"/>
      <c r="V60" s="248"/>
      <c r="W60" s="367"/>
      <c r="X60" s="581"/>
      <c r="Y60" s="582"/>
      <c r="Z60" s="583"/>
      <c r="AA60" s="582"/>
    </row>
    <row r="61" spans="2:30" s="61" customFormat="1">
      <c r="B61" s="212" t="s">
        <v>504</v>
      </c>
      <c r="C61" s="96"/>
      <c r="D61" s="96"/>
      <c r="E61" s="96"/>
      <c r="F61" s="96"/>
      <c r="G61" s="96"/>
      <c r="H61" s="96"/>
      <c r="I61" s="96">
        <f>I50+I54</f>
        <v>1065.5566626055997</v>
      </c>
      <c r="J61" s="96">
        <f>J50+J54</f>
        <v>1029.7333118123902</v>
      </c>
      <c r="K61" s="96">
        <f>K50+K54</f>
        <v>993.64042195939987</v>
      </c>
      <c r="L61" s="96">
        <f>L50+L54</f>
        <v>970.5377436227169</v>
      </c>
      <c r="M61" s="96">
        <f>M50+M54</f>
        <v>957.32346615432641</v>
      </c>
      <c r="N61" s="335"/>
      <c r="O61" s="145"/>
      <c r="P61" s="248" t="str">
        <f t="shared" ref="P61" si="105">B61</f>
        <v>CAA - ip - opex</v>
      </c>
      <c r="Q61" s="580">
        <f t="shared" ref="Q61" si="106">SUM(C61:H61)</f>
        <v>0</v>
      </c>
      <c r="R61" s="581">
        <f t="shared" si="87"/>
        <v>0</v>
      </c>
      <c r="S61" s="582"/>
      <c r="T61" s="583">
        <f>Q61/$Q$46</f>
        <v>0</v>
      </c>
      <c r="U61" s="151"/>
      <c r="V61" s="248" t="str">
        <f t="shared" si="88"/>
        <v>CAA - ip - opex</v>
      </c>
      <c r="W61" s="367">
        <f>SUM(I61:M61)</f>
        <v>5016.7916061544329</v>
      </c>
      <c r="X61" s="581">
        <f t="shared" si="98"/>
        <v>0.97988038715466108</v>
      </c>
      <c r="Y61" s="582">
        <f>((M61/H50)^(1/5))-1</f>
        <v>-1.8329796261043474E-2</v>
      </c>
      <c r="Z61" s="583">
        <f t="shared" si="99"/>
        <v>14.025137283070823</v>
      </c>
      <c r="AA61" s="582">
        <f>((M61/$G$51)^(1/6)-1)</f>
        <v>-1.4073981399672864E-2</v>
      </c>
    </row>
    <row r="62" spans="2:30">
      <c r="B62" s="212" t="s">
        <v>505</v>
      </c>
      <c r="C62" s="96"/>
      <c r="D62" s="96"/>
      <c r="E62" s="96"/>
      <c r="F62" s="96"/>
      <c r="G62" s="96"/>
      <c r="H62" s="96"/>
      <c r="I62" s="96">
        <f>I50+I55</f>
        <v>1002.8</v>
      </c>
      <c r="J62" s="96">
        <f t="shared" ref="J62:L62" si="107">J50+J55</f>
        <v>891.89999999999986</v>
      </c>
      <c r="K62" s="96">
        <f t="shared" si="107"/>
        <v>797</v>
      </c>
      <c r="L62" s="96">
        <f t="shared" si="107"/>
        <v>713.89999999999986</v>
      </c>
      <c r="M62" s="96">
        <f>M50+M55</f>
        <v>643.39999999999986</v>
      </c>
      <c r="N62" s="142"/>
      <c r="P62" s="248" t="str">
        <f t="shared" ref="P62" si="108">B62</f>
        <v>LACC - opex</v>
      </c>
      <c r="Q62" s="580">
        <f t="shared" ref="Q62" si="109">SUM(C62:H62)</f>
        <v>0</v>
      </c>
      <c r="R62" s="581">
        <f t="shared" si="87"/>
        <v>0</v>
      </c>
      <c r="S62" s="582"/>
      <c r="T62" s="583">
        <f>Q62/$Q$46</f>
        <v>0</v>
      </c>
      <c r="U62" s="151"/>
      <c r="V62" s="248" t="str">
        <f t="shared" ref="V62" si="110">P62</f>
        <v>LACC - opex</v>
      </c>
      <c r="W62" s="367">
        <f>SUM(I62:M62)</f>
        <v>4048.9999999999991</v>
      </c>
      <c r="X62" s="581">
        <f t="shared" si="98"/>
        <v>0.79085120512520013</v>
      </c>
      <c r="Y62" s="582">
        <f>((M62/H51)^(1/5))-1</f>
        <v>-9.3328259631692445E-2</v>
      </c>
      <c r="Z62" s="583">
        <f t="shared" si="99"/>
        <v>11.31954151523623</v>
      </c>
      <c r="AA62" s="582">
        <f>((M62/$G$51)^(1/6)-1)</f>
        <v>-7.7255667437457154E-2</v>
      </c>
    </row>
    <row r="63" spans="2:30">
      <c r="B63" s="212"/>
      <c r="C63" s="96"/>
      <c r="D63" s="96"/>
      <c r="E63" s="96"/>
      <c r="F63" s="96"/>
      <c r="G63" s="96"/>
      <c r="H63" s="96"/>
      <c r="I63" s="96"/>
      <c r="J63" s="96"/>
      <c r="K63" s="96"/>
      <c r="L63" s="96"/>
      <c r="M63" s="96"/>
      <c r="N63" s="142"/>
      <c r="P63" s="248"/>
      <c r="Q63" s="580"/>
      <c r="R63" s="581"/>
      <c r="S63" s="582"/>
      <c r="T63" s="583"/>
      <c r="U63" s="151"/>
      <c r="V63" s="248"/>
      <c r="W63" s="367"/>
      <c r="X63" s="581"/>
      <c r="Y63" s="582"/>
      <c r="Z63" s="583"/>
      <c r="AA63" s="582"/>
    </row>
    <row r="64" spans="2:30">
      <c r="B64" s="212" t="s">
        <v>594</v>
      </c>
      <c r="C64" s="96"/>
      <c r="D64" s="96"/>
      <c r="E64" s="96"/>
      <c r="F64" s="96"/>
      <c r="G64" s="96"/>
      <c r="H64" s="96"/>
      <c r="I64" s="586">
        <f>I51+I57</f>
        <v>1059.3750647284678</v>
      </c>
      <c r="J64" s="586">
        <f t="shared" ref="J64:M64" si="111">J51+J57</f>
        <v>1010.0740079879073</v>
      </c>
      <c r="K64" s="586">
        <f t="shared" si="111"/>
        <v>986.16734846614418</v>
      </c>
      <c r="L64" s="586">
        <f t="shared" si="111"/>
        <v>960.96964705724565</v>
      </c>
      <c r="M64" s="586">
        <f t="shared" si="111"/>
        <v>956.93272305976757</v>
      </c>
      <c r="N64" s="142"/>
      <c r="P64" s="248" t="str">
        <f t="shared" ref="P64" si="112">B64</f>
        <v>CAA - fp - opex - low stretch</v>
      </c>
      <c r="Q64" s="580">
        <f t="shared" ref="Q64" si="113">SUM(C64:H64)</f>
        <v>0</v>
      </c>
      <c r="R64" s="581">
        <f t="shared" si="87"/>
        <v>0</v>
      </c>
      <c r="S64" s="582"/>
      <c r="T64" s="583">
        <f>Q64/$Q$46</f>
        <v>0</v>
      </c>
      <c r="U64" s="151"/>
      <c r="V64" s="248" t="str">
        <f t="shared" ref="V64" si="114">P64</f>
        <v>CAA - fp - opex - low stretch</v>
      </c>
      <c r="W64" s="538">
        <f>SUM(I64:M64)</f>
        <v>4973.5187912995325</v>
      </c>
      <c r="X64" s="581">
        <f>W64/$W$51</f>
        <v>0.97142833534503947</v>
      </c>
      <c r="Y64" s="582">
        <f>((M64/$H$51)^(1/5))-1</f>
        <v>-1.8409945449359921E-2</v>
      </c>
      <c r="Z64" s="583">
        <f t="shared" si="99"/>
        <v>13.904162122727238</v>
      </c>
      <c r="AA64" s="582">
        <f>((M64/$G$51)^(1/6)-1)</f>
        <v>-1.4141062403975613E-2</v>
      </c>
    </row>
    <row r="65" spans="2:40">
      <c r="B65" s="212" t="s">
        <v>595</v>
      </c>
      <c r="C65" s="96"/>
      <c r="D65" s="96"/>
      <c r="E65" s="96"/>
      <c r="F65" s="96"/>
      <c r="G65" s="96"/>
      <c r="H65" s="96"/>
      <c r="I65" s="586">
        <f>I51+I58</f>
        <v>1057.2296885226801</v>
      </c>
      <c r="J65" s="586">
        <f t="shared" ref="J65:L65" si="115">J51+J58</f>
        <v>1005.9417134541452</v>
      </c>
      <c r="K65" s="586">
        <f t="shared" si="115"/>
        <v>980.26528158511519</v>
      </c>
      <c r="L65" s="586">
        <f t="shared" si="115"/>
        <v>953.32715188039674</v>
      </c>
      <c r="M65" s="586">
        <f>M51+M58</f>
        <v>947.45785489256502</v>
      </c>
      <c r="N65" s="142"/>
      <c r="O65" s="184"/>
      <c r="P65" s="248" t="str">
        <f t="shared" ref="P65:P66" si="116">B65</f>
        <v>CAA - fp - opex - mid stretch</v>
      </c>
      <c r="Q65" s="580">
        <f t="shared" ref="Q65:Q66" si="117">SUM(C65:H65)</f>
        <v>0</v>
      </c>
      <c r="R65" s="581">
        <f t="shared" si="87"/>
        <v>0</v>
      </c>
      <c r="S65" s="582"/>
      <c r="T65" s="583">
        <f t="shared" ref="T65:T66" si="118">Q65/$Q$46</f>
        <v>0</v>
      </c>
      <c r="U65" s="151"/>
      <c r="V65" s="248" t="str">
        <f t="shared" ref="V65:V66" si="119">P65</f>
        <v>CAA - fp - opex - mid stretch</v>
      </c>
      <c r="W65" s="538">
        <f>SUM(I65:M65)</f>
        <v>4944.2216903349017</v>
      </c>
      <c r="X65" s="581">
        <f>W65/$W$51</f>
        <v>0.96570602178501164</v>
      </c>
      <c r="Y65" s="582">
        <f>((M65/$H$51)^(1/5))-1</f>
        <v>-2.0361491470506476E-2</v>
      </c>
      <c r="Z65" s="583">
        <f t="shared" si="99"/>
        <v>13.822258010441436</v>
      </c>
      <c r="AA65" s="582">
        <f t="shared" ref="AA65:AA66" si="120">((M65/$G$51)^(1/6)-1)</f>
        <v>-1.5774694219679808E-2</v>
      </c>
    </row>
    <row r="66" spans="2:40">
      <c r="B66" s="212" t="s">
        <v>606</v>
      </c>
      <c r="C66" s="96"/>
      <c r="D66" s="96"/>
      <c r="E66" s="96"/>
      <c r="F66" s="96"/>
      <c r="G66" s="96"/>
      <c r="H66" s="96"/>
      <c r="I66" s="586">
        <f>I51+I59</f>
        <v>1052.500407048376</v>
      </c>
      <c r="J66" s="586">
        <f t="shared" ref="J66:M66" si="121">J51+J59</f>
        <v>997.55516733270133</v>
      </c>
      <c r="K66" s="586">
        <f t="shared" si="121"/>
        <v>968.87017632285244</v>
      </c>
      <c r="L66" s="586">
        <f t="shared" si="121"/>
        <v>940.8153370369248</v>
      </c>
      <c r="M66" s="586">
        <f t="shared" si="121"/>
        <v>930.74614284758422</v>
      </c>
      <c r="N66" s="142"/>
      <c r="P66" s="248" t="str">
        <f t="shared" si="116"/>
        <v>CAA - fp - opex - high stretch</v>
      </c>
      <c r="Q66" s="580">
        <f t="shared" si="117"/>
        <v>0</v>
      </c>
      <c r="R66" s="581">
        <f t="shared" si="87"/>
        <v>0</v>
      </c>
      <c r="S66" s="582"/>
      <c r="T66" s="583">
        <f t="shared" si="118"/>
        <v>0</v>
      </c>
      <c r="U66" s="151"/>
      <c r="V66" s="248" t="str">
        <f t="shared" si="119"/>
        <v>CAA - fp - opex - high stretch</v>
      </c>
      <c r="W66" s="538">
        <f t="shared" ref="W66" si="122">SUM(I66:M66)</f>
        <v>4890.4872305884392</v>
      </c>
      <c r="X66" s="581">
        <f>W66/$W$51</f>
        <v>0.95521060013837256</v>
      </c>
      <c r="Y66" s="582">
        <f t="shared" ref="Y66" si="123">((M66/$H$51)^(1/5))-1</f>
        <v>-2.3842001166636484E-2</v>
      </c>
      <c r="Z66" s="583">
        <f t="shared" si="99"/>
        <v>13.672035869690912</v>
      </c>
      <c r="AA66" s="582">
        <f t="shared" si="120"/>
        <v>-1.8689563085733774E-2</v>
      </c>
    </row>
    <row r="67" spans="2:40">
      <c r="B67" s="212"/>
      <c r="C67" s="588"/>
      <c r="D67" s="591"/>
      <c r="E67" s="591"/>
      <c r="F67" s="591"/>
      <c r="G67" s="591"/>
      <c r="H67" s="591"/>
      <c r="I67" s="591"/>
      <c r="J67" s="591"/>
      <c r="K67" s="591"/>
      <c r="L67" s="591"/>
      <c r="M67" s="96"/>
      <c r="N67" s="142"/>
      <c r="P67" s="43"/>
      <c r="Q67" s="245"/>
      <c r="R67" s="246"/>
      <c r="S67" s="131"/>
      <c r="T67" s="131"/>
      <c r="V67" s="61"/>
      <c r="W67" s="61"/>
      <c r="X67" s="61"/>
      <c r="Y67" s="61"/>
      <c r="Z67" s="61"/>
      <c r="AA67" s="61"/>
      <c r="AI67" s="19"/>
      <c r="AJ67" s="19"/>
      <c r="AK67" s="19"/>
      <c r="AL67" s="19"/>
      <c r="AM67" s="19"/>
      <c r="AN67" s="19"/>
    </row>
    <row r="68" spans="2:40">
      <c r="B68" s="212" t="s">
        <v>271</v>
      </c>
      <c r="C68" s="587">
        <f>C49/C46</f>
        <v>15.691200827499282</v>
      </c>
      <c r="D68" s="587">
        <f t="shared" ref="D68:M68" si="124">D49/D46</f>
        <v>15.805150461254375</v>
      </c>
      <c r="E68" s="587">
        <f t="shared" si="124"/>
        <v>14.968666175004143</v>
      </c>
      <c r="F68" s="587">
        <f t="shared" si="124"/>
        <v>14.176432776133156</v>
      </c>
      <c r="G68" s="587">
        <f t="shared" si="124"/>
        <v>14.829167787279008</v>
      </c>
      <c r="H68" s="587">
        <f t="shared" si="124"/>
        <v>14.606821024250651</v>
      </c>
      <c r="I68" s="587">
        <f t="shared" si="124"/>
        <v>15.870725607792124</v>
      </c>
      <c r="J68" s="587">
        <f t="shared" si="124"/>
        <v>15.643355559351445</v>
      </c>
      <c r="K68" s="587">
        <f t="shared" si="124"/>
        <v>14.640763139998421</v>
      </c>
      <c r="L68" s="587">
        <f t="shared" si="124"/>
        <v>14.426265150799782</v>
      </c>
      <c r="M68" s="587">
        <f t="shared" si="124"/>
        <v>14.135729882813154</v>
      </c>
      <c r="P68" s="43"/>
      <c r="Q68" s="267"/>
      <c r="R68" s="246"/>
      <c r="S68" s="197"/>
      <c r="T68" s="197"/>
      <c r="U68" s="140"/>
      <c r="V68" s="43"/>
      <c r="W68" s="267"/>
      <c r="X68" s="246"/>
      <c r="Y68" s="197"/>
      <c r="Z68" s="197"/>
      <c r="AA68" s="197"/>
    </row>
    <row r="69" spans="2:40">
      <c r="B69" s="212" t="s">
        <v>272</v>
      </c>
      <c r="C69" s="587">
        <f>C50/C47</f>
        <v>15.98937784522003</v>
      </c>
      <c r="D69" s="587">
        <f t="shared" ref="D69:M69" si="125">D50/D47</f>
        <v>16.384266263237521</v>
      </c>
      <c r="E69" s="587">
        <f t="shared" si="125"/>
        <v>15.527987897125566</v>
      </c>
      <c r="F69" s="587">
        <f t="shared" si="125"/>
        <v>14.692948838866702</v>
      </c>
      <c r="G69" s="587">
        <f t="shared" si="125"/>
        <v>14.975574712643683</v>
      </c>
      <c r="H69" s="587">
        <f t="shared" si="125"/>
        <v>15.263081395348836</v>
      </c>
      <c r="I69" s="587">
        <f t="shared" si="125"/>
        <v>15.432239657631955</v>
      </c>
      <c r="J69" s="587">
        <f t="shared" si="125"/>
        <v>14.829096045197739</v>
      </c>
      <c r="K69" s="587">
        <f t="shared" si="125"/>
        <v>14.461538461538462</v>
      </c>
      <c r="L69" s="587">
        <f t="shared" si="125"/>
        <v>14.244813278008298</v>
      </c>
      <c r="M69" s="587">
        <f t="shared" si="125"/>
        <v>14.224657534246573</v>
      </c>
      <c r="P69" s="43"/>
      <c r="Q69" s="267"/>
      <c r="R69" s="246"/>
      <c r="S69" s="197"/>
      <c r="T69" s="197"/>
      <c r="U69" s="140"/>
      <c r="V69" s="43"/>
      <c r="W69" s="274"/>
      <c r="X69" s="246"/>
      <c r="Y69" s="197"/>
      <c r="Z69" s="274"/>
      <c r="AA69" s="197"/>
    </row>
    <row r="70" spans="2:40">
      <c r="B70" s="212" t="s">
        <v>611</v>
      </c>
      <c r="C70" s="587">
        <f>C51/C47</f>
        <v>15.98937784522003</v>
      </c>
      <c r="D70" s="587">
        <f t="shared" ref="D70:M70" si="126">D51/D47</f>
        <v>16.384266263237521</v>
      </c>
      <c r="E70" s="587">
        <f t="shared" si="126"/>
        <v>15.527987897125566</v>
      </c>
      <c r="F70" s="587">
        <f t="shared" si="126"/>
        <v>14.692948838866702</v>
      </c>
      <c r="G70" s="587">
        <f t="shared" si="126"/>
        <v>14.975574712643683</v>
      </c>
      <c r="H70" s="587">
        <f t="shared" si="126"/>
        <v>15.263081395348836</v>
      </c>
      <c r="I70" s="587">
        <f t="shared" si="126"/>
        <v>15.286733238231099</v>
      </c>
      <c r="J70" s="587">
        <f t="shared" si="126"/>
        <v>14.535310734463279</v>
      </c>
      <c r="K70" s="587">
        <f t="shared" si="126"/>
        <v>14.127272727272725</v>
      </c>
      <c r="L70" s="587">
        <f t="shared" si="126"/>
        <v>13.824343015214385</v>
      </c>
      <c r="M70" s="587">
        <f t="shared" si="126"/>
        <v>13.828767123287669</v>
      </c>
      <c r="P70" s="43"/>
      <c r="Q70" s="267"/>
      <c r="R70" s="246"/>
      <c r="S70" s="197"/>
      <c r="T70" s="197"/>
      <c r="U70" s="140"/>
      <c r="V70" s="43"/>
      <c r="W70" s="197"/>
      <c r="X70" s="246"/>
      <c r="Y70" s="197"/>
      <c r="Z70" s="274"/>
      <c r="AA70" s="197"/>
    </row>
    <row r="71" spans="2:40">
      <c r="B71" s="212"/>
      <c r="C71" s="587"/>
      <c r="D71" s="587"/>
      <c r="E71" s="587"/>
      <c r="F71" s="587"/>
      <c r="G71" s="587"/>
      <c r="H71" s="587"/>
      <c r="I71" s="587"/>
      <c r="J71" s="587"/>
      <c r="K71" s="587"/>
      <c r="L71" s="587"/>
      <c r="M71" s="587"/>
      <c r="P71" s="43"/>
      <c r="Q71" s="267"/>
      <c r="R71" s="246"/>
      <c r="S71" s="197"/>
      <c r="T71" s="197"/>
      <c r="U71" s="140"/>
      <c r="V71" s="43"/>
      <c r="W71" s="547"/>
      <c r="X71" s="197"/>
      <c r="Y71" s="197"/>
      <c r="Z71" s="274"/>
      <c r="AA71" s="197"/>
    </row>
    <row r="72" spans="2:40">
      <c r="B72" s="212" t="s">
        <v>557</v>
      </c>
      <c r="C72" s="579"/>
      <c r="D72" s="579"/>
      <c r="E72" s="579"/>
      <c r="F72" s="579"/>
      <c r="G72" s="579"/>
      <c r="H72" s="579"/>
      <c r="I72" s="587">
        <f>I61/I46</f>
        <v>15.333047341839928</v>
      </c>
      <c r="J72" s="587">
        <f>J61/J46</f>
        <v>14.656841057634724</v>
      </c>
      <c r="K72" s="587">
        <f>K61/K46</f>
        <v>13.989873550815204</v>
      </c>
      <c r="L72" s="587">
        <f>L61/L46</f>
        <v>13.514833392295218</v>
      </c>
      <c r="M72" s="587">
        <f>M61/M46</f>
        <v>13.185812135064618</v>
      </c>
      <c r="O72" s="262"/>
      <c r="P72" s="339"/>
      <c r="Q72" s="267"/>
      <c r="R72" s="246"/>
      <c r="S72" s="197"/>
      <c r="T72" s="197"/>
      <c r="U72" s="140"/>
      <c r="V72" s="43"/>
      <c r="W72" s="274"/>
      <c r="X72" s="197"/>
      <c r="Y72" s="197"/>
      <c r="Z72" s="197"/>
      <c r="AA72" s="197"/>
    </row>
    <row r="73" spans="2:40" ht="12" customHeight="1">
      <c r="B73" s="212" t="s">
        <v>506</v>
      </c>
      <c r="C73" s="587"/>
      <c r="D73" s="587"/>
      <c r="E73" s="587"/>
      <c r="F73" s="587"/>
      <c r="G73" s="587"/>
      <c r="H73" s="587"/>
      <c r="I73" s="587">
        <f>I62/I46</f>
        <v>14.429997403233614</v>
      </c>
      <c r="J73" s="587">
        <f t="shared" ref="J73:L73" si="127">J62/J46</f>
        <v>12.694972950128381</v>
      </c>
      <c r="K73" s="587">
        <f t="shared" si="127"/>
        <v>11.221291901564069</v>
      </c>
      <c r="L73" s="587">
        <f t="shared" si="127"/>
        <v>9.9411276090568759</v>
      </c>
      <c r="M73" s="587">
        <f>M62/M46</f>
        <v>8.8619487849605676</v>
      </c>
      <c r="P73" s="43"/>
      <c r="Q73" s="267"/>
      <c r="R73" s="246"/>
      <c r="S73" s="274"/>
      <c r="T73" s="197"/>
      <c r="U73" s="140"/>
      <c r="V73" s="43"/>
      <c r="W73" s="274"/>
      <c r="X73" s="197"/>
      <c r="Y73" s="197"/>
      <c r="Z73" s="197"/>
      <c r="AA73" s="197"/>
    </row>
    <row r="74" spans="2:40" ht="12" customHeight="1">
      <c r="B74" s="212"/>
      <c r="C74" s="587"/>
      <c r="D74" s="587"/>
      <c r="E74" s="587"/>
      <c r="F74" s="587"/>
      <c r="G74" s="587"/>
      <c r="H74" s="587"/>
      <c r="I74" s="587"/>
      <c r="J74" s="587"/>
      <c r="K74" s="587"/>
      <c r="L74" s="587"/>
      <c r="M74" s="587"/>
      <c r="P74" s="43"/>
      <c r="Q74" s="267"/>
      <c r="R74" s="246"/>
      <c r="S74" s="197"/>
      <c r="T74" s="197"/>
      <c r="U74" s="140"/>
      <c r="V74" s="43"/>
      <c r="W74" s="267"/>
      <c r="X74" s="246"/>
      <c r="Y74" s="197"/>
      <c r="Z74" s="197"/>
      <c r="AA74" s="197"/>
    </row>
    <row r="75" spans="2:40">
      <c r="B75" s="212" t="s">
        <v>607</v>
      </c>
      <c r="C75" s="587"/>
      <c r="D75" s="587"/>
      <c r="E75" s="587"/>
      <c r="F75" s="587"/>
      <c r="G75" s="587"/>
      <c r="H75" s="587"/>
      <c r="I75" s="587">
        <f>I64/I47</f>
        <v>15.112340438351895</v>
      </c>
      <c r="J75" s="587">
        <f t="shared" ref="J75:M75" si="128">J64/J47</f>
        <v>14.266582033727504</v>
      </c>
      <c r="K75" s="587">
        <f t="shared" si="128"/>
        <v>13.792550328197821</v>
      </c>
      <c r="L75" s="587">
        <f t="shared" si="128"/>
        <v>13.291419737997865</v>
      </c>
      <c r="M75" s="587">
        <f t="shared" si="128"/>
        <v>13.108667439174898</v>
      </c>
      <c r="W75" s="30"/>
      <c r="Y75" s="197"/>
      <c r="AA75" s="197"/>
    </row>
    <row r="76" spans="2:40">
      <c r="B76" s="212" t="s">
        <v>608</v>
      </c>
      <c r="C76" s="587"/>
      <c r="D76" s="587"/>
      <c r="E76" s="587"/>
      <c r="F76" s="587"/>
      <c r="G76" s="587"/>
      <c r="H76" s="587"/>
      <c r="I76" s="587">
        <f>I65/I47</f>
        <v>15.081735927570332</v>
      </c>
      <c r="J76" s="587">
        <f t="shared" ref="J76:M76" si="129">J65/J47</f>
        <v>14.208216291725215</v>
      </c>
      <c r="K76" s="587">
        <f t="shared" si="129"/>
        <v>13.71000393825336</v>
      </c>
      <c r="L76" s="587">
        <f t="shared" si="129"/>
        <v>13.185714410517244</v>
      </c>
      <c r="M76" s="587">
        <f t="shared" si="129"/>
        <v>12.978874724555686</v>
      </c>
      <c r="W76" s="30"/>
      <c r="Y76" s="197"/>
      <c r="AA76" s="197"/>
    </row>
    <row r="77" spans="2:40">
      <c r="B77" s="212" t="s">
        <v>609</v>
      </c>
      <c r="C77" s="587"/>
      <c r="D77" s="587"/>
      <c r="E77" s="587"/>
      <c r="F77" s="587"/>
      <c r="G77" s="587"/>
      <c r="H77" s="587"/>
      <c r="I77" s="587">
        <f>I66/I47</f>
        <v>15.01427114191692</v>
      </c>
      <c r="J77" s="587">
        <f t="shared" ref="J77:M77" si="130">J66/J47</f>
        <v>14.089762250461884</v>
      </c>
      <c r="K77" s="587">
        <f t="shared" si="130"/>
        <v>13.550631836683252</v>
      </c>
      <c r="L77" s="587">
        <f t="shared" si="130"/>
        <v>13.012660263304632</v>
      </c>
      <c r="M77" s="587">
        <f t="shared" si="130"/>
        <v>12.749947162295674</v>
      </c>
      <c r="W77" s="30"/>
      <c r="Y77" s="197"/>
      <c r="AA77" s="197"/>
    </row>
    <row r="78" spans="2:40">
      <c r="M78" s="196"/>
      <c r="V78" s="43"/>
      <c r="W78" s="245"/>
      <c r="X78" s="246"/>
      <c r="Y78" s="197"/>
      <c r="Z78" s="274"/>
      <c r="AA78" s="43"/>
    </row>
    <row r="79" spans="2:40">
      <c r="B79" s="84" t="s">
        <v>597</v>
      </c>
      <c r="C79" s="84"/>
      <c r="D79" s="84"/>
      <c r="E79" s="84"/>
      <c r="F79" s="84"/>
      <c r="G79" s="84"/>
      <c r="H79" s="84"/>
      <c r="I79" s="84"/>
      <c r="J79" s="84"/>
      <c r="K79" s="84"/>
      <c r="L79" s="84"/>
      <c r="M79" s="84"/>
      <c r="N79" s="84"/>
      <c r="O79" s="84"/>
      <c r="P79" s="84"/>
      <c r="Q79" s="84"/>
      <c r="R79" s="84"/>
      <c r="S79" s="84"/>
      <c r="T79" s="84"/>
      <c r="U79" s="84"/>
      <c r="V79" s="84"/>
      <c r="W79" s="84"/>
      <c r="X79" s="84"/>
      <c r="Y79" s="84"/>
      <c r="Z79" s="84"/>
      <c r="AA79" s="84"/>
      <c r="AB79" s="84"/>
    </row>
    <row r="115" spans="2:28">
      <c r="B115" s="84" t="s">
        <v>598</v>
      </c>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c r="AA115" s="84"/>
      <c r="AB115" s="84"/>
    </row>
    <row r="128" spans="2:28">
      <c r="C128" s="31"/>
    </row>
    <row r="129" spans="3:3">
      <c r="C129" s="31"/>
    </row>
    <row r="130" spans="3:3">
      <c r="C130" s="31"/>
    </row>
    <row r="131" spans="3:3">
      <c r="C131" s="31"/>
    </row>
    <row r="132" spans="3:3">
      <c r="C132" s="31"/>
    </row>
    <row r="133" spans="3:3">
      <c r="C133" s="31"/>
    </row>
    <row r="147" spans="2:28">
      <c r="B147" s="84" t="s">
        <v>473</v>
      </c>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c r="AA147" s="84"/>
      <c r="AB147" s="84"/>
    </row>
    <row r="148" spans="2:28">
      <c r="M148" s="185"/>
    </row>
    <row r="149" spans="2:28">
      <c r="C149" s="626" t="s">
        <v>30</v>
      </c>
      <c r="D149" s="627"/>
      <c r="E149" s="627"/>
      <c r="F149" s="627"/>
      <c r="G149" s="628"/>
      <c r="H149" s="87" t="s">
        <v>187</v>
      </c>
      <c r="I149" s="626" t="s">
        <v>31</v>
      </c>
      <c r="J149" s="627"/>
      <c r="K149" s="627"/>
      <c r="L149" s="627"/>
      <c r="M149" s="628"/>
      <c r="O149" s="200" t="s">
        <v>269</v>
      </c>
    </row>
    <row r="150" spans="2:28">
      <c r="B150" s="29" t="s">
        <v>474</v>
      </c>
      <c r="C150" s="75" t="s">
        <v>12</v>
      </c>
      <c r="D150" s="75" t="s">
        <v>13</v>
      </c>
      <c r="E150" s="75" t="s">
        <v>14</v>
      </c>
      <c r="F150" s="75" t="s">
        <v>15</v>
      </c>
      <c r="G150" s="75" t="s">
        <v>16</v>
      </c>
      <c r="H150" s="75" t="s">
        <v>17</v>
      </c>
      <c r="I150" s="75" t="s">
        <v>32</v>
      </c>
      <c r="J150" s="75" t="s">
        <v>33</v>
      </c>
      <c r="K150" s="75" t="s">
        <v>34</v>
      </c>
      <c r="L150" s="75" t="s">
        <v>35</v>
      </c>
      <c r="M150" s="75" t="s">
        <v>36</v>
      </c>
    </row>
    <row r="151" spans="2:28">
      <c r="B151" s="94" t="s">
        <v>612</v>
      </c>
      <c r="C151" s="188">
        <f>C51</f>
        <v>1053.7</v>
      </c>
      <c r="D151" s="188">
        <f t="shared" ref="D151:M151" si="131">D51</f>
        <v>1083</v>
      </c>
      <c r="E151" s="188">
        <f t="shared" si="131"/>
        <v>1026.3999999999999</v>
      </c>
      <c r="F151" s="188">
        <f t="shared" si="131"/>
        <v>1029.5</v>
      </c>
      <c r="G151" s="188">
        <f t="shared" si="131"/>
        <v>1042.3000000000002</v>
      </c>
      <c r="H151" s="188">
        <f t="shared" si="131"/>
        <v>1050.0999999999999</v>
      </c>
      <c r="I151" s="188">
        <f t="shared" si="131"/>
        <v>1071.5999999999999</v>
      </c>
      <c r="J151" s="188">
        <f t="shared" si="131"/>
        <v>1029.1000000000001</v>
      </c>
      <c r="K151" s="188">
        <f t="shared" si="131"/>
        <v>1010.0999999999999</v>
      </c>
      <c r="L151" s="188">
        <f t="shared" si="131"/>
        <v>999.5</v>
      </c>
      <c r="M151" s="188">
        <f t="shared" si="131"/>
        <v>1009.4999999999999</v>
      </c>
      <c r="O151" s="219">
        <f>SUM(I151:M151)</f>
        <v>5119.7999999999993</v>
      </c>
      <c r="Q151" s="185"/>
    </row>
    <row r="152" spans="2:28">
      <c r="B152" s="94" t="s">
        <v>481</v>
      </c>
      <c r="C152" s="94"/>
      <c r="D152" s="94"/>
      <c r="E152" s="94"/>
      <c r="F152" s="94"/>
      <c r="G152" s="94"/>
      <c r="H152" s="188"/>
      <c r="I152" s="188">
        <f>'Other Opex'!F46</f>
        <v>-1.1000000000000001</v>
      </c>
      <c r="J152" s="188">
        <f>'Other Opex'!G46</f>
        <v>-1</v>
      </c>
      <c r="K152" s="188">
        <f>'Other Opex'!H46</f>
        <v>-1.7</v>
      </c>
      <c r="L152" s="188">
        <f>'Other Opex'!I46</f>
        <v>-12.6</v>
      </c>
      <c r="M152" s="188">
        <f>'Other Opex'!J46</f>
        <v>-22.3</v>
      </c>
      <c r="O152" s="219">
        <f t="shared" ref="O152:O160" si="132">SUM(I152:M152)</f>
        <v>-38.700000000000003</v>
      </c>
      <c r="Q152" s="185"/>
      <c r="R152" s="185"/>
    </row>
    <row r="153" spans="2:28">
      <c r="B153" s="94" t="s">
        <v>264</v>
      </c>
      <c r="C153" s="94"/>
      <c r="D153" s="94"/>
      <c r="E153" s="94"/>
      <c r="F153" s="94"/>
      <c r="G153" s="94"/>
      <c r="H153" s="94"/>
      <c r="I153" s="170">
        <f>(MandA!F34)</f>
        <v>-1.1123025920036951</v>
      </c>
      <c r="J153" s="170">
        <f>(MandA!G34)</f>
        <v>-4.854629939399647</v>
      </c>
      <c r="K153" s="170">
        <f>(MandA!H34)</f>
        <v>-4.8868790537218603</v>
      </c>
      <c r="L153" s="170">
        <f>(MandA!I34)</f>
        <v>-4.4771491162551555</v>
      </c>
      <c r="M153" s="170">
        <f>(MandA!J34)</f>
        <v>-4.5040879807441794</v>
      </c>
      <c r="O153" s="219">
        <f t="shared" si="132"/>
        <v>-19.835048682124537</v>
      </c>
      <c r="Q153" s="185"/>
      <c r="R153" s="185"/>
    </row>
    <row r="154" spans="2:28">
      <c r="B154" s="94" t="s">
        <v>636</v>
      </c>
      <c r="C154" s="94"/>
      <c r="D154" s="94"/>
      <c r="E154" s="94"/>
      <c r="F154" s="94"/>
      <c r="G154" s="94"/>
      <c r="H154" s="94"/>
      <c r="I154" s="170">
        <v>0</v>
      </c>
      <c r="J154" s="170">
        <v>0</v>
      </c>
      <c r="K154" s="170">
        <v>0</v>
      </c>
      <c r="L154" s="170">
        <v>0</v>
      </c>
      <c r="M154" s="170">
        <v>0</v>
      </c>
      <c r="O154" s="219">
        <f t="shared" si="132"/>
        <v>0</v>
      </c>
      <c r="Q154" s="185"/>
      <c r="R154" s="185"/>
    </row>
    <row r="155" spans="2:28">
      <c r="B155" s="94" t="s">
        <v>478</v>
      </c>
      <c r="C155" s="94"/>
      <c r="D155" s="94"/>
      <c r="E155" s="94"/>
      <c r="F155" s="94"/>
      <c r="G155" s="94"/>
      <c r="H155" s="94"/>
      <c r="I155" s="170">
        <f>((Wages!L32)*I52)</f>
        <v>-5.7928788853161839</v>
      </c>
      <c r="J155" s="170">
        <f>((Wages!M32)*J52)</f>
        <v>-11.075171275455517</v>
      </c>
      <c r="K155" s="170">
        <f>((Wages!N32)*K52)</f>
        <v>-15.657771061093245</v>
      </c>
      <c r="L155" s="170">
        <f>((Wages!O32)*L52)</f>
        <v>-20.145817792068591</v>
      </c>
      <c r="M155" s="170">
        <f>((Wages!P32)*M52)</f>
        <v>-24.93013076098606</v>
      </c>
      <c r="O155" s="219">
        <f>SUM(I155:M155)</f>
        <v>-77.601769774919603</v>
      </c>
      <c r="Q155" s="185"/>
      <c r="R155" s="185"/>
    </row>
    <row r="156" spans="2:28">
      <c r="B156" s="94" t="s">
        <v>27</v>
      </c>
      <c r="C156" s="94"/>
      <c r="D156" s="94"/>
      <c r="E156" s="94"/>
      <c r="F156" s="94"/>
      <c r="G156" s="94"/>
      <c r="H156" s="94"/>
      <c r="I156" s="170">
        <f>Pensions!L25+Pensions!L27</f>
        <v>-3</v>
      </c>
      <c r="J156" s="170">
        <f>Pensions!M25+Pensions!M27</f>
        <v>-1.6</v>
      </c>
      <c r="K156" s="170">
        <f>Pensions!N25+Pensions!N27</f>
        <v>-1.6</v>
      </c>
      <c r="L156" s="170">
        <f>Pensions!O25+Pensions!O27</f>
        <v>-1.6</v>
      </c>
      <c r="M156" s="170">
        <f>Pensions!P25+Pensions!P27</f>
        <v>-1.6</v>
      </c>
      <c r="O156" s="219">
        <f t="shared" si="132"/>
        <v>-9.3999999999999986</v>
      </c>
      <c r="Q156" s="185"/>
      <c r="R156" s="185"/>
    </row>
    <row r="157" spans="2:28">
      <c r="B157" s="94" t="s">
        <v>428</v>
      </c>
      <c r="C157" s="94"/>
      <c r="D157" s="94"/>
      <c r="E157" s="94"/>
      <c r="F157" s="94"/>
      <c r="G157" s="94"/>
      <c r="H157" s="94"/>
      <c r="I157" s="170">
        <f>+'Frontier Shift'!N15</f>
        <v>-1.3651299999999083</v>
      </c>
      <c r="J157" s="170">
        <f>+'Frontier Shift'!O15</f>
        <v>-2.7284853309997743</v>
      </c>
      <c r="K157" s="170">
        <f>+'Frontier Shift'!P15</f>
        <v>-4.0900683000695608</v>
      </c>
      <c r="L157" s="170">
        <f>+'Frontier Shift'!Q15</f>
        <v>-5.4498812112794894</v>
      </c>
      <c r="M157" s="170">
        <f>+'Frontier Shift'!R15</f>
        <v>-6.8079263657045885</v>
      </c>
      <c r="O157" s="219">
        <f t="shared" si="132"/>
        <v>-20.441491208053321</v>
      </c>
      <c r="Q157" s="185"/>
      <c r="R157" s="185"/>
    </row>
    <row r="158" spans="2:28">
      <c r="B158" s="94" t="s">
        <v>644</v>
      </c>
      <c r="C158" s="94"/>
      <c r="D158" s="94"/>
      <c r="E158" s="94"/>
      <c r="F158" s="94"/>
      <c r="G158" s="94"/>
      <c r="H158" s="94"/>
      <c r="I158" s="170">
        <f>Overlays!L10</f>
        <v>-2</v>
      </c>
      <c r="J158" s="170">
        <f>Overlays!M10</f>
        <v>-1.9</v>
      </c>
      <c r="K158" s="170">
        <f>Overlays!N10</f>
        <v>-1.9</v>
      </c>
      <c r="L158" s="170">
        <f>Overlays!O10</f>
        <v>-1.9</v>
      </c>
      <c r="M158" s="170">
        <f>Overlays!P10</f>
        <v>-1.9</v>
      </c>
      <c r="O158" s="219">
        <f t="shared" si="132"/>
        <v>-9.6</v>
      </c>
      <c r="Q158" s="185"/>
      <c r="R158" s="185"/>
    </row>
    <row r="159" spans="2:28">
      <c r="B159" s="94"/>
      <c r="C159" s="94"/>
      <c r="D159" s="94"/>
      <c r="E159" s="94"/>
      <c r="F159" s="94"/>
      <c r="G159" s="94"/>
      <c r="H159" s="94"/>
      <c r="I159" s="170"/>
      <c r="J159" s="170"/>
      <c r="K159" s="170"/>
      <c r="L159" s="170"/>
      <c r="M159" s="170"/>
      <c r="O159" s="219"/>
      <c r="Q159" s="185"/>
      <c r="R159" s="185"/>
    </row>
    <row r="160" spans="2:28">
      <c r="B160" s="94" t="s">
        <v>28</v>
      </c>
      <c r="C160" s="94"/>
      <c r="D160" s="94"/>
      <c r="E160" s="94"/>
      <c r="F160" s="94"/>
      <c r="G160" s="94"/>
      <c r="H160" s="94"/>
      <c r="I160" s="170">
        <f t="shared" ref="I160:L160" si="133">SUM(I152:I158)</f>
        <v>-14.370311477319788</v>
      </c>
      <c r="J160" s="170">
        <f t="shared" si="133"/>
        <v>-23.158286545854939</v>
      </c>
      <c r="K160" s="170">
        <f t="shared" si="133"/>
        <v>-29.834718414884666</v>
      </c>
      <c r="L160" s="170">
        <f t="shared" si="133"/>
        <v>-46.172848119603238</v>
      </c>
      <c r="M160" s="170">
        <f>SUM(M152:M158)</f>
        <v>-62.042145107434827</v>
      </c>
      <c r="O160" s="219">
        <f t="shared" si="132"/>
        <v>-175.57830966509746</v>
      </c>
      <c r="Q160" s="185"/>
    </row>
    <row r="161" spans="1:30">
      <c r="B161" s="94" t="s">
        <v>82</v>
      </c>
      <c r="C161" s="188"/>
      <c r="D161" s="188"/>
      <c r="E161" s="188"/>
      <c r="F161" s="188"/>
      <c r="G161" s="188"/>
      <c r="H161" s="188"/>
      <c r="I161" s="188">
        <f t="shared" ref="I161:L161" si="134">I65</f>
        <v>1057.2296885226801</v>
      </c>
      <c r="J161" s="188">
        <f t="shared" si="134"/>
        <v>1005.9417134541452</v>
      </c>
      <c r="K161" s="188">
        <f t="shared" si="134"/>
        <v>980.26528158511519</v>
      </c>
      <c r="L161" s="188">
        <f t="shared" si="134"/>
        <v>953.32715188039674</v>
      </c>
      <c r="M161" s="188">
        <f>M65</f>
        <v>947.45785489256502</v>
      </c>
      <c r="O161" s="219">
        <f>SUM(I161:M161)</f>
        <v>4944.2216903349017</v>
      </c>
      <c r="Q161" s="185"/>
    </row>
    <row r="162" spans="1:30">
      <c r="B162" s="204" t="s">
        <v>740</v>
      </c>
      <c r="C162" s="204"/>
      <c r="D162" s="204"/>
      <c r="E162" s="204"/>
      <c r="F162" s="204"/>
      <c r="G162" s="204"/>
      <c r="H162" s="204"/>
      <c r="I162" s="541" t="b">
        <f t="shared" ref="I162:L162" si="135">(I151+I160)=I161</f>
        <v>1</v>
      </c>
      <c r="J162" s="541" t="b">
        <f t="shared" si="135"/>
        <v>1</v>
      </c>
      <c r="K162" s="541" t="b">
        <f t="shared" si="135"/>
        <v>1</v>
      </c>
      <c r="L162" s="541" t="b">
        <f t="shared" si="135"/>
        <v>1</v>
      </c>
      <c r="M162" s="541" t="b">
        <f>(M151+M160)=M161</f>
        <v>1</v>
      </c>
      <c r="N162" s="541"/>
      <c r="O162" s="542" t="b">
        <f>(O151+O160)=O161</f>
        <v>1</v>
      </c>
    </row>
    <row r="163" spans="1:30">
      <c r="I163" s="185"/>
      <c r="J163" s="185"/>
      <c r="K163" s="185"/>
      <c r="L163" s="185"/>
      <c r="M163" s="185"/>
      <c r="N163" s="185"/>
      <c r="O163" s="233"/>
    </row>
    <row r="164" spans="1:30">
      <c r="B164" s="84" t="s">
        <v>480</v>
      </c>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c r="AA164" s="84"/>
      <c r="AB164" s="84"/>
    </row>
    <row r="169" spans="1:30">
      <c r="B169" s="29" t="s">
        <v>487</v>
      </c>
      <c r="C169" s="18" t="s">
        <v>260</v>
      </c>
      <c r="D169" s="18" t="s">
        <v>261</v>
      </c>
      <c r="E169" s="18" t="s">
        <v>612</v>
      </c>
      <c r="F169" s="18" t="s">
        <v>478</v>
      </c>
      <c r="G169" s="18" t="s">
        <v>481</v>
      </c>
      <c r="H169" s="18" t="s">
        <v>264</v>
      </c>
      <c r="I169" s="18" t="s">
        <v>428</v>
      </c>
      <c r="J169" s="18" t="s">
        <v>484</v>
      </c>
      <c r="K169" s="18" t="s">
        <v>636</v>
      </c>
      <c r="L169" s="18" t="s">
        <v>644</v>
      </c>
      <c r="M169" s="18" t="s">
        <v>82</v>
      </c>
      <c r="N169" s="18" t="s">
        <v>288</v>
      </c>
      <c r="R169" s="29" t="s">
        <v>487</v>
      </c>
      <c r="S169" s="18" t="s">
        <v>260</v>
      </c>
      <c r="T169" s="18" t="s">
        <v>261</v>
      </c>
      <c r="U169" s="18" t="s">
        <v>612</v>
      </c>
      <c r="V169" s="18" t="s">
        <v>478</v>
      </c>
      <c r="W169" s="18" t="s">
        <v>481</v>
      </c>
      <c r="X169" s="18" t="s">
        <v>264</v>
      </c>
      <c r="Y169" s="18" t="s">
        <v>428</v>
      </c>
      <c r="Z169" s="18" t="s">
        <v>644</v>
      </c>
      <c r="AA169" s="18" t="s">
        <v>82</v>
      </c>
      <c r="AB169" s="18" t="s">
        <v>288</v>
      </c>
      <c r="AC169" s="19"/>
      <c r="AD169" s="19"/>
    </row>
    <row r="170" spans="1:30">
      <c r="A170" s="18"/>
      <c r="B170" s="18" t="s">
        <v>260</v>
      </c>
      <c r="C170" s="30">
        <v>5304.1145737543011</v>
      </c>
      <c r="N170" s="19"/>
      <c r="R170" s="18" t="s">
        <v>260</v>
      </c>
      <c r="S170" s="30">
        <f>C170</f>
        <v>5304.1145737543011</v>
      </c>
      <c r="T170" s="30">
        <f t="shared" ref="T170:Y170" si="136">D170</f>
        <v>0</v>
      </c>
      <c r="U170" s="30">
        <f t="shared" si="136"/>
        <v>0</v>
      </c>
      <c r="V170" s="30">
        <f t="shared" si="136"/>
        <v>0</v>
      </c>
      <c r="W170" s="30">
        <f t="shared" si="136"/>
        <v>0</v>
      </c>
      <c r="X170" s="30">
        <f t="shared" si="136"/>
        <v>0</v>
      </c>
      <c r="Y170" s="30">
        <f t="shared" si="136"/>
        <v>0</v>
      </c>
      <c r="Z170" s="30">
        <f t="shared" ref="Z170:Z181" si="137">L170</f>
        <v>0</v>
      </c>
      <c r="AA170" s="30">
        <f t="shared" ref="AA170:AA181" si="138">M170</f>
        <v>0</v>
      </c>
      <c r="AB170" s="30">
        <f t="shared" ref="AB170:AB181" si="139">N170</f>
        <v>0</v>
      </c>
      <c r="AC170" s="19"/>
      <c r="AD170" s="19"/>
    </row>
    <row r="171" spans="1:30">
      <c r="A171" s="18"/>
      <c r="B171" s="18" t="s">
        <v>261</v>
      </c>
      <c r="D171" s="185">
        <v>5233.9999999999991</v>
      </c>
      <c r="F171" s="185"/>
      <c r="G171" s="185"/>
      <c r="H171" s="185"/>
      <c r="I171" s="185"/>
      <c r="J171" s="185"/>
      <c r="K171" s="185"/>
      <c r="N171" s="19"/>
      <c r="R171" s="18" t="s">
        <v>261</v>
      </c>
      <c r="S171" s="30">
        <f t="shared" ref="S171:S181" si="140">C171</f>
        <v>0</v>
      </c>
      <c r="T171" s="30">
        <f t="shared" ref="T171:T181" si="141">D171</f>
        <v>5233.9999999999991</v>
      </c>
      <c r="U171" s="30">
        <f t="shared" ref="U171:U181" si="142">E171</f>
        <v>0</v>
      </c>
      <c r="V171" s="30">
        <f t="shared" ref="V171:V181" si="143">F171</f>
        <v>0</v>
      </c>
      <c r="W171" s="30">
        <f t="shared" ref="W171:W181" si="144">G171</f>
        <v>0</v>
      </c>
      <c r="X171" s="30">
        <f t="shared" ref="X171:X181" si="145">H171</f>
        <v>0</v>
      </c>
      <c r="Y171" s="30">
        <f t="shared" ref="Y171:Y181" si="146">I171</f>
        <v>0</v>
      </c>
      <c r="Z171" s="30">
        <f t="shared" si="137"/>
        <v>0</v>
      </c>
      <c r="AA171" s="30">
        <f t="shared" si="138"/>
        <v>0</v>
      </c>
      <c r="AB171" s="30">
        <f t="shared" si="139"/>
        <v>0</v>
      </c>
      <c r="AC171" s="19"/>
      <c r="AD171" s="19"/>
    </row>
    <row r="172" spans="1:30">
      <c r="A172" s="18"/>
      <c r="B172" s="18" t="s">
        <v>612</v>
      </c>
      <c r="D172" s="185"/>
      <c r="E172" s="30">
        <f>W51</f>
        <v>5119.7999999999993</v>
      </c>
      <c r="F172" s="185">
        <f>E172-F173</f>
        <v>5042.1982302250799</v>
      </c>
      <c r="G172" s="185">
        <f>F172-G174</f>
        <v>5003.4982302250801</v>
      </c>
      <c r="H172" s="185">
        <f>G172-H175</f>
        <v>4983.6631815429555</v>
      </c>
      <c r="I172" s="185">
        <f>H172-I176</f>
        <v>4963.2216903349017</v>
      </c>
      <c r="J172" s="185">
        <f>I172-J177</f>
        <v>4953.8216903349021</v>
      </c>
      <c r="K172" s="185">
        <f>J172-K178</f>
        <v>4953.8216903349021</v>
      </c>
      <c r="L172" s="185">
        <f>K172-L179</f>
        <v>4944.2216903349017</v>
      </c>
      <c r="N172" s="19"/>
      <c r="R172" s="18" t="s">
        <v>612</v>
      </c>
      <c r="S172" s="30">
        <f t="shared" si="140"/>
        <v>0</v>
      </c>
      <c r="T172" s="30">
        <f t="shared" si="141"/>
        <v>0</v>
      </c>
      <c r="U172" s="30">
        <f t="shared" si="142"/>
        <v>5119.7999999999993</v>
      </c>
      <c r="V172" s="30">
        <f t="shared" si="143"/>
        <v>5042.1982302250799</v>
      </c>
      <c r="W172" s="30">
        <f t="shared" si="144"/>
        <v>5003.4982302250801</v>
      </c>
      <c r="X172" s="30">
        <f t="shared" si="145"/>
        <v>4983.6631815429555</v>
      </c>
      <c r="Y172" s="30">
        <f t="shared" si="146"/>
        <v>4963.2216903349017</v>
      </c>
      <c r="Z172" s="30">
        <f t="shared" si="137"/>
        <v>4944.2216903349017</v>
      </c>
      <c r="AA172" s="30">
        <f t="shared" si="138"/>
        <v>0</v>
      </c>
      <c r="AB172" s="30">
        <f t="shared" si="139"/>
        <v>0</v>
      </c>
      <c r="AC172" s="19"/>
      <c r="AD172" s="19"/>
    </row>
    <row r="173" spans="1:30">
      <c r="A173" s="18"/>
      <c r="B173" s="18" t="s">
        <v>478</v>
      </c>
      <c r="D173" s="185"/>
      <c r="F173" s="185">
        <f>-O155</f>
        <v>77.601769774919603</v>
      </c>
      <c r="G173" s="185"/>
      <c r="H173" s="185"/>
      <c r="I173" s="185"/>
      <c r="N173" s="19"/>
      <c r="R173" s="18" t="s">
        <v>478</v>
      </c>
      <c r="S173" s="30">
        <f t="shared" si="140"/>
        <v>0</v>
      </c>
      <c r="T173" s="30">
        <f t="shared" si="141"/>
        <v>0</v>
      </c>
      <c r="U173" s="30">
        <f t="shared" si="142"/>
        <v>0</v>
      </c>
      <c r="V173" s="30">
        <f t="shared" si="143"/>
        <v>77.601769774919603</v>
      </c>
      <c r="W173" s="30">
        <f t="shared" si="144"/>
        <v>0</v>
      </c>
      <c r="X173" s="30">
        <f t="shared" si="145"/>
        <v>0</v>
      </c>
      <c r="Y173" s="30">
        <f t="shared" si="146"/>
        <v>0</v>
      </c>
      <c r="Z173" s="30">
        <f t="shared" si="137"/>
        <v>0</v>
      </c>
      <c r="AA173" s="30">
        <f t="shared" si="138"/>
        <v>0</v>
      </c>
      <c r="AB173" s="30">
        <f t="shared" si="139"/>
        <v>0</v>
      </c>
      <c r="AC173" s="19"/>
      <c r="AD173" s="19"/>
    </row>
    <row r="174" spans="1:30">
      <c r="A174" s="18"/>
      <c r="B174" s="18" t="s">
        <v>481</v>
      </c>
      <c r="D174" s="185"/>
      <c r="F174" s="185"/>
      <c r="G174" s="185">
        <f>-O152</f>
        <v>38.700000000000003</v>
      </c>
      <c r="N174" s="19"/>
      <c r="R174" s="18" t="s">
        <v>481</v>
      </c>
      <c r="S174" s="30">
        <f t="shared" si="140"/>
        <v>0</v>
      </c>
      <c r="T174" s="30">
        <f t="shared" si="141"/>
        <v>0</v>
      </c>
      <c r="U174" s="30">
        <f t="shared" si="142"/>
        <v>0</v>
      </c>
      <c r="V174" s="30">
        <f t="shared" si="143"/>
        <v>0</v>
      </c>
      <c r="W174" s="30">
        <f t="shared" si="144"/>
        <v>38.700000000000003</v>
      </c>
      <c r="X174" s="30">
        <f t="shared" si="145"/>
        <v>0</v>
      </c>
      <c r="Y174" s="30">
        <f t="shared" si="146"/>
        <v>0</v>
      </c>
      <c r="Z174" s="30">
        <f t="shared" si="137"/>
        <v>0</v>
      </c>
      <c r="AA174" s="30">
        <f t="shared" si="138"/>
        <v>0</v>
      </c>
      <c r="AB174" s="30">
        <f t="shared" si="139"/>
        <v>0</v>
      </c>
      <c r="AC174" s="19"/>
      <c r="AD174" s="19"/>
    </row>
    <row r="175" spans="1:30">
      <c r="A175" s="18"/>
      <c r="B175" s="18" t="s">
        <v>264</v>
      </c>
      <c r="D175" s="185"/>
      <c r="F175" s="185"/>
      <c r="G175" s="185"/>
      <c r="H175" s="185">
        <f>-O153</f>
        <v>19.835048682124537</v>
      </c>
      <c r="N175" s="19"/>
      <c r="R175" s="18" t="s">
        <v>264</v>
      </c>
      <c r="S175" s="30">
        <f t="shared" si="140"/>
        <v>0</v>
      </c>
      <c r="T175" s="30">
        <f t="shared" si="141"/>
        <v>0</v>
      </c>
      <c r="U175" s="30">
        <f t="shared" si="142"/>
        <v>0</v>
      </c>
      <c r="V175" s="30">
        <f t="shared" si="143"/>
        <v>0</v>
      </c>
      <c r="W175" s="30">
        <f t="shared" si="144"/>
        <v>0</v>
      </c>
      <c r="X175" s="30">
        <f t="shared" si="145"/>
        <v>19.835048682124537</v>
      </c>
      <c r="Y175" s="30">
        <f t="shared" si="146"/>
        <v>0</v>
      </c>
      <c r="Z175" s="30">
        <f t="shared" si="137"/>
        <v>0</v>
      </c>
      <c r="AA175" s="30">
        <f t="shared" si="138"/>
        <v>0</v>
      </c>
      <c r="AB175" s="30">
        <f t="shared" si="139"/>
        <v>0</v>
      </c>
      <c r="AC175" s="19"/>
      <c r="AD175" s="19"/>
    </row>
    <row r="176" spans="1:30">
      <c r="A176" s="18"/>
      <c r="B176" s="18" t="s">
        <v>428</v>
      </c>
      <c r="D176" s="185"/>
      <c r="F176" s="185"/>
      <c r="G176" s="185"/>
      <c r="H176" s="185"/>
      <c r="I176" s="185">
        <f>-O157</f>
        <v>20.441491208053321</v>
      </c>
      <c r="K176" s="185"/>
      <c r="N176" s="19"/>
      <c r="R176" s="18" t="s">
        <v>428</v>
      </c>
      <c r="S176" s="30">
        <f t="shared" si="140"/>
        <v>0</v>
      </c>
      <c r="T176" s="30">
        <f t="shared" si="141"/>
        <v>0</v>
      </c>
      <c r="U176" s="30">
        <f t="shared" si="142"/>
        <v>0</v>
      </c>
      <c r="V176" s="30">
        <f t="shared" si="143"/>
        <v>0</v>
      </c>
      <c r="W176" s="30">
        <f t="shared" si="144"/>
        <v>0</v>
      </c>
      <c r="X176" s="30">
        <f t="shared" si="145"/>
        <v>0</v>
      </c>
      <c r="Y176" s="30">
        <f t="shared" si="146"/>
        <v>20.441491208053321</v>
      </c>
      <c r="Z176" s="30">
        <f t="shared" si="137"/>
        <v>0</v>
      </c>
      <c r="AA176" s="30">
        <f t="shared" si="138"/>
        <v>0</v>
      </c>
      <c r="AB176" s="30">
        <f t="shared" si="139"/>
        <v>0</v>
      </c>
      <c r="AC176" s="19"/>
      <c r="AD176" s="19"/>
    </row>
    <row r="177" spans="1:30">
      <c r="A177" s="18"/>
      <c r="B177" s="18" t="s">
        <v>484</v>
      </c>
      <c r="D177" s="185"/>
      <c r="F177" s="185"/>
      <c r="G177" s="185"/>
      <c r="H177" s="185"/>
      <c r="J177" s="185">
        <f>-O156</f>
        <v>9.3999999999999986</v>
      </c>
      <c r="N177" s="19"/>
      <c r="R177" s="18" t="s">
        <v>484</v>
      </c>
      <c r="S177" s="30">
        <f t="shared" si="140"/>
        <v>0</v>
      </c>
      <c r="T177" s="30">
        <f t="shared" si="141"/>
        <v>0</v>
      </c>
      <c r="U177" s="30">
        <f t="shared" si="142"/>
        <v>0</v>
      </c>
      <c r="V177" s="30">
        <f t="shared" si="143"/>
        <v>0</v>
      </c>
      <c r="W177" s="30">
        <f t="shared" si="144"/>
        <v>0</v>
      </c>
      <c r="X177" s="30">
        <f t="shared" si="145"/>
        <v>0</v>
      </c>
      <c r="Y177" s="30">
        <f t="shared" si="146"/>
        <v>0</v>
      </c>
      <c r="Z177" s="30">
        <f t="shared" si="137"/>
        <v>0</v>
      </c>
      <c r="AA177" s="30">
        <f t="shared" si="138"/>
        <v>0</v>
      </c>
      <c r="AB177" s="30">
        <f t="shared" si="139"/>
        <v>0</v>
      </c>
      <c r="AC177" s="19"/>
      <c r="AD177" s="19"/>
    </row>
    <row r="178" spans="1:30">
      <c r="A178" s="18"/>
      <c r="B178" s="18" t="s">
        <v>636</v>
      </c>
      <c r="D178" s="185"/>
      <c r="F178" s="185"/>
      <c r="G178" s="185"/>
      <c r="H178" s="185"/>
      <c r="K178" s="185">
        <f>-O154</f>
        <v>0</v>
      </c>
      <c r="N178" s="19"/>
      <c r="R178" s="18" t="s">
        <v>483</v>
      </c>
      <c r="S178" s="30">
        <f t="shared" si="140"/>
        <v>0</v>
      </c>
      <c r="T178" s="30">
        <f t="shared" si="141"/>
        <v>0</v>
      </c>
      <c r="U178" s="30">
        <f t="shared" si="142"/>
        <v>0</v>
      </c>
      <c r="V178" s="30">
        <f t="shared" si="143"/>
        <v>0</v>
      </c>
      <c r="W178" s="30">
        <f t="shared" si="144"/>
        <v>0</v>
      </c>
      <c r="X178" s="30">
        <f t="shared" si="145"/>
        <v>0</v>
      </c>
      <c r="Y178" s="30">
        <f t="shared" si="146"/>
        <v>0</v>
      </c>
      <c r="Z178" s="30">
        <f t="shared" si="137"/>
        <v>0</v>
      </c>
      <c r="AA178" s="30">
        <f t="shared" si="138"/>
        <v>0</v>
      </c>
      <c r="AB178" s="30">
        <f t="shared" si="139"/>
        <v>0</v>
      </c>
      <c r="AC178" s="19"/>
      <c r="AD178" s="19"/>
    </row>
    <row r="179" spans="1:30">
      <c r="A179" s="18"/>
      <c r="B179" s="18" t="s">
        <v>644</v>
      </c>
      <c r="D179" s="185"/>
      <c r="L179" s="185">
        <f>-O158</f>
        <v>9.6</v>
      </c>
      <c r="N179" s="19"/>
      <c r="R179" s="18" t="s">
        <v>644</v>
      </c>
      <c r="S179" s="30">
        <f t="shared" si="140"/>
        <v>0</v>
      </c>
      <c r="T179" s="30">
        <f t="shared" si="141"/>
        <v>0</v>
      </c>
      <c r="U179" s="30">
        <f t="shared" si="142"/>
        <v>0</v>
      </c>
      <c r="V179" s="30">
        <f t="shared" si="143"/>
        <v>0</v>
      </c>
      <c r="W179" s="30">
        <f t="shared" si="144"/>
        <v>0</v>
      </c>
      <c r="X179" s="30">
        <f t="shared" si="145"/>
        <v>0</v>
      </c>
      <c r="Y179" s="30">
        <f t="shared" si="146"/>
        <v>0</v>
      </c>
      <c r="Z179" s="30">
        <f t="shared" si="137"/>
        <v>9.6</v>
      </c>
      <c r="AA179" s="30">
        <f t="shared" si="138"/>
        <v>0</v>
      </c>
      <c r="AB179" s="30">
        <f t="shared" si="139"/>
        <v>0</v>
      </c>
      <c r="AC179" s="19"/>
      <c r="AD179" s="19"/>
    </row>
    <row r="180" spans="1:30">
      <c r="A180" s="18"/>
      <c r="B180" s="18" t="s">
        <v>82</v>
      </c>
      <c r="M180" s="283">
        <f>O161</f>
        <v>4944.2216903349017</v>
      </c>
      <c r="N180" s="19"/>
      <c r="R180" s="18" t="s">
        <v>82</v>
      </c>
      <c r="S180" s="30">
        <f t="shared" si="140"/>
        <v>0</v>
      </c>
      <c r="T180" s="30">
        <f t="shared" si="141"/>
        <v>0</v>
      </c>
      <c r="U180" s="30">
        <f t="shared" si="142"/>
        <v>0</v>
      </c>
      <c r="V180" s="30">
        <f t="shared" si="143"/>
        <v>0</v>
      </c>
      <c r="W180" s="30">
        <f t="shared" si="144"/>
        <v>0</v>
      </c>
      <c r="X180" s="30">
        <f t="shared" si="145"/>
        <v>0</v>
      </c>
      <c r="Y180" s="30">
        <f t="shared" si="146"/>
        <v>0</v>
      </c>
      <c r="Z180" s="30">
        <f t="shared" si="137"/>
        <v>0</v>
      </c>
      <c r="AA180" s="30">
        <f t="shared" si="138"/>
        <v>4944.2216903349017</v>
      </c>
      <c r="AB180" s="30">
        <f t="shared" si="139"/>
        <v>0</v>
      </c>
      <c r="AC180" s="19"/>
      <c r="AD180" s="19"/>
    </row>
    <row r="181" spans="1:30">
      <c r="A181" s="18"/>
      <c r="B181" s="18" t="s">
        <v>288</v>
      </c>
      <c r="N181" s="39">
        <v>4048.1219713225028</v>
      </c>
      <c r="P181" s="262"/>
      <c r="R181" s="18" t="s">
        <v>288</v>
      </c>
      <c r="S181" s="30">
        <f t="shared" si="140"/>
        <v>0</v>
      </c>
      <c r="T181" s="30">
        <f t="shared" si="141"/>
        <v>0</v>
      </c>
      <c r="U181" s="30">
        <f t="shared" si="142"/>
        <v>0</v>
      </c>
      <c r="V181" s="30">
        <f t="shared" si="143"/>
        <v>0</v>
      </c>
      <c r="W181" s="30">
        <f t="shared" si="144"/>
        <v>0</v>
      </c>
      <c r="X181" s="30">
        <f t="shared" si="145"/>
        <v>0</v>
      </c>
      <c r="Y181" s="30">
        <f t="shared" si="146"/>
        <v>0</v>
      </c>
      <c r="Z181" s="30">
        <f t="shared" si="137"/>
        <v>0</v>
      </c>
      <c r="AA181" s="30">
        <f t="shared" si="138"/>
        <v>0</v>
      </c>
      <c r="AB181" s="30">
        <f t="shared" si="139"/>
        <v>4048.1219713225028</v>
      </c>
      <c r="AC181" s="19"/>
      <c r="AD181" s="19"/>
    </row>
    <row r="183" spans="1:30">
      <c r="P183" s="184"/>
    </row>
    <row r="195" spans="2:28">
      <c r="B195" s="329" t="s">
        <v>445</v>
      </c>
      <c r="C195" s="329"/>
      <c r="D195" s="329"/>
      <c r="E195" s="329"/>
      <c r="F195" s="329"/>
      <c r="G195" s="329"/>
      <c r="H195" s="329"/>
      <c r="I195" s="329"/>
      <c r="J195" s="329"/>
      <c r="K195" s="329"/>
      <c r="L195" s="329"/>
      <c r="M195" s="329"/>
      <c r="N195" s="329"/>
      <c r="O195" s="329"/>
      <c r="P195" s="329"/>
      <c r="Q195" s="329"/>
      <c r="R195" s="329"/>
      <c r="S195" s="329"/>
      <c r="T195" s="329"/>
      <c r="U195" s="329"/>
      <c r="V195" s="329"/>
      <c r="W195" s="329"/>
      <c r="X195" s="329"/>
      <c r="Y195" s="329"/>
      <c r="Z195" s="329"/>
      <c r="AA195" s="329"/>
      <c r="AB195" s="329"/>
    </row>
  </sheetData>
  <mergeCells count="6">
    <mergeCell ref="C8:G8"/>
    <mergeCell ref="I8:M8"/>
    <mergeCell ref="C42:G42"/>
    <mergeCell ref="I42:M42"/>
    <mergeCell ref="C149:G149"/>
    <mergeCell ref="I149:M149"/>
  </mergeCells>
  <pageMargins left="0.70866141732283472" right="0.70866141732283472" top="0.74803149606299213" bottom="0.74803149606299213" header="0.31496062992125984" footer="0.31496062992125984"/>
  <pageSetup paperSize="9" scale="37" fitToHeight="3" orientation="landscape" r:id="rId1"/>
  <headerFooter>
    <oddHeader>&amp;C&amp;A&amp;D</oddHeader>
  </headerFooter>
  <rowBreaks count="1" manualBreakCount="1">
    <brk id="146" min="1" max="27" man="1"/>
  </rowBreaks>
  <drawing r:id="rId2"/>
  <legacyDrawing r:id="rId3"/>
</worksheet>
</file>

<file path=xl/worksheets/sheet14.xml><?xml version="1.0" encoding="utf-8"?>
<worksheet xmlns="http://schemas.openxmlformats.org/spreadsheetml/2006/main" xmlns:r="http://schemas.openxmlformats.org/officeDocument/2006/relationships">
  <sheetPr>
    <tabColor rgb="FFFF0000"/>
  </sheetPr>
  <dimension ref="A1"/>
  <sheetViews>
    <sheetView showGridLines="0" workbookViewId="0">
      <selection activeCell="O30" sqref="O30"/>
    </sheetView>
  </sheetViews>
  <sheetFormatPr defaultRowHeight="15"/>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2:N50"/>
  <sheetViews>
    <sheetView showGridLines="0" zoomScale="70" zoomScaleNormal="70" zoomScaleSheetLayoutView="70" workbookViewId="0">
      <selection activeCell="R16" sqref="R16"/>
    </sheetView>
  </sheetViews>
  <sheetFormatPr defaultRowHeight="12.75"/>
  <cols>
    <col min="1" max="1" width="9.140625" style="61"/>
    <col min="2" max="2" width="9.140625" style="204"/>
    <col min="3" max="3" width="17.5703125" style="204" customWidth="1"/>
    <col min="4" max="4" width="58" style="19" customWidth="1"/>
    <col min="5" max="13" width="9.140625" style="19"/>
    <col min="14" max="14" width="9.140625" style="19" customWidth="1"/>
    <col min="15" max="16384" width="9.140625" style="19"/>
  </cols>
  <sheetData>
    <row r="2" spans="2:14">
      <c r="B2" s="53" t="s">
        <v>807</v>
      </c>
    </row>
    <row r="4" spans="2:14">
      <c r="B4" s="84" t="s">
        <v>766</v>
      </c>
      <c r="C4" s="84"/>
      <c r="D4" s="84"/>
      <c r="E4" s="84"/>
      <c r="F4" s="84"/>
      <c r="G4" s="84"/>
      <c r="H4" s="84"/>
      <c r="I4" s="84"/>
      <c r="J4" s="84"/>
      <c r="K4" s="84"/>
      <c r="L4" s="84"/>
      <c r="M4" s="84"/>
      <c r="N4" s="84"/>
    </row>
    <row r="5" spans="2:14" s="61" customFormat="1">
      <c r="B5" s="236"/>
      <c r="C5" s="236"/>
      <c r="D5" s="138"/>
      <c r="E5" s="138"/>
      <c r="F5" s="138"/>
      <c r="G5" s="138"/>
      <c r="H5" s="138"/>
      <c r="I5" s="138"/>
      <c r="J5" s="138"/>
      <c r="K5" s="138"/>
      <c r="L5" s="138"/>
      <c r="M5" s="138"/>
      <c r="N5" s="138"/>
    </row>
    <row r="6" spans="2:14" s="61" customFormat="1">
      <c r="B6" s="236"/>
      <c r="C6" s="236"/>
      <c r="D6" s="563" t="s">
        <v>268</v>
      </c>
      <c r="E6" s="562">
        <f>1/'HAL - fBP'!H24</f>
        <v>0.94890032817222825</v>
      </c>
      <c r="F6" s="562">
        <f>1/'HAL - fBP'!I24</f>
        <v>0.92297905785353018</v>
      </c>
      <c r="G6" s="562">
        <f>1/'HAL - fBP'!J24</f>
        <v>0.89284663216430427</v>
      </c>
      <c r="H6" s="562">
        <f>1/'HAL - fBP'!K24</f>
        <v>0.86684139045078079</v>
      </c>
      <c r="I6" s="562">
        <f>1/'HAL - fBP'!L24</f>
        <v>0.8415935829619231</v>
      </c>
      <c r="J6" s="562">
        <f>1/'HAL - fBP'!M24</f>
        <v>0.81708114850672153</v>
      </c>
      <c r="K6" s="138"/>
      <c r="L6" s="138"/>
      <c r="M6" s="138"/>
      <c r="N6" s="138"/>
    </row>
    <row r="7" spans="2:14" s="61" customFormat="1">
      <c r="B7" s="236"/>
      <c r="C7" s="236"/>
      <c r="D7" s="563" t="s">
        <v>434</v>
      </c>
      <c r="E7" s="562">
        <f>1/E6</f>
        <v>1.0538514639637653</v>
      </c>
      <c r="F7" s="562">
        <f t="shared" ref="F7:J7" si="0">1/F6</f>
        <v>1.0834482012252682</v>
      </c>
      <c r="G7" s="562">
        <f t="shared" si="0"/>
        <v>1.1200131847683075</v>
      </c>
      <c r="H7" s="562">
        <f t="shared" si="0"/>
        <v>1.1536135803113567</v>
      </c>
      <c r="I7" s="562">
        <f t="shared" si="0"/>
        <v>1.1882219877206974</v>
      </c>
      <c r="J7" s="562">
        <f t="shared" si="0"/>
        <v>1.2238686473523184</v>
      </c>
      <c r="K7" s="138"/>
      <c r="L7" s="138"/>
      <c r="M7" s="138"/>
      <c r="N7" s="138"/>
    </row>
    <row r="8" spans="2:14">
      <c r="D8" s="18"/>
    </row>
    <row r="9" spans="2:14">
      <c r="B9" s="183" t="s">
        <v>767</v>
      </c>
      <c r="C9" s="183"/>
      <c r="D9" s="183" t="s">
        <v>772</v>
      </c>
      <c r="E9" s="173" t="s">
        <v>187</v>
      </c>
      <c r="F9" s="636" t="s">
        <v>31</v>
      </c>
      <c r="G9" s="636"/>
      <c r="H9" s="636"/>
      <c r="I9" s="636"/>
      <c r="J9" s="636"/>
      <c r="L9" s="178" t="s">
        <v>269</v>
      </c>
      <c r="M9" s="179" t="s">
        <v>40</v>
      </c>
      <c r="N9" s="285" t="s">
        <v>460</v>
      </c>
    </row>
    <row r="10" spans="2:14">
      <c r="B10" s="286"/>
      <c r="C10" s="286" t="s">
        <v>486</v>
      </c>
      <c r="D10" s="29" t="s">
        <v>46</v>
      </c>
      <c r="E10" s="18" t="s">
        <v>17</v>
      </c>
      <c r="F10" s="18" t="s">
        <v>32</v>
      </c>
      <c r="G10" s="18" t="s">
        <v>33</v>
      </c>
      <c r="H10" s="18" t="s">
        <v>34</v>
      </c>
      <c r="I10" s="18" t="s">
        <v>35</v>
      </c>
      <c r="J10" s="18" t="s">
        <v>36</v>
      </c>
      <c r="M10" s="31"/>
      <c r="N10" s="31"/>
    </row>
    <row r="11" spans="2:14">
      <c r="B11" s="236"/>
      <c r="C11" s="236" t="str">
        <f t="shared" ref="C11:D12" si="1">C31</f>
        <v>x</v>
      </c>
      <c r="D11" s="261" t="str">
        <f t="shared" si="1"/>
        <v>HAL fBP - RATES</v>
      </c>
      <c r="E11" s="227">
        <f t="shared" ref="E11:J12" si="2">E31*E$7</f>
        <v>114.65903927925766</v>
      </c>
      <c r="F11" s="227">
        <f t="shared" si="2"/>
        <v>134.23923213181072</v>
      </c>
      <c r="G11" s="227">
        <f t="shared" si="2"/>
        <v>141.45766523623723</v>
      </c>
      <c r="H11" s="227">
        <f t="shared" si="2"/>
        <v>144.77850432907528</v>
      </c>
      <c r="I11" s="227">
        <f t="shared" si="2"/>
        <v>175.38156538757494</v>
      </c>
      <c r="J11" s="227">
        <f t="shared" si="2"/>
        <v>192.51453822851968</v>
      </c>
      <c r="L11" s="33">
        <f>SUM(F11:J11)</f>
        <v>788.37150531321788</v>
      </c>
      <c r="M11" s="31">
        <f>((J11/E11)^(1/5))-1</f>
        <v>0.10920302851152353</v>
      </c>
      <c r="N11" s="251">
        <f>L11/5</f>
        <v>157.67430106264356</v>
      </c>
    </row>
    <row r="12" spans="2:14">
      <c r="B12" s="236"/>
      <c r="C12" s="236">
        <f t="shared" si="1"/>
        <v>2</v>
      </c>
      <c r="D12" s="61" t="str">
        <f t="shared" si="1"/>
        <v>B - Reduction of and delay to revaluation impact</v>
      </c>
      <c r="E12" s="227">
        <f t="shared" si="2"/>
        <v>0</v>
      </c>
      <c r="F12" s="227">
        <f t="shared" si="2"/>
        <v>0</v>
      </c>
      <c r="G12" s="227">
        <f t="shared" si="2"/>
        <v>0</v>
      </c>
      <c r="H12" s="227">
        <f t="shared" si="2"/>
        <v>0</v>
      </c>
      <c r="I12" s="227">
        <f t="shared" si="2"/>
        <v>-12.713975268611462</v>
      </c>
      <c r="J12" s="227">
        <f t="shared" si="2"/>
        <v>-25.089307270722525</v>
      </c>
      <c r="L12" s="33">
        <f t="shared" ref="L12:L27" si="3">SUM(F12:J12)</f>
        <v>-37.803282539333985</v>
      </c>
      <c r="M12" s="31"/>
      <c r="N12" s="251">
        <f t="shared" ref="N12:N27" si="4">L12/5</f>
        <v>-7.5606565078667973</v>
      </c>
    </row>
    <row r="13" spans="2:14">
      <c r="B13" s="236"/>
      <c r="C13" s="236"/>
      <c r="D13" s="61"/>
      <c r="E13" s="227"/>
      <c r="F13" s="227"/>
      <c r="G13" s="227"/>
      <c r="H13" s="227"/>
      <c r="I13" s="227"/>
      <c r="J13" s="227"/>
      <c r="L13" s="33"/>
      <c r="M13" s="31"/>
      <c r="N13" s="251"/>
    </row>
    <row r="14" spans="2:14">
      <c r="B14" s="236"/>
      <c r="C14" s="236" t="str">
        <f t="shared" ref="C14:C16" si="5">C34</f>
        <v>x</v>
      </c>
      <c r="D14" s="261" t="str">
        <f t="shared" ref="D14:D16" si="6">D34</f>
        <v>HAL fBP - Rail Costs</v>
      </c>
      <c r="E14" s="227">
        <f t="shared" ref="E14:J16" si="7">E34*E$7</f>
        <v>66.392642229717211</v>
      </c>
      <c r="F14" s="227">
        <f t="shared" si="7"/>
        <v>62.081581930207861</v>
      </c>
      <c r="G14" s="227">
        <f t="shared" si="7"/>
        <v>63.168743620932538</v>
      </c>
      <c r="H14" s="227">
        <f t="shared" si="7"/>
        <v>64.602360497435981</v>
      </c>
      <c r="I14" s="227">
        <f t="shared" si="7"/>
        <v>66.659253511131126</v>
      </c>
      <c r="J14" s="227">
        <f t="shared" si="7"/>
        <v>67.679936198583206</v>
      </c>
      <c r="L14" s="33">
        <f t="shared" ref="L14" si="8">SUM(F14:J14)</f>
        <v>324.19187575829073</v>
      </c>
      <c r="M14" s="31">
        <f t="shared" ref="M14" si="9">((J14/E14)^(1/5))-1</f>
        <v>3.8480913755511992E-3</v>
      </c>
      <c r="N14" s="251">
        <f t="shared" si="4"/>
        <v>64.838375151658141</v>
      </c>
    </row>
    <row r="15" spans="2:14">
      <c r="B15" s="236"/>
      <c r="C15" s="236">
        <f t="shared" si="5"/>
        <v>3</v>
      </c>
      <c r="D15" s="61" t="str">
        <f t="shared" si="6"/>
        <v>A - Reduction of 40 customer facing staff</v>
      </c>
      <c r="E15" s="227">
        <f t="shared" si="7"/>
        <v>0</v>
      </c>
      <c r="F15" s="227">
        <f t="shared" si="7"/>
        <v>-0.97510338110274142</v>
      </c>
      <c r="G15" s="227">
        <f t="shared" si="7"/>
        <v>-1.0080118662914768</v>
      </c>
      <c r="H15" s="227">
        <f t="shared" si="7"/>
        <v>-1.0382522222802211</v>
      </c>
      <c r="I15" s="227">
        <f t="shared" si="7"/>
        <v>-1.0693997889486277</v>
      </c>
      <c r="J15" s="227">
        <f t="shared" si="7"/>
        <v>-1.1014817826170866</v>
      </c>
      <c r="L15" s="33">
        <f t="shared" si="3"/>
        <v>-5.1922490412401539</v>
      </c>
      <c r="M15" s="31"/>
      <c r="N15" s="251">
        <f t="shared" si="4"/>
        <v>-1.0384498082480307</v>
      </c>
    </row>
    <row r="16" spans="2:14">
      <c r="B16" s="236"/>
      <c r="C16" s="236">
        <f t="shared" si="5"/>
        <v>4</v>
      </c>
      <c r="D16" s="61" t="str">
        <f t="shared" si="6"/>
        <v>B - Reduction of 72 customer facing staff</v>
      </c>
      <c r="E16" s="227">
        <f t="shared" si="7"/>
        <v>0</v>
      </c>
      <c r="F16" s="227">
        <f t="shared" si="7"/>
        <v>-1.8418619420829558</v>
      </c>
      <c r="G16" s="227">
        <f t="shared" si="7"/>
        <v>-1.7920210956292921</v>
      </c>
      <c r="H16" s="227">
        <f t="shared" si="7"/>
        <v>-1.8457817284981708</v>
      </c>
      <c r="I16" s="227">
        <f t="shared" si="7"/>
        <v>-1.9011551803531159</v>
      </c>
      <c r="J16" s="227">
        <f t="shared" si="7"/>
        <v>-1.9581898357637095</v>
      </c>
      <c r="L16" s="33">
        <f t="shared" si="3"/>
        <v>-9.3390097823272438</v>
      </c>
      <c r="M16" s="31"/>
      <c r="N16" s="251">
        <f t="shared" si="4"/>
        <v>-1.8678019564654487</v>
      </c>
    </row>
    <row r="17" spans="2:14">
      <c r="B17" s="236"/>
      <c r="C17" s="236"/>
      <c r="D17" s="61"/>
      <c r="E17" s="227"/>
      <c r="F17" s="227"/>
      <c r="G17" s="227"/>
      <c r="H17" s="227"/>
      <c r="I17" s="227"/>
      <c r="J17" s="227"/>
      <c r="L17" s="33"/>
      <c r="M17" s="31"/>
      <c r="N17" s="251"/>
    </row>
    <row r="18" spans="2:14">
      <c r="B18" s="236"/>
      <c r="C18" s="236" t="str">
        <f t="shared" ref="C18:C23" si="10">C38</f>
        <v>x</v>
      </c>
      <c r="D18" s="261" t="str">
        <f t="shared" ref="D18:D19" si="11">D38</f>
        <v>HAL fBP - ANS Costs</v>
      </c>
      <c r="E18" s="227">
        <f t="shared" ref="E18:J19" si="12">E38*E$7</f>
        <v>55.854127590079557</v>
      </c>
      <c r="F18" s="227">
        <f t="shared" si="12"/>
        <v>58.181168405796903</v>
      </c>
      <c r="G18" s="227">
        <f t="shared" si="12"/>
        <v>60.480711977488603</v>
      </c>
      <c r="H18" s="227">
        <f t="shared" si="12"/>
        <v>62.64121741090667</v>
      </c>
      <c r="I18" s="227">
        <f t="shared" si="12"/>
        <v>64.876920529550077</v>
      </c>
      <c r="J18" s="227">
        <f t="shared" si="12"/>
        <v>66.823228145436588</v>
      </c>
      <c r="L18" s="33">
        <f t="shared" ref="L18" si="13">SUM(F18:J18)</f>
        <v>313.00324646917886</v>
      </c>
      <c r="M18" s="31">
        <f t="shared" ref="M18" si="14">((J18/E18)^(1/5))-1</f>
        <v>3.6512242101152337E-2</v>
      </c>
      <c r="N18" s="251">
        <f t="shared" si="4"/>
        <v>62.600649293835772</v>
      </c>
    </row>
    <row r="19" spans="2:14">
      <c r="B19" s="236"/>
      <c r="C19" s="236">
        <f t="shared" si="10"/>
        <v>3</v>
      </c>
      <c r="D19" s="61" t="str">
        <f t="shared" si="11"/>
        <v>A - Reduction to average benchmark costs</v>
      </c>
      <c r="E19" s="227">
        <f t="shared" si="12"/>
        <v>0</v>
      </c>
      <c r="F19" s="227">
        <f t="shared" si="12"/>
        <v>0</v>
      </c>
      <c r="G19" s="227">
        <f t="shared" si="12"/>
        <v>0</v>
      </c>
      <c r="H19" s="227">
        <f t="shared" si="12"/>
        <v>0</v>
      </c>
      <c r="I19" s="227">
        <f t="shared" si="12"/>
        <v>0</v>
      </c>
      <c r="J19" s="227">
        <f t="shared" si="12"/>
        <v>-1.8358029710284776</v>
      </c>
      <c r="L19" s="33">
        <f t="shared" si="3"/>
        <v>-1.8358029710284776</v>
      </c>
      <c r="M19" s="31"/>
      <c r="N19" s="251">
        <f>L19/5</f>
        <v>-0.36716059420569552</v>
      </c>
    </row>
    <row r="20" spans="2:14">
      <c r="B20" s="236"/>
      <c r="C20" s="236"/>
      <c r="D20" s="61"/>
      <c r="E20" s="227"/>
      <c r="F20" s="227"/>
      <c r="G20" s="227"/>
      <c r="H20" s="227"/>
      <c r="I20" s="227"/>
      <c r="J20" s="227"/>
      <c r="L20" s="33"/>
      <c r="M20" s="31"/>
      <c r="N20" s="251"/>
    </row>
    <row r="21" spans="2:14">
      <c r="B21" s="236"/>
      <c r="C21" s="236" t="str">
        <f t="shared" si="10"/>
        <v>x</v>
      </c>
      <c r="D21" s="261" t="str">
        <f t="shared" ref="D21:D23" si="15">D41</f>
        <v>HAL fBP - Cleaning Costs</v>
      </c>
      <c r="E21" s="227">
        <f t="shared" ref="E21:J23" si="16">E41*E$7</f>
        <v>28.980915259003545</v>
      </c>
      <c r="F21" s="227">
        <f t="shared" si="16"/>
        <v>33.911928698350899</v>
      </c>
      <c r="G21" s="227">
        <f t="shared" si="16"/>
        <v>34.832410046294363</v>
      </c>
      <c r="H21" s="227">
        <f t="shared" si="16"/>
        <v>35.646659631620921</v>
      </c>
      <c r="I21" s="227">
        <f t="shared" si="16"/>
        <v>33.389037854951596</v>
      </c>
      <c r="J21" s="227">
        <f t="shared" si="16"/>
        <v>34.268322125864913</v>
      </c>
      <c r="L21" s="33">
        <f t="shared" si="3"/>
        <v>172.04835835708269</v>
      </c>
      <c r="M21" s="31"/>
      <c r="N21" s="251">
        <f t="shared" si="4"/>
        <v>34.40967167141654</v>
      </c>
    </row>
    <row r="22" spans="2:14">
      <c r="B22" s="236"/>
      <c r="C22" s="236">
        <f t="shared" si="10"/>
        <v>2</v>
      </c>
      <c r="D22" s="61" t="str">
        <f t="shared" si="15"/>
        <v>A - Maintain front of house costs per metre to 2012/13 levels over Q6 (allowing for pension costs)</v>
      </c>
      <c r="E22" s="227">
        <f t="shared" si="16"/>
        <v>0</v>
      </c>
      <c r="F22" s="227">
        <f t="shared" si="16"/>
        <v>-1.1917930213477952</v>
      </c>
      <c r="G22" s="227">
        <f t="shared" si="16"/>
        <v>-1.1200131847683075</v>
      </c>
      <c r="H22" s="227">
        <f t="shared" si="16"/>
        <v>-1.9611430865293065</v>
      </c>
      <c r="I22" s="227">
        <f t="shared" si="16"/>
        <v>-2.2576217766693252</v>
      </c>
      <c r="J22" s="227">
        <f t="shared" si="16"/>
        <v>-2.2029635652341732</v>
      </c>
      <c r="L22" s="33">
        <f t="shared" si="3"/>
        <v>-8.7335346345489064</v>
      </c>
      <c r="M22" s="31"/>
      <c r="N22" s="251">
        <f t="shared" si="4"/>
        <v>-1.7467069269097812</v>
      </c>
    </row>
    <row r="23" spans="2:14">
      <c r="B23" s="236"/>
      <c r="C23" s="236">
        <f t="shared" si="10"/>
        <v>3</v>
      </c>
      <c r="D23" s="61" t="str">
        <f t="shared" si="15"/>
        <v>B - Move to 2012/13 benchmark average by 2016/17 (allowing for pension costs)</v>
      </c>
      <c r="E23" s="227">
        <f t="shared" si="16"/>
        <v>0</v>
      </c>
      <c r="F23" s="227">
        <f t="shared" si="16"/>
        <v>-1.0834482012252682</v>
      </c>
      <c r="G23" s="227">
        <f t="shared" si="16"/>
        <v>-1.9040224141061226</v>
      </c>
      <c r="H23" s="227">
        <f t="shared" si="16"/>
        <v>-3.2301180248717989</v>
      </c>
      <c r="I23" s="227">
        <f t="shared" si="16"/>
        <v>-1.9011551803531159</v>
      </c>
      <c r="J23" s="227">
        <f t="shared" si="16"/>
        <v>-1.8358029710284776</v>
      </c>
      <c r="L23" s="33">
        <f t="shared" si="3"/>
        <v>-9.9545467915847841</v>
      </c>
      <c r="M23" s="31"/>
      <c r="N23" s="251">
        <f t="shared" si="4"/>
        <v>-1.9909093583169568</v>
      </c>
    </row>
    <row r="24" spans="2:14">
      <c r="B24" s="236"/>
      <c r="C24" s="236"/>
      <c r="D24" s="61"/>
      <c r="E24" s="227"/>
      <c r="F24" s="227"/>
      <c r="G24" s="227"/>
      <c r="H24" s="227"/>
      <c r="I24" s="227"/>
      <c r="J24" s="227"/>
      <c r="L24" s="33"/>
      <c r="M24" s="31"/>
      <c r="N24" s="251"/>
    </row>
    <row r="25" spans="2:14">
      <c r="D25" s="53" t="s">
        <v>279</v>
      </c>
      <c r="E25" s="227">
        <f t="shared" ref="E25:J27" si="17">E45*E$7</f>
        <v>0</v>
      </c>
      <c r="F25" s="227">
        <f t="shared" si="17"/>
        <v>0</v>
      </c>
      <c r="G25" s="227">
        <f t="shared" si="17"/>
        <v>0</v>
      </c>
      <c r="H25" s="227">
        <f t="shared" si="17"/>
        <v>0</v>
      </c>
      <c r="I25" s="227">
        <f t="shared" si="17"/>
        <v>0</v>
      </c>
      <c r="J25" s="227">
        <f t="shared" si="17"/>
        <v>0</v>
      </c>
      <c r="L25" s="33">
        <f t="shared" si="3"/>
        <v>0</v>
      </c>
      <c r="M25" s="31"/>
      <c r="N25" s="251">
        <f t="shared" si="4"/>
        <v>0</v>
      </c>
    </row>
    <row r="26" spans="2:14">
      <c r="D26" s="53" t="s">
        <v>280</v>
      </c>
      <c r="E26" s="227">
        <f t="shared" si="17"/>
        <v>0</v>
      </c>
      <c r="F26" s="227">
        <f t="shared" si="17"/>
        <v>-1.1917930213477952</v>
      </c>
      <c r="G26" s="227">
        <f t="shared" si="17"/>
        <v>-1.1200131847683075</v>
      </c>
      <c r="H26" s="227">
        <f t="shared" si="17"/>
        <v>-1.9611430865293065</v>
      </c>
      <c r="I26" s="227">
        <f t="shared" si="17"/>
        <v>-14.971597045280786</v>
      </c>
      <c r="J26" s="227">
        <f t="shared" si="17"/>
        <v>-27.2922708359567</v>
      </c>
      <c r="L26" s="33">
        <f t="shared" si="3"/>
        <v>-46.536817173882895</v>
      </c>
      <c r="M26" s="31"/>
      <c r="N26" s="251">
        <f t="shared" si="4"/>
        <v>-9.3073634347765797</v>
      </c>
    </row>
    <row r="27" spans="2:14">
      <c r="D27" s="53" t="s">
        <v>281</v>
      </c>
      <c r="E27" s="227">
        <f t="shared" si="17"/>
        <v>0</v>
      </c>
      <c r="F27" s="227">
        <f t="shared" si="17"/>
        <v>-1.0834482012252682</v>
      </c>
      <c r="G27" s="227">
        <f t="shared" si="17"/>
        <v>-1.9040224141061224</v>
      </c>
      <c r="H27" s="227">
        <f t="shared" si="17"/>
        <v>-3.2301180248717989</v>
      </c>
      <c r="I27" s="227">
        <f t="shared" si="17"/>
        <v>-14.615130448964576</v>
      </c>
      <c r="J27" s="227">
        <f t="shared" si="17"/>
        <v>-28.760913212779482</v>
      </c>
      <c r="L27" s="33">
        <f t="shared" si="3"/>
        <v>-49.593632301947252</v>
      </c>
      <c r="M27" s="31"/>
      <c r="N27" s="251">
        <f t="shared" si="4"/>
        <v>-9.9187264603894505</v>
      </c>
    </row>
    <row r="28" spans="2:14">
      <c r="E28" s="34"/>
      <c r="F28" s="34"/>
      <c r="G28" s="34"/>
      <c r="H28" s="34"/>
      <c r="I28" s="34"/>
      <c r="J28" s="34"/>
    </row>
    <row r="29" spans="2:14">
      <c r="B29" s="183" t="s">
        <v>768</v>
      </c>
      <c r="C29" s="183"/>
      <c r="D29" s="183" t="s">
        <v>772</v>
      </c>
      <c r="E29" s="87" t="s">
        <v>187</v>
      </c>
      <c r="F29" s="636" t="s">
        <v>31</v>
      </c>
      <c r="G29" s="636"/>
      <c r="H29" s="636"/>
      <c r="I29" s="636"/>
      <c r="J29" s="636"/>
      <c r="L29" s="178" t="s">
        <v>269</v>
      </c>
      <c r="M29" s="179" t="s">
        <v>40</v>
      </c>
      <c r="N29" s="285" t="s">
        <v>460</v>
      </c>
    </row>
    <row r="30" spans="2:14">
      <c r="B30" s="559"/>
      <c r="C30" s="286" t="s">
        <v>486</v>
      </c>
      <c r="D30" s="29" t="s">
        <v>231</v>
      </c>
      <c r="E30" s="18" t="s">
        <v>17</v>
      </c>
      <c r="F30" s="18" t="s">
        <v>32</v>
      </c>
      <c r="G30" s="18" t="s">
        <v>33</v>
      </c>
      <c r="H30" s="18" t="s">
        <v>34</v>
      </c>
      <c r="I30" s="18" t="s">
        <v>35</v>
      </c>
      <c r="J30" s="18" t="s">
        <v>36</v>
      </c>
      <c r="M30" s="31"/>
      <c r="N30" s="31"/>
    </row>
    <row r="31" spans="2:14" s="61" customFormat="1">
      <c r="B31" s="236"/>
      <c r="C31" s="236" t="s">
        <v>323</v>
      </c>
      <c r="D31" s="362" t="s">
        <v>328</v>
      </c>
      <c r="E31" s="227">
        <v>108.8</v>
      </c>
      <c r="F31" s="227">
        <v>123.9</v>
      </c>
      <c r="G31" s="227">
        <v>126.3</v>
      </c>
      <c r="H31" s="227">
        <v>125.5</v>
      </c>
      <c r="I31" s="227">
        <v>147.6</v>
      </c>
      <c r="J31" s="227">
        <v>157.30000000000001</v>
      </c>
      <c r="L31" s="227">
        <f>SUM(F31:J31)</f>
        <v>680.59999999999991</v>
      </c>
      <c r="M31" s="63">
        <f>((J31/E31)^(1/5))-1</f>
        <v>7.6514702190517481E-2</v>
      </c>
      <c r="N31" s="251">
        <f t="shared" ref="N31:N47" si="18">L31/5</f>
        <v>136.11999999999998</v>
      </c>
    </row>
    <row r="32" spans="2:14">
      <c r="B32" s="236"/>
      <c r="C32" s="563">
        <v>2</v>
      </c>
      <c r="D32" s="53" t="s">
        <v>603</v>
      </c>
      <c r="E32" s="201">
        <f>0*'HAL - CAA - fp'!$C$44</f>
        <v>0</v>
      </c>
      <c r="F32" s="201">
        <f>0*'HAL - CAA - fp'!$C$44</f>
        <v>0</v>
      </c>
      <c r="G32" s="201">
        <f>0*'HAL - CAA - fp'!$C$44</f>
        <v>0</v>
      </c>
      <c r="H32" s="201">
        <f>0*'HAL - CAA - fp'!$C$44</f>
        <v>0</v>
      </c>
      <c r="I32" s="201">
        <f>-10.7*'HAL - CAA - fp'!$C$44</f>
        <v>-10.7</v>
      </c>
      <c r="J32" s="201">
        <f>-20.5*'HAL - CAA - fp'!$C$44</f>
        <v>-20.5</v>
      </c>
      <c r="L32" s="33">
        <f t="shared" ref="L32:L43" si="19">SUM(F32:J32)</f>
        <v>-31.2</v>
      </c>
      <c r="M32" s="31"/>
      <c r="N32" s="251">
        <f t="shared" si="18"/>
        <v>-6.24</v>
      </c>
    </row>
    <row r="33" spans="2:14">
      <c r="B33" s="236"/>
      <c r="C33" s="563"/>
      <c r="D33" s="53"/>
      <c r="E33" s="201"/>
      <c r="F33" s="201"/>
      <c r="G33" s="201"/>
      <c r="H33" s="201"/>
      <c r="I33" s="201"/>
      <c r="J33" s="201"/>
      <c r="L33" s="33"/>
      <c r="M33" s="31"/>
      <c r="N33" s="251"/>
    </row>
    <row r="34" spans="2:14">
      <c r="B34" s="236"/>
      <c r="C34" s="563" t="s">
        <v>323</v>
      </c>
      <c r="D34" s="54" t="s">
        <v>330</v>
      </c>
      <c r="E34" s="201">
        <v>63</v>
      </c>
      <c r="F34" s="201">
        <v>57.3</v>
      </c>
      <c r="G34" s="201">
        <v>56.4</v>
      </c>
      <c r="H34" s="201">
        <v>56</v>
      </c>
      <c r="I34" s="201">
        <v>56.1</v>
      </c>
      <c r="J34" s="201">
        <v>55.3</v>
      </c>
      <c r="K34" s="33"/>
      <c r="L34" s="33">
        <f t="shared" si="19"/>
        <v>281.09999999999997</v>
      </c>
      <c r="M34" s="31">
        <f t="shared" ref="M34:M41" si="20">((J34/E34)^(1/5))-1</f>
        <v>-2.5735414208306939E-2</v>
      </c>
      <c r="N34" s="251">
        <f t="shared" si="18"/>
        <v>56.219999999999992</v>
      </c>
    </row>
    <row r="35" spans="2:14">
      <c r="B35" s="236"/>
      <c r="C35" s="563">
        <v>3</v>
      </c>
      <c r="D35" s="53" t="s">
        <v>329</v>
      </c>
      <c r="E35" s="201">
        <v>0</v>
      </c>
      <c r="F35" s="201">
        <v>-0.9</v>
      </c>
      <c r="G35" s="201">
        <v>-0.9</v>
      </c>
      <c r="H35" s="201">
        <v>-0.9</v>
      </c>
      <c r="I35" s="201">
        <v>-0.9</v>
      </c>
      <c r="J35" s="201">
        <v>-0.9</v>
      </c>
      <c r="K35" s="33"/>
      <c r="L35" s="33">
        <f t="shared" si="19"/>
        <v>-4.5</v>
      </c>
      <c r="M35" s="31"/>
      <c r="N35" s="251">
        <f t="shared" si="18"/>
        <v>-0.9</v>
      </c>
    </row>
    <row r="36" spans="2:14">
      <c r="B36" s="236"/>
      <c r="C36" s="563">
        <v>4</v>
      </c>
      <c r="D36" s="53" t="s">
        <v>432</v>
      </c>
      <c r="E36" s="201">
        <v>0</v>
      </c>
      <c r="F36" s="201">
        <v>-1.7</v>
      </c>
      <c r="G36" s="201">
        <v>-1.6</v>
      </c>
      <c r="H36" s="201">
        <v>-1.6</v>
      </c>
      <c r="I36" s="201">
        <v>-1.6</v>
      </c>
      <c r="J36" s="201">
        <v>-1.6</v>
      </c>
      <c r="K36" s="33"/>
      <c r="L36" s="33">
        <f t="shared" si="19"/>
        <v>-8.1</v>
      </c>
      <c r="M36" s="31"/>
      <c r="N36" s="251">
        <f t="shared" si="18"/>
        <v>-1.6199999999999999</v>
      </c>
    </row>
    <row r="37" spans="2:14">
      <c r="B37" s="236"/>
      <c r="C37" s="563"/>
      <c r="D37" s="53"/>
      <c r="E37" s="201"/>
      <c r="F37" s="201"/>
      <c r="G37" s="201"/>
      <c r="H37" s="201"/>
      <c r="I37" s="201"/>
      <c r="J37" s="201"/>
      <c r="K37" s="33"/>
      <c r="L37" s="33"/>
      <c r="M37" s="31"/>
      <c r="N37" s="251"/>
    </row>
    <row r="38" spans="2:14">
      <c r="B38" s="236"/>
      <c r="C38" s="563" t="s">
        <v>323</v>
      </c>
      <c r="D38" s="54" t="s">
        <v>331</v>
      </c>
      <c r="E38" s="201">
        <v>53</v>
      </c>
      <c r="F38" s="201">
        <v>53.7</v>
      </c>
      <c r="G38" s="201">
        <v>54</v>
      </c>
      <c r="H38" s="201">
        <v>54.3</v>
      </c>
      <c r="I38" s="201">
        <v>54.6</v>
      </c>
      <c r="J38" s="201">
        <v>54.6</v>
      </c>
      <c r="L38" s="33">
        <f t="shared" si="19"/>
        <v>271.2</v>
      </c>
      <c r="M38" s="31">
        <f t="shared" si="20"/>
        <v>5.9661206656678178E-3</v>
      </c>
      <c r="N38" s="251">
        <f t="shared" si="18"/>
        <v>54.239999999999995</v>
      </c>
    </row>
    <row r="39" spans="2:14">
      <c r="B39" s="236"/>
      <c r="C39" s="563">
        <v>3</v>
      </c>
      <c r="D39" s="53" t="s">
        <v>433</v>
      </c>
      <c r="E39" s="201">
        <v>0</v>
      </c>
      <c r="F39" s="201">
        <v>0</v>
      </c>
      <c r="G39" s="201">
        <v>0</v>
      </c>
      <c r="H39" s="201">
        <v>0</v>
      </c>
      <c r="I39" s="201">
        <v>0</v>
      </c>
      <c r="J39" s="201">
        <v>-1.5</v>
      </c>
      <c r="L39" s="33">
        <f t="shared" si="19"/>
        <v>-1.5</v>
      </c>
      <c r="M39" s="31"/>
      <c r="N39" s="251">
        <f t="shared" si="18"/>
        <v>-0.3</v>
      </c>
    </row>
    <row r="40" spans="2:14">
      <c r="B40" s="236"/>
      <c r="C40" s="563"/>
      <c r="D40" s="53"/>
      <c r="E40" s="201"/>
      <c r="F40" s="201"/>
      <c r="G40" s="201"/>
      <c r="H40" s="201"/>
      <c r="I40" s="201"/>
      <c r="J40" s="201"/>
      <c r="K40" s="33"/>
      <c r="L40" s="33"/>
      <c r="M40" s="31"/>
      <c r="N40" s="251"/>
    </row>
    <row r="41" spans="2:14">
      <c r="B41" s="236"/>
      <c r="C41" s="563" t="s">
        <v>323</v>
      </c>
      <c r="D41" s="54" t="s">
        <v>332</v>
      </c>
      <c r="E41" s="201">
        <v>27.5</v>
      </c>
      <c r="F41" s="201">
        <v>31.3</v>
      </c>
      <c r="G41" s="201">
        <v>31.1</v>
      </c>
      <c r="H41" s="201">
        <v>30.9</v>
      </c>
      <c r="I41" s="201">
        <v>28.1</v>
      </c>
      <c r="J41" s="201">
        <v>28</v>
      </c>
      <c r="L41" s="33">
        <f t="shared" si="19"/>
        <v>149.4</v>
      </c>
      <c r="M41" s="31">
        <f t="shared" si="20"/>
        <v>3.6102022383868171E-3</v>
      </c>
      <c r="N41" s="251">
        <f t="shared" si="18"/>
        <v>29.880000000000003</v>
      </c>
    </row>
    <row r="42" spans="2:14">
      <c r="B42" s="236"/>
      <c r="C42" s="563">
        <v>2</v>
      </c>
      <c r="D42" s="53" t="s">
        <v>601</v>
      </c>
      <c r="E42" s="201">
        <v>0</v>
      </c>
      <c r="F42" s="201">
        <v>-1.1000000000000001</v>
      </c>
      <c r="G42" s="201">
        <v>-1</v>
      </c>
      <c r="H42" s="201">
        <v>-1.7</v>
      </c>
      <c r="I42" s="201">
        <v>-1.9</v>
      </c>
      <c r="J42" s="201">
        <v>-1.8</v>
      </c>
      <c r="L42" s="33">
        <f t="shared" si="19"/>
        <v>-7.4999999999999991</v>
      </c>
      <c r="M42" s="31"/>
      <c r="N42" s="251">
        <f t="shared" si="18"/>
        <v>-1.4999999999999998</v>
      </c>
    </row>
    <row r="43" spans="2:14">
      <c r="B43" s="236"/>
      <c r="C43" s="563">
        <v>3</v>
      </c>
      <c r="D43" s="53" t="s">
        <v>602</v>
      </c>
      <c r="E43" s="201">
        <v>0</v>
      </c>
      <c r="F43" s="201">
        <v>-1</v>
      </c>
      <c r="G43" s="201">
        <v>-1.7</v>
      </c>
      <c r="H43" s="201">
        <v>-2.8</v>
      </c>
      <c r="I43" s="201">
        <v>-1.6</v>
      </c>
      <c r="J43" s="201">
        <v>-1.5</v>
      </c>
      <c r="L43" s="33">
        <f t="shared" si="19"/>
        <v>-8.6</v>
      </c>
      <c r="M43" s="31"/>
      <c r="N43" s="251">
        <f t="shared" si="18"/>
        <v>-1.72</v>
      </c>
    </row>
    <row r="44" spans="2:14">
      <c r="B44" s="236"/>
      <c r="I44" s="33"/>
      <c r="J44" s="33"/>
      <c r="L44" s="33"/>
      <c r="M44" s="31"/>
      <c r="N44" s="251"/>
    </row>
    <row r="45" spans="2:14">
      <c r="D45" s="53" t="s">
        <v>616</v>
      </c>
      <c r="E45" s="33">
        <f t="shared" ref="E45:J45" si="21">SUMPRODUCT((E$31:E$43)*($C$31:$C$43=1))</f>
        <v>0</v>
      </c>
      <c r="F45" s="33">
        <f t="shared" si="21"/>
        <v>0</v>
      </c>
      <c r="G45" s="33">
        <f t="shared" si="21"/>
        <v>0</v>
      </c>
      <c r="H45" s="33">
        <f t="shared" si="21"/>
        <v>0</v>
      </c>
      <c r="I45" s="33">
        <f t="shared" si="21"/>
        <v>0</v>
      </c>
      <c r="J45" s="33">
        <f t="shared" si="21"/>
        <v>0</v>
      </c>
      <c r="L45" s="33">
        <f t="shared" ref="L45:L47" si="22">SUM(F45:J45)</f>
        <v>0</v>
      </c>
      <c r="M45" s="31"/>
      <c r="N45" s="251">
        <f t="shared" si="18"/>
        <v>0</v>
      </c>
    </row>
    <row r="46" spans="2:14">
      <c r="D46" s="53" t="s">
        <v>280</v>
      </c>
      <c r="E46" s="33">
        <f t="shared" ref="E46:J46" si="23">(SUMPRODUCT((E$31:E$43)*($C$31:$C$43&lt;=2)))</f>
        <v>0</v>
      </c>
      <c r="F46" s="33">
        <f t="shared" si="23"/>
        <v>-1.1000000000000001</v>
      </c>
      <c r="G46" s="33">
        <f t="shared" si="23"/>
        <v>-1</v>
      </c>
      <c r="H46" s="33">
        <f t="shared" si="23"/>
        <v>-1.7</v>
      </c>
      <c r="I46" s="33">
        <f t="shared" si="23"/>
        <v>-12.6</v>
      </c>
      <c r="J46" s="33">
        <f t="shared" si="23"/>
        <v>-22.3</v>
      </c>
      <c r="L46" s="33">
        <f>SUM(F46:J46)</f>
        <v>-38.700000000000003</v>
      </c>
      <c r="M46" s="31"/>
      <c r="N46" s="251">
        <f t="shared" si="18"/>
        <v>-7.74</v>
      </c>
    </row>
    <row r="47" spans="2:14">
      <c r="D47" s="53" t="s">
        <v>617</v>
      </c>
      <c r="E47" s="33">
        <f t="shared" ref="E47:J47" si="24">(SUMPRODUCT((E$31:E$43)*($C$31:$C$43&lt;=3)))-E35-E42</f>
        <v>0</v>
      </c>
      <c r="F47" s="33">
        <f t="shared" si="24"/>
        <v>-1</v>
      </c>
      <c r="G47" s="33">
        <f t="shared" si="24"/>
        <v>-1.6999999999999997</v>
      </c>
      <c r="H47" s="33">
        <f t="shared" si="24"/>
        <v>-2.8</v>
      </c>
      <c r="I47" s="33">
        <f t="shared" si="24"/>
        <v>-12.299999999999999</v>
      </c>
      <c r="J47" s="33">
        <f t="shared" si="24"/>
        <v>-23.5</v>
      </c>
      <c r="L47" s="33">
        <f t="shared" si="22"/>
        <v>-41.3</v>
      </c>
      <c r="M47" s="31"/>
      <c r="N47" s="251">
        <f t="shared" si="18"/>
        <v>-8.26</v>
      </c>
    </row>
    <row r="48" spans="2:14">
      <c r="D48" s="29"/>
      <c r="E48" s="33"/>
      <c r="F48" s="33"/>
      <c r="G48" s="33"/>
      <c r="H48" s="33"/>
      <c r="I48" s="33"/>
      <c r="J48" s="33"/>
      <c r="L48" s="33"/>
      <c r="M48" s="31"/>
      <c r="N48" s="251"/>
    </row>
    <row r="49" spans="2:14">
      <c r="B49" s="329" t="s">
        <v>445</v>
      </c>
      <c r="C49" s="329"/>
      <c r="D49" s="329"/>
      <c r="E49" s="329"/>
      <c r="F49" s="329"/>
      <c r="G49" s="329"/>
      <c r="H49" s="329"/>
      <c r="I49" s="329"/>
      <c r="J49" s="329"/>
      <c r="K49" s="329"/>
      <c r="L49" s="329"/>
      <c r="M49" s="329"/>
      <c r="N49" s="329"/>
    </row>
    <row r="50" spans="2:14">
      <c r="E50" s="33"/>
      <c r="F50" s="33"/>
      <c r="G50" s="33"/>
      <c r="H50" s="33"/>
      <c r="I50" s="33"/>
      <c r="J50" s="33"/>
      <c r="L50" s="33"/>
      <c r="M50" s="31"/>
      <c r="N50" s="31"/>
    </row>
  </sheetData>
  <mergeCells count="2">
    <mergeCell ref="F29:J29"/>
    <mergeCell ref="F9:J9"/>
  </mergeCells>
  <pageMargins left="0.70866141732283472" right="0.70866141732283472" top="0.74803149606299213" bottom="0.74803149606299213" header="0.31496062992125984" footer="0.31496062992125984"/>
  <pageSetup paperSize="9" scale="55" fitToHeight="2" orientation="portrait" r:id="rId1"/>
  <headerFooter>
    <oddHeader>&amp;C&amp;A&amp;D</oddHeader>
  </headerFooter>
  <legacyDrawing r:id="rId2"/>
</worksheet>
</file>

<file path=xl/worksheets/sheet16.xml><?xml version="1.0" encoding="utf-8"?>
<worksheet xmlns="http://schemas.openxmlformats.org/spreadsheetml/2006/main" xmlns:r="http://schemas.openxmlformats.org/officeDocument/2006/relationships">
  <sheetPr>
    <pageSetUpPr fitToPage="1"/>
  </sheetPr>
  <dimension ref="A2:P36"/>
  <sheetViews>
    <sheetView showGridLines="0" zoomScale="70" zoomScaleNormal="70" workbookViewId="0">
      <selection activeCell="K52" sqref="K52"/>
    </sheetView>
  </sheetViews>
  <sheetFormatPr defaultRowHeight="12.75"/>
  <cols>
    <col min="1" max="1" width="9.140625" style="61"/>
    <col min="2" max="2" width="13" style="204" customWidth="1"/>
    <col min="3" max="3" width="15.5703125" style="204" customWidth="1"/>
    <col min="4" max="4" width="45.140625" style="19" customWidth="1"/>
    <col min="5" max="16384" width="9.140625" style="19"/>
  </cols>
  <sheetData>
    <row r="2" spans="2:14">
      <c r="B2" s="53" t="s">
        <v>794</v>
      </c>
    </row>
    <row r="3" spans="2:14">
      <c r="D3" s="29"/>
    </row>
    <row r="4" spans="2:14">
      <c r="B4" s="84" t="s">
        <v>771</v>
      </c>
      <c r="C4" s="84"/>
      <c r="D4" s="84"/>
      <c r="E4" s="84"/>
      <c r="F4" s="84"/>
      <c r="G4" s="84"/>
      <c r="H4" s="84"/>
      <c r="I4" s="84"/>
      <c r="J4" s="84"/>
      <c r="K4" s="84"/>
      <c r="L4" s="84"/>
      <c r="M4" s="84"/>
      <c r="N4" s="84"/>
    </row>
    <row r="6" spans="2:14">
      <c r="D6" s="563" t="s">
        <v>268</v>
      </c>
      <c r="E6" s="562">
        <f>'Other Opex'!E6</f>
        <v>0.94890032817222825</v>
      </c>
      <c r="F6" s="562">
        <f>'Other Opex'!F6</f>
        <v>0.92297905785353018</v>
      </c>
      <c r="G6" s="562">
        <f>'Other Opex'!G6</f>
        <v>0.89284663216430427</v>
      </c>
      <c r="H6" s="562">
        <f>'Other Opex'!H6</f>
        <v>0.86684139045078079</v>
      </c>
      <c r="I6" s="562">
        <f>'Other Opex'!I6</f>
        <v>0.8415935829619231</v>
      </c>
      <c r="J6" s="562">
        <f>'Other Opex'!J6</f>
        <v>0.81708114850672153</v>
      </c>
    </row>
    <row r="7" spans="2:14">
      <c r="D7" s="563" t="s">
        <v>434</v>
      </c>
      <c r="E7" s="562">
        <f>1/E6</f>
        <v>1.0538514639637653</v>
      </c>
      <c r="F7" s="562">
        <f t="shared" ref="F7:J7" si="0">1/F6</f>
        <v>1.0834482012252682</v>
      </c>
      <c r="G7" s="562">
        <f t="shared" si="0"/>
        <v>1.1200131847683075</v>
      </c>
      <c r="H7" s="562">
        <f t="shared" si="0"/>
        <v>1.1536135803113567</v>
      </c>
      <c r="I7" s="562">
        <f t="shared" si="0"/>
        <v>1.1882219877206974</v>
      </c>
      <c r="J7" s="562">
        <f t="shared" si="0"/>
        <v>1.2238686473523184</v>
      </c>
    </row>
    <row r="8" spans="2:14">
      <c r="D8" s="563"/>
      <c r="E8" s="562"/>
      <c r="F8" s="562"/>
      <c r="G8" s="562"/>
      <c r="H8" s="562"/>
      <c r="I8" s="562"/>
      <c r="J8" s="562"/>
    </row>
    <row r="9" spans="2:14">
      <c r="D9" s="53" t="s">
        <v>782</v>
      </c>
      <c r="E9" s="204">
        <v>1</v>
      </c>
    </row>
    <row r="10" spans="2:14">
      <c r="D10" s="53"/>
      <c r="E10" s="204"/>
    </row>
    <row r="11" spans="2:14">
      <c r="B11" s="183" t="s">
        <v>770</v>
      </c>
      <c r="C11" s="183"/>
      <c r="D11" s="183" t="s">
        <v>772</v>
      </c>
      <c r="E11" s="234" t="s">
        <v>187</v>
      </c>
      <c r="F11" s="636" t="s">
        <v>31</v>
      </c>
      <c r="G11" s="636"/>
      <c r="H11" s="636"/>
      <c r="I11" s="636"/>
      <c r="J11" s="636"/>
      <c r="L11" s="235" t="s">
        <v>269</v>
      </c>
      <c r="M11" s="235" t="s">
        <v>40</v>
      </c>
      <c r="N11" s="275" t="s">
        <v>460</v>
      </c>
    </row>
    <row r="12" spans="2:14">
      <c r="B12" s="286"/>
      <c r="C12" s="286" t="s">
        <v>486</v>
      </c>
      <c r="D12" s="29" t="s">
        <v>46</v>
      </c>
      <c r="E12" s="19" t="s">
        <v>17</v>
      </c>
      <c r="F12" s="19" t="s">
        <v>32</v>
      </c>
      <c r="G12" s="19" t="s">
        <v>33</v>
      </c>
      <c r="H12" s="19" t="s">
        <v>34</v>
      </c>
      <c r="I12" s="19" t="s">
        <v>35</v>
      </c>
      <c r="J12" s="19" t="s">
        <v>36</v>
      </c>
      <c r="M12" s="31"/>
    </row>
    <row r="13" spans="2:14">
      <c r="B13" s="236"/>
      <c r="C13" s="236" t="str">
        <f>C22</f>
        <v>x</v>
      </c>
      <c r="D13" s="61" t="s">
        <v>783</v>
      </c>
      <c r="E13" s="227">
        <f t="shared" ref="E13:J13" si="1">E22*E$7</f>
        <v>182.21091811933502</v>
      </c>
      <c r="F13" s="227">
        <f t="shared" si="1"/>
        <v>207.15529607427126</v>
      </c>
      <c r="G13" s="227">
        <f t="shared" si="1"/>
        <v>200.81836402895755</v>
      </c>
      <c r="H13" s="227">
        <f t="shared" si="1"/>
        <v>199.80587210992698</v>
      </c>
      <c r="I13" s="227">
        <f t="shared" si="1"/>
        <v>197.00720556409163</v>
      </c>
      <c r="J13" s="227">
        <f t="shared" si="1"/>
        <v>204.01890351363147</v>
      </c>
      <c r="L13" s="33">
        <f>SUM(F13:J13)</f>
        <v>1008.805641290879</v>
      </c>
      <c r="M13" s="31">
        <f>((J13/E13)^(1/5))-1</f>
        <v>2.2867082499393065E-2</v>
      </c>
      <c r="N13" s="251">
        <f>L13/5</f>
        <v>201.7611282581758</v>
      </c>
    </row>
    <row r="14" spans="2:14">
      <c r="B14" s="236"/>
      <c r="C14" s="236"/>
      <c r="D14" s="61" t="s">
        <v>41</v>
      </c>
      <c r="E14" s="227"/>
      <c r="F14" s="227"/>
      <c r="G14" s="227"/>
      <c r="H14" s="227"/>
      <c r="I14" s="227"/>
      <c r="J14" s="227"/>
      <c r="L14" s="33"/>
      <c r="M14" s="31"/>
      <c r="N14" s="251"/>
    </row>
    <row r="15" spans="2:14">
      <c r="B15" s="236"/>
      <c r="C15" s="236"/>
      <c r="D15" s="61"/>
      <c r="E15" s="227"/>
      <c r="F15" s="227"/>
      <c r="G15" s="227"/>
      <c r="H15" s="227"/>
      <c r="I15" s="227"/>
      <c r="J15" s="227"/>
      <c r="L15" s="33"/>
      <c r="M15" s="31"/>
      <c r="N15" s="251"/>
    </row>
    <row r="16" spans="2:14">
      <c r="B16" s="236"/>
      <c r="C16" s="236">
        <f t="shared" ref="C16" si="2">C25</f>
        <v>2</v>
      </c>
      <c r="D16" s="61" t="s">
        <v>278</v>
      </c>
      <c r="E16" s="227">
        <f t="shared" ref="E16:J16" si="3">E25*E$7</f>
        <v>0</v>
      </c>
      <c r="F16" s="227">
        <f t="shared" si="3"/>
        <v>-4.2254479847785458</v>
      </c>
      <c r="G16" s="227">
        <f t="shared" si="3"/>
        <v>-8.6241015227159679</v>
      </c>
      <c r="H16" s="227">
        <f t="shared" si="3"/>
        <v>-8.7674632103663104</v>
      </c>
      <c r="I16" s="227">
        <f t="shared" si="3"/>
        <v>-8.555198311589022</v>
      </c>
      <c r="J16" s="227">
        <f t="shared" si="3"/>
        <v>-8.811854260936693</v>
      </c>
      <c r="L16" s="33">
        <f>SUM(F16:J16)</f>
        <v>-38.984065290386539</v>
      </c>
      <c r="M16" s="31"/>
      <c r="N16" s="251">
        <f t="shared" ref="N16:N18" si="4">L16/5</f>
        <v>-7.7968130580773076</v>
      </c>
    </row>
    <row r="17" spans="2:16">
      <c r="E17" s="227"/>
      <c r="F17" s="227"/>
      <c r="G17" s="227"/>
      <c r="H17" s="227"/>
      <c r="I17" s="227"/>
      <c r="J17" s="227"/>
      <c r="L17" s="33"/>
      <c r="M17" s="31"/>
      <c r="N17" s="251"/>
    </row>
    <row r="18" spans="2:16">
      <c r="D18" s="29" t="s">
        <v>280</v>
      </c>
      <c r="E18" s="227">
        <f t="shared" ref="E18:J18" si="5">E28*E$7</f>
        <v>0</v>
      </c>
      <c r="F18" s="227">
        <f t="shared" si="5"/>
        <v>-4.2254479847785458</v>
      </c>
      <c r="G18" s="227">
        <f t="shared" si="5"/>
        <v>-8.6241015227159679</v>
      </c>
      <c r="H18" s="227">
        <f t="shared" si="5"/>
        <v>-8.7674632103663104</v>
      </c>
      <c r="I18" s="227">
        <f t="shared" si="5"/>
        <v>-8.555198311589022</v>
      </c>
      <c r="J18" s="227">
        <f t="shared" si="5"/>
        <v>-8.811854260936693</v>
      </c>
      <c r="L18" s="33">
        <f t="shared" ref="L18" si="6">SUM(F18:J18)</f>
        <v>-38.984065290386539</v>
      </c>
      <c r="M18" s="31"/>
      <c r="N18" s="251">
        <f t="shared" si="4"/>
        <v>-7.7968130580773076</v>
      </c>
    </row>
    <row r="20" spans="2:16">
      <c r="B20" s="183" t="s">
        <v>769</v>
      </c>
      <c r="C20" s="183"/>
      <c r="D20" s="183" t="s">
        <v>772</v>
      </c>
      <c r="E20" s="234" t="s">
        <v>187</v>
      </c>
      <c r="F20" s="636" t="s">
        <v>31</v>
      </c>
      <c r="G20" s="636"/>
      <c r="H20" s="636"/>
      <c r="I20" s="636"/>
      <c r="J20" s="636"/>
      <c r="L20" s="235" t="s">
        <v>269</v>
      </c>
      <c r="M20" s="235" t="s">
        <v>40</v>
      </c>
      <c r="N20" s="275" t="s">
        <v>460</v>
      </c>
    </row>
    <row r="21" spans="2:16">
      <c r="B21" s="286"/>
      <c r="C21" s="286" t="s">
        <v>486</v>
      </c>
      <c r="D21" s="29" t="s">
        <v>231</v>
      </c>
      <c r="E21" s="19" t="s">
        <v>17</v>
      </c>
      <c r="F21" s="19" t="s">
        <v>32</v>
      </c>
      <c r="G21" s="19" t="s">
        <v>33</v>
      </c>
      <c r="H21" s="19" t="s">
        <v>34</v>
      </c>
      <c r="I21" s="19" t="s">
        <v>35</v>
      </c>
      <c r="J21" s="19" t="s">
        <v>36</v>
      </c>
      <c r="M21" s="31"/>
    </row>
    <row r="22" spans="2:16" s="61" customFormat="1">
      <c r="B22" s="236"/>
      <c r="C22" s="236" t="s">
        <v>323</v>
      </c>
      <c r="D22" s="61" t="s">
        <v>783</v>
      </c>
      <c r="E22" s="227">
        <f>'HAL - aBP'!H30</f>
        <v>172.9</v>
      </c>
      <c r="F22" s="227">
        <f>'HAL - aBP'!I30</f>
        <v>191.2</v>
      </c>
      <c r="G22" s="227">
        <f>'HAL - aBP'!J30</f>
        <v>179.3</v>
      </c>
      <c r="H22" s="227">
        <f>'HAL - aBP'!K30</f>
        <v>173.2</v>
      </c>
      <c r="I22" s="227">
        <f>'HAL - aBP'!L30</f>
        <v>165.8</v>
      </c>
      <c r="J22" s="227">
        <f>'HAL - aBP'!M30</f>
        <v>166.7</v>
      </c>
      <c r="L22" s="227">
        <f>SUM(F22:J22)</f>
        <v>876.2</v>
      </c>
      <c r="M22" s="63">
        <f>((J22/E22)^(1/5))-1</f>
        <v>-7.2769146916570326E-3</v>
      </c>
      <c r="N22" s="251">
        <f>L22/5</f>
        <v>175.24</v>
      </c>
    </row>
    <row r="23" spans="2:16" s="61" customFormat="1">
      <c r="B23" s="236"/>
      <c r="C23" s="236"/>
      <c r="E23" s="227"/>
      <c r="F23" s="227"/>
      <c r="G23" s="227"/>
      <c r="H23" s="227"/>
      <c r="I23" s="227"/>
      <c r="J23" s="227"/>
      <c r="L23" s="227"/>
      <c r="M23" s="63"/>
      <c r="N23" s="251"/>
    </row>
    <row r="24" spans="2:16" s="61" customFormat="1">
      <c r="B24" s="236"/>
      <c r="C24" s="236"/>
      <c r="E24" s="227"/>
      <c r="F24" s="227"/>
      <c r="G24" s="227"/>
      <c r="H24" s="227"/>
      <c r="I24" s="227"/>
      <c r="J24" s="227"/>
      <c r="L24" s="227"/>
      <c r="M24" s="63"/>
      <c r="N24" s="251"/>
    </row>
    <row r="25" spans="2:16">
      <c r="B25" s="236"/>
      <c r="C25" s="563">
        <v>2</v>
      </c>
      <c r="D25" s="19" t="s">
        <v>604</v>
      </c>
      <c r="E25" s="201">
        <v>0</v>
      </c>
      <c r="F25" s="201">
        <v>-3.9</v>
      </c>
      <c r="G25" s="201">
        <v>-7.7</v>
      </c>
      <c r="H25" s="201">
        <v>-7.6</v>
      </c>
      <c r="I25" s="201">
        <v>-7.2</v>
      </c>
      <c r="J25" s="201">
        <v>-7.2</v>
      </c>
      <c r="L25" s="33">
        <f>SUM(F25:J25)</f>
        <v>-33.6</v>
      </c>
      <c r="M25" s="31"/>
      <c r="N25" s="251">
        <f t="shared" ref="N25:N28" si="7">L25/5</f>
        <v>-6.7200000000000006</v>
      </c>
    </row>
    <row r="26" spans="2:16">
      <c r="L26" s="33"/>
      <c r="M26" s="31"/>
      <c r="N26" s="251"/>
      <c r="O26" s="138"/>
      <c r="P26" s="138"/>
    </row>
    <row r="27" spans="2:16">
      <c r="D27" s="29"/>
      <c r="E27" s="33"/>
      <c r="F27" s="33"/>
      <c r="G27" s="33"/>
      <c r="H27" s="33"/>
      <c r="I27" s="33"/>
      <c r="J27" s="33"/>
      <c r="L27" s="33"/>
      <c r="M27" s="31"/>
      <c r="N27" s="251"/>
      <c r="O27" s="76"/>
      <c r="P27" s="164"/>
    </row>
    <row r="28" spans="2:16">
      <c r="D28" s="53" t="s">
        <v>280</v>
      </c>
      <c r="E28" s="33">
        <f t="shared" ref="E28:J28" si="8">E25</f>
        <v>0</v>
      </c>
      <c r="F28" s="33">
        <f t="shared" si="8"/>
        <v>-3.9</v>
      </c>
      <c r="G28" s="33">
        <f t="shared" si="8"/>
        <v>-7.7</v>
      </c>
      <c r="H28" s="33">
        <f t="shared" si="8"/>
        <v>-7.6</v>
      </c>
      <c r="I28" s="33">
        <f t="shared" si="8"/>
        <v>-7.2</v>
      </c>
      <c r="J28" s="33">
        <f t="shared" si="8"/>
        <v>-7.2</v>
      </c>
      <c r="L28" s="33">
        <f>SUM(F28:J28)</f>
        <v>-33.6</v>
      </c>
      <c r="M28" s="31"/>
      <c r="N28" s="251">
        <f t="shared" si="7"/>
        <v>-6.7200000000000006</v>
      </c>
      <c r="O28" s="76"/>
      <c r="P28" s="164"/>
    </row>
    <row r="29" spans="2:16">
      <c r="D29" s="29"/>
      <c r="E29" s="33"/>
      <c r="F29" s="33"/>
      <c r="G29" s="33"/>
      <c r="H29" s="33"/>
      <c r="I29" s="33"/>
      <c r="J29" s="33"/>
      <c r="L29" s="33"/>
      <c r="M29" s="31"/>
      <c r="N29" s="251"/>
      <c r="O29" s="76"/>
      <c r="P29" s="164"/>
    </row>
    <row r="30" spans="2:16">
      <c r="D30" s="53" t="s">
        <v>781</v>
      </c>
      <c r="E30" s="194"/>
      <c r="F30" s="558">
        <f>'Staff Data'!L34</f>
        <v>9.6245665175654652E-2</v>
      </c>
      <c r="G30" s="558">
        <f>'Staff Data'!M34</f>
        <v>0.10276572668112799</v>
      </c>
      <c r="H30" s="558">
        <f>'Staff Data'!N34</f>
        <v>0.10396579190072942</v>
      </c>
      <c r="I30" s="558">
        <f>'Staff Data'!O34</f>
        <v>0.10812570278747706</v>
      </c>
      <c r="J30" s="558">
        <f>'Staff Data'!P34</f>
        <v>0.10813870352716873</v>
      </c>
      <c r="L30" s="33"/>
      <c r="M30" s="31"/>
      <c r="N30" s="251"/>
      <c r="O30" s="76"/>
      <c r="P30" s="164"/>
    </row>
    <row r="31" spans="2:16">
      <c r="D31" s="204"/>
      <c r="E31" s="194"/>
      <c r="F31" s="558"/>
      <c r="G31" s="558"/>
      <c r="H31" s="558"/>
      <c r="I31" s="558"/>
      <c r="J31" s="558"/>
      <c r="L31" s="33"/>
      <c r="M31" s="31"/>
      <c r="N31" s="251"/>
      <c r="O31" s="76"/>
      <c r="P31" s="164"/>
    </row>
    <row r="32" spans="2:16">
      <c r="B32" s="19"/>
      <c r="C32" s="19"/>
      <c r="D32" s="53" t="s">
        <v>605</v>
      </c>
      <c r="E32" s="539">
        <f>(Wages!K32*E30)*$E$9</f>
        <v>0</v>
      </c>
      <c r="F32" s="539">
        <f>(Wages!L32*F30)*$E$9</f>
        <v>-2.7876974079963048</v>
      </c>
      <c r="G32" s="539">
        <f>(Wages!M32*G30)*$E$9</f>
        <v>-2.8453700606003531</v>
      </c>
      <c r="H32" s="539">
        <f>(Wages!N32*H30)*$E$9</f>
        <v>-2.7131209462781394</v>
      </c>
      <c r="I32" s="539">
        <f>(Wages!O32*I30)*$E$9</f>
        <v>-2.7228508837448446</v>
      </c>
      <c r="J32" s="539">
        <f>(Wages!P32*J30)*$E$9</f>
        <v>-2.6959120192558208</v>
      </c>
      <c r="L32" s="33">
        <f t="shared" ref="L32" si="9">SUM(F32:J32)</f>
        <v>-13.764951317875465</v>
      </c>
      <c r="M32" s="31"/>
      <c r="N32" s="251">
        <f t="shared" ref="N32" si="10">L32/5</f>
        <v>-2.7529902635750929</v>
      </c>
      <c r="O32" s="76"/>
      <c r="P32" s="164"/>
    </row>
    <row r="33" spans="2:16">
      <c r="D33" s="204"/>
      <c r="E33" s="539"/>
      <c r="F33" s="539"/>
      <c r="G33" s="539"/>
      <c r="H33" s="539"/>
      <c r="I33" s="539"/>
      <c r="J33" s="539"/>
      <c r="L33" s="33"/>
      <c r="M33" s="31"/>
      <c r="N33" s="251"/>
      <c r="O33" s="76"/>
      <c r="P33" s="164"/>
    </row>
    <row r="34" spans="2:16">
      <c r="D34" s="53" t="s">
        <v>780</v>
      </c>
      <c r="E34" s="539">
        <f>E28-E32</f>
        <v>0</v>
      </c>
      <c r="F34" s="539">
        <f t="shared" ref="F34:J34" si="11">F28-F32</f>
        <v>-1.1123025920036951</v>
      </c>
      <c r="G34" s="539">
        <f t="shared" si="11"/>
        <v>-4.854629939399647</v>
      </c>
      <c r="H34" s="539">
        <f t="shared" si="11"/>
        <v>-4.8868790537218603</v>
      </c>
      <c r="I34" s="539">
        <f t="shared" si="11"/>
        <v>-4.4771491162551555</v>
      </c>
      <c r="J34" s="539">
        <f t="shared" si="11"/>
        <v>-4.5040879807441794</v>
      </c>
      <c r="L34" s="33">
        <f t="shared" ref="L34" si="12">SUM(F34:J34)</f>
        <v>-19.835048682124537</v>
      </c>
      <c r="M34" s="31"/>
      <c r="N34" s="251">
        <f t="shared" ref="N34" si="13">L34/5</f>
        <v>-3.9670097364249073</v>
      </c>
      <c r="O34" s="76"/>
      <c r="P34" s="164"/>
    </row>
    <row r="35" spans="2:16">
      <c r="L35" s="33"/>
      <c r="O35" s="76"/>
      <c r="P35" s="164"/>
    </row>
    <row r="36" spans="2:16">
      <c r="B36" s="329" t="s">
        <v>445</v>
      </c>
      <c r="C36" s="329"/>
      <c r="D36" s="329"/>
      <c r="E36" s="329"/>
      <c r="F36" s="329"/>
      <c r="G36" s="329"/>
      <c r="H36" s="329"/>
      <c r="I36" s="329"/>
      <c r="J36" s="329"/>
      <c r="K36" s="329"/>
      <c r="L36" s="329"/>
      <c r="M36" s="329"/>
      <c r="N36" s="329"/>
    </row>
  </sheetData>
  <mergeCells count="2">
    <mergeCell ref="F11:J11"/>
    <mergeCell ref="F20:J20"/>
  </mergeCells>
  <pageMargins left="0.70866141732283472" right="0.70866141732283472" top="0.74803149606299213" bottom="0.74803149606299213" header="0.31496062992125984" footer="0.31496062992125984"/>
  <pageSetup paperSize="9" scale="61" orientation="portrait" r:id="rId1"/>
  <headerFooter>
    <oddHeader>&amp;C&amp;A&amp;D</oddHeader>
  </headerFooter>
  <ignoredErrors>
    <ignoredError sqref="L25 L22" formulaRange="1"/>
  </ignoredErrors>
  <legacyDrawing r:id="rId2"/>
</worksheet>
</file>

<file path=xl/worksheets/sheet17.xml><?xml version="1.0" encoding="utf-8"?>
<worksheet xmlns="http://schemas.openxmlformats.org/spreadsheetml/2006/main" xmlns:r="http://schemas.openxmlformats.org/officeDocument/2006/relationships">
  <sheetPr>
    <pageSetUpPr fitToPage="1"/>
  </sheetPr>
  <dimension ref="B2:T127"/>
  <sheetViews>
    <sheetView showGridLines="0" topLeftCell="A61" zoomScale="70" zoomScaleNormal="70" zoomScaleSheetLayoutView="100" workbookViewId="0">
      <selection activeCell="C72" sqref="C72:P83"/>
    </sheetView>
  </sheetViews>
  <sheetFormatPr defaultRowHeight="12.75"/>
  <cols>
    <col min="1" max="1" width="9.140625" style="19"/>
    <col min="2" max="2" width="29" style="204" customWidth="1"/>
    <col min="3" max="3" width="10.7109375" style="204" customWidth="1"/>
    <col min="4" max="4" width="18.42578125" style="19" customWidth="1"/>
    <col min="5" max="16" width="10.7109375" style="19" customWidth="1"/>
    <col min="17" max="16384" width="9.140625" style="19"/>
  </cols>
  <sheetData>
    <row r="2" spans="2:16">
      <c r="B2" s="53" t="s">
        <v>795</v>
      </c>
    </row>
    <row r="3" spans="2:16">
      <c r="D3" s="29"/>
    </row>
    <row r="4" spans="2:16">
      <c r="B4" s="84" t="s">
        <v>98</v>
      </c>
      <c r="C4" s="86"/>
      <c r="D4" s="86"/>
      <c r="E4" s="86"/>
      <c r="F4" s="86"/>
      <c r="G4" s="86"/>
      <c r="H4" s="86"/>
      <c r="I4" s="86"/>
      <c r="J4" s="86"/>
      <c r="K4" s="86"/>
      <c r="L4" s="86"/>
      <c r="M4" s="86"/>
      <c r="N4" s="86"/>
      <c r="O4" s="86"/>
      <c r="P4" s="86"/>
    </row>
    <row r="5" spans="2:16">
      <c r="D5" s="29"/>
    </row>
    <row r="6" spans="2:16">
      <c r="B6" s="84" t="s">
        <v>758</v>
      </c>
      <c r="C6" s="86"/>
      <c r="D6" s="86"/>
      <c r="E6" s="86"/>
      <c r="F6" s="86"/>
      <c r="G6" s="86"/>
      <c r="H6" s="86"/>
      <c r="I6" s="86"/>
      <c r="J6" s="86"/>
      <c r="K6" s="86"/>
      <c r="L6" s="86"/>
      <c r="M6" s="86"/>
      <c r="N6" s="86"/>
      <c r="O6" s="86"/>
      <c r="P6" s="86"/>
    </row>
    <row r="7" spans="2:16" s="61" customFormat="1">
      <c r="B7" s="138"/>
      <c r="C7" s="199"/>
      <c r="D7" s="199"/>
      <c r="E7" s="199"/>
      <c r="F7" s="199"/>
      <c r="G7" s="199"/>
      <c r="H7" s="199"/>
      <c r="I7" s="199"/>
      <c r="J7" s="199"/>
      <c r="K7" s="199"/>
      <c r="L7" s="199"/>
      <c r="M7" s="199"/>
      <c r="N7" s="199"/>
      <c r="O7" s="199"/>
      <c r="P7" s="199"/>
    </row>
    <row r="8" spans="2:16" s="61" customFormat="1" ht="15">
      <c r="B8" s="138"/>
      <c r="C8" s="627" t="s">
        <v>30</v>
      </c>
      <c r="D8" s="637"/>
      <c r="E8" s="637"/>
      <c r="F8" s="637"/>
      <c r="G8" s="638"/>
      <c r="H8" s="360" t="s">
        <v>187</v>
      </c>
      <c r="I8" s="626" t="s">
        <v>31</v>
      </c>
      <c r="J8" s="636"/>
      <c r="K8" s="636"/>
      <c r="L8" s="636"/>
      <c r="M8" s="636"/>
      <c r="N8" s="199"/>
      <c r="O8" s="361" t="s">
        <v>269</v>
      </c>
      <c r="P8" s="361" t="s">
        <v>40</v>
      </c>
    </row>
    <row r="9" spans="2:16" s="61" customFormat="1">
      <c r="B9" s="254" t="s">
        <v>231</v>
      </c>
      <c r="C9" s="362" t="s">
        <v>12</v>
      </c>
      <c r="D9" s="362" t="s">
        <v>13</v>
      </c>
      <c r="E9" s="362" t="s">
        <v>14</v>
      </c>
      <c r="F9" s="362" t="s">
        <v>15</v>
      </c>
      <c r="G9" s="362" t="s">
        <v>16</v>
      </c>
      <c r="H9" s="362" t="s">
        <v>17</v>
      </c>
      <c r="I9" s="362" t="s">
        <v>32</v>
      </c>
      <c r="J9" s="362" t="s">
        <v>33</v>
      </c>
      <c r="K9" s="362" t="s">
        <v>34</v>
      </c>
      <c r="L9" s="362" t="s">
        <v>35</v>
      </c>
      <c r="M9" s="362" t="s">
        <v>36</v>
      </c>
      <c r="N9" s="199"/>
      <c r="O9" s="199"/>
      <c r="P9" s="199"/>
    </row>
    <row r="10" spans="2:16" s="61" customFormat="1">
      <c r="B10" s="259" t="s">
        <v>522</v>
      </c>
      <c r="C10" s="363">
        <f>'HAL - fBP'!C73</f>
        <v>120</v>
      </c>
      <c r="D10" s="363">
        <f>'HAL - fBP'!D73</f>
        <v>106</v>
      </c>
      <c r="E10" s="363">
        <f>'HAL - fBP'!E73</f>
        <v>119</v>
      </c>
      <c r="F10" s="363">
        <f>'HAL - fBP'!F73</f>
        <v>119</v>
      </c>
      <c r="G10" s="363">
        <f>'HAL - fBP'!G73</f>
        <v>116</v>
      </c>
      <c r="H10" s="363">
        <f>'HAL - fBP'!H73</f>
        <v>121</v>
      </c>
      <c r="I10" s="363">
        <f>'HAL - fBP'!I73</f>
        <v>115</v>
      </c>
      <c r="J10" s="363">
        <f>'HAL - fBP'!J73</f>
        <v>112</v>
      </c>
      <c r="K10" s="363">
        <f>'HAL - fBP'!K73</f>
        <v>110</v>
      </c>
      <c r="L10" s="363">
        <f>'HAL - fBP'!L73</f>
        <v>109</v>
      </c>
      <c r="M10" s="363">
        <f>'HAL - fBP'!M73</f>
        <v>108</v>
      </c>
      <c r="N10" s="199"/>
      <c r="O10" s="33">
        <f>SUM(I10:M10)</f>
        <v>554</v>
      </c>
      <c r="P10" s="31">
        <f>((M10/H10)^(1/5))-1</f>
        <v>-2.2475441540525498E-2</v>
      </c>
    </row>
    <row r="11" spans="2:16" s="61" customFormat="1">
      <c r="B11" s="138"/>
      <c r="C11" s="199"/>
      <c r="D11" s="199"/>
      <c r="E11" s="199"/>
      <c r="F11" s="199"/>
      <c r="G11" s="199"/>
      <c r="H11" s="199"/>
      <c r="I11" s="199"/>
      <c r="J11" s="199"/>
      <c r="K11" s="199"/>
      <c r="L11" s="199"/>
      <c r="M11" s="199"/>
      <c r="N11" s="199"/>
      <c r="O11" s="33"/>
      <c r="P11" s="31"/>
    </row>
    <row r="12" spans="2:16" s="61" customFormat="1">
      <c r="B12" s="254" t="s">
        <v>231</v>
      </c>
      <c r="C12" s="362" t="s">
        <v>12</v>
      </c>
      <c r="D12" s="362" t="s">
        <v>13</v>
      </c>
      <c r="E12" s="362" t="s">
        <v>14</v>
      </c>
      <c r="F12" s="362" t="s">
        <v>15</v>
      </c>
      <c r="G12" s="362" t="s">
        <v>16</v>
      </c>
      <c r="H12" s="362" t="s">
        <v>17</v>
      </c>
      <c r="I12" s="362" t="s">
        <v>32</v>
      </c>
      <c r="J12" s="362" t="s">
        <v>33</v>
      </c>
      <c r="K12" s="362" t="s">
        <v>34</v>
      </c>
      <c r="L12" s="362" t="s">
        <v>35</v>
      </c>
      <c r="M12" s="362" t="s">
        <v>36</v>
      </c>
      <c r="N12" s="259"/>
      <c r="O12" s="33"/>
      <c r="P12" s="31"/>
    </row>
    <row r="13" spans="2:16" s="61" customFormat="1">
      <c r="B13" s="259" t="s">
        <v>284</v>
      </c>
      <c r="C13" s="564">
        <v>10.3</v>
      </c>
      <c r="D13" s="564">
        <v>8.8000000000000007</v>
      </c>
      <c r="E13" s="564">
        <v>13.9</v>
      </c>
      <c r="F13" s="564">
        <v>16.399999999999999</v>
      </c>
      <c r="G13" s="564">
        <v>14.2</v>
      </c>
      <c r="H13" s="564">
        <v>12.8</v>
      </c>
      <c r="I13" s="564">
        <v>12</v>
      </c>
      <c r="J13" s="564">
        <v>11.5</v>
      </c>
      <c r="K13" s="564">
        <v>11.7</v>
      </c>
      <c r="L13" s="564">
        <v>11.2</v>
      </c>
      <c r="M13" s="564">
        <v>11.1</v>
      </c>
      <c r="N13" s="199"/>
      <c r="O13" s="33">
        <f t="shared" ref="O13:O24" si="0">SUM(I13:M13)</f>
        <v>57.500000000000007</v>
      </c>
      <c r="P13" s="31">
        <f t="shared" ref="P13:P24" si="1">((M13/H13)^(1/5))-1</f>
        <v>-2.809771802349581E-2</v>
      </c>
    </row>
    <row r="14" spans="2:16" s="61" customFormat="1">
      <c r="B14" s="259" t="s">
        <v>285</v>
      </c>
      <c r="C14" s="564">
        <v>2.4</v>
      </c>
      <c r="D14" s="564">
        <v>2.4</v>
      </c>
      <c r="E14" s="564">
        <v>2.6</v>
      </c>
      <c r="F14" s="564">
        <v>2.2999999999999998</v>
      </c>
      <c r="G14" s="564">
        <v>2.9</v>
      </c>
      <c r="H14" s="564">
        <v>3.6</v>
      </c>
      <c r="I14" s="564">
        <v>2.5</v>
      </c>
      <c r="J14" s="564">
        <v>2.5</v>
      </c>
      <c r="K14" s="564">
        <v>2.5</v>
      </c>
      <c r="L14" s="564">
        <v>2.5</v>
      </c>
      <c r="M14" s="564">
        <v>2.4</v>
      </c>
      <c r="N14" s="199"/>
      <c r="O14" s="33">
        <f t="shared" si="0"/>
        <v>12.4</v>
      </c>
      <c r="P14" s="31">
        <f t="shared" si="1"/>
        <v>-7.7892088518272229E-2</v>
      </c>
    </row>
    <row r="15" spans="2:16" s="61" customFormat="1">
      <c r="B15" s="259" t="s">
        <v>513</v>
      </c>
      <c r="C15" s="564">
        <v>14.4</v>
      </c>
      <c r="D15" s="564">
        <v>11.2</v>
      </c>
      <c r="E15" s="564">
        <v>13.9</v>
      </c>
      <c r="F15" s="564">
        <v>14.2</v>
      </c>
      <c r="G15" s="564">
        <v>16.399999999999999</v>
      </c>
      <c r="H15" s="564">
        <v>21.2</v>
      </c>
      <c r="I15" s="564">
        <v>9.6</v>
      </c>
      <c r="J15" s="564">
        <v>9.3000000000000007</v>
      </c>
      <c r="K15" s="564">
        <v>9.1</v>
      </c>
      <c r="L15" s="564">
        <v>8.8000000000000007</v>
      </c>
      <c r="M15" s="564">
        <v>8.6999999999999993</v>
      </c>
      <c r="N15" s="199"/>
      <c r="O15" s="33">
        <f t="shared" si="0"/>
        <v>45.5</v>
      </c>
      <c r="P15" s="31">
        <f t="shared" si="1"/>
        <v>-0.16317108432160354</v>
      </c>
    </row>
    <row r="16" spans="2:16" s="61" customFormat="1">
      <c r="B16" s="259" t="s">
        <v>514</v>
      </c>
      <c r="C16" s="564">
        <v>6.5</v>
      </c>
      <c r="D16" s="564">
        <v>4.4000000000000004</v>
      </c>
      <c r="E16" s="564">
        <v>4.5</v>
      </c>
      <c r="F16" s="564">
        <v>5.7</v>
      </c>
      <c r="G16" s="564">
        <v>7.7</v>
      </c>
      <c r="H16" s="564">
        <v>9.1</v>
      </c>
      <c r="I16" s="564">
        <v>11.8</v>
      </c>
      <c r="J16" s="564">
        <v>10.6</v>
      </c>
      <c r="K16" s="564">
        <v>10</v>
      </c>
      <c r="L16" s="564">
        <v>10</v>
      </c>
      <c r="M16" s="564">
        <v>9.9</v>
      </c>
      <c r="N16" s="199"/>
      <c r="O16" s="33">
        <f t="shared" si="0"/>
        <v>52.3</v>
      </c>
      <c r="P16" s="31">
        <f t="shared" si="1"/>
        <v>1.6994865848255714E-2</v>
      </c>
    </row>
    <row r="17" spans="2:16" s="61" customFormat="1">
      <c r="B17" s="259" t="s">
        <v>286</v>
      </c>
      <c r="C17" s="564">
        <v>9.6</v>
      </c>
      <c r="D17" s="564">
        <v>8.6999999999999993</v>
      </c>
      <c r="E17" s="564">
        <v>10.5</v>
      </c>
      <c r="F17" s="564">
        <v>10.8</v>
      </c>
      <c r="G17" s="564">
        <v>10.199999999999999</v>
      </c>
      <c r="H17" s="564">
        <v>10.9</v>
      </c>
      <c r="I17" s="564">
        <v>8.1999999999999993</v>
      </c>
      <c r="J17" s="564">
        <v>8.1999999999999993</v>
      </c>
      <c r="K17" s="564">
        <v>8.1999999999999993</v>
      </c>
      <c r="L17" s="564">
        <v>8.3000000000000007</v>
      </c>
      <c r="M17" s="564">
        <v>8.3000000000000007</v>
      </c>
      <c r="N17" s="199"/>
      <c r="O17" s="33">
        <f t="shared" si="0"/>
        <v>41.2</v>
      </c>
      <c r="P17" s="31">
        <f t="shared" si="1"/>
        <v>-5.3042868858332093E-2</v>
      </c>
    </row>
    <row r="18" spans="2:16" s="61" customFormat="1">
      <c r="B18" s="259" t="s">
        <v>515</v>
      </c>
      <c r="C18" s="564">
        <v>3.1</v>
      </c>
      <c r="D18" s="564">
        <v>2.2000000000000002</v>
      </c>
      <c r="E18" s="564">
        <v>2.4</v>
      </c>
      <c r="F18" s="564">
        <v>3.3</v>
      </c>
      <c r="G18" s="564">
        <v>4.0999999999999996</v>
      </c>
      <c r="H18" s="564">
        <v>3.9</v>
      </c>
      <c r="I18" s="564">
        <v>2.6</v>
      </c>
      <c r="J18" s="564">
        <v>2.2000000000000002</v>
      </c>
      <c r="K18" s="564">
        <v>2.4</v>
      </c>
      <c r="L18" s="564">
        <v>3</v>
      </c>
      <c r="M18" s="564">
        <v>3</v>
      </c>
      <c r="N18" s="199"/>
      <c r="O18" s="33">
        <f t="shared" si="0"/>
        <v>13.200000000000001</v>
      </c>
      <c r="P18" s="31">
        <f t="shared" si="1"/>
        <v>-5.111991994525078E-2</v>
      </c>
    </row>
    <row r="19" spans="2:16" s="61" customFormat="1">
      <c r="B19" s="259" t="s">
        <v>248</v>
      </c>
      <c r="C19" s="564">
        <v>42.9</v>
      </c>
      <c r="D19" s="564">
        <v>34</v>
      </c>
      <c r="E19" s="564">
        <v>44.1</v>
      </c>
      <c r="F19" s="564">
        <v>42.1</v>
      </c>
      <c r="G19" s="564">
        <v>34.9</v>
      </c>
      <c r="H19" s="564">
        <v>35.799999999999997</v>
      </c>
      <c r="I19" s="564">
        <v>36.6</v>
      </c>
      <c r="J19" s="564">
        <v>37.1</v>
      </c>
      <c r="K19" s="564">
        <v>38</v>
      </c>
      <c r="L19" s="564">
        <v>38.9</v>
      </c>
      <c r="M19" s="564">
        <v>39.4</v>
      </c>
      <c r="N19" s="199"/>
      <c r="O19" s="33">
        <f t="shared" si="0"/>
        <v>190</v>
      </c>
      <c r="P19" s="31">
        <f t="shared" si="1"/>
        <v>1.9348384656127537E-2</v>
      </c>
    </row>
    <row r="20" spans="2:16" s="61" customFormat="1">
      <c r="B20" s="259" t="s">
        <v>516</v>
      </c>
      <c r="C20" s="564">
        <v>15.7</v>
      </c>
      <c r="D20" s="564">
        <v>9.9</v>
      </c>
      <c r="E20" s="564">
        <v>9.8000000000000007</v>
      </c>
      <c r="F20" s="564">
        <v>8.1</v>
      </c>
      <c r="G20" s="564">
        <v>12.2</v>
      </c>
      <c r="H20" s="564">
        <v>2.7</v>
      </c>
      <c r="I20" s="564">
        <v>-0.5</v>
      </c>
      <c r="J20" s="564">
        <v>-4.3</v>
      </c>
      <c r="K20" s="564">
        <v>-4.5999999999999996</v>
      </c>
      <c r="L20" s="564">
        <v>-5.8</v>
      </c>
      <c r="M20" s="564">
        <v>-6.3</v>
      </c>
      <c r="N20" s="199"/>
      <c r="O20" s="33">
        <f t="shared" si="0"/>
        <v>-21.5</v>
      </c>
      <c r="P20" s="31">
        <f t="shared" si="1"/>
        <v>-2.1846644525422443</v>
      </c>
    </row>
    <row r="21" spans="2:16" s="61" customFormat="1">
      <c r="B21" s="259" t="s">
        <v>26</v>
      </c>
      <c r="C21" s="564">
        <v>25.8</v>
      </c>
      <c r="D21" s="564">
        <v>31.9</v>
      </c>
      <c r="E21" s="564">
        <v>28.9</v>
      </c>
      <c r="F21" s="564">
        <v>25.3</v>
      </c>
      <c r="G21" s="564">
        <v>42.5</v>
      </c>
      <c r="H21" s="564">
        <v>12.9</v>
      </c>
      <c r="I21" s="564">
        <v>25.2</v>
      </c>
      <c r="J21" s="564">
        <v>25.4</v>
      </c>
      <c r="K21" s="564">
        <v>25.8</v>
      </c>
      <c r="L21" s="564">
        <v>25.9</v>
      </c>
      <c r="M21" s="564">
        <v>26.7</v>
      </c>
      <c r="N21" s="199"/>
      <c r="O21" s="33">
        <f t="shared" si="0"/>
        <v>128.99999999999997</v>
      </c>
      <c r="P21" s="31">
        <f t="shared" si="1"/>
        <v>0.15660298873429013</v>
      </c>
    </row>
    <row r="22" spans="2:16" s="61" customFormat="1">
      <c r="B22" s="259" t="s">
        <v>287</v>
      </c>
      <c r="C22" s="564">
        <v>0</v>
      </c>
      <c r="D22" s="564">
        <v>0</v>
      </c>
      <c r="E22" s="564">
        <v>0</v>
      </c>
      <c r="F22" s="564">
        <v>0</v>
      </c>
      <c r="G22" s="564">
        <v>0</v>
      </c>
      <c r="H22" s="564">
        <v>0</v>
      </c>
      <c r="I22" s="564">
        <v>0</v>
      </c>
      <c r="J22" s="564">
        <v>0</v>
      </c>
      <c r="K22" s="564">
        <v>0</v>
      </c>
      <c r="L22" s="564">
        <v>0</v>
      </c>
      <c r="M22" s="564">
        <v>0</v>
      </c>
      <c r="N22" s="199">
        <v>0</v>
      </c>
      <c r="O22" s="33">
        <f t="shared" si="0"/>
        <v>0</v>
      </c>
      <c r="P22" s="31" t="s">
        <v>334</v>
      </c>
    </row>
    <row r="23" spans="2:16" s="61" customFormat="1">
      <c r="B23" s="259"/>
      <c r="C23" s="364"/>
      <c r="D23" s="364"/>
      <c r="E23" s="364"/>
      <c r="F23" s="364"/>
      <c r="G23" s="364"/>
      <c r="H23" s="364"/>
      <c r="I23" s="364"/>
      <c r="J23" s="364"/>
      <c r="K23" s="364"/>
      <c r="L23" s="364"/>
      <c r="M23" s="364"/>
      <c r="N23" s="199"/>
      <c r="O23" s="33"/>
      <c r="P23" s="31"/>
    </row>
    <row r="24" spans="2:16" s="61" customFormat="1">
      <c r="B24" s="259" t="s">
        <v>546</v>
      </c>
      <c r="C24" s="364">
        <f t="shared" ref="C24:L24" si="2">SUM(C13:C22)</f>
        <v>130.70000000000002</v>
      </c>
      <c r="D24" s="364">
        <f t="shared" si="2"/>
        <v>113.5</v>
      </c>
      <c r="E24" s="364">
        <f t="shared" si="2"/>
        <v>130.6</v>
      </c>
      <c r="F24" s="364">
        <f t="shared" si="2"/>
        <v>128.20000000000002</v>
      </c>
      <c r="G24" s="364">
        <f t="shared" si="2"/>
        <v>145.10000000000002</v>
      </c>
      <c r="H24" s="364">
        <f t="shared" si="2"/>
        <v>112.9</v>
      </c>
      <c r="I24" s="364">
        <f t="shared" si="2"/>
        <v>108.00000000000001</v>
      </c>
      <c r="J24" s="364">
        <f t="shared" si="2"/>
        <v>102.5</v>
      </c>
      <c r="K24" s="364">
        <f t="shared" si="2"/>
        <v>103.10000000000001</v>
      </c>
      <c r="L24" s="364">
        <f t="shared" si="2"/>
        <v>102.79999999999998</v>
      </c>
      <c r="M24" s="364">
        <f>SUM(M13:M22)</f>
        <v>103.20000000000002</v>
      </c>
      <c r="N24" s="199"/>
      <c r="O24" s="33">
        <f t="shared" si="0"/>
        <v>519.6</v>
      </c>
      <c r="P24" s="31">
        <f t="shared" si="1"/>
        <v>-1.7806284335779021E-2</v>
      </c>
    </row>
    <row r="25" spans="2:16" s="61" customFormat="1">
      <c r="B25" s="259"/>
      <c r="C25" s="199"/>
      <c r="D25" s="199"/>
      <c r="E25" s="199"/>
      <c r="F25" s="199"/>
      <c r="G25" s="199"/>
      <c r="H25" s="199"/>
      <c r="I25" s="199"/>
      <c r="J25" s="199"/>
      <c r="K25" s="199"/>
      <c r="L25" s="199"/>
      <c r="M25" s="199"/>
      <c r="N25" s="199"/>
      <c r="O25" s="199"/>
      <c r="P25" s="199"/>
    </row>
    <row r="26" spans="2:16" s="61" customFormat="1">
      <c r="B26" s="84" t="s">
        <v>759</v>
      </c>
      <c r="C26" s="86"/>
      <c r="D26" s="86"/>
      <c r="E26" s="86"/>
      <c r="F26" s="86"/>
      <c r="G26" s="86"/>
      <c r="H26" s="86"/>
      <c r="I26" s="86"/>
      <c r="J26" s="86"/>
      <c r="K26" s="86"/>
      <c r="L26" s="86"/>
      <c r="M26" s="86"/>
      <c r="N26" s="86"/>
      <c r="O26" s="86"/>
      <c r="P26" s="86"/>
    </row>
    <row r="27" spans="2:16" s="61" customFormat="1">
      <c r="B27" s="259"/>
      <c r="C27" s="199"/>
      <c r="D27" s="199"/>
      <c r="E27" s="199"/>
      <c r="F27" s="199"/>
      <c r="G27" s="199"/>
      <c r="H27" s="199"/>
      <c r="I27" s="199"/>
      <c r="J27" s="199"/>
      <c r="K27" s="199"/>
      <c r="L27" s="199"/>
      <c r="M27" s="199"/>
      <c r="N27" s="199"/>
      <c r="O27" s="199"/>
      <c r="P27" s="199"/>
    </row>
    <row r="28" spans="2:16" s="61" customFormat="1" ht="15">
      <c r="B28" s="259"/>
      <c r="C28" s="627" t="s">
        <v>30</v>
      </c>
      <c r="D28" s="637"/>
      <c r="E28" s="637"/>
      <c r="F28" s="637"/>
      <c r="G28" s="638"/>
      <c r="H28" s="368" t="s">
        <v>187</v>
      </c>
      <c r="I28" s="626" t="s">
        <v>31</v>
      </c>
      <c r="J28" s="636"/>
      <c r="K28" s="636"/>
      <c r="L28" s="636"/>
      <c r="M28" s="636"/>
      <c r="N28" s="199"/>
      <c r="O28" s="361" t="s">
        <v>269</v>
      </c>
      <c r="P28" s="361" t="s">
        <v>40</v>
      </c>
    </row>
    <row r="29" spans="2:16" s="61" customFormat="1">
      <c r="B29" s="254" t="s">
        <v>231</v>
      </c>
      <c r="C29" s="362" t="s">
        <v>12</v>
      </c>
      <c r="D29" s="362" t="s">
        <v>13</v>
      </c>
      <c r="E29" s="362" t="s">
        <v>14</v>
      </c>
      <c r="F29" s="362" t="s">
        <v>15</v>
      </c>
      <c r="G29" s="362" t="s">
        <v>16</v>
      </c>
      <c r="H29" s="362" t="s">
        <v>17</v>
      </c>
      <c r="I29" s="362" t="s">
        <v>32</v>
      </c>
      <c r="J29" s="362" t="s">
        <v>33</v>
      </c>
      <c r="K29" s="362" t="s">
        <v>34</v>
      </c>
      <c r="L29" s="362" t="s">
        <v>35</v>
      </c>
      <c r="M29" s="362" t="s">
        <v>36</v>
      </c>
      <c r="N29" s="199"/>
    </row>
    <row r="30" spans="2:16" s="61" customFormat="1">
      <c r="B30" s="259" t="s">
        <v>84</v>
      </c>
      <c r="C30" s="564">
        <v>112.1</v>
      </c>
      <c r="D30" s="564">
        <v>84.9</v>
      </c>
      <c r="E30" s="564">
        <v>108.5</v>
      </c>
      <c r="F30" s="564">
        <v>104.7</v>
      </c>
      <c r="G30" s="564">
        <v>93.4</v>
      </c>
      <c r="H30" s="564">
        <v>83.1</v>
      </c>
      <c r="I30" s="564">
        <v>73.599999999999994</v>
      </c>
      <c r="J30" s="564">
        <v>69.8</v>
      </c>
      <c r="K30" s="564">
        <v>67.5</v>
      </c>
      <c r="L30" s="564">
        <v>67</v>
      </c>
      <c r="M30" s="564">
        <v>67.099999999999994</v>
      </c>
      <c r="N30" s="199"/>
      <c r="O30" s="33">
        <f>SUM(I30:M30)</f>
        <v>345</v>
      </c>
      <c r="P30" s="31">
        <f>((M30/H30)^(1/5))-1</f>
        <v>-4.1870307303711329E-2</v>
      </c>
    </row>
    <row r="31" spans="2:16" s="61" customFormat="1">
      <c r="B31" s="259" t="s">
        <v>517</v>
      </c>
      <c r="C31" s="564">
        <v>23.9</v>
      </c>
      <c r="D31" s="564">
        <v>25</v>
      </c>
      <c r="E31" s="564">
        <v>30</v>
      </c>
      <c r="F31" s="564">
        <v>32.5</v>
      </c>
      <c r="G31" s="564">
        <v>37.6</v>
      </c>
      <c r="H31" s="564">
        <v>25.2</v>
      </c>
      <c r="I31" s="564">
        <v>38</v>
      </c>
      <c r="J31" s="564">
        <v>36</v>
      </c>
      <c r="K31" s="564">
        <v>37.1</v>
      </c>
      <c r="L31" s="564">
        <v>38.4</v>
      </c>
      <c r="M31" s="564">
        <v>38.9</v>
      </c>
      <c r="N31" s="199"/>
      <c r="O31" s="33">
        <f>SUM(I31:M31)</f>
        <v>188.4</v>
      </c>
      <c r="P31" s="31">
        <f>((M31/H31)^(1/5))-1</f>
        <v>9.071129891305274E-2</v>
      </c>
    </row>
    <row r="32" spans="2:16" s="61" customFormat="1">
      <c r="B32" s="259" t="s">
        <v>518</v>
      </c>
      <c r="C32" s="564">
        <v>16.399999999999999</v>
      </c>
      <c r="D32" s="564">
        <v>15</v>
      </c>
      <c r="E32" s="564">
        <v>18.399999999999999</v>
      </c>
      <c r="F32" s="564">
        <v>25.5</v>
      </c>
      <c r="G32" s="564">
        <v>23.8</v>
      </c>
      <c r="H32" s="564">
        <v>30.3</v>
      </c>
      <c r="I32" s="564">
        <v>21</v>
      </c>
      <c r="J32" s="564">
        <v>18.7</v>
      </c>
      <c r="K32" s="564">
        <v>18.7</v>
      </c>
      <c r="L32" s="564">
        <v>18.3</v>
      </c>
      <c r="M32" s="564">
        <v>18.3</v>
      </c>
      <c r="N32" s="199"/>
      <c r="O32" s="33">
        <f t="shared" ref="O32:O39" si="3">SUM(I32:M32)</f>
        <v>95</v>
      </c>
      <c r="P32" s="31">
        <f t="shared" ref="P32:P39" si="4">((M32/H32)^(1/5))-1</f>
        <v>-9.593076174566284E-2</v>
      </c>
    </row>
    <row r="33" spans="2:20" s="61" customFormat="1">
      <c r="B33" s="259" t="s">
        <v>519</v>
      </c>
      <c r="C33" s="564">
        <v>-63.4</v>
      </c>
      <c r="D33" s="564">
        <v>-53.4</v>
      </c>
      <c r="E33" s="564">
        <v>-70.2</v>
      </c>
      <c r="F33" s="564">
        <v>-64.400000000000006</v>
      </c>
      <c r="G33" s="564">
        <v>-59.4</v>
      </c>
      <c r="H33" s="564">
        <v>-54.9</v>
      </c>
      <c r="I33" s="564">
        <v>-57.6</v>
      </c>
      <c r="J33" s="564">
        <v>-55.1</v>
      </c>
      <c r="K33" s="564">
        <v>-53.7</v>
      </c>
      <c r="L33" s="564">
        <v>-54.6</v>
      </c>
      <c r="M33" s="564">
        <v>-55.2</v>
      </c>
      <c r="N33" s="199"/>
      <c r="O33" s="33">
        <f t="shared" si="3"/>
        <v>-276.2</v>
      </c>
      <c r="P33" s="31">
        <f t="shared" si="4"/>
        <v>1.0905151332054608E-3</v>
      </c>
    </row>
    <row r="34" spans="2:20" s="61" customFormat="1">
      <c r="B34" s="259" t="s">
        <v>520</v>
      </c>
      <c r="C34" s="564">
        <v>7.2</v>
      </c>
      <c r="D34" s="564">
        <v>7.6</v>
      </c>
      <c r="E34" s="564">
        <v>6.9</v>
      </c>
      <c r="F34" s="564">
        <v>5.3</v>
      </c>
      <c r="G34" s="564">
        <v>5.6</v>
      </c>
      <c r="H34" s="564">
        <v>5.9</v>
      </c>
      <c r="I34" s="564">
        <v>0</v>
      </c>
      <c r="J34" s="564">
        <v>0</v>
      </c>
      <c r="K34" s="564">
        <v>0</v>
      </c>
      <c r="L34" s="564">
        <v>0</v>
      </c>
      <c r="M34" s="564">
        <v>0</v>
      </c>
      <c r="N34" s="199"/>
      <c r="O34" s="33">
        <f t="shared" si="3"/>
        <v>0</v>
      </c>
      <c r="P34" s="31">
        <f t="shared" si="4"/>
        <v>-1</v>
      </c>
    </row>
    <row r="35" spans="2:20" s="61" customFormat="1">
      <c r="B35" s="259" t="s">
        <v>521</v>
      </c>
      <c r="C35" s="564">
        <v>0.3</v>
      </c>
      <c r="D35" s="564">
        <v>2.2999999999999998</v>
      </c>
      <c r="E35" s="564">
        <v>-1.3</v>
      </c>
      <c r="F35" s="564">
        <v>-5.3</v>
      </c>
      <c r="G35" s="564">
        <v>-0.7</v>
      </c>
      <c r="H35" s="564">
        <v>0</v>
      </c>
      <c r="I35" s="564">
        <v>2.4</v>
      </c>
      <c r="J35" s="564">
        <v>2.4</v>
      </c>
      <c r="K35" s="564">
        <v>2.4</v>
      </c>
      <c r="L35" s="564">
        <v>2.4</v>
      </c>
      <c r="M35" s="564">
        <v>2.4</v>
      </c>
      <c r="N35" s="199"/>
      <c r="O35" s="33">
        <f t="shared" si="3"/>
        <v>12</v>
      </c>
      <c r="P35" s="31" t="s">
        <v>334</v>
      </c>
    </row>
    <row r="36" spans="2:20" s="61" customFormat="1">
      <c r="B36" s="259" t="s">
        <v>287</v>
      </c>
      <c r="C36" s="564">
        <v>15.5</v>
      </c>
      <c r="D36" s="564">
        <v>15.6</v>
      </c>
      <c r="E36" s="564">
        <v>18.899999999999999</v>
      </c>
      <c r="F36" s="564">
        <v>11.2</v>
      </c>
      <c r="G36" s="564">
        <v>16.3</v>
      </c>
      <c r="H36" s="564">
        <v>16.7</v>
      </c>
      <c r="I36" s="564">
        <v>16.3</v>
      </c>
      <c r="J36" s="564">
        <v>16.7</v>
      </c>
      <c r="K36" s="564">
        <v>17.3</v>
      </c>
      <c r="L36" s="564">
        <v>17.3</v>
      </c>
      <c r="M36" s="564">
        <v>17.8</v>
      </c>
      <c r="N36" s="199"/>
      <c r="O36" s="33">
        <f t="shared" si="3"/>
        <v>85.399999999999991</v>
      </c>
      <c r="P36" s="31">
        <f t="shared" si="4"/>
        <v>1.2839677386611736E-2</v>
      </c>
    </row>
    <row r="37" spans="2:20" s="61" customFormat="1">
      <c r="B37" s="259" t="s">
        <v>26</v>
      </c>
      <c r="C37" s="564">
        <v>18.7</v>
      </c>
      <c r="D37" s="564">
        <v>16.5</v>
      </c>
      <c r="E37" s="564">
        <v>19.600000000000001</v>
      </c>
      <c r="F37" s="564">
        <v>18.8</v>
      </c>
      <c r="G37" s="564">
        <v>28.5</v>
      </c>
      <c r="H37" s="564">
        <v>6.6</v>
      </c>
      <c r="I37" s="564">
        <v>14.2</v>
      </c>
      <c r="J37" s="564">
        <v>13.9</v>
      </c>
      <c r="K37" s="564">
        <v>13.9</v>
      </c>
      <c r="L37" s="564">
        <v>14</v>
      </c>
      <c r="M37" s="564">
        <v>13.9</v>
      </c>
      <c r="N37" s="199"/>
      <c r="O37" s="33">
        <f t="shared" si="3"/>
        <v>69.900000000000006</v>
      </c>
      <c r="P37" s="31">
        <f t="shared" si="4"/>
        <v>0.16063101796767021</v>
      </c>
    </row>
    <row r="38" spans="2:20" s="61" customFormat="1">
      <c r="N38" s="199"/>
      <c r="O38" s="33"/>
      <c r="P38" s="31"/>
    </row>
    <row r="39" spans="2:20" s="61" customFormat="1">
      <c r="B39" s="259" t="s">
        <v>546</v>
      </c>
      <c r="C39" s="364">
        <f t="shared" ref="C39:M39" si="5">SUM(C30:C37)</f>
        <v>130.69999999999999</v>
      </c>
      <c r="D39" s="364">
        <f t="shared" si="5"/>
        <v>113.49999999999999</v>
      </c>
      <c r="E39" s="364">
        <f t="shared" si="5"/>
        <v>130.80000000000001</v>
      </c>
      <c r="F39" s="364">
        <f t="shared" si="5"/>
        <v>128.29999999999998</v>
      </c>
      <c r="G39" s="364">
        <f t="shared" si="5"/>
        <v>145.1</v>
      </c>
      <c r="H39" s="364">
        <f t="shared" si="5"/>
        <v>112.89999999999999</v>
      </c>
      <c r="I39" s="364">
        <f t="shared" si="5"/>
        <v>107.9</v>
      </c>
      <c r="J39" s="364">
        <f t="shared" si="5"/>
        <v>102.40000000000002</v>
      </c>
      <c r="K39" s="364">
        <f t="shared" si="5"/>
        <v>103.2</v>
      </c>
      <c r="L39" s="364">
        <f t="shared" si="5"/>
        <v>102.8</v>
      </c>
      <c r="M39" s="364">
        <f t="shared" si="5"/>
        <v>103.2</v>
      </c>
      <c r="N39" s="199"/>
      <c r="O39" s="33">
        <f t="shared" si="3"/>
        <v>519.5</v>
      </c>
      <c r="P39" s="31">
        <f t="shared" si="4"/>
        <v>-1.7806284335779021E-2</v>
      </c>
    </row>
    <row r="40" spans="2:20" s="61" customFormat="1">
      <c r="B40" s="259" t="s">
        <v>558</v>
      </c>
      <c r="C40" s="364">
        <f>C30+C31+C32+C34+C35+C36+C37</f>
        <v>194.1</v>
      </c>
      <c r="D40" s="364">
        <f t="shared" ref="D40:M40" si="6">D30+D31+D32+D34+D35+D36+D37</f>
        <v>166.9</v>
      </c>
      <c r="E40" s="364">
        <f t="shared" si="6"/>
        <v>201</v>
      </c>
      <c r="F40" s="364">
        <f t="shared" si="6"/>
        <v>192.7</v>
      </c>
      <c r="G40" s="364">
        <f t="shared" si="6"/>
        <v>204.50000000000003</v>
      </c>
      <c r="H40" s="364">
        <f t="shared" si="6"/>
        <v>167.79999999999998</v>
      </c>
      <c r="I40" s="364">
        <f t="shared" si="6"/>
        <v>165.5</v>
      </c>
      <c r="J40" s="364">
        <f t="shared" si="6"/>
        <v>157.5</v>
      </c>
      <c r="K40" s="364">
        <f t="shared" si="6"/>
        <v>156.9</v>
      </c>
      <c r="L40" s="364">
        <f t="shared" si="6"/>
        <v>157.4</v>
      </c>
      <c r="M40" s="364">
        <f t="shared" si="6"/>
        <v>158.4</v>
      </c>
      <c r="N40" s="199"/>
      <c r="O40" s="33">
        <f t="shared" ref="O40" si="7">SUM(I40:M40)</f>
        <v>795.69999999999993</v>
      </c>
      <c r="P40" s="31">
        <f t="shared" ref="P40" si="8">((M40/H40)^(1/5))-1</f>
        <v>-1.1463648785285496E-2</v>
      </c>
    </row>
    <row r="41" spans="2:20" s="61" customFormat="1">
      <c r="B41" s="362"/>
      <c r="C41" s="199"/>
      <c r="D41" s="199"/>
      <c r="E41" s="199"/>
      <c r="F41" s="199"/>
      <c r="G41" s="199"/>
      <c r="H41" s="199"/>
      <c r="I41" s="199"/>
      <c r="J41" s="199"/>
      <c r="K41" s="199"/>
      <c r="L41" s="199"/>
      <c r="M41" s="199"/>
      <c r="N41" s="199"/>
      <c r="O41" s="199"/>
      <c r="P41" s="199"/>
    </row>
    <row r="42" spans="2:20" s="61" customFormat="1">
      <c r="B42" s="259" t="s">
        <v>544</v>
      </c>
      <c r="C42" s="617">
        <f t="shared" ref="C42:M42" si="9">C30/C39</f>
        <v>0.85768936495791892</v>
      </c>
      <c r="D42" s="617">
        <f t="shared" si="9"/>
        <v>0.74801762114537462</v>
      </c>
      <c r="E42" s="617">
        <f t="shared" si="9"/>
        <v>0.8295107033639143</v>
      </c>
      <c r="F42" s="617">
        <f t="shared" si="9"/>
        <v>0.81605611847233062</v>
      </c>
      <c r="G42" s="617">
        <f t="shared" si="9"/>
        <v>0.64369400413507927</v>
      </c>
      <c r="H42" s="617">
        <f t="shared" si="9"/>
        <v>0.73604960141718334</v>
      </c>
      <c r="I42" s="617">
        <f t="shared" si="9"/>
        <v>0.68211306765523627</v>
      </c>
      <c r="J42" s="617">
        <f t="shared" si="9"/>
        <v>0.68164062499999989</v>
      </c>
      <c r="K42" s="617">
        <f t="shared" si="9"/>
        <v>0.65406976744186041</v>
      </c>
      <c r="L42" s="617">
        <f t="shared" si="9"/>
        <v>0.65175097276264593</v>
      </c>
      <c r="M42" s="617">
        <f t="shared" si="9"/>
        <v>0.65019379844961234</v>
      </c>
      <c r="N42" s="617"/>
      <c r="O42" s="617">
        <f>O30/O39</f>
        <v>0.66410009624639077</v>
      </c>
      <c r="P42" s="199"/>
    </row>
    <row r="43" spans="2:20" s="61" customFormat="1">
      <c r="B43" s="236"/>
      <c r="C43" s="369"/>
      <c r="D43" s="369"/>
      <c r="E43" s="369"/>
      <c r="F43" s="369"/>
      <c r="G43" s="369"/>
      <c r="H43" s="369"/>
      <c r="I43" s="369"/>
      <c r="J43" s="369"/>
      <c r="K43" s="369"/>
      <c r="L43" s="369"/>
      <c r="M43" s="369"/>
      <c r="N43" s="369"/>
      <c r="O43" s="369"/>
      <c r="P43" s="199"/>
    </row>
    <row r="44" spans="2:20" s="61" customFormat="1">
      <c r="B44" s="362"/>
      <c r="C44" s="199"/>
      <c r="D44" s="199"/>
      <c r="E44" s="199"/>
      <c r="F44" s="199"/>
      <c r="G44" s="199"/>
      <c r="H44" s="199"/>
      <c r="I44" s="199"/>
      <c r="J44" s="199"/>
      <c r="K44" s="199"/>
      <c r="L44" s="199"/>
      <c r="M44" s="199"/>
      <c r="N44" s="199"/>
      <c r="O44" s="199"/>
      <c r="P44" s="199"/>
    </row>
    <row r="45" spans="2:20" s="61" customFormat="1">
      <c r="B45" s="84" t="s">
        <v>760</v>
      </c>
      <c r="C45" s="86"/>
      <c r="D45" s="86"/>
      <c r="E45" s="86"/>
      <c r="F45" s="86"/>
      <c r="G45" s="86"/>
      <c r="H45" s="86"/>
      <c r="I45" s="86"/>
      <c r="J45" s="86"/>
      <c r="K45" s="86"/>
      <c r="L45" s="86"/>
      <c r="M45" s="86"/>
      <c r="N45" s="86"/>
      <c r="O45" s="86"/>
      <c r="P45" s="86"/>
      <c r="Q45" s="259"/>
      <c r="R45" s="259"/>
      <c r="S45" s="259"/>
      <c r="T45" s="259"/>
    </row>
    <row r="46" spans="2:20" s="61" customFormat="1">
      <c r="B46" s="138"/>
      <c r="C46" s="199"/>
      <c r="D46" s="199"/>
      <c r="E46" s="199"/>
      <c r="F46" s="199"/>
      <c r="G46" s="199"/>
      <c r="H46" s="199"/>
      <c r="I46" s="199"/>
      <c r="J46" s="199"/>
      <c r="K46" s="199"/>
      <c r="L46" s="199"/>
      <c r="M46" s="199"/>
      <c r="N46" s="199"/>
      <c r="O46" s="199"/>
      <c r="P46" s="199"/>
      <c r="Q46" s="259"/>
      <c r="R46" s="259"/>
      <c r="S46" s="259"/>
      <c r="T46" s="259"/>
    </row>
    <row r="47" spans="2:20" s="61" customFormat="1" ht="15">
      <c r="B47" s="362"/>
      <c r="C47" s="627" t="s">
        <v>30</v>
      </c>
      <c r="D47" s="637"/>
      <c r="E47" s="637"/>
      <c r="F47" s="637"/>
      <c r="G47" s="638"/>
      <c r="H47" s="368" t="s">
        <v>187</v>
      </c>
      <c r="I47" s="626" t="s">
        <v>31</v>
      </c>
      <c r="J47" s="636"/>
      <c r="K47" s="636"/>
      <c r="L47" s="636"/>
      <c r="M47" s="636"/>
      <c r="N47" s="259"/>
      <c r="O47" s="361" t="s">
        <v>269</v>
      </c>
      <c r="P47" s="361" t="s">
        <v>40</v>
      </c>
      <c r="Q47" s="259"/>
      <c r="R47" s="259"/>
      <c r="S47" s="259"/>
      <c r="T47" s="259"/>
    </row>
    <row r="48" spans="2:20" s="61" customFormat="1">
      <c r="B48" s="254" t="s">
        <v>528</v>
      </c>
      <c r="C48" s="362" t="s">
        <v>12</v>
      </c>
      <c r="D48" s="362" t="s">
        <v>13</v>
      </c>
      <c r="E48" s="362" t="s">
        <v>14</v>
      </c>
      <c r="F48" s="362" t="s">
        <v>15</v>
      </c>
      <c r="G48" s="362" t="s">
        <v>16</v>
      </c>
      <c r="H48" s="362" t="s">
        <v>17</v>
      </c>
      <c r="I48" s="362" t="s">
        <v>32</v>
      </c>
      <c r="J48" s="362" t="s">
        <v>33</v>
      </c>
      <c r="K48" s="362" t="s">
        <v>34</v>
      </c>
      <c r="L48" s="362" t="s">
        <v>35</v>
      </c>
      <c r="M48" s="362" t="s">
        <v>36</v>
      </c>
      <c r="N48" s="259"/>
      <c r="Q48" s="259"/>
      <c r="R48" s="259"/>
      <c r="S48" s="259"/>
      <c r="T48" s="259"/>
    </row>
    <row r="49" spans="2:20" s="61" customFormat="1">
      <c r="B49" s="259" t="s">
        <v>549</v>
      </c>
      <c r="C49" s="365">
        <v>5516</v>
      </c>
      <c r="D49" s="365">
        <v>5407</v>
      </c>
      <c r="E49" s="365">
        <v>5148</v>
      </c>
      <c r="F49" s="365">
        <v>5265</v>
      </c>
      <c r="G49" s="365">
        <v>5045</v>
      </c>
      <c r="H49" s="365">
        <v>4862</v>
      </c>
      <c r="I49" s="365">
        <v>4622</v>
      </c>
      <c r="J49" s="365">
        <v>4488</v>
      </c>
      <c r="K49" s="365">
        <v>4268</v>
      </c>
      <c r="L49" s="365">
        <v>4129</v>
      </c>
      <c r="M49" s="365">
        <v>4089</v>
      </c>
      <c r="N49" s="259"/>
      <c r="O49" s="39">
        <f>SUM(I49:M49)</f>
        <v>21596</v>
      </c>
      <c r="P49" s="31">
        <f>((M49/H49)^(1/5))-1</f>
        <v>-3.4037134386388446E-2</v>
      </c>
      <c r="Q49" s="259"/>
      <c r="R49" s="259"/>
      <c r="S49" s="259"/>
      <c r="T49" s="259"/>
    </row>
    <row r="50" spans="2:20" s="61" customFormat="1">
      <c r="B50" s="259"/>
      <c r="C50" s="365"/>
      <c r="D50" s="365"/>
      <c r="E50" s="365"/>
      <c r="F50" s="365"/>
      <c r="G50" s="365"/>
      <c r="H50" s="365"/>
      <c r="I50" s="365"/>
      <c r="J50" s="365"/>
      <c r="K50" s="365"/>
      <c r="L50" s="365"/>
      <c r="M50" s="365"/>
      <c r="N50" s="259"/>
      <c r="O50" s="39"/>
      <c r="P50" s="31"/>
      <c r="Q50" s="259"/>
      <c r="R50" s="259"/>
      <c r="S50" s="259"/>
      <c r="T50" s="259"/>
    </row>
    <row r="51" spans="2:20" s="61" customFormat="1">
      <c r="B51" s="259" t="s">
        <v>284</v>
      </c>
      <c r="C51" s="618" t="s">
        <v>808</v>
      </c>
      <c r="D51" s="618" t="s">
        <v>808</v>
      </c>
      <c r="E51" s="618" t="s">
        <v>808</v>
      </c>
      <c r="F51" s="618" t="s">
        <v>808</v>
      </c>
      <c r="G51" s="618" t="s">
        <v>808</v>
      </c>
      <c r="H51" s="618" t="s">
        <v>808</v>
      </c>
      <c r="I51" s="618" t="s">
        <v>808</v>
      </c>
      <c r="J51" s="618" t="s">
        <v>808</v>
      </c>
      <c r="K51" s="618" t="s">
        <v>808</v>
      </c>
      <c r="L51" s="618" t="s">
        <v>808</v>
      </c>
      <c r="M51" s="618" t="s">
        <v>808</v>
      </c>
      <c r="N51" s="619"/>
      <c r="O51" s="620" t="s">
        <v>808</v>
      </c>
      <c r="P51" s="620" t="s">
        <v>808</v>
      </c>
      <c r="Q51" s="259"/>
      <c r="R51" s="259"/>
      <c r="S51" s="259"/>
      <c r="T51" s="259"/>
    </row>
    <row r="52" spans="2:20" s="61" customFormat="1">
      <c r="B52" s="259" t="s">
        <v>286</v>
      </c>
      <c r="C52" s="618" t="s">
        <v>808</v>
      </c>
      <c r="D52" s="618" t="s">
        <v>808</v>
      </c>
      <c r="E52" s="618" t="s">
        <v>808</v>
      </c>
      <c r="F52" s="618" t="s">
        <v>808</v>
      </c>
      <c r="G52" s="618" t="s">
        <v>808</v>
      </c>
      <c r="H52" s="618" t="s">
        <v>808</v>
      </c>
      <c r="I52" s="618" t="s">
        <v>808</v>
      </c>
      <c r="J52" s="618" t="s">
        <v>808</v>
      </c>
      <c r="K52" s="618" t="s">
        <v>808</v>
      </c>
      <c r="L52" s="618" t="s">
        <v>808</v>
      </c>
      <c r="M52" s="618" t="s">
        <v>808</v>
      </c>
      <c r="N52" s="619"/>
      <c r="O52" s="620" t="s">
        <v>808</v>
      </c>
      <c r="P52" s="620" t="s">
        <v>808</v>
      </c>
      <c r="Q52" s="259"/>
      <c r="R52" s="259"/>
      <c r="S52" s="259"/>
      <c r="T52" s="259"/>
    </row>
    <row r="53" spans="2:20" s="61" customFormat="1">
      <c r="B53" s="259" t="s">
        <v>248</v>
      </c>
      <c r="C53" s="618" t="s">
        <v>808</v>
      </c>
      <c r="D53" s="618" t="s">
        <v>808</v>
      </c>
      <c r="E53" s="618" t="s">
        <v>808</v>
      </c>
      <c r="F53" s="618" t="s">
        <v>808</v>
      </c>
      <c r="G53" s="618" t="s">
        <v>808</v>
      </c>
      <c r="H53" s="618" t="s">
        <v>808</v>
      </c>
      <c r="I53" s="618" t="s">
        <v>808</v>
      </c>
      <c r="J53" s="618" t="s">
        <v>808</v>
      </c>
      <c r="K53" s="618" t="s">
        <v>808</v>
      </c>
      <c r="L53" s="618" t="s">
        <v>808</v>
      </c>
      <c r="M53" s="618" t="s">
        <v>808</v>
      </c>
      <c r="N53" s="619"/>
      <c r="O53" s="620" t="s">
        <v>808</v>
      </c>
      <c r="P53" s="620" t="s">
        <v>808</v>
      </c>
      <c r="Q53" s="259"/>
      <c r="R53" s="259"/>
      <c r="S53" s="259"/>
      <c r="T53" s="259"/>
    </row>
    <row r="54" spans="2:20" s="61" customFormat="1">
      <c r="B54" s="259" t="s">
        <v>513</v>
      </c>
      <c r="C54" s="618" t="s">
        <v>808</v>
      </c>
      <c r="D54" s="618" t="s">
        <v>808</v>
      </c>
      <c r="E54" s="618" t="s">
        <v>808</v>
      </c>
      <c r="F54" s="618" t="s">
        <v>808</v>
      </c>
      <c r="G54" s="618" t="s">
        <v>808</v>
      </c>
      <c r="H54" s="618" t="s">
        <v>808</v>
      </c>
      <c r="I54" s="618" t="s">
        <v>808</v>
      </c>
      <c r="J54" s="618" t="s">
        <v>808</v>
      </c>
      <c r="K54" s="618" t="s">
        <v>808</v>
      </c>
      <c r="L54" s="618" t="s">
        <v>808</v>
      </c>
      <c r="M54" s="618" t="s">
        <v>808</v>
      </c>
      <c r="N54" s="619"/>
      <c r="O54" s="620" t="s">
        <v>808</v>
      </c>
      <c r="P54" s="620" t="s">
        <v>808</v>
      </c>
      <c r="Q54" s="259"/>
      <c r="R54" s="259"/>
      <c r="S54" s="259"/>
      <c r="T54" s="259"/>
    </row>
    <row r="55" spans="2:20" s="61" customFormat="1">
      <c r="B55" s="259" t="s">
        <v>523</v>
      </c>
      <c r="C55" s="618" t="s">
        <v>808</v>
      </c>
      <c r="D55" s="618" t="s">
        <v>808</v>
      </c>
      <c r="E55" s="618" t="s">
        <v>808</v>
      </c>
      <c r="F55" s="618" t="s">
        <v>808</v>
      </c>
      <c r="G55" s="618" t="s">
        <v>808</v>
      </c>
      <c r="H55" s="618" t="s">
        <v>808</v>
      </c>
      <c r="I55" s="618" t="s">
        <v>808</v>
      </c>
      <c r="J55" s="618" t="s">
        <v>808</v>
      </c>
      <c r="K55" s="618" t="s">
        <v>808</v>
      </c>
      <c r="L55" s="618" t="s">
        <v>808</v>
      </c>
      <c r="M55" s="618" t="s">
        <v>808</v>
      </c>
      <c r="N55" s="619"/>
      <c r="O55" s="620" t="s">
        <v>808</v>
      </c>
      <c r="P55" s="620" t="s">
        <v>808</v>
      </c>
      <c r="Q55" s="259"/>
      <c r="R55" s="259"/>
      <c r="S55" s="259"/>
      <c r="T55" s="259"/>
    </row>
    <row r="56" spans="2:20" s="61" customFormat="1">
      <c r="B56" s="259" t="s">
        <v>514</v>
      </c>
      <c r="C56" s="618" t="s">
        <v>808</v>
      </c>
      <c r="D56" s="618" t="s">
        <v>808</v>
      </c>
      <c r="E56" s="618" t="s">
        <v>808</v>
      </c>
      <c r="F56" s="618" t="s">
        <v>808</v>
      </c>
      <c r="G56" s="618" t="s">
        <v>808</v>
      </c>
      <c r="H56" s="618" t="s">
        <v>808</v>
      </c>
      <c r="I56" s="618" t="s">
        <v>808</v>
      </c>
      <c r="J56" s="618" t="s">
        <v>808</v>
      </c>
      <c r="K56" s="618" t="s">
        <v>808</v>
      </c>
      <c r="L56" s="618" t="s">
        <v>808</v>
      </c>
      <c r="M56" s="618" t="s">
        <v>808</v>
      </c>
      <c r="N56" s="619"/>
      <c r="O56" s="620" t="s">
        <v>808</v>
      </c>
      <c r="P56" s="620" t="s">
        <v>808</v>
      </c>
      <c r="Q56" s="259"/>
      <c r="R56" s="259"/>
      <c r="S56" s="259"/>
      <c r="T56" s="259"/>
    </row>
    <row r="57" spans="2:20" s="61" customFormat="1">
      <c r="B57" s="259" t="s">
        <v>285</v>
      </c>
      <c r="C57" s="618" t="s">
        <v>808</v>
      </c>
      <c r="D57" s="618" t="s">
        <v>808</v>
      </c>
      <c r="E57" s="618" t="s">
        <v>808</v>
      </c>
      <c r="F57" s="618" t="s">
        <v>808</v>
      </c>
      <c r="G57" s="618" t="s">
        <v>808</v>
      </c>
      <c r="H57" s="618" t="s">
        <v>808</v>
      </c>
      <c r="I57" s="618" t="s">
        <v>808</v>
      </c>
      <c r="J57" s="618" t="s">
        <v>808</v>
      </c>
      <c r="K57" s="618" t="s">
        <v>808</v>
      </c>
      <c r="L57" s="618" t="s">
        <v>808</v>
      </c>
      <c r="M57" s="618" t="s">
        <v>808</v>
      </c>
      <c r="N57" s="619"/>
      <c r="O57" s="620" t="s">
        <v>808</v>
      </c>
      <c r="P57" s="620" t="s">
        <v>808</v>
      </c>
      <c r="Q57" s="259"/>
      <c r="R57" s="259"/>
      <c r="S57" s="259"/>
      <c r="T57" s="259"/>
    </row>
    <row r="58" spans="2:20" s="61" customFormat="1">
      <c r="B58" s="259" t="s">
        <v>524</v>
      </c>
      <c r="C58" s="618" t="s">
        <v>808</v>
      </c>
      <c r="D58" s="618" t="s">
        <v>808</v>
      </c>
      <c r="E58" s="618" t="s">
        <v>808</v>
      </c>
      <c r="F58" s="618" t="s">
        <v>808</v>
      </c>
      <c r="G58" s="618" t="s">
        <v>808</v>
      </c>
      <c r="H58" s="618" t="s">
        <v>808</v>
      </c>
      <c r="I58" s="618" t="s">
        <v>808</v>
      </c>
      <c r="J58" s="618" t="s">
        <v>808</v>
      </c>
      <c r="K58" s="618" t="s">
        <v>808</v>
      </c>
      <c r="L58" s="618" t="s">
        <v>808</v>
      </c>
      <c r="M58" s="618" t="s">
        <v>808</v>
      </c>
      <c r="N58" s="619"/>
      <c r="O58" s="620" t="s">
        <v>808</v>
      </c>
      <c r="P58" s="620" t="s">
        <v>808</v>
      </c>
      <c r="Q58" s="259"/>
      <c r="R58" s="259"/>
      <c r="S58" s="259"/>
      <c r="T58" s="259"/>
    </row>
    <row r="59" spans="2:20" s="61" customFormat="1">
      <c r="B59" s="259" t="s">
        <v>525</v>
      </c>
      <c r="C59" s="618" t="s">
        <v>808</v>
      </c>
      <c r="D59" s="618" t="s">
        <v>808</v>
      </c>
      <c r="E59" s="618" t="s">
        <v>808</v>
      </c>
      <c r="F59" s="618" t="s">
        <v>808</v>
      </c>
      <c r="G59" s="618" t="s">
        <v>808</v>
      </c>
      <c r="H59" s="618" t="s">
        <v>808</v>
      </c>
      <c r="I59" s="618" t="s">
        <v>808</v>
      </c>
      <c r="J59" s="618" t="s">
        <v>808</v>
      </c>
      <c r="K59" s="618" t="s">
        <v>808</v>
      </c>
      <c r="L59" s="618" t="s">
        <v>808</v>
      </c>
      <c r="M59" s="618" t="s">
        <v>808</v>
      </c>
      <c r="N59" s="619"/>
      <c r="O59" s="620" t="s">
        <v>808</v>
      </c>
      <c r="P59" s="620" t="s">
        <v>808</v>
      </c>
      <c r="Q59" s="259"/>
      <c r="R59" s="259"/>
      <c r="S59" s="259"/>
      <c r="T59" s="259"/>
    </row>
    <row r="60" spans="2:20" s="61" customFormat="1">
      <c r="B60" s="259"/>
      <c r="C60" s="365"/>
      <c r="D60" s="365"/>
      <c r="E60" s="365"/>
      <c r="F60" s="365"/>
      <c r="G60" s="365"/>
      <c r="H60" s="365"/>
      <c r="I60" s="365"/>
      <c r="J60" s="365"/>
      <c r="K60" s="365"/>
      <c r="L60" s="365"/>
      <c r="M60" s="365"/>
      <c r="N60" s="259"/>
      <c r="O60" s="39"/>
      <c r="P60" s="31"/>
      <c r="Q60" s="259"/>
      <c r="R60" s="259"/>
      <c r="S60" s="259"/>
      <c r="T60" s="259"/>
    </row>
    <row r="61" spans="2:20" s="61" customFormat="1">
      <c r="B61" s="259" t="s">
        <v>550</v>
      </c>
      <c r="C61" s="366">
        <v>1392</v>
      </c>
      <c r="D61" s="366">
        <v>1288</v>
      </c>
      <c r="E61" s="366">
        <v>1214</v>
      </c>
      <c r="F61" s="366">
        <v>902</v>
      </c>
      <c r="G61" s="366">
        <v>845</v>
      </c>
      <c r="H61" s="366">
        <f>(G61+I61)/2</f>
        <v>790.5</v>
      </c>
      <c r="I61" s="366">
        <v>736</v>
      </c>
      <c r="J61" s="366">
        <v>724</v>
      </c>
      <c r="K61" s="366">
        <v>713</v>
      </c>
      <c r="L61" s="366">
        <v>721</v>
      </c>
      <c r="M61" s="366">
        <v>717</v>
      </c>
      <c r="N61" s="259"/>
      <c r="O61" s="39">
        <f t="shared" ref="O61" si="10">SUM(I61:M61)</f>
        <v>3611</v>
      </c>
      <c r="P61" s="31">
        <f>((M61/H61)^(1/5))-1</f>
        <v>-1.932872097366245E-2</v>
      </c>
      <c r="Q61" s="259"/>
      <c r="R61" s="259"/>
      <c r="S61" s="259"/>
      <c r="T61" s="259"/>
    </row>
    <row r="62" spans="2:20" s="61" customFormat="1">
      <c r="B62" s="259"/>
      <c r="C62" s="366"/>
      <c r="D62" s="366"/>
      <c r="E62" s="366"/>
      <c r="F62" s="366"/>
      <c r="G62" s="366"/>
      <c r="H62" s="366"/>
      <c r="I62" s="366"/>
      <c r="J62" s="366"/>
      <c r="K62" s="366"/>
      <c r="L62" s="366"/>
      <c r="M62" s="366"/>
      <c r="N62" s="259"/>
      <c r="O62" s="565"/>
      <c r="P62" s="31"/>
      <c r="Q62" s="259"/>
      <c r="R62" s="259"/>
      <c r="S62" s="259"/>
      <c r="T62" s="259"/>
    </row>
    <row r="63" spans="2:20" s="61" customFormat="1">
      <c r="B63" s="259" t="s">
        <v>526</v>
      </c>
      <c r="C63" s="617">
        <f>C61/C49</f>
        <v>0.25235678027556202</v>
      </c>
      <c r="D63" s="617">
        <f t="shared" ref="D63:L63" si="11">D61/D49</f>
        <v>0.23820972813020158</v>
      </c>
      <c r="E63" s="617">
        <f t="shared" si="11"/>
        <v>0.23581973581973581</v>
      </c>
      <c r="F63" s="617">
        <f t="shared" si="11"/>
        <v>0.17132003798670464</v>
      </c>
      <c r="G63" s="617">
        <f t="shared" si="11"/>
        <v>0.16749256689791872</v>
      </c>
      <c r="H63" s="617">
        <f t="shared" si="11"/>
        <v>0.16258741258741258</v>
      </c>
      <c r="I63" s="617">
        <f t="shared" si="11"/>
        <v>0.1592384249242752</v>
      </c>
      <c r="J63" s="617">
        <f t="shared" si="11"/>
        <v>0.16131907308377896</v>
      </c>
      <c r="K63" s="617">
        <f t="shared" si="11"/>
        <v>0.16705716963448922</v>
      </c>
      <c r="L63" s="617">
        <f t="shared" si="11"/>
        <v>0.1746185517074352</v>
      </c>
      <c r="M63" s="617">
        <f>M61/M49</f>
        <v>0.17534849596478358</v>
      </c>
      <c r="N63" s="617"/>
      <c r="O63" s="617">
        <f>O61/O49</f>
        <v>0.16720689016484533</v>
      </c>
      <c r="P63" s="31"/>
      <c r="Q63" s="259"/>
      <c r="R63" s="259"/>
      <c r="S63" s="259"/>
      <c r="T63" s="259"/>
    </row>
    <row r="64" spans="2:20" s="61" customFormat="1">
      <c r="B64" s="236"/>
      <c r="C64" s="369"/>
      <c r="D64" s="369"/>
      <c r="E64" s="369"/>
      <c r="F64" s="369"/>
      <c r="G64" s="369"/>
      <c r="H64" s="369"/>
      <c r="I64" s="369"/>
      <c r="J64" s="369"/>
      <c r="K64" s="369"/>
      <c r="L64" s="369"/>
      <c r="M64" s="369"/>
      <c r="N64" s="369"/>
      <c r="O64" s="369"/>
      <c r="P64" s="31"/>
      <c r="Q64" s="259"/>
      <c r="R64" s="259"/>
      <c r="S64" s="259"/>
      <c r="T64" s="259"/>
    </row>
    <row r="65" spans="2:20" s="61" customFormat="1">
      <c r="B65" s="236"/>
      <c r="C65" s="369"/>
      <c r="D65" s="369"/>
      <c r="E65" s="369"/>
      <c r="F65" s="369"/>
      <c r="G65" s="369"/>
      <c r="H65" s="369"/>
      <c r="I65" s="369"/>
      <c r="J65" s="369"/>
      <c r="K65" s="369"/>
      <c r="L65" s="369"/>
      <c r="M65" s="369"/>
      <c r="N65" s="369"/>
      <c r="O65" s="369"/>
      <c r="P65" s="31"/>
      <c r="Q65" s="259"/>
      <c r="R65" s="259"/>
      <c r="S65" s="259"/>
      <c r="T65" s="259"/>
    </row>
    <row r="66" spans="2:20" s="61" customFormat="1">
      <c r="B66" s="84" t="s">
        <v>761</v>
      </c>
      <c r="C66" s="86"/>
      <c r="D66" s="86"/>
      <c r="E66" s="86"/>
      <c r="F66" s="86"/>
      <c r="G66" s="86"/>
      <c r="H66" s="86"/>
      <c r="I66" s="86"/>
      <c r="J66" s="86"/>
      <c r="K66" s="86"/>
      <c r="L66" s="86"/>
      <c r="M66" s="86"/>
      <c r="N66" s="86"/>
      <c r="O66" s="86"/>
      <c r="P66" s="86"/>
      <c r="Q66" s="259"/>
      <c r="R66" s="259"/>
      <c r="S66" s="259"/>
      <c r="T66" s="259"/>
    </row>
    <row r="67" spans="2:20" s="61" customFormat="1">
      <c r="B67" s="138"/>
      <c r="C67" s="199"/>
      <c r="D67" s="199"/>
      <c r="E67" s="199"/>
      <c r="F67" s="199"/>
      <c r="G67" s="199"/>
      <c r="H67" s="199"/>
      <c r="I67" s="199"/>
      <c r="J67" s="199"/>
      <c r="K67" s="199"/>
      <c r="L67" s="199"/>
      <c r="M67" s="199"/>
      <c r="N67" s="199"/>
      <c r="O67" s="199"/>
      <c r="P67" s="199"/>
      <c r="Q67" s="259"/>
      <c r="R67" s="259"/>
      <c r="S67" s="259"/>
      <c r="T67" s="259"/>
    </row>
    <row r="68" spans="2:20" s="61" customFormat="1" ht="15">
      <c r="B68" s="362"/>
      <c r="C68" s="627" t="s">
        <v>30</v>
      </c>
      <c r="D68" s="637"/>
      <c r="E68" s="637"/>
      <c r="F68" s="637"/>
      <c r="G68" s="638"/>
      <c r="H68" s="370" t="s">
        <v>187</v>
      </c>
      <c r="I68" s="626" t="s">
        <v>31</v>
      </c>
      <c r="J68" s="636"/>
      <c r="K68" s="636"/>
      <c r="L68" s="636"/>
      <c r="M68" s="636"/>
      <c r="N68" s="259"/>
      <c r="O68" s="372" t="s">
        <v>269</v>
      </c>
      <c r="P68" s="372" t="s">
        <v>40</v>
      </c>
      <c r="Q68" s="259"/>
      <c r="R68" s="259"/>
      <c r="S68" s="259"/>
      <c r="T68" s="259"/>
    </row>
    <row r="69" spans="2:20" s="61" customFormat="1">
      <c r="B69" s="254" t="s">
        <v>547</v>
      </c>
      <c r="C69" s="362" t="s">
        <v>12</v>
      </c>
      <c r="D69" s="362" t="s">
        <v>13</v>
      </c>
      <c r="E69" s="362" t="s">
        <v>14</v>
      </c>
      <c r="F69" s="362" t="s">
        <v>15</v>
      </c>
      <c r="G69" s="362" t="s">
        <v>16</v>
      </c>
      <c r="H69" s="362" t="s">
        <v>17</v>
      </c>
      <c r="I69" s="362" t="s">
        <v>32</v>
      </c>
      <c r="J69" s="362" t="s">
        <v>33</v>
      </c>
      <c r="K69" s="362" t="s">
        <v>34</v>
      </c>
      <c r="L69" s="362" t="s">
        <v>35</v>
      </c>
      <c r="M69" s="362" t="s">
        <v>36</v>
      </c>
      <c r="N69" s="259"/>
      <c r="Q69" s="259"/>
      <c r="R69" s="259"/>
      <c r="S69" s="259"/>
      <c r="T69" s="259"/>
    </row>
    <row r="70" spans="2:20" s="61" customFormat="1">
      <c r="B70" s="259" t="s">
        <v>600</v>
      </c>
      <c r="C70" s="365">
        <f>'Staff Costs'!C16</f>
        <v>269.3</v>
      </c>
      <c r="D70" s="365">
        <f>'Staff Costs'!D16</f>
        <v>226.29999999999998</v>
      </c>
      <c r="E70" s="365">
        <f>'Staff Costs'!E16</f>
        <v>245.79999999999998</v>
      </c>
      <c r="F70" s="365">
        <f>'Staff Costs'!F16</f>
        <v>262.10000000000002</v>
      </c>
      <c r="G70" s="365">
        <f>'Staff Costs'!G16</f>
        <v>291.3</v>
      </c>
      <c r="H70" s="365">
        <f>'Staff Costs'!H16</f>
        <v>280.75096476510066</v>
      </c>
      <c r="I70" s="365">
        <f>'Staff Costs'!I16</f>
        <v>268.0025167785235</v>
      </c>
      <c r="J70" s="365">
        <f>'Staff Costs'!J16</f>
        <v>258.10515939597315</v>
      </c>
      <c r="K70" s="365">
        <f>'Staff Costs'!K16</f>
        <v>245.7640100671141</v>
      </c>
      <c r="L70" s="365">
        <f>'Staff Costs'!L16</f>
        <v>238.67701342281879</v>
      </c>
      <c r="M70" s="365">
        <f>'Staff Costs'!M16</f>
        <v>236.7219798657718</v>
      </c>
      <c r="N70" s="259"/>
      <c r="O70" s="39">
        <f t="shared" ref="O70" si="12">SUM(I70:M70)</f>
        <v>1247.2706795302013</v>
      </c>
      <c r="P70" s="31">
        <f t="shared" ref="P70" si="13">((M70/H70)^(1/5))-1</f>
        <v>-3.3540931669854279E-2</v>
      </c>
      <c r="Q70" s="259"/>
      <c r="R70" s="259"/>
      <c r="S70" s="259"/>
      <c r="T70" s="259"/>
    </row>
    <row r="71" spans="2:20" s="61" customFormat="1">
      <c r="B71" s="259"/>
      <c r="C71" s="365"/>
      <c r="D71" s="365"/>
      <c r="E71" s="365"/>
      <c r="F71" s="365"/>
      <c r="G71" s="365"/>
      <c r="H71" s="365"/>
      <c r="I71" s="365"/>
      <c r="J71" s="365"/>
      <c r="K71" s="365"/>
      <c r="L71" s="365"/>
      <c r="M71" s="365"/>
      <c r="N71" s="259"/>
      <c r="O71" s="39"/>
      <c r="P71" s="31"/>
      <c r="Q71" s="259"/>
      <c r="R71" s="259"/>
      <c r="S71" s="259"/>
      <c r="T71" s="259"/>
    </row>
    <row r="72" spans="2:20" s="61" customFormat="1">
      <c r="B72" s="259" t="s">
        <v>284</v>
      </c>
      <c r="C72" s="618" t="s">
        <v>808</v>
      </c>
      <c r="D72" s="618" t="s">
        <v>808</v>
      </c>
      <c r="E72" s="618" t="s">
        <v>808</v>
      </c>
      <c r="F72" s="618" t="s">
        <v>808</v>
      </c>
      <c r="G72" s="618" t="s">
        <v>808</v>
      </c>
      <c r="H72" s="618" t="s">
        <v>808</v>
      </c>
      <c r="I72" s="618" t="s">
        <v>808</v>
      </c>
      <c r="J72" s="618" t="s">
        <v>808</v>
      </c>
      <c r="K72" s="618" t="s">
        <v>808</v>
      </c>
      <c r="L72" s="618" t="s">
        <v>808</v>
      </c>
      <c r="M72" s="618" t="s">
        <v>808</v>
      </c>
      <c r="N72" s="619"/>
      <c r="O72" s="621" t="s">
        <v>808</v>
      </c>
      <c r="P72" s="621" t="s">
        <v>808</v>
      </c>
      <c r="Q72" s="259"/>
      <c r="R72" s="259"/>
      <c r="S72" s="259"/>
      <c r="T72" s="259"/>
    </row>
    <row r="73" spans="2:20" s="61" customFormat="1">
      <c r="B73" s="259" t="s">
        <v>286</v>
      </c>
      <c r="C73" s="618" t="s">
        <v>808</v>
      </c>
      <c r="D73" s="618" t="s">
        <v>808</v>
      </c>
      <c r="E73" s="618" t="s">
        <v>808</v>
      </c>
      <c r="F73" s="618" t="s">
        <v>808</v>
      </c>
      <c r="G73" s="618" t="s">
        <v>808</v>
      </c>
      <c r="H73" s="618" t="s">
        <v>808</v>
      </c>
      <c r="I73" s="618" t="s">
        <v>808</v>
      </c>
      <c r="J73" s="618" t="s">
        <v>808</v>
      </c>
      <c r="K73" s="618" t="s">
        <v>808</v>
      </c>
      <c r="L73" s="618" t="s">
        <v>808</v>
      </c>
      <c r="M73" s="618" t="s">
        <v>808</v>
      </c>
      <c r="N73" s="619"/>
      <c r="O73" s="621" t="s">
        <v>808</v>
      </c>
      <c r="P73" s="621" t="s">
        <v>808</v>
      </c>
      <c r="Q73" s="259"/>
      <c r="R73" s="259"/>
      <c r="S73" s="259"/>
      <c r="T73" s="259"/>
    </row>
    <row r="74" spans="2:20" s="61" customFormat="1">
      <c r="B74" s="259" t="s">
        <v>248</v>
      </c>
      <c r="C74" s="618" t="s">
        <v>808</v>
      </c>
      <c r="D74" s="618" t="s">
        <v>808</v>
      </c>
      <c r="E74" s="618" t="s">
        <v>808</v>
      </c>
      <c r="F74" s="618" t="s">
        <v>808</v>
      </c>
      <c r="G74" s="618" t="s">
        <v>808</v>
      </c>
      <c r="H74" s="618" t="s">
        <v>808</v>
      </c>
      <c r="I74" s="618" t="s">
        <v>808</v>
      </c>
      <c r="J74" s="618" t="s">
        <v>808</v>
      </c>
      <c r="K74" s="618" t="s">
        <v>808</v>
      </c>
      <c r="L74" s="618" t="s">
        <v>808</v>
      </c>
      <c r="M74" s="618" t="s">
        <v>808</v>
      </c>
      <c r="N74" s="619"/>
      <c r="O74" s="621" t="s">
        <v>808</v>
      </c>
      <c r="P74" s="621" t="s">
        <v>808</v>
      </c>
      <c r="Q74" s="259"/>
      <c r="R74" s="259"/>
      <c r="S74" s="259"/>
      <c r="T74" s="259"/>
    </row>
    <row r="75" spans="2:20" s="61" customFormat="1">
      <c r="B75" s="259" t="s">
        <v>513</v>
      </c>
      <c r="C75" s="618" t="s">
        <v>808</v>
      </c>
      <c r="D75" s="618" t="s">
        <v>808</v>
      </c>
      <c r="E75" s="618" t="s">
        <v>808</v>
      </c>
      <c r="F75" s="618" t="s">
        <v>808</v>
      </c>
      <c r="G75" s="618" t="s">
        <v>808</v>
      </c>
      <c r="H75" s="618" t="s">
        <v>808</v>
      </c>
      <c r="I75" s="618" t="s">
        <v>808</v>
      </c>
      <c r="J75" s="618" t="s">
        <v>808</v>
      </c>
      <c r="K75" s="618" t="s">
        <v>808</v>
      </c>
      <c r="L75" s="618" t="s">
        <v>808</v>
      </c>
      <c r="M75" s="618" t="s">
        <v>808</v>
      </c>
      <c r="N75" s="619"/>
      <c r="O75" s="621" t="s">
        <v>808</v>
      </c>
      <c r="P75" s="621" t="s">
        <v>808</v>
      </c>
      <c r="Q75" s="259"/>
      <c r="R75" s="259"/>
      <c r="S75" s="259"/>
      <c r="T75" s="259"/>
    </row>
    <row r="76" spans="2:20" s="61" customFormat="1">
      <c r="B76" s="259" t="s">
        <v>523</v>
      </c>
      <c r="C76" s="618" t="s">
        <v>808</v>
      </c>
      <c r="D76" s="618" t="s">
        <v>808</v>
      </c>
      <c r="E76" s="618" t="s">
        <v>808</v>
      </c>
      <c r="F76" s="618" t="s">
        <v>808</v>
      </c>
      <c r="G76" s="618" t="s">
        <v>808</v>
      </c>
      <c r="H76" s="618" t="s">
        <v>808</v>
      </c>
      <c r="I76" s="618" t="s">
        <v>808</v>
      </c>
      <c r="J76" s="618" t="s">
        <v>808</v>
      </c>
      <c r="K76" s="618" t="s">
        <v>808</v>
      </c>
      <c r="L76" s="618" t="s">
        <v>808</v>
      </c>
      <c r="M76" s="618" t="s">
        <v>808</v>
      </c>
      <c r="N76" s="622"/>
      <c r="O76" s="621" t="s">
        <v>808</v>
      </c>
      <c r="P76" s="621" t="s">
        <v>808</v>
      </c>
      <c r="Q76" s="259"/>
      <c r="R76" s="259"/>
      <c r="S76" s="259"/>
      <c r="T76" s="259"/>
    </row>
    <row r="77" spans="2:20" s="61" customFormat="1">
      <c r="B77" s="259" t="s">
        <v>514</v>
      </c>
      <c r="C77" s="618" t="s">
        <v>808</v>
      </c>
      <c r="D77" s="618" t="s">
        <v>808</v>
      </c>
      <c r="E77" s="618" t="s">
        <v>808</v>
      </c>
      <c r="F77" s="618" t="s">
        <v>808</v>
      </c>
      <c r="G77" s="618" t="s">
        <v>808</v>
      </c>
      <c r="H77" s="618" t="s">
        <v>808</v>
      </c>
      <c r="I77" s="618" t="s">
        <v>808</v>
      </c>
      <c r="J77" s="618" t="s">
        <v>808</v>
      </c>
      <c r="K77" s="618" t="s">
        <v>808</v>
      </c>
      <c r="L77" s="618" t="s">
        <v>808</v>
      </c>
      <c r="M77" s="618" t="s">
        <v>808</v>
      </c>
      <c r="N77" s="619"/>
      <c r="O77" s="621" t="s">
        <v>808</v>
      </c>
      <c r="P77" s="621" t="s">
        <v>808</v>
      </c>
      <c r="Q77" s="259"/>
      <c r="R77" s="259"/>
      <c r="S77" s="259"/>
      <c r="T77" s="259"/>
    </row>
    <row r="78" spans="2:20" s="61" customFormat="1">
      <c r="B78" s="259" t="s">
        <v>285</v>
      </c>
      <c r="C78" s="618" t="s">
        <v>808</v>
      </c>
      <c r="D78" s="618" t="s">
        <v>808</v>
      </c>
      <c r="E78" s="618" t="s">
        <v>808</v>
      </c>
      <c r="F78" s="618" t="s">
        <v>808</v>
      </c>
      <c r="G78" s="618" t="s">
        <v>808</v>
      </c>
      <c r="H78" s="618" t="s">
        <v>808</v>
      </c>
      <c r="I78" s="618" t="s">
        <v>808</v>
      </c>
      <c r="J78" s="618" t="s">
        <v>808</v>
      </c>
      <c r="K78" s="618" t="s">
        <v>808</v>
      </c>
      <c r="L78" s="618" t="s">
        <v>808</v>
      </c>
      <c r="M78" s="618" t="s">
        <v>808</v>
      </c>
      <c r="N78" s="619"/>
      <c r="O78" s="621" t="s">
        <v>808</v>
      </c>
      <c r="P78" s="621" t="s">
        <v>808</v>
      </c>
      <c r="Q78" s="259"/>
      <c r="R78" s="259"/>
      <c r="S78" s="259"/>
      <c r="T78" s="259"/>
    </row>
    <row r="79" spans="2:20" s="61" customFormat="1">
      <c r="B79" s="259" t="s">
        <v>524</v>
      </c>
      <c r="C79" s="618" t="s">
        <v>808</v>
      </c>
      <c r="D79" s="618" t="s">
        <v>808</v>
      </c>
      <c r="E79" s="618" t="s">
        <v>808</v>
      </c>
      <c r="F79" s="618" t="s">
        <v>808</v>
      </c>
      <c r="G79" s="618" t="s">
        <v>808</v>
      </c>
      <c r="H79" s="618" t="s">
        <v>808</v>
      </c>
      <c r="I79" s="618" t="s">
        <v>808</v>
      </c>
      <c r="J79" s="618" t="s">
        <v>808</v>
      </c>
      <c r="K79" s="618" t="s">
        <v>808</v>
      </c>
      <c r="L79" s="618" t="s">
        <v>808</v>
      </c>
      <c r="M79" s="618" t="s">
        <v>808</v>
      </c>
      <c r="N79" s="619"/>
      <c r="O79" s="621" t="s">
        <v>808</v>
      </c>
      <c r="P79" s="621" t="s">
        <v>808</v>
      </c>
      <c r="Q79" s="259"/>
      <c r="R79" s="259"/>
      <c r="S79" s="259"/>
      <c r="T79" s="259"/>
    </row>
    <row r="80" spans="2:20" s="61" customFormat="1">
      <c r="B80" s="259" t="s">
        <v>525</v>
      </c>
      <c r="C80" s="618" t="s">
        <v>808</v>
      </c>
      <c r="D80" s="618" t="s">
        <v>808</v>
      </c>
      <c r="E80" s="618" t="s">
        <v>808</v>
      </c>
      <c r="F80" s="618" t="s">
        <v>808</v>
      </c>
      <c r="G80" s="618" t="s">
        <v>808</v>
      </c>
      <c r="H80" s="618" t="s">
        <v>808</v>
      </c>
      <c r="I80" s="618" t="s">
        <v>808</v>
      </c>
      <c r="J80" s="618" t="s">
        <v>808</v>
      </c>
      <c r="K80" s="618" t="s">
        <v>808</v>
      </c>
      <c r="L80" s="618" t="s">
        <v>808</v>
      </c>
      <c r="M80" s="618" t="s">
        <v>808</v>
      </c>
      <c r="N80" s="619"/>
      <c r="O80" s="621" t="s">
        <v>808</v>
      </c>
      <c r="P80" s="621" t="s">
        <v>808</v>
      </c>
      <c r="Q80" s="259"/>
      <c r="R80" s="259"/>
      <c r="S80" s="259"/>
      <c r="T80" s="259"/>
    </row>
    <row r="81" spans="2:20" s="61" customFormat="1">
      <c r="B81" s="259"/>
      <c r="C81" s="623"/>
      <c r="D81" s="623"/>
      <c r="E81" s="623"/>
      <c r="F81" s="623"/>
      <c r="G81" s="623"/>
      <c r="H81" s="623"/>
      <c r="I81" s="623"/>
      <c r="J81" s="623"/>
      <c r="K81" s="623"/>
      <c r="L81" s="623"/>
      <c r="M81" s="623"/>
      <c r="N81" s="619"/>
      <c r="O81" s="624"/>
      <c r="P81" s="556"/>
      <c r="Q81" s="259"/>
      <c r="R81" s="259"/>
      <c r="S81" s="259"/>
      <c r="T81" s="259"/>
    </row>
    <row r="82" spans="2:20" s="61" customFormat="1">
      <c r="B82" s="259" t="s">
        <v>551</v>
      </c>
      <c r="C82" s="625" t="s">
        <v>808</v>
      </c>
      <c r="D82" s="625" t="s">
        <v>808</v>
      </c>
      <c r="E82" s="625" t="s">
        <v>808</v>
      </c>
      <c r="F82" s="625" t="s">
        <v>808</v>
      </c>
      <c r="G82" s="625" t="s">
        <v>808</v>
      </c>
      <c r="H82" s="625" t="s">
        <v>808</v>
      </c>
      <c r="I82" s="625" t="s">
        <v>808</v>
      </c>
      <c r="J82" s="625" t="s">
        <v>808</v>
      </c>
      <c r="K82" s="625" t="s">
        <v>808</v>
      </c>
      <c r="L82" s="625" t="s">
        <v>808</v>
      </c>
      <c r="M82" s="625" t="s">
        <v>808</v>
      </c>
      <c r="N82" s="619"/>
      <c r="O82" s="621" t="s">
        <v>808</v>
      </c>
      <c r="P82" s="621" t="s">
        <v>808</v>
      </c>
      <c r="Q82" s="259"/>
      <c r="R82" s="259"/>
      <c r="S82" s="259"/>
      <c r="T82" s="259"/>
    </row>
    <row r="83" spans="2:20" s="61" customFormat="1">
      <c r="B83" s="259" t="s">
        <v>672</v>
      </c>
      <c r="C83" s="625" t="s">
        <v>808</v>
      </c>
      <c r="D83" s="625" t="s">
        <v>808</v>
      </c>
      <c r="E83" s="625" t="s">
        <v>808</v>
      </c>
      <c r="F83" s="625" t="s">
        <v>808</v>
      </c>
      <c r="G83" s="625" t="s">
        <v>808</v>
      </c>
      <c r="H83" s="625" t="s">
        <v>808</v>
      </c>
      <c r="I83" s="625" t="s">
        <v>808</v>
      </c>
      <c r="J83" s="625" t="s">
        <v>808</v>
      </c>
      <c r="K83" s="625" t="s">
        <v>808</v>
      </c>
      <c r="L83" s="625" t="s">
        <v>808</v>
      </c>
      <c r="M83" s="625" t="s">
        <v>808</v>
      </c>
      <c r="N83" s="619"/>
      <c r="O83" s="621" t="s">
        <v>808</v>
      </c>
      <c r="P83" s="621" t="s">
        <v>808</v>
      </c>
      <c r="Q83" s="259"/>
      <c r="R83" s="259"/>
      <c r="S83" s="259"/>
      <c r="T83" s="259"/>
    </row>
    <row r="84" spans="2:20" s="61" customFormat="1">
      <c r="B84" s="259"/>
      <c r="C84" s="366"/>
      <c r="D84" s="366"/>
      <c r="E84" s="366"/>
      <c r="F84" s="366"/>
      <c r="G84" s="366"/>
      <c r="H84" s="366"/>
      <c r="I84" s="366"/>
      <c r="J84" s="366"/>
      <c r="K84" s="366"/>
      <c r="L84" s="366"/>
      <c r="M84" s="366"/>
      <c r="N84" s="259"/>
      <c r="O84" s="33"/>
      <c r="P84" s="31"/>
      <c r="Q84" s="259"/>
      <c r="R84" s="259"/>
      <c r="S84" s="259"/>
      <c r="T84" s="259"/>
    </row>
    <row r="85" spans="2:20" s="61" customFormat="1">
      <c r="B85" s="259" t="s">
        <v>548</v>
      </c>
      <c r="C85" s="617">
        <v>0.28258447827701449</v>
      </c>
      <c r="D85" s="617">
        <v>0.25143614670790987</v>
      </c>
      <c r="E85" s="617">
        <v>0.29414157851912126</v>
      </c>
      <c r="F85" s="617">
        <v>0.28195345288057988</v>
      </c>
      <c r="G85" s="617">
        <v>0.20013731548232064</v>
      </c>
      <c r="H85" s="617">
        <v>0.19554696827465534</v>
      </c>
      <c r="I85" s="617">
        <v>0.18955045874431459</v>
      </c>
      <c r="J85" s="617">
        <v>0.19216973467743018</v>
      </c>
      <c r="K85" s="617">
        <v>0.19530931313698852</v>
      </c>
      <c r="L85" s="617">
        <v>0.19859474241044905</v>
      </c>
      <c r="M85" s="617">
        <v>0.19939001873321505</v>
      </c>
      <c r="N85" s="617"/>
      <c r="O85" s="617">
        <v>0.19482539274596647</v>
      </c>
      <c r="P85" s="31"/>
      <c r="Q85" s="259"/>
      <c r="R85" s="259"/>
      <c r="S85" s="259"/>
      <c r="T85" s="259"/>
    </row>
    <row r="86" spans="2:20" s="61" customFormat="1">
      <c r="B86" s="236"/>
      <c r="C86" s="369"/>
      <c r="D86" s="369"/>
      <c r="E86" s="369"/>
      <c r="F86" s="369"/>
      <c r="G86" s="369"/>
      <c r="H86" s="369"/>
      <c r="I86" s="369"/>
      <c r="J86" s="369"/>
      <c r="K86" s="369"/>
      <c r="L86" s="369"/>
      <c r="M86" s="369"/>
      <c r="N86" s="369"/>
      <c r="O86" s="369"/>
      <c r="P86" s="31"/>
      <c r="Q86" s="259"/>
      <c r="R86" s="259"/>
      <c r="S86" s="259"/>
      <c r="T86" s="259"/>
    </row>
    <row r="87" spans="2:20" s="61" customFormat="1">
      <c r="B87" s="362"/>
      <c r="C87" s="259"/>
      <c r="D87" s="259"/>
      <c r="E87" s="259"/>
      <c r="F87" s="259"/>
      <c r="G87" s="259"/>
      <c r="H87" s="259"/>
      <c r="I87" s="259"/>
      <c r="J87" s="259"/>
      <c r="K87" s="259"/>
      <c r="L87" s="259"/>
      <c r="M87" s="366"/>
      <c r="N87" s="259"/>
      <c r="O87" s="259"/>
      <c r="P87" s="259"/>
      <c r="Q87" s="259"/>
      <c r="R87" s="259"/>
      <c r="S87" s="259"/>
      <c r="T87" s="259"/>
    </row>
    <row r="88" spans="2:20" s="61" customFormat="1">
      <c r="B88" s="329" t="s">
        <v>527</v>
      </c>
      <c r="C88" s="331"/>
      <c r="D88" s="331"/>
      <c r="E88" s="331"/>
      <c r="F88" s="331"/>
      <c r="G88" s="331"/>
      <c r="H88" s="331"/>
      <c r="I88" s="331"/>
      <c r="J88" s="331"/>
      <c r="K88" s="331"/>
      <c r="L88" s="331"/>
      <c r="M88" s="331"/>
      <c r="N88" s="331"/>
      <c r="O88" s="331"/>
      <c r="P88" s="331"/>
      <c r="Q88" s="259"/>
      <c r="R88" s="259"/>
      <c r="S88" s="259"/>
      <c r="T88" s="259"/>
    </row>
    <row r="89" spans="2:20" s="61" customFormat="1">
      <c r="B89" s="362"/>
      <c r="C89" s="259"/>
      <c r="D89" s="259"/>
      <c r="E89" s="259"/>
      <c r="F89" s="259"/>
      <c r="G89" s="259"/>
      <c r="H89" s="259"/>
      <c r="I89" s="259"/>
      <c r="J89" s="259"/>
      <c r="K89" s="259"/>
      <c r="L89" s="259"/>
      <c r="M89" s="259"/>
      <c r="N89" s="259"/>
      <c r="O89" s="259"/>
      <c r="P89" s="259"/>
      <c r="Q89" s="259"/>
      <c r="R89" s="259"/>
      <c r="S89" s="259"/>
      <c r="T89" s="259"/>
    </row>
    <row r="90" spans="2:20">
      <c r="L90" s="33"/>
      <c r="M90" s="31"/>
    </row>
    <row r="91" spans="2:20">
      <c r="B91" s="183" t="s">
        <v>757</v>
      </c>
      <c r="C91" s="183"/>
      <c r="D91" s="183" t="s">
        <v>461</v>
      </c>
      <c r="H91" s="360" t="s">
        <v>187</v>
      </c>
      <c r="I91" s="626" t="s">
        <v>31</v>
      </c>
      <c r="J91" s="636"/>
      <c r="K91" s="636"/>
      <c r="L91" s="636"/>
      <c r="M91" s="636"/>
      <c r="O91" s="361" t="s">
        <v>269</v>
      </c>
      <c r="P91" s="361" t="s">
        <v>40</v>
      </c>
    </row>
    <row r="92" spans="2:20">
      <c r="B92" s="286"/>
      <c r="C92" s="286" t="s">
        <v>486</v>
      </c>
      <c r="D92" s="29" t="s">
        <v>231</v>
      </c>
      <c r="H92" s="18" t="s">
        <v>17</v>
      </c>
      <c r="I92" s="18" t="s">
        <v>32</v>
      </c>
      <c r="J92" s="18" t="s">
        <v>33</v>
      </c>
      <c r="K92" s="18" t="s">
        <v>34</v>
      </c>
      <c r="L92" s="18" t="s">
        <v>35</v>
      </c>
      <c r="M92" s="18" t="s">
        <v>36</v>
      </c>
      <c r="P92" s="31"/>
    </row>
    <row r="93" spans="2:20">
      <c r="H93" s="33"/>
      <c r="I93" s="33"/>
      <c r="J93" s="33"/>
      <c r="K93" s="33"/>
      <c r="L93" s="33"/>
      <c r="M93" s="33"/>
      <c r="O93" s="33"/>
      <c r="P93" s="31"/>
    </row>
    <row r="94" spans="2:20">
      <c r="C94" s="204">
        <v>1</v>
      </c>
      <c r="D94" s="19" t="s">
        <v>529</v>
      </c>
      <c r="H94" s="201">
        <v>0</v>
      </c>
      <c r="I94" s="201">
        <v>0</v>
      </c>
      <c r="J94" s="201">
        <v>0</v>
      </c>
      <c r="K94" s="201">
        <v>0</v>
      </c>
      <c r="L94" s="201">
        <v>0</v>
      </c>
      <c r="M94" s="201">
        <v>0</v>
      </c>
      <c r="O94" s="33">
        <f t="shared" ref="O94:O109" si="14">SUM(I94:M94)</f>
        <v>0</v>
      </c>
      <c r="P94" s="556" t="s">
        <v>334</v>
      </c>
    </row>
    <row r="95" spans="2:20">
      <c r="C95" s="204">
        <v>3</v>
      </c>
      <c r="D95" s="19" t="s">
        <v>530</v>
      </c>
      <c r="H95" s="201">
        <v>0</v>
      </c>
      <c r="I95" s="201">
        <v>3.4</v>
      </c>
      <c r="J95" s="201">
        <v>3.3</v>
      </c>
      <c r="K95" s="201">
        <v>3.4</v>
      </c>
      <c r="L95" s="201">
        <v>3.4</v>
      </c>
      <c r="M95" s="201">
        <v>3.4</v>
      </c>
      <c r="O95" s="33">
        <f t="shared" si="14"/>
        <v>16.899999999999999</v>
      </c>
      <c r="P95" s="556" t="s">
        <v>334</v>
      </c>
    </row>
    <row r="96" spans="2:20">
      <c r="C96" s="204">
        <v>1</v>
      </c>
      <c r="D96" s="19" t="s">
        <v>531</v>
      </c>
      <c r="H96" s="201">
        <v>0</v>
      </c>
      <c r="I96" s="201">
        <v>0</v>
      </c>
      <c r="J96" s="201">
        <v>0</v>
      </c>
      <c r="K96" s="201">
        <v>0</v>
      </c>
      <c r="L96" s="201">
        <v>0</v>
      </c>
      <c r="M96" s="201">
        <v>0</v>
      </c>
      <c r="O96" s="33">
        <f t="shared" si="14"/>
        <v>0</v>
      </c>
      <c r="P96" s="556" t="s">
        <v>334</v>
      </c>
    </row>
    <row r="97" spans="3:16">
      <c r="C97" s="204">
        <v>3</v>
      </c>
      <c r="D97" s="19" t="s">
        <v>532</v>
      </c>
      <c r="H97" s="201">
        <v>0</v>
      </c>
      <c r="I97" s="201">
        <v>3.3</v>
      </c>
      <c r="J97" s="201">
        <v>3.4</v>
      </c>
      <c r="K97" s="201">
        <v>3.5</v>
      </c>
      <c r="L97" s="201">
        <v>3.6</v>
      </c>
      <c r="M97" s="201">
        <v>3.6</v>
      </c>
      <c r="O97" s="33">
        <f t="shared" si="14"/>
        <v>17.399999999999999</v>
      </c>
      <c r="P97" s="556" t="s">
        <v>334</v>
      </c>
    </row>
    <row r="98" spans="3:16">
      <c r="C98" s="204">
        <v>1</v>
      </c>
      <c r="D98" s="19" t="s">
        <v>533</v>
      </c>
      <c r="H98" s="201">
        <v>0</v>
      </c>
      <c r="I98" s="201">
        <v>0.8</v>
      </c>
      <c r="J98" s="201">
        <v>1.2</v>
      </c>
      <c r="K98" s="201">
        <v>2.2000000000000002</v>
      </c>
      <c r="L98" s="201">
        <v>3.1</v>
      </c>
      <c r="M98" s="201">
        <v>3.5</v>
      </c>
      <c r="O98" s="33">
        <f t="shared" si="14"/>
        <v>10.8</v>
      </c>
      <c r="P98" s="556" t="s">
        <v>334</v>
      </c>
    </row>
    <row r="99" spans="3:16">
      <c r="C99" s="204">
        <v>3</v>
      </c>
      <c r="D99" s="19" t="s">
        <v>534</v>
      </c>
      <c r="H99" s="201">
        <v>0</v>
      </c>
      <c r="I99" s="201">
        <v>6.9</v>
      </c>
      <c r="J99" s="201">
        <v>6.5</v>
      </c>
      <c r="K99" s="201">
        <v>5.5</v>
      </c>
      <c r="L99" s="201">
        <v>5.3</v>
      </c>
      <c r="M99" s="201">
        <v>4.9000000000000004</v>
      </c>
      <c r="O99" s="33">
        <f t="shared" si="14"/>
        <v>29.1</v>
      </c>
      <c r="P99" s="556" t="s">
        <v>334</v>
      </c>
    </row>
    <row r="100" spans="3:16">
      <c r="C100" s="204">
        <v>1</v>
      </c>
      <c r="D100" s="19" t="s">
        <v>535</v>
      </c>
      <c r="H100" s="201">
        <v>0</v>
      </c>
      <c r="I100" s="201">
        <v>0</v>
      </c>
      <c r="J100" s="201">
        <v>0</v>
      </c>
      <c r="K100" s="201">
        <v>0</v>
      </c>
      <c r="L100" s="201">
        <v>0</v>
      </c>
      <c r="M100" s="201">
        <v>0</v>
      </c>
      <c r="O100" s="33">
        <f t="shared" si="14"/>
        <v>0</v>
      </c>
      <c r="P100" s="556" t="s">
        <v>334</v>
      </c>
    </row>
    <row r="101" spans="3:16">
      <c r="C101" s="204">
        <v>3</v>
      </c>
      <c r="D101" s="19" t="s">
        <v>536</v>
      </c>
      <c r="H101" s="201">
        <v>0</v>
      </c>
      <c r="I101" s="201">
        <v>0.3</v>
      </c>
      <c r="J101" s="201">
        <v>0.2</v>
      </c>
      <c r="K101" s="201">
        <v>0.2</v>
      </c>
      <c r="L101" s="201">
        <v>0.2</v>
      </c>
      <c r="M101" s="201">
        <v>0.2</v>
      </c>
      <c r="O101" s="33">
        <f t="shared" si="14"/>
        <v>1.0999999999999999</v>
      </c>
      <c r="P101" s="556" t="s">
        <v>334</v>
      </c>
    </row>
    <row r="102" spans="3:16">
      <c r="C102" s="204">
        <v>1</v>
      </c>
      <c r="D102" s="19" t="s">
        <v>537</v>
      </c>
      <c r="H102" s="201">
        <v>0</v>
      </c>
      <c r="I102" s="201">
        <v>0</v>
      </c>
      <c r="J102" s="201">
        <v>0</v>
      </c>
      <c r="K102" s="201">
        <v>0</v>
      </c>
      <c r="L102" s="201">
        <v>0</v>
      </c>
      <c r="M102" s="201">
        <v>0</v>
      </c>
      <c r="O102" s="33">
        <f t="shared" si="14"/>
        <v>0</v>
      </c>
      <c r="P102" s="556" t="s">
        <v>334</v>
      </c>
    </row>
    <row r="103" spans="3:16">
      <c r="C103" s="204">
        <v>3</v>
      </c>
      <c r="D103" s="19" t="s">
        <v>538</v>
      </c>
      <c r="H103" s="201">
        <v>0</v>
      </c>
      <c r="I103" s="201">
        <v>0</v>
      </c>
      <c r="J103" s="201">
        <v>0</v>
      </c>
      <c r="K103" s="201">
        <v>0</v>
      </c>
      <c r="L103" s="201">
        <v>0</v>
      </c>
      <c r="M103" s="201">
        <v>0</v>
      </c>
      <c r="O103" s="33">
        <f t="shared" si="14"/>
        <v>0</v>
      </c>
      <c r="P103" s="556" t="s">
        <v>334</v>
      </c>
    </row>
    <row r="104" spans="3:16">
      <c r="C104" s="204">
        <v>1</v>
      </c>
      <c r="D104" s="19" t="s">
        <v>539</v>
      </c>
      <c r="H104" s="201">
        <v>0</v>
      </c>
      <c r="I104" s="201">
        <v>0</v>
      </c>
      <c r="J104" s="201">
        <v>0</v>
      </c>
      <c r="K104" s="201">
        <v>0</v>
      </c>
      <c r="L104" s="201">
        <v>0</v>
      </c>
      <c r="M104" s="201">
        <v>0</v>
      </c>
      <c r="O104" s="33">
        <f t="shared" si="14"/>
        <v>0</v>
      </c>
      <c r="P104" s="556" t="s">
        <v>334</v>
      </c>
    </row>
    <row r="105" spans="3:16">
      <c r="C105" s="204">
        <v>3</v>
      </c>
      <c r="D105" s="19" t="s">
        <v>540</v>
      </c>
      <c r="H105" s="201">
        <v>0</v>
      </c>
      <c r="I105" s="201">
        <v>0.4</v>
      </c>
      <c r="J105" s="201">
        <v>0.3</v>
      </c>
      <c r="K105" s="201">
        <v>0.1</v>
      </c>
      <c r="L105" s="201">
        <v>0.2</v>
      </c>
      <c r="M105" s="201">
        <v>0.2</v>
      </c>
      <c r="O105" s="33">
        <f t="shared" si="14"/>
        <v>1.2</v>
      </c>
      <c r="P105" s="556" t="s">
        <v>334</v>
      </c>
    </row>
    <row r="106" spans="3:16">
      <c r="C106" s="204">
        <v>1</v>
      </c>
      <c r="D106" s="19" t="s">
        <v>543</v>
      </c>
      <c r="H106" s="201">
        <v>0</v>
      </c>
      <c r="I106" s="201">
        <v>0</v>
      </c>
      <c r="J106" s="201">
        <v>0</v>
      </c>
      <c r="K106" s="201">
        <v>0</v>
      </c>
      <c r="L106" s="201">
        <v>0</v>
      </c>
      <c r="M106" s="201">
        <v>0</v>
      </c>
      <c r="O106" s="33">
        <f t="shared" si="14"/>
        <v>0</v>
      </c>
      <c r="P106" s="556" t="s">
        <v>334</v>
      </c>
    </row>
    <row r="107" spans="3:16">
      <c r="C107" s="204">
        <v>3</v>
      </c>
      <c r="D107" s="19" t="s">
        <v>545</v>
      </c>
      <c r="H107" s="201">
        <v>0</v>
      </c>
      <c r="I107" s="201">
        <v>1.6</v>
      </c>
      <c r="J107" s="201">
        <v>1.6</v>
      </c>
      <c r="K107" s="201">
        <v>1.6</v>
      </c>
      <c r="L107" s="201">
        <v>1.6</v>
      </c>
      <c r="M107" s="201">
        <v>1.8</v>
      </c>
      <c r="O107" s="33">
        <f t="shared" si="14"/>
        <v>8.2000000000000011</v>
      </c>
      <c r="P107" s="556" t="s">
        <v>334</v>
      </c>
    </row>
    <row r="108" spans="3:16">
      <c r="C108" s="204">
        <v>1</v>
      </c>
      <c r="D108" s="19" t="s">
        <v>541</v>
      </c>
      <c r="H108" s="201">
        <v>0</v>
      </c>
      <c r="I108" s="201">
        <v>0</v>
      </c>
      <c r="J108" s="201">
        <v>0</v>
      </c>
      <c r="K108" s="201">
        <v>0</v>
      </c>
      <c r="L108" s="201">
        <v>0</v>
      </c>
      <c r="M108" s="201">
        <v>0</v>
      </c>
      <c r="O108" s="33">
        <f t="shared" si="14"/>
        <v>0</v>
      </c>
      <c r="P108" s="556" t="s">
        <v>334</v>
      </c>
    </row>
    <row r="109" spans="3:16">
      <c r="C109" s="204">
        <v>3</v>
      </c>
      <c r="D109" s="19" t="s">
        <v>542</v>
      </c>
      <c r="H109" s="201">
        <v>0</v>
      </c>
      <c r="I109" s="201">
        <v>0.3</v>
      </c>
      <c r="J109" s="201">
        <v>1.1000000000000001</v>
      </c>
      <c r="K109" s="201">
        <v>1</v>
      </c>
      <c r="L109" s="201">
        <v>0.6</v>
      </c>
      <c r="M109" s="201">
        <v>0.5</v>
      </c>
      <c r="O109" s="33">
        <f t="shared" si="14"/>
        <v>3.5000000000000004</v>
      </c>
      <c r="P109" s="556" t="s">
        <v>334</v>
      </c>
    </row>
    <row r="110" spans="3:16">
      <c r="O110" s="33"/>
      <c r="P110" s="556"/>
    </row>
    <row r="111" spans="3:16">
      <c r="D111" s="29" t="s">
        <v>616</v>
      </c>
      <c r="H111" s="33">
        <f>SUMPRODUCT((H$94:H$109)*($C$94:$C$109=1))</f>
        <v>0</v>
      </c>
      <c r="I111" s="33">
        <f t="shared" ref="I111:M111" si="15">SUMPRODUCT((I$94:I$109)*($C$94:$C$109=1))</f>
        <v>0.8</v>
      </c>
      <c r="J111" s="33">
        <f t="shared" si="15"/>
        <v>1.2</v>
      </c>
      <c r="K111" s="33">
        <f t="shared" si="15"/>
        <v>2.2000000000000002</v>
      </c>
      <c r="L111" s="33">
        <f t="shared" si="15"/>
        <v>3.1</v>
      </c>
      <c r="M111" s="33">
        <f t="shared" si="15"/>
        <v>3.5</v>
      </c>
      <c r="O111" s="33">
        <f>SUM(I111:M111)</f>
        <v>10.8</v>
      </c>
      <c r="P111" s="556" t="s">
        <v>334</v>
      </c>
    </row>
    <row r="112" spans="3:16">
      <c r="D112" s="29" t="s">
        <v>280</v>
      </c>
      <c r="H112" s="33">
        <f>SUMPRODUCT((H$94:H$109)*($C$94:$C$109&lt;=2))</f>
        <v>0</v>
      </c>
      <c r="I112" s="33">
        <f t="shared" ref="I112:M112" si="16">SUMPRODUCT((I$94:I$109)*($C$94:$C$109&lt;=2))</f>
        <v>0.8</v>
      </c>
      <c r="J112" s="33">
        <f t="shared" si="16"/>
        <v>1.2</v>
      </c>
      <c r="K112" s="33">
        <f t="shared" si="16"/>
        <v>2.2000000000000002</v>
      </c>
      <c r="L112" s="33">
        <f t="shared" si="16"/>
        <v>3.1</v>
      </c>
      <c r="M112" s="33">
        <f t="shared" si="16"/>
        <v>3.5</v>
      </c>
      <c r="O112" s="33">
        <f>SUM(I112:M112)</f>
        <v>10.8</v>
      </c>
      <c r="P112" s="556" t="s">
        <v>334</v>
      </c>
    </row>
    <row r="113" spans="2:16">
      <c r="D113" s="29" t="s">
        <v>617</v>
      </c>
      <c r="H113" s="33">
        <f>SUMPRODUCT((H$94:H$109)*($C$94:$C$109=3))</f>
        <v>0</v>
      </c>
      <c r="I113" s="33">
        <f t="shared" ref="I113:M113" si="17">SUMPRODUCT((I$94:I$109)*($C$94:$C$109=3))</f>
        <v>16.2</v>
      </c>
      <c r="J113" s="33">
        <f t="shared" si="17"/>
        <v>16.399999999999999</v>
      </c>
      <c r="K113" s="33">
        <f t="shared" si="17"/>
        <v>15.299999999999999</v>
      </c>
      <c r="L113" s="33">
        <f t="shared" si="17"/>
        <v>14.899999999999999</v>
      </c>
      <c r="M113" s="33">
        <f t="shared" si="17"/>
        <v>14.6</v>
      </c>
      <c r="O113" s="33">
        <f>SUM(I113:M113)</f>
        <v>77.399999999999991</v>
      </c>
      <c r="P113" s="556" t="s">
        <v>334</v>
      </c>
    </row>
    <row r="114" spans="2:16">
      <c r="D114" s="29"/>
      <c r="H114" s="33"/>
      <c r="I114" s="33"/>
      <c r="J114" s="33"/>
      <c r="K114" s="33"/>
      <c r="L114" s="33"/>
      <c r="M114" s="33"/>
      <c r="O114" s="33"/>
      <c r="P114" s="556"/>
    </row>
    <row r="115" spans="2:16">
      <c r="D115" s="53" t="s">
        <v>590</v>
      </c>
      <c r="E115" s="53"/>
      <c r="F115" s="53"/>
      <c r="G115" s="53"/>
      <c r="H115" s="565">
        <f>-H85*Wages!K32*'HAL - CAA - ip'!H39</f>
        <v>0</v>
      </c>
      <c r="I115" s="565">
        <f>-I85*Wages!L32*'HAL - CAA - ip'!I39</f>
        <v>1.0980428501619364</v>
      </c>
      <c r="J115" s="565">
        <f>-J85*Wages!M32*'HAL - CAA - ip'!J39</f>
        <v>2.1283127255113827</v>
      </c>
      <c r="K115" s="565">
        <f>-K85*Wages!N32*'HAL - CAA - ip'!K39</f>
        <v>3.0581085111983377</v>
      </c>
      <c r="L115" s="565">
        <f>-L85*Wages!O32*'HAL - CAA - ip'!L39</f>
        <v>4.0008534950637031</v>
      </c>
      <c r="M115" s="565">
        <f>-M85*Wages!P32*'HAL - CAA - ip'!M39</f>
        <v>4.970819239454511</v>
      </c>
      <c r="N115" s="53"/>
      <c r="O115" s="565">
        <f t="shared" ref="O115" si="18">SUM(I115:M115)</f>
        <v>15.25613682138987</v>
      </c>
      <c r="P115" s="556" t="s">
        <v>334</v>
      </c>
    </row>
    <row r="116" spans="2:16">
      <c r="D116" s="29"/>
      <c r="H116" s="33"/>
      <c r="I116" s="33"/>
      <c r="J116" s="33"/>
      <c r="K116" s="33"/>
      <c r="L116" s="33"/>
      <c r="M116" s="33"/>
      <c r="O116" s="33"/>
      <c r="P116" s="556"/>
    </row>
    <row r="117" spans="2:16">
      <c r="D117" s="29" t="s">
        <v>776</v>
      </c>
      <c r="H117" s="33">
        <f t="shared" ref="H117:M117" si="19">H111-H115</f>
        <v>0</v>
      </c>
      <c r="I117" s="33">
        <f t="shared" si="19"/>
        <v>-0.29804285016193632</v>
      </c>
      <c r="J117" s="33">
        <f t="shared" si="19"/>
        <v>-0.92831272551138277</v>
      </c>
      <c r="K117" s="33">
        <f t="shared" si="19"/>
        <v>-0.85810851119833753</v>
      </c>
      <c r="L117" s="33">
        <f t="shared" si="19"/>
        <v>-0.90085349506370305</v>
      </c>
      <c r="M117" s="33">
        <f t="shared" si="19"/>
        <v>-1.470819239454511</v>
      </c>
      <c r="O117" s="33">
        <f>SUM(I117:M117)</f>
        <v>-4.4561368213898707</v>
      </c>
      <c r="P117" s="556" t="s">
        <v>334</v>
      </c>
    </row>
    <row r="118" spans="2:16">
      <c r="D118" s="29" t="s">
        <v>596</v>
      </c>
      <c r="H118" s="33">
        <f t="shared" ref="H118:M118" si="20">H112-H115</f>
        <v>0</v>
      </c>
      <c r="I118" s="33">
        <f t="shared" si="20"/>
        <v>-0.29804285016193632</v>
      </c>
      <c r="J118" s="33">
        <f t="shared" si="20"/>
        <v>-0.92831272551138277</v>
      </c>
      <c r="K118" s="33">
        <f t="shared" si="20"/>
        <v>-0.85810851119833753</v>
      </c>
      <c r="L118" s="33">
        <f t="shared" si="20"/>
        <v>-0.90085349506370305</v>
      </c>
      <c r="M118" s="33">
        <f t="shared" si="20"/>
        <v>-1.470819239454511</v>
      </c>
      <c r="N118" s="33"/>
      <c r="O118" s="33">
        <f>SUM(I118:M118)</f>
        <v>-4.4561368213898707</v>
      </c>
      <c r="P118" s="556" t="s">
        <v>334</v>
      </c>
    </row>
    <row r="119" spans="2:16">
      <c r="D119" s="29" t="s">
        <v>777</v>
      </c>
      <c r="H119" s="33">
        <f t="shared" ref="H119:M119" si="21">H113-H115</f>
        <v>0</v>
      </c>
      <c r="I119" s="33">
        <f t="shared" si="21"/>
        <v>15.101957149838062</v>
      </c>
      <c r="J119" s="33">
        <f t="shared" si="21"/>
        <v>14.271687274488617</v>
      </c>
      <c r="K119" s="33">
        <f t="shared" si="21"/>
        <v>12.241891488801661</v>
      </c>
      <c r="L119" s="33">
        <f t="shared" si="21"/>
        <v>10.899146504936295</v>
      </c>
      <c r="M119" s="33">
        <f t="shared" si="21"/>
        <v>9.6291807605454878</v>
      </c>
      <c r="N119" s="33"/>
      <c r="O119" s="33">
        <f>SUM(I119:M119)</f>
        <v>62.143863178610125</v>
      </c>
      <c r="P119" s="556" t="s">
        <v>334</v>
      </c>
    </row>
    <row r="121" spans="2:16">
      <c r="D121" s="204"/>
      <c r="H121" s="378"/>
      <c r="I121" s="378"/>
      <c r="J121" s="378"/>
      <c r="K121" s="378"/>
      <c r="L121" s="378"/>
      <c r="M121" s="378"/>
      <c r="N121" s="204"/>
      <c r="O121" s="33"/>
      <c r="P121" s="284"/>
    </row>
    <row r="123" spans="2:16">
      <c r="B123" s="329" t="s">
        <v>445</v>
      </c>
      <c r="C123" s="331"/>
      <c r="D123" s="331"/>
      <c r="E123" s="331"/>
      <c r="F123" s="331"/>
      <c r="G123" s="331"/>
      <c r="H123" s="331"/>
      <c r="I123" s="331"/>
      <c r="J123" s="331"/>
      <c r="K123" s="331"/>
      <c r="L123" s="331"/>
      <c r="M123" s="331"/>
      <c r="N123" s="331"/>
      <c r="O123" s="331"/>
      <c r="P123" s="331"/>
    </row>
    <row r="127" spans="2:16">
      <c r="M127" s="33"/>
    </row>
  </sheetData>
  <mergeCells count="9">
    <mergeCell ref="C8:G8"/>
    <mergeCell ref="I91:M91"/>
    <mergeCell ref="I8:M8"/>
    <mergeCell ref="C28:G28"/>
    <mergeCell ref="I28:M28"/>
    <mergeCell ref="C47:G47"/>
    <mergeCell ref="I47:M47"/>
    <mergeCell ref="C68:G68"/>
    <mergeCell ref="I68:M68"/>
  </mergeCells>
  <pageMargins left="0.70866141732283472" right="0.70866141732283472" top="0.74803149606299213" bottom="0.74803149606299213" header="0.31496062992125984" footer="0.31496062992125984"/>
  <pageSetup paperSize="9" scale="50" orientation="portrait" r:id="rId1"/>
  <headerFooter>
    <oddHeader>&amp;C&amp;A&amp;D</oddHeader>
  </headerFooter>
  <ignoredErrors>
    <ignoredError sqref="O49" formulaRange="1"/>
  </ignoredErrors>
  <legacyDrawing r:id="rId2"/>
</worksheet>
</file>

<file path=xl/worksheets/sheet18.xml><?xml version="1.0" encoding="utf-8"?>
<worksheet xmlns="http://schemas.openxmlformats.org/spreadsheetml/2006/main" xmlns:r="http://schemas.openxmlformats.org/officeDocument/2006/relationships">
  <sheetPr>
    <pageSetUpPr fitToPage="1"/>
  </sheetPr>
  <dimension ref="B2:U52"/>
  <sheetViews>
    <sheetView showGridLines="0" tabSelected="1" zoomScale="70" zoomScaleNormal="70" workbookViewId="0">
      <selection activeCell="B59" sqref="B59"/>
    </sheetView>
  </sheetViews>
  <sheetFormatPr defaultRowHeight="12.75"/>
  <cols>
    <col min="1" max="1" width="9.140625" style="19"/>
    <col min="2" max="2" width="34.7109375" style="19" customWidth="1"/>
    <col min="3" max="5" width="9.140625" style="19" customWidth="1"/>
    <col min="6" max="7" width="9.140625" style="19"/>
    <col min="8" max="10" width="13" style="19" bestFit="1" customWidth="1"/>
    <col min="11" max="11" width="10.5703125" style="19" bestFit="1" customWidth="1"/>
    <col min="12" max="12" width="10.28515625" style="19" bestFit="1" customWidth="1"/>
    <col min="13" max="17" width="9.140625" style="19"/>
    <col min="18" max="18" width="10.28515625" style="19" bestFit="1" customWidth="1"/>
    <col min="19" max="16384" width="9.140625" style="19"/>
  </cols>
  <sheetData>
    <row r="2" spans="2:20">
      <c r="B2" s="53" t="s">
        <v>796</v>
      </c>
    </row>
    <row r="4" spans="2:20">
      <c r="B4" s="84" t="s">
        <v>762</v>
      </c>
      <c r="C4" s="84"/>
      <c r="D4" s="84"/>
      <c r="E4" s="84"/>
      <c r="F4" s="86"/>
      <c r="G4" s="86"/>
      <c r="H4" s="86"/>
      <c r="I4" s="86"/>
      <c r="J4" s="86"/>
      <c r="K4" s="86"/>
      <c r="L4" s="86"/>
      <c r="M4" s="86"/>
      <c r="N4" s="86"/>
      <c r="O4" s="86"/>
      <c r="P4" s="86"/>
      <c r="Q4" s="86"/>
      <c r="R4" s="86"/>
      <c r="S4" s="86"/>
      <c r="T4" s="86"/>
    </row>
    <row r="6" spans="2:20">
      <c r="F6" s="626" t="s">
        <v>30</v>
      </c>
      <c r="G6" s="627"/>
      <c r="H6" s="627"/>
      <c r="I6" s="627"/>
      <c r="J6" s="628"/>
      <c r="K6" s="87" t="s">
        <v>187</v>
      </c>
      <c r="L6" s="626" t="s">
        <v>31</v>
      </c>
      <c r="M6" s="627"/>
      <c r="N6" s="627"/>
      <c r="O6" s="627"/>
      <c r="P6" s="628"/>
      <c r="R6" s="374" t="s">
        <v>269</v>
      </c>
      <c r="S6" s="374" t="s">
        <v>40</v>
      </c>
      <c r="T6" s="374" t="s">
        <v>460</v>
      </c>
    </row>
    <row r="7" spans="2:20">
      <c r="F7" s="75" t="s">
        <v>12</v>
      </c>
      <c r="G7" s="75" t="s">
        <v>13</v>
      </c>
      <c r="H7" s="75" t="s">
        <v>14</v>
      </c>
      <c r="I7" s="75" t="s">
        <v>15</v>
      </c>
      <c r="J7" s="75" t="s">
        <v>16</v>
      </c>
      <c r="K7" s="75" t="s">
        <v>17</v>
      </c>
      <c r="L7" s="75" t="s">
        <v>32</v>
      </c>
      <c r="M7" s="75" t="s">
        <v>33</v>
      </c>
      <c r="N7" s="75" t="s">
        <v>34</v>
      </c>
      <c r="O7" s="75" t="s">
        <v>35</v>
      </c>
      <c r="P7" s="75" t="s">
        <v>36</v>
      </c>
      <c r="S7" s="31"/>
    </row>
    <row r="8" spans="2:20">
      <c r="B8" s="94" t="s">
        <v>626</v>
      </c>
      <c r="C8" s="94"/>
      <c r="D8" s="94"/>
      <c r="E8" s="94"/>
      <c r="F8" s="572">
        <f>'HAL - aBP'!C28+'HAL - aBP'!C29</f>
        <v>239.20000000000002</v>
      </c>
      <c r="G8" s="419">
        <f>'HAL - aBP'!D28+'HAL - aBP'!D29</f>
        <v>223</v>
      </c>
      <c r="H8" s="419">
        <f>'HAL - aBP'!E28+'HAL - aBP'!E29</f>
        <v>218.1</v>
      </c>
      <c r="I8" s="419">
        <f>'HAL - aBP'!F28+'HAL - aBP'!F29</f>
        <v>219.7</v>
      </c>
      <c r="J8" s="419">
        <f>'HAL - aBP'!G28+'HAL - aBP'!G29</f>
        <v>226.60000000000002</v>
      </c>
      <c r="K8" s="419">
        <f>'HAL - aBP'!H28+'HAL - aBP'!H29</f>
        <v>228</v>
      </c>
      <c r="L8" s="419">
        <f>'HAL - aBP'!I28+'HAL - aBP'!I29</f>
        <v>229.79999999999998</v>
      </c>
      <c r="M8" s="419">
        <f>'HAL - aBP'!J28+'HAL - aBP'!J29</f>
        <v>216.39999999999998</v>
      </c>
      <c r="N8" s="419">
        <f>'HAL - aBP'!K28+'HAL - aBP'!K29</f>
        <v>210.8</v>
      </c>
      <c r="O8" s="419">
        <f>'HAL - aBP'!L28+'HAL - aBP'!L29</f>
        <v>193.9</v>
      </c>
      <c r="P8" s="419">
        <f>'HAL - aBP'!M28+'HAL - aBP'!M29</f>
        <v>192.60000000000002</v>
      </c>
      <c r="R8" s="416">
        <f>SUM(L8:P8)</f>
        <v>1043.5</v>
      </c>
      <c r="S8" s="417">
        <f>((P8/K8)^(1/5))-1</f>
        <v>-3.3182980076056023E-2</v>
      </c>
      <c r="T8" s="418">
        <f t="shared" ref="T8" si="0">R8/5</f>
        <v>208.7</v>
      </c>
    </row>
    <row r="10" spans="2:20">
      <c r="B10" s="84" t="s">
        <v>258</v>
      </c>
      <c r="C10" s="84"/>
      <c r="D10" s="84"/>
      <c r="E10" s="84"/>
      <c r="F10" s="626" t="s">
        <v>30</v>
      </c>
      <c r="G10" s="627"/>
      <c r="H10" s="627"/>
      <c r="I10" s="627"/>
      <c r="J10" s="628"/>
      <c r="K10" s="87" t="s">
        <v>187</v>
      </c>
      <c r="L10" s="626" t="s">
        <v>31</v>
      </c>
      <c r="M10" s="627"/>
      <c r="N10" s="627"/>
      <c r="O10" s="627"/>
      <c r="P10" s="628"/>
      <c r="R10" s="179" t="s">
        <v>269</v>
      </c>
      <c r="S10" s="179" t="s">
        <v>40</v>
      </c>
      <c r="T10" s="275" t="s">
        <v>460</v>
      </c>
    </row>
    <row r="11" spans="2:20">
      <c r="B11" s="29" t="s">
        <v>252</v>
      </c>
      <c r="C11" s="29"/>
      <c r="D11" s="29"/>
      <c r="E11" s="29"/>
      <c r="F11" s="75" t="s">
        <v>12</v>
      </c>
      <c r="G11" s="75" t="s">
        <v>13</v>
      </c>
      <c r="H11" s="75" t="s">
        <v>14</v>
      </c>
      <c r="I11" s="75" t="s">
        <v>15</v>
      </c>
      <c r="J11" s="75" t="s">
        <v>16</v>
      </c>
      <c r="K11" s="75" t="s">
        <v>17</v>
      </c>
      <c r="L11" s="75" t="s">
        <v>32</v>
      </c>
      <c r="M11" s="75" t="s">
        <v>33</v>
      </c>
      <c r="N11" s="75" t="s">
        <v>34</v>
      </c>
      <c r="O11" s="75" t="s">
        <v>35</v>
      </c>
      <c r="P11" s="75" t="s">
        <v>36</v>
      </c>
      <c r="S11" s="31"/>
    </row>
    <row r="12" spans="2:20">
      <c r="B12" s="92" t="s">
        <v>253</v>
      </c>
      <c r="C12" s="92"/>
      <c r="D12" s="92"/>
      <c r="E12" s="92"/>
      <c r="F12" s="614" t="s">
        <v>808</v>
      </c>
      <c r="G12" s="614" t="s">
        <v>808</v>
      </c>
      <c r="H12" s="614" t="s">
        <v>808</v>
      </c>
      <c r="I12" s="614" t="s">
        <v>808</v>
      </c>
      <c r="J12" s="614" t="s">
        <v>808</v>
      </c>
      <c r="K12" s="614" t="s">
        <v>808</v>
      </c>
      <c r="L12" s="614" t="s">
        <v>808</v>
      </c>
      <c r="M12" s="614" t="s">
        <v>808</v>
      </c>
      <c r="N12" s="614" t="s">
        <v>808</v>
      </c>
      <c r="O12" s="614" t="s">
        <v>808</v>
      </c>
      <c r="P12" s="614" t="s">
        <v>808</v>
      </c>
      <c r="Q12" s="40"/>
      <c r="R12" s="614" t="s">
        <v>808</v>
      </c>
      <c r="S12" s="614" t="s">
        <v>808</v>
      </c>
      <c r="T12" s="614" t="s">
        <v>808</v>
      </c>
    </row>
    <row r="13" spans="2:20">
      <c r="B13" s="94" t="s">
        <v>254</v>
      </c>
      <c r="C13" s="94"/>
      <c r="D13" s="94"/>
      <c r="E13" s="94"/>
      <c r="F13" s="614" t="s">
        <v>808</v>
      </c>
      <c r="G13" s="614" t="s">
        <v>808</v>
      </c>
      <c r="H13" s="614" t="s">
        <v>808</v>
      </c>
      <c r="I13" s="614" t="s">
        <v>808</v>
      </c>
      <c r="J13" s="614" t="s">
        <v>808</v>
      </c>
      <c r="K13" s="614" t="s">
        <v>808</v>
      </c>
      <c r="L13" s="614" t="s">
        <v>808</v>
      </c>
      <c r="M13" s="614" t="s">
        <v>808</v>
      </c>
      <c r="N13" s="614" t="s">
        <v>808</v>
      </c>
      <c r="O13" s="614" t="s">
        <v>808</v>
      </c>
      <c r="P13" s="614" t="s">
        <v>808</v>
      </c>
      <c r="Q13" s="40"/>
      <c r="R13" s="614" t="s">
        <v>808</v>
      </c>
      <c r="S13" s="614" t="s">
        <v>808</v>
      </c>
      <c r="T13" s="614" t="s">
        <v>808</v>
      </c>
    </row>
    <row r="14" spans="2:20">
      <c r="B14" s="94" t="s">
        <v>255</v>
      </c>
      <c r="C14" s="94"/>
      <c r="D14" s="94"/>
      <c r="E14" s="94"/>
      <c r="F14" s="614" t="s">
        <v>808</v>
      </c>
      <c r="G14" s="614" t="s">
        <v>808</v>
      </c>
      <c r="H14" s="614" t="s">
        <v>808</v>
      </c>
      <c r="I14" s="614" t="s">
        <v>808</v>
      </c>
      <c r="J14" s="614" t="s">
        <v>808</v>
      </c>
      <c r="K14" s="614" t="s">
        <v>808</v>
      </c>
      <c r="L14" s="614" t="s">
        <v>808</v>
      </c>
      <c r="M14" s="614" t="s">
        <v>808</v>
      </c>
      <c r="N14" s="614" t="s">
        <v>808</v>
      </c>
      <c r="O14" s="614" t="s">
        <v>808</v>
      </c>
      <c r="P14" s="614" t="s">
        <v>808</v>
      </c>
      <c r="Q14" s="40"/>
      <c r="R14" s="614" t="s">
        <v>808</v>
      </c>
      <c r="S14" s="614" t="s">
        <v>808</v>
      </c>
      <c r="T14" s="614" t="s">
        <v>808</v>
      </c>
    </row>
    <row r="15" spans="2:20">
      <c r="B15" s="94" t="s">
        <v>251</v>
      </c>
      <c r="C15" s="94"/>
      <c r="D15" s="94"/>
      <c r="E15" s="94"/>
      <c r="F15" s="614" t="s">
        <v>808</v>
      </c>
      <c r="G15" s="614" t="s">
        <v>808</v>
      </c>
      <c r="H15" s="614" t="s">
        <v>808</v>
      </c>
      <c r="I15" s="614" t="s">
        <v>808</v>
      </c>
      <c r="J15" s="614" t="s">
        <v>808</v>
      </c>
      <c r="K15" s="614" t="s">
        <v>808</v>
      </c>
      <c r="L15" s="614" t="s">
        <v>808</v>
      </c>
      <c r="M15" s="614" t="s">
        <v>808</v>
      </c>
      <c r="N15" s="614" t="s">
        <v>808</v>
      </c>
      <c r="O15" s="614" t="s">
        <v>808</v>
      </c>
      <c r="P15" s="614" t="s">
        <v>808</v>
      </c>
      <c r="Q15" s="40"/>
      <c r="R15" s="614" t="s">
        <v>808</v>
      </c>
      <c r="S15" s="614" t="s">
        <v>808</v>
      </c>
      <c r="T15" s="614" t="s">
        <v>808</v>
      </c>
    </row>
    <row r="16" spans="2:20">
      <c r="B16" s="94" t="s">
        <v>87</v>
      </c>
      <c r="C16" s="94"/>
      <c r="D16" s="94"/>
      <c r="E16" s="94"/>
      <c r="F16" s="614" t="s">
        <v>808</v>
      </c>
      <c r="G16" s="614" t="s">
        <v>808</v>
      </c>
      <c r="H16" s="614" t="s">
        <v>808</v>
      </c>
      <c r="I16" s="614" t="s">
        <v>808</v>
      </c>
      <c r="J16" s="614" t="s">
        <v>808</v>
      </c>
      <c r="K16" s="614" t="s">
        <v>808</v>
      </c>
      <c r="L16" s="614" t="s">
        <v>808</v>
      </c>
      <c r="M16" s="614" t="s">
        <v>808</v>
      </c>
      <c r="N16" s="614" t="s">
        <v>808</v>
      </c>
      <c r="O16" s="614" t="s">
        <v>808</v>
      </c>
      <c r="P16" s="614" t="s">
        <v>808</v>
      </c>
      <c r="Q16" s="40"/>
      <c r="R16" s="614" t="s">
        <v>808</v>
      </c>
      <c r="S16" s="614" t="s">
        <v>808</v>
      </c>
      <c r="T16" s="614" t="s">
        <v>808</v>
      </c>
    </row>
    <row r="17" spans="2:21">
      <c r="B17" s="94" t="s">
        <v>256</v>
      </c>
      <c r="C17" s="94"/>
      <c r="D17" s="94"/>
      <c r="E17" s="94"/>
      <c r="F17" s="614" t="s">
        <v>808</v>
      </c>
      <c r="G17" s="614" t="s">
        <v>808</v>
      </c>
      <c r="H17" s="614" t="s">
        <v>808</v>
      </c>
      <c r="I17" s="614" t="s">
        <v>808</v>
      </c>
      <c r="J17" s="614" t="s">
        <v>808</v>
      </c>
      <c r="K17" s="614" t="s">
        <v>808</v>
      </c>
      <c r="L17" s="614" t="s">
        <v>808</v>
      </c>
      <c r="M17" s="614" t="s">
        <v>808</v>
      </c>
      <c r="N17" s="614" t="s">
        <v>808</v>
      </c>
      <c r="O17" s="614" t="s">
        <v>808</v>
      </c>
      <c r="P17" s="614" t="s">
        <v>808</v>
      </c>
      <c r="Q17" s="40"/>
      <c r="R17" s="614" t="s">
        <v>808</v>
      </c>
      <c r="S17" s="614" t="s">
        <v>808</v>
      </c>
      <c r="T17" s="614" t="s">
        <v>808</v>
      </c>
    </row>
    <row r="18" spans="2:21">
      <c r="B18" s="94" t="s">
        <v>28</v>
      </c>
      <c r="C18" s="94"/>
      <c r="D18" s="94"/>
      <c r="E18" s="94"/>
      <c r="F18" s="172">
        <f>'HAL - aBP'!C55</f>
        <v>7907</v>
      </c>
      <c r="G18" s="172">
        <f>'HAL - aBP'!D55</f>
        <v>7406</v>
      </c>
      <c r="H18" s="172">
        <f>'HAL - aBP'!E55</f>
        <v>7457</v>
      </c>
      <c r="I18" s="172">
        <f>'HAL - aBP'!F55</f>
        <v>7464</v>
      </c>
      <c r="J18" s="172">
        <f>'HAL - aBP'!G55</f>
        <v>7152</v>
      </c>
      <c r="K18" s="172">
        <f>'HAL - aBP'!H55</f>
        <v>6893</v>
      </c>
      <c r="L18" s="172">
        <f>'HAL - aBP'!I55</f>
        <v>6580</v>
      </c>
      <c r="M18" s="172">
        <f>'HAL - aBP'!J55</f>
        <v>6337</v>
      </c>
      <c r="N18" s="172">
        <f>'HAL - aBP'!K55</f>
        <v>6034</v>
      </c>
      <c r="O18" s="172">
        <f>'HAL - aBP'!L55</f>
        <v>5860</v>
      </c>
      <c r="P18" s="172">
        <f>'HAL - aBP'!M55</f>
        <v>5812</v>
      </c>
      <c r="R18" s="170">
        <f t="shared" ref="R18" si="1">SUM(L18:P18)</f>
        <v>30623</v>
      </c>
      <c r="S18" s="113">
        <f t="shared" ref="S18" si="2">((P18/K18)^(1/5))-1</f>
        <v>-3.3540931669854279E-2</v>
      </c>
      <c r="T18" s="381">
        <f t="shared" ref="T18:T25" si="3">R18/5</f>
        <v>6124.6</v>
      </c>
    </row>
    <row r="19" spans="2:21">
      <c r="B19" s="43"/>
      <c r="C19" s="43"/>
      <c r="D19" s="43"/>
      <c r="E19" s="43"/>
      <c r="F19" s="171"/>
      <c r="G19" s="171"/>
      <c r="H19" s="171"/>
      <c r="I19" s="171"/>
      <c r="J19" s="171"/>
      <c r="K19" s="171"/>
      <c r="L19" s="171"/>
      <c r="M19" s="171"/>
      <c r="N19" s="171"/>
      <c r="O19" s="171"/>
      <c r="P19" s="171"/>
      <c r="R19" s="170"/>
      <c r="S19" s="113"/>
      <c r="T19" s="381"/>
    </row>
    <row r="20" spans="2:21">
      <c r="B20" s="376" t="s">
        <v>622</v>
      </c>
      <c r="C20" s="376"/>
      <c r="D20" s="376"/>
      <c r="E20" s="376"/>
      <c r="F20" s="571">
        <f t="shared" ref="F20:O20" si="4">(F8/F18)*1000000</f>
        <v>30251.675730365499</v>
      </c>
      <c r="G20" s="571">
        <f t="shared" si="4"/>
        <v>30110.721036997031</v>
      </c>
      <c r="H20" s="571">
        <f t="shared" si="4"/>
        <v>29247.686737293818</v>
      </c>
      <c r="I20" s="571">
        <f t="shared" si="4"/>
        <v>29434.619506966774</v>
      </c>
      <c r="J20" s="571">
        <f t="shared" si="4"/>
        <v>31683.445190156603</v>
      </c>
      <c r="K20" s="571">
        <f t="shared" si="4"/>
        <v>33077.03467285652</v>
      </c>
      <c r="L20" s="571">
        <f t="shared" si="4"/>
        <v>34924.012158054706</v>
      </c>
      <c r="M20" s="571">
        <f t="shared" si="4"/>
        <v>34148.650781126715</v>
      </c>
      <c r="N20" s="571">
        <f t="shared" si="4"/>
        <v>34935.366257872061</v>
      </c>
      <c r="O20" s="571">
        <f t="shared" si="4"/>
        <v>33088.737201365191</v>
      </c>
      <c r="P20" s="571">
        <f>(P8/P18)*1000000</f>
        <v>33138.334480385412</v>
      </c>
      <c r="R20" s="170"/>
      <c r="S20" s="113">
        <f>((P20/K20)^(1/5))-1</f>
        <v>3.7037429263997446E-4</v>
      </c>
      <c r="T20" s="381"/>
    </row>
    <row r="21" spans="2:21">
      <c r="B21" s="43"/>
      <c r="C21" s="43"/>
      <c r="D21" s="43"/>
      <c r="E21" s="43"/>
      <c r="F21" s="171"/>
      <c r="G21" s="171"/>
      <c r="H21" s="171"/>
      <c r="I21" s="171"/>
      <c r="J21" s="171"/>
      <c r="K21" s="171"/>
      <c r="L21" s="171"/>
      <c r="M21" s="171"/>
      <c r="N21" s="171"/>
      <c r="O21" s="171"/>
      <c r="P21" s="171"/>
      <c r="R21" s="170"/>
      <c r="S21" s="113"/>
      <c r="T21" s="381"/>
    </row>
    <row r="22" spans="2:21">
      <c r="B22" s="94" t="s">
        <v>273</v>
      </c>
      <c r="C22" s="94"/>
      <c r="D22" s="94"/>
      <c r="E22" s="94"/>
      <c r="F22" s="570">
        <f t="shared" ref="F22:H22" si="5">F18/$I$18</f>
        <v>1.0593515541264737</v>
      </c>
      <c r="G22" s="570">
        <f t="shared" si="5"/>
        <v>0.99222936763129688</v>
      </c>
      <c r="H22" s="570">
        <f t="shared" si="5"/>
        <v>0.99906216505894962</v>
      </c>
      <c r="I22" s="570">
        <f>I18/$I$18</f>
        <v>1</v>
      </c>
      <c r="J22" s="570">
        <f>J18/$I$18</f>
        <v>0.95819935691318325</v>
      </c>
      <c r="K22" s="570">
        <f>K18/$I$18</f>
        <v>0.92349946409431938</v>
      </c>
      <c r="L22" s="570">
        <f>L18/$I$18</f>
        <v>0.88156484458735263</v>
      </c>
      <c r="M22" s="570">
        <f t="shared" ref="M22:P22" si="6">M18/$I$18</f>
        <v>0.84900857449088962</v>
      </c>
      <c r="N22" s="570">
        <f t="shared" si="6"/>
        <v>0.80841371918542337</v>
      </c>
      <c r="O22" s="570">
        <f t="shared" si="6"/>
        <v>0.785101822079314</v>
      </c>
      <c r="P22" s="570">
        <f t="shared" si="6"/>
        <v>0.7786709539121115</v>
      </c>
      <c r="R22" s="396"/>
      <c r="S22" s="113"/>
      <c r="T22" s="381"/>
    </row>
    <row r="23" spans="2:21">
      <c r="B23" s="43"/>
      <c r="C23" s="43"/>
      <c r="D23" s="43"/>
      <c r="E23" s="43"/>
      <c r="F23" s="355"/>
      <c r="G23" s="355"/>
      <c r="H23" s="355"/>
      <c r="I23" s="355"/>
      <c r="J23" s="355"/>
      <c r="K23" s="355"/>
      <c r="L23" s="355"/>
      <c r="M23" s="355"/>
      <c r="N23" s="355"/>
      <c r="O23" s="355"/>
      <c r="P23" s="355"/>
      <c r="R23" s="211"/>
      <c r="S23" s="113"/>
      <c r="T23" s="381"/>
    </row>
    <row r="24" spans="2:21">
      <c r="B24" s="177" t="s">
        <v>231</v>
      </c>
      <c r="C24" s="177"/>
      <c r="D24" s="177"/>
      <c r="E24" s="177"/>
      <c r="F24" s="537"/>
      <c r="G24" s="537"/>
      <c r="H24" s="537"/>
      <c r="I24" s="537"/>
      <c r="J24" s="537"/>
      <c r="K24" s="537"/>
      <c r="L24" s="537"/>
      <c r="M24" s="537"/>
      <c r="N24" s="537"/>
      <c r="O24" s="537"/>
      <c r="P24" s="537"/>
      <c r="R24" s="170"/>
      <c r="S24" s="113"/>
      <c r="T24" s="381"/>
    </row>
    <row r="25" spans="2:21">
      <c r="B25" s="212" t="s">
        <v>290</v>
      </c>
      <c r="C25" s="212"/>
      <c r="D25" s="212"/>
      <c r="E25" s="212"/>
      <c r="F25" s="402">
        <f>'HAL - Reg'!S82</f>
        <v>289.51742065647551</v>
      </c>
      <c r="G25" s="402">
        <f>'HAL - Reg'!T82</f>
        <v>254.64821180287353</v>
      </c>
      <c r="H25" s="402">
        <f>'HAL - Reg'!U82</f>
        <v>258.85149207050085</v>
      </c>
      <c r="I25" s="566">
        <f>'HAL - Reg'!V82</f>
        <v>270.39999999999998</v>
      </c>
      <c r="J25" s="402">
        <f>'HAL - Reg'!W82</f>
        <v>318.55728347127143</v>
      </c>
      <c r="K25" s="258">
        <f>$I$25*K22</f>
        <v>249.71425509110395</v>
      </c>
      <c r="L25" s="258">
        <f>$I$25*L22</f>
        <v>238.37513397642013</v>
      </c>
      <c r="M25" s="258">
        <f>$I$25*M22</f>
        <v>229.57191854233653</v>
      </c>
      <c r="N25" s="258">
        <f>$I$25*N22</f>
        <v>218.59506966773847</v>
      </c>
      <c r="O25" s="258">
        <f>$I$25*O22</f>
        <v>212.2915326902465</v>
      </c>
      <c r="P25" s="258">
        <f t="shared" ref="P25" si="7">$I$25*P22</f>
        <v>210.55262593783493</v>
      </c>
      <c r="R25" s="170">
        <f>SUM(L25:P25)</f>
        <v>1109.3862808145766</v>
      </c>
      <c r="S25" s="113">
        <f>((P25/K25)^(1/5))-1</f>
        <v>-3.3540931669854279E-2</v>
      </c>
      <c r="T25" s="381">
        <f t="shared" si="3"/>
        <v>221.87725616291533</v>
      </c>
      <c r="U25" s="29"/>
    </row>
    <row r="26" spans="2:21">
      <c r="B26" s="212" t="s">
        <v>733</v>
      </c>
      <c r="C26" s="212"/>
      <c r="D26" s="212"/>
      <c r="E26" s="212"/>
      <c r="F26" s="120">
        <f>'Staff Costs'!C16</f>
        <v>269.3</v>
      </c>
      <c r="G26" s="120">
        <f>'Staff Costs'!D16</f>
        <v>226.29999999999998</v>
      </c>
      <c r="H26" s="120">
        <f>'Staff Costs'!E16</f>
        <v>245.79999999999998</v>
      </c>
      <c r="I26" s="120">
        <f>'Staff Costs'!F16</f>
        <v>262.10000000000002</v>
      </c>
      <c r="J26" s="120">
        <f>'Staff Costs'!G16</f>
        <v>291.3</v>
      </c>
      <c r="K26" s="258">
        <f>'Staff Costs'!H16</f>
        <v>280.75096476510066</v>
      </c>
      <c r="L26" s="258">
        <f>'Staff Costs'!I16</f>
        <v>268.0025167785235</v>
      </c>
      <c r="M26" s="258">
        <f>'Staff Costs'!J16</f>
        <v>258.10515939597315</v>
      </c>
      <c r="N26" s="258">
        <f>'Staff Costs'!K16</f>
        <v>245.7640100671141</v>
      </c>
      <c r="O26" s="258">
        <f>'Staff Costs'!L16</f>
        <v>238.67701342281879</v>
      </c>
      <c r="P26" s="258">
        <f>'Staff Costs'!M16</f>
        <v>236.7219798657718</v>
      </c>
      <c r="R26" s="170">
        <f t="shared" ref="R26:R27" si="8">SUM(L26:P26)</f>
        <v>1247.2706795302013</v>
      </c>
      <c r="S26" s="113">
        <f t="shared" ref="S26:S27" si="9">((P26/K26)^(1/5))-1</f>
        <v>-3.3540931669854279E-2</v>
      </c>
      <c r="T26" s="381">
        <f t="shared" ref="T26:T27" si="10">R26/5</f>
        <v>249.45413590604025</v>
      </c>
    </row>
    <row r="27" spans="2:21">
      <c r="B27" s="212" t="s">
        <v>262</v>
      </c>
      <c r="C27" s="212"/>
      <c r="D27" s="212"/>
      <c r="E27" s="212"/>
      <c r="F27" s="120">
        <f>F25-F26</f>
        <v>20.217420656475497</v>
      </c>
      <c r="G27" s="120">
        <f t="shared" ref="G27" si="11">G25-G26</f>
        <v>28.34821180287355</v>
      </c>
      <c r="H27" s="120">
        <f t="shared" ref="H27" si="12">H25-H26</f>
        <v>13.051492070500871</v>
      </c>
      <c r="I27" s="120">
        <f t="shared" ref="I27" si="13">I25-I26</f>
        <v>8.2999999999999545</v>
      </c>
      <c r="J27" s="120">
        <f t="shared" ref="J27" si="14">J25-J26</f>
        <v>27.257283471271421</v>
      </c>
      <c r="K27" s="120">
        <f t="shared" ref="K27" si="15">K25-K26</f>
        <v>-31.036709673996711</v>
      </c>
      <c r="L27" s="120">
        <f t="shared" ref="L27" si="16">L25-L26</f>
        <v>-29.627382802103369</v>
      </c>
      <c r="M27" s="120">
        <f t="shared" ref="M27" si="17">M25-M26</f>
        <v>-28.533240853636613</v>
      </c>
      <c r="N27" s="120">
        <f t="shared" ref="N27" si="18">N25-N26</f>
        <v>-27.168940399375629</v>
      </c>
      <c r="O27" s="120">
        <f t="shared" ref="O27" si="19">O25-O26</f>
        <v>-26.38548073257229</v>
      </c>
      <c r="P27" s="120">
        <f t="shared" ref="P27" si="20">P25-P26</f>
        <v>-26.169353927936868</v>
      </c>
      <c r="R27" s="170">
        <f t="shared" si="8"/>
        <v>-137.88439871562477</v>
      </c>
      <c r="S27" s="113">
        <f t="shared" si="9"/>
        <v>-3.3540931669854279E-2</v>
      </c>
      <c r="T27" s="381">
        <f t="shared" si="10"/>
        <v>-27.576879743124955</v>
      </c>
    </row>
    <row r="28" spans="2:21">
      <c r="B28" s="212"/>
      <c r="C28" s="212"/>
      <c r="D28" s="212"/>
      <c r="E28" s="212"/>
      <c r="F28" s="120"/>
      <c r="G28" s="120"/>
      <c r="H28" s="120"/>
      <c r="I28" s="120"/>
      <c r="J28" s="120"/>
      <c r="K28" s="120"/>
      <c r="R28" s="170"/>
      <c r="S28" s="113"/>
      <c r="T28" s="381"/>
    </row>
    <row r="29" spans="2:21">
      <c r="B29" s="212" t="s">
        <v>734</v>
      </c>
      <c r="C29" s="212"/>
      <c r="D29" s="212"/>
      <c r="E29" s="212"/>
      <c r="F29" s="120"/>
      <c r="G29" s="120"/>
      <c r="H29" s="120"/>
      <c r="I29" s="120"/>
      <c r="J29" s="120"/>
      <c r="K29" s="120"/>
      <c r="L29" s="613" t="s">
        <v>808</v>
      </c>
      <c r="M29" s="613" t="s">
        <v>808</v>
      </c>
      <c r="N29" s="613" t="s">
        <v>808</v>
      </c>
      <c r="O29" s="613" t="s">
        <v>808</v>
      </c>
      <c r="P29" s="613" t="s">
        <v>808</v>
      </c>
      <c r="Q29" s="40"/>
      <c r="R29" s="613" t="s">
        <v>808</v>
      </c>
      <c r="S29" s="613" t="s">
        <v>808</v>
      </c>
      <c r="T29" s="613" t="s">
        <v>808</v>
      </c>
    </row>
    <row r="30" spans="2:21">
      <c r="C30" s="204" t="s">
        <v>463</v>
      </c>
      <c r="J30" s="30"/>
      <c r="L30" s="196"/>
      <c r="M30" s="196"/>
      <c r="N30" s="196"/>
      <c r="O30" s="196"/>
      <c r="P30" s="196"/>
      <c r="R30" s="170"/>
      <c r="S30" s="113"/>
      <c r="T30" s="381"/>
    </row>
    <row r="31" spans="2:21">
      <c r="B31" s="212" t="s">
        <v>784</v>
      </c>
      <c r="C31" s="213">
        <v>0.1</v>
      </c>
      <c r="D31" s="94"/>
      <c r="E31" s="212"/>
      <c r="F31" s="94"/>
      <c r="G31" s="94"/>
      <c r="H31" s="94"/>
      <c r="I31" s="94"/>
      <c r="J31" s="94"/>
      <c r="K31" s="94"/>
      <c r="L31" s="170">
        <v>-18.237513397642012</v>
      </c>
      <c r="M31" s="170">
        <v>-17.357191854233655</v>
      </c>
      <c r="N31" s="170">
        <v>-16.259506966773849</v>
      </c>
      <c r="O31" s="170">
        <v>-15.62915326902465</v>
      </c>
      <c r="P31" s="170">
        <v>-15.455262593783496</v>
      </c>
      <c r="R31" s="170">
        <v>-82.938628081457665</v>
      </c>
      <c r="S31" s="113" t="s">
        <v>334</v>
      </c>
      <c r="T31" s="381">
        <v>-16.587725616291532</v>
      </c>
    </row>
    <row r="32" spans="2:21">
      <c r="B32" s="212" t="s">
        <v>674</v>
      </c>
      <c r="C32" s="484">
        <v>0.14499999999999999</v>
      </c>
      <c r="D32" s="94"/>
      <c r="E32" s="212"/>
      <c r="F32" s="94"/>
      <c r="G32" s="94"/>
      <c r="H32" s="94"/>
      <c r="I32" s="94"/>
      <c r="J32" s="94"/>
      <c r="K32" s="94"/>
      <c r="L32" s="170">
        <v>-28.964394426580917</v>
      </c>
      <c r="M32" s="170">
        <v>-27.687928188638793</v>
      </c>
      <c r="N32" s="170">
        <v>-26.096285101822076</v>
      </c>
      <c r="O32" s="170">
        <v>-25.182272240085737</v>
      </c>
      <c r="P32" s="170">
        <v>-24.93013076098606</v>
      </c>
      <c r="R32" s="170">
        <v>-132.86101071811356</v>
      </c>
      <c r="S32" s="113" t="s">
        <v>334</v>
      </c>
      <c r="T32" s="381">
        <v>-26.572202143622711</v>
      </c>
    </row>
    <row r="33" spans="2:21">
      <c r="B33" s="212" t="s">
        <v>785</v>
      </c>
      <c r="C33" s="213">
        <v>0.21</v>
      </c>
      <c r="D33" s="94"/>
      <c r="E33" s="212"/>
      <c r="F33" s="94"/>
      <c r="G33" s="94"/>
      <c r="H33" s="94"/>
      <c r="I33" s="94"/>
      <c r="J33" s="94"/>
      <c r="K33" s="94"/>
      <c r="L33" s="170">
        <v>-44.458778135048227</v>
      </c>
      <c r="M33" s="170">
        <v>-42.610102893890669</v>
      </c>
      <c r="N33" s="170">
        <v>-40.304964630225079</v>
      </c>
      <c r="O33" s="170">
        <v>-38.981221864951763</v>
      </c>
      <c r="P33" s="170">
        <v>-38.616051446945335</v>
      </c>
      <c r="R33" s="170">
        <v>-204.97111897106106</v>
      </c>
      <c r="S33" s="113" t="s">
        <v>334</v>
      </c>
      <c r="T33" s="381">
        <v>-40.994223794212211</v>
      </c>
    </row>
    <row r="34" spans="2:21">
      <c r="B34" s="212"/>
      <c r="C34" s="213"/>
      <c r="D34" s="94"/>
      <c r="E34" s="212"/>
      <c r="F34" s="94"/>
      <c r="G34" s="94"/>
      <c r="H34" s="94"/>
      <c r="I34" s="94"/>
      <c r="J34" s="94"/>
      <c r="K34" s="94"/>
      <c r="L34" s="170"/>
      <c r="M34" s="170"/>
      <c r="N34" s="170"/>
      <c r="O34" s="170"/>
      <c r="P34" s="170"/>
      <c r="Q34" s="185"/>
      <c r="R34" s="170"/>
      <c r="S34" s="113"/>
      <c r="T34" s="381"/>
    </row>
    <row r="35" spans="2:21">
      <c r="B35" s="212" t="s">
        <v>424</v>
      </c>
      <c r="C35" s="213"/>
      <c r="D35" s="94"/>
      <c r="E35" s="212"/>
      <c r="F35" s="327"/>
      <c r="G35" s="281">
        <f>OBR!C125</f>
        <v>2.4750000000000001E-2</v>
      </c>
      <c r="H35" s="281">
        <f>OBR!D125</f>
        <v>-4.2500000000000003E-2</v>
      </c>
      <c r="I35" s="281">
        <f>OBR!E125</f>
        <v>-2.2500000000000003E-2</v>
      </c>
      <c r="J35" s="281">
        <f>OBR!F125</f>
        <v>-1.4000000000000002E-2</v>
      </c>
      <c r="K35" s="281">
        <f>OBR!G125</f>
        <v>-1.3499999999999995E-2</v>
      </c>
      <c r="L35" s="281">
        <f>OBR!H125</f>
        <v>7.499999999999972E-4</v>
      </c>
      <c r="M35" s="281">
        <f>OBR!I125</f>
        <v>5.4999999999999979E-3</v>
      </c>
      <c r="N35" s="281">
        <f>OBR!J125</f>
        <v>3.4999999999999962E-3</v>
      </c>
      <c r="O35" s="281">
        <f>OBR!K125</f>
        <v>5.0000000000000044E-4</v>
      </c>
      <c r="P35" s="281">
        <f>OBR!L125</f>
        <v>5.0000000000000044E-4</v>
      </c>
      <c r="Q35" s="185"/>
      <c r="R35" s="170"/>
      <c r="S35" s="113"/>
      <c r="T35" s="381"/>
    </row>
    <row r="36" spans="2:21">
      <c r="B36" s="212" t="s">
        <v>625</v>
      </c>
      <c r="C36" s="213"/>
      <c r="D36" s="94"/>
      <c r="E36" s="212"/>
      <c r="F36" s="327"/>
      <c r="G36" s="327"/>
      <c r="H36" s="327"/>
      <c r="I36" s="327"/>
      <c r="J36" s="327"/>
      <c r="K36" s="327"/>
      <c r="L36" s="170">
        <f>(L25+(L32*'HAL - CAA - fp'!I52))</f>
        <v>232.58225509110395</v>
      </c>
      <c r="M36" s="170">
        <f>(M25+(M32*'HAL - CAA - fp'!J52))</f>
        <v>218.49674726688102</v>
      </c>
      <c r="N36" s="170">
        <f>(N25+(N32*'HAL - CAA - fp'!K52))</f>
        <v>202.93729860664521</v>
      </c>
      <c r="O36" s="170">
        <f>(O25+(O32*'HAL - CAA - fp'!L52))</f>
        <v>192.14571489817791</v>
      </c>
      <c r="P36" s="170">
        <f>(P25+(P32*'HAL - CAA - fp'!M52))</f>
        <v>185.62249517684887</v>
      </c>
      <c r="R36" s="170"/>
      <c r="S36" s="113"/>
      <c r="T36" s="381"/>
    </row>
    <row r="37" spans="2:21">
      <c r="B37" s="212" t="s">
        <v>624</v>
      </c>
      <c r="C37" s="213"/>
      <c r="D37" s="94"/>
      <c r="E37" s="212"/>
      <c r="F37" s="94"/>
      <c r="G37" s="94"/>
      <c r="H37" s="94"/>
      <c r="I37" s="94"/>
      <c r="J37" s="94"/>
      <c r="K37" s="94"/>
      <c r="L37" s="215">
        <f>L36*L35</f>
        <v>0.17443669131832731</v>
      </c>
      <c r="M37" s="215">
        <f>M36*M35</f>
        <v>1.2017321099678451</v>
      </c>
      <c r="N37" s="215">
        <f>N36*N35</f>
        <v>0.71028054512325745</v>
      </c>
      <c r="O37" s="215">
        <f>O36*O35</f>
        <v>9.6072857449089041E-2</v>
      </c>
      <c r="P37" s="215">
        <f>P36*P35</f>
        <v>9.2811247588424517E-2</v>
      </c>
      <c r="R37" s="170">
        <f>SUM(L37:P37)</f>
        <v>2.2753334514469437</v>
      </c>
      <c r="S37" s="113" t="s">
        <v>334</v>
      </c>
      <c r="T37" s="381">
        <f t="shared" ref="T37" si="21">R37/5</f>
        <v>0.45506669028938873</v>
      </c>
    </row>
    <row r="38" spans="2:21">
      <c r="B38" s="212"/>
      <c r="C38" s="213"/>
      <c r="D38" s="94"/>
      <c r="E38" s="212"/>
      <c r="F38" s="94"/>
      <c r="G38" s="94"/>
      <c r="H38" s="94"/>
      <c r="I38" s="94"/>
      <c r="J38" s="94"/>
      <c r="K38" s="94"/>
      <c r="L38" s="170"/>
      <c r="M38" s="170"/>
      <c r="N38" s="170"/>
      <c r="O38" s="170"/>
      <c r="P38" s="170"/>
      <c r="R38" s="170"/>
      <c r="S38" s="113"/>
      <c r="T38" s="381"/>
    </row>
    <row r="40" spans="2:21">
      <c r="B40" s="84" t="s">
        <v>599</v>
      </c>
      <c r="C40" s="84"/>
      <c r="D40" s="84"/>
      <c r="E40" s="84"/>
      <c r="F40" s="86"/>
      <c r="G40" s="86"/>
      <c r="H40" s="86"/>
      <c r="I40" s="86"/>
      <c r="J40" s="86"/>
      <c r="K40" s="86"/>
      <c r="L40" s="86"/>
      <c r="M40" s="86"/>
      <c r="N40" s="86"/>
      <c r="O40" s="86"/>
      <c r="P40" s="86"/>
      <c r="Q40" s="86"/>
      <c r="R40" s="86"/>
      <c r="S40" s="86"/>
      <c r="T40" s="86"/>
      <c r="U40" s="86"/>
    </row>
    <row r="42" spans="2:21" ht="15">
      <c r="B42" s="29"/>
      <c r="G42" s="626" t="s">
        <v>30</v>
      </c>
      <c r="H42" s="639"/>
      <c r="I42" s="639"/>
      <c r="J42" s="639"/>
      <c r="K42" s="640"/>
      <c r="L42" s="626" t="s">
        <v>31</v>
      </c>
      <c r="M42" s="627"/>
      <c r="N42" s="627"/>
      <c r="O42" s="627"/>
      <c r="P42" s="628"/>
      <c r="R42" s="407" t="s">
        <v>269</v>
      </c>
      <c r="S42" s="407" t="s">
        <v>40</v>
      </c>
      <c r="T42" s="407" t="s">
        <v>460</v>
      </c>
      <c r="U42" s="483" t="s">
        <v>675</v>
      </c>
    </row>
    <row r="43" spans="2:21">
      <c r="G43" s="18" t="s">
        <v>13</v>
      </c>
      <c r="H43" s="18" t="s">
        <v>14</v>
      </c>
      <c r="I43" s="18" t="s">
        <v>15</v>
      </c>
      <c r="J43" s="18" t="s">
        <v>16</v>
      </c>
      <c r="K43" s="18" t="s">
        <v>17</v>
      </c>
      <c r="L43" s="18" t="s">
        <v>32</v>
      </c>
      <c r="M43" s="18" t="s">
        <v>33</v>
      </c>
      <c r="N43" s="18" t="s">
        <v>34</v>
      </c>
      <c r="O43" s="18" t="s">
        <v>35</v>
      </c>
      <c r="P43" s="18" t="s">
        <v>36</v>
      </c>
    </row>
    <row r="44" spans="2:21">
      <c r="B44" s="376" t="s">
        <v>448</v>
      </c>
      <c r="C44" s="376"/>
      <c r="D44" s="376"/>
      <c r="E44" s="376"/>
      <c r="F44" s="376"/>
      <c r="G44" s="567"/>
      <c r="H44" s="567"/>
      <c r="I44" s="567">
        <v>1</v>
      </c>
      <c r="J44" s="567">
        <v>2</v>
      </c>
      <c r="K44" s="567">
        <v>3</v>
      </c>
      <c r="L44" s="567">
        <v>4</v>
      </c>
      <c r="M44" s="567">
        <v>5</v>
      </c>
      <c r="N44" s="567">
        <v>6</v>
      </c>
      <c r="O44" s="567">
        <v>7</v>
      </c>
      <c r="P44" s="567">
        <v>8</v>
      </c>
      <c r="R44" s="94"/>
      <c r="S44" s="94"/>
      <c r="T44" s="94"/>
      <c r="U44" s="94"/>
    </row>
    <row r="45" spans="2:21">
      <c r="B45" s="376" t="s">
        <v>797</v>
      </c>
      <c r="C45" s="432"/>
      <c r="D45" s="94"/>
      <c r="E45" s="94" t="s">
        <v>706</v>
      </c>
      <c r="F45" s="327">
        <f>AVERAGE(L45:P45)</f>
        <v>3.5300000000000005E-2</v>
      </c>
      <c r="G45" s="92"/>
      <c r="H45" s="92"/>
      <c r="I45" s="568">
        <f>OBR!E124</f>
        <v>4.9000000000000002E-2</v>
      </c>
      <c r="J45" s="568">
        <f>OBR!F124</f>
        <v>3.0750000000000003E-2</v>
      </c>
      <c r="K45" s="568">
        <f>OBR!G124</f>
        <v>3.0999999999999996E-2</v>
      </c>
      <c r="L45" s="568">
        <f>OBR!H124</f>
        <v>2.8500000000000001E-2</v>
      </c>
      <c r="M45" s="568">
        <f>OBR!I124</f>
        <v>3.2500000000000008E-2</v>
      </c>
      <c r="N45" s="568">
        <f>OBR!J124</f>
        <v>3.6500000000000005E-2</v>
      </c>
      <c r="O45" s="568">
        <f>OBR!K124</f>
        <v>3.95E-2</v>
      </c>
      <c r="P45" s="568">
        <f>OBR!L124</f>
        <v>3.95E-2</v>
      </c>
      <c r="R45" s="94"/>
      <c r="S45" s="113"/>
      <c r="T45" s="94"/>
      <c r="U45" s="94"/>
    </row>
    <row r="46" spans="2:21">
      <c r="B46" s="238"/>
      <c r="C46" s="94"/>
      <c r="D46" s="94"/>
      <c r="E46" s="94"/>
      <c r="F46" s="94"/>
      <c r="G46" s="92"/>
      <c r="H46" s="92"/>
      <c r="I46" s="485"/>
      <c r="J46" s="485"/>
      <c r="K46" s="485"/>
      <c r="L46" s="485"/>
      <c r="M46" s="485"/>
      <c r="N46" s="485"/>
      <c r="O46" s="485"/>
      <c r="P46" s="485"/>
      <c r="R46" s="94"/>
      <c r="S46" s="113"/>
      <c r="T46" s="94"/>
      <c r="U46" s="94"/>
    </row>
    <row r="47" spans="2:21">
      <c r="B47" s="238"/>
      <c r="D47" s="94"/>
      <c r="E47" s="94"/>
      <c r="F47" s="376" t="s">
        <v>618</v>
      </c>
      <c r="G47" s="94"/>
      <c r="H47" s="94"/>
      <c r="I47" s="376">
        <v>1</v>
      </c>
      <c r="J47" s="569">
        <f t="shared" ref="J47:P47" si="22">I47*(1+J45)</f>
        <v>1.0307500000000001</v>
      </c>
      <c r="K47" s="569">
        <f t="shared" si="22"/>
        <v>1.06270325</v>
      </c>
      <c r="L47" s="569">
        <f t="shared" si="22"/>
        <v>1.0929902926249999</v>
      </c>
      <c r="M47" s="569">
        <f t="shared" si="22"/>
        <v>1.1285124771353123</v>
      </c>
      <c r="N47" s="569">
        <f t="shared" si="22"/>
        <v>1.1697031825507511</v>
      </c>
      <c r="O47" s="569">
        <f t="shared" si="22"/>
        <v>1.2159064582615058</v>
      </c>
      <c r="P47" s="569">
        <f t="shared" si="22"/>
        <v>1.2639347633628353</v>
      </c>
      <c r="R47" s="238"/>
      <c r="S47" s="113">
        <f>((P47/K47)^(1/5))-1</f>
        <v>3.5291217906185501E-2</v>
      </c>
      <c r="T47" s="94"/>
      <c r="U47" s="94"/>
    </row>
    <row r="48" spans="2:21">
      <c r="B48" s="238"/>
      <c r="C48" s="432"/>
      <c r="D48" s="94"/>
      <c r="E48" s="94"/>
      <c r="F48" s="238"/>
      <c r="I48" s="204"/>
      <c r="J48" s="390"/>
      <c r="K48" s="390"/>
      <c r="L48" s="390"/>
      <c r="M48" s="390"/>
      <c r="N48" s="390"/>
      <c r="O48" s="390"/>
      <c r="P48" s="390"/>
      <c r="R48" s="238"/>
      <c r="S48" s="113"/>
      <c r="T48" s="94"/>
      <c r="U48" s="94"/>
    </row>
    <row r="49" spans="2:21">
      <c r="B49" s="433" t="s">
        <v>231</v>
      </c>
      <c r="C49" s="432"/>
      <c r="D49" s="94"/>
      <c r="E49" s="94"/>
      <c r="F49" s="238"/>
      <c r="G49" s="420"/>
      <c r="H49" s="420"/>
      <c r="I49" s="421"/>
      <c r="J49" s="422"/>
      <c r="K49" s="422"/>
      <c r="L49" s="422"/>
      <c r="M49" s="422"/>
      <c r="N49" s="422"/>
      <c r="O49" s="422"/>
      <c r="P49" s="422"/>
      <c r="R49" s="238"/>
      <c r="S49" s="113"/>
      <c r="T49" s="94"/>
      <c r="U49" s="94"/>
    </row>
    <row r="50" spans="2:21">
      <c r="B50" s="94" t="s">
        <v>619</v>
      </c>
      <c r="C50" s="94"/>
      <c r="D50" s="94"/>
      <c r="E50" s="94"/>
      <c r="F50" s="94"/>
      <c r="G50" s="94"/>
      <c r="H50" s="94"/>
      <c r="I50" s="402">
        <f>I25</f>
        <v>270.39999999999998</v>
      </c>
      <c r="J50" s="402">
        <f>J25</f>
        <v>318.55728347127143</v>
      </c>
      <c r="K50" s="126">
        <f>($J$50/K$47)</f>
        <v>299.76127716864653</v>
      </c>
      <c r="L50" s="126">
        <f>($J$50/L$47)</f>
        <v>291.45481494277738</v>
      </c>
      <c r="M50" s="126">
        <f>($J$50/M$47)</f>
        <v>282.28069243852531</v>
      </c>
      <c r="N50" s="126">
        <f t="shared" ref="N50" si="23">($J$50/N$47)</f>
        <v>272.34027249254734</v>
      </c>
      <c r="O50" s="126">
        <f>($J$50/O$47)</f>
        <v>261.99160412943468</v>
      </c>
      <c r="P50" s="126">
        <f>($J$50/P$47)</f>
        <v>252.03617520869139</v>
      </c>
      <c r="R50" s="170">
        <f>SUM(L50:P50)</f>
        <v>1360.1035592119761</v>
      </c>
      <c r="S50" s="113">
        <f>((P50/K50)^(1/5))-1</f>
        <v>-3.4088203682013152E-2</v>
      </c>
      <c r="T50" s="188">
        <f>R50/5</f>
        <v>272.0207118423952</v>
      </c>
      <c r="U50" s="211">
        <f>1-(P50/J50)</f>
        <v>0.20881992569031671</v>
      </c>
    </row>
    <row r="52" spans="2:21">
      <c r="B52" s="329" t="s">
        <v>445</v>
      </c>
      <c r="C52" s="331"/>
      <c r="D52" s="331"/>
      <c r="E52" s="331"/>
      <c r="F52" s="331"/>
      <c r="G52" s="331"/>
      <c r="H52" s="331"/>
      <c r="I52" s="331"/>
      <c r="J52" s="331"/>
      <c r="K52" s="331"/>
      <c r="L52" s="331"/>
      <c r="M52" s="331"/>
      <c r="N52" s="331"/>
      <c r="O52" s="331"/>
      <c r="P52" s="331"/>
      <c r="Q52" s="331"/>
      <c r="R52" s="331"/>
      <c r="S52" s="331"/>
      <c r="T52" s="331"/>
      <c r="U52" s="331"/>
    </row>
  </sheetData>
  <mergeCells count="6">
    <mergeCell ref="F6:J6"/>
    <mergeCell ref="L6:P6"/>
    <mergeCell ref="F10:J10"/>
    <mergeCell ref="L10:P10"/>
    <mergeCell ref="G42:K42"/>
    <mergeCell ref="L42:P42"/>
  </mergeCells>
  <pageMargins left="0.70866141732283472" right="0.70866141732283472" top="0.74803149606299213" bottom="0.74803149606299213" header="0.31496062992125984" footer="0.31496062992125984"/>
  <pageSetup paperSize="9" scale="64" orientation="landscape" r:id="rId1"/>
  <headerFooter>
    <oddHeader>&amp;C&amp;A&amp;D</oddHeader>
  </headerFooter>
  <legacyDrawing r:id="rId2"/>
</worksheet>
</file>

<file path=xl/worksheets/sheet19.xml><?xml version="1.0" encoding="utf-8"?>
<worksheet xmlns="http://schemas.openxmlformats.org/spreadsheetml/2006/main" xmlns:r="http://schemas.openxmlformats.org/officeDocument/2006/relationships">
  <dimension ref="B2:V21"/>
  <sheetViews>
    <sheetView showGridLines="0" zoomScale="70" zoomScaleNormal="70" workbookViewId="0">
      <selection activeCell="X16" sqref="X16"/>
    </sheetView>
  </sheetViews>
  <sheetFormatPr defaultRowHeight="15"/>
  <cols>
    <col min="6" max="6" width="9.7109375" customWidth="1"/>
    <col min="21" max="21" width="9.140625" style="377"/>
  </cols>
  <sheetData>
    <row r="2" spans="2:20">
      <c r="B2" s="53" t="s">
        <v>576</v>
      </c>
    </row>
    <row r="4" spans="2:20">
      <c r="B4" s="84" t="s">
        <v>763</v>
      </c>
      <c r="C4" s="84"/>
      <c r="D4" s="84"/>
      <c r="E4" s="84"/>
      <c r="F4" s="86"/>
      <c r="G4" s="86"/>
      <c r="H4" s="86"/>
      <c r="I4" s="86"/>
      <c r="J4" s="86"/>
      <c r="K4" s="86"/>
      <c r="L4" s="86"/>
      <c r="M4" s="86"/>
      <c r="N4" s="86"/>
      <c r="O4" s="86"/>
      <c r="P4" s="86"/>
      <c r="Q4" s="86"/>
      <c r="R4" s="86"/>
      <c r="S4" s="86"/>
      <c r="T4" s="86"/>
    </row>
    <row r="5" spans="2:20">
      <c r="B5" s="138"/>
      <c r="C5" s="138"/>
      <c r="D5" s="138"/>
      <c r="E5" s="138"/>
      <c r="F5" s="199"/>
      <c r="G5" s="199"/>
      <c r="H5" s="199"/>
      <c r="I5" s="199"/>
      <c r="J5" s="199"/>
      <c r="K5" s="199"/>
      <c r="L5" s="199"/>
      <c r="M5" s="199"/>
      <c r="N5" s="199"/>
      <c r="O5" s="199"/>
      <c r="P5" s="199"/>
      <c r="Q5" s="199"/>
      <c r="R5" s="199"/>
      <c r="S5" s="199"/>
      <c r="T5" s="199"/>
    </row>
    <row r="6" spans="2:20">
      <c r="B6" s="19"/>
      <c r="C6" s="19"/>
      <c r="D6" s="19"/>
      <c r="E6" s="19"/>
      <c r="F6" s="626" t="s">
        <v>30</v>
      </c>
      <c r="G6" s="627"/>
      <c r="H6" s="627"/>
      <c r="I6" s="627"/>
      <c r="J6" s="628"/>
      <c r="K6" s="87" t="s">
        <v>187</v>
      </c>
      <c r="L6" s="626" t="s">
        <v>31</v>
      </c>
      <c r="M6" s="627"/>
      <c r="N6" s="627"/>
      <c r="O6" s="627"/>
      <c r="P6" s="628"/>
      <c r="Q6" s="19"/>
      <c r="R6" s="374" t="s">
        <v>269</v>
      </c>
      <c r="S6" s="374" t="s">
        <v>40</v>
      </c>
      <c r="T6" s="374" t="s">
        <v>460</v>
      </c>
    </row>
    <row r="7" spans="2:20">
      <c r="B7" s="19"/>
      <c r="C7" s="19"/>
      <c r="D7" s="19"/>
      <c r="E7" s="19"/>
      <c r="F7" s="75" t="s">
        <v>12</v>
      </c>
      <c r="G7" s="75" t="s">
        <v>13</v>
      </c>
      <c r="H7" s="75" t="s">
        <v>14</v>
      </c>
      <c r="I7" s="75" t="s">
        <v>15</v>
      </c>
      <c r="J7" s="75" t="s">
        <v>16</v>
      </c>
      <c r="K7" s="75" t="s">
        <v>17</v>
      </c>
      <c r="L7" s="75" t="s">
        <v>32</v>
      </c>
      <c r="M7" s="75" t="s">
        <v>33</v>
      </c>
      <c r="N7" s="75" t="s">
        <v>34</v>
      </c>
      <c r="O7" s="75" t="s">
        <v>35</v>
      </c>
      <c r="P7" s="75" t="s">
        <v>36</v>
      </c>
      <c r="Q7" s="19"/>
      <c r="R7" s="19"/>
      <c r="S7" s="31"/>
      <c r="T7" s="19"/>
    </row>
    <row r="8" spans="2:20">
      <c r="B8" s="94" t="s">
        <v>587</v>
      </c>
      <c r="C8" s="94"/>
      <c r="D8" s="94"/>
      <c r="E8" s="94"/>
      <c r="F8" s="572">
        <f>Wages!F8</f>
        <v>239.20000000000002</v>
      </c>
      <c r="G8" s="572">
        <f>Wages!G8</f>
        <v>223</v>
      </c>
      <c r="H8" s="572">
        <f>Wages!H8</f>
        <v>218.1</v>
      </c>
      <c r="I8" s="572">
        <f>Wages!I8</f>
        <v>219.7</v>
      </c>
      <c r="J8" s="572">
        <f>Wages!J8</f>
        <v>226.60000000000002</v>
      </c>
      <c r="K8" s="572">
        <f>Wages!K8</f>
        <v>228</v>
      </c>
      <c r="L8" s="572">
        <f>Wages!L8</f>
        <v>229.79999999999998</v>
      </c>
      <c r="M8" s="572">
        <f>Wages!M8</f>
        <v>216.39999999999998</v>
      </c>
      <c r="N8" s="572">
        <f>Wages!N8</f>
        <v>210.8</v>
      </c>
      <c r="O8" s="572">
        <f>Wages!O8</f>
        <v>193.9</v>
      </c>
      <c r="P8" s="572">
        <f>Wages!P8</f>
        <v>192.60000000000002</v>
      </c>
      <c r="Q8" s="43"/>
      <c r="R8" s="170">
        <f>SUM(L8:P8)</f>
        <v>1043.5</v>
      </c>
      <c r="S8" s="113">
        <f>((P8/K8)^(1/5))-1</f>
        <v>-3.3182980076056023E-2</v>
      </c>
      <c r="T8" s="381">
        <f t="shared" ref="T8" si="0">R8/5</f>
        <v>208.7</v>
      </c>
    </row>
    <row r="9" spans="2:20">
      <c r="B9" s="19"/>
      <c r="C9" s="19"/>
      <c r="D9" s="19"/>
      <c r="E9" s="19"/>
      <c r="F9" s="193"/>
      <c r="G9" s="193"/>
      <c r="H9" s="193"/>
      <c r="I9" s="193"/>
      <c r="J9" s="193"/>
      <c r="K9" s="193"/>
      <c r="L9" s="193"/>
      <c r="M9" s="193"/>
      <c r="N9" s="193"/>
      <c r="O9" s="193"/>
      <c r="P9" s="193"/>
      <c r="Q9" s="43"/>
      <c r="R9" s="39"/>
      <c r="S9" s="31"/>
      <c r="T9" s="283"/>
    </row>
    <row r="10" spans="2:20">
      <c r="B10" s="84" t="s">
        <v>289</v>
      </c>
      <c r="C10" s="84"/>
      <c r="D10" s="84"/>
      <c r="E10" s="84"/>
      <c r="F10" s="626" t="s">
        <v>30</v>
      </c>
      <c r="G10" s="627"/>
      <c r="H10" s="627"/>
      <c r="I10" s="627"/>
      <c r="J10" s="628"/>
      <c r="K10" s="87" t="s">
        <v>187</v>
      </c>
      <c r="L10" s="626" t="s">
        <v>31</v>
      </c>
      <c r="M10" s="627"/>
      <c r="N10" s="627"/>
      <c r="O10" s="627"/>
      <c r="P10" s="627"/>
      <c r="Q10" s="43"/>
      <c r="R10" s="374" t="s">
        <v>269</v>
      </c>
      <c r="S10" s="374" t="s">
        <v>40</v>
      </c>
      <c r="T10" s="374" t="s">
        <v>460</v>
      </c>
    </row>
    <row r="11" spans="2:20">
      <c r="B11" s="29"/>
      <c r="C11" s="29"/>
      <c r="D11" s="29"/>
      <c r="E11" s="29"/>
      <c r="F11" s="169" t="s">
        <v>12</v>
      </c>
      <c r="G11" s="169" t="s">
        <v>13</v>
      </c>
      <c r="H11" s="169" t="s">
        <v>14</v>
      </c>
      <c r="I11" s="169" t="s">
        <v>15</v>
      </c>
      <c r="J11" s="169" t="s">
        <v>16</v>
      </c>
      <c r="K11" s="169" t="s">
        <v>17</v>
      </c>
      <c r="L11" s="169" t="s">
        <v>32</v>
      </c>
      <c r="M11" s="169" t="s">
        <v>33</v>
      </c>
      <c r="N11" s="169" t="s">
        <v>34</v>
      </c>
      <c r="O11" s="169" t="s">
        <v>35</v>
      </c>
      <c r="P11" s="169" t="s">
        <v>36</v>
      </c>
      <c r="Q11" s="43"/>
      <c r="R11" s="19"/>
      <c r="S11" s="31"/>
      <c r="T11" s="19"/>
    </row>
    <row r="12" spans="2:20">
      <c r="B12" s="94" t="s">
        <v>265</v>
      </c>
      <c r="C12" s="94"/>
      <c r="D12" s="94"/>
      <c r="E12" s="94"/>
      <c r="F12" s="170">
        <f>Wages!F18</f>
        <v>7907</v>
      </c>
      <c r="G12" s="170">
        <f>Wages!G18</f>
        <v>7406</v>
      </c>
      <c r="H12" s="170">
        <f>Wages!H18</f>
        <v>7457</v>
      </c>
      <c r="I12" s="170">
        <f>Wages!I18</f>
        <v>7464</v>
      </c>
      <c r="J12" s="170">
        <f>Wages!J18</f>
        <v>7152</v>
      </c>
      <c r="K12" s="170">
        <f>Wages!K18</f>
        <v>6893</v>
      </c>
      <c r="L12" s="170">
        <f>Wages!L18</f>
        <v>6580</v>
      </c>
      <c r="M12" s="170">
        <f>Wages!M18</f>
        <v>6337</v>
      </c>
      <c r="N12" s="170">
        <f>Wages!N18</f>
        <v>6034</v>
      </c>
      <c r="O12" s="170">
        <f>Wages!O18</f>
        <v>5860</v>
      </c>
      <c r="P12" s="170">
        <f>Wages!P18</f>
        <v>5812</v>
      </c>
      <c r="Q12" s="171"/>
      <c r="R12" s="170">
        <f>SUM(L12:P12)</f>
        <v>30623</v>
      </c>
      <c r="S12" s="113">
        <f>((P12/K12)^(1/5))-1</f>
        <v>-3.3540931669854279E-2</v>
      </c>
      <c r="T12" s="381">
        <f>R12/5</f>
        <v>6124.6</v>
      </c>
    </row>
    <row r="13" spans="2:20">
      <c r="B13" s="94" t="s">
        <v>553</v>
      </c>
      <c r="C13" s="94"/>
      <c r="D13" s="94"/>
      <c r="E13" s="94"/>
      <c r="F13" s="217">
        <f t="shared" ref="F13:J13" si="1">F12/$J$12</f>
        <v>1.1055648769574944</v>
      </c>
      <c r="G13" s="217">
        <f t="shared" si="1"/>
        <v>1.0355145413870246</v>
      </c>
      <c r="H13" s="217">
        <f t="shared" si="1"/>
        <v>1.0426454138702461</v>
      </c>
      <c r="I13" s="217">
        <f t="shared" si="1"/>
        <v>1.0436241610738255</v>
      </c>
      <c r="J13" s="217">
        <f t="shared" si="1"/>
        <v>1</v>
      </c>
      <c r="K13" s="217">
        <f>K12/$J$12</f>
        <v>0.96378635346756147</v>
      </c>
      <c r="L13" s="217">
        <f t="shared" ref="L13:P13" si="2">L12/$J$12</f>
        <v>0.92002237136465326</v>
      </c>
      <c r="M13" s="217">
        <f t="shared" si="2"/>
        <v>0.88604586129753915</v>
      </c>
      <c r="N13" s="217">
        <f t="shared" si="2"/>
        <v>0.84368008948545858</v>
      </c>
      <c r="O13" s="217">
        <f t="shared" si="2"/>
        <v>0.81935123042505598</v>
      </c>
      <c r="P13" s="217">
        <f t="shared" si="2"/>
        <v>0.81263982102908272</v>
      </c>
      <c r="Q13" s="171"/>
      <c r="R13" s="170">
        <f t="shared" ref="R13" si="3">SUM(L13:P13)</f>
        <v>4.2817393736017895</v>
      </c>
      <c r="S13" s="113">
        <f t="shared" ref="S13" si="4">((P13/K13)^(1/5))-1</f>
        <v>-3.3540931669854279E-2</v>
      </c>
      <c r="T13" s="381">
        <f t="shared" ref="T13" si="5">R13/5</f>
        <v>0.85634787472035789</v>
      </c>
    </row>
    <row r="14" spans="2:20">
      <c r="B14" s="177" t="s">
        <v>231</v>
      </c>
      <c r="C14" s="177"/>
      <c r="D14" s="177"/>
      <c r="E14" s="177"/>
      <c r="F14" s="170"/>
      <c r="G14" s="170"/>
      <c r="H14" s="170"/>
      <c r="I14" s="170"/>
      <c r="J14" s="170"/>
      <c r="K14" s="170"/>
      <c r="L14" s="170"/>
      <c r="M14" s="170"/>
      <c r="N14" s="170"/>
      <c r="O14" s="170"/>
      <c r="P14" s="170"/>
      <c r="Q14" s="171"/>
      <c r="R14" s="170"/>
      <c r="S14" s="113"/>
      <c r="T14" s="381"/>
    </row>
    <row r="15" spans="2:20">
      <c r="B15" s="212" t="s">
        <v>489</v>
      </c>
      <c r="C15" s="212"/>
      <c r="D15" s="212"/>
      <c r="E15" s="212"/>
      <c r="F15" s="571">
        <f>Wages!F25</f>
        <v>289.51742065647551</v>
      </c>
      <c r="G15" s="571">
        <f>Wages!G25</f>
        <v>254.64821180287353</v>
      </c>
      <c r="H15" s="571">
        <f>Wages!H25</f>
        <v>258.85149207050085</v>
      </c>
      <c r="I15" s="571">
        <f>Wages!I25</f>
        <v>270.39999999999998</v>
      </c>
      <c r="J15" s="571">
        <f>Wages!J25</f>
        <v>318.55728347127143</v>
      </c>
      <c r="Q15" s="171"/>
      <c r="R15" s="170"/>
      <c r="S15" s="113"/>
      <c r="T15" s="381"/>
    </row>
    <row r="16" spans="2:20">
      <c r="B16" s="212" t="s">
        <v>578</v>
      </c>
      <c r="C16" s="212"/>
      <c r="D16" s="212"/>
      <c r="E16" s="212"/>
      <c r="F16" s="170"/>
      <c r="G16" s="170"/>
      <c r="H16" s="170"/>
      <c r="I16" s="170"/>
      <c r="J16" s="170"/>
      <c r="K16" s="170">
        <f>$J$15*K13</f>
        <v>307.02116260730901</v>
      </c>
      <c r="L16" s="170">
        <f>$J$15*L13</f>
        <v>293.0798273547212</v>
      </c>
      <c r="M16" s="170">
        <f t="shared" ref="M16:O16" si="6">$J$15*M13</f>
        <v>282.25636260590704</v>
      </c>
      <c r="N16" s="170">
        <f t="shared" si="6"/>
        <v>268.76043742528685</v>
      </c>
      <c r="O16" s="170">
        <f t="shared" si="6"/>
        <v>261.01030217304958</v>
      </c>
      <c r="P16" s="170">
        <f>$J$15*P13</f>
        <v>258.87233382760479</v>
      </c>
      <c r="Q16" s="171"/>
      <c r="R16" s="170">
        <f t="shared" ref="R16" si="7">SUM(L16:P16)</f>
        <v>1363.9792633865693</v>
      </c>
      <c r="S16" s="113">
        <f>((P16/K16)^(1/5))-1</f>
        <v>-3.3540931669854279E-2</v>
      </c>
      <c r="T16" s="381">
        <f t="shared" ref="T16" si="8">R16/5</f>
        <v>272.79585267731386</v>
      </c>
    </row>
    <row r="17" spans="2:22">
      <c r="B17" s="561" t="s">
        <v>448</v>
      </c>
      <c r="C17" s="561"/>
      <c r="D17" s="561"/>
      <c r="E17" s="561"/>
      <c r="F17" s="571"/>
      <c r="G17" s="571"/>
      <c r="H17" s="571"/>
      <c r="I17" s="571"/>
      <c r="J17" s="571"/>
      <c r="K17" s="571">
        <v>1</v>
      </c>
      <c r="L17" s="571">
        <v>2</v>
      </c>
      <c r="M17" s="571">
        <v>3</v>
      </c>
      <c r="N17" s="571">
        <v>4</v>
      </c>
      <c r="O17" s="571">
        <v>5</v>
      </c>
      <c r="P17" s="571">
        <v>6</v>
      </c>
      <c r="Q17" s="171"/>
      <c r="R17" s="170"/>
      <c r="S17" s="113"/>
      <c r="T17" s="381"/>
    </row>
    <row r="18" spans="2:22">
      <c r="B18" s="212" t="s">
        <v>809</v>
      </c>
      <c r="C18" s="212"/>
      <c r="D18" s="212"/>
      <c r="E18" s="212"/>
      <c r="F18" s="170"/>
      <c r="G18" s="170"/>
      <c r="H18" s="170"/>
      <c r="I18" s="170"/>
      <c r="J18" s="170"/>
      <c r="K18" s="170">
        <v>305.48605679427243</v>
      </c>
      <c r="L18" s="170">
        <v>290.15635607685783</v>
      </c>
      <c r="M18" s="170">
        <v>278.04365111196853</v>
      </c>
      <c r="N18" s="170">
        <v>263.42540853015151</v>
      </c>
      <c r="O18" s="170">
        <v>254.54997174623045</v>
      </c>
      <c r="P18" s="170">
        <v>251.20259617920576</v>
      </c>
      <c r="Q18" s="171"/>
      <c r="R18" s="170">
        <f t="shared" ref="R18:R19" si="9">SUM(L18:P18)</f>
        <v>1337.3779836444141</v>
      </c>
      <c r="S18" s="113">
        <f>((P18/K18)^(1/5))-1</f>
        <v>-3.8373227011504918E-2</v>
      </c>
      <c r="T18" s="381">
        <f t="shared" ref="T18:T19" si="10">R18/5</f>
        <v>267.47559672888281</v>
      </c>
    </row>
    <row r="19" spans="2:22">
      <c r="B19" s="616" t="s">
        <v>808</v>
      </c>
      <c r="C19" s="212"/>
      <c r="D19" s="212"/>
      <c r="E19" s="212"/>
      <c r="F19" s="170"/>
      <c r="G19" s="170"/>
      <c r="H19" s="170"/>
      <c r="I19" s="170"/>
      <c r="J19" s="215"/>
      <c r="K19" s="215">
        <f>K16-K18</f>
        <v>1.53510581303658</v>
      </c>
      <c r="L19" s="215">
        <f>L16-L18</f>
        <v>2.9234712778633707</v>
      </c>
      <c r="M19" s="215">
        <f t="shared" ref="M19:P19" si="11">M16-M18</f>
        <v>4.2127114939385137</v>
      </c>
      <c r="N19" s="215">
        <f t="shared" si="11"/>
        <v>5.3350288951353377</v>
      </c>
      <c r="O19" s="215">
        <f t="shared" si="11"/>
        <v>6.4603304268191266</v>
      </c>
      <c r="P19" s="215">
        <f t="shared" si="11"/>
        <v>7.6697376483990354</v>
      </c>
      <c r="Q19" s="171"/>
      <c r="R19" s="170">
        <f t="shared" si="9"/>
        <v>26.601279742155384</v>
      </c>
      <c r="S19" s="113">
        <f>((P19/K19)^(1/5))-1</f>
        <v>0.37952138911415401</v>
      </c>
      <c r="T19" s="381">
        <f t="shared" si="10"/>
        <v>5.3202559484310772</v>
      </c>
      <c r="V19" s="535"/>
    </row>
    <row r="21" spans="2:22">
      <c r="B21" s="329" t="s">
        <v>445</v>
      </c>
      <c r="C21" s="329"/>
      <c r="D21" s="329"/>
      <c r="E21" s="329"/>
      <c r="F21" s="331"/>
      <c r="G21" s="331"/>
      <c r="H21" s="331"/>
      <c r="I21" s="331"/>
      <c r="J21" s="331"/>
      <c r="K21" s="331"/>
      <c r="L21" s="331"/>
      <c r="M21" s="331"/>
      <c r="N21" s="331"/>
      <c r="O21" s="331"/>
      <c r="P21" s="331"/>
      <c r="Q21" s="331"/>
      <c r="R21" s="331"/>
      <c r="S21" s="331"/>
      <c r="T21" s="331"/>
    </row>
  </sheetData>
  <mergeCells count="4">
    <mergeCell ref="F6:J6"/>
    <mergeCell ref="L6:P6"/>
    <mergeCell ref="F10:J10"/>
    <mergeCell ref="L10:P10"/>
  </mergeCells>
  <pageMargins left="0.7" right="0.7" top="0.75" bottom="0.75" header="0.3" footer="0.3"/>
</worksheet>
</file>

<file path=xl/worksheets/sheet20.xml><?xml version="1.0" encoding="utf-8"?>
<worksheet xmlns="http://schemas.openxmlformats.org/spreadsheetml/2006/main" xmlns:r="http://schemas.openxmlformats.org/officeDocument/2006/relationships">
  <sheetPr>
    <pageSetUpPr fitToPage="1"/>
  </sheetPr>
  <dimension ref="B2:T27"/>
  <sheetViews>
    <sheetView showGridLines="0" zoomScale="70" zoomScaleNormal="70" workbookViewId="0">
      <selection activeCell="O40" sqref="O40"/>
    </sheetView>
  </sheetViews>
  <sheetFormatPr defaultRowHeight="12.75"/>
  <cols>
    <col min="1" max="1" width="9.140625" style="19"/>
    <col min="2" max="2" width="34.7109375" style="19" customWidth="1"/>
    <col min="3" max="5" width="9.140625" style="19" customWidth="1"/>
    <col min="6" max="7" width="9.140625" style="19"/>
    <col min="8" max="9" width="13" style="19" bestFit="1" customWidth="1"/>
    <col min="10" max="16" width="10.7109375" style="19" customWidth="1"/>
    <col min="17" max="17" width="9.140625" style="19"/>
    <col min="18" max="18" width="10.28515625" style="19" bestFit="1" customWidth="1"/>
    <col min="19" max="16384" width="9.140625" style="19"/>
  </cols>
  <sheetData>
    <row r="2" spans="2:20">
      <c r="B2" s="53" t="s">
        <v>798</v>
      </c>
    </row>
    <row r="4" spans="2:20">
      <c r="B4" s="84" t="s">
        <v>586</v>
      </c>
      <c r="C4" s="84"/>
      <c r="D4" s="84"/>
      <c r="E4" s="84"/>
      <c r="F4" s="86"/>
      <c r="G4" s="86"/>
      <c r="H4" s="86"/>
      <c r="I4" s="86"/>
      <c r="J4" s="86"/>
      <c r="K4" s="86"/>
      <c r="L4" s="86"/>
      <c r="M4" s="86"/>
      <c r="N4" s="86"/>
      <c r="O4" s="86"/>
      <c r="P4" s="86"/>
      <c r="Q4" s="86"/>
      <c r="R4" s="86"/>
      <c r="S4" s="86"/>
      <c r="T4" s="86"/>
    </row>
    <row r="6" spans="2:20">
      <c r="B6" s="84" t="s">
        <v>289</v>
      </c>
      <c r="C6" s="84"/>
      <c r="D6" s="84"/>
      <c r="E6" s="84"/>
      <c r="F6" s="626" t="s">
        <v>30</v>
      </c>
      <c r="G6" s="627"/>
      <c r="H6" s="627"/>
      <c r="I6" s="627"/>
      <c r="J6" s="628"/>
      <c r="K6" s="87" t="s">
        <v>187</v>
      </c>
      <c r="L6" s="626" t="s">
        <v>31</v>
      </c>
      <c r="M6" s="627"/>
      <c r="N6" s="627"/>
      <c r="O6" s="627"/>
      <c r="P6" s="628"/>
      <c r="R6" s="401" t="s">
        <v>269</v>
      </c>
      <c r="S6" s="401" t="s">
        <v>40</v>
      </c>
      <c r="T6" s="401" t="s">
        <v>460</v>
      </c>
    </row>
    <row r="8" spans="2:20">
      <c r="B8" s="29"/>
      <c r="C8" s="29"/>
      <c r="D8" s="29"/>
      <c r="E8" s="29"/>
      <c r="F8" s="190" t="s">
        <v>12</v>
      </c>
      <c r="G8" s="190" t="s">
        <v>13</v>
      </c>
      <c r="H8" s="190" t="s">
        <v>14</v>
      </c>
      <c r="I8" s="190" t="s">
        <v>15</v>
      </c>
      <c r="J8" s="190" t="s">
        <v>16</v>
      </c>
      <c r="K8" s="190" t="s">
        <v>17</v>
      </c>
      <c r="L8" s="190" t="s">
        <v>32</v>
      </c>
      <c r="M8" s="190" t="s">
        <v>33</v>
      </c>
      <c r="N8" s="190" t="s">
        <v>34</v>
      </c>
      <c r="O8" s="190" t="s">
        <v>35</v>
      </c>
      <c r="P8" s="190" t="s">
        <v>36</v>
      </c>
      <c r="Q8" s="43"/>
      <c r="R8" s="94"/>
      <c r="S8" s="94"/>
      <c r="T8" s="94"/>
    </row>
    <row r="9" spans="2:20">
      <c r="B9" s="94" t="s">
        <v>265</v>
      </c>
      <c r="C9" s="94"/>
      <c r="D9" s="94"/>
      <c r="E9" s="94"/>
      <c r="F9" s="170">
        <f>Wages!F18</f>
        <v>7907</v>
      </c>
      <c r="G9" s="170">
        <f>Wages!G18</f>
        <v>7406</v>
      </c>
      <c r="H9" s="170">
        <f>Wages!H18</f>
        <v>7457</v>
      </c>
      <c r="I9" s="170">
        <f>Wages!I18</f>
        <v>7464</v>
      </c>
      <c r="J9" s="170">
        <f>Wages!J18</f>
        <v>7152</v>
      </c>
      <c r="K9" s="170">
        <f>Wages!K18</f>
        <v>6893</v>
      </c>
      <c r="L9" s="170">
        <f>Wages!L18</f>
        <v>6580</v>
      </c>
      <c r="M9" s="170">
        <f>Wages!M18</f>
        <v>6337</v>
      </c>
      <c r="N9" s="170">
        <f>Wages!N18</f>
        <v>6034</v>
      </c>
      <c r="O9" s="170">
        <f>Wages!O18</f>
        <v>5860</v>
      </c>
      <c r="P9" s="170">
        <f>Wages!P18</f>
        <v>5812</v>
      </c>
      <c r="Q9" s="43"/>
      <c r="R9" s="170">
        <f t="shared" ref="R9" si="0">SUM(L9:P9)</f>
        <v>30623</v>
      </c>
      <c r="S9" s="113">
        <f t="shared" ref="S9" si="1">((P9/K9)^(1/5))-1</f>
        <v>-3.3540931669854279E-2</v>
      </c>
      <c r="T9" s="381">
        <f t="shared" ref="T9" si="2">R9/5</f>
        <v>6124.6</v>
      </c>
    </row>
    <row r="10" spans="2:20">
      <c r="B10" s="94" t="s">
        <v>588</v>
      </c>
      <c r="C10" s="94"/>
      <c r="D10" s="94"/>
      <c r="E10" s="94"/>
      <c r="F10" s="170">
        <f>Wages!F25</f>
        <v>289.51742065647551</v>
      </c>
      <c r="G10" s="170">
        <f>Wages!G25</f>
        <v>254.64821180287353</v>
      </c>
      <c r="H10" s="170">
        <f>Wages!H25</f>
        <v>258.85149207050085</v>
      </c>
      <c r="I10" s="170">
        <f>Wages!I25</f>
        <v>270.39999999999998</v>
      </c>
      <c r="J10" s="170">
        <f>Wages!J25</f>
        <v>318.55728347127143</v>
      </c>
      <c r="K10" s="170">
        <f>Wages!K25</f>
        <v>249.71425509110395</v>
      </c>
      <c r="L10" s="170">
        <f>Wages!L25</f>
        <v>238.37513397642013</v>
      </c>
      <c r="M10" s="170">
        <f>Wages!M25</f>
        <v>229.57191854233653</v>
      </c>
      <c r="N10" s="170">
        <f>Wages!N25</f>
        <v>218.59506966773847</v>
      </c>
      <c r="O10" s="170">
        <f>Wages!O25</f>
        <v>212.2915326902465</v>
      </c>
      <c r="P10" s="170">
        <f>Wages!P25</f>
        <v>210.55262593783493</v>
      </c>
      <c r="Q10" s="43"/>
      <c r="R10" s="170"/>
      <c r="S10" s="113"/>
      <c r="T10" s="381"/>
    </row>
    <row r="11" spans="2:20">
      <c r="B11" s="94"/>
      <c r="C11" s="94"/>
      <c r="D11" s="94"/>
      <c r="E11" s="94"/>
      <c r="F11" s="170"/>
      <c r="G11" s="170"/>
      <c r="H11" s="170"/>
      <c r="I11" s="170"/>
      <c r="J11" s="170"/>
      <c r="K11" s="170"/>
      <c r="L11" s="170"/>
      <c r="M11" s="170"/>
      <c r="N11" s="170"/>
      <c r="O11" s="170"/>
      <c r="P11" s="170"/>
      <c r="Q11" s="43"/>
      <c r="R11" s="170"/>
      <c r="S11" s="113"/>
      <c r="T11" s="381"/>
    </row>
    <row r="12" spans="2:20">
      <c r="B12" s="94" t="s">
        <v>621</v>
      </c>
      <c r="C12" s="94"/>
      <c r="D12" s="94"/>
      <c r="E12" s="94"/>
      <c r="F12" s="214">
        <f t="shared" ref="F12:I12" si="3">F9/$J$9</f>
        <v>1.1055648769574944</v>
      </c>
      <c r="G12" s="214">
        <f t="shared" si="3"/>
        <v>1.0355145413870246</v>
      </c>
      <c r="H12" s="214">
        <f t="shared" si="3"/>
        <v>1.0426454138702461</v>
      </c>
      <c r="I12" s="214">
        <f t="shared" si="3"/>
        <v>1.0436241610738255</v>
      </c>
      <c r="J12" s="214">
        <f>J9/$J$9</f>
        <v>1</v>
      </c>
      <c r="K12" s="214">
        <f t="shared" ref="K12:P12" si="4">K9/$J$9</f>
        <v>0.96378635346756147</v>
      </c>
      <c r="L12" s="214">
        <f t="shared" si="4"/>
        <v>0.92002237136465326</v>
      </c>
      <c r="M12" s="214">
        <f t="shared" si="4"/>
        <v>0.88604586129753915</v>
      </c>
      <c r="N12" s="214">
        <f t="shared" si="4"/>
        <v>0.84368008948545858</v>
      </c>
      <c r="O12" s="214">
        <f t="shared" si="4"/>
        <v>0.81935123042505598</v>
      </c>
      <c r="P12" s="214">
        <f t="shared" si="4"/>
        <v>0.81263982102908272</v>
      </c>
      <c r="Q12" s="43"/>
      <c r="R12" s="170">
        <f t="shared" ref="R12" si="5">SUM(L12:P12)</f>
        <v>4.2817393736017895</v>
      </c>
      <c r="S12" s="113">
        <f t="shared" ref="S12" si="6">((P12/K12)^(1/5))-1</f>
        <v>-3.3540931669854279E-2</v>
      </c>
      <c r="T12" s="381">
        <f t="shared" ref="T12:T17" si="7">R12/5</f>
        <v>0.85634787472035789</v>
      </c>
    </row>
    <row r="13" spans="2:20">
      <c r="B13" s="94"/>
      <c r="C13" s="94"/>
      <c r="D13" s="94"/>
      <c r="E13" s="94"/>
      <c r="F13" s="214"/>
      <c r="G13" s="214"/>
      <c r="H13" s="214"/>
      <c r="I13" s="214"/>
      <c r="J13" s="214"/>
      <c r="K13" s="214"/>
      <c r="L13" s="214"/>
      <c r="M13" s="214"/>
      <c r="N13" s="214"/>
      <c r="O13" s="214"/>
      <c r="P13" s="214"/>
      <c r="Q13" s="43"/>
      <c r="R13" s="170"/>
      <c r="S13" s="113"/>
      <c r="T13" s="381">
        <f t="shared" si="7"/>
        <v>0</v>
      </c>
    </row>
    <row r="14" spans="2:20">
      <c r="B14" s="94" t="s">
        <v>555</v>
      </c>
      <c r="C14" s="94"/>
      <c r="D14" s="94"/>
      <c r="E14" s="94"/>
      <c r="F14" s="214"/>
      <c r="G14" s="214"/>
      <c r="H14" s="214"/>
      <c r="I14" s="214"/>
      <c r="J14" s="214">
        <v>7.8</v>
      </c>
      <c r="K14" s="375">
        <v>6.8</v>
      </c>
      <c r="L14" s="375">
        <f>K14</f>
        <v>6.8</v>
      </c>
      <c r="M14" s="375">
        <f>L14</f>
        <v>6.8</v>
      </c>
      <c r="N14" s="375">
        <f t="shared" ref="N14" si="8">M14</f>
        <v>6.8</v>
      </c>
      <c r="O14" s="375">
        <f t="shared" ref="O14" si="9">N14</f>
        <v>6.8</v>
      </c>
      <c r="P14" s="375">
        <f t="shared" ref="P14" si="10">O14</f>
        <v>6.8</v>
      </c>
      <c r="Q14" s="43"/>
      <c r="R14" s="170">
        <f t="shared" ref="R14:R17" si="11">SUM(L14:P14)</f>
        <v>34</v>
      </c>
      <c r="S14" s="113">
        <f t="shared" ref="S14:S17" si="12">((P14/K14)^(1/5))-1</f>
        <v>0</v>
      </c>
      <c r="T14" s="381">
        <f t="shared" si="7"/>
        <v>6.8</v>
      </c>
    </row>
    <row r="15" spans="2:20">
      <c r="B15" s="94" t="s">
        <v>589</v>
      </c>
      <c r="C15" s="94"/>
      <c r="D15" s="94"/>
      <c r="E15" s="94"/>
      <c r="F15" s="214"/>
      <c r="G15" s="214"/>
      <c r="H15" s="214"/>
      <c r="I15" s="214"/>
      <c r="J15" s="170">
        <f t="shared" ref="J15:P15" si="13">J9*230</f>
        <v>1644960</v>
      </c>
      <c r="K15" s="170">
        <f t="shared" si="13"/>
        <v>1585390</v>
      </c>
      <c r="L15" s="170">
        <f t="shared" si="13"/>
        <v>1513400</v>
      </c>
      <c r="M15" s="170">
        <f t="shared" si="13"/>
        <v>1457510</v>
      </c>
      <c r="N15" s="170">
        <f t="shared" si="13"/>
        <v>1387820</v>
      </c>
      <c r="O15" s="170">
        <f t="shared" si="13"/>
        <v>1347800</v>
      </c>
      <c r="P15" s="170">
        <f t="shared" si="13"/>
        <v>1336760</v>
      </c>
      <c r="Q15" s="43"/>
      <c r="R15" s="170"/>
      <c r="S15" s="113"/>
      <c r="T15" s="381"/>
    </row>
    <row r="16" spans="2:20">
      <c r="B16" s="94" t="s">
        <v>552</v>
      </c>
      <c r="C16" s="94"/>
      <c r="D16" s="94"/>
      <c r="E16" s="94"/>
      <c r="F16" s="214"/>
      <c r="G16" s="214"/>
      <c r="H16" s="170"/>
      <c r="I16" s="170"/>
      <c r="J16" s="170">
        <f t="shared" ref="J16:P16" si="14">J9*J14</f>
        <v>55785.599999999999</v>
      </c>
      <c r="K16" s="170">
        <f t="shared" si="14"/>
        <v>46872.4</v>
      </c>
      <c r="L16" s="170">
        <f t="shared" si="14"/>
        <v>44744</v>
      </c>
      <c r="M16" s="170">
        <f t="shared" si="14"/>
        <v>43091.6</v>
      </c>
      <c r="N16" s="170">
        <f t="shared" si="14"/>
        <v>41031.199999999997</v>
      </c>
      <c r="O16" s="170">
        <f t="shared" si="14"/>
        <v>39848</v>
      </c>
      <c r="P16" s="170">
        <f t="shared" si="14"/>
        <v>39521.599999999999</v>
      </c>
      <c r="Q16" s="43"/>
      <c r="R16" s="170">
        <f t="shared" si="11"/>
        <v>208236.4</v>
      </c>
      <c r="S16" s="113">
        <f t="shared" si="12"/>
        <v>-3.3540931669854279E-2</v>
      </c>
      <c r="T16" s="381">
        <f t="shared" si="7"/>
        <v>41647.279999999999</v>
      </c>
    </row>
    <row r="17" spans="2:20">
      <c r="B17" s="94" t="s">
        <v>556</v>
      </c>
      <c r="C17" s="94"/>
      <c r="D17" s="94"/>
      <c r="E17" s="94"/>
      <c r="F17" s="214"/>
      <c r="G17" s="214"/>
      <c r="H17" s="215"/>
      <c r="I17" s="215"/>
      <c r="J17" s="215">
        <f t="shared" ref="J17:P17" si="15">J16/J15*J10</f>
        <v>10.8032470046779</v>
      </c>
      <c r="K17" s="215">
        <f t="shared" si="15"/>
        <v>7.3828562374761164</v>
      </c>
      <c r="L17" s="215">
        <f t="shared" si="15"/>
        <v>7.0476126566941604</v>
      </c>
      <c r="M17" s="215">
        <f t="shared" si="15"/>
        <v>6.7873436786429933</v>
      </c>
      <c r="N17" s="215">
        <f t="shared" si="15"/>
        <v>6.4628107553940062</v>
      </c>
      <c r="O17" s="215">
        <f t="shared" si="15"/>
        <v>6.2764453143203314</v>
      </c>
      <c r="P17" s="215">
        <f t="shared" si="15"/>
        <v>6.2250341581620763</v>
      </c>
      <c r="Q17" s="43"/>
      <c r="R17" s="170">
        <f t="shared" si="11"/>
        <v>32.799246563213565</v>
      </c>
      <c r="S17" s="113">
        <f t="shared" si="12"/>
        <v>-3.3540931669854168E-2</v>
      </c>
      <c r="T17" s="381">
        <f t="shared" si="7"/>
        <v>6.5598493126427133</v>
      </c>
    </row>
    <row r="18" spans="2:20">
      <c r="B18" s="94"/>
      <c r="C18" s="94"/>
      <c r="D18" s="94"/>
      <c r="E18" s="94"/>
      <c r="F18" s="214"/>
      <c r="G18" s="214"/>
      <c r="H18" s="215"/>
      <c r="I18" s="215"/>
      <c r="J18" s="215"/>
      <c r="K18" s="215"/>
      <c r="L18" s="215"/>
      <c r="M18" s="215"/>
      <c r="N18" s="215"/>
      <c r="O18" s="215"/>
      <c r="P18" s="215"/>
      <c r="Q18" s="43"/>
      <c r="R18" s="170"/>
      <c r="S18" s="113"/>
      <c r="T18" s="381"/>
    </row>
    <row r="19" spans="2:20">
      <c r="B19" s="94"/>
      <c r="C19" s="94"/>
      <c r="D19" s="94"/>
      <c r="E19" s="94"/>
      <c r="F19" s="214"/>
      <c r="G19" s="214"/>
      <c r="H19" s="215"/>
      <c r="I19" s="215"/>
      <c r="J19" s="215"/>
      <c r="K19" s="343"/>
      <c r="L19" s="343"/>
      <c r="M19" s="343"/>
      <c r="N19" s="343"/>
      <c r="O19" s="343"/>
      <c r="P19" s="343"/>
      <c r="Q19" s="43"/>
      <c r="R19" s="170"/>
      <c r="S19" s="113"/>
      <c r="T19" s="381"/>
    </row>
    <row r="20" spans="2:20">
      <c r="B20" s="94" t="s">
        <v>554</v>
      </c>
      <c r="C20" s="94"/>
      <c r="D20" s="94"/>
      <c r="E20" s="94"/>
      <c r="F20" s="214"/>
      <c r="G20" s="214"/>
      <c r="H20" s="214"/>
      <c r="I20" s="214"/>
      <c r="J20" s="214"/>
      <c r="K20" s="214">
        <f>-(K17-(K17*(K14/$J$14)))</f>
        <v>-0.94652003044565625</v>
      </c>
      <c r="L20" s="214">
        <f t="shared" ref="L20:P20" si="16">-(L17-(L17*(L14/$J$14)))</f>
        <v>-0.90354008419155907</v>
      </c>
      <c r="M20" s="214">
        <f t="shared" si="16"/>
        <v>-0.87017226649269119</v>
      </c>
      <c r="N20" s="214">
        <f t="shared" si="16"/>
        <v>-0.82856548146077014</v>
      </c>
      <c r="O20" s="214">
        <f t="shared" si="16"/>
        <v>-0.80467247619491378</v>
      </c>
      <c r="P20" s="214">
        <f t="shared" si="16"/>
        <v>-0.79808130232847141</v>
      </c>
      <c r="Q20" s="43"/>
      <c r="R20" s="170">
        <f t="shared" ref="R20" si="17">SUM(L20:P20)</f>
        <v>-4.2050316106684056</v>
      </c>
      <c r="S20" s="113">
        <f t="shared" ref="S20" si="18">((P20/K20)^(1/5))-1</f>
        <v>-3.3540931669854279E-2</v>
      </c>
      <c r="T20" s="381">
        <f t="shared" ref="T20" si="19">R20/5</f>
        <v>-0.84100632213368109</v>
      </c>
    </row>
    <row r="21" spans="2:20">
      <c r="J21" s="185"/>
    </row>
    <row r="22" spans="2:20">
      <c r="B22" s="329" t="s">
        <v>445</v>
      </c>
      <c r="C22" s="329"/>
      <c r="D22" s="329"/>
      <c r="E22" s="329"/>
      <c r="F22" s="331"/>
      <c r="G22" s="331"/>
      <c r="H22" s="331"/>
      <c r="I22" s="331"/>
      <c r="J22" s="331"/>
      <c r="K22" s="331"/>
      <c r="L22" s="331"/>
      <c r="M22" s="331"/>
      <c r="N22" s="331"/>
      <c r="O22" s="331"/>
      <c r="P22" s="331"/>
      <c r="Q22" s="331"/>
      <c r="R22" s="331"/>
      <c r="S22" s="331"/>
      <c r="T22" s="331"/>
    </row>
    <row r="25" spans="2:20">
      <c r="J25" s="185"/>
    </row>
    <row r="26" spans="2:20">
      <c r="J26" s="196"/>
    </row>
    <row r="27" spans="2:20">
      <c r="J27" s="162"/>
    </row>
  </sheetData>
  <mergeCells count="2">
    <mergeCell ref="F6:J6"/>
    <mergeCell ref="L6:P6"/>
  </mergeCells>
  <pageMargins left="0.70866141732283472" right="0.70866141732283472" top="0.74803149606299213" bottom="0.74803149606299213" header="0.31496062992125984" footer="0.31496062992125984"/>
  <pageSetup paperSize="9" scale="62" orientation="landscape" r:id="rId1"/>
  <headerFooter>
    <oddHeader>&amp;C&amp;A&amp;D</oddHeader>
  </headerFooter>
  <legacyDrawing r:id="rId2"/>
</worksheet>
</file>

<file path=xl/worksheets/sheet21.xml><?xml version="1.0" encoding="utf-8"?>
<worksheet xmlns="http://schemas.openxmlformats.org/spreadsheetml/2006/main" xmlns:r="http://schemas.openxmlformats.org/officeDocument/2006/relationships">
  <sheetPr>
    <pageSetUpPr fitToPage="1"/>
  </sheetPr>
  <dimension ref="B2:X38"/>
  <sheetViews>
    <sheetView showGridLines="0" zoomScale="70" zoomScaleNormal="70" workbookViewId="0">
      <selection activeCell="D1" sqref="D1:D1048576"/>
    </sheetView>
  </sheetViews>
  <sheetFormatPr defaultRowHeight="12.75"/>
  <cols>
    <col min="1" max="1" width="9.140625" style="19"/>
    <col min="2" max="2" width="29.7109375" style="19" customWidth="1"/>
    <col min="3" max="7" width="9.140625" style="19"/>
    <col min="8" max="8" width="11.5703125" style="19" bestFit="1" customWidth="1"/>
    <col min="9" max="11" width="9.140625" style="19"/>
    <col min="12" max="12" width="9.5703125" style="19" bestFit="1" customWidth="1"/>
    <col min="13" max="14" width="11.42578125" style="19" bestFit="1" customWidth="1"/>
    <col min="15" max="18" width="9.140625" style="19"/>
    <col min="19" max="19" width="10.140625" style="19" bestFit="1" customWidth="1"/>
    <col min="20" max="16384" width="9.140625" style="19"/>
  </cols>
  <sheetData>
    <row r="2" spans="2:24">
      <c r="B2" s="53" t="s">
        <v>787</v>
      </c>
    </row>
    <row r="3" spans="2:24">
      <c r="B3" s="29"/>
    </row>
    <row r="4" spans="2:24">
      <c r="B4" s="84" t="s">
        <v>764</v>
      </c>
      <c r="C4" s="84"/>
      <c r="D4" s="84"/>
      <c r="E4" s="84"/>
      <c r="F4" s="84"/>
      <c r="G4" s="84"/>
      <c r="H4" s="86"/>
      <c r="I4" s="86"/>
      <c r="J4" s="86"/>
      <c r="K4" s="86"/>
      <c r="L4" s="86"/>
      <c r="M4" s="86"/>
      <c r="N4" s="86"/>
      <c r="O4" s="86"/>
      <c r="P4" s="86"/>
      <c r="Q4" s="86"/>
      <c r="R4" s="86"/>
      <c r="S4" s="86"/>
      <c r="T4" s="86"/>
      <c r="U4" s="86"/>
      <c r="V4" s="86"/>
    </row>
    <row r="6" spans="2:24">
      <c r="B6" s="94"/>
      <c r="C6" s="94"/>
      <c r="D6" s="94"/>
      <c r="E6" s="94"/>
      <c r="F6" s="94"/>
      <c r="G6" s="94" t="s">
        <v>448</v>
      </c>
      <c r="H6" s="94">
        <v>0</v>
      </c>
      <c r="I6" s="94">
        <v>1</v>
      </c>
      <c r="J6" s="94">
        <v>2</v>
      </c>
      <c r="K6" s="94">
        <v>3</v>
      </c>
      <c r="L6" s="94">
        <v>4</v>
      </c>
      <c r="M6" s="94">
        <v>5</v>
      </c>
      <c r="N6" s="94">
        <v>6</v>
      </c>
      <c r="O6" s="94">
        <v>7</v>
      </c>
      <c r="P6" s="94">
        <v>8</v>
      </c>
      <c r="Q6" s="94">
        <v>9</v>
      </c>
      <c r="R6" s="94">
        <v>10</v>
      </c>
      <c r="S6" s="43"/>
      <c r="T6" s="43"/>
      <c r="U6" s="43"/>
      <c r="V6" s="43"/>
    </row>
    <row r="7" spans="2:24">
      <c r="S7" s="43"/>
    </row>
    <row r="8" spans="2:24">
      <c r="B8" s="84" t="s">
        <v>258</v>
      </c>
      <c r="C8" s="84"/>
      <c r="D8" s="84"/>
      <c r="E8" s="84"/>
      <c r="F8" s="84"/>
      <c r="G8" s="84"/>
      <c r="H8" s="626" t="s">
        <v>30</v>
      </c>
      <c r="I8" s="627"/>
      <c r="J8" s="627"/>
      <c r="K8" s="627"/>
      <c r="L8" s="628"/>
      <c r="M8" s="87" t="s">
        <v>187</v>
      </c>
      <c r="N8" s="626" t="s">
        <v>31</v>
      </c>
      <c r="O8" s="627"/>
      <c r="P8" s="627"/>
      <c r="Q8" s="627"/>
      <c r="R8" s="627"/>
      <c r="S8" s="43"/>
      <c r="T8" s="275" t="s">
        <v>269</v>
      </c>
      <c r="U8" s="275" t="s">
        <v>40</v>
      </c>
      <c r="V8" s="275" t="s">
        <v>460</v>
      </c>
    </row>
    <row r="9" spans="2:24">
      <c r="B9" s="29" t="s">
        <v>232</v>
      </c>
      <c r="C9" s="29"/>
      <c r="D9" s="29"/>
      <c r="E9" s="29"/>
      <c r="F9" s="29"/>
      <c r="G9" s="29"/>
      <c r="H9" s="75" t="s">
        <v>12</v>
      </c>
      <c r="I9" s="75" t="s">
        <v>13</v>
      </c>
      <c r="J9" s="75" t="s">
        <v>14</v>
      </c>
      <c r="K9" s="75" t="s">
        <v>15</v>
      </c>
      <c r="L9" s="75" t="s">
        <v>16</v>
      </c>
      <c r="M9" s="75" t="s">
        <v>17</v>
      </c>
      <c r="N9" s="75" t="s">
        <v>32</v>
      </c>
      <c r="O9" s="75" t="s">
        <v>33</v>
      </c>
      <c r="P9" s="75" t="s">
        <v>34</v>
      </c>
      <c r="Q9" s="75" t="s">
        <v>35</v>
      </c>
      <c r="R9" s="75" t="s">
        <v>36</v>
      </c>
      <c r="S9" s="43"/>
      <c r="U9" s="31"/>
    </row>
    <row r="10" spans="2:24">
      <c r="B10" s="94" t="s">
        <v>267</v>
      </c>
      <c r="C10" s="209"/>
      <c r="D10" s="209"/>
      <c r="E10" s="209"/>
      <c r="F10" s="209"/>
      <c r="G10" s="209"/>
      <c r="H10" s="216">
        <f>'HAL - fBP'!C39</f>
        <v>1053.7</v>
      </c>
      <c r="I10" s="216">
        <f>'HAL - fBP'!D39</f>
        <v>1083</v>
      </c>
      <c r="J10" s="216">
        <f>'HAL - fBP'!E39</f>
        <v>1026.3999999999999</v>
      </c>
      <c r="K10" s="216">
        <f>'HAL - fBP'!F39</f>
        <v>1029.5</v>
      </c>
      <c r="L10" s="216">
        <f>'HAL - fBP'!G39</f>
        <v>1042.3000000000002</v>
      </c>
      <c r="M10" s="216">
        <f>'HAL - fBP'!H39</f>
        <v>1050.0999999999999</v>
      </c>
      <c r="N10" s="216">
        <f>'HAL - fBP'!I39</f>
        <v>1081.8</v>
      </c>
      <c r="O10" s="216">
        <f>'HAL - fBP'!J39</f>
        <v>1049.8999999999999</v>
      </c>
      <c r="P10" s="216">
        <f>'HAL - fBP'!K39</f>
        <v>1034</v>
      </c>
      <c r="Q10" s="216">
        <f>'HAL - fBP'!L39</f>
        <v>1029.8999999999999</v>
      </c>
      <c r="R10" s="216">
        <f>'HAL - fBP'!M39</f>
        <v>1038.3999999999999</v>
      </c>
      <c r="S10" s="43"/>
      <c r="T10" s="170">
        <f>SUM(N10:R10)</f>
        <v>5233.9999999999991</v>
      </c>
      <c r="U10" s="113">
        <f>((R10/M10)^(1/5))-1</f>
        <v>-2.2383572862288981E-3</v>
      </c>
      <c r="V10" s="170">
        <f t="shared" ref="V10:V11" si="0">T10/5</f>
        <v>1046.7999999999997</v>
      </c>
    </row>
    <row r="11" spans="2:24">
      <c r="B11" s="94" t="s">
        <v>610</v>
      </c>
      <c r="C11" s="209"/>
      <c r="D11" s="209"/>
      <c r="E11" s="209"/>
      <c r="F11" s="209"/>
      <c r="G11" s="209"/>
      <c r="H11" s="216">
        <f>'HAL - aBP'!C39</f>
        <v>1053.7</v>
      </c>
      <c r="I11" s="216">
        <f>'HAL - aBP'!D39</f>
        <v>1083</v>
      </c>
      <c r="J11" s="216">
        <f>'HAL - aBP'!E39</f>
        <v>1026.3999999999999</v>
      </c>
      <c r="K11" s="216">
        <f>'HAL - aBP'!F39</f>
        <v>1029.5</v>
      </c>
      <c r="L11" s="216">
        <f>'HAL - aBP'!G39</f>
        <v>1042.3000000000002</v>
      </c>
      <c r="M11" s="216">
        <f>'HAL - aBP'!H39</f>
        <v>1050.0999999999999</v>
      </c>
      <c r="N11" s="216">
        <f>'HAL - aBP'!I39</f>
        <v>1071.5999999999999</v>
      </c>
      <c r="O11" s="216">
        <f>'HAL - aBP'!J39</f>
        <v>1029.1000000000001</v>
      </c>
      <c r="P11" s="216">
        <f>'HAL - aBP'!K39</f>
        <v>1010.0999999999999</v>
      </c>
      <c r="Q11" s="216">
        <f>'HAL - aBP'!L39</f>
        <v>999.5</v>
      </c>
      <c r="R11" s="216">
        <f>'HAL - aBP'!M39</f>
        <v>1009.4999999999999</v>
      </c>
      <c r="S11" s="43"/>
      <c r="T11" s="170">
        <f>SUM(N11:R11)</f>
        <v>5119.7999999999993</v>
      </c>
      <c r="U11" s="113">
        <f>((R11/M11)^(1/5))-1</f>
        <v>-7.8550344945854667E-3</v>
      </c>
      <c r="V11" s="170">
        <f t="shared" si="0"/>
        <v>1023.9599999999998</v>
      </c>
    </row>
    <row r="12" spans="2:24">
      <c r="B12" s="43"/>
      <c r="C12" s="29"/>
      <c r="D12" s="29"/>
      <c r="E12" s="29"/>
      <c r="F12" s="29"/>
      <c r="G12" s="29"/>
      <c r="H12" s="192"/>
      <c r="I12" s="192"/>
      <c r="J12" s="192"/>
      <c r="K12" s="192"/>
      <c r="L12" s="192"/>
      <c r="M12" s="192"/>
      <c r="N12" s="192"/>
      <c r="O12" s="192"/>
      <c r="P12" s="192"/>
      <c r="Q12" s="192"/>
      <c r="R12" s="192"/>
      <c r="S12" s="43"/>
      <c r="T12" s="39"/>
      <c r="U12" s="31"/>
      <c r="V12" s="39"/>
    </row>
    <row r="13" spans="2:24">
      <c r="B13" s="41" t="s">
        <v>291</v>
      </c>
      <c r="C13" s="53" t="s">
        <v>303</v>
      </c>
      <c r="D13" s="53" t="s">
        <v>325</v>
      </c>
      <c r="E13" s="53" t="s">
        <v>326</v>
      </c>
      <c r="G13" s="29"/>
      <c r="H13" s="192"/>
      <c r="I13" s="192"/>
      <c r="J13" s="192"/>
      <c r="K13" s="192"/>
      <c r="L13" s="192"/>
      <c r="M13" s="192"/>
      <c r="N13" s="252"/>
      <c r="O13" s="192"/>
      <c r="P13" s="192"/>
      <c r="Q13" s="192"/>
      <c r="R13" s="192"/>
      <c r="S13" s="43"/>
      <c r="T13" s="39"/>
      <c r="U13" s="31"/>
      <c r="V13" s="39"/>
    </row>
    <row r="14" spans="2:24">
      <c r="B14" s="376" t="s">
        <v>292</v>
      </c>
      <c r="C14" s="279">
        <v>8.9999999999999993E-3</v>
      </c>
      <c r="D14" s="279">
        <v>8.6999999999999994E-3</v>
      </c>
      <c r="E14" s="279">
        <f>C14-D14</f>
        <v>2.9999999999999992E-4</v>
      </c>
      <c r="F14" s="94"/>
      <c r="G14" s="209"/>
      <c r="H14" s="94"/>
      <c r="I14" s="94"/>
      <c r="J14" s="94"/>
      <c r="K14" s="94"/>
      <c r="L14" s="94"/>
      <c r="M14" s="557"/>
      <c r="N14" s="557">
        <f>-($M$11-($M$11*(1-$E$14)^(N$6-$M$6)))</f>
        <v>-0.31502999999997883</v>
      </c>
      <c r="O14" s="557">
        <f>-($M$11-($M$11*(1-$E$14)^(O$6-$M$6)))</f>
        <v>-0.62996549099989352</v>
      </c>
      <c r="P14" s="557">
        <f>-($M$11-($M$11*(1-$E$14)^(P$6-$M$6)))</f>
        <v>-0.94480650135255928</v>
      </c>
      <c r="Q14" s="557">
        <f>-($M$11-($M$11*(1-$E$14)^(Q$6-$M$6)))</f>
        <v>-1.2595530594021511</v>
      </c>
      <c r="R14" s="557">
        <f>-($M$11-($M$11*(1-$E$14)^(R$6-$M$6)))</f>
        <v>-1.5742051934844312</v>
      </c>
      <c r="S14" s="43"/>
      <c r="T14" s="215">
        <f>SUM(N14:R14)</f>
        <v>-4.723560245239014</v>
      </c>
      <c r="U14" s="113" t="s">
        <v>334</v>
      </c>
      <c r="V14" s="170">
        <f t="shared" ref="V14:V15" si="1">T14/5</f>
        <v>-0.94471204904780282</v>
      </c>
      <c r="W14" s="196"/>
    </row>
    <row r="15" spans="2:24">
      <c r="B15" s="376" t="s">
        <v>319</v>
      </c>
      <c r="C15" s="279">
        <v>0.01</v>
      </c>
      <c r="D15" s="279">
        <v>8.6999999999999994E-3</v>
      </c>
      <c r="E15" s="279">
        <f t="shared" ref="E15:E16" si="2">C15-D15</f>
        <v>1.3000000000000008E-3</v>
      </c>
      <c r="F15" s="94"/>
      <c r="G15" s="209"/>
      <c r="H15" s="94"/>
      <c r="I15" s="94"/>
      <c r="J15" s="94"/>
      <c r="K15" s="94"/>
      <c r="L15" s="94"/>
      <c r="M15" s="557"/>
      <c r="N15" s="557">
        <f>-($M$11-($M$11*(1-$E$15)^(N$6-$M$6)))</f>
        <v>-1.3651299999999083</v>
      </c>
      <c r="O15" s="557">
        <f>-($M$11-($M$11*(1-$E$15)^(O$6-$M$6)))</f>
        <v>-2.7284853309997743</v>
      </c>
      <c r="P15" s="557">
        <f>-($M$11-($M$11*(1-$E$15)^(P$6-$M$6)))</f>
        <v>-4.0900683000695608</v>
      </c>
      <c r="Q15" s="557">
        <f>-($M$11-($M$11*(1-$E$15)^(Q$6-$M$6)))</f>
        <v>-5.4498812112794894</v>
      </c>
      <c r="R15" s="557">
        <f>-($M$11-($M$11*(1-$E$15)^(R$6-$M$6)))</f>
        <v>-6.8079263657045885</v>
      </c>
      <c r="S15" s="43"/>
      <c r="T15" s="215">
        <f>SUM(N15:R15)</f>
        <v>-20.441491208053321</v>
      </c>
      <c r="U15" s="113" t="s">
        <v>334</v>
      </c>
      <c r="V15" s="170">
        <f t="shared" si="1"/>
        <v>-4.0882982416106639</v>
      </c>
      <c r="X15" s="196"/>
    </row>
    <row r="16" spans="2:24">
      <c r="B16" s="376" t="s">
        <v>293</v>
      </c>
      <c r="C16" s="279">
        <v>0.01</v>
      </c>
      <c r="D16" s="279">
        <v>8.6999999999999994E-3</v>
      </c>
      <c r="E16" s="279">
        <f t="shared" si="2"/>
        <v>1.3000000000000008E-3</v>
      </c>
      <c r="F16" s="94"/>
      <c r="G16" s="209"/>
      <c r="H16" s="94"/>
      <c r="I16" s="94"/>
      <c r="J16" s="94"/>
      <c r="K16" s="94"/>
      <c r="L16" s="94"/>
      <c r="M16" s="94"/>
      <c r="N16" s="557">
        <f>-($M$11-($M$11*(1-$E$16)^(N$6-$M$6)))</f>
        <v>-1.3651299999999083</v>
      </c>
      <c r="O16" s="557">
        <f>-($M$11-($M$11*(1-$E$16)^(O$6-$M$6)))</f>
        <v>-2.7284853309997743</v>
      </c>
      <c r="P16" s="557">
        <f>-($M$11-($M$11*(1-$E$16)^(P$6-$M$6)))</f>
        <v>-4.0900683000695608</v>
      </c>
      <c r="Q16" s="557">
        <f>-($M$11-($M$11*(1-$E$16)^(Q$6-$M$6)))</f>
        <v>-5.4498812112794894</v>
      </c>
      <c r="R16" s="557">
        <f>-($M$11-($M$11*(1-$E$16)^(R$6-$M$6)))</f>
        <v>-6.8079263657045885</v>
      </c>
      <c r="S16" s="43"/>
      <c r="T16" s="215">
        <f t="shared" ref="T16" si="3">SUM(N16:R16)</f>
        <v>-20.441491208053321</v>
      </c>
      <c r="U16" s="113" t="s">
        <v>334</v>
      </c>
      <c r="V16" s="170">
        <f>T16/5</f>
        <v>-4.0882982416106639</v>
      </c>
    </row>
    <row r="18" spans="2:22">
      <c r="T18" s="39"/>
    </row>
    <row r="19" spans="2:22">
      <c r="B19" s="329" t="s">
        <v>445</v>
      </c>
      <c r="C19" s="329"/>
      <c r="D19" s="329"/>
      <c r="E19" s="329"/>
      <c r="F19" s="329"/>
      <c r="G19" s="329"/>
      <c r="H19" s="331"/>
      <c r="I19" s="331"/>
      <c r="J19" s="331"/>
      <c r="K19" s="331"/>
      <c r="L19" s="331"/>
      <c r="M19" s="331"/>
      <c r="N19" s="331"/>
      <c r="O19" s="331"/>
      <c r="P19" s="331"/>
      <c r="Q19" s="331"/>
      <c r="R19" s="331"/>
      <c r="S19" s="331"/>
      <c r="T19" s="331"/>
      <c r="U19" s="331"/>
      <c r="V19" s="331"/>
    </row>
    <row r="20" spans="2:22">
      <c r="V20" s="196"/>
    </row>
    <row r="22" spans="2:22">
      <c r="G22" s="29"/>
    </row>
    <row r="24" spans="2:22">
      <c r="E24" s="76"/>
      <c r="M24" s="162"/>
      <c r="N24" s="162"/>
      <c r="O24" s="162"/>
      <c r="P24" s="162"/>
      <c r="Q24" s="162"/>
      <c r="R24" s="162"/>
    </row>
    <row r="25" spans="2:22">
      <c r="N25" s="185"/>
      <c r="O25" s="185"/>
      <c r="P25" s="185"/>
      <c r="Q25" s="185"/>
      <c r="R25" s="185"/>
    </row>
    <row r="26" spans="2:22">
      <c r="N26" s="196"/>
      <c r="O26" s="196"/>
      <c r="P26" s="196"/>
      <c r="Q26" s="196"/>
      <c r="R26" s="196"/>
      <c r="T26" s="196"/>
    </row>
    <row r="27" spans="2:22">
      <c r="M27" s="280"/>
      <c r="N27" s="39"/>
      <c r="O27" s="39"/>
      <c r="P27" s="39"/>
      <c r="Q27" s="39"/>
      <c r="R27" s="39"/>
    </row>
    <row r="28" spans="2:22">
      <c r="N28" s="39"/>
      <c r="O28" s="39"/>
      <c r="P28" s="39"/>
      <c r="Q28" s="39"/>
      <c r="R28" s="39"/>
    </row>
    <row r="29" spans="2:22">
      <c r="O29" s="33"/>
      <c r="P29" s="33"/>
      <c r="Q29" s="33"/>
      <c r="R29" s="33"/>
    </row>
    <row r="30" spans="2:22">
      <c r="O30" s="196"/>
      <c r="P30" s="196"/>
      <c r="Q30" s="196"/>
      <c r="R30" s="196"/>
    </row>
    <row r="31" spans="2:22">
      <c r="M31" s="196"/>
      <c r="N31" s="162"/>
      <c r="O31" s="162"/>
      <c r="P31" s="162"/>
      <c r="Q31" s="162"/>
      <c r="R31" s="162"/>
      <c r="T31" s="283"/>
    </row>
    <row r="32" spans="2:22">
      <c r="N32" s="162"/>
      <c r="O32" s="162"/>
      <c r="P32" s="162"/>
      <c r="Q32" s="162"/>
      <c r="R32" s="162"/>
      <c r="S32" s="185"/>
    </row>
    <row r="33" spans="13:20">
      <c r="M33" s="140"/>
      <c r="T33" s="196"/>
    </row>
    <row r="34" spans="13:20">
      <c r="N34" s="193"/>
      <c r="O34" s="193"/>
      <c r="P34" s="193"/>
      <c r="Q34" s="193"/>
      <c r="R34" s="193"/>
    </row>
    <row r="35" spans="13:20">
      <c r="O35" s="33"/>
      <c r="P35" s="33"/>
      <c r="Q35" s="33"/>
      <c r="R35" s="33"/>
    </row>
    <row r="36" spans="13:20">
      <c r="N36" s="243"/>
      <c r="O36" s="243"/>
      <c r="P36" s="243"/>
      <c r="Q36" s="243"/>
      <c r="R36" s="243"/>
    </row>
    <row r="37" spans="13:20">
      <c r="N37" s="196"/>
      <c r="O37" s="196"/>
      <c r="P37" s="196"/>
      <c r="Q37" s="196"/>
      <c r="R37" s="196"/>
    </row>
    <row r="38" spans="13:20">
      <c r="N38" s="196"/>
      <c r="O38" s="196"/>
      <c r="P38" s="196"/>
      <c r="Q38" s="196"/>
      <c r="R38" s="196"/>
      <c r="S38" s="196"/>
    </row>
  </sheetData>
  <mergeCells count="2">
    <mergeCell ref="H8:L8"/>
    <mergeCell ref="N8:R8"/>
  </mergeCells>
  <pageMargins left="0.70866141732283472" right="0.70866141732283472" top="0.74803149606299213" bottom="0.74803149606299213" header="0.31496062992125984" footer="0.31496062992125984"/>
  <pageSetup paperSize="9" scale="62" orientation="landscape" r:id="rId1"/>
  <headerFooter>
    <oddHeader>&amp;C&amp;A&amp;D</oddHeader>
  </headerFooter>
  <legacyDrawing r:id="rId2"/>
</worksheet>
</file>

<file path=xl/worksheets/sheet22.xml><?xml version="1.0" encoding="utf-8"?>
<worksheet xmlns="http://schemas.openxmlformats.org/spreadsheetml/2006/main" xmlns:r="http://schemas.openxmlformats.org/officeDocument/2006/relationships">
  <sheetPr>
    <pageSetUpPr fitToPage="1"/>
  </sheetPr>
  <dimension ref="B2:W41"/>
  <sheetViews>
    <sheetView showGridLines="0" zoomScale="85" zoomScaleNormal="85" workbookViewId="0">
      <selection activeCell="D24" sqref="D24"/>
    </sheetView>
  </sheetViews>
  <sheetFormatPr defaultRowHeight="12.75"/>
  <cols>
    <col min="1" max="1" width="9.140625" style="19"/>
    <col min="2" max="2" width="34.7109375" style="19" customWidth="1"/>
    <col min="3" max="3" width="9.140625" style="19" customWidth="1"/>
    <col min="4" max="4" width="19.42578125" style="19" customWidth="1"/>
    <col min="5" max="5" width="9.140625" style="19" customWidth="1"/>
    <col min="6" max="6" width="10.5703125" style="19" bestFit="1" customWidth="1"/>
    <col min="7" max="15" width="9.140625" style="19"/>
    <col min="16" max="16" width="9.5703125" style="19" bestFit="1" customWidth="1"/>
    <col min="17" max="17" width="9.140625" style="19"/>
    <col min="18" max="18" width="10.28515625" style="19" bestFit="1" customWidth="1"/>
    <col min="19" max="20" width="9.140625" style="19"/>
    <col min="21" max="21" width="20.85546875" style="19" bestFit="1" customWidth="1"/>
    <col min="22" max="16384" width="9.140625" style="19"/>
  </cols>
  <sheetData>
    <row r="2" spans="2:23">
      <c r="B2" s="53" t="s">
        <v>786</v>
      </c>
    </row>
    <row r="3" spans="2:23">
      <c r="N3" s="77"/>
    </row>
    <row r="4" spans="2:23">
      <c r="B4" s="84" t="s">
        <v>765</v>
      </c>
      <c r="C4" s="84"/>
      <c r="D4" s="84"/>
      <c r="E4" s="84"/>
      <c r="F4" s="86"/>
      <c r="G4" s="86"/>
      <c r="H4" s="86"/>
      <c r="I4" s="86"/>
      <c r="J4" s="86"/>
      <c r="K4" s="86"/>
      <c r="L4" s="86"/>
      <c r="M4" s="86"/>
      <c r="N4" s="86"/>
      <c r="O4" s="86"/>
      <c r="P4" s="86"/>
      <c r="Q4" s="86"/>
      <c r="R4" s="86"/>
      <c r="S4" s="86"/>
      <c r="T4" s="86"/>
    </row>
    <row r="5" spans="2:23">
      <c r="K5" s="30"/>
    </row>
    <row r="6" spans="2:23">
      <c r="B6" s="84" t="s">
        <v>258</v>
      </c>
      <c r="C6" s="84"/>
      <c r="D6" s="84"/>
      <c r="E6" s="84"/>
      <c r="F6" s="626" t="s">
        <v>30</v>
      </c>
      <c r="G6" s="627"/>
      <c r="H6" s="627"/>
      <c r="I6" s="627"/>
      <c r="J6" s="628"/>
      <c r="K6" s="87" t="s">
        <v>187</v>
      </c>
      <c r="L6" s="626" t="s">
        <v>31</v>
      </c>
      <c r="M6" s="627"/>
      <c r="N6" s="627"/>
      <c r="O6" s="627"/>
      <c r="P6" s="628"/>
      <c r="R6" s="187" t="s">
        <v>269</v>
      </c>
      <c r="S6" s="187" t="s">
        <v>40</v>
      </c>
      <c r="T6" s="275" t="s">
        <v>460</v>
      </c>
    </row>
    <row r="7" spans="2:23">
      <c r="B7" s="177" t="s">
        <v>231</v>
      </c>
      <c r="C7" s="29"/>
      <c r="D7" s="29"/>
      <c r="E7" s="29"/>
      <c r="F7" s="75" t="s">
        <v>12</v>
      </c>
      <c r="G7" s="75" t="s">
        <v>13</v>
      </c>
      <c r="H7" s="75" t="s">
        <v>14</v>
      </c>
      <c r="I7" s="75" t="s">
        <v>15</v>
      </c>
      <c r="J7" s="75" t="s">
        <v>16</v>
      </c>
      <c r="K7" s="75" t="s">
        <v>17</v>
      </c>
      <c r="L7" s="75" t="s">
        <v>32</v>
      </c>
      <c r="M7" s="75" t="s">
        <v>33</v>
      </c>
      <c r="N7" s="75" t="s">
        <v>34</v>
      </c>
      <c r="O7" s="75" t="s">
        <v>35</v>
      </c>
      <c r="P7" s="75" t="s">
        <v>36</v>
      </c>
      <c r="S7" s="31"/>
    </row>
    <row r="8" spans="2:23">
      <c r="B8" s="212" t="s">
        <v>470</v>
      </c>
      <c r="C8" s="212"/>
      <c r="D8" s="212"/>
      <c r="E8" s="212"/>
      <c r="F8" s="609" t="s">
        <v>808</v>
      </c>
      <c r="G8" s="609" t="s">
        <v>808</v>
      </c>
      <c r="H8" s="609" t="s">
        <v>808</v>
      </c>
      <c r="I8" s="609" t="s">
        <v>808</v>
      </c>
      <c r="J8" s="609" t="s">
        <v>808</v>
      </c>
      <c r="K8" s="609" t="s">
        <v>808</v>
      </c>
      <c r="L8" s="609" t="s">
        <v>808</v>
      </c>
      <c r="M8" s="609" t="s">
        <v>808</v>
      </c>
      <c r="N8" s="609" t="s">
        <v>808</v>
      </c>
      <c r="O8" s="609" t="s">
        <v>808</v>
      </c>
      <c r="P8" s="609" t="s">
        <v>808</v>
      </c>
      <c r="Q8" s="610"/>
      <c r="R8" s="609" t="s">
        <v>808</v>
      </c>
      <c r="S8" s="609" t="s">
        <v>808</v>
      </c>
      <c r="T8" s="609" t="s">
        <v>808</v>
      </c>
      <c r="V8" s="30"/>
    </row>
    <row r="9" spans="2:23">
      <c r="B9" s="212" t="s">
        <v>471</v>
      </c>
      <c r="C9" s="212"/>
      <c r="D9" s="212"/>
      <c r="E9" s="212"/>
      <c r="F9" s="609" t="s">
        <v>808</v>
      </c>
      <c r="G9" s="609" t="s">
        <v>808</v>
      </c>
      <c r="H9" s="609" t="s">
        <v>808</v>
      </c>
      <c r="I9" s="609" t="s">
        <v>808</v>
      </c>
      <c r="J9" s="609" t="s">
        <v>808</v>
      </c>
      <c r="K9" s="609" t="s">
        <v>808</v>
      </c>
      <c r="L9" s="609" t="s">
        <v>808</v>
      </c>
      <c r="M9" s="609" t="s">
        <v>808</v>
      </c>
      <c r="N9" s="609" t="s">
        <v>808</v>
      </c>
      <c r="O9" s="609" t="s">
        <v>808</v>
      </c>
      <c r="P9" s="609" t="s">
        <v>808</v>
      </c>
      <c r="Q9" s="610"/>
      <c r="R9" s="609" t="s">
        <v>808</v>
      </c>
      <c r="S9" s="609" t="s">
        <v>808</v>
      </c>
      <c r="T9" s="609" t="s">
        <v>808</v>
      </c>
    </row>
    <row r="10" spans="2:23">
      <c r="B10" s="212" t="s">
        <v>472</v>
      </c>
      <c r="C10" s="212"/>
      <c r="D10" s="212"/>
      <c r="E10" s="212"/>
      <c r="F10" s="609" t="s">
        <v>808</v>
      </c>
      <c r="G10" s="609" t="s">
        <v>808</v>
      </c>
      <c r="H10" s="609" t="s">
        <v>808</v>
      </c>
      <c r="I10" s="609" t="s">
        <v>808</v>
      </c>
      <c r="J10" s="609" t="s">
        <v>808</v>
      </c>
      <c r="K10" s="609" t="s">
        <v>808</v>
      </c>
      <c r="L10" s="609" t="s">
        <v>808</v>
      </c>
      <c r="M10" s="609" t="s">
        <v>808</v>
      </c>
      <c r="N10" s="609" t="s">
        <v>808</v>
      </c>
      <c r="O10" s="609" t="s">
        <v>808</v>
      </c>
      <c r="P10" s="609" t="s">
        <v>808</v>
      </c>
      <c r="Q10" s="610"/>
      <c r="R10" s="609" t="s">
        <v>808</v>
      </c>
      <c r="S10" s="609" t="s">
        <v>808</v>
      </c>
      <c r="T10" s="609" t="s">
        <v>808</v>
      </c>
    </row>
    <row r="11" spans="2:23">
      <c r="B11" s="212" t="s">
        <v>297</v>
      </c>
      <c r="C11" s="212"/>
      <c r="D11" s="212"/>
      <c r="E11" s="212"/>
      <c r="F11" s="120">
        <f>'HAL - fBP'!C37</f>
        <v>46.3</v>
      </c>
      <c r="G11" s="120">
        <f>'HAL - fBP'!D37</f>
        <v>56</v>
      </c>
      <c r="H11" s="120">
        <f>'HAL - fBP'!E37</f>
        <v>62.9</v>
      </c>
      <c r="I11" s="120">
        <f>'HAL - fBP'!F37</f>
        <v>64.099999999999994</v>
      </c>
      <c r="J11" s="120">
        <f>'HAL - fBP'!G37</f>
        <v>74.7</v>
      </c>
      <c r="K11" s="120">
        <f>'HAL - fBP'!H37</f>
        <v>73</v>
      </c>
      <c r="L11" s="120">
        <f>'HAL - fBP'!I37</f>
        <v>72.400000000000006</v>
      </c>
      <c r="M11" s="120">
        <f>'HAL - fBP'!J37</f>
        <v>60.4</v>
      </c>
      <c r="N11" s="120">
        <f>'HAL - fBP'!K37</f>
        <v>57.1</v>
      </c>
      <c r="O11" s="120">
        <f>'HAL - fBP'!L37</f>
        <v>54.6</v>
      </c>
      <c r="P11" s="120">
        <f>'HAL - fBP'!M37</f>
        <v>53.1</v>
      </c>
      <c r="Q11" s="137"/>
      <c r="R11" s="215">
        <f t="shared" ref="R11" si="0">SUM(L11:P11)</f>
        <v>297.60000000000002</v>
      </c>
      <c r="S11" s="113">
        <f t="shared" ref="S11" si="1">((P11/K11)^(1/5))-1</f>
        <v>-6.1672742827912463E-2</v>
      </c>
      <c r="T11" s="126">
        <f t="shared" ref="T11" si="2">R11/5</f>
        <v>59.52</v>
      </c>
    </row>
    <row r="12" spans="2:23">
      <c r="B12" s="212"/>
      <c r="C12" s="212"/>
      <c r="D12" s="212"/>
      <c r="E12" s="212"/>
      <c r="F12" s="120"/>
      <c r="G12" s="120"/>
      <c r="H12" s="120"/>
      <c r="I12" s="120"/>
      <c r="J12" s="120"/>
      <c r="K12" s="120"/>
      <c r="L12" s="120"/>
      <c r="M12" s="120"/>
      <c r="N12" s="120"/>
      <c r="O12" s="120"/>
      <c r="P12" s="120"/>
      <c r="Q12" s="137"/>
      <c r="R12" s="215"/>
      <c r="S12" s="113"/>
      <c r="T12" s="126"/>
    </row>
    <row r="13" spans="2:23">
      <c r="B13" s="212" t="s">
        <v>727</v>
      </c>
      <c r="C13" s="212"/>
      <c r="D13" s="212"/>
      <c r="E13" s="212"/>
      <c r="F13" s="609" t="s">
        <v>808</v>
      </c>
      <c r="G13" s="609" t="s">
        <v>808</v>
      </c>
      <c r="H13" s="609" t="s">
        <v>808</v>
      </c>
      <c r="I13" s="609" t="s">
        <v>808</v>
      </c>
      <c r="J13" s="609" t="s">
        <v>808</v>
      </c>
      <c r="K13" s="609" t="s">
        <v>808</v>
      </c>
      <c r="L13" s="609" t="s">
        <v>808</v>
      </c>
      <c r="M13" s="609" t="s">
        <v>808</v>
      </c>
      <c r="N13" s="609" t="s">
        <v>808</v>
      </c>
      <c r="O13" s="609" t="s">
        <v>808</v>
      </c>
      <c r="P13" s="609" t="s">
        <v>808</v>
      </c>
      <c r="Q13" s="137"/>
      <c r="R13" s="215"/>
      <c r="S13" s="609" t="s">
        <v>808</v>
      </c>
      <c r="T13" s="126"/>
    </row>
    <row r="14" spans="2:23">
      <c r="B14" s="212" t="s">
        <v>728</v>
      </c>
      <c r="C14" s="212"/>
      <c r="D14" s="212"/>
      <c r="E14" s="212"/>
      <c r="F14" s="609" t="s">
        <v>808</v>
      </c>
      <c r="G14" s="609" t="s">
        <v>808</v>
      </c>
      <c r="H14" s="609" t="s">
        <v>808</v>
      </c>
      <c r="I14" s="609" t="s">
        <v>808</v>
      </c>
      <c r="J14" s="609" t="s">
        <v>808</v>
      </c>
      <c r="K14" s="609" t="s">
        <v>808</v>
      </c>
      <c r="L14" s="609" t="s">
        <v>808</v>
      </c>
      <c r="M14" s="609" t="s">
        <v>808</v>
      </c>
      <c r="N14" s="609" t="s">
        <v>808</v>
      </c>
      <c r="O14" s="609" t="s">
        <v>808</v>
      </c>
      <c r="P14" s="609" t="s">
        <v>808</v>
      </c>
      <c r="Q14" s="137"/>
      <c r="R14" s="215"/>
      <c r="S14" s="609" t="s">
        <v>808</v>
      </c>
      <c r="T14" s="126"/>
      <c r="W14" s="30"/>
    </row>
    <row r="15" spans="2:23">
      <c r="B15" s="212" t="s">
        <v>729</v>
      </c>
      <c r="C15" s="212"/>
      <c r="D15" s="212"/>
      <c r="E15" s="212"/>
      <c r="F15" s="609" t="s">
        <v>808</v>
      </c>
      <c r="G15" s="609" t="s">
        <v>808</v>
      </c>
      <c r="H15" s="609" t="s">
        <v>808</v>
      </c>
      <c r="I15" s="609" t="s">
        <v>808</v>
      </c>
      <c r="J15" s="609" t="s">
        <v>808</v>
      </c>
      <c r="K15" s="609" t="s">
        <v>808</v>
      </c>
      <c r="L15" s="609" t="s">
        <v>808</v>
      </c>
      <c r="M15" s="609" t="s">
        <v>808</v>
      </c>
      <c r="N15" s="609" t="s">
        <v>808</v>
      </c>
      <c r="O15" s="609" t="s">
        <v>808</v>
      </c>
      <c r="P15" s="609" t="s">
        <v>808</v>
      </c>
      <c r="Q15" s="137"/>
      <c r="R15" s="215"/>
      <c r="S15" s="609" t="s">
        <v>808</v>
      </c>
      <c r="T15" s="126"/>
    </row>
    <row r="16" spans="2:23">
      <c r="B16" s="212"/>
      <c r="C16" s="212"/>
      <c r="D16" s="212"/>
      <c r="E16" s="212"/>
      <c r="F16" s="120"/>
      <c r="G16" s="120"/>
      <c r="H16" s="120"/>
      <c r="I16" s="120"/>
      <c r="J16" s="120"/>
      <c r="K16" s="120"/>
      <c r="L16" s="120"/>
      <c r="M16" s="120"/>
      <c r="N16" s="120"/>
      <c r="O16" s="120"/>
      <c r="P16" s="120"/>
      <c r="Q16" s="137"/>
      <c r="R16" s="215"/>
      <c r="S16" s="113"/>
      <c r="T16" s="126"/>
    </row>
    <row r="17" spans="2:21">
      <c r="B17" s="212" t="s">
        <v>298</v>
      </c>
      <c r="C17" s="212"/>
      <c r="D17" s="212"/>
      <c r="E17" s="212"/>
      <c r="F17" s="217">
        <f t="shared" ref="F17:H17" si="3">F11/$I$11</f>
        <v>0.72230889235569429</v>
      </c>
      <c r="G17" s="217">
        <f t="shared" si="3"/>
        <v>0.87363494539781594</v>
      </c>
      <c r="H17" s="217">
        <f t="shared" si="3"/>
        <v>0.98127925117004688</v>
      </c>
      <c r="I17" s="217">
        <f t="shared" ref="I17:P17" si="4">I11/$I$11</f>
        <v>1</v>
      </c>
      <c r="J17" s="217">
        <f t="shared" si="4"/>
        <v>1.1653666146645867</v>
      </c>
      <c r="K17" s="217">
        <f t="shared" si="4"/>
        <v>1.1388455538221529</v>
      </c>
      <c r="L17" s="217">
        <f>L11/$I$11</f>
        <v>1.1294851794071765</v>
      </c>
      <c r="M17" s="217">
        <f t="shared" si="4"/>
        <v>0.94227769110764437</v>
      </c>
      <c r="N17" s="217">
        <f t="shared" si="4"/>
        <v>0.8907956318252731</v>
      </c>
      <c r="O17" s="217">
        <f t="shared" si="4"/>
        <v>0.85179407176287059</v>
      </c>
      <c r="P17" s="217">
        <f t="shared" si="4"/>
        <v>0.82839313572542916</v>
      </c>
      <c r="Q17" s="43"/>
      <c r="R17" s="170"/>
      <c r="S17" s="113"/>
      <c r="T17" s="126"/>
      <c r="U17" s="77"/>
    </row>
    <row r="18" spans="2:21" ht="12" customHeight="1">
      <c r="B18" s="140"/>
      <c r="C18" s="140"/>
      <c r="D18" s="140"/>
      <c r="E18" s="140"/>
      <c r="F18" s="168"/>
      <c r="G18" s="168"/>
      <c r="H18" s="168"/>
      <c r="I18" s="168"/>
      <c r="J18" s="168"/>
      <c r="K18" s="168"/>
      <c r="L18" s="168"/>
      <c r="M18" s="168"/>
      <c r="N18" s="168"/>
      <c r="O18" s="168"/>
      <c r="P18" s="217"/>
      <c r="Q18" s="43"/>
      <c r="R18" s="170"/>
      <c r="S18" s="113"/>
      <c r="T18" s="126"/>
    </row>
    <row r="19" spans="2:21">
      <c r="B19" s="212" t="s">
        <v>439</v>
      </c>
      <c r="C19" s="212"/>
      <c r="D19" s="212"/>
      <c r="E19" s="212"/>
      <c r="F19" s="609" t="s">
        <v>808</v>
      </c>
      <c r="G19" s="609" t="s">
        <v>808</v>
      </c>
      <c r="H19" s="609" t="s">
        <v>808</v>
      </c>
      <c r="I19" s="609" t="s">
        <v>808</v>
      </c>
      <c r="J19" s="609" t="s">
        <v>808</v>
      </c>
      <c r="K19" s="609" t="s">
        <v>808</v>
      </c>
      <c r="L19" s="609" t="s">
        <v>808</v>
      </c>
      <c r="M19" s="609" t="s">
        <v>808</v>
      </c>
      <c r="N19" s="609" t="s">
        <v>808</v>
      </c>
      <c r="O19" s="609" t="s">
        <v>808</v>
      </c>
      <c r="P19" s="609" t="s">
        <v>808</v>
      </c>
      <c r="Q19" s="43"/>
      <c r="R19" s="399"/>
      <c r="S19" s="113"/>
      <c r="T19" s="126"/>
      <c r="U19" s="530"/>
    </row>
    <row r="20" spans="2:21">
      <c r="B20" s="140"/>
      <c r="C20" s="140"/>
      <c r="D20" s="140"/>
      <c r="E20" s="140"/>
      <c r="F20" s="158"/>
      <c r="G20" s="158"/>
      <c r="H20" s="158"/>
      <c r="I20" s="158"/>
      <c r="J20" s="158"/>
      <c r="K20" s="158"/>
      <c r="L20" s="158"/>
      <c r="M20" s="158"/>
      <c r="N20" s="158"/>
      <c r="O20" s="158"/>
      <c r="P20" s="211"/>
      <c r="Q20" s="43"/>
      <c r="R20" s="211"/>
      <c r="S20" s="113"/>
      <c r="T20" s="126"/>
    </row>
    <row r="21" spans="2:21">
      <c r="B21" s="247" t="s">
        <v>436</v>
      </c>
      <c r="C21" s="212"/>
      <c r="D21" s="212"/>
      <c r="E21" s="212"/>
      <c r="F21" s="609" t="s">
        <v>808</v>
      </c>
      <c r="G21" s="609" t="s">
        <v>808</v>
      </c>
      <c r="H21" s="609" t="s">
        <v>808</v>
      </c>
      <c r="I21" s="609" t="s">
        <v>808</v>
      </c>
      <c r="J21" s="609" t="s">
        <v>808</v>
      </c>
      <c r="K21" s="609" t="s">
        <v>808</v>
      </c>
      <c r="L21" s="609" t="s">
        <v>808</v>
      </c>
      <c r="M21" s="609" t="s">
        <v>808</v>
      </c>
      <c r="N21" s="609" t="s">
        <v>808</v>
      </c>
      <c r="O21" s="609" t="s">
        <v>808</v>
      </c>
      <c r="P21" s="609" t="s">
        <v>808</v>
      </c>
      <c r="Q21" s="43"/>
      <c r="R21" s="396"/>
      <c r="S21" s="113"/>
      <c r="T21" s="126"/>
      <c r="U21" s="30"/>
    </row>
    <row r="22" spans="2:21">
      <c r="B22" s="247" t="s">
        <v>437</v>
      </c>
      <c r="C22" s="212"/>
      <c r="D22" s="212"/>
      <c r="E22" s="212"/>
      <c r="F22" s="609" t="s">
        <v>808</v>
      </c>
      <c r="G22" s="609" t="s">
        <v>808</v>
      </c>
      <c r="H22" s="609" t="s">
        <v>808</v>
      </c>
      <c r="I22" s="609" t="s">
        <v>808</v>
      </c>
      <c r="J22" s="609" t="s">
        <v>808</v>
      </c>
      <c r="K22" s="609" t="s">
        <v>808</v>
      </c>
      <c r="L22" s="609" t="s">
        <v>808</v>
      </c>
      <c r="M22" s="609" t="s">
        <v>808</v>
      </c>
      <c r="N22" s="609" t="s">
        <v>808</v>
      </c>
      <c r="O22" s="609" t="s">
        <v>808</v>
      </c>
      <c r="P22" s="609" t="s">
        <v>808</v>
      </c>
      <c r="Q22" s="43"/>
      <c r="R22" s="170"/>
      <c r="S22" s="113"/>
      <c r="T22" s="126"/>
    </row>
    <row r="23" spans="2:21">
      <c r="B23" s="573" t="s">
        <v>435</v>
      </c>
      <c r="C23" s="248"/>
      <c r="D23" s="248"/>
      <c r="E23" s="248"/>
      <c r="F23" s="609" t="s">
        <v>808</v>
      </c>
      <c r="G23" s="609" t="s">
        <v>808</v>
      </c>
      <c r="H23" s="609" t="s">
        <v>808</v>
      </c>
      <c r="I23" s="609" t="s">
        <v>808</v>
      </c>
      <c r="J23" s="609" t="s">
        <v>808</v>
      </c>
      <c r="K23" s="609" t="s">
        <v>808</v>
      </c>
      <c r="L23" s="609" t="s">
        <v>808</v>
      </c>
      <c r="M23" s="609" t="s">
        <v>808</v>
      </c>
      <c r="N23" s="609" t="s">
        <v>808</v>
      </c>
      <c r="O23" s="609" t="s">
        <v>808</v>
      </c>
      <c r="P23" s="609" t="s">
        <v>808</v>
      </c>
      <c r="Q23" s="43"/>
      <c r="R23" s="94"/>
      <c r="S23" s="113"/>
      <c r="T23" s="126"/>
    </row>
    <row r="24" spans="2:21">
      <c r="B24" s="140"/>
      <c r="D24" s="282"/>
      <c r="E24" s="140"/>
      <c r="F24" s="168"/>
      <c r="G24" s="168"/>
      <c r="H24" s="168"/>
      <c r="I24" s="168"/>
      <c r="J24" s="168"/>
      <c r="K24" s="168"/>
      <c r="L24" s="168"/>
      <c r="M24" s="168"/>
      <c r="N24" s="168"/>
      <c r="O24" s="168"/>
      <c r="P24" s="168"/>
      <c r="Q24" s="43"/>
      <c r="R24" s="39"/>
      <c r="S24" s="31"/>
      <c r="T24" s="38"/>
    </row>
    <row r="25" spans="2:21">
      <c r="B25" s="536"/>
      <c r="C25" s="213"/>
      <c r="D25" s="256"/>
      <c r="E25" s="212"/>
      <c r="F25" s="217"/>
      <c r="G25" s="217"/>
      <c r="H25" s="217"/>
      <c r="I25" s="217"/>
      <c r="J25" s="217"/>
      <c r="K25" s="289" t="s">
        <v>438</v>
      </c>
      <c r="L25" s="215">
        <v>-3</v>
      </c>
      <c r="M25" s="170">
        <v>0</v>
      </c>
      <c r="N25" s="170">
        <v>0</v>
      </c>
      <c r="O25" s="170">
        <v>0</v>
      </c>
      <c r="P25" s="170">
        <v>0</v>
      </c>
      <c r="Q25" s="43"/>
      <c r="R25" s="215">
        <v>-3</v>
      </c>
      <c r="S25" s="524" t="s">
        <v>334</v>
      </c>
      <c r="T25" s="126">
        <v>-0.6</v>
      </c>
      <c r="U25" s="486"/>
    </row>
    <row r="26" spans="2:21">
      <c r="B26" s="573" t="s">
        <v>703</v>
      </c>
      <c r="C26" s="255">
        <v>7.0000000000000007E-2</v>
      </c>
      <c r="D26" s="257"/>
      <c r="E26" s="248"/>
      <c r="F26" s="249"/>
      <c r="G26" s="249"/>
      <c r="H26" s="249"/>
      <c r="I26" s="249"/>
      <c r="J26" s="249"/>
      <c r="K26" s="265" t="s">
        <v>440</v>
      </c>
      <c r="L26" s="172">
        <v>-1.7304047326106939</v>
      </c>
      <c r="M26" s="172">
        <v>-1.7176762393431684</v>
      </c>
      <c r="N26" s="172">
        <v>-1.7698975452210375</v>
      </c>
      <c r="O26" s="172">
        <v>-1.7726551435791249</v>
      </c>
      <c r="P26" s="172">
        <v>-1.8257913590216175</v>
      </c>
      <c r="Q26" s="43"/>
      <c r="R26" s="215">
        <v>-8.8164250197756431</v>
      </c>
      <c r="S26" s="525" t="s">
        <v>334</v>
      </c>
      <c r="T26" s="126">
        <v>-1.7632850039551287</v>
      </c>
      <c r="U26" s="486"/>
    </row>
    <row r="27" spans="2:21">
      <c r="B27" s="522"/>
      <c r="C27" s="255"/>
      <c r="D27" s="257"/>
      <c r="E27" s="248"/>
      <c r="F27" s="249"/>
      <c r="G27" s="249"/>
      <c r="H27" s="249"/>
      <c r="I27" s="249"/>
      <c r="J27" s="249"/>
      <c r="K27" s="265" t="s">
        <v>704</v>
      </c>
      <c r="L27" s="172">
        <v>0</v>
      </c>
      <c r="M27" s="172">
        <v>-1.6</v>
      </c>
      <c r="N27" s="172">
        <v>-1.6</v>
      </c>
      <c r="O27" s="172">
        <v>-1.6</v>
      </c>
      <c r="P27" s="172">
        <v>-1.6</v>
      </c>
      <c r="Q27" s="43"/>
      <c r="R27" s="215">
        <v>-6.4</v>
      </c>
      <c r="S27" s="525" t="s">
        <v>334</v>
      </c>
      <c r="T27" s="126">
        <v>-1.28</v>
      </c>
      <c r="U27" s="486"/>
    </row>
    <row r="28" spans="2:21">
      <c r="B28" s="523"/>
      <c r="C28" s="256"/>
      <c r="D28" s="213"/>
      <c r="E28" s="172"/>
      <c r="F28" s="172"/>
      <c r="G28" s="172"/>
      <c r="H28" s="172"/>
      <c r="I28" s="172"/>
      <c r="J28" s="172"/>
      <c r="K28" s="266"/>
      <c r="L28" s="172"/>
      <c r="M28" s="172"/>
      <c r="N28" s="172"/>
      <c r="O28" s="172"/>
      <c r="P28" s="170"/>
      <c r="Q28" s="43"/>
      <c r="R28" s="215"/>
      <c r="S28" s="397"/>
      <c r="T28" s="126"/>
    </row>
    <row r="29" spans="2:21">
      <c r="B29" s="212" t="s">
        <v>333</v>
      </c>
      <c r="C29" s="212"/>
      <c r="D29" s="212"/>
      <c r="E29" s="212"/>
      <c r="F29" s="120"/>
      <c r="G29" s="120"/>
      <c r="H29" s="120"/>
      <c r="I29" s="120"/>
      <c r="J29" s="120"/>
      <c r="K29" s="120"/>
      <c r="L29" s="120"/>
      <c r="M29" s="120"/>
      <c r="N29" s="120"/>
      <c r="O29" s="120"/>
      <c r="P29" s="120"/>
      <c r="Q29" s="43"/>
      <c r="R29" s="215">
        <v>67</v>
      </c>
      <c r="S29" s="398" t="s">
        <v>334</v>
      </c>
      <c r="T29" s="126">
        <v>13.4</v>
      </c>
    </row>
    <row r="30" spans="2:21">
      <c r="B30" s="140"/>
      <c r="C30" s="140"/>
      <c r="D30" s="140"/>
      <c r="E30" s="140"/>
      <c r="F30" s="30"/>
      <c r="G30" s="30"/>
      <c r="H30" s="30"/>
      <c r="I30" s="30"/>
      <c r="J30" s="30"/>
      <c r="K30" s="30"/>
      <c r="L30" s="30"/>
      <c r="M30" s="30"/>
      <c r="N30" s="30"/>
      <c r="O30" s="30"/>
      <c r="P30" s="30"/>
      <c r="Q30" s="43"/>
      <c r="R30" s="251"/>
      <c r="S30" s="284"/>
      <c r="T30" s="38"/>
    </row>
    <row r="31" spans="2:21">
      <c r="B31" s="29" t="s">
        <v>441</v>
      </c>
      <c r="C31" s="204" t="s">
        <v>304</v>
      </c>
      <c r="Q31" s="43"/>
      <c r="R31" s="251"/>
      <c r="S31" s="284"/>
      <c r="T31" s="38"/>
    </row>
    <row r="32" spans="2:21">
      <c r="B32" s="94" t="s">
        <v>318</v>
      </c>
      <c r="C32" s="256">
        <v>0.4</v>
      </c>
      <c r="D32" s="94"/>
      <c r="E32" s="212"/>
      <c r="F32" s="94"/>
      <c r="G32" s="94"/>
      <c r="H32" s="94"/>
      <c r="I32" s="94"/>
      <c r="J32" s="94"/>
      <c r="K32" s="94"/>
      <c r="L32" s="94"/>
      <c r="M32" s="94"/>
      <c r="N32" s="94"/>
      <c r="O32" s="94"/>
      <c r="P32" s="94"/>
      <c r="Q32" s="43"/>
      <c r="R32" s="215"/>
      <c r="S32" s="398"/>
      <c r="T32" s="126"/>
    </row>
    <row r="33" spans="2:20">
      <c r="B33" s="212" t="s">
        <v>294</v>
      </c>
      <c r="C33" s="213">
        <v>0.33</v>
      </c>
      <c r="D33" s="94"/>
      <c r="E33" s="212"/>
      <c r="F33" s="94"/>
      <c r="G33" s="94"/>
      <c r="H33" s="94"/>
      <c r="I33" s="94"/>
      <c r="J33" s="170">
        <v>0</v>
      </c>
      <c r="K33" s="170">
        <v>0</v>
      </c>
      <c r="L33" s="170">
        <v>-5.5453293488557076</v>
      </c>
      <c r="M33" s="170">
        <v>-5.0128136623222641</v>
      </c>
      <c r="N33" s="170">
        <v>-4.522327930257541</v>
      </c>
      <c r="O33" s="170">
        <v>-4.1498693796854411</v>
      </c>
      <c r="P33" s="170">
        <v>-3.9711801324737803</v>
      </c>
      <c r="Q33" s="43"/>
      <c r="R33" s="215">
        <v>-23.201520453594735</v>
      </c>
      <c r="S33" s="398" t="s">
        <v>334</v>
      </c>
      <c r="T33" s="126">
        <v>-4.6403040907189474</v>
      </c>
    </row>
    <row r="34" spans="2:20">
      <c r="B34" s="212" t="s">
        <v>295</v>
      </c>
      <c r="C34" s="213">
        <v>0.31</v>
      </c>
      <c r="D34" s="94"/>
      <c r="E34" s="212"/>
      <c r="F34" s="94"/>
      <c r="G34" s="94"/>
      <c r="H34" s="94"/>
      <c r="I34" s="94"/>
      <c r="J34" s="170">
        <v>0</v>
      </c>
      <c r="K34" s="170">
        <v>0</v>
      </c>
      <c r="L34" s="170">
        <v>-7.129709162814482</v>
      </c>
      <c r="M34" s="170">
        <v>-6.4450461372714827</v>
      </c>
      <c r="N34" s="170">
        <v>-5.8144216246168385</v>
      </c>
      <c r="O34" s="170">
        <v>-5.3355463453098535</v>
      </c>
      <c r="P34" s="170">
        <v>-5.1058030274662896</v>
      </c>
      <c r="Q34" s="43"/>
      <c r="R34" s="215">
        <v>-29.830526297478947</v>
      </c>
      <c r="S34" s="398" t="s">
        <v>334</v>
      </c>
      <c r="T34" s="126">
        <v>-5.9661052594957891</v>
      </c>
    </row>
    <row r="35" spans="2:20">
      <c r="B35" s="212" t="s">
        <v>469</v>
      </c>
      <c r="C35" s="213">
        <v>0.26</v>
      </c>
      <c r="D35" s="94"/>
      <c r="E35" s="212"/>
      <c r="F35" s="94"/>
      <c r="G35" s="94"/>
      <c r="H35" s="94"/>
      <c r="I35" s="94"/>
      <c r="J35" s="170">
        <v>0</v>
      </c>
      <c r="K35" s="170">
        <v>0</v>
      </c>
      <c r="L35" s="170">
        <v>-11.090658697711415</v>
      </c>
      <c r="M35" s="170">
        <v>-10.025627324644528</v>
      </c>
      <c r="N35" s="170">
        <v>-9.044655860515082</v>
      </c>
      <c r="O35" s="170">
        <v>-8.2997387593708822</v>
      </c>
      <c r="P35" s="170">
        <v>-7.9423602649475606</v>
      </c>
      <c r="Q35" s="43"/>
      <c r="R35" s="215">
        <v>-46.403040907189471</v>
      </c>
      <c r="S35" s="398" t="s">
        <v>334</v>
      </c>
      <c r="T35" s="126">
        <v>-9.2806081814378949</v>
      </c>
    </row>
    <row r="36" spans="2:20">
      <c r="B36" s="212" t="s">
        <v>296</v>
      </c>
      <c r="C36" s="213">
        <v>0.15</v>
      </c>
      <c r="D36" s="94"/>
      <c r="E36" s="212"/>
      <c r="F36" s="94"/>
      <c r="G36" s="94"/>
      <c r="H36" s="94"/>
      <c r="I36" s="94"/>
      <c r="J36" s="170">
        <v>0</v>
      </c>
      <c r="K36" s="170">
        <v>0</v>
      </c>
      <c r="L36" s="170">
        <v>-19.804747674484666</v>
      </c>
      <c r="M36" s="170">
        <v>-17.902905936865224</v>
      </c>
      <c r="N36" s="170">
        <v>-16.151171179491215</v>
      </c>
      <c r="O36" s="170">
        <v>-14.820962070305145</v>
      </c>
      <c r="P36" s="170">
        <v>-14.182786187406357</v>
      </c>
      <c r="Q36" s="43"/>
      <c r="R36" s="215">
        <v>-82.862573048552605</v>
      </c>
      <c r="S36" s="398" t="s">
        <v>334</v>
      </c>
      <c r="T36" s="126">
        <v>-16.57251460971052</v>
      </c>
    </row>
    <row r="37" spans="2:20">
      <c r="B37" s="140"/>
      <c r="C37" s="191"/>
      <c r="D37" s="195"/>
      <c r="E37" s="140"/>
      <c r="G37" s="196"/>
      <c r="J37" s="39"/>
      <c r="K37" s="39"/>
      <c r="L37" s="39"/>
      <c r="M37" s="39"/>
      <c r="N37" s="39"/>
      <c r="O37" s="39"/>
      <c r="P37" s="39"/>
      <c r="R37" s="39"/>
      <c r="S37" s="31"/>
    </row>
    <row r="39" spans="2:20">
      <c r="B39" s="329" t="s">
        <v>445</v>
      </c>
      <c r="C39" s="329"/>
      <c r="D39" s="329"/>
      <c r="E39" s="329"/>
      <c r="F39" s="331"/>
      <c r="G39" s="331"/>
      <c r="H39" s="331"/>
      <c r="I39" s="331"/>
      <c r="J39" s="331"/>
      <c r="K39" s="331"/>
      <c r="L39" s="331"/>
      <c r="M39" s="331"/>
      <c r="N39" s="331"/>
      <c r="O39" s="331"/>
      <c r="P39" s="331"/>
      <c r="Q39" s="331"/>
      <c r="R39" s="331"/>
      <c r="S39" s="331"/>
      <c r="T39" s="331"/>
    </row>
    <row r="41" spans="2:20">
      <c r="B41" s="29"/>
    </row>
  </sheetData>
  <mergeCells count="2">
    <mergeCell ref="F6:J6"/>
    <mergeCell ref="L6:P6"/>
  </mergeCells>
  <pageMargins left="0.70866141732283472" right="0.70866141732283472" top="0.74803149606299213" bottom="0.74803149606299213" header="0.31496062992125984" footer="0.31496062992125984"/>
  <pageSetup paperSize="9" scale="64" fitToHeight="2" orientation="landscape" r:id="rId1"/>
  <headerFooter>
    <oddHeader>&amp;C&amp;A&amp;D</oddHeader>
  </headerFooter>
  <legacyDrawing r:id="rId2"/>
</worksheet>
</file>

<file path=xl/worksheets/sheet23.xml><?xml version="1.0" encoding="utf-8"?>
<worksheet xmlns="http://schemas.openxmlformats.org/spreadsheetml/2006/main" xmlns:r="http://schemas.openxmlformats.org/officeDocument/2006/relationships">
  <sheetPr>
    <pageSetUpPr fitToPage="1"/>
  </sheetPr>
  <dimension ref="B2:R28"/>
  <sheetViews>
    <sheetView showGridLines="0" zoomScale="70" zoomScaleNormal="70" workbookViewId="0">
      <selection activeCell="Q33" sqref="Q33"/>
    </sheetView>
  </sheetViews>
  <sheetFormatPr defaultRowHeight="12.75"/>
  <cols>
    <col min="1" max="1" width="9.140625" style="19"/>
    <col min="2" max="2" width="34.7109375" style="19" customWidth="1"/>
    <col min="3" max="3" width="9.140625" style="19" customWidth="1"/>
    <col min="4" max="4" width="10.28515625" style="19" bestFit="1" customWidth="1"/>
    <col min="5" max="15" width="9.140625" style="19"/>
    <col min="16" max="16" width="10.28515625" style="19" bestFit="1" customWidth="1"/>
    <col min="17" max="16384" width="9.140625" style="19"/>
  </cols>
  <sheetData>
    <row r="2" spans="2:18">
      <c r="B2" s="53" t="s">
        <v>799</v>
      </c>
    </row>
    <row r="4" spans="2:18">
      <c r="B4" s="84" t="s">
        <v>98</v>
      </c>
      <c r="C4" s="84"/>
      <c r="D4" s="86"/>
      <c r="E4" s="86"/>
      <c r="F4" s="86"/>
      <c r="G4" s="86"/>
      <c r="H4" s="86"/>
      <c r="I4" s="86"/>
      <c r="J4" s="86"/>
      <c r="K4" s="86"/>
      <c r="L4" s="86"/>
      <c r="M4" s="86"/>
      <c r="N4" s="86"/>
      <c r="O4" s="86"/>
      <c r="P4" s="86"/>
      <c r="Q4" s="86"/>
      <c r="R4" s="86"/>
    </row>
    <row r="6" spans="2:18">
      <c r="B6" s="84" t="s">
        <v>258</v>
      </c>
      <c r="C6" s="84"/>
      <c r="D6" s="626" t="s">
        <v>30</v>
      </c>
      <c r="E6" s="627"/>
      <c r="F6" s="627"/>
      <c r="G6" s="627"/>
      <c r="H6" s="628"/>
      <c r="I6" s="87" t="s">
        <v>187</v>
      </c>
      <c r="J6" s="626" t="s">
        <v>31</v>
      </c>
      <c r="K6" s="627"/>
      <c r="L6" s="627"/>
      <c r="M6" s="627"/>
      <c r="N6" s="628"/>
      <c r="P6" s="187" t="s">
        <v>269</v>
      </c>
      <c r="Q6" s="187" t="s">
        <v>40</v>
      </c>
      <c r="R6" s="285" t="s">
        <v>460</v>
      </c>
    </row>
    <row r="7" spans="2:18">
      <c r="B7" s="177" t="s">
        <v>231</v>
      </c>
      <c r="C7" s="29"/>
      <c r="D7" s="75" t="s">
        <v>12</v>
      </c>
      <c r="E7" s="75" t="s">
        <v>13</v>
      </c>
      <c r="F7" s="75" t="s">
        <v>14</v>
      </c>
      <c r="G7" s="75" t="s">
        <v>15</v>
      </c>
      <c r="H7" s="75" t="s">
        <v>16</v>
      </c>
      <c r="I7" s="75" t="s">
        <v>17</v>
      </c>
      <c r="J7" s="75" t="s">
        <v>32</v>
      </c>
      <c r="K7" s="75" t="s">
        <v>33</v>
      </c>
      <c r="L7" s="75" t="s">
        <v>34</v>
      </c>
      <c r="M7" s="75" t="s">
        <v>35</v>
      </c>
      <c r="N7" s="75" t="s">
        <v>36</v>
      </c>
      <c r="Q7" s="31"/>
    </row>
    <row r="8" spans="2:18">
      <c r="B8" s="212" t="s">
        <v>507</v>
      </c>
      <c r="C8" s="212"/>
      <c r="D8" s="120">
        <f>'HAL - aBP'!C28</f>
        <v>176.8</v>
      </c>
      <c r="E8" s="120">
        <f>'HAL - aBP'!D28</f>
        <v>169.3</v>
      </c>
      <c r="F8" s="120">
        <f>'HAL - aBP'!E28</f>
        <v>163</v>
      </c>
      <c r="G8" s="120">
        <f>'HAL - aBP'!F28</f>
        <v>164.2</v>
      </c>
      <c r="H8" s="120">
        <f>'HAL - aBP'!G28</f>
        <v>162.4</v>
      </c>
      <c r="I8" s="120">
        <f>'HAL - aBP'!H28</f>
        <v>155.5</v>
      </c>
      <c r="J8" s="120">
        <f>'HAL - aBP'!I28</f>
        <v>161.19999999999999</v>
      </c>
      <c r="K8" s="120">
        <f>'HAL - aBP'!J28</f>
        <v>152.6</v>
      </c>
      <c r="L8" s="120">
        <f>'HAL - aBP'!K28</f>
        <v>141.80000000000001</v>
      </c>
      <c r="M8" s="120">
        <f>'HAL - aBP'!L28</f>
        <v>134.9</v>
      </c>
      <c r="N8" s="120">
        <f>'HAL - aBP'!M28</f>
        <v>133.80000000000001</v>
      </c>
      <c r="P8" s="170">
        <f>SUM(J8:N8)</f>
        <v>724.3</v>
      </c>
      <c r="Q8" s="113">
        <f t="shared" ref="Q8" si="0">((N8/I8)^(1/5))-1</f>
        <v>-2.9612610685985641E-2</v>
      </c>
      <c r="R8" s="126">
        <f>P8/5</f>
        <v>144.85999999999999</v>
      </c>
    </row>
    <row r="9" spans="2:18">
      <c r="B9" s="212" t="s">
        <v>43</v>
      </c>
      <c r="C9" s="212"/>
      <c r="D9" s="120">
        <v>37.700000000000003</v>
      </c>
      <c r="E9" s="120">
        <v>34.6</v>
      </c>
      <c r="F9" s="120">
        <v>29.4</v>
      </c>
      <c r="G9" s="120">
        <v>28.8</v>
      </c>
      <c r="H9" s="120">
        <v>27.8</v>
      </c>
      <c r="I9" s="120">
        <v>28.9</v>
      </c>
      <c r="J9" s="120">
        <v>28.8</v>
      </c>
      <c r="K9" s="120">
        <v>28.3</v>
      </c>
      <c r="L9" s="120">
        <v>27.5</v>
      </c>
      <c r="M9" s="120">
        <v>26.7</v>
      </c>
      <c r="N9" s="120">
        <v>26</v>
      </c>
      <c r="P9" s="170">
        <f t="shared" ref="P9:P12" si="1">SUM(J9:N9)</f>
        <v>137.30000000000001</v>
      </c>
      <c r="Q9" s="113">
        <f t="shared" ref="Q9:Q12" si="2">((N9/I9)^(1/5))-1</f>
        <v>-2.0926939367389208E-2</v>
      </c>
      <c r="R9" s="126">
        <f t="shared" ref="R9:R12" si="3">P9/5</f>
        <v>27.46</v>
      </c>
    </row>
    <row r="10" spans="2:18">
      <c r="B10" s="212" t="s">
        <v>508</v>
      </c>
      <c r="C10" s="212"/>
      <c r="D10" s="120">
        <f>D8-D9</f>
        <v>139.10000000000002</v>
      </c>
      <c r="E10" s="120">
        <f t="shared" ref="E10:N10" si="4">E8-E9</f>
        <v>134.70000000000002</v>
      </c>
      <c r="F10" s="120">
        <f t="shared" si="4"/>
        <v>133.6</v>
      </c>
      <c r="G10" s="120">
        <f t="shared" si="4"/>
        <v>135.39999999999998</v>
      </c>
      <c r="H10" s="120">
        <f t="shared" si="4"/>
        <v>134.6</v>
      </c>
      <c r="I10" s="120">
        <f t="shared" si="4"/>
        <v>126.6</v>
      </c>
      <c r="J10" s="120">
        <f t="shared" si="4"/>
        <v>132.39999999999998</v>
      </c>
      <c r="K10" s="120">
        <f t="shared" si="4"/>
        <v>124.3</v>
      </c>
      <c r="L10" s="120">
        <f t="shared" si="4"/>
        <v>114.30000000000001</v>
      </c>
      <c r="M10" s="120">
        <f t="shared" si="4"/>
        <v>108.2</v>
      </c>
      <c r="N10" s="120">
        <f t="shared" si="4"/>
        <v>107.80000000000001</v>
      </c>
      <c r="P10" s="170">
        <f t="shared" si="1"/>
        <v>587</v>
      </c>
      <c r="Q10" s="113">
        <f t="shared" si="2"/>
        <v>-3.1639622562201541E-2</v>
      </c>
      <c r="R10" s="126">
        <f t="shared" si="3"/>
        <v>117.4</v>
      </c>
    </row>
    <row r="11" spans="2:18">
      <c r="B11" s="212"/>
      <c r="C11" s="212"/>
      <c r="D11" s="120"/>
      <c r="E11" s="120"/>
      <c r="F11" s="120"/>
      <c r="G11" s="120"/>
      <c r="H11" s="120"/>
      <c r="I11" s="120"/>
      <c r="J11" s="120"/>
      <c r="K11" s="120"/>
      <c r="L11" s="120"/>
      <c r="M11" s="120"/>
      <c r="N11" s="120"/>
      <c r="P11" s="170"/>
      <c r="Q11" s="113"/>
      <c r="R11" s="126"/>
    </row>
    <row r="12" spans="2:18">
      <c r="B12" s="94" t="s">
        <v>512</v>
      </c>
      <c r="C12" s="256"/>
      <c r="D12" s="126">
        <f>'HAL - fBP'!C20</f>
        <v>65.900000000000006</v>
      </c>
      <c r="E12" s="126">
        <f>'HAL - fBP'!D20</f>
        <v>66.099999999999994</v>
      </c>
      <c r="F12" s="126">
        <f>'HAL - fBP'!E20</f>
        <v>66.099999999999994</v>
      </c>
      <c r="G12" s="126">
        <f>'HAL - fBP'!F20</f>
        <v>70.067623000000012</v>
      </c>
      <c r="H12" s="126">
        <f>'HAL - fBP'!G20</f>
        <v>69.599999999999994</v>
      </c>
      <c r="I12" s="126">
        <f>'HAL - fBP'!H20</f>
        <v>68.8</v>
      </c>
      <c r="J12" s="126">
        <f>'HAL - fBP'!I20</f>
        <v>69.494122000000004</v>
      </c>
      <c r="K12" s="126">
        <f>'HAL - fBP'!J20</f>
        <v>70.256156000000004</v>
      </c>
      <c r="L12" s="126">
        <f>'HAL - fBP'!K20</f>
        <v>71.025689999999997</v>
      </c>
      <c r="M12" s="126">
        <f>'HAL - fBP'!L20</f>
        <v>71.812779000000006</v>
      </c>
      <c r="N12" s="126">
        <f>'HAL - fBP'!M20</f>
        <v>72.602541000000002</v>
      </c>
      <c r="P12" s="170">
        <f t="shared" si="1"/>
        <v>355.19128799999999</v>
      </c>
      <c r="Q12" s="113">
        <f t="shared" si="2"/>
        <v>1.081732397056423E-2</v>
      </c>
      <c r="R12" s="126">
        <f t="shared" si="3"/>
        <v>71.038257599999994</v>
      </c>
    </row>
    <row r="13" spans="2:18">
      <c r="B13" s="94" t="s">
        <v>509</v>
      </c>
      <c r="C13" s="256"/>
      <c r="D13" s="612" t="s">
        <v>808</v>
      </c>
      <c r="E13" s="612" t="s">
        <v>808</v>
      </c>
      <c r="F13" s="612" t="s">
        <v>808</v>
      </c>
      <c r="G13" s="612" t="s">
        <v>808</v>
      </c>
      <c r="H13" s="612" t="s">
        <v>808</v>
      </c>
      <c r="I13" s="612" t="s">
        <v>808</v>
      </c>
      <c r="J13" s="612" t="s">
        <v>808</v>
      </c>
      <c r="K13" s="612" t="s">
        <v>808</v>
      </c>
      <c r="L13" s="612" t="s">
        <v>808</v>
      </c>
      <c r="M13" s="612" t="s">
        <v>808</v>
      </c>
      <c r="N13" s="612" t="s">
        <v>808</v>
      </c>
      <c r="P13" s="612" t="s">
        <v>808</v>
      </c>
      <c r="Q13" s="612" t="s">
        <v>808</v>
      </c>
      <c r="R13" s="612" t="s">
        <v>808</v>
      </c>
    </row>
    <row r="14" spans="2:18">
      <c r="B14" s="94" t="s">
        <v>510</v>
      </c>
      <c r="C14" s="256"/>
      <c r="D14" s="612" t="s">
        <v>808</v>
      </c>
      <c r="E14" s="612" t="s">
        <v>808</v>
      </c>
      <c r="F14" s="612" t="s">
        <v>808</v>
      </c>
      <c r="G14" s="612" t="s">
        <v>808</v>
      </c>
      <c r="H14" s="612" t="s">
        <v>808</v>
      </c>
      <c r="I14" s="612" t="s">
        <v>808</v>
      </c>
      <c r="J14" s="612" t="s">
        <v>808</v>
      </c>
      <c r="K14" s="612" t="s">
        <v>808</v>
      </c>
      <c r="L14" s="612" t="s">
        <v>808</v>
      </c>
      <c r="M14" s="612" t="s">
        <v>808</v>
      </c>
      <c r="N14" s="612" t="s">
        <v>808</v>
      </c>
      <c r="P14" s="612" t="s">
        <v>808</v>
      </c>
      <c r="Q14" s="612" t="s">
        <v>808</v>
      </c>
      <c r="R14" s="612" t="s">
        <v>808</v>
      </c>
    </row>
    <row r="15" spans="2:18">
      <c r="B15" s="94" t="s">
        <v>511</v>
      </c>
      <c r="C15" s="256"/>
      <c r="D15" s="612" t="s">
        <v>808</v>
      </c>
      <c r="E15" s="612" t="s">
        <v>808</v>
      </c>
      <c r="F15" s="612" t="s">
        <v>808</v>
      </c>
      <c r="G15" s="612" t="s">
        <v>808</v>
      </c>
      <c r="H15" s="612" t="s">
        <v>808</v>
      </c>
      <c r="I15" s="612" t="s">
        <v>808</v>
      </c>
      <c r="J15" s="612" t="s">
        <v>808</v>
      </c>
      <c r="K15" s="612" t="s">
        <v>808</v>
      </c>
      <c r="L15" s="612" t="s">
        <v>808</v>
      </c>
      <c r="M15" s="612" t="s">
        <v>808</v>
      </c>
      <c r="N15" s="612" t="s">
        <v>808</v>
      </c>
      <c r="P15" s="612" t="s">
        <v>808</v>
      </c>
      <c r="Q15" s="612" t="s">
        <v>808</v>
      </c>
      <c r="R15" s="612" t="s">
        <v>808</v>
      </c>
    </row>
    <row r="16" spans="2:18">
      <c r="B16" s="94"/>
      <c r="C16" s="256"/>
      <c r="D16" s="126"/>
      <c r="E16" s="126"/>
      <c r="F16" s="126"/>
      <c r="G16" s="126"/>
      <c r="H16" s="126"/>
      <c r="I16" s="126"/>
      <c r="J16" s="126"/>
      <c r="K16" s="126"/>
      <c r="L16" s="126"/>
      <c r="M16" s="126"/>
      <c r="N16" s="126"/>
      <c r="P16" s="170"/>
      <c r="Q16" s="113"/>
      <c r="R16" s="126"/>
    </row>
    <row r="17" spans="2:18">
      <c r="B17" s="94" t="s">
        <v>620</v>
      </c>
      <c r="C17" s="256"/>
      <c r="D17" s="189">
        <f>D10/D12</f>
        <v>2.110773899848255</v>
      </c>
      <c r="E17" s="189">
        <f t="shared" ref="E17:N17" si="5">E10/E12</f>
        <v>2.0378214826021184</v>
      </c>
      <c r="F17" s="189">
        <f t="shared" si="5"/>
        <v>2.0211800302571863</v>
      </c>
      <c r="G17" s="189">
        <f t="shared" si="5"/>
        <v>1.9324189147960671</v>
      </c>
      <c r="H17" s="189">
        <f t="shared" si="5"/>
        <v>1.9339080459770115</v>
      </c>
      <c r="I17" s="189">
        <f t="shared" si="5"/>
        <v>1.8401162790697674</v>
      </c>
      <c r="J17" s="189">
        <f t="shared" si="5"/>
        <v>1.9051971042961011</v>
      </c>
      <c r="K17" s="189">
        <f t="shared" si="5"/>
        <v>1.7692399794830789</v>
      </c>
      <c r="L17" s="189">
        <f t="shared" si="5"/>
        <v>1.6092768686935672</v>
      </c>
      <c r="M17" s="189">
        <f t="shared" si="5"/>
        <v>1.5066956258578992</v>
      </c>
      <c r="N17" s="189">
        <f t="shared" si="5"/>
        <v>1.4847965169703909</v>
      </c>
      <c r="P17" s="170"/>
      <c r="Q17" s="113"/>
      <c r="R17" s="94"/>
    </row>
    <row r="18" spans="2:18">
      <c r="B18" s="140"/>
      <c r="C18" s="140"/>
      <c r="D18" s="137"/>
      <c r="E18" s="137"/>
      <c r="F18" s="137"/>
      <c r="G18" s="137"/>
      <c r="H18" s="137"/>
      <c r="I18" s="137"/>
      <c r="J18" s="137"/>
      <c r="K18" s="137"/>
      <c r="L18" s="137"/>
      <c r="M18" s="137"/>
      <c r="N18" s="137"/>
      <c r="P18" s="170"/>
      <c r="Q18" s="113"/>
      <c r="R18" s="94"/>
    </row>
    <row r="19" spans="2:18">
      <c r="B19" s="140"/>
      <c r="C19" s="206" t="s">
        <v>305</v>
      </c>
      <c r="D19" s="30"/>
      <c r="E19" s="30"/>
      <c r="F19" s="30"/>
      <c r="G19" s="30"/>
      <c r="H19" s="30"/>
      <c r="I19" s="30"/>
      <c r="J19" s="30"/>
      <c r="K19" s="30"/>
      <c r="L19" s="30"/>
      <c r="M19" s="30"/>
      <c r="N19" s="30"/>
      <c r="P19" s="170"/>
      <c r="Q19" s="113"/>
      <c r="R19" s="94"/>
    </row>
    <row r="20" spans="2:18">
      <c r="B20" s="212" t="s">
        <v>300</v>
      </c>
      <c r="C20" s="213">
        <v>0</v>
      </c>
      <c r="D20" s="218"/>
      <c r="E20" s="218"/>
      <c r="F20" s="218"/>
      <c r="G20" s="218"/>
      <c r="H20" s="218"/>
      <c r="I20" s="218"/>
      <c r="J20" s="218">
        <f t="shared" ref="J20:N20" si="6">-$C$20*J8</f>
        <v>0</v>
      </c>
      <c r="K20" s="218">
        <f t="shared" si="6"/>
        <v>0</v>
      </c>
      <c r="L20" s="218">
        <f t="shared" si="6"/>
        <v>0</v>
      </c>
      <c r="M20" s="218">
        <f t="shared" si="6"/>
        <v>0</v>
      </c>
      <c r="N20" s="218">
        <f t="shared" si="6"/>
        <v>0</v>
      </c>
      <c r="P20" s="215">
        <f t="shared" ref="P20:P23" si="7">SUM(J20:N20)</f>
        <v>0</v>
      </c>
      <c r="Q20" s="398" t="s">
        <v>334</v>
      </c>
      <c r="R20" s="94">
        <f t="shared" ref="R20:R23" si="8">P20/5</f>
        <v>0</v>
      </c>
    </row>
    <row r="21" spans="2:18">
      <c r="B21" s="212" t="s">
        <v>301</v>
      </c>
      <c r="C21" s="213">
        <v>0</v>
      </c>
      <c r="D21" s="218"/>
      <c r="E21" s="218"/>
      <c r="F21" s="218"/>
      <c r="G21" s="218"/>
      <c r="H21" s="218"/>
      <c r="I21" s="218"/>
      <c r="J21" s="218">
        <f t="shared" ref="J21:N21" si="9">-$C$21*J8</f>
        <v>0</v>
      </c>
      <c r="K21" s="218">
        <f t="shared" si="9"/>
        <v>0</v>
      </c>
      <c r="L21" s="218">
        <f t="shared" si="9"/>
        <v>0</v>
      </c>
      <c r="M21" s="218">
        <f t="shared" si="9"/>
        <v>0</v>
      </c>
      <c r="N21" s="218">
        <f t="shared" si="9"/>
        <v>0</v>
      </c>
      <c r="P21" s="215">
        <f t="shared" si="7"/>
        <v>0</v>
      </c>
      <c r="Q21" s="398" t="s">
        <v>334</v>
      </c>
      <c r="R21" s="94">
        <f t="shared" si="8"/>
        <v>0</v>
      </c>
    </row>
    <row r="22" spans="2:18">
      <c r="B22" s="212" t="s">
        <v>302</v>
      </c>
      <c r="C22" s="213">
        <v>0</v>
      </c>
      <c r="D22" s="218"/>
      <c r="E22" s="218"/>
      <c r="F22" s="218"/>
      <c r="G22" s="218"/>
      <c r="H22" s="218"/>
      <c r="I22" s="218"/>
      <c r="J22" s="218">
        <f t="shared" ref="J22:N22" si="10">-$C$22*J8</f>
        <v>0</v>
      </c>
      <c r="K22" s="218">
        <f t="shared" si="10"/>
        <v>0</v>
      </c>
      <c r="L22" s="218">
        <f t="shared" si="10"/>
        <v>0</v>
      </c>
      <c r="M22" s="218">
        <f t="shared" si="10"/>
        <v>0</v>
      </c>
      <c r="N22" s="218">
        <f t="shared" si="10"/>
        <v>0</v>
      </c>
      <c r="P22" s="215">
        <f t="shared" si="7"/>
        <v>0</v>
      </c>
      <c r="Q22" s="398" t="s">
        <v>334</v>
      </c>
      <c r="R22" s="94">
        <f t="shared" si="8"/>
        <v>0</v>
      </c>
    </row>
    <row r="23" spans="2:18">
      <c r="B23" s="94"/>
      <c r="C23" s="256"/>
      <c r="D23" s="126"/>
      <c r="E23" s="126"/>
      <c r="F23" s="126"/>
      <c r="G23" s="126"/>
      <c r="H23" s="126"/>
      <c r="I23" s="126"/>
      <c r="J23" s="126"/>
      <c r="K23" s="126"/>
      <c r="L23" s="126"/>
      <c r="M23" s="126"/>
      <c r="N23" s="126"/>
      <c r="P23" s="215">
        <f t="shared" si="7"/>
        <v>0</v>
      </c>
      <c r="Q23" s="398" t="s">
        <v>334</v>
      </c>
      <c r="R23" s="94">
        <f t="shared" si="8"/>
        <v>0</v>
      </c>
    </row>
    <row r="24" spans="2:18">
      <c r="P24" s="251"/>
      <c r="Q24" s="284"/>
    </row>
    <row r="25" spans="2:18">
      <c r="B25" s="140"/>
      <c r="C25" s="191"/>
      <c r="P25" s="39"/>
      <c r="Q25" s="31"/>
    </row>
    <row r="26" spans="2:18">
      <c r="B26" s="329" t="s">
        <v>445</v>
      </c>
      <c r="C26" s="329"/>
      <c r="D26" s="331"/>
      <c r="E26" s="331"/>
      <c r="F26" s="331"/>
      <c r="G26" s="331"/>
      <c r="H26" s="331"/>
      <c r="I26" s="331"/>
      <c r="J26" s="331"/>
      <c r="K26" s="331"/>
      <c r="L26" s="331"/>
      <c r="M26" s="331"/>
      <c r="N26" s="331"/>
      <c r="O26" s="331"/>
      <c r="P26" s="331"/>
      <c r="Q26" s="331"/>
      <c r="R26" s="331"/>
    </row>
    <row r="27" spans="2:18">
      <c r="B27" s="140"/>
      <c r="C27" s="191"/>
      <c r="H27" s="39"/>
      <c r="I27" s="39"/>
      <c r="J27" s="39"/>
      <c r="K27" s="39"/>
      <c r="L27" s="39"/>
      <c r="M27" s="39"/>
      <c r="N27" s="39"/>
      <c r="P27" s="39"/>
      <c r="Q27" s="31"/>
    </row>
    <row r="28" spans="2:18">
      <c r="B28" s="140"/>
      <c r="C28" s="191"/>
      <c r="H28" s="39"/>
      <c r="I28" s="39"/>
      <c r="J28" s="39"/>
      <c r="K28" s="39"/>
      <c r="L28" s="39"/>
      <c r="M28" s="39"/>
      <c r="N28" s="39"/>
      <c r="P28" s="39"/>
      <c r="Q28" s="31"/>
    </row>
  </sheetData>
  <mergeCells count="2">
    <mergeCell ref="D6:H6"/>
    <mergeCell ref="J6:N6"/>
  </mergeCells>
  <pageMargins left="0.70866141732283472" right="0.70866141732283472" top="0.74803149606299213" bottom="0.74803149606299213" header="0.31496062992125984" footer="0.31496062992125984"/>
  <pageSetup paperSize="9" scale="75" fitToHeight="2" orientation="landscape" r:id="rId1"/>
  <headerFooter>
    <oddHeader>&amp;C&amp;A&amp;D</oddHeader>
  </headerFooter>
  <legacyDrawing r:id="rId2"/>
</worksheet>
</file>

<file path=xl/worksheets/sheet24.xml><?xml version="1.0" encoding="utf-8"?>
<worksheet xmlns="http://schemas.openxmlformats.org/spreadsheetml/2006/main" xmlns:r="http://schemas.openxmlformats.org/officeDocument/2006/relationships">
  <dimension ref="B2:T20"/>
  <sheetViews>
    <sheetView showGridLines="0" zoomScale="70" zoomScaleNormal="70" workbookViewId="0">
      <selection activeCell="M33" sqref="M33"/>
    </sheetView>
  </sheetViews>
  <sheetFormatPr defaultRowHeight="12.75"/>
  <cols>
    <col min="1" max="1" width="9.140625" style="19"/>
    <col min="2" max="2" width="30.7109375" style="19" customWidth="1"/>
    <col min="3" max="16384" width="9.140625" style="19"/>
  </cols>
  <sheetData>
    <row r="2" spans="2:20">
      <c r="B2" s="53" t="s">
        <v>800</v>
      </c>
    </row>
    <row r="4" spans="2:20">
      <c r="B4" s="84" t="s">
        <v>98</v>
      </c>
      <c r="C4" s="84"/>
      <c r="D4" s="84"/>
      <c r="E4" s="84"/>
      <c r="F4" s="84"/>
      <c r="G4" s="84"/>
      <c r="H4" s="84"/>
      <c r="I4" s="84"/>
      <c r="J4" s="84"/>
      <c r="K4" s="84"/>
      <c r="L4" s="84"/>
      <c r="M4" s="84"/>
      <c r="N4" s="84"/>
      <c r="O4" s="84"/>
      <c r="P4" s="84"/>
      <c r="Q4" s="84"/>
      <c r="R4" s="84"/>
      <c r="S4" s="84"/>
      <c r="T4" s="84"/>
    </row>
    <row r="5" spans="2:20" s="61" customFormat="1">
      <c r="B5" s="138"/>
      <c r="C5" s="138"/>
      <c r="D5" s="138"/>
      <c r="E5" s="138"/>
      <c r="F5" s="138"/>
      <c r="G5" s="138"/>
      <c r="H5" s="138"/>
      <c r="I5" s="138"/>
      <c r="J5" s="138"/>
      <c r="K5" s="138"/>
      <c r="L5" s="138"/>
      <c r="M5" s="138"/>
      <c r="N5" s="138"/>
      <c r="O5" s="138"/>
      <c r="P5" s="138"/>
      <c r="Q5" s="138"/>
      <c r="R5" s="138"/>
      <c r="S5" s="138"/>
      <c r="T5" s="138"/>
    </row>
    <row r="6" spans="2:20">
      <c r="B6" s="561" t="s">
        <v>774</v>
      </c>
      <c r="C6" s="238">
        <v>1</v>
      </c>
    </row>
    <row r="8" spans="2:20">
      <c r="B8" s="84" t="s">
        <v>258</v>
      </c>
      <c r="C8" s="84"/>
      <c r="D8" s="84"/>
      <c r="E8" s="84"/>
      <c r="F8" s="626" t="s">
        <v>30</v>
      </c>
      <c r="G8" s="627"/>
      <c r="H8" s="627"/>
      <c r="I8" s="627"/>
      <c r="J8" s="628"/>
      <c r="K8" s="87" t="s">
        <v>187</v>
      </c>
      <c r="L8" s="626" t="s">
        <v>31</v>
      </c>
      <c r="M8" s="627"/>
      <c r="N8" s="627"/>
      <c r="O8" s="627"/>
      <c r="P8" s="628"/>
      <c r="R8" s="408" t="s">
        <v>269</v>
      </c>
      <c r="S8" s="408" t="s">
        <v>40</v>
      </c>
      <c r="T8" s="408" t="s">
        <v>460</v>
      </c>
    </row>
    <row r="9" spans="2:20">
      <c r="B9" s="177" t="s">
        <v>231</v>
      </c>
      <c r="C9" s="29"/>
      <c r="D9" s="29"/>
      <c r="E9" s="29"/>
      <c r="F9" s="75" t="s">
        <v>12</v>
      </c>
      <c r="G9" s="75" t="s">
        <v>13</v>
      </c>
      <c r="H9" s="75" t="s">
        <v>14</v>
      </c>
      <c r="I9" s="75" t="s">
        <v>15</v>
      </c>
      <c r="J9" s="75" t="s">
        <v>16</v>
      </c>
      <c r="K9" s="75" t="s">
        <v>17</v>
      </c>
      <c r="L9" s="75" t="s">
        <v>32</v>
      </c>
      <c r="M9" s="75" t="s">
        <v>33</v>
      </c>
      <c r="N9" s="75" t="s">
        <v>34</v>
      </c>
      <c r="O9" s="75" t="s">
        <v>35</v>
      </c>
      <c r="P9" s="75" t="s">
        <v>36</v>
      </c>
      <c r="S9" s="31"/>
      <c r="T9" s="31"/>
    </row>
    <row r="10" spans="2:20">
      <c r="B10" s="212" t="s">
        <v>613</v>
      </c>
      <c r="C10" s="212"/>
      <c r="D10" s="212"/>
      <c r="E10" s="212"/>
      <c r="F10" s="120"/>
      <c r="G10" s="120"/>
      <c r="H10" s="120"/>
      <c r="I10" s="120"/>
      <c r="J10" s="120"/>
      <c r="K10" s="120"/>
      <c r="L10" s="121">
        <f>-2*$C$6</f>
        <v>-2</v>
      </c>
      <c r="M10" s="121">
        <f>-1.9*C6</f>
        <v>-1.9</v>
      </c>
      <c r="N10" s="121">
        <f>-1.9*C6</f>
        <v>-1.9</v>
      </c>
      <c r="O10" s="121">
        <f>-1.9*C6</f>
        <v>-1.9</v>
      </c>
      <c r="P10" s="121">
        <f>-1.9*C6</f>
        <v>-1.9</v>
      </c>
      <c r="Q10" s="43"/>
      <c r="R10" s="215">
        <f t="shared" ref="R10" si="0">SUM(L10:P10)</f>
        <v>-9.6</v>
      </c>
      <c r="S10" s="113" t="s">
        <v>334</v>
      </c>
      <c r="T10" s="170">
        <f t="shared" ref="T10" si="1">R10/5</f>
        <v>-1.92</v>
      </c>
    </row>
    <row r="11" spans="2:20">
      <c r="D11" s="212"/>
      <c r="E11" s="212"/>
      <c r="F11" s="120"/>
      <c r="G11" s="120"/>
      <c r="H11" s="120"/>
      <c r="I11" s="120"/>
      <c r="J11" s="120"/>
      <c r="K11" s="120"/>
      <c r="L11" s="120"/>
      <c r="M11" s="120"/>
      <c r="N11" s="120"/>
      <c r="O11" s="120"/>
      <c r="P11" s="120"/>
      <c r="Q11" s="43"/>
      <c r="R11" s="215"/>
      <c r="S11" s="113"/>
      <c r="T11" s="170"/>
    </row>
    <row r="12" spans="2:20">
      <c r="B12" s="212"/>
      <c r="C12" s="212"/>
      <c r="D12" s="212"/>
      <c r="E12" s="212"/>
      <c r="F12" s="120"/>
      <c r="G12" s="120"/>
      <c r="H12" s="120"/>
      <c r="I12" s="120"/>
      <c r="J12" s="120"/>
      <c r="K12" s="120"/>
      <c r="L12" s="120"/>
      <c r="M12" s="120"/>
      <c r="N12" s="120"/>
      <c r="O12" s="120"/>
      <c r="P12" s="120"/>
      <c r="Q12" s="43"/>
      <c r="R12" s="215"/>
      <c r="S12" s="113"/>
      <c r="T12" s="170"/>
    </row>
    <row r="13" spans="2:20">
      <c r="B13" s="212"/>
      <c r="C13" s="212"/>
      <c r="D13" s="212"/>
      <c r="E13" s="212"/>
      <c r="F13" s="120"/>
      <c r="G13" s="120"/>
      <c r="H13" s="120"/>
      <c r="I13" s="120"/>
      <c r="J13" s="120"/>
      <c r="K13" s="120"/>
      <c r="L13" s="120"/>
      <c r="M13" s="120"/>
      <c r="N13" s="120"/>
      <c r="O13" s="120"/>
      <c r="P13" s="120"/>
      <c r="Q13" s="43"/>
      <c r="R13" s="215"/>
      <c r="S13" s="113"/>
      <c r="T13" s="170"/>
    </row>
    <row r="15" spans="2:20">
      <c r="B15" s="329" t="s">
        <v>445</v>
      </c>
      <c r="C15" s="329"/>
      <c r="D15" s="329"/>
      <c r="E15" s="329"/>
      <c r="F15" s="329"/>
      <c r="G15" s="329"/>
      <c r="H15" s="329"/>
      <c r="I15" s="329"/>
      <c r="J15" s="329"/>
      <c r="K15" s="329"/>
      <c r="L15" s="329"/>
      <c r="M15" s="329"/>
      <c r="N15" s="329"/>
      <c r="O15" s="329"/>
      <c r="P15" s="329"/>
      <c r="Q15" s="329"/>
      <c r="R15" s="329"/>
      <c r="S15" s="329"/>
      <c r="T15" s="329"/>
    </row>
    <row r="20" spans="2:2">
      <c r="B20" s="29"/>
    </row>
  </sheetData>
  <mergeCells count="2">
    <mergeCell ref="F8:J8"/>
    <mergeCell ref="L8:P8"/>
  </mergeCells>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sheetPr>
    <tabColor rgb="FFFF0000"/>
  </sheetPr>
  <dimension ref="A1"/>
  <sheetViews>
    <sheetView showGridLines="0" workbookViewId="0">
      <selection activeCell="C36" sqref="C36"/>
    </sheetView>
  </sheetViews>
  <sheetFormatPr defaultRowHeight="15"/>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B2:W146"/>
  <sheetViews>
    <sheetView showGridLines="0" topLeftCell="A112" zoomScale="55" zoomScaleNormal="55" workbookViewId="0">
      <selection activeCell="B2" sqref="B2"/>
    </sheetView>
  </sheetViews>
  <sheetFormatPr defaultRowHeight="14.25"/>
  <cols>
    <col min="1" max="1" width="9.140625" style="4"/>
    <col min="2" max="2" width="13" style="4" customWidth="1"/>
    <col min="3" max="9" width="9.28515625" style="4" customWidth="1"/>
    <col min="10" max="12" width="9.140625" style="4"/>
    <col min="13" max="17" width="9.140625" style="4" customWidth="1"/>
    <col min="18" max="18" width="9.140625" style="4"/>
    <col min="19" max="19" width="9.140625" style="4" customWidth="1"/>
    <col min="20" max="16384" width="9.140625" style="4"/>
  </cols>
  <sheetData>
    <row r="2" spans="2:21">
      <c r="B2" s="4" t="s">
        <v>775</v>
      </c>
    </row>
    <row r="4" spans="2:21">
      <c r="B4" s="84" t="s">
        <v>584</v>
      </c>
      <c r="C4" s="84"/>
      <c r="D4" s="84"/>
      <c r="E4" s="84"/>
      <c r="F4" s="84"/>
      <c r="G4" s="84"/>
      <c r="H4" s="84"/>
      <c r="I4" s="84"/>
      <c r="J4" s="84"/>
      <c r="K4" s="84"/>
      <c r="L4" s="84"/>
      <c r="M4" s="84"/>
      <c r="N4" s="84"/>
      <c r="O4" s="84"/>
      <c r="P4" s="84"/>
      <c r="Q4" s="84"/>
      <c r="R4" s="84"/>
      <c r="S4" s="84"/>
      <c r="T4" s="84"/>
      <c r="U4" s="84"/>
    </row>
    <row r="6" spans="2:21">
      <c r="L6" s="560" t="s">
        <v>240</v>
      </c>
      <c r="M6" s="45">
        <f>RPI!$T$103/RPI!$T$100</f>
        <v>1.1050283231163187</v>
      </c>
      <c r="N6" s="45">
        <f>RPI!$T$103/RPI!$T$101</f>
        <v>1.0999922756063651</v>
      </c>
      <c r="O6" s="45">
        <f>RPI!$T$103/RPI!$T$102</f>
        <v>1.0479817492732828</v>
      </c>
      <c r="P6" s="45">
        <f>RPI!$T$103/RPI!$T$103</f>
        <v>1</v>
      </c>
      <c r="Q6" s="45">
        <f>RPI!$T$103/RPI!$V$104</f>
        <v>0.97002826879193504</v>
      </c>
      <c r="R6" s="45">
        <f>RPI!$T$103/RPI!$V$105</f>
        <v>0.94890032817222825</v>
      </c>
    </row>
    <row r="7" spans="2:21">
      <c r="L7" s="560" t="s">
        <v>241</v>
      </c>
      <c r="M7" s="45">
        <f>(1/(RPI!$T$99/RPI!$T$103))</f>
        <v>1.1378290919260117</v>
      </c>
      <c r="N7" s="45">
        <f>(1/(RPI!$T$99/RPI!$T$103))</f>
        <v>1.1378290919260117</v>
      </c>
      <c r="O7" s="45">
        <f>(1/(RPI!$T$99/RPI!$T$103))</f>
        <v>1.1378290919260117</v>
      </c>
      <c r="P7" s="45">
        <f>(1/(RPI!$T$99/RPI!$T$103))</f>
        <v>1.1378290919260117</v>
      </c>
      <c r="Q7" s="45">
        <f>(1/(RPI!$T$99/RPI!$T$103))</f>
        <v>1.1378290919260117</v>
      </c>
      <c r="R7" s="45">
        <f>(1/(RPI!$T$99/RPI!$T$103))</f>
        <v>1.1378290919260117</v>
      </c>
    </row>
    <row r="8" spans="2:21">
      <c r="B8" s="560" t="s">
        <v>238</v>
      </c>
      <c r="C8" s="45">
        <f>RPI!$T$99/RPI!$T$95</f>
        <v>1.1431246289446044</v>
      </c>
      <c r="D8" s="45">
        <f>RPI!$T$99/RPI!$T$96</f>
        <v>1.108645584197006</v>
      </c>
      <c r="E8" s="45">
        <f>RPI!$T$99/RPI!$T$97</f>
        <v>1.0801795192681141</v>
      </c>
      <c r="F8" s="45">
        <f>RPI!$T$99/RPI!$T$98</f>
        <v>1.0413095931441885</v>
      </c>
      <c r="G8" s="45">
        <f>RPI!$T$99/RPI!$T$99</f>
        <v>1</v>
      </c>
      <c r="H8" s="45">
        <f>RPI!$T$99/RPI!$T$100</f>
        <v>0.97117249941801809</v>
      </c>
    </row>
    <row r="10" spans="2:21" ht="15.75" thickBot="1">
      <c r="B10" s="3" t="s">
        <v>95</v>
      </c>
      <c r="L10" s="18" t="s">
        <v>90</v>
      </c>
      <c r="M10" s="19"/>
      <c r="N10" s="19"/>
      <c r="O10" s="19"/>
      <c r="P10" s="19"/>
      <c r="Q10" s="19"/>
      <c r="R10" s="19"/>
      <c r="S10" s="19"/>
    </row>
    <row r="11" spans="2:21" ht="15.75" thickBot="1">
      <c r="B11" s="80" t="s">
        <v>46</v>
      </c>
      <c r="C11" s="644" t="s">
        <v>77</v>
      </c>
      <c r="D11" s="645"/>
      <c r="E11" s="645"/>
      <c r="F11" s="645"/>
      <c r="G11" s="646"/>
      <c r="H11" s="23"/>
      <c r="I11" s="23"/>
      <c r="L11" s="80" t="s">
        <v>46</v>
      </c>
      <c r="M11" s="644" t="s">
        <v>30</v>
      </c>
      <c r="N11" s="648"/>
      <c r="O11" s="648"/>
      <c r="P11" s="648"/>
      <c r="Q11" s="649"/>
      <c r="R11" s="81" t="s">
        <v>187</v>
      </c>
      <c r="S11" s="13"/>
      <c r="T11" s="13"/>
    </row>
    <row r="12" spans="2:21" ht="15" thickBot="1">
      <c r="B12" s="14"/>
      <c r="C12" s="83" t="s">
        <v>78</v>
      </c>
      <c r="D12" s="83" t="s">
        <v>79</v>
      </c>
      <c r="E12" s="83" t="s">
        <v>80</v>
      </c>
      <c r="F12" s="83" t="s">
        <v>44</v>
      </c>
      <c r="G12" s="83" t="s">
        <v>45</v>
      </c>
      <c r="H12" s="83" t="s">
        <v>28</v>
      </c>
      <c r="I12" s="83" t="s">
        <v>40</v>
      </c>
      <c r="L12" s="14"/>
      <c r="M12" s="83" t="s">
        <v>12</v>
      </c>
      <c r="N12" s="83" t="s">
        <v>13</v>
      </c>
      <c r="O12" s="83" t="s">
        <v>14</v>
      </c>
      <c r="P12" s="83" t="s">
        <v>15</v>
      </c>
      <c r="Q12" s="83" t="s">
        <v>16</v>
      </c>
      <c r="R12" s="83" t="s">
        <v>17</v>
      </c>
      <c r="S12" s="83" t="s">
        <v>28</v>
      </c>
      <c r="T12" s="83" t="s">
        <v>40</v>
      </c>
    </row>
    <row r="13" spans="2:21" ht="15" thickBot="1">
      <c r="B13" s="15" t="s">
        <v>266</v>
      </c>
      <c r="C13" s="46">
        <v>441</v>
      </c>
      <c r="D13" s="46">
        <v>462.8</v>
      </c>
      <c r="E13" s="46">
        <v>490.7</v>
      </c>
      <c r="F13" s="46">
        <v>511.9</v>
      </c>
      <c r="G13" s="46">
        <v>534.9</v>
      </c>
      <c r="H13" s="47">
        <v>2441.3000000000002</v>
      </c>
      <c r="I13" s="17">
        <f>((G13/C13)^(1/4))-1</f>
        <v>4.9442147113725632E-2</v>
      </c>
      <c r="J13" s="5"/>
      <c r="L13" s="15" t="s">
        <v>266</v>
      </c>
      <c r="M13" s="46">
        <f>'HAL - Reg'!F46</f>
        <v>876</v>
      </c>
      <c r="N13" s="46">
        <f>'HAL - Reg'!G46</f>
        <v>865.4</v>
      </c>
      <c r="O13" s="46">
        <f>'HAL - Reg'!H46</f>
        <v>912.6</v>
      </c>
      <c r="P13" s="46">
        <f>'HAL - Reg'!I46</f>
        <v>962.4</v>
      </c>
      <c r="Q13" s="46">
        <f>'HAL - Reg'!J46</f>
        <v>998.64029724579837</v>
      </c>
      <c r="R13" s="47"/>
      <c r="S13" s="47">
        <f>SUM(M13:R13)</f>
        <v>4615.0402972457987</v>
      </c>
      <c r="T13" s="17">
        <f>((Q13/M13)^(1/4))-1</f>
        <v>3.329956164950465E-2</v>
      </c>
    </row>
    <row r="14" spans="2:21" ht="15" thickBot="1">
      <c r="B14" s="15" t="s">
        <v>209</v>
      </c>
      <c r="C14" s="46">
        <v>457.9</v>
      </c>
      <c r="D14" s="46">
        <v>496.8</v>
      </c>
      <c r="E14" s="46">
        <v>554.1</v>
      </c>
      <c r="F14" s="46">
        <v>599.79999999999995</v>
      </c>
      <c r="G14" s="46">
        <v>716.1</v>
      </c>
      <c r="H14" s="47">
        <v>2824.7</v>
      </c>
      <c r="I14" s="17">
        <f>((G14/C14)^(1/4))-1</f>
        <v>0.11828051439106346</v>
      </c>
      <c r="J14" s="5"/>
      <c r="L14" s="15" t="s">
        <v>209</v>
      </c>
      <c r="M14" s="46">
        <f>'HAL - Reg'!S46</f>
        <v>969</v>
      </c>
      <c r="N14" s="46">
        <f>'HAL - Reg'!T46</f>
        <v>956.5</v>
      </c>
      <c r="O14" s="46">
        <f>'HAL - Reg'!U46</f>
        <v>950.5</v>
      </c>
      <c r="P14" s="46">
        <f>'HAL - Reg'!V46</f>
        <v>1001</v>
      </c>
      <c r="Q14" s="46">
        <f>'HAL - Reg'!W46</f>
        <v>1027.7</v>
      </c>
      <c r="R14" s="47"/>
      <c r="S14" s="47">
        <f>SUM(M14:R14)</f>
        <v>4904.7</v>
      </c>
      <c r="T14" s="17">
        <f>((Q14/M14)^(1/4))-1</f>
        <v>1.4812118755178849E-2</v>
      </c>
    </row>
    <row r="15" spans="2:21" ht="15" thickBot="1">
      <c r="B15" s="15" t="s">
        <v>81</v>
      </c>
      <c r="C15" s="46">
        <v>16.899999999999999</v>
      </c>
      <c r="D15" s="46">
        <v>34</v>
      </c>
      <c r="E15" s="46">
        <v>63.4</v>
      </c>
      <c r="F15" s="46">
        <v>87.9</v>
      </c>
      <c r="G15" s="46">
        <v>181.2</v>
      </c>
      <c r="H15" s="46">
        <v>383.4</v>
      </c>
      <c r="I15" s="16" t="s">
        <v>200</v>
      </c>
      <c r="K15" s="6"/>
      <c r="L15" s="15" t="s">
        <v>81</v>
      </c>
      <c r="M15" s="46">
        <f>M14-M13</f>
        <v>93</v>
      </c>
      <c r="N15" s="46">
        <f t="shared" ref="N15:P15" si="0">N14-N13</f>
        <v>91.100000000000023</v>
      </c>
      <c r="O15" s="46">
        <f t="shared" si="0"/>
        <v>37.899999999999977</v>
      </c>
      <c r="P15" s="46">
        <f t="shared" si="0"/>
        <v>38.600000000000023</v>
      </c>
      <c r="Q15" s="46">
        <f t="shared" ref="Q15" si="1">Q14-Q13</f>
        <v>29.05970275420168</v>
      </c>
      <c r="R15" s="47"/>
      <c r="S15" s="47">
        <f>SUM(M15:R15)</f>
        <v>289.6597027542017</v>
      </c>
      <c r="T15" s="16" t="s">
        <v>200</v>
      </c>
    </row>
    <row r="16" spans="2:21" s="27" customFormat="1" ht="15" thickBot="1">
      <c r="B16" s="15" t="s">
        <v>210</v>
      </c>
      <c r="C16" s="44">
        <f>C15/C13</f>
        <v>3.8321995464852605E-2</v>
      </c>
      <c r="D16" s="44">
        <f>D15/D13</f>
        <v>7.3465859982713919E-2</v>
      </c>
      <c r="E16" s="44">
        <f>E15/E13</f>
        <v>0.12920317913185245</v>
      </c>
      <c r="F16" s="44">
        <f>F15/F13</f>
        <v>0.17171322523930457</v>
      </c>
      <c r="G16" s="44">
        <f t="shared" ref="G16" si="2">G15/G13</f>
        <v>0.33875490745933817</v>
      </c>
      <c r="H16" s="44">
        <f>H15/H13</f>
        <v>0.1570474747060992</v>
      </c>
      <c r="I16" s="16" t="s">
        <v>200</v>
      </c>
      <c r="K16" s="52"/>
      <c r="L16" s="15" t="s">
        <v>210</v>
      </c>
      <c r="M16" s="44">
        <f>M15/M13</f>
        <v>0.10616438356164383</v>
      </c>
      <c r="N16" s="44">
        <f t="shared" ref="N16:Q16" si="3">N15/N13</f>
        <v>0.10526923965796167</v>
      </c>
      <c r="O16" s="44">
        <f t="shared" si="3"/>
        <v>4.1529695375849197E-2</v>
      </c>
      <c r="P16" s="44">
        <f t="shared" si="3"/>
        <v>4.0108063175394872E-2</v>
      </c>
      <c r="Q16" s="44">
        <f t="shared" si="3"/>
        <v>2.9099269110556557E-2</v>
      </c>
      <c r="R16" s="44"/>
      <c r="S16" s="44">
        <f>S15/S13</f>
        <v>6.2764284621104435E-2</v>
      </c>
      <c r="T16" s="16" t="s">
        <v>200</v>
      </c>
    </row>
    <row r="17" spans="2:20">
      <c r="B17" s="7" t="s">
        <v>88</v>
      </c>
      <c r="L17" s="24" t="s">
        <v>185</v>
      </c>
      <c r="M17" s="25"/>
      <c r="N17" s="25"/>
      <c r="O17" s="25"/>
      <c r="P17" s="25"/>
      <c r="Q17" s="25"/>
      <c r="R17" s="26"/>
      <c r="S17" s="26"/>
      <c r="T17" s="27"/>
    </row>
    <row r="18" spans="2:20">
      <c r="B18" s="7" t="s">
        <v>89</v>
      </c>
    </row>
    <row r="19" spans="2:20" ht="15" thickBot="1">
      <c r="B19" s="7"/>
      <c r="L19" s="18" t="s">
        <v>90</v>
      </c>
      <c r="M19" s="19"/>
      <c r="N19" s="19"/>
      <c r="O19" s="19"/>
      <c r="P19" s="19"/>
      <c r="Q19" s="19"/>
      <c r="R19" s="19"/>
      <c r="S19" s="19"/>
      <c r="T19" s="19"/>
    </row>
    <row r="20" spans="2:20" ht="15" thickBot="1">
      <c r="B20" s="7"/>
      <c r="L20" s="80" t="s">
        <v>231</v>
      </c>
      <c r="M20" s="644" t="s">
        <v>30</v>
      </c>
      <c r="N20" s="645"/>
      <c r="O20" s="645"/>
      <c r="P20" s="645"/>
      <c r="Q20" s="646"/>
      <c r="R20" s="81" t="s">
        <v>187</v>
      </c>
      <c r="S20" s="13"/>
      <c r="T20" s="13"/>
    </row>
    <row r="21" spans="2:20" ht="15" thickBot="1">
      <c r="B21" s="7"/>
      <c r="L21" s="14"/>
      <c r="M21" s="83" t="s">
        <v>12</v>
      </c>
      <c r="N21" s="83" t="s">
        <v>13</v>
      </c>
      <c r="O21" s="83" t="s">
        <v>14</v>
      </c>
      <c r="P21" s="83" t="s">
        <v>15</v>
      </c>
      <c r="Q21" s="83" t="s">
        <v>16</v>
      </c>
      <c r="R21" s="83" t="s">
        <v>17</v>
      </c>
      <c r="S21" s="83" t="s">
        <v>28</v>
      </c>
      <c r="T21" s="83" t="s">
        <v>40</v>
      </c>
    </row>
    <row r="22" spans="2:20" ht="15" thickBot="1">
      <c r="B22" s="7"/>
      <c r="L22" s="15" t="s">
        <v>266</v>
      </c>
      <c r="M22" s="46">
        <f t="shared" ref="M22:Q23" si="4">M13*M$6</f>
        <v>968.00481104989524</v>
      </c>
      <c r="N22" s="46">
        <f t="shared" si="4"/>
        <v>951.93331530974842</v>
      </c>
      <c r="O22" s="46">
        <f t="shared" si="4"/>
        <v>956.38814438679788</v>
      </c>
      <c r="P22" s="46">
        <f t="shared" si="4"/>
        <v>962.4</v>
      </c>
      <c r="Q22" s="46">
        <f t="shared" si="4"/>
        <v>968.7093186832052</v>
      </c>
      <c r="R22" s="47"/>
      <c r="S22" s="47">
        <f>SUM(M22:R22)</f>
        <v>4807.4355894296468</v>
      </c>
      <c r="T22" s="17">
        <f>((Q22/M22)^(1/4))-1</f>
        <v>1.8189874441332243E-4</v>
      </c>
    </row>
    <row r="23" spans="2:20" ht="15" thickBot="1">
      <c r="B23" s="7"/>
      <c r="L23" s="15" t="s">
        <v>209</v>
      </c>
      <c r="M23" s="46">
        <f t="shared" si="4"/>
        <v>1070.7724450997127</v>
      </c>
      <c r="N23" s="46">
        <f t="shared" si="4"/>
        <v>1052.1426116174882</v>
      </c>
      <c r="O23" s="46">
        <f t="shared" si="4"/>
        <v>996.10665268425532</v>
      </c>
      <c r="P23" s="46">
        <f t="shared" si="4"/>
        <v>1001</v>
      </c>
      <c r="Q23" s="46">
        <f t="shared" si="4"/>
        <v>996.89805183747171</v>
      </c>
      <c r="R23" s="47"/>
      <c r="S23" s="47">
        <f>SUM(M23:R23)</f>
        <v>5116.919761238928</v>
      </c>
      <c r="T23" s="17">
        <f>((Q23/M23)^(1/4))-1</f>
        <v>-1.7713014234604918E-2</v>
      </c>
    </row>
    <row r="24" spans="2:20" ht="15" thickBot="1">
      <c r="B24" s="7"/>
      <c r="L24" s="15" t="s">
        <v>81</v>
      </c>
      <c r="M24" s="46">
        <f>M23-M22</f>
        <v>102.7676340498175</v>
      </c>
      <c r="N24" s="46">
        <f t="shared" ref="N24:P24" si="5">N23-N22</f>
        <v>100.20929630773981</v>
      </c>
      <c r="O24" s="46">
        <f t="shared" si="5"/>
        <v>39.718508297457447</v>
      </c>
      <c r="P24" s="46">
        <f t="shared" si="5"/>
        <v>38.600000000000023</v>
      </c>
      <c r="Q24" s="46">
        <f t="shared" ref="Q24" si="6">Q23-Q22</f>
        <v>28.188733154266515</v>
      </c>
      <c r="R24" s="47"/>
      <c r="S24" s="47">
        <f>SUM(M24:R24)</f>
        <v>309.48417180928129</v>
      </c>
      <c r="T24" s="16" t="s">
        <v>200</v>
      </c>
    </row>
    <row r="25" spans="2:20" ht="15" thickBot="1">
      <c r="B25" s="7"/>
      <c r="L25" s="15" t="s">
        <v>210</v>
      </c>
      <c r="M25" s="44">
        <f>M24/M22</f>
        <v>0.10616438356164369</v>
      </c>
      <c r="N25" s="44">
        <f t="shared" ref="N25" si="7">N24/N22</f>
        <v>0.10526923965796157</v>
      </c>
      <c r="O25" s="44">
        <f t="shared" ref="O25" si="8">O24/O22</f>
        <v>4.1529695375849253E-2</v>
      </c>
      <c r="P25" s="44">
        <f t="shared" ref="P25:Q25" si="9">P24/P22</f>
        <v>4.0108063175394872E-2</v>
      </c>
      <c r="Q25" s="44">
        <f t="shared" si="9"/>
        <v>2.9099269110556592E-2</v>
      </c>
      <c r="R25" s="44"/>
      <c r="S25" s="44">
        <f>S24/S22</f>
        <v>6.437614525502118E-2</v>
      </c>
      <c r="T25" s="16" t="s">
        <v>200</v>
      </c>
    </row>
    <row r="26" spans="2:20">
      <c r="B26" s="7"/>
      <c r="L26" s="24" t="s">
        <v>185</v>
      </c>
      <c r="M26" s="25"/>
      <c r="N26" s="25"/>
      <c r="O26" s="25"/>
      <c r="P26" s="25"/>
      <c r="Q26" s="25"/>
      <c r="R26" s="26"/>
      <c r="S26" s="26"/>
    </row>
    <row r="27" spans="2:20">
      <c r="B27" s="7"/>
    </row>
    <row r="28" spans="2:20" ht="15.75" thickBot="1">
      <c r="B28" s="8" t="s">
        <v>96</v>
      </c>
      <c r="L28" s="20" t="s">
        <v>91</v>
      </c>
      <c r="M28" s="19"/>
      <c r="N28" s="19"/>
      <c r="O28" s="19"/>
      <c r="P28" s="21"/>
      <c r="Q28" s="19"/>
      <c r="R28" s="19"/>
      <c r="S28" s="19"/>
      <c r="T28" s="19"/>
    </row>
    <row r="29" spans="2:20" ht="15" thickBot="1">
      <c r="B29" s="80" t="s">
        <v>46</v>
      </c>
      <c r="C29" s="644" t="s">
        <v>77</v>
      </c>
      <c r="D29" s="645"/>
      <c r="E29" s="645"/>
      <c r="F29" s="645"/>
      <c r="G29" s="646"/>
      <c r="H29" s="23"/>
      <c r="I29" s="23"/>
      <c r="L29" s="80" t="s">
        <v>46</v>
      </c>
      <c r="M29" s="644" t="s">
        <v>30</v>
      </c>
      <c r="N29" s="645"/>
      <c r="O29" s="645"/>
      <c r="P29" s="645"/>
      <c r="Q29" s="646"/>
      <c r="R29" s="81" t="s">
        <v>187</v>
      </c>
      <c r="S29" s="13"/>
      <c r="T29" s="13"/>
    </row>
    <row r="30" spans="2:20" ht="15" thickBot="1">
      <c r="B30" s="14"/>
      <c r="C30" s="83" t="s">
        <v>78</v>
      </c>
      <c r="D30" s="83" t="s">
        <v>79</v>
      </c>
      <c r="E30" s="83" t="s">
        <v>80</v>
      </c>
      <c r="F30" s="83" t="s">
        <v>44</v>
      </c>
      <c r="G30" s="83" t="s">
        <v>45</v>
      </c>
      <c r="H30" s="83" t="s">
        <v>28</v>
      </c>
      <c r="I30" s="83" t="s">
        <v>40</v>
      </c>
      <c r="L30" s="14"/>
      <c r="M30" s="83" t="s">
        <v>12</v>
      </c>
      <c r="N30" s="83" t="s">
        <v>13</v>
      </c>
      <c r="O30" s="83" t="s">
        <v>14</v>
      </c>
      <c r="P30" s="83" t="s">
        <v>15</v>
      </c>
      <c r="Q30" s="83" t="s">
        <v>16</v>
      </c>
      <c r="R30" s="83" t="s">
        <v>17</v>
      </c>
      <c r="S30" s="83" t="s">
        <v>28</v>
      </c>
      <c r="T30" s="83" t="s">
        <v>40</v>
      </c>
    </row>
    <row r="31" spans="2:20" ht="15" thickBot="1">
      <c r="B31" s="15" t="s">
        <v>266</v>
      </c>
      <c r="C31" s="46">
        <v>174.6</v>
      </c>
      <c r="D31" s="46">
        <v>183</v>
      </c>
      <c r="E31" s="46">
        <v>195.8</v>
      </c>
      <c r="F31" s="46">
        <v>211.9</v>
      </c>
      <c r="G31" s="46">
        <v>224.9</v>
      </c>
      <c r="H31" s="46">
        <v>990.2</v>
      </c>
      <c r="I31" s="17">
        <f>((G31/C31)^(1/4))-1</f>
        <v>6.5335266546507009E-2</v>
      </c>
      <c r="J31" s="5"/>
      <c r="L31" s="15" t="s">
        <v>266</v>
      </c>
      <c r="M31" s="46">
        <f>'GAL - Reg'!F45</f>
        <v>284.89999999999998</v>
      </c>
      <c r="N31" s="46">
        <f>'GAL - Reg'!G45</f>
        <v>284.89999999999998</v>
      </c>
      <c r="O31" s="46">
        <f>'GAL - Reg'!H45</f>
        <v>299.2</v>
      </c>
      <c r="P31" s="46">
        <f>'GAL - Reg'!I45</f>
        <v>314.8</v>
      </c>
      <c r="Q31" s="46">
        <f>'GAL - Reg'!J45</f>
        <v>322</v>
      </c>
      <c r="R31" s="47"/>
      <c r="S31" s="47">
        <f>SUM(M31:R31)</f>
        <v>1505.8</v>
      </c>
      <c r="T31" s="17">
        <f>((Q31/M31)^(1/4))-1</f>
        <v>3.1076421557733491E-2</v>
      </c>
    </row>
    <row r="32" spans="2:20" ht="15" thickBot="1">
      <c r="B32" s="15" t="s">
        <v>209</v>
      </c>
      <c r="C32" s="46">
        <v>184.3</v>
      </c>
      <c r="D32" s="46">
        <v>193.7</v>
      </c>
      <c r="E32" s="46">
        <v>223.4</v>
      </c>
      <c r="F32" s="46">
        <v>225.4</v>
      </c>
      <c r="G32" s="46">
        <v>254.2</v>
      </c>
      <c r="H32" s="46">
        <v>1081</v>
      </c>
      <c r="I32" s="17">
        <f>((G32/C32)^(1/4))-1</f>
        <v>8.3708682176527383E-2</v>
      </c>
      <c r="J32" s="5"/>
      <c r="L32" s="15" t="s">
        <v>209</v>
      </c>
      <c r="M32" s="46">
        <f>'GAL - Reg'!T45</f>
        <v>282.19999999999993</v>
      </c>
      <c r="N32" s="46">
        <f>'GAL - Reg'!U45</f>
        <v>289.60000000000002</v>
      </c>
      <c r="O32" s="46">
        <f>'GAL - Reg'!V45</f>
        <v>268</v>
      </c>
      <c r="P32" s="46">
        <f>'GAL - Reg'!W45</f>
        <v>280.89999999999998</v>
      </c>
      <c r="Q32" s="403">
        <f>'GAL - Reg'!X45</f>
        <v>294.2</v>
      </c>
      <c r="R32" s="47"/>
      <c r="S32" s="47">
        <f>SUM(M32:R32)</f>
        <v>1414.8999999999999</v>
      </c>
      <c r="T32" s="17">
        <f>((Q32/M32)^(1/4))-1</f>
        <v>1.0465324605994475E-2</v>
      </c>
    </row>
    <row r="33" spans="2:20" ht="15" thickBot="1">
      <c r="B33" s="15" t="s">
        <v>81</v>
      </c>
      <c r="C33" s="46">
        <v>9.6999999999999993</v>
      </c>
      <c r="D33" s="46">
        <v>10.7</v>
      </c>
      <c r="E33" s="46">
        <v>27.6</v>
      </c>
      <c r="F33" s="46">
        <v>13.5</v>
      </c>
      <c r="G33" s="46">
        <v>29.3</v>
      </c>
      <c r="H33" s="46">
        <v>90.8</v>
      </c>
      <c r="I33" s="16" t="s">
        <v>200</v>
      </c>
      <c r="K33" s="6"/>
      <c r="L33" s="15" t="s">
        <v>81</v>
      </c>
      <c r="M33" s="46">
        <f>M32-M31</f>
        <v>-2.7000000000000455</v>
      </c>
      <c r="N33" s="46">
        <f t="shared" ref="N33:P33" si="10">N32-N31</f>
        <v>4.7000000000000455</v>
      </c>
      <c r="O33" s="46">
        <f t="shared" si="10"/>
        <v>-31.199999999999989</v>
      </c>
      <c r="P33" s="46">
        <f t="shared" si="10"/>
        <v>-33.900000000000034</v>
      </c>
      <c r="Q33" s="46">
        <f t="shared" ref="Q33" si="11">Q32-Q31</f>
        <v>-27.800000000000011</v>
      </c>
      <c r="R33" s="46"/>
      <c r="S33" s="47">
        <f>SUM(M33:R33)</f>
        <v>-90.900000000000034</v>
      </c>
      <c r="T33" s="16" t="s">
        <v>200</v>
      </c>
    </row>
    <row r="34" spans="2:20" s="27" customFormat="1" ht="15" thickBot="1">
      <c r="B34" s="15" t="s">
        <v>210</v>
      </c>
      <c r="C34" s="44">
        <f>C33/C31</f>
        <v>5.5555555555555552E-2</v>
      </c>
      <c r="D34" s="44">
        <f t="shared" ref="D34:G34" si="12">D33/D31</f>
        <v>5.8469945355191254E-2</v>
      </c>
      <c r="E34" s="44">
        <f t="shared" si="12"/>
        <v>0.14096016343207354</v>
      </c>
      <c r="F34" s="44">
        <f t="shared" si="12"/>
        <v>6.3709296838131188E-2</v>
      </c>
      <c r="G34" s="44">
        <f t="shared" si="12"/>
        <v>0.13028012449977769</v>
      </c>
      <c r="H34" s="44">
        <f>H33/H31</f>
        <v>9.1698646738032713E-2</v>
      </c>
      <c r="I34" s="16" t="s">
        <v>200</v>
      </c>
      <c r="K34" s="52"/>
      <c r="L34" s="15" t="s">
        <v>210</v>
      </c>
      <c r="M34" s="44">
        <f>M33/M31</f>
        <v>-9.4770094770096382E-3</v>
      </c>
      <c r="N34" s="44">
        <f t="shared" ref="N34" si="13">N33/N31</f>
        <v>1.6497016497016657E-2</v>
      </c>
      <c r="O34" s="44">
        <f t="shared" ref="O34" si="14">O33/O31</f>
        <v>-0.10427807486631013</v>
      </c>
      <c r="P34" s="44">
        <f t="shared" ref="P34" si="15">P33/P31</f>
        <v>-0.10768742058449819</v>
      </c>
      <c r="Q34" s="44">
        <f t="shared" ref="Q34" si="16">Q33/Q31</f>
        <v>-8.6335403726708115E-2</v>
      </c>
      <c r="R34" s="44"/>
      <c r="S34" s="44">
        <f>S33/S31</f>
        <v>-6.0366582547483089E-2</v>
      </c>
      <c r="T34" s="16" t="s">
        <v>200</v>
      </c>
    </row>
    <row r="35" spans="2:20">
      <c r="B35" s="7" t="s">
        <v>88</v>
      </c>
      <c r="C35" s="9"/>
      <c r="D35" s="9"/>
      <c r="E35" s="9"/>
      <c r="F35" s="9"/>
      <c r="G35" s="9"/>
      <c r="H35" s="9"/>
      <c r="L35" s="24" t="s">
        <v>185</v>
      </c>
      <c r="M35" s="27"/>
      <c r="N35" s="27"/>
      <c r="O35" s="27"/>
      <c r="P35" s="27"/>
      <c r="Q35" s="27"/>
      <c r="R35" s="27"/>
      <c r="S35" s="27"/>
      <c r="T35" s="27"/>
    </row>
    <row r="36" spans="2:20">
      <c r="B36" s="7" t="s">
        <v>89</v>
      </c>
    </row>
    <row r="37" spans="2:20">
      <c r="B37" s="7"/>
    </row>
    <row r="38" spans="2:20" ht="15" thickBot="1">
      <c r="B38" s="7"/>
      <c r="L38" s="20" t="s">
        <v>91</v>
      </c>
      <c r="M38" s="19"/>
      <c r="N38" s="19"/>
      <c r="O38" s="19"/>
      <c r="P38" s="21"/>
      <c r="Q38" s="19"/>
      <c r="R38" s="19"/>
      <c r="S38" s="19"/>
      <c r="T38" s="19"/>
    </row>
    <row r="39" spans="2:20" ht="15" thickBot="1">
      <c r="B39" s="7"/>
      <c r="L39" s="80" t="s">
        <v>231</v>
      </c>
      <c r="M39" s="644" t="s">
        <v>30</v>
      </c>
      <c r="N39" s="645"/>
      <c r="O39" s="645"/>
      <c r="P39" s="645"/>
      <c r="Q39" s="646"/>
      <c r="R39" s="81" t="s">
        <v>187</v>
      </c>
      <c r="S39" s="13"/>
      <c r="T39" s="13"/>
    </row>
    <row r="40" spans="2:20" ht="15" thickBot="1">
      <c r="B40" s="7"/>
      <c r="L40" s="14"/>
      <c r="M40" s="83" t="s">
        <v>12</v>
      </c>
      <c r="N40" s="83" t="s">
        <v>13</v>
      </c>
      <c r="O40" s="83" t="s">
        <v>14</v>
      </c>
      <c r="P40" s="83" t="s">
        <v>15</v>
      </c>
      <c r="Q40" s="83" t="s">
        <v>16</v>
      </c>
      <c r="R40" s="83" t="s">
        <v>17</v>
      </c>
      <c r="S40" s="83" t="s">
        <v>28</v>
      </c>
      <c r="T40" s="83" t="s">
        <v>40</v>
      </c>
    </row>
    <row r="41" spans="2:20" ht="15" thickBot="1">
      <c r="B41" s="7"/>
      <c r="L41" s="15" t="s">
        <v>266</v>
      </c>
      <c r="M41" s="46">
        <f t="shared" ref="M41:Q42" si="17">M31*M$6</f>
        <v>314.8225692558392</v>
      </c>
      <c r="N41" s="46">
        <f t="shared" si="17"/>
        <v>313.38779932025341</v>
      </c>
      <c r="O41" s="46">
        <f t="shared" si="17"/>
        <v>313.55613938256619</v>
      </c>
      <c r="P41" s="46">
        <f t="shared" si="17"/>
        <v>314.8</v>
      </c>
      <c r="Q41" s="46">
        <f t="shared" si="17"/>
        <v>312.34910255100306</v>
      </c>
      <c r="R41" s="47"/>
      <c r="S41" s="47">
        <f>SUM(M41:P41)</f>
        <v>1256.5665079586588</v>
      </c>
      <c r="T41" s="17">
        <f>((P41/M41)^(1/3))-1</f>
        <v>-2.389684157133587E-5</v>
      </c>
    </row>
    <row r="42" spans="2:20" ht="15" thickBot="1">
      <c r="B42" s="7"/>
      <c r="L42" s="15" t="s">
        <v>209</v>
      </c>
      <c r="M42" s="46">
        <f t="shared" si="17"/>
        <v>311.83899278342506</v>
      </c>
      <c r="N42" s="46">
        <f t="shared" si="17"/>
        <v>318.55776301560337</v>
      </c>
      <c r="O42" s="46">
        <f t="shared" si="17"/>
        <v>280.85910880523977</v>
      </c>
      <c r="P42" s="46">
        <f t="shared" si="17"/>
        <v>280.89999999999998</v>
      </c>
      <c r="Q42" s="46">
        <f t="shared" si="17"/>
        <v>285.3823166785873</v>
      </c>
      <c r="R42" s="47"/>
      <c r="S42" s="47">
        <f t="shared" ref="S42:S43" si="18">SUM(M42:P42)</f>
        <v>1192.1558646042681</v>
      </c>
      <c r="T42" s="17">
        <f>((P42/M42)^(1/3))-1</f>
        <v>-3.4229860497269282E-2</v>
      </c>
    </row>
    <row r="43" spans="2:20" ht="15" thickBot="1">
      <c r="B43" s="7"/>
      <c r="L43" s="15" t="s">
        <v>81</v>
      </c>
      <c r="M43" s="46">
        <f>M42-M41</f>
        <v>-2.9835764724141427</v>
      </c>
      <c r="N43" s="46">
        <f t="shared" ref="N43:P43" si="19">N42-N41</f>
        <v>5.1699636953499635</v>
      </c>
      <c r="O43" s="46">
        <f t="shared" si="19"/>
        <v>-32.697030577326416</v>
      </c>
      <c r="P43" s="46">
        <f t="shared" si="19"/>
        <v>-33.900000000000034</v>
      </c>
      <c r="Q43" s="46">
        <f t="shared" ref="Q43" si="20">Q42-Q41</f>
        <v>-26.966785872415755</v>
      </c>
      <c r="R43" s="46"/>
      <c r="S43" s="47">
        <f t="shared" si="18"/>
        <v>-64.410643354390629</v>
      </c>
      <c r="T43" s="16" t="s">
        <v>200</v>
      </c>
    </row>
    <row r="44" spans="2:20" ht="15" thickBot="1">
      <c r="B44" s="7"/>
      <c r="L44" s="15" t="s">
        <v>210</v>
      </c>
      <c r="M44" s="44">
        <f>M43/M41</f>
        <v>-9.4770094770097388E-3</v>
      </c>
      <c r="N44" s="44">
        <f t="shared" ref="N44" si="21">N43/N41</f>
        <v>1.649701649701665E-2</v>
      </c>
      <c r="O44" s="44">
        <f t="shared" ref="O44" si="22">O43/O41</f>
        <v>-0.10427807486631015</v>
      </c>
      <c r="P44" s="44">
        <f t="shared" ref="P44:Q44" si="23">P43/P41</f>
        <v>-0.10768742058449819</v>
      </c>
      <c r="Q44" s="44">
        <f t="shared" si="23"/>
        <v>-8.6335403726707963E-2</v>
      </c>
      <c r="R44" s="44"/>
      <c r="S44" s="44">
        <f t="shared" ref="S44" si="24">S43/S41</f>
        <v>-5.1259239321146816E-2</v>
      </c>
      <c r="T44" s="16" t="s">
        <v>200</v>
      </c>
    </row>
    <row r="45" spans="2:20">
      <c r="B45" s="7"/>
      <c r="L45" s="24" t="s">
        <v>185</v>
      </c>
      <c r="M45" s="27"/>
      <c r="N45" s="27"/>
      <c r="O45" s="27"/>
      <c r="P45" s="27"/>
      <c r="Q45" s="27"/>
      <c r="R45" s="27"/>
      <c r="S45" s="27"/>
      <c r="T45" s="27"/>
    </row>
    <row r="46" spans="2:20">
      <c r="B46" s="7"/>
    </row>
    <row r="47" spans="2:20" ht="15.75" thickBot="1">
      <c r="B47" s="8" t="s">
        <v>236</v>
      </c>
      <c r="L47" s="18" t="s">
        <v>234</v>
      </c>
      <c r="N47" s="19"/>
      <c r="O47" s="19"/>
      <c r="P47" s="19"/>
      <c r="Q47" s="19"/>
      <c r="R47" s="19"/>
      <c r="S47" s="19"/>
    </row>
    <row r="48" spans="2:20" ht="15.75" thickBot="1">
      <c r="B48" s="80" t="s">
        <v>46</v>
      </c>
      <c r="C48" s="644" t="s">
        <v>77</v>
      </c>
      <c r="D48" s="645"/>
      <c r="E48" s="645"/>
      <c r="F48" s="645"/>
      <c r="G48" s="646"/>
      <c r="H48" s="81" t="s">
        <v>242</v>
      </c>
      <c r="I48" s="23"/>
      <c r="J48" s="23"/>
      <c r="L48" s="80" t="s">
        <v>46</v>
      </c>
      <c r="M48" s="80"/>
      <c r="N48" s="641" t="s">
        <v>30</v>
      </c>
      <c r="O48" s="642"/>
      <c r="P48" s="642"/>
      <c r="Q48" s="642"/>
      <c r="R48" s="643"/>
      <c r="S48" s="13"/>
      <c r="T48" s="13"/>
    </row>
    <row r="49" spans="2:20" ht="15" thickBot="1">
      <c r="B49" s="14"/>
      <c r="C49" s="83" t="s">
        <v>78</v>
      </c>
      <c r="D49" s="83" t="s">
        <v>79</v>
      </c>
      <c r="E49" s="83" t="s">
        <v>80</v>
      </c>
      <c r="F49" s="83" t="s">
        <v>44</v>
      </c>
      <c r="G49" s="83" t="s">
        <v>45</v>
      </c>
      <c r="H49" s="83" t="s">
        <v>12</v>
      </c>
      <c r="I49" s="83" t="s">
        <v>28</v>
      </c>
      <c r="J49" s="83" t="s">
        <v>40</v>
      </c>
      <c r="L49" s="14"/>
      <c r="M49" s="83" t="s">
        <v>12</v>
      </c>
      <c r="N49" s="83" t="s">
        <v>13</v>
      </c>
      <c r="O49" s="83" t="s">
        <v>14</v>
      </c>
      <c r="P49" s="83" t="s">
        <v>15</v>
      </c>
      <c r="Q49" s="83" t="s">
        <v>16</v>
      </c>
      <c r="R49" s="83" t="s">
        <v>17</v>
      </c>
      <c r="S49" s="83" t="s">
        <v>28</v>
      </c>
      <c r="T49" s="83" t="s">
        <v>40</v>
      </c>
    </row>
    <row r="50" spans="2:20" ht="15" thickBot="1">
      <c r="B50" s="15" t="s">
        <v>266</v>
      </c>
      <c r="C50" s="46">
        <f>94*C8</f>
        <v>107.45371512079282</v>
      </c>
      <c r="D50" s="46">
        <f>103*D8</f>
        <v>114.19049517229162</v>
      </c>
      <c r="E50" s="46">
        <f>110*E8</f>
        <v>118.81974711949255</v>
      </c>
      <c r="F50" s="46">
        <f>112*F8</f>
        <v>116.62667443214912</v>
      </c>
      <c r="G50" s="46">
        <f>117*G8</f>
        <v>117</v>
      </c>
      <c r="H50" s="46">
        <f>117*H8</f>
        <v>113.62718243190811</v>
      </c>
      <c r="I50" s="46">
        <f>SUM(C50:G50)</f>
        <v>574.09063184472609</v>
      </c>
      <c r="J50" s="17">
        <f>((G50/C50)^(1/4))-1</f>
        <v>2.1506434413024467E-2</v>
      </c>
      <c r="L50" s="15" t="s">
        <v>266</v>
      </c>
      <c r="M50" s="15"/>
      <c r="N50" s="46">
        <f>N59/M6</f>
        <v>148.27437976908632</v>
      </c>
      <c r="O50" s="46">
        <f>O59/N6</f>
        <v>148.95321800966798</v>
      </c>
      <c r="P50" s="46">
        <f>P59/O6</f>
        <v>156.34565139227354</v>
      </c>
      <c r="Q50" s="46">
        <f>Q59/P6</f>
        <v>164.9852183292717</v>
      </c>
      <c r="R50" s="46"/>
      <c r="S50" s="47">
        <f>SUM(M50:R50)</f>
        <v>618.55846750029957</v>
      </c>
      <c r="T50" s="17">
        <f>((Q50/N50)^(1/3))-1</f>
        <v>3.6238299720041889E-2</v>
      </c>
    </row>
    <row r="51" spans="2:20" ht="15" thickBot="1">
      <c r="B51" s="15" t="s">
        <v>209</v>
      </c>
      <c r="C51" s="46">
        <f>93*C8</f>
        <v>106.31059049184822</v>
      </c>
      <c r="D51" s="46">
        <f>100*D8</f>
        <v>110.8645584197006</v>
      </c>
      <c r="E51" s="46">
        <f>109*E8</f>
        <v>117.73956760022443</v>
      </c>
      <c r="F51" s="46">
        <f>120*F8</f>
        <v>124.95715117730262</v>
      </c>
      <c r="G51" s="46">
        <f>139*G8</f>
        <v>139</v>
      </c>
      <c r="H51" s="46">
        <f>149*H8</f>
        <v>144.70470241328471</v>
      </c>
      <c r="I51" s="46">
        <f>SUM(C51:G51)</f>
        <v>598.87186768907588</v>
      </c>
      <c r="J51" s="17">
        <f>((G51/C51)^(1/4))-1</f>
        <v>6.9324623399452001E-2</v>
      </c>
      <c r="L51" s="15" t="s">
        <v>209</v>
      </c>
      <c r="M51" s="15"/>
      <c r="N51" s="46">
        <f>'STAL - Reg'!R10</f>
        <v>132.6</v>
      </c>
      <c r="O51" s="46">
        <f>'STAL - Reg'!S10</f>
        <v>133.4</v>
      </c>
      <c r="P51" s="46">
        <f>'STAL - Reg'!T10</f>
        <v>141.5</v>
      </c>
      <c r="Q51" s="46">
        <f>'STAL - Reg'!U10</f>
        <v>0</v>
      </c>
      <c r="R51" s="46"/>
      <c r="S51" s="47">
        <f>SUM(M51:R51)</f>
        <v>407.5</v>
      </c>
      <c r="T51" s="17">
        <f>((Q51/N51)^(1/3))-1</f>
        <v>-1</v>
      </c>
    </row>
    <row r="52" spans="2:20" ht="15" thickBot="1">
      <c r="B52" s="15" t="s">
        <v>81</v>
      </c>
      <c r="C52" s="46">
        <f>C51-C50</f>
        <v>-1.1431246289446051</v>
      </c>
      <c r="D52" s="46">
        <f t="shared" ref="D52:F52" si="25">D51-D50</f>
        <v>-3.3259367525910193</v>
      </c>
      <c r="E52" s="46">
        <f t="shared" si="25"/>
        <v>-1.0801795192681141</v>
      </c>
      <c r="F52" s="46">
        <f t="shared" si="25"/>
        <v>8.3304767451535042</v>
      </c>
      <c r="G52" s="46">
        <f>G51-G50</f>
        <v>22</v>
      </c>
      <c r="H52" s="46">
        <f>H51-H50</f>
        <v>31.077519981376597</v>
      </c>
      <c r="I52" s="46">
        <f>I51-I50</f>
        <v>24.781235844349794</v>
      </c>
      <c r="J52" s="16" t="s">
        <v>200</v>
      </c>
      <c r="L52" s="15" t="s">
        <v>81</v>
      </c>
      <c r="M52" s="15"/>
      <c r="N52" s="46">
        <f>N51-N50</f>
        <v>-15.674379769086329</v>
      </c>
      <c r="O52" s="46">
        <f>O51-O50</f>
        <v>-15.553218009667972</v>
      </c>
      <c r="P52" s="46">
        <f>P51-P50</f>
        <v>-14.845651392273538</v>
      </c>
      <c r="Q52" s="46">
        <f>Q51-Q50</f>
        <v>-164.9852183292717</v>
      </c>
      <c r="R52" s="47"/>
      <c r="S52" s="47">
        <f>SUM(M52:R52)</f>
        <v>-211.05846750029954</v>
      </c>
      <c r="T52" s="16" t="s">
        <v>200</v>
      </c>
    </row>
    <row r="53" spans="2:20" ht="15" thickBot="1">
      <c r="B53" s="15" t="s">
        <v>210</v>
      </c>
      <c r="C53" s="44">
        <f>C52/C50</f>
        <v>-1.063829787234043E-2</v>
      </c>
      <c r="D53" s="44">
        <f t="shared" ref="D53:G53" si="26">D52/D50</f>
        <v>-2.9126213592233021E-2</v>
      </c>
      <c r="E53" s="44">
        <f t="shared" si="26"/>
        <v>-9.0909090909090905E-3</v>
      </c>
      <c r="F53" s="44">
        <f t="shared" si="26"/>
        <v>7.1428571428571397E-2</v>
      </c>
      <c r="G53" s="44">
        <f t="shared" si="26"/>
        <v>0.18803418803418803</v>
      </c>
      <c r="H53" s="44">
        <f>H52/H50</f>
        <v>0.2735042735042737</v>
      </c>
      <c r="I53" s="44">
        <f>I52/I50</f>
        <v>4.3166069031156669E-2</v>
      </c>
      <c r="J53" s="16" t="s">
        <v>200</v>
      </c>
      <c r="L53" s="15" t="s">
        <v>210</v>
      </c>
      <c r="M53" s="15"/>
      <c r="N53" s="44">
        <f>N52/N50</f>
        <v>-0.10571199011924159</v>
      </c>
      <c r="O53" s="44">
        <f>O52/O50</f>
        <v>-0.10441679755222524</v>
      </c>
      <c r="P53" s="44">
        <f>P52/P50</f>
        <v>-9.4954040998720082E-2</v>
      </c>
      <c r="Q53" s="44">
        <f>Q52/Q50</f>
        <v>-1</v>
      </c>
      <c r="R53" s="44"/>
      <c r="S53" s="44">
        <f>S52/S50</f>
        <v>-0.34121021470003127</v>
      </c>
      <c r="T53" s="16" t="s">
        <v>200</v>
      </c>
    </row>
    <row r="54" spans="2:20">
      <c r="B54" s="7" t="s">
        <v>237</v>
      </c>
      <c r="C54" s="9"/>
      <c r="D54" s="9"/>
      <c r="E54" s="9"/>
      <c r="F54" s="9"/>
      <c r="G54" s="9"/>
      <c r="H54" s="9"/>
      <c r="M54" s="7" t="s">
        <v>244</v>
      </c>
      <c r="N54" s="25"/>
      <c r="O54" s="25"/>
      <c r="P54" s="25"/>
      <c r="Q54" s="25"/>
      <c r="R54" s="26"/>
      <c r="S54" s="26"/>
      <c r="T54" s="27"/>
    </row>
    <row r="55" spans="2:20">
      <c r="B55" s="7"/>
      <c r="C55" s="9"/>
      <c r="D55" s="9"/>
      <c r="E55" s="9"/>
      <c r="F55" s="9"/>
      <c r="G55" s="9"/>
      <c r="H55" s="9"/>
      <c r="M55" s="7"/>
      <c r="N55" s="25"/>
      <c r="O55" s="25"/>
      <c r="P55" s="25"/>
      <c r="Q55" s="25"/>
      <c r="R55" s="26"/>
      <c r="S55" s="26"/>
      <c r="T55" s="27"/>
    </row>
    <row r="56" spans="2:20" ht="15" thickBot="1">
      <c r="B56" s="7"/>
      <c r="C56" s="9"/>
      <c r="D56" s="9"/>
      <c r="E56" s="9"/>
      <c r="F56" s="9"/>
      <c r="G56" s="9"/>
      <c r="H56" s="9"/>
      <c r="L56" s="18" t="s">
        <v>234</v>
      </c>
      <c r="M56" s="19"/>
      <c r="N56" s="19"/>
      <c r="O56" s="19"/>
      <c r="P56" s="19"/>
      <c r="Q56" s="19"/>
      <c r="R56" s="19"/>
      <c r="T56" s="27"/>
    </row>
    <row r="57" spans="2:20" ht="15.75" thickBot="1">
      <c r="B57" s="7"/>
      <c r="C57" s="9"/>
      <c r="D57" s="9"/>
      <c r="E57" s="9"/>
      <c r="F57" s="9"/>
      <c r="G57" s="9"/>
      <c r="H57" s="9"/>
      <c r="L57" s="80" t="s">
        <v>231</v>
      </c>
      <c r="M57" s="400"/>
      <c r="N57" s="641" t="s">
        <v>30</v>
      </c>
      <c r="O57" s="642"/>
      <c r="P57" s="642"/>
      <c r="Q57" s="642"/>
      <c r="R57" s="643"/>
      <c r="S57" s="13"/>
      <c r="T57" s="13"/>
    </row>
    <row r="58" spans="2:20" ht="15" thickBot="1">
      <c r="B58" s="7"/>
      <c r="C58" s="9"/>
      <c r="D58" s="9"/>
      <c r="E58" s="9"/>
      <c r="F58" s="9"/>
      <c r="G58" s="9"/>
      <c r="H58" s="9"/>
      <c r="L58" s="14"/>
      <c r="M58" s="83" t="s">
        <v>12</v>
      </c>
      <c r="N58" s="83" t="s">
        <v>13</v>
      </c>
      <c r="O58" s="83" t="s">
        <v>14</v>
      </c>
      <c r="P58" s="83" t="s">
        <v>15</v>
      </c>
      <c r="Q58" s="83" t="s">
        <v>16</v>
      </c>
      <c r="R58" s="83" t="s">
        <v>17</v>
      </c>
      <c r="S58" s="83" t="s">
        <v>28</v>
      </c>
      <c r="T58" s="83" t="s">
        <v>40</v>
      </c>
    </row>
    <row r="59" spans="2:20" ht="15" thickBot="1">
      <c r="B59" s="7"/>
      <c r="C59" s="9"/>
      <c r="D59" s="9"/>
      <c r="E59" s="9"/>
      <c r="F59" s="9"/>
      <c r="G59" s="9"/>
      <c r="H59" s="9"/>
      <c r="L59" s="15" t="s">
        <v>266</v>
      </c>
      <c r="M59" s="46"/>
      <c r="N59" s="46">
        <f>144*N7</f>
        <v>163.84738923734568</v>
      </c>
      <c r="O59" s="46">
        <f>144*O7</f>
        <v>163.84738923734568</v>
      </c>
      <c r="P59" s="46">
        <f>144*P7</f>
        <v>163.84738923734568</v>
      </c>
      <c r="Q59" s="46">
        <f>145*Q7</f>
        <v>164.9852183292717</v>
      </c>
      <c r="R59" s="46">
        <f>146*R7</f>
        <v>166.1230474211977</v>
      </c>
      <c r="S59" s="47">
        <f>SUM(L59:R59)</f>
        <v>822.6504334625065</v>
      </c>
      <c r="T59" s="17">
        <f>((Q59/N59)^(1/3))-1</f>
        <v>2.3094770246803176E-3</v>
      </c>
    </row>
    <row r="60" spans="2:20" ht="15" thickBot="1">
      <c r="B60" s="7"/>
      <c r="C60" s="9"/>
      <c r="D60" s="9"/>
      <c r="E60" s="9"/>
      <c r="F60" s="9"/>
      <c r="G60" s="9"/>
      <c r="H60" s="9"/>
      <c r="L60" s="15" t="s">
        <v>209</v>
      </c>
      <c r="M60" s="46"/>
      <c r="N60" s="46">
        <f>N51*N$6</f>
        <v>145.85897574540402</v>
      </c>
      <c r="O60" s="46">
        <f>O51*O$6</f>
        <v>139.80076535305594</v>
      </c>
      <c r="P60" s="46">
        <f>P51*P$6</f>
        <v>141.5</v>
      </c>
      <c r="Q60" s="46">
        <f>Q51*Q$6</f>
        <v>0</v>
      </c>
      <c r="R60" s="46">
        <f>R51*R$6</f>
        <v>0</v>
      </c>
      <c r="S60" s="47">
        <f>SUM(L60:R60)</f>
        <v>427.15974109845996</v>
      </c>
      <c r="T60" s="17">
        <f>((Q60/N60)^(1/3))-1</f>
        <v>-1</v>
      </c>
    </row>
    <row r="61" spans="2:20" ht="15" thickBot="1">
      <c r="B61" s="7"/>
      <c r="C61" s="9"/>
      <c r="D61" s="9"/>
      <c r="E61" s="9"/>
      <c r="F61" s="9"/>
      <c r="G61" s="9"/>
      <c r="H61" s="9"/>
      <c r="L61" s="15" t="s">
        <v>81</v>
      </c>
      <c r="M61" s="46"/>
      <c r="N61" s="46">
        <f>N60-N59</f>
        <v>-17.988413491941657</v>
      </c>
      <c r="O61" s="46">
        <f>O60-O59</f>
        <v>-24.046623884289744</v>
      </c>
      <c r="P61" s="46">
        <f>P60-P59</f>
        <v>-22.347389237345681</v>
      </c>
      <c r="Q61" s="46">
        <f>Q60-Q59</f>
        <v>-164.9852183292717</v>
      </c>
      <c r="R61" s="46">
        <f>R60-R59</f>
        <v>-166.1230474211977</v>
      </c>
      <c r="S61" s="47">
        <f>SUM(L61:R61)</f>
        <v>-395.49069236404648</v>
      </c>
      <c r="T61" s="16" t="s">
        <v>200</v>
      </c>
    </row>
    <row r="62" spans="2:20" ht="15" thickBot="1">
      <c r="B62" s="7"/>
      <c r="C62" s="9"/>
      <c r="D62" s="9"/>
      <c r="E62" s="9"/>
      <c r="F62" s="9"/>
      <c r="G62" s="9"/>
      <c r="H62" s="9"/>
      <c r="L62" s="15" t="s">
        <v>210</v>
      </c>
      <c r="M62" s="44"/>
      <c r="N62" s="44">
        <f t="shared" ref="N62:S62" si="27">N61/N59</f>
        <v>-0.10978761136000795</v>
      </c>
      <c r="O62" s="44">
        <f t="shared" si="27"/>
        <v>-0.14676232557759183</v>
      </c>
      <c r="P62" s="44">
        <f>P61/P59</f>
        <v>-0.1363914880875749</v>
      </c>
      <c r="Q62" s="44">
        <f t="shared" si="27"/>
        <v>-1</v>
      </c>
      <c r="R62" s="44">
        <f t="shared" si="27"/>
        <v>-1</v>
      </c>
      <c r="S62" s="44">
        <f t="shared" si="27"/>
        <v>-0.48075181909215092</v>
      </c>
      <c r="T62" s="16" t="s">
        <v>200</v>
      </c>
    </row>
    <row r="63" spans="2:20">
      <c r="B63" s="7"/>
      <c r="C63" s="9"/>
      <c r="D63" s="9"/>
      <c r="E63" s="9"/>
      <c r="F63" s="9"/>
      <c r="G63" s="9"/>
      <c r="H63" s="9"/>
      <c r="L63" s="7" t="s">
        <v>244</v>
      </c>
      <c r="M63" s="25"/>
      <c r="N63" s="25"/>
      <c r="O63" s="25"/>
      <c r="P63" s="25"/>
      <c r="Q63" s="26"/>
      <c r="R63" s="26"/>
      <c r="S63" s="27"/>
      <c r="T63" s="27"/>
    </row>
    <row r="64" spans="2:20">
      <c r="B64" s="7"/>
      <c r="C64" s="9"/>
      <c r="D64" s="9"/>
      <c r="E64" s="9"/>
      <c r="F64" s="9"/>
      <c r="G64" s="9"/>
      <c r="H64" s="9"/>
      <c r="M64" s="7"/>
      <c r="N64" s="25"/>
      <c r="O64" s="25"/>
      <c r="P64" s="25"/>
      <c r="Q64" s="25"/>
      <c r="R64" s="26"/>
      <c r="S64" s="26"/>
      <c r="T64" s="27"/>
    </row>
    <row r="65" spans="2:21">
      <c r="B65" s="84" t="s">
        <v>585</v>
      </c>
      <c r="C65" s="84"/>
      <c r="D65" s="84"/>
      <c r="E65" s="84"/>
      <c r="F65" s="84"/>
      <c r="G65" s="84"/>
      <c r="H65" s="84"/>
      <c r="I65" s="84"/>
      <c r="J65" s="84"/>
      <c r="K65" s="84"/>
      <c r="L65" s="84"/>
      <c r="M65" s="84"/>
      <c r="N65" s="84"/>
      <c r="O65" s="84"/>
      <c r="P65" s="84"/>
      <c r="Q65" s="84"/>
      <c r="R65" s="84"/>
      <c r="S65" s="84"/>
      <c r="T65" s="84"/>
      <c r="U65" s="84"/>
    </row>
    <row r="66" spans="2:21">
      <c r="J66" s="19"/>
    </row>
    <row r="67" spans="2:21" ht="15" thickBot="1">
      <c r="L67" s="20" t="s">
        <v>227</v>
      </c>
      <c r="M67" s="19"/>
      <c r="N67" s="19"/>
      <c r="O67" s="19"/>
      <c r="P67" s="21"/>
      <c r="Q67" s="19"/>
      <c r="R67" s="19"/>
      <c r="S67" s="19"/>
      <c r="T67" s="19"/>
    </row>
    <row r="68" spans="2:21" ht="15" thickBot="1">
      <c r="L68" s="80" t="s">
        <v>228</v>
      </c>
      <c r="M68" s="644" t="s">
        <v>30</v>
      </c>
      <c r="N68" s="645"/>
      <c r="O68" s="645"/>
      <c r="P68" s="645"/>
      <c r="Q68" s="646"/>
      <c r="R68" s="81" t="s">
        <v>187</v>
      </c>
      <c r="S68" s="13"/>
      <c r="T68" s="13"/>
    </row>
    <row r="69" spans="2:21" ht="15" thickBot="1">
      <c r="L69" s="14"/>
      <c r="M69" s="83" t="s">
        <v>12</v>
      </c>
      <c r="N69" s="83" t="s">
        <v>13</v>
      </c>
      <c r="O69" s="83" t="s">
        <v>14</v>
      </c>
      <c r="P69" s="83" t="s">
        <v>15</v>
      </c>
      <c r="Q69" s="83" t="s">
        <v>16</v>
      </c>
      <c r="R69" s="83" t="s">
        <v>17</v>
      </c>
      <c r="S69" s="83" t="s">
        <v>28</v>
      </c>
      <c r="T69" s="83" t="s">
        <v>40</v>
      </c>
    </row>
    <row r="70" spans="2:21" ht="15" thickBot="1">
      <c r="L70" s="15" t="s">
        <v>266</v>
      </c>
      <c r="M70" s="78">
        <f>'HAL - Reg'!F6/1000</f>
        <v>70.400000000000006</v>
      </c>
      <c r="N70" s="78">
        <f>'HAL - Reg'!G6/1000</f>
        <v>72.5</v>
      </c>
      <c r="O70" s="78">
        <f>'HAL - Reg'!H6/1000</f>
        <v>74.5</v>
      </c>
      <c r="P70" s="78">
        <f>'HAL - Reg'!I6/1000</f>
        <v>76.2</v>
      </c>
      <c r="Q70" s="78">
        <f>'HAL - Reg'!J6/1000</f>
        <v>78.2</v>
      </c>
      <c r="R70" s="79"/>
      <c r="S70" s="79">
        <f>SUM(M70:R70)</f>
        <v>371.8</v>
      </c>
      <c r="T70" s="17">
        <f>((Q70/M70)^(1/4))-1</f>
        <v>2.6617169980077682E-2</v>
      </c>
    </row>
    <row r="71" spans="2:21" ht="15" thickBot="1">
      <c r="L71" s="15" t="s">
        <v>209</v>
      </c>
      <c r="M71" s="78">
        <f>'HAL - Reg'!S6/1000</f>
        <v>65.929000000000002</v>
      </c>
      <c r="N71" s="78">
        <f>'HAL - Reg'!T6/1000</f>
        <v>66.132999999999996</v>
      </c>
      <c r="O71" s="78">
        <f>'HAL - Reg'!U6/1000</f>
        <v>66.111000000000004</v>
      </c>
      <c r="P71" s="78">
        <f>'HAL - Reg'!V6/1000</f>
        <v>70.099000000000004</v>
      </c>
      <c r="Q71" s="78">
        <f>'HAL - Reg'!W6/1000</f>
        <v>70.331999999999994</v>
      </c>
      <c r="R71" s="79"/>
      <c r="S71" s="79">
        <f>SUM(M71:R71)</f>
        <v>338.60399999999998</v>
      </c>
      <c r="T71" s="17">
        <f>((Q71/M71)^(1/4))-1</f>
        <v>1.6293434018858743E-2</v>
      </c>
    </row>
    <row r="72" spans="2:21" ht="15" thickBot="1">
      <c r="L72" s="15" t="s">
        <v>81</v>
      </c>
      <c r="M72" s="78">
        <f>M71-M70</f>
        <v>-4.4710000000000036</v>
      </c>
      <c r="N72" s="78">
        <f t="shared" ref="N72:P72" si="28">N71-N70</f>
        <v>-6.3670000000000044</v>
      </c>
      <c r="O72" s="78">
        <f t="shared" si="28"/>
        <v>-8.3889999999999958</v>
      </c>
      <c r="P72" s="78">
        <f t="shared" si="28"/>
        <v>-6.1009999999999991</v>
      </c>
      <c r="Q72" s="78">
        <f t="shared" ref="Q72" si="29">Q71-Q70</f>
        <v>-7.8680000000000092</v>
      </c>
      <c r="R72" s="79"/>
      <c r="S72" s="79">
        <f>SUM(M72:R72)</f>
        <v>-33.196000000000012</v>
      </c>
      <c r="T72" s="17"/>
    </row>
    <row r="73" spans="2:21" ht="15" thickBot="1">
      <c r="L73" s="15" t="s">
        <v>210</v>
      </c>
      <c r="M73" s="44">
        <f>M72/M70</f>
        <v>-6.3508522727272768E-2</v>
      </c>
      <c r="N73" s="44">
        <f t="shared" ref="N73:P73" si="30">N72/N70</f>
        <v>-8.7820689655172479E-2</v>
      </c>
      <c r="O73" s="44">
        <f t="shared" si="30"/>
        <v>-0.11260402684563753</v>
      </c>
      <c r="P73" s="44">
        <f t="shared" si="30"/>
        <v>-8.0065616797900252E-2</v>
      </c>
      <c r="Q73" s="44">
        <f t="shared" ref="Q73" si="31">Q72/Q70</f>
        <v>-0.1006138107416881</v>
      </c>
      <c r="R73" s="47"/>
      <c r="S73" s="44">
        <f>S72/S70</f>
        <v>-8.9284561592253925E-2</v>
      </c>
      <c r="T73" s="17"/>
    </row>
    <row r="74" spans="2:21">
      <c r="L74" s="24" t="s">
        <v>185</v>
      </c>
    </row>
    <row r="75" spans="2:21">
      <c r="L75" s="24"/>
    </row>
    <row r="76" spans="2:21" ht="15" thickBot="1">
      <c r="M76" s="54" t="s">
        <v>742</v>
      </c>
    </row>
    <row r="77" spans="2:21" ht="15" thickBot="1">
      <c r="L77" s="80" t="s">
        <v>228</v>
      </c>
      <c r="M77" s="650" t="s">
        <v>30</v>
      </c>
      <c r="N77" s="651"/>
      <c r="O77" s="651"/>
      <c r="P77" s="651"/>
      <c r="Q77" s="652"/>
      <c r="R77" s="544" t="s">
        <v>187</v>
      </c>
      <c r="S77" s="545"/>
      <c r="T77" s="545"/>
    </row>
    <row r="78" spans="2:21" s="27" customFormat="1">
      <c r="L78" s="54" t="s">
        <v>705</v>
      </c>
      <c r="M78" s="546" t="s">
        <v>12</v>
      </c>
      <c r="N78" s="546" t="s">
        <v>13</v>
      </c>
      <c r="O78" s="546" t="s">
        <v>14</v>
      </c>
      <c r="P78" s="546" t="s">
        <v>15</v>
      </c>
      <c r="Q78" s="546" t="s">
        <v>16</v>
      </c>
      <c r="R78" s="546" t="s">
        <v>17</v>
      </c>
      <c r="S78" s="546" t="s">
        <v>28</v>
      </c>
      <c r="T78" s="546" t="s">
        <v>40</v>
      </c>
    </row>
    <row r="79" spans="2:21" s="27" customFormat="1">
      <c r="L79" s="206">
        <v>0.2</v>
      </c>
      <c r="M79" s="346">
        <f>M$73*$L79*M$13</f>
        <v>-11.12669318181819</v>
      </c>
      <c r="N79" s="346">
        <f>N$73*$L79*N$13</f>
        <v>-15.200004965517254</v>
      </c>
      <c r="O79" s="346">
        <f t="shared" ref="O79:Q79" si="32">O$73*$L79*O$13</f>
        <v>-20.552486979865765</v>
      </c>
      <c r="P79" s="346">
        <f t="shared" si="32"/>
        <v>-15.411029921259841</v>
      </c>
      <c r="Q79" s="346">
        <f t="shared" si="32"/>
        <v>-20.095401173222385</v>
      </c>
      <c r="R79" s="346"/>
      <c r="S79" s="543">
        <f>SUM(M79:R79)</f>
        <v>-82.385616221683435</v>
      </c>
    </row>
    <row r="80" spans="2:21">
      <c r="K80" s="526"/>
      <c r="L80" s="206">
        <v>0.3</v>
      </c>
      <c r="M80" s="210">
        <f t="shared" ref="M80:Q81" si="33">M$73*$L80*M$13</f>
        <v>-16.690039772727282</v>
      </c>
      <c r="N80" s="210">
        <f t="shared" si="33"/>
        <v>-22.800007448275878</v>
      </c>
      <c r="O80" s="210">
        <f t="shared" si="33"/>
        <v>-30.828730469798643</v>
      </c>
      <c r="P80" s="210">
        <f t="shared" si="33"/>
        <v>-23.116544881889759</v>
      </c>
      <c r="Q80" s="210">
        <f t="shared" si="33"/>
        <v>-30.143101759833566</v>
      </c>
      <c r="R80" s="210"/>
      <c r="S80" s="435">
        <f t="shared" ref="S80" si="34">SUM(M80:R80)</f>
        <v>-123.57842433252512</v>
      </c>
    </row>
    <row r="81" spans="11:21">
      <c r="K81" s="526"/>
      <c r="L81" s="347">
        <v>0.5</v>
      </c>
      <c r="M81" s="210">
        <f t="shared" si="33"/>
        <v>-27.816732954545472</v>
      </c>
      <c r="N81" s="210">
        <f t="shared" si="33"/>
        <v>-38.000012413793129</v>
      </c>
      <c r="O81" s="210">
        <f t="shared" si="33"/>
        <v>-51.381217449664405</v>
      </c>
      <c r="P81" s="210">
        <f t="shared" si="33"/>
        <v>-38.527574803149598</v>
      </c>
      <c r="Q81" s="210">
        <f>Q$73*$L81*Q$13</f>
        <v>-50.238502933055955</v>
      </c>
      <c r="R81" s="210"/>
      <c r="S81" s="435">
        <f>SUM(M81:R81)</f>
        <v>-205.96404055420857</v>
      </c>
      <c r="U81" s="436"/>
    </row>
    <row r="82" spans="11:21">
      <c r="K82" s="526"/>
      <c r="L82" s="347"/>
      <c r="M82" s="210"/>
      <c r="N82" s="210"/>
      <c r="O82" s="210"/>
      <c r="P82" s="210"/>
      <c r="Q82" s="210"/>
      <c r="R82" s="210"/>
      <c r="S82" s="435"/>
      <c r="U82" s="436"/>
    </row>
    <row r="83" spans="11:21">
      <c r="S83" s="436"/>
    </row>
    <row r="84" spans="11:21" ht="15" thickBot="1">
      <c r="L84" s="20" t="s">
        <v>229</v>
      </c>
      <c r="M84" s="19"/>
      <c r="N84" s="19"/>
      <c r="O84" s="19"/>
      <c r="P84" s="21"/>
      <c r="Q84" s="19"/>
      <c r="R84" s="19"/>
      <c r="S84" s="19"/>
      <c r="T84" s="19"/>
    </row>
    <row r="85" spans="11:21" ht="15" thickBot="1">
      <c r="L85" s="80" t="s">
        <v>228</v>
      </c>
      <c r="M85" s="644" t="s">
        <v>30</v>
      </c>
      <c r="N85" s="645"/>
      <c r="O85" s="645"/>
      <c r="P85" s="645"/>
      <c r="Q85" s="646"/>
      <c r="R85" s="81" t="s">
        <v>187</v>
      </c>
      <c r="S85" s="13"/>
      <c r="T85" s="13"/>
    </row>
    <row r="86" spans="11:21" ht="15" thickBot="1">
      <c r="L86" s="14"/>
      <c r="M86" s="83" t="s">
        <v>12</v>
      </c>
      <c r="N86" s="83" t="s">
        <v>13</v>
      </c>
      <c r="O86" s="83" t="s">
        <v>14</v>
      </c>
      <c r="P86" s="83" t="s">
        <v>15</v>
      </c>
      <c r="Q86" s="83" t="s">
        <v>16</v>
      </c>
      <c r="R86" s="83" t="s">
        <v>17</v>
      </c>
      <c r="S86" s="83" t="s">
        <v>28</v>
      </c>
      <c r="T86" s="83" t="s">
        <v>40</v>
      </c>
    </row>
    <row r="87" spans="11:21" ht="15" thickBot="1">
      <c r="L87" s="15" t="s">
        <v>266</v>
      </c>
      <c r="M87" s="78">
        <f>'GAL - Reg'!F6/1000</f>
        <v>35.9</v>
      </c>
      <c r="N87" s="78">
        <f>'GAL - Reg'!G6/1000</f>
        <v>36.4</v>
      </c>
      <c r="O87" s="78">
        <f>'GAL - Reg'!H6/1000</f>
        <v>36.799999999999997</v>
      </c>
      <c r="P87" s="78">
        <f>'GAL - Reg'!I6/1000</f>
        <v>37.200000000000003</v>
      </c>
      <c r="Q87" s="78">
        <f>'GAL - Reg'!J6/1000</f>
        <v>37.700000000000003</v>
      </c>
      <c r="R87" s="79"/>
      <c r="S87" s="79">
        <f>SUM(M87:R87)</f>
        <v>184</v>
      </c>
      <c r="T87" s="17">
        <f>((Q87/M87)^(1/4))-1</f>
        <v>1.2305800614426765E-2</v>
      </c>
    </row>
    <row r="88" spans="11:21" ht="15" thickBot="1">
      <c r="L88" s="15" t="s">
        <v>209</v>
      </c>
      <c r="M88" s="78">
        <f>'GAL - Reg'!T6/1000</f>
        <v>33.104999999999997</v>
      </c>
      <c r="N88" s="78">
        <f>'GAL - Reg'!U6/1000</f>
        <v>32.396999999999998</v>
      </c>
      <c r="O88" s="78">
        <f>'GAL - Reg'!V6/1000</f>
        <v>31.646999999999998</v>
      </c>
      <c r="P88" s="78">
        <f>'GAL - Reg'!W6/1000</f>
        <v>33.819000000000003</v>
      </c>
      <c r="Q88" s="78">
        <f>'GAL - Reg'!X6/1000</f>
        <v>34.241</v>
      </c>
      <c r="R88" s="79"/>
      <c r="S88" s="79">
        <f>SUM(M88:R88)</f>
        <v>165.209</v>
      </c>
      <c r="T88" s="17">
        <f>((Q88/M88)^(1/4))-1</f>
        <v>8.4705306560357574E-3</v>
      </c>
    </row>
    <row r="89" spans="11:21" ht="15" thickBot="1">
      <c r="L89" s="15" t="s">
        <v>81</v>
      </c>
      <c r="M89" s="78">
        <f>M88-M87</f>
        <v>-2.7950000000000017</v>
      </c>
      <c r="N89" s="78">
        <f t="shared" ref="N89" si="35">N88-N87</f>
        <v>-4.0030000000000001</v>
      </c>
      <c r="O89" s="78">
        <f t="shared" ref="O89" si="36">O88-O87</f>
        <v>-5.1529999999999987</v>
      </c>
      <c r="P89" s="78">
        <f t="shared" ref="P89:Q89" si="37">P88-P87</f>
        <v>-3.3810000000000002</v>
      </c>
      <c r="Q89" s="78">
        <f t="shared" si="37"/>
        <v>-3.4590000000000032</v>
      </c>
      <c r="R89" s="79"/>
      <c r="S89" s="79">
        <f>SUM(M89:R89)</f>
        <v>-18.791000000000004</v>
      </c>
      <c r="T89" s="17"/>
    </row>
    <row r="90" spans="11:21" ht="15" thickBot="1">
      <c r="L90" s="15" t="s">
        <v>210</v>
      </c>
      <c r="M90" s="44">
        <f>M89/M87</f>
        <v>-7.7855153203342672E-2</v>
      </c>
      <c r="N90" s="44">
        <f t="shared" ref="N90" si="38">N89/N87</f>
        <v>-0.10997252747252748</v>
      </c>
      <c r="O90" s="44">
        <f t="shared" ref="O90" si="39">O89/O87</f>
        <v>-0.14002717391304345</v>
      </c>
      <c r="P90" s="44">
        <f t="shared" ref="P90:Q90" si="40">P89/P87</f>
        <v>-9.0887096774193543E-2</v>
      </c>
      <c r="Q90" s="44">
        <f t="shared" si="40"/>
        <v>-9.1750663129973556E-2</v>
      </c>
      <c r="R90" s="47"/>
      <c r="S90" s="44">
        <f>S89/S87</f>
        <v>-0.10212500000000002</v>
      </c>
      <c r="T90" s="17"/>
    </row>
    <row r="91" spans="11:21">
      <c r="L91" s="24" t="s">
        <v>185</v>
      </c>
    </row>
    <row r="94" spans="11:21" ht="15" thickBot="1">
      <c r="L94" s="18" t="s">
        <v>235</v>
      </c>
      <c r="N94" s="19"/>
      <c r="O94" s="19"/>
      <c r="P94" s="19"/>
      <c r="Q94" s="19"/>
      <c r="R94" s="19"/>
      <c r="S94" s="19"/>
    </row>
    <row r="95" spans="11:21" ht="15.75" thickBot="1">
      <c r="L95" s="80" t="s">
        <v>228</v>
      </c>
      <c r="M95" s="81" t="s">
        <v>242</v>
      </c>
      <c r="N95" s="647" t="s">
        <v>30</v>
      </c>
      <c r="O95" s="642"/>
      <c r="P95" s="642"/>
      <c r="Q95" s="642"/>
      <c r="R95" s="643"/>
      <c r="S95" s="13"/>
      <c r="T95" s="13"/>
    </row>
    <row r="96" spans="11:21" ht="15" thickBot="1">
      <c r="L96" s="14"/>
      <c r="M96" s="83" t="s">
        <v>12</v>
      </c>
      <c r="N96" s="83" t="s">
        <v>13</v>
      </c>
      <c r="O96" s="83" t="s">
        <v>14</v>
      </c>
      <c r="P96" s="83" t="s">
        <v>15</v>
      </c>
      <c r="Q96" s="83" t="s">
        <v>16</v>
      </c>
      <c r="R96" s="83" t="s">
        <v>17</v>
      </c>
      <c r="S96" s="83" t="s">
        <v>28</v>
      </c>
      <c r="T96" s="83" t="s">
        <v>40</v>
      </c>
    </row>
    <row r="97" spans="2:21" ht="15" thickBot="1">
      <c r="L97" s="15" t="s">
        <v>266</v>
      </c>
      <c r="M97" s="78"/>
      <c r="N97" s="78">
        <v>21.5</v>
      </c>
      <c r="O97" s="78">
        <v>22.7</v>
      </c>
      <c r="P97" s="78">
        <v>23.9</v>
      </c>
      <c r="Q97" s="78">
        <v>25.6</v>
      </c>
      <c r="R97" s="78">
        <v>27</v>
      </c>
      <c r="S97" s="47">
        <f>SUM(M97:R97)</f>
        <v>120.69999999999999</v>
      </c>
      <c r="T97" s="17">
        <f>((R97/N97)^(1/4))-1</f>
        <v>5.8598626230188522E-2</v>
      </c>
    </row>
    <row r="98" spans="2:21" ht="15" thickBot="1">
      <c r="L98" s="15" t="s">
        <v>209</v>
      </c>
      <c r="M98" s="78"/>
      <c r="N98" s="78">
        <f>'STAL - Reg'!R6/1000</f>
        <v>19.757999999999999</v>
      </c>
      <c r="O98" s="78">
        <f>'STAL - Reg'!S6/1000</f>
        <v>18.308</v>
      </c>
      <c r="P98" s="78">
        <f>'STAL - Reg'!T6/1000</f>
        <v>17.847000000000001</v>
      </c>
      <c r="Q98" s="78"/>
      <c r="R98" s="78"/>
      <c r="S98" s="47"/>
      <c r="T98" s="17"/>
    </row>
    <row r="99" spans="2:21" ht="15" thickBot="1">
      <c r="L99" s="15" t="s">
        <v>81</v>
      </c>
      <c r="M99" s="78"/>
      <c r="N99" s="78">
        <f t="shared" ref="N99:P99" si="41">N98-N97</f>
        <v>-1.7420000000000009</v>
      </c>
      <c r="O99" s="78">
        <f t="shared" si="41"/>
        <v>-4.3919999999999995</v>
      </c>
      <c r="P99" s="78">
        <f t="shared" si="41"/>
        <v>-6.0529999999999973</v>
      </c>
      <c r="Q99" s="78"/>
      <c r="R99" s="78"/>
      <c r="S99" s="47">
        <f t="shared" ref="S99" si="42">SUM(M99:R99)</f>
        <v>-12.186999999999998</v>
      </c>
      <c r="T99" s="16"/>
    </row>
    <row r="100" spans="2:21" ht="15" thickBot="1">
      <c r="L100" s="15" t="s">
        <v>210</v>
      </c>
      <c r="M100" s="44"/>
      <c r="N100" s="44">
        <f>N99/N97</f>
        <v>-8.1023255813953532E-2</v>
      </c>
      <c r="O100" s="44">
        <f t="shared" ref="O100:R100" si="43">O99/O97</f>
        <v>-0.19348017621145372</v>
      </c>
      <c r="P100" s="44">
        <f t="shared" si="43"/>
        <v>-0.25326359832635975</v>
      </c>
      <c r="Q100" s="44">
        <f t="shared" si="43"/>
        <v>0</v>
      </c>
      <c r="R100" s="44">
        <f t="shared" si="43"/>
        <v>0</v>
      </c>
      <c r="S100" s="44">
        <f>S99/S97</f>
        <v>-0.10096934548467273</v>
      </c>
      <c r="T100" s="16"/>
    </row>
    <row r="101" spans="2:21">
      <c r="L101" s="24" t="s">
        <v>245</v>
      </c>
    </row>
    <row r="103" spans="2:21">
      <c r="B103" s="84" t="s">
        <v>583</v>
      </c>
      <c r="C103" s="84"/>
      <c r="D103" s="84"/>
      <c r="E103" s="84"/>
      <c r="F103" s="84"/>
      <c r="G103" s="84"/>
      <c r="H103" s="84"/>
      <c r="I103" s="84"/>
      <c r="J103" s="84"/>
      <c r="K103" s="84"/>
      <c r="L103" s="84"/>
      <c r="M103" s="84"/>
      <c r="N103" s="84"/>
      <c r="O103" s="84"/>
      <c r="P103" s="84"/>
      <c r="Q103" s="84"/>
      <c r="R103" s="84"/>
      <c r="S103" s="84"/>
      <c r="T103" s="84"/>
      <c r="U103" s="84"/>
    </row>
    <row r="104" spans="2:21">
      <c r="B104" s="7"/>
      <c r="C104" s="9"/>
      <c r="D104" s="9"/>
      <c r="E104" s="9"/>
      <c r="F104" s="9"/>
      <c r="G104" s="9"/>
      <c r="H104" s="9"/>
      <c r="M104" s="7"/>
      <c r="N104" s="25"/>
      <c r="O104" s="25"/>
      <c r="P104" s="25"/>
      <c r="Q104" s="25"/>
      <c r="R104" s="26"/>
      <c r="S104" s="26"/>
      <c r="T104" s="27"/>
    </row>
    <row r="105" spans="2:21" ht="15.75" thickBot="1">
      <c r="B105" s="8" t="s">
        <v>212</v>
      </c>
      <c r="K105" s="20" t="s">
        <v>92</v>
      </c>
      <c r="L105" s="19"/>
      <c r="M105" s="19"/>
      <c r="N105" s="19"/>
      <c r="Q105" s="20" t="s">
        <v>92</v>
      </c>
      <c r="R105" s="19"/>
      <c r="S105" s="19"/>
      <c r="T105" s="19"/>
      <c r="U105" s="27"/>
    </row>
    <row r="106" spans="2:21" ht="15.75" thickBot="1">
      <c r="B106" s="22" t="s">
        <v>46</v>
      </c>
      <c r="C106" s="51" t="s">
        <v>82</v>
      </c>
      <c r="D106" s="51" t="s">
        <v>83</v>
      </c>
      <c r="E106" s="51" t="s">
        <v>220</v>
      </c>
      <c r="F106" s="51" t="s">
        <v>219</v>
      </c>
      <c r="G106" s="10"/>
      <c r="H106" s="10"/>
      <c r="K106" s="22" t="s">
        <v>46</v>
      </c>
      <c r="L106" s="51" t="s">
        <v>82</v>
      </c>
      <c r="M106" s="51" t="s">
        <v>83</v>
      </c>
      <c r="N106" s="51" t="s">
        <v>220</v>
      </c>
      <c r="O106" s="51" t="s">
        <v>219</v>
      </c>
      <c r="Q106" s="22" t="s">
        <v>231</v>
      </c>
      <c r="R106" s="51" t="s">
        <v>82</v>
      </c>
      <c r="S106" s="51" t="s">
        <v>83</v>
      </c>
      <c r="T106" s="51" t="s">
        <v>220</v>
      </c>
      <c r="U106" s="51" t="s">
        <v>219</v>
      </c>
    </row>
    <row r="107" spans="2:21" ht="15" thickBot="1">
      <c r="B107" s="15" t="s">
        <v>84</v>
      </c>
      <c r="C107" s="46">
        <v>780.6</v>
      </c>
      <c r="D107" s="46">
        <v>939.9</v>
      </c>
      <c r="E107" s="46">
        <v>159.30000000000001</v>
      </c>
      <c r="F107" s="44">
        <f>E107/C107</f>
        <v>0.20407378939277479</v>
      </c>
      <c r="G107" s="11"/>
      <c r="H107" s="11"/>
      <c r="K107" s="15" t="s">
        <v>84</v>
      </c>
      <c r="L107" s="46">
        <f>SUM('HAL - Reg'!F32:J32)</f>
        <v>1276.7872520571973</v>
      </c>
      <c r="M107" s="46">
        <f>SUM('HAL - Reg'!S32:X32)</f>
        <v>1339.3</v>
      </c>
      <c r="N107" s="46">
        <f>M107-L107</f>
        <v>62.512747942802662</v>
      </c>
      <c r="O107" s="44">
        <f>N107/L107</f>
        <v>4.8960974384792987E-2</v>
      </c>
      <c r="Q107" s="15" t="s">
        <v>84</v>
      </c>
      <c r="R107" s="46">
        <f>SUM('HAL - Reg'!F82:J82)</f>
        <v>1331.5938663290497</v>
      </c>
      <c r="S107" s="46">
        <f>SUM('HAL - Reg'!S82:X82)</f>
        <v>1391.9744080011212</v>
      </c>
      <c r="T107" s="46">
        <f>S107-R107</f>
        <v>60.380541672071558</v>
      </c>
      <c r="U107" s="44">
        <f>T107/R107</f>
        <v>4.5344562782141072E-2</v>
      </c>
    </row>
    <row r="108" spans="2:21" ht="15" thickBot="1">
      <c r="B108" s="15" t="s">
        <v>85</v>
      </c>
      <c r="C108" s="46">
        <v>182.4</v>
      </c>
      <c r="D108" s="46">
        <v>134.80000000000001</v>
      </c>
      <c r="E108" s="46">
        <v>-47.6</v>
      </c>
      <c r="F108" s="44">
        <f>E108/C108</f>
        <v>-0.26096491228070173</v>
      </c>
      <c r="G108" s="11"/>
      <c r="H108" s="11"/>
      <c r="K108" s="15" t="s">
        <v>85</v>
      </c>
      <c r="L108" s="46">
        <f>SUM('HAL - Reg'!F36:J36)</f>
        <v>183.29574976840368</v>
      </c>
      <c r="M108" s="46">
        <f>SUM('HAL - Reg'!S36:X36)</f>
        <v>150.19999999999999</v>
      </c>
      <c r="N108" s="46">
        <f t="shared" ref="N108:N113" si="44">M108-L108</f>
        <v>-33.095749768403692</v>
      </c>
      <c r="O108" s="44">
        <f t="shared" ref="O108:O117" si="45">N108/L108</f>
        <v>-0.18055928634581303</v>
      </c>
      <c r="Q108" s="15" t="s">
        <v>85</v>
      </c>
      <c r="R108" s="46">
        <f>SUM('HAL - Reg'!F86:J86)</f>
        <v>190.83570429560274</v>
      </c>
      <c r="S108" s="46">
        <f>SUM('HAL - Reg'!S86:X86)</f>
        <v>157.36879627213921</v>
      </c>
      <c r="T108" s="46">
        <f t="shared" ref="T108:T113" si="46">S108-R108</f>
        <v>-33.466908023463532</v>
      </c>
      <c r="U108" s="44">
        <f t="shared" ref="U108:U114" si="47">T108/R108</f>
        <v>-0.17537026494593277</v>
      </c>
    </row>
    <row r="109" spans="2:21" ht="15" thickBot="1">
      <c r="B109" s="15" t="s">
        <v>22</v>
      </c>
      <c r="C109" s="46">
        <v>313</v>
      </c>
      <c r="D109" s="46">
        <v>280.7</v>
      </c>
      <c r="E109" s="46">
        <v>-32.299999999999997</v>
      </c>
      <c r="F109" s="44">
        <f t="shared" ref="F109:F114" si="48">E109/C109</f>
        <v>-0.10319488817891373</v>
      </c>
      <c r="G109" s="11"/>
      <c r="H109" s="11"/>
      <c r="K109" s="15" t="s">
        <v>22</v>
      </c>
      <c r="L109" s="46">
        <f>SUM('HAL - Reg'!F34:J34)</f>
        <v>527.26630901964131</v>
      </c>
      <c r="M109" s="46">
        <f>SUM('HAL - Reg'!S34:X34)</f>
        <v>564.4</v>
      </c>
      <c r="N109" s="46">
        <f t="shared" si="44"/>
        <v>37.133690980358665</v>
      </c>
      <c r="O109" s="44">
        <f t="shared" si="45"/>
        <v>7.0426822926354257E-2</v>
      </c>
      <c r="Q109" s="15" t="s">
        <v>22</v>
      </c>
      <c r="R109" s="46">
        <f>SUM('HAL - Reg'!F84:J84)</f>
        <v>548.70362777886407</v>
      </c>
      <c r="S109" s="46">
        <f>SUM('HAL - Reg'!S84:X84)</f>
        <v>587.53792775939166</v>
      </c>
      <c r="T109" s="46">
        <f t="shared" si="46"/>
        <v>38.834299980527589</v>
      </c>
      <c r="U109" s="44">
        <f t="shared" si="47"/>
        <v>7.0774636824851481E-2</v>
      </c>
    </row>
    <row r="110" spans="2:21" ht="15" thickBot="1">
      <c r="B110" s="15" t="s">
        <v>21</v>
      </c>
      <c r="C110" s="46">
        <v>247.3</v>
      </c>
      <c r="D110" s="46">
        <v>287.60000000000002</v>
      </c>
      <c r="E110" s="46">
        <v>40.299999999999997</v>
      </c>
      <c r="F110" s="44">
        <f t="shared" si="48"/>
        <v>0.16295996765062676</v>
      </c>
      <c r="G110" s="11"/>
      <c r="H110" s="11"/>
      <c r="K110" s="15" t="s">
        <v>21</v>
      </c>
      <c r="L110" s="46">
        <f>SUM('HAL - Reg'!F35:J35)</f>
        <v>519.52066512773536</v>
      </c>
      <c r="M110" s="46">
        <f>SUM('HAL - Reg'!S35:X35)</f>
        <v>460.50000000000006</v>
      </c>
      <c r="N110" s="46">
        <f t="shared" si="44"/>
        <v>-59.020665127735299</v>
      </c>
      <c r="O110" s="44">
        <f t="shared" si="45"/>
        <v>-0.11360600085700882</v>
      </c>
      <c r="Q110" s="15" t="s">
        <v>21</v>
      </c>
      <c r="R110" s="46">
        <f>SUM('HAL - Reg'!F85:J85)</f>
        <v>539.64620246127038</v>
      </c>
      <c r="S110" s="46">
        <f>SUM('HAL - Reg'!S85:X85)</f>
        <v>481.92639907153597</v>
      </c>
      <c r="T110" s="46">
        <f t="shared" si="46"/>
        <v>-57.719803389734409</v>
      </c>
      <c r="U110" s="44">
        <f t="shared" si="47"/>
        <v>-0.10695860199975533</v>
      </c>
    </row>
    <row r="111" spans="2:21" ht="15" thickBot="1">
      <c r="B111" s="15" t="s">
        <v>86</v>
      </c>
      <c r="C111" s="46">
        <v>289</v>
      </c>
      <c r="D111" s="46">
        <v>328.2</v>
      </c>
      <c r="E111" s="46">
        <v>39.200000000000003</v>
      </c>
      <c r="F111" s="44">
        <f t="shared" si="48"/>
        <v>0.13564013840830449</v>
      </c>
      <c r="G111" s="11"/>
      <c r="H111" s="11"/>
      <c r="K111" s="15" t="s">
        <v>86</v>
      </c>
      <c r="L111" s="46">
        <f>SUM('HAL - Reg'!F33:J33)</f>
        <v>523.17343472697917</v>
      </c>
      <c r="M111" s="46">
        <f>SUM('HAL - Reg'!S33:X33)</f>
        <v>587.9</v>
      </c>
      <c r="N111" s="46">
        <f t="shared" si="44"/>
        <v>64.72656527302081</v>
      </c>
      <c r="O111" s="44">
        <f t="shared" si="45"/>
        <v>0.12371913590528294</v>
      </c>
      <c r="Q111" s="15" t="s">
        <v>86</v>
      </c>
      <c r="R111" s="46">
        <f>SUM('HAL - Reg'!F83:J83)</f>
        <v>543.19445374189763</v>
      </c>
      <c r="S111" s="46">
        <f>SUM('HAL - Reg'!S83:X83)</f>
        <v>613.51483466473348</v>
      </c>
      <c r="T111" s="46">
        <f t="shared" si="46"/>
        <v>70.320380922835852</v>
      </c>
      <c r="U111" s="44">
        <f t="shared" si="47"/>
        <v>0.12945710405991928</v>
      </c>
    </row>
    <row r="112" spans="2:21" ht="15" thickBot="1">
      <c r="B112" s="15" t="s">
        <v>87</v>
      </c>
      <c r="C112" s="46">
        <v>180.2</v>
      </c>
      <c r="D112" s="46">
        <v>213.4</v>
      </c>
      <c r="E112" s="46">
        <v>33.200000000000003</v>
      </c>
      <c r="F112" s="44">
        <f t="shared" si="48"/>
        <v>0.18423973362930079</v>
      </c>
      <c r="G112" s="11"/>
      <c r="H112" s="11"/>
      <c r="K112" s="15" t="s">
        <v>87</v>
      </c>
      <c r="L112" s="46">
        <f>SUM('HAL - Reg'!F37:J37)</f>
        <v>299.43156816307106</v>
      </c>
      <c r="M112" s="46">
        <f>SUM('HAL - Reg'!S37:X37)</f>
        <v>281.7</v>
      </c>
      <c r="N112" s="46">
        <f t="shared" si="44"/>
        <v>-17.731568163071074</v>
      </c>
      <c r="O112" s="44">
        <f t="shared" si="45"/>
        <v>-5.9217430786771372E-2</v>
      </c>
      <c r="Q112" s="15" t="s">
        <v>87</v>
      </c>
      <c r="R112" s="46">
        <f>SUM('HAL - Reg'!F87:J87)</f>
        <v>311.46535949001589</v>
      </c>
      <c r="S112" s="46">
        <f>SUM('HAL - Reg'!S87:X87)</f>
        <v>293.58528577613259</v>
      </c>
      <c r="T112" s="46">
        <f t="shared" si="46"/>
        <v>-17.880073713883291</v>
      </c>
      <c r="U112" s="44">
        <f t="shared" si="47"/>
        <v>-5.740629951003088E-2</v>
      </c>
    </row>
    <row r="113" spans="2:21" ht="15" thickBot="1">
      <c r="B113" s="15" t="s">
        <v>42</v>
      </c>
      <c r="C113" s="46">
        <v>448.7</v>
      </c>
      <c r="D113" s="46">
        <v>640.1</v>
      </c>
      <c r="E113" s="46">
        <v>191.4</v>
      </c>
      <c r="F113" s="44">
        <f t="shared" si="48"/>
        <v>0.42656563405393361</v>
      </c>
      <c r="G113" s="11"/>
      <c r="H113" s="11"/>
      <c r="K113" s="15" t="s">
        <v>42</v>
      </c>
      <c r="L113" s="46">
        <f>SUM('HAL - Reg'!F38:J38)</f>
        <v>746.92851382479091</v>
      </c>
      <c r="M113" s="46">
        <f>SUM('HAL - Reg'!S38:X38)</f>
        <v>766.7</v>
      </c>
      <c r="N113" s="46">
        <f t="shared" si="44"/>
        <v>19.771486175209134</v>
      </c>
      <c r="O113" s="44">
        <f t="shared" si="45"/>
        <v>2.6470386133694967E-2</v>
      </c>
      <c r="Q113" s="15" t="s">
        <v>42</v>
      </c>
      <c r="R113" s="46">
        <f>SUM('HAL - Reg'!F88:J88)</f>
        <v>780.59093484971038</v>
      </c>
      <c r="S113" s="46">
        <f>SUM('HAL - Reg'!S88:X88)</f>
        <v>801.40789956116407</v>
      </c>
      <c r="T113" s="46">
        <f t="shared" si="46"/>
        <v>20.816964711453693</v>
      </c>
      <c r="U113" s="44">
        <f t="shared" si="47"/>
        <v>2.6668212224962167E-2</v>
      </c>
    </row>
    <row r="114" spans="2:21" ht="15" thickBot="1">
      <c r="B114" s="15" t="s">
        <v>28</v>
      </c>
      <c r="C114" s="46">
        <v>2441.1999999999998</v>
      </c>
      <c r="D114" s="46">
        <v>2824.7</v>
      </c>
      <c r="E114" s="46">
        <v>383.5</v>
      </c>
      <c r="F114" s="44">
        <f t="shared" si="48"/>
        <v>0.15709487137473374</v>
      </c>
      <c r="G114" s="11"/>
      <c r="H114" s="11"/>
      <c r="K114" s="15" t="s">
        <v>215</v>
      </c>
      <c r="L114" s="46">
        <f>SUM('HAL - Reg'!F39:J39)</f>
        <v>538.63680455797953</v>
      </c>
      <c r="M114" s="46">
        <f>+SUM('HAL - Reg'!S39:X39)</f>
        <v>757</v>
      </c>
      <c r="N114" s="46">
        <f t="shared" ref="N114:N116" si="49">M114-L114</f>
        <v>218.36319544202047</v>
      </c>
      <c r="O114" s="44">
        <f t="shared" ref="O114" si="50">N114/L114</f>
        <v>0.40539969343761317</v>
      </c>
      <c r="Q114" s="15" t="s">
        <v>215</v>
      </c>
      <c r="R114" s="46">
        <f>SUM('HAL - Reg'!F89:J89)</f>
        <v>561.40544048323613</v>
      </c>
      <c r="S114" s="46">
        <f>+SUM('HAL - Reg'!S89:X89)</f>
        <v>790.926146609395</v>
      </c>
      <c r="T114" s="46">
        <f>S114-R114</f>
        <v>229.52070612615887</v>
      </c>
      <c r="U114" s="44">
        <f t="shared" si="47"/>
        <v>0.40883235105202453</v>
      </c>
    </row>
    <row r="115" spans="2:21" ht="15" thickBot="1">
      <c r="B115" s="7" t="s">
        <v>94</v>
      </c>
      <c r="C115" s="12"/>
      <c r="D115" s="12"/>
      <c r="E115" s="12"/>
      <c r="G115" s="6"/>
      <c r="H115" s="6"/>
      <c r="K115" s="15" t="s">
        <v>202</v>
      </c>
      <c r="L115" s="46">
        <f>SUM('HAL - Reg'!F43:J43)</f>
        <v>0</v>
      </c>
      <c r="M115" s="46">
        <f>+SUM('HAL - Reg'!S43:X43)</f>
        <v>25.5</v>
      </c>
      <c r="N115" s="46">
        <f t="shared" si="49"/>
        <v>25.5</v>
      </c>
      <c r="O115" s="44" t="s">
        <v>200</v>
      </c>
      <c r="Q115" s="15" t="s">
        <v>202</v>
      </c>
      <c r="R115" s="46">
        <f>SUM('HAL - Reg'!F93:J93)</f>
        <v>0</v>
      </c>
      <c r="S115" s="46">
        <f>+SUM('HAL - Reg'!S93:X93)</f>
        <v>28.178222239466127</v>
      </c>
      <c r="T115" s="46">
        <f t="shared" ref="T115:T116" si="51">S115-R115</f>
        <v>28.178222239466127</v>
      </c>
      <c r="U115" s="44" t="s">
        <v>200</v>
      </c>
    </row>
    <row r="116" spans="2:21" ht="15" thickBot="1">
      <c r="B116" s="7" t="s">
        <v>89</v>
      </c>
      <c r="K116" s="15" t="s">
        <v>216</v>
      </c>
      <c r="L116" s="46">
        <f>SUM('HAL - Reg'!F44:J44)</f>
        <v>0</v>
      </c>
      <c r="M116" s="46">
        <f>+SUM('HAL - Reg'!S44:X44)</f>
        <v>-28.599999999999998</v>
      </c>
      <c r="N116" s="46">
        <f t="shared" si="49"/>
        <v>-28.599999999999998</v>
      </c>
      <c r="O116" s="44" t="s">
        <v>200</v>
      </c>
      <c r="Q116" s="15" t="s">
        <v>216</v>
      </c>
      <c r="R116" s="46">
        <f>SUM('HAL - Reg'!F94:J94)</f>
        <v>0</v>
      </c>
      <c r="S116" s="46">
        <f>+SUM('HAL - Reg'!S94:X94)</f>
        <v>-29.597161543030531</v>
      </c>
      <c r="T116" s="46">
        <f t="shared" si="51"/>
        <v>-29.597161543030531</v>
      </c>
      <c r="U116" s="44" t="s">
        <v>200</v>
      </c>
    </row>
    <row r="117" spans="2:21" ht="15" thickBot="1">
      <c r="B117" s="7"/>
      <c r="K117" s="15" t="s">
        <v>28</v>
      </c>
      <c r="L117" s="46">
        <f>SUM(L107:L116)</f>
        <v>4615.0402972457987</v>
      </c>
      <c r="M117" s="46">
        <f>SUM(M107:M116)</f>
        <v>4904.5999999999995</v>
      </c>
      <c r="N117" s="46">
        <f>M117-L117</f>
        <v>289.55970275420077</v>
      </c>
      <c r="O117" s="44">
        <f t="shared" si="45"/>
        <v>6.2742616337934598E-2</v>
      </c>
      <c r="Q117" s="15" t="s">
        <v>28</v>
      </c>
      <c r="R117" s="46">
        <f>SUM(R107:R116)</f>
        <v>4807.4355894296468</v>
      </c>
      <c r="S117" s="46">
        <f>SUM(S107:S116)</f>
        <v>5116.8227584120477</v>
      </c>
      <c r="T117" s="46">
        <f>S117-R117</f>
        <v>309.38716898240091</v>
      </c>
      <c r="U117" s="44">
        <f>T117/R117</f>
        <v>6.4355967589595206E-2</v>
      </c>
    </row>
    <row r="118" spans="2:21">
      <c r="B118" s="7"/>
      <c r="K118" s="24" t="s">
        <v>185</v>
      </c>
      <c r="L118" s="405"/>
      <c r="M118" s="405"/>
      <c r="N118" s="405"/>
      <c r="O118" s="406"/>
      <c r="Q118" s="24" t="s">
        <v>185</v>
      </c>
      <c r="R118" s="28"/>
      <c r="S118" s="28"/>
      <c r="T118" s="28"/>
      <c r="U118" s="27"/>
    </row>
    <row r="119" spans="2:21">
      <c r="B119" s="7"/>
      <c r="K119" s="404"/>
      <c r="L119" s="405"/>
      <c r="M119" s="405"/>
      <c r="N119" s="405"/>
      <c r="O119" s="406"/>
    </row>
    <row r="120" spans="2:21" ht="15.75" thickBot="1">
      <c r="B120" s="8" t="s">
        <v>97</v>
      </c>
      <c r="K120" s="20" t="s">
        <v>93</v>
      </c>
      <c r="L120" s="19"/>
      <c r="M120" s="19"/>
      <c r="N120" s="19"/>
      <c r="Q120" s="20" t="s">
        <v>93</v>
      </c>
      <c r="R120" s="19"/>
      <c r="S120" s="19"/>
      <c r="T120" s="19"/>
    </row>
    <row r="121" spans="2:21" ht="15" thickBot="1">
      <c r="B121" s="22" t="s">
        <v>46</v>
      </c>
      <c r="C121" s="51" t="s">
        <v>82</v>
      </c>
      <c r="D121" s="51" t="s">
        <v>83</v>
      </c>
      <c r="E121" s="51" t="s">
        <v>220</v>
      </c>
      <c r="F121" s="51" t="s">
        <v>219</v>
      </c>
      <c r="K121" s="22" t="s">
        <v>46</v>
      </c>
      <c r="L121" s="51" t="s">
        <v>82</v>
      </c>
      <c r="M121" s="51" t="s">
        <v>83</v>
      </c>
      <c r="N121" s="51" t="s">
        <v>220</v>
      </c>
      <c r="O121" s="51" t="s">
        <v>219</v>
      </c>
      <c r="Q121" s="22" t="s">
        <v>231</v>
      </c>
      <c r="R121" s="51" t="s">
        <v>82</v>
      </c>
      <c r="S121" s="51" t="s">
        <v>83</v>
      </c>
      <c r="T121" s="51" t="s">
        <v>220</v>
      </c>
      <c r="U121" s="51" t="s">
        <v>219</v>
      </c>
    </row>
    <row r="122" spans="2:21" ht="15" thickBot="1">
      <c r="B122" s="15" t="s">
        <v>84</v>
      </c>
      <c r="C122" s="46">
        <v>382.1</v>
      </c>
      <c r="D122" s="46">
        <v>420</v>
      </c>
      <c r="E122" s="46">
        <f>D122-C122</f>
        <v>37.899999999999977</v>
      </c>
      <c r="F122" s="44">
        <f>E122/C122</f>
        <v>9.9188694059146751E-2</v>
      </c>
      <c r="K122" s="15" t="s">
        <v>84</v>
      </c>
      <c r="L122" s="46">
        <f>SUM('GAL - Reg'!F32:J32)</f>
        <v>619.90000000000009</v>
      </c>
      <c r="M122" s="46">
        <f>SUM('GAL - Reg'!T32:X32)</f>
        <v>633.1</v>
      </c>
      <c r="N122" s="46">
        <f>M122-L122</f>
        <v>13.199999999999932</v>
      </c>
      <c r="O122" s="44">
        <f>N122/L122</f>
        <v>2.1293757057589822E-2</v>
      </c>
      <c r="Q122" s="15" t="s">
        <v>84</v>
      </c>
      <c r="R122" s="46">
        <f>SUM('GAL - Reg'!F80:J80)</f>
        <v>646.54037052118281</v>
      </c>
      <c r="S122" s="46">
        <f>SUM('GAL - Reg'!T80:X80)</f>
        <v>656.65088983579017</v>
      </c>
      <c r="T122" s="46">
        <f>S122-R122</f>
        <v>10.110519314607359</v>
      </c>
      <c r="U122" s="44">
        <f>T122/R122</f>
        <v>1.563787781180186E-2</v>
      </c>
    </row>
    <row r="123" spans="2:21" ht="15" thickBot="1">
      <c r="B123" s="15" t="s">
        <v>85</v>
      </c>
      <c r="C123" s="46">
        <v>81</v>
      </c>
      <c r="D123" s="46">
        <v>61.1</v>
      </c>
      <c r="E123" s="46">
        <f t="shared" ref="E123:E128" si="52">D123-C123</f>
        <v>-19.899999999999999</v>
      </c>
      <c r="F123" s="44">
        <f>E123/C123</f>
        <v>-0.24567901234567899</v>
      </c>
      <c r="K123" s="15" t="s">
        <v>85</v>
      </c>
      <c r="L123" s="46">
        <f>SUM('GAL - Reg'!F36:J36)</f>
        <v>69.3</v>
      </c>
      <c r="M123" s="46">
        <f>SUM('GAL - Reg'!T36:X36)</f>
        <v>65.2</v>
      </c>
      <c r="N123" s="46">
        <f>M123-L123</f>
        <v>-4.0999999999999943</v>
      </c>
      <c r="O123" s="44">
        <f t="shared" ref="O123:O131" si="53">N123/L123</f>
        <v>-5.9163059163059084E-2</v>
      </c>
      <c r="Q123" s="15" t="s">
        <v>85</v>
      </c>
      <c r="R123" s="46">
        <f>SUM('GAL - Reg'!F84:J84)</f>
        <v>72.249812532193857</v>
      </c>
      <c r="S123" s="46">
        <f>SUM('GAL - Reg'!T84:X84)</f>
        <v>68.229151588700461</v>
      </c>
      <c r="T123" s="46">
        <f>S123-R123</f>
        <v>-4.0206609434933966</v>
      </c>
      <c r="U123" s="44">
        <f t="shared" ref="U123:U127" si="54">T123/R123</f>
        <v>-5.5649430809274793E-2</v>
      </c>
    </row>
    <row r="124" spans="2:21" ht="15" thickBot="1">
      <c r="B124" s="15" t="s">
        <v>22</v>
      </c>
      <c r="C124" s="46">
        <v>93.6</v>
      </c>
      <c r="D124" s="46">
        <v>98.9</v>
      </c>
      <c r="E124" s="46">
        <f t="shared" si="52"/>
        <v>5.3000000000000114</v>
      </c>
      <c r="F124" s="44">
        <f t="shared" ref="F124:F128" si="55">E124/C124</f>
        <v>5.6623931623931749E-2</v>
      </c>
      <c r="K124" s="15" t="s">
        <v>22</v>
      </c>
      <c r="L124" s="46">
        <f>SUM('GAL - Reg'!F34:J34)</f>
        <v>146.9</v>
      </c>
      <c r="M124" s="46">
        <f>SUM('GAL - Reg'!T34:X34)</f>
        <v>127.3</v>
      </c>
      <c r="N124" s="46">
        <f t="shared" ref="N124:N130" si="56">M124-L124</f>
        <v>-19.600000000000009</v>
      </c>
      <c r="O124" s="44">
        <f t="shared" si="53"/>
        <v>-0.13342409802586799</v>
      </c>
      <c r="Q124" s="15" t="s">
        <v>22</v>
      </c>
      <c r="R124" s="46">
        <f>SUM('GAL - Reg'!F82:J82)</f>
        <v>152.62634284611477</v>
      </c>
      <c r="S124" s="46">
        <f>SUM('GAL - Reg'!T82:X82)</f>
        <v>132.60968005744152</v>
      </c>
      <c r="T124" s="46">
        <f t="shared" ref="T124:T127" si="57">S124-R124</f>
        <v>-20.016662788673244</v>
      </c>
      <c r="U124" s="44">
        <f t="shared" si="54"/>
        <v>-0.13114815185511591</v>
      </c>
    </row>
    <row r="125" spans="2:21" ht="15" thickBot="1">
      <c r="B125" s="15" t="s">
        <v>21</v>
      </c>
      <c r="C125" s="46">
        <v>104.4</v>
      </c>
      <c r="D125" s="46">
        <v>104.5</v>
      </c>
      <c r="E125" s="46">
        <f t="shared" si="52"/>
        <v>9.9999999999994316E-2</v>
      </c>
      <c r="F125" s="44">
        <f t="shared" si="55"/>
        <v>9.5785440613021372E-4</v>
      </c>
      <c r="K125" s="15" t="s">
        <v>21</v>
      </c>
      <c r="L125" s="46">
        <f>SUM('GAL - Reg'!F35:J35)</f>
        <v>145.30000000000001</v>
      </c>
      <c r="M125" s="46">
        <f>SUM('GAL - Reg'!T35:X35)</f>
        <v>143.9</v>
      </c>
      <c r="N125" s="46">
        <f t="shared" si="56"/>
        <v>-1.4000000000000057</v>
      </c>
      <c r="O125" s="44">
        <f t="shared" si="53"/>
        <v>-9.6352374397798042E-3</v>
      </c>
      <c r="Q125" s="15" t="s">
        <v>21</v>
      </c>
      <c r="R125" s="46">
        <f>SUM('GAL - Reg'!F83:J83)</f>
        <v>151.1800703781272</v>
      </c>
      <c r="S125" s="46">
        <f>SUM('GAL - Reg'!T83:X83)</f>
        <v>150.31876857838753</v>
      </c>
      <c r="T125" s="46">
        <f t="shared" si="57"/>
        <v>-0.86130179973966392</v>
      </c>
      <c r="U125" s="44">
        <f t="shared" si="54"/>
        <v>-5.6971914193808806E-3</v>
      </c>
    </row>
    <row r="126" spans="2:21" ht="15" thickBot="1">
      <c r="B126" s="15" t="s">
        <v>86</v>
      </c>
      <c r="C126" s="46">
        <v>110.1</v>
      </c>
      <c r="D126" s="46">
        <v>111.9</v>
      </c>
      <c r="E126" s="46">
        <f t="shared" si="52"/>
        <v>1.8000000000000114</v>
      </c>
      <c r="F126" s="44">
        <f t="shared" si="55"/>
        <v>1.6348773841961955E-2</v>
      </c>
      <c r="K126" s="15" t="s">
        <v>86</v>
      </c>
      <c r="L126" s="46">
        <f>SUM('GAL - Reg'!F33:J33)</f>
        <v>144.30000000000001</v>
      </c>
      <c r="M126" s="46">
        <f>SUM('GAL - Reg'!T33:X33)</f>
        <v>154.60000000000002</v>
      </c>
      <c r="N126" s="46">
        <f t="shared" si="56"/>
        <v>10.300000000000011</v>
      </c>
      <c r="O126" s="44">
        <f t="shared" si="53"/>
        <v>7.1379071379071457E-2</v>
      </c>
      <c r="Q126" s="15" t="s">
        <v>86</v>
      </c>
      <c r="R126" s="46">
        <f>SUM('GAL - Reg'!F81:J81)</f>
        <v>149.96374790342858</v>
      </c>
      <c r="S126" s="46">
        <f>SUM('GAL - Reg'!T81:X81)</f>
        <v>160.49959584617832</v>
      </c>
      <c r="T126" s="46">
        <f t="shared" si="57"/>
        <v>10.53584794274974</v>
      </c>
      <c r="U126" s="44">
        <f t="shared" si="54"/>
        <v>7.0255965792042338E-2</v>
      </c>
    </row>
    <row r="127" spans="2:21" ht="15" thickBot="1">
      <c r="B127" s="15" t="s">
        <v>42</v>
      </c>
      <c r="C127" s="46">
        <v>219</v>
      </c>
      <c r="D127" s="46">
        <v>284.60000000000002</v>
      </c>
      <c r="E127" s="46">
        <f t="shared" si="52"/>
        <v>65.600000000000023</v>
      </c>
      <c r="F127" s="44">
        <f t="shared" si="55"/>
        <v>0.29954337899543387</v>
      </c>
      <c r="K127" s="15" t="s">
        <v>42</v>
      </c>
      <c r="L127" s="46">
        <f>SUM('GAL - Reg'!F37:J37)</f>
        <v>199.7</v>
      </c>
      <c r="M127" s="46">
        <f>SUM('GAL - Reg'!T37:X37)</f>
        <v>238.3</v>
      </c>
      <c r="N127" s="46">
        <f t="shared" si="56"/>
        <v>38.600000000000023</v>
      </c>
      <c r="O127" s="44">
        <f t="shared" si="53"/>
        <v>0.19328993490235366</v>
      </c>
      <c r="Q127" s="15" t="s">
        <v>42</v>
      </c>
      <c r="R127" s="46">
        <f>SUM('GAL - Reg'!F85:J85)</f>
        <v>207.88368128504294</v>
      </c>
      <c r="S127" s="46">
        <f>SUM('GAL - Reg'!T85:X85)</f>
        <v>250.92277196506271</v>
      </c>
      <c r="T127" s="46">
        <f t="shared" si="57"/>
        <v>43.039090680019768</v>
      </c>
      <c r="U127" s="44">
        <f t="shared" si="54"/>
        <v>0.20703448396705104</v>
      </c>
    </row>
    <row r="128" spans="2:21" ht="15" thickBot="1">
      <c r="B128" s="15" t="s">
        <v>28</v>
      </c>
      <c r="C128" s="46">
        <v>990.2</v>
      </c>
      <c r="D128" s="46">
        <v>1081</v>
      </c>
      <c r="E128" s="46">
        <f t="shared" si="52"/>
        <v>90.799999999999955</v>
      </c>
      <c r="F128" s="44">
        <f t="shared" si="55"/>
        <v>9.1698646738032671E-2</v>
      </c>
      <c r="K128" s="15" t="s">
        <v>215</v>
      </c>
      <c r="L128" s="46">
        <f>SUM('GAL - Reg'!F38:J38)</f>
        <v>180.8</v>
      </c>
      <c r="M128" s="46">
        <f>SUM('GAL - Reg'!T38:X38)</f>
        <v>64.400000000000006</v>
      </c>
      <c r="N128" s="46">
        <f t="shared" si="56"/>
        <v>-116.4</v>
      </c>
      <c r="O128" s="44">
        <f t="shared" si="53"/>
        <v>-0.64380530973451322</v>
      </c>
      <c r="Q128" s="15" t="s">
        <v>215</v>
      </c>
      <c r="R128" s="46">
        <f>SUM('GAL - Reg'!F86:J86)</f>
        <v>188.52558326776244</v>
      </c>
      <c r="S128" s="46">
        <f>SUM('GAL - Reg'!T86:X86)</f>
        <v>71.04749131121099</v>
      </c>
      <c r="T128" s="46">
        <f t="shared" ref="T128:T131" si="58">S128-R128</f>
        <v>-117.47809195655145</v>
      </c>
      <c r="U128" s="44">
        <f t="shared" ref="U128:U131" si="59">T128/R128</f>
        <v>-0.62314137911827916</v>
      </c>
    </row>
    <row r="129" spans="2:21" ht="15" thickBot="1">
      <c r="B129" s="7" t="s">
        <v>94</v>
      </c>
      <c r="E129" s="6"/>
      <c r="F129" s="11"/>
      <c r="K129" s="15" t="s">
        <v>202</v>
      </c>
      <c r="L129" s="46">
        <f>SUM('GAL - Reg'!F42:J42)</f>
        <v>0</v>
      </c>
      <c r="M129" s="46">
        <f>SUM('GAL - Reg'!T42:X42)</f>
        <v>-2.1</v>
      </c>
      <c r="N129" s="46">
        <f t="shared" si="56"/>
        <v>-2.1</v>
      </c>
      <c r="O129" s="44" t="s">
        <v>200</v>
      </c>
      <c r="Q129" s="15" t="s">
        <v>202</v>
      </c>
      <c r="R129" s="46">
        <f>SUM('GAL - Reg'!F90:J90)</f>
        <v>0</v>
      </c>
      <c r="S129" s="46">
        <f>SUM('GAL - Reg'!T90:X90)</f>
        <v>-2.3205594785442694</v>
      </c>
      <c r="T129" s="46">
        <f t="shared" si="58"/>
        <v>-2.3205594785442694</v>
      </c>
      <c r="U129" s="44" t="s">
        <v>200</v>
      </c>
    </row>
    <row r="130" spans="2:21" ht="15" thickBot="1">
      <c r="B130" s="7" t="s">
        <v>89</v>
      </c>
      <c r="K130" s="15" t="s">
        <v>216</v>
      </c>
      <c r="L130" s="46">
        <f>SUM('GAL - Reg'!F43:J43)</f>
        <v>0</v>
      </c>
      <c r="M130" s="46">
        <f>SUM('GAL - Reg'!T43:X43)</f>
        <v>-9.9</v>
      </c>
      <c r="N130" s="46">
        <f t="shared" si="56"/>
        <v>-9.9</v>
      </c>
      <c r="O130" s="44" t="s">
        <v>200</v>
      </c>
      <c r="Q130" s="15" t="s">
        <v>216</v>
      </c>
      <c r="R130" s="46">
        <f>SUM('GAL - Reg'!F91:J91)</f>
        <v>0</v>
      </c>
      <c r="S130" s="46">
        <f>SUM('GAL - Reg'!T91:X91)</f>
        <v>-10.834908552425823</v>
      </c>
      <c r="T130" s="46">
        <f t="shared" si="58"/>
        <v>-10.834908552425823</v>
      </c>
      <c r="U130" s="44" t="s">
        <v>200</v>
      </c>
    </row>
    <row r="131" spans="2:21" ht="15" thickBot="1">
      <c r="B131" s="7"/>
      <c r="K131" s="15" t="s">
        <v>28</v>
      </c>
      <c r="L131" s="46">
        <f>SUM(L122:L130)</f>
        <v>1506.2</v>
      </c>
      <c r="M131" s="46">
        <f t="shared" ref="M131:N131" si="60">SUM(M122:M130)</f>
        <v>1414.8</v>
      </c>
      <c r="N131" s="46">
        <f t="shared" si="60"/>
        <v>-91.400000000000048</v>
      </c>
      <c r="O131" s="44">
        <f t="shared" si="53"/>
        <v>-6.0682512282565423E-2</v>
      </c>
      <c r="Q131" s="15" t="s">
        <v>28</v>
      </c>
      <c r="R131" s="46">
        <f>SUM(R122:R130)</f>
        <v>1568.9696087338525</v>
      </c>
      <c r="S131" s="46">
        <f>SUM(S122:S130)</f>
        <v>1477.1228811518017</v>
      </c>
      <c r="T131" s="46">
        <f t="shared" si="58"/>
        <v>-91.846727582050789</v>
      </c>
      <c r="U131" s="44">
        <f t="shared" si="59"/>
        <v>-5.8539519867545714E-2</v>
      </c>
    </row>
    <row r="132" spans="2:21">
      <c r="B132" s="7"/>
      <c r="K132" s="24" t="s">
        <v>185</v>
      </c>
      <c r="L132" s="28"/>
      <c r="M132" s="28"/>
      <c r="N132" s="28"/>
      <c r="Q132" s="24" t="s">
        <v>185</v>
      </c>
      <c r="R132" s="28"/>
      <c r="S132" s="28"/>
      <c r="T132" s="28"/>
    </row>
    <row r="135" spans="2:21" ht="15.75" thickBot="1">
      <c r="B135" s="8" t="s">
        <v>239</v>
      </c>
    </row>
    <row r="136" spans="2:21" ht="15" thickBot="1">
      <c r="B136" s="22" t="s">
        <v>46</v>
      </c>
      <c r="C136" s="51" t="s">
        <v>82</v>
      </c>
      <c r="D136" s="51" t="s">
        <v>83</v>
      </c>
      <c r="E136" s="51" t="s">
        <v>220</v>
      </c>
      <c r="F136" s="51" t="s">
        <v>219</v>
      </c>
      <c r="K136" s="6"/>
    </row>
    <row r="137" spans="2:21" ht="15" thickBot="1">
      <c r="B137" s="15" t="s">
        <v>84</v>
      </c>
      <c r="C137" s="46">
        <v>189</v>
      </c>
      <c r="D137" s="46">
        <v>220</v>
      </c>
      <c r="E137" s="46">
        <f t="shared" ref="E137:E138" si="61">D137-C137</f>
        <v>31</v>
      </c>
      <c r="F137" s="44">
        <f t="shared" ref="F137:F138" si="62">E137/C137</f>
        <v>0.16402116402116401</v>
      </c>
      <c r="K137" s="6"/>
    </row>
    <row r="138" spans="2:21" ht="15" thickBot="1">
      <c r="B138" s="15" t="s">
        <v>85</v>
      </c>
      <c r="C138" s="46">
        <v>30</v>
      </c>
      <c r="D138" s="46">
        <v>32</v>
      </c>
      <c r="E138" s="46">
        <f t="shared" si="61"/>
        <v>2</v>
      </c>
      <c r="F138" s="44">
        <f t="shared" si="62"/>
        <v>6.6666666666666666E-2</v>
      </c>
    </row>
    <row r="139" spans="2:21" ht="15" thickBot="1">
      <c r="B139" s="15" t="s">
        <v>22</v>
      </c>
      <c r="C139" s="46">
        <v>48</v>
      </c>
      <c r="D139" s="46">
        <v>40</v>
      </c>
      <c r="E139" s="46">
        <f t="shared" ref="E139:E142" si="63">D139-C139</f>
        <v>-8</v>
      </c>
      <c r="F139" s="44">
        <f t="shared" ref="F139:F143" si="64">E139/C139</f>
        <v>-0.16666666666666666</v>
      </c>
    </row>
    <row r="140" spans="2:21" ht="15" thickBot="1">
      <c r="B140" s="15" t="s">
        <v>21</v>
      </c>
      <c r="C140" s="46">
        <v>56</v>
      </c>
      <c r="D140" s="46">
        <v>49</v>
      </c>
      <c r="E140" s="46">
        <f>D140-C140</f>
        <v>-7</v>
      </c>
      <c r="F140" s="44">
        <f>E140/C140</f>
        <v>-0.125</v>
      </c>
      <c r="G140" s="25"/>
      <c r="H140" s="26"/>
      <c r="I140" s="26"/>
      <c r="J140" s="27"/>
    </row>
    <row r="141" spans="2:21" ht="15" thickBot="1">
      <c r="B141" s="15" t="s">
        <v>86</v>
      </c>
      <c r="C141" s="46">
        <v>68</v>
      </c>
      <c r="D141" s="46">
        <v>57</v>
      </c>
      <c r="E141" s="46">
        <f t="shared" si="63"/>
        <v>-11</v>
      </c>
      <c r="F141" s="44">
        <f t="shared" si="64"/>
        <v>-0.16176470588235295</v>
      </c>
    </row>
    <row r="142" spans="2:21" ht="15.75" thickBot="1">
      <c r="B142" s="15" t="s">
        <v>42</v>
      </c>
      <c r="C142" s="46">
        <v>111</v>
      </c>
      <c r="D142" s="46">
        <v>119</v>
      </c>
      <c r="E142" s="46">
        <f t="shared" si="63"/>
        <v>8</v>
      </c>
      <c r="F142" s="44">
        <f t="shared" si="64"/>
        <v>7.2072072072072071E-2</v>
      </c>
      <c r="G142" s="10"/>
      <c r="H142" s="10"/>
      <c r="I142" s="10"/>
    </row>
    <row r="143" spans="2:21" ht="15" thickBot="1">
      <c r="B143" s="15" t="s">
        <v>28</v>
      </c>
      <c r="C143" s="46">
        <f>SUM(C137:C142)</f>
        <v>502</v>
      </c>
      <c r="D143" s="46">
        <v>517</v>
      </c>
      <c r="E143" s="46">
        <f>D143-C143</f>
        <v>15</v>
      </c>
      <c r="F143" s="44">
        <f t="shared" si="64"/>
        <v>2.9880478087649404E-2</v>
      </c>
      <c r="G143" s="11"/>
      <c r="H143" s="11"/>
      <c r="I143" s="11"/>
    </row>
    <row r="144" spans="2:21">
      <c r="B144" s="7" t="s">
        <v>243</v>
      </c>
      <c r="E144" s="6"/>
      <c r="F144" s="6"/>
      <c r="G144" s="11"/>
      <c r="H144" s="11"/>
      <c r="I144" s="11"/>
    </row>
    <row r="145" spans="2:23">
      <c r="G145" s="11"/>
      <c r="H145" s="11"/>
      <c r="I145" s="11"/>
    </row>
    <row r="146" spans="2:23" ht="15">
      <c r="B146" s="333" t="s">
        <v>445</v>
      </c>
      <c r="C146" s="333"/>
      <c r="D146" s="333"/>
      <c r="E146" s="333"/>
      <c r="F146" s="333"/>
      <c r="G146" s="333"/>
      <c r="H146" s="333"/>
      <c r="I146" s="333"/>
      <c r="J146" s="333"/>
      <c r="K146" s="333"/>
      <c r="L146" s="333"/>
      <c r="M146" s="333"/>
      <c r="N146" s="333"/>
      <c r="O146" s="333"/>
      <c r="P146" s="333"/>
      <c r="Q146" s="333"/>
      <c r="R146" s="333"/>
      <c r="S146" s="333"/>
      <c r="T146" s="333"/>
      <c r="U146" s="333"/>
      <c r="V146" s="333"/>
      <c r="W146" s="333"/>
    </row>
  </sheetData>
  <mergeCells count="13">
    <mergeCell ref="N57:R57"/>
    <mergeCell ref="C48:G48"/>
    <mergeCell ref="N95:R95"/>
    <mergeCell ref="C11:G11"/>
    <mergeCell ref="C29:G29"/>
    <mergeCell ref="M20:Q20"/>
    <mergeCell ref="M68:Q68"/>
    <mergeCell ref="M85:Q85"/>
    <mergeCell ref="M39:Q39"/>
    <mergeCell ref="M29:Q29"/>
    <mergeCell ref="M11:Q11"/>
    <mergeCell ref="N48:R48"/>
    <mergeCell ref="M77:Q77"/>
  </mergeCells>
  <pageMargins left="0.7" right="0.7" top="0.75" bottom="0.75" header="0.3" footer="0.3"/>
  <pageSetup paperSize="9" orientation="portrait" r:id="rId1"/>
  <headerFooter>
    <oddHeader>&amp;C&amp;A&amp;D</oddHeader>
  </headerFooter>
  <legacyDrawing r:id="rId2"/>
</worksheet>
</file>

<file path=xl/worksheets/sheet27.xml><?xml version="1.0" encoding="utf-8"?>
<worksheet xmlns="http://schemas.openxmlformats.org/spreadsheetml/2006/main" xmlns:r="http://schemas.openxmlformats.org/officeDocument/2006/relationships">
  <dimension ref="B2:AE124"/>
  <sheetViews>
    <sheetView showGridLines="0" zoomScale="70" zoomScaleNormal="70" workbookViewId="0">
      <selection activeCell="B2" sqref="B2"/>
    </sheetView>
  </sheetViews>
  <sheetFormatPr defaultRowHeight="12.75"/>
  <cols>
    <col min="1" max="1" width="9.140625" style="19"/>
    <col min="2" max="2" width="24.42578125" style="19" customWidth="1"/>
    <col min="3" max="3" width="13.140625" style="19" customWidth="1"/>
    <col min="4" max="12" width="9.140625" style="19"/>
    <col min="13" max="13" width="5.7109375" style="19" bestFit="1" customWidth="1"/>
    <col min="14" max="15" width="9.140625" style="19"/>
    <col min="16" max="16" width="10.7109375" style="19" customWidth="1"/>
    <col min="17" max="17" width="10.5703125" style="19" customWidth="1"/>
    <col min="18" max="18" width="4" style="19" customWidth="1"/>
    <col min="19" max="20" width="11.140625" style="19" customWidth="1"/>
    <col min="21" max="21" width="8.85546875" style="19" customWidth="1"/>
    <col min="22" max="26" width="12.7109375" style="19" customWidth="1"/>
    <col min="27" max="30" width="9.140625" style="19"/>
    <col min="31" max="31" width="11.7109375" style="19" bestFit="1" customWidth="1"/>
    <col min="32" max="16384" width="9.140625" style="19"/>
  </cols>
  <sheetData>
    <row r="2" spans="2:27">
      <c r="B2" s="53" t="s">
        <v>788</v>
      </c>
    </row>
    <row r="4" spans="2:27" ht="15">
      <c r="B4" s="270" t="s">
        <v>466</v>
      </c>
      <c r="C4" s="270"/>
      <c r="D4" s="253"/>
      <c r="E4" s="253"/>
      <c r="F4" s="253"/>
      <c r="G4" s="253"/>
      <c r="H4" s="253"/>
      <c r="I4" s="253"/>
      <c r="J4" s="253"/>
      <c r="K4" s="253"/>
      <c r="L4" s="253"/>
      <c r="M4" s="253"/>
      <c r="N4" s="253"/>
      <c r="O4" s="253"/>
      <c r="P4" s="253"/>
      <c r="Q4" s="253"/>
      <c r="R4" s="253"/>
      <c r="S4" s="253"/>
      <c r="T4" s="253"/>
      <c r="U4" s="253"/>
      <c r="V4" s="253"/>
      <c r="W4" s="253"/>
      <c r="X4" s="253"/>
      <c r="Y4" s="253"/>
      <c r="Z4" s="253"/>
      <c r="AA4" s="253"/>
    </row>
    <row r="6" spans="2:27">
      <c r="B6" s="19" t="s">
        <v>47</v>
      </c>
      <c r="C6" s="19" t="s">
        <v>51</v>
      </c>
      <c r="G6" s="53" t="s">
        <v>48</v>
      </c>
    </row>
    <row r="7" spans="2:27">
      <c r="C7" s="54"/>
    </row>
    <row r="8" spans="2:27">
      <c r="B8" s="19" t="s">
        <v>52</v>
      </c>
      <c r="C8" s="53" t="s">
        <v>49</v>
      </c>
      <c r="F8" s="230" t="s">
        <v>50</v>
      </c>
    </row>
    <row r="9" spans="2:27">
      <c r="D9" s="54"/>
    </row>
    <row r="10" spans="2:27" ht="39" customHeight="1">
      <c r="B10" s="48" t="s">
        <v>221</v>
      </c>
      <c r="C10" s="73" t="s">
        <v>183</v>
      </c>
      <c r="D10" s="48" t="s">
        <v>0</v>
      </c>
      <c r="E10" s="48" t="s">
        <v>1</v>
      </c>
      <c r="F10" s="48" t="s">
        <v>2</v>
      </c>
      <c r="G10" s="48" t="s">
        <v>3</v>
      </c>
      <c r="H10" s="48" t="s">
        <v>4</v>
      </c>
      <c r="I10" s="48" t="s">
        <v>5</v>
      </c>
      <c r="J10" s="48" t="s">
        <v>6</v>
      </c>
      <c r="K10" s="48" t="s">
        <v>7</v>
      </c>
      <c r="L10" s="48" t="s">
        <v>8</v>
      </c>
      <c r="M10" s="48" t="s">
        <v>9</v>
      </c>
      <c r="N10" s="48" t="s">
        <v>10</v>
      </c>
      <c r="O10" s="48" t="s">
        <v>11</v>
      </c>
      <c r="P10" s="73" t="s">
        <v>195</v>
      </c>
      <c r="Q10" s="73" t="s">
        <v>196</v>
      </c>
      <c r="R10" s="55"/>
      <c r="S10" s="73" t="s">
        <v>313</v>
      </c>
      <c r="T10" s="73" t="s">
        <v>320</v>
      </c>
      <c r="U10" s="73" t="s">
        <v>198</v>
      </c>
      <c r="V10" s="73" t="s">
        <v>314</v>
      </c>
      <c r="W10" s="73" t="s">
        <v>315</v>
      </c>
      <c r="X10" s="73" t="s">
        <v>316</v>
      </c>
      <c r="Y10" s="73" t="s">
        <v>317</v>
      </c>
      <c r="Z10" s="75" t="s">
        <v>447</v>
      </c>
      <c r="AA10" s="75" t="s">
        <v>321</v>
      </c>
    </row>
    <row r="11" spans="2:27">
      <c r="B11" s="19" t="s">
        <v>186</v>
      </c>
      <c r="C11" s="19">
        <v>1915</v>
      </c>
      <c r="D11" s="33">
        <v>4.0999999999999996</v>
      </c>
      <c r="E11" s="33">
        <v>4.2</v>
      </c>
      <c r="F11" s="33">
        <v>4.2</v>
      </c>
      <c r="G11" s="33">
        <v>4.2</v>
      </c>
      <c r="H11" s="33">
        <v>4.3</v>
      </c>
      <c r="I11" s="33">
        <v>4.5</v>
      </c>
      <c r="J11" s="33">
        <v>4.5</v>
      </c>
      <c r="K11" s="33">
        <v>4.5</v>
      </c>
      <c r="L11" s="33">
        <v>4.5</v>
      </c>
      <c r="M11" s="33">
        <v>4.7</v>
      </c>
      <c r="N11" s="210">
        <v>4.8</v>
      </c>
      <c r="O11" s="220">
        <v>4.9000000000000004</v>
      </c>
      <c r="P11" s="33">
        <f>AVERAGE(D11:O11)</f>
        <v>4.45</v>
      </c>
      <c r="Q11" s="56"/>
      <c r="R11" s="56"/>
      <c r="S11" s="67" t="s">
        <v>100</v>
      </c>
      <c r="T11" s="68">
        <f>(SUM(G11:O11)+SUM(D12:F12))/12</f>
        <v>4.6416666666666666</v>
      </c>
      <c r="U11" s="69"/>
      <c r="V11" s="231">
        <f t="shared" ref="V11:V74" si="0">T11</f>
        <v>4.6416666666666666</v>
      </c>
      <c r="X11" s="33">
        <f>T11</f>
        <v>4.6416666666666666</v>
      </c>
      <c r="Z11" s="33">
        <f>T11</f>
        <v>4.6416666666666666</v>
      </c>
    </row>
    <row r="12" spans="2:27">
      <c r="B12" s="19" t="s">
        <v>186</v>
      </c>
      <c r="C12" s="19">
        <v>1916</v>
      </c>
      <c r="D12" s="33">
        <v>4.9000000000000004</v>
      </c>
      <c r="E12" s="33">
        <v>4.9000000000000004</v>
      </c>
      <c r="F12" s="33">
        <v>5</v>
      </c>
      <c r="G12" s="33">
        <v>5</v>
      </c>
      <c r="H12" s="33">
        <v>5.0999999999999996</v>
      </c>
      <c r="I12" s="33">
        <v>5.2</v>
      </c>
      <c r="J12" s="33">
        <v>5.3</v>
      </c>
      <c r="K12" s="33">
        <v>5.3</v>
      </c>
      <c r="L12" s="33">
        <v>5.4</v>
      </c>
      <c r="M12" s="33">
        <v>5.5</v>
      </c>
      <c r="N12" s="210">
        <v>5.8</v>
      </c>
      <c r="O12" s="220">
        <v>6</v>
      </c>
      <c r="P12" s="33">
        <f>AVERAGE(D12:O12)</f>
        <v>5.2833333333333323</v>
      </c>
      <c r="Q12" s="31">
        <f>(P12/P11)-1</f>
        <v>0.18726591760299605</v>
      </c>
      <c r="R12" s="31"/>
      <c r="S12" s="67" t="s">
        <v>101</v>
      </c>
      <c r="T12" s="68">
        <f>(SUM(G12:O12)+SUM(D13:F13))/12</f>
        <v>5.5583333333333336</v>
      </c>
      <c r="U12" s="70">
        <f>(T12/T11)-1</f>
        <v>0.19748653500897673</v>
      </c>
      <c r="V12" s="231">
        <f t="shared" si="0"/>
        <v>5.5583333333333336</v>
      </c>
      <c r="W12" s="56">
        <f>U12</f>
        <v>0.19748653500897673</v>
      </c>
      <c r="X12" s="33">
        <f>T12</f>
        <v>5.5583333333333336</v>
      </c>
      <c r="Y12" s="56">
        <f>U12</f>
        <v>0.19748653500897673</v>
      </c>
      <c r="Z12" s="33">
        <f t="shared" ref="Z12:Z75" si="1">T12</f>
        <v>5.5583333333333336</v>
      </c>
      <c r="AA12" s="56">
        <f>U12</f>
        <v>0.19748653500897673</v>
      </c>
    </row>
    <row r="13" spans="2:27">
      <c r="B13" s="19" t="s">
        <v>186</v>
      </c>
      <c r="C13" s="19">
        <v>1917</v>
      </c>
      <c r="D13" s="33">
        <v>6</v>
      </c>
      <c r="E13" s="33">
        <v>6</v>
      </c>
      <c r="F13" s="33">
        <v>6.1</v>
      </c>
      <c r="G13" s="33">
        <v>6.2</v>
      </c>
      <c r="H13" s="33">
        <v>6.3</v>
      </c>
      <c r="I13" s="33">
        <v>6.4</v>
      </c>
      <c r="J13" s="33">
        <v>6.5</v>
      </c>
      <c r="K13" s="33">
        <v>6.5</v>
      </c>
      <c r="L13" s="33">
        <v>6.6</v>
      </c>
      <c r="M13" s="33">
        <v>6.4</v>
      </c>
      <c r="N13" s="210">
        <v>6.7</v>
      </c>
      <c r="O13" s="220">
        <v>6.7</v>
      </c>
      <c r="P13" s="33">
        <f t="shared" ref="P13:P71" si="2">AVERAGE(D13:O13)</f>
        <v>6.3666666666666671</v>
      </c>
      <c r="Q13" s="31">
        <f t="shared" ref="Q13:Q43" si="3">(P13/P12)-1</f>
        <v>0.20504731861198766</v>
      </c>
      <c r="R13" s="31"/>
      <c r="S13" s="67" t="s">
        <v>102</v>
      </c>
      <c r="T13" s="68">
        <f t="shared" ref="T13:T71" si="4">(SUM(G13:O13)+SUM(D14:F14))/12</f>
        <v>6.5750000000000002</v>
      </c>
      <c r="U13" s="70">
        <f t="shared" ref="U13:U72" si="5">(T13/T12)-1</f>
        <v>0.18290854572713644</v>
      </c>
      <c r="V13" s="231">
        <f t="shared" si="0"/>
        <v>6.5750000000000002</v>
      </c>
      <c r="W13" s="56">
        <f t="shared" ref="W13:W76" si="6">U13</f>
        <v>0.18290854572713644</v>
      </c>
      <c r="X13" s="33">
        <f t="shared" ref="X13:X76" si="7">T13</f>
        <v>6.5750000000000002</v>
      </c>
      <c r="Y13" s="56">
        <f t="shared" ref="Y13:Y76" si="8">U13</f>
        <v>0.18290854572713644</v>
      </c>
      <c r="Z13" s="33">
        <f t="shared" si="1"/>
        <v>6.5750000000000002</v>
      </c>
      <c r="AA13" s="56">
        <f t="shared" ref="AA13:AA75" si="9">U13</f>
        <v>0.18290854572713644</v>
      </c>
    </row>
    <row r="14" spans="2:27">
      <c r="B14" s="19" t="s">
        <v>186</v>
      </c>
      <c r="C14" s="19">
        <v>1918</v>
      </c>
      <c r="D14" s="33">
        <v>6.8</v>
      </c>
      <c r="E14" s="33">
        <v>6.9</v>
      </c>
      <c r="F14" s="33">
        <v>6.9</v>
      </c>
      <c r="G14" s="33">
        <v>7</v>
      </c>
      <c r="H14" s="33">
        <v>7.1</v>
      </c>
      <c r="I14" s="33">
        <v>7.2</v>
      </c>
      <c r="J14" s="33">
        <v>7.3</v>
      </c>
      <c r="K14" s="33">
        <v>7.6</v>
      </c>
      <c r="L14" s="33">
        <v>7.6</v>
      </c>
      <c r="M14" s="33">
        <v>7.9</v>
      </c>
      <c r="N14" s="210">
        <v>8</v>
      </c>
      <c r="O14" s="220">
        <v>7.9</v>
      </c>
      <c r="P14" s="33">
        <f t="shared" si="2"/>
        <v>7.3500000000000014</v>
      </c>
      <c r="Q14" s="31">
        <f t="shared" si="3"/>
        <v>0.1544502617801049</v>
      </c>
      <c r="R14" s="31"/>
      <c r="S14" s="67" t="s">
        <v>103</v>
      </c>
      <c r="T14" s="68">
        <f t="shared" si="4"/>
        <v>7.6000000000000014</v>
      </c>
      <c r="U14" s="70">
        <f>(T14/T13)-1</f>
        <v>0.15589353612167312</v>
      </c>
      <c r="V14" s="231">
        <f t="shared" si="0"/>
        <v>7.6000000000000014</v>
      </c>
      <c r="W14" s="56">
        <f t="shared" si="6"/>
        <v>0.15589353612167312</v>
      </c>
      <c r="X14" s="33">
        <f t="shared" si="7"/>
        <v>7.6000000000000014</v>
      </c>
      <c r="Y14" s="56">
        <f t="shared" si="8"/>
        <v>0.15589353612167312</v>
      </c>
      <c r="Z14" s="33">
        <f t="shared" si="1"/>
        <v>7.6000000000000014</v>
      </c>
      <c r="AA14" s="56">
        <f t="shared" si="9"/>
        <v>0.15589353612167312</v>
      </c>
    </row>
    <row r="15" spans="2:27">
      <c r="B15" s="19" t="s">
        <v>186</v>
      </c>
      <c r="C15" s="19">
        <v>1919</v>
      </c>
      <c r="D15" s="33">
        <v>7.9</v>
      </c>
      <c r="E15" s="33">
        <v>7.9</v>
      </c>
      <c r="F15" s="33">
        <v>7.8</v>
      </c>
      <c r="G15" s="33">
        <v>7.6</v>
      </c>
      <c r="H15" s="33">
        <v>7.4</v>
      </c>
      <c r="I15" s="33">
        <v>7.4</v>
      </c>
      <c r="J15" s="33">
        <v>7.5</v>
      </c>
      <c r="K15" s="33">
        <v>7.8</v>
      </c>
      <c r="L15" s="33">
        <v>7.8</v>
      </c>
      <c r="M15" s="33">
        <v>7.9</v>
      </c>
      <c r="N15" s="210">
        <v>8.1</v>
      </c>
      <c r="O15" s="220">
        <v>8.1</v>
      </c>
      <c r="P15" s="33">
        <f t="shared" si="2"/>
        <v>7.7666666666666657</v>
      </c>
      <c r="Q15" s="31">
        <f t="shared" si="3"/>
        <v>5.6689342403627885E-2</v>
      </c>
      <c r="R15" s="31"/>
      <c r="S15" s="67" t="s">
        <v>104</v>
      </c>
      <c r="T15" s="68">
        <f t="shared" si="4"/>
        <v>7.8583333333333334</v>
      </c>
      <c r="U15" s="70">
        <f>(T15/T14)-1</f>
        <v>3.3991228070175294E-2</v>
      </c>
      <c r="V15" s="231">
        <f t="shared" si="0"/>
        <v>7.8583333333333334</v>
      </c>
      <c r="W15" s="56">
        <f t="shared" si="6"/>
        <v>3.3991228070175294E-2</v>
      </c>
      <c r="X15" s="33">
        <f t="shared" si="7"/>
        <v>7.8583333333333334</v>
      </c>
      <c r="Y15" s="56">
        <f t="shared" si="8"/>
        <v>3.3991228070175294E-2</v>
      </c>
      <c r="Z15" s="33">
        <f t="shared" si="1"/>
        <v>7.8583333333333334</v>
      </c>
      <c r="AA15" s="56">
        <f t="shared" si="9"/>
        <v>3.3991228070175294E-2</v>
      </c>
    </row>
    <row r="16" spans="2:27">
      <c r="B16" s="19" t="s">
        <v>186</v>
      </c>
      <c r="C16" s="19">
        <v>1920</v>
      </c>
      <c r="D16" s="33">
        <v>8.1</v>
      </c>
      <c r="E16" s="33">
        <v>8.3000000000000007</v>
      </c>
      <c r="F16" s="33">
        <v>8.3000000000000007</v>
      </c>
      <c r="G16" s="33">
        <v>8.4</v>
      </c>
      <c r="H16" s="33">
        <v>8.6999999999999993</v>
      </c>
      <c r="I16" s="33">
        <v>9</v>
      </c>
      <c r="J16" s="33">
        <v>9.1</v>
      </c>
      <c r="K16" s="33">
        <v>9.1999999999999993</v>
      </c>
      <c r="L16" s="33">
        <v>9.4</v>
      </c>
      <c r="M16" s="33">
        <v>9.5</v>
      </c>
      <c r="N16" s="210">
        <v>10</v>
      </c>
      <c r="O16" s="220">
        <v>9.6999999999999993</v>
      </c>
      <c r="P16" s="33">
        <f t="shared" si="2"/>
        <v>8.9749999999999996</v>
      </c>
      <c r="Q16" s="31">
        <f t="shared" si="3"/>
        <v>0.15557939914163099</v>
      </c>
      <c r="R16" s="31"/>
      <c r="S16" s="67" t="s">
        <v>105</v>
      </c>
      <c r="T16" s="68">
        <f t="shared" si="4"/>
        <v>9.2000000000000011</v>
      </c>
      <c r="U16" s="70">
        <f t="shared" si="5"/>
        <v>0.17073170731707332</v>
      </c>
      <c r="V16" s="231">
        <f t="shared" si="0"/>
        <v>9.2000000000000011</v>
      </c>
      <c r="W16" s="56">
        <f t="shared" si="6"/>
        <v>0.17073170731707332</v>
      </c>
      <c r="X16" s="33">
        <f t="shared" si="7"/>
        <v>9.2000000000000011</v>
      </c>
      <c r="Y16" s="56">
        <f t="shared" si="8"/>
        <v>0.17073170731707332</v>
      </c>
      <c r="Z16" s="33">
        <f t="shared" si="1"/>
        <v>9.2000000000000011</v>
      </c>
      <c r="AA16" s="56">
        <f t="shared" si="9"/>
        <v>0.17073170731707332</v>
      </c>
    </row>
    <row r="17" spans="2:27">
      <c r="B17" s="19" t="s">
        <v>186</v>
      </c>
      <c r="C17" s="19">
        <v>1921</v>
      </c>
      <c r="D17" s="33">
        <v>9.6</v>
      </c>
      <c r="E17" s="33">
        <v>9.1</v>
      </c>
      <c r="F17" s="33">
        <v>8.6999999999999993</v>
      </c>
      <c r="G17" s="33">
        <v>8.4</v>
      </c>
      <c r="H17" s="33">
        <v>8.1999999999999993</v>
      </c>
      <c r="I17" s="33">
        <v>7.9</v>
      </c>
      <c r="J17" s="33">
        <v>7.9</v>
      </c>
      <c r="K17" s="33">
        <v>8</v>
      </c>
      <c r="L17" s="33">
        <v>7.9</v>
      </c>
      <c r="M17" s="33">
        <v>7.6</v>
      </c>
      <c r="N17" s="210">
        <v>7.3</v>
      </c>
      <c r="O17" s="220">
        <v>7.2</v>
      </c>
      <c r="P17" s="33">
        <f t="shared" si="2"/>
        <v>8.15</v>
      </c>
      <c r="Q17" s="31">
        <f t="shared" si="3"/>
        <v>-9.1922005571030585E-2</v>
      </c>
      <c r="R17" s="31"/>
      <c r="S17" s="67" t="s">
        <v>106</v>
      </c>
      <c r="T17" s="68">
        <f t="shared" si="4"/>
        <v>7.5666666666666655</v>
      </c>
      <c r="U17" s="70">
        <f t="shared" si="5"/>
        <v>-0.1775362318840582</v>
      </c>
      <c r="V17" s="231">
        <f t="shared" si="0"/>
        <v>7.5666666666666655</v>
      </c>
      <c r="W17" s="56">
        <f t="shared" si="6"/>
        <v>-0.1775362318840582</v>
      </c>
      <c r="X17" s="33">
        <f t="shared" si="7"/>
        <v>7.5666666666666655</v>
      </c>
      <c r="Y17" s="56">
        <f t="shared" si="8"/>
        <v>-0.1775362318840582</v>
      </c>
      <c r="Z17" s="33">
        <f t="shared" si="1"/>
        <v>7.5666666666666655</v>
      </c>
      <c r="AA17" s="56">
        <f t="shared" si="9"/>
        <v>-0.1775362318840582</v>
      </c>
    </row>
    <row r="18" spans="2:27">
      <c r="B18" s="19" t="s">
        <v>186</v>
      </c>
      <c r="C18" s="19">
        <v>1922</v>
      </c>
      <c r="D18" s="33">
        <v>6.9</v>
      </c>
      <c r="E18" s="33">
        <v>6.8</v>
      </c>
      <c r="F18" s="33">
        <v>6.7</v>
      </c>
      <c r="G18" s="33">
        <v>6.6</v>
      </c>
      <c r="H18" s="33">
        <v>6.5</v>
      </c>
      <c r="I18" s="33">
        <v>6.5</v>
      </c>
      <c r="J18" s="33">
        <v>6.6</v>
      </c>
      <c r="K18" s="33">
        <v>6.5</v>
      </c>
      <c r="L18" s="33">
        <v>6.5</v>
      </c>
      <c r="M18" s="33">
        <v>6.4</v>
      </c>
      <c r="N18" s="210">
        <v>6.5</v>
      </c>
      <c r="O18" s="220">
        <v>6.5</v>
      </c>
      <c r="P18" s="33">
        <f t="shared" si="2"/>
        <v>6.583333333333333</v>
      </c>
      <c r="Q18" s="31">
        <f t="shared" si="3"/>
        <v>-0.1922290388548058</v>
      </c>
      <c r="R18" s="31"/>
      <c r="S18" s="67" t="s">
        <v>107</v>
      </c>
      <c r="T18" s="68">
        <f t="shared" si="4"/>
        <v>6.4833333333333343</v>
      </c>
      <c r="U18" s="70">
        <f t="shared" si="5"/>
        <v>-0.14317180616740066</v>
      </c>
      <c r="V18" s="231">
        <f t="shared" si="0"/>
        <v>6.4833333333333343</v>
      </c>
      <c r="W18" s="56">
        <f t="shared" si="6"/>
        <v>-0.14317180616740066</v>
      </c>
      <c r="X18" s="33">
        <f t="shared" si="7"/>
        <v>6.4833333333333343</v>
      </c>
      <c r="Y18" s="56">
        <f t="shared" si="8"/>
        <v>-0.14317180616740066</v>
      </c>
      <c r="Z18" s="33">
        <f t="shared" si="1"/>
        <v>6.4833333333333343</v>
      </c>
      <c r="AA18" s="56">
        <f t="shared" si="9"/>
        <v>-0.14317180616740066</v>
      </c>
    </row>
    <row r="19" spans="2:27">
      <c r="B19" s="19" t="s">
        <v>186</v>
      </c>
      <c r="C19" s="19">
        <v>1923</v>
      </c>
      <c r="D19" s="33">
        <v>6.4</v>
      </c>
      <c r="E19" s="33">
        <v>6.4</v>
      </c>
      <c r="F19" s="33">
        <v>6.4</v>
      </c>
      <c r="G19" s="33">
        <v>6.3</v>
      </c>
      <c r="H19" s="33">
        <v>6.1</v>
      </c>
      <c r="I19" s="33">
        <v>6.1</v>
      </c>
      <c r="J19" s="33">
        <v>6.1</v>
      </c>
      <c r="K19" s="33">
        <v>6.2</v>
      </c>
      <c r="L19" s="33">
        <v>6.2</v>
      </c>
      <c r="M19" s="33">
        <v>6.3</v>
      </c>
      <c r="N19" s="210">
        <v>6.3</v>
      </c>
      <c r="O19" s="220">
        <v>6.4</v>
      </c>
      <c r="P19" s="33">
        <f t="shared" si="2"/>
        <v>6.2666666666666684</v>
      </c>
      <c r="Q19" s="31">
        <f t="shared" si="3"/>
        <v>-4.8101265822784511E-2</v>
      </c>
      <c r="R19" s="31"/>
      <c r="S19" s="67" t="s">
        <v>108</v>
      </c>
      <c r="T19" s="68">
        <f t="shared" si="4"/>
        <v>6.2749999999999995</v>
      </c>
      <c r="U19" s="70">
        <f t="shared" si="5"/>
        <v>-3.2133676092545249E-2</v>
      </c>
      <c r="V19" s="231">
        <f t="shared" si="0"/>
        <v>6.2749999999999995</v>
      </c>
      <c r="W19" s="56">
        <f t="shared" si="6"/>
        <v>-3.2133676092545249E-2</v>
      </c>
      <c r="X19" s="33">
        <f t="shared" si="7"/>
        <v>6.2749999999999995</v>
      </c>
      <c r="Y19" s="56">
        <f t="shared" si="8"/>
        <v>-3.2133676092545249E-2</v>
      </c>
      <c r="Z19" s="33">
        <f t="shared" si="1"/>
        <v>6.2749999999999995</v>
      </c>
      <c r="AA19" s="56">
        <f t="shared" si="9"/>
        <v>-3.2133676092545249E-2</v>
      </c>
    </row>
    <row r="20" spans="2:27">
      <c r="B20" s="19" t="s">
        <v>186</v>
      </c>
      <c r="C20" s="19">
        <v>1924</v>
      </c>
      <c r="D20" s="33">
        <v>6.4</v>
      </c>
      <c r="E20" s="33">
        <v>6.5</v>
      </c>
      <c r="F20" s="33">
        <v>6.4</v>
      </c>
      <c r="G20" s="33">
        <v>6.2</v>
      </c>
      <c r="H20" s="33">
        <v>6.2</v>
      </c>
      <c r="I20" s="33">
        <v>6.1</v>
      </c>
      <c r="J20" s="33">
        <v>6.1</v>
      </c>
      <c r="K20" s="33">
        <v>6.2</v>
      </c>
      <c r="L20" s="33">
        <v>6.2</v>
      </c>
      <c r="M20" s="33">
        <v>6.4</v>
      </c>
      <c r="N20" s="210">
        <v>6.5</v>
      </c>
      <c r="O20" s="220">
        <v>6.5</v>
      </c>
      <c r="P20" s="33">
        <f t="shared" si="2"/>
        <v>6.3083333333333336</v>
      </c>
      <c r="Q20" s="31">
        <f t="shared" si="3"/>
        <v>6.6489361702124494E-3</v>
      </c>
      <c r="R20" s="31"/>
      <c r="S20" s="67" t="s">
        <v>109</v>
      </c>
      <c r="T20" s="68">
        <f t="shared" si="4"/>
        <v>6.3250000000000002</v>
      </c>
      <c r="U20" s="70">
        <f t="shared" si="5"/>
        <v>7.9681274900400556E-3</v>
      </c>
      <c r="V20" s="231">
        <f t="shared" si="0"/>
        <v>6.3250000000000002</v>
      </c>
      <c r="W20" s="56">
        <f t="shared" si="6"/>
        <v>7.9681274900400556E-3</v>
      </c>
      <c r="X20" s="33">
        <f t="shared" si="7"/>
        <v>6.3250000000000002</v>
      </c>
      <c r="Y20" s="56">
        <f t="shared" si="8"/>
        <v>7.9681274900400556E-3</v>
      </c>
      <c r="Z20" s="33">
        <f t="shared" si="1"/>
        <v>6.3250000000000002</v>
      </c>
      <c r="AA20" s="56">
        <f t="shared" si="9"/>
        <v>7.9681274900400556E-3</v>
      </c>
    </row>
    <row r="21" spans="2:27">
      <c r="B21" s="19" t="s">
        <v>186</v>
      </c>
      <c r="C21" s="19">
        <v>1925</v>
      </c>
      <c r="D21" s="33">
        <v>6.5</v>
      </c>
      <c r="E21" s="33">
        <v>6.5</v>
      </c>
      <c r="F21" s="33">
        <v>6.5</v>
      </c>
      <c r="G21" s="33">
        <v>6.3</v>
      </c>
      <c r="H21" s="33">
        <v>6.2</v>
      </c>
      <c r="I21" s="33">
        <v>6.2</v>
      </c>
      <c r="J21" s="33">
        <v>6.2</v>
      </c>
      <c r="K21" s="33">
        <v>6.2</v>
      </c>
      <c r="L21" s="33">
        <v>6.3</v>
      </c>
      <c r="M21" s="33">
        <v>6.4</v>
      </c>
      <c r="N21" s="210">
        <v>6.4</v>
      </c>
      <c r="O21" s="220">
        <v>6.4</v>
      </c>
      <c r="P21" s="33">
        <f t="shared" si="2"/>
        <v>6.3416666666666677</v>
      </c>
      <c r="Q21" s="31">
        <f t="shared" si="3"/>
        <v>5.2840158520477409E-3</v>
      </c>
      <c r="R21" s="31"/>
      <c r="S21" s="67" t="s">
        <v>110</v>
      </c>
      <c r="T21" s="68">
        <f t="shared" si="4"/>
        <v>6.2749999999999995</v>
      </c>
      <c r="U21" s="70">
        <f t="shared" si="5"/>
        <v>-7.905138339921014E-3</v>
      </c>
      <c r="V21" s="231">
        <f t="shared" si="0"/>
        <v>6.2749999999999995</v>
      </c>
      <c r="W21" s="56">
        <f t="shared" si="6"/>
        <v>-7.905138339921014E-3</v>
      </c>
      <c r="X21" s="33">
        <f t="shared" si="7"/>
        <v>6.2749999999999995</v>
      </c>
      <c r="Y21" s="56">
        <f t="shared" si="8"/>
        <v>-7.905138339921014E-3</v>
      </c>
      <c r="Z21" s="33">
        <f t="shared" si="1"/>
        <v>6.2749999999999995</v>
      </c>
      <c r="AA21" s="56">
        <f t="shared" si="9"/>
        <v>-7.905138339921014E-3</v>
      </c>
    </row>
    <row r="22" spans="2:27">
      <c r="B22" s="19" t="s">
        <v>186</v>
      </c>
      <c r="C22" s="19">
        <v>1926</v>
      </c>
      <c r="D22" s="33">
        <v>6.3</v>
      </c>
      <c r="E22" s="33">
        <v>6.2</v>
      </c>
      <c r="F22" s="33">
        <v>6.2</v>
      </c>
      <c r="G22" s="33">
        <v>6.1</v>
      </c>
      <c r="H22" s="33">
        <v>6</v>
      </c>
      <c r="I22" s="33">
        <v>6.1</v>
      </c>
      <c r="J22" s="33">
        <v>6.1</v>
      </c>
      <c r="K22" s="33">
        <v>6.1</v>
      </c>
      <c r="L22" s="33">
        <v>6.2</v>
      </c>
      <c r="M22" s="33">
        <v>6.3</v>
      </c>
      <c r="N22" s="210">
        <v>6.5</v>
      </c>
      <c r="O22" s="220">
        <v>6.5</v>
      </c>
      <c r="P22" s="33">
        <f t="shared" si="2"/>
        <v>6.2166666666666659</v>
      </c>
      <c r="Q22" s="31">
        <f t="shared" si="3"/>
        <v>-1.9710906701708608E-2</v>
      </c>
      <c r="R22" s="31"/>
      <c r="S22" s="67" t="s">
        <v>111</v>
      </c>
      <c r="T22" s="68">
        <f t="shared" si="4"/>
        <v>6.2166666666666659</v>
      </c>
      <c r="U22" s="70">
        <f t="shared" si="5"/>
        <v>-9.2961487383798058E-3</v>
      </c>
      <c r="V22" s="231">
        <f t="shared" si="0"/>
        <v>6.2166666666666659</v>
      </c>
      <c r="W22" s="56">
        <f t="shared" si="6"/>
        <v>-9.2961487383798058E-3</v>
      </c>
      <c r="X22" s="33">
        <f t="shared" si="7"/>
        <v>6.2166666666666659</v>
      </c>
      <c r="Y22" s="56">
        <f t="shared" si="8"/>
        <v>-9.2961487383798058E-3</v>
      </c>
      <c r="Z22" s="33">
        <f t="shared" si="1"/>
        <v>6.2166666666666659</v>
      </c>
      <c r="AA22" s="56">
        <f t="shared" si="9"/>
        <v>-9.2961487383798058E-3</v>
      </c>
    </row>
    <row r="23" spans="2:27">
      <c r="B23" s="19" t="s">
        <v>186</v>
      </c>
      <c r="C23" s="19">
        <v>1927</v>
      </c>
      <c r="D23" s="33">
        <v>6.3</v>
      </c>
      <c r="E23" s="33">
        <v>6.2</v>
      </c>
      <c r="F23" s="33">
        <v>6.2</v>
      </c>
      <c r="G23" s="33">
        <v>6</v>
      </c>
      <c r="H23" s="33">
        <v>5.9</v>
      </c>
      <c r="I23" s="33">
        <v>5.9</v>
      </c>
      <c r="J23" s="33">
        <v>6</v>
      </c>
      <c r="K23" s="33">
        <v>5.9</v>
      </c>
      <c r="L23" s="33">
        <v>6</v>
      </c>
      <c r="M23" s="33">
        <v>6</v>
      </c>
      <c r="N23" s="210">
        <v>6.1</v>
      </c>
      <c r="O23" s="220">
        <v>6.1</v>
      </c>
      <c r="P23" s="33">
        <f t="shared" si="2"/>
        <v>6.05</v>
      </c>
      <c r="Q23" s="31">
        <f t="shared" si="3"/>
        <v>-2.6809651474530738E-2</v>
      </c>
      <c r="R23" s="31"/>
      <c r="S23" s="67" t="s">
        <v>112</v>
      </c>
      <c r="T23" s="68">
        <f t="shared" si="4"/>
        <v>5.9916666666666671</v>
      </c>
      <c r="U23" s="70">
        <f t="shared" si="5"/>
        <v>-3.6193029490616424E-2</v>
      </c>
      <c r="V23" s="231">
        <f t="shared" si="0"/>
        <v>5.9916666666666671</v>
      </c>
      <c r="W23" s="56">
        <f t="shared" si="6"/>
        <v>-3.6193029490616424E-2</v>
      </c>
      <c r="X23" s="33">
        <f t="shared" si="7"/>
        <v>5.9916666666666671</v>
      </c>
      <c r="Y23" s="56">
        <f t="shared" si="8"/>
        <v>-3.6193029490616424E-2</v>
      </c>
      <c r="Z23" s="33">
        <f t="shared" si="1"/>
        <v>5.9916666666666671</v>
      </c>
      <c r="AA23" s="56">
        <f t="shared" si="9"/>
        <v>-3.6193029490616424E-2</v>
      </c>
    </row>
    <row r="24" spans="2:27">
      <c r="B24" s="19" t="s">
        <v>186</v>
      </c>
      <c r="C24" s="19">
        <v>1928</v>
      </c>
      <c r="D24" s="33">
        <v>6.1</v>
      </c>
      <c r="E24" s="33">
        <v>6</v>
      </c>
      <c r="F24" s="33">
        <v>5.9</v>
      </c>
      <c r="G24" s="33">
        <v>5.9</v>
      </c>
      <c r="H24" s="33">
        <v>5.9</v>
      </c>
      <c r="I24" s="33">
        <v>6</v>
      </c>
      <c r="J24" s="33">
        <v>6</v>
      </c>
      <c r="K24" s="33">
        <v>6</v>
      </c>
      <c r="L24" s="33">
        <v>6</v>
      </c>
      <c r="M24" s="33">
        <v>6</v>
      </c>
      <c r="N24" s="210">
        <v>6</v>
      </c>
      <c r="O24" s="220">
        <v>6.1</v>
      </c>
      <c r="P24" s="33">
        <f t="shared" si="2"/>
        <v>5.9916666666666663</v>
      </c>
      <c r="Q24" s="31">
        <f t="shared" si="3"/>
        <v>-9.6418732782369565E-3</v>
      </c>
      <c r="R24" s="31"/>
      <c r="S24" s="67" t="s">
        <v>113</v>
      </c>
      <c r="T24" s="68">
        <f t="shared" si="4"/>
        <v>5.9916666666666671</v>
      </c>
      <c r="U24" s="70">
        <f t="shared" si="5"/>
        <v>0</v>
      </c>
      <c r="V24" s="231">
        <f t="shared" si="0"/>
        <v>5.9916666666666671</v>
      </c>
      <c r="W24" s="56">
        <f t="shared" si="6"/>
        <v>0</v>
      </c>
      <c r="X24" s="33">
        <f t="shared" si="7"/>
        <v>5.9916666666666671</v>
      </c>
      <c r="Y24" s="56">
        <f t="shared" si="8"/>
        <v>0</v>
      </c>
      <c r="Z24" s="33">
        <f t="shared" si="1"/>
        <v>5.9916666666666671</v>
      </c>
      <c r="AA24" s="56">
        <f t="shared" si="9"/>
        <v>0</v>
      </c>
    </row>
    <row r="25" spans="2:27">
      <c r="B25" s="19" t="s">
        <v>186</v>
      </c>
      <c r="C25" s="19">
        <v>1929</v>
      </c>
      <c r="D25" s="33">
        <v>6</v>
      </c>
      <c r="E25" s="33">
        <v>6</v>
      </c>
      <c r="F25" s="33">
        <v>6</v>
      </c>
      <c r="G25" s="33">
        <v>5.9</v>
      </c>
      <c r="H25" s="33">
        <v>5.8</v>
      </c>
      <c r="I25" s="33">
        <v>5.8</v>
      </c>
      <c r="J25" s="33">
        <v>5.8</v>
      </c>
      <c r="K25" s="33">
        <v>5.9</v>
      </c>
      <c r="L25" s="33">
        <v>5.9</v>
      </c>
      <c r="M25" s="33">
        <v>6</v>
      </c>
      <c r="N25" s="210">
        <v>6</v>
      </c>
      <c r="O25" s="220">
        <v>6</v>
      </c>
      <c r="P25" s="33">
        <f t="shared" si="2"/>
        <v>5.9249999999999998</v>
      </c>
      <c r="Q25" s="31">
        <f t="shared" si="3"/>
        <v>-1.1126564673157091E-2</v>
      </c>
      <c r="R25" s="31"/>
      <c r="S25" s="67" t="s">
        <v>114</v>
      </c>
      <c r="T25" s="68">
        <f>(SUM(G25:O25)+SUM(D26:F26))/12</f>
        <v>5.8999999999999995</v>
      </c>
      <c r="U25" s="70">
        <f t="shared" si="5"/>
        <v>-1.5299026425591222E-2</v>
      </c>
      <c r="V25" s="231">
        <f t="shared" si="0"/>
        <v>5.8999999999999995</v>
      </c>
      <c r="W25" s="56">
        <f t="shared" si="6"/>
        <v>-1.5299026425591222E-2</v>
      </c>
      <c r="X25" s="33">
        <f t="shared" si="7"/>
        <v>5.8999999999999995</v>
      </c>
      <c r="Y25" s="56">
        <f t="shared" si="8"/>
        <v>-1.5299026425591222E-2</v>
      </c>
      <c r="Z25" s="33">
        <f t="shared" si="1"/>
        <v>5.8999999999999995</v>
      </c>
      <c r="AA25" s="56">
        <f t="shared" si="9"/>
        <v>-1.5299026425591222E-2</v>
      </c>
    </row>
    <row r="26" spans="2:27">
      <c r="B26" s="19" t="s">
        <v>186</v>
      </c>
      <c r="C26" s="19">
        <v>1930</v>
      </c>
      <c r="D26" s="33">
        <v>6</v>
      </c>
      <c r="E26" s="33">
        <v>5.9</v>
      </c>
      <c r="F26" s="33">
        <v>5.8</v>
      </c>
      <c r="G26" s="33">
        <v>5.7</v>
      </c>
      <c r="H26" s="33">
        <v>5.6</v>
      </c>
      <c r="I26" s="33">
        <v>5.6</v>
      </c>
      <c r="J26" s="33">
        <v>5.6</v>
      </c>
      <c r="K26" s="33">
        <v>5.7</v>
      </c>
      <c r="L26" s="33">
        <v>5.7</v>
      </c>
      <c r="M26" s="33">
        <v>5.6</v>
      </c>
      <c r="N26" s="210">
        <v>5.7</v>
      </c>
      <c r="O26" s="220">
        <v>5.6</v>
      </c>
      <c r="P26" s="33">
        <f t="shared" si="2"/>
        <v>5.7083333333333348</v>
      </c>
      <c r="Q26" s="31">
        <f t="shared" si="3"/>
        <v>-3.6568213783403358E-2</v>
      </c>
      <c r="R26" s="31"/>
      <c r="S26" s="67" t="s">
        <v>115</v>
      </c>
      <c r="T26" s="68">
        <f t="shared" si="4"/>
        <v>5.6000000000000005</v>
      </c>
      <c r="U26" s="70">
        <f t="shared" si="5"/>
        <v>-5.0847457627118509E-2</v>
      </c>
      <c r="V26" s="231">
        <f t="shared" si="0"/>
        <v>5.6000000000000005</v>
      </c>
      <c r="W26" s="56">
        <f t="shared" si="6"/>
        <v>-5.0847457627118509E-2</v>
      </c>
      <c r="X26" s="33">
        <f t="shared" si="7"/>
        <v>5.6000000000000005</v>
      </c>
      <c r="Y26" s="56">
        <f t="shared" si="8"/>
        <v>-5.0847457627118509E-2</v>
      </c>
      <c r="Z26" s="33">
        <f t="shared" si="1"/>
        <v>5.6000000000000005</v>
      </c>
      <c r="AA26" s="56">
        <f t="shared" si="9"/>
        <v>-5.0847457627118509E-2</v>
      </c>
    </row>
    <row r="27" spans="2:27">
      <c r="B27" s="19" t="s">
        <v>186</v>
      </c>
      <c r="C27" s="19">
        <v>1931</v>
      </c>
      <c r="D27" s="33">
        <v>5.5</v>
      </c>
      <c r="E27" s="33">
        <v>5.5</v>
      </c>
      <c r="F27" s="33">
        <v>5.4</v>
      </c>
      <c r="G27" s="33">
        <v>5.3</v>
      </c>
      <c r="H27" s="33">
        <v>5.3</v>
      </c>
      <c r="I27" s="33">
        <v>5.2</v>
      </c>
      <c r="J27" s="33">
        <v>5.3</v>
      </c>
      <c r="K27" s="33">
        <v>5.2</v>
      </c>
      <c r="L27" s="33">
        <v>5.2</v>
      </c>
      <c r="M27" s="33">
        <v>5.2</v>
      </c>
      <c r="N27" s="210">
        <v>5.3</v>
      </c>
      <c r="O27" s="220">
        <v>5.3</v>
      </c>
      <c r="P27" s="33">
        <f t="shared" si="2"/>
        <v>5.3083333333333336</v>
      </c>
      <c r="Q27" s="31">
        <f t="shared" si="3"/>
        <v>-7.0072992700730086E-2</v>
      </c>
      <c r="R27" s="31"/>
      <c r="S27" s="67" t="s">
        <v>116</v>
      </c>
      <c r="T27" s="68">
        <f t="shared" si="4"/>
        <v>5.2666666666666666</v>
      </c>
      <c r="U27" s="70">
        <f t="shared" si="5"/>
        <v>-5.9523809523809645E-2</v>
      </c>
      <c r="V27" s="231">
        <f t="shared" si="0"/>
        <v>5.2666666666666666</v>
      </c>
      <c r="W27" s="56">
        <f t="shared" si="6"/>
        <v>-5.9523809523809645E-2</v>
      </c>
      <c r="X27" s="33">
        <f t="shared" si="7"/>
        <v>5.2666666666666666</v>
      </c>
      <c r="Y27" s="56">
        <f t="shared" si="8"/>
        <v>-5.9523809523809645E-2</v>
      </c>
      <c r="Z27" s="33">
        <f t="shared" si="1"/>
        <v>5.2666666666666666</v>
      </c>
      <c r="AA27" s="56">
        <f t="shared" si="9"/>
        <v>-5.9523809523809645E-2</v>
      </c>
    </row>
    <row r="28" spans="2:27">
      <c r="B28" s="19" t="s">
        <v>186</v>
      </c>
      <c r="C28" s="19">
        <v>1932</v>
      </c>
      <c r="D28" s="33">
        <v>5.3</v>
      </c>
      <c r="E28" s="33">
        <v>5.3</v>
      </c>
      <c r="F28" s="33">
        <v>5.3</v>
      </c>
      <c r="G28" s="33">
        <v>5.2</v>
      </c>
      <c r="H28" s="33">
        <v>5.2</v>
      </c>
      <c r="I28" s="33">
        <v>5.0999999999999996</v>
      </c>
      <c r="J28" s="33">
        <v>5.2</v>
      </c>
      <c r="K28" s="33">
        <v>5.0999999999999996</v>
      </c>
      <c r="L28" s="33">
        <v>5.0999999999999996</v>
      </c>
      <c r="M28" s="33">
        <v>5.2</v>
      </c>
      <c r="N28" s="210">
        <v>5.2</v>
      </c>
      <c r="O28" s="220">
        <v>5.2</v>
      </c>
      <c r="P28" s="33">
        <f t="shared" si="2"/>
        <v>5.2000000000000011</v>
      </c>
      <c r="Q28" s="31">
        <f t="shared" si="3"/>
        <v>-2.0408163265305923E-2</v>
      </c>
      <c r="R28" s="31"/>
      <c r="S28" s="67" t="s">
        <v>117</v>
      </c>
      <c r="T28" s="68">
        <f t="shared" si="4"/>
        <v>5.1416666666666666</v>
      </c>
      <c r="U28" s="70">
        <f t="shared" si="5"/>
        <v>-2.3734177215189889E-2</v>
      </c>
      <c r="V28" s="231">
        <f t="shared" si="0"/>
        <v>5.1416666666666666</v>
      </c>
      <c r="W28" s="56">
        <f t="shared" si="6"/>
        <v>-2.3734177215189889E-2</v>
      </c>
      <c r="X28" s="33">
        <f t="shared" si="7"/>
        <v>5.1416666666666666</v>
      </c>
      <c r="Y28" s="56">
        <f t="shared" si="8"/>
        <v>-2.3734177215189889E-2</v>
      </c>
      <c r="Z28" s="33">
        <f t="shared" si="1"/>
        <v>5.1416666666666666</v>
      </c>
      <c r="AA28" s="56">
        <f t="shared" si="9"/>
        <v>-2.3734177215189889E-2</v>
      </c>
    </row>
    <row r="29" spans="2:27">
      <c r="B29" s="19" t="s">
        <v>186</v>
      </c>
      <c r="C29" s="19">
        <v>1933</v>
      </c>
      <c r="D29" s="33">
        <v>5.0999999999999996</v>
      </c>
      <c r="E29" s="33">
        <v>5.0999999999999996</v>
      </c>
      <c r="F29" s="33">
        <v>5</v>
      </c>
      <c r="G29" s="33">
        <v>4.9000000000000004</v>
      </c>
      <c r="H29" s="33">
        <v>4.9000000000000004</v>
      </c>
      <c r="I29" s="33">
        <v>4.9000000000000004</v>
      </c>
      <c r="J29" s="33">
        <v>5</v>
      </c>
      <c r="K29" s="33">
        <v>5</v>
      </c>
      <c r="L29" s="33">
        <v>5.0999999999999996</v>
      </c>
      <c r="M29" s="33">
        <v>5.0999999999999996</v>
      </c>
      <c r="N29" s="210">
        <v>5.2</v>
      </c>
      <c r="O29" s="220">
        <v>5.2</v>
      </c>
      <c r="P29" s="33">
        <f t="shared" si="2"/>
        <v>5.041666666666667</v>
      </c>
      <c r="Q29" s="31">
        <f t="shared" si="3"/>
        <v>-3.0448717948718063E-2</v>
      </c>
      <c r="R29" s="31"/>
      <c r="S29" s="67" t="s">
        <v>118</v>
      </c>
      <c r="T29" s="68">
        <f t="shared" si="4"/>
        <v>5.0500000000000007</v>
      </c>
      <c r="U29" s="70">
        <f t="shared" si="5"/>
        <v>-1.7828200972447195E-2</v>
      </c>
      <c r="V29" s="231">
        <f t="shared" si="0"/>
        <v>5.0500000000000007</v>
      </c>
      <c r="W29" s="56">
        <f t="shared" si="6"/>
        <v>-1.7828200972447195E-2</v>
      </c>
      <c r="X29" s="33">
        <f t="shared" si="7"/>
        <v>5.0500000000000007</v>
      </c>
      <c r="Y29" s="56">
        <f t="shared" si="8"/>
        <v>-1.7828200972447195E-2</v>
      </c>
      <c r="Z29" s="33">
        <f t="shared" si="1"/>
        <v>5.0500000000000007</v>
      </c>
      <c r="AA29" s="56">
        <f t="shared" si="9"/>
        <v>-1.7828200972447195E-2</v>
      </c>
    </row>
    <row r="30" spans="2:27">
      <c r="B30" s="19" t="s">
        <v>186</v>
      </c>
      <c r="C30" s="19">
        <v>1934</v>
      </c>
      <c r="D30" s="33">
        <v>5.0999999999999996</v>
      </c>
      <c r="E30" s="33">
        <v>5.0999999999999996</v>
      </c>
      <c r="F30" s="33">
        <v>5.0999999999999996</v>
      </c>
      <c r="G30" s="33">
        <v>5</v>
      </c>
      <c r="H30" s="33">
        <v>4.9000000000000004</v>
      </c>
      <c r="I30" s="33">
        <v>5</v>
      </c>
      <c r="J30" s="33">
        <v>5.0999999999999996</v>
      </c>
      <c r="K30" s="33">
        <v>5.0999999999999996</v>
      </c>
      <c r="L30" s="33">
        <v>5.2</v>
      </c>
      <c r="M30" s="33">
        <v>5.2</v>
      </c>
      <c r="N30" s="210">
        <v>5.2</v>
      </c>
      <c r="O30" s="220">
        <v>5.2</v>
      </c>
      <c r="P30" s="33">
        <f t="shared" si="2"/>
        <v>5.1000000000000005</v>
      </c>
      <c r="Q30" s="31">
        <f t="shared" si="3"/>
        <v>1.1570247933884392E-2</v>
      </c>
      <c r="R30" s="31"/>
      <c r="S30" s="67" t="s">
        <v>119</v>
      </c>
      <c r="T30" s="68">
        <f t="shared" si="4"/>
        <v>5.1083333333333334</v>
      </c>
      <c r="U30" s="70">
        <f t="shared" si="5"/>
        <v>1.1551155115511413E-2</v>
      </c>
      <c r="V30" s="231">
        <f t="shared" si="0"/>
        <v>5.1083333333333334</v>
      </c>
      <c r="W30" s="56">
        <f t="shared" si="6"/>
        <v>1.1551155115511413E-2</v>
      </c>
      <c r="X30" s="33">
        <f t="shared" si="7"/>
        <v>5.1083333333333334</v>
      </c>
      <c r="Y30" s="56">
        <f t="shared" si="8"/>
        <v>1.1551155115511413E-2</v>
      </c>
      <c r="Z30" s="33">
        <f t="shared" si="1"/>
        <v>5.1083333333333334</v>
      </c>
      <c r="AA30" s="56">
        <f t="shared" si="9"/>
        <v>1.1551155115511413E-2</v>
      </c>
    </row>
    <row r="31" spans="2:27">
      <c r="B31" s="19" t="s">
        <v>186</v>
      </c>
      <c r="C31" s="19">
        <v>1935</v>
      </c>
      <c r="D31" s="33">
        <v>5.2</v>
      </c>
      <c r="E31" s="33">
        <v>5.0999999999999996</v>
      </c>
      <c r="F31" s="33">
        <v>5.0999999999999996</v>
      </c>
      <c r="G31" s="33">
        <v>5</v>
      </c>
      <c r="H31" s="33">
        <v>5</v>
      </c>
      <c r="I31" s="33">
        <v>5.0999999999999996</v>
      </c>
      <c r="J31" s="33">
        <v>5.2</v>
      </c>
      <c r="K31" s="33">
        <v>5.2</v>
      </c>
      <c r="L31" s="33">
        <v>5.2</v>
      </c>
      <c r="M31" s="33">
        <v>5.2</v>
      </c>
      <c r="N31" s="210">
        <v>5.3</v>
      </c>
      <c r="O31" s="220">
        <v>5.3</v>
      </c>
      <c r="P31" s="33">
        <f t="shared" si="2"/>
        <v>5.1583333333333341</v>
      </c>
      <c r="Q31" s="31">
        <f t="shared" si="3"/>
        <v>1.1437908496731986E-2</v>
      </c>
      <c r="R31" s="31"/>
      <c r="S31" s="67" t="s">
        <v>120</v>
      </c>
      <c r="T31" s="68">
        <f t="shared" si="4"/>
        <v>5.1999999999999993</v>
      </c>
      <c r="U31" s="70">
        <f t="shared" si="5"/>
        <v>1.7944535073409318E-2</v>
      </c>
      <c r="V31" s="231">
        <f t="shared" si="0"/>
        <v>5.1999999999999993</v>
      </c>
      <c r="W31" s="56">
        <f t="shared" si="6"/>
        <v>1.7944535073409318E-2</v>
      </c>
      <c r="X31" s="33">
        <f t="shared" si="7"/>
        <v>5.1999999999999993</v>
      </c>
      <c r="Y31" s="56">
        <f t="shared" si="8"/>
        <v>1.7944535073409318E-2</v>
      </c>
      <c r="Z31" s="33">
        <f t="shared" si="1"/>
        <v>5.1999999999999993</v>
      </c>
      <c r="AA31" s="56">
        <f t="shared" si="9"/>
        <v>1.7944535073409318E-2</v>
      </c>
    </row>
    <row r="32" spans="2:27">
      <c r="B32" s="19" t="s">
        <v>186</v>
      </c>
      <c r="C32" s="19">
        <v>1936</v>
      </c>
      <c r="D32" s="33">
        <v>5.3</v>
      </c>
      <c r="E32" s="33">
        <v>5.3</v>
      </c>
      <c r="F32" s="33">
        <v>5.3</v>
      </c>
      <c r="G32" s="33">
        <v>5.2</v>
      </c>
      <c r="H32" s="33">
        <v>5.2</v>
      </c>
      <c r="I32" s="33">
        <v>5.2</v>
      </c>
      <c r="J32" s="33">
        <v>5.3</v>
      </c>
      <c r="K32" s="33">
        <v>5.3</v>
      </c>
      <c r="L32" s="33">
        <v>5.3</v>
      </c>
      <c r="M32" s="33">
        <v>5.3</v>
      </c>
      <c r="N32" s="210">
        <v>5.5</v>
      </c>
      <c r="O32" s="220">
        <v>5.5</v>
      </c>
      <c r="P32" s="33">
        <f t="shared" si="2"/>
        <v>5.3083333333333327</v>
      </c>
      <c r="Q32" s="31">
        <f t="shared" si="3"/>
        <v>2.9079159935379462E-2</v>
      </c>
      <c r="R32" s="31"/>
      <c r="S32" s="67" t="s">
        <v>121</v>
      </c>
      <c r="T32" s="68">
        <f t="shared" si="4"/>
        <v>5.3583333333333343</v>
      </c>
      <c r="U32" s="70">
        <f t="shared" si="5"/>
        <v>3.0448717948718285E-2</v>
      </c>
      <c r="V32" s="231">
        <f t="shared" si="0"/>
        <v>5.3583333333333343</v>
      </c>
      <c r="W32" s="56">
        <f t="shared" si="6"/>
        <v>3.0448717948718285E-2</v>
      </c>
      <c r="X32" s="33">
        <f t="shared" si="7"/>
        <v>5.3583333333333343</v>
      </c>
      <c r="Y32" s="56">
        <f t="shared" si="8"/>
        <v>3.0448717948718285E-2</v>
      </c>
      <c r="Z32" s="33">
        <f t="shared" si="1"/>
        <v>5.3583333333333343</v>
      </c>
      <c r="AA32" s="56">
        <f t="shared" si="9"/>
        <v>3.0448717948718285E-2</v>
      </c>
    </row>
    <row r="33" spans="2:27">
      <c r="B33" s="19" t="s">
        <v>186</v>
      </c>
      <c r="C33" s="19">
        <v>1937</v>
      </c>
      <c r="D33" s="33">
        <v>5.5</v>
      </c>
      <c r="E33" s="33">
        <v>5.5</v>
      </c>
      <c r="F33" s="33">
        <v>5.5</v>
      </c>
      <c r="G33" s="33">
        <v>5.5</v>
      </c>
      <c r="H33" s="33">
        <v>5.5</v>
      </c>
      <c r="I33" s="33">
        <v>5.5</v>
      </c>
      <c r="J33" s="33">
        <v>5.6</v>
      </c>
      <c r="K33" s="33">
        <v>5.6</v>
      </c>
      <c r="L33" s="33">
        <v>5.6</v>
      </c>
      <c r="M33" s="33">
        <v>5.7</v>
      </c>
      <c r="N33" s="210">
        <v>5.8</v>
      </c>
      <c r="O33" s="220">
        <v>5.8</v>
      </c>
      <c r="P33" s="33">
        <f t="shared" si="2"/>
        <v>5.5916666666666677</v>
      </c>
      <c r="Q33" s="31">
        <f t="shared" si="3"/>
        <v>5.3375196232339439E-2</v>
      </c>
      <c r="R33" s="31"/>
      <c r="S33" s="67" t="s">
        <v>122</v>
      </c>
      <c r="T33" s="68">
        <f t="shared" si="4"/>
        <v>5.6333333333333329</v>
      </c>
      <c r="U33" s="70">
        <f t="shared" si="5"/>
        <v>5.1321928460341892E-2</v>
      </c>
      <c r="V33" s="231">
        <f t="shared" si="0"/>
        <v>5.6333333333333329</v>
      </c>
      <c r="W33" s="56">
        <f t="shared" si="6"/>
        <v>5.1321928460341892E-2</v>
      </c>
      <c r="X33" s="33">
        <f t="shared" si="7"/>
        <v>5.6333333333333329</v>
      </c>
      <c r="Y33" s="56">
        <f t="shared" si="8"/>
        <v>5.1321928460341892E-2</v>
      </c>
      <c r="Z33" s="33">
        <f t="shared" si="1"/>
        <v>5.6333333333333329</v>
      </c>
      <c r="AA33" s="56">
        <f t="shared" si="9"/>
        <v>5.1321928460341892E-2</v>
      </c>
    </row>
    <row r="34" spans="2:27">
      <c r="B34" s="19" t="s">
        <v>186</v>
      </c>
      <c r="C34" s="19">
        <v>1938</v>
      </c>
      <c r="D34" s="33">
        <v>5.7</v>
      </c>
      <c r="E34" s="33">
        <v>5.7</v>
      </c>
      <c r="F34" s="33">
        <v>5.6</v>
      </c>
      <c r="G34" s="33">
        <v>5.6</v>
      </c>
      <c r="H34" s="33">
        <v>5.6</v>
      </c>
      <c r="I34" s="33">
        <v>5.6</v>
      </c>
      <c r="J34" s="33">
        <v>5.7</v>
      </c>
      <c r="K34" s="33">
        <v>5.6</v>
      </c>
      <c r="L34" s="33">
        <v>5.6</v>
      </c>
      <c r="M34" s="33">
        <v>5.6</v>
      </c>
      <c r="N34" s="210">
        <v>5.6</v>
      </c>
      <c r="O34" s="220">
        <v>5.6</v>
      </c>
      <c r="P34" s="33">
        <f t="shared" si="2"/>
        <v>5.6250000000000009</v>
      </c>
      <c r="Q34" s="31">
        <f t="shared" si="3"/>
        <v>5.9612518628910927E-3</v>
      </c>
      <c r="R34" s="31"/>
      <c r="S34" s="67" t="s">
        <v>123</v>
      </c>
      <c r="T34" s="68">
        <f t="shared" si="4"/>
        <v>5.6000000000000005</v>
      </c>
      <c r="U34" s="70">
        <f t="shared" si="5"/>
        <v>-5.9171597633134176E-3</v>
      </c>
      <c r="V34" s="231">
        <f t="shared" si="0"/>
        <v>5.6000000000000005</v>
      </c>
      <c r="W34" s="56">
        <f t="shared" si="6"/>
        <v>-5.9171597633134176E-3</v>
      </c>
      <c r="X34" s="33">
        <f t="shared" si="7"/>
        <v>5.6000000000000005</v>
      </c>
      <c r="Y34" s="56">
        <f t="shared" si="8"/>
        <v>-5.9171597633134176E-3</v>
      </c>
      <c r="Z34" s="33">
        <f t="shared" si="1"/>
        <v>5.6000000000000005</v>
      </c>
      <c r="AA34" s="56">
        <f t="shared" si="9"/>
        <v>-5.9171597633134176E-3</v>
      </c>
    </row>
    <row r="35" spans="2:27">
      <c r="B35" s="19" t="s">
        <v>186</v>
      </c>
      <c r="C35" s="19">
        <v>1939</v>
      </c>
      <c r="D35" s="33">
        <v>5.6</v>
      </c>
      <c r="E35" s="33">
        <v>5.6</v>
      </c>
      <c r="F35" s="33">
        <v>5.5</v>
      </c>
      <c r="G35" s="33">
        <v>5.5</v>
      </c>
      <c r="H35" s="33">
        <v>5.5</v>
      </c>
      <c r="I35" s="33">
        <v>5.5</v>
      </c>
      <c r="J35" s="33">
        <v>5.6</v>
      </c>
      <c r="K35" s="33">
        <v>5.6</v>
      </c>
      <c r="L35" s="33">
        <v>5.6</v>
      </c>
      <c r="M35" s="33">
        <v>6</v>
      </c>
      <c r="N35" s="210">
        <v>6.1</v>
      </c>
      <c r="O35" s="220">
        <v>6.2</v>
      </c>
      <c r="P35" s="33">
        <f t="shared" si="2"/>
        <v>5.6916666666666673</v>
      </c>
      <c r="Q35" s="31">
        <f t="shared" si="3"/>
        <v>1.185185185185178E-2</v>
      </c>
      <c r="R35" s="31"/>
      <c r="S35" s="67" t="s">
        <v>124</v>
      </c>
      <c r="T35" s="68">
        <f t="shared" si="4"/>
        <v>5.9000000000000012</v>
      </c>
      <c r="U35" s="70">
        <f t="shared" si="5"/>
        <v>5.3571428571428603E-2</v>
      </c>
      <c r="V35" s="231">
        <f t="shared" si="0"/>
        <v>5.9000000000000012</v>
      </c>
      <c r="W35" s="56">
        <f t="shared" si="6"/>
        <v>5.3571428571428603E-2</v>
      </c>
      <c r="X35" s="33">
        <f t="shared" si="7"/>
        <v>5.9000000000000012</v>
      </c>
      <c r="Y35" s="56">
        <f t="shared" si="8"/>
        <v>5.3571428571428603E-2</v>
      </c>
      <c r="Z35" s="33">
        <f t="shared" si="1"/>
        <v>5.9000000000000012</v>
      </c>
      <c r="AA35" s="56">
        <f t="shared" si="9"/>
        <v>5.3571428571428603E-2</v>
      </c>
    </row>
    <row r="36" spans="2:27">
      <c r="B36" s="19" t="s">
        <v>186</v>
      </c>
      <c r="C36" s="19">
        <v>1940</v>
      </c>
      <c r="D36" s="33">
        <v>6.3</v>
      </c>
      <c r="E36" s="33">
        <v>6.4</v>
      </c>
      <c r="F36" s="33">
        <v>6.5</v>
      </c>
      <c r="G36" s="33">
        <v>6.4</v>
      </c>
      <c r="H36" s="33">
        <v>6.5</v>
      </c>
      <c r="I36" s="33">
        <v>6.5</v>
      </c>
      <c r="J36" s="33">
        <v>6.8</v>
      </c>
      <c r="K36" s="33">
        <v>6.7</v>
      </c>
      <c r="L36" s="33">
        <v>6.8</v>
      </c>
      <c r="M36" s="33">
        <v>6.8</v>
      </c>
      <c r="N36" s="210">
        <v>6.9</v>
      </c>
      <c r="O36" s="220">
        <v>7</v>
      </c>
      <c r="P36" s="33">
        <f t="shared" si="2"/>
        <v>6.6333333333333337</v>
      </c>
      <c r="Q36" s="31">
        <f t="shared" si="3"/>
        <v>0.16544655929721808</v>
      </c>
      <c r="R36" s="31"/>
      <c r="S36" s="67" t="s">
        <v>125</v>
      </c>
      <c r="T36" s="68">
        <f t="shared" si="4"/>
        <v>6.8083333333333327</v>
      </c>
      <c r="U36" s="70">
        <f t="shared" si="5"/>
        <v>0.15395480225988667</v>
      </c>
      <c r="V36" s="231">
        <f t="shared" si="0"/>
        <v>6.8083333333333327</v>
      </c>
      <c r="W36" s="56">
        <f t="shared" si="6"/>
        <v>0.15395480225988667</v>
      </c>
      <c r="X36" s="33">
        <f t="shared" si="7"/>
        <v>6.8083333333333327</v>
      </c>
      <c r="Y36" s="56">
        <f t="shared" si="8"/>
        <v>0.15395480225988667</v>
      </c>
      <c r="Z36" s="33">
        <f t="shared" si="1"/>
        <v>6.8083333333333327</v>
      </c>
      <c r="AA36" s="56">
        <f t="shared" si="9"/>
        <v>0.15395480225988667</v>
      </c>
    </row>
    <row r="37" spans="2:27">
      <c r="B37" s="19" t="s">
        <v>186</v>
      </c>
      <c r="C37" s="19">
        <v>1941</v>
      </c>
      <c r="D37" s="33">
        <v>7.1</v>
      </c>
      <c r="E37" s="33">
        <v>7.1</v>
      </c>
      <c r="F37" s="33">
        <v>7.1</v>
      </c>
      <c r="G37" s="33">
        <v>7.2</v>
      </c>
      <c r="H37" s="33">
        <v>7.2</v>
      </c>
      <c r="I37" s="33">
        <v>7.2</v>
      </c>
      <c r="J37" s="33">
        <v>7.2</v>
      </c>
      <c r="K37" s="33">
        <v>7.2</v>
      </c>
      <c r="L37" s="33">
        <v>7.2</v>
      </c>
      <c r="M37" s="33">
        <v>7.2</v>
      </c>
      <c r="N37" s="210">
        <v>7.2</v>
      </c>
      <c r="O37" s="220">
        <v>7.3</v>
      </c>
      <c r="P37" s="33">
        <f t="shared" si="2"/>
        <v>7.1833333333333336</v>
      </c>
      <c r="Q37" s="31">
        <f t="shared" si="3"/>
        <v>8.2914572864321467E-2</v>
      </c>
      <c r="R37" s="31"/>
      <c r="S37" s="67" t="s">
        <v>126</v>
      </c>
      <c r="T37" s="68">
        <f t="shared" si="4"/>
        <v>7.208333333333333</v>
      </c>
      <c r="U37" s="70">
        <f t="shared" si="5"/>
        <v>5.875152998776012E-2</v>
      </c>
      <c r="V37" s="231">
        <f t="shared" si="0"/>
        <v>7.208333333333333</v>
      </c>
      <c r="W37" s="56">
        <f t="shared" si="6"/>
        <v>5.875152998776012E-2</v>
      </c>
      <c r="X37" s="33">
        <f t="shared" si="7"/>
        <v>7.208333333333333</v>
      </c>
      <c r="Y37" s="56">
        <f t="shared" si="8"/>
        <v>5.875152998776012E-2</v>
      </c>
      <c r="Z37" s="33">
        <f t="shared" si="1"/>
        <v>7.208333333333333</v>
      </c>
      <c r="AA37" s="56">
        <f t="shared" si="9"/>
        <v>5.875152998776012E-2</v>
      </c>
    </row>
    <row r="38" spans="2:27">
      <c r="B38" s="19" t="s">
        <v>186</v>
      </c>
      <c r="C38" s="19">
        <v>1942</v>
      </c>
      <c r="D38" s="33">
        <v>7.2</v>
      </c>
      <c r="E38" s="33">
        <v>7.2</v>
      </c>
      <c r="F38" s="33">
        <v>7.2</v>
      </c>
      <c r="G38" s="33">
        <v>7.2</v>
      </c>
      <c r="H38" s="33">
        <v>7.2</v>
      </c>
      <c r="I38" s="33">
        <v>7.2</v>
      </c>
      <c r="J38" s="33">
        <v>7.2</v>
      </c>
      <c r="K38" s="33">
        <v>7.3</v>
      </c>
      <c r="L38" s="33">
        <v>7.2</v>
      </c>
      <c r="M38" s="33">
        <v>7.2</v>
      </c>
      <c r="N38" s="210">
        <v>7.2</v>
      </c>
      <c r="O38" s="220">
        <v>7.2</v>
      </c>
      <c r="P38" s="33">
        <f t="shared" si="2"/>
        <v>7.2083333333333348</v>
      </c>
      <c r="Q38" s="31">
        <f t="shared" si="3"/>
        <v>3.4802784222740524E-3</v>
      </c>
      <c r="R38" s="31"/>
      <c r="S38" s="67" t="s">
        <v>127</v>
      </c>
      <c r="T38" s="68">
        <f t="shared" si="4"/>
        <v>7.208333333333333</v>
      </c>
      <c r="U38" s="70">
        <f t="shared" si="5"/>
        <v>0</v>
      </c>
      <c r="V38" s="231">
        <f t="shared" si="0"/>
        <v>7.208333333333333</v>
      </c>
      <c r="W38" s="56">
        <f t="shared" si="6"/>
        <v>0</v>
      </c>
      <c r="X38" s="33">
        <f t="shared" si="7"/>
        <v>7.208333333333333</v>
      </c>
      <c r="Y38" s="56">
        <f t="shared" si="8"/>
        <v>0</v>
      </c>
      <c r="Z38" s="33">
        <f t="shared" si="1"/>
        <v>7.208333333333333</v>
      </c>
      <c r="AA38" s="56">
        <f t="shared" si="9"/>
        <v>0</v>
      </c>
    </row>
    <row r="39" spans="2:27">
      <c r="B39" s="19" t="s">
        <v>186</v>
      </c>
      <c r="C39" s="19">
        <v>1943</v>
      </c>
      <c r="D39" s="33">
        <v>7.2</v>
      </c>
      <c r="E39" s="33">
        <v>7.2</v>
      </c>
      <c r="F39" s="33">
        <v>7.2</v>
      </c>
      <c r="G39" s="33">
        <v>7.2</v>
      </c>
      <c r="H39" s="33">
        <v>7.2</v>
      </c>
      <c r="I39" s="33">
        <v>7.2</v>
      </c>
      <c r="J39" s="33">
        <v>7.2</v>
      </c>
      <c r="K39" s="33">
        <v>7.2</v>
      </c>
      <c r="L39" s="33">
        <v>7.2</v>
      </c>
      <c r="M39" s="33">
        <v>7.2</v>
      </c>
      <c r="N39" s="210">
        <v>7.2</v>
      </c>
      <c r="O39" s="220">
        <v>7.2</v>
      </c>
      <c r="P39" s="33">
        <f t="shared" si="2"/>
        <v>7.200000000000002</v>
      </c>
      <c r="Q39" s="31">
        <f t="shared" si="3"/>
        <v>-1.1560693641617936E-3</v>
      </c>
      <c r="R39" s="31"/>
      <c r="S39" s="67" t="s">
        <v>128</v>
      </c>
      <c r="T39" s="68">
        <f t="shared" si="4"/>
        <v>7.2</v>
      </c>
      <c r="U39" s="70">
        <f t="shared" si="5"/>
        <v>-1.1560693641617936E-3</v>
      </c>
      <c r="V39" s="231">
        <f t="shared" si="0"/>
        <v>7.2</v>
      </c>
      <c r="W39" s="56">
        <f t="shared" si="6"/>
        <v>-1.1560693641617936E-3</v>
      </c>
      <c r="X39" s="33">
        <f t="shared" si="7"/>
        <v>7.2</v>
      </c>
      <c r="Y39" s="56">
        <f t="shared" si="8"/>
        <v>-1.1560693641617936E-3</v>
      </c>
      <c r="Z39" s="33">
        <f t="shared" si="1"/>
        <v>7.2</v>
      </c>
      <c r="AA39" s="56">
        <f t="shared" si="9"/>
        <v>-1.1560693641617936E-3</v>
      </c>
    </row>
    <row r="40" spans="2:27">
      <c r="B40" s="19" t="s">
        <v>186</v>
      </c>
      <c r="C40" s="19">
        <v>1944</v>
      </c>
      <c r="D40" s="33">
        <v>7.2</v>
      </c>
      <c r="E40" s="33">
        <v>7.2</v>
      </c>
      <c r="F40" s="33">
        <v>7.2</v>
      </c>
      <c r="G40" s="33">
        <v>7.2</v>
      </c>
      <c r="H40" s="33">
        <v>7.2</v>
      </c>
      <c r="I40" s="33">
        <v>7.2</v>
      </c>
      <c r="J40" s="33">
        <v>7.3</v>
      </c>
      <c r="K40" s="33">
        <v>7.3</v>
      </c>
      <c r="L40" s="33">
        <v>7.3</v>
      </c>
      <c r="M40" s="33">
        <v>7.3</v>
      </c>
      <c r="N40" s="210">
        <v>7.3</v>
      </c>
      <c r="O40" s="220">
        <v>7.3</v>
      </c>
      <c r="P40" s="33">
        <f t="shared" si="2"/>
        <v>7.2499999999999991</v>
      </c>
      <c r="Q40" s="31">
        <f t="shared" si="3"/>
        <v>6.9444444444439757E-3</v>
      </c>
      <c r="R40" s="31"/>
      <c r="S40" s="67" t="s">
        <v>129</v>
      </c>
      <c r="T40" s="68">
        <f t="shared" si="4"/>
        <v>7.2749999999999986</v>
      </c>
      <c r="U40" s="70">
        <f t="shared" si="5"/>
        <v>1.0416666666666519E-2</v>
      </c>
      <c r="V40" s="231">
        <f t="shared" si="0"/>
        <v>7.2749999999999986</v>
      </c>
      <c r="W40" s="56">
        <f t="shared" si="6"/>
        <v>1.0416666666666519E-2</v>
      </c>
      <c r="X40" s="33">
        <f t="shared" si="7"/>
        <v>7.2749999999999986</v>
      </c>
      <c r="Y40" s="56">
        <f t="shared" si="8"/>
        <v>1.0416666666666519E-2</v>
      </c>
      <c r="Z40" s="33">
        <f t="shared" si="1"/>
        <v>7.2749999999999986</v>
      </c>
      <c r="AA40" s="56">
        <f t="shared" si="9"/>
        <v>1.0416666666666519E-2</v>
      </c>
    </row>
    <row r="41" spans="2:27">
      <c r="B41" s="19" t="s">
        <v>186</v>
      </c>
      <c r="C41" s="19">
        <v>1945</v>
      </c>
      <c r="D41" s="33">
        <v>7.3</v>
      </c>
      <c r="E41" s="33">
        <v>7.3</v>
      </c>
      <c r="F41" s="33">
        <v>7.3</v>
      </c>
      <c r="G41" s="33">
        <v>7.3</v>
      </c>
      <c r="H41" s="33">
        <v>7.3</v>
      </c>
      <c r="I41" s="33">
        <v>7.4</v>
      </c>
      <c r="J41" s="33">
        <v>7.5</v>
      </c>
      <c r="K41" s="33">
        <v>7.4</v>
      </c>
      <c r="L41" s="33">
        <v>7.3</v>
      </c>
      <c r="M41" s="33">
        <v>7.3</v>
      </c>
      <c r="N41" s="210">
        <v>7.3</v>
      </c>
      <c r="O41" s="220">
        <v>7.3</v>
      </c>
      <c r="P41" s="33">
        <f t="shared" si="2"/>
        <v>7.3333333333333321</v>
      </c>
      <c r="Q41" s="31">
        <f t="shared" si="3"/>
        <v>1.1494252873563093E-2</v>
      </c>
      <c r="R41" s="31"/>
      <c r="S41" s="67" t="s">
        <v>130</v>
      </c>
      <c r="T41" s="68">
        <f t="shared" si="4"/>
        <v>7.333333333333333</v>
      </c>
      <c r="U41" s="70">
        <f t="shared" si="5"/>
        <v>8.0183276059566655E-3</v>
      </c>
      <c r="V41" s="231">
        <f t="shared" si="0"/>
        <v>7.333333333333333</v>
      </c>
      <c r="W41" s="56">
        <f t="shared" si="6"/>
        <v>8.0183276059566655E-3</v>
      </c>
      <c r="X41" s="33">
        <f t="shared" si="7"/>
        <v>7.333333333333333</v>
      </c>
      <c r="Y41" s="56">
        <f t="shared" si="8"/>
        <v>8.0183276059566655E-3</v>
      </c>
      <c r="Z41" s="33">
        <f t="shared" si="1"/>
        <v>7.333333333333333</v>
      </c>
      <c r="AA41" s="56">
        <f t="shared" si="9"/>
        <v>8.0183276059566655E-3</v>
      </c>
    </row>
    <row r="42" spans="2:27">
      <c r="B42" s="19" t="s">
        <v>186</v>
      </c>
      <c r="C42" s="19">
        <v>1946</v>
      </c>
      <c r="D42" s="33">
        <v>7.3</v>
      </c>
      <c r="E42" s="33">
        <v>7.3</v>
      </c>
      <c r="F42" s="33">
        <v>7.3</v>
      </c>
      <c r="G42" s="33">
        <v>7.3</v>
      </c>
      <c r="H42" s="33">
        <v>7.4</v>
      </c>
      <c r="I42" s="33">
        <v>7.3</v>
      </c>
      <c r="J42" s="33">
        <v>7.4</v>
      </c>
      <c r="K42" s="33">
        <v>7.4</v>
      </c>
      <c r="L42" s="33">
        <v>7.3</v>
      </c>
      <c r="M42" s="33">
        <v>7.3</v>
      </c>
      <c r="N42" s="210">
        <v>7.3</v>
      </c>
      <c r="O42" s="220">
        <v>7.4</v>
      </c>
      <c r="P42" s="33">
        <f t="shared" si="2"/>
        <v>7.333333333333333</v>
      </c>
      <c r="Q42" s="31">
        <f t="shared" si="3"/>
        <v>0</v>
      </c>
      <c r="R42" s="31"/>
      <c r="S42" s="67" t="s">
        <v>131</v>
      </c>
      <c r="T42" s="68">
        <f t="shared" si="4"/>
        <v>7.3499999999999988</v>
      </c>
      <c r="U42" s="70">
        <f t="shared" si="5"/>
        <v>2.2727272727272041E-3</v>
      </c>
      <c r="V42" s="231">
        <f t="shared" si="0"/>
        <v>7.3499999999999988</v>
      </c>
      <c r="W42" s="56">
        <f t="shared" si="6"/>
        <v>2.2727272727272041E-3</v>
      </c>
      <c r="X42" s="33">
        <f t="shared" si="7"/>
        <v>7.3499999999999988</v>
      </c>
      <c r="Y42" s="56">
        <f t="shared" si="8"/>
        <v>2.2727272727272041E-3</v>
      </c>
      <c r="Z42" s="33">
        <f t="shared" si="1"/>
        <v>7.3499999999999988</v>
      </c>
      <c r="AA42" s="56">
        <f t="shared" si="9"/>
        <v>2.2727272727272041E-3</v>
      </c>
    </row>
    <row r="43" spans="2:27">
      <c r="B43" s="19" t="s">
        <v>186</v>
      </c>
      <c r="C43" s="19">
        <v>1947</v>
      </c>
      <c r="D43" s="33">
        <v>7.4</v>
      </c>
      <c r="E43" s="33">
        <v>7.3</v>
      </c>
      <c r="F43" s="33">
        <v>7.4</v>
      </c>
      <c r="G43" s="33">
        <v>7.3</v>
      </c>
      <c r="H43" s="33">
        <v>7.3</v>
      </c>
      <c r="I43" s="33">
        <v>7.3</v>
      </c>
      <c r="J43" s="33">
        <v>7.4</v>
      </c>
      <c r="K43" s="33">
        <v>7.3</v>
      </c>
      <c r="L43" s="33">
        <v>7.4</v>
      </c>
      <c r="M43" s="33">
        <v>7.4</v>
      </c>
      <c r="N43" s="210">
        <v>7.6</v>
      </c>
      <c r="O43" s="220">
        <v>7.6</v>
      </c>
      <c r="P43" s="33">
        <f t="shared" si="2"/>
        <v>7.3916666666666657</v>
      </c>
      <c r="Q43" s="31">
        <f t="shared" si="3"/>
        <v>7.9545454545453254E-3</v>
      </c>
      <c r="R43" s="31"/>
      <c r="S43" s="67" t="s">
        <v>132</v>
      </c>
      <c r="T43" s="68">
        <f t="shared" si="4"/>
        <v>7.4833333333333334</v>
      </c>
      <c r="U43" s="70">
        <f t="shared" si="5"/>
        <v>1.8140589569161092E-2</v>
      </c>
      <c r="V43" s="231">
        <f t="shared" si="0"/>
        <v>7.4833333333333334</v>
      </c>
      <c r="W43" s="56">
        <f t="shared" si="6"/>
        <v>1.8140589569161092E-2</v>
      </c>
      <c r="X43" s="33">
        <f t="shared" si="7"/>
        <v>7.4833333333333334</v>
      </c>
      <c r="Y43" s="56">
        <f t="shared" si="8"/>
        <v>1.8140589569161092E-2</v>
      </c>
      <c r="Z43" s="33">
        <f t="shared" si="1"/>
        <v>7.4833333333333334</v>
      </c>
      <c r="AA43" s="56">
        <f t="shared" si="9"/>
        <v>1.8140589569161092E-2</v>
      </c>
    </row>
    <row r="44" spans="2:27">
      <c r="B44" s="19" t="s">
        <v>186</v>
      </c>
      <c r="C44" s="19">
        <v>1948</v>
      </c>
      <c r="D44" s="33">
        <v>7.6</v>
      </c>
      <c r="E44" s="33">
        <v>7.8</v>
      </c>
      <c r="F44" s="33">
        <v>7.8</v>
      </c>
      <c r="G44" s="33">
        <v>7.9</v>
      </c>
      <c r="H44" s="33">
        <v>7.9</v>
      </c>
      <c r="I44" s="33">
        <v>8</v>
      </c>
      <c r="J44" s="33">
        <v>7.9</v>
      </c>
      <c r="K44" s="33">
        <v>7.9</v>
      </c>
      <c r="L44" s="33">
        <v>7.9</v>
      </c>
      <c r="M44" s="33">
        <v>7.9</v>
      </c>
      <c r="N44" s="210">
        <v>8</v>
      </c>
      <c r="O44" s="220">
        <v>8</v>
      </c>
      <c r="P44" s="33">
        <f t="shared" si="2"/>
        <v>7.8833333333333337</v>
      </c>
      <c r="Q44" s="31">
        <f t="shared" ref="Q44:Q71" si="10">(P44/P43)-1</f>
        <v>6.6516347237880691E-2</v>
      </c>
      <c r="R44" s="31"/>
      <c r="S44" s="67" t="s">
        <v>133</v>
      </c>
      <c r="T44" s="68">
        <f t="shared" si="4"/>
        <v>7.95</v>
      </c>
      <c r="U44" s="70">
        <f t="shared" si="5"/>
        <v>6.2360801781737196E-2</v>
      </c>
      <c r="V44" s="231">
        <f t="shared" si="0"/>
        <v>7.95</v>
      </c>
      <c r="W44" s="56">
        <f t="shared" si="6"/>
        <v>6.2360801781737196E-2</v>
      </c>
      <c r="X44" s="33">
        <f t="shared" si="7"/>
        <v>7.95</v>
      </c>
      <c r="Y44" s="56">
        <f t="shared" si="8"/>
        <v>6.2360801781737196E-2</v>
      </c>
      <c r="Z44" s="33">
        <f t="shared" si="1"/>
        <v>7.95</v>
      </c>
      <c r="AA44" s="56">
        <f t="shared" si="9"/>
        <v>6.2360801781737196E-2</v>
      </c>
    </row>
    <row r="45" spans="2:27">
      <c r="B45" s="19" t="s">
        <v>186</v>
      </c>
      <c r="C45" s="19">
        <v>1949</v>
      </c>
      <c r="D45" s="33">
        <v>8</v>
      </c>
      <c r="E45" s="33">
        <v>8</v>
      </c>
      <c r="F45" s="33">
        <v>8</v>
      </c>
      <c r="G45" s="33">
        <v>8</v>
      </c>
      <c r="H45" s="33">
        <v>8.1</v>
      </c>
      <c r="I45" s="33">
        <v>8.1</v>
      </c>
      <c r="J45" s="33">
        <v>8.1999999999999993</v>
      </c>
      <c r="K45" s="33">
        <v>8.1999999999999993</v>
      </c>
      <c r="L45" s="33">
        <v>8.1999999999999993</v>
      </c>
      <c r="M45" s="33">
        <v>8.1999999999999993</v>
      </c>
      <c r="N45" s="210">
        <v>8.1999999999999993</v>
      </c>
      <c r="O45" s="220">
        <v>8.3000000000000007</v>
      </c>
      <c r="P45" s="33">
        <f t="shared" si="2"/>
        <v>8.1250000000000018</v>
      </c>
      <c r="Q45" s="31">
        <f t="shared" si="10"/>
        <v>3.0655391120507636E-2</v>
      </c>
      <c r="R45" s="31"/>
      <c r="S45" s="67" t="s">
        <v>134</v>
      </c>
      <c r="T45" s="68">
        <f t="shared" si="4"/>
        <v>8.2000000000000011</v>
      </c>
      <c r="U45" s="70">
        <f t="shared" si="5"/>
        <v>3.144654088050336E-2</v>
      </c>
      <c r="V45" s="231">
        <f t="shared" si="0"/>
        <v>8.2000000000000011</v>
      </c>
      <c r="W45" s="56">
        <f t="shared" si="6"/>
        <v>3.144654088050336E-2</v>
      </c>
      <c r="X45" s="33">
        <f t="shared" si="7"/>
        <v>8.2000000000000011</v>
      </c>
      <c r="Y45" s="56">
        <f t="shared" si="8"/>
        <v>3.144654088050336E-2</v>
      </c>
      <c r="Z45" s="33">
        <f t="shared" si="1"/>
        <v>8.2000000000000011</v>
      </c>
      <c r="AA45" s="56">
        <f t="shared" si="9"/>
        <v>3.144654088050336E-2</v>
      </c>
    </row>
    <row r="46" spans="2:27">
      <c r="B46" s="19" t="s">
        <v>186</v>
      </c>
      <c r="C46" s="19">
        <v>1950</v>
      </c>
      <c r="D46" s="33">
        <v>8.3000000000000007</v>
      </c>
      <c r="E46" s="33">
        <v>8.3000000000000007</v>
      </c>
      <c r="F46" s="33">
        <v>8.3000000000000007</v>
      </c>
      <c r="G46" s="33">
        <v>8.3000000000000007</v>
      </c>
      <c r="H46" s="33">
        <v>8.4</v>
      </c>
      <c r="I46" s="33">
        <v>8.3000000000000007</v>
      </c>
      <c r="J46" s="33">
        <v>8.3000000000000007</v>
      </c>
      <c r="K46" s="33">
        <v>8.3000000000000007</v>
      </c>
      <c r="L46" s="33">
        <v>8.3000000000000007</v>
      </c>
      <c r="M46" s="33">
        <v>8.4</v>
      </c>
      <c r="N46" s="210">
        <v>8.5</v>
      </c>
      <c r="O46" s="220">
        <v>8.5</v>
      </c>
      <c r="P46" s="33">
        <f t="shared" si="2"/>
        <v>8.35</v>
      </c>
      <c r="Q46" s="31">
        <f t="shared" si="10"/>
        <v>2.7692307692307461E-2</v>
      </c>
      <c r="R46" s="31"/>
      <c r="S46" s="67" t="s">
        <v>135</v>
      </c>
      <c r="T46" s="68">
        <f t="shared" si="4"/>
        <v>8.4416666666666682</v>
      </c>
      <c r="U46" s="70">
        <f t="shared" si="5"/>
        <v>2.9471544715447218E-2</v>
      </c>
      <c r="V46" s="231">
        <f t="shared" si="0"/>
        <v>8.4416666666666682</v>
      </c>
      <c r="W46" s="56">
        <f t="shared" si="6"/>
        <v>2.9471544715447218E-2</v>
      </c>
      <c r="X46" s="33">
        <f t="shared" si="7"/>
        <v>8.4416666666666682</v>
      </c>
      <c r="Y46" s="56">
        <f t="shared" si="8"/>
        <v>2.9471544715447218E-2</v>
      </c>
      <c r="Z46" s="33">
        <f t="shared" si="1"/>
        <v>8.4416666666666682</v>
      </c>
      <c r="AA46" s="56">
        <f t="shared" si="9"/>
        <v>2.9471544715447218E-2</v>
      </c>
    </row>
    <row r="47" spans="2:27">
      <c r="B47" s="19" t="s">
        <v>186</v>
      </c>
      <c r="C47" s="19">
        <v>1951</v>
      </c>
      <c r="D47" s="33">
        <v>8.6</v>
      </c>
      <c r="E47" s="33">
        <v>8.6999999999999993</v>
      </c>
      <c r="F47" s="33">
        <v>8.6999999999999993</v>
      </c>
      <c r="G47" s="33">
        <v>8.9</v>
      </c>
      <c r="H47" s="33">
        <v>9.1</v>
      </c>
      <c r="I47" s="33">
        <v>9.1</v>
      </c>
      <c r="J47" s="33">
        <v>9.3000000000000007</v>
      </c>
      <c r="K47" s="33">
        <v>9.3000000000000007</v>
      </c>
      <c r="L47" s="33">
        <v>9.4</v>
      </c>
      <c r="M47" s="33">
        <v>9.4</v>
      </c>
      <c r="N47" s="210">
        <v>9.5</v>
      </c>
      <c r="O47" s="220">
        <v>9.5</v>
      </c>
      <c r="P47" s="33">
        <f t="shared" si="2"/>
        <v>9.1250000000000018</v>
      </c>
      <c r="Q47" s="31">
        <f t="shared" si="10"/>
        <v>9.2814371257485373E-2</v>
      </c>
      <c r="R47" s="31"/>
      <c r="S47" s="67" t="s">
        <v>136</v>
      </c>
      <c r="T47" s="68">
        <f t="shared" si="4"/>
        <v>9.3916666666666675</v>
      </c>
      <c r="U47" s="70">
        <f t="shared" si="5"/>
        <v>0.11253701875616962</v>
      </c>
      <c r="V47" s="231">
        <f t="shared" si="0"/>
        <v>9.3916666666666675</v>
      </c>
      <c r="W47" s="56">
        <f t="shared" si="6"/>
        <v>0.11253701875616962</v>
      </c>
      <c r="X47" s="33">
        <f t="shared" si="7"/>
        <v>9.3916666666666675</v>
      </c>
      <c r="Y47" s="56">
        <f t="shared" si="8"/>
        <v>0.11253701875616962</v>
      </c>
      <c r="Z47" s="33">
        <f t="shared" si="1"/>
        <v>9.3916666666666675</v>
      </c>
      <c r="AA47" s="56">
        <f t="shared" si="9"/>
        <v>0.11253701875616962</v>
      </c>
    </row>
    <row r="48" spans="2:27">
      <c r="B48" s="19" t="s">
        <v>186</v>
      </c>
      <c r="C48" s="19">
        <v>1952</v>
      </c>
      <c r="D48" s="33">
        <v>9.6999999999999993</v>
      </c>
      <c r="E48" s="33">
        <v>9.6999999999999993</v>
      </c>
      <c r="F48" s="33">
        <v>9.8000000000000007</v>
      </c>
      <c r="G48" s="33">
        <v>9.9</v>
      </c>
      <c r="H48" s="33">
        <v>9.9</v>
      </c>
      <c r="I48" s="33">
        <v>10.1</v>
      </c>
      <c r="J48" s="33">
        <v>10.1</v>
      </c>
      <c r="K48" s="33">
        <v>10</v>
      </c>
      <c r="L48" s="33">
        <v>10</v>
      </c>
      <c r="M48" s="33">
        <v>10.1</v>
      </c>
      <c r="N48" s="210">
        <v>10.1</v>
      </c>
      <c r="O48" s="220">
        <v>10.199999999999999</v>
      </c>
      <c r="P48" s="33">
        <f t="shared" si="2"/>
        <v>9.9666666666666668</v>
      </c>
      <c r="Q48" s="31">
        <f t="shared" si="10"/>
        <v>9.2237442922374235E-2</v>
      </c>
      <c r="R48" s="31"/>
      <c r="S48" s="67" t="s">
        <v>137</v>
      </c>
      <c r="T48" s="68">
        <f t="shared" si="4"/>
        <v>10.074999999999999</v>
      </c>
      <c r="U48" s="70">
        <f t="shared" si="5"/>
        <v>7.2759538598047735E-2</v>
      </c>
      <c r="V48" s="231">
        <f t="shared" si="0"/>
        <v>10.074999999999999</v>
      </c>
      <c r="W48" s="56">
        <f t="shared" si="6"/>
        <v>7.2759538598047735E-2</v>
      </c>
      <c r="X48" s="33">
        <f t="shared" si="7"/>
        <v>10.074999999999999</v>
      </c>
      <c r="Y48" s="56">
        <f t="shared" si="8"/>
        <v>7.2759538598047735E-2</v>
      </c>
      <c r="Z48" s="33">
        <f t="shared" si="1"/>
        <v>10.074999999999999</v>
      </c>
      <c r="AA48" s="56">
        <f t="shared" si="9"/>
        <v>7.2759538598047735E-2</v>
      </c>
    </row>
    <row r="49" spans="2:27">
      <c r="B49" s="19" t="s">
        <v>186</v>
      </c>
      <c r="C49" s="19">
        <v>1953</v>
      </c>
      <c r="D49" s="33">
        <v>10.1</v>
      </c>
      <c r="E49" s="33">
        <v>10.199999999999999</v>
      </c>
      <c r="F49" s="33">
        <v>10.199999999999999</v>
      </c>
      <c r="G49" s="33">
        <v>10.3</v>
      </c>
      <c r="H49" s="33">
        <v>10.3</v>
      </c>
      <c r="I49" s="33">
        <v>10.4</v>
      </c>
      <c r="J49" s="33">
        <v>10.4</v>
      </c>
      <c r="K49" s="33">
        <v>10.3</v>
      </c>
      <c r="L49" s="33">
        <v>10.3</v>
      </c>
      <c r="M49" s="33">
        <v>10.3</v>
      </c>
      <c r="N49" s="210">
        <v>10.3</v>
      </c>
      <c r="O49" s="220">
        <v>10.3</v>
      </c>
      <c r="P49" s="33">
        <f t="shared" si="2"/>
        <v>10.283333333333331</v>
      </c>
      <c r="Q49" s="31">
        <f t="shared" si="10"/>
        <v>3.1772575250835988E-2</v>
      </c>
      <c r="R49" s="31"/>
      <c r="S49" s="67" t="s">
        <v>138</v>
      </c>
      <c r="T49" s="68">
        <f t="shared" si="4"/>
        <v>10.324999999999999</v>
      </c>
      <c r="U49" s="70">
        <f t="shared" si="5"/>
        <v>2.4813895781637729E-2</v>
      </c>
      <c r="V49" s="231">
        <f t="shared" si="0"/>
        <v>10.324999999999999</v>
      </c>
      <c r="W49" s="56">
        <f t="shared" si="6"/>
        <v>2.4813895781637729E-2</v>
      </c>
      <c r="X49" s="33">
        <f t="shared" si="7"/>
        <v>10.324999999999999</v>
      </c>
      <c r="Y49" s="56">
        <f t="shared" si="8"/>
        <v>2.4813895781637729E-2</v>
      </c>
      <c r="Z49" s="33">
        <f t="shared" si="1"/>
        <v>10.324999999999999</v>
      </c>
      <c r="AA49" s="56">
        <f t="shared" si="9"/>
        <v>2.4813895781637729E-2</v>
      </c>
    </row>
    <row r="50" spans="2:27">
      <c r="B50" s="19" t="s">
        <v>186</v>
      </c>
      <c r="C50" s="19">
        <v>1954</v>
      </c>
      <c r="D50" s="33">
        <v>10.3</v>
      </c>
      <c r="E50" s="33">
        <v>10.3</v>
      </c>
      <c r="F50" s="33">
        <v>10.4</v>
      </c>
      <c r="G50" s="33">
        <v>10.4</v>
      </c>
      <c r="H50" s="33">
        <v>10.4</v>
      </c>
      <c r="I50" s="33">
        <v>10.4</v>
      </c>
      <c r="J50" s="33">
        <v>10.6</v>
      </c>
      <c r="K50" s="33">
        <v>10.5</v>
      </c>
      <c r="L50" s="33">
        <v>10.5</v>
      </c>
      <c r="M50" s="33">
        <v>10.6</v>
      </c>
      <c r="N50" s="210">
        <v>10.6</v>
      </c>
      <c r="O50" s="220">
        <v>10.7</v>
      </c>
      <c r="P50" s="33">
        <f t="shared" si="2"/>
        <v>10.475</v>
      </c>
      <c r="Q50" s="31">
        <f t="shared" si="10"/>
        <v>1.8638573743922304E-2</v>
      </c>
      <c r="R50" s="31"/>
      <c r="S50" s="67" t="s">
        <v>139</v>
      </c>
      <c r="T50" s="68">
        <f t="shared" si="4"/>
        <v>10.566666666666666</v>
      </c>
      <c r="U50" s="70">
        <f t="shared" si="5"/>
        <v>2.3405972558514954E-2</v>
      </c>
      <c r="V50" s="231">
        <f t="shared" si="0"/>
        <v>10.566666666666666</v>
      </c>
      <c r="W50" s="56">
        <f t="shared" si="6"/>
        <v>2.3405972558514954E-2</v>
      </c>
      <c r="X50" s="33">
        <f t="shared" si="7"/>
        <v>10.566666666666666</v>
      </c>
      <c r="Y50" s="56">
        <f t="shared" si="8"/>
        <v>2.3405972558514954E-2</v>
      </c>
      <c r="Z50" s="33">
        <f t="shared" si="1"/>
        <v>10.566666666666666</v>
      </c>
      <c r="AA50" s="56">
        <f t="shared" si="9"/>
        <v>2.3405972558514954E-2</v>
      </c>
    </row>
    <row r="51" spans="2:27">
      <c r="B51" s="19" t="s">
        <v>186</v>
      </c>
      <c r="C51" s="19">
        <v>1955</v>
      </c>
      <c r="D51" s="33">
        <v>10.7</v>
      </c>
      <c r="E51" s="33">
        <v>10.7</v>
      </c>
      <c r="F51" s="33">
        <v>10.7</v>
      </c>
      <c r="G51" s="33">
        <v>10.8</v>
      </c>
      <c r="H51" s="33">
        <v>10.7</v>
      </c>
      <c r="I51" s="33">
        <v>11</v>
      </c>
      <c r="J51" s="33">
        <v>11</v>
      </c>
      <c r="K51" s="33">
        <v>10.9</v>
      </c>
      <c r="L51" s="33">
        <v>11</v>
      </c>
      <c r="M51" s="33">
        <v>11.1</v>
      </c>
      <c r="N51" s="210">
        <v>11.3</v>
      </c>
      <c r="O51" s="220">
        <v>11.3</v>
      </c>
      <c r="P51" s="33">
        <f t="shared" si="2"/>
        <v>10.933333333333332</v>
      </c>
      <c r="Q51" s="31">
        <f t="shared" si="10"/>
        <v>4.3754972155926719E-2</v>
      </c>
      <c r="R51" s="31"/>
      <c r="S51" s="67" t="s">
        <v>140</v>
      </c>
      <c r="T51" s="68">
        <f t="shared" si="4"/>
        <v>11.074999999999998</v>
      </c>
      <c r="U51" s="70">
        <f t="shared" si="5"/>
        <v>4.8107255520504433E-2</v>
      </c>
      <c r="V51" s="231">
        <f t="shared" si="0"/>
        <v>11.074999999999998</v>
      </c>
      <c r="W51" s="56">
        <f t="shared" si="6"/>
        <v>4.8107255520504433E-2</v>
      </c>
      <c r="X51" s="33">
        <f t="shared" si="7"/>
        <v>11.074999999999998</v>
      </c>
      <c r="Y51" s="56">
        <f t="shared" si="8"/>
        <v>4.8107255520504433E-2</v>
      </c>
      <c r="Z51" s="33">
        <f t="shared" si="1"/>
        <v>11.074999999999998</v>
      </c>
      <c r="AA51" s="56">
        <f t="shared" si="9"/>
        <v>4.8107255520504433E-2</v>
      </c>
    </row>
    <row r="52" spans="2:27">
      <c r="B52" s="19" t="s">
        <v>186</v>
      </c>
      <c r="C52" s="19">
        <v>1956</v>
      </c>
      <c r="D52" s="33">
        <v>11.2</v>
      </c>
      <c r="E52" s="33">
        <v>11.2</v>
      </c>
      <c r="F52" s="33">
        <v>11.4</v>
      </c>
      <c r="G52" s="33">
        <v>11.6</v>
      </c>
      <c r="H52" s="33">
        <v>11.5</v>
      </c>
      <c r="I52" s="33">
        <v>11.5</v>
      </c>
      <c r="J52" s="33">
        <v>11.5</v>
      </c>
      <c r="K52" s="33">
        <v>11.5</v>
      </c>
      <c r="L52" s="33">
        <v>11.5</v>
      </c>
      <c r="M52" s="33">
        <v>11.6</v>
      </c>
      <c r="N52" s="210">
        <v>11.6</v>
      </c>
      <c r="O52" s="220">
        <v>11.6</v>
      </c>
      <c r="P52" s="33">
        <f t="shared" si="2"/>
        <v>11.475</v>
      </c>
      <c r="Q52" s="31">
        <f t="shared" si="10"/>
        <v>4.9542682926829285E-2</v>
      </c>
      <c r="R52" s="31"/>
      <c r="S52" s="67" t="s">
        <v>141</v>
      </c>
      <c r="T52" s="68">
        <f t="shared" si="4"/>
        <v>11.58333333333333</v>
      </c>
      <c r="U52" s="70">
        <f t="shared" si="5"/>
        <v>4.5899172310007508E-2</v>
      </c>
      <c r="V52" s="231">
        <f t="shared" si="0"/>
        <v>11.58333333333333</v>
      </c>
      <c r="W52" s="56">
        <f t="shared" si="6"/>
        <v>4.5899172310007508E-2</v>
      </c>
      <c r="X52" s="33">
        <f t="shared" si="7"/>
        <v>11.58333333333333</v>
      </c>
      <c r="Y52" s="56">
        <f t="shared" si="8"/>
        <v>4.5899172310007508E-2</v>
      </c>
      <c r="Z52" s="33">
        <f t="shared" si="1"/>
        <v>11.58333333333333</v>
      </c>
      <c r="AA52" s="56">
        <f t="shared" si="9"/>
        <v>4.5899172310007508E-2</v>
      </c>
    </row>
    <row r="53" spans="2:27">
      <c r="B53" s="19" t="s">
        <v>186</v>
      </c>
      <c r="C53" s="19">
        <v>1957</v>
      </c>
      <c r="D53" s="33">
        <v>11.7</v>
      </c>
      <c r="E53" s="33">
        <v>11.7</v>
      </c>
      <c r="F53" s="33">
        <v>11.7</v>
      </c>
      <c r="G53" s="33">
        <v>11.8</v>
      </c>
      <c r="H53" s="33">
        <v>11.8</v>
      </c>
      <c r="I53" s="33">
        <v>11.9</v>
      </c>
      <c r="J53" s="33">
        <v>12</v>
      </c>
      <c r="K53" s="33">
        <v>12</v>
      </c>
      <c r="L53" s="33">
        <v>11.9</v>
      </c>
      <c r="M53" s="33">
        <v>12</v>
      </c>
      <c r="N53" s="210">
        <v>12.1</v>
      </c>
      <c r="O53" s="220">
        <v>12.2</v>
      </c>
      <c r="P53" s="33">
        <f t="shared" si="2"/>
        <v>11.899999999999999</v>
      </c>
      <c r="Q53" s="31">
        <f t="shared" si="10"/>
        <v>3.7037037037036979E-2</v>
      </c>
      <c r="R53" s="31"/>
      <c r="S53" s="67" t="s">
        <v>142</v>
      </c>
      <c r="T53" s="68">
        <f t="shared" si="4"/>
        <v>12.016666666666666</v>
      </c>
      <c r="U53" s="70">
        <f t="shared" si="5"/>
        <v>3.7410071942446166E-2</v>
      </c>
      <c r="V53" s="231">
        <f t="shared" si="0"/>
        <v>12.016666666666666</v>
      </c>
      <c r="W53" s="56">
        <f t="shared" si="6"/>
        <v>3.7410071942446166E-2</v>
      </c>
      <c r="X53" s="33">
        <f t="shared" si="7"/>
        <v>12.016666666666666</v>
      </c>
      <c r="Y53" s="56">
        <f t="shared" si="8"/>
        <v>3.7410071942446166E-2</v>
      </c>
      <c r="Z53" s="33">
        <f t="shared" si="1"/>
        <v>12.016666666666666</v>
      </c>
      <c r="AA53" s="56">
        <f t="shared" si="9"/>
        <v>3.7410071942446166E-2</v>
      </c>
    </row>
    <row r="54" spans="2:27">
      <c r="B54" s="19" t="s">
        <v>186</v>
      </c>
      <c r="C54" s="19">
        <v>1958</v>
      </c>
      <c r="D54" s="33">
        <v>12.2</v>
      </c>
      <c r="E54" s="33">
        <v>12.1</v>
      </c>
      <c r="F54" s="33">
        <v>12.2</v>
      </c>
      <c r="G54" s="33">
        <v>12.3</v>
      </c>
      <c r="H54" s="33">
        <v>12.3</v>
      </c>
      <c r="I54" s="33">
        <v>12.4</v>
      </c>
      <c r="J54" s="33">
        <v>12.2</v>
      </c>
      <c r="K54" s="33">
        <v>12.2</v>
      </c>
      <c r="L54" s="33">
        <v>12.2</v>
      </c>
      <c r="M54" s="33">
        <v>12.3</v>
      </c>
      <c r="N54" s="210">
        <v>12.4</v>
      </c>
      <c r="O54" s="220">
        <v>12.4</v>
      </c>
      <c r="P54" s="33">
        <f t="shared" si="2"/>
        <v>12.266666666666667</v>
      </c>
      <c r="Q54" s="31">
        <f t="shared" si="10"/>
        <v>3.0812324929972101E-2</v>
      </c>
      <c r="R54" s="31"/>
      <c r="S54" s="67" t="s">
        <v>143</v>
      </c>
      <c r="T54" s="68">
        <f>(SUM(G54:O54)+SUM(D55:F55))/12</f>
        <v>12.325000000000003</v>
      </c>
      <c r="U54" s="70">
        <f t="shared" si="5"/>
        <v>2.5658807212205481E-2</v>
      </c>
      <c r="V54" s="231">
        <f t="shared" si="0"/>
        <v>12.325000000000003</v>
      </c>
      <c r="W54" s="56">
        <f t="shared" si="6"/>
        <v>2.5658807212205481E-2</v>
      </c>
      <c r="X54" s="33">
        <f>T54</f>
        <v>12.325000000000003</v>
      </c>
      <c r="Y54" s="56">
        <f t="shared" si="8"/>
        <v>2.5658807212205481E-2</v>
      </c>
      <c r="Z54" s="33">
        <f t="shared" si="1"/>
        <v>12.325000000000003</v>
      </c>
      <c r="AA54" s="56">
        <f t="shared" si="9"/>
        <v>2.5658807212205481E-2</v>
      </c>
    </row>
    <row r="55" spans="2:27">
      <c r="B55" s="19" t="s">
        <v>186</v>
      </c>
      <c r="C55" s="19">
        <v>1959</v>
      </c>
      <c r="D55" s="33">
        <v>12.4</v>
      </c>
      <c r="E55" s="33">
        <v>12.4</v>
      </c>
      <c r="F55" s="33">
        <v>12.4</v>
      </c>
      <c r="G55" s="33">
        <v>12.3</v>
      </c>
      <c r="H55" s="33">
        <v>12.3</v>
      </c>
      <c r="I55" s="33">
        <v>12.3</v>
      </c>
      <c r="J55" s="33">
        <v>12.3</v>
      </c>
      <c r="K55" s="33">
        <v>12.3</v>
      </c>
      <c r="L55" s="33">
        <v>12.2</v>
      </c>
      <c r="M55" s="33">
        <v>12.3</v>
      </c>
      <c r="N55" s="33">
        <v>12.4</v>
      </c>
      <c r="O55" s="33">
        <v>12.4</v>
      </c>
      <c r="P55" s="33">
        <f t="shared" si="2"/>
        <v>12.333333333333334</v>
      </c>
      <c r="Q55" s="31">
        <f t="shared" si="10"/>
        <v>5.4347826086955653E-3</v>
      </c>
      <c r="R55" s="31"/>
      <c r="S55" s="67" t="s">
        <v>144</v>
      </c>
      <c r="T55" s="68">
        <f t="shared" si="4"/>
        <v>12.321666666666667</v>
      </c>
      <c r="U55" s="70">
        <f t="shared" si="5"/>
        <v>-2.7045300878991707E-4</v>
      </c>
      <c r="V55" s="231">
        <f t="shared" si="0"/>
        <v>12.321666666666667</v>
      </c>
      <c r="W55" s="56">
        <f t="shared" si="6"/>
        <v>-2.7045300878991707E-4</v>
      </c>
      <c r="X55" s="33">
        <f t="shared" si="7"/>
        <v>12.321666666666667</v>
      </c>
      <c r="Y55" s="56">
        <f t="shared" si="8"/>
        <v>-2.7045300878991707E-4</v>
      </c>
      <c r="Z55" s="33">
        <f t="shared" si="1"/>
        <v>12.321666666666667</v>
      </c>
      <c r="AA55" s="56">
        <f t="shared" si="9"/>
        <v>-2.7045300878991707E-4</v>
      </c>
    </row>
    <row r="56" spans="2:27">
      <c r="B56" s="19" t="s">
        <v>186</v>
      </c>
      <c r="C56" s="19">
        <v>1960</v>
      </c>
      <c r="D56" s="33">
        <v>12.36</v>
      </c>
      <c r="E56" s="33">
        <v>12.36</v>
      </c>
      <c r="F56" s="33">
        <v>12.34</v>
      </c>
      <c r="G56" s="33">
        <v>12.41</v>
      </c>
      <c r="H56" s="33">
        <v>12.41</v>
      </c>
      <c r="I56" s="33">
        <v>12.47</v>
      </c>
      <c r="J56" s="33">
        <v>12.5</v>
      </c>
      <c r="K56" s="33">
        <v>12.42</v>
      </c>
      <c r="L56" s="33">
        <v>12.43</v>
      </c>
      <c r="M56" s="33">
        <v>12.53</v>
      </c>
      <c r="N56" s="33">
        <v>12.59</v>
      </c>
      <c r="O56" s="33">
        <v>12.62</v>
      </c>
      <c r="P56" s="33">
        <f t="shared" si="2"/>
        <v>12.453333333333333</v>
      </c>
      <c r="Q56" s="31">
        <f t="shared" si="10"/>
        <v>9.7297297297296303E-3</v>
      </c>
      <c r="R56" s="31"/>
      <c r="S56" s="67" t="s">
        <v>145</v>
      </c>
      <c r="T56" s="68">
        <f t="shared" si="4"/>
        <v>12.526666666666666</v>
      </c>
      <c r="U56" s="70">
        <f t="shared" si="5"/>
        <v>1.6637359664547491E-2</v>
      </c>
      <c r="V56" s="231">
        <f t="shared" si="0"/>
        <v>12.526666666666666</v>
      </c>
      <c r="W56" s="56">
        <f t="shared" si="6"/>
        <v>1.6637359664547491E-2</v>
      </c>
      <c r="X56" s="33">
        <f t="shared" si="7"/>
        <v>12.526666666666666</v>
      </c>
      <c r="Y56" s="56">
        <f t="shared" si="8"/>
        <v>1.6637359664547491E-2</v>
      </c>
      <c r="Z56" s="33">
        <f t="shared" si="1"/>
        <v>12.526666666666666</v>
      </c>
      <c r="AA56" s="56">
        <f t="shared" si="9"/>
        <v>1.6637359664547491E-2</v>
      </c>
    </row>
    <row r="57" spans="2:27">
      <c r="B57" s="19" t="s">
        <v>186</v>
      </c>
      <c r="C57" s="19">
        <v>1961</v>
      </c>
      <c r="D57" s="33">
        <v>12.63</v>
      </c>
      <c r="E57" s="33">
        <v>12.63</v>
      </c>
      <c r="F57" s="33">
        <v>12.68</v>
      </c>
      <c r="G57" s="33">
        <v>12.74</v>
      </c>
      <c r="H57" s="33">
        <v>12.78</v>
      </c>
      <c r="I57" s="33">
        <v>12.89</v>
      </c>
      <c r="J57" s="33">
        <v>12.89</v>
      </c>
      <c r="K57" s="33">
        <v>13.01</v>
      </c>
      <c r="L57" s="33">
        <v>12.99</v>
      </c>
      <c r="M57" s="33">
        <v>13.01</v>
      </c>
      <c r="N57" s="33">
        <v>13.15</v>
      </c>
      <c r="O57" s="220">
        <v>13.17</v>
      </c>
      <c r="P57" s="33">
        <f t="shared" si="2"/>
        <v>12.880833333333333</v>
      </c>
      <c r="Q57" s="31">
        <f t="shared" si="10"/>
        <v>3.4328158458244218E-2</v>
      </c>
      <c r="R57" s="31"/>
      <c r="S57" s="67" t="s">
        <v>146</v>
      </c>
      <c r="T57" s="68">
        <f t="shared" si="4"/>
        <v>13.056666666666667</v>
      </c>
      <c r="U57" s="70">
        <f t="shared" si="5"/>
        <v>4.2309739222990972E-2</v>
      </c>
      <c r="V57" s="231">
        <f t="shared" si="0"/>
        <v>13.056666666666667</v>
      </c>
      <c r="W57" s="56">
        <f t="shared" si="6"/>
        <v>4.2309739222990972E-2</v>
      </c>
      <c r="X57" s="33">
        <f t="shared" si="7"/>
        <v>13.056666666666667</v>
      </c>
      <c r="Y57" s="56">
        <f t="shared" si="8"/>
        <v>4.2309739222990972E-2</v>
      </c>
      <c r="Z57" s="33">
        <f t="shared" si="1"/>
        <v>13.056666666666667</v>
      </c>
      <c r="AA57" s="56">
        <f t="shared" si="9"/>
        <v>4.2309739222990972E-2</v>
      </c>
    </row>
    <row r="58" spans="2:27">
      <c r="B58" s="19" t="s">
        <v>186</v>
      </c>
      <c r="C58" s="19">
        <v>1962</v>
      </c>
      <c r="D58" s="33">
        <v>13.22</v>
      </c>
      <c r="E58" s="33">
        <v>13.23</v>
      </c>
      <c r="F58" s="33">
        <v>13.6</v>
      </c>
      <c r="G58" s="33">
        <v>13.6</v>
      </c>
      <c r="H58" s="33">
        <v>13.6</v>
      </c>
      <c r="I58" s="33">
        <v>13.6</v>
      </c>
      <c r="J58" s="33">
        <v>13.55</v>
      </c>
      <c r="K58" s="33">
        <v>13.43</v>
      </c>
      <c r="L58" s="33">
        <v>13.41</v>
      </c>
      <c r="M58" s="33">
        <v>13.4</v>
      </c>
      <c r="N58" s="210">
        <v>13.45</v>
      </c>
      <c r="O58" s="220">
        <v>13.52</v>
      </c>
      <c r="P58" s="33">
        <f t="shared" si="2"/>
        <v>13.467499999999999</v>
      </c>
      <c r="Q58" s="31">
        <f t="shared" si="10"/>
        <v>4.5545707446464245E-2</v>
      </c>
      <c r="R58" s="31"/>
      <c r="S58" s="67" t="s">
        <v>147</v>
      </c>
      <c r="T58" s="68">
        <f t="shared" si="4"/>
        <v>13.544166666666667</v>
      </c>
      <c r="U58" s="70">
        <f t="shared" si="5"/>
        <v>3.7337247893796333E-2</v>
      </c>
      <c r="V58" s="231">
        <f t="shared" si="0"/>
        <v>13.544166666666667</v>
      </c>
      <c r="W58" s="56">
        <f t="shared" si="6"/>
        <v>3.7337247893796333E-2</v>
      </c>
      <c r="X58" s="33">
        <f t="shared" si="7"/>
        <v>13.544166666666667</v>
      </c>
      <c r="Y58" s="56">
        <f t="shared" si="8"/>
        <v>3.7337247893796333E-2</v>
      </c>
      <c r="Z58" s="33">
        <f t="shared" si="1"/>
        <v>13.544166666666667</v>
      </c>
      <c r="AA58" s="56">
        <f t="shared" si="9"/>
        <v>3.7337247893796333E-2</v>
      </c>
    </row>
    <row r="59" spans="2:27">
      <c r="B59" s="19" t="s">
        <v>186</v>
      </c>
      <c r="C59" s="19">
        <v>1963</v>
      </c>
      <c r="D59" s="33">
        <v>13.57</v>
      </c>
      <c r="E59" s="33">
        <v>13.69</v>
      </c>
      <c r="F59" s="33">
        <v>13.71</v>
      </c>
      <c r="G59" s="33">
        <v>13.74</v>
      </c>
      <c r="H59" s="33">
        <v>13.73</v>
      </c>
      <c r="I59" s="33">
        <v>13.73</v>
      </c>
      <c r="J59" s="33">
        <v>13.65</v>
      </c>
      <c r="K59" s="33">
        <v>13.61</v>
      </c>
      <c r="L59" s="33">
        <v>13.65</v>
      </c>
      <c r="M59" s="33">
        <v>13.71</v>
      </c>
      <c r="N59" s="210">
        <v>13.74</v>
      </c>
      <c r="O59" s="220">
        <v>13.77</v>
      </c>
      <c r="P59" s="33">
        <f t="shared" si="2"/>
        <v>13.69166666666667</v>
      </c>
      <c r="Q59" s="31">
        <f t="shared" si="10"/>
        <v>1.6645009590990911E-2</v>
      </c>
      <c r="R59" s="31"/>
      <c r="S59" s="67" t="s">
        <v>148</v>
      </c>
      <c r="T59" s="68">
        <f t="shared" si="4"/>
        <v>13.743333333333334</v>
      </c>
      <c r="U59" s="70">
        <f t="shared" si="5"/>
        <v>1.4704977542607578E-2</v>
      </c>
      <c r="V59" s="231">
        <f t="shared" si="0"/>
        <v>13.743333333333334</v>
      </c>
      <c r="W59" s="56">
        <f t="shared" si="6"/>
        <v>1.4704977542607578E-2</v>
      </c>
      <c r="X59" s="33">
        <f t="shared" si="7"/>
        <v>13.743333333333334</v>
      </c>
      <c r="Y59" s="56">
        <f t="shared" si="8"/>
        <v>1.4704977542607578E-2</v>
      </c>
      <c r="Z59" s="33">
        <f t="shared" si="1"/>
        <v>13.743333333333334</v>
      </c>
      <c r="AA59" s="56">
        <f t="shared" si="9"/>
        <v>1.4704977542607578E-2</v>
      </c>
    </row>
    <row r="60" spans="2:27">
      <c r="B60" s="19" t="s">
        <v>186</v>
      </c>
      <c r="C60" s="19">
        <v>1964</v>
      </c>
      <c r="D60" s="33">
        <v>13.84</v>
      </c>
      <c r="E60" s="33">
        <v>13.85</v>
      </c>
      <c r="F60" s="33">
        <v>13.9</v>
      </c>
      <c r="G60" s="33">
        <v>14.02</v>
      </c>
      <c r="H60" s="33">
        <v>14.14</v>
      </c>
      <c r="I60" s="33">
        <v>14.19</v>
      </c>
      <c r="J60" s="33">
        <v>14.19</v>
      </c>
      <c r="K60" s="33">
        <v>14.25</v>
      </c>
      <c r="L60" s="33">
        <v>14.25</v>
      </c>
      <c r="M60" s="33">
        <v>14.26</v>
      </c>
      <c r="N60" s="210">
        <v>14.38</v>
      </c>
      <c r="O60" s="220">
        <v>14.43</v>
      </c>
      <c r="P60" s="33">
        <f t="shared" si="2"/>
        <v>14.141666666666666</v>
      </c>
      <c r="Q60" s="31">
        <f t="shared" si="10"/>
        <v>3.2866707242848126E-2</v>
      </c>
      <c r="R60" s="31"/>
      <c r="S60" s="67" t="s">
        <v>149</v>
      </c>
      <c r="T60" s="68">
        <f t="shared" ref="T60" si="11">(SUM(G60:O60)+SUM(D61:F61))/12</f>
        <v>14.961666666666664</v>
      </c>
      <c r="U60" s="70">
        <f t="shared" ref="U60" si="12">(T60/T59)-1</f>
        <v>8.8649041959737884E-2</v>
      </c>
      <c r="V60" s="231">
        <f t="shared" si="0"/>
        <v>14.961666666666664</v>
      </c>
      <c r="W60" s="56">
        <f t="shared" si="6"/>
        <v>8.8649041959737884E-2</v>
      </c>
      <c r="X60" s="33">
        <f t="shared" si="7"/>
        <v>14.961666666666664</v>
      </c>
      <c r="Y60" s="56">
        <f t="shared" si="8"/>
        <v>8.8649041959737884E-2</v>
      </c>
      <c r="Z60" s="33">
        <f t="shared" si="1"/>
        <v>14.961666666666664</v>
      </c>
      <c r="AA60" s="56">
        <f t="shared" si="9"/>
        <v>8.8649041959737884E-2</v>
      </c>
    </row>
    <row r="61" spans="2:27">
      <c r="B61" s="19" t="s">
        <v>186</v>
      </c>
      <c r="C61" s="19">
        <v>1969</v>
      </c>
      <c r="D61" s="33">
        <v>17.059999999999999</v>
      </c>
      <c r="E61" s="33">
        <v>17.149999999999999</v>
      </c>
      <c r="F61" s="33">
        <v>17.22</v>
      </c>
      <c r="G61" s="33">
        <v>17.41</v>
      </c>
      <c r="H61" s="33">
        <v>17.38</v>
      </c>
      <c r="I61" s="33">
        <v>17.46</v>
      </c>
      <c r="J61" s="33">
        <v>17.46</v>
      </c>
      <c r="K61" s="33">
        <v>17.420000000000002</v>
      </c>
      <c r="L61" s="33">
        <v>17.47</v>
      </c>
      <c r="M61" s="33">
        <v>17.600000000000001</v>
      </c>
      <c r="N61" s="210">
        <v>17.64</v>
      </c>
      <c r="O61" s="220">
        <v>17.760000000000002</v>
      </c>
      <c r="P61" s="33">
        <f t="shared" si="2"/>
        <v>17.419166666666666</v>
      </c>
      <c r="Q61" s="31">
        <f t="shared" ref="Q61" si="13">(P61/P60)-1</f>
        <v>0.23176193282262814</v>
      </c>
      <c r="R61" s="31"/>
      <c r="S61" s="67" t="s">
        <v>312</v>
      </c>
      <c r="T61" s="68">
        <f t="shared" ref="T61" si="14">(SUM(G61:O61)+SUM(D62:F62))/12</f>
        <v>17.635000000000002</v>
      </c>
      <c r="U61" s="70">
        <f t="shared" ref="U61" si="15">(T61/T60)-1</f>
        <v>0.1786788459396238</v>
      </c>
      <c r="V61" s="231">
        <f t="shared" si="0"/>
        <v>17.635000000000002</v>
      </c>
      <c r="W61" s="56">
        <f t="shared" si="6"/>
        <v>0.1786788459396238</v>
      </c>
      <c r="X61" s="33">
        <f t="shared" si="7"/>
        <v>17.635000000000002</v>
      </c>
      <c r="Y61" s="56">
        <f t="shared" si="8"/>
        <v>0.1786788459396238</v>
      </c>
      <c r="Z61" s="33">
        <f t="shared" si="1"/>
        <v>17.635000000000002</v>
      </c>
      <c r="AA61" s="56">
        <f t="shared" si="9"/>
        <v>0.1786788459396238</v>
      </c>
    </row>
    <row r="62" spans="2:27">
      <c r="B62" s="19" t="s">
        <v>186</v>
      </c>
      <c r="C62" s="19">
        <v>1970</v>
      </c>
      <c r="D62" s="33">
        <v>17.91</v>
      </c>
      <c r="E62" s="33">
        <v>18</v>
      </c>
      <c r="F62" s="33">
        <v>18.11</v>
      </c>
      <c r="G62" s="33">
        <v>18.38</v>
      </c>
      <c r="H62" s="33">
        <v>18.440000000000001</v>
      </c>
      <c r="I62" s="33">
        <v>18.489999999999998</v>
      </c>
      <c r="J62" s="33">
        <v>18.62</v>
      </c>
      <c r="K62" s="33">
        <v>18.61</v>
      </c>
      <c r="L62" s="33">
        <v>18.7</v>
      </c>
      <c r="M62" s="33">
        <v>18.899999999999999</v>
      </c>
      <c r="N62" s="210">
        <v>19.03</v>
      </c>
      <c r="O62" s="220">
        <v>19.16</v>
      </c>
      <c r="P62" s="33">
        <f t="shared" si="2"/>
        <v>18.529166666666665</v>
      </c>
      <c r="Q62" s="31">
        <f t="shared" si="10"/>
        <v>6.3722910586996973E-2</v>
      </c>
      <c r="R62" s="31"/>
      <c r="S62" s="67" t="s">
        <v>150</v>
      </c>
      <c r="T62" s="68">
        <f t="shared" si="4"/>
        <v>18.915000000000003</v>
      </c>
      <c r="U62" s="70">
        <f t="shared" si="5"/>
        <v>7.2582931669974649E-2</v>
      </c>
      <c r="V62" s="231">
        <f t="shared" si="0"/>
        <v>18.915000000000003</v>
      </c>
      <c r="W62" s="56">
        <f t="shared" si="6"/>
        <v>7.2582931669974649E-2</v>
      </c>
      <c r="X62" s="33">
        <f t="shared" si="7"/>
        <v>18.915000000000003</v>
      </c>
      <c r="Y62" s="56">
        <f t="shared" si="8"/>
        <v>7.2582931669974649E-2</v>
      </c>
      <c r="Z62" s="33">
        <f t="shared" si="1"/>
        <v>18.915000000000003</v>
      </c>
      <c r="AA62" s="56">
        <f t="shared" si="9"/>
        <v>7.2582931669974649E-2</v>
      </c>
    </row>
    <row r="63" spans="2:27">
      <c r="B63" s="19" t="s">
        <v>186</v>
      </c>
      <c r="C63" s="19">
        <v>1971</v>
      </c>
      <c r="D63" s="33">
        <v>19.43</v>
      </c>
      <c r="E63" s="33">
        <v>19.53</v>
      </c>
      <c r="F63" s="33">
        <v>19.690000000000001</v>
      </c>
      <c r="G63" s="33">
        <v>20.11</v>
      </c>
      <c r="H63" s="33">
        <v>20.25</v>
      </c>
      <c r="I63" s="33">
        <v>20.39</v>
      </c>
      <c r="J63" s="33">
        <v>20.51</v>
      </c>
      <c r="K63" s="33">
        <v>20.52</v>
      </c>
      <c r="L63" s="33">
        <v>20.55</v>
      </c>
      <c r="M63" s="33">
        <v>20.67</v>
      </c>
      <c r="N63" s="210">
        <v>20.79</v>
      </c>
      <c r="O63" s="220">
        <v>20.89</v>
      </c>
      <c r="P63" s="33">
        <f t="shared" si="2"/>
        <v>20.277500000000003</v>
      </c>
      <c r="Q63" s="31">
        <f t="shared" si="10"/>
        <v>9.43557454463686E-2</v>
      </c>
      <c r="R63" s="31"/>
      <c r="S63" s="67" t="s">
        <v>151</v>
      </c>
      <c r="T63" s="68">
        <f t="shared" si="4"/>
        <v>20.666666666666668</v>
      </c>
      <c r="U63" s="70">
        <f t="shared" si="5"/>
        <v>9.2607278174288377E-2</v>
      </c>
      <c r="V63" s="231">
        <f t="shared" si="0"/>
        <v>20.666666666666668</v>
      </c>
      <c r="W63" s="56">
        <f t="shared" si="6"/>
        <v>9.2607278174288377E-2</v>
      </c>
      <c r="X63" s="33">
        <f t="shared" si="7"/>
        <v>20.666666666666668</v>
      </c>
      <c r="Y63" s="56">
        <f t="shared" si="8"/>
        <v>9.2607278174288377E-2</v>
      </c>
      <c r="Z63" s="33">
        <f t="shared" si="1"/>
        <v>20.666666666666668</v>
      </c>
      <c r="AA63" s="56">
        <f t="shared" si="9"/>
        <v>9.2607278174288377E-2</v>
      </c>
    </row>
    <row r="64" spans="2:27">
      <c r="B64" s="19" t="s">
        <v>186</v>
      </c>
      <c r="C64" s="19">
        <v>1972</v>
      </c>
      <c r="D64" s="33">
        <v>21.01</v>
      </c>
      <c r="E64" s="33">
        <v>21.12</v>
      </c>
      <c r="F64" s="33">
        <v>21.19</v>
      </c>
      <c r="G64" s="33">
        <v>21.38</v>
      </c>
      <c r="H64" s="33">
        <v>21.49</v>
      </c>
      <c r="I64" s="33">
        <v>21.63</v>
      </c>
      <c r="J64" s="33">
        <v>21.7</v>
      </c>
      <c r="K64" s="33">
        <v>21.87</v>
      </c>
      <c r="L64" s="33">
        <v>21.99</v>
      </c>
      <c r="M64" s="33">
        <v>22.3</v>
      </c>
      <c r="N64" s="210">
        <v>22.37</v>
      </c>
      <c r="O64" s="220">
        <v>22.49</v>
      </c>
      <c r="P64" s="33">
        <f t="shared" si="2"/>
        <v>21.71166666666667</v>
      </c>
      <c r="Q64" s="31">
        <f t="shared" si="10"/>
        <v>7.0726996260222608E-2</v>
      </c>
      <c r="R64" s="31"/>
      <c r="S64" s="67" t="s">
        <v>152</v>
      </c>
      <c r="T64" s="68">
        <f t="shared" si="4"/>
        <v>22.130000000000006</v>
      </c>
      <c r="U64" s="70">
        <f t="shared" si="5"/>
        <v>7.0806451612903443E-2</v>
      </c>
      <c r="V64" s="231">
        <f t="shared" si="0"/>
        <v>22.130000000000006</v>
      </c>
      <c r="W64" s="56">
        <f t="shared" si="6"/>
        <v>7.0806451612903443E-2</v>
      </c>
      <c r="X64" s="33">
        <f t="shared" si="7"/>
        <v>22.130000000000006</v>
      </c>
      <c r="Y64" s="56">
        <f t="shared" si="8"/>
        <v>7.0806451612903443E-2</v>
      </c>
      <c r="Z64" s="33">
        <f t="shared" si="1"/>
        <v>22.130000000000006</v>
      </c>
      <c r="AA64" s="56">
        <f t="shared" si="9"/>
        <v>7.0806451612903443E-2</v>
      </c>
    </row>
    <row r="65" spans="2:27">
      <c r="B65" s="19" t="s">
        <v>186</v>
      </c>
      <c r="C65" s="19">
        <v>1973</v>
      </c>
      <c r="D65" s="33">
        <v>22.64</v>
      </c>
      <c r="E65" s="33">
        <v>22.78</v>
      </c>
      <c r="F65" s="33">
        <v>22.92</v>
      </c>
      <c r="G65" s="33">
        <v>23.35</v>
      </c>
      <c r="H65" s="33">
        <v>23.52</v>
      </c>
      <c r="I65" s="33">
        <v>23.64</v>
      </c>
      <c r="J65" s="33">
        <v>23.75</v>
      </c>
      <c r="K65" s="33">
        <v>23.82</v>
      </c>
      <c r="L65" s="33">
        <v>24.03</v>
      </c>
      <c r="M65" s="33">
        <v>24.5</v>
      </c>
      <c r="N65" s="210">
        <v>24.69</v>
      </c>
      <c r="O65" s="220">
        <v>24.87</v>
      </c>
      <c r="P65" s="33">
        <f t="shared" si="2"/>
        <v>23.709166666666665</v>
      </c>
      <c r="Q65" s="31">
        <f t="shared" si="10"/>
        <v>9.2001228218315578E-2</v>
      </c>
      <c r="R65" s="31"/>
      <c r="S65" s="67" t="s">
        <v>153</v>
      </c>
      <c r="T65" s="68">
        <f t="shared" si="4"/>
        <v>24.442499999999999</v>
      </c>
      <c r="U65" s="70">
        <f t="shared" si="5"/>
        <v>0.10449615906009901</v>
      </c>
      <c r="V65" s="231">
        <f t="shared" si="0"/>
        <v>24.442499999999999</v>
      </c>
      <c r="W65" s="56">
        <f t="shared" si="6"/>
        <v>0.10449615906009901</v>
      </c>
      <c r="X65" s="33">
        <f t="shared" si="7"/>
        <v>24.442499999999999</v>
      </c>
      <c r="Y65" s="56">
        <f t="shared" si="8"/>
        <v>0.10449615906009901</v>
      </c>
      <c r="Z65" s="33">
        <f t="shared" si="1"/>
        <v>24.442499999999999</v>
      </c>
      <c r="AA65" s="56">
        <f t="shared" si="9"/>
        <v>0.10449615906009901</v>
      </c>
    </row>
    <row r="66" spans="2:27">
      <c r="B66" s="19" t="s">
        <v>186</v>
      </c>
      <c r="C66" s="19">
        <v>1974</v>
      </c>
      <c r="D66" s="33">
        <v>25.35</v>
      </c>
      <c r="E66" s="33">
        <v>25.78</v>
      </c>
      <c r="F66" s="33">
        <v>26.01</v>
      </c>
      <c r="G66" s="33">
        <v>26.89</v>
      </c>
      <c r="H66" s="33">
        <v>27.27</v>
      </c>
      <c r="I66" s="33">
        <v>27.55</v>
      </c>
      <c r="J66" s="33">
        <v>27.81</v>
      </c>
      <c r="K66" s="33">
        <v>27.83</v>
      </c>
      <c r="L66" s="33">
        <v>28.14</v>
      </c>
      <c r="M66" s="33">
        <v>28.69</v>
      </c>
      <c r="N66" s="210">
        <v>29.2</v>
      </c>
      <c r="O66" s="220">
        <v>29.63</v>
      </c>
      <c r="P66" s="33">
        <f t="shared" si="2"/>
        <v>27.512499999999999</v>
      </c>
      <c r="Q66" s="31">
        <f t="shared" si="10"/>
        <v>0.16041615408948728</v>
      </c>
      <c r="R66" s="31"/>
      <c r="S66" s="67" t="s">
        <v>154</v>
      </c>
      <c r="T66" s="68">
        <f t="shared" si="4"/>
        <v>28.817499999999999</v>
      </c>
      <c r="U66" s="70">
        <f t="shared" si="5"/>
        <v>0.17899151068835017</v>
      </c>
      <c r="V66" s="231">
        <f t="shared" si="0"/>
        <v>28.817499999999999</v>
      </c>
      <c r="W66" s="56">
        <f t="shared" si="6"/>
        <v>0.17899151068835017</v>
      </c>
      <c r="X66" s="33">
        <f t="shared" si="7"/>
        <v>28.817499999999999</v>
      </c>
      <c r="Y66" s="56">
        <f t="shared" si="8"/>
        <v>0.17899151068835017</v>
      </c>
      <c r="Z66" s="33">
        <f t="shared" si="1"/>
        <v>28.817499999999999</v>
      </c>
      <c r="AA66" s="56">
        <f t="shared" si="9"/>
        <v>0.17899151068835017</v>
      </c>
    </row>
    <row r="67" spans="2:27">
      <c r="B67" s="19" t="s">
        <v>186</v>
      </c>
      <c r="C67" s="19">
        <v>1975</v>
      </c>
      <c r="D67" s="33">
        <v>30.39</v>
      </c>
      <c r="E67" s="33">
        <v>30.9</v>
      </c>
      <c r="F67" s="33">
        <v>31.51</v>
      </c>
      <c r="G67" s="33">
        <v>32.72</v>
      </c>
      <c r="H67" s="33">
        <v>34.090000000000003</v>
      </c>
      <c r="I67" s="33">
        <v>34.75</v>
      </c>
      <c r="J67" s="33">
        <v>35.11</v>
      </c>
      <c r="K67" s="33">
        <v>35.31</v>
      </c>
      <c r="L67" s="33">
        <v>35.61</v>
      </c>
      <c r="M67" s="33">
        <v>36.119999999999997</v>
      </c>
      <c r="N67" s="210">
        <v>36.549999999999997</v>
      </c>
      <c r="O67" s="220">
        <v>37.01</v>
      </c>
      <c r="P67" s="33">
        <f t="shared" si="2"/>
        <v>34.172500000000007</v>
      </c>
      <c r="Q67" s="31">
        <f t="shared" si="10"/>
        <v>0.24207178555202202</v>
      </c>
      <c r="R67" s="31"/>
      <c r="S67" s="67" t="s">
        <v>155</v>
      </c>
      <c r="T67" s="68">
        <f t="shared" si="4"/>
        <v>35.908333333333339</v>
      </c>
      <c r="U67" s="70">
        <f t="shared" si="5"/>
        <v>0.24605997513085232</v>
      </c>
      <c r="V67" s="231">
        <f t="shared" si="0"/>
        <v>35.908333333333339</v>
      </c>
      <c r="W67" s="56">
        <f t="shared" si="6"/>
        <v>0.24605997513085232</v>
      </c>
      <c r="X67" s="33">
        <f t="shared" si="7"/>
        <v>35.908333333333339</v>
      </c>
      <c r="Y67" s="56">
        <f t="shared" si="8"/>
        <v>0.24605997513085232</v>
      </c>
      <c r="Z67" s="33">
        <f t="shared" si="1"/>
        <v>35.908333333333339</v>
      </c>
      <c r="AA67" s="56">
        <f t="shared" si="9"/>
        <v>0.24605997513085232</v>
      </c>
    </row>
    <row r="68" spans="2:27">
      <c r="B68" s="19" t="s">
        <v>186</v>
      </c>
      <c r="C68" s="19">
        <v>1976</v>
      </c>
      <c r="D68" s="33">
        <v>37.49</v>
      </c>
      <c r="E68" s="33">
        <v>37.97</v>
      </c>
      <c r="F68" s="33">
        <v>38.17</v>
      </c>
      <c r="G68" s="33">
        <v>38.909999999999997</v>
      </c>
      <c r="H68" s="33">
        <v>39.340000000000003</v>
      </c>
      <c r="I68" s="33">
        <v>39.54</v>
      </c>
      <c r="J68" s="33">
        <v>39.619999999999997</v>
      </c>
      <c r="K68" s="33">
        <v>40.18</v>
      </c>
      <c r="L68" s="33">
        <v>40.71</v>
      </c>
      <c r="M68" s="33">
        <v>41.44</v>
      </c>
      <c r="N68" s="210">
        <v>42.03</v>
      </c>
      <c r="O68" s="220">
        <v>42.59</v>
      </c>
      <c r="P68" s="33">
        <f t="shared" si="2"/>
        <v>39.832500000000003</v>
      </c>
      <c r="Q68" s="31">
        <f t="shared" si="10"/>
        <v>0.16563025824859157</v>
      </c>
      <c r="R68" s="31"/>
      <c r="S68" s="67" t="s">
        <v>156</v>
      </c>
      <c r="T68" s="68">
        <f t="shared" si="4"/>
        <v>41.395833333333336</v>
      </c>
      <c r="U68" s="70">
        <f t="shared" si="5"/>
        <v>0.15281967974007871</v>
      </c>
      <c r="V68" s="231">
        <f t="shared" si="0"/>
        <v>41.395833333333336</v>
      </c>
      <c r="W68" s="56">
        <f t="shared" si="6"/>
        <v>0.15281967974007871</v>
      </c>
      <c r="X68" s="33">
        <f t="shared" si="7"/>
        <v>41.395833333333336</v>
      </c>
      <c r="Y68" s="56">
        <f t="shared" si="8"/>
        <v>0.15281967974007871</v>
      </c>
      <c r="Z68" s="33">
        <f t="shared" si="1"/>
        <v>41.395833333333336</v>
      </c>
      <c r="AA68" s="56">
        <f t="shared" si="9"/>
        <v>0.15281967974007871</v>
      </c>
    </row>
    <row r="69" spans="2:27">
      <c r="B69" s="19" t="s">
        <v>186</v>
      </c>
      <c r="C69" s="19">
        <v>1977</v>
      </c>
      <c r="D69" s="33">
        <v>43.7</v>
      </c>
      <c r="E69" s="33">
        <v>44.13</v>
      </c>
      <c r="F69" s="33">
        <v>44.56</v>
      </c>
      <c r="G69" s="33">
        <v>45.7</v>
      </c>
      <c r="H69" s="33">
        <v>46.06</v>
      </c>
      <c r="I69" s="33">
        <v>46.54</v>
      </c>
      <c r="J69" s="33">
        <v>46.59</v>
      </c>
      <c r="K69" s="33">
        <v>46.82</v>
      </c>
      <c r="L69" s="33">
        <v>47.07</v>
      </c>
      <c r="M69" s="33">
        <v>47.27</v>
      </c>
      <c r="N69" s="210">
        <v>47.5</v>
      </c>
      <c r="O69" s="220">
        <v>47.76</v>
      </c>
      <c r="P69" s="33">
        <f t="shared" si="2"/>
        <v>46.141666666666673</v>
      </c>
      <c r="Q69" s="31">
        <f t="shared" si="10"/>
        <v>0.15839243498817979</v>
      </c>
      <c r="R69" s="31"/>
      <c r="S69" s="67" t="s">
        <v>157</v>
      </c>
      <c r="T69" s="68">
        <f t="shared" si="4"/>
        <v>47.19</v>
      </c>
      <c r="U69" s="70">
        <f t="shared" si="5"/>
        <v>0.1399698037242072</v>
      </c>
      <c r="V69" s="231">
        <f t="shared" si="0"/>
        <v>47.19</v>
      </c>
      <c r="W69" s="56">
        <f t="shared" si="6"/>
        <v>0.1399698037242072</v>
      </c>
      <c r="X69" s="33">
        <f t="shared" si="7"/>
        <v>47.19</v>
      </c>
      <c r="Y69" s="56">
        <f t="shared" si="8"/>
        <v>0.1399698037242072</v>
      </c>
      <c r="Z69" s="33">
        <f t="shared" si="1"/>
        <v>47.19</v>
      </c>
      <c r="AA69" s="56">
        <f t="shared" si="9"/>
        <v>0.1399698037242072</v>
      </c>
    </row>
    <row r="70" spans="2:27">
      <c r="B70" s="19" t="s">
        <v>186</v>
      </c>
      <c r="C70" s="19">
        <v>1978</v>
      </c>
      <c r="D70" s="33">
        <v>48.04</v>
      </c>
      <c r="E70" s="33">
        <v>48.31</v>
      </c>
      <c r="F70" s="33">
        <v>48.62</v>
      </c>
      <c r="G70" s="33">
        <v>49.33</v>
      </c>
      <c r="H70" s="33">
        <v>49.61</v>
      </c>
      <c r="I70" s="33">
        <v>49.99</v>
      </c>
      <c r="J70" s="33">
        <v>50.22</v>
      </c>
      <c r="K70" s="33">
        <v>50.54</v>
      </c>
      <c r="L70" s="33">
        <v>50.75</v>
      </c>
      <c r="M70" s="33">
        <v>50.98</v>
      </c>
      <c r="N70" s="210">
        <v>51.33</v>
      </c>
      <c r="O70" s="220">
        <v>51.76</v>
      </c>
      <c r="P70" s="33">
        <f t="shared" si="2"/>
        <v>49.956666666666671</v>
      </c>
      <c r="Q70" s="31">
        <f t="shared" si="10"/>
        <v>8.26801517067004E-2</v>
      </c>
      <c r="R70" s="31"/>
      <c r="S70" s="67" t="s">
        <v>158</v>
      </c>
      <c r="T70" s="68">
        <f t="shared" si="4"/>
        <v>51.113333333333337</v>
      </c>
      <c r="U70" s="70">
        <f t="shared" si="5"/>
        <v>8.3139083139083247E-2</v>
      </c>
      <c r="V70" s="231">
        <f t="shared" si="0"/>
        <v>51.113333333333337</v>
      </c>
      <c r="W70" s="56">
        <f t="shared" si="6"/>
        <v>8.3139083139083247E-2</v>
      </c>
      <c r="X70" s="33">
        <f t="shared" si="7"/>
        <v>51.113333333333337</v>
      </c>
      <c r="Y70" s="56">
        <f t="shared" si="8"/>
        <v>8.3139083139083247E-2</v>
      </c>
      <c r="Z70" s="33">
        <f t="shared" si="1"/>
        <v>51.113333333333337</v>
      </c>
      <c r="AA70" s="56">
        <f t="shared" si="9"/>
        <v>8.3139083139083247E-2</v>
      </c>
    </row>
    <row r="71" spans="2:27">
      <c r="B71" s="19" t="s">
        <v>186</v>
      </c>
      <c r="C71" s="19">
        <v>1979</v>
      </c>
      <c r="D71" s="33">
        <v>52.52</v>
      </c>
      <c r="E71" s="33">
        <v>52.95</v>
      </c>
      <c r="F71" s="33">
        <v>53.38</v>
      </c>
      <c r="G71" s="33">
        <v>54.3</v>
      </c>
      <c r="H71" s="33">
        <v>54.73</v>
      </c>
      <c r="I71" s="33">
        <v>55.67</v>
      </c>
      <c r="J71" s="33">
        <v>58.07</v>
      </c>
      <c r="K71" s="33">
        <v>58.53</v>
      </c>
      <c r="L71" s="33">
        <v>59.11</v>
      </c>
      <c r="M71" s="33">
        <v>59.72</v>
      </c>
      <c r="N71" s="210">
        <v>60.25</v>
      </c>
      <c r="O71" s="220">
        <v>60.68</v>
      </c>
      <c r="P71" s="33">
        <f t="shared" si="2"/>
        <v>56.659166666666664</v>
      </c>
      <c r="Q71" s="31">
        <f t="shared" si="10"/>
        <v>0.13416627744044818</v>
      </c>
      <c r="R71" s="31"/>
      <c r="S71" s="67" t="s">
        <v>159</v>
      </c>
      <c r="T71" s="68">
        <f t="shared" si="4"/>
        <v>59.186666666666667</v>
      </c>
      <c r="U71" s="70">
        <f t="shared" si="5"/>
        <v>0.1579496543628538</v>
      </c>
      <c r="V71" s="231">
        <f t="shared" si="0"/>
        <v>59.186666666666667</v>
      </c>
      <c r="W71" s="56">
        <f t="shared" si="6"/>
        <v>0.1579496543628538</v>
      </c>
      <c r="X71" s="33">
        <f t="shared" si="7"/>
        <v>59.186666666666667</v>
      </c>
      <c r="Y71" s="56">
        <f t="shared" si="8"/>
        <v>0.1579496543628538</v>
      </c>
      <c r="Z71" s="33">
        <f t="shared" si="1"/>
        <v>59.186666666666667</v>
      </c>
      <c r="AA71" s="56">
        <f t="shared" si="9"/>
        <v>0.1579496543628538</v>
      </c>
    </row>
    <row r="72" spans="2:27">
      <c r="B72" s="19" t="s">
        <v>186</v>
      </c>
      <c r="C72" s="19">
        <v>1980</v>
      </c>
      <c r="D72" s="33">
        <v>62.18</v>
      </c>
      <c r="E72" s="33">
        <v>63.07</v>
      </c>
      <c r="F72" s="33">
        <v>63.93</v>
      </c>
      <c r="G72" s="33">
        <v>66.11</v>
      </c>
      <c r="H72" s="33">
        <v>66.72</v>
      </c>
      <c r="I72" s="33">
        <v>67.349999999999994</v>
      </c>
      <c r="J72" s="33">
        <v>67.91</v>
      </c>
      <c r="K72" s="33">
        <v>68.06</v>
      </c>
      <c r="L72" s="33">
        <v>68.489999999999995</v>
      </c>
      <c r="M72" s="33">
        <v>68.92</v>
      </c>
      <c r="N72" s="210">
        <v>69.48</v>
      </c>
      <c r="O72" s="220">
        <v>69.86</v>
      </c>
      <c r="P72" s="33">
        <f t="shared" ref="P72:P109" si="16">AVERAGE(D72:O72)</f>
        <v>66.839999999999989</v>
      </c>
      <c r="Q72" s="31">
        <f t="shared" ref="Q72:Q103" si="17">(P72/P71)-1</f>
        <v>0.17968554661646374</v>
      </c>
      <c r="R72" s="31"/>
      <c r="S72" s="67" t="s">
        <v>160</v>
      </c>
      <c r="T72" s="68">
        <f t="shared" ref="T72:T102" si="18">(SUM(G72:O72)+SUM(D73:F73))/12</f>
        <v>68.842500000000001</v>
      </c>
      <c r="U72" s="70">
        <f t="shared" si="5"/>
        <v>0.16314203649470604</v>
      </c>
      <c r="V72" s="231">
        <f t="shared" si="0"/>
        <v>68.842500000000001</v>
      </c>
      <c r="W72" s="56">
        <f t="shared" si="6"/>
        <v>0.16314203649470604</v>
      </c>
      <c r="X72" s="33">
        <f t="shared" si="7"/>
        <v>68.842500000000001</v>
      </c>
      <c r="Y72" s="56">
        <f t="shared" si="8"/>
        <v>0.16314203649470604</v>
      </c>
      <c r="Z72" s="33">
        <f t="shared" si="1"/>
        <v>68.842500000000001</v>
      </c>
      <c r="AA72" s="56">
        <f t="shared" si="9"/>
        <v>0.16314203649470604</v>
      </c>
    </row>
    <row r="73" spans="2:27">
      <c r="B73" s="19" t="s">
        <v>186</v>
      </c>
      <c r="C73" s="19">
        <v>1981</v>
      </c>
      <c r="D73" s="33">
        <v>70.290000000000006</v>
      </c>
      <c r="E73" s="33">
        <v>70.930000000000007</v>
      </c>
      <c r="F73" s="33">
        <v>71.989999999999995</v>
      </c>
      <c r="G73" s="33">
        <v>74.069999999999993</v>
      </c>
      <c r="H73" s="33">
        <v>74.55</v>
      </c>
      <c r="I73" s="33">
        <v>74.98</v>
      </c>
      <c r="J73" s="33">
        <v>75.31</v>
      </c>
      <c r="K73" s="33">
        <v>75.87</v>
      </c>
      <c r="L73" s="33">
        <v>76.3</v>
      </c>
      <c r="M73" s="33">
        <v>76.98</v>
      </c>
      <c r="N73" s="210">
        <v>77.790000000000006</v>
      </c>
      <c r="O73" s="220">
        <v>78.28</v>
      </c>
      <c r="P73" s="33">
        <f t="shared" si="16"/>
        <v>74.778333333333336</v>
      </c>
      <c r="Q73" s="31">
        <f t="shared" si="17"/>
        <v>0.11876620785956526</v>
      </c>
      <c r="R73" s="31"/>
      <c r="S73" s="67" t="s">
        <v>161</v>
      </c>
      <c r="T73" s="68">
        <f t="shared" si="18"/>
        <v>76.754999999999995</v>
      </c>
      <c r="U73" s="70">
        <f t="shared" ref="U73:U103" si="19">(T73/T72)-1</f>
        <v>0.11493626756727293</v>
      </c>
      <c r="V73" s="231">
        <f t="shared" si="0"/>
        <v>76.754999999999995</v>
      </c>
      <c r="W73" s="56">
        <f t="shared" si="6"/>
        <v>0.11493626756727293</v>
      </c>
      <c r="X73" s="33">
        <f t="shared" si="7"/>
        <v>76.754999999999995</v>
      </c>
      <c r="Y73" s="56">
        <f t="shared" si="8"/>
        <v>0.11493626756727293</v>
      </c>
      <c r="Z73" s="33">
        <f t="shared" si="1"/>
        <v>76.754999999999995</v>
      </c>
      <c r="AA73" s="56">
        <f t="shared" si="9"/>
        <v>0.11493626756727293</v>
      </c>
    </row>
    <row r="74" spans="2:27">
      <c r="B74" s="19" t="s">
        <v>186</v>
      </c>
      <c r="C74" s="19">
        <v>1982</v>
      </c>
      <c r="D74" s="33">
        <v>78.73</v>
      </c>
      <c r="E74" s="33">
        <v>78.760000000000005</v>
      </c>
      <c r="F74" s="33">
        <v>79.44</v>
      </c>
      <c r="G74" s="33">
        <v>81.040000000000006</v>
      </c>
      <c r="H74" s="33">
        <v>81.62</v>
      </c>
      <c r="I74" s="33">
        <v>81.849999999999994</v>
      </c>
      <c r="J74" s="33">
        <v>81.88</v>
      </c>
      <c r="K74" s="33">
        <v>81.900000000000006</v>
      </c>
      <c r="L74" s="33">
        <v>81.849999999999994</v>
      </c>
      <c r="M74" s="33">
        <v>82.26</v>
      </c>
      <c r="N74" s="210">
        <v>82.66</v>
      </c>
      <c r="O74" s="220">
        <v>82.51</v>
      </c>
      <c r="P74" s="33">
        <f t="shared" si="16"/>
        <v>81.208333333333329</v>
      </c>
      <c r="Q74" s="31">
        <f t="shared" si="17"/>
        <v>8.5987474090088334E-2</v>
      </c>
      <c r="R74" s="31"/>
      <c r="S74" s="67" t="s">
        <v>162</v>
      </c>
      <c r="T74" s="68">
        <f t="shared" si="18"/>
        <v>82.189166666666665</v>
      </c>
      <c r="U74" s="70">
        <f t="shared" si="19"/>
        <v>7.0798862180531108E-2</v>
      </c>
      <c r="V74" s="231">
        <f t="shared" si="0"/>
        <v>82.189166666666665</v>
      </c>
      <c r="W74" s="56">
        <f t="shared" si="6"/>
        <v>7.0798862180531108E-2</v>
      </c>
      <c r="X74" s="33">
        <f t="shared" si="7"/>
        <v>82.189166666666665</v>
      </c>
      <c r="Y74" s="56">
        <f t="shared" si="8"/>
        <v>7.0798862180531108E-2</v>
      </c>
      <c r="Z74" s="33">
        <f t="shared" si="1"/>
        <v>82.189166666666665</v>
      </c>
      <c r="AA74" s="56">
        <f t="shared" si="9"/>
        <v>7.0798862180531108E-2</v>
      </c>
    </row>
    <row r="75" spans="2:27">
      <c r="B75" s="19" t="s">
        <v>186</v>
      </c>
      <c r="C75" s="19">
        <v>1983</v>
      </c>
      <c r="D75" s="33">
        <v>82.61</v>
      </c>
      <c r="E75" s="33">
        <v>82.97</v>
      </c>
      <c r="F75" s="33">
        <v>83.12</v>
      </c>
      <c r="G75" s="33">
        <v>84.28</v>
      </c>
      <c r="H75" s="33">
        <v>84.64</v>
      </c>
      <c r="I75" s="33">
        <v>84.84</v>
      </c>
      <c r="J75" s="33">
        <v>85.3</v>
      </c>
      <c r="K75" s="33">
        <v>85.68</v>
      </c>
      <c r="L75" s="33">
        <v>86.06</v>
      </c>
      <c r="M75" s="33">
        <v>86.36</v>
      </c>
      <c r="N75" s="210">
        <v>86.67</v>
      </c>
      <c r="O75" s="220">
        <v>86.89</v>
      </c>
      <c r="P75" s="33">
        <f t="shared" si="16"/>
        <v>84.951666666666668</v>
      </c>
      <c r="Q75" s="31">
        <f t="shared" si="17"/>
        <v>4.6095433555669585E-2</v>
      </c>
      <c r="R75" s="31"/>
      <c r="S75" s="67" t="s">
        <v>163</v>
      </c>
      <c r="T75" s="68">
        <f t="shared" si="18"/>
        <v>86.02</v>
      </c>
      <c r="U75" s="70">
        <f t="shared" si="19"/>
        <v>4.6609954677725218E-2</v>
      </c>
      <c r="V75" s="231">
        <f t="shared" ref="V75:V102" si="20">T75</f>
        <v>86.02</v>
      </c>
      <c r="W75" s="56">
        <f t="shared" si="6"/>
        <v>4.6609954677725218E-2</v>
      </c>
      <c r="X75" s="33">
        <f t="shared" si="7"/>
        <v>86.02</v>
      </c>
      <c r="Y75" s="56">
        <f t="shared" si="8"/>
        <v>4.6609954677725218E-2</v>
      </c>
      <c r="Z75" s="33">
        <f t="shared" si="1"/>
        <v>86.02</v>
      </c>
      <c r="AA75" s="56">
        <f t="shared" si="9"/>
        <v>4.6609954677725218E-2</v>
      </c>
    </row>
    <row r="76" spans="2:27">
      <c r="B76" s="19" t="s">
        <v>186</v>
      </c>
      <c r="C76" s="19">
        <v>1984</v>
      </c>
      <c r="D76" s="33">
        <v>86.84</v>
      </c>
      <c r="E76" s="33">
        <v>87.2</v>
      </c>
      <c r="F76" s="33">
        <v>87.48</v>
      </c>
      <c r="G76" s="33">
        <v>88.64</v>
      </c>
      <c r="H76" s="33">
        <v>88.97</v>
      </c>
      <c r="I76" s="33">
        <v>89.2</v>
      </c>
      <c r="J76" s="33">
        <v>89.1</v>
      </c>
      <c r="K76" s="33">
        <v>89.94</v>
      </c>
      <c r="L76" s="33">
        <v>90.11</v>
      </c>
      <c r="M76" s="33">
        <v>90.67</v>
      </c>
      <c r="N76" s="210">
        <v>90.95</v>
      </c>
      <c r="O76" s="220">
        <v>90.87</v>
      </c>
      <c r="P76" s="33">
        <f t="shared" si="16"/>
        <v>89.164166666666688</v>
      </c>
      <c r="Q76" s="31">
        <f t="shared" si="17"/>
        <v>4.9587020070236187E-2</v>
      </c>
      <c r="R76" s="31"/>
      <c r="S76" s="67" t="s">
        <v>164</v>
      </c>
      <c r="T76" s="68">
        <f t="shared" si="18"/>
        <v>90.365833333333327</v>
      </c>
      <c r="U76" s="70">
        <f t="shared" si="19"/>
        <v>5.05211966209409E-2</v>
      </c>
      <c r="V76" s="231">
        <f t="shared" si="20"/>
        <v>90.365833333333327</v>
      </c>
      <c r="W76" s="56">
        <f t="shared" si="6"/>
        <v>5.05211966209409E-2</v>
      </c>
      <c r="X76" s="33">
        <f t="shared" si="7"/>
        <v>90.365833333333327</v>
      </c>
      <c r="Y76" s="56">
        <f t="shared" si="8"/>
        <v>5.05211966209409E-2</v>
      </c>
      <c r="Z76" s="33">
        <f t="shared" ref="Z76:Z103" si="21">T76</f>
        <v>90.365833333333327</v>
      </c>
      <c r="AA76" s="56">
        <f t="shared" ref="AA76:AA102" si="22">U76</f>
        <v>5.05211966209409E-2</v>
      </c>
    </row>
    <row r="77" spans="2:27">
      <c r="B77" s="19" t="s">
        <v>186</v>
      </c>
      <c r="C77" s="19">
        <v>1985</v>
      </c>
      <c r="D77" s="33">
        <v>91.2</v>
      </c>
      <c r="E77" s="33">
        <v>91.94</v>
      </c>
      <c r="F77" s="33">
        <v>92.8</v>
      </c>
      <c r="G77" s="33">
        <v>94.78</v>
      </c>
      <c r="H77" s="33">
        <v>95.21</v>
      </c>
      <c r="I77" s="33">
        <v>95.41</v>
      </c>
      <c r="J77" s="33">
        <v>95.23</v>
      </c>
      <c r="K77" s="33">
        <v>95.49</v>
      </c>
      <c r="L77" s="33">
        <v>95.44</v>
      </c>
      <c r="M77" s="33">
        <v>95.59</v>
      </c>
      <c r="N77" s="210">
        <v>95.92</v>
      </c>
      <c r="O77" s="220">
        <v>96.05</v>
      </c>
      <c r="P77" s="33">
        <f t="shared" si="16"/>
        <v>94.588333333333324</v>
      </c>
      <c r="Q77" s="31">
        <f t="shared" si="17"/>
        <v>6.0833481312559723E-2</v>
      </c>
      <c r="R77" s="31"/>
      <c r="S77" s="67" t="s">
        <v>165</v>
      </c>
      <c r="T77" s="68">
        <f t="shared" si="18"/>
        <v>95.72499999999998</v>
      </c>
      <c r="U77" s="70">
        <f t="shared" si="19"/>
        <v>5.9305231512647438E-2</v>
      </c>
      <c r="V77" s="231">
        <f t="shared" si="20"/>
        <v>95.72499999999998</v>
      </c>
      <c r="W77" s="56">
        <f t="shared" ref="W77:W103" si="23">U77</f>
        <v>5.9305231512647438E-2</v>
      </c>
      <c r="X77" s="33">
        <f t="shared" ref="X77:X103" si="24">T77</f>
        <v>95.72499999999998</v>
      </c>
      <c r="Y77" s="56">
        <f t="shared" ref="Y77:Y103" si="25">U77</f>
        <v>5.9305231512647438E-2</v>
      </c>
      <c r="Z77" s="33">
        <f t="shared" si="21"/>
        <v>95.72499999999998</v>
      </c>
      <c r="AA77" s="56">
        <f t="shared" si="22"/>
        <v>5.9305231512647438E-2</v>
      </c>
    </row>
    <row r="78" spans="2:27">
      <c r="B78" s="19" t="s">
        <v>186</v>
      </c>
      <c r="C78" s="19">
        <v>1986</v>
      </c>
      <c r="D78" s="33">
        <v>96.25</v>
      </c>
      <c r="E78" s="33">
        <v>96.6</v>
      </c>
      <c r="F78" s="33">
        <v>96.73</v>
      </c>
      <c r="G78" s="33">
        <v>97.67</v>
      </c>
      <c r="H78" s="33">
        <v>97.85</v>
      </c>
      <c r="I78" s="33">
        <v>97.79</v>
      </c>
      <c r="J78" s="33">
        <v>97.52</v>
      </c>
      <c r="K78" s="33">
        <v>97.82</v>
      </c>
      <c r="L78" s="33">
        <v>98.3</v>
      </c>
      <c r="M78" s="33">
        <v>98.45</v>
      </c>
      <c r="N78" s="210">
        <v>99.29</v>
      </c>
      <c r="O78" s="220">
        <v>99.62</v>
      </c>
      <c r="P78" s="33">
        <f t="shared" si="16"/>
        <v>97.824166666666656</v>
      </c>
      <c r="Q78" s="31">
        <f t="shared" si="17"/>
        <v>3.4209645305093961E-2</v>
      </c>
      <c r="R78" s="31"/>
      <c r="S78" s="67" t="s">
        <v>166</v>
      </c>
      <c r="T78" s="68">
        <f t="shared" si="18"/>
        <v>98.775833333333324</v>
      </c>
      <c r="U78" s="70">
        <f t="shared" si="19"/>
        <v>3.1870810481413825E-2</v>
      </c>
      <c r="V78" s="231">
        <f t="shared" si="20"/>
        <v>98.775833333333324</v>
      </c>
      <c r="W78" s="56">
        <f t="shared" si="23"/>
        <v>3.1870810481413825E-2</v>
      </c>
      <c r="X78" s="33">
        <f t="shared" si="24"/>
        <v>98.775833333333324</v>
      </c>
      <c r="Y78" s="56">
        <f t="shared" si="25"/>
        <v>3.1870810481413825E-2</v>
      </c>
      <c r="Z78" s="33">
        <f t="shared" si="21"/>
        <v>98.775833333333324</v>
      </c>
      <c r="AA78" s="56">
        <f t="shared" si="22"/>
        <v>3.1870810481413825E-2</v>
      </c>
    </row>
    <row r="79" spans="2:27">
      <c r="B79" s="19" t="s">
        <v>186</v>
      </c>
      <c r="C79" s="19">
        <v>1987</v>
      </c>
      <c r="D79" s="33">
        <v>100</v>
      </c>
      <c r="E79" s="33">
        <v>100.4</v>
      </c>
      <c r="F79" s="33">
        <v>100.6</v>
      </c>
      <c r="G79" s="33">
        <v>101.8</v>
      </c>
      <c r="H79" s="33">
        <v>101.9</v>
      </c>
      <c r="I79" s="33">
        <v>101.9</v>
      </c>
      <c r="J79" s="33">
        <v>101.8</v>
      </c>
      <c r="K79" s="33">
        <v>102.1</v>
      </c>
      <c r="L79" s="33">
        <v>102.4</v>
      </c>
      <c r="M79" s="33">
        <v>102.9</v>
      </c>
      <c r="N79" s="210">
        <v>103.4</v>
      </c>
      <c r="O79" s="220">
        <v>103.3</v>
      </c>
      <c r="P79" s="33">
        <f t="shared" si="16"/>
        <v>101.875</v>
      </c>
      <c r="Q79" s="31">
        <f t="shared" si="17"/>
        <v>4.1409331368356561E-2</v>
      </c>
      <c r="R79" s="31"/>
      <c r="S79" s="67" t="s">
        <v>167</v>
      </c>
      <c r="T79" s="68">
        <f t="shared" si="18"/>
        <v>102.71666666666665</v>
      </c>
      <c r="U79" s="70">
        <f t="shared" si="19"/>
        <v>3.9896735875003086E-2</v>
      </c>
      <c r="V79" s="231">
        <f t="shared" si="20"/>
        <v>102.71666666666665</v>
      </c>
      <c r="W79" s="56">
        <f t="shared" si="23"/>
        <v>3.9896735875003086E-2</v>
      </c>
      <c r="X79" s="33">
        <f t="shared" si="24"/>
        <v>102.71666666666665</v>
      </c>
      <c r="Y79" s="56">
        <f t="shared" si="25"/>
        <v>3.9896735875003086E-2</v>
      </c>
      <c r="Z79" s="33">
        <f t="shared" si="21"/>
        <v>102.71666666666665</v>
      </c>
      <c r="AA79" s="56">
        <f t="shared" si="22"/>
        <v>3.9896735875003086E-2</v>
      </c>
    </row>
    <row r="80" spans="2:27">
      <c r="B80" s="19" t="s">
        <v>186</v>
      </c>
      <c r="C80" s="19">
        <v>1988</v>
      </c>
      <c r="D80" s="33">
        <v>103.3</v>
      </c>
      <c r="E80" s="33">
        <v>103.7</v>
      </c>
      <c r="F80" s="33">
        <v>104.1</v>
      </c>
      <c r="G80" s="33">
        <v>105.8</v>
      </c>
      <c r="H80" s="33">
        <v>106.2</v>
      </c>
      <c r="I80" s="33">
        <v>106.6</v>
      </c>
      <c r="J80" s="33">
        <v>106.7</v>
      </c>
      <c r="K80" s="33">
        <v>107.9</v>
      </c>
      <c r="L80" s="33">
        <v>108.4</v>
      </c>
      <c r="M80" s="33">
        <v>109.5</v>
      </c>
      <c r="N80" s="210">
        <v>110</v>
      </c>
      <c r="O80" s="220">
        <v>110.3</v>
      </c>
      <c r="P80" s="33">
        <f t="shared" si="16"/>
        <v>106.875</v>
      </c>
      <c r="Q80" s="31">
        <f t="shared" si="17"/>
        <v>4.9079754601226933E-2</v>
      </c>
      <c r="R80" s="31"/>
      <c r="S80" s="67" t="s">
        <v>168</v>
      </c>
      <c r="T80" s="68">
        <f t="shared" si="18"/>
        <v>108.875</v>
      </c>
      <c r="U80" s="70">
        <f t="shared" si="19"/>
        <v>5.9954567580723817E-2</v>
      </c>
      <c r="V80" s="231">
        <f t="shared" si="20"/>
        <v>108.875</v>
      </c>
      <c r="W80" s="56">
        <f t="shared" si="23"/>
        <v>5.9954567580723817E-2</v>
      </c>
      <c r="X80" s="33">
        <f t="shared" si="24"/>
        <v>108.875</v>
      </c>
      <c r="Y80" s="56">
        <f t="shared" si="25"/>
        <v>5.9954567580723817E-2</v>
      </c>
      <c r="Z80" s="33">
        <f t="shared" si="21"/>
        <v>108.875</v>
      </c>
      <c r="AA80" s="56">
        <f t="shared" si="22"/>
        <v>5.9954567580723817E-2</v>
      </c>
    </row>
    <row r="81" spans="2:27">
      <c r="B81" s="19" t="s">
        <v>186</v>
      </c>
      <c r="C81" s="19">
        <v>1989</v>
      </c>
      <c r="D81" s="33">
        <v>111</v>
      </c>
      <c r="E81" s="33">
        <v>111.8</v>
      </c>
      <c r="F81" s="33">
        <v>112.3</v>
      </c>
      <c r="G81" s="33">
        <v>114.3</v>
      </c>
      <c r="H81" s="33">
        <v>115</v>
      </c>
      <c r="I81" s="33">
        <v>115.4</v>
      </c>
      <c r="J81" s="33">
        <v>115.5</v>
      </c>
      <c r="K81" s="33">
        <v>115.8</v>
      </c>
      <c r="L81" s="33">
        <v>116.6</v>
      </c>
      <c r="M81" s="33">
        <v>117.5</v>
      </c>
      <c r="N81" s="210">
        <v>118.5</v>
      </c>
      <c r="O81" s="220">
        <v>118.8</v>
      </c>
      <c r="P81" s="33">
        <f t="shared" si="16"/>
        <v>115.20833333333333</v>
      </c>
      <c r="Q81" s="31">
        <f t="shared" si="17"/>
        <v>7.7972709551656916E-2</v>
      </c>
      <c r="R81" s="31"/>
      <c r="S81" s="67" t="s">
        <v>169</v>
      </c>
      <c r="T81" s="68">
        <f t="shared" si="18"/>
        <v>117.375</v>
      </c>
      <c r="U81" s="70">
        <f t="shared" si="19"/>
        <v>7.8071182548794527E-2</v>
      </c>
      <c r="V81" s="231">
        <f t="shared" si="20"/>
        <v>117.375</v>
      </c>
      <c r="W81" s="56">
        <f t="shared" si="23"/>
        <v>7.8071182548794527E-2</v>
      </c>
      <c r="X81" s="33">
        <f t="shared" si="24"/>
        <v>117.375</v>
      </c>
      <c r="Y81" s="56">
        <f t="shared" si="25"/>
        <v>7.8071182548794527E-2</v>
      </c>
      <c r="Z81" s="33">
        <f t="shared" si="21"/>
        <v>117.375</v>
      </c>
      <c r="AA81" s="56">
        <f t="shared" si="22"/>
        <v>7.8071182548794527E-2</v>
      </c>
    </row>
    <row r="82" spans="2:27">
      <c r="B82" s="19" t="s">
        <v>186</v>
      </c>
      <c r="C82" s="19">
        <v>1990</v>
      </c>
      <c r="D82" s="33">
        <v>119.5</v>
      </c>
      <c r="E82" s="33">
        <v>120.2</v>
      </c>
      <c r="F82" s="33">
        <v>121.4</v>
      </c>
      <c r="G82" s="33">
        <v>125.1</v>
      </c>
      <c r="H82" s="33">
        <v>126.2</v>
      </c>
      <c r="I82" s="33">
        <v>126.7</v>
      </c>
      <c r="J82" s="33">
        <v>126.8</v>
      </c>
      <c r="K82" s="33">
        <v>128.1</v>
      </c>
      <c r="L82" s="33">
        <v>129.30000000000001</v>
      </c>
      <c r="M82" s="33">
        <v>130.30000000000001</v>
      </c>
      <c r="N82" s="210">
        <v>130</v>
      </c>
      <c r="O82" s="220">
        <v>129.9</v>
      </c>
      <c r="P82" s="33">
        <f t="shared" si="16"/>
        <v>126.12500000000001</v>
      </c>
      <c r="Q82" s="31">
        <f t="shared" si="17"/>
        <v>9.4755877034358171E-2</v>
      </c>
      <c r="R82" s="31"/>
      <c r="S82" s="67" t="s">
        <v>170</v>
      </c>
      <c r="T82" s="68">
        <f t="shared" si="18"/>
        <v>128.74166666666667</v>
      </c>
      <c r="U82" s="70">
        <f t="shared" si="19"/>
        <v>9.6840610578629915E-2</v>
      </c>
      <c r="V82" s="231">
        <f t="shared" si="20"/>
        <v>128.74166666666667</v>
      </c>
      <c r="W82" s="56">
        <f t="shared" si="23"/>
        <v>9.6840610578629915E-2</v>
      </c>
      <c r="X82" s="33">
        <f t="shared" si="24"/>
        <v>128.74166666666667</v>
      </c>
      <c r="Y82" s="56">
        <f t="shared" si="25"/>
        <v>9.6840610578629915E-2</v>
      </c>
      <c r="Z82" s="33">
        <f t="shared" si="21"/>
        <v>128.74166666666667</v>
      </c>
      <c r="AA82" s="56">
        <f t="shared" si="22"/>
        <v>9.6840610578629915E-2</v>
      </c>
    </row>
    <row r="83" spans="2:27">
      <c r="B83" s="19" t="s">
        <v>186</v>
      </c>
      <c r="C83" s="19">
        <v>1991</v>
      </c>
      <c r="D83" s="33">
        <v>130.19999999999999</v>
      </c>
      <c r="E83" s="33">
        <v>130.9</v>
      </c>
      <c r="F83" s="33">
        <v>131.4</v>
      </c>
      <c r="G83" s="33">
        <v>133.1</v>
      </c>
      <c r="H83" s="33">
        <v>133.5</v>
      </c>
      <c r="I83" s="33">
        <v>134.1</v>
      </c>
      <c r="J83" s="33">
        <v>133.80000000000001</v>
      </c>
      <c r="K83" s="33">
        <v>134.1</v>
      </c>
      <c r="L83" s="33">
        <v>134.6</v>
      </c>
      <c r="M83" s="33">
        <v>135.1</v>
      </c>
      <c r="N83" s="210">
        <v>135.6</v>
      </c>
      <c r="O83" s="220">
        <v>135.69999999999999</v>
      </c>
      <c r="P83" s="33">
        <f t="shared" si="16"/>
        <v>133.5083333333333</v>
      </c>
      <c r="Q83" s="31">
        <f t="shared" si="17"/>
        <v>5.853980839114592E-2</v>
      </c>
      <c r="R83" s="31"/>
      <c r="S83" s="67" t="s">
        <v>171</v>
      </c>
      <c r="T83" s="68">
        <f t="shared" si="18"/>
        <v>134.85</v>
      </c>
      <c r="U83" s="70">
        <f t="shared" si="19"/>
        <v>4.7446436662567093E-2</v>
      </c>
      <c r="V83" s="231">
        <f t="shared" si="20"/>
        <v>134.85</v>
      </c>
      <c r="W83" s="56">
        <f t="shared" si="23"/>
        <v>4.7446436662567093E-2</v>
      </c>
      <c r="X83" s="33">
        <f t="shared" si="24"/>
        <v>134.85</v>
      </c>
      <c r="Y83" s="56">
        <f t="shared" si="25"/>
        <v>4.7446436662567093E-2</v>
      </c>
      <c r="Z83" s="33">
        <f t="shared" si="21"/>
        <v>134.85</v>
      </c>
      <c r="AA83" s="56">
        <f t="shared" si="22"/>
        <v>4.7446436662567093E-2</v>
      </c>
    </row>
    <row r="84" spans="2:27">
      <c r="B84" s="19" t="s">
        <v>186</v>
      </c>
      <c r="C84" s="19">
        <v>1992</v>
      </c>
      <c r="D84" s="33">
        <v>135.6</v>
      </c>
      <c r="E84" s="33">
        <v>136.30000000000001</v>
      </c>
      <c r="F84" s="33">
        <v>136.69999999999999</v>
      </c>
      <c r="G84" s="33">
        <v>138.80000000000001</v>
      </c>
      <c r="H84" s="33">
        <v>139.30000000000001</v>
      </c>
      <c r="I84" s="33">
        <v>139.30000000000001</v>
      </c>
      <c r="J84" s="33">
        <v>138.80000000000001</v>
      </c>
      <c r="K84" s="33">
        <v>138.9</v>
      </c>
      <c r="L84" s="33">
        <v>139.4</v>
      </c>
      <c r="M84" s="33">
        <v>139.9</v>
      </c>
      <c r="N84" s="210">
        <v>139.69999999999999</v>
      </c>
      <c r="O84" s="220">
        <v>139.19999999999999</v>
      </c>
      <c r="P84" s="33">
        <f t="shared" si="16"/>
        <v>138.4916666666667</v>
      </c>
      <c r="Q84" s="31">
        <f t="shared" si="17"/>
        <v>3.7326009612384192E-2</v>
      </c>
      <c r="R84" s="31"/>
      <c r="S84" s="67" t="s">
        <v>172</v>
      </c>
      <c r="T84" s="68">
        <f t="shared" si="18"/>
        <v>139.10833333333332</v>
      </c>
      <c r="U84" s="70">
        <f t="shared" si="19"/>
        <v>3.1578296873068679E-2</v>
      </c>
      <c r="V84" s="231">
        <f t="shared" si="20"/>
        <v>139.10833333333332</v>
      </c>
      <c r="W84" s="56">
        <f t="shared" si="23"/>
        <v>3.1578296873068679E-2</v>
      </c>
      <c r="X84" s="33">
        <f t="shared" si="24"/>
        <v>139.10833333333332</v>
      </c>
      <c r="Y84" s="56">
        <f t="shared" si="25"/>
        <v>3.1578296873068679E-2</v>
      </c>
      <c r="Z84" s="33">
        <f t="shared" si="21"/>
        <v>139.10833333333332</v>
      </c>
      <c r="AA84" s="56">
        <f t="shared" si="22"/>
        <v>3.1578296873068679E-2</v>
      </c>
    </row>
    <row r="85" spans="2:27">
      <c r="B85" s="19" t="s">
        <v>186</v>
      </c>
      <c r="C85" s="19">
        <v>1993</v>
      </c>
      <c r="D85" s="33">
        <v>137.9</v>
      </c>
      <c r="E85" s="33">
        <v>138.80000000000001</v>
      </c>
      <c r="F85" s="33">
        <v>139.30000000000001</v>
      </c>
      <c r="G85" s="33">
        <v>140.6</v>
      </c>
      <c r="H85" s="33">
        <v>141.1</v>
      </c>
      <c r="I85" s="33">
        <v>141</v>
      </c>
      <c r="J85" s="33">
        <v>140.69999999999999</v>
      </c>
      <c r="K85" s="33">
        <v>141.30000000000001</v>
      </c>
      <c r="L85" s="33">
        <v>141.9</v>
      </c>
      <c r="M85" s="33">
        <v>141.80000000000001</v>
      </c>
      <c r="N85" s="210">
        <v>141.6</v>
      </c>
      <c r="O85" s="220">
        <v>141.9</v>
      </c>
      <c r="P85" s="33">
        <f t="shared" si="16"/>
        <v>140.65833333333333</v>
      </c>
      <c r="Q85" s="31">
        <f t="shared" si="17"/>
        <v>1.5644743967747399E-2</v>
      </c>
      <c r="R85" s="31"/>
      <c r="S85" s="67" t="s">
        <v>173</v>
      </c>
      <c r="T85" s="68">
        <f t="shared" si="18"/>
        <v>141.48333333333335</v>
      </c>
      <c r="U85" s="70">
        <f t="shared" si="19"/>
        <v>1.7073024621098831E-2</v>
      </c>
      <c r="V85" s="231">
        <f t="shared" si="20"/>
        <v>141.48333333333335</v>
      </c>
      <c r="W85" s="56">
        <f t="shared" si="23"/>
        <v>1.7073024621098831E-2</v>
      </c>
      <c r="X85" s="33">
        <f t="shared" si="24"/>
        <v>141.48333333333335</v>
      </c>
      <c r="Y85" s="56">
        <f t="shared" si="25"/>
        <v>1.7073024621098831E-2</v>
      </c>
      <c r="Z85" s="33">
        <f t="shared" si="21"/>
        <v>141.48333333333335</v>
      </c>
      <c r="AA85" s="56">
        <f t="shared" si="22"/>
        <v>1.7073024621098831E-2</v>
      </c>
    </row>
    <row r="86" spans="2:27">
      <c r="B86" s="19" t="s">
        <v>186</v>
      </c>
      <c r="C86" s="19">
        <v>1994</v>
      </c>
      <c r="D86" s="33">
        <v>141.30000000000001</v>
      </c>
      <c r="E86" s="33">
        <v>142.1</v>
      </c>
      <c r="F86" s="33">
        <v>142.5</v>
      </c>
      <c r="G86" s="33">
        <v>144.19999999999999</v>
      </c>
      <c r="H86" s="33">
        <v>144.69999999999999</v>
      </c>
      <c r="I86" s="33">
        <v>144.69999999999999</v>
      </c>
      <c r="J86" s="33">
        <v>144</v>
      </c>
      <c r="K86" s="33">
        <v>144.69999999999999</v>
      </c>
      <c r="L86" s="33">
        <v>145</v>
      </c>
      <c r="M86" s="33">
        <v>145.19999999999999</v>
      </c>
      <c r="N86" s="210">
        <v>145.30000000000001</v>
      </c>
      <c r="O86" s="220">
        <v>146</v>
      </c>
      <c r="P86" s="33">
        <f t="shared" si="16"/>
        <v>144.14166666666668</v>
      </c>
      <c r="Q86" s="31">
        <f t="shared" si="17"/>
        <v>2.4764500266603484E-2</v>
      </c>
      <c r="R86" s="31"/>
      <c r="S86" s="67" t="s">
        <v>174</v>
      </c>
      <c r="T86" s="68">
        <f t="shared" si="18"/>
        <v>145.35</v>
      </c>
      <c r="U86" s="70">
        <f t="shared" si="19"/>
        <v>2.7329485216161853E-2</v>
      </c>
      <c r="V86" s="231">
        <f t="shared" si="20"/>
        <v>145.35</v>
      </c>
      <c r="W86" s="56">
        <f t="shared" si="23"/>
        <v>2.7329485216161853E-2</v>
      </c>
      <c r="X86" s="33">
        <f t="shared" si="24"/>
        <v>145.35</v>
      </c>
      <c r="Y86" s="56">
        <f t="shared" si="25"/>
        <v>2.7329485216161853E-2</v>
      </c>
      <c r="Z86" s="33">
        <f t="shared" si="21"/>
        <v>145.35</v>
      </c>
      <c r="AA86" s="56">
        <f t="shared" si="22"/>
        <v>2.7329485216161853E-2</v>
      </c>
    </row>
    <row r="87" spans="2:27">
      <c r="B87" s="19" t="s">
        <v>186</v>
      </c>
      <c r="C87" s="19">
        <v>1995</v>
      </c>
      <c r="D87" s="33">
        <v>146</v>
      </c>
      <c r="E87" s="33">
        <v>146.9</v>
      </c>
      <c r="F87" s="33">
        <v>147.5</v>
      </c>
      <c r="G87" s="33">
        <v>149</v>
      </c>
      <c r="H87" s="33">
        <v>149.6</v>
      </c>
      <c r="I87" s="33">
        <v>149.80000000000001</v>
      </c>
      <c r="J87" s="33">
        <v>149.1</v>
      </c>
      <c r="K87" s="33">
        <v>149.9</v>
      </c>
      <c r="L87" s="33">
        <v>150.6</v>
      </c>
      <c r="M87" s="33">
        <v>149.80000000000001</v>
      </c>
      <c r="N87" s="210">
        <v>149.80000000000001</v>
      </c>
      <c r="O87" s="220">
        <v>150.69999999999999</v>
      </c>
      <c r="P87" s="33">
        <f t="shared" si="16"/>
        <v>149.05833333333331</v>
      </c>
      <c r="Q87" s="31">
        <f t="shared" si="17"/>
        <v>3.410996126495891E-2</v>
      </c>
      <c r="R87" s="31"/>
      <c r="S87" s="67" t="s">
        <v>175</v>
      </c>
      <c r="T87" s="68">
        <f t="shared" si="18"/>
        <v>150.07500000000002</v>
      </c>
      <c r="U87" s="70">
        <f t="shared" si="19"/>
        <v>3.2507739938080649E-2</v>
      </c>
      <c r="V87" s="231">
        <f t="shared" si="20"/>
        <v>150.07500000000002</v>
      </c>
      <c r="W87" s="56">
        <f t="shared" si="23"/>
        <v>3.2507739938080649E-2</v>
      </c>
      <c r="X87" s="33">
        <f t="shared" si="24"/>
        <v>150.07500000000002</v>
      </c>
      <c r="Y87" s="56">
        <f t="shared" si="25"/>
        <v>3.2507739938080649E-2</v>
      </c>
      <c r="Z87" s="33">
        <f t="shared" si="21"/>
        <v>150.07500000000002</v>
      </c>
      <c r="AA87" s="56">
        <f t="shared" si="22"/>
        <v>3.2507739938080649E-2</v>
      </c>
    </row>
    <row r="88" spans="2:27">
      <c r="B88" s="19" t="s">
        <v>186</v>
      </c>
      <c r="C88" s="19">
        <v>1996</v>
      </c>
      <c r="D88" s="33">
        <v>150.19999999999999</v>
      </c>
      <c r="E88" s="33">
        <v>150.9</v>
      </c>
      <c r="F88" s="33">
        <v>151.5</v>
      </c>
      <c r="G88" s="33">
        <v>152.6</v>
      </c>
      <c r="H88" s="33">
        <v>152.9</v>
      </c>
      <c r="I88" s="33">
        <v>153</v>
      </c>
      <c r="J88" s="33">
        <v>152.4</v>
      </c>
      <c r="K88" s="33">
        <v>153.1</v>
      </c>
      <c r="L88" s="33">
        <v>153.80000000000001</v>
      </c>
      <c r="M88" s="33">
        <v>153.80000000000001</v>
      </c>
      <c r="N88" s="210">
        <v>153.9</v>
      </c>
      <c r="O88" s="220">
        <v>154.4</v>
      </c>
      <c r="P88" s="33">
        <f t="shared" si="16"/>
        <v>152.70833333333334</v>
      </c>
      <c r="Q88" s="31">
        <f t="shared" si="17"/>
        <v>2.4487057639626775E-2</v>
      </c>
      <c r="R88" s="31"/>
      <c r="S88" s="67" t="s">
        <v>176</v>
      </c>
      <c r="T88" s="68">
        <f t="shared" si="18"/>
        <v>153.72499999999999</v>
      </c>
      <c r="U88" s="70">
        <f t="shared" si="19"/>
        <v>2.4321172746959663E-2</v>
      </c>
      <c r="V88" s="231">
        <f t="shared" si="20"/>
        <v>153.72499999999999</v>
      </c>
      <c r="W88" s="56">
        <f t="shared" si="23"/>
        <v>2.4321172746959663E-2</v>
      </c>
      <c r="X88" s="33">
        <f t="shared" si="24"/>
        <v>153.72499999999999</v>
      </c>
      <c r="Y88" s="56">
        <f t="shared" si="25"/>
        <v>2.4321172746959663E-2</v>
      </c>
      <c r="Z88" s="33">
        <f t="shared" si="21"/>
        <v>153.72499999999999</v>
      </c>
      <c r="AA88" s="56">
        <f t="shared" si="22"/>
        <v>2.4321172746959663E-2</v>
      </c>
    </row>
    <row r="89" spans="2:27">
      <c r="B89" s="19" t="s">
        <v>186</v>
      </c>
      <c r="C89" s="19">
        <v>1997</v>
      </c>
      <c r="D89" s="33">
        <v>154.4</v>
      </c>
      <c r="E89" s="33">
        <v>155</v>
      </c>
      <c r="F89" s="33">
        <v>155.4</v>
      </c>
      <c r="G89" s="33">
        <v>156.30000000000001</v>
      </c>
      <c r="H89" s="33">
        <v>156.9</v>
      </c>
      <c r="I89" s="33">
        <v>157.5</v>
      </c>
      <c r="J89" s="33">
        <v>157.5</v>
      </c>
      <c r="K89" s="33">
        <v>158.5</v>
      </c>
      <c r="L89" s="33">
        <v>159.30000000000001</v>
      </c>
      <c r="M89" s="33">
        <v>159.5</v>
      </c>
      <c r="N89" s="210">
        <v>159.6</v>
      </c>
      <c r="O89" s="220">
        <v>160</v>
      </c>
      <c r="P89" s="33">
        <f t="shared" si="16"/>
        <v>157.49166666666665</v>
      </c>
      <c r="Q89" s="31">
        <f t="shared" si="17"/>
        <v>3.1323328785811455E-2</v>
      </c>
      <c r="R89" s="31"/>
      <c r="S89" s="67" t="s">
        <v>177</v>
      </c>
      <c r="T89" s="68">
        <f t="shared" si="18"/>
        <v>158.80833333333331</v>
      </c>
      <c r="U89" s="70">
        <f t="shared" si="19"/>
        <v>3.3067707486311937E-2</v>
      </c>
      <c r="V89" s="231">
        <f t="shared" si="20"/>
        <v>158.80833333333331</v>
      </c>
      <c r="W89" s="56">
        <f t="shared" si="23"/>
        <v>3.3067707486311937E-2</v>
      </c>
      <c r="X89" s="33">
        <f t="shared" si="24"/>
        <v>158.80833333333331</v>
      </c>
      <c r="Y89" s="56">
        <f t="shared" si="25"/>
        <v>3.3067707486311937E-2</v>
      </c>
      <c r="Z89" s="33">
        <f t="shared" si="21"/>
        <v>158.80833333333331</v>
      </c>
      <c r="AA89" s="56">
        <f t="shared" si="22"/>
        <v>3.3067707486311937E-2</v>
      </c>
    </row>
    <row r="90" spans="2:27">
      <c r="B90" s="19" t="s">
        <v>186</v>
      </c>
      <c r="C90" s="19">
        <v>1998</v>
      </c>
      <c r="D90" s="33">
        <v>159.5</v>
      </c>
      <c r="E90" s="33">
        <v>160.30000000000001</v>
      </c>
      <c r="F90" s="33">
        <v>160.80000000000001</v>
      </c>
      <c r="G90" s="33">
        <v>162.6</v>
      </c>
      <c r="H90" s="33">
        <v>163.5</v>
      </c>
      <c r="I90" s="33">
        <v>163.4</v>
      </c>
      <c r="J90" s="33">
        <v>163</v>
      </c>
      <c r="K90" s="33">
        <v>163.69999999999999</v>
      </c>
      <c r="L90" s="33">
        <v>164.4</v>
      </c>
      <c r="M90" s="33">
        <v>164.5</v>
      </c>
      <c r="N90" s="210">
        <v>164.4</v>
      </c>
      <c r="O90" s="220">
        <v>164.4</v>
      </c>
      <c r="P90" s="33">
        <f t="shared" si="16"/>
        <v>162.87500000000003</v>
      </c>
      <c r="Q90" s="31">
        <f t="shared" si="17"/>
        <v>3.4181702735594843E-2</v>
      </c>
      <c r="R90" s="31"/>
      <c r="S90" s="67" t="s">
        <v>178</v>
      </c>
      <c r="T90" s="68">
        <f t="shared" si="18"/>
        <v>163.75833333333335</v>
      </c>
      <c r="U90" s="70">
        <f t="shared" si="19"/>
        <v>3.1169648947893425E-2</v>
      </c>
      <c r="V90" s="231">
        <f t="shared" si="20"/>
        <v>163.75833333333335</v>
      </c>
      <c r="W90" s="56">
        <f t="shared" si="23"/>
        <v>3.1169648947893425E-2</v>
      </c>
      <c r="X90" s="33">
        <f t="shared" si="24"/>
        <v>163.75833333333335</v>
      </c>
      <c r="Y90" s="56">
        <f t="shared" si="25"/>
        <v>3.1169648947893425E-2</v>
      </c>
      <c r="Z90" s="33">
        <f t="shared" si="21"/>
        <v>163.75833333333335</v>
      </c>
      <c r="AA90" s="56">
        <f t="shared" si="22"/>
        <v>3.1169648947893425E-2</v>
      </c>
    </row>
    <row r="91" spans="2:27">
      <c r="B91" s="19" t="s">
        <v>186</v>
      </c>
      <c r="C91" s="19">
        <v>1999</v>
      </c>
      <c r="D91" s="33">
        <v>163.4</v>
      </c>
      <c r="E91" s="33">
        <v>163.69999999999999</v>
      </c>
      <c r="F91" s="33">
        <v>164.1</v>
      </c>
      <c r="G91" s="33">
        <v>165.2</v>
      </c>
      <c r="H91" s="33">
        <v>165.6</v>
      </c>
      <c r="I91" s="33">
        <v>165.6</v>
      </c>
      <c r="J91" s="33">
        <v>165.1</v>
      </c>
      <c r="K91" s="33">
        <v>165.5</v>
      </c>
      <c r="L91" s="33">
        <v>166.2</v>
      </c>
      <c r="M91" s="33">
        <v>166.5</v>
      </c>
      <c r="N91" s="210">
        <v>166.7</v>
      </c>
      <c r="O91" s="220">
        <v>167.3</v>
      </c>
      <c r="P91" s="33">
        <f t="shared" si="16"/>
        <v>165.40833333333333</v>
      </c>
      <c r="Q91" s="31">
        <f t="shared" si="17"/>
        <v>1.5553850089536692E-2</v>
      </c>
      <c r="R91" s="31"/>
      <c r="S91" s="67" t="s">
        <v>179</v>
      </c>
      <c r="T91" s="68">
        <f t="shared" si="18"/>
        <v>166.35</v>
      </c>
      <c r="U91" s="70">
        <f t="shared" si="19"/>
        <v>1.5826166607297187E-2</v>
      </c>
      <c r="V91" s="231">
        <f t="shared" si="20"/>
        <v>166.35</v>
      </c>
      <c r="W91" s="56">
        <f t="shared" si="23"/>
        <v>1.5826166607297187E-2</v>
      </c>
      <c r="X91" s="33">
        <f t="shared" si="24"/>
        <v>166.35</v>
      </c>
      <c r="Y91" s="56">
        <f t="shared" si="25"/>
        <v>1.5826166607297187E-2</v>
      </c>
      <c r="Z91" s="33">
        <f t="shared" si="21"/>
        <v>166.35</v>
      </c>
      <c r="AA91" s="56">
        <f t="shared" si="22"/>
        <v>1.5826166607297187E-2</v>
      </c>
    </row>
    <row r="92" spans="2:27">
      <c r="B92" s="19" t="s">
        <v>186</v>
      </c>
      <c r="C92" s="19">
        <v>2000</v>
      </c>
      <c r="D92" s="33">
        <v>166.6</v>
      </c>
      <c r="E92" s="33">
        <v>167.5</v>
      </c>
      <c r="F92" s="33">
        <v>168.4</v>
      </c>
      <c r="G92" s="33">
        <v>170.1</v>
      </c>
      <c r="H92" s="33">
        <v>170.7</v>
      </c>
      <c r="I92" s="33">
        <v>171.1</v>
      </c>
      <c r="J92" s="33">
        <v>170.5</v>
      </c>
      <c r="K92" s="33">
        <v>170.5</v>
      </c>
      <c r="L92" s="33">
        <v>171.7</v>
      </c>
      <c r="M92" s="33">
        <v>171.6</v>
      </c>
      <c r="N92" s="210">
        <v>172.1</v>
      </c>
      <c r="O92" s="220">
        <v>172.2</v>
      </c>
      <c r="P92" s="33">
        <f t="shared" si="16"/>
        <v>170.25</v>
      </c>
      <c r="Q92" s="31">
        <f t="shared" si="17"/>
        <v>2.9270996019950646E-2</v>
      </c>
      <c r="R92" s="31"/>
      <c r="S92" s="67" t="s">
        <v>180</v>
      </c>
      <c r="T92" s="68">
        <f t="shared" si="18"/>
        <v>171.31666666666663</v>
      </c>
      <c r="U92" s="70">
        <f t="shared" si="19"/>
        <v>2.9856727782787029E-2</v>
      </c>
      <c r="V92" s="231">
        <f t="shared" si="20"/>
        <v>171.31666666666663</v>
      </c>
      <c r="W92" s="56">
        <f t="shared" si="23"/>
        <v>2.9856727782787029E-2</v>
      </c>
      <c r="X92" s="33">
        <f t="shared" si="24"/>
        <v>171.31666666666663</v>
      </c>
      <c r="Y92" s="56">
        <f t="shared" si="25"/>
        <v>2.9856727782787029E-2</v>
      </c>
      <c r="Z92" s="33">
        <f t="shared" si="21"/>
        <v>171.31666666666663</v>
      </c>
      <c r="AA92" s="56">
        <f t="shared" si="22"/>
        <v>2.9856727782787029E-2</v>
      </c>
    </row>
    <row r="93" spans="2:27">
      <c r="B93" s="19" t="s">
        <v>186</v>
      </c>
      <c r="C93" s="19">
        <v>2001</v>
      </c>
      <c r="D93" s="33">
        <v>171.1</v>
      </c>
      <c r="E93" s="33">
        <v>172</v>
      </c>
      <c r="F93" s="33">
        <v>172.2</v>
      </c>
      <c r="G93" s="33">
        <v>173.1</v>
      </c>
      <c r="H93" s="33">
        <v>174.2</v>
      </c>
      <c r="I93" s="33">
        <v>174.4</v>
      </c>
      <c r="J93" s="33">
        <v>173.3</v>
      </c>
      <c r="K93" s="33">
        <v>174</v>
      </c>
      <c r="L93" s="33">
        <v>174.6</v>
      </c>
      <c r="M93" s="33">
        <v>174.3</v>
      </c>
      <c r="N93" s="210">
        <v>173.6</v>
      </c>
      <c r="O93" s="220">
        <v>173.4</v>
      </c>
      <c r="P93" s="33">
        <f t="shared" si="16"/>
        <v>173.35</v>
      </c>
      <c r="Q93" s="31">
        <f t="shared" si="17"/>
        <v>1.8208516886931037E-2</v>
      </c>
      <c r="R93" s="31"/>
      <c r="S93" s="67" t="s">
        <v>181</v>
      </c>
      <c r="T93" s="68">
        <f t="shared" si="18"/>
        <v>173.875</v>
      </c>
      <c r="U93" s="70">
        <f t="shared" si="19"/>
        <v>1.4933359276194436E-2</v>
      </c>
      <c r="V93" s="231">
        <f t="shared" si="20"/>
        <v>173.875</v>
      </c>
      <c r="W93" s="56">
        <f t="shared" si="23"/>
        <v>1.4933359276194436E-2</v>
      </c>
      <c r="X93" s="33">
        <f t="shared" si="24"/>
        <v>173.875</v>
      </c>
      <c r="Y93" s="56">
        <f t="shared" si="25"/>
        <v>1.4933359276194436E-2</v>
      </c>
      <c r="Z93" s="33">
        <f t="shared" si="21"/>
        <v>173.875</v>
      </c>
      <c r="AA93" s="56">
        <f t="shared" si="22"/>
        <v>1.4933359276194436E-2</v>
      </c>
    </row>
    <row r="94" spans="2:27">
      <c r="B94" s="19" t="s">
        <v>186</v>
      </c>
      <c r="C94" s="19">
        <v>2002</v>
      </c>
      <c r="D94" s="33">
        <v>173.3</v>
      </c>
      <c r="E94" s="33">
        <v>173.8</v>
      </c>
      <c r="F94" s="33">
        <v>174.5</v>
      </c>
      <c r="G94" s="33">
        <v>175.7</v>
      </c>
      <c r="H94" s="33">
        <v>176.2</v>
      </c>
      <c r="I94" s="33">
        <v>176.2</v>
      </c>
      <c r="J94" s="33">
        <v>175.9</v>
      </c>
      <c r="K94" s="33">
        <v>176.4</v>
      </c>
      <c r="L94" s="33">
        <v>177.6</v>
      </c>
      <c r="M94" s="33">
        <v>177.9</v>
      </c>
      <c r="N94" s="210">
        <v>178.2</v>
      </c>
      <c r="O94" s="220">
        <v>178.5</v>
      </c>
      <c r="P94" s="33">
        <f t="shared" si="16"/>
        <v>176.18333333333337</v>
      </c>
      <c r="Q94" s="31">
        <f t="shared" si="17"/>
        <v>1.6344582251706763E-2</v>
      </c>
      <c r="R94" s="31"/>
      <c r="S94" s="67" t="s">
        <v>182</v>
      </c>
      <c r="T94" s="68">
        <f t="shared" si="18"/>
        <v>177.51666666666665</v>
      </c>
      <c r="U94" s="70">
        <f t="shared" si="19"/>
        <v>2.0944164869398429E-2</v>
      </c>
      <c r="V94" s="231">
        <f t="shared" si="20"/>
        <v>177.51666666666665</v>
      </c>
      <c r="W94" s="56">
        <f t="shared" si="23"/>
        <v>2.0944164869398429E-2</v>
      </c>
      <c r="X94" s="33">
        <f t="shared" si="24"/>
        <v>177.51666666666665</v>
      </c>
      <c r="Y94" s="56">
        <f t="shared" si="25"/>
        <v>2.0944164869398429E-2</v>
      </c>
      <c r="Z94" s="33">
        <f t="shared" si="21"/>
        <v>177.51666666666665</v>
      </c>
      <c r="AA94" s="56">
        <f t="shared" si="22"/>
        <v>2.0944164869398429E-2</v>
      </c>
    </row>
    <row r="95" spans="2:27">
      <c r="B95" s="19" t="s">
        <v>186</v>
      </c>
      <c r="C95" s="19">
        <v>2003</v>
      </c>
      <c r="D95" s="33">
        <v>178.4</v>
      </c>
      <c r="E95" s="33">
        <v>179.3</v>
      </c>
      <c r="F95" s="33">
        <v>179.9</v>
      </c>
      <c r="G95" s="33">
        <v>181.2</v>
      </c>
      <c r="H95" s="33">
        <v>181.5</v>
      </c>
      <c r="I95" s="33">
        <v>181.3</v>
      </c>
      <c r="J95" s="33">
        <v>181.3</v>
      </c>
      <c r="K95" s="33">
        <v>181.6</v>
      </c>
      <c r="L95" s="33">
        <v>182.5</v>
      </c>
      <c r="M95" s="33">
        <v>182.6</v>
      </c>
      <c r="N95" s="210">
        <v>182.7</v>
      </c>
      <c r="O95" s="220">
        <v>183.5</v>
      </c>
      <c r="P95" s="33">
        <f t="shared" si="16"/>
        <v>181.31666666666663</v>
      </c>
      <c r="Q95" s="31">
        <f t="shared" si="17"/>
        <v>2.9136316337148527E-2</v>
      </c>
      <c r="R95" s="31"/>
      <c r="S95" s="67" t="s">
        <v>78</v>
      </c>
      <c r="T95" s="68">
        <f t="shared" si="18"/>
        <v>182.47499999999999</v>
      </c>
      <c r="U95" s="70">
        <f t="shared" si="19"/>
        <v>2.7931649610365206E-2</v>
      </c>
      <c r="V95" s="231">
        <f t="shared" si="20"/>
        <v>182.47499999999999</v>
      </c>
      <c r="W95" s="56">
        <f t="shared" si="23"/>
        <v>2.7931649610365206E-2</v>
      </c>
      <c r="X95" s="33">
        <f t="shared" si="24"/>
        <v>182.47499999999999</v>
      </c>
      <c r="Y95" s="56">
        <f t="shared" si="25"/>
        <v>2.7931649610365206E-2</v>
      </c>
      <c r="Z95" s="33">
        <f t="shared" si="21"/>
        <v>182.47499999999999</v>
      </c>
      <c r="AA95" s="56">
        <f t="shared" si="22"/>
        <v>2.7931649610365206E-2</v>
      </c>
    </row>
    <row r="96" spans="2:27">
      <c r="B96" s="19" t="s">
        <v>186</v>
      </c>
      <c r="C96" s="19">
        <v>2004</v>
      </c>
      <c r="D96" s="33">
        <v>183.1</v>
      </c>
      <c r="E96" s="33">
        <v>183.8</v>
      </c>
      <c r="F96" s="33">
        <v>184.6</v>
      </c>
      <c r="G96" s="33">
        <v>185.7</v>
      </c>
      <c r="H96" s="33">
        <v>186.5</v>
      </c>
      <c r="I96" s="33">
        <v>186.8</v>
      </c>
      <c r="J96" s="33">
        <v>186.8</v>
      </c>
      <c r="K96" s="33">
        <v>187.4</v>
      </c>
      <c r="L96" s="33">
        <v>188.1</v>
      </c>
      <c r="M96" s="33">
        <v>188.6</v>
      </c>
      <c r="N96" s="210">
        <v>189</v>
      </c>
      <c r="O96" s="220">
        <v>189.9</v>
      </c>
      <c r="P96" s="33">
        <f t="shared" si="16"/>
        <v>186.69166666666663</v>
      </c>
      <c r="Q96" s="31">
        <f t="shared" si="17"/>
        <v>2.9644268774703608E-2</v>
      </c>
      <c r="R96" s="31"/>
      <c r="S96" s="67" t="s">
        <v>79</v>
      </c>
      <c r="T96" s="68">
        <f t="shared" si="18"/>
        <v>188.15</v>
      </c>
      <c r="U96" s="70">
        <f t="shared" si="19"/>
        <v>3.1100150705576146E-2</v>
      </c>
      <c r="V96" s="231">
        <f t="shared" si="20"/>
        <v>188.15</v>
      </c>
      <c r="W96" s="56">
        <f t="shared" si="23"/>
        <v>3.1100150705576146E-2</v>
      </c>
      <c r="X96" s="33">
        <f t="shared" si="24"/>
        <v>188.15</v>
      </c>
      <c r="Y96" s="56">
        <f t="shared" si="25"/>
        <v>3.1100150705576146E-2</v>
      </c>
      <c r="Z96" s="33">
        <f t="shared" si="21"/>
        <v>188.15</v>
      </c>
      <c r="AA96" s="56">
        <f t="shared" si="22"/>
        <v>3.1100150705576146E-2</v>
      </c>
    </row>
    <row r="97" spans="2:31">
      <c r="B97" s="19" t="s">
        <v>186</v>
      </c>
      <c r="C97" s="19">
        <v>2005</v>
      </c>
      <c r="D97" s="33">
        <v>188.9</v>
      </c>
      <c r="E97" s="33">
        <v>189.6</v>
      </c>
      <c r="F97" s="33">
        <v>190.5</v>
      </c>
      <c r="G97" s="33">
        <v>191.6</v>
      </c>
      <c r="H97" s="33">
        <v>192</v>
      </c>
      <c r="I97" s="33">
        <v>192.2</v>
      </c>
      <c r="J97" s="33">
        <v>192.2</v>
      </c>
      <c r="K97" s="33">
        <v>192.6</v>
      </c>
      <c r="L97" s="33">
        <v>193.1</v>
      </c>
      <c r="M97" s="33">
        <v>193.3</v>
      </c>
      <c r="N97" s="210">
        <v>193.6</v>
      </c>
      <c r="O97" s="220">
        <v>194.1</v>
      </c>
      <c r="P97" s="33">
        <f t="shared" si="16"/>
        <v>191.97499999999999</v>
      </c>
      <c r="Q97" s="31">
        <f t="shared" si="17"/>
        <v>2.8299781279293112E-2</v>
      </c>
      <c r="R97" s="31"/>
      <c r="S97" s="67" t="s">
        <v>80</v>
      </c>
      <c r="T97" s="68">
        <f t="shared" si="18"/>
        <v>193.10833333333332</v>
      </c>
      <c r="U97" s="70">
        <f t="shared" si="19"/>
        <v>2.635308707591455E-2</v>
      </c>
      <c r="V97" s="231">
        <f t="shared" si="20"/>
        <v>193.10833333333332</v>
      </c>
      <c r="W97" s="56">
        <f t="shared" si="23"/>
        <v>2.635308707591455E-2</v>
      </c>
      <c r="X97" s="33">
        <f t="shared" si="24"/>
        <v>193.10833333333332</v>
      </c>
      <c r="Y97" s="56">
        <f t="shared" si="25"/>
        <v>2.635308707591455E-2</v>
      </c>
      <c r="Z97" s="33">
        <f t="shared" si="21"/>
        <v>193.10833333333332</v>
      </c>
      <c r="AA97" s="56">
        <f t="shared" si="22"/>
        <v>2.635308707591455E-2</v>
      </c>
    </row>
    <row r="98" spans="2:31">
      <c r="B98" s="19" t="s">
        <v>186</v>
      </c>
      <c r="C98" s="19">
        <v>2006</v>
      </c>
      <c r="D98" s="33">
        <v>193.4</v>
      </c>
      <c r="E98" s="33">
        <v>194.2</v>
      </c>
      <c r="F98" s="33">
        <v>195</v>
      </c>
      <c r="G98" s="33">
        <v>196.5</v>
      </c>
      <c r="H98" s="33">
        <v>197.7</v>
      </c>
      <c r="I98" s="33">
        <v>198.5</v>
      </c>
      <c r="J98" s="33">
        <v>198.5</v>
      </c>
      <c r="K98" s="33">
        <v>199.2</v>
      </c>
      <c r="L98" s="33">
        <v>200.1</v>
      </c>
      <c r="M98" s="33">
        <v>200.4</v>
      </c>
      <c r="N98" s="210">
        <v>201.1</v>
      </c>
      <c r="O98" s="220">
        <v>202.7</v>
      </c>
      <c r="P98" s="33">
        <f t="shared" si="16"/>
        <v>198.10833333333332</v>
      </c>
      <c r="Q98" s="31">
        <f t="shared" si="17"/>
        <v>3.1948604418978066E-2</v>
      </c>
      <c r="R98" s="31"/>
      <c r="S98" s="67" t="s">
        <v>44</v>
      </c>
      <c r="T98" s="68">
        <f t="shared" si="18"/>
        <v>200.31666666666669</v>
      </c>
      <c r="U98" s="70">
        <f t="shared" si="19"/>
        <v>3.7327924739999352E-2</v>
      </c>
      <c r="V98" s="231">
        <f t="shared" si="20"/>
        <v>200.31666666666669</v>
      </c>
      <c r="W98" s="56">
        <f t="shared" si="23"/>
        <v>3.7327924739999352E-2</v>
      </c>
      <c r="X98" s="33">
        <f t="shared" si="24"/>
        <v>200.31666666666669</v>
      </c>
      <c r="Y98" s="56">
        <f t="shared" si="25"/>
        <v>3.7327924739999352E-2</v>
      </c>
      <c r="Z98" s="33">
        <f t="shared" si="21"/>
        <v>200.31666666666669</v>
      </c>
      <c r="AA98" s="56">
        <f t="shared" si="22"/>
        <v>3.7327924739999352E-2</v>
      </c>
    </row>
    <row r="99" spans="2:31">
      <c r="B99" s="19" t="s">
        <v>186</v>
      </c>
      <c r="C99" s="19">
        <v>2007</v>
      </c>
      <c r="D99" s="33">
        <v>201.6</v>
      </c>
      <c r="E99" s="33">
        <v>203.1</v>
      </c>
      <c r="F99" s="33">
        <v>204.4</v>
      </c>
      <c r="G99" s="33">
        <v>205.4</v>
      </c>
      <c r="H99" s="33">
        <v>206.2</v>
      </c>
      <c r="I99" s="33">
        <v>207.3</v>
      </c>
      <c r="J99" s="33">
        <v>206.1</v>
      </c>
      <c r="K99" s="33">
        <v>207.3</v>
      </c>
      <c r="L99" s="33">
        <v>208</v>
      </c>
      <c r="M99" s="33">
        <v>208.9</v>
      </c>
      <c r="N99" s="210">
        <v>209.7</v>
      </c>
      <c r="O99" s="220">
        <v>210.9</v>
      </c>
      <c r="P99" s="33">
        <f t="shared" si="16"/>
        <v>206.57499999999996</v>
      </c>
      <c r="Q99" s="31">
        <f t="shared" si="17"/>
        <v>4.2737559416144322E-2</v>
      </c>
      <c r="R99" s="31"/>
      <c r="S99" s="67" t="s">
        <v>45</v>
      </c>
      <c r="T99" s="68">
        <f t="shared" si="18"/>
        <v>208.5916666666667</v>
      </c>
      <c r="U99" s="70">
        <f>(T99/T98)-1</f>
        <v>4.1309593144188472E-2</v>
      </c>
      <c r="V99" s="231">
        <f t="shared" si="20"/>
        <v>208.5916666666667</v>
      </c>
      <c r="W99" s="56">
        <f t="shared" si="23"/>
        <v>4.1309593144188472E-2</v>
      </c>
      <c r="X99" s="33">
        <f t="shared" si="24"/>
        <v>208.5916666666667</v>
      </c>
      <c r="Y99" s="56">
        <f t="shared" si="25"/>
        <v>4.1309593144188472E-2</v>
      </c>
      <c r="Z99" s="33">
        <f t="shared" si="21"/>
        <v>208.5916666666667</v>
      </c>
      <c r="AA99" s="56">
        <f t="shared" si="22"/>
        <v>4.1309593144188472E-2</v>
      </c>
    </row>
    <row r="100" spans="2:31">
      <c r="B100" s="19" t="s">
        <v>186</v>
      </c>
      <c r="C100" s="19">
        <v>2008</v>
      </c>
      <c r="D100" s="33">
        <v>209.8</v>
      </c>
      <c r="E100" s="33">
        <v>211.4</v>
      </c>
      <c r="F100" s="33">
        <v>212.1</v>
      </c>
      <c r="G100" s="33">
        <v>214</v>
      </c>
      <c r="H100" s="33">
        <v>215.1</v>
      </c>
      <c r="I100" s="33">
        <v>216.8</v>
      </c>
      <c r="J100" s="33">
        <v>216.5</v>
      </c>
      <c r="K100" s="33">
        <v>217.2</v>
      </c>
      <c r="L100" s="33">
        <v>218.4</v>
      </c>
      <c r="M100" s="33">
        <v>217.7</v>
      </c>
      <c r="N100" s="210">
        <v>216</v>
      </c>
      <c r="O100" s="220">
        <v>212.9</v>
      </c>
      <c r="P100" s="33">
        <f t="shared" si="16"/>
        <v>214.82500000000002</v>
      </c>
      <c r="Q100" s="31">
        <f t="shared" si="17"/>
        <v>3.993706886118864E-2</v>
      </c>
      <c r="R100" s="31"/>
      <c r="S100" s="67" t="s">
        <v>12</v>
      </c>
      <c r="T100" s="68">
        <f>(SUM(G100:O100)+SUM(D101:F101))/12</f>
        <v>214.78333333333339</v>
      </c>
      <c r="U100" s="70">
        <f t="shared" si="19"/>
        <v>2.9683192840877393E-2</v>
      </c>
      <c r="V100" s="231">
        <f t="shared" si="20"/>
        <v>214.78333333333339</v>
      </c>
      <c r="W100" s="56">
        <f t="shared" si="23"/>
        <v>2.9683192840877393E-2</v>
      </c>
      <c r="X100" s="33">
        <f t="shared" si="24"/>
        <v>214.78333333333339</v>
      </c>
      <c r="Y100" s="56">
        <f t="shared" si="25"/>
        <v>2.9683192840877393E-2</v>
      </c>
      <c r="Z100" s="33">
        <f t="shared" si="21"/>
        <v>214.78333333333339</v>
      </c>
      <c r="AA100" s="56">
        <f t="shared" si="22"/>
        <v>2.9683192840877393E-2</v>
      </c>
    </row>
    <row r="101" spans="2:31">
      <c r="B101" s="19" t="s">
        <v>186</v>
      </c>
      <c r="C101" s="19">
        <v>2009</v>
      </c>
      <c r="D101" s="33">
        <v>210.1</v>
      </c>
      <c r="E101" s="33">
        <v>211.4</v>
      </c>
      <c r="F101" s="33">
        <v>211.3</v>
      </c>
      <c r="G101" s="33">
        <v>211.5</v>
      </c>
      <c r="H101" s="33">
        <v>212.8</v>
      </c>
      <c r="I101" s="33">
        <v>213.4</v>
      </c>
      <c r="J101" s="33">
        <v>213.4</v>
      </c>
      <c r="K101" s="33">
        <v>214.4</v>
      </c>
      <c r="L101" s="33">
        <v>215.3</v>
      </c>
      <c r="M101" s="33">
        <v>216</v>
      </c>
      <c r="N101" s="210">
        <v>216.6</v>
      </c>
      <c r="O101" s="220">
        <v>218</v>
      </c>
      <c r="P101" s="33">
        <f t="shared" si="16"/>
        <v>213.68333333333337</v>
      </c>
      <c r="Q101" s="31">
        <f t="shared" si="17"/>
        <v>-5.314403196400086E-3</v>
      </c>
      <c r="R101" s="31"/>
      <c r="S101" s="67" t="s">
        <v>13</v>
      </c>
      <c r="T101" s="68">
        <f>(SUM(G101:O101)+SUM(D102:F102))/12</f>
        <v>215.76666666666665</v>
      </c>
      <c r="U101" s="70">
        <f>(T101/T100)-1</f>
        <v>4.5782571583763421E-3</v>
      </c>
      <c r="V101" s="231">
        <f t="shared" si="20"/>
        <v>215.76666666666665</v>
      </c>
      <c r="W101" s="56">
        <f t="shared" si="23"/>
        <v>4.5782571583763421E-3</v>
      </c>
      <c r="X101" s="33">
        <f t="shared" si="24"/>
        <v>215.76666666666665</v>
      </c>
      <c r="Y101" s="56">
        <f t="shared" si="25"/>
        <v>4.5782571583763421E-3</v>
      </c>
      <c r="Z101" s="33">
        <f t="shared" si="21"/>
        <v>215.76666666666665</v>
      </c>
      <c r="AA101" s="56">
        <f t="shared" si="22"/>
        <v>4.5782571583763421E-3</v>
      </c>
    </row>
    <row r="102" spans="2:31">
      <c r="B102" s="19" t="s">
        <v>186</v>
      </c>
      <c r="C102" s="19">
        <v>2010</v>
      </c>
      <c r="D102" s="33">
        <v>217.9</v>
      </c>
      <c r="E102" s="33">
        <v>219.2</v>
      </c>
      <c r="F102" s="33">
        <v>220.7</v>
      </c>
      <c r="G102" s="33">
        <v>222.8</v>
      </c>
      <c r="H102" s="33">
        <v>223.6</v>
      </c>
      <c r="I102" s="33">
        <v>224.1</v>
      </c>
      <c r="J102" s="33">
        <v>223.6</v>
      </c>
      <c r="K102" s="33">
        <v>224.5</v>
      </c>
      <c r="L102" s="33">
        <v>225.3</v>
      </c>
      <c r="M102" s="33">
        <v>225.8</v>
      </c>
      <c r="N102" s="210">
        <v>226.8</v>
      </c>
      <c r="O102" s="220">
        <v>228.4</v>
      </c>
      <c r="P102" s="33">
        <f t="shared" si="16"/>
        <v>223.55833333333331</v>
      </c>
      <c r="Q102" s="31">
        <f t="shared" si="17"/>
        <v>4.6213243896731759E-2</v>
      </c>
      <c r="R102" s="31"/>
      <c r="S102" s="67" t="s">
        <v>14</v>
      </c>
      <c r="T102" s="68">
        <f t="shared" si="18"/>
        <v>226.47499999999999</v>
      </c>
      <c r="U102" s="70">
        <f t="shared" si="19"/>
        <v>4.9629229105515371E-2</v>
      </c>
      <c r="V102" s="231">
        <f t="shared" si="20"/>
        <v>226.47499999999999</v>
      </c>
      <c r="W102" s="56">
        <f t="shared" si="23"/>
        <v>4.9629229105515371E-2</v>
      </c>
      <c r="X102" s="33">
        <f t="shared" si="24"/>
        <v>226.47499999999999</v>
      </c>
      <c r="Y102" s="56">
        <f t="shared" si="25"/>
        <v>4.9629229105515371E-2</v>
      </c>
      <c r="Z102" s="33">
        <f t="shared" si="21"/>
        <v>226.47499999999999</v>
      </c>
      <c r="AA102" s="56">
        <f t="shared" si="22"/>
        <v>4.9629229105515371E-2</v>
      </c>
    </row>
    <row r="103" spans="2:31">
      <c r="B103" s="19" t="s">
        <v>186</v>
      </c>
      <c r="C103" s="19">
        <v>2011</v>
      </c>
      <c r="D103" s="33">
        <v>229</v>
      </c>
      <c r="E103" s="33">
        <v>231.3</v>
      </c>
      <c r="F103" s="33">
        <v>232.5</v>
      </c>
      <c r="G103" s="33">
        <v>234.4</v>
      </c>
      <c r="H103" s="33">
        <v>235.2</v>
      </c>
      <c r="I103" s="33">
        <v>235.2</v>
      </c>
      <c r="J103" s="33">
        <v>234.7</v>
      </c>
      <c r="K103" s="33">
        <v>236.1</v>
      </c>
      <c r="L103" s="33">
        <v>237.9</v>
      </c>
      <c r="M103" s="33">
        <v>238</v>
      </c>
      <c r="N103" s="210">
        <v>238.5</v>
      </c>
      <c r="O103" s="220">
        <v>239.4</v>
      </c>
      <c r="P103" s="33">
        <f t="shared" si="16"/>
        <v>235.18333333333331</v>
      </c>
      <c r="Q103" s="31">
        <f t="shared" si="17"/>
        <v>5.1999850896484956E-2</v>
      </c>
      <c r="R103" s="31"/>
      <c r="S103" s="67" t="s">
        <v>15</v>
      </c>
      <c r="T103" s="334">
        <f>(SUM(G103:O103)+SUM(D104:F104))/12</f>
        <v>237.3416666666667</v>
      </c>
      <c r="U103" s="70">
        <f t="shared" si="19"/>
        <v>4.7981749273282803E-2</v>
      </c>
      <c r="V103" s="231">
        <f>T103</f>
        <v>237.3416666666667</v>
      </c>
      <c r="W103" s="56">
        <f t="shared" si="23"/>
        <v>4.7981749273282803E-2</v>
      </c>
      <c r="X103" s="33">
        <f t="shared" si="24"/>
        <v>237.3416666666667</v>
      </c>
      <c r="Y103" s="56">
        <f t="shared" si="25"/>
        <v>4.7981749273282803E-2</v>
      </c>
      <c r="Z103" s="33">
        <f t="shared" si="21"/>
        <v>237.3416666666667</v>
      </c>
      <c r="AA103" s="56">
        <f>U103</f>
        <v>4.7981749273282803E-2</v>
      </c>
    </row>
    <row r="104" spans="2:31">
      <c r="B104" s="19" t="s">
        <v>186</v>
      </c>
      <c r="C104" s="19">
        <v>2012</v>
      </c>
      <c r="D104" s="33">
        <v>238</v>
      </c>
      <c r="E104" s="33">
        <v>239.9</v>
      </c>
      <c r="F104" s="33">
        <v>240.8</v>
      </c>
      <c r="G104" s="33">
        <v>242.5</v>
      </c>
      <c r="H104" s="33">
        <v>242.4</v>
      </c>
      <c r="I104" s="33">
        <v>241.8</v>
      </c>
      <c r="J104" s="33">
        <v>242.1</v>
      </c>
      <c r="K104" s="33">
        <v>243</v>
      </c>
      <c r="L104" s="33">
        <v>244.2</v>
      </c>
      <c r="M104" s="33">
        <v>245.6</v>
      </c>
      <c r="N104" s="225">
        <v>245.6</v>
      </c>
      <c r="O104" s="226">
        <v>246.8</v>
      </c>
      <c r="P104" s="33">
        <f t="shared" si="16"/>
        <v>242.72499999999999</v>
      </c>
      <c r="Q104" s="31">
        <f>(P104/P103)-1</f>
        <v>3.2067181631351582E-2</v>
      </c>
      <c r="R104" s="31"/>
      <c r="S104" s="228" t="s">
        <v>16</v>
      </c>
      <c r="T104" s="68">
        <f>(SUM(G104:O104)+SUM(D105:F105))/12</f>
        <v>244.67499999999998</v>
      </c>
      <c r="V104" s="71">
        <f>(SUM(G104:O104)+SUM(D105:F105))/12</f>
        <v>244.67499999999998</v>
      </c>
      <c r="W104" s="72">
        <f>(V104/T103)-1</f>
        <v>3.0897791510129391E-2</v>
      </c>
      <c r="X104" s="57">
        <f>T103*(1+Y104)</f>
        <v>244.93660000000003</v>
      </c>
      <c r="Y104" s="224">
        <v>3.2000000000000001E-2</v>
      </c>
      <c r="Z104" s="271">
        <f>Z103*(1+AA104)</f>
        <v>244.69925833333335</v>
      </c>
      <c r="AA104" s="59">
        <f>AVERAGE('[4]1.5'!$D$19:$D$22)/100</f>
        <v>3.0999999999999996E-2</v>
      </c>
      <c r="AB104" s="70"/>
      <c r="AC104" s="244"/>
      <c r="AE104" s="243"/>
    </row>
    <row r="105" spans="2:31">
      <c r="B105" s="19" t="s">
        <v>322</v>
      </c>
      <c r="C105" s="58">
        <v>2013</v>
      </c>
      <c r="D105" s="203">
        <v>245.8</v>
      </c>
      <c r="E105" s="227">
        <v>247.6</v>
      </c>
      <c r="F105" s="227">
        <v>248.7</v>
      </c>
      <c r="G105" s="227">
        <v>249.5</v>
      </c>
      <c r="H105" s="227">
        <v>250</v>
      </c>
      <c r="I105" s="227">
        <v>249.7</v>
      </c>
      <c r="J105" s="227">
        <v>249.7</v>
      </c>
      <c r="K105" s="227">
        <v>251</v>
      </c>
      <c r="L105" s="57">
        <f>[5]ITS!$P$34</f>
        <v>248.51063499999995</v>
      </c>
      <c r="M105" s="57">
        <f>[5]ITS!$P$35</f>
        <v>249.16102838719993</v>
      </c>
      <c r="N105" s="221">
        <f>[5]ITS!$P$36</f>
        <v>249.70086499999996</v>
      </c>
      <c r="O105" s="222">
        <f>[5]ITS!$P$37</f>
        <v>250.2407016128</v>
      </c>
      <c r="P105" s="57">
        <f>AVERAGE(D105:O105)</f>
        <v>249.13443583333333</v>
      </c>
      <c r="Q105" s="59">
        <f t="shared" ref="Q105:Q110" si="26">(P105/P104)-1</f>
        <v>2.6406162666941402E-2</v>
      </c>
      <c r="R105" s="59"/>
      <c r="S105" s="228" t="s">
        <v>17</v>
      </c>
      <c r="T105" s="68"/>
      <c r="V105" s="71">
        <f t="shared" ref="V105:V110" si="27">(SUM(G105:O105)+SUM(D106:F106))/12</f>
        <v>250.12286287626668</v>
      </c>
      <c r="W105" s="72">
        <f t="shared" ref="W105:W111" si="28">(V105/V104)-1</f>
        <v>2.226571115261744E-2</v>
      </c>
      <c r="X105" s="57">
        <f>X104*(1+Y105)</f>
        <v>251.06001499999999</v>
      </c>
      <c r="Y105" s="224">
        <v>2.5000000000000001E-2</v>
      </c>
      <c r="Z105" s="271">
        <f t="shared" ref="Z105:Z115" si="29">Z104*(1+AA105)</f>
        <v>251.61201238125005</v>
      </c>
      <c r="AA105" s="59">
        <f>AVERAGE('[4]1.5'!$D$23:$D$26)/100</f>
        <v>2.8250000000000001E-2</v>
      </c>
      <c r="AB105" s="70"/>
      <c r="AC105" s="244"/>
    </row>
    <row r="106" spans="2:31">
      <c r="B106" s="19" t="s">
        <v>322</v>
      </c>
      <c r="C106" s="58">
        <v>2014</v>
      </c>
      <c r="D106" s="57">
        <f>[5]ITS!$P$38</f>
        <v>250.11398181786672</v>
      </c>
      <c r="E106" s="57">
        <f>[5]ITS!$P$39</f>
        <v>251.32037483840003</v>
      </c>
      <c r="F106" s="57">
        <f>[5]ITS!$P$40</f>
        <v>252.52676785893334</v>
      </c>
      <c r="G106" s="57">
        <f>[5]ITS!$Q$29</f>
        <v>254.55382781333336</v>
      </c>
      <c r="H106" s="57">
        <f>[5]ITS!$Q$30</f>
        <v>254.93955389999999</v>
      </c>
      <c r="I106" s="57">
        <f>[5]ITS!$Q$31</f>
        <v>255.32527998666663</v>
      </c>
      <c r="J106" s="57">
        <f>[5]ITS!$Q$32</f>
        <v>255.39874474333322</v>
      </c>
      <c r="K106" s="57">
        <f>[5]ITS!$Q$33</f>
        <v>256.09673215999993</v>
      </c>
      <c r="L106" s="57">
        <f>[5]ITS!$Q$34</f>
        <v>256.79471957666664</v>
      </c>
      <c r="M106" s="57">
        <f>[5]ITS!$Q$35</f>
        <v>257.80005026892371</v>
      </c>
      <c r="N106" s="221">
        <f>[5]ITS!$Q$36</f>
        <v>258.19069440999999</v>
      </c>
      <c r="O106" s="222">
        <f>[5]ITS!$Q$37</f>
        <v>258.58133855107627</v>
      </c>
      <c r="P106" s="57">
        <f>AVERAGE(D106:O106)</f>
        <v>255.13683882709998</v>
      </c>
      <c r="Q106" s="59">
        <f t="shared" si="26"/>
        <v>2.4093028222650581E-2</v>
      </c>
      <c r="R106" s="59"/>
      <c r="S106" s="228" t="s">
        <v>32</v>
      </c>
      <c r="T106" s="68"/>
      <c r="V106" s="71">
        <f t="shared" si="27"/>
        <v>257.14740182580721</v>
      </c>
      <c r="W106" s="72">
        <f t="shared" si="28"/>
        <v>2.8084353700267295E-2</v>
      </c>
      <c r="X106" s="57">
        <f>X105*(1+Y106)</f>
        <v>258.34075543499995</v>
      </c>
      <c r="Y106" s="224">
        <v>2.9000000000000001E-2</v>
      </c>
      <c r="Z106" s="271">
        <f t="shared" si="29"/>
        <v>258.65714872792506</v>
      </c>
      <c r="AA106" s="59">
        <f>AVERAGE('[4]1.5'!$D$27:$D$30)/100</f>
        <v>2.7999999999999997E-2</v>
      </c>
      <c r="AB106" s="70"/>
      <c r="AC106" s="244"/>
    </row>
    <row r="107" spans="2:31">
      <c r="B107" s="19" t="s">
        <v>322</v>
      </c>
      <c r="C107" s="58">
        <v>2015</v>
      </c>
      <c r="D107" s="57">
        <f>[5]ITS!$Q$38</f>
        <v>258.11762923603845</v>
      </c>
      <c r="E107" s="57">
        <f>[5]ITS!$Q$39</f>
        <v>259.36262683322883</v>
      </c>
      <c r="F107" s="57">
        <f>[5]ITS!$Q$40</f>
        <v>260.60762443041921</v>
      </c>
      <c r="G107" s="57">
        <f>[5]ITS!$R$29</f>
        <v>262.44345357120005</v>
      </c>
      <c r="H107" s="57">
        <f>[5]ITS!$R$30</f>
        <v>263.09761962480002</v>
      </c>
      <c r="I107" s="57">
        <f>[5]ITS!$R$31</f>
        <v>263.75178567839998</v>
      </c>
      <c r="J107" s="57">
        <f>[5]ITS!$R$32</f>
        <v>264.07951011493986</v>
      </c>
      <c r="K107" s="57">
        <f>[5]ITS!$R$33</f>
        <v>265.06011778559991</v>
      </c>
      <c r="L107" s="57">
        <f>[5]ITS!$R$34</f>
        <v>266.04072545625996</v>
      </c>
      <c r="M107" s="57">
        <f>[5]ITS!$R$35</f>
        <v>268.28808585069811</v>
      </c>
      <c r="N107" s="221">
        <f>[5]ITS!$R$36</f>
        <v>268.00194079758</v>
      </c>
      <c r="O107" s="222">
        <f>[5]ITS!$R$37</f>
        <v>267.7157957444619</v>
      </c>
      <c r="P107" s="57">
        <f t="shared" si="16"/>
        <v>263.88057626030223</v>
      </c>
      <c r="Q107" s="59">
        <f t="shared" si="26"/>
        <v>3.4270775923220143E-2</v>
      </c>
      <c r="R107" s="59"/>
      <c r="S107" s="228" t="s">
        <v>33</v>
      </c>
      <c r="T107" s="334"/>
      <c r="V107" s="71">
        <f t="shared" si="27"/>
        <v>265.82579596155142</v>
      </c>
      <c r="W107" s="72">
        <f t="shared" si="28"/>
        <v>3.3748714060984453E-2</v>
      </c>
      <c r="X107" s="57">
        <f t="shared" ref="X107:X115" si="30">X106*(1+Y107)</f>
        <v>266.60765960891996</v>
      </c>
      <c r="Y107" s="224">
        <v>3.2000000000000001E-2</v>
      </c>
      <c r="Z107" s="271">
        <f t="shared" si="29"/>
        <v>266.86951320003669</v>
      </c>
      <c r="AA107" s="59">
        <f>AVERAGE('[4]1.5'!$D$31:$D$34)/100</f>
        <v>3.175E-2</v>
      </c>
      <c r="AB107" s="70"/>
      <c r="AC107" s="244"/>
    </row>
    <row r="108" spans="2:31">
      <c r="B108" s="19" t="s">
        <v>322</v>
      </c>
      <c r="C108" s="58">
        <v>2016</v>
      </c>
      <c r="D108" s="57">
        <f>[5]ITS!$R$23</f>
        <v>267.14350563822569</v>
      </c>
      <c r="E108" s="57">
        <f>[5]ITS!$R$22</f>
        <v>265.86115811311959</v>
      </c>
      <c r="F108" s="57">
        <f>[5]ITS!$R$24</f>
        <v>268.42585316333179</v>
      </c>
      <c r="G108" s="57">
        <f>[5]ITS!$S$13</f>
        <v>270.31675717833605</v>
      </c>
      <c r="H108" s="57">
        <f>[5]ITS!$S$14</f>
        <v>270.990548213544</v>
      </c>
      <c r="I108" s="57">
        <f>[5]ITS!$S$15</f>
        <v>271.66433924875201</v>
      </c>
      <c r="J108" s="57">
        <f>[5]ITS!$S$16</f>
        <v>272.00189541838807</v>
      </c>
      <c r="K108" s="57">
        <f>[5]ITS!$S$17</f>
        <v>273.01192131916793</v>
      </c>
      <c r="L108" s="57">
        <f>[5]ITS!$S$18</f>
        <v>274.02194721994778</v>
      </c>
      <c r="M108" s="57">
        <f>[5]ITS!$S$19</f>
        <v>276.33672842621905</v>
      </c>
      <c r="N108" s="221">
        <f>[5]ITS!$S$20</f>
        <v>276.04199902150742</v>
      </c>
      <c r="O108" s="222">
        <f>[5]ITS!$S$21</f>
        <v>275.74726961679579</v>
      </c>
      <c r="P108" s="57">
        <f t="shared" si="16"/>
        <v>271.79699354811123</v>
      </c>
      <c r="Q108" s="59">
        <f t="shared" si="26"/>
        <v>2.9999999999999805E-2</v>
      </c>
      <c r="R108" s="59"/>
      <c r="S108" s="228" t="s">
        <v>34</v>
      </c>
      <c r="T108" s="68"/>
      <c r="V108" s="71">
        <f t="shared" si="27"/>
        <v>273.80056984039794</v>
      </c>
      <c r="W108" s="72">
        <f t="shared" si="28"/>
        <v>2.9999999999999805E-2</v>
      </c>
      <c r="X108" s="57">
        <f>X107*(1+Y108)</f>
        <v>275.13910471640543</v>
      </c>
      <c r="Y108" s="224">
        <v>3.2000000000000001E-2</v>
      </c>
      <c r="Z108" s="271">
        <f t="shared" si="29"/>
        <v>276.07651140543794</v>
      </c>
      <c r="AA108" s="59">
        <f>AVERAGE('[4]1.5'!$D$35:$D$38)/100</f>
        <v>3.4499999999999996E-2</v>
      </c>
      <c r="AB108" s="70"/>
      <c r="AC108" s="244"/>
    </row>
    <row r="109" spans="2:31">
      <c r="B109" s="19" t="s">
        <v>322</v>
      </c>
      <c r="C109" s="58">
        <v>2017</v>
      </c>
      <c r="D109" s="57">
        <f>[5]ITS!$S$23</f>
        <v>275.15781080737247</v>
      </c>
      <c r="E109" s="57">
        <f>[5]ITS!$S$22</f>
        <v>273.83699285651318</v>
      </c>
      <c r="F109" s="57">
        <f>[5]ITS!$S$24</f>
        <v>276.47862875823176</v>
      </c>
      <c r="G109" s="57">
        <f>[5]ITS!$T$13</f>
        <v>278.42625989368611</v>
      </c>
      <c r="H109" s="57">
        <f>[5]ITS!$T$14</f>
        <v>279.12026465995035</v>
      </c>
      <c r="I109" s="57">
        <f>[5]ITS!$T$15</f>
        <v>279.81426942621459</v>
      </c>
      <c r="J109" s="57">
        <f>[5]ITS!$T$16</f>
        <v>280.16195228093972</v>
      </c>
      <c r="K109" s="57">
        <f>[5]ITS!$T$17</f>
        <v>281.20227895874297</v>
      </c>
      <c r="L109" s="57">
        <f>[5]ITS!$T$18</f>
        <v>282.24260563654622</v>
      </c>
      <c r="M109" s="57">
        <f>[5]ITS!$T$19</f>
        <v>284.62683027900562</v>
      </c>
      <c r="N109" s="221">
        <f>[5]ITS!$T$20</f>
        <v>284.32325899215266</v>
      </c>
      <c r="O109" s="222">
        <f>[5]ITS!$T$21</f>
        <v>284.01968770529965</v>
      </c>
      <c r="P109" s="57">
        <f t="shared" si="16"/>
        <v>279.95090335455461</v>
      </c>
      <c r="Q109" s="59">
        <f t="shared" si="26"/>
        <v>3.0000000000000249E-2</v>
      </c>
      <c r="R109" s="59"/>
      <c r="S109" s="228" t="s">
        <v>35</v>
      </c>
      <c r="V109" s="71">
        <f t="shared" si="27"/>
        <v>282.01458693560988</v>
      </c>
      <c r="W109" s="72">
        <f t="shared" si="28"/>
        <v>3.0000000000000027E-2</v>
      </c>
      <c r="X109" s="57">
        <f t="shared" si="30"/>
        <v>283.94355606733041</v>
      </c>
      <c r="Y109" s="224">
        <v>3.2000000000000001E-2</v>
      </c>
      <c r="Z109" s="271">
        <f t="shared" si="29"/>
        <v>286.29134232743911</v>
      </c>
      <c r="AA109" s="59">
        <f>AVERAGE('[4]1.5'!$D$39:$D$42)/100</f>
        <v>3.7000000000000005E-2</v>
      </c>
      <c r="AB109" s="70"/>
      <c r="AC109" s="244"/>
    </row>
    <row r="110" spans="2:31">
      <c r="B110" s="19" t="s">
        <v>322</v>
      </c>
      <c r="C110" s="58">
        <v>2018</v>
      </c>
      <c r="D110" s="57">
        <f>[5]ITS!$T$23</f>
        <v>283.41254513159367</v>
      </c>
      <c r="E110" s="57">
        <f>[5]ITS!$T$22</f>
        <v>282.05210264220858</v>
      </c>
      <c r="F110" s="57">
        <f>[5]ITS!$T$24</f>
        <v>284.77298762097871</v>
      </c>
      <c r="G110" s="57">
        <f>[5]ITS!$U$13</f>
        <v>286.77904769049672</v>
      </c>
      <c r="H110" s="57">
        <f>[5]ITS!$U$14</f>
        <v>287.4938725997489</v>
      </c>
      <c r="I110" s="57">
        <f>[5]ITS!$U$15</f>
        <v>288.20869750900101</v>
      </c>
      <c r="J110" s="57">
        <f>[5]ITS!$U$16</f>
        <v>288.56681084936793</v>
      </c>
      <c r="K110" s="57">
        <f>[5]ITS!$U$17</f>
        <v>289.63834732750524</v>
      </c>
      <c r="L110" s="57">
        <f>[5]ITS!$U$18</f>
        <v>290.70988380564262</v>
      </c>
      <c r="M110" s="57">
        <f>[5]ITS!$U$19</f>
        <v>293.16563518737581</v>
      </c>
      <c r="N110" s="221">
        <f>[5]ITS!$U$20</f>
        <v>292.85295676191726</v>
      </c>
      <c r="O110" s="222">
        <f>[5]ITS!$U$21</f>
        <v>292.54027833645864</v>
      </c>
      <c r="P110" s="57">
        <f t="shared" ref="P110" si="31">AVERAGE(D110:O110)</f>
        <v>288.34943045519123</v>
      </c>
      <c r="Q110" s="59">
        <f t="shared" si="26"/>
        <v>2.9999999999999805E-2</v>
      </c>
      <c r="R110" s="59"/>
      <c r="S110" s="228" t="s">
        <v>36</v>
      </c>
      <c r="V110" s="71">
        <f t="shared" si="27"/>
        <v>290.47502454367822</v>
      </c>
      <c r="W110" s="72">
        <f t="shared" si="28"/>
        <v>3.0000000000000027E-2</v>
      </c>
      <c r="X110" s="57">
        <f t="shared" si="30"/>
        <v>293.02974986148496</v>
      </c>
      <c r="Y110" s="224">
        <v>3.2000000000000001E-2</v>
      </c>
      <c r="Z110" s="271">
        <f t="shared" si="29"/>
        <v>296.88412199355434</v>
      </c>
      <c r="AA110" s="59">
        <f>AA109</f>
        <v>3.7000000000000005E-2</v>
      </c>
      <c r="AB110" s="70"/>
      <c r="AC110" s="244"/>
    </row>
    <row r="111" spans="2:31">
      <c r="B111" s="19" t="s">
        <v>322</v>
      </c>
      <c r="C111" s="58">
        <v>2019</v>
      </c>
      <c r="D111" s="57">
        <f>[5]ITS!$U$23</f>
        <v>291.91492148554147</v>
      </c>
      <c r="E111" s="60">
        <f>[5]ITS!$U$22</f>
        <v>290.51366572147487</v>
      </c>
      <c r="F111" s="60">
        <f>[5]ITS!$U$24</f>
        <v>293.31617724960807</v>
      </c>
      <c r="N111" s="43"/>
      <c r="O111" s="223"/>
      <c r="P111" s="34"/>
      <c r="S111" s="228" t="s">
        <v>306</v>
      </c>
      <c r="V111" s="71">
        <v>299.3</v>
      </c>
      <c r="W111" s="72">
        <f t="shared" si="28"/>
        <v>3.0381184992360089E-2</v>
      </c>
      <c r="X111" s="57">
        <f>X110*(1+Y111)</f>
        <v>302.4067018570525</v>
      </c>
      <c r="Y111" s="224">
        <v>3.2000000000000001E-2</v>
      </c>
      <c r="Z111" s="271">
        <f t="shared" si="29"/>
        <v>307.86883450731585</v>
      </c>
      <c r="AA111" s="59">
        <f t="shared" ref="AA111:AA115" si="32">AA110</f>
        <v>3.7000000000000005E-2</v>
      </c>
      <c r="AB111" s="70"/>
      <c r="AC111" s="244"/>
    </row>
    <row r="112" spans="2:31">
      <c r="Q112" s="34"/>
      <c r="S112" s="228" t="s">
        <v>307</v>
      </c>
      <c r="U112" s="34"/>
      <c r="V112" s="57">
        <f>V111*(1+W112)</f>
        <v>308.279</v>
      </c>
      <c r="W112" s="72">
        <v>0.03</v>
      </c>
      <c r="X112" s="57">
        <f t="shared" si="30"/>
        <v>312.08371631647816</v>
      </c>
      <c r="Y112" s="224">
        <v>3.2000000000000001E-2</v>
      </c>
      <c r="Z112" s="271">
        <f t="shared" si="29"/>
        <v>319.25998138408653</v>
      </c>
      <c r="AA112" s="59">
        <f t="shared" si="32"/>
        <v>3.7000000000000005E-2</v>
      </c>
      <c r="AB112" s="70"/>
      <c r="AC112" s="244"/>
    </row>
    <row r="113" spans="2:29">
      <c r="Q113" s="34"/>
      <c r="S113" s="228" t="s">
        <v>308</v>
      </c>
      <c r="T113" s="34"/>
      <c r="U113" s="34"/>
      <c r="V113" s="57">
        <f t="shared" ref="V113:V115" si="33">V112*(1+W113)</f>
        <v>317.52737000000002</v>
      </c>
      <c r="W113" s="72">
        <v>0.03</v>
      </c>
      <c r="X113" s="57">
        <f t="shared" si="30"/>
        <v>322.07039523860544</v>
      </c>
      <c r="Y113" s="224">
        <v>3.2000000000000001E-2</v>
      </c>
      <c r="Z113" s="271">
        <f t="shared" si="29"/>
        <v>331.07260069529769</v>
      </c>
      <c r="AA113" s="59">
        <f t="shared" si="32"/>
        <v>3.7000000000000005E-2</v>
      </c>
      <c r="AB113" s="70"/>
      <c r="AC113" s="244"/>
    </row>
    <row r="114" spans="2:29">
      <c r="Q114" s="34"/>
      <c r="S114" s="228" t="s">
        <v>309</v>
      </c>
      <c r="T114" s="34"/>
      <c r="U114" s="34"/>
      <c r="V114" s="57">
        <f t="shared" si="33"/>
        <v>327.05319110000005</v>
      </c>
      <c r="W114" s="72">
        <v>0.03</v>
      </c>
      <c r="X114" s="57">
        <f>X113*(1+Y114)</f>
        <v>332.37664788624085</v>
      </c>
      <c r="Y114" s="224">
        <v>3.2000000000000001E-2</v>
      </c>
      <c r="Z114" s="271">
        <f t="shared" si="29"/>
        <v>343.3222869210237</v>
      </c>
      <c r="AA114" s="59">
        <f t="shared" si="32"/>
        <v>3.7000000000000005E-2</v>
      </c>
      <c r="AB114" s="70"/>
      <c r="AC114" s="244"/>
    </row>
    <row r="115" spans="2:29">
      <c r="K115" s="186"/>
      <c r="Q115" s="34"/>
      <c r="S115" s="228" t="s">
        <v>310</v>
      </c>
      <c r="T115" s="34"/>
      <c r="U115" s="34"/>
      <c r="V115" s="57">
        <f t="shared" si="33"/>
        <v>336.86478683300004</v>
      </c>
      <c r="W115" s="72">
        <v>0.03</v>
      </c>
      <c r="X115" s="57">
        <f t="shared" si="30"/>
        <v>343.01270061860055</v>
      </c>
      <c r="Y115" s="224">
        <v>3.2000000000000001E-2</v>
      </c>
      <c r="Z115" s="271">
        <f t="shared" si="29"/>
        <v>356.02521153710154</v>
      </c>
      <c r="AA115" s="59">
        <f t="shared" si="32"/>
        <v>3.7000000000000005E-2</v>
      </c>
      <c r="AB115" s="70"/>
      <c r="AC115" s="244"/>
    </row>
    <row r="116" spans="2:29" s="61" customFormat="1">
      <c r="Q116" s="62"/>
      <c r="S116" s="228"/>
      <c r="T116" s="62"/>
      <c r="U116" s="62"/>
      <c r="V116" s="227"/>
      <c r="W116" s="229"/>
      <c r="X116" s="227"/>
      <c r="Y116" s="64"/>
      <c r="Z116" s="64"/>
    </row>
    <row r="117" spans="2:29" s="61" customFormat="1">
      <c r="Q117" s="62"/>
      <c r="S117" s="228"/>
      <c r="T117" s="62"/>
      <c r="U117" s="62"/>
      <c r="V117" s="227"/>
      <c r="W117" s="229"/>
      <c r="X117" s="227"/>
      <c r="Y117" s="64"/>
      <c r="Z117" s="64"/>
    </row>
    <row r="118" spans="2:29">
      <c r="Q118" s="34"/>
      <c r="T118" s="34"/>
      <c r="U118" s="34"/>
      <c r="X118" s="34">
        <f>X103/X105</f>
        <v>0.94535829079221034</v>
      </c>
    </row>
    <row r="119" spans="2:29">
      <c r="Q119" s="34"/>
      <c r="T119" s="34"/>
      <c r="U119" s="34"/>
    </row>
    <row r="120" spans="2:29">
      <c r="Q120" s="34"/>
      <c r="T120" s="34"/>
      <c r="U120" s="34"/>
    </row>
    <row r="121" spans="2:29">
      <c r="B121" s="329" t="s">
        <v>445</v>
      </c>
      <c r="C121" s="329"/>
      <c r="D121" s="329"/>
      <c r="E121" s="329"/>
      <c r="F121" s="329"/>
      <c r="G121" s="329"/>
      <c r="H121" s="329"/>
      <c r="I121" s="329"/>
      <c r="J121" s="329"/>
      <c r="K121" s="329"/>
      <c r="L121" s="329"/>
      <c r="M121" s="329"/>
      <c r="N121" s="329"/>
      <c r="O121" s="329"/>
      <c r="P121" s="329"/>
      <c r="Q121" s="329"/>
      <c r="R121" s="329"/>
      <c r="S121" s="329"/>
      <c r="T121" s="329"/>
      <c r="U121" s="329"/>
      <c r="V121" s="329"/>
      <c r="W121" s="329"/>
      <c r="X121" s="329"/>
      <c r="Y121" s="329"/>
      <c r="Z121" s="329"/>
      <c r="AA121" s="329"/>
    </row>
    <row r="122" spans="2:29">
      <c r="Q122" s="34"/>
      <c r="T122" s="34"/>
      <c r="U122" s="34"/>
    </row>
    <row r="123" spans="2:29">
      <c r="Q123" s="34"/>
      <c r="T123" s="34"/>
      <c r="U123" s="34"/>
    </row>
    <row r="124" spans="2:29">
      <c r="Q124" s="34"/>
      <c r="T124" s="34"/>
      <c r="U124" s="34"/>
    </row>
  </sheetData>
  <hyperlinks>
    <hyperlink ref="F8" r:id="rId1"/>
  </hyperlinks>
  <pageMargins left="0.7" right="0.7" top="0.75" bottom="0.75" header="0.3" footer="0.3"/>
  <pageSetup paperSize="9" orientation="portrait" r:id="rId2"/>
  <headerFooter>
    <oddHeader>&amp;C&amp;A&amp;D</oddHeader>
  </headerFooter>
</worksheet>
</file>

<file path=xl/worksheets/sheet28.xml><?xml version="1.0" encoding="utf-8"?>
<worksheet xmlns="http://schemas.openxmlformats.org/spreadsheetml/2006/main" xmlns:r="http://schemas.openxmlformats.org/officeDocument/2006/relationships">
  <dimension ref="B2:W63"/>
  <sheetViews>
    <sheetView showGridLines="0" zoomScale="70" zoomScaleNormal="70" workbookViewId="0">
      <selection activeCell="B3" sqref="B3"/>
    </sheetView>
  </sheetViews>
  <sheetFormatPr defaultRowHeight="12.75"/>
  <cols>
    <col min="1" max="1" width="9.140625" style="19"/>
    <col min="2" max="2" width="12.7109375" style="19" customWidth="1"/>
    <col min="3" max="3" width="12.85546875" style="19" customWidth="1"/>
    <col min="4" max="18" width="9.140625" style="19"/>
    <col min="19" max="19" width="10" style="19" customWidth="1"/>
    <col min="20" max="16384" width="9.140625" style="19"/>
  </cols>
  <sheetData>
    <row r="2" spans="2:23">
      <c r="B2" s="19" t="s">
        <v>789</v>
      </c>
    </row>
    <row r="4" spans="2:23" ht="15">
      <c r="B4" s="270" t="s">
        <v>467</v>
      </c>
      <c r="C4" s="270"/>
      <c r="D4" s="270"/>
      <c r="E4" s="270"/>
      <c r="F4" s="270"/>
      <c r="G4" s="270"/>
      <c r="H4" s="270"/>
      <c r="I4" s="270"/>
      <c r="J4" s="270"/>
      <c r="K4" s="270"/>
      <c r="L4" s="270"/>
      <c r="M4" s="270"/>
      <c r="N4" s="270"/>
      <c r="O4" s="270"/>
      <c r="P4" s="270"/>
      <c r="Q4" s="270"/>
      <c r="R4" s="270"/>
      <c r="S4" s="270"/>
      <c r="T4" s="270"/>
      <c r="U4" s="270"/>
      <c r="V4" s="270"/>
    </row>
    <row r="7" spans="2:23">
      <c r="B7" s="19" t="s">
        <v>192</v>
      </c>
      <c r="C7" s="19" t="s">
        <v>51</v>
      </c>
      <c r="G7" s="53" t="s">
        <v>191</v>
      </c>
    </row>
    <row r="8" spans="2:23">
      <c r="C8" s="54"/>
    </row>
    <row r="9" spans="2:23">
      <c r="B9" s="19" t="s">
        <v>52</v>
      </c>
      <c r="C9" s="53" t="s">
        <v>49</v>
      </c>
      <c r="F9" s="19" t="s">
        <v>193</v>
      </c>
    </row>
    <row r="12" spans="2:23" ht="38.25">
      <c r="B12" s="49" t="s">
        <v>221</v>
      </c>
      <c r="C12" s="49" t="s">
        <v>190</v>
      </c>
      <c r="D12" s="49" t="s">
        <v>0</v>
      </c>
      <c r="E12" s="49" t="s">
        <v>1</v>
      </c>
      <c r="F12" s="49" t="s">
        <v>2</v>
      </c>
      <c r="G12" s="49" t="s">
        <v>3</v>
      </c>
      <c r="H12" s="49" t="s">
        <v>4</v>
      </c>
      <c r="I12" s="49" t="s">
        <v>5</v>
      </c>
      <c r="J12" s="49" t="s">
        <v>6</v>
      </c>
      <c r="K12" s="49" t="s">
        <v>7</v>
      </c>
      <c r="L12" s="49" t="s">
        <v>8</v>
      </c>
      <c r="M12" s="49" t="s">
        <v>9</v>
      </c>
      <c r="N12" s="49" t="s">
        <v>10</v>
      </c>
      <c r="O12" s="49" t="s">
        <v>11</v>
      </c>
      <c r="P12" s="49" t="s">
        <v>195</v>
      </c>
      <c r="Q12" s="49" t="s">
        <v>196</v>
      </c>
      <c r="R12" s="40"/>
      <c r="S12" s="49" t="s">
        <v>199</v>
      </c>
      <c r="T12" s="49" t="s">
        <v>197</v>
      </c>
      <c r="U12" s="49" t="s">
        <v>198</v>
      </c>
    </row>
    <row r="13" spans="2:23">
      <c r="B13" s="19" t="s">
        <v>194</v>
      </c>
      <c r="C13" s="19">
        <v>1988</v>
      </c>
      <c r="D13" s="33">
        <v>61.9</v>
      </c>
      <c r="E13" s="33">
        <v>62.1</v>
      </c>
      <c r="F13" s="33">
        <v>62.3</v>
      </c>
      <c r="G13" s="33">
        <v>63.1</v>
      </c>
      <c r="H13" s="33">
        <v>63.4</v>
      </c>
      <c r="I13" s="33">
        <v>63.6</v>
      </c>
      <c r="J13" s="33">
        <v>63.6</v>
      </c>
      <c r="K13" s="33">
        <v>63.8</v>
      </c>
      <c r="L13" s="33">
        <v>64.099999999999994</v>
      </c>
      <c r="M13" s="33">
        <v>64.400000000000006</v>
      </c>
      <c r="N13" s="33">
        <v>64.7</v>
      </c>
      <c r="O13" s="33">
        <v>64.8</v>
      </c>
      <c r="P13" s="33">
        <f>AVERAGE(D13:O13)</f>
        <v>63.483333333333341</v>
      </c>
      <c r="Q13" s="56"/>
      <c r="S13" s="19" t="s">
        <v>168</v>
      </c>
      <c r="T13" s="34">
        <f>(SUM(G13:O13)+SUM(D14:F14))/12</f>
        <v>64.266666666666666</v>
      </c>
      <c r="U13" s="31"/>
    </row>
    <row r="14" spans="2:23">
      <c r="B14" s="19" t="s">
        <v>194</v>
      </c>
      <c r="C14" s="19">
        <v>1989</v>
      </c>
      <c r="D14" s="33">
        <v>65</v>
      </c>
      <c r="E14" s="33">
        <v>65.2</v>
      </c>
      <c r="F14" s="33">
        <v>65.5</v>
      </c>
      <c r="G14" s="33">
        <v>66.400000000000006</v>
      </c>
      <c r="H14" s="33">
        <v>66.7</v>
      </c>
      <c r="I14" s="33">
        <v>67</v>
      </c>
      <c r="J14" s="33">
        <v>66.900000000000006</v>
      </c>
      <c r="K14" s="33">
        <v>67</v>
      </c>
      <c r="L14" s="33">
        <v>67.5</v>
      </c>
      <c r="M14" s="33">
        <v>68</v>
      </c>
      <c r="N14" s="33">
        <v>68.2</v>
      </c>
      <c r="O14" s="33">
        <v>68.3</v>
      </c>
      <c r="P14" s="33">
        <f t="shared" ref="P14:P37" si="0">AVERAGE(D14:O14)</f>
        <v>66.808333333333337</v>
      </c>
      <c r="Q14" s="31">
        <f>(P14/P13)-1</f>
        <v>5.2375951693357736E-2</v>
      </c>
      <c r="S14" s="19" t="s">
        <v>169</v>
      </c>
      <c r="T14" s="34">
        <f t="shared" ref="T14:T35" si="1">(SUM(G14:O14)+SUM(D15:F15))/12</f>
        <v>67.75</v>
      </c>
      <c r="U14" s="31">
        <f t="shared" ref="U14:U36" si="2">(T14/T13)-1</f>
        <v>5.4201244813278038E-2</v>
      </c>
      <c r="V14" s="31">
        <f>RPI!U81</f>
        <v>7.8071182548794527E-2</v>
      </c>
      <c r="W14" s="56"/>
    </row>
    <row r="15" spans="2:23">
      <c r="B15" s="19" t="s">
        <v>194</v>
      </c>
      <c r="C15" s="19">
        <v>1990</v>
      </c>
      <c r="D15" s="33">
        <v>68.599999999999994</v>
      </c>
      <c r="E15" s="33">
        <v>69</v>
      </c>
      <c r="F15" s="33">
        <v>69.400000000000006</v>
      </c>
      <c r="G15" s="33">
        <v>70.599999999999994</v>
      </c>
      <c r="H15" s="33">
        <v>71.3</v>
      </c>
      <c r="I15" s="33">
        <v>71.599999999999994</v>
      </c>
      <c r="J15" s="33">
        <v>71.400000000000006</v>
      </c>
      <c r="K15" s="33">
        <v>72.2</v>
      </c>
      <c r="L15" s="33">
        <v>72.900000000000006</v>
      </c>
      <c r="M15" s="33">
        <v>73.5</v>
      </c>
      <c r="N15" s="33">
        <v>73.599999999999994</v>
      </c>
      <c r="O15" s="33">
        <v>73.5</v>
      </c>
      <c r="P15" s="33">
        <f t="shared" si="0"/>
        <v>71.466666666666669</v>
      </c>
      <c r="Q15" s="31">
        <f t="shared" ref="Q15:Q37" si="3">(P15/P14)-1</f>
        <v>6.9726830485218771E-2</v>
      </c>
      <c r="S15" s="19" t="s">
        <v>170</v>
      </c>
      <c r="T15" s="34">
        <f t="shared" si="1"/>
        <v>72.674999999999997</v>
      </c>
      <c r="U15" s="31">
        <f t="shared" si="2"/>
        <v>7.2693726937269387E-2</v>
      </c>
      <c r="V15" s="31">
        <f>RPI!U82</f>
        <v>9.6840610578629915E-2</v>
      </c>
      <c r="W15" s="56"/>
    </row>
    <row r="16" spans="2:23">
      <c r="B16" s="19" t="s">
        <v>194</v>
      </c>
      <c r="C16" s="19">
        <v>1991</v>
      </c>
      <c r="D16" s="33">
        <v>73.5</v>
      </c>
      <c r="E16" s="33">
        <v>73.900000000000006</v>
      </c>
      <c r="F16" s="33">
        <v>74.099999999999994</v>
      </c>
      <c r="G16" s="33">
        <v>76.599999999999994</v>
      </c>
      <c r="H16" s="33">
        <v>77.2</v>
      </c>
      <c r="I16" s="33">
        <v>77.599999999999994</v>
      </c>
      <c r="J16" s="33">
        <v>77.400000000000006</v>
      </c>
      <c r="K16" s="33">
        <v>77.7</v>
      </c>
      <c r="L16" s="33">
        <v>78.099999999999994</v>
      </c>
      <c r="M16" s="33">
        <v>78.5</v>
      </c>
      <c r="N16" s="33">
        <v>78.8</v>
      </c>
      <c r="O16" s="33">
        <v>78.8</v>
      </c>
      <c r="P16" s="33">
        <f t="shared" si="0"/>
        <v>76.849999999999994</v>
      </c>
      <c r="Q16" s="31">
        <f t="shared" si="3"/>
        <v>7.5326492537313383E-2</v>
      </c>
      <c r="S16" s="19" t="s">
        <v>171</v>
      </c>
      <c r="T16" s="34">
        <f t="shared" si="1"/>
        <v>78.141666666666666</v>
      </c>
      <c r="U16" s="31">
        <f t="shared" si="2"/>
        <v>7.5220731567480881E-2</v>
      </c>
      <c r="V16" s="31">
        <f>RPI!U83</f>
        <v>4.7446436662567093E-2</v>
      </c>
      <c r="W16" s="56"/>
    </row>
    <row r="17" spans="2:23">
      <c r="B17" s="19" t="s">
        <v>194</v>
      </c>
      <c r="C17" s="19">
        <v>1992</v>
      </c>
      <c r="D17" s="33">
        <v>78.599999999999994</v>
      </c>
      <c r="E17" s="33">
        <v>79</v>
      </c>
      <c r="F17" s="33">
        <v>79.400000000000006</v>
      </c>
      <c r="G17" s="33">
        <v>80.2</v>
      </c>
      <c r="H17" s="33">
        <v>80.5</v>
      </c>
      <c r="I17" s="33">
        <v>80.599999999999994</v>
      </c>
      <c r="J17" s="33">
        <v>80.2</v>
      </c>
      <c r="K17" s="33">
        <v>80.2</v>
      </c>
      <c r="L17" s="33">
        <v>80.5</v>
      </c>
      <c r="M17" s="33">
        <v>80.7</v>
      </c>
      <c r="N17" s="33">
        <v>80.8</v>
      </c>
      <c r="O17" s="33">
        <v>80.8</v>
      </c>
      <c r="P17" s="33">
        <f t="shared" si="0"/>
        <v>80.125</v>
      </c>
      <c r="Q17" s="31">
        <f t="shared" si="3"/>
        <v>4.2615484710474938E-2</v>
      </c>
      <c r="S17" s="19" t="s">
        <v>172</v>
      </c>
      <c r="T17" s="34">
        <f t="shared" si="1"/>
        <v>80.591666666666654</v>
      </c>
      <c r="U17" s="31">
        <f t="shared" si="2"/>
        <v>3.1353311293590647E-2</v>
      </c>
      <c r="V17" s="31">
        <f>RPI!U84</f>
        <v>3.1578296873068679E-2</v>
      </c>
      <c r="W17" s="56"/>
    </row>
    <row r="18" spans="2:23">
      <c r="B18" s="19" t="s">
        <v>194</v>
      </c>
      <c r="C18" s="19">
        <v>1993</v>
      </c>
      <c r="D18" s="33">
        <v>80.400000000000006</v>
      </c>
      <c r="E18" s="33">
        <v>80.900000000000006</v>
      </c>
      <c r="F18" s="33">
        <v>81.3</v>
      </c>
      <c r="G18" s="33">
        <v>82.2</v>
      </c>
      <c r="H18" s="33">
        <v>82.5</v>
      </c>
      <c r="I18" s="33">
        <v>82.5</v>
      </c>
      <c r="J18" s="33">
        <v>82.2</v>
      </c>
      <c r="K18" s="33">
        <v>82.5</v>
      </c>
      <c r="L18" s="33">
        <v>82.9</v>
      </c>
      <c r="M18" s="33">
        <v>82.8</v>
      </c>
      <c r="N18" s="33">
        <v>82.6</v>
      </c>
      <c r="O18" s="33">
        <v>82.8</v>
      </c>
      <c r="P18" s="33">
        <f t="shared" si="0"/>
        <v>82.133333333333326</v>
      </c>
      <c r="Q18" s="31">
        <f t="shared" si="3"/>
        <v>2.5065002600103803E-2</v>
      </c>
      <c r="S18" s="19" t="s">
        <v>173</v>
      </c>
      <c r="T18" s="34">
        <f t="shared" si="1"/>
        <v>82.624999999999986</v>
      </c>
      <c r="U18" s="31">
        <f t="shared" si="2"/>
        <v>2.5230069279288614E-2</v>
      </c>
      <c r="V18" s="31">
        <f>RPI!U85</f>
        <v>1.7073024621098831E-2</v>
      </c>
      <c r="W18" s="56"/>
    </row>
    <row r="19" spans="2:23">
      <c r="B19" s="19" t="s">
        <v>194</v>
      </c>
      <c r="C19" s="19">
        <v>1994</v>
      </c>
      <c r="D19" s="33">
        <v>82.5</v>
      </c>
      <c r="E19" s="33">
        <v>82.9</v>
      </c>
      <c r="F19" s="33">
        <v>83.1</v>
      </c>
      <c r="G19" s="33">
        <v>83.9</v>
      </c>
      <c r="H19" s="33">
        <v>84.1</v>
      </c>
      <c r="I19" s="33">
        <v>84.1</v>
      </c>
      <c r="J19" s="33">
        <v>83.6</v>
      </c>
      <c r="K19" s="33">
        <v>84.1</v>
      </c>
      <c r="L19" s="33">
        <v>84.2</v>
      </c>
      <c r="M19" s="33">
        <v>84</v>
      </c>
      <c r="N19" s="33">
        <v>84.1</v>
      </c>
      <c r="O19" s="33">
        <v>84.5</v>
      </c>
      <c r="P19" s="33">
        <f t="shared" si="0"/>
        <v>83.75833333333334</v>
      </c>
      <c r="Q19" s="31">
        <f t="shared" si="3"/>
        <v>1.9784902597402843E-2</v>
      </c>
      <c r="S19" s="19" t="s">
        <v>174</v>
      </c>
      <c r="T19" s="34">
        <f t="shared" si="1"/>
        <v>84.274999999999991</v>
      </c>
      <c r="U19" s="31">
        <f t="shared" si="2"/>
        <v>1.9969742813918279E-2</v>
      </c>
      <c r="V19" s="31">
        <f>RPI!U86</f>
        <v>2.7329485216161853E-2</v>
      </c>
      <c r="W19" s="56"/>
    </row>
    <row r="20" spans="2:23">
      <c r="B20" s="19" t="s">
        <v>194</v>
      </c>
      <c r="C20" s="19">
        <v>1995</v>
      </c>
      <c r="D20" s="33">
        <v>84.5</v>
      </c>
      <c r="E20" s="33">
        <v>84.9</v>
      </c>
      <c r="F20" s="33">
        <v>85.3</v>
      </c>
      <c r="G20" s="33">
        <v>85.8</v>
      </c>
      <c r="H20" s="33">
        <v>86.2</v>
      </c>
      <c r="I20" s="33">
        <v>86.3</v>
      </c>
      <c r="J20" s="33">
        <v>85.8</v>
      </c>
      <c r="K20" s="33">
        <v>86.3</v>
      </c>
      <c r="L20" s="33">
        <v>86.7</v>
      </c>
      <c r="M20" s="33">
        <v>86.5</v>
      </c>
      <c r="N20" s="33">
        <v>86.5</v>
      </c>
      <c r="O20" s="33">
        <v>87</v>
      </c>
      <c r="P20" s="33">
        <f t="shared" si="0"/>
        <v>85.983333333333334</v>
      </c>
      <c r="Q20" s="31">
        <f t="shared" si="3"/>
        <v>2.6564520943189729E-2</v>
      </c>
      <c r="S20" s="19" t="s">
        <v>175</v>
      </c>
      <c r="T20" s="34">
        <f t="shared" si="1"/>
        <v>86.55</v>
      </c>
      <c r="U20" s="31">
        <f t="shared" si="2"/>
        <v>2.6994956986057694E-2</v>
      </c>
      <c r="V20" s="31">
        <f>RPI!U87</f>
        <v>3.2507739938080649E-2</v>
      </c>
      <c r="W20" s="56"/>
    </row>
    <row r="21" spans="2:23">
      <c r="B21" s="19" t="s">
        <v>194</v>
      </c>
      <c r="C21" s="19">
        <v>1996</v>
      </c>
      <c r="D21" s="33">
        <v>86.8</v>
      </c>
      <c r="E21" s="33">
        <v>87.2</v>
      </c>
      <c r="F21" s="33">
        <v>87.5</v>
      </c>
      <c r="G21" s="33">
        <v>88</v>
      </c>
      <c r="H21" s="33">
        <v>88.3</v>
      </c>
      <c r="I21" s="33">
        <v>88.4</v>
      </c>
      <c r="J21" s="33">
        <v>87.8</v>
      </c>
      <c r="K21" s="33">
        <v>88.3</v>
      </c>
      <c r="L21" s="33">
        <v>88.7</v>
      </c>
      <c r="M21" s="33">
        <v>88.7</v>
      </c>
      <c r="N21" s="33">
        <v>88.7</v>
      </c>
      <c r="O21" s="33">
        <v>89</v>
      </c>
      <c r="P21" s="33">
        <f t="shared" si="0"/>
        <v>88.116666666666674</v>
      </c>
      <c r="Q21" s="31">
        <f t="shared" si="3"/>
        <v>2.4811009885636892E-2</v>
      </c>
      <c r="S21" s="19" t="s">
        <v>176</v>
      </c>
      <c r="T21" s="34">
        <f t="shared" si="1"/>
        <v>88.52500000000002</v>
      </c>
      <c r="U21" s="31">
        <f t="shared" si="2"/>
        <v>2.2819179664933742E-2</v>
      </c>
      <c r="V21" s="31">
        <f>RPI!U88</f>
        <v>2.4321172746959663E-2</v>
      </c>
      <c r="W21" s="56"/>
    </row>
    <row r="22" spans="2:23">
      <c r="B22" s="19" t="s">
        <v>194</v>
      </c>
      <c r="C22" s="19">
        <v>1997</v>
      </c>
      <c r="D22" s="33">
        <v>88.6</v>
      </c>
      <c r="E22" s="33">
        <v>88.8</v>
      </c>
      <c r="F22" s="33">
        <v>89</v>
      </c>
      <c r="G22" s="33">
        <v>89.4</v>
      </c>
      <c r="H22" s="33">
        <v>89.6</v>
      </c>
      <c r="I22" s="33">
        <v>89.8</v>
      </c>
      <c r="J22" s="33">
        <v>89.5</v>
      </c>
      <c r="K22" s="33">
        <v>90</v>
      </c>
      <c r="L22" s="33">
        <v>90.3</v>
      </c>
      <c r="M22" s="33">
        <v>90.3</v>
      </c>
      <c r="N22" s="33">
        <v>90.4</v>
      </c>
      <c r="O22" s="33">
        <v>90.5</v>
      </c>
      <c r="P22" s="33">
        <f t="shared" si="0"/>
        <v>89.683333333333323</v>
      </c>
      <c r="Q22" s="31">
        <f t="shared" si="3"/>
        <v>1.7779459050500934E-2</v>
      </c>
      <c r="S22" s="19" t="s">
        <v>177</v>
      </c>
      <c r="T22" s="34">
        <f t="shared" si="1"/>
        <v>90.041666666666671</v>
      </c>
      <c r="U22" s="31">
        <f t="shared" si="2"/>
        <v>1.7132636731619799E-2</v>
      </c>
      <c r="V22" s="31">
        <f>RPI!U89</f>
        <v>3.3067707486311937E-2</v>
      </c>
      <c r="W22" s="56"/>
    </row>
    <row r="23" spans="2:23">
      <c r="B23" s="19" t="s">
        <v>194</v>
      </c>
      <c r="C23" s="19">
        <v>1998</v>
      </c>
      <c r="D23" s="33">
        <v>89.9</v>
      </c>
      <c r="E23" s="33">
        <v>90.3</v>
      </c>
      <c r="F23" s="33">
        <v>90.5</v>
      </c>
      <c r="G23" s="33">
        <v>91</v>
      </c>
      <c r="H23" s="33">
        <v>91.5</v>
      </c>
      <c r="I23" s="33">
        <v>91.3</v>
      </c>
      <c r="J23" s="33">
        <v>90.8</v>
      </c>
      <c r="K23" s="33">
        <v>91.2</v>
      </c>
      <c r="L23" s="33">
        <v>91.6</v>
      </c>
      <c r="M23" s="33">
        <v>91.6</v>
      </c>
      <c r="N23" s="33">
        <v>91.7</v>
      </c>
      <c r="O23" s="33">
        <v>91.9</v>
      </c>
      <c r="P23" s="33">
        <f t="shared" si="0"/>
        <v>91.108333333333348</v>
      </c>
      <c r="Q23" s="31">
        <f t="shared" si="3"/>
        <v>1.5889239918231102E-2</v>
      </c>
      <c r="S23" s="19" t="s">
        <v>178</v>
      </c>
      <c r="T23" s="34">
        <f t="shared" si="1"/>
        <v>91.458333333333329</v>
      </c>
      <c r="U23" s="31">
        <f t="shared" si="2"/>
        <v>1.5733456732993867E-2</v>
      </c>
      <c r="V23" s="31">
        <f>RPI!U90</f>
        <v>3.1169648947893425E-2</v>
      </c>
      <c r="W23" s="56"/>
    </row>
    <row r="24" spans="2:23">
      <c r="B24" s="19" t="s">
        <v>194</v>
      </c>
      <c r="C24" s="19">
        <v>1999</v>
      </c>
      <c r="D24" s="33">
        <v>91.4</v>
      </c>
      <c r="E24" s="33">
        <v>91.5</v>
      </c>
      <c r="F24" s="33">
        <v>92</v>
      </c>
      <c r="G24" s="33">
        <v>92.4</v>
      </c>
      <c r="H24" s="33">
        <v>92.7</v>
      </c>
      <c r="I24" s="33">
        <v>92.6</v>
      </c>
      <c r="J24" s="33">
        <v>92</v>
      </c>
      <c r="K24" s="33">
        <v>92.3</v>
      </c>
      <c r="L24" s="33">
        <v>92.7</v>
      </c>
      <c r="M24" s="33">
        <v>92.6</v>
      </c>
      <c r="N24" s="33">
        <v>92.7</v>
      </c>
      <c r="O24" s="33">
        <v>93</v>
      </c>
      <c r="P24" s="33">
        <f t="shared" si="0"/>
        <v>92.325000000000003</v>
      </c>
      <c r="Q24" s="31">
        <f t="shared" si="3"/>
        <v>1.3354065672733784E-2</v>
      </c>
      <c r="S24" s="19" t="s">
        <v>179</v>
      </c>
      <c r="T24" s="34">
        <f t="shared" si="1"/>
        <v>92.50833333333334</v>
      </c>
      <c r="U24" s="31">
        <f t="shared" si="2"/>
        <v>1.1480637813211958E-2</v>
      </c>
      <c r="V24" s="31">
        <f>RPI!U91</f>
        <v>1.5826166607297187E-2</v>
      </c>
      <c r="W24" s="56"/>
    </row>
    <row r="25" spans="2:23">
      <c r="B25" s="19" t="s">
        <v>194</v>
      </c>
      <c r="C25" s="19">
        <v>2000</v>
      </c>
      <c r="D25" s="33">
        <v>92.1</v>
      </c>
      <c r="E25" s="33">
        <v>92.4</v>
      </c>
      <c r="F25" s="33">
        <v>92.6</v>
      </c>
      <c r="G25" s="33">
        <v>92.9</v>
      </c>
      <c r="H25" s="33">
        <v>93.2</v>
      </c>
      <c r="I25" s="33">
        <v>93.3</v>
      </c>
      <c r="J25" s="33">
        <v>92.8</v>
      </c>
      <c r="K25" s="33">
        <v>92.8</v>
      </c>
      <c r="L25" s="33">
        <v>93.6</v>
      </c>
      <c r="M25" s="33">
        <v>93.5</v>
      </c>
      <c r="N25" s="33">
        <v>93.7</v>
      </c>
      <c r="O25" s="33">
        <v>93.7</v>
      </c>
      <c r="P25" s="33">
        <f t="shared" si="0"/>
        <v>93.05</v>
      </c>
      <c r="Q25" s="31">
        <f t="shared" si="3"/>
        <v>7.8526942864878269E-3</v>
      </c>
      <c r="S25" s="19" t="s">
        <v>180</v>
      </c>
      <c r="T25" s="34">
        <f t="shared" si="1"/>
        <v>93.241666666666674</v>
      </c>
      <c r="U25" s="31">
        <f t="shared" si="2"/>
        <v>7.9272137645256535E-3</v>
      </c>
      <c r="V25" s="31">
        <f>RPI!U92</f>
        <v>2.9856727782787029E-2</v>
      </c>
      <c r="W25" s="56"/>
    </row>
    <row r="26" spans="2:23">
      <c r="B26" s="19" t="s">
        <v>194</v>
      </c>
      <c r="C26" s="19">
        <v>2001</v>
      </c>
      <c r="D26" s="33">
        <v>92.9</v>
      </c>
      <c r="E26" s="33">
        <v>93.1</v>
      </c>
      <c r="F26" s="33">
        <v>93.4</v>
      </c>
      <c r="G26" s="33">
        <v>94</v>
      </c>
      <c r="H26" s="33">
        <v>94.7</v>
      </c>
      <c r="I26" s="33">
        <v>94.9</v>
      </c>
      <c r="J26" s="33">
        <v>94.2</v>
      </c>
      <c r="K26" s="33">
        <v>94.5</v>
      </c>
      <c r="L26" s="33">
        <v>94.8</v>
      </c>
      <c r="M26" s="33">
        <v>94.7</v>
      </c>
      <c r="N26" s="33">
        <v>94.5</v>
      </c>
      <c r="O26" s="33">
        <v>94.7</v>
      </c>
      <c r="P26" s="33">
        <f t="shared" si="0"/>
        <v>94.2</v>
      </c>
      <c r="Q26" s="31">
        <f t="shared" si="3"/>
        <v>1.2358946802794257E-2</v>
      </c>
      <c r="S26" s="19" t="s">
        <v>181</v>
      </c>
      <c r="T26" s="34">
        <f t="shared" si="1"/>
        <v>94.566666666666677</v>
      </c>
      <c r="U26" s="31">
        <f t="shared" si="2"/>
        <v>1.4210385199749709E-2</v>
      </c>
      <c r="V26" s="31">
        <f>RPI!U93</f>
        <v>1.4933359276194436E-2</v>
      </c>
      <c r="W26" s="56"/>
    </row>
    <row r="27" spans="2:23">
      <c r="B27" s="19" t="s">
        <v>194</v>
      </c>
      <c r="C27" s="19">
        <v>2002</v>
      </c>
      <c r="D27" s="33">
        <v>94.4</v>
      </c>
      <c r="E27" s="33">
        <v>94.5</v>
      </c>
      <c r="F27" s="33">
        <v>94.9</v>
      </c>
      <c r="G27" s="33">
        <v>95.3</v>
      </c>
      <c r="H27" s="33">
        <v>95.5</v>
      </c>
      <c r="I27" s="33">
        <v>95.5</v>
      </c>
      <c r="J27" s="33">
        <v>95.2</v>
      </c>
      <c r="K27" s="33">
        <v>95.5</v>
      </c>
      <c r="L27" s="33">
        <v>95.7</v>
      </c>
      <c r="M27" s="33">
        <v>95.9</v>
      </c>
      <c r="N27" s="33">
        <v>95.9</v>
      </c>
      <c r="O27" s="33">
        <v>96.3</v>
      </c>
      <c r="P27" s="33">
        <f t="shared" si="0"/>
        <v>95.38333333333334</v>
      </c>
      <c r="Q27" s="31">
        <f t="shared" si="3"/>
        <v>1.2561924982307238E-2</v>
      </c>
      <c r="S27" s="19" t="s">
        <v>182</v>
      </c>
      <c r="T27" s="34">
        <f t="shared" si="1"/>
        <v>95.733333333333334</v>
      </c>
      <c r="U27" s="31">
        <f t="shared" si="2"/>
        <v>1.2336975678533646E-2</v>
      </c>
      <c r="V27" s="31">
        <f>RPI!U94</f>
        <v>2.0944164869398429E-2</v>
      </c>
      <c r="W27" s="56"/>
    </row>
    <row r="28" spans="2:23">
      <c r="B28" s="19" t="s">
        <v>194</v>
      </c>
      <c r="C28" s="19">
        <v>2003</v>
      </c>
      <c r="D28" s="33">
        <v>95.7</v>
      </c>
      <c r="E28" s="33">
        <v>96</v>
      </c>
      <c r="F28" s="33">
        <v>96.3</v>
      </c>
      <c r="G28" s="33">
        <v>96.7</v>
      </c>
      <c r="H28" s="33">
        <v>96.7</v>
      </c>
      <c r="I28" s="33">
        <v>96.5</v>
      </c>
      <c r="J28" s="33">
        <v>96.5</v>
      </c>
      <c r="K28" s="33">
        <v>96.8</v>
      </c>
      <c r="L28" s="33">
        <v>97.1</v>
      </c>
      <c r="M28" s="33">
        <v>97.2</v>
      </c>
      <c r="N28" s="33">
        <v>97.2</v>
      </c>
      <c r="O28" s="33">
        <v>97.5</v>
      </c>
      <c r="P28" s="33">
        <f t="shared" si="0"/>
        <v>96.683333333333337</v>
      </c>
      <c r="Q28" s="31">
        <f t="shared" si="3"/>
        <v>1.3629215446444132E-2</v>
      </c>
      <c r="S28" s="19" t="s">
        <v>78</v>
      </c>
      <c r="T28" s="34">
        <f t="shared" si="1"/>
        <v>96.983333333333348</v>
      </c>
      <c r="U28" s="31">
        <f t="shared" si="2"/>
        <v>1.3057103064066933E-2</v>
      </c>
      <c r="V28" s="31">
        <f>RPI!U95</f>
        <v>2.7931649610365206E-2</v>
      </c>
      <c r="W28" s="56"/>
    </row>
    <row r="29" spans="2:23">
      <c r="B29" s="19" t="s">
        <v>194</v>
      </c>
      <c r="C29" s="19">
        <v>2004</v>
      </c>
      <c r="D29" s="33">
        <v>97</v>
      </c>
      <c r="E29" s="33">
        <v>97.2</v>
      </c>
      <c r="F29" s="33">
        <v>97.4</v>
      </c>
      <c r="G29" s="33">
        <v>97.8</v>
      </c>
      <c r="H29" s="33">
        <v>98.1</v>
      </c>
      <c r="I29" s="33">
        <v>98.1</v>
      </c>
      <c r="J29" s="33">
        <v>97.8</v>
      </c>
      <c r="K29" s="33">
        <v>98.1</v>
      </c>
      <c r="L29" s="33">
        <v>98.2</v>
      </c>
      <c r="M29" s="33">
        <v>98.4</v>
      </c>
      <c r="N29" s="33">
        <v>98.6</v>
      </c>
      <c r="O29" s="33">
        <v>99.1</v>
      </c>
      <c r="P29" s="33">
        <f t="shared" si="0"/>
        <v>97.983333333333334</v>
      </c>
      <c r="Q29" s="31">
        <f t="shared" si="3"/>
        <v>1.3445957593518409E-2</v>
      </c>
      <c r="S29" s="19" t="s">
        <v>79</v>
      </c>
      <c r="T29" s="34">
        <f t="shared" si="1"/>
        <v>98.408333333333346</v>
      </c>
      <c r="U29" s="31">
        <f t="shared" si="2"/>
        <v>1.4693246262244442E-2</v>
      </c>
      <c r="V29" s="31">
        <f>RPI!U96</f>
        <v>3.1100150705576146E-2</v>
      </c>
      <c r="W29" s="56"/>
    </row>
    <row r="30" spans="2:23">
      <c r="B30" s="19" t="s">
        <v>194</v>
      </c>
      <c r="C30" s="19">
        <v>2005</v>
      </c>
      <c r="D30" s="33">
        <v>98.6</v>
      </c>
      <c r="E30" s="33">
        <v>98.8</v>
      </c>
      <c r="F30" s="33">
        <v>99.3</v>
      </c>
      <c r="G30" s="33">
        <v>99.7</v>
      </c>
      <c r="H30" s="33">
        <v>100</v>
      </c>
      <c r="I30" s="33">
        <v>100</v>
      </c>
      <c r="J30" s="33">
        <v>100.1</v>
      </c>
      <c r="K30" s="33">
        <v>100.4</v>
      </c>
      <c r="L30" s="33">
        <v>100.6</v>
      </c>
      <c r="M30" s="33">
        <v>100.7</v>
      </c>
      <c r="N30" s="33">
        <v>100.7</v>
      </c>
      <c r="O30" s="33">
        <v>101</v>
      </c>
      <c r="P30" s="33">
        <f t="shared" si="0"/>
        <v>99.991666666666674</v>
      </c>
      <c r="Q30" s="31">
        <f t="shared" si="3"/>
        <v>2.0496683109372471E-2</v>
      </c>
      <c r="S30" s="19" t="s">
        <v>80</v>
      </c>
      <c r="T30" s="34">
        <f t="shared" si="1"/>
        <v>100.47500000000001</v>
      </c>
      <c r="U30" s="31">
        <f t="shared" si="2"/>
        <v>2.1000931492929142E-2</v>
      </c>
      <c r="V30" s="31">
        <f>RPI!U97</f>
        <v>2.635308707591455E-2</v>
      </c>
      <c r="W30" s="56"/>
    </row>
    <row r="31" spans="2:23">
      <c r="B31" s="19" t="s">
        <v>194</v>
      </c>
      <c r="C31" s="19">
        <v>2006</v>
      </c>
      <c r="D31" s="33">
        <v>100.5</v>
      </c>
      <c r="E31" s="33">
        <v>100.9</v>
      </c>
      <c r="F31" s="33">
        <v>101.1</v>
      </c>
      <c r="G31" s="33">
        <v>101.7</v>
      </c>
      <c r="H31" s="33">
        <v>102.2</v>
      </c>
      <c r="I31" s="33">
        <v>102.5</v>
      </c>
      <c r="J31" s="33">
        <v>102.5</v>
      </c>
      <c r="K31" s="33">
        <v>102.9</v>
      </c>
      <c r="L31" s="33">
        <v>103</v>
      </c>
      <c r="M31" s="33">
        <v>103.2</v>
      </c>
      <c r="N31" s="33">
        <v>103.4</v>
      </c>
      <c r="O31" s="33">
        <v>104</v>
      </c>
      <c r="P31" s="33">
        <f t="shared" si="0"/>
        <v>102.325</v>
      </c>
      <c r="Q31" s="31">
        <f t="shared" si="3"/>
        <v>2.3335277939828369E-2</v>
      </c>
      <c r="S31" s="19" t="s">
        <v>44</v>
      </c>
      <c r="T31" s="34">
        <f t="shared" si="1"/>
        <v>103.04166666666667</v>
      </c>
      <c r="U31" s="31">
        <f t="shared" si="2"/>
        <v>2.5545326366426035E-2</v>
      </c>
      <c r="V31" s="31">
        <f>RPI!U98</f>
        <v>3.7327924739999352E-2</v>
      </c>
      <c r="W31" s="56"/>
    </row>
    <row r="32" spans="2:23">
      <c r="B32" s="19" t="s">
        <v>194</v>
      </c>
      <c r="C32" s="19">
        <v>2007</v>
      </c>
      <c r="D32" s="33">
        <v>103.2</v>
      </c>
      <c r="E32" s="33">
        <v>103.7</v>
      </c>
      <c r="F32" s="33">
        <v>104.2</v>
      </c>
      <c r="G32" s="33">
        <v>104.5</v>
      </c>
      <c r="H32" s="33">
        <v>104.8</v>
      </c>
      <c r="I32" s="33">
        <v>105</v>
      </c>
      <c r="J32" s="33">
        <v>104.4</v>
      </c>
      <c r="K32" s="33">
        <v>104.7</v>
      </c>
      <c r="L32" s="33">
        <v>104.8</v>
      </c>
      <c r="M32" s="33">
        <v>105.3</v>
      </c>
      <c r="N32" s="33">
        <v>105.6</v>
      </c>
      <c r="O32" s="33">
        <v>106.2</v>
      </c>
      <c r="P32" s="33">
        <f t="shared" si="0"/>
        <v>104.69999999999999</v>
      </c>
      <c r="Q32" s="31">
        <f t="shared" si="3"/>
        <v>2.3210359149767656E-2</v>
      </c>
      <c r="S32" s="19" t="s">
        <v>45</v>
      </c>
      <c r="T32" s="34">
        <f t="shared" si="1"/>
        <v>105.31666666666668</v>
      </c>
      <c r="U32" s="31">
        <f t="shared" si="2"/>
        <v>2.2078447230085008E-2</v>
      </c>
      <c r="V32" s="31">
        <f>RPI!U99</f>
        <v>4.1309593144188472E-2</v>
      </c>
      <c r="W32" s="56"/>
    </row>
    <row r="33" spans="2:23">
      <c r="B33" s="19" t="s">
        <v>194</v>
      </c>
      <c r="C33" s="19">
        <v>2008</v>
      </c>
      <c r="D33" s="33">
        <v>105.5</v>
      </c>
      <c r="E33" s="33">
        <v>106.3</v>
      </c>
      <c r="F33" s="33">
        <v>106.7</v>
      </c>
      <c r="G33" s="33">
        <v>107.6</v>
      </c>
      <c r="H33" s="33">
        <v>108.3</v>
      </c>
      <c r="I33" s="33">
        <v>109</v>
      </c>
      <c r="J33" s="33">
        <v>109</v>
      </c>
      <c r="K33" s="33">
        <v>109.7</v>
      </c>
      <c r="L33" s="33">
        <v>110.3</v>
      </c>
      <c r="M33" s="33">
        <v>110</v>
      </c>
      <c r="N33" s="33">
        <v>109.9</v>
      </c>
      <c r="O33" s="33">
        <v>109.5</v>
      </c>
      <c r="P33" s="33">
        <f t="shared" si="0"/>
        <v>108.48333333333335</v>
      </c>
      <c r="Q33" s="31">
        <f t="shared" si="3"/>
        <v>3.613498885705213E-2</v>
      </c>
      <c r="S33" s="19" t="s">
        <v>12</v>
      </c>
      <c r="T33" s="34">
        <f t="shared" si="1"/>
        <v>109.28333333333335</v>
      </c>
      <c r="U33" s="31">
        <f t="shared" si="2"/>
        <v>3.7664187371419633E-2</v>
      </c>
      <c r="V33" s="31">
        <f>RPI!U100</f>
        <v>2.9683192840877393E-2</v>
      </c>
      <c r="W33" s="56"/>
    </row>
    <row r="34" spans="2:23">
      <c r="B34" s="19" t="s">
        <v>194</v>
      </c>
      <c r="C34" s="19">
        <v>2009</v>
      </c>
      <c r="D34" s="33">
        <v>108.7</v>
      </c>
      <c r="E34" s="33">
        <v>109.6</v>
      </c>
      <c r="F34" s="33">
        <v>109.8</v>
      </c>
      <c r="G34" s="33">
        <v>110.1</v>
      </c>
      <c r="H34" s="33">
        <v>110.7</v>
      </c>
      <c r="I34" s="33">
        <v>111</v>
      </c>
      <c r="J34" s="33">
        <v>110.9</v>
      </c>
      <c r="K34" s="33">
        <v>111.4</v>
      </c>
      <c r="L34" s="33">
        <v>111.5</v>
      </c>
      <c r="M34" s="33">
        <v>111.7</v>
      </c>
      <c r="N34" s="33">
        <v>112</v>
      </c>
      <c r="O34" s="33">
        <v>112.6</v>
      </c>
      <c r="P34" s="33">
        <f t="shared" si="0"/>
        <v>110.83333333333333</v>
      </c>
      <c r="Q34" s="31">
        <f t="shared" si="3"/>
        <v>2.1662313719465143E-2</v>
      </c>
      <c r="S34" s="19" t="s">
        <v>13</v>
      </c>
      <c r="T34" s="34">
        <f t="shared" si="1"/>
        <v>111.72500000000001</v>
      </c>
      <c r="U34" s="31">
        <f t="shared" si="2"/>
        <v>2.2342534695744876E-2</v>
      </c>
      <c r="V34" s="31">
        <f>RPI!U101</f>
        <v>4.5782571583763421E-3</v>
      </c>
      <c r="W34" s="56"/>
    </row>
    <row r="35" spans="2:23">
      <c r="B35" s="19" t="s">
        <v>194</v>
      </c>
      <c r="C35" s="19">
        <v>2010</v>
      </c>
      <c r="D35" s="33">
        <v>112.4</v>
      </c>
      <c r="E35" s="33">
        <v>112.9</v>
      </c>
      <c r="F35" s="33">
        <v>113.5</v>
      </c>
      <c r="G35" s="33">
        <v>114.2</v>
      </c>
      <c r="H35" s="33">
        <v>114.4</v>
      </c>
      <c r="I35" s="33">
        <v>114.6</v>
      </c>
      <c r="J35" s="33">
        <v>114.3</v>
      </c>
      <c r="K35" s="33">
        <v>114.9</v>
      </c>
      <c r="L35" s="33">
        <v>114.9</v>
      </c>
      <c r="M35" s="33">
        <v>115.2</v>
      </c>
      <c r="N35" s="33">
        <v>115.6</v>
      </c>
      <c r="O35" s="33">
        <v>116.8</v>
      </c>
      <c r="P35" s="33">
        <f t="shared" si="0"/>
        <v>114.47499999999998</v>
      </c>
      <c r="Q35" s="31">
        <f t="shared" si="3"/>
        <v>3.2857142857142696E-2</v>
      </c>
      <c r="S35" s="19" t="s">
        <v>14</v>
      </c>
      <c r="T35" s="34">
        <f t="shared" si="1"/>
        <v>115.64166666666667</v>
      </c>
      <c r="U35" s="31">
        <f t="shared" si="2"/>
        <v>3.5056313865890809E-2</v>
      </c>
      <c r="V35" s="31">
        <f>RPI!U102</f>
        <v>4.9629229105515371E-2</v>
      </c>
      <c r="W35" s="56"/>
    </row>
    <row r="36" spans="2:23">
      <c r="B36" s="19" t="s">
        <v>194</v>
      </c>
      <c r="C36" s="19">
        <v>2011</v>
      </c>
      <c r="D36" s="33">
        <v>116.9</v>
      </c>
      <c r="E36" s="33">
        <v>117.8</v>
      </c>
      <c r="F36" s="33">
        <v>118.1</v>
      </c>
      <c r="G36" s="33">
        <v>119.3</v>
      </c>
      <c r="H36" s="33">
        <v>119.5</v>
      </c>
      <c r="I36" s="33">
        <v>119.4</v>
      </c>
      <c r="J36" s="33">
        <v>119.4</v>
      </c>
      <c r="K36" s="33">
        <v>120.1</v>
      </c>
      <c r="L36" s="33">
        <v>120.9</v>
      </c>
      <c r="M36" s="33">
        <v>121</v>
      </c>
      <c r="N36" s="33">
        <v>121.2</v>
      </c>
      <c r="O36" s="33">
        <v>121.7</v>
      </c>
      <c r="P36" s="33">
        <f t="shared" si="0"/>
        <v>119.60833333333333</v>
      </c>
      <c r="Q36" s="31">
        <f t="shared" si="3"/>
        <v>4.4842396447550614E-2</v>
      </c>
      <c r="S36" s="19" t="s">
        <v>15</v>
      </c>
      <c r="T36" s="34">
        <f>(SUM(G36:O36)+SUM(D37:F37))/12</f>
        <v>120.63333333333333</v>
      </c>
      <c r="U36" s="31">
        <f t="shared" si="2"/>
        <v>4.3164949196512259E-2</v>
      </c>
      <c r="V36" s="31">
        <f>RPI!U103</f>
        <v>4.7981749273282803E-2</v>
      </c>
      <c r="W36" s="56"/>
    </row>
    <row r="37" spans="2:23">
      <c r="B37" s="19" t="s">
        <v>194</v>
      </c>
      <c r="C37" s="19">
        <v>2012</v>
      </c>
      <c r="D37" s="33">
        <v>121.1</v>
      </c>
      <c r="E37" s="33">
        <v>121.8</v>
      </c>
      <c r="F37" s="33">
        <v>122.2</v>
      </c>
      <c r="G37" s="33">
        <v>122.9</v>
      </c>
      <c r="H37" s="33">
        <v>122.8</v>
      </c>
      <c r="I37" s="33">
        <v>122.3</v>
      </c>
      <c r="J37" s="33">
        <v>122.5</v>
      </c>
      <c r="K37" s="33">
        <v>123.1</v>
      </c>
      <c r="L37" s="33">
        <v>123.5</v>
      </c>
      <c r="M37" s="33">
        <v>124.2</v>
      </c>
      <c r="N37" s="33">
        <v>124.4</v>
      </c>
      <c r="O37" s="33">
        <v>125</v>
      </c>
      <c r="P37" s="33">
        <f t="shared" si="0"/>
        <v>122.98333333333333</v>
      </c>
      <c r="Q37" s="31">
        <f t="shared" si="3"/>
        <v>2.8217097470911945E-2</v>
      </c>
      <c r="S37" s="19" t="s">
        <v>16</v>
      </c>
      <c r="T37" s="34"/>
      <c r="U37" s="31"/>
    </row>
    <row r="38" spans="2:23" s="61" customFormat="1">
      <c r="T38" s="62"/>
      <c r="U38" s="63"/>
    </row>
    <row r="39" spans="2:23" s="61" customFormat="1">
      <c r="T39" s="62"/>
      <c r="U39" s="63"/>
      <c r="W39" s="64"/>
    </row>
    <row r="40" spans="2:23" s="61" customFormat="1">
      <c r="T40" s="62"/>
      <c r="U40" s="63"/>
    </row>
    <row r="41" spans="2:23" s="61" customFormat="1">
      <c r="B41" s="329" t="s">
        <v>445</v>
      </c>
      <c r="C41" s="329"/>
      <c r="D41" s="329"/>
      <c r="E41" s="329"/>
      <c r="F41" s="329"/>
      <c r="G41" s="329"/>
      <c r="H41" s="329"/>
      <c r="I41" s="329"/>
      <c r="J41" s="329"/>
      <c r="K41" s="329"/>
      <c r="L41" s="329"/>
      <c r="M41" s="329"/>
      <c r="N41" s="329"/>
      <c r="O41" s="329"/>
      <c r="P41" s="329"/>
      <c r="Q41" s="329"/>
      <c r="R41" s="329"/>
      <c r="S41" s="329"/>
      <c r="T41" s="329"/>
      <c r="U41" s="329"/>
      <c r="V41" s="329"/>
    </row>
    <row r="42" spans="2:23" s="61" customFormat="1">
      <c r="T42" s="62"/>
      <c r="U42" s="63"/>
    </row>
    <row r="43" spans="2:23" s="61" customFormat="1">
      <c r="P43" s="65"/>
      <c r="T43" s="62"/>
      <c r="U43" s="63"/>
    </row>
    <row r="44" spans="2:23">
      <c r="P44" s="66"/>
    </row>
    <row r="45" spans="2:23">
      <c r="P45" s="66"/>
    </row>
    <row r="46" spans="2:23">
      <c r="P46" s="66"/>
    </row>
    <row r="47" spans="2:23">
      <c r="P47" s="66"/>
    </row>
    <row r="48" spans="2:23">
      <c r="P48" s="66"/>
    </row>
    <row r="49" spans="16:16">
      <c r="P49" s="66"/>
    </row>
    <row r="50" spans="16:16">
      <c r="P50" s="66"/>
    </row>
    <row r="51" spans="16:16">
      <c r="P51" s="66"/>
    </row>
    <row r="52" spans="16:16">
      <c r="P52" s="66"/>
    </row>
    <row r="53" spans="16:16">
      <c r="P53" s="66"/>
    </row>
    <row r="54" spans="16:16">
      <c r="P54" s="66"/>
    </row>
    <row r="55" spans="16:16">
      <c r="P55" s="66"/>
    </row>
    <row r="56" spans="16:16">
      <c r="P56" s="66"/>
    </row>
    <row r="57" spans="16:16">
      <c r="P57" s="66"/>
    </row>
    <row r="58" spans="16:16">
      <c r="P58" s="66"/>
    </row>
    <row r="59" spans="16:16">
      <c r="P59" s="66"/>
    </row>
    <row r="60" spans="16:16">
      <c r="P60" s="66"/>
    </row>
    <row r="61" spans="16:16">
      <c r="P61" s="66"/>
    </row>
    <row r="62" spans="16:16">
      <c r="P62" s="66"/>
    </row>
    <row r="63" spans="16:16">
      <c r="P63" s="66"/>
    </row>
  </sheetData>
  <pageMargins left="0.7" right="0.7" top="0.75" bottom="0.75" header="0.3" footer="0.3"/>
  <pageSetup paperSize="9" orientation="portrait" r:id="rId1"/>
  <headerFooter>
    <oddHeader>&amp;C&amp;A&amp;D</oddHeader>
  </headerFooter>
</worksheet>
</file>

<file path=xl/worksheets/sheet29.xml><?xml version="1.0" encoding="utf-8"?>
<worksheet xmlns="http://schemas.openxmlformats.org/spreadsheetml/2006/main" xmlns:r="http://schemas.openxmlformats.org/officeDocument/2006/relationships">
  <dimension ref="B2:U132"/>
  <sheetViews>
    <sheetView showGridLines="0" zoomScale="85" zoomScaleNormal="85" workbookViewId="0">
      <selection activeCell="B3" sqref="B3"/>
    </sheetView>
  </sheetViews>
  <sheetFormatPr defaultRowHeight="12.75"/>
  <cols>
    <col min="1" max="1" width="9.140625" style="19"/>
    <col min="2" max="2" width="18.5703125" style="19" customWidth="1"/>
    <col min="3" max="16384" width="9.140625" style="19"/>
  </cols>
  <sheetData>
    <row r="2" spans="2:21">
      <c r="B2" s="19" t="s">
        <v>790</v>
      </c>
    </row>
    <row r="4" spans="2:21">
      <c r="B4" s="84" t="s">
        <v>425</v>
      </c>
      <c r="C4" s="152"/>
      <c r="D4" s="152"/>
      <c r="E4" s="152"/>
      <c r="F4" s="152"/>
      <c r="G4" s="152"/>
      <c r="H4" s="152"/>
      <c r="I4" s="152"/>
      <c r="J4" s="152"/>
      <c r="K4" s="152"/>
      <c r="L4" s="152"/>
      <c r="M4" s="152"/>
      <c r="N4" s="152"/>
      <c r="O4" s="152"/>
      <c r="P4" s="152"/>
      <c r="Q4" s="152"/>
      <c r="R4" s="152"/>
      <c r="S4" s="152"/>
    </row>
    <row r="6" spans="2:21">
      <c r="B6" s="29" t="s">
        <v>427</v>
      </c>
      <c r="C6" s="29"/>
    </row>
    <row r="7" spans="2:21">
      <c r="B7" s="29" t="s">
        <v>52</v>
      </c>
      <c r="C7" s="29" t="s">
        <v>426</v>
      </c>
    </row>
    <row r="8" spans="2:21" ht="13.5" thickBot="1"/>
    <row r="9" spans="2:21" ht="13.5" thickBot="1">
      <c r="B9" s="656" t="s">
        <v>335</v>
      </c>
      <c r="C9" s="657"/>
      <c r="D9" s="657"/>
      <c r="E9" s="657"/>
      <c r="F9" s="657"/>
      <c r="G9" s="657"/>
      <c r="H9" s="657"/>
      <c r="I9" s="657"/>
      <c r="J9" s="657"/>
      <c r="K9" s="657"/>
      <c r="L9" s="657"/>
      <c r="M9" s="657"/>
      <c r="N9" s="657"/>
      <c r="O9" s="657"/>
      <c r="P9" s="657"/>
      <c r="Q9" s="657"/>
      <c r="R9" s="657"/>
      <c r="S9" s="658"/>
    </row>
    <row r="10" spans="2:21" ht="89.25">
      <c r="B10" s="304"/>
      <c r="C10" s="292" t="s">
        <v>336</v>
      </c>
      <c r="D10" s="292" t="s">
        <v>337</v>
      </c>
      <c r="E10" s="292" t="s">
        <v>338</v>
      </c>
      <c r="F10" s="292" t="s">
        <v>339</v>
      </c>
      <c r="G10" s="292" t="s">
        <v>340</v>
      </c>
      <c r="H10" s="292" t="s">
        <v>341</v>
      </c>
      <c r="I10" s="292" t="s">
        <v>342</v>
      </c>
      <c r="J10" s="292" t="s">
        <v>343</v>
      </c>
      <c r="K10" s="292" t="s">
        <v>344</v>
      </c>
      <c r="L10" s="292" t="s">
        <v>345</v>
      </c>
      <c r="M10" s="292" t="s">
        <v>346</v>
      </c>
      <c r="N10" s="292" t="s">
        <v>347</v>
      </c>
      <c r="O10" s="292" t="s">
        <v>348</v>
      </c>
      <c r="P10" s="292" t="s">
        <v>349</v>
      </c>
      <c r="Q10" s="292" t="s">
        <v>397</v>
      </c>
      <c r="R10" s="292" t="s">
        <v>398</v>
      </c>
      <c r="S10" s="305" t="s">
        <v>350</v>
      </c>
    </row>
    <row r="11" spans="2:21">
      <c r="B11" s="298" t="s">
        <v>351</v>
      </c>
      <c r="C11" s="306">
        <v>29.2</v>
      </c>
      <c r="D11" s="306">
        <v>59.2</v>
      </c>
      <c r="E11" s="306">
        <v>2.2000000000000002</v>
      </c>
      <c r="F11" s="306">
        <v>7.1</v>
      </c>
      <c r="G11" s="306">
        <v>63.7</v>
      </c>
      <c r="H11" s="306">
        <v>100</v>
      </c>
      <c r="I11" s="307">
        <v>1.36</v>
      </c>
      <c r="J11" s="306"/>
      <c r="K11" s="306"/>
      <c r="L11" s="306"/>
      <c r="M11" s="308">
        <v>66.900000000000006</v>
      </c>
      <c r="N11" s="306">
        <v>31.5</v>
      </c>
      <c r="O11" s="306">
        <v>917.7</v>
      </c>
      <c r="P11" s="306">
        <v>-0.7</v>
      </c>
      <c r="Q11" s="306">
        <v>102.4</v>
      </c>
      <c r="R11" s="309">
        <v>427</v>
      </c>
      <c r="S11" s="310">
        <v>190.8</v>
      </c>
    </row>
    <row r="12" spans="2:21">
      <c r="B12" s="298" t="s">
        <v>352</v>
      </c>
      <c r="C12" s="306">
        <v>28.9</v>
      </c>
      <c r="D12" s="306">
        <v>58.5</v>
      </c>
      <c r="E12" s="306">
        <v>2.4</v>
      </c>
      <c r="F12" s="306">
        <v>7.8</v>
      </c>
      <c r="G12" s="306">
        <v>63.4</v>
      </c>
      <c r="H12" s="306">
        <v>100.2</v>
      </c>
      <c r="I12" s="307">
        <v>1.54</v>
      </c>
      <c r="J12" s="306"/>
      <c r="K12" s="306"/>
      <c r="L12" s="306"/>
      <c r="M12" s="308">
        <v>68.400000000000006</v>
      </c>
      <c r="N12" s="306">
        <v>31.6</v>
      </c>
      <c r="O12" s="306">
        <v>914.1</v>
      </c>
      <c r="P12" s="306">
        <v>2</v>
      </c>
      <c r="Q12" s="306">
        <v>105.5</v>
      </c>
      <c r="R12" s="309">
        <v>443</v>
      </c>
      <c r="S12" s="310">
        <v>193.8</v>
      </c>
      <c r="T12" s="31"/>
    </row>
    <row r="13" spans="2:21">
      <c r="B13" s="298" t="s">
        <v>353</v>
      </c>
      <c r="C13" s="306">
        <v>28.9</v>
      </c>
      <c r="D13" s="306">
        <v>58.4</v>
      </c>
      <c r="E13" s="306">
        <v>2.5</v>
      </c>
      <c r="F13" s="306">
        <v>7.9</v>
      </c>
      <c r="G13" s="306">
        <v>63.3</v>
      </c>
      <c r="H13" s="306">
        <v>101.2</v>
      </c>
      <c r="I13" s="307">
        <v>1.6</v>
      </c>
      <c r="J13" s="306"/>
      <c r="K13" s="306"/>
      <c r="L13" s="306"/>
      <c r="M13" s="308">
        <v>67.8</v>
      </c>
      <c r="N13" s="306">
        <v>31.5</v>
      </c>
      <c r="O13" s="306">
        <v>909</v>
      </c>
      <c r="P13" s="306">
        <v>2.2000000000000002</v>
      </c>
      <c r="Q13" s="306">
        <v>106</v>
      </c>
      <c r="R13" s="309">
        <v>440</v>
      </c>
      <c r="S13" s="310">
        <v>194.4</v>
      </c>
      <c r="T13" s="31"/>
    </row>
    <row r="14" spans="2:21">
      <c r="B14" s="298" t="s">
        <v>354</v>
      </c>
      <c r="C14" s="306">
        <v>28.9</v>
      </c>
      <c r="D14" s="306">
        <v>58.3</v>
      </c>
      <c r="E14" s="306">
        <v>2.4</v>
      </c>
      <c r="F14" s="306">
        <v>7.8</v>
      </c>
      <c r="G14" s="306">
        <v>63.2</v>
      </c>
      <c r="H14" s="299">
        <v>101.7</v>
      </c>
      <c r="I14" s="307">
        <v>1.61</v>
      </c>
      <c r="J14" s="299">
        <v>60</v>
      </c>
      <c r="K14" s="299">
        <v>29.8</v>
      </c>
      <c r="L14" s="299">
        <v>49.6</v>
      </c>
      <c r="M14" s="311">
        <v>68.400000000000006</v>
      </c>
      <c r="N14" s="306">
        <v>31.5</v>
      </c>
      <c r="O14" s="306">
        <v>909.5</v>
      </c>
      <c r="P14" s="306">
        <v>3.8</v>
      </c>
      <c r="Q14" s="306">
        <v>107.5</v>
      </c>
      <c r="R14" s="309">
        <v>443</v>
      </c>
      <c r="S14" s="310">
        <v>198.6</v>
      </c>
      <c r="T14" s="31"/>
    </row>
    <row r="15" spans="2:21">
      <c r="B15" s="298" t="s">
        <v>355</v>
      </c>
      <c r="C15" s="306">
        <v>28.8</v>
      </c>
      <c r="D15" s="306">
        <v>58</v>
      </c>
      <c r="E15" s="306">
        <v>2.5</v>
      </c>
      <c r="F15" s="306">
        <v>8</v>
      </c>
      <c r="G15" s="306">
        <v>63.1</v>
      </c>
      <c r="H15" s="312">
        <v>102.3</v>
      </c>
      <c r="I15" s="307">
        <v>1.58</v>
      </c>
      <c r="J15" s="313">
        <v>60</v>
      </c>
      <c r="K15" s="299">
        <v>29.8</v>
      </c>
      <c r="L15" s="299">
        <v>49.7</v>
      </c>
      <c r="M15" s="311">
        <v>67.7</v>
      </c>
      <c r="N15" s="306">
        <v>31.5</v>
      </c>
      <c r="O15" s="306">
        <v>908.3</v>
      </c>
      <c r="P15" s="306">
        <v>3.8</v>
      </c>
      <c r="Q15" s="306">
        <v>106.3</v>
      </c>
      <c r="R15" s="314">
        <v>446</v>
      </c>
      <c r="S15" s="310">
        <v>197.7</v>
      </c>
      <c r="T15" s="31"/>
      <c r="U15" s="34"/>
    </row>
    <row r="16" spans="2:21">
      <c r="B16" s="298" t="s">
        <v>356</v>
      </c>
      <c r="C16" s="306">
        <v>29</v>
      </c>
      <c r="D16" s="306">
        <v>58.2</v>
      </c>
      <c r="E16" s="306">
        <v>2.5</v>
      </c>
      <c r="F16" s="306">
        <v>7.9</v>
      </c>
      <c r="G16" s="306">
        <v>63.2</v>
      </c>
      <c r="H16" s="299">
        <v>102.4</v>
      </c>
      <c r="I16" s="307">
        <v>1.5</v>
      </c>
      <c r="J16" s="313">
        <v>60</v>
      </c>
      <c r="K16" s="299">
        <v>29.9</v>
      </c>
      <c r="L16" s="299">
        <v>49.8</v>
      </c>
      <c r="M16" s="311">
        <v>67.7</v>
      </c>
      <c r="N16" s="306">
        <v>31.6</v>
      </c>
      <c r="O16" s="306">
        <v>915.9</v>
      </c>
      <c r="P16" s="306">
        <v>1.2</v>
      </c>
      <c r="Q16" s="306">
        <v>106.8</v>
      </c>
      <c r="R16" s="314">
        <v>444</v>
      </c>
      <c r="S16" s="310">
        <v>199.6</v>
      </c>
      <c r="T16" s="31"/>
      <c r="U16" s="34"/>
    </row>
    <row r="17" spans="2:21">
      <c r="B17" s="298" t="s">
        <v>357</v>
      </c>
      <c r="C17" s="306">
        <v>29.2</v>
      </c>
      <c r="D17" s="306">
        <v>58.5</v>
      </c>
      <c r="E17" s="306">
        <v>2.4</v>
      </c>
      <c r="F17" s="306">
        <v>7.7</v>
      </c>
      <c r="G17" s="306">
        <v>63.4</v>
      </c>
      <c r="H17" s="299">
        <v>102.5</v>
      </c>
      <c r="I17" s="307">
        <v>1.46</v>
      </c>
      <c r="J17" s="313">
        <v>60</v>
      </c>
      <c r="K17" s="299">
        <v>29.9</v>
      </c>
      <c r="L17" s="299">
        <v>49.9</v>
      </c>
      <c r="M17" s="311">
        <v>67.099999999999994</v>
      </c>
      <c r="N17" s="306">
        <v>31.6</v>
      </c>
      <c r="O17" s="306">
        <v>920.7</v>
      </c>
      <c r="P17" s="306">
        <v>0.5</v>
      </c>
      <c r="Q17" s="306">
        <v>106.5</v>
      </c>
      <c r="R17" s="314">
        <v>449</v>
      </c>
      <c r="S17" s="310">
        <v>199.4</v>
      </c>
      <c r="T17" s="31"/>
      <c r="U17" s="34"/>
    </row>
    <row r="18" spans="2:21">
      <c r="B18" s="298" t="s">
        <v>358</v>
      </c>
      <c r="C18" s="306">
        <v>29.1</v>
      </c>
      <c r="D18" s="306">
        <v>58.3</v>
      </c>
      <c r="E18" s="306">
        <v>2.5</v>
      </c>
      <c r="F18" s="306">
        <v>7.8</v>
      </c>
      <c r="G18" s="306">
        <v>63.2</v>
      </c>
      <c r="H18" s="299">
        <v>101.7</v>
      </c>
      <c r="I18" s="307">
        <v>1.45</v>
      </c>
      <c r="J18" s="313">
        <v>60</v>
      </c>
      <c r="K18" s="299">
        <v>30</v>
      </c>
      <c r="L18" s="299">
        <v>50</v>
      </c>
      <c r="M18" s="311">
        <v>67</v>
      </c>
      <c r="N18" s="306">
        <v>31.8</v>
      </c>
      <c r="O18" s="306">
        <v>924.6</v>
      </c>
      <c r="P18" s="306">
        <v>-0.3</v>
      </c>
      <c r="Q18" s="306">
        <v>107.2</v>
      </c>
      <c r="R18" s="314">
        <v>451</v>
      </c>
      <c r="S18" s="310">
        <v>199.8</v>
      </c>
      <c r="T18" s="31"/>
      <c r="U18" s="34"/>
    </row>
    <row r="19" spans="2:21">
      <c r="B19" s="298" t="s">
        <v>359</v>
      </c>
      <c r="C19" s="306">
        <v>29.2</v>
      </c>
      <c r="D19" s="306">
        <v>58.4</v>
      </c>
      <c r="E19" s="306">
        <v>2.5</v>
      </c>
      <c r="F19" s="306">
        <v>7.8</v>
      </c>
      <c r="G19" s="306">
        <v>63.3</v>
      </c>
      <c r="H19" s="299">
        <v>102.4</v>
      </c>
      <c r="I19" s="307">
        <v>1.46</v>
      </c>
      <c r="J19" s="313">
        <v>60</v>
      </c>
      <c r="K19" s="299">
        <v>30</v>
      </c>
      <c r="L19" s="299">
        <v>50</v>
      </c>
      <c r="M19" s="311">
        <v>67.099999999999994</v>
      </c>
      <c r="N19" s="306">
        <v>31.6</v>
      </c>
      <c r="O19" s="306">
        <v>924.8</v>
      </c>
      <c r="P19" s="306">
        <v>1.4</v>
      </c>
      <c r="Q19" s="306">
        <v>107.8</v>
      </c>
      <c r="R19" s="314">
        <v>457</v>
      </c>
      <c r="S19" s="310">
        <v>201.8</v>
      </c>
      <c r="T19" s="31"/>
      <c r="U19" s="34"/>
    </row>
    <row r="20" spans="2:21">
      <c r="B20" s="298" t="s">
        <v>360</v>
      </c>
      <c r="C20" s="306">
        <v>29.2</v>
      </c>
      <c r="D20" s="306">
        <v>58.3</v>
      </c>
      <c r="E20" s="306">
        <v>2.5</v>
      </c>
      <c r="F20" s="306">
        <v>7.9</v>
      </c>
      <c r="G20" s="306">
        <v>63.3</v>
      </c>
      <c r="H20" s="299">
        <v>103.8</v>
      </c>
      <c r="I20" s="307">
        <v>1.5</v>
      </c>
      <c r="J20" s="313">
        <v>60</v>
      </c>
      <c r="K20" s="299">
        <v>30.1</v>
      </c>
      <c r="L20" s="299">
        <v>50.1</v>
      </c>
      <c r="M20" s="311">
        <v>67.2</v>
      </c>
      <c r="N20" s="306">
        <v>31.3</v>
      </c>
      <c r="O20" s="306">
        <v>914.1</v>
      </c>
      <c r="P20" s="306">
        <v>1.3</v>
      </c>
      <c r="Q20" s="306">
        <v>108.2</v>
      </c>
      <c r="R20" s="314">
        <v>457</v>
      </c>
      <c r="S20" s="310">
        <v>202.8</v>
      </c>
      <c r="T20" s="31"/>
      <c r="U20" s="34"/>
    </row>
    <row r="21" spans="2:21">
      <c r="B21" s="298" t="s">
        <v>361</v>
      </c>
      <c r="C21" s="306">
        <v>29.1</v>
      </c>
      <c r="D21" s="306">
        <v>57.9</v>
      </c>
      <c r="E21" s="306">
        <v>2.6</v>
      </c>
      <c r="F21" s="306">
        <v>8.3000000000000007</v>
      </c>
      <c r="G21" s="306">
        <v>63.1</v>
      </c>
      <c r="H21" s="299">
        <v>103.6</v>
      </c>
      <c r="I21" s="307">
        <v>1.57</v>
      </c>
      <c r="J21" s="313">
        <v>60</v>
      </c>
      <c r="K21" s="299">
        <v>30.1</v>
      </c>
      <c r="L21" s="299">
        <v>50.2</v>
      </c>
      <c r="M21" s="311">
        <v>67.3</v>
      </c>
      <c r="N21" s="306">
        <v>31.7</v>
      </c>
      <c r="O21" s="306">
        <v>921.5</v>
      </c>
      <c r="P21" s="306">
        <v>3.3</v>
      </c>
      <c r="Q21" s="306">
        <v>110.1</v>
      </c>
      <c r="R21" s="314">
        <v>459</v>
      </c>
      <c r="S21" s="310">
        <v>204.5</v>
      </c>
      <c r="T21" s="31"/>
      <c r="U21" s="34"/>
    </row>
    <row r="22" spans="2:21">
      <c r="B22" s="298" t="s">
        <v>362</v>
      </c>
      <c r="C22" s="306">
        <v>29.1</v>
      </c>
      <c r="D22" s="306">
        <v>57.9</v>
      </c>
      <c r="E22" s="306">
        <v>2.7</v>
      </c>
      <c r="F22" s="306">
        <v>8.4</v>
      </c>
      <c r="G22" s="306">
        <v>63.2</v>
      </c>
      <c r="H22" s="299">
        <v>103.1</v>
      </c>
      <c r="I22" s="307">
        <v>1.6</v>
      </c>
      <c r="J22" s="313">
        <v>60</v>
      </c>
      <c r="K22" s="299">
        <v>30.2</v>
      </c>
      <c r="L22" s="299">
        <v>50.3</v>
      </c>
      <c r="M22" s="311">
        <v>67.400000000000006</v>
      </c>
      <c r="N22" s="306">
        <v>31.7</v>
      </c>
      <c r="O22" s="306">
        <v>923.4</v>
      </c>
      <c r="P22" s="306">
        <v>3.2</v>
      </c>
      <c r="Q22" s="306">
        <v>110.7</v>
      </c>
      <c r="R22" s="314">
        <v>462</v>
      </c>
      <c r="S22" s="310">
        <v>206.4</v>
      </c>
      <c r="T22" s="31"/>
      <c r="U22" s="34"/>
    </row>
    <row r="23" spans="2:21">
      <c r="B23" s="298" t="s">
        <v>363</v>
      </c>
      <c r="C23" s="306">
        <v>29.3</v>
      </c>
      <c r="D23" s="306">
        <v>58.1</v>
      </c>
      <c r="E23" s="306">
        <v>2.6</v>
      </c>
      <c r="F23" s="306">
        <v>8.1999999999999993</v>
      </c>
      <c r="G23" s="306">
        <v>63.2</v>
      </c>
      <c r="H23" s="299">
        <v>102.4</v>
      </c>
      <c r="I23" s="307">
        <v>1.61</v>
      </c>
      <c r="J23" s="313">
        <v>60</v>
      </c>
      <c r="K23" s="299">
        <v>30.3</v>
      </c>
      <c r="L23" s="299">
        <v>50.4</v>
      </c>
      <c r="M23" s="311">
        <v>67.599999999999994</v>
      </c>
      <c r="N23" s="306">
        <v>31.8</v>
      </c>
      <c r="O23" s="306">
        <v>930.1</v>
      </c>
      <c r="P23" s="306">
        <v>2.8</v>
      </c>
      <c r="Q23" s="306">
        <v>110.8</v>
      </c>
      <c r="R23" s="314">
        <v>459</v>
      </c>
      <c r="S23" s="310">
        <v>209</v>
      </c>
      <c r="T23" s="31"/>
      <c r="U23" s="34"/>
    </row>
    <row r="24" spans="2:21">
      <c r="B24" s="298" t="s">
        <v>364</v>
      </c>
      <c r="C24" s="306">
        <v>29.5</v>
      </c>
      <c r="D24" s="306">
        <v>58.4</v>
      </c>
      <c r="E24" s="306">
        <v>2.6</v>
      </c>
      <c r="F24" s="306">
        <v>8</v>
      </c>
      <c r="G24" s="306">
        <v>63.4</v>
      </c>
      <c r="H24" s="299">
        <v>101.6</v>
      </c>
      <c r="I24" s="307">
        <v>1.6</v>
      </c>
      <c r="J24" s="313">
        <v>60</v>
      </c>
      <c r="K24" s="299">
        <v>30.3</v>
      </c>
      <c r="L24" s="299">
        <v>50.5</v>
      </c>
      <c r="M24" s="311">
        <v>68.400000000000006</v>
      </c>
      <c r="N24" s="306">
        <v>31.7</v>
      </c>
      <c r="O24" s="306">
        <v>934.7</v>
      </c>
      <c r="P24" s="306">
        <v>3.2</v>
      </c>
      <c r="Q24" s="306">
        <v>111.6</v>
      </c>
      <c r="R24" s="314">
        <v>467</v>
      </c>
      <c r="S24" s="310">
        <v>208.8</v>
      </c>
      <c r="T24" s="31"/>
      <c r="U24" s="34"/>
    </row>
    <row r="25" spans="2:21">
      <c r="B25" s="298" t="s">
        <v>365</v>
      </c>
      <c r="C25" s="306">
        <v>29.6</v>
      </c>
      <c r="D25" s="306">
        <v>58.5</v>
      </c>
      <c r="E25" s="306">
        <v>2.5</v>
      </c>
      <c r="F25" s="306">
        <v>7.8</v>
      </c>
      <c r="G25" s="306">
        <v>63.4</v>
      </c>
      <c r="H25" s="299">
        <v>101.4</v>
      </c>
      <c r="I25" s="307">
        <v>1.58</v>
      </c>
      <c r="J25" s="313">
        <v>60</v>
      </c>
      <c r="K25" s="299">
        <v>30.4</v>
      </c>
      <c r="L25" s="299">
        <v>50.6</v>
      </c>
      <c r="M25" s="311">
        <v>67.7</v>
      </c>
      <c r="N25" s="306">
        <v>32</v>
      </c>
      <c r="O25" s="306">
        <v>945.3</v>
      </c>
      <c r="P25" s="306">
        <v>1.5</v>
      </c>
      <c r="Q25" s="306">
        <v>111.7</v>
      </c>
      <c r="R25" s="314">
        <v>468</v>
      </c>
      <c r="S25" s="310">
        <v>210</v>
      </c>
      <c r="T25" s="31"/>
      <c r="U25" s="34"/>
    </row>
    <row r="26" spans="2:21">
      <c r="B26" s="298" t="s">
        <v>366</v>
      </c>
      <c r="C26" s="306">
        <v>29.7</v>
      </c>
      <c r="D26" s="306">
        <v>58.7</v>
      </c>
      <c r="E26" s="306">
        <v>2.5</v>
      </c>
      <c r="F26" s="306">
        <v>7.8</v>
      </c>
      <c r="G26" s="306">
        <v>63.6</v>
      </c>
      <c r="H26" s="299">
        <v>101.1</v>
      </c>
      <c r="I26" s="307">
        <v>1.57</v>
      </c>
      <c r="J26" s="313">
        <v>60</v>
      </c>
      <c r="K26" s="299">
        <v>30.4</v>
      </c>
      <c r="L26" s="299">
        <v>50.7</v>
      </c>
      <c r="M26" s="311">
        <v>68</v>
      </c>
      <c r="N26" s="306">
        <v>31.9</v>
      </c>
      <c r="O26" s="306">
        <v>947.1</v>
      </c>
      <c r="P26" s="306">
        <v>0.8</v>
      </c>
      <c r="Q26" s="306">
        <v>111.6</v>
      </c>
      <c r="R26" s="314">
        <v>468</v>
      </c>
      <c r="S26" s="310">
        <v>210.1</v>
      </c>
      <c r="T26" s="31"/>
      <c r="U26" s="34"/>
    </row>
    <row r="27" spans="2:21">
      <c r="B27" s="298" t="s">
        <v>367</v>
      </c>
      <c r="C27" s="306">
        <v>29.8</v>
      </c>
      <c r="D27" s="306">
        <v>58.6</v>
      </c>
      <c r="E27" s="306">
        <v>2.5</v>
      </c>
      <c r="F27" s="306">
        <v>7.8</v>
      </c>
      <c r="G27" s="306">
        <v>63.6</v>
      </c>
      <c r="H27" s="299">
        <v>101.2</v>
      </c>
      <c r="I27" s="307">
        <v>1.56</v>
      </c>
      <c r="J27" s="313">
        <v>60</v>
      </c>
      <c r="K27" s="299">
        <v>30.5</v>
      </c>
      <c r="L27" s="299">
        <v>50.8</v>
      </c>
      <c r="M27" s="311">
        <v>68.3</v>
      </c>
      <c r="N27" s="306">
        <v>31.8</v>
      </c>
      <c r="O27" s="306">
        <v>946.9</v>
      </c>
      <c r="P27" s="306">
        <v>1.2</v>
      </c>
      <c r="Q27" s="306">
        <v>112.1</v>
      </c>
      <c r="R27" s="314">
        <v>471</v>
      </c>
      <c r="S27" s="310">
        <v>212.9</v>
      </c>
      <c r="T27" s="31"/>
      <c r="U27" s="34"/>
    </row>
    <row r="28" spans="2:21">
      <c r="B28" s="298" t="s">
        <v>368</v>
      </c>
      <c r="C28" s="306">
        <v>29.8</v>
      </c>
      <c r="D28" s="306">
        <v>58.6</v>
      </c>
      <c r="E28" s="306">
        <v>2.6</v>
      </c>
      <c r="F28" s="306">
        <v>7.9</v>
      </c>
      <c r="G28" s="306">
        <v>63.6</v>
      </c>
      <c r="H28" s="299">
        <v>101.3</v>
      </c>
      <c r="I28" s="307">
        <v>1.57</v>
      </c>
      <c r="J28" s="313">
        <v>60</v>
      </c>
      <c r="K28" s="299">
        <v>30.5</v>
      </c>
      <c r="L28" s="299">
        <v>50.9</v>
      </c>
      <c r="M28" s="311">
        <v>68.2</v>
      </c>
      <c r="N28" s="306">
        <v>31.8</v>
      </c>
      <c r="O28" s="306">
        <v>946.8</v>
      </c>
      <c r="P28" s="306">
        <v>0.9</v>
      </c>
      <c r="Q28" s="306">
        <v>112.7</v>
      </c>
      <c r="R28" s="314">
        <v>473</v>
      </c>
      <c r="S28" s="310">
        <v>214.2</v>
      </c>
      <c r="T28" s="31"/>
      <c r="U28" s="34"/>
    </row>
    <row r="29" spans="2:21">
      <c r="B29" s="298" t="s">
        <v>369</v>
      </c>
      <c r="C29" s="306">
        <v>29.8</v>
      </c>
      <c r="D29" s="306">
        <v>58.5</v>
      </c>
      <c r="E29" s="306">
        <v>2.6</v>
      </c>
      <c r="F29" s="306">
        <v>8</v>
      </c>
      <c r="G29" s="306">
        <v>63.6</v>
      </c>
      <c r="H29" s="299">
        <v>101.5</v>
      </c>
      <c r="I29" s="307">
        <v>1.59</v>
      </c>
      <c r="J29" s="313">
        <v>60</v>
      </c>
      <c r="K29" s="299">
        <v>30.6</v>
      </c>
      <c r="L29" s="299">
        <v>50.9</v>
      </c>
      <c r="M29" s="311">
        <v>68.099999999999994</v>
      </c>
      <c r="N29" s="306">
        <v>31.8</v>
      </c>
      <c r="O29" s="306">
        <v>946.5</v>
      </c>
      <c r="P29" s="306">
        <v>1.5</v>
      </c>
      <c r="Q29" s="306">
        <v>113.4</v>
      </c>
      <c r="R29" s="314">
        <v>476</v>
      </c>
      <c r="S29" s="310">
        <v>215.7</v>
      </c>
      <c r="T29" s="31"/>
      <c r="U29" s="34"/>
    </row>
    <row r="30" spans="2:21">
      <c r="B30" s="298" t="s">
        <v>370</v>
      </c>
      <c r="C30" s="306">
        <v>29.8</v>
      </c>
      <c r="D30" s="306">
        <v>58.4</v>
      </c>
      <c r="E30" s="306">
        <v>2.6</v>
      </c>
      <c r="F30" s="306">
        <v>8</v>
      </c>
      <c r="G30" s="306">
        <v>63.5</v>
      </c>
      <c r="H30" s="299">
        <v>102</v>
      </c>
      <c r="I30" s="307">
        <v>1.61</v>
      </c>
      <c r="J30" s="313">
        <v>60</v>
      </c>
      <c r="K30" s="299">
        <v>30.6</v>
      </c>
      <c r="L30" s="299">
        <v>51</v>
      </c>
      <c r="M30" s="311">
        <v>68</v>
      </c>
      <c r="N30" s="306">
        <v>31.7</v>
      </c>
      <c r="O30" s="306">
        <v>946</v>
      </c>
      <c r="P30" s="306">
        <v>2.2000000000000002</v>
      </c>
      <c r="Q30" s="306">
        <v>114.1</v>
      </c>
      <c r="R30" s="314">
        <v>479</v>
      </c>
      <c r="S30" s="310">
        <v>217.1</v>
      </c>
      <c r="T30" s="31"/>
      <c r="U30" s="34"/>
    </row>
    <row r="31" spans="2:21">
      <c r="B31" s="298" t="s">
        <v>371</v>
      </c>
      <c r="C31" s="306">
        <v>29.8</v>
      </c>
      <c r="D31" s="306">
        <v>58.4</v>
      </c>
      <c r="E31" s="306">
        <v>2.6</v>
      </c>
      <c r="F31" s="306">
        <v>8</v>
      </c>
      <c r="G31" s="306">
        <v>63.5</v>
      </c>
      <c r="H31" s="299">
        <v>102.5</v>
      </c>
      <c r="I31" s="307">
        <v>1.63</v>
      </c>
      <c r="J31" s="313">
        <v>60</v>
      </c>
      <c r="K31" s="299">
        <v>30.6</v>
      </c>
      <c r="L31" s="299">
        <v>51.1</v>
      </c>
      <c r="M31" s="311">
        <v>67.8</v>
      </c>
      <c r="N31" s="306">
        <v>31.7</v>
      </c>
      <c r="O31" s="306">
        <v>945.9</v>
      </c>
      <c r="P31" s="306">
        <v>2.4</v>
      </c>
      <c r="Q31" s="306">
        <v>114.8</v>
      </c>
      <c r="R31" s="314">
        <v>483</v>
      </c>
      <c r="S31" s="310">
        <v>218.6</v>
      </c>
      <c r="T31" s="31"/>
      <c r="U31" s="34"/>
    </row>
    <row r="32" spans="2:21">
      <c r="B32" s="298" t="s">
        <v>372</v>
      </c>
      <c r="C32" s="306">
        <v>29.9</v>
      </c>
      <c r="D32" s="306">
        <v>58.4</v>
      </c>
      <c r="E32" s="306">
        <v>2.6</v>
      </c>
      <c r="F32" s="306">
        <v>8</v>
      </c>
      <c r="G32" s="306">
        <v>63.5</v>
      </c>
      <c r="H32" s="299">
        <v>103.1</v>
      </c>
      <c r="I32" s="307">
        <v>1.63</v>
      </c>
      <c r="J32" s="313">
        <v>60</v>
      </c>
      <c r="K32" s="299">
        <v>30.7</v>
      </c>
      <c r="L32" s="299">
        <v>51.1</v>
      </c>
      <c r="M32" s="311">
        <v>67.5</v>
      </c>
      <c r="N32" s="306">
        <v>31.7</v>
      </c>
      <c r="O32" s="306">
        <v>946</v>
      </c>
      <c r="P32" s="306">
        <v>2.6</v>
      </c>
      <c r="Q32" s="306">
        <v>115.6</v>
      </c>
      <c r="R32" s="314">
        <v>486</v>
      </c>
      <c r="S32" s="310">
        <v>220</v>
      </c>
      <c r="T32" s="31"/>
      <c r="U32" s="34"/>
    </row>
    <row r="33" spans="2:21">
      <c r="B33" s="298" t="s">
        <v>373</v>
      </c>
      <c r="C33" s="306">
        <v>29.9</v>
      </c>
      <c r="D33" s="306">
        <v>58.4</v>
      </c>
      <c r="E33" s="306">
        <v>2.6</v>
      </c>
      <c r="F33" s="306">
        <v>8</v>
      </c>
      <c r="G33" s="306">
        <v>63.5</v>
      </c>
      <c r="H33" s="299">
        <v>103.6</v>
      </c>
      <c r="I33" s="307">
        <v>1.62</v>
      </c>
      <c r="J33" s="313">
        <v>60</v>
      </c>
      <c r="K33" s="299">
        <v>30.7</v>
      </c>
      <c r="L33" s="299">
        <v>51.2</v>
      </c>
      <c r="M33" s="311">
        <v>67.400000000000006</v>
      </c>
      <c r="N33" s="306">
        <v>31.6</v>
      </c>
      <c r="O33" s="306">
        <v>946.2</v>
      </c>
      <c r="P33" s="306">
        <v>2.8</v>
      </c>
      <c r="Q33" s="306">
        <v>116.5</v>
      </c>
      <c r="R33" s="314">
        <v>490</v>
      </c>
      <c r="S33" s="310">
        <v>221.9</v>
      </c>
      <c r="T33" s="31"/>
      <c r="U33" s="34"/>
    </row>
    <row r="34" spans="2:21">
      <c r="B34" s="298" t="s">
        <v>374</v>
      </c>
      <c r="C34" s="306">
        <v>29.9</v>
      </c>
      <c r="D34" s="306">
        <v>58.4</v>
      </c>
      <c r="E34" s="306">
        <v>2.6</v>
      </c>
      <c r="F34" s="306">
        <v>8</v>
      </c>
      <c r="G34" s="306">
        <v>63.5</v>
      </c>
      <c r="H34" s="299">
        <v>104.2</v>
      </c>
      <c r="I34" s="307">
        <v>1.62</v>
      </c>
      <c r="J34" s="313">
        <v>60</v>
      </c>
      <c r="K34" s="299">
        <v>30.7</v>
      </c>
      <c r="L34" s="299">
        <v>51.3</v>
      </c>
      <c r="M34" s="311">
        <v>67.3</v>
      </c>
      <c r="N34" s="306">
        <v>31.6</v>
      </c>
      <c r="O34" s="306">
        <v>946.3</v>
      </c>
      <c r="P34" s="306">
        <v>3</v>
      </c>
      <c r="Q34" s="306">
        <v>117.5</v>
      </c>
      <c r="R34" s="314">
        <v>494</v>
      </c>
      <c r="S34" s="310">
        <v>224</v>
      </c>
      <c r="T34" s="31"/>
      <c r="U34" s="34"/>
    </row>
    <row r="35" spans="2:21">
      <c r="B35" s="298" t="s">
        <v>375</v>
      </c>
      <c r="C35" s="306">
        <v>30</v>
      </c>
      <c r="D35" s="306">
        <v>58.4</v>
      </c>
      <c r="E35" s="306">
        <v>2.6</v>
      </c>
      <c r="F35" s="306">
        <v>8</v>
      </c>
      <c r="G35" s="306">
        <v>63.5</v>
      </c>
      <c r="H35" s="299">
        <v>104.7</v>
      </c>
      <c r="I35" s="307">
        <v>1.62</v>
      </c>
      <c r="J35" s="313">
        <v>60</v>
      </c>
      <c r="K35" s="299">
        <v>30.8</v>
      </c>
      <c r="L35" s="299">
        <v>51.3</v>
      </c>
      <c r="M35" s="311">
        <v>67.400000000000006</v>
      </c>
      <c r="N35" s="306">
        <v>31.6</v>
      </c>
      <c r="O35" s="306">
        <v>946.9</v>
      </c>
      <c r="P35" s="306">
        <v>3.3</v>
      </c>
      <c r="Q35" s="306">
        <v>118.6</v>
      </c>
      <c r="R35" s="314">
        <v>499</v>
      </c>
      <c r="S35" s="310">
        <v>226.4</v>
      </c>
      <c r="T35" s="31"/>
      <c r="U35" s="34"/>
    </row>
    <row r="36" spans="2:21">
      <c r="B36" s="298" t="s">
        <v>376</v>
      </c>
      <c r="C36" s="306">
        <v>30</v>
      </c>
      <c r="D36" s="306">
        <v>58.4</v>
      </c>
      <c r="E36" s="306">
        <v>2.6</v>
      </c>
      <c r="F36" s="306">
        <v>7.9</v>
      </c>
      <c r="G36" s="306">
        <v>63.5</v>
      </c>
      <c r="H36" s="299">
        <v>105.3</v>
      </c>
      <c r="I36" s="307">
        <v>1.6</v>
      </c>
      <c r="J36" s="313">
        <v>60</v>
      </c>
      <c r="K36" s="299">
        <v>30.8</v>
      </c>
      <c r="L36" s="299">
        <v>51.4</v>
      </c>
      <c r="M36" s="311">
        <v>67.5</v>
      </c>
      <c r="N36" s="306">
        <v>31.6</v>
      </c>
      <c r="O36" s="306">
        <v>947.6</v>
      </c>
      <c r="P36" s="306">
        <v>3.6</v>
      </c>
      <c r="Q36" s="306">
        <v>119.8</v>
      </c>
      <c r="R36" s="314">
        <v>504</v>
      </c>
      <c r="S36" s="310">
        <v>229.1</v>
      </c>
      <c r="T36" s="31"/>
      <c r="U36" s="34"/>
    </row>
    <row r="37" spans="2:21">
      <c r="B37" s="298" t="s">
        <v>377</v>
      </c>
      <c r="C37" s="306">
        <v>30.1</v>
      </c>
      <c r="D37" s="306">
        <v>58.5</v>
      </c>
      <c r="E37" s="306">
        <v>2.6</v>
      </c>
      <c r="F37" s="306">
        <v>7.8</v>
      </c>
      <c r="G37" s="306">
        <v>63.5</v>
      </c>
      <c r="H37" s="299">
        <v>105.9</v>
      </c>
      <c r="I37" s="307">
        <v>1.57</v>
      </c>
      <c r="J37" s="313">
        <v>59.9</v>
      </c>
      <c r="K37" s="299">
        <v>30.8</v>
      </c>
      <c r="L37" s="299">
        <v>51.4</v>
      </c>
      <c r="M37" s="311">
        <v>67.5</v>
      </c>
      <c r="N37" s="306">
        <v>31.5</v>
      </c>
      <c r="O37" s="306">
        <v>948.5</v>
      </c>
      <c r="P37" s="306">
        <v>3.8</v>
      </c>
      <c r="Q37" s="306">
        <v>120.9</v>
      </c>
      <c r="R37" s="314">
        <v>509</v>
      </c>
      <c r="S37" s="310">
        <v>231.7</v>
      </c>
      <c r="T37" s="31"/>
      <c r="U37" s="34"/>
    </row>
    <row r="38" spans="2:21">
      <c r="B38" s="298" t="s">
        <v>378</v>
      </c>
      <c r="C38" s="306">
        <v>30.1</v>
      </c>
      <c r="D38" s="306">
        <v>58.5</v>
      </c>
      <c r="E38" s="306">
        <v>2.5</v>
      </c>
      <c r="F38" s="306">
        <v>7.8</v>
      </c>
      <c r="G38" s="306">
        <v>63.4</v>
      </c>
      <c r="H38" s="299">
        <v>106.5</v>
      </c>
      <c r="I38" s="307">
        <v>1.55</v>
      </c>
      <c r="J38" s="313">
        <v>59.9</v>
      </c>
      <c r="K38" s="299">
        <v>30.9</v>
      </c>
      <c r="L38" s="299">
        <v>51.5</v>
      </c>
      <c r="M38" s="311">
        <v>67.5</v>
      </c>
      <c r="N38" s="306">
        <v>31.5</v>
      </c>
      <c r="O38" s="306">
        <v>949.3</v>
      </c>
      <c r="P38" s="306">
        <v>3.9</v>
      </c>
      <c r="Q38" s="306">
        <v>122.1</v>
      </c>
      <c r="R38" s="314">
        <v>514</v>
      </c>
      <c r="S38" s="310">
        <v>234.3</v>
      </c>
      <c r="T38" s="31"/>
      <c r="U38" s="34"/>
    </row>
    <row r="39" spans="2:21">
      <c r="B39" s="298" t="s">
        <v>379</v>
      </c>
      <c r="C39" s="306">
        <v>30.2</v>
      </c>
      <c r="D39" s="306">
        <v>58.6</v>
      </c>
      <c r="E39" s="306">
        <v>2.5</v>
      </c>
      <c r="F39" s="306">
        <v>7.6</v>
      </c>
      <c r="G39" s="306">
        <v>63.4</v>
      </c>
      <c r="H39" s="299">
        <v>107.1</v>
      </c>
      <c r="I39" s="307">
        <v>1.53</v>
      </c>
      <c r="J39" s="313">
        <v>59.9</v>
      </c>
      <c r="K39" s="299">
        <v>30.9</v>
      </c>
      <c r="L39" s="299">
        <v>51.6</v>
      </c>
      <c r="M39" s="311">
        <v>67.599999999999994</v>
      </c>
      <c r="N39" s="306">
        <v>31.5</v>
      </c>
      <c r="O39" s="306">
        <v>950.3</v>
      </c>
      <c r="P39" s="306">
        <v>3.9</v>
      </c>
      <c r="Q39" s="306">
        <v>123.3</v>
      </c>
      <c r="R39" s="314">
        <v>519</v>
      </c>
      <c r="S39" s="310">
        <v>237.1</v>
      </c>
      <c r="T39" s="31"/>
      <c r="U39" s="34"/>
    </row>
    <row r="40" spans="2:21">
      <c r="B40" s="298" t="s">
        <v>380</v>
      </c>
      <c r="C40" s="306">
        <v>30.3</v>
      </c>
      <c r="D40" s="306">
        <v>58.6</v>
      </c>
      <c r="E40" s="306">
        <v>2.5</v>
      </c>
      <c r="F40" s="306">
        <v>7.5</v>
      </c>
      <c r="G40" s="306">
        <v>63.4</v>
      </c>
      <c r="H40" s="299">
        <v>107.7</v>
      </c>
      <c r="I40" s="307">
        <v>1.5</v>
      </c>
      <c r="J40" s="313">
        <v>59.9</v>
      </c>
      <c r="K40" s="299">
        <v>30.9</v>
      </c>
      <c r="L40" s="299">
        <v>51.6</v>
      </c>
      <c r="M40" s="311">
        <v>67.900000000000006</v>
      </c>
      <c r="N40" s="306">
        <v>31.4</v>
      </c>
      <c r="O40" s="306">
        <v>951.2</v>
      </c>
      <c r="P40" s="306">
        <v>4</v>
      </c>
      <c r="Q40" s="306">
        <v>124.5</v>
      </c>
      <c r="R40" s="314">
        <v>524</v>
      </c>
      <c r="S40" s="310">
        <v>241</v>
      </c>
      <c r="T40" s="31"/>
      <c r="U40" s="34"/>
    </row>
    <row r="41" spans="2:21">
      <c r="B41" s="298" t="s">
        <v>381</v>
      </c>
      <c r="C41" s="306">
        <v>30.3</v>
      </c>
      <c r="D41" s="306">
        <v>58.6</v>
      </c>
      <c r="E41" s="306">
        <v>2.4</v>
      </c>
      <c r="F41" s="306">
        <v>7.4</v>
      </c>
      <c r="G41" s="306">
        <v>63.3</v>
      </c>
      <c r="H41" s="299">
        <v>108.3</v>
      </c>
      <c r="I41" s="307">
        <v>1.47</v>
      </c>
      <c r="J41" s="313">
        <v>59.9</v>
      </c>
      <c r="K41" s="299">
        <v>31</v>
      </c>
      <c r="L41" s="299">
        <v>51.7</v>
      </c>
      <c r="M41" s="311">
        <v>67.900000000000006</v>
      </c>
      <c r="N41" s="306">
        <v>31.4</v>
      </c>
      <c r="O41" s="306">
        <v>952.2</v>
      </c>
      <c r="P41" s="306">
        <v>4</v>
      </c>
      <c r="Q41" s="306">
        <v>125.7</v>
      </c>
      <c r="R41" s="314">
        <v>529</v>
      </c>
      <c r="S41" s="310">
        <v>243.9</v>
      </c>
      <c r="T41" s="31"/>
      <c r="U41" s="34"/>
    </row>
    <row r="42" spans="2:21">
      <c r="B42" s="298" t="s">
        <v>382</v>
      </c>
      <c r="C42" s="306">
        <v>30.4</v>
      </c>
      <c r="D42" s="306">
        <v>58.7</v>
      </c>
      <c r="E42" s="306">
        <v>2.4</v>
      </c>
      <c r="F42" s="306">
        <v>7.2</v>
      </c>
      <c r="G42" s="306">
        <v>63.3</v>
      </c>
      <c r="H42" s="299">
        <v>109</v>
      </c>
      <c r="I42" s="307">
        <v>1.44</v>
      </c>
      <c r="J42" s="313">
        <v>59.9</v>
      </c>
      <c r="K42" s="299">
        <v>31</v>
      </c>
      <c r="L42" s="299">
        <v>51.8</v>
      </c>
      <c r="M42" s="311">
        <v>67.900000000000006</v>
      </c>
      <c r="N42" s="306">
        <v>31.4</v>
      </c>
      <c r="O42" s="306">
        <v>953.3</v>
      </c>
      <c r="P42" s="306">
        <v>4</v>
      </c>
      <c r="Q42" s="306">
        <v>127</v>
      </c>
      <c r="R42" s="314">
        <v>535</v>
      </c>
      <c r="S42" s="310">
        <v>246.7</v>
      </c>
      <c r="T42" s="31"/>
      <c r="U42" s="34"/>
    </row>
    <row r="43" spans="2:21">
      <c r="B43" s="298" t="s">
        <v>383</v>
      </c>
      <c r="C43" s="306">
        <v>30.4</v>
      </c>
      <c r="D43" s="306">
        <v>58.7</v>
      </c>
      <c r="E43" s="306">
        <v>2.2999999999999998</v>
      </c>
      <c r="F43" s="306">
        <v>7.1</v>
      </c>
      <c r="G43" s="306">
        <v>63.2</v>
      </c>
      <c r="H43" s="299">
        <v>109.6</v>
      </c>
      <c r="I43" s="307">
        <v>1.42</v>
      </c>
      <c r="J43" s="313">
        <v>59.9</v>
      </c>
      <c r="K43" s="299">
        <v>31</v>
      </c>
      <c r="L43" s="299">
        <v>51.8</v>
      </c>
      <c r="M43" s="311">
        <v>68</v>
      </c>
      <c r="N43" s="306">
        <v>31.3</v>
      </c>
      <c r="O43" s="306">
        <v>954.3</v>
      </c>
      <c r="P43" s="306">
        <v>4</v>
      </c>
      <c r="Q43" s="306">
        <v>128.19999999999999</v>
      </c>
      <c r="R43" s="314">
        <v>540</v>
      </c>
      <c r="S43" s="310">
        <v>249.6</v>
      </c>
      <c r="T43" s="31"/>
      <c r="U43" s="34"/>
    </row>
    <row r="44" spans="2:21">
      <c r="B44" s="298" t="s">
        <v>399</v>
      </c>
      <c r="C44" s="306">
        <v>30.5</v>
      </c>
      <c r="D44" s="306">
        <v>58.8</v>
      </c>
      <c r="E44" s="306">
        <v>2.2999999999999998</v>
      </c>
      <c r="F44" s="306">
        <v>7</v>
      </c>
      <c r="G44" s="306">
        <v>63.2</v>
      </c>
      <c r="H44" s="299">
        <v>110.3</v>
      </c>
      <c r="I44" s="307">
        <v>1.39</v>
      </c>
      <c r="J44" s="313">
        <v>59.9</v>
      </c>
      <c r="K44" s="299">
        <v>31.1</v>
      </c>
      <c r="L44" s="299">
        <v>51.9</v>
      </c>
      <c r="M44" s="311">
        <v>67.900000000000006</v>
      </c>
      <c r="N44" s="306">
        <v>31.3</v>
      </c>
      <c r="O44" s="306">
        <v>955.4</v>
      </c>
      <c r="P44" s="306">
        <v>4</v>
      </c>
      <c r="Q44" s="306">
        <v>129.5</v>
      </c>
      <c r="R44" s="314">
        <v>545</v>
      </c>
      <c r="S44" s="310">
        <v>252.5</v>
      </c>
      <c r="T44" s="31"/>
      <c r="U44" s="34"/>
    </row>
    <row r="45" spans="2:21">
      <c r="B45" s="298" t="s">
        <v>400</v>
      </c>
      <c r="C45" s="306">
        <v>30.6</v>
      </c>
      <c r="D45" s="306">
        <v>58.8</v>
      </c>
      <c r="E45" s="306">
        <v>2.2000000000000002</v>
      </c>
      <c r="F45" s="306">
        <v>6.8</v>
      </c>
      <c r="G45" s="306">
        <v>63.2</v>
      </c>
      <c r="H45" s="299">
        <v>110.9</v>
      </c>
      <c r="I45" s="307">
        <v>1.36</v>
      </c>
      <c r="J45" s="313">
        <v>59.9</v>
      </c>
      <c r="K45" s="299">
        <v>31.1</v>
      </c>
      <c r="L45" s="299">
        <v>52</v>
      </c>
      <c r="M45" s="311">
        <v>68</v>
      </c>
      <c r="N45" s="306">
        <v>31.3</v>
      </c>
      <c r="O45" s="306">
        <v>956.4</v>
      </c>
      <c r="P45" s="306">
        <v>4</v>
      </c>
      <c r="Q45" s="306">
        <v>130.69999999999999</v>
      </c>
      <c r="R45" s="314">
        <v>551</v>
      </c>
      <c r="S45" s="310">
        <v>255.5</v>
      </c>
      <c r="T45" s="31"/>
      <c r="U45" s="34"/>
    </row>
    <row r="46" spans="2:21">
      <c r="B46" s="298" t="s">
        <v>401</v>
      </c>
      <c r="C46" s="306">
        <v>30.6</v>
      </c>
      <c r="D46" s="306">
        <v>58.9</v>
      </c>
      <c r="E46" s="306">
        <v>2.2000000000000002</v>
      </c>
      <c r="F46" s="306">
        <v>6.7</v>
      </c>
      <c r="G46" s="306">
        <v>63.1</v>
      </c>
      <c r="H46" s="299">
        <v>111.6</v>
      </c>
      <c r="I46" s="307">
        <v>1.33</v>
      </c>
      <c r="J46" s="313">
        <v>59.9</v>
      </c>
      <c r="K46" s="299">
        <v>31.1</v>
      </c>
      <c r="L46" s="299">
        <v>52</v>
      </c>
      <c r="M46" s="311">
        <v>68</v>
      </c>
      <c r="N46" s="306">
        <v>31.3</v>
      </c>
      <c r="O46" s="306">
        <v>957.4</v>
      </c>
      <c r="P46" s="306">
        <v>4</v>
      </c>
      <c r="Q46" s="306">
        <v>132</v>
      </c>
      <c r="R46" s="314">
        <v>556</v>
      </c>
      <c r="S46" s="310">
        <v>258.5</v>
      </c>
      <c r="T46" s="31"/>
      <c r="U46" s="34"/>
    </row>
    <row r="47" spans="2:21">
      <c r="B47" s="298" t="s">
        <v>402</v>
      </c>
      <c r="C47" s="306">
        <v>30.7</v>
      </c>
      <c r="D47" s="306">
        <v>58.9</v>
      </c>
      <c r="E47" s="306">
        <v>2.2000000000000002</v>
      </c>
      <c r="F47" s="306">
        <v>6.6</v>
      </c>
      <c r="G47" s="306">
        <v>63.1</v>
      </c>
      <c r="H47" s="299">
        <v>112.3</v>
      </c>
      <c r="I47" s="307">
        <v>1.32</v>
      </c>
      <c r="J47" s="313">
        <v>59.9</v>
      </c>
      <c r="K47" s="299">
        <v>31.2</v>
      </c>
      <c r="L47" s="299">
        <v>52.1</v>
      </c>
      <c r="M47" s="311">
        <v>68</v>
      </c>
      <c r="N47" s="306">
        <v>31.2</v>
      </c>
      <c r="O47" s="306">
        <v>958.5</v>
      </c>
      <c r="P47" s="306">
        <v>4</v>
      </c>
      <c r="Q47" s="306">
        <v>133.30000000000001</v>
      </c>
      <c r="R47" s="314">
        <v>562</v>
      </c>
      <c r="S47" s="310">
        <v>261.5</v>
      </c>
      <c r="T47" s="31"/>
      <c r="U47" s="34"/>
    </row>
    <row r="48" spans="2:21">
      <c r="B48" s="315"/>
      <c r="C48" s="302"/>
      <c r="D48" s="302"/>
      <c r="E48" s="302"/>
      <c r="F48" s="302"/>
      <c r="G48" s="302"/>
      <c r="H48" s="302"/>
      <c r="I48" s="302"/>
      <c r="J48" s="316"/>
      <c r="K48" s="302"/>
      <c r="L48" s="302"/>
      <c r="M48" s="302"/>
      <c r="N48" s="302"/>
      <c r="O48" s="302"/>
      <c r="P48" s="302"/>
      <c r="Q48" s="302"/>
      <c r="R48" s="302"/>
      <c r="S48" s="303"/>
    </row>
    <row r="49" spans="2:19">
      <c r="B49" s="294" t="s">
        <v>403</v>
      </c>
      <c r="C49" s="317"/>
      <c r="D49" s="317"/>
      <c r="E49" s="317"/>
      <c r="F49" s="317"/>
      <c r="G49" s="317"/>
      <c r="H49" s="317"/>
      <c r="I49" s="317"/>
      <c r="J49" s="317"/>
      <c r="K49" s="317"/>
      <c r="L49" s="317"/>
      <c r="M49" s="317"/>
      <c r="N49" s="317"/>
      <c r="O49" s="317"/>
      <c r="P49" s="317"/>
      <c r="Q49" s="317"/>
      <c r="R49" s="317"/>
      <c r="S49" s="318"/>
    </row>
    <row r="50" spans="2:19">
      <c r="B50" s="319" t="s">
        <v>384</v>
      </c>
      <c r="C50" s="296"/>
      <c r="D50" s="296"/>
      <c r="E50" s="296"/>
      <c r="F50" s="296"/>
      <c r="G50" s="296"/>
      <c r="H50" s="296"/>
      <c r="I50" s="296"/>
      <c r="J50" s="296"/>
      <c r="K50" s="296"/>
      <c r="L50" s="296"/>
      <c r="M50" s="296"/>
      <c r="N50" s="296"/>
      <c r="O50" s="296"/>
      <c r="P50" s="296"/>
      <c r="Q50" s="296"/>
      <c r="R50" s="296"/>
      <c r="S50" s="297"/>
    </row>
    <row r="51" spans="2:19">
      <c r="B51" s="319" t="s">
        <v>385</v>
      </c>
      <c r="C51" s="296"/>
      <c r="D51" s="296"/>
      <c r="E51" s="296"/>
      <c r="F51" s="296"/>
      <c r="G51" s="296"/>
      <c r="H51" s="296"/>
      <c r="I51" s="296"/>
      <c r="J51" s="296"/>
      <c r="K51" s="296"/>
      <c r="L51" s="296"/>
      <c r="M51" s="296"/>
      <c r="N51" s="296"/>
      <c r="O51" s="296"/>
      <c r="P51" s="296"/>
      <c r="Q51" s="296"/>
      <c r="R51" s="296"/>
      <c r="S51" s="297"/>
    </row>
    <row r="52" spans="2:19">
      <c r="B52" s="319" t="s">
        <v>386</v>
      </c>
      <c r="C52" s="296"/>
      <c r="D52" s="296"/>
      <c r="E52" s="296"/>
      <c r="F52" s="296"/>
      <c r="G52" s="296"/>
      <c r="H52" s="296"/>
      <c r="I52" s="296"/>
      <c r="J52" s="296"/>
      <c r="K52" s="296"/>
      <c r="L52" s="296"/>
      <c r="M52" s="296"/>
      <c r="N52" s="296"/>
      <c r="O52" s="296"/>
      <c r="P52" s="296"/>
      <c r="Q52" s="296"/>
      <c r="R52" s="296"/>
      <c r="S52" s="297"/>
    </row>
    <row r="53" spans="2:19">
      <c r="B53" s="319" t="s">
        <v>387</v>
      </c>
      <c r="C53" s="296"/>
      <c r="D53" s="296"/>
      <c r="E53" s="296"/>
      <c r="F53" s="296"/>
      <c r="G53" s="296"/>
      <c r="H53" s="296"/>
      <c r="I53" s="296"/>
      <c r="J53" s="296"/>
      <c r="K53" s="296"/>
      <c r="L53" s="320"/>
      <c r="M53" s="296"/>
      <c r="N53" s="296"/>
      <c r="O53" s="296"/>
      <c r="P53" s="296"/>
      <c r="Q53" s="296"/>
      <c r="R53" s="296"/>
      <c r="S53" s="297"/>
    </row>
    <row r="54" spans="2:19">
      <c r="B54" s="319" t="s">
        <v>388</v>
      </c>
      <c r="C54" s="296"/>
      <c r="D54" s="296"/>
      <c r="E54" s="296"/>
      <c r="F54" s="296"/>
      <c r="G54" s="296"/>
      <c r="H54" s="296"/>
      <c r="I54" s="296"/>
      <c r="J54" s="296"/>
      <c r="K54" s="296"/>
      <c r="L54" s="296"/>
      <c r="M54" s="296"/>
      <c r="N54" s="296"/>
      <c r="O54" s="296"/>
      <c r="P54" s="296"/>
      <c r="Q54" s="296"/>
      <c r="R54" s="296"/>
      <c r="S54" s="297"/>
    </row>
    <row r="55" spans="2:19">
      <c r="B55" s="319" t="s">
        <v>389</v>
      </c>
      <c r="C55" s="296"/>
      <c r="D55" s="296"/>
      <c r="E55" s="296"/>
      <c r="F55" s="296"/>
      <c r="G55" s="296"/>
      <c r="H55" s="296"/>
      <c r="I55" s="296"/>
      <c r="J55" s="296"/>
      <c r="K55" s="296"/>
      <c r="L55" s="296"/>
      <c r="M55" s="296"/>
      <c r="N55" s="296"/>
      <c r="O55" s="296"/>
      <c r="P55" s="296"/>
      <c r="Q55" s="296"/>
      <c r="R55" s="296"/>
      <c r="S55" s="297"/>
    </row>
    <row r="56" spans="2:19">
      <c r="B56" s="319" t="s">
        <v>390</v>
      </c>
      <c r="C56" s="296"/>
      <c r="D56" s="296"/>
      <c r="E56" s="296"/>
      <c r="F56" s="296"/>
      <c r="G56" s="296"/>
      <c r="H56" s="296"/>
      <c r="I56" s="296"/>
      <c r="J56" s="296"/>
      <c r="K56" s="296"/>
      <c r="L56" s="296"/>
      <c r="M56" s="296"/>
      <c r="N56" s="296"/>
      <c r="O56" s="296"/>
      <c r="P56" s="296"/>
      <c r="Q56" s="296"/>
      <c r="R56" s="296"/>
      <c r="S56" s="297"/>
    </row>
    <row r="57" spans="2:19">
      <c r="B57" s="319" t="s">
        <v>391</v>
      </c>
      <c r="C57" s="296"/>
      <c r="D57" s="296"/>
      <c r="E57" s="296"/>
      <c r="F57" s="296"/>
      <c r="G57" s="296"/>
      <c r="H57" s="296"/>
      <c r="I57" s="296"/>
      <c r="J57" s="296"/>
      <c r="K57" s="296"/>
      <c r="L57" s="296"/>
      <c r="M57" s="296"/>
      <c r="N57" s="296"/>
      <c r="O57" s="296"/>
      <c r="P57" s="296"/>
      <c r="Q57" s="296"/>
      <c r="R57" s="296"/>
      <c r="S57" s="297"/>
    </row>
    <row r="58" spans="2:19">
      <c r="B58" s="319" t="s">
        <v>392</v>
      </c>
      <c r="C58" s="296"/>
      <c r="D58" s="296"/>
      <c r="E58" s="296"/>
      <c r="F58" s="296"/>
      <c r="G58" s="296"/>
      <c r="H58" s="296"/>
      <c r="I58" s="296"/>
      <c r="J58" s="296"/>
      <c r="K58" s="296"/>
      <c r="L58" s="296"/>
      <c r="M58" s="296"/>
      <c r="N58" s="296"/>
      <c r="O58" s="296"/>
      <c r="P58" s="296"/>
      <c r="Q58" s="296"/>
      <c r="R58" s="296"/>
      <c r="S58" s="297"/>
    </row>
    <row r="59" spans="2:19" ht="15" customHeight="1">
      <c r="B59" s="319" t="s">
        <v>393</v>
      </c>
      <c r="C59" s="296"/>
      <c r="D59" s="296"/>
      <c r="E59" s="296"/>
      <c r="F59" s="296"/>
      <c r="G59" s="296"/>
      <c r="H59" s="296"/>
      <c r="I59" s="296"/>
      <c r="J59" s="296"/>
      <c r="K59" s="296"/>
      <c r="L59" s="296"/>
      <c r="M59" s="296"/>
      <c r="N59" s="296"/>
      <c r="O59" s="296"/>
      <c r="P59" s="296"/>
      <c r="Q59" s="296"/>
      <c r="R59" s="296"/>
      <c r="S59" s="297"/>
    </row>
    <row r="60" spans="2:19">
      <c r="B60" s="319" t="s">
        <v>404</v>
      </c>
      <c r="C60" s="296"/>
      <c r="D60" s="296"/>
      <c r="E60" s="296"/>
      <c r="F60" s="296"/>
      <c r="G60" s="296"/>
      <c r="H60" s="296"/>
      <c r="I60" s="296"/>
      <c r="J60" s="296"/>
      <c r="K60" s="296"/>
      <c r="L60" s="296"/>
      <c r="M60" s="296"/>
      <c r="N60" s="296"/>
      <c r="O60" s="296"/>
      <c r="P60" s="296"/>
      <c r="Q60" s="296"/>
      <c r="R60" s="296"/>
      <c r="S60" s="297"/>
    </row>
    <row r="61" spans="2:19">
      <c r="B61" s="319" t="s">
        <v>394</v>
      </c>
      <c r="C61" s="296"/>
      <c r="D61" s="296"/>
      <c r="E61" s="296"/>
      <c r="F61" s="296"/>
      <c r="G61" s="296"/>
      <c r="H61" s="296"/>
      <c r="I61" s="296"/>
      <c r="J61" s="296"/>
      <c r="K61" s="296"/>
      <c r="L61" s="296"/>
      <c r="M61" s="296"/>
      <c r="N61" s="296"/>
      <c r="O61" s="296"/>
      <c r="P61" s="296"/>
      <c r="Q61" s="296"/>
      <c r="R61" s="296"/>
      <c r="S61" s="297"/>
    </row>
    <row r="62" spans="2:19">
      <c r="B62" s="319" t="s">
        <v>395</v>
      </c>
      <c r="C62" s="296"/>
      <c r="D62" s="296"/>
      <c r="E62" s="296"/>
      <c r="F62" s="296"/>
      <c r="G62" s="296"/>
      <c r="H62" s="296"/>
      <c r="I62" s="296"/>
      <c r="J62" s="296"/>
      <c r="K62" s="296"/>
      <c r="L62" s="296"/>
      <c r="M62" s="296"/>
      <c r="N62" s="296"/>
      <c r="O62" s="296"/>
      <c r="P62" s="296"/>
      <c r="Q62" s="296"/>
      <c r="R62" s="296"/>
      <c r="S62" s="297"/>
    </row>
    <row r="63" spans="2:19">
      <c r="B63" s="659" t="s">
        <v>405</v>
      </c>
      <c r="C63" s="660"/>
      <c r="D63" s="660"/>
      <c r="E63" s="660"/>
      <c r="F63" s="660"/>
      <c r="G63" s="660"/>
      <c r="H63" s="660"/>
      <c r="I63" s="660"/>
      <c r="J63" s="660"/>
      <c r="K63" s="660"/>
      <c r="L63" s="660"/>
      <c r="M63" s="660"/>
      <c r="N63" s="660"/>
      <c r="O63" s="660"/>
      <c r="P63" s="660"/>
      <c r="Q63" s="660"/>
      <c r="R63" s="660"/>
      <c r="S63" s="661"/>
    </row>
    <row r="64" spans="2:19" ht="15" customHeight="1">
      <c r="B64" s="662" t="s">
        <v>406</v>
      </c>
      <c r="C64" s="663"/>
      <c r="D64" s="663"/>
      <c r="E64" s="663"/>
      <c r="F64" s="663"/>
      <c r="G64" s="663"/>
      <c r="H64" s="663"/>
      <c r="I64" s="663"/>
      <c r="J64" s="663"/>
      <c r="K64" s="663"/>
      <c r="L64" s="663"/>
      <c r="M64" s="663"/>
      <c r="N64" s="663"/>
      <c r="O64" s="663"/>
      <c r="P64" s="663"/>
      <c r="Q64" s="663"/>
      <c r="R64" s="663"/>
      <c r="S64" s="664"/>
    </row>
    <row r="65" spans="2:19" ht="13.5" thickBot="1">
      <c r="B65" s="321" t="s">
        <v>396</v>
      </c>
      <c r="C65" s="322"/>
      <c r="D65" s="322"/>
      <c r="E65" s="322"/>
      <c r="F65" s="322"/>
      <c r="G65" s="322"/>
      <c r="H65" s="322"/>
      <c r="I65" s="322"/>
      <c r="J65" s="322"/>
      <c r="K65" s="322"/>
      <c r="L65" s="322"/>
      <c r="M65" s="322"/>
      <c r="N65" s="322"/>
      <c r="O65" s="322"/>
      <c r="P65" s="323"/>
      <c r="Q65" s="323"/>
      <c r="R65" s="323"/>
      <c r="S65" s="324"/>
    </row>
    <row r="67" spans="2:19" ht="13.5" thickBot="1"/>
    <row r="68" spans="2:19" ht="13.5" thickBot="1">
      <c r="B68" s="665" t="s">
        <v>408</v>
      </c>
      <c r="C68" s="666"/>
      <c r="D68" s="666"/>
      <c r="E68" s="666"/>
      <c r="F68" s="666"/>
      <c r="G68" s="666"/>
      <c r="H68" s="666"/>
      <c r="I68" s="667"/>
    </row>
    <row r="69" spans="2:19" ht="38.25">
      <c r="B69" s="290"/>
      <c r="C69" s="291" t="s">
        <v>409</v>
      </c>
      <c r="D69" s="291" t="s">
        <v>410</v>
      </c>
      <c r="E69" s="291" t="s">
        <v>411</v>
      </c>
      <c r="F69" s="291" t="s">
        <v>412</v>
      </c>
      <c r="G69" s="292" t="s">
        <v>413</v>
      </c>
      <c r="H69" s="668" t="s">
        <v>414</v>
      </c>
      <c r="I69" s="670" t="s">
        <v>415</v>
      </c>
    </row>
    <row r="70" spans="2:19">
      <c r="B70" s="293"/>
      <c r="C70" s="672" t="s">
        <v>416</v>
      </c>
      <c r="D70" s="672"/>
      <c r="E70" s="672"/>
      <c r="F70" s="672"/>
      <c r="G70" s="672"/>
      <c r="H70" s="669"/>
      <c r="I70" s="671"/>
    </row>
    <row r="71" spans="2:19">
      <c r="B71" s="294"/>
      <c r="C71" s="295"/>
      <c r="D71" s="295"/>
      <c r="E71" s="295"/>
      <c r="F71" s="325"/>
      <c r="G71" s="325"/>
      <c r="H71" s="296"/>
      <c r="I71" s="297"/>
    </row>
    <row r="72" spans="2:19">
      <c r="B72" s="298" t="s">
        <v>351</v>
      </c>
      <c r="C72" s="299">
        <v>-0.1</v>
      </c>
      <c r="D72" s="299">
        <v>2.4</v>
      </c>
      <c r="E72" s="299">
        <v>3</v>
      </c>
      <c r="F72" s="299">
        <v>3.2</v>
      </c>
      <c r="G72" s="299">
        <v>2.6</v>
      </c>
      <c r="H72" s="299">
        <v>2.2000000000000002</v>
      </c>
      <c r="I72" s="300">
        <v>-12.5</v>
      </c>
    </row>
    <row r="73" spans="2:19">
      <c r="B73" s="298" t="s">
        <v>352</v>
      </c>
      <c r="C73" s="299">
        <v>-1.3</v>
      </c>
      <c r="D73" s="299">
        <v>1.4</v>
      </c>
      <c r="E73" s="299">
        <v>2.1</v>
      </c>
      <c r="F73" s="299">
        <v>2.2999999999999998</v>
      </c>
      <c r="G73" s="299">
        <v>0.4</v>
      </c>
      <c r="H73" s="299">
        <v>1.6</v>
      </c>
      <c r="I73" s="300">
        <v>-12.3</v>
      </c>
    </row>
    <row r="74" spans="2:19">
      <c r="B74" s="298" t="s">
        <v>353</v>
      </c>
      <c r="C74" s="299">
        <v>-1.4</v>
      </c>
      <c r="D74" s="299">
        <v>1.3</v>
      </c>
      <c r="E74" s="299">
        <v>1.5</v>
      </c>
      <c r="F74" s="299">
        <v>2</v>
      </c>
      <c r="G74" s="299">
        <v>-0.9</v>
      </c>
      <c r="H74" s="299">
        <v>0.7</v>
      </c>
      <c r="I74" s="300">
        <v>-6.1</v>
      </c>
    </row>
    <row r="75" spans="2:19">
      <c r="B75" s="298" t="s">
        <v>354</v>
      </c>
      <c r="C75" s="299">
        <v>0.6</v>
      </c>
      <c r="D75" s="299">
        <v>2.8</v>
      </c>
      <c r="E75" s="299">
        <v>2.1</v>
      </c>
      <c r="F75" s="299">
        <v>3.4</v>
      </c>
      <c r="G75" s="299">
        <v>1.7</v>
      </c>
      <c r="H75" s="299">
        <v>1.2</v>
      </c>
      <c r="I75" s="300">
        <v>0.4</v>
      </c>
    </row>
    <row r="76" spans="2:19">
      <c r="B76" s="298" t="s">
        <v>355</v>
      </c>
      <c r="C76" s="299">
        <v>4</v>
      </c>
      <c r="D76" s="299">
        <v>4.5</v>
      </c>
      <c r="E76" s="299">
        <v>3.3</v>
      </c>
      <c r="F76" s="299">
        <v>5</v>
      </c>
      <c r="G76" s="299">
        <v>3.4</v>
      </c>
      <c r="H76" s="299">
        <v>2.8</v>
      </c>
      <c r="I76" s="300">
        <v>7.7</v>
      </c>
    </row>
    <row r="77" spans="2:19">
      <c r="B77" s="298" t="s">
        <v>356</v>
      </c>
      <c r="C77" s="299">
        <v>5.0999999999999996</v>
      </c>
      <c r="D77" s="299">
        <v>5.0999999999999996</v>
      </c>
      <c r="E77" s="299">
        <v>3.5</v>
      </c>
      <c r="F77" s="299">
        <v>5.5</v>
      </c>
      <c r="G77" s="299">
        <v>4.3</v>
      </c>
      <c r="H77" s="299">
        <v>3.9</v>
      </c>
      <c r="I77" s="300">
        <v>10.1</v>
      </c>
    </row>
    <row r="78" spans="2:19">
      <c r="B78" s="298" t="s">
        <v>357</v>
      </c>
      <c r="C78" s="299">
        <v>4.7</v>
      </c>
      <c r="D78" s="299">
        <v>4.7</v>
      </c>
      <c r="E78" s="299">
        <v>3.1</v>
      </c>
      <c r="F78" s="299">
        <v>4.9000000000000004</v>
      </c>
      <c r="G78" s="299">
        <v>3.9</v>
      </c>
      <c r="H78" s="299">
        <v>4</v>
      </c>
      <c r="I78" s="300">
        <v>7.5</v>
      </c>
    </row>
    <row r="79" spans="2:19">
      <c r="B79" s="298" t="s">
        <v>358</v>
      </c>
      <c r="C79" s="299">
        <v>4.7</v>
      </c>
      <c r="D79" s="299">
        <v>4.7</v>
      </c>
      <c r="E79" s="299">
        <v>3.4</v>
      </c>
      <c r="F79" s="299">
        <v>5.0999999999999996</v>
      </c>
      <c r="G79" s="299">
        <v>4</v>
      </c>
      <c r="H79" s="299">
        <v>4</v>
      </c>
      <c r="I79" s="300">
        <v>3.9</v>
      </c>
    </row>
    <row r="80" spans="2:19">
      <c r="B80" s="298" t="s">
        <v>359</v>
      </c>
      <c r="C80" s="299">
        <v>5.3</v>
      </c>
      <c r="D80" s="299">
        <v>5.3</v>
      </c>
      <c r="E80" s="299">
        <v>4.0999999999999996</v>
      </c>
      <c r="F80" s="299">
        <v>6.1</v>
      </c>
      <c r="G80" s="299">
        <v>5.2</v>
      </c>
      <c r="H80" s="299">
        <v>5.0999999999999996</v>
      </c>
      <c r="I80" s="300">
        <v>0.1</v>
      </c>
    </row>
    <row r="81" spans="2:9">
      <c r="B81" s="298" t="s">
        <v>360</v>
      </c>
      <c r="C81" s="299">
        <v>5.0999999999999996</v>
      </c>
      <c r="D81" s="299">
        <v>5.2</v>
      </c>
      <c r="E81" s="299">
        <v>4.4000000000000004</v>
      </c>
      <c r="F81" s="299">
        <v>6.1</v>
      </c>
      <c r="G81" s="299">
        <v>5.7</v>
      </c>
      <c r="H81" s="299">
        <v>4.2</v>
      </c>
      <c r="I81" s="300">
        <v>-1.8</v>
      </c>
    </row>
    <row r="82" spans="2:9">
      <c r="B82" s="298" t="s">
        <v>361</v>
      </c>
      <c r="C82" s="299">
        <v>5.2</v>
      </c>
      <c r="D82" s="299">
        <v>5.3</v>
      </c>
      <c r="E82" s="299">
        <v>4.7</v>
      </c>
      <c r="F82" s="299">
        <v>6.3</v>
      </c>
      <c r="G82" s="299">
        <v>6.3</v>
      </c>
      <c r="H82" s="299">
        <v>4.4000000000000004</v>
      </c>
      <c r="I82" s="300">
        <v>-1.6</v>
      </c>
    </row>
    <row r="83" spans="2:9">
      <c r="B83" s="298" t="s">
        <v>362</v>
      </c>
      <c r="C83" s="299">
        <v>5.0999999999999996</v>
      </c>
      <c r="D83" s="299">
        <v>5.3</v>
      </c>
      <c r="E83" s="299">
        <v>4.5999999999999996</v>
      </c>
      <c r="F83" s="299">
        <v>6.2</v>
      </c>
      <c r="G83" s="299">
        <v>5.4</v>
      </c>
      <c r="H83" s="299">
        <v>4.3</v>
      </c>
      <c r="I83" s="300">
        <v>-0.5</v>
      </c>
    </row>
    <row r="84" spans="2:9">
      <c r="B84" s="298" t="s">
        <v>363</v>
      </c>
      <c r="C84" s="299">
        <v>3.8</v>
      </c>
      <c r="D84" s="299">
        <v>3.8</v>
      </c>
      <c r="E84" s="299">
        <v>3.5</v>
      </c>
      <c r="F84" s="299">
        <v>4.4000000000000004</v>
      </c>
      <c r="G84" s="299">
        <v>3.9</v>
      </c>
      <c r="H84" s="299">
        <v>2.6</v>
      </c>
      <c r="I84" s="300">
        <v>0.4</v>
      </c>
    </row>
    <row r="85" spans="2:9">
      <c r="B85" s="298" t="s">
        <v>364</v>
      </c>
      <c r="C85" s="299">
        <v>3.1</v>
      </c>
      <c r="D85" s="299">
        <v>3.2</v>
      </c>
      <c r="E85" s="299">
        <v>2.8</v>
      </c>
      <c r="F85" s="299">
        <v>3.5</v>
      </c>
      <c r="G85" s="299">
        <v>2.4</v>
      </c>
      <c r="H85" s="299">
        <v>2.8</v>
      </c>
      <c r="I85" s="300">
        <v>2</v>
      </c>
    </row>
    <row r="86" spans="2:9">
      <c r="B86" s="298" t="s">
        <v>365</v>
      </c>
      <c r="C86" s="299">
        <v>2.9</v>
      </c>
      <c r="D86" s="299">
        <v>2.9</v>
      </c>
      <c r="E86" s="299">
        <v>2.4</v>
      </c>
      <c r="F86" s="299">
        <v>3.1</v>
      </c>
      <c r="G86" s="299">
        <v>1.9</v>
      </c>
      <c r="H86" s="299">
        <v>2.6</v>
      </c>
      <c r="I86" s="300">
        <v>1.9</v>
      </c>
    </row>
    <row r="87" spans="2:9">
      <c r="B87" s="298" t="s">
        <v>366</v>
      </c>
      <c r="C87" s="299">
        <v>3.1</v>
      </c>
      <c r="D87" s="299">
        <v>3</v>
      </c>
      <c r="E87" s="299">
        <v>2.7</v>
      </c>
      <c r="F87" s="299">
        <v>3.3</v>
      </c>
      <c r="G87" s="299">
        <v>2</v>
      </c>
      <c r="H87" s="299">
        <v>2.8</v>
      </c>
      <c r="I87" s="300">
        <v>2.2999999999999998</v>
      </c>
    </row>
    <row r="88" spans="2:9">
      <c r="B88" s="298" t="s">
        <v>367</v>
      </c>
      <c r="C88" s="299">
        <v>3.2</v>
      </c>
      <c r="D88" s="299">
        <v>3.2</v>
      </c>
      <c r="E88" s="299">
        <v>2.7</v>
      </c>
      <c r="F88" s="299">
        <v>3.5</v>
      </c>
      <c r="G88" s="299">
        <v>2.2000000000000002</v>
      </c>
      <c r="H88" s="299">
        <v>3.1</v>
      </c>
      <c r="I88" s="300">
        <v>2.6</v>
      </c>
    </row>
    <row r="89" spans="2:9">
      <c r="B89" s="298" t="s">
        <v>368</v>
      </c>
      <c r="C89" s="299">
        <v>3.4</v>
      </c>
      <c r="D89" s="299">
        <v>3.4</v>
      </c>
      <c r="E89" s="299">
        <v>3</v>
      </c>
      <c r="F89" s="299">
        <v>3.7</v>
      </c>
      <c r="G89" s="299">
        <v>2.6</v>
      </c>
      <c r="H89" s="299">
        <v>3</v>
      </c>
      <c r="I89" s="300">
        <v>1.6</v>
      </c>
    </row>
    <row r="90" spans="2:9">
      <c r="B90" s="298" t="s">
        <v>369</v>
      </c>
      <c r="C90" s="299">
        <v>3.3</v>
      </c>
      <c r="D90" s="299">
        <v>3.4</v>
      </c>
      <c r="E90" s="299">
        <v>2.9</v>
      </c>
      <c r="F90" s="299">
        <v>3.8</v>
      </c>
      <c r="G90" s="299">
        <v>2.7</v>
      </c>
      <c r="H90" s="299">
        <v>3.1</v>
      </c>
      <c r="I90" s="300">
        <v>0</v>
      </c>
    </row>
    <row r="91" spans="2:9">
      <c r="B91" s="298" t="s">
        <v>370</v>
      </c>
      <c r="C91" s="299">
        <v>2.9</v>
      </c>
      <c r="D91" s="299">
        <v>3.2</v>
      </c>
      <c r="E91" s="299">
        <v>2.7</v>
      </c>
      <c r="F91" s="299">
        <v>3.5</v>
      </c>
      <c r="G91" s="299">
        <v>2.4</v>
      </c>
      <c r="H91" s="299">
        <v>2.5</v>
      </c>
      <c r="I91" s="300">
        <v>1</v>
      </c>
    </row>
    <row r="92" spans="2:9">
      <c r="B92" s="298" t="s">
        <v>371</v>
      </c>
      <c r="C92" s="299">
        <v>2.8</v>
      </c>
      <c r="D92" s="299">
        <v>3.1</v>
      </c>
      <c r="E92" s="299">
        <v>2.5</v>
      </c>
      <c r="F92" s="299">
        <v>3.3</v>
      </c>
      <c r="G92" s="299">
        <v>2</v>
      </c>
      <c r="H92" s="299">
        <v>2.2999999999999998</v>
      </c>
      <c r="I92" s="300">
        <v>1.2</v>
      </c>
    </row>
    <row r="93" spans="2:9">
      <c r="B93" s="298" t="s">
        <v>372</v>
      </c>
      <c r="C93" s="299">
        <v>2.7</v>
      </c>
      <c r="D93" s="299">
        <v>3</v>
      </c>
      <c r="E93" s="299">
        <v>2.4</v>
      </c>
      <c r="F93" s="299">
        <v>3.1</v>
      </c>
      <c r="G93" s="299">
        <v>2</v>
      </c>
      <c r="H93" s="299">
        <v>2.2999999999999998</v>
      </c>
      <c r="I93" s="300">
        <v>1.5</v>
      </c>
    </row>
    <row r="94" spans="2:9">
      <c r="B94" s="298" t="s">
        <v>373</v>
      </c>
      <c r="C94" s="299">
        <v>2.8</v>
      </c>
      <c r="D94" s="299">
        <v>3.1</v>
      </c>
      <c r="E94" s="299">
        <v>2.2999999999999998</v>
      </c>
      <c r="F94" s="299">
        <v>3.3</v>
      </c>
      <c r="G94" s="299">
        <v>2</v>
      </c>
      <c r="H94" s="299">
        <v>2.2999999999999998</v>
      </c>
      <c r="I94" s="300">
        <v>1.7</v>
      </c>
    </row>
    <row r="95" spans="2:9">
      <c r="B95" s="298" t="s">
        <v>374</v>
      </c>
      <c r="C95" s="299">
        <v>2.9</v>
      </c>
      <c r="D95" s="299">
        <v>3.2</v>
      </c>
      <c r="E95" s="299">
        <v>2.2000000000000002</v>
      </c>
      <c r="F95" s="299">
        <v>3.4</v>
      </c>
      <c r="G95" s="299">
        <v>2</v>
      </c>
      <c r="H95" s="299">
        <v>2.2000000000000002</v>
      </c>
      <c r="I95" s="300">
        <v>2</v>
      </c>
    </row>
    <row r="96" spans="2:9">
      <c r="B96" s="298" t="s">
        <v>375</v>
      </c>
      <c r="C96" s="299">
        <v>3</v>
      </c>
      <c r="D96" s="299">
        <v>3.3</v>
      </c>
      <c r="E96" s="299">
        <v>2.2000000000000002</v>
      </c>
      <c r="F96" s="299">
        <v>3.4</v>
      </c>
      <c r="G96" s="299">
        <v>2</v>
      </c>
      <c r="H96" s="299">
        <v>2.1</v>
      </c>
      <c r="I96" s="300">
        <v>2.5</v>
      </c>
    </row>
    <row r="97" spans="2:9">
      <c r="B97" s="298" t="s">
        <v>376</v>
      </c>
      <c r="C97" s="299">
        <v>3.1</v>
      </c>
      <c r="D97" s="299">
        <v>3.2</v>
      </c>
      <c r="E97" s="299">
        <v>2.1</v>
      </c>
      <c r="F97" s="299">
        <v>3.4</v>
      </c>
      <c r="G97" s="299">
        <v>2</v>
      </c>
      <c r="H97" s="299">
        <v>2.1</v>
      </c>
      <c r="I97" s="300">
        <v>3</v>
      </c>
    </row>
    <row r="98" spans="2:9">
      <c r="B98" s="298" t="s">
        <v>377</v>
      </c>
      <c r="C98" s="299">
        <v>3.2</v>
      </c>
      <c r="D98" s="299">
        <v>3.2</v>
      </c>
      <c r="E98" s="299">
        <v>2.1</v>
      </c>
      <c r="F98" s="299">
        <v>3.4</v>
      </c>
      <c r="G98" s="299">
        <v>2</v>
      </c>
      <c r="H98" s="299">
        <v>2.1</v>
      </c>
      <c r="I98" s="300">
        <v>3.5</v>
      </c>
    </row>
    <row r="99" spans="2:9">
      <c r="B99" s="298" t="s">
        <v>378</v>
      </c>
      <c r="C99" s="299">
        <v>3.3</v>
      </c>
      <c r="D99" s="299">
        <v>3.2</v>
      </c>
      <c r="E99" s="299">
        <v>2.1</v>
      </c>
      <c r="F99" s="299">
        <v>3.3</v>
      </c>
      <c r="G99" s="299">
        <v>2</v>
      </c>
      <c r="H99" s="299">
        <v>2.1</v>
      </c>
      <c r="I99" s="300">
        <v>4</v>
      </c>
    </row>
    <row r="100" spans="2:9">
      <c r="B100" s="298" t="s">
        <v>379</v>
      </c>
      <c r="C100" s="299">
        <v>3.4</v>
      </c>
      <c r="D100" s="299">
        <v>3.2</v>
      </c>
      <c r="E100" s="299">
        <v>2</v>
      </c>
      <c r="F100" s="299">
        <v>3.3</v>
      </c>
      <c r="G100" s="299">
        <v>2</v>
      </c>
      <c r="H100" s="299">
        <v>2</v>
      </c>
      <c r="I100" s="300">
        <v>4</v>
      </c>
    </row>
    <row r="101" spans="2:9">
      <c r="B101" s="298" t="s">
        <v>380</v>
      </c>
      <c r="C101" s="299">
        <v>3.5</v>
      </c>
      <c r="D101" s="299">
        <v>3.2</v>
      </c>
      <c r="E101" s="299">
        <v>2</v>
      </c>
      <c r="F101" s="299">
        <v>3.3</v>
      </c>
      <c r="G101" s="299">
        <v>2</v>
      </c>
      <c r="H101" s="299">
        <v>2</v>
      </c>
      <c r="I101" s="300">
        <v>4</v>
      </c>
    </row>
    <row r="102" spans="2:9">
      <c r="B102" s="298" t="s">
        <v>381</v>
      </c>
      <c r="C102" s="299">
        <v>3.6</v>
      </c>
      <c r="D102" s="299">
        <v>3.2</v>
      </c>
      <c r="E102" s="299">
        <v>2</v>
      </c>
      <c r="F102" s="299">
        <v>3.3</v>
      </c>
      <c r="G102" s="299">
        <v>2</v>
      </c>
      <c r="H102" s="299">
        <v>2</v>
      </c>
      <c r="I102" s="300">
        <v>4</v>
      </c>
    </row>
    <row r="103" spans="2:9">
      <c r="B103" s="298" t="s">
        <v>382</v>
      </c>
      <c r="C103" s="299">
        <v>3.7</v>
      </c>
      <c r="D103" s="299">
        <v>3.2</v>
      </c>
      <c r="E103" s="299">
        <v>2</v>
      </c>
      <c r="F103" s="299">
        <v>3.3</v>
      </c>
      <c r="G103" s="299">
        <v>2</v>
      </c>
      <c r="H103" s="299">
        <v>2</v>
      </c>
      <c r="I103" s="300">
        <v>4</v>
      </c>
    </row>
    <row r="104" spans="2:9">
      <c r="B104" s="298" t="s">
        <v>383</v>
      </c>
      <c r="C104" s="299">
        <v>3.8</v>
      </c>
      <c r="D104" s="299">
        <v>3.2</v>
      </c>
      <c r="E104" s="299">
        <v>2</v>
      </c>
      <c r="F104" s="299">
        <v>3.3</v>
      </c>
      <c r="G104" s="299">
        <v>2</v>
      </c>
      <c r="H104" s="299">
        <v>2</v>
      </c>
      <c r="I104" s="300">
        <v>4</v>
      </c>
    </row>
    <row r="105" spans="2:9">
      <c r="B105" s="298" t="s">
        <v>399</v>
      </c>
      <c r="C105" s="299">
        <v>3.9</v>
      </c>
      <c r="D105" s="299">
        <v>3.2</v>
      </c>
      <c r="E105" s="299">
        <v>2</v>
      </c>
      <c r="F105" s="299">
        <v>3.3</v>
      </c>
      <c r="G105" s="299">
        <v>2</v>
      </c>
      <c r="H105" s="299">
        <v>2</v>
      </c>
      <c r="I105" s="300">
        <v>4</v>
      </c>
    </row>
    <row r="106" spans="2:9">
      <c r="B106" s="298" t="s">
        <v>400</v>
      </c>
      <c r="C106" s="299">
        <v>3.9</v>
      </c>
      <c r="D106" s="299">
        <v>3.2</v>
      </c>
      <c r="E106" s="299">
        <v>2</v>
      </c>
      <c r="F106" s="299">
        <v>3.3</v>
      </c>
      <c r="G106" s="299">
        <v>2</v>
      </c>
      <c r="H106" s="299">
        <v>2</v>
      </c>
      <c r="I106" s="300">
        <v>4</v>
      </c>
    </row>
    <row r="107" spans="2:9">
      <c r="B107" s="298" t="s">
        <v>401</v>
      </c>
      <c r="C107" s="299">
        <v>4</v>
      </c>
      <c r="D107" s="299">
        <v>3.2</v>
      </c>
      <c r="E107" s="299">
        <v>2</v>
      </c>
      <c r="F107" s="299">
        <v>3.2</v>
      </c>
      <c r="G107" s="299">
        <v>2</v>
      </c>
      <c r="H107" s="299">
        <v>2</v>
      </c>
      <c r="I107" s="300">
        <v>4</v>
      </c>
    </row>
    <row r="108" spans="2:9">
      <c r="B108" s="298" t="s">
        <v>402</v>
      </c>
      <c r="C108" s="299">
        <v>4</v>
      </c>
      <c r="D108" s="299">
        <v>3.2</v>
      </c>
      <c r="E108" s="299">
        <v>2</v>
      </c>
      <c r="F108" s="299">
        <v>3.2</v>
      </c>
      <c r="G108" s="299">
        <v>2</v>
      </c>
      <c r="H108" s="299">
        <v>2</v>
      </c>
      <c r="I108" s="300">
        <v>4</v>
      </c>
    </row>
    <row r="109" spans="2:9">
      <c r="B109" s="301"/>
      <c r="C109" s="302"/>
      <c r="D109" s="302"/>
      <c r="E109" s="302"/>
      <c r="F109" s="302"/>
      <c r="G109" s="302"/>
      <c r="H109" s="302"/>
      <c r="I109" s="303"/>
    </row>
    <row r="110" spans="2:9">
      <c r="B110" s="294" t="s">
        <v>417</v>
      </c>
      <c r="C110" s="296"/>
      <c r="D110" s="296"/>
      <c r="E110" s="296"/>
      <c r="F110" s="296"/>
      <c r="G110" s="296"/>
      <c r="H110" s="296"/>
      <c r="I110" s="297"/>
    </row>
    <row r="111" spans="2:9">
      <c r="B111" s="294" t="s">
        <v>418</v>
      </c>
      <c r="C111" s="296"/>
      <c r="D111" s="296"/>
      <c r="E111" s="296"/>
      <c r="F111" s="296"/>
      <c r="G111" s="296"/>
      <c r="H111" s="296"/>
      <c r="I111" s="297"/>
    </row>
    <row r="112" spans="2:9">
      <c r="B112" s="326"/>
      <c r="C112" s="296"/>
      <c r="D112" s="296"/>
      <c r="E112" s="296"/>
      <c r="F112" s="296"/>
      <c r="G112" s="296"/>
      <c r="H112" s="296"/>
      <c r="I112" s="297"/>
    </row>
    <row r="113" spans="2:19">
      <c r="B113" s="294" t="s">
        <v>403</v>
      </c>
      <c r="C113" s="296"/>
      <c r="D113" s="296"/>
      <c r="E113" s="296"/>
      <c r="F113" s="296"/>
      <c r="G113" s="296"/>
      <c r="H113" s="296"/>
      <c r="I113" s="297"/>
    </row>
    <row r="114" spans="2:19">
      <c r="B114" s="662" t="s">
        <v>419</v>
      </c>
      <c r="C114" s="663"/>
      <c r="D114" s="663"/>
      <c r="E114" s="663"/>
      <c r="F114" s="663"/>
      <c r="G114" s="663"/>
      <c r="H114" s="663"/>
      <c r="I114" s="664"/>
    </row>
    <row r="115" spans="2:19">
      <c r="B115" s="662"/>
      <c r="C115" s="663"/>
      <c r="D115" s="663"/>
      <c r="E115" s="663"/>
      <c r="F115" s="663"/>
      <c r="G115" s="663"/>
      <c r="H115" s="663"/>
      <c r="I115" s="664"/>
    </row>
    <row r="116" spans="2:19">
      <c r="B116" s="673" t="s">
        <v>420</v>
      </c>
      <c r="C116" s="674"/>
      <c r="D116" s="674"/>
      <c r="E116" s="674"/>
      <c r="F116" s="674"/>
      <c r="G116" s="674"/>
      <c r="H116" s="674"/>
      <c r="I116" s="675"/>
    </row>
    <row r="117" spans="2:19" ht="13.5" thickBot="1">
      <c r="B117" s="653" t="s">
        <v>421</v>
      </c>
      <c r="C117" s="654"/>
      <c r="D117" s="654"/>
      <c r="E117" s="654"/>
      <c r="F117" s="654"/>
      <c r="G117" s="654"/>
      <c r="H117" s="654"/>
      <c r="I117" s="655"/>
    </row>
    <row r="120" spans="2:19">
      <c r="B120" s="86" t="s">
        <v>422</v>
      </c>
      <c r="C120" s="152"/>
      <c r="D120" s="152"/>
      <c r="E120" s="152"/>
      <c r="F120" s="152"/>
      <c r="G120" s="152"/>
      <c r="H120" s="152"/>
      <c r="I120" s="152"/>
      <c r="J120" s="152"/>
      <c r="K120" s="152"/>
      <c r="L120" s="152"/>
      <c r="M120" s="152"/>
      <c r="N120" s="152"/>
      <c r="O120" s="152"/>
      <c r="P120" s="152"/>
      <c r="Q120" s="152"/>
      <c r="R120" s="152"/>
      <c r="S120" s="152"/>
    </row>
    <row r="122" spans="2:19">
      <c r="B122" s="264" t="s">
        <v>444</v>
      </c>
      <c r="C122" s="75" t="s">
        <v>13</v>
      </c>
      <c r="D122" s="75" t="s">
        <v>14</v>
      </c>
      <c r="E122" s="75" t="s">
        <v>15</v>
      </c>
      <c r="F122" s="75" t="s">
        <v>16</v>
      </c>
      <c r="G122" s="75" t="s">
        <v>17</v>
      </c>
      <c r="H122" s="75" t="s">
        <v>32</v>
      </c>
      <c r="I122" s="75" t="s">
        <v>33</v>
      </c>
      <c r="J122" s="75" t="s">
        <v>34</v>
      </c>
      <c r="K122" s="75" t="s">
        <v>35</v>
      </c>
      <c r="L122" s="75" t="s">
        <v>36</v>
      </c>
    </row>
    <row r="123" spans="2:19">
      <c r="B123" s="110" t="s">
        <v>423</v>
      </c>
      <c r="C123" s="328">
        <f>(SUM(P12:P15)/4)*0.01</f>
        <v>2.9500000000000002E-2</v>
      </c>
      <c r="D123" s="328">
        <f>(SUM(P16:P19)/4)*0.01</f>
        <v>6.9999999999999993E-3</v>
      </c>
      <c r="E123" s="328">
        <f>(SUM(P20:P23)/4)*0.01</f>
        <v>2.6499999999999999E-2</v>
      </c>
      <c r="F123" s="328">
        <f>(SUM(P24:P27)/4)*0.01</f>
        <v>1.6750000000000001E-2</v>
      </c>
      <c r="G123" s="328">
        <f>(SUM(P28:P31)/4)*0.01</f>
        <v>1.7500000000000002E-2</v>
      </c>
      <c r="H123" s="328">
        <f>(SUM(P32:P35)/4)*0.01</f>
        <v>2.9249999999999998E-2</v>
      </c>
      <c r="I123" s="328">
        <f>(SUM(P36:P39)/4)*0.01</f>
        <v>3.8000000000000006E-2</v>
      </c>
      <c r="J123" s="328">
        <f>(SUM(P40:P43)/4)*0.01</f>
        <v>0.04</v>
      </c>
      <c r="K123" s="328">
        <f>(SUM(P44:P47)/4)*0.01</f>
        <v>0.04</v>
      </c>
      <c r="L123" s="328">
        <f>K123</f>
        <v>0.04</v>
      </c>
    </row>
    <row r="124" spans="2:19">
      <c r="B124" s="110" t="s">
        <v>407</v>
      </c>
      <c r="C124" s="328">
        <f>(SUM(C73:C76)/4)*0.01</f>
        <v>4.7499999999999999E-3</v>
      </c>
      <c r="D124" s="328">
        <f>(SUM(C77:C80)/4)*0.01</f>
        <v>4.9500000000000002E-2</v>
      </c>
      <c r="E124" s="328">
        <f>(SUM(D81:D84)/4)*0.01</f>
        <v>4.9000000000000002E-2</v>
      </c>
      <c r="F124" s="328">
        <f>(SUM(C85:C88)/4)*0.01</f>
        <v>3.0750000000000003E-2</v>
      </c>
      <c r="G124" s="328">
        <f>(SUM(C89:C92)/4)*0.01</f>
        <v>3.0999999999999996E-2</v>
      </c>
      <c r="H124" s="328">
        <f>(SUM(C93:C96)/4)*0.01</f>
        <v>2.8500000000000001E-2</v>
      </c>
      <c r="I124" s="328">
        <f>(SUM(C97:C100)/4)*0.01</f>
        <v>3.2500000000000008E-2</v>
      </c>
      <c r="J124" s="328">
        <f>(SUM(C101:C104)/4)*0.01</f>
        <v>3.6500000000000005E-2</v>
      </c>
      <c r="K124" s="328">
        <f>(SUM(C105:C108)/4)*0.01</f>
        <v>3.95E-2</v>
      </c>
      <c r="L124" s="328">
        <f>K124</f>
        <v>3.95E-2</v>
      </c>
    </row>
    <row r="125" spans="2:19">
      <c r="B125" s="110" t="s">
        <v>424</v>
      </c>
      <c r="C125" s="328">
        <f>C123-C124</f>
        <v>2.4750000000000001E-2</v>
      </c>
      <c r="D125" s="328">
        <f t="shared" ref="D125:L125" si="0">D123-D124</f>
        <v>-4.2500000000000003E-2</v>
      </c>
      <c r="E125" s="328">
        <f t="shared" si="0"/>
        <v>-2.2500000000000003E-2</v>
      </c>
      <c r="F125" s="328">
        <f t="shared" si="0"/>
        <v>-1.4000000000000002E-2</v>
      </c>
      <c r="G125" s="328">
        <f t="shared" si="0"/>
        <v>-1.3499999999999995E-2</v>
      </c>
      <c r="H125" s="328">
        <f t="shared" si="0"/>
        <v>7.499999999999972E-4</v>
      </c>
      <c r="I125" s="328">
        <f t="shared" si="0"/>
        <v>5.4999999999999979E-3</v>
      </c>
      <c r="J125" s="328">
        <f t="shared" si="0"/>
        <v>3.4999999999999962E-3</v>
      </c>
      <c r="K125" s="328">
        <f t="shared" si="0"/>
        <v>5.0000000000000044E-4</v>
      </c>
      <c r="L125" s="328">
        <f t="shared" si="0"/>
        <v>5.0000000000000044E-4</v>
      </c>
    </row>
    <row r="127" spans="2:19">
      <c r="B127" s="263" t="s">
        <v>442</v>
      </c>
      <c r="C127" s="327"/>
      <c r="D127" s="327"/>
      <c r="E127" s="327"/>
      <c r="F127" s="327"/>
      <c r="G127" s="327"/>
      <c r="H127" s="327">
        <v>-5.0000000000000001E-3</v>
      </c>
      <c r="I127" s="327">
        <v>-5.0000000000000001E-3</v>
      </c>
      <c r="J127" s="327">
        <v>-5.0000000000000001E-3</v>
      </c>
      <c r="K127" s="327">
        <v>-5.0000000000000001E-3</v>
      </c>
      <c r="L127" s="327">
        <v>-5.0000000000000001E-3</v>
      </c>
    </row>
    <row r="128" spans="2:19">
      <c r="B128" s="263" t="s">
        <v>464</v>
      </c>
      <c r="C128" s="327"/>
      <c r="D128" s="327"/>
      <c r="E128" s="327"/>
      <c r="F128" s="327"/>
      <c r="G128" s="327"/>
      <c r="H128" s="327">
        <f>H127-H125</f>
        <v>-5.7499999999999973E-3</v>
      </c>
      <c r="I128" s="327">
        <f t="shared" ref="I128:K128" si="1">I127-I125</f>
        <v>-1.0499999999999999E-2</v>
      </c>
      <c r="J128" s="327">
        <f t="shared" si="1"/>
        <v>-8.4999999999999971E-3</v>
      </c>
      <c r="K128" s="327">
        <f t="shared" si="1"/>
        <v>-5.5000000000000005E-3</v>
      </c>
      <c r="L128" s="327">
        <f>L127-L125</f>
        <v>-5.5000000000000005E-3</v>
      </c>
    </row>
    <row r="129" spans="2:19">
      <c r="B129" s="263" t="s">
        <v>443</v>
      </c>
      <c r="C129" s="327"/>
      <c r="D129" s="327"/>
      <c r="E129" s="327"/>
      <c r="F129" s="327"/>
      <c r="G129" s="327"/>
      <c r="H129" s="327">
        <v>7.4999999999999997E-3</v>
      </c>
      <c r="I129" s="327">
        <v>7.4999999999999997E-3</v>
      </c>
      <c r="J129" s="327">
        <v>7.4999999999999997E-3</v>
      </c>
      <c r="K129" s="327">
        <v>7.4999999999999997E-3</v>
      </c>
      <c r="L129" s="327">
        <v>7.4999999999999997E-3</v>
      </c>
    </row>
    <row r="130" spans="2:19">
      <c r="B130" s="263" t="s">
        <v>465</v>
      </c>
      <c r="C130" s="94"/>
      <c r="D130" s="94"/>
      <c r="E130" s="94"/>
      <c r="F130" s="94"/>
      <c r="G130" s="94"/>
      <c r="H130" s="327">
        <f>H129-H125</f>
        <v>6.7500000000000025E-3</v>
      </c>
      <c r="I130" s="327">
        <f t="shared" ref="I130:L130" si="2">I129-I125</f>
        <v>2.0000000000000018E-3</v>
      </c>
      <c r="J130" s="327">
        <f t="shared" si="2"/>
        <v>4.0000000000000036E-3</v>
      </c>
      <c r="K130" s="327">
        <f t="shared" si="2"/>
        <v>6.9999999999999993E-3</v>
      </c>
      <c r="L130" s="327">
        <f t="shared" si="2"/>
        <v>6.9999999999999993E-3</v>
      </c>
    </row>
    <row r="132" spans="2:19">
      <c r="B132" s="331" t="s">
        <v>445</v>
      </c>
      <c r="C132" s="330"/>
      <c r="D132" s="330"/>
      <c r="E132" s="330"/>
      <c r="F132" s="330"/>
      <c r="G132" s="330"/>
      <c r="H132" s="330"/>
      <c r="I132" s="330"/>
      <c r="J132" s="330"/>
      <c r="K132" s="330"/>
      <c r="L132" s="330"/>
      <c r="M132" s="330"/>
      <c r="N132" s="330"/>
      <c r="O132" s="330"/>
      <c r="P132" s="330"/>
      <c r="Q132" s="330"/>
      <c r="R132" s="330"/>
      <c r="S132" s="330"/>
    </row>
  </sheetData>
  <mergeCells count="10">
    <mergeCell ref="B117:I117"/>
    <mergeCell ref="B9:S9"/>
    <mergeCell ref="B63:S63"/>
    <mergeCell ref="B64:S64"/>
    <mergeCell ref="B68:I68"/>
    <mergeCell ref="H69:H70"/>
    <mergeCell ref="I69:I70"/>
    <mergeCell ref="C70:G70"/>
    <mergeCell ref="B114:I115"/>
    <mergeCell ref="B116:I116"/>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dimension ref="B2:U29"/>
  <sheetViews>
    <sheetView showGridLines="0" zoomScale="70" zoomScaleNormal="70" workbookViewId="0">
      <selection activeCell="F37" sqref="F37"/>
    </sheetView>
  </sheetViews>
  <sheetFormatPr defaultRowHeight="12.75"/>
  <cols>
    <col min="1" max="1" width="9.140625" style="19"/>
    <col min="2" max="2" width="28.7109375" style="19" customWidth="1"/>
    <col min="3" max="3" width="10.140625" style="19" bestFit="1" customWidth="1"/>
    <col min="4" max="4" width="13.42578125" style="19" bestFit="1" customWidth="1"/>
    <col min="5" max="5" width="8.85546875" style="19" bestFit="1" customWidth="1"/>
    <col min="6" max="13" width="9.28515625" style="19" bestFit="1" customWidth="1"/>
    <col min="14" max="16384" width="9.140625" style="19"/>
  </cols>
  <sheetData>
    <row r="2" spans="2:21">
      <c r="B2" s="53" t="s">
        <v>801</v>
      </c>
    </row>
    <row r="4" spans="2:21">
      <c r="B4" s="84" t="s">
        <v>492</v>
      </c>
      <c r="C4" s="84"/>
      <c r="D4" s="84"/>
      <c r="E4" s="84"/>
      <c r="F4" s="84"/>
      <c r="G4" s="86"/>
      <c r="H4" s="86"/>
      <c r="I4" s="86"/>
      <c r="J4" s="86"/>
      <c r="K4" s="86"/>
      <c r="L4" s="86"/>
      <c r="M4" s="86"/>
      <c r="N4" s="86"/>
      <c r="O4" s="86"/>
      <c r="P4" s="86"/>
      <c r="Q4" s="86"/>
      <c r="R4" s="86"/>
      <c r="S4" s="86"/>
      <c r="T4" s="86"/>
      <c r="U4" s="86"/>
    </row>
    <row r="5" spans="2:21" s="61" customFormat="1">
      <c r="B5" s="138"/>
      <c r="C5" s="138"/>
      <c r="D5" s="138"/>
      <c r="E5" s="138"/>
      <c r="F5" s="138"/>
      <c r="G5" s="199"/>
      <c r="H5" s="199"/>
      <c r="I5" s="199"/>
      <c r="J5" s="199"/>
      <c r="K5" s="199"/>
      <c r="L5" s="199"/>
      <c r="M5" s="199"/>
      <c r="N5" s="199"/>
      <c r="O5" s="199"/>
      <c r="P5" s="199"/>
      <c r="Q5" s="199"/>
      <c r="R5" s="199"/>
      <c r="S5" s="199"/>
      <c r="T5" s="199"/>
      <c r="U5" s="199"/>
    </row>
    <row r="6" spans="2:21" s="61" customFormat="1">
      <c r="B6" s="259" t="s">
        <v>773</v>
      </c>
      <c r="C6" s="236">
        <v>0.3</v>
      </c>
      <c r="D6" s="138"/>
      <c r="E6" s="138"/>
      <c r="F6" s="138"/>
      <c r="G6" s="199"/>
      <c r="H6" s="199"/>
      <c r="I6" s="199"/>
      <c r="J6" s="199"/>
      <c r="K6" s="199"/>
      <c r="L6" s="199"/>
      <c r="M6" s="199"/>
      <c r="N6" s="199"/>
      <c r="O6" s="199"/>
      <c r="P6" s="199"/>
      <c r="Q6" s="199"/>
      <c r="R6" s="199"/>
      <c r="S6" s="199"/>
      <c r="T6" s="199"/>
      <c r="U6" s="199"/>
    </row>
    <row r="7" spans="2:21" ht="13.5" customHeight="1"/>
    <row r="8" spans="2:21" ht="13.5" customHeight="1">
      <c r="B8" s="84" t="s">
        <v>450</v>
      </c>
      <c r="C8" s="84"/>
      <c r="D8" s="84"/>
      <c r="E8" s="84"/>
      <c r="F8" s="84"/>
      <c r="G8" s="86"/>
      <c r="H8" s="86"/>
      <c r="I8" s="86"/>
      <c r="J8" s="86"/>
      <c r="K8" s="86"/>
      <c r="L8" s="86"/>
      <c r="M8" s="86"/>
      <c r="N8" s="86"/>
      <c r="O8" s="86"/>
      <c r="P8" s="86"/>
      <c r="Q8" s="86"/>
      <c r="R8" s="86"/>
      <c r="S8" s="86"/>
      <c r="T8" s="86"/>
      <c r="U8" s="86"/>
    </row>
    <row r="10" spans="2:21" ht="25.5">
      <c r="B10" s="276"/>
      <c r="C10" s="75" t="s">
        <v>12</v>
      </c>
      <c r="D10" s="75" t="s">
        <v>13</v>
      </c>
      <c r="E10" s="75" t="s">
        <v>14</v>
      </c>
      <c r="F10" s="75" t="s">
        <v>15</v>
      </c>
      <c r="G10" s="75" t="s">
        <v>16</v>
      </c>
      <c r="H10" s="75" t="s">
        <v>17</v>
      </c>
      <c r="I10" s="75" t="s">
        <v>32</v>
      </c>
      <c r="J10" s="75" t="s">
        <v>33</v>
      </c>
      <c r="K10" s="75" t="s">
        <v>34</v>
      </c>
      <c r="L10" s="75" t="s">
        <v>35</v>
      </c>
      <c r="M10" s="75" t="s">
        <v>36</v>
      </c>
      <c r="N10" s="18"/>
      <c r="P10" s="176" t="s">
        <v>37</v>
      </c>
      <c r="Q10" s="176" t="s">
        <v>206</v>
      </c>
    </row>
    <row r="11" spans="2:21">
      <c r="B11" s="340" t="s">
        <v>493</v>
      </c>
      <c r="C11" s="277">
        <f>'HAL - CAA - fp'!C10</f>
        <v>65.900000000000006</v>
      </c>
      <c r="D11" s="277">
        <f>'HAL - CAA - fp'!D10</f>
        <v>66.099999999999994</v>
      </c>
      <c r="E11" s="277">
        <f>'HAL - CAA - fp'!E10</f>
        <v>66.099999999999994</v>
      </c>
      <c r="F11" s="277">
        <f>'HAL - CAA - fp'!F10</f>
        <v>70.067623000000012</v>
      </c>
      <c r="G11" s="277">
        <f>'HAL - CAA - fp'!G10</f>
        <v>69.599999999999994</v>
      </c>
      <c r="H11" s="277">
        <f>'HAL - CAA - fp'!H10</f>
        <v>68.8</v>
      </c>
      <c r="I11" s="277">
        <f>'HAL - CAA - fp'!I10</f>
        <v>69.494122000000004</v>
      </c>
      <c r="J11" s="277">
        <f>'HAL - CAA - fp'!J10</f>
        <v>70.256156000000004</v>
      </c>
      <c r="K11" s="277">
        <f>'HAL - CAA - fp'!K10</f>
        <v>71.025689999999997</v>
      </c>
      <c r="L11" s="277">
        <f>'HAL - CAA - fp'!L10</f>
        <v>71.812779000000006</v>
      </c>
      <c r="M11" s="277">
        <f>'HAL - CAA - fp'!M10</f>
        <v>72.602541000000002</v>
      </c>
      <c r="N11" s="113"/>
      <c r="P11" s="106">
        <f>SUM(I11:M11)</f>
        <v>355.19128799999999</v>
      </c>
      <c r="Q11" s="130">
        <f>((M11/H11)^(1/5))-1</f>
        <v>1.081732397056423E-2</v>
      </c>
    </row>
    <row r="12" spans="2:21">
      <c r="B12" s="341" t="s">
        <v>490</v>
      </c>
      <c r="C12" s="351">
        <f>'HAL - CAA - fp'!C50</f>
        <v>1053.7</v>
      </c>
      <c r="D12" s="351">
        <f>'HAL - CAA - fp'!D50</f>
        <v>1083</v>
      </c>
      <c r="E12" s="351">
        <f>'HAL - CAA - fp'!E50</f>
        <v>1026.3999999999999</v>
      </c>
      <c r="F12" s="351">
        <f>'HAL - CAA - fp'!F50</f>
        <v>1029.5</v>
      </c>
      <c r="G12" s="351">
        <f>'HAL - CAA - fp'!G50</f>
        <v>1042.3000000000002</v>
      </c>
      <c r="H12" s="351">
        <f>'HAL - CAA - fp'!H50</f>
        <v>1050.0999999999999</v>
      </c>
      <c r="I12" s="351">
        <f>'HAL - CAA - fp'!I50</f>
        <v>1081.8</v>
      </c>
      <c r="J12" s="351">
        <f>'HAL - CAA - fp'!J50</f>
        <v>1049.8999999999999</v>
      </c>
      <c r="K12" s="351">
        <f>'HAL - CAA - fp'!K50</f>
        <v>1034</v>
      </c>
      <c r="L12" s="351">
        <f>'HAL - CAA - fp'!L50</f>
        <v>1029.8999999999999</v>
      </c>
      <c r="M12" s="351">
        <f>'HAL - CAA - fp'!M50</f>
        <v>1038.3999999999999</v>
      </c>
      <c r="N12" s="278"/>
      <c r="P12" s="128">
        <f t="shared" ref="P12:P19" si="0">SUM(I12:M12)</f>
        <v>5233.9999999999991</v>
      </c>
      <c r="Q12" s="129">
        <f t="shared" ref="Q12:Q13" si="1">((M12/H12)^(1/5))-1</f>
        <v>-2.2383572862288981E-3</v>
      </c>
    </row>
    <row r="13" spans="2:21">
      <c r="B13" s="340" t="s">
        <v>491</v>
      </c>
      <c r="C13" s="277">
        <f>C12/C11</f>
        <v>15.98937784522003</v>
      </c>
      <c r="D13" s="277">
        <f t="shared" ref="D13:M13" si="2">D12/D11</f>
        <v>16.384266263237521</v>
      </c>
      <c r="E13" s="277">
        <f t="shared" si="2"/>
        <v>15.527987897125566</v>
      </c>
      <c r="F13" s="277">
        <f t="shared" si="2"/>
        <v>14.692948838866702</v>
      </c>
      <c r="G13" s="277">
        <f t="shared" si="2"/>
        <v>14.975574712643683</v>
      </c>
      <c r="H13" s="277">
        <f t="shared" si="2"/>
        <v>15.263081395348836</v>
      </c>
      <c r="I13" s="277">
        <f t="shared" si="2"/>
        <v>15.566784195071921</v>
      </c>
      <c r="J13" s="277">
        <f t="shared" si="2"/>
        <v>14.943886198385233</v>
      </c>
      <c r="K13" s="277">
        <f t="shared" si="2"/>
        <v>14.558112705416871</v>
      </c>
      <c r="L13" s="277">
        <f t="shared" si="2"/>
        <v>14.341458642061461</v>
      </c>
      <c r="M13" s="277">
        <f t="shared" si="2"/>
        <v>14.302529714490294</v>
      </c>
      <c r="N13" s="113"/>
      <c r="P13" s="128">
        <f t="shared" si="0"/>
        <v>73.712771455425781</v>
      </c>
      <c r="Q13" s="129">
        <f t="shared" si="1"/>
        <v>-1.2915965078150293E-2</v>
      </c>
    </row>
    <row r="14" spans="2:21">
      <c r="B14" s="344" t="s">
        <v>494</v>
      </c>
      <c r="C14" s="345"/>
      <c r="D14" s="348">
        <f t="shared" ref="D14:M14" si="3">(D11/C11)-1</f>
        <v>3.0349013657053892E-3</v>
      </c>
      <c r="E14" s="348">
        <f t="shared" si="3"/>
        <v>0</v>
      </c>
      <c r="F14" s="348">
        <f t="shared" si="3"/>
        <v>6.0024553706505612E-2</v>
      </c>
      <c r="G14" s="348">
        <f t="shared" si="3"/>
        <v>-6.6738813160540644E-3</v>
      </c>
      <c r="H14" s="348">
        <f t="shared" si="3"/>
        <v>-1.1494252873563204E-2</v>
      </c>
      <c r="I14" s="348">
        <f t="shared" si="3"/>
        <v>1.0088982558139614E-2</v>
      </c>
      <c r="J14" s="348">
        <f t="shared" si="3"/>
        <v>1.0965445394072404E-2</v>
      </c>
      <c r="K14" s="348">
        <f t="shared" si="3"/>
        <v>1.0953260807494036E-2</v>
      </c>
      <c r="L14" s="348">
        <f t="shared" si="3"/>
        <v>1.1081750842547367E-2</v>
      </c>
      <c r="M14" s="348">
        <f t="shared" si="3"/>
        <v>1.099751340913846E-2</v>
      </c>
      <c r="N14" s="117"/>
      <c r="P14" s="128"/>
      <c r="Q14" s="129"/>
    </row>
    <row r="15" spans="2:21">
      <c r="B15" s="344"/>
      <c r="C15" s="345"/>
      <c r="D15" s="348"/>
      <c r="E15" s="348"/>
      <c r="F15" s="348"/>
      <c r="G15" s="348"/>
      <c r="H15" s="348"/>
      <c r="I15" s="348"/>
      <c r="J15" s="348"/>
      <c r="K15" s="348"/>
      <c r="L15" s="348"/>
      <c r="M15" s="348"/>
      <c r="N15" s="117"/>
      <c r="P15" s="128"/>
      <c r="Q15" s="129"/>
    </row>
    <row r="16" spans="2:21">
      <c r="B16" s="342" t="s">
        <v>496</v>
      </c>
      <c r="C16" s="345"/>
      <c r="D16" s="349">
        <f>D14*$C$6</f>
        <v>9.1047040971161666E-4</v>
      </c>
      <c r="E16" s="349">
        <f t="shared" ref="E16:L16" si="4">E14*$C$6</f>
        <v>0</v>
      </c>
      <c r="F16" s="349">
        <f t="shared" si="4"/>
        <v>1.8007366111951684E-2</v>
      </c>
      <c r="G16" s="349">
        <f>G14*$C$6</f>
        <v>-2.0021643948162191E-3</v>
      </c>
      <c r="H16" s="349">
        <f>H14*$C$6</f>
        <v>-3.4482758620689611E-3</v>
      </c>
      <c r="I16" s="349">
        <f t="shared" si="4"/>
        <v>3.0266947674418843E-3</v>
      </c>
      <c r="J16" s="349">
        <f t="shared" si="4"/>
        <v>3.2896336182217209E-3</v>
      </c>
      <c r="K16" s="349">
        <f t="shared" si="4"/>
        <v>3.2859782422482108E-3</v>
      </c>
      <c r="L16" s="349">
        <f t="shared" si="4"/>
        <v>3.3245252527642098E-3</v>
      </c>
      <c r="M16" s="349">
        <f>M14*$C$6</f>
        <v>3.299254022741538E-3</v>
      </c>
      <c r="N16" s="117"/>
      <c r="P16" s="128"/>
      <c r="Q16" s="129"/>
    </row>
    <row r="17" spans="2:21">
      <c r="B17" s="350"/>
      <c r="C17" s="345"/>
      <c r="D17" s="349"/>
      <c r="E17" s="349"/>
      <c r="F17" s="349"/>
      <c r="G17" s="349"/>
      <c r="H17" s="349"/>
      <c r="I17" s="349"/>
      <c r="J17" s="349"/>
      <c r="K17" s="349"/>
      <c r="L17" s="349"/>
      <c r="M17" s="349"/>
      <c r="N17" s="117"/>
      <c r="P17" s="128"/>
      <c r="Q17" s="129"/>
    </row>
    <row r="18" spans="2:21">
      <c r="B18" s="350" t="s">
        <v>495</v>
      </c>
      <c r="C18" s="352">
        <f>C12</f>
        <v>1053.7</v>
      </c>
      <c r="D18" s="353">
        <f>(1+D16)*C18</f>
        <v>1054.6593626707131</v>
      </c>
      <c r="E18" s="353">
        <f t="shared" ref="E18:L18" si="5">(1+E16)*D18</f>
        <v>1054.6593626707131</v>
      </c>
      <c r="F18" s="353">
        <f t="shared" si="5"/>
        <v>1073.6509999377224</v>
      </c>
      <c r="G18" s="353">
        <f t="shared" si="5"/>
        <v>1071.5013741331882</v>
      </c>
      <c r="H18" s="353">
        <f t="shared" si="5"/>
        <v>1067.806541808591</v>
      </c>
      <c r="I18" s="353">
        <f t="shared" si="5"/>
        <v>1071.0384662813233</v>
      </c>
      <c r="J18" s="353">
        <f t="shared" si="5"/>
        <v>1074.5617904264111</v>
      </c>
      <c r="K18" s="353">
        <f t="shared" si="5"/>
        <v>1078.0927770897038</v>
      </c>
      <c r="L18" s="353">
        <f t="shared" si="5"/>
        <v>1081.6769237519613</v>
      </c>
      <c r="M18" s="353">
        <f>(1+M16)*L18</f>
        <v>1085.2456506939566</v>
      </c>
      <c r="N18" s="117"/>
      <c r="P18" s="128">
        <f t="shared" si="0"/>
        <v>5390.6156082433554</v>
      </c>
      <c r="Q18" s="129">
        <f>((M18/H18)^(1/5))-1</f>
        <v>3.2452111400391725E-3</v>
      </c>
      <c r="S18" s="29"/>
    </row>
    <row r="19" spans="2:21">
      <c r="B19" s="350" t="s">
        <v>262</v>
      </c>
      <c r="C19" s="345">
        <f>C18-C12</f>
        <v>0</v>
      </c>
      <c r="D19" s="345">
        <f t="shared" ref="D19:M19" si="6">D18-D12</f>
        <v>-28.340637329286892</v>
      </c>
      <c r="E19" s="345">
        <f t="shared" si="6"/>
        <v>28.259362670713244</v>
      </c>
      <c r="F19" s="345">
        <f t="shared" si="6"/>
        <v>44.150999937722418</v>
      </c>
      <c r="G19" s="345">
        <f t="shared" si="6"/>
        <v>29.201374133187983</v>
      </c>
      <c r="H19" s="345">
        <f t="shared" si="6"/>
        <v>17.706541808591055</v>
      </c>
      <c r="I19" s="345">
        <f t="shared" si="6"/>
        <v>-10.761533718676674</v>
      </c>
      <c r="J19" s="345">
        <f t="shared" si="6"/>
        <v>24.661790426411244</v>
      </c>
      <c r="K19" s="345">
        <f t="shared" si="6"/>
        <v>44.092777089703759</v>
      </c>
      <c r="L19" s="345">
        <f t="shared" si="6"/>
        <v>51.776923751961476</v>
      </c>
      <c r="M19" s="345">
        <f t="shared" si="6"/>
        <v>46.845650693956713</v>
      </c>
      <c r="N19" s="117"/>
      <c r="P19" s="128">
        <f t="shared" si="0"/>
        <v>156.61560824335652</v>
      </c>
      <c r="Q19" s="129"/>
    </row>
    <row r="20" spans="2:21">
      <c r="B20" s="344"/>
      <c r="C20" s="345"/>
      <c r="D20" s="345"/>
      <c r="E20" s="345"/>
      <c r="F20" s="345"/>
      <c r="G20" s="345"/>
      <c r="H20" s="345"/>
      <c r="I20" s="345"/>
      <c r="J20" s="345"/>
      <c r="K20" s="345"/>
      <c r="L20" s="345"/>
      <c r="M20" s="345"/>
      <c r="N20" s="117"/>
    </row>
    <row r="21" spans="2:21">
      <c r="B21" s="329" t="s">
        <v>445</v>
      </c>
      <c r="C21" s="329"/>
      <c r="D21" s="329"/>
      <c r="E21" s="329"/>
      <c r="F21" s="329"/>
      <c r="G21" s="331"/>
      <c r="H21" s="331"/>
      <c r="I21" s="331"/>
      <c r="J21" s="331"/>
      <c r="K21" s="331"/>
      <c r="L21" s="331"/>
      <c r="M21" s="331"/>
      <c r="N21" s="331"/>
      <c r="O21" s="331"/>
      <c r="P21" s="331"/>
      <c r="Q21" s="331"/>
      <c r="R21" s="331"/>
      <c r="S21" s="331"/>
      <c r="T21" s="331"/>
      <c r="U21" s="331"/>
    </row>
    <row r="29" spans="2:21">
      <c r="L29" s="33"/>
    </row>
  </sheetData>
  <pageMargins left="0.7" right="0.7" top="0.75" bottom="0.75" header="0.3" footer="0.3"/>
  <legacyDrawing r:id="rId1"/>
</worksheet>
</file>

<file path=xl/worksheets/sheet31.xml><?xml version="1.0" encoding="utf-8"?>
<worksheet xmlns="http://schemas.openxmlformats.org/spreadsheetml/2006/main" xmlns:r="http://schemas.openxmlformats.org/officeDocument/2006/relationships">
  <dimension ref="B2:AC37"/>
  <sheetViews>
    <sheetView showGridLines="0" zoomScale="70" zoomScaleNormal="70" workbookViewId="0">
      <selection activeCell="T55" sqref="T55"/>
    </sheetView>
  </sheetViews>
  <sheetFormatPr defaultRowHeight="12.75"/>
  <cols>
    <col min="1" max="1" width="9.140625" style="19"/>
    <col min="2" max="2" width="28.7109375" style="19" customWidth="1"/>
    <col min="3" max="3" width="10.28515625" style="19" bestFit="1" customWidth="1"/>
    <col min="4" max="4" width="13.5703125" style="19" bestFit="1" customWidth="1"/>
    <col min="5" max="6" width="9.5703125" style="19" bestFit="1" customWidth="1"/>
    <col min="7" max="7" width="9.42578125" style="19" bestFit="1" customWidth="1"/>
    <col min="8" max="8" width="9.5703125" style="19" bestFit="1" customWidth="1"/>
    <col min="9" max="9" width="13.42578125" style="19" bestFit="1" customWidth="1"/>
    <col min="10" max="10" width="9.5703125" style="19" bestFit="1" customWidth="1"/>
    <col min="11" max="11" width="9.42578125" style="19" bestFit="1" customWidth="1"/>
    <col min="12" max="13" width="9.5703125" style="19" bestFit="1" customWidth="1"/>
    <col min="14" max="16384" width="9.140625" style="19"/>
  </cols>
  <sheetData>
    <row r="2" spans="2:29">
      <c r="B2" s="53" t="s">
        <v>791</v>
      </c>
    </row>
    <row r="4" spans="2:29">
      <c r="B4" s="84" t="s">
        <v>726</v>
      </c>
      <c r="C4" s="84"/>
      <c r="D4" s="84"/>
      <c r="E4" s="84"/>
      <c r="F4" s="84"/>
      <c r="G4" s="86"/>
      <c r="H4" s="86"/>
      <c r="I4" s="86"/>
      <c r="J4" s="86"/>
      <c r="K4" s="86"/>
      <c r="L4" s="86"/>
      <c r="M4" s="86"/>
      <c r="N4" s="86"/>
      <c r="O4" s="86"/>
      <c r="P4" s="86"/>
      <c r="Q4" s="86"/>
      <c r="R4" s="86"/>
      <c r="S4" s="86"/>
      <c r="T4" s="86"/>
      <c r="U4" s="86"/>
    </row>
    <row r="5" spans="2:29" s="61" customFormat="1">
      <c r="B5" s="138"/>
      <c r="C5" s="138"/>
      <c r="D5" s="138"/>
      <c r="E5" s="138"/>
      <c r="F5" s="138"/>
      <c r="G5" s="199"/>
      <c r="H5" s="199"/>
      <c r="I5" s="199"/>
      <c r="J5" s="199"/>
      <c r="K5" s="199"/>
      <c r="L5" s="199"/>
      <c r="M5" s="199"/>
      <c r="N5" s="199"/>
      <c r="O5" s="199"/>
      <c r="P5" s="199"/>
      <c r="Q5" s="199"/>
      <c r="R5" s="199"/>
      <c r="S5" s="199"/>
      <c r="T5" s="199"/>
      <c r="U5" s="199"/>
    </row>
    <row r="6" spans="2:29" s="61" customFormat="1">
      <c r="B6" s="236"/>
      <c r="C6" s="236"/>
      <c r="D6" s="138"/>
      <c r="E6" s="138"/>
      <c r="F6" s="138"/>
      <c r="G6" s="199"/>
      <c r="H6" s="199"/>
      <c r="I6" s="199"/>
      <c r="J6" s="199"/>
      <c r="K6" s="199"/>
      <c r="L6" s="199"/>
      <c r="M6" s="199"/>
      <c r="N6" s="199"/>
      <c r="O6" s="199"/>
      <c r="P6" s="199"/>
      <c r="Q6" s="199"/>
      <c r="R6" s="199"/>
      <c r="S6" s="199"/>
      <c r="T6" s="199"/>
      <c r="U6" s="199"/>
    </row>
    <row r="7" spans="2:29" ht="13.5" customHeight="1"/>
    <row r="8" spans="2:29" ht="13.5" customHeight="1">
      <c r="B8" s="84" t="s">
        <v>671</v>
      </c>
      <c r="C8" s="84"/>
      <c r="D8" s="84"/>
      <c r="E8" s="84"/>
      <c r="F8" s="84"/>
      <c r="G8" s="86"/>
      <c r="H8" s="86"/>
      <c r="I8" s="86"/>
      <c r="J8" s="86"/>
      <c r="K8" s="86"/>
      <c r="L8" s="86"/>
      <c r="M8" s="86"/>
      <c r="N8" s="86"/>
      <c r="O8" s="86"/>
      <c r="P8" s="86"/>
      <c r="Q8" s="86"/>
      <c r="R8" s="86"/>
      <c r="S8" s="86"/>
      <c r="T8" s="86"/>
      <c r="U8" s="86"/>
    </row>
    <row r="9" spans="2:29">
      <c r="C9" s="185"/>
      <c r="D9" s="185"/>
      <c r="E9" s="185"/>
      <c r="F9" s="185"/>
      <c r="G9" s="185"/>
    </row>
    <row r="10" spans="2:29" ht="25.5">
      <c r="B10" s="357" t="s">
        <v>732</v>
      </c>
      <c r="C10" s="75" t="s">
        <v>12</v>
      </c>
      <c r="D10" s="75" t="s">
        <v>13</v>
      </c>
      <c r="E10" s="75" t="s">
        <v>14</v>
      </c>
      <c r="F10" s="75" t="s">
        <v>15</v>
      </c>
      <c r="G10" s="75" t="s">
        <v>16</v>
      </c>
      <c r="H10" s="75" t="s">
        <v>17</v>
      </c>
      <c r="I10" s="75" t="s">
        <v>32</v>
      </c>
      <c r="J10" s="75" t="s">
        <v>33</v>
      </c>
      <c r="K10" s="75" t="s">
        <v>34</v>
      </c>
      <c r="L10" s="75" t="s">
        <v>35</v>
      </c>
      <c r="M10" s="75" t="s">
        <v>36</v>
      </c>
      <c r="N10" s="18"/>
      <c r="P10" s="176" t="s">
        <v>37</v>
      </c>
      <c r="Q10" s="176" t="s">
        <v>206</v>
      </c>
      <c r="R10" s="176" t="s">
        <v>488</v>
      </c>
    </row>
    <row r="11" spans="2:29">
      <c r="B11" s="340" t="s">
        <v>497</v>
      </c>
      <c r="C11" s="385">
        <f>[6]HTROW!L22/1000</f>
        <v>205.1</v>
      </c>
      <c r="D11" s="385">
        <f>[6]HTROW!M22/1000</f>
        <v>186.7</v>
      </c>
      <c r="E11" s="385">
        <f>[6]HTROW!N22/1000</f>
        <v>196.4</v>
      </c>
      <c r="F11" s="385">
        <f>[6]HTROW!O22/1000</f>
        <v>208.3</v>
      </c>
      <c r="G11" s="385">
        <f>[6]HTROW!P22/1000</f>
        <v>230.8</v>
      </c>
      <c r="H11" s="386">
        <f t="shared" ref="H11:M11" si="0">$G11*H$21</f>
        <v>222.4418903803132</v>
      </c>
      <c r="I11" s="386">
        <f>$G11*I$21</f>
        <v>212.34116331096197</v>
      </c>
      <c r="J11" s="386">
        <f t="shared" si="0"/>
        <v>204.49938478747205</v>
      </c>
      <c r="K11" s="386">
        <f t="shared" si="0"/>
        <v>194.72136465324385</v>
      </c>
      <c r="L11" s="386">
        <f t="shared" si="0"/>
        <v>189.10626398210292</v>
      </c>
      <c r="M11" s="386">
        <f t="shared" si="0"/>
        <v>187.55727069351229</v>
      </c>
      <c r="N11" s="215"/>
      <c r="P11" s="106">
        <f>SUM(I11:M11)</f>
        <v>988.22544742729315</v>
      </c>
      <c r="Q11" s="130">
        <f>((M11/H11)^(1/5))-1</f>
        <v>-3.3540931669854279E-2</v>
      </c>
      <c r="R11" s="130">
        <f>P11/$P$16</f>
        <v>0.79231033299004472</v>
      </c>
      <c r="T11" s="76"/>
    </row>
    <row r="12" spans="2:29" ht="15">
      <c r="B12" s="341" t="s">
        <v>498</v>
      </c>
      <c r="C12" s="385">
        <f>[6]HTROW!L23/1000</f>
        <v>16</v>
      </c>
      <c r="D12" s="385">
        <f>[6]HTROW!M23/1000</f>
        <v>15</v>
      </c>
      <c r="E12" s="385">
        <f>[6]HTROW!N23/1000</f>
        <v>15.5</v>
      </c>
      <c r="F12" s="385">
        <f>[6]HTROW!O23/1000</f>
        <v>18.3</v>
      </c>
      <c r="G12" s="385">
        <f>[6]HTROW!P23/1000</f>
        <v>20.6</v>
      </c>
      <c r="H12" s="386">
        <f>$G12*H$21</f>
        <v>19.853998881431767</v>
      </c>
      <c r="I12" s="386">
        <f>$G12*I$21</f>
        <v>18.952460850111859</v>
      </c>
      <c r="J12" s="386">
        <f t="shared" ref="I12:M14" si="1">$G12*J$21</f>
        <v>18.252544742729309</v>
      </c>
      <c r="K12" s="386">
        <f t="shared" si="1"/>
        <v>17.379809843400448</v>
      </c>
      <c r="L12" s="386">
        <f t="shared" si="1"/>
        <v>16.878635346756155</v>
      </c>
      <c r="M12" s="386">
        <f t="shared" si="1"/>
        <v>16.740380313199104</v>
      </c>
      <c r="N12" s="354"/>
      <c r="P12" s="106">
        <f t="shared" ref="P12:P18" si="2">SUM(I12:M12)</f>
        <v>88.203831096196865</v>
      </c>
      <c r="Q12" s="130">
        <f t="shared" ref="Q12:Q16" si="3">((M12/H12)^(1/5))-1</f>
        <v>-3.3540931669854279E-2</v>
      </c>
      <c r="R12" s="130">
        <f t="shared" ref="R12:R14" si="4">P12/$P$16</f>
        <v>7.0717473395125297E-2</v>
      </c>
      <c r="T12" s="76"/>
      <c r="V12" s="43"/>
      <c r="W12" s="424"/>
      <c r="X12" s="424"/>
      <c r="Y12" s="424"/>
      <c r="Z12" s="424"/>
      <c r="AA12" s="424"/>
      <c r="AB12" s="43"/>
      <c r="AC12" s="43"/>
    </row>
    <row r="13" spans="2:29" ht="15">
      <c r="B13" s="340" t="s">
        <v>27</v>
      </c>
      <c r="C13" s="385">
        <f>[6]HTROW!L24/1000</f>
        <v>31.1</v>
      </c>
      <c r="D13" s="385">
        <f>[6]HTROW!M24/1000</f>
        <v>14.6</v>
      </c>
      <c r="E13" s="385">
        <f>[6]HTROW!N24/1000</f>
        <v>24.2</v>
      </c>
      <c r="F13" s="385">
        <f>[6]HTROW!O24/1000</f>
        <v>24.2</v>
      </c>
      <c r="G13" s="385">
        <f>[6]HTROW!P24/1000</f>
        <v>31.7</v>
      </c>
      <c r="H13" s="386">
        <f>$G13*H$21</f>
        <v>30.552027404921699</v>
      </c>
      <c r="I13" s="386">
        <f t="shared" si="1"/>
        <v>29.164709172259506</v>
      </c>
      <c r="J13" s="386">
        <f t="shared" si="1"/>
        <v>28.087653803131989</v>
      </c>
      <c r="K13" s="386">
        <f t="shared" si="1"/>
        <v>26.744658836689037</v>
      </c>
      <c r="L13" s="386">
        <f t="shared" si="1"/>
        <v>25.973434004474274</v>
      </c>
      <c r="M13" s="386">
        <f t="shared" si="1"/>
        <v>25.760682326621922</v>
      </c>
      <c r="N13" s="215"/>
      <c r="P13" s="106">
        <f t="shared" si="2"/>
        <v>135.73113814317674</v>
      </c>
      <c r="Q13" s="130">
        <f>((M13/H13)^(1/5))-1</f>
        <v>-3.3540931669854279E-2</v>
      </c>
      <c r="R13" s="130">
        <f t="shared" si="4"/>
        <v>0.10882251973910059</v>
      </c>
      <c r="T13" s="76"/>
      <c r="V13" s="43"/>
      <c r="W13" s="424"/>
      <c r="X13" s="424"/>
      <c r="Y13" s="424"/>
      <c r="Z13" s="424"/>
      <c r="AA13" s="424"/>
      <c r="AB13" s="43"/>
      <c r="AC13" s="43"/>
    </row>
    <row r="14" spans="2:29" ht="15">
      <c r="B14" s="344" t="s">
        <v>499</v>
      </c>
      <c r="C14" s="385">
        <f>[6]HTROW!L25/1000</f>
        <v>17.100000000000001</v>
      </c>
      <c r="D14" s="385">
        <f>[6]HTROW!M25/1000</f>
        <v>10</v>
      </c>
      <c r="E14" s="385">
        <f>[6]HTROW!N25/1000</f>
        <v>9.6999999999999993</v>
      </c>
      <c r="F14" s="385">
        <f>[6]HTROW!O25/1000</f>
        <v>11.3</v>
      </c>
      <c r="G14" s="385">
        <f>[6]HTROW!P25/1000</f>
        <v>8.1999999999999993</v>
      </c>
      <c r="H14" s="386">
        <f>$G14*H$21</f>
        <v>7.9030480984340032</v>
      </c>
      <c r="I14" s="386">
        <f t="shared" si="1"/>
        <v>7.5441834451901562</v>
      </c>
      <c r="J14" s="386">
        <f t="shared" si="1"/>
        <v>7.2655760626398207</v>
      </c>
      <c r="K14" s="386">
        <f t="shared" si="1"/>
        <v>6.9181767337807596</v>
      </c>
      <c r="L14" s="386">
        <f t="shared" si="1"/>
        <v>6.7186800894854581</v>
      </c>
      <c r="M14" s="386">
        <f t="shared" si="1"/>
        <v>6.6636465324384782</v>
      </c>
      <c r="N14" s="355"/>
      <c r="P14" s="106">
        <f>SUM(I14:M14)</f>
        <v>35.110262863534672</v>
      </c>
      <c r="Q14" s="130">
        <f t="shared" si="3"/>
        <v>-3.3540931669854168E-2</v>
      </c>
      <c r="R14" s="130">
        <f t="shared" si="4"/>
        <v>2.8149673875729486E-2</v>
      </c>
      <c r="T14" s="76"/>
      <c r="V14" s="43"/>
      <c r="W14" s="424"/>
      <c r="X14" s="424"/>
      <c r="Y14" s="424"/>
      <c r="Z14" s="424"/>
      <c r="AA14" s="424"/>
      <c r="AB14" s="43"/>
      <c r="AC14" s="43"/>
    </row>
    <row r="15" spans="2:29" ht="15">
      <c r="B15" s="344"/>
      <c r="C15" s="387"/>
      <c r="D15" s="387"/>
      <c r="E15" s="387"/>
      <c r="F15" s="387"/>
      <c r="G15" s="387"/>
      <c r="H15" s="387"/>
      <c r="I15" s="387"/>
      <c r="J15" s="387"/>
      <c r="K15" s="387"/>
      <c r="L15" s="387"/>
      <c r="M15" s="387"/>
      <c r="N15" s="117"/>
      <c r="P15" s="106"/>
      <c r="Q15" s="130"/>
      <c r="R15" s="130"/>
      <c r="T15" s="76"/>
      <c r="V15" s="43"/>
      <c r="W15" s="424"/>
      <c r="X15" s="424"/>
      <c r="Y15" s="424"/>
      <c r="Z15" s="424"/>
      <c r="AA15" s="424"/>
      <c r="AB15" s="43"/>
      <c r="AC15" s="43"/>
    </row>
    <row r="16" spans="2:29" ht="15">
      <c r="B16" s="342" t="s">
        <v>500</v>
      </c>
      <c r="C16" s="388">
        <f t="shared" ref="C16:D16" si="5">SUM(C11:C14)</f>
        <v>269.3</v>
      </c>
      <c r="D16" s="388">
        <f t="shared" si="5"/>
        <v>226.29999999999998</v>
      </c>
      <c r="E16" s="388">
        <f>SUM(E11:E14)</f>
        <v>245.79999999999998</v>
      </c>
      <c r="F16" s="388">
        <f>SUM(F11:F14)</f>
        <v>262.10000000000002</v>
      </c>
      <c r="G16" s="388">
        <f>SUM(G11:G14)</f>
        <v>291.3</v>
      </c>
      <c r="H16" s="387">
        <f>SUM(H11:H14)</f>
        <v>280.75096476510066</v>
      </c>
      <c r="I16" s="387">
        <f>SUM(I11:I14)</f>
        <v>268.0025167785235</v>
      </c>
      <c r="J16" s="387">
        <f t="shared" ref="J16:L16" si="6">SUM(J11:J14)</f>
        <v>258.10515939597315</v>
      </c>
      <c r="K16" s="387">
        <f t="shared" si="6"/>
        <v>245.7640100671141</v>
      </c>
      <c r="L16" s="387">
        <f t="shared" si="6"/>
        <v>238.67701342281879</v>
      </c>
      <c r="M16" s="387">
        <f>SUM(M11:M14)</f>
        <v>236.7219798657718</v>
      </c>
      <c r="N16" s="117"/>
      <c r="P16" s="106">
        <f t="shared" si="2"/>
        <v>1247.2706795302013</v>
      </c>
      <c r="Q16" s="130">
        <f t="shared" si="3"/>
        <v>-3.3540931669854279E-2</v>
      </c>
      <c r="R16" s="130">
        <f>P16/$P$16</f>
        <v>1</v>
      </c>
      <c r="T16" s="76"/>
      <c r="V16" s="43"/>
      <c r="W16" s="424"/>
      <c r="X16" s="424"/>
      <c r="Y16" s="424"/>
      <c r="Z16" s="424"/>
      <c r="AA16" s="424"/>
      <c r="AB16" s="43"/>
      <c r="AC16" s="43"/>
    </row>
    <row r="17" spans="2:29" ht="15">
      <c r="B17" s="350"/>
      <c r="C17" s="345"/>
      <c r="D17" s="349"/>
      <c r="E17" s="349"/>
      <c r="F17" s="349"/>
      <c r="G17" s="349"/>
      <c r="H17" s="349"/>
      <c r="I17" s="349"/>
      <c r="J17" s="349"/>
      <c r="K17" s="349"/>
      <c r="L17" s="349"/>
      <c r="M17" s="349"/>
      <c r="N17" s="117"/>
      <c r="P17" s="106"/>
      <c r="Q17" s="130"/>
      <c r="R17" s="130"/>
      <c r="V17" s="43"/>
      <c r="W17" s="425"/>
      <c r="X17" s="425"/>
      <c r="Y17" s="425"/>
      <c r="Z17" s="425"/>
      <c r="AA17" s="425"/>
      <c r="AB17" s="43"/>
      <c r="AC17" s="43"/>
    </row>
    <row r="18" spans="2:29">
      <c r="B18" s="350" t="s">
        <v>501</v>
      </c>
      <c r="C18" s="356">
        <f>'HAL - aBP'!C19</f>
        <v>7907</v>
      </c>
      <c r="D18" s="356">
        <f>'HAL - aBP'!D19</f>
        <v>7406</v>
      </c>
      <c r="E18" s="356">
        <f>'HAL - aBP'!E19</f>
        <v>7457</v>
      </c>
      <c r="F18" s="356">
        <f>'HAL - aBP'!F19</f>
        <v>7464</v>
      </c>
      <c r="G18" s="356">
        <f>'HAL - aBP'!G19</f>
        <v>7152</v>
      </c>
      <c r="H18" s="356">
        <f>'HAL - aBP'!H19</f>
        <v>6893</v>
      </c>
      <c r="I18" s="356">
        <f>'HAL - aBP'!I19</f>
        <v>6580</v>
      </c>
      <c r="J18" s="356">
        <f>'HAL - aBP'!J19</f>
        <v>6337</v>
      </c>
      <c r="K18" s="356">
        <f>'HAL - aBP'!K19</f>
        <v>6034</v>
      </c>
      <c r="L18" s="356">
        <f>'HAL - aBP'!L19</f>
        <v>5860</v>
      </c>
      <c r="M18" s="356">
        <f>'HAL - aBP'!M19</f>
        <v>5812</v>
      </c>
      <c r="N18" s="117"/>
      <c r="P18" s="106">
        <f t="shared" si="2"/>
        <v>30623</v>
      </c>
      <c r="Q18" s="130">
        <f>((M18/H18)^(1/5))-1</f>
        <v>-3.3540931669854279E-2</v>
      </c>
      <c r="R18" s="130"/>
      <c r="S18" s="29"/>
      <c r="V18" s="43"/>
      <c r="W18" s="43"/>
      <c r="X18" s="43"/>
      <c r="Y18" s="43"/>
      <c r="Z18" s="43"/>
      <c r="AA18" s="43"/>
      <c r="AB18" s="43"/>
      <c r="AC18" s="43"/>
    </row>
    <row r="19" spans="2:29">
      <c r="B19" s="350" t="s">
        <v>570</v>
      </c>
      <c r="C19" s="345"/>
      <c r="D19" s="345"/>
      <c r="E19" s="352">
        <f>E16*1000/E18</f>
        <v>32.962317285771753</v>
      </c>
      <c r="F19" s="352">
        <f t="shared" ref="F19:M19" si="7">F16*1000/F18</f>
        <v>35.115219721329048</v>
      </c>
      <c r="G19" s="352">
        <f t="shared" si="7"/>
        <v>40.729865771812079</v>
      </c>
      <c r="H19" s="352">
        <f t="shared" si="7"/>
        <v>40.729865771812079</v>
      </c>
      <c r="I19" s="352">
        <f t="shared" si="7"/>
        <v>40.729865771812086</v>
      </c>
      <c r="J19" s="352">
        <f t="shared" si="7"/>
        <v>40.729865771812079</v>
      </c>
      <c r="K19" s="352">
        <f t="shared" si="7"/>
        <v>40.729865771812086</v>
      </c>
      <c r="L19" s="352">
        <f t="shared" si="7"/>
        <v>40.729865771812079</v>
      </c>
      <c r="M19" s="352">
        <f t="shared" si="7"/>
        <v>40.729865771812079</v>
      </c>
      <c r="N19" s="117"/>
      <c r="P19" s="106">
        <f t="shared" ref="P19:P31" si="8">SUM(I19:M19)</f>
        <v>203.64932885906043</v>
      </c>
      <c r="Q19" s="130">
        <f t="shared" ref="Q19:Q31" si="9">((M19/H19)^(1/5))-1</f>
        <v>0</v>
      </c>
      <c r="R19" s="130"/>
      <c r="V19" s="43"/>
      <c r="W19" s="43"/>
      <c r="X19" s="43"/>
      <c r="Y19" s="43"/>
      <c r="Z19" s="43"/>
      <c r="AA19" s="43"/>
      <c r="AB19" s="43"/>
      <c r="AC19" s="43"/>
    </row>
    <row r="20" spans="2:29">
      <c r="B20" s="350"/>
      <c r="C20" s="345"/>
      <c r="D20" s="345"/>
      <c r="E20" s="352"/>
      <c r="F20" s="352"/>
      <c r="G20" s="352"/>
      <c r="H20" s="352"/>
      <c r="I20" s="352"/>
      <c r="J20" s="352"/>
      <c r="K20" s="352"/>
      <c r="L20" s="352"/>
      <c r="M20" s="352"/>
      <c r="N20" s="117"/>
      <c r="P20" s="106"/>
      <c r="Q20" s="130"/>
      <c r="R20" s="130"/>
      <c r="V20" s="43"/>
      <c r="W20" s="43"/>
      <c r="X20" s="43"/>
      <c r="Y20" s="43"/>
      <c r="Z20" s="43"/>
      <c r="AA20" s="43"/>
      <c r="AB20" s="43"/>
      <c r="AC20" s="43"/>
    </row>
    <row r="21" spans="2:29">
      <c r="B21" s="595" t="s">
        <v>502</v>
      </c>
      <c r="C21" s="597">
        <f t="shared" ref="C21:F21" si="10">C18/$G$18</f>
        <v>1.1055648769574944</v>
      </c>
      <c r="D21" s="597">
        <f t="shared" si="10"/>
        <v>1.0355145413870246</v>
      </c>
      <c r="E21" s="597">
        <f t="shared" si="10"/>
        <v>1.0426454138702461</v>
      </c>
      <c r="F21" s="597">
        <f t="shared" si="10"/>
        <v>1.0436241610738255</v>
      </c>
      <c r="G21" s="597">
        <f>G18/$G$18</f>
        <v>1</v>
      </c>
      <c r="H21" s="597">
        <f>H18/$G$18</f>
        <v>0.96378635346756147</v>
      </c>
      <c r="I21" s="597">
        <f t="shared" ref="I21:M21" si="11">I18/$G$18</f>
        <v>0.92002237136465326</v>
      </c>
      <c r="J21" s="597">
        <f>J18/$G$18</f>
        <v>0.88604586129753915</v>
      </c>
      <c r="K21" s="597">
        <f t="shared" si="11"/>
        <v>0.84368008948545858</v>
      </c>
      <c r="L21" s="597">
        <f t="shared" si="11"/>
        <v>0.81935123042505598</v>
      </c>
      <c r="M21" s="597">
        <f t="shared" si="11"/>
        <v>0.81263982102908272</v>
      </c>
      <c r="N21" s="117"/>
      <c r="P21" s="106"/>
      <c r="Q21" s="130">
        <f t="shared" si="9"/>
        <v>-3.3540931669854279E-2</v>
      </c>
      <c r="R21" s="130"/>
      <c r="V21" s="43"/>
      <c r="W21" s="43"/>
      <c r="X21" s="43"/>
      <c r="Y21" s="43"/>
      <c r="Z21" s="43"/>
      <c r="AA21" s="43"/>
      <c r="AB21" s="43"/>
      <c r="AC21" s="43"/>
    </row>
    <row r="22" spans="2:29">
      <c r="B22" s="595"/>
      <c r="C22" s="345"/>
      <c r="D22" s="345"/>
      <c r="E22" s="345"/>
      <c r="F22" s="345"/>
      <c r="G22" s="345"/>
      <c r="H22" s="345"/>
      <c r="I22" s="345"/>
      <c r="J22" s="345"/>
      <c r="K22" s="345"/>
      <c r="L22" s="345"/>
      <c r="M22" s="345"/>
      <c r="N22" s="117"/>
      <c r="P22" s="106"/>
      <c r="Q22" s="130"/>
      <c r="R22" s="130"/>
      <c r="V22" s="43"/>
      <c r="W22" s="43"/>
      <c r="X22" s="43"/>
      <c r="Y22" s="43"/>
      <c r="Z22" s="43"/>
      <c r="AA22" s="43"/>
      <c r="AB22" s="43"/>
      <c r="AC22" s="43"/>
    </row>
    <row r="23" spans="2:29">
      <c r="B23" s="595" t="s">
        <v>623</v>
      </c>
      <c r="C23" s="415"/>
      <c r="D23" s="415"/>
      <c r="E23" s="596">
        <f>E13/E11</f>
        <v>0.12321792260692464</v>
      </c>
      <c r="F23" s="596">
        <f t="shared" ref="F23:L23" si="12">F13/F11</f>
        <v>0.11617858857417186</v>
      </c>
      <c r="G23" s="596">
        <f t="shared" si="12"/>
        <v>0.1373483535528596</v>
      </c>
      <c r="H23" s="596">
        <f t="shared" si="12"/>
        <v>0.13734835355285963</v>
      </c>
      <c r="I23" s="596">
        <f t="shared" si="12"/>
        <v>0.1373483535528596</v>
      </c>
      <c r="J23" s="596">
        <f t="shared" si="12"/>
        <v>0.1373483535528596</v>
      </c>
      <c r="K23" s="596">
        <f t="shared" si="12"/>
        <v>0.13734835355285963</v>
      </c>
      <c r="L23" s="596">
        <f t="shared" si="12"/>
        <v>0.13734835355285963</v>
      </c>
      <c r="M23" s="596">
        <f>M13/M11</f>
        <v>0.13734835355285963</v>
      </c>
      <c r="N23" s="117"/>
      <c r="P23" s="106"/>
      <c r="Q23" s="130"/>
      <c r="R23" s="130"/>
      <c r="V23" s="43"/>
      <c r="W23" s="43"/>
      <c r="X23" s="43"/>
      <c r="Y23" s="43"/>
      <c r="Z23" s="43"/>
      <c r="AA23" s="43"/>
      <c r="AB23" s="43"/>
      <c r="AC23" s="43"/>
    </row>
    <row r="24" spans="2:29">
      <c r="B24" s="595" t="s">
        <v>571</v>
      </c>
      <c r="C24" s="415"/>
      <c r="D24" s="415"/>
      <c r="E24" s="596">
        <f>E12/E11</f>
        <v>7.8920570264765788E-2</v>
      </c>
      <c r="F24" s="596">
        <f t="shared" ref="F24:L24" si="13">F12/F11</f>
        <v>8.7854056649063844E-2</v>
      </c>
      <c r="G24" s="596">
        <f t="shared" si="13"/>
        <v>8.9254766031195837E-2</v>
      </c>
      <c r="H24" s="596">
        <f t="shared" si="13"/>
        <v>8.9254766031195837E-2</v>
      </c>
      <c r="I24" s="596">
        <f t="shared" si="13"/>
        <v>8.9254766031195851E-2</v>
      </c>
      <c r="J24" s="596">
        <f t="shared" si="13"/>
        <v>8.9254766031195851E-2</v>
      </c>
      <c r="K24" s="596">
        <f t="shared" si="13"/>
        <v>8.9254766031195837E-2</v>
      </c>
      <c r="L24" s="596">
        <f t="shared" si="13"/>
        <v>8.9254766031195851E-2</v>
      </c>
      <c r="M24" s="596">
        <f>M12/M11</f>
        <v>8.9254766031195837E-2</v>
      </c>
      <c r="N24" s="117"/>
      <c r="P24" s="106"/>
      <c r="Q24" s="130"/>
      <c r="R24" s="130"/>
    </row>
    <row r="25" spans="2:29">
      <c r="B25" s="595" t="s">
        <v>572</v>
      </c>
      <c r="C25" s="415"/>
      <c r="D25" s="415"/>
      <c r="E25" s="596">
        <f>E14/E11</f>
        <v>4.9389002036659871E-2</v>
      </c>
      <c r="F25" s="596">
        <f t="shared" ref="F25:L25" si="14">F14/F11</f>
        <v>5.4248679788766206E-2</v>
      </c>
      <c r="G25" s="596">
        <f t="shared" si="14"/>
        <v>3.5528596187175042E-2</v>
      </c>
      <c r="H25" s="596">
        <f t="shared" si="14"/>
        <v>3.5528596187175035E-2</v>
      </c>
      <c r="I25" s="596">
        <f t="shared" si="14"/>
        <v>3.5528596187175042E-2</v>
      </c>
      <c r="J25" s="596">
        <f t="shared" si="14"/>
        <v>3.5528596187175042E-2</v>
      </c>
      <c r="K25" s="596">
        <f t="shared" si="14"/>
        <v>3.5528596187175035E-2</v>
      </c>
      <c r="L25" s="596">
        <f t="shared" si="14"/>
        <v>3.5528596187175042E-2</v>
      </c>
      <c r="M25" s="596">
        <f>M14/M11</f>
        <v>3.5528596187175042E-2</v>
      </c>
      <c r="N25" s="117"/>
      <c r="P25" s="106"/>
      <c r="Q25" s="130"/>
      <c r="R25" s="130"/>
    </row>
    <row r="26" spans="2:29">
      <c r="B26" s="350"/>
      <c r="C26" s="423" t="s">
        <v>627</v>
      </c>
      <c r="D26" s="345"/>
      <c r="E26" s="358"/>
      <c r="F26" s="358"/>
      <c r="G26" s="358"/>
      <c r="H26" s="358"/>
      <c r="I26" s="358"/>
      <c r="J26" s="358"/>
      <c r="K26" s="358"/>
      <c r="L26" s="358"/>
      <c r="M26" s="358"/>
      <c r="N26" s="117"/>
      <c r="P26" s="106"/>
      <c r="Q26" s="130"/>
      <c r="R26" s="130"/>
    </row>
    <row r="27" spans="2:29">
      <c r="B27" s="412" t="s">
        <v>497</v>
      </c>
      <c r="C27" s="411">
        <f>Wages!C32</f>
        <v>0.14499999999999999</v>
      </c>
      <c r="D27" s="413"/>
      <c r="E27" s="414">
        <f>E11*(1-$C$27)</f>
        <v>167.922</v>
      </c>
      <c r="F27" s="414">
        <f t="shared" ref="F27:G27" si="15">F11*(1-$C$27)</f>
        <v>178.09649999999999</v>
      </c>
      <c r="G27" s="414">
        <f t="shared" si="15"/>
        <v>197.334</v>
      </c>
      <c r="H27" s="414">
        <f t="shared" ref="H27:M27" si="16">H11*(1-$C$27)</f>
        <v>190.18781627516779</v>
      </c>
      <c r="I27" s="414">
        <f t="shared" si="16"/>
        <v>181.55169463087248</v>
      </c>
      <c r="J27" s="414">
        <f t="shared" si="16"/>
        <v>174.8469739932886</v>
      </c>
      <c r="K27" s="414">
        <f t="shared" si="16"/>
        <v>166.4867667785235</v>
      </c>
      <c r="L27" s="414">
        <f t="shared" si="16"/>
        <v>161.68585570469799</v>
      </c>
      <c r="M27" s="414">
        <f t="shared" si="16"/>
        <v>160.361466442953</v>
      </c>
      <c r="N27" s="117"/>
      <c r="P27" s="106">
        <f t="shared" si="8"/>
        <v>844.93275755033562</v>
      </c>
      <c r="Q27" s="130">
        <f t="shared" si="9"/>
        <v>-3.3540931669854279E-2</v>
      </c>
      <c r="R27" s="130"/>
    </row>
    <row r="28" spans="2:29">
      <c r="B28" s="412" t="s">
        <v>27</v>
      </c>
      <c r="C28" s="411">
        <v>0.15</v>
      </c>
      <c r="D28" s="413"/>
      <c r="E28" s="414">
        <f>E27*E23*$C$28</f>
        <v>3.1036499999999996</v>
      </c>
      <c r="F28" s="414">
        <f t="shared" ref="F28:M28" si="17">F27*F23*$C$28</f>
        <v>3.1036499999999996</v>
      </c>
      <c r="G28" s="414">
        <f t="shared" si="17"/>
        <v>4.0655249999999992</v>
      </c>
      <c r="H28" s="414">
        <f t="shared" si="17"/>
        <v>3.9182975146812078</v>
      </c>
      <c r="I28" s="414">
        <f t="shared" si="17"/>
        <v>3.7403739513422809</v>
      </c>
      <c r="J28" s="414">
        <f t="shared" si="17"/>
        <v>3.6022416002516775</v>
      </c>
      <c r="K28" s="414">
        <f t="shared" si="17"/>
        <v>3.4300024958053692</v>
      </c>
      <c r="L28" s="414">
        <f t="shared" si="17"/>
        <v>3.3310929110738257</v>
      </c>
      <c r="M28" s="414">
        <f t="shared" si="17"/>
        <v>3.3038075083892617</v>
      </c>
      <c r="N28" s="117"/>
      <c r="P28" s="106">
        <f t="shared" si="8"/>
        <v>17.407518466862413</v>
      </c>
      <c r="Q28" s="130">
        <f t="shared" si="9"/>
        <v>-3.3540931669854168E-2</v>
      </c>
      <c r="R28" s="130"/>
    </row>
    <row r="29" spans="2:29">
      <c r="B29" s="412" t="s">
        <v>498</v>
      </c>
      <c r="C29" s="413"/>
      <c r="D29" s="413"/>
      <c r="E29" s="414">
        <f>E27*E24</f>
        <v>13.252500000000001</v>
      </c>
      <c r="F29" s="414">
        <f t="shared" ref="F29:M29" si="18">F27*F24</f>
        <v>15.646499999999998</v>
      </c>
      <c r="G29" s="414">
        <f t="shared" si="18"/>
        <v>17.613</v>
      </c>
      <c r="H29" s="414">
        <f t="shared" si="18"/>
        <v>16.97516904362416</v>
      </c>
      <c r="I29" s="414">
        <f t="shared" si="18"/>
        <v>16.204354026845639</v>
      </c>
      <c r="J29" s="414">
        <f t="shared" si="18"/>
        <v>15.60592575503356</v>
      </c>
      <c r="K29" s="414">
        <f t="shared" si="18"/>
        <v>14.859737416107382</v>
      </c>
      <c r="L29" s="414">
        <f t="shared" si="18"/>
        <v>14.431233221476512</v>
      </c>
      <c r="M29" s="414">
        <f t="shared" si="18"/>
        <v>14.313025167785232</v>
      </c>
      <c r="N29" s="117"/>
      <c r="P29" s="106">
        <f t="shared" si="8"/>
        <v>75.414275587248326</v>
      </c>
      <c r="Q29" s="130">
        <f t="shared" si="9"/>
        <v>-3.3540931669854279E-2</v>
      </c>
      <c r="R29" s="130"/>
    </row>
    <row r="30" spans="2:29">
      <c r="B30" s="412" t="s">
        <v>573</v>
      </c>
      <c r="C30" s="413"/>
      <c r="D30" s="413"/>
      <c r="E30" s="414">
        <f>E27*E25</f>
        <v>8.2934999999999981</v>
      </c>
      <c r="F30" s="414">
        <f t="shared" ref="F30:M30" si="19">F27*F25</f>
        <v>9.6615000000000002</v>
      </c>
      <c r="G30" s="414">
        <f t="shared" si="19"/>
        <v>7.0110000000000001</v>
      </c>
      <c r="H30" s="414">
        <f t="shared" si="19"/>
        <v>6.7571061241610728</v>
      </c>
      <c r="I30" s="414">
        <f t="shared" si="19"/>
        <v>6.4502768456375836</v>
      </c>
      <c r="J30" s="414">
        <f t="shared" si="19"/>
        <v>6.2120675335570468</v>
      </c>
      <c r="K30" s="414">
        <f t="shared" si="19"/>
        <v>5.9150411073825495</v>
      </c>
      <c r="L30" s="414">
        <f t="shared" si="19"/>
        <v>5.7444714765100668</v>
      </c>
      <c r="M30" s="414">
        <f t="shared" si="19"/>
        <v>5.6974177852348982</v>
      </c>
      <c r="N30" s="117"/>
      <c r="P30" s="106">
        <f>SUM(I30:M30)</f>
        <v>30.019274748322143</v>
      </c>
      <c r="Q30" s="130">
        <f t="shared" si="9"/>
        <v>-3.3540931669854279E-2</v>
      </c>
      <c r="R30" s="130"/>
    </row>
    <row r="31" spans="2:29">
      <c r="B31" s="412" t="s">
        <v>574</v>
      </c>
      <c r="C31" s="413"/>
      <c r="D31" s="413"/>
      <c r="E31" s="414">
        <f>SUM(E27:E30)</f>
        <v>192.57164999999998</v>
      </c>
      <c r="F31" s="414">
        <f t="shared" ref="F31:L31" si="20">SUM(F27:F30)</f>
        <v>206.50814999999997</v>
      </c>
      <c r="G31" s="414">
        <f t="shared" si="20"/>
        <v>226.02352500000001</v>
      </c>
      <c r="H31" s="414">
        <f t="shared" si="20"/>
        <v>217.83838895763424</v>
      </c>
      <c r="I31" s="414">
        <f t="shared" si="20"/>
        <v>207.94669945469798</v>
      </c>
      <c r="J31" s="414">
        <f t="shared" si="20"/>
        <v>200.26720888213089</v>
      </c>
      <c r="K31" s="414">
        <f t="shared" si="20"/>
        <v>190.69154779781883</v>
      </c>
      <c r="L31" s="414">
        <f t="shared" si="20"/>
        <v>185.19265331375837</v>
      </c>
      <c r="M31" s="414">
        <f>SUM(M27:M30)</f>
        <v>183.67571690436242</v>
      </c>
      <c r="N31" s="117"/>
      <c r="P31" s="106">
        <f t="shared" si="8"/>
        <v>967.77382635276842</v>
      </c>
      <c r="Q31" s="130">
        <f t="shared" si="9"/>
        <v>-3.3540931669854279E-2</v>
      </c>
      <c r="R31" s="130"/>
    </row>
    <row r="32" spans="2:29">
      <c r="B32" s="383"/>
      <c r="C32" s="345"/>
      <c r="D32" s="345"/>
      <c r="E32" s="356"/>
      <c r="F32" s="356"/>
      <c r="G32" s="356"/>
      <c r="H32" s="356"/>
      <c r="I32" s="356"/>
      <c r="J32" s="356"/>
      <c r="K32" s="356"/>
      <c r="L32" s="356"/>
      <c r="M32" s="356"/>
      <c r="N32" s="117"/>
      <c r="P32" s="106"/>
      <c r="Q32" s="130"/>
      <c r="R32" s="130"/>
    </row>
    <row r="33" spans="2:21">
      <c r="B33" s="350" t="s">
        <v>262</v>
      </c>
      <c r="C33" s="345"/>
      <c r="D33" s="345"/>
      <c r="E33" s="345">
        <f>E16-E31</f>
        <v>53.228350000000006</v>
      </c>
      <c r="F33" s="345">
        <f t="shared" ref="F33:M33" si="21">F16-F31</f>
        <v>55.591850000000051</v>
      </c>
      <c r="G33" s="345">
        <f t="shared" si="21"/>
        <v>65.276475000000005</v>
      </c>
      <c r="H33" s="345">
        <f t="shared" si="21"/>
        <v>62.912575807466425</v>
      </c>
      <c r="I33" s="345">
        <f t="shared" si="21"/>
        <v>60.055817323825522</v>
      </c>
      <c r="J33" s="345">
        <f t="shared" si="21"/>
        <v>57.837950513842259</v>
      </c>
      <c r="K33" s="345">
        <f t="shared" si="21"/>
        <v>55.072462269295272</v>
      </c>
      <c r="L33" s="345">
        <f t="shared" si="21"/>
        <v>53.484360109060418</v>
      </c>
      <c r="M33" s="345">
        <f t="shared" si="21"/>
        <v>53.046262961409383</v>
      </c>
      <c r="N33" s="117"/>
      <c r="P33" s="106">
        <f t="shared" ref="P33" si="22">SUM(I33:M33)</f>
        <v>279.49685317743285</v>
      </c>
      <c r="Q33" s="130">
        <f t="shared" ref="Q33" si="23">((M33/H33)^(1/5))-1</f>
        <v>-3.3540931669854168E-2</v>
      </c>
      <c r="R33" s="130"/>
    </row>
    <row r="34" spans="2:21">
      <c r="B34" s="350" t="s">
        <v>449</v>
      </c>
      <c r="C34" s="345"/>
      <c r="D34" s="345"/>
      <c r="E34" s="358">
        <f>E33/E16</f>
        <v>0.21655146460537025</v>
      </c>
      <c r="F34" s="358">
        <f t="shared" ref="F34:M34" si="24">F33/F16</f>
        <v>0.21210167874856942</v>
      </c>
      <c r="G34" s="358">
        <f t="shared" si="24"/>
        <v>0.22408676622039136</v>
      </c>
      <c r="H34" s="358">
        <f t="shared" si="24"/>
        <v>0.22408676622039128</v>
      </c>
      <c r="I34" s="358">
        <f t="shared" si="24"/>
        <v>0.22408676622039142</v>
      </c>
      <c r="J34" s="358">
        <f t="shared" si="24"/>
        <v>0.22408676622039125</v>
      </c>
      <c r="K34" s="358">
        <f t="shared" si="24"/>
        <v>0.22408676622039123</v>
      </c>
      <c r="L34" s="358">
        <f t="shared" si="24"/>
        <v>0.22408676622039142</v>
      </c>
      <c r="M34" s="358">
        <f t="shared" si="24"/>
        <v>0.22408676622039131</v>
      </c>
      <c r="N34" s="117"/>
      <c r="P34" s="128"/>
      <c r="Q34" s="129"/>
      <c r="R34" s="130"/>
    </row>
    <row r="35" spans="2:21">
      <c r="B35" s="350"/>
      <c r="C35" s="345"/>
      <c r="D35" s="345"/>
      <c r="E35" s="384"/>
      <c r="F35" s="345"/>
      <c r="G35" s="345"/>
      <c r="H35" s="345"/>
      <c r="I35" s="345"/>
      <c r="J35" s="345"/>
      <c r="K35" s="345"/>
      <c r="L35" s="345"/>
      <c r="M35" s="345"/>
      <c r="N35" s="117"/>
      <c r="P35" s="128"/>
      <c r="Q35" s="129"/>
      <c r="R35" s="130"/>
    </row>
    <row r="36" spans="2:21">
      <c r="B36" s="344"/>
      <c r="C36" s="345"/>
      <c r="D36" s="345"/>
      <c r="E36" s="384"/>
      <c r="F36" s="345"/>
      <c r="G36" s="345"/>
      <c r="H36" s="345"/>
      <c r="I36" s="345"/>
      <c r="J36" s="345"/>
      <c r="K36" s="345"/>
      <c r="L36" s="345"/>
      <c r="M36" s="345"/>
      <c r="N36" s="117"/>
    </row>
    <row r="37" spans="2:21">
      <c r="B37" s="329" t="s">
        <v>445</v>
      </c>
      <c r="C37" s="329"/>
      <c r="D37" s="329"/>
      <c r="E37" s="329"/>
      <c r="F37" s="329"/>
      <c r="G37" s="331"/>
      <c r="H37" s="331"/>
      <c r="I37" s="331"/>
      <c r="J37" s="331"/>
      <c r="K37" s="331"/>
      <c r="L37" s="331"/>
      <c r="M37" s="331"/>
      <c r="N37" s="331"/>
      <c r="O37" s="331"/>
      <c r="P37" s="331"/>
      <c r="Q37" s="331"/>
      <c r="R37" s="331"/>
      <c r="S37" s="331"/>
      <c r="T37" s="331"/>
      <c r="U37" s="331"/>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B2:V87"/>
  <sheetViews>
    <sheetView showGridLines="0" topLeftCell="A16" zoomScale="70" zoomScaleNormal="70" workbookViewId="0">
      <selection activeCell="M76" sqref="M76"/>
    </sheetView>
  </sheetViews>
  <sheetFormatPr defaultRowHeight="12.75"/>
  <cols>
    <col min="1" max="1" width="9.140625" style="19"/>
    <col min="2" max="2" width="28.7109375" style="19" customWidth="1"/>
    <col min="3" max="3" width="10.28515625" style="19" bestFit="1" customWidth="1"/>
    <col min="4" max="4" width="13.5703125" style="19" bestFit="1" customWidth="1"/>
    <col min="5" max="6" width="9.5703125" style="19" bestFit="1" customWidth="1"/>
    <col min="7" max="7" width="9.42578125" style="19" bestFit="1" customWidth="1"/>
    <col min="8" max="8" width="9.5703125" style="19" bestFit="1" customWidth="1"/>
    <col min="9" max="9" width="12.85546875" style="19" bestFit="1" customWidth="1"/>
    <col min="10" max="10" width="9.5703125" style="19" customWidth="1"/>
    <col min="11" max="11" width="27" style="19" customWidth="1"/>
    <col min="12" max="12" width="14" style="19" bestFit="1" customWidth="1"/>
    <col min="13" max="14" width="9.5703125" style="19" bestFit="1" customWidth="1"/>
    <col min="15" max="16384" width="9.140625" style="19"/>
  </cols>
  <sheetData>
    <row r="2" spans="2:22">
      <c r="B2" s="53" t="s">
        <v>792</v>
      </c>
    </row>
    <row r="4" spans="2:22">
      <c r="B4" s="84" t="s">
        <v>640</v>
      </c>
      <c r="C4" s="84"/>
      <c r="D4" s="84"/>
      <c r="E4" s="84"/>
      <c r="F4" s="84"/>
      <c r="G4" s="86"/>
      <c r="H4" s="86"/>
      <c r="I4" s="86"/>
      <c r="J4" s="86"/>
      <c r="K4" s="86"/>
      <c r="L4" s="86"/>
      <c r="M4" s="86"/>
      <c r="N4" s="86"/>
      <c r="O4" s="86"/>
      <c r="P4" s="86"/>
      <c r="Q4" s="86"/>
      <c r="R4" s="86"/>
      <c r="S4" s="86"/>
      <c r="T4" s="86"/>
      <c r="U4" s="86"/>
      <c r="V4" s="86"/>
    </row>
    <row r="6" spans="2:22">
      <c r="B6" s="426" t="s">
        <v>629</v>
      </c>
      <c r="C6" s="427"/>
      <c r="D6" s="427"/>
      <c r="E6" s="427"/>
      <c r="F6" s="427"/>
      <c r="G6" s="427"/>
    </row>
    <row r="7" spans="2:22">
      <c r="B7" s="426"/>
      <c r="C7" s="427"/>
      <c r="D7" s="427"/>
      <c r="E7" s="427"/>
      <c r="F7" s="427"/>
      <c r="G7" s="427"/>
    </row>
    <row r="8" spans="2:22">
      <c r="B8" s="426" t="s">
        <v>630</v>
      </c>
      <c r="C8" s="427"/>
      <c r="D8" s="427"/>
      <c r="E8" s="427"/>
      <c r="F8" s="427"/>
      <c r="G8" s="427"/>
      <c r="K8" s="426" t="s">
        <v>643</v>
      </c>
      <c r="L8" s="427"/>
      <c r="M8" s="427"/>
      <c r="N8" s="427"/>
      <c r="O8" s="427"/>
      <c r="P8" s="427"/>
    </row>
    <row r="9" spans="2:22">
      <c r="B9" s="427"/>
      <c r="C9" s="676"/>
      <c r="D9" s="676"/>
      <c r="E9" s="676"/>
      <c r="F9" s="676"/>
      <c r="G9" s="676"/>
      <c r="K9" s="427"/>
      <c r="L9" s="676"/>
      <c r="M9" s="676"/>
      <c r="N9" s="676"/>
      <c r="O9" s="676"/>
      <c r="P9" s="676"/>
    </row>
    <row r="10" spans="2:22">
      <c r="B10" s="427"/>
      <c r="C10" s="426" t="s">
        <v>32</v>
      </c>
      <c r="D10" s="426" t="s">
        <v>33</v>
      </c>
      <c r="E10" s="426" t="s">
        <v>34</v>
      </c>
      <c r="F10" s="426" t="s">
        <v>35</v>
      </c>
      <c r="G10" s="426" t="s">
        <v>36</v>
      </c>
      <c r="I10" s="18" t="s">
        <v>31</v>
      </c>
      <c r="K10" s="427"/>
      <c r="L10" s="426" t="s">
        <v>32</v>
      </c>
      <c r="M10" s="426" t="s">
        <v>33</v>
      </c>
      <c r="N10" s="426" t="s">
        <v>34</v>
      </c>
      <c r="O10" s="426" t="s">
        <v>35</v>
      </c>
      <c r="P10" s="426" t="s">
        <v>36</v>
      </c>
    </row>
    <row r="11" spans="2:22">
      <c r="B11" s="428" t="s">
        <v>631</v>
      </c>
      <c r="C11" s="604" t="s">
        <v>808</v>
      </c>
      <c r="D11" s="604" t="s">
        <v>808</v>
      </c>
      <c r="E11" s="604" t="s">
        <v>808</v>
      </c>
      <c r="F11" s="604" t="s">
        <v>808</v>
      </c>
      <c r="G11" s="604" t="s">
        <v>808</v>
      </c>
      <c r="H11" s="40"/>
      <c r="I11" s="604" t="s">
        <v>808</v>
      </c>
      <c r="K11" s="428" t="s">
        <v>631</v>
      </c>
      <c r="L11" s="599" t="s">
        <v>808</v>
      </c>
      <c r="M11" s="599" t="s">
        <v>808</v>
      </c>
      <c r="N11" s="599" t="s">
        <v>808</v>
      </c>
      <c r="O11" s="599" t="s">
        <v>808</v>
      </c>
      <c r="P11" s="599" t="s">
        <v>808</v>
      </c>
    </row>
    <row r="12" spans="2:22">
      <c r="B12" s="428" t="s">
        <v>27</v>
      </c>
      <c r="C12" s="604" t="s">
        <v>808</v>
      </c>
      <c r="D12" s="604" t="s">
        <v>808</v>
      </c>
      <c r="E12" s="604" t="s">
        <v>808</v>
      </c>
      <c r="F12" s="604" t="s">
        <v>808</v>
      </c>
      <c r="G12" s="604" t="s">
        <v>808</v>
      </c>
      <c r="H12" s="40"/>
      <c r="I12" s="604" t="s">
        <v>808</v>
      </c>
      <c r="K12" s="428" t="s">
        <v>27</v>
      </c>
      <c r="L12" s="599" t="s">
        <v>808</v>
      </c>
      <c r="M12" s="599" t="s">
        <v>808</v>
      </c>
      <c r="N12" s="599" t="s">
        <v>808</v>
      </c>
      <c r="O12" s="599" t="s">
        <v>808</v>
      </c>
      <c r="P12" s="599" t="s">
        <v>808</v>
      </c>
    </row>
    <row r="13" spans="2:22">
      <c r="B13" s="428" t="s">
        <v>632</v>
      </c>
      <c r="C13" s="604" t="s">
        <v>808</v>
      </c>
      <c r="D13" s="604" t="s">
        <v>808</v>
      </c>
      <c r="E13" s="604" t="s">
        <v>808</v>
      </c>
      <c r="F13" s="604" t="s">
        <v>808</v>
      </c>
      <c r="G13" s="604" t="s">
        <v>808</v>
      </c>
      <c r="H13" s="40"/>
      <c r="I13" s="604" t="s">
        <v>808</v>
      </c>
      <c r="K13" s="428" t="s">
        <v>632</v>
      </c>
      <c r="L13" s="599" t="s">
        <v>808</v>
      </c>
      <c r="M13" s="599" t="s">
        <v>808</v>
      </c>
      <c r="N13" s="599" t="s">
        <v>808</v>
      </c>
      <c r="O13" s="599" t="s">
        <v>808</v>
      </c>
      <c r="P13" s="599" t="s">
        <v>808</v>
      </c>
    </row>
    <row r="14" spans="2:22">
      <c r="B14" s="428" t="s">
        <v>633</v>
      </c>
      <c r="C14" s="604" t="s">
        <v>808</v>
      </c>
      <c r="D14" s="604" t="s">
        <v>808</v>
      </c>
      <c r="E14" s="604" t="s">
        <v>808</v>
      </c>
      <c r="F14" s="604" t="s">
        <v>808</v>
      </c>
      <c r="G14" s="604" t="s">
        <v>808</v>
      </c>
      <c r="H14" s="40"/>
      <c r="I14" s="604" t="s">
        <v>808</v>
      </c>
      <c r="K14" s="428" t="s">
        <v>633</v>
      </c>
      <c r="L14" s="599" t="s">
        <v>808</v>
      </c>
      <c r="M14" s="599" t="s">
        <v>808</v>
      </c>
      <c r="N14" s="599" t="s">
        <v>808</v>
      </c>
      <c r="O14" s="599" t="s">
        <v>808</v>
      </c>
      <c r="P14" s="599" t="s">
        <v>808</v>
      </c>
    </row>
    <row r="15" spans="2:22">
      <c r="B15" s="429" t="s">
        <v>634</v>
      </c>
      <c r="C15" s="602" t="s">
        <v>808</v>
      </c>
      <c r="D15" s="602" t="s">
        <v>808</v>
      </c>
      <c r="E15" s="602" t="s">
        <v>808</v>
      </c>
      <c r="F15" s="602" t="s">
        <v>808</v>
      </c>
      <c r="G15" s="602" t="s">
        <v>808</v>
      </c>
      <c r="H15" s="40"/>
      <c r="I15" s="602" t="s">
        <v>808</v>
      </c>
      <c r="K15" s="429" t="s">
        <v>634</v>
      </c>
      <c r="L15" s="600" t="s">
        <v>808</v>
      </c>
      <c r="M15" s="600" t="s">
        <v>808</v>
      </c>
      <c r="N15" s="600" t="s">
        <v>808</v>
      </c>
      <c r="O15" s="600" t="s">
        <v>808</v>
      </c>
      <c r="P15" s="600" t="s">
        <v>808</v>
      </c>
    </row>
    <row r="16" spans="2:22">
      <c r="B16" s="428"/>
      <c r="C16" s="428"/>
      <c r="D16" s="428"/>
      <c r="E16" s="428"/>
      <c r="F16" s="428"/>
      <c r="G16" s="428"/>
    </row>
    <row r="17" spans="2:16">
      <c r="B17" s="428"/>
      <c r="C17" s="428"/>
      <c r="D17" s="428"/>
      <c r="E17" s="428"/>
      <c r="F17" s="428"/>
      <c r="G17" s="428"/>
    </row>
    <row r="18" spans="2:16">
      <c r="B18" s="426" t="s">
        <v>635</v>
      </c>
      <c r="C18" s="427"/>
      <c r="D18" s="427"/>
      <c r="E18" s="427"/>
      <c r="F18" s="427"/>
      <c r="G18" s="427"/>
      <c r="K18" s="426" t="s">
        <v>641</v>
      </c>
      <c r="L18" s="427"/>
      <c r="M18" s="427"/>
      <c r="N18" s="427"/>
      <c r="O18" s="427"/>
      <c r="P18" s="427"/>
    </row>
    <row r="19" spans="2:16">
      <c r="B19" s="426"/>
      <c r="C19" s="427"/>
      <c r="D19" s="427"/>
      <c r="E19" s="427"/>
      <c r="F19" s="427"/>
      <c r="G19" s="427"/>
      <c r="K19" s="426"/>
      <c r="L19" s="427"/>
      <c r="M19" s="427"/>
      <c r="N19" s="427"/>
      <c r="O19" s="427"/>
      <c r="P19" s="427"/>
    </row>
    <row r="20" spans="2:16">
      <c r="B20" s="427"/>
      <c r="C20" s="426" t="s">
        <v>32</v>
      </c>
      <c r="D20" s="426" t="s">
        <v>33</v>
      </c>
      <c r="E20" s="426" t="s">
        <v>34</v>
      </c>
      <c r="F20" s="426" t="s">
        <v>35</v>
      </c>
      <c r="G20" s="426" t="s">
        <v>36</v>
      </c>
      <c r="I20" s="18" t="s">
        <v>31</v>
      </c>
      <c r="K20" s="427"/>
      <c r="L20" s="426" t="s">
        <v>32</v>
      </c>
      <c r="M20" s="426" t="s">
        <v>33</v>
      </c>
      <c r="N20" s="426" t="s">
        <v>34</v>
      </c>
      <c r="O20" s="426" t="s">
        <v>35</v>
      </c>
      <c r="P20" s="426" t="s">
        <v>36</v>
      </c>
    </row>
    <row r="21" spans="2:16">
      <c r="B21" s="427" t="s">
        <v>253</v>
      </c>
      <c r="C21" s="604" t="s">
        <v>808</v>
      </c>
      <c r="D21" s="604" t="s">
        <v>808</v>
      </c>
      <c r="E21" s="604" t="s">
        <v>808</v>
      </c>
      <c r="F21" s="604" t="s">
        <v>808</v>
      </c>
      <c r="G21" s="604" t="s">
        <v>808</v>
      </c>
      <c r="H21" s="40"/>
      <c r="I21" s="604" t="s">
        <v>808</v>
      </c>
      <c r="K21" s="427" t="s">
        <v>253</v>
      </c>
      <c r="L21" s="599" t="s">
        <v>808</v>
      </c>
      <c r="M21" s="599" t="s">
        <v>808</v>
      </c>
      <c r="N21" s="599" t="s">
        <v>808</v>
      </c>
      <c r="O21" s="599" t="s">
        <v>808</v>
      </c>
      <c r="P21" s="599" t="s">
        <v>808</v>
      </c>
    </row>
    <row r="22" spans="2:16">
      <c r="B22" s="427" t="s">
        <v>254</v>
      </c>
      <c r="C22" s="604" t="s">
        <v>808</v>
      </c>
      <c r="D22" s="604" t="s">
        <v>808</v>
      </c>
      <c r="E22" s="604" t="s">
        <v>808</v>
      </c>
      <c r="F22" s="604" t="s">
        <v>808</v>
      </c>
      <c r="G22" s="604" t="s">
        <v>808</v>
      </c>
      <c r="H22" s="40"/>
      <c r="I22" s="604" t="s">
        <v>808</v>
      </c>
      <c r="K22" s="427" t="s">
        <v>254</v>
      </c>
      <c r="L22" s="599" t="s">
        <v>808</v>
      </c>
      <c r="M22" s="599" t="s">
        <v>808</v>
      </c>
      <c r="N22" s="599" t="s">
        <v>808</v>
      </c>
      <c r="O22" s="599" t="s">
        <v>808</v>
      </c>
      <c r="P22" s="599" t="s">
        <v>808</v>
      </c>
    </row>
    <row r="23" spans="2:16">
      <c r="B23" s="427" t="s">
        <v>255</v>
      </c>
      <c r="C23" s="604" t="s">
        <v>808</v>
      </c>
      <c r="D23" s="604" t="s">
        <v>808</v>
      </c>
      <c r="E23" s="604" t="s">
        <v>808</v>
      </c>
      <c r="F23" s="604" t="s">
        <v>808</v>
      </c>
      <c r="G23" s="604" t="s">
        <v>808</v>
      </c>
      <c r="H23" s="40"/>
      <c r="I23" s="604" t="s">
        <v>808</v>
      </c>
      <c r="K23" s="427" t="s">
        <v>255</v>
      </c>
      <c r="L23" s="599" t="s">
        <v>808</v>
      </c>
      <c r="M23" s="599" t="s">
        <v>808</v>
      </c>
      <c r="N23" s="599" t="s">
        <v>808</v>
      </c>
      <c r="O23" s="599" t="s">
        <v>808</v>
      </c>
      <c r="P23" s="599" t="s">
        <v>808</v>
      </c>
    </row>
    <row r="24" spans="2:16">
      <c r="B24" s="427" t="s">
        <v>251</v>
      </c>
      <c r="C24" s="604" t="s">
        <v>808</v>
      </c>
      <c r="D24" s="604" t="s">
        <v>808</v>
      </c>
      <c r="E24" s="604" t="s">
        <v>808</v>
      </c>
      <c r="F24" s="604" t="s">
        <v>808</v>
      </c>
      <c r="G24" s="604" t="s">
        <v>808</v>
      </c>
      <c r="H24" s="40"/>
      <c r="I24" s="604" t="s">
        <v>808</v>
      </c>
      <c r="K24" s="427" t="s">
        <v>251</v>
      </c>
      <c r="L24" s="599" t="s">
        <v>808</v>
      </c>
      <c r="M24" s="599" t="s">
        <v>808</v>
      </c>
      <c r="N24" s="599" t="s">
        <v>808</v>
      </c>
      <c r="O24" s="599" t="s">
        <v>808</v>
      </c>
      <c r="P24" s="599" t="s">
        <v>808</v>
      </c>
    </row>
    <row r="25" spans="2:16">
      <c r="B25" s="427" t="s">
        <v>24</v>
      </c>
      <c r="C25" s="604" t="s">
        <v>808</v>
      </c>
      <c r="D25" s="604" t="s">
        <v>808</v>
      </c>
      <c r="E25" s="604" t="s">
        <v>808</v>
      </c>
      <c r="F25" s="604" t="s">
        <v>808</v>
      </c>
      <c r="G25" s="604" t="s">
        <v>808</v>
      </c>
      <c r="H25" s="40"/>
      <c r="I25" s="604" t="s">
        <v>808</v>
      </c>
      <c r="K25" s="427" t="s">
        <v>24</v>
      </c>
      <c r="L25" s="599" t="s">
        <v>808</v>
      </c>
      <c r="M25" s="599" t="s">
        <v>808</v>
      </c>
      <c r="N25" s="599" t="s">
        <v>808</v>
      </c>
      <c r="O25" s="599" t="s">
        <v>808</v>
      </c>
      <c r="P25" s="599" t="s">
        <v>808</v>
      </c>
    </row>
    <row r="26" spans="2:16">
      <c r="B26" s="427" t="s">
        <v>636</v>
      </c>
      <c r="C26" s="604" t="s">
        <v>808</v>
      </c>
      <c r="D26" s="604" t="s">
        <v>808</v>
      </c>
      <c r="E26" s="604" t="s">
        <v>808</v>
      </c>
      <c r="F26" s="604" t="s">
        <v>808</v>
      </c>
      <c r="G26" s="604" t="s">
        <v>808</v>
      </c>
      <c r="H26" s="40"/>
      <c r="I26" s="604" t="s">
        <v>808</v>
      </c>
      <c r="K26" s="427" t="s">
        <v>636</v>
      </c>
      <c r="L26" s="599" t="s">
        <v>808</v>
      </c>
      <c r="M26" s="599" t="s">
        <v>808</v>
      </c>
      <c r="N26" s="599" t="s">
        <v>808</v>
      </c>
      <c r="O26" s="599" t="s">
        <v>808</v>
      </c>
      <c r="P26" s="599" t="s">
        <v>808</v>
      </c>
    </row>
    <row r="27" spans="2:16">
      <c r="B27" s="426" t="s">
        <v>637</v>
      </c>
      <c r="C27" s="602" t="s">
        <v>808</v>
      </c>
      <c r="D27" s="602" t="s">
        <v>808</v>
      </c>
      <c r="E27" s="602" t="s">
        <v>808</v>
      </c>
      <c r="F27" s="602" t="s">
        <v>808</v>
      </c>
      <c r="G27" s="602" t="s">
        <v>808</v>
      </c>
      <c r="H27" s="40"/>
      <c r="I27" s="602" t="s">
        <v>808</v>
      </c>
      <c r="K27" s="426" t="s">
        <v>637</v>
      </c>
      <c r="L27" s="600" t="s">
        <v>808</v>
      </c>
      <c r="M27" s="600" t="s">
        <v>808</v>
      </c>
      <c r="N27" s="600" t="s">
        <v>808</v>
      </c>
      <c r="O27" s="600" t="s">
        <v>808</v>
      </c>
      <c r="P27" s="600" t="s">
        <v>808</v>
      </c>
    </row>
    <row r="28" spans="2:16">
      <c r="B28" s="427"/>
      <c r="C28" s="430"/>
      <c r="D28" s="430"/>
      <c r="E28" s="430"/>
      <c r="F28" s="430"/>
      <c r="G28" s="430"/>
    </row>
    <row r="29" spans="2:16">
      <c r="B29" s="426" t="s">
        <v>638</v>
      </c>
      <c r="C29" s="430"/>
      <c r="D29" s="430"/>
      <c r="E29" s="430"/>
      <c r="F29" s="430"/>
      <c r="G29" s="430"/>
      <c r="K29" s="426" t="s">
        <v>642</v>
      </c>
    </row>
    <row r="30" spans="2:16">
      <c r="B30" s="426"/>
      <c r="C30" s="430"/>
      <c r="D30" s="430"/>
      <c r="E30" s="430"/>
      <c r="F30" s="430"/>
      <c r="G30" s="430"/>
    </row>
    <row r="31" spans="2:16">
      <c r="B31" s="427"/>
      <c r="C31" s="426" t="s">
        <v>32</v>
      </c>
      <c r="D31" s="426" t="s">
        <v>33</v>
      </c>
      <c r="E31" s="426" t="s">
        <v>34</v>
      </c>
      <c r="F31" s="426" t="s">
        <v>35</v>
      </c>
      <c r="G31" s="426" t="s">
        <v>36</v>
      </c>
      <c r="I31" s="18" t="s">
        <v>31</v>
      </c>
      <c r="K31" s="427"/>
      <c r="L31" s="426" t="s">
        <v>32</v>
      </c>
      <c r="M31" s="426" t="s">
        <v>33</v>
      </c>
      <c r="N31" s="426" t="s">
        <v>34</v>
      </c>
      <c r="O31" s="426" t="s">
        <v>35</v>
      </c>
      <c r="P31" s="426" t="s">
        <v>36</v>
      </c>
    </row>
    <row r="32" spans="2:16">
      <c r="B32" s="427" t="s">
        <v>253</v>
      </c>
      <c r="C32" s="603" t="s">
        <v>808</v>
      </c>
      <c r="D32" s="603" t="s">
        <v>808</v>
      </c>
      <c r="E32" s="603" t="s">
        <v>808</v>
      </c>
      <c r="F32" s="603" t="s">
        <v>808</v>
      </c>
      <c r="G32" s="603" t="s">
        <v>808</v>
      </c>
      <c r="H32" s="40"/>
      <c r="I32" s="603" t="s">
        <v>808</v>
      </c>
      <c r="K32" s="427" t="s">
        <v>253</v>
      </c>
      <c r="L32" s="601" t="s">
        <v>808</v>
      </c>
      <c r="M32" s="601" t="s">
        <v>808</v>
      </c>
      <c r="N32" s="601" t="s">
        <v>808</v>
      </c>
      <c r="O32" s="601" t="s">
        <v>808</v>
      </c>
      <c r="P32" s="601" t="s">
        <v>808</v>
      </c>
    </row>
    <row r="33" spans="2:16">
      <c r="B33" s="427" t="s">
        <v>254</v>
      </c>
      <c r="C33" s="603" t="s">
        <v>808</v>
      </c>
      <c r="D33" s="603" t="s">
        <v>808</v>
      </c>
      <c r="E33" s="603" t="s">
        <v>808</v>
      </c>
      <c r="F33" s="603" t="s">
        <v>808</v>
      </c>
      <c r="G33" s="603" t="s">
        <v>808</v>
      </c>
      <c r="H33" s="40"/>
      <c r="I33" s="603" t="s">
        <v>808</v>
      </c>
      <c r="K33" s="427" t="s">
        <v>254</v>
      </c>
      <c r="L33" s="601" t="s">
        <v>808</v>
      </c>
      <c r="M33" s="601" t="s">
        <v>808</v>
      </c>
      <c r="N33" s="601" t="s">
        <v>808</v>
      </c>
      <c r="O33" s="601" t="s">
        <v>808</v>
      </c>
      <c r="P33" s="601" t="s">
        <v>808</v>
      </c>
    </row>
    <row r="34" spans="2:16">
      <c r="B34" s="427" t="s">
        <v>255</v>
      </c>
      <c r="C34" s="603" t="s">
        <v>808</v>
      </c>
      <c r="D34" s="603" t="s">
        <v>808</v>
      </c>
      <c r="E34" s="603" t="s">
        <v>808</v>
      </c>
      <c r="F34" s="603" t="s">
        <v>808</v>
      </c>
      <c r="G34" s="603" t="s">
        <v>808</v>
      </c>
      <c r="H34" s="40"/>
      <c r="I34" s="603" t="s">
        <v>808</v>
      </c>
      <c r="K34" s="427" t="s">
        <v>255</v>
      </c>
      <c r="L34" s="205">
        <v>9.6245665175654652E-2</v>
      </c>
      <c r="M34" s="205">
        <v>0.10276572668112799</v>
      </c>
      <c r="N34" s="205">
        <v>0.10396579190072942</v>
      </c>
      <c r="O34" s="205">
        <v>0.10812570278747706</v>
      </c>
      <c r="P34" s="205">
        <v>0.10813870352716873</v>
      </c>
    </row>
    <row r="35" spans="2:16">
      <c r="B35" s="427" t="s">
        <v>251</v>
      </c>
      <c r="C35" s="603" t="s">
        <v>808</v>
      </c>
      <c r="D35" s="603" t="s">
        <v>808</v>
      </c>
      <c r="E35" s="603" t="s">
        <v>808</v>
      </c>
      <c r="F35" s="603" t="s">
        <v>808</v>
      </c>
      <c r="G35" s="603" t="s">
        <v>808</v>
      </c>
      <c r="H35" s="40"/>
      <c r="I35" s="603" t="s">
        <v>808</v>
      </c>
      <c r="K35" s="427" t="s">
        <v>251</v>
      </c>
      <c r="L35" s="601" t="s">
        <v>808</v>
      </c>
      <c r="M35" s="601" t="s">
        <v>808</v>
      </c>
      <c r="N35" s="601" t="s">
        <v>808</v>
      </c>
      <c r="O35" s="601" t="s">
        <v>808</v>
      </c>
      <c r="P35" s="601" t="s">
        <v>808</v>
      </c>
    </row>
    <row r="36" spans="2:16">
      <c r="B36" s="427" t="s">
        <v>636</v>
      </c>
      <c r="C36" s="603" t="s">
        <v>808</v>
      </c>
      <c r="D36" s="603" t="s">
        <v>808</v>
      </c>
      <c r="E36" s="603" t="s">
        <v>808</v>
      </c>
      <c r="F36" s="603" t="s">
        <v>808</v>
      </c>
      <c r="G36" s="603" t="s">
        <v>808</v>
      </c>
      <c r="H36" s="40"/>
      <c r="I36" s="603" t="s">
        <v>808</v>
      </c>
      <c r="K36" s="427" t="s">
        <v>636</v>
      </c>
      <c r="L36" s="205">
        <v>0.28547017138262054</v>
      </c>
      <c r="M36" s="205">
        <v>0.27087852494577014</v>
      </c>
      <c r="N36" s="205">
        <v>0.27039490232246166</v>
      </c>
      <c r="O36" s="205">
        <v>0.28265372551340473</v>
      </c>
      <c r="P36" s="205">
        <v>0.28282888465204958</v>
      </c>
    </row>
    <row r="37" spans="2:16">
      <c r="B37" s="429" t="s">
        <v>634</v>
      </c>
      <c r="C37" s="602" t="s">
        <v>808</v>
      </c>
      <c r="D37" s="602" t="s">
        <v>808</v>
      </c>
      <c r="E37" s="602" t="s">
        <v>808</v>
      </c>
      <c r="F37" s="602" t="s">
        <v>808</v>
      </c>
      <c r="G37" s="602" t="s">
        <v>808</v>
      </c>
      <c r="H37" s="40"/>
      <c r="I37" s="602" t="s">
        <v>808</v>
      </c>
      <c r="K37" s="429" t="s">
        <v>634</v>
      </c>
      <c r="L37" s="601" t="s">
        <v>808</v>
      </c>
      <c r="M37" s="601" t="s">
        <v>808</v>
      </c>
      <c r="N37" s="601" t="s">
        <v>808</v>
      </c>
      <c r="O37" s="601" t="s">
        <v>808</v>
      </c>
      <c r="P37" s="601" t="s">
        <v>808</v>
      </c>
    </row>
    <row r="38" spans="2:16">
      <c r="B38" s="427"/>
      <c r="C38" s="427"/>
      <c r="D38" s="427"/>
      <c r="E38" s="427"/>
      <c r="F38" s="427"/>
      <c r="G38" s="427"/>
      <c r="K38" s="427"/>
      <c r="L38" s="434"/>
      <c r="M38" s="427"/>
      <c r="N38" s="427"/>
      <c r="O38" s="427"/>
      <c r="P38" s="427"/>
    </row>
    <row r="39" spans="2:16">
      <c r="B39" s="427"/>
      <c r="C39" s="427"/>
      <c r="D39" s="427"/>
      <c r="E39" s="427"/>
      <c r="F39" s="427"/>
      <c r="G39" s="427"/>
      <c r="K39" s="427"/>
      <c r="L39" s="434"/>
      <c r="M39" s="427"/>
      <c r="N39" s="427"/>
      <c r="O39" s="427"/>
      <c r="P39" s="427"/>
    </row>
    <row r="40" spans="2:16">
      <c r="B40" s="426" t="s">
        <v>669</v>
      </c>
      <c r="C40" s="427"/>
      <c r="D40" s="427"/>
      <c r="E40" s="427"/>
      <c r="F40" s="427"/>
      <c r="G40" s="427"/>
      <c r="K40" s="427"/>
      <c r="L40" s="434"/>
      <c r="M40" s="427"/>
      <c r="N40" s="427"/>
      <c r="O40" s="427"/>
      <c r="P40" s="427"/>
    </row>
    <row r="41" spans="2:16">
      <c r="B41" s="426"/>
      <c r="C41" s="427"/>
      <c r="D41" s="427"/>
      <c r="E41" s="427"/>
      <c r="F41" s="427"/>
      <c r="G41" s="427"/>
      <c r="K41" s="427"/>
      <c r="L41" s="434"/>
      <c r="M41" s="427"/>
      <c r="N41" s="427"/>
      <c r="O41" s="427"/>
      <c r="P41" s="427"/>
    </row>
    <row r="42" spans="2:16">
      <c r="B42" s="427"/>
      <c r="C42" s="426" t="s">
        <v>32</v>
      </c>
      <c r="D42" s="426" t="s">
        <v>33</v>
      </c>
      <c r="E42" s="426" t="s">
        <v>34</v>
      </c>
      <c r="F42" s="426" t="s">
        <v>35</v>
      </c>
      <c r="G42" s="426" t="s">
        <v>36</v>
      </c>
      <c r="I42" s="18" t="s">
        <v>31</v>
      </c>
      <c r="J42" s="18"/>
      <c r="K42" s="427"/>
      <c r="L42" s="434"/>
      <c r="M42" s="427"/>
      <c r="N42" s="427"/>
      <c r="O42" s="427"/>
      <c r="P42" s="427"/>
    </row>
    <row r="43" spans="2:16">
      <c r="B43" s="427" t="s">
        <v>253</v>
      </c>
      <c r="C43" s="603" t="s">
        <v>808</v>
      </c>
      <c r="D43" s="603" t="s">
        <v>808</v>
      </c>
      <c r="E43" s="603" t="s">
        <v>808</v>
      </c>
      <c r="F43" s="603" t="s">
        <v>808</v>
      </c>
      <c r="G43" s="603" t="s">
        <v>808</v>
      </c>
      <c r="H43" s="40"/>
      <c r="I43" s="603" t="s">
        <v>808</v>
      </c>
      <c r="J43" s="30"/>
      <c r="K43" s="427"/>
      <c r="L43" s="434"/>
      <c r="M43" s="427"/>
      <c r="N43" s="427"/>
      <c r="O43" s="427"/>
      <c r="P43" s="427"/>
    </row>
    <row r="44" spans="2:16">
      <c r="B44" s="427" t="s">
        <v>254</v>
      </c>
      <c r="C44" s="603" t="s">
        <v>808</v>
      </c>
      <c r="D44" s="603" t="s">
        <v>808</v>
      </c>
      <c r="E44" s="603" t="s">
        <v>808</v>
      </c>
      <c r="F44" s="603" t="s">
        <v>808</v>
      </c>
      <c r="G44" s="603" t="s">
        <v>808</v>
      </c>
      <c r="H44" s="40"/>
      <c r="I44" s="603" t="s">
        <v>808</v>
      </c>
      <c r="J44" s="30"/>
      <c r="K44" s="427"/>
      <c r="L44" s="434"/>
      <c r="M44" s="427"/>
      <c r="N44" s="427"/>
      <c r="O44" s="427"/>
      <c r="P44" s="427"/>
    </row>
    <row r="45" spans="2:16">
      <c r="B45" s="427" t="s">
        <v>255</v>
      </c>
      <c r="C45" s="603" t="s">
        <v>808</v>
      </c>
      <c r="D45" s="603" t="s">
        <v>808</v>
      </c>
      <c r="E45" s="603" t="s">
        <v>808</v>
      </c>
      <c r="F45" s="603" t="s">
        <v>808</v>
      </c>
      <c r="G45" s="603" t="s">
        <v>808</v>
      </c>
      <c r="H45" s="40"/>
      <c r="I45" s="603" t="s">
        <v>808</v>
      </c>
      <c r="J45" s="30"/>
      <c r="K45" s="427"/>
      <c r="L45" s="434"/>
      <c r="M45" s="427"/>
      <c r="N45" s="427"/>
      <c r="O45" s="427"/>
      <c r="P45" s="427"/>
    </row>
    <row r="46" spans="2:16">
      <c r="B46" s="427" t="s">
        <v>251</v>
      </c>
      <c r="C46" s="603" t="s">
        <v>808</v>
      </c>
      <c r="D46" s="603" t="s">
        <v>808</v>
      </c>
      <c r="E46" s="603" t="s">
        <v>808</v>
      </c>
      <c r="F46" s="603" t="s">
        <v>808</v>
      </c>
      <c r="G46" s="603" t="s">
        <v>808</v>
      </c>
      <c r="H46" s="40"/>
      <c r="I46" s="603" t="s">
        <v>808</v>
      </c>
      <c r="J46" s="30"/>
      <c r="K46" s="427"/>
      <c r="L46" s="434"/>
      <c r="M46" s="427"/>
      <c r="N46" s="427"/>
      <c r="O46" s="427"/>
      <c r="P46" s="427"/>
    </row>
    <row r="47" spans="2:16">
      <c r="B47" s="427" t="s">
        <v>636</v>
      </c>
      <c r="C47" s="603" t="s">
        <v>808</v>
      </c>
      <c r="D47" s="603" t="s">
        <v>808</v>
      </c>
      <c r="E47" s="603" t="s">
        <v>808</v>
      </c>
      <c r="F47" s="603" t="s">
        <v>808</v>
      </c>
      <c r="G47" s="603" t="s">
        <v>808</v>
      </c>
      <c r="H47" s="40"/>
      <c r="I47" s="603" t="s">
        <v>808</v>
      </c>
      <c r="J47" s="30"/>
      <c r="K47" s="427"/>
      <c r="L47" s="434"/>
      <c r="M47" s="427"/>
      <c r="N47" s="427"/>
      <c r="O47" s="427"/>
      <c r="P47" s="427"/>
    </row>
    <row r="48" spans="2:16">
      <c r="B48" s="426" t="s">
        <v>670</v>
      </c>
      <c r="C48" s="602" t="s">
        <v>808</v>
      </c>
      <c r="D48" s="602" t="s">
        <v>808</v>
      </c>
      <c r="E48" s="602" t="s">
        <v>808</v>
      </c>
      <c r="F48" s="602" t="s">
        <v>808</v>
      </c>
      <c r="G48" s="602" t="s">
        <v>808</v>
      </c>
      <c r="H48" s="40"/>
      <c r="I48" s="602" t="s">
        <v>808</v>
      </c>
      <c r="J48" s="137"/>
      <c r="K48" s="427"/>
      <c r="L48" s="434"/>
      <c r="M48" s="427"/>
      <c r="N48" s="427"/>
      <c r="O48" s="427"/>
      <c r="P48" s="427"/>
    </row>
    <row r="49" spans="2:16">
      <c r="B49" s="427"/>
      <c r="C49" s="427"/>
      <c r="D49" s="427"/>
      <c r="E49" s="427"/>
      <c r="F49" s="427"/>
      <c r="G49" s="427"/>
      <c r="K49" s="427"/>
      <c r="L49" s="434"/>
      <c r="M49" s="427"/>
      <c r="N49" s="427"/>
      <c r="O49" s="427"/>
      <c r="P49" s="427"/>
    </row>
    <row r="50" spans="2:16">
      <c r="B50" s="427"/>
      <c r="C50" s="427"/>
      <c r="D50" s="427"/>
      <c r="E50" s="427"/>
      <c r="F50" s="427"/>
      <c r="G50" s="427"/>
    </row>
    <row r="51" spans="2:16">
      <c r="B51" s="426" t="s">
        <v>639</v>
      </c>
      <c r="C51" s="430"/>
      <c r="D51" s="430"/>
      <c r="E51" s="430"/>
      <c r="F51" s="430"/>
      <c r="G51" s="430"/>
    </row>
    <row r="52" spans="2:16">
      <c r="B52" s="426"/>
      <c r="C52" s="430"/>
      <c r="D52" s="430"/>
      <c r="E52" s="430"/>
      <c r="F52" s="430"/>
      <c r="G52" s="430"/>
    </row>
    <row r="53" spans="2:16">
      <c r="B53" s="427"/>
      <c r="C53" s="426" t="s">
        <v>32</v>
      </c>
      <c r="D53" s="426" t="s">
        <v>33</v>
      </c>
      <c r="E53" s="426" t="s">
        <v>34</v>
      </c>
      <c r="F53" s="426" t="s">
        <v>35</v>
      </c>
      <c r="G53" s="426" t="s">
        <v>36</v>
      </c>
      <c r="I53" s="18" t="s">
        <v>31</v>
      </c>
    </row>
    <row r="54" spans="2:16">
      <c r="B54" s="427" t="s">
        <v>253</v>
      </c>
      <c r="C54" s="430"/>
      <c r="D54" s="430"/>
      <c r="E54" s="430"/>
      <c r="F54" s="430"/>
      <c r="G54" s="430"/>
      <c r="I54" s="30"/>
    </row>
    <row r="55" spans="2:16">
      <c r="B55" s="431" t="s">
        <v>631</v>
      </c>
      <c r="C55" s="603" t="s">
        <v>808</v>
      </c>
      <c r="D55" s="603" t="s">
        <v>808</v>
      </c>
      <c r="E55" s="603" t="s">
        <v>808</v>
      </c>
      <c r="F55" s="603" t="s">
        <v>808</v>
      </c>
      <c r="G55" s="603" t="s">
        <v>808</v>
      </c>
      <c r="H55" s="40"/>
      <c r="I55" s="603" t="s">
        <v>808</v>
      </c>
    </row>
    <row r="56" spans="2:16">
      <c r="B56" s="431" t="s">
        <v>27</v>
      </c>
      <c r="C56" s="603" t="s">
        <v>808</v>
      </c>
      <c r="D56" s="603" t="s">
        <v>808</v>
      </c>
      <c r="E56" s="603" t="s">
        <v>808</v>
      </c>
      <c r="F56" s="603" t="s">
        <v>808</v>
      </c>
      <c r="G56" s="603" t="s">
        <v>808</v>
      </c>
      <c r="H56" s="40"/>
      <c r="I56" s="603" t="s">
        <v>808</v>
      </c>
    </row>
    <row r="57" spans="2:16">
      <c r="B57" s="431" t="s">
        <v>632</v>
      </c>
      <c r="C57" s="603" t="s">
        <v>808</v>
      </c>
      <c r="D57" s="603" t="s">
        <v>808</v>
      </c>
      <c r="E57" s="603" t="s">
        <v>808</v>
      </c>
      <c r="F57" s="603" t="s">
        <v>808</v>
      </c>
      <c r="G57" s="603" t="s">
        <v>808</v>
      </c>
      <c r="H57" s="40"/>
      <c r="I57" s="603" t="s">
        <v>808</v>
      </c>
    </row>
    <row r="58" spans="2:16">
      <c r="B58" s="431" t="s">
        <v>633</v>
      </c>
      <c r="C58" s="603" t="s">
        <v>808</v>
      </c>
      <c r="D58" s="603" t="s">
        <v>808</v>
      </c>
      <c r="E58" s="603" t="s">
        <v>808</v>
      </c>
      <c r="F58" s="603" t="s">
        <v>808</v>
      </c>
      <c r="G58" s="603" t="s">
        <v>808</v>
      </c>
      <c r="H58" s="40"/>
      <c r="I58" s="603" t="s">
        <v>808</v>
      </c>
    </row>
    <row r="59" spans="2:16">
      <c r="B59" s="431"/>
      <c r="C59" s="606" t="s">
        <v>808</v>
      </c>
      <c r="D59" s="606" t="s">
        <v>808</v>
      </c>
      <c r="E59" s="606" t="s">
        <v>808</v>
      </c>
      <c r="F59" s="606" t="s">
        <v>808</v>
      </c>
      <c r="G59" s="606" t="s">
        <v>808</v>
      </c>
      <c r="H59" s="48"/>
      <c r="I59" s="606" t="s">
        <v>808</v>
      </c>
    </row>
    <row r="60" spans="2:16">
      <c r="B60" s="427" t="s">
        <v>254</v>
      </c>
      <c r="C60" s="288"/>
      <c r="D60" s="288"/>
      <c r="E60" s="288"/>
      <c r="F60" s="288"/>
      <c r="G60" s="288"/>
    </row>
    <row r="61" spans="2:16">
      <c r="B61" s="431" t="s">
        <v>631</v>
      </c>
      <c r="C61" s="603" t="s">
        <v>808</v>
      </c>
      <c r="D61" s="603" t="s">
        <v>808</v>
      </c>
      <c r="E61" s="603" t="s">
        <v>808</v>
      </c>
      <c r="F61" s="603" t="s">
        <v>808</v>
      </c>
      <c r="G61" s="603" t="s">
        <v>808</v>
      </c>
      <c r="I61" s="603" t="s">
        <v>808</v>
      </c>
    </row>
    <row r="62" spans="2:16">
      <c r="B62" s="431" t="s">
        <v>27</v>
      </c>
      <c r="C62" s="603" t="s">
        <v>808</v>
      </c>
      <c r="D62" s="603" t="s">
        <v>808</v>
      </c>
      <c r="E62" s="603" t="s">
        <v>808</v>
      </c>
      <c r="F62" s="603" t="s">
        <v>808</v>
      </c>
      <c r="G62" s="603" t="s">
        <v>808</v>
      </c>
      <c r="I62" s="603" t="s">
        <v>808</v>
      </c>
    </row>
    <row r="63" spans="2:16">
      <c r="B63" s="431" t="s">
        <v>632</v>
      </c>
      <c r="C63" s="603" t="s">
        <v>808</v>
      </c>
      <c r="D63" s="603" t="s">
        <v>808</v>
      </c>
      <c r="E63" s="603" t="s">
        <v>808</v>
      </c>
      <c r="F63" s="603" t="s">
        <v>808</v>
      </c>
      <c r="G63" s="603" t="s">
        <v>808</v>
      </c>
      <c r="I63" s="603" t="s">
        <v>808</v>
      </c>
    </row>
    <row r="64" spans="2:16">
      <c r="B64" s="431" t="s">
        <v>633</v>
      </c>
      <c r="C64" s="603" t="s">
        <v>808</v>
      </c>
      <c r="D64" s="603" t="s">
        <v>808</v>
      </c>
      <c r="E64" s="603" t="s">
        <v>808</v>
      </c>
      <c r="F64" s="603" t="s">
        <v>808</v>
      </c>
      <c r="G64" s="603" t="s">
        <v>808</v>
      </c>
      <c r="I64" s="603" t="s">
        <v>808</v>
      </c>
    </row>
    <row r="65" spans="2:9">
      <c r="B65" s="431"/>
      <c r="C65" s="605" t="s">
        <v>808</v>
      </c>
      <c r="D65" s="605" t="s">
        <v>808</v>
      </c>
      <c r="E65" s="605" t="s">
        <v>808</v>
      </c>
      <c r="F65" s="605" t="s">
        <v>808</v>
      </c>
      <c r="G65" s="605" t="s">
        <v>808</v>
      </c>
      <c r="I65" s="606" t="s">
        <v>808</v>
      </c>
    </row>
    <row r="66" spans="2:9">
      <c r="B66" s="427" t="s">
        <v>255</v>
      </c>
      <c r="C66" s="288"/>
      <c r="D66" s="288"/>
      <c r="E66" s="288"/>
      <c r="F66" s="288"/>
      <c r="G66" s="288"/>
    </row>
    <row r="67" spans="2:9">
      <c r="B67" s="431" t="s">
        <v>631</v>
      </c>
      <c r="C67" s="603" t="s">
        <v>808</v>
      </c>
      <c r="D67" s="603" t="s">
        <v>808</v>
      </c>
      <c r="E67" s="603" t="s">
        <v>808</v>
      </c>
      <c r="F67" s="603" t="s">
        <v>808</v>
      </c>
      <c r="G67" s="603" t="s">
        <v>808</v>
      </c>
      <c r="I67" s="603" t="s">
        <v>808</v>
      </c>
    </row>
    <row r="68" spans="2:9">
      <c r="B68" s="431" t="s">
        <v>27</v>
      </c>
      <c r="C68" s="603" t="s">
        <v>808</v>
      </c>
      <c r="D68" s="603" t="s">
        <v>808</v>
      </c>
      <c r="E68" s="603" t="s">
        <v>808</v>
      </c>
      <c r="F68" s="603" t="s">
        <v>808</v>
      </c>
      <c r="G68" s="603" t="s">
        <v>808</v>
      </c>
      <c r="I68" s="603" t="s">
        <v>808</v>
      </c>
    </row>
    <row r="69" spans="2:9">
      <c r="B69" s="431" t="s">
        <v>632</v>
      </c>
      <c r="C69" s="603" t="s">
        <v>808</v>
      </c>
      <c r="D69" s="603" t="s">
        <v>808</v>
      </c>
      <c r="E69" s="603" t="s">
        <v>808</v>
      </c>
      <c r="F69" s="603" t="s">
        <v>808</v>
      </c>
      <c r="G69" s="603" t="s">
        <v>808</v>
      </c>
      <c r="I69" s="603" t="s">
        <v>808</v>
      </c>
    </row>
    <row r="70" spans="2:9">
      <c r="B70" s="431" t="s">
        <v>633</v>
      </c>
      <c r="C70" s="603" t="s">
        <v>808</v>
      </c>
      <c r="D70" s="603" t="s">
        <v>808</v>
      </c>
      <c r="E70" s="603" t="s">
        <v>808</v>
      </c>
      <c r="F70" s="603" t="s">
        <v>808</v>
      </c>
      <c r="G70" s="603" t="s">
        <v>808</v>
      </c>
      <c r="I70" s="603" t="s">
        <v>808</v>
      </c>
    </row>
    <row r="71" spans="2:9">
      <c r="B71" s="431"/>
      <c r="C71" s="605" t="s">
        <v>808</v>
      </c>
      <c r="D71" s="605" t="s">
        <v>808</v>
      </c>
      <c r="E71" s="605" t="s">
        <v>808</v>
      </c>
      <c r="F71" s="605" t="s">
        <v>808</v>
      </c>
      <c r="G71" s="605" t="s">
        <v>808</v>
      </c>
      <c r="I71" s="606" t="s">
        <v>808</v>
      </c>
    </row>
    <row r="72" spans="2:9">
      <c r="B72" s="427" t="s">
        <v>251</v>
      </c>
      <c r="C72" s="288"/>
      <c r="D72" s="288"/>
      <c r="E72" s="288"/>
      <c r="F72" s="288"/>
      <c r="G72" s="288"/>
    </row>
    <row r="73" spans="2:9">
      <c r="B73" s="431" t="s">
        <v>631</v>
      </c>
      <c r="C73" s="603" t="s">
        <v>808</v>
      </c>
      <c r="D73" s="603" t="s">
        <v>808</v>
      </c>
      <c r="E73" s="603" t="s">
        <v>808</v>
      </c>
      <c r="F73" s="603" t="s">
        <v>808</v>
      </c>
      <c r="G73" s="603" t="s">
        <v>808</v>
      </c>
      <c r="I73" s="603" t="s">
        <v>808</v>
      </c>
    </row>
    <row r="74" spans="2:9">
      <c r="B74" s="431" t="s">
        <v>27</v>
      </c>
      <c r="C74" s="603" t="s">
        <v>808</v>
      </c>
      <c r="D74" s="603" t="s">
        <v>808</v>
      </c>
      <c r="E74" s="603" t="s">
        <v>808</v>
      </c>
      <c r="F74" s="603" t="s">
        <v>808</v>
      </c>
      <c r="G74" s="603" t="s">
        <v>808</v>
      </c>
      <c r="I74" s="603" t="s">
        <v>808</v>
      </c>
    </row>
    <row r="75" spans="2:9">
      <c r="B75" s="431" t="s">
        <v>632</v>
      </c>
      <c r="C75" s="603" t="s">
        <v>808</v>
      </c>
      <c r="D75" s="603" t="s">
        <v>808</v>
      </c>
      <c r="E75" s="603" t="s">
        <v>808</v>
      </c>
      <c r="F75" s="603" t="s">
        <v>808</v>
      </c>
      <c r="G75" s="603" t="s">
        <v>808</v>
      </c>
      <c r="I75" s="603" t="s">
        <v>808</v>
      </c>
    </row>
    <row r="76" spans="2:9">
      <c r="B76" s="431" t="s">
        <v>633</v>
      </c>
      <c r="C76" s="603" t="s">
        <v>808</v>
      </c>
      <c r="D76" s="603" t="s">
        <v>808</v>
      </c>
      <c r="E76" s="603" t="s">
        <v>808</v>
      </c>
      <c r="F76" s="603" t="s">
        <v>808</v>
      </c>
      <c r="G76" s="603" t="s">
        <v>808</v>
      </c>
      <c r="I76" s="603" t="s">
        <v>808</v>
      </c>
    </row>
    <row r="77" spans="2:9">
      <c r="B77" s="431"/>
      <c r="C77" s="605" t="s">
        <v>808</v>
      </c>
      <c r="D77" s="605" t="s">
        <v>808</v>
      </c>
      <c r="E77" s="605" t="s">
        <v>808</v>
      </c>
      <c r="F77" s="605" t="s">
        <v>808</v>
      </c>
      <c r="G77" s="605" t="s">
        <v>808</v>
      </c>
      <c r="I77" s="606" t="s">
        <v>808</v>
      </c>
    </row>
    <row r="78" spans="2:9">
      <c r="B78" s="427" t="s">
        <v>636</v>
      </c>
      <c r="C78" s="288"/>
      <c r="D78" s="288"/>
      <c r="E78" s="288"/>
      <c r="F78" s="288"/>
      <c r="G78" s="288"/>
    </row>
    <row r="79" spans="2:9">
      <c r="B79" s="431" t="s">
        <v>631</v>
      </c>
      <c r="C79" s="603" t="s">
        <v>808</v>
      </c>
      <c r="D79" s="603" t="s">
        <v>808</v>
      </c>
      <c r="E79" s="603" t="s">
        <v>808</v>
      </c>
      <c r="F79" s="603" t="s">
        <v>808</v>
      </c>
      <c r="G79" s="603" t="s">
        <v>808</v>
      </c>
      <c r="I79" s="603" t="s">
        <v>808</v>
      </c>
    </row>
    <row r="80" spans="2:9">
      <c r="B80" s="431" t="s">
        <v>27</v>
      </c>
      <c r="C80" s="603" t="s">
        <v>808</v>
      </c>
      <c r="D80" s="603" t="s">
        <v>808</v>
      </c>
      <c r="E80" s="603" t="s">
        <v>808</v>
      </c>
      <c r="F80" s="603" t="s">
        <v>808</v>
      </c>
      <c r="G80" s="603" t="s">
        <v>808</v>
      </c>
      <c r="I80" s="603" t="s">
        <v>808</v>
      </c>
    </row>
    <row r="81" spans="2:22">
      <c r="B81" s="431" t="s">
        <v>632</v>
      </c>
      <c r="C81" s="603" t="s">
        <v>808</v>
      </c>
      <c r="D81" s="603" t="s">
        <v>808</v>
      </c>
      <c r="E81" s="603" t="s">
        <v>808</v>
      </c>
      <c r="F81" s="603" t="s">
        <v>808</v>
      </c>
      <c r="G81" s="603" t="s">
        <v>808</v>
      </c>
      <c r="I81" s="603" t="s">
        <v>808</v>
      </c>
    </row>
    <row r="82" spans="2:22">
      <c r="B82" s="431" t="s">
        <v>633</v>
      </c>
      <c r="C82" s="603" t="s">
        <v>808</v>
      </c>
      <c r="D82" s="603" t="s">
        <v>808</v>
      </c>
      <c r="E82" s="603" t="s">
        <v>808</v>
      </c>
      <c r="F82" s="603" t="s">
        <v>808</v>
      </c>
      <c r="G82" s="603" t="s">
        <v>808</v>
      </c>
      <c r="I82" s="603" t="s">
        <v>808</v>
      </c>
    </row>
    <row r="83" spans="2:22">
      <c r="B83" s="427"/>
      <c r="C83" s="607" t="s">
        <v>808</v>
      </c>
      <c r="D83" s="607" t="s">
        <v>808</v>
      </c>
      <c r="E83" s="607" t="s">
        <v>808</v>
      </c>
      <c r="F83" s="607" t="s">
        <v>808</v>
      </c>
      <c r="G83" s="607" t="s">
        <v>808</v>
      </c>
      <c r="I83" s="607" t="s">
        <v>808</v>
      </c>
    </row>
    <row r="84" spans="2:22">
      <c r="B84" s="426" t="s">
        <v>634</v>
      </c>
      <c r="C84" s="605" t="s">
        <v>808</v>
      </c>
      <c r="D84" s="605" t="s">
        <v>808</v>
      </c>
      <c r="E84" s="605" t="s">
        <v>808</v>
      </c>
      <c r="F84" s="605" t="s">
        <v>808</v>
      </c>
      <c r="G84" s="605" t="s">
        <v>808</v>
      </c>
      <c r="I84" s="605" t="s">
        <v>808</v>
      </c>
    </row>
    <row r="85" spans="2:22">
      <c r="B85" s="427"/>
      <c r="C85" s="427"/>
      <c r="D85" s="427"/>
      <c r="E85" s="427"/>
      <c r="F85" s="427"/>
      <c r="G85" s="427"/>
      <c r="I85" s="529"/>
    </row>
    <row r="87" spans="2:22">
      <c r="B87" s="329" t="s">
        <v>445</v>
      </c>
      <c r="C87" s="329"/>
      <c r="D87" s="329"/>
      <c r="E87" s="329"/>
      <c r="F87" s="329"/>
      <c r="G87" s="331"/>
      <c r="H87" s="331"/>
      <c r="I87" s="331"/>
      <c r="J87" s="331"/>
      <c r="K87" s="331"/>
      <c r="L87" s="331"/>
      <c r="M87" s="331"/>
      <c r="N87" s="331"/>
      <c r="O87" s="331"/>
      <c r="P87" s="331"/>
      <c r="Q87" s="331"/>
      <c r="R87" s="331"/>
      <c r="S87" s="331"/>
      <c r="T87" s="331"/>
      <c r="U87" s="331"/>
      <c r="V87" s="331"/>
    </row>
  </sheetData>
  <mergeCells count="2">
    <mergeCell ref="C9:G9"/>
    <mergeCell ref="L9:P9"/>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B2:U127"/>
  <sheetViews>
    <sheetView showGridLines="0" topLeftCell="A109" zoomScale="70" zoomScaleNormal="70" workbookViewId="0">
      <selection activeCell="R44" sqref="R44"/>
    </sheetView>
  </sheetViews>
  <sheetFormatPr defaultRowHeight="12.75"/>
  <cols>
    <col min="1" max="1" width="9.140625" style="19"/>
    <col min="2" max="2" width="28.7109375" style="19" customWidth="1"/>
    <col min="3" max="3" width="10.28515625" style="19" bestFit="1" customWidth="1"/>
    <col min="4" max="4" width="13.5703125" style="19" bestFit="1" customWidth="1"/>
    <col min="5" max="6" width="9.5703125" style="19" bestFit="1" customWidth="1"/>
    <col min="7" max="7" width="9.42578125" style="19" bestFit="1" customWidth="1"/>
    <col min="8" max="10" width="9.5703125" style="19" bestFit="1" customWidth="1"/>
    <col min="11" max="11" width="9.42578125" style="19" bestFit="1" customWidth="1"/>
    <col min="12" max="13" width="9.5703125" style="19" bestFit="1" customWidth="1"/>
    <col min="14" max="16384" width="9.140625" style="19"/>
  </cols>
  <sheetData>
    <row r="2" spans="2:21">
      <c r="B2" s="53" t="s">
        <v>793</v>
      </c>
    </row>
    <row r="3" spans="2:21">
      <c r="B3" s="29"/>
    </row>
    <row r="4" spans="2:21">
      <c r="B4" s="84" t="s">
        <v>673</v>
      </c>
      <c r="C4" s="84"/>
      <c r="D4" s="84"/>
      <c r="E4" s="84"/>
      <c r="F4" s="84"/>
      <c r="G4" s="86"/>
      <c r="H4" s="86"/>
      <c r="I4" s="86"/>
      <c r="J4" s="86"/>
      <c r="K4" s="86"/>
      <c r="L4" s="86"/>
      <c r="M4" s="86"/>
      <c r="N4" s="86"/>
      <c r="O4" s="86"/>
      <c r="P4" s="86"/>
      <c r="Q4" s="86"/>
      <c r="R4" s="86"/>
      <c r="S4" s="86"/>
      <c r="T4" s="86"/>
      <c r="U4" s="86"/>
    </row>
    <row r="5" spans="2:21">
      <c r="B5" s="29"/>
    </row>
    <row r="6" spans="2:21">
      <c r="B6" s="84" t="s">
        <v>258</v>
      </c>
      <c r="C6" s="84"/>
      <c r="D6" s="84"/>
      <c r="E6" s="84"/>
      <c r="F6" s="626" t="s">
        <v>30</v>
      </c>
      <c r="G6" s="627"/>
      <c r="H6" s="627"/>
      <c r="I6" s="627"/>
      <c r="J6" s="628"/>
      <c r="K6" s="87" t="s">
        <v>187</v>
      </c>
      <c r="L6" s="626" t="s">
        <v>31</v>
      </c>
      <c r="M6" s="627"/>
      <c r="N6" s="627"/>
      <c r="O6" s="627"/>
      <c r="P6" s="628"/>
      <c r="R6" s="483" t="s">
        <v>269</v>
      </c>
      <c r="S6" s="483" t="s">
        <v>40</v>
      </c>
      <c r="T6" s="483" t="s">
        <v>460</v>
      </c>
    </row>
    <row r="7" spans="2:21">
      <c r="B7" s="177" t="s">
        <v>231</v>
      </c>
      <c r="C7" s="29"/>
      <c r="D7" s="29"/>
      <c r="E7" s="29"/>
      <c r="F7" s="75" t="s">
        <v>12</v>
      </c>
      <c r="G7" s="75" t="s">
        <v>13</v>
      </c>
      <c r="H7" s="75" t="s">
        <v>14</v>
      </c>
      <c r="I7" s="75" t="s">
        <v>15</v>
      </c>
      <c r="J7" s="75" t="s">
        <v>16</v>
      </c>
      <c r="K7" s="75" t="s">
        <v>17</v>
      </c>
      <c r="L7" s="75" t="s">
        <v>32</v>
      </c>
      <c r="M7" s="75" t="s">
        <v>33</v>
      </c>
      <c r="N7" s="75" t="s">
        <v>34</v>
      </c>
      <c r="O7" s="75" t="s">
        <v>35</v>
      </c>
      <c r="P7" s="75" t="s">
        <v>36</v>
      </c>
      <c r="S7" s="31"/>
    </row>
    <row r="8" spans="2:21">
      <c r="B8" s="212" t="s">
        <v>470</v>
      </c>
      <c r="C8" s="212"/>
      <c r="D8" s="212"/>
      <c r="E8" s="212"/>
      <c r="F8" s="608" t="s">
        <v>808</v>
      </c>
      <c r="G8" s="608" t="s">
        <v>808</v>
      </c>
      <c r="H8" s="608" t="s">
        <v>808</v>
      </c>
      <c r="I8" s="608" t="s">
        <v>808</v>
      </c>
      <c r="J8" s="608" t="s">
        <v>808</v>
      </c>
      <c r="K8" s="608" t="s">
        <v>808</v>
      </c>
      <c r="L8" s="608" t="s">
        <v>808</v>
      </c>
      <c r="M8" s="608" t="s">
        <v>808</v>
      </c>
      <c r="N8" s="608" t="s">
        <v>808</v>
      </c>
      <c r="O8" s="608" t="s">
        <v>808</v>
      </c>
      <c r="P8" s="608" t="s">
        <v>808</v>
      </c>
      <c r="Q8" s="94"/>
      <c r="R8" s="609" t="s">
        <v>808</v>
      </c>
      <c r="S8" s="609" t="s">
        <v>808</v>
      </c>
      <c r="T8" s="609" t="s">
        <v>808</v>
      </c>
    </row>
    <row r="9" spans="2:21">
      <c r="B9" s="212" t="s">
        <v>471</v>
      </c>
      <c r="C9" s="212"/>
      <c r="D9" s="212"/>
      <c r="E9" s="212"/>
      <c r="F9" s="608" t="s">
        <v>808</v>
      </c>
      <c r="G9" s="608" t="s">
        <v>808</v>
      </c>
      <c r="H9" s="608" t="s">
        <v>808</v>
      </c>
      <c r="I9" s="608" t="s">
        <v>808</v>
      </c>
      <c r="J9" s="608" t="s">
        <v>808</v>
      </c>
      <c r="K9" s="608" t="s">
        <v>808</v>
      </c>
      <c r="L9" s="608" t="s">
        <v>808</v>
      </c>
      <c r="M9" s="608" t="s">
        <v>808</v>
      </c>
      <c r="N9" s="608" t="s">
        <v>808</v>
      </c>
      <c r="O9" s="608" t="s">
        <v>808</v>
      </c>
      <c r="P9" s="608" t="s">
        <v>808</v>
      </c>
      <c r="Q9" s="94"/>
      <c r="R9" s="609" t="s">
        <v>808</v>
      </c>
      <c r="S9" s="609" t="s">
        <v>808</v>
      </c>
      <c r="T9" s="609" t="s">
        <v>808</v>
      </c>
    </row>
    <row r="10" spans="2:21">
      <c r="B10" s="212" t="s">
        <v>472</v>
      </c>
      <c r="C10" s="212"/>
      <c r="D10" s="212"/>
      <c r="E10" s="212"/>
      <c r="F10" s="608" t="s">
        <v>808</v>
      </c>
      <c r="G10" s="608" t="s">
        <v>808</v>
      </c>
      <c r="H10" s="608" t="s">
        <v>808</v>
      </c>
      <c r="I10" s="608" t="s">
        <v>808</v>
      </c>
      <c r="J10" s="608" t="s">
        <v>808</v>
      </c>
      <c r="K10" s="608" t="s">
        <v>808</v>
      </c>
      <c r="L10" s="608" t="s">
        <v>808</v>
      </c>
      <c r="M10" s="608" t="s">
        <v>808</v>
      </c>
      <c r="N10" s="608" t="s">
        <v>808</v>
      </c>
      <c r="O10" s="608" t="s">
        <v>808</v>
      </c>
      <c r="P10" s="608" t="s">
        <v>808</v>
      </c>
      <c r="Q10" s="94"/>
      <c r="R10" s="609" t="s">
        <v>808</v>
      </c>
      <c r="S10" s="609" t="s">
        <v>808</v>
      </c>
      <c r="T10" s="609" t="s">
        <v>808</v>
      </c>
    </row>
    <row r="11" spans="2:21">
      <c r="B11" s="212" t="s">
        <v>297</v>
      </c>
      <c r="C11" s="212"/>
      <c r="D11" s="212"/>
      <c r="E11" s="212"/>
      <c r="F11" s="160">
        <f>Pensions!F11</f>
        <v>46.3</v>
      </c>
      <c r="G11" s="160">
        <f>Pensions!G11</f>
        <v>56</v>
      </c>
      <c r="H11" s="160">
        <f>Pensions!H11</f>
        <v>62.9</v>
      </c>
      <c r="I11" s="160">
        <f>Pensions!I11</f>
        <v>64.099999999999994</v>
      </c>
      <c r="J11" s="160">
        <f>Pensions!J11</f>
        <v>74.7</v>
      </c>
      <c r="K11" s="160">
        <f>Pensions!K11</f>
        <v>73</v>
      </c>
      <c r="L11" s="160">
        <f>Pensions!L11</f>
        <v>72.400000000000006</v>
      </c>
      <c r="M11" s="160">
        <f>Pensions!M11</f>
        <v>60.4</v>
      </c>
      <c r="N11" s="160">
        <f>Pensions!N11</f>
        <v>57.1</v>
      </c>
      <c r="O11" s="160">
        <f>Pensions!O11</f>
        <v>54.6</v>
      </c>
      <c r="P11" s="160">
        <f>Pensions!P11</f>
        <v>53.1</v>
      </c>
      <c r="Q11" s="120"/>
      <c r="R11" s="215">
        <f t="shared" ref="R11" si="0">SUM(L11:P11)</f>
        <v>297.60000000000002</v>
      </c>
      <c r="S11" s="113">
        <f t="shared" ref="S11" si="1">((P11/K11)^(1/5))-1</f>
        <v>-6.1672742827912463E-2</v>
      </c>
      <c r="T11" s="126">
        <f t="shared" ref="T11" si="2">R11/5</f>
        <v>59.52</v>
      </c>
    </row>
    <row r="12" spans="2:21">
      <c r="B12" s="212"/>
      <c r="C12" s="212"/>
      <c r="D12" s="212"/>
      <c r="E12" s="212"/>
      <c r="F12" s="160"/>
      <c r="G12" s="160"/>
      <c r="H12" s="160"/>
      <c r="I12" s="160"/>
      <c r="J12" s="160"/>
      <c r="K12" s="160"/>
      <c r="L12" s="160"/>
      <c r="M12" s="160"/>
      <c r="N12" s="160"/>
      <c r="O12" s="160"/>
      <c r="P12" s="160"/>
      <c r="Q12" s="120"/>
      <c r="R12" s="215"/>
      <c r="S12" s="113"/>
      <c r="T12" s="126"/>
    </row>
    <row r="13" spans="2:21">
      <c r="B13" s="212" t="s">
        <v>580</v>
      </c>
      <c r="C13" s="212"/>
      <c r="D13" s="212"/>
      <c r="E13" s="212"/>
      <c r="F13" s="609" t="s">
        <v>808</v>
      </c>
      <c r="G13" s="609" t="s">
        <v>808</v>
      </c>
      <c r="H13" s="609" t="s">
        <v>808</v>
      </c>
      <c r="I13" s="609" t="s">
        <v>808</v>
      </c>
      <c r="J13" s="609" t="s">
        <v>808</v>
      </c>
      <c r="K13" s="609" t="s">
        <v>808</v>
      </c>
      <c r="L13" s="609" t="s">
        <v>808</v>
      </c>
      <c r="M13" s="609" t="s">
        <v>808</v>
      </c>
      <c r="N13" s="609" t="s">
        <v>808</v>
      </c>
      <c r="O13" s="609" t="s">
        <v>808</v>
      </c>
      <c r="P13" s="609" t="s">
        <v>808</v>
      </c>
      <c r="Q13" s="120"/>
      <c r="R13" s="215"/>
      <c r="S13" s="609" t="s">
        <v>808</v>
      </c>
      <c r="T13" s="126"/>
    </row>
    <row r="14" spans="2:21">
      <c r="B14" s="212" t="s">
        <v>582</v>
      </c>
      <c r="C14" s="212"/>
      <c r="D14" s="212"/>
      <c r="E14" s="212"/>
      <c r="F14" s="609" t="s">
        <v>808</v>
      </c>
      <c r="G14" s="609" t="s">
        <v>808</v>
      </c>
      <c r="H14" s="609" t="s">
        <v>808</v>
      </c>
      <c r="I14" s="609" t="s">
        <v>808</v>
      </c>
      <c r="J14" s="609" t="s">
        <v>808</v>
      </c>
      <c r="K14" s="609" t="s">
        <v>808</v>
      </c>
      <c r="L14" s="609" t="s">
        <v>808</v>
      </c>
      <c r="M14" s="609" t="s">
        <v>808</v>
      </c>
      <c r="N14" s="609" t="s">
        <v>808</v>
      </c>
      <c r="O14" s="609" t="s">
        <v>808</v>
      </c>
      <c r="P14" s="609" t="s">
        <v>808</v>
      </c>
      <c r="Q14" s="120"/>
      <c r="R14" s="215"/>
      <c r="S14" s="609" t="s">
        <v>808</v>
      </c>
      <c r="T14" s="126"/>
    </row>
    <row r="15" spans="2:21">
      <c r="B15" s="212" t="s">
        <v>581</v>
      </c>
      <c r="C15" s="212"/>
      <c r="D15" s="212"/>
      <c r="E15" s="212"/>
      <c r="F15" s="609" t="s">
        <v>808</v>
      </c>
      <c r="G15" s="609" t="s">
        <v>808</v>
      </c>
      <c r="H15" s="609" t="s">
        <v>808</v>
      </c>
      <c r="I15" s="609" t="s">
        <v>808</v>
      </c>
      <c r="J15" s="609" t="s">
        <v>808</v>
      </c>
      <c r="K15" s="609" t="s">
        <v>808</v>
      </c>
      <c r="L15" s="609" t="s">
        <v>808</v>
      </c>
      <c r="M15" s="609" t="s">
        <v>808</v>
      </c>
      <c r="N15" s="609" t="s">
        <v>808</v>
      </c>
      <c r="O15" s="609" t="s">
        <v>808</v>
      </c>
      <c r="P15" s="609" t="s">
        <v>808</v>
      </c>
      <c r="Q15" s="120"/>
      <c r="R15" s="215"/>
      <c r="S15" s="609" t="s">
        <v>808</v>
      </c>
      <c r="T15" s="126"/>
    </row>
    <row r="16" spans="2:21">
      <c r="B16" s="212"/>
      <c r="C16" s="212"/>
      <c r="D16" s="212"/>
      <c r="E16" s="212"/>
      <c r="F16" s="120"/>
      <c r="G16" s="120"/>
      <c r="H16" s="120"/>
      <c r="I16" s="120"/>
      <c r="J16" s="120"/>
      <c r="K16" s="120"/>
      <c r="L16" s="120"/>
      <c r="M16" s="120"/>
      <c r="N16" s="120"/>
      <c r="O16" s="120"/>
      <c r="P16" s="120"/>
      <c r="Q16" s="120"/>
      <c r="R16" s="215"/>
      <c r="S16" s="113"/>
      <c r="T16" s="126"/>
    </row>
    <row r="17" spans="2:21">
      <c r="B17" s="212" t="s">
        <v>298</v>
      </c>
      <c r="C17" s="212"/>
      <c r="D17" s="212"/>
      <c r="E17" s="212"/>
      <c r="F17" s="217">
        <f t="shared" ref="F17:P17" si="3">F11/$I$11</f>
        <v>0.72230889235569429</v>
      </c>
      <c r="G17" s="217">
        <f t="shared" si="3"/>
        <v>0.87363494539781594</v>
      </c>
      <c r="H17" s="217">
        <f t="shared" si="3"/>
        <v>0.98127925117004688</v>
      </c>
      <c r="I17" s="217">
        <f t="shared" si="3"/>
        <v>1</v>
      </c>
      <c r="J17" s="217">
        <f t="shared" si="3"/>
        <v>1.1653666146645867</v>
      </c>
      <c r="K17" s="217">
        <f t="shared" si="3"/>
        <v>1.1388455538221529</v>
      </c>
      <c r="L17" s="217">
        <f>L11/$I$11</f>
        <v>1.1294851794071765</v>
      </c>
      <c r="M17" s="217">
        <f t="shared" si="3"/>
        <v>0.94227769110764437</v>
      </c>
      <c r="N17" s="217">
        <f t="shared" si="3"/>
        <v>0.8907956318252731</v>
      </c>
      <c r="O17" s="217">
        <f t="shared" si="3"/>
        <v>0.85179407176287059</v>
      </c>
      <c r="P17" s="217">
        <f t="shared" si="3"/>
        <v>0.82839313572542916</v>
      </c>
      <c r="Q17" s="94"/>
      <c r="R17" s="170"/>
      <c r="S17" s="113"/>
      <c r="T17" s="126"/>
    </row>
    <row r="18" spans="2:21">
      <c r="B18" s="29"/>
    </row>
    <row r="20" spans="2:21">
      <c r="B20" s="84" t="s">
        <v>645</v>
      </c>
      <c r="C20" s="84"/>
      <c r="D20" s="84"/>
      <c r="E20" s="84"/>
      <c r="F20" s="84"/>
      <c r="G20" s="86"/>
      <c r="H20" s="86"/>
      <c r="I20" s="86"/>
      <c r="J20" s="86"/>
      <c r="K20" s="86"/>
      <c r="L20" s="86"/>
      <c r="M20" s="86"/>
      <c r="N20" s="86"/>
      <c r="O20" s="86"/>
      <c r="P20" s="86"/>
      <c r="Q20" s="86"/>
      <c r="R20" s="86"/>
      <c r="S20" s="86"/>
      <c r="T20" s="86"/>
      <c r="U20" s="86"/>
    </row>
    <row r="21" spans="2:21" s="61" customFormat="1">
      <c r="B21" s="138"/>
      <c r="C21" s="138"/>
      <c r="D21" s="138"/>
      <c r="E21" s="138"/>
      <c r="F21" s="138"/>
      <c r="G21" s="199"/>
      <c r="H21" s="199"/>
      <c r="I21" s="199"/>
      <c r="J21" s="199"/>
      <c r="K21" s="199"/>
      <c r="L21" s="199"/>
      <c r="M21" s="199"/>
      <c r="N21" s="199"/>
      <c r="O21" s="199"/>
      <c r="P21" s="199"/>
      <c r="Q21" s="199"/>
      <c r="R21" s="199"/>
      <c r="S21" s="199"/>
      <c r="T21" s="199"/>
      <c r="U21" s="199"/>
    </row>
    <row r="22" spans="2:21">
      <c r="B22" s="452" t="s">
        <v>668</v>
      </c>
      <c r="C22" s="452"/>
      <c r="D22" s="440"/>
      <c r="E22" s="440"/>
      <c r="F22" s="440"/>
      <c r="G22" s="440"/>
      <c r="H22" s="440"/>
    </row>
    <row r="23" spans="2:21">
      <c r="B23" s="695" t="s">
        <v>646</v>
      </c>
      <c r="C23" s="695"/>
      <c r="D23" s="695"/>
      <c r="E23" s="695"/>
      <c r="F23" s="695"/>
      <c r="G23" s="695"/>
      <c r="H23" s="695"/>
    </row>
    <row r="24" spans="2:21">
      <c r="B24" s="453" t="s">
        <v>647</v>
      </c>
      <c r="C24" s="441"/>
      <c r="D24" s="441"/>
      <c r="E24" s="441"/>
      <c r="F24" s="441"/>
      <c r="G24" s="53"/>
      <c r="H24" s="442" t="s">
        <v>648</v>
      </c>
    </row>
    <row r="25" spans="2:21">
      <c r="B25" s="443"/>
      <c r="C25" s="696" t="s">
        <v>649</v>
      </c>
      <c r="D25" s="696"/>
      <c r="E25" s="696"/>
      <c r="F25" s="696" t="s">
        <v>650</v>
      </c>
      <c r="G25" s="696"/>
      <c r="H25" s="696"/>
    </row>
    <row r="26" spans="2:21">
      <c r="B26" s="444"/>
      <c r="C26" s="445" t="s">
        <v>651</v>
      </c>
      <c r="D26" s="445" t="s">
        <v>652</v>
      </c>
      <c r="E26" s="445" t="s">
        <v>28</v>
      </c>
      <c r="F26" s="445" t="s">
        <v>651</v>
      </c>
      <c r="G26" s="445" t="s">
        <v>652</v>
      </c>
      <c r="H26" s="445" t="s">
        <v>28</v>
      </c>
    </row>
    <row r="27" spans="2:21">
      <c r="B27" s="446">
        <v>2000</v>
      </c>
      <c r="C27" s="447">
        <v>4.2</v>
      </c>
      <c r="D27" s="447">
        <v>9.9</v>
      </c>
      <c r="E27" s="447">
        <v>14</v>
      </c>
      <c r="F27" s="447">
        <v>2.7</v>
      </c>
      <c r="G27" s="447">
        <v>4.3</v>
      </c>
      <c r="H27" s="447">
        <v>7</v>
      </c>
    </row>
    <row r="28" spans="2:21">
      <c r="B28" s="446">
        <v>2004</v>
      </c>
      <c r="C28" s="447">
        <v>4.3</v>
      </c>
      <c r="D28" s="447">
        <v>14.5</v>
      </c>
      <c r="E28" s="447">
        <v>18.8</v>
      </c>
      <c r="F28" s="447">
        <v>2.9</v>
      </c>
      <c r="G28" s="447">
        <v>6</v>
      </c>
      <c r="H28" s="447">
        <v>8.9</v>
      </c>
    </row>
    <row r="29" spans="2:21">
      <c r="B29" s="446">
        <v>2005</v>
      </c>
      <c r="C29" s="447">
        <v>4.4000000000000004</v>
      </c>
      <c r="D29" s="447">
        <v>16</v>
      </c>
      <c r="E29" s="447">
        <v>20.399999999999999</v>
      </c>
      <c r="F29" s="447">
        <v>2.7</v>
      </c>
      <c r="G29" s="447">
        <v>6.3</v>
      </c>
      <c r="H29" s="447">
        <v>9</v>
      </c>
    </row>
    <row r="30" spans="2:21">
      <c r="B30" s="446">
        <v>2006</v>
      </c>
      <c r="C30" s="447">
        <v>4.7</v>
      </c>
      <c r="D30" s="447">
        <v>15</v>
      </c>
      <c r="E30" s="447">
        <v>19.7</v>
      </c>
      <c r="F30" s="447">
        <v>3</v>
      </c>
      <c r="G30" s="447">
        <v>5.9</v>
      </c>
      <c r="H30" s="447">
        <v>8.9</v>
      </c>
    </row>
    <row r="31" spans="2:21">
      <c r="B31" s="446">
        <v>2007</v>
      </c>
      <c r="C31" s="447">
        <v>4.9000000000000004</v>
      </c>
      <c r="D31" s="447">
        <v>15.6</v>
      </c>
      <c r="E31" s="447">
        <v>20.5</v>
      </c>
      <c r="F31" s="447">
        <v>2.7</v>
      </c>
      <c r="G31" s="447">
        <v>6.5</v>
      </c>
      <c r="H31" s="447">
        <v>9.1</v>
      </c>
    </row>
    <row r="32" spans="2:21">
      <c r="B32" s="446">
        <v>2008</v>
      </c>
      <c r="C32" s="447">
        <v>4.9000000000000004</v>
      </c>
      <c r="D32" s="447">
        <v>16.600000000000001</v>
      </c>
      <c r="E32" s="447">
        <v>21.6</v>
      </c>
      <c r="F32" s="447">
        <v>3</v>
      </c>
      <c r="G32" s="447">
        <v>6.1</v>
      </c>
      <c r="H32" s="447">
        <v>9</v>
      </c>
    </row>
    <row r="33" spans="2:9">
      <c r="B33" s="446">
        <v>2009</v>
      </c>
      <c r="C33" s="447">
        <v>5.1719824805580146</v>
      </c>
      <c r="D33" s="447">
        <v>16.537262382456809</v>
      </c>
      <c r="E33" s="447">
        <v>21.709244863014824</v>
      </c>
      <c r="F33" s="447">
        <v>2.9449271076991121</v>
      </c>
      <c r="G33" s="447">
        <v>6.3658102941021069</v>
      </c>
      <c r="H33" s="447">
        <v>9.3107374018012194</v>
      </c>
    </row>
    <row r="34" spans="2:9">
      <c r="B34" s="448">
        <v>2010</v>
      </c>
      <c r="C34" s="447">
        <v>5.0999999999999996</v>
      </c>
      <c r="D34" s="447">
        <v>15.8</v>
      </c>
      <c r="E34" s="447">
        <v>20.8</v>
      </c>
      <c r="F34" s="447">
        <v>2.7</v>
      </c>
      <c r="G34" s="447">
        <v>6.2</v>
      </c>
      <c r="H34" s="447">
        <v>8.9</v>
      </c>
    </row>
    <row r="35" spans="2:9">
      <c r="B35" s="449">
        <v>2011</v>
      </c>
      <c r="C35" s="450">
        <v>4.9000000000000004</v>
      </c>
      <c r="D35" s="450">
        <v>14.2</v>
      </c>
      <c r="E35" s="450">
        <v>19.2</v>
      </c>
      <c r="F35" s="450">
        <v>2.8</v>
      </c>
      <c r="G35" s="450">
        <v>6.6</v>
      </c>
      <c r="H35" s="450">
        <v>9.4</v>
      </c>
    </row>
    <row r="36" spans="2:9">
      <c r="B36" s="259"/>
      <c r="C36" s="259"/>
      <c r="D36" s="259"/>
      <c r="E36" s="53"/>
      <c r="F36" s="53"/>
      <c r="G36" s="53"/>
      <c r="H36" s="451"/>
    </row>
    <row r="37" spans="2:9">
      <c r="B37" s="697" t="s">
        <v>653</v>
      </c>
      <c r="C37" s="697"/>
      <c r="D37" s="697"/>
      <c r="E37" s="697"/>
      <c r="F37" s="697"/>
      <c r="G37" s="697"/>
      <c r="H37" s="697"/>
    </row>
    <row r="38" spans="2:9">
      <c r="B38" s="698" t="s">
        <v>654</v>
      </c>
      <c r="C38" s="698"/>
      <c r="D38" s="698"/>
      <c r="E38" s="698"/>
      <c r="F38" s="698"/>
      <c r="G38" s="698"/>
      <c r="H38" s="698"/>
    </row>
    <row r="39" spans="2:9">
      <c r="B39" s="697" t="s">
        <v>655</v>
      </c>
      <c r="C39" s="697"/>
      <c r="D39" s="697"/>
      <c r="E39" s="697"/>
      <c r="F39" s="697"/>
      <c r="G39" s="697"/>
      <c r="H39" s="697"/>
    </row>
    <row r="40" spans="2:9">
      <c r="B40" s="698" t="s">
        <v>656</v>
      </c>
      <c r="C40" s="698"/>
      <c r="D40" s="698"/>
      <c r="E40" s="698"/>
      <c r="F40" s="698"/>
      <c r="G40" s="698"/>
      <c r="H40" s="698"/>
    </row>
    <row r="41" spans="2:9">
      <c r="B41" s="699" t="s">
        <v>657</v>
      </c>
      <c r="C41" s="700"/>
      <c r="D41" s="700"/>
      <c r="E41" s="700"/>
      <c r="F41" s="700"/>
      <c r="G41" s="700"/>
      <c r="H41" s="700"/>
    </row>
    <row r="42" spans="2:9">
      <c r="B42" s="454" t="s">
        <v>658</v>
      </c>
      <c r="C42" s="454"/>
      <c r="D42" s="454"/>
      <c r="E42" s="454"/>
      <c r="F42" s="454"/>
      <c r="G42" s="454"/>
      <c r="H42" s="454"/>
    </row>
    <row r="45" spans="2:9">
      <c r="B45" s="701" t="s">
        <v>659</v>
      </c>
      <c r="C45" s="701"/>
      <c r="D45" s="701"/>
      <c r="E45" s="701"/>
      <c r="F45" s="702"/>
      <c r="G45" s="702"/>
      <c r="H45" s="702"/>
      <c r="I45" s="702"/>
    </row>
    <row r="46" spans="2:9">
      <c r="B46" s="703" t="s">
        <v>660</v>
      </c>
      <c r="C46" s="703"/>
      <c r="D46" s="703"/>
      <c r="E46" s="703"/>
      <c r="F46" s="704"/>
      <c r="G46" s="704"/>
      <c r="H46" s="704"/>
      <c r="I46" s="704"/>
    </row>
    <row r="47" spans="2:9" ht="13.5" thickBot="1">
      <c r="B47" s="455"/>
      <c r="C47" s="456"/>
      <c r="D47" s="456"/>
      <c r="E47" s="457"/>
      <c r="F47" s="458"/>
      <c r="G47" s="459"/>
      <c r="H47" s="459"/>
      <c r="I47" s="460" t="s">
        <v>648</v>
      </c>
    </row>
    <row r="48" spans="2:9">
      <c r="B48" s="461"/>
      <c r="C48" s="705">
        <v>2010</v>
      </c>
      <c r="D48" s="706"/>
      <c r="E48" s="706"/>
      <c r="F48" s="462"/>
      <c r="G48" s="705">
        <v>2011</v>
      </c>
      <c r="H48" s="706"/>
      <c r="I48" s="706"/>
    </row>
    <row r="49" spans="2:9">
      <c r="B49" s="463"/>
      <c r="C49" s="464" t="s">
        <v>661</v>
      </c>
      <c r="D49" s="464" t="s">
        <v>652</v>
      </c>
      <c r="E49" s="465" t="s">
        <v>28</v>
      </c>
      <c r="F49" s="466"/>
      <c r="G49" s="464" t="s">
        <v>661</v>
      </c>
      <c r="H49" s="464" t="s">
        <v>652</v>
      </c>
      <c r="I49" s="465" t="s">
        <v>28</v>
      </c>
    </row>
    <row r="50" spans="2:9">
      <c r="B50" s="463"/>
      <c r="C50" s="467"/>
      <c r="D50" s="467"/>
      <c r="E50" s="468"/>
      <c r="F50" s="462"/>
      <c r="G50" s="467"/>
      <c r="H50" s="467"/>
      <c r="I50" s="468"/>
    </row>
    <row r="51" spans="2:9">
      <c r="B51" s="317" t="s">
        <v>662</v>
      </c>
      <c r="C51" s="317">
        <v>5.0999999999999996</v>
      </c>
      <c r="D51" s="317">
        <v>15.8</v>
      </c>
      <c r="E51" s="469">
        <v>20.8</v>
      </c>
      <c r="F51" s="462"/>
      <c r="G51" s="317">
        <v>4.9000000000000004</v>
      </c>
      <c r="H51" s="317">
        <v>14.2</v>
      </c>
      <c r="I51" s="469">
        <v>19.2</v>
      </c>
    </row>
    <row r="52" spans="2:9">
      <c r="B52" s="470" t="s">
        <v>663</v>
      </c>
      <c r="C52" s="471">
        <v>5.4</v>
      </c>
      <c r="D52" s="471">
        <v>11.8</v>
      </c>
      <c r="E52" s="472">
        <v>17.2</v>
      </c>
      <c r="F52" s="462"/>
      <c r="G52" s="471">
        <v>5.4</v>
      </c>
      <c r="H52" s="471">
        <v>11.5</v>
      </c>
      <c r="I52" s="472">
        <v>16.899999999999999</v>
      </c>
    </row>
    <row r="53" spans="2:9">
      <c r="B53" s="473"/>
      <c r="C53" s="474"/>
      <c r="D53" s="474"/>
      <c r="E53" s="475"/>
      <c r="F53" s="462"/>
      <c r="G53" s="474"/>
      <c r="H53" s="474"/>
      <c r="I53" s="475"/>
    </row>
    <row r="54" spans="2:9">
      <c r="B54" s="437" t="s">
        <v>664</v>
      </c>
      <c r="C54" s="476">
        <v>2.7</v>
      </c>
      <c r="D54" s="476">
        <v>6.21</v>
      </c>
      <c r="E54" s="477">
        <v>8.9</v>
      </c>
      <c r="F54" s="462"/>
      <c r="G54" s="476">
        <v>2.8</v>
      </c>
      <c r="H54" s="476">
        <v>6.6</v>
      </c>
      <c r="I54" s="477">
        <v>9.4</v>
      </c>
    </row>
    <row r="55" spans="2:9" ht="13.5" thickBot="1">
      <c r="B55" s="478"/>
      <c r="C55" s="479"/>
      <c r="D55" s="479"/>
      <c r="E55" s="479"/>
      <c r="F55" s="458"/>
      <c r="G55" s="479"/>
      <c r="H55" s="479"/>
      <c r="I55" s="479"/>
    </row>
    <row r="56" spans="2:9">
      <c r="B56" s="693" t="s">
        <v>665</v>
      </c>
      <c r="C56" s="693"/>
      <c r="D56" s="707"/>
      <c r="E56" s="480"/>
      <c r="F56" s="202"/>
      <c r="G56" s="202"/>
      <c r="H56" s="202"/>
      <c r="I56" s="438" t="s">
        <v>666</v>
      </c>
    </row>
    <row r="57" spans="2:9">
      <c r="B57" s="693" t="s">
        <v>654</v>
      </c>
      <c r="C57" s="693"/>
      <c r="D57" s="708"/>
      <c r="E57" s="480"/>
      <c r="F57" s="202"/>
      <c r="G57" s="202"/>
      <c r="H57" s="202"/>
      <c r="I57" s="202"/>
    </row>
    <row r="58" spans="2:9">
      <c r="B58" s="693" t="s">
        <v>655</v>
      </c>
      <c r="C58" s="693"/>
      <c r="D58" s="694"/>
      <c r="E58" s="481"/>
      <c r="F58" s="202"/>
      <c r="G58" s="202"/>
      <c r="H58" s="202"/>
      <c r="I58" s="202"/>
    </row>
    <row r="59" spans="2:9">
      <c r="B59" s="439" t="s">
        <v>656</v>
      </c>
      <c r="C59" s="439"/>
      <c r="D59" s="439"/>
      <c r="E59" s="482"/>
      <c r="F59" s="202"/>
      <c r="G59" s="202"/>
      <c r="H59" s="202"/>
      <c r="I59" s="202"/>
    </row>
    <row r="60" spans="2:9">
      <c r="B60" s="439" t="s">
        <v>667</v>
      </c>
      <c r="C60" s="439"/>
      <c r="D60" s="439"/>
      <c r="E60" s="482"/>
      <c r="F60" s="202"/>
      <c r="G60" s="202"/>
      <c r="H60" s="202"/>
      <c r="I60" s="202"/>
    </row>
    <row r="63" spans="2:9">
      <c r="B63" s="492" t="s">
        <v>689</v>
      </c>
      <c r="C63" s="492"/>
      <c r="D63" s="487"/>
    </row>
    <row r="64" spans="2:9">
      <c r="B64" s="687" t="s">
        <v>690</v>
      </c>
      <c r="C64" s="687"/>
      <c r="D64" s="687"/>
    </row>
    <row r="65" spans="2:4">
      <c r="B65" s="493" t="s">
        <v>647</v>
      </c>
      <c r="C65" s="494"/>
      <c r="D65" s="495" t="s">
        <v>648</v>
      </c>
    </row>
    <row r="66" spans="2:4" ht="38.25">
      <c r="B66" s="488"/>
      <c r="C66" s="489" t="s">
        <v>676</v>
      </c>
      <c r="D66" s="489" t="s">
        <v>677</v>
      </c>
    </row>
    <row r="67" spans="2:4">
      <c r="B67" s="496"/>
      <c r="C67" s="497"/>
      <c r="D67" s="497"/>
    </row>
    <row r="68" spans="2:4">
      <c r="B68" s="490"/>
      <c r="C68" s="490"/>
      <c r="D68" s="490"/>
    </row>
    <row r="69" spans="2:4">
      <c r="B69" s="490" t="s">
        <v>678</v>
      </c>
      <c r="C69" s="491">
        <v>3</v>
      </c>
      <c r="D69" s="491">
        <v>3</v>
      </c>
    </row>
    <row r="70" spans="2:4">
      <c r="B70" s="490" t="s">
        <v>679</v>
      </c>
      <c r="C70" s="491">
        <v>10</v>
      </c>
      <c r="D70" s="491">
        <v>15</v>
      </c>
    </row>
    <row r="71" spans="2:4">
      <c r="B71" s="490" t="s">
        <v>680</v>
      </c>
      <c r="C71" s="491">
        <v>40</v>
      </c>
      <c r="D71" s="491">
        <v>35</v>
      </c>
    </row>
    <row r="72" spans="2:4">
      <c r="B72" s="490" t="s">
        <v>681</v>
      </c>
      <c r="C72" s="491">
        <v>23</v>
      </c>
      <c r="D72" s="491">
        <v>23</v>
      </c>
    </row>
    <row r="73" spans="2:4">
      <c r="B73" s="490" t="s">
        <v>682</v>
      </c>
      <c r="C73" s="491">
        <v>13</v>
      </c>
      <c r="D73" s="491">
        <v>13</v>
      </c>
    </row>
    <row r="74" spans="2:4">
      <c r="B74" s="490" t="s">
        <v>683</v>
      </c>
      <c r="C74" s="491">
        <v>5</v>
      </c>
      <c r="D74" s="491">
        <v>6</v>
      </c>
    </row>
    <row r="75" spans="2:4">
      <c r="B75" s="490" t="s">
        <v>684</v>
      </c>
      <c r="C75" s="491">
        <v>6</v>
      </c>
      <c r="D75" s="491">
        <v>5</v>
      </c>
    </row>
    <row r="76" spans="2:4">
      <c r="B76" s="496"/>
      <c r="C76" s="498"/>
      <c r="D76" s="498"/>
    </row>
    <row r="77" spans="2:4">
      <c r="B77" s="499"/>
      <c r="C77" s="499"/>
      <c r="D77" s="500"/>
    </row>
    <row r="78" spans="2:4">
      <c r="B78" s="688" t="s">
        <v>685</v>
      </c>
      <c r="C78" s="688"/>
      <c r="D78" s="688"/>
    </row>
    <row r="79" spans="2:4">
      <c r="B79" s="689" t="s">
        <v>686</v>
      </c>
      <c r="C79" s="690"/>
      <c r="D79" s="690"/>
    </row>
    <row r="80" spans="2:4">
      <c r="B80" s="689" t="s">
        <v>687</v>
      </c>
      <c r="C80" s="689"/>
      <c r="D80" s="689"/>
    </row>
    <row r="81" spans="2:16">
      <c r="B81" s="501" t="s">
        <v>688</v>
      </c>
      <c r="C81" s="502"/>
      <c r="D81" s="502"/>
    </row>
    <row r="82" spans="2:16">
      <c r="B82" s="501"/>
      <c r="C82" s="502"/>
      <c r="D82" s="502"/>
    </row>
    <row r="84" spans="2:16">
      <c r="B84" s="691" t="s">
        <v>691</v>
      </c>
      <c r="C84" s="692"/>
      <c r="D84" s="680"/>
      <c r="E84" s="503"/>
      <c r="F84" s="503"/>
      <c r="G84" s="503"/>
      <c r="H84" s="503"/>
      <c r="I84" s="503"/>
      <c r="J84" s="503"/>
      <c r="K84" s="503"/>
      <c r="L84" s="503"/>
      <c r="M84" s="503"/>
      <c r="N84" s="503"/>
    </row>
    <row r="85" spans="2:16">
      <c r="B85" s="683" t="s">
        <v>692</v>
      </c>
      <c r="C85" s="683"/>
      <c r="D85" s="683"/>
      <c r="E85" s="683"/>
      <c r="F85" s="683"/>
      <c r="G85" s="683"/>
      <c r="H85" s="683"/>
      <c r="I85" s="683"/>
      <c r="J85" s="683"/>
      <c r="K85" s="683"/>
      <c r="L85" s="683"/>
      <c r="M85" s="683"/>
      <c r="N85" s="684"/>
    </row>
    <row r="86" spans="2:16" ht="25.5">
      <c r="B86" s="685" t="s">
        <v>647</v>
      </c>
      <c r="C86" s="685"/>
      <c r="D86" s="685"/>
      <c r="E86" s="504"/>
      <c r="F86" s="504"/>
      <c r="G86" s="504"/>
      <c r="H86" s="504"/>
      <c r="I86" s="504"/>
      <c r="J86" s="504"/>
      <c r="K86" s="505"/>
      <c r="L86" s="505"/>
      <c r="M86" s="505"/>
      <c r="N86" s="504" t="s">
        <v>648</v>
      </c>
    </row>
    <row r="87" spans="2:16">
      <c r="B87" s="506"/>
      <c r="C87" s="506"/>
      <c r="D87" s="677" t="s">
        <v>649</v>
      </c>
      <c r="E87" s="677"/>
      <c r="F87" s="677"/>
      <c r="G87" s="677"/>
      <c r="H87" s="686"/>
      <c r="I87" s="507"/>
      <c r="J87" s="677" t="s">
        <v>650</v>
      </c>
      <c r="K87" s="677"/>
      <c r="L87" s="677"/>
      <c r="M87" s="677"/>
      <c r="N87" s="677"/>
    </row>
    <row r="88" spans="2:16">
      <c r="B88" s="508"/>
      <c r="C88" s="508"/>
      <c r="D88" s="508">
        <v>2007</v>
      </c>
      <c r="E88" s="508">
        <v>2008</v>
      </c>
      <c r="F88" s="508">
        <v>2009</v>
      </c>
      <c r="G88" s="508">
        <v>2010</v>
      </c>
      <c r="H88" s="508">
        <v>2011</v>
      </c>
      <c r="I88" s="508"/>
      <c r="J88" s="508">
        <v>2007</v>
      </c>
      <c r="K88" s="508">
        <v>2008</v>
      </c>
      <c r="L88" s="508">
        <v>2009</v>
      </c>
      <c r="M88" s="508">
        <v>2010</v>
      </c>
      <c r="N88" s="508">
        <v>2011</v>
      </c>
      <c r="P88" s="19" t="s">
        <v>725</v>
      </c>
    </row>
    <row r="89" spans="2:16">
      <c r="B89" s="682" t="s">
        <v>693</v>
      </c>
      <c r="C89" s="682"/>
      <c r="D89" s="509">
        <v>0.56000000000000005</v>
      </c>
      <c r="E89" s="509">
        <v>0.17</v>
      </c>
      <c r="F89" s="509">
        <v>0.99</v>
      </c>
      <c r="G89" s="509">
        <v>0.22</v>
      </c>
      <c r="H89" s="509">
        <v>0.62</v>
      </c>
      <c r="I89" s="509" t="s">
        <v>694</v>
      </c>
      <c r="J89" s="509">
        <v>13.71</v>
      </c>
      <c r="K89" s="509">
        <v>19.739999999999998</v>
      </c>
      <c r="L89" s="509">
        <v>16.739999999999998</v>
      </c>
      <c r="M89" s="509">
        <v>12.96</v>
      </c>
      <c r="N89" s="509">
        <v>12.31</v>
      </c>
      <c r="O89" s="38"/>
      <c r="P89" s="38">
        <f>N89</f>
        <v>12.31</v>
      </c>
    </row>
    <row r="90" spans="2:16">
      <c r="B90" s="682" t="s">
        <v>695</v>
      </c>
      <c r="C90" s="682"/>
      <c r="D90" s="509">
        <v>3.39</v>
      </c>
      <c r="E90" s="509">
        <v>1.81</v>
      </c>
      <c r="F90" s="509">
        <v>2.3199999999999998</v>
      </c>
      <c r="G90" s="509">
        <v>8.0299999999999994</v>
      </c>
      <c r="H90" s="509">
        <v>2.42</v>
      </c>
      <c r="I90" s="509" t="s">
        <v>694</v>
      </c>
      <c r="J90" s="509">
        <v>47.71</v>
      </c>
      <c r="K90" s="509">
        <v>47.11</v>
      </c>
      <c r="L90" s="509">
        <v>48.1</v>
      </c>
      <c r="M90" s="509">
        <v>45.48</v>
      </c>
      <c r="N90" s="509">
        <v>41.89</v>
      </c>
      <c r="O90" s="38"/>
      <c r="P90" s="38">
        <f>P89+N90</f>
        <v>54.2</v>
      </c>
    </row>
    <row r="91" spans="2:16">
      <c r="B91" s="682" t="s">
        <v>696</v>
      </c>
      <c r="C91" s="682"/>
      <c r="D91" s="509">
        <v>6.28</v>
      </c>
      <c r="E91" s="509">
        <v>5.56</v>
      </c>
      <c r="F91" s="509">
        <v>4.84</v>
      </c>
      <c r="G91" s="509">
        <v>6.66</v>
      </c>
      <c r="H91" s="509">
        <v>6.49</v>
      </c>
      <c r="I91" s="509" t="s">
        <v>694</v>
      </c>
      <c r="J91" s="509">
        <v>24.31</v>
      </c>
      <c r="K91" s="509">
        <v>18.41</v>
      </c>
      <c r="L91" s="509">
        <v>20.11</v>
      </c>
      <c r="M91" s="509">
        <v>21.19</v>
      </c>
      <c r="N91" s="509">
        <v>22.55</v>
      </c>
      <c r="O91" s="38"/>
      <c r="P91" s="38">
        <f t="shared" ref="P91:P94" si="4">P90+N91</f>
        <v>76.75</v>
      </c>
    </row>
    <row r="92" spans="2:16">
      <c r="B92" s="682" t="s">
        <v>697</v>
      </c>
      <c r="C92" s="682"/>
      <c r="D92" s="509">
        <v>13.33</v>
      </c>
      <c r="E92" s="509">
        <v>12.3</v>
      </c>
      <c r="F92" s="509">
        <v>13.45</v>
      </c>
      <c r="G92" s="509">
        <v>13.46</v>
      </c>
      <c r="H92" s="509">
        <v>17.41</v>
      </c>
      <c r="I92" s="509" t="s">
        <v>694</v>
      </c>
      <c r="J92" s="509">
        <v>12.87</v>
      </c>
      <c r="K92" s="509">
        <v>11.65</v>
      </c>
      <c r="L92" s="509">
        <v>10.82</v>
      </c>
      <c r="M92" s="509">
        <v>11.78</v>
      </c>
      <c r="N92" s="509">
        <v>13.02</v>
      </c>
      <c r="O92" s="38"/>
      <c r="P92" s="38">
        <f t="shared" si="4"/>
        <v>89.77</v>
      </c>
    </row>
    <row r="93" spans="2:16">
      <c r="B93" s="682" t="s">
        <v>683</v>
      </c>
      <c r="C93" s="682"/>
      <c r="D93" s="509">
        <v>17.73</v>
      </c>
      <c r="E93" s="509">
        <v>17.329999999999998</v>
      </c>
      <c r="F93" s="509">
        <v>19.809999999999999</v>
      </c>
      <c r="G93" s="509">
        <v>13.36</v>
      </c>
      <c r="H93" s="509">
        <v>15.14</v>
      </c>
      <c r="I93" s="509" t="s">
        <v>694</v>
      </c>
      <c r="J93" s="509">
        <v>0.9</v>
      </c>
      <c r="K93" s="509">
        <v>1.98</v>
      </c>
      <c r="L93" s="509">
        <v>3.34</v>
      </c>
      <c r="M93" s="509">
        <v>5.32</v>
      </c>
      <c r="N93" s="509">
        <v>6.79</v>
      </c>
      <c r="O93" s="38"/>
      <c r="P93" s="38">
        <f t="shared" si="4"/>
        <v>96.56</v>
      </c>
    </row>
    <row r="94" spans="2:16">
      <c r="B94" s="682" t="s">
        <v>684</v>
      </c>
      <c r="C94" s="682"/>
      <c r="D94" s="509">
        <v>58.7</v>
      </c>
      <c r="E94" s="509">
        <v>62.83</v>
      </c>
      <c r="F94" s="509">
        <v>58.6</v>
      </c>
      <c r="G94" s="509">
        <v>58.28</v>
      </c>
      <c r="H94" s="509">
        <v>57.92</v>
      </c>
      <c r="I94" s="509" t="s">
        <v>694</v>
      </c>
      <c r="J94" s="509">
        <v>0.5</v>
      </c>
      <c r="K94" s="509">
        <v>1.1200000000000001</v>
      </c>
      <c r="L94" s="509">
        <v>0.89</v>
      </c>
      <c r="M94" s="509">
        <v>3.27</v>
      </c>
      <c r="N94" s="509">
        <v>3.43</v>
      </c>
      <c r="O94" s="38"/>
      <c r="P94" s="38">
        <f t="shared" si="4"/>
        <v>99.990000000000009</v>
      </c>
    </row>
    <row r="95" spans="2:16">
      <c r="B95" s="508"/>
      <c r="C95" s="508"/>
      <c r="D95" s="508"/>
      <c r="E95" s="508"/>
      <c r="F95" s="508"/>
      <c r="G95" s="508"/>
      <c r="H95" s="508"/>
      <c r="I95" s="508"/>
      <c r="J95" s="508"/>
      <c r="K95" s="510"/>
      <c r="L95" s="510"/>
      <c r="M95" s="510"/>
      <c r="N95" s="511"/>
    </row>
    <row r="96" spans="2:16">
      <c r="B96" s="512"/>
      <c r="C96" s="513"/>
      <c r="D96" s="514"/>
      <c r="E96" s="514"/>
      <c r="F96" s="514"/>
      <c r="G96" s="514"/>
      <c r="H96" s="514"/>
      <c r="I96" s="514"/>
      <c r="J96" s="514"/>
      <c r="K96" s="514"/>
      <c r="L96" s="514"/>
      <c r="M96" s="514"/>
      <c r="N96" s="514"/>
    </row>
    <row r="97" spans="2:14">
      <c r="B97" s="515">
        <v>1</v>
      </c>
      <c r="C97" s="678" t="s">
        <v>698</v>
      </c>
      <c r="D97" s="678"/>
      <c r="E97" s="678"/>
      <c r="F97" s="515"/>
      <c r="G97" s="515"/>
      <c r="H97" s="515"/>
      <c r="I97" s="515"/>
      <c r="J97" s="516"/>
      <c r="K97" s="516"/>
      <c r="L97" s="516"/>
      <c r="M97" s="516"/>
      <c r="N97" s="513"/>
    </row>
    <row r="98" spans="2:14">
      <c r="B98" s="517">
        <v>2</v>
      </c>
      <c r="C98" s="679" t="s">
        <v>699</v>
      </c>
      <c r="D98" s="679"/>
      <c r="E98" s="679"/>
      <c r="F98" s="679"/>
      <c r="G98" s="679"/>
      <c r="H98" s="679"/>
      <c r="I98" s="680"/>
      <c r="J98" s="680"/>
      <c r="K98" s="680"/>
      <c r="L98" s="518"/>
      <c r="M98" s="518"/>
      <c r="N98" s="513"/>
    </row>
    <row r="99" spans="2:14">
      <c r="B99" s="517">
        <v>3</v>
      </c>
      <c r="C99" s="679" t="s">
        <v>700</v>
      </c>
      <c r="D99" s="679"/>
      <c r="E99" s="679"/>
      <c r="F99" s="679"/>
      <c r="G99" s="679"/>
      <c r="H99" s="679"/>
      <c r="I99" s="679"/>
      <c r="J99" s="503"/>
      <c r="K99" s="503"/>
      <c r="L99" s="503"/>
      <c r="M99" s="503"/>
      <c r="N99" s="503"/>
    </row>
    <row r="100" spans="2:14">
      <c r="B100" s="517">
        <v>4</v>
      </c>
      <c r="C100" s="519" t="s">
        <v>701</v>
      </c>
      <c r="D100" s="520"/>
      <c r="E100" s="520"/>
      <c r="F100" s="520"/>
      <c r="G100" s="520"/>
      <c r="H100" s="520"/>
      <c r="I100" s="520"/>
      <c r="J100" s="503"/>
      <c r="K100" s="503"/>
      <c r="L100" s="503"/>
      <c r="M100" s="503"/>
      <c r="N100" s="503"/>
    </row>
    <row r="101" spans="2:14">
      <c r="B101" s="681" t="s">
        <v>702</v>
      </c>
      <c r="C101" s="681"/>
      <c r="D101" s="681"/>
      <c r="E101" s="681"/>
      <c r="F101" s="681"/>
      <c r="G101" s="681"/>
      <c r="H101" s="681"/>
      <c r="I101" s="681"/>
      <c r="J101" s="681"/>
      <c r="K101" s="681"/>
      <c r="L101" s="521"/>
      <c r="M101" s="521"/>
      <c r="N101" s="503"/>
    </row>
    <row r="102" spans="2:14">
      <c r="B102" s="527"/>
      <c r="C102" s="527"/>
      <c r="D102" s="527"/>
      <c r="E102" s="527"/>
      <c r="F102" s="527"/>
      <c r="G102" s="527"/>
      <c r="H102" s="527"/>
      <c r="I102" s="527"/>
      <c r="J102" s="527"/>
      <c r="K102" s="527"/>
      <c r="L102" s="527"/>
      <c r="M102" s="527"/>
      <c r="N102" s="503"/>
    </row>
    <row r="104" spans="2:14">
      <c r="B104" s="18" t="s">
        <v>718</v>
      </c>
    </row>
    <row r="105" spans="2:14" ht="12.75" customHeight="1">
      <c r="B105" s="506"/>
      <c r="C105" s="677" t="s">
        <v>649</v>
      </c>
      <c r="D105" s="677"/>
      <c r="E105" s="677"/>
      <c r="F105" s="677" t="s">
        <v>650</v>
      </c>
      <c r="G105" s="677"/>
      <c r="H105" s="677"/>
      <c r="I105" s="43"/>
      <c r="J105" s="43"/>
      <c r="K105" s="43"/>
      <c r="L105" s="532"/>
      <c r="M105" s="532"/>
      <c r="N105" s="43"/>
    </row>
    <row r="106" spans="2:14">
      <c r="B106" s="508" t="s">
        <v>446</v>
      </c>
      <c r="C106" s="508" t="s">
        <v>661</v>
      </c>
      <c r="D106" s="508" t="s">
        <v>652</v>
      </c>
      <c r="E106" s="508" t="s">
        <v>28</v>
      </c>
      <c r="F106" s="508" t="s">
        <v>661</v>
      </c>
      <c r="G106" s="508" t="s">
        <v>652</v>
      </c>
      <c r="H106" s="508" t="s">
        <v>28</v>
      </c>
      <c r="I106" s="43"/>
      <c r="J106" s="43"/>
      <c r="K106" s="43"/>
      <c r="L106" s="533"/>
      <c r="M106" s="533"/>
      <c r="N106" s="43"/>
    </row>
    <row r="107" spans="2:14">
      <c r="B107" s="528" t="s">
        <v>721</v>
      </c>
      <c r="C107" s="531">
        <v>4.9000000000000004</v>
      </c>
      <c r="D107" s="531">
        <v>15.6</v>
      </c>
      <c r="E107" s="531">
        <v>20.5</v>
      </c>
      <c r="F107" s="531">
        <v>2.5</v>
      </c>
      <c r="G107" s="531">
        <v>6.7</v>
      </c>
      <c r="H107" s="531">
        <v>9.1999999999999993</v>
      </c>
      <c r="I107" s="43"/>
      <c r="J107" s="43"/>
      <c r="K107" s="43"/>
      <c r="L107" s="534"/>
      <c r="M107" s="534"/>
      <c r="N107" s="43"/>
    </row>
    <row r="108" spans="2:14">
      <c r="B108" s="528" t="s">
        <v>722</v>
      </c>
      <c r="C108" s="531">
        <v>5.8</v>
      </c>
      <c r="D108" s="531">
        <v>16.899999999999999</v>
      </c>
      <c r="E108" s="531">
        <v>22.7</v>
      </c>
      <c r="F108" s="531">
        <v>2.6</v>
      </c>
      <c r="G108" s="531">
        <v>7.1</v>
      </c>
      <c r="H108" s="531">
        <v>9.6999999999999993</v>
      </c>
      <c r="I108" s="43"/>
      <c r="J108" s="43"/>
      <c r="K108" s="43"/>
      <c r="L108" s="534"/>
      <c r="M108" s="534"/>
      <c r="N108" s="43"/>
    </row>
    <row r="109" spans="2:14">
      <c r="B109" s="528" t="s">
        <v>723</v>
      </c>
      <c r="C109" s="531">
        <v>5.5</v>
      </c>
      <c r="D109" s="531">
        <v>16.100000000000001</v>
      </c>
      <c r="E109" s="531">
        <v>21.6</v>
      </c>
      <c r="F109" s="531">
        <v>2.9</v>
      </c>
      <c r="G109" s="531">
        <v>4.5</v>
      </c>
      <c r="H109" s="531">
        <v>7.4</v>
      </c>
      <c r="I109" s="43"/>
      <c r="J109" s="43"/>
      <c r="K109" s="43"/>
      <c r="L109" s="534"/>
      <c r="M109" s="534"/>
      <c r="N109" s="43"/>
    </row>
    <row r="110" spans="2:14">
      <c r="B110" s="528" t="s">
        <v>719</v>
      </c>
      <c r="C110" s="531">
        <v>5.0999999999999996</v>
      </c>
      <c r="D110" s="531">
        <v>15.4</v>
      </c>
      <c r="E110" s="531">
        <v>20.5</v>
      </c>
      <c r="F110" s="531">
        <v>3.5</v>
      </c>
      <c r="G110" s="531">
        <v>8.1999999999999993</v>
      </c>
      <c r="H110" s="531">
        <v>11.7</v>
      </c>
      <c r="I110" s="43"/>
      <c r="J110" s="43"/>
      <c r="K110" s="43"/>
      <c r="L110" s="534"/>
      <c r="M110" s="534"/>
      <c r="N110" s="43"/>
    </row>
    <row r="111" spans="2:14">
      <c r="B111" s="528" t="s">
        <v>720</v>
      </c>
      <c r="C111" s="531">
        <v>3.3</v>
      </c>
      <c r="D111" s="531">
        <v>18.600000000000001</v>
      </c>
      <c r="E111" s="531">
        <v>21.8</v>
      </c>
      <c r="F111" s="531">
        <v>2.8</v>
      </c>
      <c r="G111" s="531">
        <v>5.8</v>
      </c>
      <c r="H111" s="531">
        <v>8.6</v>
      </c>
      <c r="I111" s="43"/>
      <c r="J111" s="43"/>
      <c r="K111" s="43"/>
      <c r="L111" s="534"/>
      <c r="M111" s="534"/>
      <c r="N111" s="43"/>
    </row>
    <row r="112" spans="2:14">
      <c r="B112" s="528" t="s">
        <v>28</v>
      </c>
      <c r="C112" s="531">
        <v>5.0999999999999996</v>
      </c>
      <c r="D112" s="531">
        <v>15.8</v>
      </c>
      <c r="E112" s="531">
        <v>20.8</v>
      </c>
      <c r="F112" s="531">
        <v>2.7</v>
      </c>
      <c r="G112" s="531">
        <v>6.2</v>
      </c>
      <c r="H112" s="531">
        <v>8.9</v>
      </c>
      <c r="I112" s="43"/>
      <c r="J112" s="43"/>
      <c r="K112" s="43"/>
      <c r="L112" s="534"/>
      <c r="M112" s="534"/>
      <c r="N112" s="43"/>
    </row>
    <row r="113" spans="2:21">
      <c r="B113" s="508"/>
      <c r="C113" s="508"/>
      <c r="D113" s="508"/>
      <c r="E113" s="508"/>
      <c r="F113" s="508"/>
      <c r="G113" s="508"/>
      <c r="H113" s="508"/>
      <c r="I113" s="533"/>
      <c r="J113" s="533"/>
      <c r="K113" s="533"/>
      <c r="L113" s="533"/>
      <c r="M113" s="513"/>
      <c r="N113" s="43"/>
    </row>
    <row r="114" spans="2:21">
      <c r="B114" s="19" t="s">
        <v>707</v>
      </c>
      <c r="I114" s="43"/>
      <c r="J114" s="43"/>
      <c r="K114" s="43"/>
      <c r="L114" s="43"/>
      <c r="M114" s="43"/>
      <c r="N114" s="43"/>
    </row>
    <row r="115" spans="2:21">
      <c r="B115" s="19" t="s">
        <v>708</v>
      </c>
      <c r="I115" s="43"/>
      <c r="J115" s="43"/>
      <c r="K115" s="43"/>
      <c r="L115" s="43"/>
      <c r="M115" s="43"/>
      <c r="N115" s="43"/>
    </row>
    <row r="116" spans="2:21">
      <c r="B116" s="19" t="s">
        <v>709</v>
      </c>
    </row>
    <row r="117" spans="2:21">
      <c r="B117" s="19" t="s">
        <v>710</v>
      </c>
    </row>
    <row r="118" spans="2:21">
      <c r="B118" s="19" t="s">
        <v>711</v>
      </c>
    </row>
    <row r="119" spans="2:21">
      <c r="B119" s="19" t="s">
        <v>712</v>
      </c>
    </row>
    <row r="120" spans="2:21">
      <c r="B120" s="19" t="s">
        <v>713</v>
      </c>
    </row>
    <row r="121" spans="2:21">
      <c r="B121" s="19" t="s">
        <v>714</v>
      </c>
    </row>
    <row r="122" spans="2:21">
      <c r="B122" s="19" t="s">
        <v>715</v>
      </c>
    </row>
    <row r="123" spans="2:21">
      <c r="B123" s="19" t="s">
        <v>716</v>
      </c>
    </row>
    <row r="124" spans="2:21">
      <c r="B124" s="18" t="s">
        <v>717</v>
      </c>
    </row>
    <row r="125" spans="2:21" ht="15">
      <c r="B125" s="2" t="s">
        <v>724</v>
      </c>
    </row>
    <row r="127" spans="2:21">
      <c r="B127" s="329" t="s">
        <v>445</v>
      </c>
      <c r="C127" s="329"/>
      <c r="D127" s="329"/>
      <c r="E127" s="329"/>
      <c r="F127" s="329"/>
      <c r="G127" s="331"/>
      <c r="H127" s="331"/>
      <c r="I127" s="331"/>
      <c r="J127" s="331"/>
      <c r="K127" s="331"/>
      <c r="L127" s="331"/>
      <c r="M127" s="331"/>
      <c r="N127" s="331"/>
      <c r="O127" s="331"/>
      <c r="P127" s="331"/>
      <c r="Q127" s="331"/>
      <c r="R127" s="331"/>
      <c r="S127" s="331"/>
      <c r="T127" s="331"/>
      <c r="U127" s="331"/>
    </row>
  </sheetData>
  <mergeCells count="38">
    <mergeCell ref="B58:D58"/>
    <mergeCell ref="B23:H23"/>
    <mergeCell ref="C25:E25"/>
    <mergeCell ref="F25:H25"/>
    <mergeCell ref="B37:H37"/>
    <mergeCell ref="B38:H38"/>
    <mergeCell ref="B39:H39"/>
    <mergeCell ref="B40:H40"/>
    <mergeCell ref="B41:H41"/>
    <mergeCell ref="B45:I45"/>
    <mergeCell ref="B46:I46"/>
    <mergeCell ref="C48:E48"/>
    <mergeCell ref="G48:I48"/>
    <mergeCell ref="B56:D56"/>
    <mergeCell ref="B57:D57"/>
    <mergeCell ref="J87:N87"/>
    <mergeCell ref="B89:C89"/>
    <mergeCell ref="B64:D64"/>
    <mergeCell ref="B78:D78"/>
    <mergeCell ref="B79:D79"/>
    <mergeCell ref="B80:D80"/>
    <mergeCell ref="B84:D84"/>
    <mergeCell ref="C105:E105"/>
    <mergeCell ref="F105:H105"/>
    <mergeCell ref="L6:P6"/>
    <mergeCell ref="C97:E97"/>
    <mergeCell ref="C98:K98"/>
    <mergeCell ref="C99:I99"/>
    <mergeCell ref="B101:K101"/>
    <mergeCell ref="F6:J6"/>
    <mergeCell ref="B90:C90"/>
    <mergeCell ref="B91:C91"/>
    <mergeCell ref="B92:C92"/>
    <mergeCell ref="B93:C93"/>
    <mergeCell ref="B94:C94"/>
    <mergeCell ref="B85:N85"/>
    <mergeCell ref="B86:D86"/>
    <mergeCell ref="D87:H87"/>
  </mergeCells>
  <hyperlinks>
    <hyperlink ref="B125"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17</vt:i4>
      </vt:variant>
    </vt:vector>
  </HeadingPairs>
  <TitlesOfParts>
    <vt:vector size="50" baseType="lpstr">
      <vt:lpstr>Intro</vt:lpstr>
      <vt:lpstr>Reg&gt;&gt;</vt:lpstr>
      <vt:lpstr>HAL - Reg</vt:lpstr>
      <vt:lpstr>GAL - Reg</vt:lpstr>
      <vt:lpstr>STAL - Reg</vt:lpstr>
      <vt:lpstr>HAL&gt;&gt;</vt:lpstr>
      <vt:lpstr>HAL - iBP </vt:lpstr>
      <vt:lpstr>HAL - fBP</vt:lpstr>
      <vt:lpstr>HAL - rBP</vt:lpstr>
      <vt:lpstr>HAL - aBP</vt:lpstr>
      <vt:lpstr>CAA&gt;&gt;</vt:lpstr>
      <vt:lpstr>HAL - CAA - ip</vt:lpstr>
      <vt:lpstr>HAL - CAA - fp</vt:lpstr>
      <vt:lpstr>Analysis&gt;&gt;</vt:lpstr>
      <vt:lpstr>Other Opex</vt:lpstr>
      <vt:lpstr>MandA</vt:lpstr>
      <vt:lpstr>Central Support</vt:lpstr>
      <vt:lpstr>Wages</vt:lpstr>
      <vt:lpstr>Wage growth</vt:lpstr>
      <vt:lpstr>Absenteeism</vt:lpstr>
      <vt:lpstr>Frontier Shift</vt:lpstr>
      <vt:lpstr>Pensions</vt:lpstr>
      <vt:lpstr>Security</vt:lpstr>
      <vt:lpstr>Overlays</vt:lpstr>
      <vt:lpstr>Appendix&gt;&gt;</vt:lpstr>
      <vt:lpstr>Q Summary</vt:lpstr>
      <vt:lpstr>RPI</vt:lpstr>
      <vt:lpstr>CPI</vt:lpstr>
      <vt:lpstr>OBR</vt:lpstr>
      <vt:lpstr>Elasticity</vt:lpstr>
      <vt:lpstr>Staff Costs</vt:lpstr>
      <vt:lpstr>Staff Data</vt:lpstr>
      <vt:lpstr>Pension Data</vt:lpstr>
      <vt:lpstr>Absenteeism!Print_Area</vt:lpstr>
      <vt:lpstr>'Central Support'!Print_Area</vt:lpstr>
      <vt:lpstr>'Frontier Shift'!Print_Area</vt:lpstr>
      <vt:lpstr>'GAL - Reg'!Print_Area</vt:lpstr>
      <vt:lpstr>'HAL - aBP'!Print_Area</vt:lpstr>
      <vt:lpstr>'HAL - CAA - fp'!Print_Area</vt:lpstr>
      <vt:lpstr>'HAL - CAA - ip'!Print_Area</vt:lpstr>
      <vt:lpstr>'HAL - fBP'!Print_Area</vt:lpstr>
      <vt:lpstr>'HAL - iBP '!Print_Area</vt:lpstr>
      <vt:lpstr>'HAL - rBP'!Print_Area</vt:lpstr>
      <vt:lpstr>'HAL - Reg'!Print_Area</vt:lpstr>
      <vt:lpstr>MandA!Print_Area</vt:lpstr>
      <vt:lpstr>'Other Opex'!Print_Area</vt:lpstr>
      <vt:lpstr>Pensions!Print_Area</vt:lpstr>
      <vt:lpstr>Security!Print_Area</vt:lpstr>
      <vt:lpstr>'STAL - Reg'!Print_Area</vt:lpstr>
      <vt:lpstr>Wages!Print_Area</vt:lpstr>
    </vt:vector>
  </TitlesOfParts>
  <Company>Civil Aviation Authority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duncan.kernohan</dc:creator>
  <cp:lastModifiedBy>rod.gander</cp:lastModifiedBy>
  <cp:lastPrinted>2013-10-09T15:25:20Z</cp:lastPrinted>
  <dcterms:created xsi:type="dcterms:W3CDTF">2012-11-19T16:20:57Z</dcterms:created>
  <dcterms:modified xsi:type="dcterms:W3CDTF">2013-10-25T08:08:34Z</dcterms:modified>
</cp:coreProperties>
</file>